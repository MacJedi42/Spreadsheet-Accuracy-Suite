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810" yWindow="3130" windowWidth="15370" windowHeight="4220" tabRatio="601" activeTab="1"/>
  </bookViews>
  <sheets>
    <sheet name="Data" sheetId="3" r:id="rId1"/>
    <sheet name="Table 10" sheetId="1" r:id="rId2"/>
  </sheets>
  <calcPr calcId="145621"/>
</workbook>
</file>

<file path=xl/calcChain.xml><?xml version="1.0" encoding="utf-8"?>
<calcChain xmlns="http://schemas.openxmlformats.org/spreadsheetml/2006/main">
  <c r="F18" i="1" l="1"/>
  <c r="E18" i="1"/>
  <c r="D18" i="1"/>
  <c r="C18" i="1"/>
  <c r="B18" i="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E13" i="1"/>
  <c r="D13" i="1"/>
  <c r="C13" i="1"/>
  <c r="B13" i="1"/>
  <c r="E11" i="1"/>
  <c r="D11" i="1"/>
  <c r="C11" i="1"/>
  <c r="B11" i="1"/>
  <c r="E10" i="1"/>
  <c r="D10" i="1"/>
  <c r="C10" i="1"/>
  <c r="B10" i="1"/>
  <c r="D9" i="1"/>
  <c r="B9" i="1"/>
  <c r="E8" i="1"/>
  <c r="D8" i="1"/>
  <c r="C8" i="1"/>
  <c r="B8" i="1"/>
  <c r="E7" i="1"/>
  <c r="D7" i="1"/>
  <c r="C7" i="1"/>
  <c r="B7" i="1"/>
  <c r="E6" i="1"/>
  <c r="D6" i="1"/>
  <c r="B6" i="1"/>
  <c r="D5" i="1"/>
  <c r="B5" i="1"/>
  <c r="AZ633" i="3"/>
  <c r="BE633" i="3" s="1"/>
  <c r="BA633" i="3"/>
  <c r="BF633" i="3" s="1"/>
  <c r="BB633" i="3"/>
  <c r="BG633" i="3" s="1"/>
  <c r="BC633" i="3"/>
  <c r="BD633" i="3"/>
  <c r="BH633" i="3"/>
  <c r="BI633" i="3"/>
  <c r="BJ633" i="3"/>
  <c r="AP633" i="3"/>
  <c r="AQ633" i="3"/>
  <c r="AR633" i="3"/>
  <c r="AS633" i="3"/>
  <c r="AT633" i="3"/>
  <c r="AU633" i="3"/>
  <c r="AV633" i="3"/>
  <c r="AW633" i="3"/>
  <c r="AX633" i="3"/>
  <c r="AJ633" i="3"/>
  <c r="AK633" i="3"/>
  <c r="AL633" i="3"/>
  <c r="AM633" i="3"/>
  <c r="AN633" i="3"/>
  <c r="AI633" i="3"/>
  <c r="Y633" i="3"/>
  <c r="Z633" i="3" s="1"/>
  <c r="AA633" i="3"/>
  <c r="O633" i="3"/>
  <c r="R633" i="3" s="1"/>
  <c r="P633" i="3"/>
  <c r="S633" i="3" s="1"/>
  <c r="Q633" i="3"/>
  <c r="F633" i="3"/>
  <c r="G633" i="3"/>
  <c r="H633" i="3"/>
  <c r="I633" i="3"/>
  <c r="J633" i="3"/>
  <c r="E633" i="3"/>
  <c r="A633" i="3"/>
  <c r="AC633" i="3" l="1"/>
  <c r="AD633" i="3"/>
  <c r="AB633" i="3"/>
  <c r="T633" i="3"/>
  <c r="AZ632" i="3"/>
  <c r="BE632" i="3" s="1"/>
  <c r="BA632" i="3"/>
  <c r="BF632" i="3" s="1"/>
  <c r="BB632" i="3"/>
  <c r="BG632" i="3" s="1"/>
  <c r="BC632" i="3"/>
  <c r="BD632" i="3"/>
  <c r="BH632" i="3"/>
  <c r="BJ632" i="3"/>
  <c r="AP632" i="3"/>
  <c r="AQ632" i="3"/>
  <c r="AR632" i="3"/>
  <c r="AS632" i="3"/>
  <c r="AU632" i="3"/>
  <c r="AV632" i="3"/>
  <c r="AJ632" i="3"/>
  <c r="AM632" i="3" s="1"/>
  <c r="AK632" i="3"/>
  <c r="AL632" i="3"/>
  <c r="AI632" i="3"/>
  <c r="Y632" i="3"/>
  <c r="Z632" i="3" s="1"/>
  <c r="AA632" i="3"/>
  <c r="P632" i="3"/>
  <c r="S632" i="3" s="1"/>
  <c r="Q632" i="3"/>
  <c r="R632" i="3"/>
  <c r="O632" i="3"/>
  <c r="F632" i="3"/>
  <c r="I632" i="3" s="1"/>
  <c r="G632" i="3"/>
  <c r="H632" i="3"/>
  <c r="E632" i="3"/>
  <c r="A632" i="3"/>
  <c r="AN632" i="3" l="1"/>
  <c r="AC632" i="3"/>
  <c r="AD632" i="3"/>
  <c r="AB632" i="3"/>
  <c r="T632" i="3"/>
  <c r="J632" i="3"/>
  <c r="AZ631" i="3" l="1"/>
  <c r="BE631" i="3" s="1"/>
  <c r="BA631" i="3"/>
  <c r="BF631" i="3" s="1"/>
  <c r="BB631" i="3"/>
  <c r="BC631" i="3"/>
  <c r="BG631" i="3"/>
  <c r="BH631" i="3"/>
  <c r="BJ631" i="3"/>
  <c r="AP631" i="3"/>
  <c r="AQ631" i="3"/>
  <c r="AR631" i="3"/>
  <c r="AS631" i="3"/>
  <c r="BD631" i="3" s="1"/>
  <c r="AU631" i="3"/>
  <c r="AI631" i="3"/>
  <c r="AJ631" i="3"/>
  <c r="AK631" i="3"/>
  <c r="AL631" i="3"/>
  <c r="AM631" i="3"/>
  <c r="AN631" i="3"/>
  <c r="Y631" i="3"/>
  <c r="Z631" i="3"/>
  <c r="AC631" i="3" s="1"/>
  <c r="AA631" i="3"/>
  <c r="AD631" i="3" s="1"/>
  <c r="AB631" i="3"/>
  <c r="O631" i="3"/>
  <c r="P631" i="3" s="1"/>
  <c r="Q631" i="3"/>
  <c r="F631" i="3"/>
  <c r="I631" i="3" s="1"/>
  <c r="G631" i="3"/>
  <c r="H631" i="3"/>
  <c r="E631" i="3"/>
  <c r="A631" i="3"/>
  <c r="AV631" i="3" l="1"/>
  <c r="S631" i="3"/>
  <c r="T631" i="3"/>
  <c r="R631" i="3"/>
  <c r="J631" i="3"/>
  <c r="AZ630" i="3"/>
  <c r="BE630" i="3" s="1"/>
  <c r="BA630" i="3"/>
  <c r="BF630" i="3" s="1"/>
  <c r="BB630" i="3"/>
  <c r="BG630" i="3" s="1"/>
  <c r="BC630" i="3"/>
  <c r="BD630" i="3"/>
  <c r="BH630" i="3"/>
  <c r="BJ630" i="3"/>
  <c r="AP630" i="3"/>
  <c r="AQ630" i="3"/>
  <c r="AR630" i="3"/>
  <c r="AS630" i="3"/>
  <c r="AU630" i="3"/>
  <c r="AV630" i="3"/>
  <c r="AJ630" i="3"/>
  <c r="AM630" i="3" s="1"/>
  <c r="AK630" i="3"/>
  <c r="AL630" i="3"/>
  <c r="AI630" i="3"/>
  <c r="Y630" i="3"/>
  <c r="Z630" i="3" s="1"/>
  <c r="AA630" i="3"/>
  <c r="P630" i="3"/>
  <c r="S630" i="3" s="1"/>
  <c r="Q630" i="3"/>
  <c r="R630" i="3"/>
  <c r="O630" i="3"/>
  <c r="F630" i="3"/>
  <c r="I630" i="3" s="1"/>
  <c r="G630" i="3"/>
  <c r="H630" i="3"/>
  <c r="E630" i="3"/>
  <c r="A630" i="3"/>
  <c r="AN630" i="3" l="1"/>
  <c r="AC630" i="3"/>
  <c r="AD630" i="3"/>
  <c r="AB630" i="3"/>
  <c r="T630" i="3"/>
  <c r="J630" i="3"/>
  <c r="AZ629" i="3"/>
  <c r="BA629" i="3"/>
  <c r="BF629" i="3" s="1"/>
  <c r="BB629" i="3"/>
  <c r="BG629" i="3" s="1"/>
  <c r="BC629" i="3"/>
  <c r="BH629" i="3" s="1"/>
  <c r="BD629" i="3"/>
  <c r="BE629" i="3"/>
  <c r="BJ629" i="3"/>
  <c r="AP629" i="3"/>
  <c r="AQ629" i="3"/>
  <c r="AR629" i="3"/>
  <c r="AS629" i="3"/>
  <c r="AU629" i="3"/>
  <c r="AJ629" i="3"/>
  <c r="AK629" i="3"/>
  <c r="AL629" i="3"/>
  <c r="AM629" i="3"/>
  <c r="AN629" i="3"/>
  <c r="AI629" i="3"/>
  <c r="Y629" i="3"/>
  <c r="Z629" i="3" s="1"/>
  <c r="AA629" i="3"/>
  <c r="O629" i="3"/>
  <c r="P629" i="3" s="1"/>
  <c r="Q629" i="3"/>
  <c r="F629" i="3"/>
  <c r="G629" i="3"/>
  <c r="H629" i="3"/>
  <c r="I629" i="3"/>
  <c r="J629" i="3"/>
  <c r="E629" i="3"/>
  <c r="A629" i="3"/>
  <c r="AV629" i="3" l="1"/>
  <c r="AT632" i="3"/>
  <c r="AD629" i="3"/>
  <c r="AC629" i="3"/>
  <c r="AB629" i="3"/>
  <c r="S629" i="3"/>
  <c r="T629" i="3"/>
  <c r="R629" i="3"/>
  <c r="AZ628" i="3"/>
  <c r="BE628" i="3" s="1"/>
  <c r="BA628" i="3"/>
  <c r="BF628" i="3" s="1"/>
  <c r="BB628" i="3"/>
  <c r="BC628" i="3"/>
  <c r="BG628" i="3"/>
  <c r="BH628" i="3"/>
  <c r="BJ628" i="3"/>
  <c r="AU628" i="3"/>
  <c r="AV628" i="3"/>
  <c r="AJ628" i="3"/>
  <c r="AK628" i="3"/>
  <c r="AL628" i="3"/>
  <c r="AM628" i="3"/>
  <c r="AN628" i="3"/>
  <c r="AI628" i="3"/>
  <c r="AS628" i="3"/>
  <c r="AT631" i="3" s="1"/>
  <c r="AR628" i="3"/>
  <c r="AQ628" i="3"/>
  <c r="AP628" i="3"/>
  <c r="Y628" i="3"/>
  <c r="Z628" i="3"/>
  <c r="AA628" i="3"/>
  <c r="AB628" i="3"/>
  <c r="AC628" i="3"/>
  <c r="AD628" i="3"/>
  <c r="O628" i="3"/>
  <c r="E628" i="3"/>
  <c r="BD628" i="3" l="1"/>
  <c r="AX631" i="3"/>
  <c r="AW631" i="3"/>
  <c r="AW632" i="3"/>
  <c r="AX632" i="3"/>
  <c r="AZ627" i="3"/>
  <c r="BA627" i="3"/>
  <c r="AI627" i="3"/>
  <c r="BC627" i="3" s="1"/>
  <c r="AR627" i="3"/>
  <c r="AQ627" i="3"/>
  <c r="AP627" i="3"/>
  <c r="Y627" i="3"/>
  <c r="BB627" i="3" s="1"/>
  <c r="O627" i="3"/>
  <c r="E627" i="3"/>
  <c r="AS627" i="3" l="1"/>
  <c r="BD627" i="3"/>
  <c r="BC626" i="3"/>
  <c r="AP626" i="3"/>
  <c r="AQ626" i="3"/>
  <c r="AR626" i="3"/>
  <c r="AI626" i="3"/>
  <c r="Y626" i="3"/>
  <c r="BB626" i="3" s="1"/>
  <c r="O626" i="3"/>
  <c r="E626" i="3"/>
  <c r="AZ626" i="3" s="1"/>
  <c r="AT630" i="3" l="1"/>
  <c r="AT629" i="3"/>
  <c r="AT628" i="3"/>
  <c r="AS626" i="3"/>
  <c r="BA626" i="3"/>
  <c r="AZ625" i="3"/>
  <c r="BA625" i="3"/>
  <c r="BB625" i="3"/>
  <c r="BC625" i="3"/>
  <c r="AI625" i="3"/>
  <c r="AS625" i="3"/>
  <c r="BD625" i="3" s="1"/>
  <c r="AR625" i="3"/>
  <c r="AQ625" i="3"/>
  <c r="AP625" i="3"/>
  <c r="Y625" i="3"/>
  <c r="O625" i="3"/>
  <c r="P628" i="3" s="1"/>
  <c r="E625" i="3"/>
  <c r="F628" i="3" s="1"/>
  <c r="AW628" i="3" l="1"/>
  <c r="AX628" i="3"/>
  <c r="AW630" i="3"/>
  <c r="AX630" i="3"/>
  <c r="AW629" i="3"/>
  <c r="AX629" i="3"/>
  <c r="BD626" i="3"/>
  <c r="AZ624" i="3"/>
  <c r="BA624" i="3"/>
  <c r="AP624" i="3"/>
  <c r="AQ624" i="3"/>
  <c r="AR624" i="3"/>
  <c r="AI624" i="3"/>
  <c r="AJ627" i="3" s="1"/>
  <c r="Y624" i="3"/>
  <c r="Z627" i="3" s="1"/>
  <c r="O624" i="3"/>
  <c r="P627" i="3" s="1"/>
  <c r="E624" i="3"/>
  <c r="F627" i="3" l="1"/>
  <c r="BC624" i="3"/>
  <c r="AS624" i="3"/>
  <c r="BB624" i="3"/>
  <c r="BC623" i="3"/>
  <c r="AQ623" i="3"/>
  <c r="AI623" i="3"/>
  <c r="AJ626" i="3" s="1"/>
  <c r="AR623" i="3"/>
  <c r="AP623" i="3"/>
  <c r="Y623" i="3"/>
  <c r="Z626" i="3" s="1"/>
  <c r="O623" i="3"/>
  <c r="P626" i="3" s="1"/>
  <c r="BA623" i="3"/>
  <c r="E623" i="3"/>
  <c r="AS623" i="3" l="1"/>
  <c r="AT627" i="3"/>
  <c r="BD624" i="3"/>
  <c r="AZ623" i="3"/>
  <c r="F626" i="3"/>
  <c r="BB623" i="3"/>
  <c r="AZ622" i="3"/>
  <c r="BB622" i="3"/>
  <c r="BC622" i="3"/>
  <c r="AP622" i="3"/>
  <c r="AQ622" i="3"/>
  <c r="AR622" i="3"/>
  <c r="AI622" i="3"/>
  <c r="AJ625" i="3" s="1"/>
  <c r="Y622" i="3"/>
  <c r="Z625" i="3" s="1"/>
  <c r="O622" i="3"/>
  <c r="E622" i="3"/>
  <c r="F625" i="3" s="1"/>
  <c r="P625" i="3" l="1"/>
  <c r="AS622" i="3"/>
  <c r="BA622" i="3"/>
  <c r="AT626" i="3"/>
  <c r="BD623" i="3"/>
  <c r="AP621" i="3"/>
  <c r="AQ621" i="3"/>
  <c r="AR621" i="3"/>
  <c r="AI621" i="3"/>
  <c r="Y621" i="3"/>
  <c r="Z624" i="3" s="1"/>
  <c r="O621" i="3"/>
  <c r="P624" i="3" s="1"/>
  <c r="E621" i="3"/>
  <c r="F624" i="3" s="1"/>
  <c r="AS621" i="3" l="1"/>
  <c r="BB621" i="3"/>
  <c r="BA621" i="3"/>
  <c r="AJ624" i="3"/>
  <c r="AT625" i="3"/>
  <c r="BD622" i="3"/>
  <c r="BC621" i="3"/>
  <c r="AZ621" i="3"/>
  <c r="F13" i="1"/>
  <c r="BA620" i="3"/>
  <c r="AP620" i="3"/>
  <c r="AQ620" i="3"/>
  <c r="AR620" i="3"/>
  <c r="AI620" i="3"/>
  <c r="BC620" i="3" s="1"/>
  <c r="Y620" i="3"/>
  <c r="Z623" i="3" s="1"/>
  <c r="O620" i="3"/>
  <c r="P623" i="3" s="1"/>
  <c r="E620" i="3"/>
  <c r="AZ620" i="3" s="1"/>
  <c r="AT624" i="3" l="1"/>
  <c r="BD621" i="3"/>
  <c r="BB620" i="3"/>
  <c r="AJ623" i="3"/>
  <c r="F623" i="3"/>
  <c r="AS620" i="3"/>
  <c r="BA619" i="3"/>
  <c r="BC619" i="3"/>
  <c r="AP619" i="3"/>
  <c r="AQ619" i="3"/>
  <c r="AR619" i="3"/>
  <c r="AI619" i="3"/>
  <c r="Y619" i="3"/>
  <c r="Z622" i="3" s="1"/>
  <c r="O619" i="3"/>
  <c r="E619" i="3"/>
  <c r="F622" i="3" s="1"/>
  <c r="BB619" i="3" l="1"/>
  <c r="P622" i="3"/>
  <c r="AT623" i="3"/>
  <c r="BD620" i="3"/>
  <c r="AJ622" i="3"/>
  <c r="AZ619" i="3"/>
  <c r="AS619" i="3"/>
  <c r="AZ618" i="3"/>
  <c r="BB618" i="3"/>
  <c r="AP618" i="3"/>
  <c r="AQ618" i="3"/>
  <c r="AR618" i="3"/>
  <c r="AI618" i="3"/>
  <c r="AJ621" i="3" s="1"/>
  <c r="Y618" i="3"/>
  <c r="O618" i="3"/>
  <c r="P621" i="3" s="1"/>
  <c r="E618" i="3"/>
  <c r="AT622" i="3" l="1"/>
  <c r="BD619" i="3"/>
  <c r="BC618" i="3"/>
  <c r="BA618" i="3"/>
  <c r="F621" i="3"/>
  <c r="AS618" i="3"/>
  <c r="Z621" i="3"/>
  <c r="AR617" i="3"/>
  <c r="AI617" i="3"/>
  <c r="AJ620" i="3" s="1"/>
  <c r="AQ617" i="3"/>
  <c r="AP617" i="3"/>
  <c r="Y617" i="3"/>
  <c r="Z620" i="3" s="1"/>
  <c r="O617" i="3"/>
  <c r="E617" i="3"/>
  <c r="F620" i="3" s="1"/>
  <c r="AS617" i="3" l="1"/>
  <c r="P620" i="3"/>
  <c r="AT621" i="3"/>
  <c r="BD618" i="3"/>
  <c r="BA617" i="3"/>
  <c r="AZ617" i="3"/>
  <c r="BC617" i="3"/>
  <c r="BB617" i="3"/>
  <c r="BA616" i="3"/>
  <c r="BB616" i="3"/>
  <c r="AP616" i="3"/>
  <c r="AQ616" i="3"/>
  <c r="AR616" i="3"/>
  <c r="AI616" i="3"/>
  <c r="Y616" i="3"/>
  <c r="Z619" i="3" s="1"/>
  <c r="O616" i="3"/>
  <c r="P619" i="3" s="1"/>
  <c r="E616" i="3"/>
  <c r="AZ616" i="3" l="1"/>
  <c r="F619" i="3"/>
  <c r="AT620" i="3"/>
  <c r="BD617" i="3"/>
  <c r="BC616" i="3"/>
  <c r="AJ619" i="3"/>
  <c r="AS616" i="3"/>
  <c r="AT619" i="3" s="1"/>
  <c r="AI615" i="3"/>
  <c r="AJ618" i="3" s="1"/>
  <c r="AR615" i="3"/>
  <c r="AQ615" i="3"/>
  <c r="AP615" i="3"/>
  <c r="Y615" i="3"/>
  <c r="O615" i="3"/>
  <c r="E615" i="3"/>
  <c r="F618" i="3" s="1"/>
  <c r="AZ615" i="3" l="1"/>
  <c r="AS615" i="3"/>
  <c r="AT618" i="3" s="1"/>
  <c r="P618" i="3"/>
  <c r="BC615" i="3"/>
  <c r="BB615" i="3"/>
  <c r="Z618" i="3"/>
  <c r="BD615" i="3"/>
  <c r="BD616" i="3"/>
  <c r="BA615" i="3"/>
  <c r="BA614" i="3"/>
  <c r="BB614" i="3"/>
  <c r="AP614" i="3"/>
  <c r="AQ614" i="3"/>
  <c r="AR614" i="3"/>
  <c r="AI614" i="3"/>
  <c r="Y614" i="3"/>
  <c r="Z617" i="3" s="1"/>
  <c r="O614" i="3"/>
  <c r="P617" i="3" s="1"/>
  <c r="E614" i="3"/>
  <c r="F617" i="3" s="1"/>
  <c r="BC614" i="3" l="1"/>
  <c r="AJ617" i="3"/>
  <c r="AZ614" i="3"/>
  <c r="AS614" i="3"/>
  <c r="AT617" i="3" s="1"/>
  <c r="AI613" i="3"/>
  <c r="AR613" i="3"/>
  <c r="AQ613" i="3"/>
  <c r="AP613" i="3"/>
  <c r="Y613" i="3"/>
  <c r="Z616" i="3" s="1"/>
  <c r="O613" i="3"/>
  <c r="P616" i="3" s="1"/>
  <c r="E613" i="3"/>
  <c r="F616" i="3" s="1"/>
  <c r="BD614" i="3" l="1"/>
  <c r="BC613" i="3"/>
  <c r="AJ616" i="3"/>
  <c r="BB613" i="3"/>
  <c r="BA613" i="3"/>
  <c r="AZ613" i="3"/>
  <c r="AS613" i="3"/>
  <c r="AT616" i="3" s="1"/>
  <c r="AI612" i="3"/>
  <c r="AR612" i="3"/>
  <c r="AQ612" i="3"/>
  <c r="AP612" i="3"/>
  <c r="Y612" i="3"/>
  <c r="O612" i="3"/>
  <c r="E612" i="3"/>
  <c r="AZ612" i="3" l="1"/>
  <c r="F615" i="3"/>
  <c r="BA612" i="3"/>
  <c r="P615" i="3"/>
  <c r="BB612" i="3"/>
  <c r="Z615" i="3"/>
  <c r="BC612" i="3"/>
  <c r="AJ615" i="3"/>
  <c r="BD613" i="3"/>
  <c r="AS612" i="3"/>
  <c r="AT615" i="3" s="1"/>
  <c r="AP611" i="3"/>
  <c r="AQ611" i="3"/>
  <c r="AR611" i="3"/>
  <c r="AI611" i="3"/>
  <c r="AJ614" i="3" s="1"/>
  <c r="Y611" i="3"/>
  <c r="O611" i="3"/>
  <c r="E611" i="3"/>
  <c r="AZ611" i="3" l="1"/>
  <c r="F614" i="3"/>
  <c r="BA611" i="3"/>
  <c r="P614" i="3"/>
  <c r="BB611" i="3"/>
  <c r="Z614" i="3"/>
  <c r="BD612" i="3"/>
  <c r="AS611" i="3"/>
  <c r="AT614" i="3" s="1"/>
  <c r="BC611" i="3"/>
  <c r="AP610" i="3"/>
  <c r="AQ610" i="3"/>
  <c r="AR610" i="3"/>
  <c r="AI610" i="3"/>
  <c r="AJ613" i="3" s="1"/>
  <c r="Y610" i="3"/>
  <c r="Z613" i="3" s="1"/>
  <c r="O610" i="3"/>
  <c r="P613" i="3" s="1"/>
  <c r="E610" i="3"/>
  <c r="F613" i="3" s="1"/>
  <c r="BC610" i="3" l="1"/>
  <c r="AZ610" i="3"/>
  <c r="AS610" i="3"/>
  <c r="BB610" i="3"/>
  <c r="BA610" i="3"/>
  <c r="BD611" i="3"/>
  <c r="AR609" i="3"/>
  <c r="AI609" i="3"/>
  <c r="AJ612" i="3" s="1"/>
  <c r="AQ609" i="3"/>
  <c r="AP609" i="3"/>
  <c r="Y609" i="3"/>
  <c r="Z612" i="3" s="1"/>
  <c r="O609" i="3"/>
  <c r="E609" i="3"/>
  <c r="F612" i="3" s="1"/>
  <c r="BB609" i="3" l="1"/>
  <c r="AT613" i="3"/>
  <c r="BD610" i="3"/>
  <c r="P612" i="3"/>
  <c r="BA609" i="3"/>
  <c r="BC609" i="3"/>
  <c r="AZ609" i="3"/>
  <c r="AS609" i="3"/>
  <c r="AP608" i="3"/>
  <c r="AQ608" i="3"/>
  <c r="AR608" i="3"/>
  <c r="AI608" i="3"/>
  <c r="AJ611" i="3" s="1"/>
  <c r="Y608" i="3"/>
  <c r="Z611" i="3" s="1"/>
  <c r="O608" i="3"/>
  <c r="E608" i="3"/>
  <c r="F611" i="3" s="1"/>
  <c r="AZ608" i="3" l="1"/>
  <c r="P611" i="3"/>
  <c r="AS608" i="3"/>
  <c r="AT612" i="3"/>
  <c r="BD609" i="3"/>
  <c r="BC608" i="3"/>
  <c r="BB608" i="3"/>
  <c r="BA608" i="3"/>
  <c r="AP607" i="3"/>
  <c r="AQ607" i="3"/>
  <c r="AR607" i="3"/>
  <c r="AI607" i="3"/>
  <c r="AJ610" i="3" s="1"/>
  <c r="Y607" i="3"/>
  <c r="Z610" i="3" s="1"/>
  <c r="O607" i="3"/>
  <c r="P610" i="3" s="1"/>
  <c r="E607" i="3"/>
  <c r="F610" i="3" s="1"/>
  <c r="BA607" i="3" l="1"/>
  <c r="AZ607" i="3"/>
  <c r="BC607" i="3"/>
  <c r="AS607" i="3"/>
  <c r="BB607" i="3"/>
  <c r="AT611" i="3"/>
  <c r="BD608" i="3"/>
  <c r="BC606" i="3"/>
  <c r="AR606" i="3"/>
  <c r="AI606" i="3"/>
  <c r="AQ606" i="3"/>
  <c r="AP606" i="3"/>
  <c r="Y606" i="3"/>
  <c r="Z609" i="3" s="1"/>
  <c r="O606" i="3"/>
  <c r="P609" i="3" s="1"/>
  <c r="E606" i="3"/>
  <c r="F609" i="3" s="1"/>
  <c r="BB606" i="3" l="1"/>
  <c r="AT610" i="3"/>
  <c r="BD607" i="3"/>
  <c r="AJ609" i="3"/>
  <c r="AS606" i="3"/>
  <c r="BA606" i="3"/>
  <c r="AZ606" i="3"/>
  <c r="AZ605" i="3"/>
  <c r="AP605" i="3"/>
  <c r="AQ605" i="3"/>
  <c r="AR605" i="3"/>
  <c r="AI605" i="3"/>
  <c r="AJ608" i="3" s="1"/>
  <c r="Y605" i="3"/>
  <c r="Z608" i="3" s="1"/>
  <c r="O605" i="3"/>
  <c r="E605" i="3"/>
  <c r="F608" i="3" s="1"/>
  <c r="P608" i="3" l="1"/>
  <c r="AT609" i="3"/>
  <c r="BD606" i="3"/>
  <c r="AS605" i="3"/>
  <c r="BC605" i="3"/>
  <c r="BB605" i="3"/>
  <c r="BA605" i="3"/>
  <c r="AP604" i="3"/>
  <c r="AQ604" i="3"/>
  <c r="AR604" i="3"/>
  <c r="AI604" i="3"/>
  <c r="AJ607" i="3" s="1"/>
  <c r="Y604" i="3"/>
  <c r="Z607" i="3" s="1"/>
  <c r="O604" i="3"/>
  <c r="P607" i="3" s="1"/>
  <c r="E604" i="3"/>
  <c r="F607" i="3" s="1"/>
  <c r="E602" i="3"/>
  <c r="O602" i="3"/>
  <c r="Y602" i="3"/>
  <c r="AI602" i="3"/>
  <c r="AP602" i="3"/>
  <c r="AQ602" i="3"/>
  <c r="AR602" i="3"/>
  <c r="E603" i="3"/>
  <c r="F606" i="3" s="1"/>
  <c r="O603" i="3"/>
  <c r="Y603" i="3"/>
  <c r="AI603" i="3"/>
  <c r="AP603" i="3"/>
  <c r="AQ603" i="3"/>
  <c r="AR603" i="3"/>
  <c r="Z605" i="3" l="1"/>
  <c r="BC604" i="3"/>
  <c r="AZ604" i="3"/>
  <c r="AJ605" i="3"/>
  <c r="AS604" i="3"/>
  <c r="BB604" i="3"/>
  <c r="P606" i="3"/>
  <c r="BA604" i="3"/>
  <c r="AJ606" i="3"/>
  <c r="AT608" i="3"/>
  <c r="BD605" i="3"/>
  <c r="AS603" i="3"/>
  <c r="BD603" i="3" s="1"/>
  <c r="Z606" i="3"/>
  <c r="P605" i="3"/>
  <c r="F605" i="3"/>
  <c r="AS602" i="3"/>
  <c r="AZ603" i="3"/>
  <c r="BA603" i="3"/>
  <c r="BB603" i="3"/>
  <c r="BC603" i="3"/>
  <c r="AT606" i="3" l="1"/>
  <c r="AT607" i="3"/>
  <c r="BD604" i="3"/>
  <c r="AT605" i="3"/>
  <c r="AZ602" i="3"/>
  <c r="BA602" i="3"/>
  <c r="BB602" i="3"/>
  <c r="BC602" i="3"/>
  <c r="BD602" i="3"/>
  <c r="AI601" i="3" l="1"/>
  <c r="BC601" i="3" s="1"/>
  <c r="AR601" i="3"/>
  <c r="AQ601" i="3"/>
  <c r="AP601" i="3"/>
  <c r="Y601" i="3"/>
  <c r="O601" i="3"/>
  <c r="BA601" i="3" s="1"/>
  <c r="E601" i="3"/>
  <c r="F604" i="3" s="1"/>
  <c r="AZ601" i="3" l="1"/>
  <c r="P604" i="3"/>
  <c r="Z604" i="3"/>
  <c r="BB601" i="3"/>
  <c r="AS601" i="3"/>
  <c r="AJ604" i="3"/>
  <c r="AP600" i="3"/>
  <c r="AQ600" i="3"/>
  <c r="AR600" i="3"/>
  <c r="AI600" i="3"/>
  <c r="AJ603" i="3" s="1"/>
  <c r="Y600" i="3"/>
  <c r="BB600" i="3" s="1"/>
  <c r="O600" i="3"/>
  <c r="E600" i="3"/>
  <c r="AS600" i="3" l="1"/>
  <c r="BD600" i="3" s="1"/>
  <c r="AZ600" i="3"/>
  <c r="F603" i="3"/>
  <c r="BC600" i="3"/>
  <c r="P603" i="3"/>
  <c r="BA600" i="3"/>
  <c r="AT604" i="3"/>
  <c r="BD601" i="3"/>
  <c r="Z603" i="3"/>
  <c r="AT603" i="3"/>
  <c r="AR599" i="3"/>
  <c r="AI599" i="3"/>
  <c r="AQ599" i="3"/>
  <c r="AP599" i="3"/>
  <c r="Y599" i="3"/>
  <c r="Z602" i="3" s="1"/>
  <c r="O599" i="3"/>
  <c r="P602" i="3" s="1"/>
  <c r="E599" i="3"/>
  <c r="F602" i="3" s="1"/>
  <c r="BB599" i="3" l="1"/>
  <c r="AZ599" i="3"/>
  <c r="AJ602" i="3"/>
  <c r="BC599" i="3"/>
  <c r="AS599" i="3"/>
  <c r="BA599" i="3"/>
  <c r="AP598" i="3"/>
  <c r="AQ598" i="3"/>
  <c r="AR598" i="3"/>
  <c r="AI598" i="3"/>
  <c r="AJ601" i="3" s="1"/>
  <c r="Y598" i="3"/>
  <c r="Z601" i="3" s="1"/>
  <c r="O598" i="3"/>
  <c r="P601" i="3" s="1"/>
  <c r="E598" i="3"/>
  <c r="F601" i="3" s="1"/>
  <c r="AZ598" i="3" l="1"/>
  <c r="BA598" i="3"/>
  <c r="BC598" i="3"/>
  <c r="AT602" i="3"/>
  <c r="BD599" i="3"/>
  <c r="AS598" i="3"/>
  <c r="BB598" i="3"/>
  <c r="AR597" i="3"/>
  <c r="AI597" i="3"/>
  <c r="AJ600" i="3" s="1"/>
  <c r="AQ597" i="3"/>
  <c r="AP597" i="3"/>
  <c r="Y597" i="3"/>
  <c r="O597" i="3"/>
  <c r="P600" i="3" s="1"/>
  <c r="E597" i="3"/>
  <c r="F600" i="3" s="1"/>
  <c r="BC597" i="3" l="1"/>
  <c r="Z600" i="3"/>
  <c r="BB597" i="3"/>
  <c r="AZ597" i="3"/>
  <c r="AS597" i="3"/>
  <c r="BA597" i="3"/>
  <c r="AT601" i="3"/>
  <c r="BD598" i="3"/>
  <c r="AP596" i="3"/>
  <c r="AQ596" i="3"/>
  <c r="AR596" i="3"/>
  <c r="AI596" i="3"/>
  <c r="AJ599" i="3" s="1"/>
  <c r="Y596" i="3"/>
  <c r="Z599" i="3" s="1"/>
  <c r="O596" i="3"/>
  <c r="BA596" i="3" s="1"/>
  <c r="E596" i="3"/>
  <c r="F599" i="3" s="1"/>
  <c r="AZ596" i="3" l="1"/>
  <c r="BC596" i="3"/>
  <c r="AT600" i="3"/>
  <c r="BD597" i="3"/>
  <c r="P599" i="3"/>
  <c r="BB596" i="3"/>
  <c r="AS596" i="3"/>
  <c r="AI595" i="3"/>
  <c r="AR595" i="3"/>
  <c r="AQ595" i="3"/>
  <c r="AP595" i="3"/>
  <c r="Y595" i="3"/>
  <c r="Z598" i="3" s="1"/>
  <c r="O595" i="3"/>
  <c r="E595" i="3"/>
  <c r="AZ595" i="3" s="1"/>
  <c r="BB595" i="3" l="1"/>
  <c r="AS595" i="3"/>
  <c r="AJ598" i="3"/>
  <c r="BC595" i="3"/>
  <c r="P598" i="3"/>
  <c r="BA595" i="3"/>
  <c r="AT599" i="3"/>
  <c r="BD596" i="3"/>
  <c r="F598" i="3"/>
  <c r="AR594" i="3"/>
  <c r="AI594" i="3"/>
  <c r="AJ597" i="3" s="1"/>
  <c r="AQ594" i="3"/>
  <c r="AP594" i="3"/>
  <c r="Y594" i="3"/>
  <c r="Z597" i="3" s="1"/>
  <c r="O594" i="3"/>
  <c r="P597" i="3" s="1"/>
  <c r="E594" i="3"/>
  <c r="F597" i="3" s="1"/>
  <c r="BB594" i="3" l="1"/>
  <c r="AS594" i="3"/>
  <c r="AT597" i="3" s="1"/>
  <c r="BA594" i="3"/>
  <c r="BC594" i="3"/>
  <c r="AZ594" i="3"/>
  <c r="AT598" i="3"/>
  <c r="BD595" i="3"/>
  <c r="BA593" i="3"/>
  <c r="AI593" i="3"/>
  <c r="AJ596" i="3" s="1"/>
  <c r="AR593" i="3"/>
  <c r="AQ593" i="3"/>
  <c r="AP593" i="3"/>
  <c r="Y593" i="3"/>
  <c r="Z596" i="3" s="1"/>
  <c r="O593" i="3"/>
  <c r="P596" i="3" s="1"/>
  <c r="E593" i="3"/>
  <c r="AZ593" i="3" s="1"/>
  <c r="BD594" i="3" l="1"/>
  <c r="BC593" i="3"/>
  <c r="F596" i="3"/>
  <c r="BB593" i="3"/>
  <c r="AS593" i="3"/>
  <c r="AP592" i="3"/>
  <c r="AQ592" i="3"/>
  <c r="AR592" i="3"/>
  <c r="AI592" i="3"/>
  <c r="AJ595" i="3" s="1"/>
  <c r="Y592" i="3"/>
  <c r="O592" i="3"/>
  <c r="E592" i="3"/>
  <c r="AZ592" i="3" s="1"/>
  <c r="P595" i="3" l="1"/>
  <c r="F595" i="3"/>
  <c r="AT596" i="3"/>
  <c r="BD593" i="3"/>
  <c r="Z595" i="3"/>
  <c r="AS592" i="3"/>
  <c r="BC592" i="3"/>
  <c r="BB592" i="3"/>
  <c r="BA592" i="3"/>
  <c r="AR591" i="3"/>
  <c r="AI591" i="3"/>
  <c r="AJ594" i="3" s="1"/>
  <c r="AQ591" i="3"/>
  <c r="AP591" i="3"/>
  <c r="Y591" i="3"/>
  <c r="Z594" i="3" s="1"/>
  <c r="O591" i="3"/>
  <c r="P594" i="3" s="1"/>
  <c r="E591" i="3"/>
  <c r="BA591" i="3" l="1"/>
  <c r="AZ591" i="3"/>
  <c r="F594" i="3"/>
  <c r="AT595" i="3"/>
  <c r="BD592" i="3"/>
  <c r="BC591" i="3"/>
  <c r="AS591" i="3"/>
  <c r="AT594" i="3" s="1"/>
  <c r="BB591" i="3"/>
  <c r="AR590" i="3"/>
  <c r="AI590" i="3"/>
  <c r="AJ593" i="3" s="1"/>
  <c r="AQ590" i="3"/>
  <c r="AP590" i="3"/>
  <c r="Y590" i="3"/>
  <c r="Z593" i="3" s="1"/>
  <c r="O590" i="3"/>
  <c r="P593" i="3" s="1"/>
  <c r="E590" i="3"/>
  <c r="AZ590" i="3" l="1"/>
  <c r="F593" i="3"/>
  <c r="BB590" i="3"/>
  <c r="BD591" i="3"/>
  <c r="BC590" i="3"/>
  <c r="BA590" i="3"/>
  <c r="AS590" i="3"/>
  <c r="AT593" i="3" s="1"/>
  <c r="AI589" i="3"/>
  <c r="AJ592" i="3" s="1"/>
  <c r="AR589" i="3"/>
  <c r="AQ589" i="3"/>
  <c r="AP589" i="3"/>
  <c r="Y589" i="3"/>
  <c r="Z592" i="3" s="1"/>
  <c r="O589" i="3"/>
  <c r="P592" i="3" s="1"/>
  <c r="E589" i="3"/>
  <c r="F592" i="3" s="1"/>
  <c r="BC589" i="3" l="1"/>
  <c r="BD590" i="3"/>
  <c r="BB589" i="3"/>
  <c r="BA589" i="3"/>
  <c r="AS589" i="3"/>
  <c r="AT592" i="3" s="1"/>
  <c r="AZ589" i="3"/>
  <c r="AP588" i="3"/>
  <c r="AQ588" i="3"/>
  <c r="AR588" i="3"/>
  <c r="AI588" i="3"/>
  <c r="AJ591" i="3" s="1"/>
  <c r="Y588" i="3"/>
  <c r="Z591" i="3" s="1"/>
  <c r="O588" i="3"/>
  <c r="P591" i="3" s="1"/>
  <c r="E588" i="3"/>
  <c r="F591" i="3" s="1"/>
  <c r="AS588" i="3" l="1"/>
  <c r="BC588" i="3"/>
  <c r="BB588" i="3"/>
  <c r="BA588" i="3"/>
  <c r="AZ588" i="3"/>
  <c r="BD589" i="3"/>
  <c r="AT591" i="3" l="1"/>
  <c r="BD588" i="3"/>
  <c r="AI587" i="3"/>
  <c r="AJ590" i="3" s="1"/>
  <c r="AR587" i="3"/>
  <c r="AQ587" i="3"/>
  <c r="AP587" i="3"/>
  <c r="Y587" i="3"/>
  <c r="Z590" i="3" s="1"/>
  <c r="O587" i="3"/>
  <c r="E587" i="3"/>
  <c r="F590" i="3" s="1"/>
  <c r="BC587" i="3" l="1"/>
  <c r="BB587" i="3"/>
  <c r="P590" i="3"/>
  <c r="AS587" i="3"/>
  <c r="BA587" i="3"/>
  <c r="AZ587" i="3"/>
  <c r="AP586" i="3"/>
  <c r="AQ586" i="3"/>
  <c r="AR586" i="3"/>
  <c r="AI586" i="3"/>
  <c r="Y586" i="3"/>
  <c r="Z589" i="3" s="1"/>
  <c r="O586" i="3"/>
  <c r="P589" i="3" s="1"/>
  <c r="E586" i="3"/>
  <c r="F589" i="3" s="1"/>
  <c r="BA586" i="3" l="1"/>
  <c r="AZ586" i="3"/>
  <c r="AJ589" i="3"/>
  <c r="BC586" i="3"/>
  <c r="AT590" i="3"/>
  <c r="BD587" i="3"/>
  <c r="AS586" i="3"/>
  <c r="BB586" i="3"/>
  <c r="BJ585" i="3"/>
  <c r="BJ586" i="3" s="1"/>
  <c r="BJ587" i="3" s="1"/>
  <c r="BJ588" i="3" s="1"/>
  <c r="BJ589" i="3" s="1"/>
  <c r="BJ590" i="3" s="1"/>
  <c r="BJ591" i="3" s="1"/>
  <c r="BJ592" i="3" s="1"/>
  <c r="BJ593" i="3" s="1"/>
  <c r="BJ594" i="3" s="1"/>
  <c r="BJ595" i="3" s="1"/>
  <c r="BJ596" i="3" s="1"/>
  <c r="BJ597" i="3" s="1"/>
  <c r="BJ598" i="3" s="1"/>
  <c r="BJ599" i="3" s="1"/>
  <c r="BJ600" i="3" s="1"/>
  <c r="BJ601" i="3" s="1"/>
  <c r="BJ602" i="3" s="1"/>
  <c r="BJ603" i="3" s="1"/>
  <c r="BJ604" i="3" s="1"/>
  <c r="BJ605" i="3" s="1"/>
  <c r="BJ606" i="3" s="1"/>
  <c r="BJ607" i="3" s="1"/>
  <c r="BJ608" i="3" s="1"/>
  <c r="BJ609" i="3" s="1"/>
  <c r="BJ610" i="3" s="1"/>
  <c r="BJ611" i="3" s="1"/>
  <c r="BJ612" i="3" s="1"/>
  <c r="BJ613" i="3" s="1"/>
  <c r="BJ614" i="3" s="1"/>
  <c r="BJ615" i="3" s="1"/>
  <c r="BJ616" i="3" s="1"/>
  <c r="BJ617" i="3" s="1"/>
  <c r="BJ618" i="3" s="1"/>
  <c r="BJ619" i="3" s="1"/>
  <c r="BJ620" i="3" s="1"/>
  <c r="BJ621" i="3" s="1"/>
  <c r="BJ622" i="3" s="1"/>
  <c r="BJ623" i="3" s="1"/>
  <c r="BJ624" i="3" s="1"/>
  <c r="BJ625" i="3" s="1"/>
  <c r="BJ626" i="3" s="1"/>
  <c r="BJ627" i="3" s="1"/>
  <c r="AP585" i="3"/>
  <c r="AQ585" i="3"/>
  <c r="AR585" i="3"/>
  <c r="AI585" i="3"/>
  <c r="Y585" i="3"/>
  <c r="Z588" i="3" s="1"/>
  <c r="O585" i="3"/>
  <c r="P588" i="3" s="1"/>
  <c r="E585" i="3"/>
  <c r="F588" i="3" s="1"/>
  <c r="BB585" i="3" l="1"/>
  <c r="AJ588" i="3"/>
  <c r="AZ585" i="3"/>
  <c r="BC585" i="3"/>
  <c r="AT589" i="3"/>
  <c r="BD586" i="3"/>
  <c r="BA585" i="3"/>
  <c r="AS585" i="3"/>
  <c r="BD585" i="3" s="1"/>
  <c r="AQ584" i="3"/>
  <c r="AR584" i="3"/>
  <c r="AI584" i="3"/>
  <c r="AP584" i="3"/>
  <c r="Y584" i="3"/>
  <c r="Z587" i="3" s="1"/>
  <c r="O584" i="3"/>
  <c r="BA584" i="3" s="1"/>
  <c r="BF584" i="3" s="1"/>
  <c r="BF585" i="3" s="1"/>
  <c r="BF586" i="3" s="1"/>
  <c r="BF587" i="3" s="1"/>
  <c r="BF588" i="3" s="1"/>
  <c r="BF589" i="3" s="1"/>
  <c r="BF590" i="3" s="1"/>
  <c r="BF591" i="3" s="1"/>
  <c r="BF592" i="3" s="1"/>
  <c r="BF593" i="3" s="1"/>
  <c r="BF594" i="3" s="1"/>
  <c r="BF595" i="3" s="1"/>
  <c r="BF596" i="3" s="1"/>
  <c r="BF597" i="3" s="1"/>
  <c r="BF598" i="3" s="1"/>
  <c r="BF599" i="3" s="1"/>
  <c r="BF600" i="3" s="1"/>
  <c r="BF601" i="3" s="1"/>
  <c r="BF602" i="3" s="1"/>
  <c r="BF603" i="3" s="1"/>
  <c r="BF604" i="3" s="1"/>
  <c r="BF605" i="3" s="1"/>
  <c r="BF606" i="3" s="1"/>
  <c r="BF607" i="3" s="1"/>
  <c r="BF608" i="3" s="1"/>
  <c r="BF609" i="3" s="1"/>
  <c r="BF610" i="3" s="1"/>
  <c r="BF611" i="3" s="1"/>
  <c r="BF612" i="3" s="1"/>
  <c r="BF613" i="3" s="1"/>
  <c r="BF614" i="3" s="1"/>
  <c r="BF615" i="3" s="1"/>
  <c r="E584" i="3"/>
  <c r="F587" i="3" s="1"/>
  <c r="BF616" i="3" l="1"/>
  <c r="BF617" i="3" s="1"/>
  <c r="BF618" i="3" s="1"/>
  <c r="BF619" i="3" s="1"/>
  <c r="BF620" i="3" s="1"/>
  <c r="BF621" i="3" s="1"/>
  <c r="BF622" i="3" s="1"/>
  <c r="BF623" i="3" s="1"/>
  <c r="BF624" i="3" s="1"/>
  <c r="BF625" i="3" s="1"/>
  <c r="BF626" i="3" s="1"/>
  <c r="BF627" i="3" s="1"/>
  <c r="AS584" i="3"/>
  <c r="AT587" i="3" s="1"/>
  <c r="BB584" i="3"/>
  <c r="BG584" i="3" s="1"/>
  <c r="BG585" i="3" s="1"/>
  <c r="BG586" i="3" s="1"/>
  <c r="BG587" i="3" s="1"/>
  <c r="BG588" i="3" s="1"/>
  <c r="BG589" i="3" s="1"/>
  <c r="BG590" i="3" s="1"/>
  <c r="BG591" i="3" s="1"/>
  <c r="BG592" i="3" s="1"/>
  <c r="BG593" i="3" s="1"/>
  <c r="BG594" i="3" s="1"/>
  <c r="BG595" i="3" s="1"/>
  <c r="BG596" i="3" s="1"/>
  <c r="BG597" i="3" s="1"/>
  <c r="BG598" i="3" s="1"/>
  <c r="BG599" i="3" s="1"/>
  <c r="BG600" i="3" s="1"/>
  <c r="BG601" i="3" s="1"/>
  <c r="BG602" i="3" s="1"/>
  <c r="BG603" i="3" s="1"/>
  <c r="BG604" i="3" s="1"/>
  <c r="BG605" i="3" s="1"/>
  <c r="BG606" i="3" s="1"/>
  <c r="BG607" i="3" s="1"/>
  <c r="BG608" i="3" s="1"/>
  <c r="BG609" i="3" s="1"/>
  <c r="BG610" i="3" s="1"/>
  <c r="BG611" i="3" s="1"/>
  <c r="BG612" i="3" s="1"/>
  <c r="BG613" i="3" s="1"/>
  <c r="BG614" i="3" s="1"/>
  <c r="BG615" i="3" s="1"/>
  <c r="AZ584" i="3"/>
  <c r="BE584" i="3" s="1"/>
  <c r="BE585" i="3" s="1"/>
  <c r="BE586" i="3" s="1"/>
  <c r="BE587" i="3" s="1"/>
  <c r="BE588" i="3" s="1"/>
  <c r="BE589" i="3" s="1"/>
  <c r="BE590" i="3" s="1"/>
  <c r="BE591" i="3" s="1"/>
  <c r="BE592" i="3" s="1"/>
  <c r="BE593" i="3" s="1"/>
  <c r="BE594" i="3" s="1"/>
  <c r="BE595" i="3" s="1"/>
  <c r="BE596" i="3" s="1"/>
  <c r="BE597" i="3" s="1"/>
  <c r="BE598" i="3" s="1"/>
  <c r="BE599" i="3" s="1"/>
  <c r="BE600" i="3" s="1"/>
  <c r="BE601" i="3" s="1"/>
  <c r="BE602" i="3" s="1"/>
  <c r="BE603" i="3" s="1"/>
  <c r="BE604" i="3" s="1"/>
  <c r="BE605" i="3" s="1"/>
  <c r="BE606" i="3" s="1"/>
  <c r="BE607" i="3" s="1"/>
  <c r="BE608" i="3" s="1"/>
  <c r="BE609" i="3" s="1"/>
  <c r="BE610" i="3" s="1"/>
  <c r="BE611" i="3" s="1"/>
  <c r="BE612" i="3" s="1"/>
  <c r="BE613" i="3" s="1"/>
  <c r="BE614" i="3" s="1"/>
  <c r="BE615" i="3" s="1"/>
  <c r="P587" i="3"/>
  <c r="BD584" i="3"/>
  <c r="BI584" i="3" s="1"/>
  <c r="BI585" i="3" s="1"/>
  <c r="BI586" i="3" s="1"/>
  <c r="BI587" i="3" s="1"/>
  <c r="BI588" i="3" s="1"/>
  <c r="BI589" i="3" s="1"/>
  <c r="BI590" i="3" s="1"/>
  <c r="BI591" i="3" s="1"/>
  <c r="BI592" i="3" s="1"/>
  <c r="BI593" i="3" s="1"/>
  <c r="BI594" i="3" s="1"/>
  <c r="BI595" i="3" s="1"/>
  <c r="BI596" i="3" s="1"/>
  <c r="BI597" i="3" s="1"/>
  <c r="BI598" i="3" s="1"/>
  <c r="BI599" i="3" s="1"/>
  <c r="BI600" i="3" s="1"/>
  <c r="BI601" i="3" s="1"/>
  <c r="BI602" i="3" s="1"/>
  <c r="BI603" i="3" s="1"/>
  <c r="BI604" i="3" s="1"/>
  <c r="BI605" i="3" s="1"/>
  <c r="BI606" i="3" s="1"/>
  <c r="BI607" i="3" s="1"/>
  <c r="BI608" i="3" s="1"/>
  <c r="BI609" i="3" s="1"/>
  <c r="BI610" i="3" s="1"/>
  <c r="BI611" i="3" s="1"/>
  <c r="BI612" i="3" s="1"/>
  <c r="BI613" i="3" s="1"/>
  <c r="BI614" i="3" s="1"/>
  <c r="BI615" i="3" s="1"/>
  <c r="AJ587" i="3"/>
  <c r="BC584" i="3"/>
  <c r="BH584" i="3" s="1"/>
  <c r="BH585" i="3" s="1"/>
  <c r="BH586" i="3" s="1"/>
  <c r="BH587" i="3" s="1"/>
  <c r="BH588" i="3" s="1"/>
  <c r="BH589" i="3" s="1"/>
  <c r="BH590" i="3" s="1"/>
  <c r="BH591" i="3" s="1"/>
  <c r="BH592" i="3" s="1"/>
  <c r="BH593" i="3" s="1"/>
  <c r="BH594" i="3" s="1"/>
  <c r="BH595" i="3" s="1"/>
  <c r="BH596" i="3" s="1"/>
  <c r="BH597" i="3" s="1"/>
  <c r="BH598" i="3" s="1"/>
  <c r="BH599" i="3" s="1"/>
  <c r="BH600" i="3" s="1"/>
  <c r="BH601" i="3" s="1"/>
  <c r="BH602" i="3" s="1"/>
  <c r="BH603" i="3" s="1"/>
  <c r="BH604" i="3" s="1"/>
  <c r="BH605" i="3" s="1"/>
  <c r="BH606" i="3" s="1"/>
  <c r="BH607" i="3" s="1"/>
  <c r="BH608" i="3" s="1"/>
  <c r="BH609" i="3" s="1"/>
  <c r="BH610" i="3" s="1"/>
  <c r="BH611" i="3" s="1"/>
  <c r="BH612" i="3" s="1"/>
  <c r="BH613" i="3" s="1"/>
  <c r="BH614" i="3" s="1"/>
  <c r="BH615" i="3" s="1"/>
  <c r="AT588" i="3"/>
  <c r="AP583" i="3"/>
  <c r="AQ583" i="3"/>
  <c r="AR583" i="3"/>
  <c r="AI583" i="3"/>
  <c r="AJ586" i="3" s="1"/>
  <c r="Y583" i="3"/>
  <c r="O583" i="3"/>
  <c r="P586" i="3" s="1"/>
  <c r="E583" i="3"/>
  <c r="BI616" i="3" l="1"/>
  <c r="BI617" i="3" s="1"/>
  <c r="BI618" i="3" s="1"/>
  <c r="BI619" i="3" s="1"/>
  <c r="BI620" i="3" s="1"/>
  <c r="BI621" i="3" s="1"/>
  <c r="BI622" i="3" s="1"/>
  <c r="BI623" i="3" s="1"/>
  <c r="BI624" i="3" s="1"/>
  <c r="BI625" i="3" s="1"/>
  <c r="BI626" i="3" s="1"/>
  <c r="BI627" i="3" s="1"/>
  <c r="BI628" i="3" s="1"/>
  <c r="BI629" i="3" s="1"/>
  <c r="BI630" i="3" s="1"/>
  <c r="BI631" i="3" s="1"/>
  <c r="BI632" i="3" s="1"/>
  <c r="BG616" i="3"/>
  <c r="BG617" i="3" s="1"/>
  <c r="BG618" i="3" s="1"/>
  <c r="BG619" i="3" s="1"/>
  <c r="BG620" i="3" s="1"/>
  <c r="BG621" i="3" s="1"/>
  <c r="BG622" i="3" s="1"/>
  <c r="BG623" i="3" s="1"/>
  <c r="BG624" i="3" s="1"/>
  <c r="BG625" i="3" s="1"/>
  <c r="BG626" i="3" s="1"/>
  <c r="BG627" i="3" s="1"/>
  <c r="BE616" i="3"/>
  <c r="BE617" i="3" s="1"/>
  <c r="BE618" i="3" s="1"/>
  <c r="BE619" i="3" s="1"/>
  <c r="BE620" i="3" s="1"/>
  <c r="BE621" i="3" s="1"/>
  <c r="BE622" i="3" s="1"/>
  <c r="BE623" i="3" s="1"/>
  <c r="BE624" i="3" s="1"/>
  <c r="BE625" i="3" s="1"/>
  <c r="BE626" i="3" s="1"/>
  <c r="BE627" i="3" s="1"/>
  <c r="BH616" i="3"/>
  <c r="BH617" i="3" s="1"/>
  <c r="BH618" i="3" s="1"/>
  <c r="BH619" i="3" s="1"/>
  <c r="BH620" i="3" s="1"/>
  <c r="BH621" i="3" s="1"/>
  <c r="BH622" i="3" s="1"/>
  <c r="BH623" i="3" s="1"/>
  <c r="BH624" i="3" s="1"/>
  <c r="BH625" i="3" s="1"/>
  <c r="BH626" i="3" s="1"/>
  <c r="BH627" i="3" s="1"/>
  <c r="BA583" i="3"/>
  <c r="F586" i="3"/>
  <c r="AZ583" i="3"/>
  <c r="Z586" i="3"/>
  <c r="AS583" i="3"/>
  <c r="BC583" i="3"/>
  <c r="BB583" i="3"/>
  <c r="AT586" i="3" l="1"/>
  <c r="BD583" i="3"/>
  <c r="F6" i="1"/>
  <c r="F7" i="1"/>
  <c r="F8" i="1"/>
  <c r="F9" i="1"/>
  <c r="F5" i="1"/>
  <c r="AP582" i="3"/>
  <c r="AQ582" i="3"/>
  <c r="AR582" i="3"/>
  <c r="AI582" i="3"/>
  <c r="AJ585" i="3" s="1"/>
  <c r="Y582" i="3"/>
  <c r="Z585" i="3" s="1"/>
  <c r="O582" i="3"/>
  <c r="E582" i="3"/>
  <c r="F585" i="3" s="1"/>
  <c r="AZ582" i="3" l="1"/>
  <c r="AS582" i="3"/>
  <c r="BC582" i="3"/>
  <c r="BB582" i="3"/>
  <c r="P585" i="3"/>
  <c r="BA582" i="3"/>
  <c r="F11" i="1"/>
  <c r="F10" i="1"/>
  <c r="AT585" i="3" l="1"/>
  <c r="BD582" i="3"/>
  <c r="AI581" i="3"/>
  <c r="BJ581" i="3"/>
  <c r="BJ582" i="3" s="1"/>
  <c r="BJ583" i="3" s="1"/>
  <c r="AR581" i="3"/>
  <c r="AQ581" i="3"/>
  <c r="AP581" i="3"/>
  <c r="Y581" i="3"/>
  <c r="O581" i="3"/>
  <c r="E581" i="3"/>
  <c r="AJ584" i="3" l="1"/>
  <c r="F584" i="3"/>
  <c r="P584" i="3"/>
  <c r="Z584" i="3"/>
  <c r="BA581" i="3"/>
  <c r="BB581" i="3"/>
  <c r="AZ581" i="3"/>
  <c r="BC581" i="3"/>
  <c r="AS581" i="3"/>
  <c r="AT584" i="3" s="1"/>
  <c r="AQ580" i="3"/>
  <c r="AI580" i="3"/>
  <c r="AJ583" i="3" s="1"/>
  <c r="Y580" i="3"/>
  <c r="Z583" i="3" s="1"/>
  <c r="O580" i="3"/>
  <c r="P583" i="3" s="1"/>
  <c r="AP580" i="3"/>
  <c r="AR580" i="3"/>
  <c r="E580" i="3"/>
  <c r="F583" i="3" l="1"/>
  <c r="BB580" i="3"/>
  <c r="AS580" i="3"/>
  <c r="BD581" i="3"/>
  <c r="AZ580" i="3"/>
  <c r="BA580" i="3"/>
  <c r="BC580" i="3"/>
  <c r="BC579" i="3"/>
  <c r="AP579" i="3"/>
  <c r="AQ579" i="3"/>
  <c r="AR579" i="3"/>
  <c r="AI579" i="3"/>
  <c r="AJ582" i="3" s="1"/>
  <c r="Y579" i="3"/>
  <c r="O579" i="3"/>
  <c r="E579" i="3"/>
  <c r="AZ579" i="3" l="1"/>
  <c r="F582" i="3"/>
  <c r="BB579" i="3"/>
  <c r="Z582" i="3"/>
  <c r="BA579" i="3"/>
  <c r="P582" i="3"/>
  <c r="BD580" i="3"/>
  <c r="AT583" i="3"/>
  <c r="AS579" i="3"/>
  <c r="AT582" i="3" s="1"/>
  <c r="AQ578" i="3"/>
  <c r="AI578" i="3"/>
  <c r="AR578" i="3"/>
  <c r="AP578" i="3"/>
  <c r="Y578" i="3"/>
  <c r="Z581" i="3" s="1"/>
  <c r="O578" i="3"/>
  <c r="P581" i="3" s="1"/>
  <c r="E578" i="3"/>
  <c r="F581" i="3" s="1"/>
  <c r="BA578" i="3" l="1"/>
  <c r="BC578" i="3"/>
  <c r="AJ581" i="3"/>
  <c r="BB578" i="3"/>
  <c r="AS578" i="3"/>
  <c r="AT581" i="3" s="1"/>
  <c r="AZ578" i="3"/>
  <c r="BD579" i="3"/>
  <c r="AQ577" i="3"/>
  <c r="AR577" i="3"/>
  <c r="AI577" i="3"/>
  <c r="AP577" i="3"/>
  <c r="Y577" i="3"/>
  <c r="Z580" i="3" s="1"/>
  <c r="O577" i="3"/>
  <c r="P580" i="3" s="1"/>
  <c r="E577" i="3"/>
  <c r="F580" i="3" s="1"/>
  <c r="BB577" i="3" l="1"/>
  <c r="BC577" i="3"/>
  <c r="AJ580" i="3"/>
  <c r="AS577" i="3"/>
  <c r="AT580" i="3" s="1"/>
  <c r="BA577" i="3"/>
  <c r="BD578" i="3"/>
  <c r="AZ577" i="3"/>
  <c r="AP576" i="3"/>
  <c r="AQ576" i="3"/>
  <c r="AR576" i="3"/>
  <c r="AI576" i="3"/>
  <c r="AJ579" i="3" s="1"/>
  <c r="Y576" i="3"/>
  <c r="BB576" i="3" s="1"/>
  <c r="O576" i="3"/>
  <c r="R628" i="3" s="1"/>
  <c r="E576" i="3"/>
  <c r="H628" i="3" s="1"/>
  <c r="BC576" i="3" l="1"/>
  <c r="BD577" i="3"/>
  <c r="F579" i="3"/>
  <c r="AS576" i="3"/>
  <c r="P579" i="3"/>
  <c r="AZ576" i="3"/>
  <c r="Z579" i="3"/>
  <c r="BA576" i="3"/>
  <c r="AP575" i="3"/>
  <c r="AQ575" i="3"/>
  <c r="AR575" i="3"/>
  <c r="AI575" i="3"/>
  <c r="Y575" i="3"/>
  <c r="O575" i="3"/>
  <c r="E575" i="3"/>
  <c r="H627" i="3" s="1"/>
  <c r="Z578" i="3" l="1"/>
  <c r="AB627" i="3"/>
  <c r="P578" i="3"/>
  <c r="R627" i="3"/>
  <c r="AJ578" i="3"/>
  <c r="AL627" i="3"/>
  <c r="BB575" i="3"/>
  <c r="BA575" i="3"/>
  <c r="AT579" i="3"/>
  <c r="BD576" i="3"/>
  <c r="F578" i="3"/>
  <c r="BC575" i="3"/>
  <c r="AS575" i="3"/>
  <c r="AZ575" i="3"/>
  <c r="AQ574" i="3"/>
  <c r="AR574" i="3"/>
  <c r="AI574" i="3"/>
  <c r="AP574" i="3"/>
  <c r="Y574" i="3"/>
  <c r="O574" i="3"/>
  <c r="E574" i="3"/>
  <c r="P577" i="3" l="1"/>
  <c r="R626" i="3"/>
  <c r="F577" i="3"/>
  <c r="H626" i="3"/>
  <c r="Z577" i="3"/>
  <c r="AB626" i="3"/>
  <c r="AT578" i="3"/>
  <c r="AV627" i="3"/>
  <c r="BC574" i="3"/>
  <c r="AL626" i="3"/>
  <c r="BA574" i="3"/>
  <c r="BB574" i="3"/>
  <c r="AS574" i="3"/>
  <c r="AV626" i="3" s="1"/>
  <c r="AZ574" i="3"/>
  <c r="AJ577" i="3"/>
  <c r="BD575" i="3"/>
  <c r="AQ573" i="3"/>
  <c r="AR573" i="3"/>
  <c r="AI573" i="3"/>
  <c r="AP573" i="3"/>
  <c r="Y573" i="3"/>
  <c r="O573" i="3"/>
  <c r="E573" i="3"/>
  <c r="AR572" i="3"/>
  <c r="AI572" i="3"/>
  <c r="AL624" i="3" s="1"/>
  <c r="AQ572" i="3"/>
  <c r="AP572" i="3"/>
  <c r="Y572" i="3"/>
  <c r="AB624" i="3" s="1"/>
  <c r="O572" i="3"/>
  <c r="R624" i="3" s="1"/>
  <c r="E572" i="3"/>
  <c r="H624" i="3" s="1"/>
  <c r="AR571" i="3"/>
  <c r="AI571" i="3"/>
  <c r="AL623" i="3" s="1"/>
  <c r="AQ571" i="3"/>
  <c r="AP571" i="3"/>
  <c r="Y571" i="3"/>
  <c r="AB623" i="3" s="1"/>
  <c r="O571" i="3"/>
  <c r="E571" i="3"/>
  <c r="H623" i="3" s="1"/>
  <c r="AZ573" i="3" l="1"/>
  <c r="H625" i="3"/>
  <c r="BA571" i="3"/>
  <c r="R623" i="3"/>
  <c r="AJ576" i="3"/>
  <c r="AL625" i="3"/>
  <c r="P576" i="3"/>
  <c r="R625" i="3"/>
  <c r="Z576" i="3"/>
  <c r="AB625" i="3"/>
  <c r="AJ575" i="3"/>
  <c r="P575" i="3"/>
  <c r="AJ574" i="3"/>
  <c r="BA573" i="3"/>
  <c r="Z574" i="3"/>
  <c r="BA572" i="3"/>
  <c r="F575" i="3"/>
  <c r="AZ572" i="3"/>
  <c r="BB573" i="3"/>
  <c r="AS572" i="3"/>
  <c r="AV624" i="3" s="1"/>
  <c r="AS573" i="3"/>
  <c r="AV625" i="3" s="1"/>
  <c r="P574" i="3"/>
  <c r="AT577" i="3"/>
  <c r="BD574" i="3"/>
  <c r="BC571" i="3"/>
  <c r="BB571" i="3"/>
  <c r="F576" i="3"/>
  <c r="F574" i="3"/>
  <c r="Z575" i="3"/>
  <c r="AZ571" i="3"/>
  <c r="BC572" i="3"/>
  <c r="AS571" i="3"/>
  <c r="AV623" i="3" s="1"/>
  <c r="BB572" i="3"/>
  <c r="BC573" i="3"/>
  <c r="AI570" i="3"/>
  <c r="AJ573" i="3" s="1"/>
  <c r="AR570" i="3"/>
  <c r="AQ570" i="3"/>
  <c r="AP570" i="3"/>
  <c r="Y570" i="3"/>
  <c r="O570" i="3"/>
  <c r="E570" i="3"/>
  <c r="P573" i="3" l="1"/>
  <c r="R622" i="3"/>
  <c r="AC627" i="3"/>
  <c r="S627" i="3"/>
  <c r="AM627" i="3"/>
  <c r="AC626" i="3"/>
  <c r="S626" i="3"/>
  <c r="AM626" i="3"/>
  <c r="I626" i="3"/>
  <c r="AM625" i="3"/>
  <c r="Z573" i="3"/>
  <c r="AB622" i="3"/>
  <c r="S628" i="3"/>
  <c r="I628" i="3"/>
  <c r="AZ570" i="3"/>
  <c r="H622" i="3"/>
  <c r="I627" i="3"/>
  <c r="F573" i="3"/>
  <c r="BD572" i="3"/>
  <c r="AT575" i="3"/>
  <c r="AT574" i="3"/>
  <c r="BD571" i="3"/>
  <c r="AT576" i="3"/>
  <c r="BD573" i="3"/>
  <c r="BC570" i="3"/>
  <c r="AS570" i="3"/>
  <c r="AV622" i="3" s="1"/>
  <c r="BB570" i="3"/>
  <c r="BA570" i="3"/>
  <c r="BA569" i="3"/>
  <c r="AI569" i="3"/>
  <c r="BC569" i="3" s="1"/>
  <c r="AR569" i="3"/>
  <c r="AQ569" i="3"/>
  <c r="AP569" i="3"/>
  <c r="Y569" i="3"/>
  <c r="O569" i="3"/>
  <c r="R621" i="3" s="1"/>
  <c r="E569" i="3"/>
  <c r="F572" i="3" l="1"/>
  <c r="H621" i="3"/>
  <c r="AW627" i="3"/>
  <c r="Z572" i="3"/>
  <c r="AB621" i="3"/>
  <c r="AC625" i="3"/>
  <c r="AW626" i="3"/>
  <c r="I625" i="3"/>
  <c r="S625" i="3"/>
  <c r="AZ569" i="3"/>
  <c r="P572" i="3"/>
  <c r="AS569" i="3"/>
  <c r="AV621" i="3" s="1"/>
  <c r="AJ572" i="3"/>
  <c r="AT573" i="3"/>
  <c r="BD570" i="3"/>
  <c r="BB569" i="3"/>
  <c r="AP568" i="3"/>
  <c r="AQ568" i="3"/>
  <c r="AR568" i="3"/>
  <c r="AI568" i="3"/>
  <c r="Y568" i="3"/>
  <c r="O568" i="3"/>
  <c r="R620" i="3" s="1"/>
  <c r="E568" i="3"/>
  <c r="H620" i="3" s="1"/>
  <c r="AC624" i="3" l="1"/>
  <c r="AW625" i="3"/>
  <c r="S624" i="3"/>
  <c r="Z571" i="3"/>
  <c r="AB620" i="3"/>
  <c r="AM624" i="3"/>
  <c r="AJ571" i="3"/>
  <c r="AL620" i="3"/>
  <c r="I624" i="3"/>
  <c r="BC568" i="3"/>
  <c r="F571" i="3"/>
  <c r="AS568" i="3"/>
  <c r="AV620" i="3" s="1"/>
  <c r="BB568" i="3"/>
  <c r="AT572" i="3"/>
  <c r="BD569" i="3"/>
  <c r="P571" i="3"/>
  <c r="BA568" i="3"/>
  <c r="AZ568" i="3"/>
  <c r="AI567" i="3"/>
  <c r="BC567" i="3" s="1"/>
  <c r="AR567" i="3"/>
  <c r="AQ567" i="3"/>
  <c r="AP567" i="3"/>
  <c r="Y567" i="3"/>
  <c r="O567" i="3"/>
  <c r="R619" i="3" s="1"/>
  <c r="E567" i="3"/>
  <c r="H619" i="3" s="1"/>
  <c r="I623" i="3" l="1"/>
  <c r="AC623" i="3"/>
  <c r="AW624" i="3"/>
  <c r="AM623" i="3"/>
  <c r="S623" i="3"/>
  <c r="Z570" i="3"/>
  <c r="AB619" i="3"/>
  <c r="BB567" i="3"/>
  <c r="P570" i="3"/>
  <c r="BA567" i="3"/>
  <c r="AS567" i="3"/>
  <c r="AV619" i="3" s="1"/>
  <c r="AZ567" i="3"/>
  <c r="AT571" i="3"/>
  <c r="BD568" i="3"/>
  <c r="AJ570" i="3"/>
  <c r="F570" i="3"/>
  <c r="I622" i="3" l="1"/>
  <c r="AM622" i="3"/>
  <c r="S622" i="3"/>
  <c r="AW623" i="3"/>
  <c r="AC622" i="3"/>
  <c r="AT570" i="3"/>
  <c r="BD567" i="3"/>
  <c r="AW622" i="3" l="1"/>
  <c r="AI566" i="3"/>
  <c r="AJ569" i="3" s="1"/>
  <c r="AR566" i="3"/>
  <c r="AQ566" i="3"/>
  <c r="AP566" i="3"/>
  <c r="Y566" i="3"/>
  <c r="O566" i="3"/>
  <c r="E566" i="3"/>
  <c r="AM621" i="3" l="1"/>
  <c r="Z569" i="3"/>
  <c r="AB618" i="3"/>
  <c r="P569" i="3"/>
  <c r="R618" i="3"/>
  <c r="F569" i="3"/>
  <c r="H618" i="3"/>
  <c r="BC566" i="3"/>
  <c r="BB566" i="3"/>
  <c r="BA566" i="3"/>
  <c r="AZ566" i="3"/>
  <c r="AS566" i="3"/>
  <c r="AV618" i="3" s="1"/>
  <c r="AC621" i="3" l="1"/>
  <c r="I621" i="3"/>
  <c r="S621" i="3"/>
  <c r="AT569" i="3"/>
  <c r="BD566" i="3"/>
  <c r="AW621" i="3" l="1"/>
  <c r="AR565" i="3"/>
  <c r="AP565" i="3"/>
  <c r="AI565" i="3"/>
  <c r="AL617" i="3" s="1"/>
  <c r="AQ565" i="3"/>
  <c r="Y565" i="3"/>
  <c r="O565" i="3"/>
  <c r="E565" i="3"/>
  <c r="H617" i="3" s="1"/>
  <c r="Z568" i="3" l="1"/>
  <c r="AB617" i="3"/>
  <c r="P568" i="3"/>
  <c r="R617" i="3"/>
  <c r="AZ565" i="3"/>
  <c r="F568" i="3"/>
  <c r="BA565" i="3"/>
  <c r="BB565" i="3"/>
  <c r="AJ568" i="3"/>
  <c r="BC565" i="3"/>
  <c r="AS565" i="3"/>
  <c r="AI564" i="3"/>
  <c r="AR564" i="3"/>
  <c r="AQ564" i="3"/>
  <c r="AP564" i="3"/>
  <c r="Y564" i="3"/>
  <c r="O564" i="3"/>
  <c r="E564" i="3"/>
  <c r="I620" i="3" l="1"/>
  <c r="S620" i="3"/>
  <c r="AT568" i="3"/>
  <c r="AV617" i="3"/>
  <c r="AM620" i="3"/>
  <c r="AC620" i="3"/>
  <c r="F567" i="3"/>
  <c r="H616" i="3"/>
  <c r="AJ567" i="3"/>
  <c r="P567" i="3"/>
  <c r="R616" i="3"/>
  <c r="Z567" i="3"/>
  <c r="AB616" i="3"/>
  <c r="AZ564" i="3"/>
  <c r="BC564" i="3"/>
  <c r="BB564" i="3"/>
  <c r="BA564" i="3"/>
  <c r="AS564" i="3"/>
  <c r="AV616" i="3" s="1"/>
  <c r="BD565" i="3"/>
  <c r="AI563" i="3"/>
  <c r="AR563" i="3"/>
  <c r="AQ563" i="3"/>
  <c r="AP563" i="3"/>
  <c r="Y563" i="3"/>
  <c r="O563" i="3"/>
  <c r="E563" i="3"/>
  <c r="AC619" i="3" l="1"/>
  <c r="S619" i="3"/>
  <c r="I619" i="3"/>
  <c r="AM619" i="3"/>
  <c r="AW620" i="3"/>
  <c r="AJ566" i="3"/>
  <c r="AL615" i="3"/>
  <c r="BA563" i="3"/>
  <c r="R615" i="3"/>
  <c r="F566" i="3"/>
  <c r="H615" i="3"/>
  <c r="Z566" i="3"/>
  <c r="AB615" i="3"/>
  <c r="AZ563" i="3"/>
  <c r="BC563" i="3"/>
  <c r="P566" i="3"/>
  <c r="AS563" i="3"/>
  <c r="AV615" i="3" s="1"/>
  <c r="BB563" i="3"/>
  <c r="AT567" i="3"/>
  <c r="BD564" i="3"/>
  <c r="AW619" i="3" l="1"/>
  <c r="I618" i="3"/>
  <c r="S618" i="3"/>
  <c r="AM618" i="3"/>
  <c r="AC618" i="3"/>
  <c r="AT566" i="3"/>
  <c r="BD563" i="3"/>
  <c r="AI562" i="3"/>
  <c r="AR562" i="3"/>
  <c r="AQ562" i="3"/>
  <c r="AP562" i="3"/>
  <c r="Y562" i="3"/>
  <c r="O562" i="3"/>
  <c r="E562" i="3"/>
  <c r="AW618" i="3" l="1"/>
  <c r="Z565" i="3"/>
  <c r="AB614" i="3"/>
  <c r="P565" i="3"/>
  <c r="R614" i="3"/>
  <c r="F565" i="3"/>
  <c r="H614" i="3"/>
  <c r="BB562" i="3"/>
  <c r="AS562" i="3"/>
  <c r="AV614" i="3" s="1"/>
  <c r="BC562" i="3"/>
  <c r="AJ565" i="3"/>
  <c r="BA562" i="3"/>
  <c r="AZ562" i="3"/>
  <c r="AP561" i="3"/>
  <c r="AQ561" i="3"/>
  <c r="AR561" i="3"/>
  <c r="AI561" i="3"/>
  <c r="AL613" i="3" s="1"/>
  <c r="Y561" i="3"/>
  <c r="O561" i="3"/>
  <c r="E561" i="3"/>
  <c r="I617" i="3" l="1"/>
  <c r="AC617" i="3"/>
  <c r="AM617" i="3"/>
  <c r="S617" i="3"/>
  <c r="F564" i="3"/>
  <c r="H613" i="3"/>
  <c r="P564" i="3"/>
  <c r="R613" i="3"/>
  <c r="Z564" i="3"/>
  <c r="AB613" i="3"/>
  <c r="BB561" i="3"/>
  <c r="BA561" i="3"/>
  <c r="BC561" i="3"/>
  <c r="AJ564" i="3"/>
  <c r="BD562" i="3"/>
  <c r="AT565" i="3"/>
  <c r="AS561" i="3"/>
  <c r="AZ561" i="3"/>
  <c r="AI560" i="3"/>
  <c r="AJ563" i="3" s="1"/>
  <c r="AR560" i="3"/>
  <c r="AQ560" i="3"/>
  <c r="AP560" i="3"/>
  <c r="Y560" i="3"/>
  <c r="O560" i="3"/>
  <c r="E560" i="3"/>
  <c r="H612" i="3" s="1"/>
  <c r="AW617" i="3" l="1"/>
  <c r="AM615" i="3"/>
  <c r="AC616" i="3"/>
  <c r="S616" i="3"/>
  <c r="AM616" i="3"/>
  <c r="I616" i="3"/>
  <c r="AT564" i="3"/>
  <c r="AV613" i="3"/>
  <c r="P563" i="3"/>
  <c r="R612" i="3"/>
  <c r="Z563" i="3"/>
  <c r="AB612" i="3"/>
  <c r="BA560" i="3"/>
  <c r="AZ560" i="3"/>
  <c r="F563" i="3"/>
  <c r="AS560" i="3"/>
  <c r="AV612" i="3" s="1"/>
  <c r="BB560" i="3"/>
  <c r="BD561" i="3"/>
  <c r="BC560" i="3"/>
  <c r="AC615" i="3" l="1"/>
  <c r="AW616" i="3"/>
  <c r="S615" i="3"/>
  <c r="I615" i="3"/>
  <c r="BD560" i="3"/>
  <c r="AT563" i="3"/>
  <c r="AP559" i="3"/>
  <c r="AQ559" i="3"/>
  <c r="AR559" i="3"/>
  <c r="AI559" i="3"/>
  <c r="Y559" i="3"/>
  <c r="O559" i="3"/>
  <c r="R611" i="3" s="1"/>
  <c r="E559" i="3"/>
  <c r="H611" i="3" s="1"/>
  <c r="AW615" i="3" l="1"/>
  <c r="AJ562" i="3"/>
  <c r="AL611" i="3"/>
  <c r="Z562" i="3"/>
  <c r="AB611" i="3"/>
  <c r="BB559" i="3"/>
  <c r="BA559" i="3"/>
  <c r="P562" i="3"/>
  <c r="AS559" i="3"/>
  <c r="AV611" i="3" s="1"/>
  <c r="F562" i="3"/>
  <c r="AZ559" i="3"/>
  <c r="BC559" i="3"/>
  <c r="AP558" i="3"/>
  <c r="AQ558" i="3"/>
  <c r="AR558" i="3"/>
  <c r="AI558" i="3"/>
  <c r="AJ561" i="3" s="1"/>
  <c r="Y558" i="3"/>
  <c r="O558" i="3"/>
  <c r="E558" i="3"/>
  <c r="H610" i="3" s="1"/>
  <c r="AC614" i="3" l="1"/>
  <c r="I614" i="3"/>
  <c r="AM614" i="3"/>
  <c r="S614" i="3"/>
  <c r="AM613" i="3"/>
  <c r="Z561" i="3"/>
  <c r="AB610" i="3"/>
  <c r="P561" i="3"/>
  <c r="R610" i="3"/>
  <c r="BC558" i="3"/>
  <c r="BB558" i="3"/>
  <c r="BD559" i="3"/>
  <c r="AT562" i="3"/>
  <c r="AZ558" i="3"/>
  <c r="F561" i="3"/>
  <c r="BA558" i="3"/>
  <c r="AS558" i="3"/>
  <c r="AP557" i="3"/>
  <c r="AQ557" i="3"/>
  <c r="AR557" i="3"/>
  <c r="AI557" i="3"/>
  <c r="AJ560" i="3" s="1"/>
  <c r="Y557" i="3"/>
  <c r="AB609" i="3" s="1"/>
  <c r="O557" i="3"/>
  <c r="E557" i="3"/>
  <c r="AW614" i="3" l="1"/>
  <c r="S613" i="3"/>
  <c r="P560" i="3"/>
  <c r="R609" i="3"/>
  <c r="AC613" i="3"/>
  <c r="AT561" i="3"/>
  <c r="AV610" i="3"/>
  <c r="F560" i="3"/>
  <c r="H609" i="3"/>
  <c r="I613" i="3"/>
  <c r="AM612" i="3"/>
  <c r="Z560" i="3"/>
  <c r="BC557" i="3"/>
  <c r="BB557" i="3"/>
  <c r="BA557" i="3"/>
  <c r="BD558" i="3"/>
  <c r="AS557" i="3"/>
  <c r="AV609" i="3" s="1"/>
  <c r="AZ557" i="3"/>
  <c r="AW613" i="3" l="1"/>
  <c r="AC612" i="3"/>
  <c r="S612" i="3"/>
  <c r="I612" i="3"/>
  <c r="AT560" i="3"/>
  <c r="BD557" i="3"/>
  <c r="AW612" i="3" l="1"/>
  <c r="AR556" i="3"/>
  <c r="AQ556" i="3"/>
  <c r="AP556" i="3"/>
  <c r="AI556" i="3"/>
  <c r="AJ559" i="3" s="1"/>
  <c r="Y556" i="3"/>
  <c r="AB608" i="3" s="1"/>
  <c r="O556" i="3"/>
  <c r="R608" i="3" s="1"/>
  <c r="E556" i="3"/>
  <c r="AM611" i="3" l="1"/>
  <c r="F559" i="3"/>
  <c r="H608" i="3"/>
  <c r="BB556" i="3"/>
  <c r="Z559" i="3"/>
  <c r="BA556" i="3"/>
  <c r="P559" i="3"/>
  <c r="AZ556" i="3"/>
  <c r="AS556" i="3"/>
  <c r="BC556" i="3"/>
  <c r="AP555" i="3"/>
  <c r="AQ555" i="3"/>
  <c r="AR555" i="3"/>
  <c r="AI555" i="3"/>
  <c r="Y555" i="3"/>
  <c r="AB607" i="3" s="1"/>
  <c r="O555" i="3"/>
  <c r="BA555" i="3" s="1"/>
  <c r="E555" i="3"/>
  <c r="H607" i="3" s="1"/>
  <c r="S611" i="3" l="1"/>
  <c r="AC611" i="3"/>
  <c r="AT559" i="3"/>
  <c r="AV608" i="3"/>
  <c r="I611" i="3"/>
  <c r="P558" i="3"/>
  <c r="R607" i="3"/>
  <c r="BB555" i="3"/>
  <c r="Z558" i="3"/>
  <c r="AS555" i="3"/>
  <c r="F558" i="3"/>
  <c r="BC555" i="3"/>
  <c r="AJ558" i="3"/>
  <c r="AZ555" i="3"/>
  <c r="BD556" i="3"/>
  <c r="AP554" i="3"/>
  <c r="AQ554" i="3"/>
  <c r="AR554" i="3"/>
  <c r="AI554" i="3"/>
  <c r="Y554" i="3"/>
  <c r="O554" i="3"/>
  <c r="E554" i="3"/>
  <c r="H606" i="3" s="1"/>
  <c r="P557" i="3" l="1"/>
  <c r="R606" i="3"/>
  <c r="Z557" i="3"/>
  <c r="AB606" i="3"/>
  <c r="I610" i="3"/>
  <c r="AT558" i="3"/>
  <c r="AV607" i="3"/>
  <c r="AJ557" i="3"/>
  <c r="AL606" i="3"/>
  <c r="AW611" i="3"/>
  <c r="AC610" i="3"/>
  <c r="S610" i="3"/>
  <c r="BD555" i="3"/>
  <c r="BB554" i="3"/>
  <c r="BC554" i="3"/>
  <c r="BA554" i="3"/>
  <c r="AZ554" i="3"/>
  <c r="F557" i="3"/>
  <c r="AS554" i="3"/>
  <c r="AP553" i="3"/>
  <c r="AQ553" i="3"/>
  <c r="AR553" i="3"/>
  <c r="AI553" i="3"/>
  <c r="Y553" i="3"/>
  <c r="O553" i="3"/>
  <c r="R605" i="3" s="1"/>
  <c r="E553" i="3"/>
  <c r="AT557" i="3" l="1"/>
  <c r="AV606" i="3"/>
  <c r="AW610" i="3"/>
  <c r="Z556" i="3"/>
  <c r="AB605" i="3"/>
  <c r="AJ556" i="3"/>
  <c r="AL605" i="3"/>
  <c r="F556" i="3"/>
  <c r="H605" i="3"/>
  <c r="I609" i="3"/>
  <c r="AM609" i="3"/>
  <c r="S609" i="3"/>
  <c r="AC609" i="3"/>
  <c r="P556" i="3"/>
  <c r="BB553" i="3"/>
  <c r="BA553" i="3"/>
  <c r="BC553" i="3"/>
  <c r="AZ553" i="3"/>
  <c r="BD554" i="3"/>
  <c r="AS553" i="3"/>
  <c r="AV605" i="3" s="1"/>
  <c r="AP552" i="3"/>
  <c r="AQ552" i="3"/>
  <c r="AR552" i="3"/>
  <c r="AI552" i="3"/>
  <c r="Y552" i="3"/>
  <c r="AB604" i="3" s="1"/>
  <c r="O552" i="3"/>
  <c r="BA552" i="3" s="1"/>
  <c r="E552" i="3"/>
  <c r="P555" i="3" l="1"/>
  <c r="R604" i="3"/>
  <c r="AM608" i="3"/>
  <c r="AC608" i="3"/>
  <c r="AJ555" i="3"/>
  <c r="AL604" i="3"/>
  <c r="S608" i="3"/>
  <c r="F555" i="3"/>
  <c r="H604" i="3"/>
  <c r="I608" i="3"/>
  <c r="AW609" i="3"/>
  <c r="BC552" i="3"/>
  <c r="Z555" i="3"/>
  <c r="BB552" i="3"/>
  <c r="AT556" i="3"/>
  <c r="BD553" i="3"/>
  <c r="AS552" i="3"/>
  <c r="AV604" i="3" s="1"/>
  <c r="AZ552" i="3"/>
  <c r="AP551" i="3"/>
  <c r="AQ551" i="3"/>
  <c r="AR551" i="3"/>
  <c r="AI551" i="3"/>
  <c r="Y551" i="3"/>
  <c r="O551" i="3"/>
  <c r="E551" i="3"/>
  <c r="Z554" i="3" l="1"/>
  <c r="AB603" i="3"/>
  <c r="P554" i="3"/>
  <c r="R603" i="3"/>
  <c r="AM607" i="3"/>
  <c r="F554" i="3"/>
  <c r="H603" i="3"/>
  <c r="AC607" i="3"/>
  <c r="AW608" i="3"/>
  <c r="AJ554" i="3"/>
  <c r="AL603" i="3"/>
  <c r="I607" i="3"/>
  <c r="S607" i="3"/>
  <c r="BA551" i="3"/>
  <c r="BB551" i="3"/>
  <c r="BC551" i="3"/>
  <c r="AS551" i="3"/>
  <c r="AV603" i="3" s="1"/>
  <c r="AZ551" i="3"/>
  <c r="AT555" i="3"/>
  <c r="BD552" i="3"/>
  <c r="AP550" i="3"/>
  <c r="AQ550" i="3"/>
  <c r="AR550" i="3"/>
  <c r="AI550" i="3"/>
  <c r="Y550" i="3"/>
  <c r="AB602" i="3" s="1"/>
  <c r="O550" i="3"/>
  <c r="E550" i="3"/>
  <c r="AM606" i="3" l="1"/>
  <c r="F553" i="3"/>
  <c r="H602" i="3"/>
  <c r="AW607" i="3"/>
  <c r="AJ553" i="3"/>
  <c r="AL602" i="3"/>
  <c r="P553" i="3"/>
  <c r="R602" i="3"/>
  <c r="I606" i="3"/>
  <c r="S606" i="3"/>
  <c r="AC606" i="3"/>
  <c r="BA550" i="3"/>
  <c r="Z553" i="3"/>
  <c r="AT554" i="3"/>
  <c r="BD551" i="3"/>
  <c r="AS550" i="3"/>
  <c r="AV602" i="3" s="1"/>
  <c r="BC550" i="3"/>
  <c r="BB550" i="3"/>
  <c r="AZ550" i="3"/>
  <c r="AR549" i="3"/>
  <c r="AQ549" i="3"/>
  <c r="AP549" i="3"/>
  <c r="AR548" i="3"/>
  <c r="AQ548" i="3"/>
  <c r="AP548" i="3"/>
  <c r="AI549" i="3"/>
  <c r="Y549" i="3"/>
  <c r="O549" i="3"/>
  <c r="E549" i="3"/>
  <c r="H601" i="3" s="1"/>
  <c r="Z552" i="3" l="1"/>
  <c r="AB601" i="3"/>
  <c r="AM605" i="3"/>
  <c r="AJ552" i="3"/>
  <c r="AL601" i="3"/>
  <c r="AC605" i="3"/>
  <c r="AW606" i="3"/>
  <c r="I605" i="3"/>
  <c r="P552" i="3"/>
  <c r="R601" i="3"/>
  <c r="S605" i="3"/>
  <c r="BB549" i="3"/>
  <c r="BA549" i="3"/>
  <c r="AT553" i="3"/>
  <c r="BD550" i="3"/>
  <c r="AZ549" i="3"/>
  <c r="F552" i="3"/>
  <c r="BC549" i="3"/>
  <c r="AS549" i="3"/>
  <c r="AT552" i="3" l="1"/>
  <c r="AV601" i="3"/>
  <c r="I604" i="3"/>
  <c r="S604" i="3"/>
  <c r="AM604" i="3"/>
  <c r="AW605" i="3"/>
  <c r="AC604" i="3"/>
  <c r="BD549" i="3"/>
  <c r="AI548" i="3"/>
  <c r="AJ551" i="3" s="1"/>
  <c r="Y548" i="3"/>
  <c r="O548" i="3"/>
  <c r="E548" i="3"/>
  <c r="P551" i="3" l="1"/>
  <c r="R600" i="3"/>
  <c r="BB548" i="3"/>
  <c r="AB600" i="3"/>
  <c r="AM603" i="3"/>
  <c r="F551" i="3"/>
  <c r="H600" i="3"/>
  <c r="AW604" i="3"/>
  <c r="BA548" i="3"/>
  <c r="Z551" i="3"/>
  <c r="BC548" i="3"/>
  <c r="AZ548" i="3"/>
  <c r="AS548" i="3"/>
  <c r="I603" i="3" l="1"/>
  <c r="AT551" i="3"/>
  <c r="AV600" i="3"/>
  <c r="AC603" i="3"/>
  <c r="S603" i="3"/>
  <c r="BD548" i="3"/>
  <c r="AP547" i="3"/>
  <c r="AQ547" i="3"/>
  <c r="AR547" i="3"/>
  <c r="AI547" i="3"/>
  <c r="AL599" i="3" s="1"/>
  <c r="Y547" i="3"/>
  <c r="AB599" i="3" s="1"/>
  <c r="O547" i="3"/>
  <c r="E547" i="3"/>
  <c r="F550" i="3" l="1"/>
  <c r="H599" i="3"/>
  <c r="P550" i="3"/>
  <c r="R599" i="3"/>
  <c r="AW603" i="3"/>
  <c r="BA547" i="3"/>
  <c r="AZ547" i="3"/>
  <c r="BB547" i="3"/>
  <c r="Z550" i="3"/>
  <c r="BC547" i="3"/>
  <c r="AJ550" i="3"/>
  <c r="AS547" i="3"/>
  <c r="AP546" i="3"/>
  <c r="AQ546" i="3"/>
  <c r="AR546" i="3"/>
  <c r="AI546" i="3"/>
  <c r="Y546" i="3"/>
  <c r="O546" i="3"/>
  <c r="E546" i="3"/>
  <c r="AC602" i="3" l="1"/>
  <c r="AT550" i="3"/>
  <c r="AV599" i="3"/>
  <c r="F549" i="3"/>
  <c r="H598" i="3"/>
  <c r="AM602" i="3"/>
  <c r="BA546" i="3"/>
  <c r="R598" i="3"/>
  <c r="S602" i="3"/>
  <c r="Z549" i="3"/>
  <c r="AB598" i="3"/>
  <c r="I602" i="3"/>
  <c r="P549" i="3"/>
  <c r="AJ549" i="3"/>
  <c r="BC546" i="3"/>
  <c r="AS546" i="3"/>
  <c r="AV598" i="3" s="1"/>
  <c r="BB546" i="3"/>
  <c r="BD547" i="3"/>
  <c r="AZ546" i="3"/>
  <c r="AP545" i="3"/>
  <c r="AQ545" i="3"/>
  <c r="AR545" i="3"/>
  <c r="AI545" i="3"/>
  <c r="Y545" i="3"/>
  <c r="O545" i="3"/>
  <c r="E545" i="3"/>
  <c r="AC601" i="3" l="1"/>
  <c r="BB545" i="3"/>
  <c r="AB597" i="3"/>
  <c r="I601" i="3"/>
  <c r="P548" i="3"/>
  <c r="R597" i="3"/>
  <c r="F548" i="3"/>
  <c r="H597" i="3"/>
  <c r="AM601" i="3"/>
  <c r="AJ548" i="3"/>
  <c r="AL597" i="3"/>
  <c r="AW602" i="3"/>
  <c r="S601" i="3"/>
  <c r="BC545" i="3"/>
  <c r="BA545" i="3"/>
  <c r="AT549" i="3"/>
  <c r="BD546" i="3"/>
  <c r="Z548" i="3"/>
  <c r="AZ545" i="3"/>
  <c r="AS545" i="3"/>
  <c r="AV597" i="3" s="1"/>
  <c r="AP544" i="3"/>
  <c r="AQ544" i="3"/>
  <c r="AR544" i="3"/>
  <c r="AI544" i="3"/>
  <c r="Y544" i="3"/>
  <c r="O544" i="3"/>
  <c r="E544" i="3"/>
  <c r="H596" i="3" s="1"/>
  <c r="AM600" i="3" l="1"/>
  <c r="AC600" i="3"/>
  <c r="S600" i="3"/>
  <c r="AJ547" i="3"/>
  <c r="AL596" i="3"/>
  <c r="P547" i="3"/>
  <c r="R596" i="3"/>
  <c r="BB544" i="3"/>
  <c r="AB596" i="3"/>
  <c r="AW601" i="3"/>
  <c r="I600" i="3"/>
  <c r="Z547" i="3"/>
  <c r="BC544" i="3"/>
  <c r="BA544" i="3"/>
  <c r="AZ544" i="3"/>
  <c r="F547" i="3"/>
  <c r="BD545" i="3"/>
  <c r="AT548" i="3"/>
  <c r="AS544" i="3"/>
  <c r="AP543" i="3"/>
  <c r="AQ543" i="3"/>
  <c r="AR543" i="3"/>
  <c r="AI543" i="3"/>
  <c r="AL595" i="3" s="1"/>
  <c r="Y543" i="3"/>
  <c r="O543" i="3"/>
  <c r="E543" i="3"/>
  <c r="H595" i="3" s="1"/>
  <c r="Z546" i="3" l="1"/>
  <c r="AB595" i="3"/>
  <c r="AT547" i="3"/>
  <c r="AV596" i="3"/>
  <c r="AW600" i="3"/>
  <c r="AM599" i="3"/>
  <c r="P546" i="3"/>
  <c r="R595" i="3"/>
  <c r="I599" i="3"/>
  <c r="AC599" i="3"/>
  <c r="S599" i="3"/>
  <c r="BB543" i="3"/>
  <c r="BA543" i="3"/>
  <c r="AS543" i="3"/>
  <c r="F546" i="3"/>
  <c r="BC543" i="3"/>
  <c r="AJ546" i="3"/>
  <c r="AZ543" i="3"/>
  <c r="BD544" i="3"/>
  <c r="AM598" i="3" l="1"/>
  <c r="I598" i="3"/>
  <c r="AT546" i="3"/>
  <c r="AV595" i="3"/>
  <c r="AW599" i="3"/>
  <c r="S598" i="3"/>
  <c r="AC598" i="3"/>
  <c r="BD543" i="3"/>
  <c r="AW598" i="3" l="1"/>
  <c r="AI542" i="3"/>
  <c r="AL594" i="3" s="1"/>
  <c r="AR542" i="3"/>
  <c r="AQ542" i="3"/>
  <c r="AP542" i="3"/>
  <c r="Y542" i="3"/>
  <c r="AB594" i="3" s="1"/>
  <c r="O542" i="3"/>
  <c r="R594" i="3" s="1"/>
  <c r="E542" i="3"/>
  <c r="H594" i="3" s="1"/>
  <c r="Z545" i="3" l="1"/>
  <c r="BB542" i="3"/>
  <c r="AJ545" i="3"/>
  <c r="BC542" i="3"/>
  <c r="BA542" i="3"/>
  <c r="P545" i="3"/>
  <c r="AZ542" i="3"/>
  <c r="F545" i="3"/>
  <c r="AS542" i="3"/>
  <c r="I597" i="3" l="1"/>
  <c r="AM597" i="3"/>
  <c r="S597" i="3"/>
  <c r="AT545" i="3"/>
  <c r="AV594" i="3"/>
  <c r="AC597" i="3"/>
  <c r="BD542" i="3"/>
  <c r="AP541" i="3"/>
  <c r="AQ541" i="3"/>
  <c r="AR541" i="3"/>
  <c r="AI541" i="3"/>
  <c r="Y541" i="3"/>
  <c r="O541" i="3"/>
  <c r="E541" i="3"/>
  <c r="AW597" i="3" l="1"/>
  <c r="F544" i="3"/>
  <c r="H593" i="3"/>
  <c r="Z544" i="3"/>
  <c r="AB593" i="3"/>
  <c r="AJ544" i="3"/>
  <c r="AL593" i="3"/>
  <c r="P544" i="3"/>
  <c r="R593" i="3"/>
  <c r="BB541" i="3"/>
  <c r="BC541" i="3"/>
  <c r="BA541" i="3"/>
  <c r="AZ541" i="3"/>
  <c r="AS541" i="3"/>
  <c r="AI540" i="3"/>
  <c r="AR540" i="3"/>
  <c r="AQ540" i="3"/>
  <c r="AP540" i="3"/>
  <c r="Y540" i="3"/>
  <c r="AB592" i="3" s="1"/>
  <c r="O540" i="3"/>
  <c r="E540" i="3"/>
  <c r="AC596" i="3" l="1"/>
  <c r="P543" i="3"/>
  <c r="R592" i="3"/>
  <c r="AT544" i="3"/>
  <c r="AV593" i="3"/>
  <c r="AM596" i="3"/>
  <c r="F543" i="3"/>
  <c r="H592" i="3"/>
  <c r="I596" i="3"/>
  <c r="S596" i="3"/>
  <c r="BC540" i="3"/>
  <c r="AJ543" i="3"/>
  <c r="BB540" i="3"/>
  <c r="Z543" i="3"/>
  <c r="BA540" i="3"/>
  <c r="AS540" i="3"/>
  <c r="AV592" i="3" s="1"/>
  <c r="BD541" i="3"/>
  <c r="AZ540" i="3"/>
  <c r="AI539" i="3"/>
  <c r="AR539" i="3"/>
  <c r="AQ539" i="3"/>
  <c r="AP539" i="3"/>
  <c r="Y539" i="3"/>
  <c r="O539" i="3"/>
  <c r="E539" i="3"/>
  <c r="AM595" i="3" l="1"/>
  <c r="AW596" i="3"/>
  <c r="AC595" i="3"/>
  <c r="S595" i="3"/>
  <c r="I595" i="3"/>
  <c r="BA539" i="3"/>
  <c r="R591" i="3"/>
  <c r="F542" i="3"/>
  <c r="H591" i="3"/>
  <c r="BB539" i="3"/>
  <c r="AB591" i="3"/>
  <c r="AJ542" i="3"/>
  <c r="AL591" i="3"/>
  <c r="BC539" i="3"/>
  <c r="Z542" i="3"/>
  <c r="AT543" i="3"/>
  <c r="P542" i="3"/>
  <c r="AS539" i="3"/>
  <c r="AV591" i="3" s="1"/>
  <c r="AZ539" i="3"/>
  <c r="BD540" i="3"/>
  <c r="AP538" i="3"/>
  <c r="AQ538" i="3"/>
  <c r="AR538" i="3"/>
  <c r="AI538" i="3"/>
  <c r="Y538" i="3"/>
  <c r="O538" i="3"/>
  <c r="E538" i="3"/>
  <c r="H590" i="3" s="1"/>
  <c r="I594" i="3" l="1"/>
  <c r="S594" i="3"/>
  <c r="AW595" i="3"/>
  <c r="AC594" i="3"/>
  <c r="AM594" i="3"/>
  <c r="Z541" i="3"/>
  <c r="AB590" i="3"/>
  <c r="P541" i="3"/>
  <c r="R590" i="3"/>
  <c r="AJ541" i="3"/>
  <c r="AL590" i="3"/>
  <c r="BB538" i="3"/>
  <c r="AS538" i="3"/>
  <c r="AV590" i="3" s="1"/>
  <c r="BC538" i="3"/>
  <c r="BA538" i="3"/>
  <c r="AZ538" i="3"/>
  <c r="F541" i="3"/>
  <c r="AT542" i="3"/>
  <c r="BD539" i="3"/>
  <c r="J13" i="1" s="1"/>
  <c r="AM593" i="3" l="1"/>
  <c r="AW594" i="3"/>
  <c r="I593" i="3"/>
  <c r="S593" i="3"/>
  <c r="AC593" i="3"/>
  <c r="BD538" i="3"/>
  <c r="AT541" i="3"/>
  <c r="AP537" i="3"/>
  <c r="AQ537" i="3"/>
  <c r="AR537" i="3"/>
  <c r="AI537" i="3"/>
  <c r="Y537" i="3"/>
  <c r="O537" i="3"/>
  <c r="E537" i="3"/>
  <c r="AW593" i="3" l="1"/>
  <c r="Z540" i="3"/>
  <c r="AB589" i="3"/>
  <c r="AJ540" i="3"/>
  <c r="AL589" i="3"/>
  <c r="P540" i="3"/>
  <c r="R589" i="3"/>
  <c r="F540" i="3"/>
  <c r="H589" i="3"/>
  <c r="BB537" i="3"/>
  <c r="BA537" i="3"/>
  <c r="BC537" i="3"/>
  <c r="AZ537" i="3"/>
  <c r="AS537" i="3"/>
  <c r="AV589" i="3" s="1"/>
  <c r="S592" i="3" l="1"/>
  <c r="AM592" i="3"/>
  <c r="AC592" i="3"/>
  <c r="I592" i="3"/>
  <c r="AT540" i="3"/>
  <c r="BD537" i="3"/>
  <c r="AI536" i="3"/>
  <c r="AR536" i="3"/>
  <c r="AQ536" i="3"/>
  <c r="AP536" i="3"/>
  <c r="Y536" i="3"/>
  <c r="O536" i="3"/>
  <c r="E536" i="3"/>
  <c r="AW592" i="3" l="1"/>
  <c r="P539" i="3"/>
  <c r="R588" i="3"/>
  <c r="Z539" i="3"/>
  <c r="AB588" i="3"/>
  <c r="AJ539" i="3"/>
  <c r="AL588" i="3"/>
  <c r="F539" i="3"/>
  <c r="H588" i="3"/>
  <c r="BB536" i="3"/>
  <c r="BA536" i="3"/>
  <c r="BC536" i="3"/>
  <c r="AS536" i="3"/>
  <c r="AV588" i="3" s="1"/>
  <c r="AZ536" i="3"/>
  <c r="AP535" i="3"/>
  <c r="AQ535" i="3"/>
  <c r="AR535" i="3"/>
  <c r="AI535" i="3"/>
  <c r="AJ538" i="3" s="1"/>
  <c r="Y535" i="3"/>
  <c r="O535" i="3"/>
  <c r="BA535" i="3" s="1"/>
  <c r="E535" i="3"/>
  <c r="I591" i="3" l="1"/>
  <c r="F538" i="3"/>
  <c r="H587" i="3"/>
  <c r="AC591" i="3"/>
  <c r="AM590" i="3"/>
  <c r="AM591" i="3"/>
  <c r="P538" i="3"/>
  <c r="R587" i="3"/>
  <c r="Z538" i="3"/>
  <c r="AB587" i="3"/>
  <c r="S591" i="3"/>
  <c r="BB535" i="3"/>
  <c r="AS535" i="3"/>
  <c r="AV587" i="3" s="1"/>
  <c r="AZ535" i="3"/>
  <c r="AT539" i="3"/>
  <c r="BD536" i="3"/>
  <c r="BC535" i="3"/>
  <c r="AW591" i="3" l="1"/>
  <c r="AC590" i="3"/>
  <c r="S590" i="3"/>
  <c r="I590" i="3"/>
  <c r="AT538" i="3"/>
  <c r="BD535" i="3"/>
  <c r="AW590" i="3" l="1"/>
  <c r="AI534" i="3"/>
  <c r="AR534" i="3"/>
  <c r="AQ534" i="3"/>
  <c r="AP534" i="3"/>
  <c r="Y534" i="3"/>
  <c r="O534" i="3"/>
  <c r="E534" i="3"/>
  <c r="AJ537" i="3" l="1"/>
  <c r="AL586" i="3"/>
  <c r="Z537" i="3"/>
  <c r="AB586" i="3"/>
  <c r="P537" i="3"/>
  <c r="R586" i="3"/>
  <c r="F537" i="3"/>
  <c r="H586" i="3"/>
  <c r="BB534" i="3"/>
  <c r="BA534" i="3"/>
  <c r="AZ534" i="3"/>
  <c r="BC534" i="3"/>
  <c r="AS534" i="3"/>
  <c r="AV586" i="3" s="1"/>
  <c r="I589" i="3" l="1"/>
  <c r="AC589" i="3"/>
  <c r="S589" i="3"/>
  <c r="AM589" i="3"/>
  <c r="AT537" i="3"/>
  <c r="BD534" i="3"/>
  <c r="AI533" i="3"/>
  <c r="AQ533" i="3"/>
  <c r="AR533" i="3"/>
  <c r="AP533" i="3"/>
  <c r="Y533" i="3"/>
  <c r="AB585" i="3" s="1"/>
  <c r="O533" i="3"/>
  <c r="R585" i="3" s="1"/>
  <c r="E533" i="3"/>
  <c r="H585" i="3" s="1"/>
  <c r="AJ536" i="3" l="1"/>
  <c r="AL585" i="3"/>
  <c r="AW589" i="3"/>
  <c r="BC533" i="3"/>
  <c r="AZ533" i="3"/>
  <c r="F536" i="3"/>
  <c r="BA533" i="3"/>
  <c r="P536" i="3"/>
  <c r="BB533" i="3"/>
  <c r="Z536" i="3"/>
  <c r="AS533" i="3"/>
  <c r="AV585" i="3" s="1"/>
  <c r="AI532" i="3"/>
  <c r="AL584" i="3" s="1"/>
  <c r="AR532" i="3"/>
  <c r="AQ532" i="3"/>
  <c r="AP532" i="3"/>
  <c r="Y532" i="3"/>
  <c r="O532" i="3"/>
  <c r="E532" i="3"/>
  <c r="H584" i="3" s="1"/>
  <c r="AC588" i="3" l="1"/>
  <c r="I588" i="3"/>
  <c r="P535" i="3"/>
  <c r="R584" i="3"/>
  <c r="Z535" i="3"/>
  <c r="AB584" i="3"/>
  <c r="S588" i="3"/>
  <c r="AM588" i="3"/>
  <c r="AT536" i="3"/>
  <c r="BD533" i="3"/>
  <c r="BB532" i="3"/>
  <c r="BG532" i="3" s="1"/>
  <c r="BG533" i="3" s="1"/>
  <c r="BG534" i="3" s="1"/>
  <c r="BG535" i="3" s="1"/>
  <c r="BG536" i="3" s="1"/>
  <c r="BG537" i="3" s="1"/>
  <c r="BG538" i="3" s="1"/>
  <c r="BG539" i="3" s="1"/>
  <c r="F535" i="3"/>
  <c r="BA532" i="3"/>
  <c r="BF532" i="3" s="1"/>
  <c r="BF533" i="3" s="1"/>
  <c r="BF534" i="3" s="1"/>
  <c r="BF535" i="3" s="1"/>
  <c r="BF536" i="3" s="1"/>
  <c r="BF537" i="3" s="1"/>
  <c r="BF538" i="3" s="1"/>
  <c r="BF539" i="3" s="1"/>
  <c r="AS532" i="3"/>
  <c r="AV584" i="3" s="1"/>
  <c r="AJ535" i="3"/>
  <c r="AZ532" i="3"/>
  <c r="BE532" i="3" s="1"/>
  <c r="BE533" i="3" s="1"/>
  <c r="BE534" i="3" s="1"/>
  <c r="BE535" i="3" s="1"/>
  <c r="BE536" i="3" s="1"/>
  <c r="BE537" i="3" s="1"/>
  <c r="BE538" i="3" s="1"/>
  <c r="BE539" i="3" s="1"/>
  <c r="BC532" i="3"/>
  <c r="AI531" i="3"/>
  <c r="AJ534" i="3" s="1"/>
  <c r="AR531" i="3"/>
  <c r="AQ531" i="3"/>
  <c r="AP531" i="3"/>
  <c r="Y531" i="3"/>
  <c r="O531" i="3"/>
  <c r="E531" i="3"/>
  <c r="BG540" i="3" l="1"/>
  <c r="BG541" i="3" s="1"/>
  <c r="BG542" i="3" s="1"/>
  <c r="BG543" i="3" s="1"/>
  <c r="BG544" i="3" s="1"/>
  <c r="BG545" i="3" s="1"/>
  <c r="BG546" i="3" s="1"/>
  <c r="BG547" i="3" s="1"/>
  <c r="BG548" i="3" s="1"/>
  <c r="BG549" i="3" s="1"/>
  <c r="BG550" i="3" s="1"/>
  <c r="BG551" i="3" s="1"/>
  <c r="BG552" i="3" s="1"/>
  <c r="BG553" i="3" s="1"/>
  <c r="BG554" i="3" s="1"/>
  <c r="BG555" i="3" s="1"/>
  <c r="BG556" i="3" s="1"/>
  <c r="BG557" i="3" s="1"/>
  <c r="BG558" i="3" s="1"/>
  <c r="BG559" i="3" s="1"/>
  <c r="BG560" i="3" s="1"/>
  <c r="BG561" i="3" s="1"/>
  <c r="AC587" i="3"/>
  <c r="AM586" i="3"/>
  <c r="F534" i="3"/>
  <c r="H583" i="3"/>
  <c r="I587" i="3"/>
  <c r="AW588" i="3"/>
  <c r="S587" i="3"/>
  <c r="BE540" i="3"/>
  <c r="BE541" i="3" s="1"/>
  <c r="BE542" i="3" s="1"/>
  <c r="BE543" i="3" s="1"/>
  <c r="BE544" i="3" s="1"/>
  <c r="BE545" i="3" s="1"/>
  <c r="BE546" i="3" s="1"/>
  <c r="BE547" i="3" s="1"/>
  <c r="BE548" i="3" s="1"/>
  <c r="BE549" i="3" s="1"/>
  <c r="BE550" i="3" s="1"/>
  <c r="BE551" i="3" s="1"/>
  <c r="BE552" i="3" s="1"/>
  <c r="BE553" i="3" s="1"/>
  <c r="BE554" i="3" s="1"/>
  <c r="BE555" i="3" s="1"/>
  <c r="BE556" i="3" s="1"/>
  <c r="BE557" i="3" s="1"/>
  <c r="BE558" i="3" s="1"/>
  <c r="BE559" i="3" s="1"/>
  <c r="BE560" i="3" s="1"/>
  <c r="BE561" i="3" s="1"/>
  <c r="P534" i="3"/>
  <c r="R583" i="3"/>
  <c r="AM587" i="3"/>
  <c r="Z534" i="3"/>
  <c r="AB583" i="3"/>
  <c r="BF540" i="3"/>
  <c r="BF541" i="3" s="1"/>
  <c r="BF542" i="3" s="1"/>
  <c r="BF543" i="3" s="1"/>
  <c r="BF544" i="3" s="1"/>
  <c r="BF545" i="3" s="1"/>
  <c r="BF546" i="3" s="1"/>
  <c r="BF547" i="3" s="1"/>
  <c r="BF548" i="3" s="1"/>
  <c r="BF549" i="3" s="1"/>
  <c r="BF550" i="3" s="1"/>
  <c r="BF551" i="3" s="1"/>
  <c r="BF552" i="3" s="1"/>
  <c r="BF553" i="3" s="1"/>
  <c r="BF554" i="3" s="1"/>
  <c r="BF555" i="3" s="1"/>
  <c r="BF556" i="3" s="1"/>
  <c r="BF557" i="3" s="1"/>
  <c r="BF558" i="3" s="1"/>
  <c r="BF559" i="3" s="1"/>
  <c r="BF560" i="3" s="1"/>
  <c r="BF561" i="3" s="1"/>
  <c r="AT535" i="3"/>
  <c r="BD532" i="3"/>
  <c r="BI532" i="3" s="1"/>
  <c r="BI533" i="3" s="1"/>
  <c r="BI534" i="3" s="1"/>
  <c r="BI535" i="3" s="1"/>
  <c r="BI536" i="3" s="1"/>
  <c r="BI537" i="3" s="1"/>
  <c r="BI538" i="3" s="1"/>
  <c r="BI539" i="3" s="1"/>
  <c r="BC531" i="3"/>
  <c r="BA531" i="3"/>
  <c r="BB531" i="3"/>
  <c r="AZ531" i="3"/>
  <c r="AS531" i="3"/>
  <c r="AV583" i="3" s="1"/>
  <c r="BH532" i="3"/>
  <c r="BH533" i="3" s="1"/>
  <c r="BH534" i="3" s="1"/>
  <c r="BH535" i="3" s="1"/>
  <c r="BH536" i="3" s="1"/>
  <c r="BH537" i="3" s="1"/>
  <c r="BH538" i="3" s="1"/>
  <c r="BH539" i="3" s="1"/>
  <c r="AI530" i="3"/>
  <c r="AJ533" i="3" s="1"/>
  <c r="AR530" i="3"/>
  <c r="AQ530" i="3"/>
  <c r="AP530" i="3"/>
  <c r="Y530" i="3"/>
  <c r="AB582" i="3" s="1"/>
  <c r="O530" i="3"/>
  <c r="E530" i="3"/>
  <c r="BF562" i="3" l="1"/>
  <c r="BF563" i="3" s="1"/>
  <c r="BE562" i="3"/>
  <c r="BE563" i="3" s="1"/>
  <c r="BG562" i="3"/>
  <c r="BG563" i="3" s="1"/>
  <c r="I586" i="3"/>
  <c r="BI540" i="3"/>
  <c r="BI541" i="3" s="1"/>
  <c r="BI542" i="3" s="1"/>
  <c r="BI543" i="3" s="1"/>
  <c r="BI544" i="3" s="1"/>
  <c r="BI545" i="3" s="1"/>
  <c r="BI546" i="3" s="1"/>
  <c r="BI547" i="3" s="1"/>
  <c r="BI548" i="3" s="1"/>
  <c r="BI549" i="3" s="1"/>
  <c r="BI550" i="3" s="1"/>
  <c r="BI551" i="3" s="1"/>
  <c r="BI552" i="3" s="1"/>
  <c r="BI553" i="3" s="1"/>
  <c r="BI554" i="3" s="1"/>
  <c r="BI555" i="3" s="1"/>
  <c r="BI556" i="3" s="1"/>
  <c r="BI557" i="3" s="1"/>
  <c r="BI558" i="3" s="1"/>
  <c r="BI559" i="3" s="1"/>
  <c r="BI560" i="3" s="1"/>
  <c r="BI561" i="3" s="1"/>
  <c r="AW587" i="3"/>
  <c r="BH540" i="3"/>
  <c r="BH541" i="3" s="1"/>
  <c r="BH542" i="3" s="1"/>
  <c r="BH543" i="3" s="1"/>
  <c r="BH544" i="3" s="1"/>
  <c r="BH545" i="3" s="1"/>
  <c r="BH546" i="3" s="1"/>
  <c r="BH547" i="3" s="1"/>
  <c r="BH548" i="3" s="1"/>
  <c r="BH549" i="3" s="1"/>
  <c r="BH550" i="3" s="1"/>
  <c r="BH551" i="3" s="1"/>
  <c r="BH552" i="3" s="1"/>
  <c r="BH553" i="3" s="1"/>
  <c r="BH554" i="3" s="1"/>
  <c r="BH555" i="3" s="1"/>
  <c r="BH556" i="3" s="1"/>
  <c r="BH557" i="3" s="1"/>
  <c r="BH558" i="3" s="1"/>
  <c r="BH559" i="3" s="1"/>
  <c r="BH560" i="3" s="1"/>
  <c r="F533" i="3"/>
  <c r="H582" i="3"/>
  <c r="AC586" i="3"/>
  <c r="AM585" i="3"/>
  <c r="BA530" i="3"/>
  <c r="R582" i="3"/>
  <c r="S586" i="3"/>
  <c r="BC530" i="3"/>
  <c r="AT534" i="3"/>
  <c r="BD531" i="3"/>
  <c r="AS530" i="3"/>
  <c r="AV582" i="3" s="1"/>
  <c r="AZ530" i="3"/>
  <c r="Z533" i="3"/>
  <c r="P533" i="3"/>
  <c r="BB530" i="3"/>
  <c r="AP529" i="3"/>
  <c r="AQ529" i="3"/>
  <c r="AR529" i="3"/>
  <c r="AI529" i="3"/>
  <c r="Y529" i="3"/>
  <c r="O529" i="3"/>
  <c r="E529" i="3"/>
  <c r="BG564" i="3" l="1"/>
  <c r="BG565" i="3" s="1"/>
  <c r="BG566" i="3" s="1"/>
  <c r="BG567" i="3" s="1"/>
  <c r="BG568" i="3" s="1"/>
  <c r="BG569" i="3" s="1"/>
  <c r="BG570" i="3" s="1"/>
  <c r="BG571" i="3" s="1"/>
  <c r="BG572" i="3" s="1"/>
  <c r="BG573" i="3" s="1"/>
  <c r="BG574" i="3" s="1"/>
  <c r="BG575" i="3" s="1"/>
  <c r="BE564" i="3"/>
  <c r="BE565" i="3" s="1"/>
  <c r="BE566" i="3" s="1"/>
  <c r="BE567" i="3" s="1"/>
  <c r="BE568" i="3" s="1"/>
  <c r="BE569" i="3" s="1"/>
  <c r="BE570" i="3" s="1"/>
  <c r="BE571" i="3" s="1"/>
  <c r="BE572" i="3" s="1"/>
  <c r="BE573" i="3" s="1"/>
  <c r="BE574" i="3" s="1"/>
  <c r="BE575" i="3" s="1"/>
  <c r="BF564" i="3"/>
  <c r="BF565" i="3" s="1"/>
  <c r="BF566" i="3" s="1"/>
  <c r="BF567" i="3" s="1"/>
  <c r="BF568" i="3" s="1"/>
  <c r="BF569" i="3" s="1"/>
  <c r="BF570" i="3" s="1"/>
  <c r="BF571" i="3" s="1"/>
  <c r="BF572" i="3" s="1"/>
  <c r="BF573" i="3" s="1"/>
  <c r="BF574" i="3" s="1"/>
  <c r="BF575" i="3" s="1"/>
  <c r="BI562" i="3"/>
  <c r="BI563" i="3" s="1"/>
  <c r="S585" i="3"/>
  <c r="F532" i="3"/>
  <c r="H581" i="3"/>
  <c r="BB529" i="3"/>
  <c r="AB581" i="3"/>
  <c r="BC529" i="3"/>
  <c r="AL581" i="3"/>
  <c r="AW586" i="3"/>
  <c r="P532" i="3"/>
  <c r="R581" i="3"/>
  <c r="AC585" i="3"/>
  <c r="I585" i="3"/>
  <c r="BA529" i="3"/>
  <c r="Z532" i="3"/>
  <c r="BH561" i="3"/>
  <c r="AT533" i="3"/>
  <c r="BD530" i="3"/>
  <c r="AS529" i="3"/>
  <c r="AV581" i="3" s="1"/>
  <c r="AJ532" i="3"/>
  <c r="AZ529" i="3"/>
  <c r="BF576" i="3" l="1"/>
  <c r="BF577" i="3" s="1"/>
  <c r="BF578" i="3" s="1"/>
  <c r="BF579" i="3" s="1"/>
  <c r="BF580" i="3" s="1"/>
  <c r="BF581" i="3" s="1"/>
  <c r="BF582" i="3" s="1"/>
  <c r="BF583" i="3" s="1"/>
  <c r="C19" i="1" s="1"/>
  <c r="BE576" i="3"/>
  <c r="BE577" i="3" s="1"/>
  <c r="BE578" i="3" s="1"/>
  <c r="BE579" i="3" s="1"/>
  <c r="BE580" i="3" s="1"/>
  <c r="BE581" i="3" s="1"/>
  <c r="BE582" i="3" s="1"/>
  <c r="BE583" i="3" s="1"/>
  <c r="B19" i="1" s="1"/>
  <c r="BG576" i="3"/>
  <c r="BG577" i="3" s="1"/>
  <c r="BG578" i="3" s="1"/>
  <c r="BG579" i="3" s="1"/>
  <c r="BG580" i="3" s="1"/>
  <c r="BG581" i="3" s="1"/>
  <c r="BG582" i="3" s="1"/>
  <c r="BG583" i="3" s="1"/>
  <c r="D19" i="1" s="1"/>
  <c r="BI564" i="3"/>
  <c r="BI565" i="3" s="1"/>
  <c r="BI566" i="3" s="1"/>
  <c r="BI567" i="3" s="1"/>
  <c r="BI568" i="3" s="1"/>
  <c r="BI569" i="3" s="1"/>
  <c r="BI570" i="3" s="1"/>
  <c r="BI571" i="3" s="1"/>
  <c r="BI572" i="3" s="1"/>
  <c r="BI573" i="3" s="1"/>
  <c r="BI574" i="3" s="1"/>
  <c r="BI575" i="3" s="1"/>
  <c r="BH562" i="3"/>
  <c r="BH563" i="3" s="1"/>
  <c r="AW585" i="3"/>
  <c r="AM584" i="3"/>
  <c r="S584" i="3"/>
  <c r="I584" i="3"/>
  <c r="AC584" i="3"/>
  <c r="AT532" i="3"/>
  <c r="BD529" i="3"/>
  <c r="AJ531" i="3"/>
  <c r="AR528" i="3"/>
  <c r="AQ528" i="3"/>
  <c r="AP528" i="3"/>
  <c r="Y528" i="3"/>
  <c r="O528" i="3"/>
  <c r="E528" i="3"/>
  <c r="BI576" i="3" l="1"/>
  <c r="BI577" i="3" s="1"/>
  <c r="BI578" i="3" s="1"/>
  <c r="BI579" i="3" s="1"/>
  <c r="BI580" i="3" s="1"/>
  <c r="BI581" i="3" s="1"/>
  <c r="BI582" i="3" s="1"/>
  <c r="BI583" i="3" s="1"/>
  <c r="F19" i="1" s="1"/>
  <c r="BH564" i="3"/>
  <c r="BH565" i="3" s="1"/>
  <c r="BH566" i="3" s="1"/>
  <c r="BH567" i="3" s="1"/>
  <c r="BH568" i="3" s="1"/>
  <c r="BH569" i="3" s="1"/>
  <c r="BH570" i="3" s="1"/>
  <c r="BH571" i="3" s="1"/>
  <c r="BH572" i="3" s="1"/>
  <c r="BH573" i="3" s="1"/>
  <c r="BH574" i="3" s="1"/>
  <c r="BH575" i="3" s="1"/>
  <c r="AM583" i="3"/>
  <c r="AW584" i="3"/>
  <c r="Z531" i="3"/>
  <c r="AB580" i="3"/>
  <c r="P531" i="3"/>
  <c r="R580" i="3"/>
  <c r="F531" i="3"/>
  <c r="H580" i="3"/>
  <c r="BC528" i="3"/>
  <c r="BB528" i="3"/>
  <c r="AS528" i="3"/>
  <c r="AV580" i="3" s="1"/>
  <c r="BA528" i="3"/>
  <c r="AZ528" i="3"/>
  <c r="BH576" i="3" l="1"/>
  <c r="BH577" i="3" s="1"/>
  <c r="BH578" i="3" s="1"/>
  <c r="BH579" i="3" s="1"/>
  <c r="BH580" i="3" s="1"/>
  <c r="BH581" i="3" s="1"/>
  <c r="BH582" i="3" s="1"/>
  <c r="BH583" i="3" s="1"/>
  <c r="E19" i="1" s="1"/>
  <c r="S583" i="3"/>
  <c r="AC583" i="3"/>
  <c r="I583" i="3"/>
  <c r="AT531" i="3"/>
  <c r="BD528" i="3"/>
  <c r="AP527" i="3"/>
  <c r="AQ527" i="3"/>
  <c r="AR527" i="3"/>
  <c r="AI527" i="3"/>
  <c r="Y527" i="3"/>
  <c r="AB579" i="3" s="1"/>
  <c r="O527" i="3"/>
  <c r="E527" i="3"/>
  <c r="AW583" i="3" l="1"/>
  <c r="AJ530" i="3"/>
  <c r="AL579" i="3"/>
  <c r="BA527" i="3"/>
  <c r="R579" i="3"/>
  <c r="AZ527" i="3"/>
  <c r="H579" i="3"/>
  <c r="Z530" i="3"/>
  <c r="BC527" i="3"/>
  <c r="BB527" i="3"/>
  <c r="P530" i="3"/>
  <c r="F530" i="3"/>
  <c r="AS527" i="3"/>
  <c r="AV579" i="3" s="1"/>
  <c r="AP526" i="3"/>
  <c r="AQ526" i="3"/>
  <c r="AR526" i="3"/>
  <c r="AI526" i="3"/>
  <c r="Y526" i="3"/>
  <c r="O526" i="3"/>
  <c r="E526" i="3"/>
  <c r="I582" i="3" l="1"/>
  <c r="AM582" i="3"/>
  <c r="S582" i="3"/>
  <c r="AC582" i="3"/>
  <c r="Z529" i="3"/>
  <c r="AB578" i="3"/>
  <c r="AJ529" i="3"/>
  <c r="AL578" i="3"/>
  <c r="F529" i="3"/>
  <c r="H578" i="3"/>
  <c r="BA526" i="3"/>
  <c r="R578" i="3"/>
  <c r="BB526" i="3"/>
  <c r="P529" i="3"/>
  <c r="BC526" i="3"/>
  <c r="AS526" i="3"/>
  <c r="AV578" i="3" s="1"/>
  <c r="AZ526" i="3"/>
  <c r="AT530" i="3"/>
  <c r="BD527" i="3"/>
  <c r="AI525" i="3"/>
  <c r="AJ528" i="3" s="1"/>
  <c r="AR525" i="3"/>
  <c r="AQ525" i="3"/>
  <c r="AP525" i="3"/>
  <c r="Y525" i="3"/>
  <c r="BB525" i="3" s="1"/>
  <c r="O525" i="3"/>
  <c r="E525" i="3"/>
  <c r="AW582" i="3" l="1"/>
  <c r="I581" i="3"/>
  <c r="AM581" i="3"/>
  <c r="S581" i="3"/>
  <c r="AC581" i="3"/>
  <c r="AM580" i="3"/>
  <c r="P528" i="3"/>
  <c r="R577" i="3"/>
  <c r="Z528" i="3"/>
  <c r="AB577" i="3"/>
  <c r="F528" i="3"/>
  <c r="H577" i="3"/>
  <c r="BA525" i="3"/>
  <c r="BC525" i="3"/>
  <c r="AZ525" i="3"/>
  <c r="AT529" i="3"/>
  <c r="BD526" i="3"/>
  <c r="AS525" i="3"/>
  <c r="AV577" i="3" s="1"/>
  <c r="AP524" i="3"/>
  <c r="AQ524" i="3"/>
  <c r="AR524" i="3"/>
  <c r="AI524" i="3"/>
  <c r="Y524" i="3"/>
  <c r="BB524" i="3" s="1"/>
  <c r="O524" i="3"/>
  <c r="E524" i="3"/>
  <c r="AW581" i="3" l="1"/>
  <c r="I580" i="3"/>
  <c r="AC580" i="3"/>
  <c r="S580" i="3"/>
  <c r="F527" i="3"/>
  <c r="H576" i="3"/>
  <c r="AJ527" i="3"/>
  <c r="AL576" i="3"/>
  <c r="P527" i="3"/>
  <c r="R576" i="3"/>
  <c r="Z527" i="3"/>
  <c r="AB576" i="3"/>
  <c r="BC524" i="3"/>
  <c r="AZ524" i="3"/>
  <c r="BA524" i="3"/>
  <c r="AT528" i="3"/>
  <c r="BD525" i="3"/>
  <c r="AS524" i="3"/>
  <c r="AV576" i="3" s="1"/>
  <c r="AI523" i="3"/>
  <c r="AR523" i="3"/>
  <c r="AQ523" i="3"/>
  <c r="AP523" i="3"/>
  <c r="Y523" i="3"/>
  <c r="O523" i="3"/>
  <c r="R575" i="3" s="1"/>
  <c r="E523" i="3"/>
  <c r="H575" i="3" s="1"/>
  <c r="AW580" i="3" l="1"/>
  <c r="AC579" i="3"/>
  <c r="S579" i="3"/>
  <c r="Z526" i="3"/>
  <c r="AB575" i="3"/>
  <c r="AM579" i="3"/>
  <c r="AJ526" i="3"/>
  <c r="AL575" i="3"/>
  <c r="I579" i="3"/>
  <c r="BB523" i="3"/>
  <c r="BC523" i="3"/>
  <c r="AT527" i="3"/>
  <c r="BD524" i="3"/>
  <c r="AS523" i="3"/>
  <c r="AV575" i="3" s="1"/>
  <c r="F526" i="3"/>
  <c r="P526" i="3"/>
  <c r="BA523" i="3"/>
  <c r="AZ523" i="3"/>
  <c r="AI522" i="3"/>
  <c r="AL574" i="3" s="1"/>
  <c r="AR522" i="3"/>
  <c r="AQ522" i="3"/>
  <c r="AP522" i="3"/>
  <c r="Y522" i="3"/>
  <c r="O522" i="3"/>
  <c r="R574" i="3" s="1"/>
  <c r="E522" i="3"/>
  <c r="H574" i="3" s="1"/>
  <c r="E520" i="3"/>
  <c r="H572" i="3" s="1"/>
  <c r="O520" i="3"/>
  <c r="R572" i="3" s="1"/>
  <c r="Y520" i="3"/>
  <c r="AB572" i="3" s="1"/>
  <c r="AI520" i="3"/>
  <c r="AL572" i="3" s="1"/>
  <c r="E521" i="3"/>
  <c r="H573" i="3" s="1"/>
  <c r="O521" i="3"/>
  <c r="R573" i="3" s="1"/>
  <c r="Y521" i="3"/>
  <c r="AB573" i="3" s="1"/>
  <c r="AI521" i="3"/>
  <c r="AL573" i="3" s="1"/>
  <c r="AW579" i="3" l="1"/>
  <c r="AC578" i="3"/>
  <c r="S578" i="3"/>
  <c r="Z525" i="3"/>
  <c r="AB574" i="3"/>
  <c r="I578" i="3"/>
  <c r="AM578" i="3"/>
  <c r="AJ524" i="3"/>
  <c r="F524" i="3"/>
  <c r="AZ522" i="3"/>
  <c r="F525" i="3"/>
  <c r="Z524" i="3"/>
  <c r="Z523" i="3"/>
  <c r="BB522" i="3"/>
  <c r="AT526" i="3"/>
  <c r="BD523" i="3"/>
  <c r="F523" i="3"/>
  <c r="P523" i="3"/>
  <c r="P524" i="3"/>
  <c r="AJ523" i="3"/>
  <c r="BC522" i="3"/>
  <c r="AJ525" i="3"/>
  <c r="BA522" i="3"/>
  <c r="P525" i="3"/>
  <c r="AS522" i="3"/>
  <c r="AV574" i="3" s="1"/>
  <c r="AZ521" i="3"/>
  <c r="BA521" i="3"/>
  <c r="BB521" i="3"/>
  <c r="BC521" i="3"/>
  <c r="AS521" i="3"/>
  <c r="AV573" i="3" s="1"/>
  <c r="AR521" i="3"/>
  <c r="AQ521" i="3"/>
  <c r="AP521" i="3"/>
  <c r="AM575" i="3" l="1"/>
  <c r="S576" i="3"/>
  <c r="I577" i="3"/>
  <c r="S575" i="3"/>
  <c r="AC577" i="3"/>
  <c r="I575" i="3"/>
  <c r="I576" i="3"/>
  <c r="AC576" i="3"/>
  <c r="S577" i="3"/>
  <c r="AM576" i="3"/>
  <c r="AW578" i="3"/>
  <c r="AM577" i="3"/>
  <c r="AC575" i="3"/>
  <c r="AT525" i="3"/>
  <c r="BD522" i="3"/>
  <c r="BD521" i="3"/>
  <c r="AT524" i="3"/>
  <c r="AZ520" i="3"/>
  <c r="BA520" i="3"/>
  <c r="BB520" i="3"/>
  <c r="BC520" i="3"/>
  <c r="AW576" i="3" l="1"/>
  <c r="AW577" i="3"/>
  <c r="AP520" i="3"/>
  <c r="AQ520" i="3"/>
  <c r="AR520" i="3"/>
  <c r="AS520" i="3"/>
  <c r="AT523" i="3" l="1"/>
  <c r="AV572" i="3"/>
  <c r="BD520" i="3"/>
  <c r="AP519" i="3"/>
  <c r="AQ519" i="3"/>
  <c r="AR519" i="3"/>
  <c r="AI519" i="3"/>
  <c r="Y519" i="3"/>
  <c r="O519" i="3"/>
  <c r="E519" i="3"/>
  <c r="BC519" i="3" l="1"/>
  <c r="AL571" i="3"/>
  <c r="F522" i="3"/>
  <c r="H571" i="3"/>
  <c r="P522" i="3"/>
  <c r="R571" i="3"/>
  <c r="Z522" i="3"/>
  <c r="AB571" i="3"/>
  <c r="AW575" i="3"/>
  <c r="BA519" i="3"/>
  <c r="AZ519" i="3"/>
  <c r="BB519" i="3"/>
  <c r="AJ522" i="3"/>
  <c r="AS519" i="3"/>
  <c r="AV571" i="3" s="1"/>
  <c r="AR518" i="3"/>
  <c r="AQ518" i="3"/>
  <c r="AP518" i="3"/>
  <c r="AI518" i="3"/>
  <c r="BC518" i="3" s="1"/>
  <c r="Y518" i="3"/>
  <c r="O518" i="3"/>
  <c r="E518" i="3"/>
  <c r="H570" i="3" s="1"/>
  <c r="AC574" i="3" l="1"/>
  <c r="BA518" i="3"/>
  <c r="R570" i="3"/>
  <c r="AM574" i="3"/>
  <c r="Z521" i="3"/>
  <c r="AB570" i="3"/>
  <c r="S574" i="3"/>
  <c r="I574" i="3"/>
  <c r="AJ521" i="3"/>
  <c r="AZ518" i="3"/>
  <c r="F521" i="3"/>
  <c r="BB518" i="3"/>
  <c r="P521" i="3"/>
  <c r="AT522" i="3"/>
  <c r="BD519" i="3"/>
  <c r="AS518" i="3"/>
  <c r="AV570" i="3" s="1"/>
  <c r="AI517" i="3"/>
  <c r="AJ520" i="3" s="1"/>
  <c r="AR517" i="3"/>
  <c r="AQ517" i="3"/>
  <c r="AP517" i="3"/>
  <c r="Y517" i="3"/>
  <c r="O517" i="3"/>
  <c r="R569" i="3" s="1"/>
  <c r="E517" i="3"/>
  <c r="H569" i="3" s="1"/>
  <c r="AM572" i="3" l="1"/>
  <c r="AM573" i="3"/>
  <c r="AW574" i="3"/>
  <c r="BB517" i="3"/>
  <c r="AB569" i="3"/>
  <c r="S573" i="3"/>
  <c r="I573" i="3"/>
  <c r="AC573" i="3"/>
  <c r="BC517" i="3"/>
  <c r="AZ517" i="3"/>
  <c r="F520" i="3"/>
  <c r="Z520" i="3"/>
  <c r="BD518" i="3"/>
  <c r="AT521" i="3"/>
  <c r="BA517" i="3"/>
  <c r="P520" i="3"/>
  <c r="AS517" i="3"/>
  <c r="S572" i="3" l="1"/>
  <c r="I572" i="3"/>
  <c r="AT520" i="3"/>
  <c r="AV569" i="3"/>
  <c r="AW573" i="3"/>
  <c r="AC572" i="3"/>
  <c r="BD517" i="3"/>
  <c r="AP516" i="3"/>
  <c r="AQ516" i="3"/>
  <c r="AR516" i="3"/>
  <c r="AI516" i="3"/>
  <c r="Y516" i="3"/>
  <c r="AB568" i="3" s="1"/>
  <c r="O516" i="3"/>
  <c r="R568" i="3" s="1"/>
  <c r="E516" i="3"/>
  <c r="AJ519" i="3" l="1"/>
  <c r="AL568" i="3"/>
  <c r="AW572" i="3"/>
  <c r="F519" i="3"/>
  <c r="H568" i="3"/>
  <c r="Z519" i="3"/>
  <c r="BB516" i="3"/>
  <c r="BC516" i="3"/>
  <c r="P519" i="3"/>
  <c r="BA516" i="3"/>
  <c r="AS516" i="3"/>
  <c r="AV568" i="3" s="1"/>
  <c r="AZ516" i="3"/>
  <c r="AI515" i="3"/>
  <c r="AR515" i="3"/>
  <c r="AQ515" i="3"/>
  <c r="AP515" i="3"/>
  <c r="Y515" i="3"/>
  <c r="AB567" i="3" s="1"/>
  <c r="O515" i="3"/>
  <c r="E515" i="3"/>
  <c r="AZ515" i="3" l="1"/>
  <c r="H567" i="3"/>
  <c r="AC571" i="3"/>
  <c r="AJ518" i="3"/>
  <c r="AL567" i="3"/>
  <c r="I571" i="3"/>
  <c r="P518" i="3"/>
  <c r="R567" i="3"/>
  <c r="S571" i="3"/>
  <c r="AM571" i="3"/>
  <c r="Z518" i="3"/>
  <c r="BB515" i="3"/>
  <c r="F518" i="3"/>
  <c r="BC515" i="3"/>
  <c r="AS515" i="3"/>
  <c r="AT519" i="3"/>
  <c r="BD516" i="3"/>
  <c r="BA515" i="3"/>
  <c r="AI514" i="3"/>
  <c r="AR514" i="3"/>
  <c r="AQ514" i="3"/>
  <c r="AP514" i="3"/>
  <c r="Y514" i="3"/>
  <c r="O514" i="3"/>
  <c r="R566" i="3" s="1"/>
  <c r="E514" i="3"/>
  <c r="H566" i="3" s="1"/>
  <c r="I570" i="3" l="1"/>
  <c r="AC570" i="3"/>
  <c r="AM570" i="3"/>
  <c r="AW571" i="3"/>
  <c r="Z517" i="3"/>
  <c r="AB566" i="3"/>
  <c r="BD515" i="3"/>
  <c r="AV567" i="3"/>
  <c r="S570" i="3"/>
  <c r="AT518" i="3"/>
  <c r="P517" i="3"/>
  <c r="BA514" i="3"/>
  <c r="BB514" i="3"/>
  <c r="AZ514" i="3"/>
  <c r="F517" i="3"/>
  <c r="AJ517" i="3"/>
  <c r="BC514" i="3"/>
  <c r="AS514" i="3"/>
  <c r="AV566" i="3" s="1"/>
  <c r="Y513" i="3"/>
  <c r="Y512" i="3"/>
  <c r="O513" i="3"/>
  <c r="E513" i="3"/>
  <c r="Z515" i="3" l="1"/>
  <c r="AB564" i="3"/>
  <c r="Z516" i="3"/>
  <c r="AB565" i="3"/>
  <c r="S569" i="3"/>
  <c r="AW570" i="3"/>
  <c r="AM569" i="3"/>
  <c r="I569" i="3"/>
  <c r="F516" i="3"/>
  <c r="H565" i="3"/>
  <c r="P516" i="3"/>
  <c r="R565" i="3"/>
  <c r="AC569" i="3"/>
  <c r="BD514" i="3"/>
  <c r="AT517" i="3"/>
  <c r="AI513" i="3"/>
  <c r="AR513" i="3"/>
  <c r="AQ513" i="3"/>
  <c r="AP513" i="3"/>
  <c r="BA513" i="3"/>
  <c r="AZ513" i="3"/>
  <c r="AC568" i="3" l="1"/>
  <c r="AJ516" i="3"/>
  <c r="AL565" i="3"/>
  <c r="AW569" i="3"/>
  <c r="S568" i="3"/>
  <c r="I568" i="3"/>
  <c r="AC567" i="3"/>
  <c r="BC513" i="3"/>
  <c r="BB513" i="3"/>
  <c r="AS513" i="3"/>
  <c r="AT516" i="3" l="1"/>
  <c r="AV565" i="3"/>
  <c r="AM568" i="3"/>
  <c r="BD513" i="3"/>
  <c r="BB512" i="3"/>
  <c r="AQ512" i="3"/>
  <c r="AR512" i="3"/>
  <c r="AI512" i="3"/>
  <c r="AP512" i="3"/>
  <c r="O512" i="3"/>
  <c r="E512" i="3"/>
  <c r="F515" i="3" l="1"/>
  <c r="H564" i="3"/>
  <c r="P515" i="3"/>
  <c r="R564" i="3"/>
  <c r="AJ515" i="3"/>
  <c r="AL564" i="3"/>
  <c r="AW568" i="3"/>
  <c r="BA512" i="3"/>
  <c r="AZ512" i="3"/>
  <c r="BC512" i="3"/>
  <c r="AS512" i="3"/>
  <c r="AI511" i="3"/>
  <c r="AJ514" i="3" s="1"/>
  <c r="AR511" i="3"/>
  <c r="AQ511" i="3"/>
  <c r="AP511" i="3"/>
  <c r="Y511" i="3"/>
  <c r="BB511" i="3" s="1"/>
  <c r="O511" i="3"/>
  <c r="E511" i="3"/>
  <c r="AM566" i="3" l="1"/>
  <c r="AM567" i="3"/>
  <c r="F514" i="3"/>
  <c r="H563" i="3"/>
  <c r="AT515" i="3"/>
  <c r="AV564" i="3"/>
  <c r="P514" i="3"/>
  <c r="R563" i="3"/>
  <c r="S567" i="3"/>
  <c r="Z514" i="3"/>
  <c r="AB563" i="3"/>
  <c r="I567" i="3"/>
  <c r="AS511" i="3"/>
  <c r="AV563" i="3" s="1"/>
  <c r="BA511" i="3"/>
  <c r="AZ511" i="3"/>
  <c r="BD512" i="3"/>
  <c r="BC511" i="3"/>
  <c r="AP510" i="3"/>
  <c r="AQ510" i="3"/>
  <c r="AR510" i="3"/>
  <c r="AI510" i="3"/>
  <c r="Y510" i="3"/>
  <c r="O510" i="3"/>
  <c r="E510" i="3"/>
  <c r="AZ510" i="3" s="1"/>
  <c r="AW567" i="3" l="1"/>
  <c r="P513" i="3"/>
  <c r="R562" i="3"/>
  <c r="F513" i="3"/>
  <c r="H562" i="3"/>
  <c r="BD511" i="3"/>
  <c r="Z513" i="3"/>
  <c r="AB562" i="3"/>
  <c r="AT514" i="3"/>
  <c r="AC566" i="3"/>
  <c r="I566" i="3"/>
  <c r="S566" i="3"/>
  <c r="AJ513" i="3"/>
  <c r="AL562" i="3"/>
  <c r="BB510" i="3"/>
  <c r="BA510" i="3"/>
  <c r="BC510" i="3"/>
  <c r="AS510" i="3"/>
  <c r="AV562" i="3" s="1"/>
  <c r="AI509" i="3"/>
  <c r="AL561" i="3" s="1"/>
  <c r="AR509" i="3"/>
  <c r="AP509" i="3"/>
  <c r="AQ509" i="3"/>
  <c r="Y509" i="3"/>
  <c r="O509" i="3"/>
  <c r="R561" i="3" s="1"/>
  <c r="E509" i="3"/>
  <c r="AM565" i="3" l="1"/>
  <c r="AC565" i="3"/>
  <c r="I565" i="3"/>
  <c r="S565" i="3"/>
  <c r="AW566" i="3"/>
  <c r="F512" i="3"/>
  <c r="H561" i="3"/>
  <c r="Z512" i="3"/>
  <c r="AB561" i="3"/>
  <c r="AZ509" i="3"/>
  <c r="AS509" i="3"/>
  <c r="AT513" i="3"/>
  <c r="BD510" i="3"/>
  <c r="BA509" i="3"/>
  <c r="P512" i="3"/>
  <c r="BC509" i="3"/>
  <c r="AJ512" i="3"/>
  <c r="BB509" i="3"/>
  <c r="AI508" i="3"/>
  <c r="AR508" i="3"/>
  <c r="AQ508" i="3"/>
  <c r="AP508" i="3"/>
  <c r="Y508" i="3"/>
  <c r="O508" i="3"/>
  <c r="E508" i="3"/>
  <c r="AW565" i="3" l="1"/>
  <c r="AM564" i="3"/>
  <c r="AC564" i="3"/>
  <c r="I564" i="3"/>
  <c r="S564" i="3"/>
  <c r="BD509" i="3"/>
  <c r="AV561" i="3"/>
  <c r="F511" i="3"/>
  <c r="H560" i="3"/>
  <c r="BB508" i="3"/>
  <c r="AB560" i="3"/>
  <c r="P511" i="3"/>
  <c r="R560" i="3"/>
  <c r="BC508" i="3"/>
  <c r="BA508" i="3"/>
  <c r="Z511" i="3"/>
  <c r="AZ508" i="3"/>
  <c r="AS508" i="3"/>
  <c r="AV560" i="3" s="1"/>
  <c r="AJ511" i="3"/>
  <c r="AT512" i="3"/>
  <c r="AI507" i="3"/>
  <c r="AL559" i="3" s="1"/>
  <c r="AR507" i="3"/>
  <c r="AQ507" i="3"/>
  <c r="AP507" i="3"/>
  <c r="Y507" i="3"/>
  <c r="O507" i="3"/>
  <c r="E507" i="3"/>
  <c r="S563" i="3" l="1"/>
  <c r="AW564" i="3"/>
  <c r="AM563" i="3"/>
  <c r="AC563" i="3"/>
  <c r="I563" i="3"/>
  <c r="R559" i="3"/>
  <c r="F510" i="3"/>
  <c r="H559" i="3"/>
  <c r="Z510" i="3"/>
  <c r="AB559" i="3"/>
  <c r="BA507" i="3"/>
  <c r="P510" i="3"/>
  <c r="AT511" i="3"/>
  <c r="BD508" i="3"/>
  <c r="BC507" i="3"/>
  <c r="AJ510" i="3"/>
  <c r="AS507" i="3"/>
  <c r="AV559" i="3" s="1"/>
  <c r="BB507" i="3"/>
  <c r="AZ507" i="3"/>
  <c r="AQ506" i="3"/>
  <c r="AR506" i="3"/>
  <c r="AI506" i="3"/>
  <c r="AL558" i="3" s="1"/>
  <c r="AP506" i="3"/>
  <c r="Y506" i="3"/>
  <c r="AB558" i="3" s="1"/>
  <c r="O506" i="3"/>
  <c r="R558" i="3" s="1"/>
  <c r="E506" i="3"/>
  <c r="H558" i="3" s="1"/>
  <c r="AJ509" i="3" l="1"/>
  <c r="AW563" i="3"/>
  <c r="S562" i="3"/>
  <c r="I562" i="3"/>
  <c r="AC562" i="3"/>
  <c r="AM562" i="3"/>
  <c r="AM561" i="3"/>
  <c r="AZ506" i="3"/>
  <c r="F509" i="3"/>
  <c r="BD507" i="3"/>
  <c r="AT510" i="3"/>
  <c r="BA506" i="3"/>
  <c r="P509" i="3"/>
  <c r="BB506" i="3"/>
  <c r="Z509" i="3"/>
  <c r="AS506" i="3"/>
  <c r="AV558" i="3" s="1"/>
  <c r="BC506" i="3"/>
  <c r="AI505" i="3"/>
  <c r="AR505" i="3"/>
  <c r="AQ505" i="3"/>
  <c r="AP505" i="3"/>
  <c r="Y505" i="3"/>
  <c r="AB557" i="3" s="1"/>
  <c r="O505" i="3"/>
  <c r="E505" i="3"/>
  <c r="H557" i="3" s="1"/>
  <c r="AW562" i="3" l="1"/>
  <c r="S561" i="3"/>
  <c r="AC561" i="3"/>
  <c r="I561" i="3"/>
  <c r="P508" i="3"/>
  <c r="R557" i="3"/>
  <c r="BB505" i="3"/>
  <c r="Z508" i="3"/>
  <c r="BC505" i="3"/>
  <c r="AJ508" i="3"/>
  <c r="AZ505" i="3"/>
  <c r="F508" i="3"/>
  <c r="BD506" i="3"/>
  <c r="AT509" i="3"/>
  <c r="AS505" i="3"/>
  <c r="BA505" i="3"/>
  <c r="AW561" i="3" l="1"/>
  <c r="I560" i="3"/>
  <c r="AT508" i="3"/>
  <c r="AV557" i="3"/>
  <c r="AM560" i="3"/>
  <c r="AC560" i="3"/>
  <c r="S560" i="3"/>
  <c r="BD505" i="3"/>
  <c r="AP504" i="3"/>
  <c r="AQ504" i="3"/>
  <c r="AR504" i="3"/>
  <c r="AI504" i="3"/>
  <c r="Y504" i="3"/>
  <c r="AB556" i="3" s="1"/>
  <c r="O504" i="3"/>
  <c r="R556" i="3" s="1"/>
  <c r="E504" i="3"/>
  <c r="AW560" i="3" l="1"/>
  <c r="F507" i="3"/>
  <c r="H556" i="3"/>
  <c r="AJ507" i="3"/>
  <c r="AL556" i="3"/>
  <c r="BB504" i="3"/>
  <c r="Z507" i="3"/>
  <c r="BC504" i="3"/>
  <c r="P507" i="3"/>
  <c r="AZ504" i="3"/>
  <c r="BA504" i="3"/>
  <c r="AS504" i="3"/>
  <c r="AV556" i="3" s="1"/>
  <c r="AI503" i="3"/>
  <c r="AR503" i="3"/>
  <c r="AQ503" i="3"/>
  <c r="AP503" i="3"/>
  <c r="Y503" i="3"/>
  <c r="AB555" i="3" s="1"/>
  <c r="O503" i="3"/>
  <c r="E503" i="3"/>
  <c r="AZ503" i="3"/>
  <c r="AM559" i="3" l="1"/>
  <c r="I559" i="3"/>
  <c r="S559" i="3"/>
  <c r="AC559" i="3"/>
  <c r="AJ506" i="3"/>
  <c r="AL555" i="3"/>
  <c r="F506" i="3"/>
  <c r="H555" i="3"/>
  <c r="P506" i="3"/>
  <c r="R555" i="3"/>
  <c r="Z506" i="3"/>
  <c r="BA503" i="3"/>
  <c r="AT507" i="3"/>
  <c r="BC503" i="3"/>
  <c r="AS503" i="3"/>
  <c r="BD503" i="3" s="1"/>
  <c r="BB503" i="3"/>
  <c r="BD504" i="3"/>
  <c r="AI502" i="3"/>
  <c r="AR502" i="3"/>
  <c r="AQ502" i="3"/>
  <c r="AP502" i="3"/>
  <c r="Y502" i="3"/>
  <c r="BB502" i="3" s="1"/>
  <c r="O502" i="3"/>
  <c r="R554" i="3" s="1"/>
  <c r="E502" i="3"/>
  <c r="AC558" i="3" l="1"/>
  <c r="I558" i="3"/>
  <c r="S558" i="3"/>
  <c r="AW559" i="3"/>
  <c r="AM558" i="3"/>
  <c r="AJ505" i="3"/>
  <c r="AL554" i="3"/>
  <c r="Z505" i="3"/>
  <c r="AB554" i="3"/>
  <c r="AT506" i="3"/>
  <c r="AV555" i="3"/>
  <c r="F505" i="3"/>
  <c r="H554" i="3"/>
  <c r="AZ502" i="3"/>
  <c r="BA502" i="3"/>
  <c r="P505" i="3"/>
  <c r="AS502" i="3"/>
  <c r="BC502" i="3"/>
  <c r="AI501" i="3"/>
  <c r="BC501" i="3" s="1"/>
  <c r="AR501" i="3"/>
  <c r="AQ501" i="3"/>
  <c r="AP501" i="3"/>
  <c r="Y501" i="3"/>
  <c r="AB553" i="3" s="1"/>
  <c r="O501" i="3"/>
  <c r="R553" i="3" s="1"/>
  <c r="E501" i="3"/>
  <c r="H553" i="3" s="1"/>
  <c r="AM557" i="3" l="1"/>
  <c r="AW558" i="3"/>
  <c r="AC557" i="3"/>
  <c r="I557" i="3"/>
  <c r="S557" i="3"/>
  <c r="AT505" i="3"/>
  <c r="AV554" i="3"/>
  <c r="AJ504" i="3"/>
  <c r="AZ501" i="3"/>
  <c r="F504" i="3"/>
  <c r="BA501" i="3"/>
  <c r="P504" i="3"/>
  <c r="BB501" i="3"/>
  <c r="Z504" i="3"/>
  <c r="AS501" i="3"/>
  <c r="AV553" i="3" s="1"/>
  <c r="BD502" i="3"/>
  <c r="AI500" i="3"/>
  <c r="AR500" i="3"/>
  <c r="AQ500" i="3"/>
  <c r="AP500" i="3"/>
  <c r="Y500" i="3"/>
  <c r="AB552" i="3" s="1"/>
  <c r="O500" i="3"/>
  <c r="R552" i="3" s="1"/>
  <c r="E500" i="3"/>
  <c r="AW557" i="3" l="1"/>
  <c r="S556" i="3"/>
  <c r="I556" i="3"/>
  <c r="AM556" i="3"/>
  <c r="AJ503" i="3"/>
  <c r="F503" i="3"/>
  <c r="H552" i="3"/>
  <c r="AC556" i="3"/>
  <c r="BA500" i="3"/>
  <c r="P503" i="3"/>
  <c r="BB500" i="3"/>
  <c r="Z503" i="3"/>
  <c r="AZ500" i="3"/>
  <c r="BD501" i="3"/>
  <c r="AT504" i="3"/>
  <c r="AS500" i="3"/>
  <c r="BC500" i="3"/>
  <c r="AP499" i="3"/>
  <c r="AQ499" i="3"/>
  <c r="AR499" i="3"/>
  <c r="AI499" i="3"/>
  <c r="AL551" i="3" s="1"/>
  <c r="Y499" i="3"/>
  <c r="AB551" i="3" s="1"/>
  <c r="O499" i="3"/>
  <c r="E499" i="3"/>
  <c r="H551" i="3" s="1"/>
  <c r="I555" i="3" l="1"/>
  <c r="AM555" i="3"/>
  <c r="S555" i="3"/>
  <c r="P502" i="3"/>
  <c r="R551" i="3"/>
  <c r="AC555" i="3"/>
  <c r="AT503" i="3"/>
  <c r="AV552" i="3"/>
  <c r="AW556" i="3"/>
  <c r="AZ499" i="3"/>
  <c r="F502" i="3"/>
  <c r="BB499" i="3"/>
  <c r="Z502" i="3"/>
  <c r="AJ502" i="3"/>
  <c r="BC499" i="3"/>
  <c r="BA499" i="3"/>
  <c r="BD500" i="3"/>
  <c r="AS499" i="3"/>
  <c r="AQ498" i="3"/>
  <c r="AR498" i="3"/>
  <c r="AF498" i="3"/>
  <c r="AP498" i="3" s="1"/>
  <c r="Y498" i="3"/>
  <c r="AB550" i="3" s="1"/>
  <c r="O498" i="3"/>
  <c r="R550" i="3" s="1"/>
  <c r="E498" i="3"/>
  <c r="AZ498" i="3" s="1"/>
  <c r="AT502" i="3" l="1"/>
  <c r="AV551" i="3"/>
  <c r="I554" i="3"/>
  <c r="S554" i="3"/>
  <c r="AM554" i="3"/>
  <c r="AW555" i="3"/>
  <c r="F501" i="3"/>
  <c r="H550" i="3"/>
  <c r="AC554" i="3"/>
  <c r="BA498" i="3"/>
  <c r="P501" i="3"/>
  <c r="AI498" i="3"/>
  <c r="AL550" i="3" s="1"/>
  <c r="BB498" i="3"/>
  <c r="Z501" i="3"/>
  <c r="BD499" i="3"/>
  <c r="AP497" i="3"/>
  <c r="AQ497" i="3"/>
  <c r="AR497" i="3"/>
  <c r="AI497" i="3"/>
  <c r="AL549" i="3" s="1"/>
  <c r="Y497" i="3"/>
  <c r="O497" i="3"/>
  <c r="E497" i="3"/>
  <c r="AS498" i="3" l="1"/>
  <c r="AV550" i="3" s="1"/>
  <c r="AC553" i="3"/>
  <c r="I553" i="3"/>
  <c r="S553" i="3"/>
  <c r="AW554" i="3"/>
  <c r="F500" i="3"/>
  <c r="H549" i="3"/>
  <c r="Z500" i="3"/>
  <c r="AB549" i="3"/>
  <c r="P500" i="3"/>
  <c r="R549" i="3"/>
  <c r="AJ500" i="3"/>
  <c r="AJ501" i="3"/>
  <c r="BC498" i="3"/>
  <c r="BB497" i="3"/>
  <c r="BC497" i="3"/>
  <c r="BA497" i="3"/>
  <c r="AZ497" i="3"/>
  <c r="AS497" i="3"/>
  <c r="AV549" i="3" s="1"/>
  <c r="AT501" i="3" l="1"/>
  <c r="BD498" i="3"/>
  <c r="S552" i="3"/>
  <c r="AM552" i="3"/>
  <c r="AC552" i="3"/>
  <c r="AM553" i="3"/>
  <c r="AW553" i="3"/>
  <c r="I552" i="3"/>
  <c r="AT500" i="3"/>
  <c r="BD497" i="3"/>
  <c r="AP496" i="3"/>
  <c r="AQ496" i="3"/>
  <c r="AR496" i="3"/>
  <c r="AI496" i="3"/>
  <c r="AL548" i="3" s="1"/>
  <c r="Y496" i="3"/>
  <c r="AB548" i="3" s="1"/>
  <c r="O496" i="3"/>
  <c r="R548" i="3" s="1"/>
  <c r="E496" i="3"/>
  <c r="H548" i="3" s="1"/>
  <c r="AW552" i="3" l="1"/>
  <c r="AZ496" i="3"/>
  <c r="F499" i="3"/>
  <c r="BA496" i="3"/>
  <c r="P499" i="3"/>
  <c r="Z499" i="3"/>
  <c r="AJ499" i="3"/>
  <c r="BC496" i="3"/>
  <c r="BB496" i="3"/>
  <c r="AS496" i="3"/>
  <c r="AI495" i="3"/>
  <c r="AL547" i="3" s="1"/>
  <c r="AR495" i="3"/>
  <c r="AQ495" i="3"/>
  <c r="AP495" i="3"/>
  <c r="Y495" i="3"/>
  <c r="AB547" i="3" s="1"/>
  <c r="O495" i="3"/>
  <c r="R547" i="3" s="1"/>
  <c r="E495" i="3"/>
  <c r="H547" i="3" s="1"/>
  <c r="AM551" i="3" l="1"/>
  <c r="I551" i="3"/>
  <c r="S551" i="3"/>
  <c r="AC551" i="3"/>
  <c r="AT499" i="3"/>
  <c r="AV548" i="3"/>
  <c r="AZ495" i="3"/>
  <c r="F498" i="3"/>
  <c r="BA495" i="3"/>
  <c r="P498" i="3"/>
  <c r="BB495" i="3"/>
  <c r="Z498" i="3"/>
  <c r="AS495" i="3"/>
  <c r="AV547" i="3" s="1"/>
  <c r="AJ498" i="3"/>
  <c r="BD496" i="3"/>
  <c r="BC495" i="3"/>
  <c r="AR494" i="3"/>
  <c r="AI494" i="3"/>
  <c r="AL546" i="3" s="1"/>
  <c r="AQ494" i="3"/>
  <c r="Y494" i="3"/>
  <c r="AB546" i="3" s="1"/>
  <c r="AP494" i="3"/>
  <c r="O494" i="3"/>
  <c r="E494" i="3"/>
  <c r="H546" i="3" s="1"/>
  <c r="AW551" i="3" l="1"/>
  <c r="S550" i="3"/>
  <c r="AC550" i="3"/>
  <c r="I550" i="3"/>
  <c r="AM550" i="3"/>
  <c r="P497" i="3"/>
  <c r="R546" i="3"/>
  <c r="BA494" i="3"/>
  <c r="AZ494" i="3"/>
  <c r="F497" i="3"/>
  <c r="BD495" i="3"/>
  <c r="AT498" i="3"/>
  <c r="BB494" i="3"/>
  <c r="Z497" i="3"/>
  <c r="AS494" i="3"/>
  <c r="AV546" i="3" s="1"/>
  <c r="AJ497" i="3"/>
  <c r="BC494" i="3"/>
  <c r="AR493" i="3"/>
  <c r="AI493" i="3"/>
  <c r="AL545" i="3" s="1"/>
  <c r="Y493" i="3"/>
  <c r="AB545" i="3" s="1"/>
  <c r="AQ493" i="3"/>
  <c r="AP493" i="3"/>
  <c r="O493" i="3"/>
  <c r="E493" i="3"/>
  <c r="AZ493" i="3" s="1"/>
  <c r="AW550" i="3" l="1"/>
  <c r="I549" i="3"/>
  <c r="AM549" i="3"/>
  <c r="AC549" i="3"/>
  <c r="S549" i="3"/>
  <c r="P496" i="3"/>
  <c r="R545" i="3"/>
  <c r="F496" i="3"/>
  <c r="H545" i="3"/>
  <c r="BA493" i="3"/>
  <c r="BD494" i="3"/>
  <c r="AT497" i="3"/>
  <c r="Z496" i="3"/>
  <c r="AJ496" i="3"/>
  <c r="BC493" i="3"/>
  <c r="AS493" i="3"/>
  <c r="BB493" i="3"/>
  <c r="AW549" i="3" l="1"/>
  <c r="S548" i="3"/>
  <c r="AC548" i="3"/>
  <c r="I548" i="3"/>
  <c r="AM548" i="3"/>
  <c r="AT496" i="3"/>
  <c r="AV545" i="3"/>
  <c r="BD493" i="3"/>
  <c r="AW548" i="3" l="1"/>
  <c r="AR492" i="3"/>
  <c r="AQ492" i="3"/>
  <c r="AP492" i="3"/>
  <c r="AI492" i="3"/>
  <c r="AL544" i="3" s="1"/>
  <c r="E492" i="3"/>
  <c r="H544" i="3" s="1"/>
  <c r="Y492" i="3"/>
  <c r="AB544" i="3" s="1"/>
  <c r="O492" i="3"/>
  <c r="R544" i="3" s="1"/>
  <c r="BA492" i="3" l="1"/>
  <c r="P495" i="3"/>
  <c r="F495" i="3"/>
  <c r="BC492" i="3"/>
  <c r="AJ495" i="3"/>
  <c r="BB492" i="3"/>
  <c r="Z495" i="3"/>
  <c r="AS492" i="3"/>
  <c r="AZ492" i="3"/>
  <c r="AC547" i="3" l="1"/>
  <c r="AM547" i="3"/>
  <c r="I547" i="3"/>
  <c r="S547" i="3"/>
  <c r="AT495" i="3"/>
  <c r="AV544" i="3"/>
  <c r="BD492" i="3"/>
  <c r="AI491" i="3"/>
  <c r="AL543" i="3" s="1"/>
  <c r="AR491" i="3"/>
  <c r="AQ491" i="3"/>
  <c r="Y491" i="3"/>
  <c r="AB543" i="3" s="1"/>
  <c r="E491" i="3"/>
  <c r="O491" i="3"/>
  <c r="R543" i="3" s="1"/>
  <c r="AP491" i="3"/>
  <c r="AW547" i="3" l="1"/>
  <c r="F494" i="3"/>
  <c r="H543" i="3"/>
  <c r="AJ494" i="3"/>
  <c r="BC491" i="3"/>
  <c r="BA491" i="3"/>
  <c r="P494" i="3"/>
  <c r="BB491" i="3"/>
  <c r="Z494" i="3"/>
  <c r="AZ491" i="3"/>
  <c r="AS491" i="3"/>
  <c r="I546" i="3" l="1"/>
  <c r="S546" i="3"/>
  <c r="AM546" i="3"/>
  <c r="AC546" i="3"/>
  <c r="AT494" i="3"/>
  <c r="AV543" i="3"/>
  <c r="BD491" i="3"/>
  <c r="AI490" i="3"/>
  <c r="AL542" i="3" s="1"/>
  <c r="AR490" i="3"/>
  <c r="AQ490" i="3"/>
  <c r="AP490" i="3"/>
  <c r="Y490" i="3"/>
  <c r="AB542" i="3" s="1"/>
  <c r="O490" i="3"/>
  <c r="R542" i="3" s="1"/>
  <c r="E490" i="3"/>
  <c r="H542" i="3" s="1"/>
  <c r="AW546" i="3" l="1"/>
  <c r="BB490" i="3"/>
  <c r="Z493" i="3"/>
  <c r="AS490" i="3"/>
  <c r="AV542" i="3" s="1"/>
  <c r="AJ493" i="3"/>
  <c r="AZ490" i="3"/>
  <c r="F493" i="3"/>
  <c r="BA490" i="3"/>
  <c r="P493" i="3"/>
  <c r="BC490" i="3"/>
  <c r="I545" i="3" l="1"/>
  <c r="AC545" i="3"/>
  <c r="S545" i="3"/>
  <c r="AM545" i="3"/>
  <c r="BD490" i="3"/>
  <c r="AT493" i="3"/>
  <c r="AI489" i="3"/>
  <c r="AL541" i="3" s="1"/>
  <c r="AR489" i="3"/>
  <c r="AQ489" i="3"/>
  <c r="AP489" i="3"/>
  <c r="Y489" i="3"/>
  <c r="AB541" i="3" s="1"/>
  <c r="O489" i="3"/>
  <c r="R541" i="3" s="1"/>
  <c r="E489" i="3"/>
  <c r="AW545" i="3" l="1"/>
  <c r="F492" i="3"/>
  <c r="H541" i="3"/>
  <c r="AZ489" i="3"/>
  <c r="BA489" i="3"/>
  <c r="P492" i="3"/>
  <c r="BB489" i="3"/>
  <c r="Z492" i="3"/>
  <c r="AS489" i="3"/>
  <c r="AV541" i="3" s="1"/>
  <c r="AJ492" i="3"/>
  <c r="BC489" i="3"/>
  <c r="AI488" i="3"/>
  <c r="AL540" i="3" s="1"/>
  <c r="AR488" i="3"/>
  <c r="AQ488" i="3"/>
  <c r="AP488" i="3"/>
  <c r="Y488" i="3"/>
  <c r="AB540" i="3" s="1"/>
  <c r="O488" i="3"/>
  <c r="R540" i="3" s="1"/>
  <c r="E488" i="3"/>
  <c r="H540" i="3" s="1"/>
  <c r="S544" i="3" l="1"/>
  <c r="AM544" i="3"/>
  <c r="I544" i="3"/>
  <c r="AC544" i="3"/>
  <c r="AZ488" i="3"/>
  <c r="F491" i="3"/>
  <c r="BB488" i="3"/>
  <c r="Z491" i="3"/>
  <c r="BC488" i="3"/>
  <c r="AJ491" i="3"/>
  <c r="BA488" i="3"/>
  <c r="P491" i="3"/>
  <c r="BD489" i="3"/>
  <c r="AT492" i="3"/>
  <c r="AS488" i="3"/>
  <c r="AI487" i="3"/>
  <c r="BC487" i="3" s="1"/>
  <c r="AR487" i="3"/>
  <c r="AQ487" i="3"/>
  <c r="AP487" i="3"/>
  <c r="Y487" i="3"/>
  <c r="AB539" i="3" s="1"/>
  <c r="O487" i="3"/>
  <c r="R539" i="3" s="1"/>
  <c r="E487" i="3"/>
  <c r="H539" i="3" s="1"/>
  <c r="AM543" i="3" l="1"/>
  <c r="S543" i="3"/>
  <c r="AC543" i="3"/>
  <c r="AW544" i="3"/>
  <c r="I543" i="3"/>
  <c r="AJ490" i="3"/>
  <c r="AL539" i="3"/>
  <c r="AT491" i="3"/>
  <c r="AV540" i="3"/>
  <c r="BB487" i="3"/>
  <c r="Z490" i="3"/>
  <c r="AS487" i="3"/>
  <c r="F490" i="3"/>
  <c r="BA487" i="3"/>
  <c r="P490" i="3"/>
  <c r="BD487" i="3"/>
  <c r="AZ487" i="3"/>
  <c r="BD488" i="3"/>
  <c r="AI486" i="3"/>
  <c r="AR486" i="3"/>
  <c r="AQ486" i="3"/>
  <c r="AP486" i="3"/>
  <c r="Y486" i="3"/>
  <c r="AB538" i="3" s="1"/>
  <c r="O486" i="3"/>
  <c r="R538" i="3" s="1"/>
  <c r="E486" i="3"/>
  <c r="H538" i="3" s="1"/>
  <c r="AJ489" i="3" l="1"/>
  <c r="AL538" i="3"/>
  <c r="AW543" i="3"/>
  <c r="S542" i="3"/>
  <c r="AC542" i="3"/>
  <c r="I542" i="3"/>
  <c r="AM542" i="3"/>
  <c r="AT490" i="3"/>
  <c r="AV539" i="3"/>
  <c r="BB486" i="3"/>
  <c r="Z489" i="3"/>
  <c r="AZ486" i="3"/>
  <c r="F489" i="3"/>
  <c r="BA486" i="3"/>
  <c r="P489" i="3"/>
  <c r="AS486" i="3"/>
  <c r="BC486" i="3"/>
  <c r="AI485" i="3"/>
  <c r="AR485" i="3"/>
  <c r="AQ485" i="3"/>
  <c r="AP485" i="3"/>
  <c r="Y485" i="3"/>
  <c r="AB537" i="3" s="1"/>
  <c r="O485" i="3"/>
  <c r="R537" i="3" s="1"/>
  <c r="E485" i="3"/>
  <c r="H537" i="3" s="1"/>
  <c r="AC541" i="3" l="1"/>
  <c r="AJ488" i="3"/>
  <c r="AL537" i="3"/>
  <c r="AT489" i="3"/>
  <c r="AV538" i="3"/>
  <c r="S541" i="3"/>
  <c r="AW542" i="3"/>
  <c r="I541" i="3"/>
  <c r="AM541" i="3"/>
  <c r="BC485" i="3"/>
  <c r="AZ485" i="3"/>
  <c r="F488" i="3"/>
  <c r="BA485" i="3"/>
  <c r="P488" i="3"/>
  <c r="BD486" i="3"/>
  <c r="BB485" i="3"/>
  <c r="Z488" i="3"/>
  <c r="AS485" i="3"/>
  <c r="AV537" i="3" s="1"/>
  <c r="AI484" i="3"/>
  <c r="AL536" i="3" s="1"/>
  <c r="AR484" i="3"/>
  <c r="AQ484" i="3"/>
  <c r="AP484" i="3"/>
  <c r="Y484" i="3"/>
  <c r="AB536" i="3" s="1"/>
  <c r="O484" i="3"/>
  <c r="R536" i="3" s="1"/>
  <c r="E484" i="3"/>
  <c r="AC540" i="3" l="1"/>
  <c r="AW541" i="3"/>
  <c r="AM540" i="3"/>
  <c r="F487" i="3"/>
  <c r="H536" i="3"/>
  <c r="S540" i="3"/>
  <c r="I540" i="3"/>
  <c r="AZ484" i="3"/>
  <c r="BB484" i="3"/>
  <c r="Z487" i="3"/>
  <c r="AS484" i="3"/>
  <c r="AV536" i="3" s="1"/>
  <c r="AJ487" i="3"/>
  <c r="BD485" i="3"/>
  <c r="AT488" i="3"/>
  <c r="BA484" i="3"/>
  <c r="P487" i="3"/>
  <c r="BC484" i="3"/>
  <c r="AI483" i="3"/>
  <c r="AR483" i="3"/>
  <c r="AQ483" i="3"/>
  <c r="AP483" i="3"/>
  <c r="Y483" i="3"/>
  <c r="AB535" i="3" s="1"/>
  <c r="O483" i="3"/>
  <c r="R535" i="3" s="1"/>
  <c r="E483" i="3"/>
  <c r="H535" i="3" s="1"/>
  <c r="AJ486" i="3" l="1"/>
  <c r="AL535" i="3"/>
  <c r="S539" i="3"/>
  <c r="AC539" i="3"/>
  <c r="AW540" i="3"/>
  <c r="I539" i="3"/>
  <c r="AM539" i="3"/>
  <c r="AS483" i="3"/>
  <c r="BC483" i="3"/>
  <c r="BA483" i="3"/>
  <c r="P486" i="3"/>
  <c r="BD484" i="3"/>
  <c r="AT487" i="3"/>
  <c r="AZ483" i="3"/>
  <c r="F486" i="3"/>
  <c r="BB483" i="3"/>
  <c r="Z486" i="3"/>
  <c r="AI482" i="3"/>
  <c r="AL534" i="3" s="1"/>
  <c r="AR482" i="3"/>
  <c r="AQ482" i="3"/>
  <c r="AP482" i="3"/>
  <c r="Y482" i="3"/>
  <c r="AB534" i="3" s="1"/>
  <c r="O482" i="3"/>
  <c r="R534" i="3" s="1"/>
  <c r="E482" i="3"/>
  <c r="H534" i="3" s="1"/>
  <c r="S538" i="3" l="1"/>
  <c r="BD483" i="3"/>
  <c r="AV535" i="3"/>
  <c r="I538" i="3"/>
  <c r="AC538" i="3"/>
  <c r="AW539" i="3"/>
  <c r="AM538" i="3"/>
  <c r="AT486" i="3"/>
  <c r="BB482" i="3"/>
  <c r="Z485" i="3"/>
  <c r="AS482" i="3"/>
  <c r="AV534" i="3" s="1"/>
  <c r="AJ485" i="3"/>
  <c r="AZ482" i="3"/>
  <c r="F485" i="3"/>
  <c r="BA482" i="3"/>
  <c r="P485" i="3"/>
  <c r="BC482" i="3"/>
  <c r="AI481" i="3"/>
  <c r="AR481" i="3"/>
  <c r="AQ481" i="3"/>
  <c r="AP481" i="3"/>
  <c r="Y481" i="3"/>
  <c r="O481" i="3"/>
  <c r="R533" i="3" s="1"/>
  <c r="E481" i="3"/>
  <c r="H533" i="3" s="1"/>
  <c r="I537" i="3" l="1"/>
  <c r="AC537" i="3"/>
  <c r="AW538" i="3"/>
  <c r="S537" i="3"/>
  <c r="Z484" i="3"/>
  <c r="AB533" i="3"/>
  <c r="AM537" i="3"/>
  <c r="BA481" i="3"/>
  <c r="P484" i="3"/>
  <c r="AZ481" i="3"/>
  <c r="F484" i="3"/>
  <c r="BB481" i="3"/>
  <c r="BC481" i="3"/>
  <c r="AS481" i="3"/>
  <c r="AV533" i="3" s="1"/>
  <c r="AJ484" i="3"/>
  <c r="BD482" i="3"/>
  <c r="AT485" i="3"/>
  <c r="I536" i="3" l="1"/>
  <c r="AM536" i="3"/>
  <c r="S536" i="3"/>
  <c r="AW537" i="3"/>
  <c r="AC536" i="3"/>
  <c r="BD481" i="3"/>
  <c r="AT484" i="3"/>
  <c r="AW536" i="3" l="1"/>
  <c r="AI480" i="3"/>
  <c r="AR480" i="3"/>
  <c r="AQ480" i="3"/>
  <c r="AP480" i="3"/>
  <c r="Y480" i="3"/>
  <c r="AB532" i="3" s="1"/>
  <c r="O480" i="3"/>
  <c r="R532" i="3" s="1"/>
  <c r="E480" i="3"/>
  <c r="H532" i="3" s="1"/>
  <c r="AJ483" i="3" l="1"/>
  <c r="AZ480" i="3"/>
  <c r="BE480" i="3" s="1"/>
  <c r="BE481" i="3" s="1"/>
  <c r="BE482" i="3" s="1"/>
  <c r="BE483" i="3" s="1"/>
  <c r="BE484" i="3" s="1"/>
  <c r="BE485" i="3" s="1"/>
  <c r="BE486" i="3" s="1"/>
  <c r="BE487" i="3" s="1"/>
  <c r="BE488" i="3" s="1"/>
  <c r="BE489" i="3" s="1"/>
  <c r="BE490" i="3" s="1"/>
  <c r="BE491" i="3" s="1"/>
  <c r="BE492" i="3" s="1"/>
  <c r="BE493" i="3" s="1"/>
  <c r="F483" i="3"/>
  <c r="BA480" i="3"/>
  <c r="BF480" i="3" s="1"/>
  <c r="BF481" i="3" s="1"/>
  <c r="BF482" i="3" s="1"/>
  <c r="BF483" i="3" s="1"/>
  <c r="BF484" i="3" s="1"/>
  <c r="BF485" i="3" s="1"/>
  <c r="BF486" i="3" s="1"/>
  <c r="BF487" i="3" s="1"/>
  <c r="BF488" i="3" s="1"/>
  <c r="BF489" i="3" s="1"/>
  <c r="BF490" i="3" s="1"/>
  <c r="BF491" i="3" s="1"/>
  <c r="BF492" i="3" s="1"/>
  <c r="BF493" i="3" s="1"/>
  <c r="P483" i="3"/>
  <c r="BB480" i="3"/>
  <c r="BG480" i="3" s="1"/>
  <c r="BG481" i="3" s="1"/>
  <c r="BG482" i="3" s="1"/>
  <c r="BG483" i="3" s="1"/>
  <c r="BG484" i="3" s="1"/>
  <c r="BG485" i="3" s="1"/>
  <c r="BG486" i="3" s="1"/>
  <c r="BG487" i="3" s="1"/>
  <c r="BG488" i="3" s="1"/>
  <c r="BG489" i="3" s="1"/>
  <c r="BG490" i="3" s="1"/>
  <c r="BG491" i="3" s="1"/>
  <c r="BG492" i="3" s="1"/>
  <c r="BG493" i="3" s="1"/>
  <c r="Z483" i="3"/>
  <c r="BC480" i="3"/>
  <c r="BH480" i="3" s="1"/>
  <c r="BH481" i="3" s="1"/>
  <c r="BH482" i="3" s="1"/>
  <c r="BH483" i="3" s="1"/>
  <c r="BH484" i="3" s="1"/>
  <c r="BH485" i="3" s="1"/>
  <c r="BH486" i="3" s="1"/>
  <c r="BH487" i="3" s="1"/>
  <c r="BH488" i="3" s="1"/>
  <c r="BH489" i="3" s="1"/>
  <c r="BH490" i="3" s="1"/>
  <c r="BH491" i="3" s="1"/>
  <c r="BH492" i="3" s="1"/>
  <c r="BH493" i="3" s="1"/>
  <c r="AS480" i="3"/>
  <c r="AI479" i="3"/>
  <c r="AR479" i="3"/>
  <c r="AQ479" i="3"/>
  <c r="AP479" i="3"/>
  <c r="Y479" i="3"/>
  <c r="O479" i="3"/>
  <c r="R531" i="3" s="1"/>
  <c r="E479" i="3"/>
  <c r="H531" i="3" s="1"/>
  <c r="AC535" i="3" l="1"/>
  <c r="BG494" i="3"/>
  <c r="BG495" i="3" s="1"/>
  <c r="BG496" i="3" s="1"/>
  <c r="BG497" i="3" s="1"/>
  <c r="S535" i="3"/>
  <c r="BE494" i="3"/>
  <c r="BE495" i="3" s="1"/>
  <c r="BE496" i="3" s="1"/>
  <c r="BE497" i="3" s="1"/>
  <c r="Z482" i="3"/>
  <c r="AB531" i="3"/>
  <c r="BF494" i="3"/>
  <c r="BF495" i="3" s="1"/>
  <c r="BF496" i="3" s="1"/>
  <c r="BF497" i="3" s="1"/>
  <c r="AT483" i="3"/>
  <c r="AV532" i="3"/>
  <c r="I535" i="3"/>
  <c r="BB479" i="3"/>
  <c r="BH494" i="3"/>
  <c r="BH495" i="3" s="1"/>
  <c r="BH496" i="3" s="1"/>
  <c r="BH497" i="3" s="1"/>
  <c r="AM535" i="3"/>
  <c r="BA479" i="3"/>
  <c r="P482" i="3"/>
  <c r="AZ479" i="3"/>
  <c r="F482" i="3"/>
  <c r="AS479" i="3"/>
  <c r="AV531" i="3" s="1"/>
  <c r="AJ482" i="3"/>
  <c r="BD480" i="3"/>
  <c r="BC479" i="3"/>
  <c r="AI478" i="3"/>
  <c r="AR478" i="3"/>
  <c r="AQ478" i="3"/>
  <c r="AP478" i="3"/>
  <c r="Y478" i="3"/>
  <c r="O478" i="3"/>
  <c r="R530" i="3" s="1"/>
  <c r="E478" i="3"/>
  <c r="H530" i="3" s="1"/>
  <c r="BF498" i="3" l="1"/>
  <c r="BF499" i="3" s="1"/>
  <c r="BF500" i="3" s="1"/>
  <c r="BF501" i="3" s="1"/>
  <c r="BF502" i="3" s="1"/>
  <c r="BF503" i="3" s="1"/>
  <c r="BF504" i="3" s="1"/>
  <c r="BH498" i="3"/>
  <c r="BH499" i="3" s="1"/>
  <c r="BH500" i="3" s="1"/>
  <c r="BH501" i="3" s="1"/>
  <c r="BH502" i="3" s="1"/>
  <c r="BH503" i="3" s="1"/>
  <c r="BH504" i="3" s="1"/>
  <c r="BE498" i="3"/>
  <c r="BE499" i="3" s="1"/>
  <c r="BE500" i="3" s="1"/>
  <c r="BE501" i="3" s="1"/>
  <c r="BE502" i="3" s="1"/>
  <c r="BE503" i="3" s="1"/>
  <c r="BE504" i="3" s="1"/>
  <c r="BG498" i="3"/>
  <c r="BG499" i="3" s="1"/>
  <c r="BG500" i="3" s="1"/>
  <c r="BG501" i="3" s="1"/>
  <c r="BG502" i="3" s="1"/>
  <c r="BG503" i="3" s="1"/>
  <c r="BG504" i="3" s="1"/>
  <c r="AJ481" i="3"/>
  <c r="AL530" i="3"/>
  <c r="AW535" i="3"/>
  <c r="S534" i="3"/>
  <c r="AM534" i="3"/>
  <c r="Z481" i="3"/>
  <c r="AB530" i="3"/>
  <c r="I534" i="3"/>
  <c r="AC534" i="3"/>
  <c r="BB478" i="3"/>
  <c r="AZ478" i="3"/>
  <c r="F481" i="3"/>
  <c r="BA478" i="3"/>
  <c r="P481" i="3"/>
  <c r="BD479" i="3"/>
  <c r="AT482" i="3"/>
  <c r="BI480" i="3"/>
  <c r="BI481" i="3" s="1"/>
  <c r="BI482" i="3" s="1"/>
  <c r="BI483" i="3" s="1"/>
  <c r="BI484" i="3" s="1"/>
  <c r="BI485" i="3" s="1"/>
  <c r="BI486" i="3" s="1"/>
  <c r="BI487" i="3" s="1"/>
  <c r="BI488" i="3" s="1"/>
  <c r="BI489" i="3" s="1"/>
  <c r="BI490" i="3" s="1"/>
  <c r="BI491" i="3" s="1"/>
  <c r="BI492" i="3" s="1"/>
  <c r="BI493" i="3" s="1"/>
  <c r="AS478" i="3"/>
  <c r="BC478" i="3"/>
  <c r="BG505" i="3" l="1"/>
  <c r="BG506" i="3" s="1"/>
  <c r="BG507" i="3" s="1"/>
  <c r="BG508" i="3" s="1"/>
  <c r="BE505" i="3"/>
  <c r="BE506" i="3" s="1"/>
  <c r="BE507" i="3" s="1"/>
  <c r="BE508" i="3" s="1"/>
  <c r="BH505" i="3"/>
  <c r="BH506" i="3" s="1"/>
  <c r="BH507" i="3" s="1"/>
  <c r="BH508" i="3" s="1"/>
  <c r="BF505" i="3"/>
  <c r="BF506" i="3" s="1"/>
  <c r="BF507" i="3" s="1"/>
  <c r="BF508" i="3" s="1"/>
  <c r="AW534" i="3"/>
  <c r="AT481" i="3"/>
  <c r="AV530" i="3"/>
  <c r="S533" i="3"/>
  <c r="BI494" i="3"/>
  <c r="BI495" i="3" s="1"/>
  <c r="BI496" i="3" s="1"/>
  <c r="BI497" i="3" s="1"/>
  <c r="I533" i="3"/>
  <c r="AC533" i="3"/>
  <c r="AM533" i="3"/>
  <c r="BD478" i="3"/>
  <c r="AR477" i="3"/>
  <c r="AQ477" i="3"/>
  <c r="AP477" i="3"/>
  <c r="AI477" i="3"/>
  <c r="AL529" i="3" s="1"/>
  <c r="Y477" i="3"/>
  <c r="AB529" i="3" s="1"/>
  <c r="O477" i="3"/>
  <c r="R529" i="3" s="1"/>
  <c r="E477" i="3"/>
  <c r="H529" i="3" s="1"/>
  <c r="BH509" i="3" l="1"/>
  <c r="BH510" i="3" s="1"/>
  <c r="BE509" i="3"/>
  <c r="BE510" i="3" s="1"/>
  <c r="BF509" i="3"/>
  <c r="BF510" i="3" s="1"/>
  <c r="BG509" i="3"/>
  <c r="BG510" i="3" s="1"/>
  <c r="BI498" i="3"/>
  <c r="BI499" i="3" s="1"/>
  <c r="BI500" i="3" s="1"/>
  <c r="BI501" i="3" s="1"/>
  <c r="BI502" i="3" s="1"/>
  <c r="BI503" i="3" s="1"/>
  <c r="BI504" i="3" s="1"/>
  <c r="AW533" i="3"/>
  <c r="AZ477" i="3"/>
  <c r="F480" i="3"/>
  <c r="P480" i="3"/>
  <c r="Z480" i="3"/>
  <c r="AJ480" i="3"/>
  <c r="BB477" i="3"/>
  <c r="BA477" i="3"/>
  <c r="AS477" i="3"/>
  <c r="BC477" i="3"/>
  <c r="AR476" i="3"/>
  <c r="AQ476" i="3"/>
  <c r="AP476" i="3"/>
  <c r="AI476" i="3"/>
  <c r="Y476" i="3"/>
  <c r="AB528" i="3" s="1"/>
  <c r="O476" i="3"/>
  <c r="R528" i="3" s="1"/>
  <c r="E476" i="3"/>
  <c r="BG511" i="3" l="1"/>
  <c r="BG512" i="3" s="1"/>
  <c r="BG513" i="3" s="1"/>
  <c r="BG514" i="3" s="1"/>
  <c r="BG515" i="3" s="1"/>
  <c r="BG516" i="3" s="1"/>
  <c r="BG517" i="3" s="1"/>
  <c r="BG518" i="3" s="1"/>
  <c r="BG519" i="3" s="1"/>
  <c r="BG520" i="3" s="1"/>
  <c r="BG521" i="3" s="1"/>
  <c r="BG522" i="3" s="1"/>
  <c r="BG523" i="3" s="1"/>
  <c r="BG524" i="3" s="1"/>
  <c r="BG525" i="3" s="1"/>
  <c r="BG526" i="3" s="1"/>
  <c r="BG527" i="3" s="1"/>
  <c r="BE511" i="3"/>
  <c r="BE512" i="3" s="1"/>
  <c r="BE513" i="3" s="1"/>
  <c r="BE514" i="3" s="1"/>
  <c r="BE515" i="3" s="1"/>
  <c r="BE516" i="3" s="1"/>
  <c r="BE517" i="3" s="1"/>
  <c r="BE518" i="3" s="1"/>
  <c r="BE519" i="3" s="1"/>
  <c r="BE520" i="3" s="1"/>
  <c r="BE521" i="3" s="1"/>
  <c r="BE522" i="3" s="1"/>
  <c r="BE523" i="3" s="1"/>
  <c r="BE524" i="3" s="1"/>
  <c r="BE525" i="3" s="1"/>
  <c r="BE526" i="3" s="1"/>
  <c r="BE527" i="3" s="1"/>
  <c r="BF511" i="3"/>
  <c r="BF512" i="3" s="1"/>
  <c r="BF513" i="3" s="1"/>
  <c r="BF514" i="3" s="1"/>
  <c r="BF515" i="3" s="1"/>
  <c r="BF516" i="3" s="1"/>
  <c r="BF517" i="3" s="1"/>
  <c r="BF518" i="3" s="1"/>
  <c r="BF519" i="3" s="1"/>
  <c r="BF520" i="3" s="1"/>
  <c r="BF521" i="3" s="1"/>
  <c r="BF522" i="3" s="1"/>
  <c r="BF523" i="3" s="1"/>
  <c r="BF524" i="3" s="1"/>
  <c r="BF525" i="3" s="1"/>
  <c r="BF526" i="3" s="1"/>
  <c r="BF527" i="3" s="1"/>
  <c r="BH511" i="3"/>
  <c r="BH512" i="3" s="1"/>
  <c r="BH513" i="3" s="1"/>
  <c r="BH514" i="3" s="1"/>
  <c r="BH515" i="3" s="1"/>
  <c r="BH516" i="3" s="1"/>
  <c r="BH517" i="3" s="1"/>
  <c r="BH518" i="3" s="1"/>
  <c r="BH519" i="3" s="1"/>
  <c r="BH520" i="3" s="1"/>
  <c r="BH521" i="3" s="1"/>
  <c r="BH522" i="3" s="1"/>
  <c r="BH523" i="3" s="1"/>
  <c r="BH524" i="3" s="1"/>
  <c r="BH525" i="3" s="1"/>
  <c r="BH526" i="3" s="1"/>
  <c r="BH527" i="3" s="1"/>
  <c r="BI505" i="3"/>
  <c r="BI506" i="3" s="1"/>
  <c r="BI507" i="3" s="1"/>
  <c r="BI508" i="3" s="1"/>
  <c r="S532" i="3"/>
  <c r="AM532" i="3"/>
  <c r="I532" i="3"/>
  <c r="AC532" i="3"/>
  <c r="AZ476" i="3"/>
  <c r="H528" i="3"/>
  <c r="AT480" i="3"/>
  <c r="AV529" i="3"/>
  <c r="AJ479" i="3"/>
  <c r="AL528" i="3"/>
  <c r="F479" i="3"/>
  <c r="P479" i="3"/>
  <c r="BB476" i="3"/>
  <c r="Z479" i="3"/>
  <c r="BA476" i="3"/>
  <c r="AS476" i="3"/>
  <c r="BD477" i="3"/>
  <c r="BC476" i="3"/>
  <c r="AI475" i="3"/>
  <c r="AR475" i="3"/>
  <c r="AQ475" i="3"/>
  <c r="AP475" i="3"/>
  <c r="Y475" i="3"/>
  <c r="O475" i="3"/>
  <c r="E475" i="3"/>
  <c r="H527" i="3" s="1"/>
  <c r="BH528" i="3" l="1"/>
  <c r="BF528" i="3"/>
  <c r="BE528" i="3"/>
  <c r="BG528" i="3"/>
  <c r="BI509" i="3"/>
  <c r="BI510" i="3" s="1"/>
  <c r="S531" i="3"/>
  <c r="AJ478" i="3"/>
  <c r="AL527" i="3"/>
  <c r="AM531" i="3"/>
  <c r="AT479" i="3"/>
  <c r="AV528" i="3"/>
  <c r="I531" i="3"/>
  <c r="AW532" i="3"/>
  <c r="AC531" i="3"/>
  <c r="BA475" i="3"/>
  <c r="R527" i="3"/>
  <c r="Z478" i="3"/>
  <c r="AB527" i="3"/>
  <c r="BC475" i="3"/>
  <c r="P478" i="3"/>
  <c r="AZ475" i="3"/>
  <c r="F478" i="3"/>
  <c r="BB475" i="3"/>
  <c r="AS475" i="3"/>
  <c r="BD476" i="3"/>
  <c r="AI474" i="3"/>
  <c r="AL526" i="3" s="1"/>
  <c r="AR474" i="3"/>
  <c r="AQ474" i="3"/>
  <c r="AP474" i="3"/>
  <c r="Y474" i="3"/>
  <c r="AB526" i="3" s="1"/>
  <c r="O474" i="3"/>
  <c r="R526" i="3" s="1"/>
  <c r="E474" i="3"/>
  <c r="H526" i="3" s="1"/>
  <c r="BG529" i="3" l="1"/>
  <c r="BG530" i="3" s="1"/>
  <c r="BG531" i="3" s="1"/>
  <c r="BE529" i="3"/>
  <c r="BE530" i="3" s="1"/>
  <c r="BE531" i="3" s="1"/>
  <c r="BF529" i="3"/>
  <c r="BF530" i="3" s="1"/>
  <c r="BF531" i="3" s="1"/>
  <c r="BH529" i="3"/>
  <c r="BH530" i="3" s="1"/>
  <c r="BH531" i="3" s="1"/>
  <c r="E17" i="1"/>
  <c r="BI511" i="3"/>
  <c r="BI512" i="3" s="1"/>
  <c r="BI513" i="3" s="1"/>
  <c r="BI514" i="3" s="1"/>
  <c r="BI515" i="3" s="1"/>
  <c r="BI516" i="3" s="1"/>
  <c r="BI517" i="3" s="1"/>
  <c r="BI518" i="3" s="1"/>
  <c r="BI519" i="3" s="1"/>
  <c r="BI520" i="3" s="1"/>
  <c r="BI521" i="3" s="1"/>
  <c r="BI522" i="3" s="1"/>
  <c r="BI523" i="3" s="1"/>
  <c r="BI524" i="3" s="1"/>
  <c r="BI525" i="3" s="1"/>
  <c r="BI526" i="3" s="1"/>
  <c r="BI527" i="3" s="1"/>
  <c r="I530" i="3"/>
  <c r="S530" i="3"/>
  <c r="AT478" i="3"/>
  <c r="AV527" i="3"/>
  <c r="AW531" i="3"/>
  <c r="AM530" i="3"/>
  <c r="AC530" i="3"/>
  <c r="AZ474" i="3"/>
  <c r="F477" i="3"/>
  <c r="BA474" i="3"/>
  <c r="P477" i="3"/>
  <c r="BB474" i="3"/>
  <c r="Z477" i="3"/>
  <c r="AS474" i="3"/>
  <c r="AV526" i="3" s="1"/>
  <c r="AJ477" i="3"/>
  <c r="BD475" i="3"/>
  <c r="BC474" i="3"/>
  <c r="AI473" i="3"/>
  <c r="AL525" i="3" s="1"/>
  <c r="AR473" i="3"/>
  <c r="AQ473" i="3"/>
  <c r="AP473" i="3"/>
  <c r="Y473" i="3"/>
  <c r="AB525" i="3" s="1"/>
  <c r="O473" i="3"/>
  <c r="R525" i="3" s="1"/>
  <c r="E473" i="3"/>
  <c r="H525" i="3" s="1"/>
  <c r="BI528" i="3" l="1"/>
  <c r="S529" i="3"/>
  <c r="I529" i="3"/>
  <c r="AW530" i="3"/>
  <c r="AM529" i="3"/>
  <c r="AC529" i="3"/>
  <c r="AZ473" i="3"/>
  <c r="F476" i="3"/>
  <c r="BA473" i="3"/>
  <c r="P476" i="3"/>
  <c r="BB473" i="3"/>
  <c r="Z476" i="3"/>
  <c r="AS473" i="3"/>
  <c r="AV525" i="3" s="1"/>
  <c r="AJ476" i="3"/>
  <c r="BD474" i="3"/>
  <c r="AT477" i="3"/>
  <c r="BC473" i="3"/>
  <c r="AI472" i="3"/>
  <c r="AL524" i="3" s="1"/>
  <c r="AR472" i="3"/>
  <c r="AQ472" i="3"/>
  <c r="AP472" i="3"/>
  <c r="Y472" i="3"/>
  <c r="AB524" i="3" s="1"/>
  <c r="O472" i="3"/>
  <c r="R524" i="3" s="1"/>
  <c r="E472" i="3"/>
  <c r="H524" i="3" s="1"/>
  <c r="BI529" i="3" l="1"/>
  <c r="BI530" i="3" s="1"/>
  <c r="BI531" i="3" s="1"/>
  <c r="S528" i="3"/>
  <c r="AC528" i="3"/>
  <c r="I528" i="3"/>
  <c r="AM528" i="3"/>
  <c r="AW529" i="3"/>
  <c r="AZ472" i="3"/>
  <c r="F475" i="3"/>
  <c r="BA472" i="3"/>
  <c r="P475" i="3"/>
  <c r="BD473" i="3"/>
  <c r="AT476" i="3"/>
  <c r="BB472" i="3"/>
  <c r="Z475" i="3"/>
  <c r="AS472" i="3"/>
  <c r="AV524" i="3" s="1"/>
  <c r="AJ475" i="3"/>
  <c r="BC472" i="3"/>
  <c r="AI471" i="3"/>
  <c r="AR471" i="3"/>
  <c r="AQ471" i="3"/>
  <c r="AP471" i="3"/>
  <c r="Y471" i="3"/>
  <c r="AB523" i="3" s="1"/>
  <c r="O471" i="3"/>
  <c r="R523" i="3" s="1"/>
  <c r="E471" i="3"/>
  <c r="H523" i="3" s="1"/>
  <c r="AW528" i="3" l="1"/>
  <c r="AJ474" i="3"/>
  <c r="AL523" i="3"/>
  <c r="S527" i="3"/>
  <c r="I527" i="3"/>
  <c r="AC527" i="3"/>
  <c r="AM527" i="3"/>
  <c r="AS471" i="3"/>
  <c r="AV523" i="3" s="1"/>
  <c r="BC471" i="3"/>
  <c r="BB471" i="3"/>
  <c r="Z474" i="3"/>
  <c r="AZ471" i="3"/>
  <c r="F474" i="3"/>
  <c r="BA471" i="3"/>
  <c r="P474" i="3"/>
  <c r="BD472" i="3"/>
  <c r="AT475" i="3"/>
  <c r="AI470" i="3"/>
  <c r="AR470" i="3"/>
  <c r="AQ470" i="3"/>
  <c r="AP470" i="3"/>
  <c r="Y470" i="3"/>
  <c r="AB522" i="3" s="1"/>
  <c r="O470" i="3"/>
  <c r="E470" i="3"/>
  <c r="H522" i="3" s="1"/>
  <c r="AT474" i="3" l="1"/>
  <c r="BD471" i="3"/>
  <c r="S526" i="3"/>
  <c r="I526" i="3"/>
  <c r="AW527" i="3"/>
  <c r="P473" i="3"/>
  <c r="R522" i="3"/>
  <c r="AC526" i="3"/>
  <c r="AM526" i="3"/>
  <c r="AJ473" i="3"/>
  <c r="AL522" i="3"/>
  <c r="BC470" i="3"/>
  <c r="AS470" i="3"/>
  <c r="AV522" i="3" s="1"/>
  <c r="AZ470" i="3"/>
  <c r="F473" i="3"/>
  <c r="BA470" i="3"/>
  <c r="BB470" i="3"/>
  <c r="Z473" i="3"/>
  <c r="AI469" i="3"/>
  <c r="AL521" i="3" s="1"/>
  <c r="AR469" i="3"/>
  <c r="AQ469" i="3"/>
  <c r="AP469" i="3"/>
  <c r="Y469" i="3"/>
  <c r="AB521" i="3" s="1"/>
  <c r="O469" i="3"/>
  <c r="R521" i="3" s="1"/>
  <c r="E469" i="3"/>
  <c r="AW526" i="3" l="1"/>
  <c r="AC525" i="3"/>
  <c r="F472" i="3"/>
  <c r="G628" i="3" s="1"/>
  <c r="J628" i="3" s="1"/>
  <c r="H521" i="3"/>
  <c r="I525" i="3"/>
  <c r="S525" i="3"/>
  <c r="AM525" i="3"/>
  <c r="AZ469" i="3"/>
  <c r="BA469" i="3"/>
  <c r="P472" i="3"/>
  <c r="Q628" i="3" s="1"/>
  <c r="T628" i="3" s="1"/>
  <c r="BB469" i="3"/>
  <c r="Z472" i="3"/>
  <c r="BD470" i="3"/>
  <c r="AT473" i="3"/>
  <c r="AS469" i="3"/>
  <c r="AV521" i="3" s="1"/>
  <c r="AJ472" i="3"/>
  <c r="BC469" i="3"/>
  <c r="AI468" i="3"/>
  <c r="AL520" i="3" s="1"/>
  <c r="AR468" i="3"/>
  <c r="AQ468" i="3"/>
  <c r="AP468" i="3"/>
  <c r="Y468" i="3"/>
  <c r="AB520" i="3" s="1"/>
  <c r="O468" i="3"/>
  <c r="R520" i="3" s="1"/>
  <c r="E468" i="3"/>
  <c r="S524" i="3" l="1"/>
  <c r="F471" i="3"/>
  <c r="G627" i="3" s="1"/>
  <c r="J627" i="3" s="1"/>
  <c r="H520" i="3"/>
  <c r="AM524" i="3"/>
  <c r="I524" i="3"/>
  <c r="AC524" i="3"/>
  <c r="AW525" i="3"/>
  <c r="BA468" i="3"/>
  <c r="P471" i="3"/>
  <c r="Q627" i="3" s="1"/>
  <c r="T627" i="3" s="1"/>
  <c r="AZ468" i="3"/>
  <c r="BB468" i="3"/>
  <c r="Z471" i="3"/>
  <c r="AA627" i="3" s="1"/>
  <c r="AD627" i="3" s="1"/>
  <c r="AS468" i="3"/>
  <c r="AV520" i="3" s="1"/>
  <c r="AJ471" i="3"/>
  <c r="AK627" i="3" s="1"/>
  <c r="AN627" i="3" s="1"/>
  <c r="BD469" i="3"/>
  <c r="AT472" i="3"/>
  <c r="BC468" i="3"/>
  <c r="AI467" i="3"/>
  <c r="AR467" i="3"/>
  <c r="AQ467" i="3"/>
  <c r="AP467" i="3"/>
  <c r="Y467" i="3"/>
  <c r="AB519" i="3" s="1"/>
  <c r="O467" i="3"/>
  <c r="R519" i="3" s="1"/>
  <c r="E467" i="3"/>
  <c r="H519" i="3" s="1"/>
  <c r="AW524" i="3" l="1"/>
  <c r="I523" i="3"/>
  <c r="S523" i="3"/>
  <c r="AM523" i="3"/>
  <c r="AC523" i="3"/>
  <c r="BA467" i="3"/>
  <c r="P470" i="3"/>
  <c r="Q626" i="3" s="1"/>
  <c r="T626" i="3" s="1"/>
  <c r="BD468" i="3"/>
  <c r="AT471" i="3"/>
  <c r="AU627" i="3" s="1"/>
  <c r="AX627" i="3" s="1"/>
  <c r="AZ467" i="3"/>
  <c r="F470" i="3"/>
  <c r="G626" i="3" s="1"/>
  <c r="J626" i="3" s="1"/>
  <c r="BB467" i="3"/>
  <c r="Z470" i="3"/>
  <c r="AA626" i="3" s="1"/>
  <c r="AD626" i="3" s="1"/>
  <c r="AS467" i="3"/>
  <c r="AJ470" i="3"/>
  <c r="AK626" i="3" s="1"/>
  <c r="AN626" i="3" s="1"/>
  <c r="BC467" i="3"/>
  <c r="AI466" i="3"/>
  <c r="AR466" i="3"/>
  <c r="AQ466" i="3"/>
  <c r="AP466" i="3"/>
  <c r="Y466" i="3"/>
  <c r="AB518" i="3" s="1"/>
  <c r="O466" i="3"/>
  <c r="R518" i="3" s="1"/>
  <c r="E466" i="3"/>
  <c r="H518" i="3" s="1"/>
  <c r="AJ469" i="3" l="1"/>
  <c r="AK625" i="3" s="1"/>
  <c r="AN625" i="3" s="1"/>
  <c r="AL518" i="3"/>
  <c r="AW523" i="3"/>
  <c r="S522" i="3"/>
  <c r="AT470" i="3"/>
  <c r="AU626" i="3" s="1"/>
  <c r="AX626" i="3" s="1"/>
  <c r="AV519" i="3"/>
  <c r="AC522" i="3"/>
  <c r="I522" i="3"/>
  <c r="AM522" i="3"/>
  <c r="BA466" i="3"/>
  <c r="P469" i="3"/>
  <c r="Q625" i="3" s="1"/>
  <c r="T625" i="3" s="1"/>
  <c r="AZ466" i="3"/>
  <c r="F469" i="3"/>
  <c r="G625" i="3" s="1"/>
  <c r="J625" i="3" s="1"/>
  <c r="BB466" i="3"/>
  <c r="Z469" i="3"/>
  <c r="AA625" i="3" s="1"/>
  <c r="AD625" i="3" s="1"/>
  <c r="AS466" i="3"/>
  <c r="AV518" i="3" s="1"/>
  <c r="BD467" i="3"/>
  <c r="BC466" i="3"/>
  <c r="AI465" i="3"/>
  <c r="AR465" i="3"/>
  <c r="AQ465" i="3"/>
  <c r="AP465" i="3"/>
  <c r="Y465" i="3"/>
  <c r="AB517" i="3" s="1"/>
  <c r="O465" i="3"/>
  <c r="E465" i="3"/>
  <c r="H517" i="3" s="1"/>
  <c r="AT469" i="3" l="1"/>
  <c r="AU625" i="3" s="1"/>
  <c r="AX625" i="3" s="1"/>
  <c r="S521" i="3"/>
  <c r="P468" i="3"/>
  <c r="Q624" i="3" s="1"/>
  <c r="T624" i="3" s="1"/>
  <c r="R517" i="3"/>
  <c r="AC521" i="3"/>
  <c r="I521" i="3"/>
  <c r="AW522" i="3"/>
  <c r="AJ468" i="3"/>
  <c r="AK624" i="3" s="1"/>
  <c r="AN624" i="3" s="1"/>
  <c r="AL517" i="3"/>
  <c r="AM521" i="3"/>
  <c r="BC465" i="3"/>
  <c r="AZ465" i="3"/>
  <c r="F468" i="3"/>
  <c r="G624" i="3" s="1"/>
  <c r="J624" i="3" s="1"/>
  <c r="BA465" i="3"/>
  <c r="AS465" i="3"/>
  <c r="AV517" i="3" s="1"/>
  <c r="BB465" i="3"/>
  <c r="Z468" i="3"/>
  <c r="AA624" i="3" s="1"/>
  <c r="AD624" i="3" s="1"/>
  <c r="BD466" i="3"/>
  <c r="AI464" i="3"/>
  <c r="AL516" i="3" s="1"/>
  <c r="AR464" i="3"/>
  <c r="AQ464" i="3"/>
  <c r="AP464" i="3"/>
  <c r="Y464" i="3"/>
  <c r="AB516" i="3" s="1"/>
  <c r="O464" i="3"/>
  <c r="R516" i="3" s="1"/>
  <c r="E464" i="3"/>
  <c r="H516" i="3" s="1"/>
  <c r="AW521" i="3" l="1"/>
  <c r="S520" i="3"/>
  <c r="AC520" i="3"/>
  <c r="AM520" i="3"/>
  <c r="I520" i="3"/>
  <c r="BA464" i="3"/>
  <c r="P467" i="3"/>
  <c r="Q623" i="3" s="1"/>
  <c r="T623" i="3" s="1"/>
  <c r="AZ464" i="3"/>
  <c r="F467" i="3"/>
  <c r="G623" i="3" s="1"/>
  <c r="J623" i="3" s="1"/>
  <c r="BB464" i="3"/>
  <c r="Z467" i="3"/>
  <c r="AA623" i="3" s="1"/>
  <c r="AD623" i="3" s="1"/>
  <c r="AS464" i="3"/>
  <c r="AV516" i="3" s="1"/>
  <c r="AJ467" i="3"/>
  <c r="AK623" i="3" s="1"/>
  <c r="AN623" i="3" s="1"/>
  <c r="BD465" i="3"/>
  <c r="AT468" i="3"/>
  <c r="AU624" i="3" s="1"/>
  <c r="AX624" i="3" s="1"/>
  <c r="BC464" i="3"/>
  <c r="AR463" i="3"/>
  <c r="AI463" i="3"/>
  <c r="AQ463" i="3"/>
  <c r="AP463" i="3"/>
  <c r="Y463" i="3"/>
  <c r="O463" i="3"/>
  <c r="R515" i="3" s="1"/>
  <c r="E463" i="3"/>
  <c r="H515" i="3" s="1"/>
  <c r="I519" i="3" l="1"/>
  <c r="AC519" i="3"/>
  <c r="Z466" i="3"/>
  <c r="AA622" i="3" s="1"/>
  <c r="AD622" i="3" s="1"/>
  <c r="AB515" i="3"/>
  <c r="AJ466" i="3"/>
  <c r="AK622" i="3" s="1"/>
  <c r="AN622" i="3" s="1"/>
  <c r="AL515" i="3"/>
  <c r="AW520" i="3"/>
  <c r="S519" i="3"/>
  <c r="AM519" i="3"/>
  <c r="BD464" i="3"/>
  <c r="AT467" i="3"/>
  <c r="AU623" i="3" s="1"/>
  <c r="AX623" i="3" s="1"/>
  <c r="BA463" i="3"/>
  <c r="P466" i="3"/>
  <c r="Q622" i="3" s="1"/>
  <c r="T622" i="3" s="1"/>
  <c r="BC463" i="3"/>
  <c r="AS463" i="3"/>
  <c r="F466" i="3"/>
  <c r="G622" i="3" s="1"/>
  <c r="J622" i="3" s="1"/>
  <c r="AZ463" i="3"/>
  <c r="BB463" i="3"/>
  <c r="AI462" i="3"/>
  <c r="AR462" i="3"/>
  <c r="AQ462" i="3"/>
  <c r="AP462" i="3"/>
  <c r="Y462" i="3"/>
  <c r="AB514" i="3" s="1"/>
  <c r="O462" i="3"/>
  <c r="E462" i="3"/>
  <c r="H514" i="3" s="1"/>
  <c r="AW519" i="3" l="1"/>
  <c r="AT466" i="3"/>
  <c r="AU622" i="3" s="1"/>
  <c r="AX622" i="3" s="1"/>
  <c r="AV515" i="3"/>
  <c r="AM518" i="3"/>
  <c r="P465" i="3"/>
  <c r="Q621" i="3" s="1"/>
  <c r="T621" i="3" s="1"/>
  <c r="R514" i="3"/>
  <c r="AC518" i="3"/>
  <c r="S518" i="3"/>
  <c r="AJ465" i="3"/>
  <c r="AK621" i="3" s="1"/>
  <c r="AN621" i="3" s="1"/>
  <c r="AL514" i="3"/>
  <c r="I518" i="3"/>
  <c r="AZ462" i="3"/>
  <c r="F465" i="3"/>
  <c r="G621" i="3" s="1"/>
  <c r="J621" i="3" s="1"/>
  <c r="BA462" i="3"/>
  <c r="BB462" i="3"/>
  <c r="Z465" i="3"/>
  <c r="AA621" i="3" s="1"/>
  <c r="AD621" i="3" s="1"/>
  <c r="BC462" i="3"/>
  <c r="BD463" i="3"/>
  <c r="AS462" i="3"/>
  <c r="AC517" i="3" l="1"/>
  <c r="AW518" i="3"/>
  <c r="S517" i="3"/>
  <c r="I517" i="3"/>
  <c r="AT465" i="3"/>
  <c r="AU621" i="3" s="1"/>
  <c r="AX621" i="3" s="1"/>
  <c r="AV514" i="3"/>
  <c r="AM517" i="3"/>
  <c r="BD462" i="3"/>
  <c r="AI461" i="3"/>
  <c r="AR461" i="3"/>
  <c r="AQ461" i="3"/>
  <c r="AP461" i="3"/>
  <c r="Y461" i="3"/>
  <c r="O461" i="3"/>
  <c r="E461" i="3"/>
  <c r="F464" i="3" l="1"/>
  <c r="G620" i="3" s="1"/>
  <c r="J620" i="3" s="1"/>
  <c r="H513" i="3"/>
  <c r="AJ464" i="3"/>
  <c r="AK620" i="3" s="1"/>
  <c r="AN620" i="3" s="1"/>
  <c r="AL513" i="3"/>
  <c r="P464" i="3"/>
  <c r="Q620" i="3" s="1"/>
  <c r="T620" i="3" s="1"/>
  <c r="R513" i="3"/>
  <c r="Z464" i="3"/>
  <c r="AA620" i="3" s="1"/>
  <c r="AD620" i="3" s="1"/>
  <c r="AB513" i="3"/>
  <c r="AW517" i="3"/>
  <c r="AZ461" i="3"/>
  <c r="BA461" i="3"/>
  <c r="BB461" i="3"/>
  <c r="AS461" i="3"/>
  <c r="BC461" i="3"/>
  <c r="AI460" i="3"/>
  <c r="AR460" i="3"/>
  <c r="AQ460" i="3"/>
  <c r="AP460" i="3"/>
  <c r="Y460" i="3"/>
  <c r="O460" i="3"/>
  <c r="R512" i="3" s="1"/>
  <c r="E460" i="3"/>
  <c r="F463" i="3" l="1"/>
  <c r="G619" i="3" s="1"/>
  <c r="J619" i="3" s="1"/>
  <c r="H512" i="3"/>
  <c r="AC516" i="3"/>
  <c r="S516" i="3"/>
  <c r="AM516" i="3"/>
  <c r="AJ463" i="3"/>
  <c r="AK619" i="3" s="1"/>
  <c r="AN619" i="3" s="1"/>
  <c r="AL512" i="3"/>
  <c r="Z463" i="3"/>
  <c r="AA619" i="3" s="1"/>
  <c r="AD619" i="3" s="1"/>
  <c r="AB512" i="3"/>
  <c r="AT464" i="3"/>
  <c r="AU620" i="3" s="1"/>
  <c r="AX620" i="3" s="1"/>
  <c r="AV513" i="3"/>
  <c r="I516" i="3"/>
  <c r="BB460" i="3"/>
  <c r="AZ460" i="3"/>
  <c r="BC460" i="3"/>
  <c r="BA460" i="3"/>
  <c r="P463" i="3"/>
  <c r="Q619" i="3" s="1"/>
  <c r="T619" i="3" s="1"/>
  <c r="AS460" i="3"/>
  <c r="AV512" i="3" s="1"/>
  <c r="BD461" i="3"/>
  <c r="AW516" i="3" l="1"/>
  <c r="AC515" i="3"/>
  <c r="S515" i="3"/>
  <c r="AM515" i="3"/>
  <c r="I515" i="3"/>
  <c r="AT463" i="3"/>
  <c r="AU619" i="3" s="1"/>
  <c r="AX619" i="3" s="1"/>
  <c r="BD460" i="3"/>
  <c r="AI459" i="3"/>
  <c r="AR459" i="3"/>
  <c r="AQ459" i="3"/>
  <c r="AP459" i="3"/>
  <c r="Y459" i="3"/>
  <c r="AB511" i="3" s="1"/>
  <c r="O459" i="3"/>
  <c r="R511" i="3" s="1"/>
  <c r="E459" i="3"/>
  <c r="H511" i="3" s="1"/>
  <c r="AW515" i="3" l="1"/>
  <c r="AJ462" i="3"/>
  <c r="AK618" i="3" s="1"/>
  <c r="AN618" i="3" s="1"/>
  <c r="AL511" i="3"/>
  <c r="AZ459" i="3"/>
  <c r="F462" i="3"/>
  <c r="G618" i="3" s="1"/>
  <c r="J618" i="3" s="1"/>
  <c r="BA459" i="3"/>
  <c r="P462" i="3"/>
  <c r="Q618" i="3" s="1"/>
  <c r="T618" i="3" s="1"/>
  <c r="BB459" i="3"/>
  <c r="Z462" i="3"/>
  <c r="AA618" i="3" s="1"/>
  <c r="AD618" i="3" s="1"/>
  <c r="BC459" i="3"/>
  <c r="AS459" i="3"/>
  <c r="AV511" i="3" s="1"/>
  <c r="AI458" i="3"/>
  <c r="AR458" i="3"/>
  <c r="AQ458" i="3"/>
  <c r="AP458" i="3"/>
  <c r="Y458" i="3"/>
  <c r="AB510" i="3" s="1"/>
  <c r="O458" i="3"/>
  <c r="R510" i="3" s="1"/>
  <c r="E458" i="3"/>
  <c r="H510" i="3" s="1"/>
  <c r="I514" i="3" l="1"/>
  <c r="BC458" i="3"/>
  <c r="AL510" i="3"/>
  <c r="S514" i="3"/>
  <c r="AC514" i="3"/>
  <c r="AM514" i="3"/>
  <c r="AZ458" i="3"/>
  <c r="F461" i="3"/>
  <c r="G617" i="3" s="1"/>
  <c r="J617" i="3" s="1"/>
  <c r="BA458" i="3"/>
  <c r="P461" i="3"/>
  <c r="Q617" i="3" s="1"/>
  <c r="T617" i="3" s="1"/>
  <c r="BB458" i="3"/>
  <c r="Z461" i="3"/>
  <c r="AA617" i="3" s="1"/>
  <c r="AD617" i="3" s="1"/>
  <c r="AS458" i="3"/>
  <c r="AV510" i="3" s="1"/>
  <c r="AJ461" i="3"/>
  <c r="AK617" i="3" s="1"/>
  <c r="AN617" i="3" s="1"/>
  <c r="AT462" i="3"/>
  <c r="AU618" i="3" s="1"/>
  <c r="AX618" i="3" s="1"/>
  <c r="BD459" i="3"/>
  <c r="AI457" i="3"/>
  <c r="AL509" i="3" s="1"/>
  <c r="AR457" i="3"/>
  <c r="AQ457" i="3"/>
  <c r="AP457" i="3"/>
  <c r="Y457" i="3"/>
  <c r="AB509" i="3" s="1"/>
  <c r="O457" i="3"/>
  <c r="R509" i="3" s="1"/>
  <c r="E457" i="3"/>
  <c r="H509" i="3" s="1"/>
  <c r="S513" i="3" l="1"/>
  <c r="AW514" i="3"/>
  <c r="AC513" i="3"/>
  <c r="I513" i="3"/>
  <c r="AM513" i="3"/>
  <c r="BB457" i="3"/>
  <c r="Z460" i="3"/>
  <c r="AA616" i="3" s="1"/>
  <c r="AD616" i="3" s="1"/>
  <c r="AZ457" i="3"/>
  <c r="F460" i="3"/>
  <c r="G616" i="3" s="1"/>
  <c r="J616" i="3" s="1"/>
  <c r="BA457" i="3"/>
  <c r="P460" i="3"/>
  <c r="Q616" i="3" s="1"/>
  <c r="T616" i="3" s="1"/>
  <c r="AS457" i="3"/>
  <c r="AV509" i="3" s="1"/>
  <c r="AJ460" i="3"/>
  <c r="AK616" i="3" s="1"/>
  <c r="AN616" i="3" s="1"/>
  <c r="BD458" i="3"/>
  <c r="AT461" i="3"/>
  <c r="AU617" i="3" s="1"/>
  <c r="AX617" i="3" s="1"/>
  <c r="BC457" i="3"/>
  <c r="AI456" i="3"/>
  <c r="AR456" i="3"/>
  <c r="AQ456" i="3"/>
  <c r="AP456" i="3"/>
  <c r="Y456" i="3"/>
  <c r="AB508" i="3" s="1"/>
  <c r="O456" i="3"/>
  <c r="E456" i="3"/>
  <c r="S512" i="3" l="1"/>
  <c r="AJ459" i="3"/>
  <c r="AK615" i="3" s="1"/>
  <c r="AN615" i="3" s="1"/>
  <c r="AL508" i="3"/>
  <c r="I512" i="3"/>
  <c r="AC512" i="3"/>
  <c r="F459" i="3"/>
  <c r="G615" i="3" s="1"/>
  <c r="J615" i="3" s="1"/>
  <c r="H508" i="3"/>
  <c r="P459" i="3"/>
  <c r="Q615" i="3" s="1"/>
  <c r="T615" i="3" s="1"/>
  <c r="R508" i="3"/>
  <c r="AM512" i="3"/>
  <c r="AW513" i="3"/>
  <c r="BC456" i="3"/>
  <c r="AZ456" i="3"/>
  <c r="BA456" i="3"/>
  <c r="BB456" i="3"/>
  <c r="Z459" i="3"/>
  <c r="AA615" i="3" s="1"/>
  <c r="AD615" i="3" s="1"/>
  <c r="AS456" i="3"/>
  <c r="AV508" i="3" s="1"/>
  <c r="BD457" i="3"/>
  <c r="AT460" i="3"/>
  <c r="AU616" i="3" s="1"/>
  <c r="AX616" i="3" s="1"/>
  <c r="AI455" i="3"/>
  <c r="AL507" i="3" s="1"/>
  <c r="AR455" i="3"/>
  <c r="AQ455" i="3"/>
  <c r="AP455" i="3"/>
  <c r="Y455" i="3"/>
  <c r="O455" i="3"/>
  <c r="E455" i="3"/>
  <c r="H507" i="3" s="1"/>
  <c r="R507" i="3" l="1"/>
  <c r="AC511" i="3"/>
  <c r="AW512" i="3"/>
  <c r="AM511" i="3"/>
  <c r="S511" i="3"/>
  <c r="I511" i="3"/>
  <c r="Z458" i="3"/>
  <c r="AA614" i="3" s="1"/>
  <c r="AD614" i="3" s="1"/>
  <c r="AB507" i="3"/>
  <c r="BB455" i="3"/>
  <c r="AZ455" i="3"/>
  <c r="F458" i="3"/>
  <c r="G614" i="3" s="1"/>
  <c r="J614" i="3" s="1"/>
  <c r="AS455" i="3"/>
  <c r="AV507" i="3" s="1"/>
  <c r="AJ458" i="3"/>
  <c r="AK614" i="3" s="1"/>
  <c r="AN614" i="3" s="1"/>
  <c r="BA455" i="3"/>
  <c r="P458" i="3"/>
  <c r="Q614" i="3" s="1"/>
  <c r="T614" i="3" s="1"/>
  <c r="BD456" i="3"/>
  <c r="AT459" i="3"/>
  <c r="AU615" i="3" s="1"/>
  <c r="AX615" i="3" s="1"/>
  <c r="BC455" i="3"/>
  <c r="AI454" i="3"/>
  <c r="AL506" i="3" s="1"/>
  <c r="AR454" i="3"/>
  <c r="AQ454" i="3"/>
  <c r="AP454" i="3"/>
  <c r="Y454" i="3"/>
  <c r="AB506" i="3" s="1"/>
  <c r="O454" i="3"/>
  <c r="R506" i="3" s="1"/>
  <c r="E454" i="3"/>
  <c r="I510" i="3" l="1"/>
  <c r="AW511" i="3"/>
  <c r="S510" i="3"/>
  <c r="AC510" i="3"/>
  <c r="AM510" i="3"/>
  <c r="F457" i="3"/>
  <c r="G613" i="3" s="1"/>
  <c r="J613" i="3" s="1"/>
  <c r="H506" i="3"/>
  <c r="AZ454" i="3"/>
  <c r="BB454" i="3"/>
  <c r="Z457" i="3"/>
  <c r="AA613" i="3" s="1"/>
  <c r="AD613" i="3" s="1"/>
  <c r="AS454" i="3"/>
  <c r="AV506" i="3" s="1"/>
  <c r="AJ457" i="3"/>
  <c r="AK613" i="3" s="1"/>
  <c r="AN613" i="3" s="1"/>
  <c r="BD455" i="3"/>
  <c r="AT458" i="3"/>
  <c r="AU614" i="3" s="1"/>
  <c r="AX614" i="3" s="1"/>
  <c r="BA454" i="3"/>
  <c r="P457" i="3"/>
  <c r="Q613" i="3" s="1"/>
  <c r="T613" i="3" s="1"/>
  <c r="BC454" i="3"/>
  <c r="AI453" i="3"/>
  <c r="AL505" i="3" s="1"/>
  <c r="AR453" i="3"/>
  <c r="AQ453" i="3"/>
  <c r="AP453" i="3"/>
  <c r="Y453" i="3"/>
  <c r="AB505" i="3" s="1"/>
  <c r="O453" i="3"/>
  <c r="R505" i="3" s="1"/>
  <c r="E453" i="3"/>
  <c r="H505" i="3" s="1"/>
  <c r="S509" i="3" l="1"/>
  <c r="AC509" i="3"/>
  <c r="I509" i="3"/>
  <c r="AW510" i="3"/>
  <c r="AM509" i="3"/>
  <c r="AZ453" i="3"/>
  <c r="F456" i="3"/>
  <c r="G612" i="3" s="1"/>
  <c r="J612" i="3" s="1"/>
  <c r="BB453" i="3"/>
  <c r="Z456" i="3"/>
  <c r="AA612" i="3" s="1"/>
  <c r="AD612" i="3" s="1"/>
  <c r="BC453" i="3"/>
  <c r="BD454" i="3"/>
  <c r="AT457" i="3"/>
  <c r="AU613" i="3" s="1"/>
  <c r="AX613" i="3" s="1"/>
  <c r="BA453" i="3"/>
  <c r="P456" i="3"/>
  <c r="Q612" i="3" s="1"/>
  <c r="T612" i="3" s="1"/>
  <c r="AS453" i="3"/>
  <c r="AV505" i="3" s="1"/>
  <c r="AJ456" i="3"/>
  <c r="AK612" i="3" s="1"/>
  <c r="AN612" i="3" s="1"/>
  <c r="AI452" i="3"/>
  <c r="AL504" i="3" s="1"/>
  <c r="AR452" i="3"/>
  <c r="AQ452" i="3"/>
  <c r="AP452" i="3"/>
  <c r="Y452" i="3"/>
  <c r="AB504" i="3" s="1"/>
  <c r="O452" i="3"/>
  <c r="E452" i="3"/>
  <c r="AM508" i="3" l="1"/>
  <c r="AC508" i="3"/>
  <c r="I508" i="3"/>
  <c r="S508" i="3"/>
  <c r="AW509" i="3"/>
  <c r="F455" i="3"/>
  <c r="G611" i="3" s="1"/>
  <c r="J611" i="3" s="1"/>
  <c r="H504" i="3"/>
  <c r="P455" i="3"/>
  <c r="Q611" i="3" s="1"/>
  <c r="T611" i="3" s="1"/>
  <c r="R504" i="3"/>
  <c r="AZ452" i="3"/>
  <c r="BA452" i="3"/>
  <c r="BB452" i="3"/>
  <c r="Z455" i="3"/>
  <c r="AA611" i="3" s="1"/>
  <c r="AD611" i="3" s="1"/>
  <c r="AS452" i="3"/>
  <c r="AV504" i="3" s="1"/>
  <c r="AJ455" i="3"/>
  <c r="AK611" i="3" s="1"/>
  <c r="AN611" i="3" s="1"/>
  <c r="BD453" i="3"/>
  <c r="AT456" i="3"/>
  <c r="AU612" i="3" s="1"/>
  <c r="AX612" i="3" s="1"/>
  <c r="BC452" i="3"/>
  <c r="AI451" i="3"/>
  <c r="AR451" i="3"/>
  <c r="AQ451" i="3"/>
  <c r="AP451" i="3"/>
  <c r="Y451" i="3"/>
  <c r="AB503" i="3" s="1"/>
  <c r="O451" i="3"/>
  <c r="R503" i="3" s="1"/>
  <c r="E451" i="3"/>
  <c r="H503" i="3" s="1"/>
  <c r="AW508" i="3" l="1"/>
  <c r="AJ454" i="3"/>
  <c r="AK610" i="3" s="1"/>
  <c r="AN610" i="3" s="1"/>
  <c r="AM507" i="3"/>
  <c r="AC507" i="3"/>
  <c r="BC451" i="3"/>
  <c r="S507" i="3"/>
  <c r="I507" i="3"/>
  <c r="AZ451" i="3"/>
  <c r="F454" i="3"/>
  <c r="G610" i="3" s="1"/>
  <c r="J610" i="3" s="1"/>
  <c r="BA451" i="3"/>
  <c r="P454" i="3"/>
  <c r="Q610" i="3" s="1"/>
  <c r="T610" i="3" s="1"/>
  <c r="BB451" i="3"/>
  <c r="Z454" i="3"/>
  <c r="AA610" i="3" s="1"/>
  <c r="AD610" i="3" s="1"/>
  <c r="AS451" i="3"/>
  <c r="AV503" i="3" s="1"/>
  <c r="BD452" i="3"/>
  <c r="AT455" i="3"/>
  <c r="AU611" i="3" s="1"/>
  <c r="AX611" i="3" s="1"/>
  <c r="AI450" i="3"/>
  <c r="AR450" i="3"/>
  <c r="AQ450" i="3"/>
  <c r="AP450" i="3"/>
  <c r="Y450" i="3"/>
  <c r="AB502" i="3" s="1"/>
  <c r="O450" i="3"/>
  <c r="E450" i="3"/>
  <c r="H502" i="3" s="1"/>
  <c r="AW507" i="3" l="1"/>
  <c r="P453" i="3"/>
  <c r="Q609" i="3" s="1"/>
  <c r="T609" i="3" s="1"/>
  <c r="R502" i="3"/>
  <c r="BC450" i="3"/>
  <c r="AL502" i="3"/>
  <c r="AC506" i="3"/>
  <c r="S506" i="3"/>
  <c r="I506" i="3"/>
  <c r="AM506" i="3"/>
  <c r="AZ450" i="3"/>
  <c r="F453" i="3"/>
  <c r="G609" i="3" s="1"/>
  <c r="J609" i="3" s="1"/>
  <c r="BA450" i="3"/>
  <c r="BB450" i="3"/>
  <c r="Z453" i="3"/>
  <c r="AA609" i="3" s="1"/>
  <c r="AD609" i="3" s="1"/>
  <c r="BD451" i="3"/>
  <c r="AT454" i="3"/>
  <c r="AU610" i="3" s="1"/>
  <c r="AX610" i="3" s="1"/>
  <c r="AS450" i="3"/>
  <c r="AV502" i="3" s="1"/>
  <c r="AJ453" i="3"/>
  <c r="AK609" i="3" s="1"/>
  <c r="AN609" i="3" s="1"/>
  <c r="AI449" i="3"/>
  <c r="AL501" i="3" s="1"/>
  <c r="AR449" i="3"/>
  <c r="AQ449" i="3"/>
  <c r="AP449" i="3"/>
  <c r="Y449" i="3"/>
  <c r="O449" i="3"/>
  <c r="R501" i="3" s="1"/>
  <c r="E449" i="3"/>
  <c r="H501" i="3" s="1"/>
  <c r="BC449" i="3" l="1"/>
  <c r="I505" i="3"/>
  <c r="Z452" i="3"/>
  <c r="AA608" i="3" s="1"/>
  <c r="AD608" i="3" s="1"/>
  <c r="AB501" i="3"/>
  <c r="AM505" i="3"/>
  <c r="AW506" i="3"/>
  <c r="AC505" i="3"/>
  <c r="S505" i="3"/>
  <c r="AZ449" i="3"/>
  <c r="F452" i="3"/>
  <c r="G608" i="3" s="1"/>
  <c r="J608" i="3" s="1"/>
  <c r="BB449" i="3"/>
  <c r="AS449" i="3"/>
  <c r="AV501" i="3" s="1"/>
  <c r="AJ452" i="3"/>
  <c r="AK608" i="3" s="1"/>
  <c r="AN608" i="3" s="1"/>
  <c r="BA449" i="3"/>
  <c r="P452" i="3"/>
  <c r="Q608" i="3" s="1"/>
  <c r="T608" i="3" s="1"/>
  <c r="BD450" i="3"/>
  <c r="AT453" i="3"/>
  <c r="AU609" i="3" s="1"/>
  <c r="AX609" i="3" s="1"/>
  <c r="AI448" i="3"/>
  <c r="BC448" i="3" s="1"/>
  <c r="AR448" i="3"/>
  <c r="AQ448" i="3"/>
  <c r="AP448" i="3"/>
  <c r="Y448" i="3"/>
  <c r="AB500" i="3" s="1"/>
  <c r="O448" i="3"/>
  <c r="R500" i="3" s="1"/>
  <c r="E448" i="3"/>
  <c r="F451" i="3" l="1"/>
  <c r="G607" i="3" s="1"/>
  <c r="J607" i="3" s="1"/>
  <c r="H500" i="3"/>
  <c r="AJ451" i="3"/>
  <c r="AK607" i="3" s="1"/>
  <c r="AN607" i="3" s="1"/>
  <c r="I504" i="3"/>
  <c r="AW505" i="3"/>
  <c r="S504" i="3"/>
  <c r="AM504" i="3"/>
  <c r="AC504" i="3"/>
  <c r="AZ448" i="3"/>
  <c r="BA448" i="3"/>
  <c r="P451" i="3"/>
  <c r="Q607" i="3" s="1"/>
  <c r="T607" i="3" s="1"/>
  <c r="BB448" i="3"/>
  <c r="Z451" i="3"/>
  <c r="AA607" i="3" s="1"/>
  <c r="AD607" i="3" s="1"/>
  <c r="AS448" i="3"/>
  <c r="AV500" i="3" s="1"/>
  <c r="BD449" i="3"/>
  <c r="AT452" i="3"/>
  <c r="AU608" i="3" s="1"/>
  <c r="AX608" i="3" s="1"/>
  <c r="AI447" i="3"/>
  <c r="AR447" i="3"/>
  <c r="AQ447" i="3"/>
  <c r="AP447" i="3"/>
  <c r="Y447" i="3"/>
  <c r="AB499" i="3" s="1"/>
  <c r="O447" i="3"/>
  <c r="R499" i="3" s="1"/>
  <c r="E447" i="3"/>
  <c r="H499" i="3" s="1"/>
  <c r="AI446" i="3"/>
  <c r="AR446" i="3"/>
  <c r="AQ446" i="3"/>
  <c r="AP446" i="3"/>
  <c r="Y446" i="3"/>
  <c r="AB498" i="3" s="1"/>
  <c r="O446" i="3"/>
  <c r="E446" i="3"/>
  <c r="H498" i="3" s="1"/>
  <c r="AI445" i="3"/>
  <c r="AR445" i="3"/>
  <c r="AQ445" i="3"/>
  <c r="AP445" i="3"/>
  <c r="Y445" i="3"/>
  <c r="AB497" i="3" s="1"/>
  <c r="O445" i="3"/>
  <c r="R497" i="3" s="1"/>
  <c r="E445" i="3"/>
  <c r="H497" i="3" s="1"/>
  <c r="AI444" i="3"/>
  <c r="AL496" i="3" s="1"/>
  <c r="AR444" i="3"/>
  <c r="AQ444" i="3"/>
  <c r="AP444" i="3"/>
  <c r="Y444" i="3"/>
  <c r="AB496" i="3" s="1"/>
  <c r="O444" i="3"/>
  <c r="E444" i="3"/>
  <c r="AW504" i="3" l="1"/>
  <c r="BA444" i="3"/>
  <c r="R496" i="3"/>
  <c r="AZ444" i="3"/>
  <c r="H496" i="3"/>
  <c r="BB444" i="3"/>
  <c r="AJ448" i="3"/>
  <c r="AK604" i="3" s="1"/>
  <c r="AN604" i="3" s="1"/>
  <c r="AL497" i="3"/>
  <c r="P449" i="3"/>
  <c r="Q605" i="3" s="1"/>
  <c r="T605" i="3" s="1"/>
  <c r="R498" i="3"/>
  <c r="BC447" i="3"/>
  <c r="AL499" i="3"/>
  <c r="AC503" i="3"/>
  <c r="S503" i="3"/>
  <c r="AM503" i="3"/>
  <c r="I503" i="3"/>
  <c r="AJ449" i="3"/>
  <c r="AK605" i="3" s="1"/>
  <c r="AN605" i="3" s="1"/>
  <c r="Z447" i="3"/>
  <c r="AA603" i="3" s="1"/>
  <c r="AD603" i="3" s="1"/>
  <c r="BC446" i="3"/>
  <c r="BB445" i="3"/>
  <c r="Z448" i="3"/>
  <c r="AA604" i="3" s="1"/>
  <c r="AD604" i="3" s="1"/>
  <c r="AS446" i="3"/>
  <c r="F449" i="3"/>
  <c r="G605" i="3" s="1"/>
  <c r="J605" i="3" s="1"/>
  <c r="AZ447" i="3"/>
  <c r="F450" i="3"/>
  <c r="G606" i="3" s="1"/>
  <c r="J606" i="3" s="1"/>
  <c r="P447" i="3"/>
  <c r="Q603" i="3" s="1"/>
  <c r="T603" i="3" s="1"/>
  <c r="AJ447" i="3"/>
  <c r="AK603" i="3" s="1"/>
  <c r="AN603" i="3" s="1"/>
  <c r="AJ450" i="3"/>
  <c r="AK606" i="3" s="1"/>
  <c r="AN606" i="3" s="1"/>
  <c r="BA445" i="3"/>
  <c r="P448" i="3"/>
  <c r="Q604" i="3" s="1"/>
  <c r="T604" i="3" s="1"/>
  <c r="AZ446" i="3"/>
  <c r="BA446" i="3"/>
  <c r="BB446" i="3"/>
  <c r="Z449" i="3"/>
  <c r="AA605" i="3" s="1"/>
  <c r="AD605" i="3" s="1"/>
  <c r="BA447" i="3"/>
  <c r="P450" i="3"/>
  <c r="Q606" i="3" s="1"/>
  <c r="T606" i="3" s="1"/>
  <c r="BB447" i="3"/>
  <c r="Z450" i="3"/>
  <c r="AA606" i="3" s="1"/>
  <c r="AD606" i="3" s="1"/>
  <c r="AS447" i="3"/>
  <c r="AV499" i="3" s="1"/>
  <c r="BD448" i="3"/>
  <c r="AT451" i="3"/>
  <c r="AU607" i="3" s="1"/>
  <c r="AX607" i="3" s="1"/>
  <c r="AZ445" i="3"/>
  <c r="F448" i="3"/>
  <c r="G604" i="3" s="1"/>
  <c r="J604" i="3" s="1"/>
  <c r="F447" i="3"/>
  <c r="G603" i="3" s="1"/>
  <c r="J603" i="3" s="1"/>
  <c r="AS444" i="3"/>
  <c r="AS445" i="3"/>
  <c r="AV497" i="3" s="1"/>
  <c r="BC445" i="3"/>
  <c r="BC444" i="3"/>
  <c r="AI443" i="3"/>
  <c r="AR443" i="3"/>
  <c r="AQ443" i="3"/>
  <c r="AP443" i="3"/>
  <c r="Y443" i="3"/>
  <c r="O443" i="3"/>
  <c r="E443" i="3"/>
  <c r="AI442" i="3"/>
  <c r="AL494" i="3" s="1"/>
  <c r="AR442" i="3"/>
  <c r="AQ442" i="3"/>
  <c r="AP442" i="3"/>
  <c r="Y442" i="3"/>
  <c r="AB494" i="3" s="1"/>
  <c r="O442" i="3"/>
  <c r="R494" i="3" s="1"/>
  <c r="E442" i="3"/>
  <c r="H494" i="3" s="1"/>
  <c r="AI441" i="3"/>
  <c r="AR441" i="3"/>
  <c r="AQ441" i="3"/>
  <c r="AP441" i="3"/>
  <c r="Y441" i="3"/>
  <c r="AB493" i="3" s="1"/>
  <c r="O441" i="3"/>
  <c r="R493" i="3" s="1"/>
  <c r="E441" i="3"/>
  <c r="H493" i="3" s="1"/>
  <c r="AI440" i="3"/>
  <c r="AL492" i="3" s="1"/>
  <c r="AR440" i="3"/>
  <c r="AQ440" i="3"/>
  <c r="AP440" i="3"/>
  <c r="Y440" i="3"/>
  <c r="AB492" i="3" s="1"/>
  <c r="O440" i="3"/>
  <c r="R492" i="3" s="1"/>
  <c r="E440" i="3"/>
  <c r="H492" i="3" s="1"/>
  <c r="AI62" i="3"/>
  <c r="Y62" i="3"/>
  <c r="O62" i="3"/>
  <c r="E62" i="3"/>
  <c r="AR439" i="3"/>
  <c r="AI439" i="3"/>
  <c r="AQ439" i="3"/>
  <c r="AP439" i="3"/>
  <c r="Y439" i="3"/>
  <c r="O439" i="3"/>
  <c r="R491" i="3" s="1"/>
  <c r="E439" i="3"/>
  <c r="AZ440" i="3" l="1"/>
  <c r="AJ442" i="3"/>
  <c r="AK598" i="3" s="1"/>
  <c r="AN598" i="3" s="1"/>
  <c r="AL491" i="3"/>
  <c r="AJ444" i="3"/>
  <c r="AK600" i="3" s="1"/>
  <c r="AN600" i="3" s="1"/>
  <c r="AL493" i="3"/>
  <c r="F446" i="3"/>
  <c r="G602" i="3" s="1"/>
  <c r="J602" i="3" s="1"/>
  <c r="H495" i="3"/>
  <c r="Z446" i="3"/>
  <c r="AA602" i="3" s="1"/>
  <c r="AD602" i="3" s="1"/>
  <c r="AB495" i="3"/>
  <c r="AJ446" i="3"/>
  <c r="AK602" i="3" s="1"/>
  <c r="AN602" i="3" s="1"/>
  <c r="AL495" i="3"/>
  <c r="AT447" i="3"/>
  <c r="AU603" i="3" s="1"/>
  <c r="AX603" i="3" s="1"/>
  <c r="AV496" i="3"/>
  <c r="I500" i="3"/>
  <c r="AW503" i="3"/>
  <c r="AM499" i="3"/>
  <c r="I502" i="3"/>
  <c r="I501" i="3"/>
  <c r="AC500" i="3"/>
  <c r="AM501" i="3"/>
  <c r="S501" i="3"/>
  <c r="AM500" i="3"/>
  <c r="F442" i="3"/>
  <c r="G598" i="3" s="1"/>
  <c r="J598" i="3" s="1"/>
  <c r="H491" i="3"/>
  <c r="Z442" i="3"/>
  <c r="AA598" i="3" s="1"/>
  <c r="AD598" i="3" s="1"/>
  <c r="AB491" i="3"/>
  <c r="P446" i="3"/>
  <c r="Q602" i="3" s="1"/>
  <c r="T602" i="3" s="1"/>
  <c r="R495" i="3"/>
  <c r="I499" i="3"/>
  <c r="AC502" i="3"/>
  <c r="S502" i="3"/>
  <c r="AC501" i="3"/>
  <c r="S500" i="3"/>
  <c r="AM502" i="3"/>
  <c r="S499" i="3"/>
  <c r="BD446" i="3"/>
  <c r="AV498" i="3"/>
  <c r="AC499" i="3"/>
  <c r="AJ443" i="3"/>
  <c r="AK599" i="3" s="1"/>
  <c r="AN599" i="3" s="1"/>
  <c r="F445" i="3"/>
  <c r="G601" i="3" s="1"/>
  <c r="J601" i="3" s="1"/>
  <c r="Z445" i="3"/>
  <c r="AA601" i="3" s="1"/>
  <c r="AD601" i="3" s="1"/>
  <c r="AJ445" i="3"/>
  <c r="AK601" i="3" s="1"/>
  <c r="AN601" i="3" s="1"/>
  <c r="AT448" i="3"/>
  <c r="AU604" i="3" s="1"/>
  <c r="AX604" i="3" s="1"/>
  <c r="F443" i="3"/>
  <c r="G599" i="3" s="1"/>
  <c r="J599" i="3" s="1"/>
  <c r="Z443" i="3"/>
  <c r="AA599" i="3" s="1"/>
  <c r="AD599" i="3" s="1"/>
  <c r="BC440" i="3"/>
  <c r="F444" i="3"/>
  <c r="G600" i="3" s="1"/>
  <c r="J600" i="3" s="1"/>
  <c r="BC441" i="3"/>
  <c r="AZ442" i="3"/>
  <c r="P445" i="3"/>
  <c r="Q601" i="3" s="1"/>
  <c r="T601" i="3" s="1"/>
  <c r="BC443" i="3"/>
  <c r="AZ439" i="3"/>
  <c r="BC442" i="3"/>
  <c r="BD447" i="3"/>
  <c r="AT450" i="3"/>
  <c r="AU606" i="3" s="1"/>
  <c r="AX606" i="3" s="1"/>
  <c r="AT449" i="3"/>
  <c r="AU605" i="3" s="1"/>
  <c r="AX605" i="3" s="1"/>
  <c r="BA439" i="3"/>
  <c r="P442" i="3"/>
  <c r="Q598" i="3" s="1"/>
  <c r="T598" i="3" s="1"/>
  <c r="BC439" i="3"/>
  <c r="BB439" i="3"/>
  <c r="AS439" i="3"/>
  <c r="AV491" i="3" s="1"/>
  <c r="BA440" i="3"/>
  <c r="P443" i="3"/>
  <c r="Q599" i="3" s="1"/>
  <c r="T599" i="3" s="1"/>
  <c r="BB440" i="3"/>
  <c r="AZ441" i="3"/>
  <c r="BB441" i="3"/>
  <c r="Z444" i="3"/>
  <c r="AA600" i="3" s="1"/>
  <c r="AD600" i="3" s="1"/>
  <c r="BA442" i="3"/>
  <c r="BB442" i="3"/>
  <c r="AS442" i="3"/>
  <c r="AV494" i="3" s="1"/>
  <c r="AZ443" i="3"/>
  <c r="BA443" i="3"/>
  <c r="BB443" i="3"/>
  <c r="AS443" i="3"/>
  <c r="AV495" i="3" s="1"/>
  <c r="AS440" i="3"/>
  <c r="AV492" i="3" s="1"/>
  <c r="BA441" i="3"/>
  <c r="P444" i="3"/>
  <c r="Q600" i="3" s="1"/>
  <c r="T600" i="3" s="1"/>
  <c r="AS441" i="3"/>
  <c r="AV493" i="3" s="1"/>
  <c r="BD444" i="3"/>
  <c r="BD445" i="3"/>
  <c r="AI438" i="3"/>
  <c r="AR438" i="3"/>
  <c r="AQ438" i="3"/>
  <c r="AP438" i="3"/>
  <c r="Y438" i="3"/>
  <c r="O438" i="3"/>
  <c r="R490" i="3" s="1"/>
  <c r="E438" i="3"/>
  <c r="AI437" i="3"/>
  <c r="AL489" i="3" s="1"/>
  <c r="AR437" i="3"/>
  <c r="AQ437" i="3"/>
  <c r="AP437" i="3"/>
  <c r="Y437" i="3"/>
  <c r="AB489" i="3" s="1"/>
  <c r="O437" i="3"/>
  <c r="E437" i="3"/>
  <c r="H489" i="3" s="1"/>
  <c r="AI436" i="3"/>
  <c r="AR436" i="3"/>
  <c r="AQ436" i="3"/>
  <c r="AP436" i="3"/>
  <c r="Y436" i="3"/>
  <c r="AB488" i="3" s="1"/>
  <c r="O436" i="3"/>
  <c r="R488" i="3" s="1"/>
  <c r="E436" i="3"/>
  <c r="H488" i="3" s="1"/>
  <c r="AI435" i="3"/>
  <c r="AR435" i="3"/>
  <c r="AQ435" i="3"/>
  <c r="AP435" i="3"/>
  <c r="Y435" i="3"/>
  <c r="O435" i="3"/>
  <c r="E435" i="3"/>
  <c r="H487" i="3" s="1"/>
  <c r="AI434" i="3"/>
  <c r="AR434" i="3"/>
  <c r="AQ434" i="3"/>
  <c r="AP434" i="3"/>
  <c r="Y434" i="3"/>
  <c r="O434" i="3"/>
  <c r="R486" i="3" s="1"/>
  <c r="E434" i="3"/>
  <c r="AI433" i="3"/>
  <c r="AL485" i="3" s="1"/>
  <c r="AR433" i="3"/>
  <c r="AQ433" i="3"/>
  <c r="AP433" i="3"/>
  <c r="Y433" i="3"/>
  <c r="O433" i="3"/>
  <c r="E433" i="3"/>
  <c r="AI432" i="3"/>
  <c r="AR432" i="3"/>
  <c r="AQ432" i="3"/>
  <c r="AP432" i="3"/>
  <c r="Y432" i="3"/>
  <c r="O432" i="3"/>
  <c r="E432" i="3"/>
  <c r="AI431" i="3"/>
  <c r="AR431" i="3"/>
  <c r="AQ431" i="3"/>
  <c r="AP431" i="3"/>
  <c r="Y431" i="3"/>
  <c r="O431" i="3"/>
  <c r="E431" i="3"/>
  <c r="H483" i="3" s="1"/>
  <c r="AI430" i="3"/>
  <c r="AL482" i="3" s="1"/>
  <c r="AR430" i="3"/>
  <c r="AQ430" i="3"/>
  <c r="AP430" i="3"/>
  <c r="Y430" i="3"/>
  <c r="O430" i="3"/>
  <c r="E430" i="3"/>
  <c r="AZ431" i="3" l="1"/>
  <c r="S494" i="3"/>
  <c r="AW501" i="3"/>
  <c r="S497" i="3"/>
  <c r="I495" i="3"/>
  <c r="AM497" i="3"/>
  <c r="I497" i="3"/>
  <c r="BC430" i="3"/>
  <c r="P440" i="3"/>
  <c r="Q596" i="3" s="1"/>
  <c r="T596" i="3" s="1"/>
  <c r="R489" i="3"/>
  <c r="F441" i="3"/>
  <c r="G597" i="3" s="1"/>
  <c r="J597" i="3" s="1"/>
  <c r="H490" i="3"/>
  <c r="Z441" i="3"/>
  <c r="AA597" i="3" s="1"/>
  <c r="AD597" i="3" s="1"/>
  <c r="AB490" i="3"/>
  <c r="AJ441" i="3"/>
  <c r="AK597" i="3" s="1"/>
  <c r="AN597" i="3" s="1"/>
  <c r="AL490" i="3"/>
  <c r="S496" i="3"/>
  <c r="AC496" i="3"/>
  <c r="S495" i="3"/>
  <c r="AW502" i="3"/>
  <c r="I496" i="3"/>
  <c r="AC495" i="3"/>
  <c r="AW500" i="3"/>
  <c r="AC497" i="3"/>
  <c r="AM495" i="3"/>
  <c r="S498" i="3"/>
  <c r="AC494" i="3"/>
  <c r="I494" i="3"/>
  <c r="AW499" i="3"/>
  <c r="AM498" i="3"/>
  <c r="AC498" i="3"/>
  <c r="I498" i="3"/>
  <c r="AM496" i="3"/>
  <c r="AM494" i="3"/>
  <c r="F440" i="3"/>
  <c r="G596" i="3" s="1"/>
  <c r="J596" i="3" s="1"/>
  <c r="AJ440" i="3"/>
  <c r="AK596" i="3" s="1"/>
  <c r="AN596" i="3" s="1"/>
  <c r="AZ430" i="3"/>
  <c r="H482" i="3"/>
  <c r="BB430" i="3"/>
  <c r="AB482" i="3"/>
  <c r="P434" i="3"/>
  <c r="Q590" i="3" s="1"/>
  <c r="T590" i="3" s="1"/>
  <c r="R483" i="3"/>
  <c r="AZ432" i="3"/>
  <c r="H484" i="3"/>
  <c r="BB432" i="3"/>
  <c r="AB484" i="3"/>
  <c r="AJ435" i="3"/>
  <c r="AK591" i="3" s="1"/>
  <c r="AN591" i="3" s="1"/>
  <c r="AL484" i="3"/>
  <c r="P436" i="3"/>
  <c r="Q592" i="3" s="1"/>
  <c r="T592" i="3" s="1"/>
  <c r="R485" i="3"/>
  <c r="F437" i="3"/>
  <c r="G593" i="3" s="1"/>
  <c r="J593" i="3" s="1"/>
  <c r="H486" i="3"/>
  <c r="BB434" i="3"/>
  <c r="AB486" i="3"/>
  <c r="AJ437" i="3"/>
  <c r="AK593" i="3" s="1"/>
  <c r="AN593" i="3" s="1"/>
  <c r="AL486" i="3"/>
  <c r="BA435" i="3"/>
  <c r="R487" i="3"/>
  <c r="AJ439" i="3"/>
  <c r="AK595" i="3" s="1"/>
  <c r="AN595" i="3" s="1"/>
  <c r="AL488" i="3"/>
  <c r="P433" i="3"/>
  <c r="Q589" i="3" s="1"/>
  <c r="T589" i="3" s="1"/>
  <c r="R482" i="3"/>
  <c r="Z434" i="3"/>
  <c r="AA590" i="3" s="1"/>
  <c r="AD590" i="3" s="1"/>
  <c r="AB483" i="3"/>
  <c r="AJ434" i="3"/>
  <c r="AK590" i="3" s="1"/>
  <c r="AN590" i="3" s="1"/>
  <c r="AL483" i="3"/>
  <c r="P435" i="3"/>
  <c r="Q591" i="3" s="1"/>
  <c r="T591" i="3" s="1"/>
  <c r="R484" i="3"/>
  <c r="AZ433" i="3"/>
  <c r="H485" i="3"/>
  <c r="BB433" i="3"/>
  <c r="AB485" i="3"/>
  <c r="BB435" i="3"/>
  <c r="AB487" i="3"/>
  <c r="BC435" i="3"/>
  <c r="AL487" i="3"/>
  <c r="BC437" i="3"/>
  <c r="AZ438" i="3"/>
  <c r="AT445" i="3"/>
  <c r="AU601" i="3" s="1"/>
  <c r="AX601" i="3" s="1"/>
  <c r="AS435" i="3"/>
  <c r="AV487" i="3" s="1"/>
  <c r="BC436" i="3"/>
  <c r="AZ437" i="3"/>
  <c r="BC438" i="3"/>
  <c r="BC431" i="3"/>
  <c r="BC432" i="3"/>
  <c r="F433" i="3"/>
  <c r="G589" i="3" s="1"/>
  <c r="J589" i="3" s="1"/>
  <c r="Z433" i="3"/>
  <c r="AA589" i="3" s="1"/>
  <c r="AD589" i="3" s="1"/>
  <c r="AS433" i="3"/>
  <c r="AJ433" i="3"/>
  <c r="AK589" i="3" s="1"/>
  <c r="AN589" i="3" s="1"/>
  <c r="F434" i="3"/>
  <c r="G590" i="3" s="1"/>
  <c r="J590" i="3" s="1"/>
  <c r="Z435" i="3"/>
  <c r="AA591" i="3" s="1"/>
  <c r="AD591" i="3" s="1"/>
  <c r="F436" i="3"/>
  <c r="G592" i="3" s="1"/>
  <c r="J592" i="3" s="1"/>
  <c r="AS436" i="3"/>
  <c r="AV488" i="3" s="1"/>
  <c r="P439" i="3"/>
  <c r="Q595" i="3" s="1"/>
  <c r="T595" i="3" s="1"/>
  <c r="AJ436" i="3"/>
  <c r="AK592" i="3" s="1"/>
  <c r="AN592" i="3" s="1"/>
  <c r="BA437" i="3"/>
  <c r="BB437" i="3"/>
  <c r="Z440" i="3"/>
  <c r="AA596" i="3" s="1"/>
  <c r="AD596" i="3" s="1"/>
  <c r="Z437" i="3"/>
  <c r="AA593" i="3" s="1"/>
  <c r="AD593" i="3" s="1"/>
  <c r="BA438" i="3"/>
  <c r="P441" i="3"/>
  <c r="Q597" i="3" s="1"/>
  <c r="T597" i="3" s="1"/>
  <c r="P438" i="3"/>
  <c r="Q594" i="3" s="1"/>
  <c r="T594" i="3" s="1"/>
  <c r="Z438" i="3"/>
  <c r="AA594" i="3" s="1"/>
  <c r="AD594" i="3" s="1"/>
  <c r="AJ438" i="3"/>
  <c r="AK594" i="3" s="1"/>
  <c r="AN594" i="3" s="1"/>
  <c r="BB431" i="3"/>
  <c r="BA432" i="3"/>
  <c r="AS432" i="3"/>
  <c r="BA433" i="3"/>
  <c r="AZ434" i="3"/>
  <c r="AZ436" i="3"/>
  <c r="F439" i="3"/>
  <c r="G595" i="3" s="1"/>
  <c r="J595" i="3" s="1"/>
  <c r="BA436" i="3"/>
  <c r="BB436" i="3"/>
  <c r="Z439" i="3"/>
  <c r="AA595" i="3" s="1"/>
  <c r="AD595" i="3" s="1"/>
  <c r="Z436" i="3"/>
  <c r="AA592" i="3" s="1"/>
  <c r="AD592" i="3" s="1"/>
  <c r="F438" i="3"/>
  <c r="G594" i="3" s="1"/>
  <c r="J594" i="3" s="1"/>
  <c r="BB438" i="3"/>
  <c r="AS438" i="3"/>
  <c r="AV490" i="3" s="1"/>
  <c r="BD441" i="3"/>
  <c r="AT444" i="3"/>
  <c r="AU600" i="3" s="1"/>
  <c r="AX600" i="3" s="1"/>
  <c r="BD440" i="3"/>
  <c r="AT443" i="3"/>
  <c r="AU599" i="3" s="1"/>
  <c r="AX599" i="3" s="1"/>
  <c r="BD443" i="3"/>
  <c r="AT446" i="3"/>
  <c r="AU602" i="3" s="1"/>
  <c r="AX602" i="3" s="1"/>
  <c r="BD442" i="3"/>
  <c r="AT442" i="3"/>
  <c r="AU598" i="3" s="1"/>
  <c r="AX598" i="3" s="1"/>
  <c r="BD439" i="3"/>
  <c r="BA430" i="3"/>
  <c r="AS430" i="3"/>
  <c r="AV482" i="3" s="1"/>
  <c r="BA431" i="3"/>
  <c r="AS431" i="3"/>
  <c r="AV483" i="3" s="1"/>
  <c r="BA434" i="3"/>
  <c r="P437" i="3"/>
  <c r="Q593" i="3" s="1"/>
  <c r="T593" i="3" s="1"/>
  <c r="AS437" i="3"/>
  <c r="AS434" i="3"/>
  <c r="AZ435" i="3"/>
  <c r="F435" i="3"/>
  <c r="G591" i="3" s="1"/>
  <c r="J591" i="3" s="1"/>
  <c r="BC434" i="3"/>
  <c r="BC433" i="3"/>
  <c r="BJ168" i="3"/>
  <c r="BJ169" i="3" s="1"/>
  <c r="BJ170" i="3" s="1"/>
  <c r="BJ171" i="3" s="1"/>
  <c r="BJ172" i="3" s="1"/>
  <c r="BJ173" i="3" s="1"/>
  <c r="BJ174" i="3" s="1"/>
  <c r="BJ175" i="3" s="1"/>
  <c r="BJ176" i="3" s="1"/>
  <c r="BJ177" i="3" s="1"/>
  <c r="BJ178" i="3" s="1"/>
  <c r="BJ179" i="3" s="1"/>
  <c r="BJ180" i="3" s="1"/>
  <c r="BJ181" i="3" s="1"/>
  <c r="BJ182" i="3" s="1"/>
  <c r="BJ183" i="3" s="1"/>
  <c r="BJ184" i="3" s="1"/>
  <c r="BJ185" i="3" s="1"/>
  <c r="BJ186" i="3" s="1"/>
  <c r="BJ187" i="3" s="1"/>
  <c r="BJ188" i="3" s="1"/>
  <c r="BJ189" i="3" s="1"/>
  <c r="BJ190" i="3" s="1"/>
  <c r="BJ191" i="3" s="1"/>
  <c r="BJ192" i="3" s="1"/>
  <c r="BJ193" i="3" s="1"/>
  <c r="BJ194" i="3" s="1"/>
  <c r="BJ195" i="3" s="1"/>
  <c r="BJ196" i="3" s="1"/>
  <c r="BJ197" i="3" s="1"/>
  <c r="BJ198" i="3" s="1"/>
  <c r="BJ199" i="3" s="1"/>
  <c r="BJ200" i="3" s="1"/>
  <c r="BJ201" i="3" s="1"/>
  <c r="BJ202" i="3" s="1"/>
  <c r="BJ203" i="3" s="1"/>
  <c r="BJ204" i="3" s="1"/>
  <c r="BJ205" i="3" s="1"/>
  <c r="BJ206" i="3" s="1"/>
  <c r="BJ207" i="3" s="1"/>
  <c r="BJ208" i="3" s="1"/>
  <c r="BJ209" i="3" s="1"/>
  <c r="BJ210" i="3" s="1"/>
  <c r="BJ211" i="3" s="1"/>
  <c r="BJ212" i="3" s="1"/>
  <c r="BJ213" i="3" s="1"/>
  <c r="BJ214" i="3" s="1"/>
  <c r="BJ215" i="3" s="1"/>
  <c r="BJ216" i="3" s="1"/>
  <c r="BJ217" i="3" s="1"/>
  <c r="BJ218" i="3" s="1"/>
  <c r="BJ220" i="3" s="1"/>
  <c r="BJ221" i="3" s="1"/>
  <c r="BJ222" i="3" s="1"/>
  <c r="BJ223" i="3" s="1"/>
  <c r="BJ224" i="3" s="1"/>
  <c r="BJ225" i="3" s="1"/>
  <c r="BJ226" i="3" s="1"/>
  <c r="BJ227" i="3" s="1"/>
  <c r="BJ228" i="3" s="1"/>
  <c r="BJ229" i="3" s="1"/>
  <c r="BJ230" i="3" s="1"/>
  <c r="BJ231" i="3" s="1"/>
  <c r="BJ232" i="3" s="1"/>
  <c r="BJ233" i="3" s="1"/>
  <c r="BJ234" i="3" s="1"/>
  <c r="BJ235" i="3" s="1"/>
  <c r="BJ236" i="3" s="1"/>
  <c r="BJ237" i="3" s="1"/>
  <c r="BJ238" i="3" s="1"/>
  <c r="BJ239" i="3" s="1"/>
  <c r="BJ240" i="3" s="1"/>
  <c r="BJ241" i="3" s="1"/>
  <c r="BJ242" i="3" s="1"/>
  <c r="BJ243" i="3" s="1"/>
  <c r="BJ244" i="3" s="1"/>
  <c r="BJ245" i="3" s="1"/>
  <c r="BJ246" i="3" s="1"/>
  <c r="BJ247" i="3" s="1"/>
  <c r="BJ248" i="3" s="1"/>
  <c r="BJ249" i="3" s="1"/>
  <c r="BJ250" i="3" s="1"/>
  <c r="BJ251" i="3" s="1"/>
  <c r="BJ252" i="3" s="1"/>
  <c r="BJ253" i="3" s="1"/>
  <c r="BJ254" i="3" s="1"/>
  <c r="BJ255" i="3" s="1"/>
  <c r="BJ256" i="3" s="1"/>
  <c r="BJ257" i="3" s="1"/>
  <c r="BJ258" i="3" s="1"/>
  <c r="BJ259" i="3" s="1"/>
  <c r="BJ260" i="3" s="1"/>
  <c r="BJ261" i="3" s="1"/>
  <c r="BJ262" i="3" s="1"/>
  <c r="BJ263" i="3" s="1"/>
  <c r="BJ264" i="3" s="1"/>
  <c r="BJ265" i="3" s="1"/>
  <c r="BJ266" i="3" s="1"/>
  <c r="BJ267" i="3" s="1"/>
  <c r="BJ268" i="3" s="1"/>
  <c r="BJ269" i="3" s="1"/>
  <c r="BJ270" i="3" s="1"/>
  <c r="BJ272" i="3" s="1"/>
  <c r="BJ273" i="3" s="1"/>
  <c r="BJ274" i="3" s="1"/>
  <c r="BJ275" i="3" s="1"/>
  <c r="BJ276" i="3" s="1"/>
  <c r="BJ277" i="3" s="1"/>
  <c r="BJ278" i="3" s="1"/>
  <c r="BJ279" i="3" s="1"/>
  <c r="BJ280" i="3" s="1"/>
  <c r="BJ281" i="3" s="1"/>
  <c r="BJ282" i="3" s="1"/>
  <c r="BJ283" i="3" s="1"/>
  <c r="BJ284" i="3" s="1"/>
  <c r="BJ285" i="3" s="1"/>
  <c r="BJ286" i="3" s="1"/>
  <c r="BJ287" i="3" s="1"/>
  <c r="BJ288" i="3" s="1"/>
  <c r="BJ289" i="3" s="1"/>
  <c r="BJ290" i="3" s="1"/>
  <c r="BJ291" i="3" s="1"/>
  <c r="BJ292" i="3" s="1"/>
  <c r="BJ293" i="3" s="1"/>
  <c r="BJ294" i="3" s="1"/>
  <c r="BJ295" i="3" s="1"/>
  <c r="BJ296" i="3" s="1"/>
  <c r="BJ297" i="3" s="1"/>
  <c r="BJ298" i="3" s="1"/>
  <c r="BJ299" i="3" s="1"/>
  <c r="BJ300" i="3" s="1"/>
  <c r="BJ301" i="3" s="1"/>
  <c r="BJ302" i="3" s="1"/>
  <c r="BJ303" i="3" s="1"/>
  <c r="BJ304" i="3" s="1"/>
  <c r="BJ305" i="3" s="1"/>
  <c r="BJ306" i="3" s="1"/>
  <c r="BJ307" i="3" s="1"/>
  <c r="BJ308" i="3" s="1"/>
  <c r="BJ309" i="3" s="1"/>
  <c r="BJ310" i="3" s="1"/>
  <c r="BJ311" i="3" s="1"/>
  <c r="BJ312" i="3" s="1"/>
  <c r="BJ313" i="3" s="1"/>
  <c r="BJ314" i="3" s="1"/>
  <c r="BJ315" i="3" s="1"/>
  <c r="BJ316" i="3" s="1"/>
  <c r="BJ317" i="3" s="1"/>
  <c r="BJ318" i="3" s="1"/>
  <c r="BJ319" i="3" s="1"/>
  <c r="BJ320" i="3" s="1"/>
  <c r="BJ321" i="3" s="1"/>
  <c r="BJ322" i="3" s="1"/>
  <c r="BJ324" i="3" s="1"/>
  <c r="BJ325" i="3" s="1"/>
  <c r="BJ326" i="3" s="1"/>
  <c r="BJ327" i="3" s="1"/>
  <c r="BJ328" i="3" s="1"/>
  <c r="BJ329" i="3" s="1"/>
  <c r="BJ330" i="3" s="1"/>
  <c r="BJ331" i="3" s="1"/>
  <c r="BJ332" i="3" s="1"/>
  <c r="BJ333" i="3" s="1"/>
  <c r="BJ334" i="3" s="1"/>
  <c r="BJ335" i="3" s="1"/>
  <c r="BJ336" i="3" s="1"/>
  <c r="BJ337" i="3" s="1"/>
  <c r="BJ338" i="3" s="1"/>
  <c r="BJ339" i="3" s="1"/>
  <c r="BJ340" i="3" s="1"/>
  <c r="BJ341" i="3" s="1"/>
  <c r="BJ342" i="3" s="1"/>
  <c r="BJ343" i="3" s="1"/>
  <c r="BJ344" i="3" s="1"/>
  <c r="BJ345" i="3" s="1"/>
  <c r="BJ346" i="3" s="1"/>
  <c r="BJ347" i="3" s="1"/>
  <c r="BJ348" i="3" s="1"/>
  <c r="BJ349" i="3" s="1"/>
  <c r="BJ350" i="3" s="1"/>
  <c r="BJ351" i="3" s="1"/>
  <c r="BJ352" i="3" s="1"/>
  <c r="BJ353" i="3" s="1"/>
  <c r="BJ354" i="3" s="1"/>
  <c r="BJ355" i="3" s="1"/>
  <c r="BJ356" i="3" s="1"/>
  <c r="BJ357" i="3" s="1"/>
  <c r="BJ358" i="3" s="1"/>
  <c r="BJ359" i="3" s="1"/>
  <c r="BJ360" i="3" s="1"/>
  <c r="BJ361" i="3" s="1"/>
  <c r="BJ362" i="3" s="1"/>
  <c r="BJ363" i="3" s="1"/>
  <c r="BJ364" i="3" s="1"/>
  <c r="BJ365" i="3" s="1"/>
  <c r="BJ366" i="3" s="1"/>
  <c r="BJ367" i="3" s="1"/>
  <c r="BJ368" i="3" s="1"/>
  <c r="BJ369" i="3" s="1"/>
  <c r="BJ370" i="3" s="1"/>
  <c r="BJ371" i="3" s="1"/>
  <c r="BJ372" i="3" s="1"/>
  <c r="BJ373" i="3" s="1"/>
  <c r="BJ374" i="3" s="1"/>
  <c r="BJ429" i="3" s="1"/>
  <c r="BD436" i="3" l="1"/>
  <c r="BD435" i="3"/>
  <c r="AT440" i="3"/>
  <c r="AU596" i="3" s="1"/>
  <c r="AX596" i="3" s="1"/>
  <c r="AV489" i="3"/>
  <c r="I491" i="3"/>
  <c r="AC490" i="3"/>
  <c r="S493" i="3"/>
  <c r="AC489" i="3"/>
  <c r="AW497" i="3"/>
  <c r="AM491" i="3"/>
  <c r="AM489" i="3"/>
  <c r="I489" i="3"/>
  <c r="I492" i="3"/>
  <c r="AM493" i="3"/>
  <c r="AC493" i="3"/>
  <c r="I493" i="3"/>
  <c r="S492" i="3"/>
  <c r="S489" i="3"/>
  <c r="AW494" i="3"/>
  <c r="AW498" i="3"/>
  <c r="AW495" i="3"/>
  <c r="AW496" i="3"/>
  <c r="I490" i="3"/>
  <c r="AC491" i="3"/>
  <c r="AM490" i="3"/>
  <c r="S490" i="3"/>
  <c r="AC492" i="3"/>
  <c r="S491" i="3"/>
  <c r="AM492" i="3"/>
  <c r="AT436" i="3"/>
  <c r="AU592" i="3" s="1"/>
  <c r="AX592" i="3" s="1"/>
  <c r="AV486" i="3"/>
  <c r="I488" i="3"/>
  <c r="I486" i="3"/>
  <c r="BD433" i="3"/>
  <c r="AV485" i="3"/>
  <c r="I485" i="3"/>
  <c r="I487" i="3"/>
  <c r="AC488" i="3"/>
  <c r="BD432" i="3"/>
  <c r="AV484" i="3"/>
  <c r="AM488" i="3"/>
  <c r="AC487" i="3"/>
  <c r="AM485" i="3"/>
  <c r="AC485" i="3"/>
  <c r="S487" i="3"/>
  <c r="AM486" i="3"/>
  <c r="AC486" i="3"/>
  <c r="S485" i="3"/>
  <c r="S488" i="3"/>
  <c r="AM487" i="3"/>
  <c r="S486" i="3"/>
  <c r="AT438" i="3"/>
  <c r="AU594" i="3" s="1"/>
  <c r="AX594" i="3" s="1"/>
  <c r="AT439" i="3"/>
  <c r="AU595" i="3" s="1"/>
  <c r="AX595" i="3" s="1"/>
  <c r="BD438" i="3"/>
  <c r="AT441" i="3"/>
  <c r="AU597" i="3" s="1"/>
  <c r="AX597" i="3" s="1"/>
  <c r="BD437" i="3"/>
  <c r="AT435" i="3"/>
  <c r="AU591" i="3" s="1"/>
  <c r="AX591" i="3" s="1"/>
  <c r="BD434" i="3"/>
  <c r="AT437" i="3"/>
  <c r="AU593" i="3" s="1"/>
  <c r="AX593" i="3" s="1"/>
  <c r="BD431" i="3"/>
  <c r="AT434" i="3"/>
  <c r="AU590" i="3" s="1"/>
  <c r="AX590" i="3" s="1"/>
  <c r="BD430" i="3"/>
  <c r="AT433" i="3"/>
  <c r="AU589" i="3" s="1"/>
  <c r="AX589" i="3" s="1"/>
  <c r="AI429" i="3"/>
  <c r="BC429" i="3" s="1"/>
  <c r="AR429" i="3"/>
  <c r="Y429" i="3"/>
  <c r="AB481" i="3" s="1"/>
  <c r="O429" i="3"/>
  <c r="R481" i="3" s="1"/>
  <c r="E429" i="3"/>
  <c r="H481" i="3" s="1"/>
  <c r="AQ429" i="3"/>
  <c r="AP429" i="3"/>
  <c r="AI428" i="3"/>
  <c r="AR428" i="3"/>
  <c r="AQ428" i="3"/>
  <c r="AP428" i="3"/>
  <c r="Y428" i="3"/>
  <c r="AB480" i="3" s="1"/>
  <c r="O428" i="3"/>
  <c r="R480" i="3" s="1"/>
  <c r="E428" i="3"/>
  <c r="AI427" i="3"/>
  <c r="AR427" i="3"/>
  <c r="AQ427" i="3"/>
  <c r="AP427" i="3"/>
  <c r="Y427" i="3"/>
  <c r="O427" i="3"/>
  <c r="E427" i="3"/>
  <c r="AI426" i="3"/>
  <c r="AR426" i="3"/>
  <c r="AQ426" i="3"/>
  <c r="AP426" i="3"/>
  <c r="Y426" i="3"/>
  <c r="O426" i="3"/>
  <c r="E426" i="3"/>
  <c r="AW489" i="3" l="1"/>
  <c r="AW493" i="3"/>
  <c r="AW491" i="3"/>
  <c r="AW490" i="3"/>
  <c r="AW492" i="3"/>
  <c r="Z429" i="3"/>
  <c r="AA585" i="3" s="1"/>
  <c r="AD585" i="3" s="1"/>
  <c r="AB478" i="3"/>
  <c r="AJ429" i="3"/>
  <c r="AK585" i="3" s="1"/>
  <c r="AN585" i="3" s="1"/>
  <c r="AL478" i="3"/>
  <c r="P430" i="3"/>
  <c r="Q586" i="3" s="1"/>
  <c r="T586" i="3" s="1"/>
  <c r="R479" i="3"/>
  <c r="Z430" i="3"/>
  <c r="AA586" i="3" s="1"/>
  <c r="AD586" i="3" s="1"/>
  <c r="AB479" i="3"/>
  <c r="AJ430" i="3"/>
  <c r="AK586" i="3" s="1"/>
  <c r="AN586" i="3" s="1"/>
  <c r="AL479" i="3"/>
  <c r="AW485" i="3"/>
  <c r="AW486" i="3"/>
  <c r="AW487" i="3"/>
  <c r="AZ426" i="3"/>
  <c r="H478" i="3"/>
  <c r="BA426" i="3"/>
  <c r="R478" i="3"/>
  <c r="F430" i="3"/>
  <c r="G586" i="3" s="1"/>
  <c r="J586" i="3" s="1"/>
  <c r="H479" i="3"/>
  <c r="BB427" i="3"/>
  <c r="F431" i="3"/>
  <c r="G587" i="3" s="1"/>
  <c r="J587" i="3" s="1"/>
  <c r="H480" i="3"/>
  <c r="AJ431" i="3"/>
  <c r="AK587" i="3" s="1"/>
  <c r="AN587" i="3" s="1"/>
  <c r="AL480" i="3"/>
  <c r="AJ432" i="3"/>
  <c r="AK588" i="3" s="1"/>
  <c r="AN588" i="3" s="1"/>
  <c r="AL481" i="3"/>
  <c r="AW488" i="3"/>
  <c r="BB426" i="3"/>
  <c r="BC426" i="3"/>
  <c r="AZ427" i="3"/>
  <c r="BC427" i="3"/>
  <c r="BB428" i="3"/>
  <c r="BG428" i="3" s="1"/>
  <c r="Z431" i="3"/>
  <c r="AA587" i="3" s="1"/>
  <c r="AD587" i="3" s="1"/>
  <c r="BC428" i="3"/>
  <c r="BH428" i="3" s="1"/>
  <c r="BH429" i="3" s="1"/>
  <c r="BH430" i="3" s="1"/>
  <c r="BH431" i="3" s="1"/>
  <c r="BH432" i="3" s="1"/>
  <c r="BH433" i="3" s="1"/>
  <c r="BH434" i="3" s="1"/>
  <c r="BH435" i="3" s="1"/>
  <c r="BH436" i="3" s="1"/>
  <c r="BB429" i="3"/>
  <c r="Z432" i="3"/>
  <c r="AA588" i="3" s="1"/>
  <c r="AD588" i="3" s="1"/>
  <c r="AZ429" i="3"/>
  <c r="F432" i="3"/>
  <c r="G588" i="3" s="1"/>
  <c r="J588" i="3" s="1"/>
  <c r="BA427" i="3"/>
  <c r="AS427" i="3"/>
  <c r="AV479" i="3" s="1"/>
  <c r="P429" i="3"/>
  <c r="Q585" i="3" s="1"/>
  <c r="T585" i="3" s="1"/>
  <c r="BA428" i="3"/>
  <c r="BF428" i="3" s="1"/>
  <c r="P431" i="3"/>
  <c r="Q587" i="3" s="1"/>
  <c r="T587" i="3" s="1"/>
  <c r="BA429" i="3"/>
  <c r="P432" i="3"/>
  <c r="Q588" i="3" s="1"/>
  <c r="T588" i="3" s="1"/>
  <c r="AS429" i="3"/>
  <c r="F429" i="3"/>
  <c r="G585" i="3" s="1"/>
  <c r="J585" i="3" s="1"/>
  <c r="AS426" i="3"/>
  <c r="AV478" i="3" s="1"/>
  <c r="AS428" i="3"/>
  <c r="AZ428" i="3"/>
  <c r="BE428" i="3" s="1"/>
  <c r="AI425" i="3"/>
  <c r="AR425" i="3"/>
  <c r="AQ425" i="3"/>
  <c r="AP425" i="3"/>
  <c r="Y425" i="3"/>
  <c r="O425" i="3"/>
  <c r="E425" i="3"/>
  <c r="AZ425" i="3" s="1"/>
  <c r="AI424" i="3"/>
  <c r="BC424" i="3" s="1"/>
  <c r="AR424" i="3"/>
  <c r="AQ424" i="3"/>
  <c r="AP424" i="3"/>
  <c r="Y424" i="3"/>
  <c r="O424" i="3"/>
  <c r="R476" i="3" s="1"/>
  <c r="E424" i="3"/>
  <c r="AI423" i="3"/>
  <c r="AR423" i="3"/>
  <c r="AQ423" i="3"/>
  <c r="AP423" i="3"/>
  <c r="Y423" i="3"/>
  <c r="AB475" i="3" s="1"/>
  <c r="O423" i="3"/>
  <c r="E423" i="3"/>
  <c r="AI422" i="3"/>
  <c r="AR422" i="3"/>
  <c r="AQ422" i="3"/>
  <c r="AP422" i="3"/>
  <c r="Y422" i="3"/>
  <c r="O422" i="3"/>
  <c r="E422" i="3"/>
  <c r="BB423" i="3" l="1"/>
  <c r="BA422" i="3"/>
  <c r="R474" i="3"/>
  <c r="F426" i="3"/>
  <c r="G582" i="3" s="1"/>
  <c r="J582" i="3" s="1"/>
  <c r="H475" i="3"/>
  <c r="AZ422" i="3"/>
  <c r="H474" i="3"/>
  <c r="Z425" i="3"/>
  <c r="AA581" i="3" s="1"/>
  <c r="AD581" i="3" s="1"/>
  <c r="AB474" i="3"/>
  <c r="BC422" i="3"/>
  <c r="AL474" i="3"/>
  <c r="P426" i="3"/>
  <c r="Q582" i="3" s="1"/>
  <c r="T582" i="3" s="1"/>
  <c r="R475" i="3"/>
  <c r="AJ426" i="3"/>
  <c r="AK582" i="3" s="1"/>
  <c r="AN582" i="3" s="1"/>
  <c r="AL475" i="3"/>
  <c r="AJ427" i="3"/>
  <c r="AK583" i="3" s="1"/>
  <c r="AN583" i="3" s="1"/>
  <c r="AL476" i="3"/>
  <c r="F428" i="3"/>
  <c r="G584" i="3" s="1"/>
  <c r="J584" i="3" s="1"/>
  <c r="H477" i="3"/>
  <c r="Z428" i="3"/>
  <c r="AA584" i="3" s="1"/>
  <c r="AD584" i="3" s="1"/>
  <c r="AB477" i="3"/>
  <c r="AJ428" i="3"/>
  <c r="AK584" i="3" s="1"/>
  <c r="AN584" i="3" s="1"/>
  <c r="AL477" i="3"/>
  <c r="AT431" i="3"/>
  <c r="AU587" i="3" s="1"/>
  <c r="AX587" i="3" s="1"/>
  <c r="AV480" i="3"/>
  <c r="AT432" i="3"/>
  <c r="AU588" i="3" s="1"/>
  <c r="AX588" i="3" s="1"/>
  <c r="AV481" i="3"/>
  <c r="I484" i="3"/>
  <c r="AC484" i="3"/>
  <c r="AM484" i="3"/>
  <c r="AM483" i="3"/>
  <c r="I483" i="3"/>
  <c r="F427" i="3"/>
  <c r="G583" i="3" s="1"/>
  <c r="J583" i="3" s="1"/>
  <c r="H476" i="3"/>
  <c r="Z427" i="3"/>
  <c r="AA583" i="3" s="1"/>
  <c r="AD583" i="3" s="1"/>
  <c r="AB476" i="3"/>
  <c r="P428" i="3"/>
  <c r="Q584" i="3" s="1"/>
  <c r="T584" i="3" s="1"/>
  <c r="R477" i="3"/>
  <c r="BH437" i="3"/>
  <c r="BH438" i="3" s="1"/>
  <c r="BH439" i="3" s="1"/>
  <c r="BH440" i="3" s="1"/>
  <c r="BH441" i="3" s="1"/>
  <c r="BH442" i="3" s="1"/>
  <c r="BH443" i="3" s="1"/>
  <c r="BH444" i="3" s="1"/>
  <c r="BH445" i="3" s="1"/>
  <c r="BH446" i="3" s="1"/>
  <c r="BH447" i="3" s="1"/>
  <c r="BH448" i="3" s="1"/>
  <c r="BH449" i="3" s="1"/>
  <c r="BH450" i="3" s="1"/>
  <c r="BH451" i="3" s="1"/>
  <c r="BH452" i="3" s="1"/>
  <c r="BH453" i="3" s="1"/>
  <c r="BH454" i="3" s="1"/>
  <c r="BH455" i="3" s="1"/>
  <c r="I481" i="3"/>
  <c r="S484" i="3"/>
  <c r="S483" i="3"/>
  <c r="S481" i="3"/>
  <c r="AC483" i="3"/>
  <c r="I482" i="3"/>
  <c r="AM482" i="3"/>
  <c r="AC482" i="3"/>
  <c r="S482" i="3"/>
  <c r="AM481" i="3"/>
  <c r="AC481" i="3"/>
  <c r="Z426" i="3"/>
  <c r="AA582" i="3" s="1"/>
  <c r="AD582" i="3" s="1"/>
  <c r="BE429" i="3"/>
  <c r="BE430" i="3" s="1"/>
  <c r="BE431" i="3" s="1"/>
  <c r="BE432" i="3" s="1"/>
  <c r="BE433" i="3" s="1"/>
  <c r="BE434" i="3" s="1"/>
  <c r="BE435" i="3" s="1"/>
  <c r="BE436" i="3" s="1"/>
  <c r="BG429" i="3"/>
  <c r="BG430" i="3" s="1"/>
  <c r="BG431" i="3" s="1"/>
  <c r="BG432" i="3" s="1"/>
  <c r="BG433" i="3" s="1"/>
  <c r="BG434" i="3" s="1"/>
  <c r="BG435" i="3" s="1"/>
  <c r="BG436" i="3" s="1"/>
  <c r="BC423" i="3"/>
  <c r="AZ424" i="3"/>
  <c r="BC425" i="3"/>
  <c r="BD427" i="3"/>
  <c r="AT430" i="3"/>
  <c r="AU586" i="3" s="1"/>
  <c r="AX586" i="3" s="1"/>
  <c r="BA425" i="3"/>
  <c r="BF429" i="3"/>
  <c r="BF430" i="3" s="1"/>
  <c r="BF431" i="3" s="1"/>
  <c r="BF432" i="3" s="1"/>
  <c r="BF433" i="3" s="1"/>
  <c r="BF434" i="3" s="1"/>
  <c r="BF435" i="3" s="1"/>
  <c r="BF436" i="3" s="1"/>
  <c r="BD429" i="3"/>
  <c r="AT429" i="3"/>
  <c r="AU585" i="3" s="1"/>
  <c r="AX585" i="3" s="1"/>
  <c r="BA424" i="3"/>
  <c r="P427" i="3"/>
  <c r="Q583" i="3" s="1"/>
  <c r="T583" i="3" s="1"/>
  <c r="P425" i="3"/>
  <c r="Q581" i="3" s="1"/>
  <c r="T581" i="3" s="1"/>
  <c r="AJ425" i="3"/>
  <c r="AK581" i="3" s="1"/>
  <c r="AN581" i="3" s="1"/>
  <c r="BD426" i="3"/>
  <c r="AZ423" i="3"/>
  <c r="BA423" i="3"/>
  <c r="BB424" i="3"/>
  <c r="BB425" i="3"/>
  <c r="BD428" i="3"/>
  <c r="AS422" i="3"/>
  <c r="AV474" i="3" s="1"/>
  <c r="F425" i="3"/>
  <c r="G581" i="3" s="1"/>
  <c r="J581" i="3" s="1"/>
  <c r="AS425" i="3"/>
  <c r="AS424" i="3"/>
  <c r="AV476" i="3" s="1"/>
  <c r="AS423" i="3"/>
  <c r="AV475" i="3" s="1"/>
  <c r="BB422" i="3"/>
  <c r="AI421" i="3"/>
  <c r="AR421" i="3"/>
  <c r="AQ421" i="3"/>
  <c r="AP421" i="3"/>
  <c r="Y421" i="3"/>
  <c r="AB473" i="3" s="1"/>
  <c r="O421" i="3"/>
  <c r="E421" i="3"/>
  <c r="H473" i="3" s="1"/>
  <c r="AI420" i="3"/>
  <c r="AL472" i="3" s="1"/>
  <c r="AR420" i="3"/>
  <c r="AQ420" i="3"/>
  <c r="AP420" i="3"/>
  <c r="Y420" i="3"/>
  <c r="O420" i="3"/>
  <c r="R472" i="3" s="1"/>
  <c r="E420" i="3"/>
  <c r="AI419" i="3"/>
  <c r="AR419" i="3"/>
  <c r="AQ419" i="3"/>
  <c r="AP419" i="3"/>
  <c r="Y419" i="3"/>
  <c r="AB471" i="3" s="1"/>
  <c r="O419" i="3"/>
  <c r="E419" i="3"/>
  <c r="H471" i="3" s="1"/>
  <c r="AI418" i="3"/>
  <c r="AL470" i="3" s="1"/>
  <c r="AR418" i="3"/>
  <c r="AQ418" i="3"/>
  <c r="AP418" i="3"/>
  <c r="Y418" i="3"/>
  <c r="O418" i="3"/>
  <c r="E418" i="3"/>
  <c r="AI417" i="3"/>
  <c r="AR417" i="3"/>
  <c r="AQ417" i="3"/>
  <c r="AP417" i="3"/>
  <c r="Y417" i="3"/>
  <c r="O417" i="3"/>
  <c r="E417" i="3"/>
  <c r="H469" i="3" s="1"/>
  <c r="AI416" i="3"/>
  <c r="AL468" i="3" s="1"/>
  <c r="AR416" i="3"/>
  <c r="AQ416" i="3"/>
  <c r="AP416" i="3"/>
  <c r="Y416" i="3"/>
  <c r="O416" i="3"/>
  <c r="E416" i="3"/>
  <c r="AI415" i="3"/>
  <c r="AR415" i="3"/>
  <c r="AQ415" i="3"/>
  <c r="AP415" i="3"/>
  <c r="Y415" i="3"/>
  <c r="AB467" i="3" s="1"/>
  <c r="O415" i="3"/>
  <c r="R467" i="3" s="1"/>
  <c r="E415" i="3"/>
  <c r="AI414" i="3"/>
  <c r="AL466" i="3" s="1"/>
  <c r="AR414" i="3"/>
  <c r="AQ414" i="3"/>
  <c r="AP414" i="3"/>
  <c r="Y414" i="3"/>
  <c r="O414" i="3"/>
  <c r="E414" i="3"/>
  <c r="AI413" i="3"/>
  <c r="AR413" i="3"/>
  <c r="AQ413" i="3"/>
  <c r="AP413" i="3"/>
  <c r="Y413" i="3"/>
  <c r="O413" i="3"/>
  <c r="E413" i="3"/>
  <c r="H465" i="3" s="1"/>
  <c r="BH456" i="3" l="1"/>
  <c r="BH457" i="3" s="1"/>
  <c r="BH458" i="3" s="1"/>
  <c r="BH459" i="3" s="1"/>
  <c r="BH460" i="3" s="1"/>
  <c r="BH461" i="3" s="1"/>
  <c r="BH462" i="3" s="1"/>
  <c r="BH463" i="3" s="1"/>
  <c r="BH464" i="3" s="1"/>
  <c r="BH465" i="3" s="1"/>
  <c r="BH466" i="3" s="1"/>
  <c r="BH467" i="3" s="1"/>
  <c r="BH468" i="3" s="1"/>
  <c r="BH469" i="3" s="1"/>
  <c r="BH470" i="3" s="1"/>
  <c r="BH471" i="3" s="1"/>
  <c r="BH472" i="3" s="1"/>
  <c r="BH473" i="3" s="1"/>
  <c r="BH474" i="3" s="1"/>
  <c r="BH475" i="3" s="1"/>
  <c r="BH476" i="3" s="1"/>
  <c r="BH477" i="3" s="1"/>
  <c r="BH478" i="3" s="1"/>
  <c r="BH479" i="3" s="1"/>
  <c r="BB413" i="3"/>
  <c r="AB465" i="3"/>
  <c r="BC413" i="3"/>
  <c r="AL465" i="3"/>
  <c r="AZ415" i="3"/>
  <c r="H467" i="3"/>
  <c r="AJ424" i="3"/>
  <c r="AK580" i="3" s="1"/>
  <c r="AN580" i="3" s="1"/>
  <c r="AL473" i="3"/>
  <c r="AT428" i="3"/>
  <c r="AU584" i="3" s="1"/>
  <c r="AX584" i="3" s="1"/>
  <c r="AV477" i="3"/>
  <c r="BA413" i="3"/>
  <c r="R465" i="3"/>
  <c r="AZ414" i="3"/>
  <c r="H466" i="3"/>
  <c r="BB414" i="3"/>
  <c r="AB466" i="3"/>
  <c r="AZ416" i="3"/>
  <c r="H468" i="3"/>
  <c r="BB416" i="3"/>
  <c r="AB468" i="3"/>
  <c r="BA417" i="3"/>
  <c r="R469" i="3"/>
  <c r="AZ418" i="3"/>
  <c r="H470" i="3"/>
  <c r="BB418" i="3"/>
  <c r="AB470" i="3"/>
  <c r="BA419" i="3"/>
  <c r="R471" i="3"/>
  <c r="AZ420" i="3"/>
  <c r="H472" i="3"/>
  <c r="Z423" i="3"/>
  <c r="AA579" i="3" s="1"/>
  <c r="AD579" i="3" s="1"/>
  <c r="AB472" i="3"/>
  <c r="P424" i="3"/>
  <c r="Q580" i="3" s="1"/>
  <c r="T580" i="3" s="1"/>
  <c r="R473" i="3"/>
  <c r="I477" i="3"/>
  <c r="AM477" i="3"/>
  <c r="S479" i="3"/>
  <c r="AW481" i="3"/>
  <c r="BF437" i="3"/>
  <c r="BF438" i="3" s="1"/>
  <c r="BF439" i="3" s="1"/>
  <c r="BF440" i="3" s="1"/>
  <c r="BF441" i="3" s="1"/>
  <c r="BF442" i="3" s="1"/>
  <c r="BF443" i="3" s="1"/>
  <c r="BF444" i="3" s="1"/>
  <c r="BF445" i="3" s="1"/>
  <c r="BF446" i="3" s="1"/>
  <c r="BF447" i="3" s="1"/>
  <c r="BF448" i="3" s="1"/>
  <c r="BF449" i="3" s="1"/>
  <c r="BF450" i="3" s="1"/>
  <c r="BF451" i="3" s="1"/>
  <c r="BF452" i="3" s="1"/>
  <c r="BF453" i="3" s="1"/>
  <c r="BF454" i="3" s="1"/>
  <c r="BF455" i="3" s="1"/>
  <c r="AW482" i="3"/>
  <c r="BE437" i="3"/>
  <c r="BE438" i="3" s="1"/>
  <c r="BE439" i="3" s="1"/>
  <c r="BE440" i="3" s="1"/>
  <c r="BE441" i="3" s="1"/>
  <c r="BE442" i="3" s="1"/>
  <c r="BE443" i="3" s="1"/>
  <c r="BE444" i="3" s="1"/>
  <c r="BE445" i="3" s="1"/>
  <c r="BE446" i="3" s="1"/>
  <c r="BE447" i="3" s="1"/>
  <c r="BE448" i="3" s="1"/>
  <c r="BE449" i="3" s="1"/>
  <c r="BE450" i="3" s="1"/>
  <c r="BE451" i="3" s="1"/>
  <c r="BE452" i="3" s="1"/>
  <c r="BE453" i="3" s="1"/>
  <c r="BE454" i="3" s="1"/>
  <c r="BE455" i="3" s="1"/>
  <c r="BA414" i="3"/>
  <c r="R466" i="3"/>
  <c r="BC415" i="3"/>
  <c r="AL467" i="3"/>
  <c r="BA416" i="3"/>
  <c r="R468" i="3"/>
  <c r="BB417" i="3"/>
  <c r="AB469" i="3"/>
  <c r="BC417" i="3"/>
  <c r="AL469" i="3"/>
  <c r="BA418" i="3"/>
  <c r="R470" i="3"/>
  <c r="S477" i="3"/>
  <c r="BG437" i="3"/>
  <c r="BG438" i="3" s="1"/>
  <c r="BG439" i="3" s="1"/>
  <c r="BG440" i="3" s="1"/>
  <c r="BG441" i="3" s="1"/>
  <c r="BG442" i="3" s="1"/>
  <c r="BG443" i="3" s="1"/>
  <c r="BG444" i="3" s="1"/>
  <c r="BG445" i="3" s="1"/>
  <c r="BG446" i="3" s="1"/>
  <c r="BG447" i="3" s="1"/>
  <c r="BG448" i="3" s="1"/>
  <c r="BG449" i="3" s="1"/>
  <c r="BG450" i="3" s="1"/>
  <c r="BG451" i="3" s="1"/>
  <c r="BG452" i="3" s="1"/>
  <c r="BG453" i="3" s="1"/>
  <c r="BG454" i="3" s="1"/>
  <c r="BG455" i="3" s="1"/>
  <c r="AC478" i="3"/>
  <c r="S480" i="3"/>
  <c r="AC479" i="3"/>
  <c r="I479" i="3"/>
  <c r="AW484" i="3"/>
  <c r="AW483" i="3"/>
  <c r="AM480" i="3"/>
  <c r="AC480" i="3"/>
  <c r="I480" i="3"/>
  <c r="AM479" i="3"/>
  <c r="AM478" i="3"/>
  <c r="S478" i="3"/>
  <c r="AC477" i="3"/>
  <c r="I478" i="3"/>
  <c r="F416" i="3"/>
  <c r="G572" i="3" s="1"/>
  <c r="J572" i="3" s="1"/>
  <c r="AJ417" i="3"/>
  <c r="AK573" i="3" s="1"/>
  <c r="AN573" i="3" s="1"/>
  <c r="AJ419" i="3"/>
  <c r="AK575" i="3" s="1"/>
  <c r="AN575" i="3" s="1"/>
  <c r="BB420" i="3"/>
  <c r="AZ413" i="3"/>
  <c r="AT427" i="3"/>
  <c r="AU583" i="3" s="1"/>
  <c r="AX583" i="3" s="1"/>
  <c r="AJ416" i="3"/>
  <c r="AK572" i="3" s="1"/>
  <c r="AN572" i="3" s="1"/>
  <c r="P421" i="3"/>
  <c r="Q577" i="3" s="1"/>
  <c r="T577" i="3" s="1"/>
  <c r="AT426" i="3"/>
  <c r="AU582" i="3" s="1"/>
  <c r="AX582" i="3" s="1"/>
  <c r="BC414" i="3"/>
  <c r="BA421" i="3"/>
  <c r="BC421" i="3"/>
  <c r="BI428" i="3"/>
  <c r="BI429" i="3" s="1"/>
  <c r="BI430" i="3" s="1"/>
  <c r="BI431" i="3" s="1"/>
  <c r="BI432" i="3" s="1"/>
  <c r="BI433" i="3" s="1"/>
  <c r="BI434" i="3" s="1"/>
  <c r="BI435" i="3" s="1"/>
  <c r="BI436" i="3" s="1"/>
  <c r="BC420" i="3"/>
  <c r="AJ423" i="3"/>
  <c r="AK579" i="3" s="1"/>
  <c r="AN579" i="3" s="1"/>
  <c r="AZ421" i="3"/>
  <c r="F424" i="3"/>
  <c r="G580" i="3" s="1"/>
  <c r="J580" i="3" s="1"/>
  <c r="BB419" i="3"/>
  <c r="Z422" i="3"/>
  <c r="AA578" i="3" s="1"/>
  <c r="AD578" i="3" s="1"/>
  <c r="AS420" i="3"/>
  <c r="AV472" i="3" s="1"/>
  <c r="F423" i="3"/>
  <c r="G579" i="3" s="1"/>
  <c r="J579" i="3" s="1"/>
  <c r="BA420" i="3"/>
  <c r="P423" i="3"/>
  <c r="Q579" i="3" s="1"/>
  <c r="T579" i="3" s="1"/>
  <c r="AZ419" i="3"/>
  <c r="F422" i="3"/>
  <c r="G578" i="3" s="1"/>
  <c r="J578" i="3" s="1"/>
  <c r="BD422" i="3"/>
  <c r="AT425" i="3"/>
  <c r="AU581" i="3" s="1"/>
  <c r="AX581" i="3" s="1"/>
  <c r="P420" i="3"/>
  <c r="Q576" i="3" s="1"/>
  <c r="T576" i="3" s="1"/>
  <c r="P417" i="3"/>
  <c r="Q573" i="3" s="1"/>
  <c r="T573" i="3" s="1"/>
  <c r="AS416" i="3"/>
  <c r="AV468" i="3" s="1"/>
  <c r="AS421" i="3"/>
  <c r="Z424" i="3"/>
  <c r="AA580" i="3" s="1"/>
  <c r="AD580" i="3" s="1"/>
  <c r="BD423" i="3"/>
  <c r="BD425" i="3"/>
  <c r="P422" i="3"/>
  <c r="Q578" i="3" s="1"/>
  <c r="T578" i="3" s="1"/>
  <c r="F418" i="3"/>
  <c r="G574" i="3" s="1"/>
  <c r="J574" i="3" s="1"/>
  <c r="Z418" i="3"/>
  <c r="AA574" i="3" s="1"/>
  <c r="AD574" i="3" s="1"/>
  <c r="F420" i="3"/>
  <c r="G576" i="3" s="1"/>
  <c r="J576" i="3" s="1"/>
  <c r="BD424" i="3"/>
  <c r="BC419" i="3"/>
  <c r="AJ422" i="3"/>
  <c r="AK578" i="3" s="1"/>
  <c r="AN578" i="3" s="1"/>
  <c r="AJ418" i="3"/>
  <c r="AK574" i="3" s="1"/>
  <c r="AN574" i="3" s="1"/>
  <c r="P416" i="3"/>
  <c r="Q572" i="3" s="1"/>
  <c r="T572" i="3" s="1"/>
  <c r="Z417" i="3"/>
  <c r="AA573" i="3" s="1"/>
  <c r="AD573" i="3" s="1"/>
  <c r="P418" i="3"/>
  <c r="Q574" i="3" s="1"/>
  <c r="T574" i="3" s="1"/>
  <c r="P419" i="3"/>
  <c r="Q575" i="3" s="1"/>
  <c r="T575" i="3" s="1"/>
  <c r="Z421" i="3"/>
  <c r="AA577" i="3" s="1"/>
  <c r="AD577" i="3" s="1"/>
  <c r="BB415" i="3"/>
  <c r="F419" i="3"/>
  <c r="G575" i="3" s="1"/>
  <c r="J575" i="3" s="1"/>
  <c r="Z416" i="3"/>
  <c r="AA572" i="3" s="1"/>
  <c r="AD572" i="3" s="1"/>
  <c r="BC418" i="3"/>
  <c r="AS419" i="3"/>
  <c r="AV471" i="3" s="1"/>
  <c r="Z420" i="3"/>
  <c r="AA576" i="3" s="1"/>
  <c r="AD576" i="3" s="1"/>
  <c r="AJ421" i="3"/>
  <c r="AK577" i="3" s="1"/>
  <c r="AN577" i="3" s="1"/>
  <c r="BA415" i="3"/>
  <c r="AS415" i="3"/>
  <c r="AV467" i="3" s="1"/>
  <c r="AS418" i="3"/>
  <c r="AV470" i="3" s="1"/>
  <c r="BB421" i="3"/>
  <c r="AJ420" i="3"/>
  <c r="AK576" i="3" s="1"/>
  <c r="AN576" i="3" s="1"/>
  <c r="AS414" i="3"/>
  <c r="AV466" i="3" s="1"/>
  <c r="AS417" i="3"/>
  <c r="AV469" i="3" s="1"/>
  <c r="Z419" i="3"/>
  <c r="AA575" i="3" s="1"/>
  <c r="AD575" i="3" s="1"/>
  <c r="BC416" i="3"/>
  <c r="F421" i="3"/>
  <c r="G577" i="3" s="1"/>
  <c r="J577" i="3" s="1"/>
  <c r="F417" i="3"/>
  <c r="G573" i="3" s="1"/>
  <c r="J573" i="3" s="1"/>
  <c r="AS413" i="3"/>
  <c r="AV465" i="3" s="1"/>
  <c r="AZ417" i="3"/>
  <c r="AI412" i="3"/>
  <c r="BC412" i="3" s="1"/>
  <c r="AR412" i="3"/>
  <c r="AQ412" i="3"/>
  <c r="AP412" i="3"/>
  <c r="Y412" i="3"/>
  <c r="O412" i="3"/>
  <c r="BA412" i="3" s="1"/>
  <c r="E412" i="3"/>
  <c r="H464" i="3" s="1"/>
  <c r="AI411" i="3"/>
  <c r="AR411" i="3"/>
  <c r="AQ411" i="3"/>
  <c r="AP411" i="3"/>
  <c r="Y411" i="3"/>
  <c r="AB463" i="3" s="1"/>
  <c r="O411" i="3"/>
  <c r="R463" i="3" s="1"/>
  <c r="E411" i="3"/>
  <c r="AI410" i="3"/>
  <c r="AR410" i="3"/>
  <c r="AQ410" i="3"/>
  <c r="AP410" i="3"/>
  <c r="Y410" i="3"/>
  <c r="AB462" i="3" s="1"/>
  <c r="O410" i="3"/>
  <c r="E410" i="3"/>
  <c r="H462" i="3" s="1"/>
  <c r="AI409" i="3"/>
  <c r="AL461" i="3" s="1"/>
  <c r="AR409" i="3"/>
  <c r="AQ409" i="3"/>
  <c r="AP409" i="3"/>
  <c r="Y409" i="3"/>
  <c r="O409" i="3"/>
  <c r="R461" i="3" s="1"/>
  <c r="E409" i="3"/>
  <c r="H461" i="3" s="1"/>
  <c r="AI408" i="3"/>
  <c r="AL460" i="3" s="1"/>
  <c r="AR408" i="3"/>
  <c r="AQ408" i="3"/>
  <c r="AP408" i="3"/>
  <c r="Y408" i="3"/>
  <c r="O408" i="3"/>
  <c r="R460" i="3" s="1"/>
  <c r="E408" i="3"/>
  <c r="H460" i="3" s="1"/>
  <c r="AI407" i="3"/>
  <c r="AL459" i="3" s="1"/>
  <c r="AR407" i="3"/>
  <c r="AQ407" i="3"/>
  <c r="AP407" i="3"/>
  <c r="Y407" i="3"/>
  <c r="O407" i="3"/>
  <c r="E407" i="3"/>
  <c r="BD416" i="3" l="1"/>
  <c r="BC407" i="3"/>
  <c r="AZ408" i="3"/>
  <c r="BA408" i="3"/>
  <c r="BC408" i="3"/>
  <c r="AZ409" i="3"/>
  <c r="BA409" i="3"/>
  <c r="BD420" i="3"/>
  <c r="BG456" i="3"/>
  <c r="BG457" i="3" s="1"/>
  <c r="BG458" i="3" s="1"/>
  <c r="BG459" i="3" s="1"/>
  <c r="BG460" i="3" s="1"/>
  <c r="BG461" i="3" s="1"/>
  <c r="BG462" i="3" s="1"/>
  <c r="BG463" i="3" s="1"/>
  <c r="BG464" i="3" s="1"/>
  <c r="BG465" i="3" s="1"/>
  <c r="BG466" i="3" s="1"/>
  <c r="BG467" i="3" s="1"/>
  <c r="BG468" i="3" s="1"/>
  <c r="BG469" i="3" s="1"/>
  <c r="BG470" i="3" s="1"/>
  <c r="BG471" i="3" s="1"/>
  <c r="BG472" i="3" s="1"/>
  <c r="BG473" i="3" s="1"/>
  <c r="BG474" i="3" s="1"/>
  <c r="BG475" i="3" s="1"/>
  <c r="BG476" i="3" s="1"/>
  <c r="BG477" i="3" s="1"/>
  <c r="BG478" i="3" s="1"/>
  <c r="BG479" i="3" s="1"/>
  <c r="BE456" i="3"/>
  <c r="BE457" i="3" s="1"/>
  <c r="BE458" i="3" s="1"/>
  <c r="BE459" i="3" s="1"/>
  <c r="BE460" i="3" s="1"/>
  <c r="BE461" i="3" s="1"/>
  <c r="BE462" i="3" s="1"/>
  <c r="BE463" i="3" s="1"/>
  <c r="BE464" i="3" s="1"/>
  <c r="BE465" i="3" s="1"/>
  <c r="BE466" i="3" s="1"/>
  <c r="BE467" i="3" s="1"/>
  <c r="BE468" i="3" s="1"/>
  <c r="BE469" i="3" s="1"/>
  <c r="BE470" i="3" s="1"/>
  <c r="BE471" i="3" s="1"/>
  <c r="BE472" i="3" s="1"/>
  <c r="BE473" i="3" s="1"/>
  <c r="BE474" i="3" s="1"/>
  <c r="BE475" i="3" s="1"/>
  <c r="BE476" i="3" s="1"/>
  <c r="BE477" i="3" s="1"/>
  <c r="BE478" i="3" s="1"/>
  <c r="BE479" i="3" s="1"/>
  <c r="B17" i="1"/>
  <c r="BF456" i="3"/>
  <c r="BF457" i="3" s="1"/>
  <c r="BF458" i="3" s="1"/>
  <c r="BF459" i="3" s="1"/>
  <c r="BF460" i="3" s="1"/>
  <c r="BF461" i="3" s="1"/>
  <c r="BF462" i="3" s="1"/>
  <c r="BF463" i="3" s="1"/>
  <c r="BF464" i="3" s="1"/>
  <c r="BF465" i="3" s="1"/>
  <c r="BF466" i="3" s="1"/>
  <c r="BF467" i="3" s="1"/>
  <c r="BF468" i="3" s="1"/>
  <c r="BF469" i="3" s="1"/>
  <c r="BF470" i="3" s="1"/>
  <c r="BF471" i="3" s="1"/>
  <c r="BF472" i="3" s="1"/>
  <c r="BF473" i="3" s="1"/>
  <c r="BF474" i="3" s="1"/>
  <c r="BF475" i="3" s="1"/>
  <c r="BF476" i="3" s="1"/>
  <c r="BF477" i="3" s="1"/>
  <c r="BF478" i="3" s="1"/>
  <c r="BF479" i="3" s="1"/>
  <c r="Z415" i="3"/>
  <c r="AA571" i="3" s="1"/>
  <c r="AD571" i="3" s="1"/>
  <c r="AB464" i="3"/>
  <c r="AM472" i="3"/>
  <c r="AC472" i="3"/>
  <c r="AC473" i="3"/>
  <c r="S468" i="3"/>
  <c r="S474" i="3"/>
  <c r="S469" i="3"/>
  <c r="I474" i="3"/>
  <c r="AC474" i="3"/>
  <c r="P415" i="3"/>
  <c r="Q571" i="3" s="1"/>
  <c r="T571" i="3" s="1"/>
  <c r="R464" i="3"/>
  <c r="AJ415" i="3"/>
  <c r="AK571" i="3" s="1"/>
  <c r="AN571" i="3" s="1"/>
  <c r="AL464" i="3"/>
  <c r="I473" i="3"/>
  <c r="AC471" i="3"/>
  <c r="AM473" i="3"/>
  <c r="AC468" i="3"/>
  <c r="S471" i="3"/>
  <c r="AC469" i="3"/>
  <c r="AM470" i="3"/>
  <c r="I472" i="3"/>
  <c r="I470" i="3"/>
  <c r="AC476" i="3"/>
  <c r="S472" i="3"/>
  <c r="S473" i="3"/>
  <c r="AW479" i="3"/>
  <c r="AM469" i="3"/>
  <c r="I469" i="3"/>
  <c r="I471" i="3"/>
  <c r="S470" i="3"/>
  <c r="AM474" i="3"/>
  <c r="AC470" i="3"/>
  <c r="AT424" i="3"/>
  <c r="AU580" i="3" s="1"/>
  <c r="AX580" i="3" s="1"/>
  <c r="AV473" i="3"/>
  <c r="AW477" i="3"/>
  <c r="S475" i="3"/>
  <c r="I475" i="3"/>
  <c r="I476" i="3"/>
  <c r="AM475" i="3"/>
  <c r="BI437" i="3"/>
  <c r="BI438" i="3" s="1"/>
  <c r="BI439" i="3" s="1"/>
  <c r="BI440" i="3" s="1"/>
  <c r="BI441" i="3" s="1"/>
  <c r="BI442" i="3" s="1"/>
  <c r="BI443" i="3" s="1"/>
  <c r="BI444" i="3" s="1"/>
  <c r="BI445" i="3" s="1"/>
  <c r="BI446" i="3" s="1"/>
  <c r="BI447" i="3" s="1"/>
  <c r="BI448" i="3" s="1"/>
  <c r="BI449" i="3" s="1"/>
  <c r="BI450" i="3" s="1"/>
  <c r="BI451" i="3" s="1"/>
  <c r="BI452" i="3" s="1"/>
  <c r="BI453" i="3" s="1"/>
  <c r="BI454" i="3" s="1"/>
  <c r="BI455" i="3" s="1"/>
  <c r="AW478" i="3"/>
  <c r="AM468" i="3"/>
  <c r="AM471" i="3"/>
  <c r="I468" i="3"/>
  <c r="S476" i="3"/>
  <c r="AC475" i="3"/>
  <c r="AW480" i="3"/>
  <c r="AM476" i="3"/>
  <c r="AS408" i="3"/>
  <c r="AV460" i="3" s="1"/>
  <c r="AB460" i="3"/>
  <c r="BB409" i="3"/>
  <c r="AB461" i="3"/>
  <c r="AJ414" i="3"/>
  <c r="AK570" i="3" s="1"/>
  <c r="AN570" i="3" s="1"/>
  <c r="AL463" i="3"/>
  <c r="BA407" i="3"/>
  <c r="R459" i="3"/>
  <c r="BC410" i="3"/>
  <c r="AL462" i="3"/>
  <c r="AS407" i="3"/>
  <c r="AV459" i="3" s="1"/>
  <c r="H459" i="3"/>
  <c r="BB407" i="3"/>
  <c r="AB459" i="3"/>
  <c r="P410" i="3"/>
  <c r="Q566" i="3" s="1"/>
  <c r="T566" i="3" s="1"/>
  <c r="R462" i="3"/>
  <c r="F414" i="3"/>
  <c r="G570" i="3" s="1"/>
  <c r="J570" i="3" s="1"/>
  <c r="H463" i="3"/>
  <c r="AJ410" i="3"/>
  <c r="AK566" i="3" s="1"/>
  <c r="AN566" i="3" s="1"/>
  <c r="P412" i="3"/>
  <c r="Q568" i="3" s="1"/>
  <c r="T568" i="3" s="1"/>
  <c r="AZ411" i="3"/>
  <c r="AT422" i="3"/>
  <c r="AU578" i="3" s="1"/>
  <c r="AX578" i="3" s="1"/>
  <c r="F411" i="3"/>
  <c r="G567" i="3" s="1"/>
  <c r="J567" i="3" s="1"/>
  <c r="BB412" i="3"/>
  <c r="BD421" i="3"/>
  <c r="AS409" i="3"/>
  <c r="BC411" i="3"/>
  <c r="AT423" i="3"/>
  <c r="AU579" i="3" s="1"/>
  <c r="AX579" i="3" s="1"/>
  <c r="AT419" i="3"/>
  <c r="AU575" i="3" s="1"/>
  <c r="AX575" i="3" s="1"/>
  <c r="BB410" i="3"/>
  <c r="Z413" i="3"/>
  <c r="AA569" i="3" s="1"/>
  <c r="AD569" i="3" s="1"/>
  <c r="BD414" i="3"/>
  <c r="AT417" i="3"/>
  <c r="AU573" i="3" s="1"/>
  <c r="AX573" i="3" s="1"/>
  <c r="F410" i="3"/>
  <c r="G566" i="3" s="1"/>
  <c r="J566" i="3" s="1"/>
  <c r="AZ407" i="3"/>
  <c r="BB408" i="3"/>
  <c r="BC409" i="3"/>
  <c r="AZ410" i="3"/>
  <c r="F413" i="3"/>
  <c r="G569" i="3" s="1"/>
  <c r="J569" i="3" s="1"/>
  <c r="BA411" i="3"/>
  <c r="P414" i="3"/>
  <c r="Q570" i="3" s="1"/>
  <c r="T570" i="3" s="1"/>
  <c r="Z412" i="3"/>
  <c r="AA568" i="3" s="1"/>
  <c r="AD568" i="3" s="1"/>
  <c r="BD415" i="3"/>
  <c r="AT418" i="3"/>
  <c r="AU574" i="3" s="1"/>
  <c r="AX574" i="3" s="1"/>
  <c r="BD413" i="3"/>
  <c r="AT416" i="3"/>
  <c r="AU572" i="3" s="1"/>
  <c r="AX572" i="3" s="1"/>
  <c r="P411" i="3"/>
  <c r="Q567" i="3" s="1"/>
  <c r="T567" i="3" s="1"/>
  <c r="AS412" i="3"/>
  <c r="AV464" i="3" s="1"/>
  <c r="Z411" i="3"/>
  <c r="AA567" i="3" s="1"/>
  <c r="AD567" i="3" s="1"/>
  <c r="AS410" i="3"/>
  <c r="AV462" i="3" s="1"/>
  <c r="AJ413" i="3"/>
  <c r="AK569" i="3" s="1"/>
  <c r="AN569" i="3" s="1"/>
  <c r="AJ412" i="3"/>
  <c r="AK568" i="3" s="1"/>
  <c r="AN568" i="3" s="1"/>
  <c r="AJ411" i="3"/>
  <c r="AK567" i="3" s="1"/>
  <c r="AN567" i="3" s="1"/>
  <c r="BB411" i="3"/>
  <c r="Z414" i="3"/>
  <c r="AA570" i="3" s="1"/>
  <c r="AD570" i="3" s="1"/>
  <c r="Z410" i="3"/>
  <c r="AA566" i="3" s="1"/>
  <c r="AD566" i="3" s="1"/>
  <c r="AS411" i="3"/>
  <c r="AV463" i="3" s="1"/>
  <c r="BD418" i="3"/>
  <c r="AT421" i="3"/>
  <c r="AU577" i="3" s="1"/>
  <c r="AX577" i="3" s="1"/>
  <c r="BD417" i="3"/>
  <c r="AT420" i="3"/>
  <c r="AU576" i="3" s="1"/>
  <c r="AX576" i="3" s="1"/>
  <c r="F412" i="3"/>
  <c r="G568" i="3" s="1"/>
  <c r="J568" i="3" s="1"/>
  <c r="BA410" i="3"/>
  <c r="P413" i="3"/>
  <c r="Q569" i="3" s="1"/>
  <c r="T569" i="3" s="1"/>
  <c r="BD419" i="3"/>
  <c r="AZ412" i="3"/>
  <c r="F415" i="3"/>
  <c r="G571" i="3" s="1"/>
  <c r="J571" i="3" s="1"/>
  <c r="AI406" i="3"/>
  <c r="AL458" i="3" s="1"/>
  <c r="AR406" i="3"/>
  <c r="AQ406" i="3"/>
  <c r="AP406" i="3"/>
  <c r="Y406" i="3"/>
  <c r="BB406" i="3" s="1"/>
  <c r="O406" i="3"/>
  <c r="R458" i="3" s="1"/>
  <c r="E406" i="3"/>
  <c r="BD408" i="3" l="1"/>
  <c r="BI456" i="3"/>
  <c r="BI457" i="3" s="1"/>
  <c r="BI458" i="3" s="1"/>
  <c r="BI459" i="3" s="1"/>
  <c r="BI460" i="3" s="1"/>
  <c r="BI461" i="3" s="1"/>
  <c r="BI462" i="3" s="1"/>
  <c r="BI463" i="3" s="1"/>
  <c r="BI464" i="3" s="1"/>
  <c r="BI465" i="3" s="1"/>
  <c r="BI466" i="3" s="1"/>
  <c r="BI467" i="3" s="1"/>
  <c r="BI468" i="3" s="1"/>
  <c r="BI469" i="3" s="1"/>
  <c r="BI470" i="3" s="1"/>
  <c r="BI471" i="3" s="1"/>
  <c r="BI472" i="3" s="1"/>
  <c r="BI473" i="3" s="1"/>
  <c r="BI474" i="3" s="1"/>
  <c r="BI475" i="3" s="1"/>
  <c r="BI476" i="3" s="1"/>
  <c r="BI477" i="3" s="1"/>
  <c r="BI478" i="3" s="1"/>
  <c r="BI479" i="3" s="1"/>
  <c r="BD407" i="3"/>
  <c r="S465" i="3"/>
  <c r="I464" i="3"/>
  <c r="AM464" i="3"/>
  <c r="AW468" i="3"/>
  <c r="AW470" i="3"/>
  <c r="AC464" i="3"/>
  <c r="AW475" i="3"/>
  <c r="AW474" i="3"/>
  <c r="S464" i="3"/>
  <c r="I467" i="3"/>
  <c r="AW472" i="3"/>
  <c r="AW473" i="3"/>
  <c r="AC466" i="3"/>
  <c r="AM465" i="3"/>
  <c r="S466" i="3"/>
  <c r="I465" i="3"/>
  <c r="AW469" i="3"/>
  <c r="AC465" i="3"/>
  <c r="AW471" i="3"/>
  <c r="I466" i="3"/>
  <c r="AM466" i="3"/>
  <c r="AW476" i="3"/>
  <c r="AM467" i="3"/>
  <c r="S467" i="3"/>
  <c r="AC467" i="3"/>
  <c r="F409" i="3"/>
  <c r="G565" i="3" s="1"/>
  <c r="J565" i="3" s="1"/>
  <c r="H458" i="3"/>
  <c r="Z409" i="3"/>
  <c r="AA565" i="3" s="1"/>
  <c r="AD565" i="3" s="1"/>
  <c r="AB458" i="3"/>
  <c r="AC462" i="3"/>
  <c r="I462" i="3"/>
  <c r="BD409" i="3"/>
  <c r="AV461" i="3"/>
  <c r="AM463" i="3"/>
  <c r="AC463" i="3"/>
  <c r="S463" i="3"/>
  <c r="I463" i="3"/>
  <c r="AM462" i="3"/>
  <c r="S462" i="3"/>
  <c r="AT411" i="3"/>
  <c r="AU567" i="3" s="1"/>
  <c r="AX567" i="3" s="1"/>
  <c r="AZ406" i="3"/>
  <c r="BD412" i="3"/>
  <c r="AT415" i="3"/>
  <c r="AU571" i="3" s="1"/>
  <c r="AX571" i="3" s="1"/>
  <c r="AS406" i="3"/>
  <c r="AV458" i="3" s="1"/>
  <c r="AJ409" i="3"/>
  <c r="AK565" i="3" s="1"/>
  <c r="AN565" i="3" s="1"/>
  <c r="BD410" i="3"/>
  <c r="AT413" i="3"/>
  <c r="AU569" i="3" s="1"/>
  <c r="AX569" i="3" s="1"/>
  <c r="AT412" i="3"/>
  <c r="AU568" i="3" s="1"/>
  <c r="AX568" i="3" s="1"/>
  <c r="BD411" i="3"/>
  <c r="AT414" i="3"/>
  <c r="AU570" i="3" s="1"/>
  <c r="AX570" i="3" s="1"/>
  <c r="BA406" i="3"/>
  <c r="P409" i="3"/>
  <c r="Q565" i="3" s="1"/>
  <c r="T565" i="3" s="1"/>
  <c r="AT410" i="3"/>
  <c r="AU566" i="3" s="1"/>
  <c r="AX566" i="3" s="1"/>
  <c r="BC406" i="3"/>
  <c r="AR405" i="3"/>
  <c r="AI405" i="3"/>
  <c r="Y405" i="3"/>
  <c r="O405" i="3"/>
  <c r="E405" i="3"/>
  <c r="AQ405" i="3"/>
  <c r="AP405" i="3"/>
  <c r="AI404" i="3"/>
  <c r="AR404" i="3"/>
  <c r="AQ404" i="3"/>
  <c r="AP404" i="3"/>
  <c r="Y404" i="3"/>
  <c r="O404" i="3"/>
  <c r="E404" i="3"/>
  <c r="AI403" i="3"/>
  <c r="AL455" i="3" s="1"/>
  <c r="AR403" i="3"/>
  <c r="AQ403" i="3"/>
  <c r="AP403" i="3"/>
  <c r="Y403" i="3"/>
  <c r="AB455" i="3" s="1"/>
  <c r="O403" i="3"/>
  <c r="R455" i="3" s="1"/>
  <c r="E403" i="3"/>
  <c r="H455" i="3" s="1"/>
  <c r="AI402" i="3"/>
  <c r="AR402" i="3"/>
  <c r="AQ402" i="3"/>
  <c r="AP402" i="3"/>
  <c r="Y402" i="3"/>
  <c r="AB454" i="3" s="1"/>
  <c r="O402" i="3"/>
  <c r="E402" i="3"/>
  <c r="AI401" i="3"/>
  <c r="AR401" i="3"/>
  <c r="AQ401" i="3"/>
  <c r="AP401" i="3"/>
  <c r="Y401" i="3"/>
  <c r="O401" i="3"/>
  <c r="E401" i="3"/>
  <c r="H453" i="3" s="1"/>
  <c r="AI400" i="3"/>
  <c r="AR400" i="3"/>
  <c r="AQ400" i="3"/>
  <c r="AP400" i="3"/>
  <c r="Y400" i="3"/>
  <c r="O400" i="3"/>
  <c r="E400" i="3"/>
  <c r="AI399" i="3"/>
  <c r="AR399" i="3"/>
  <c r="AQ399" i="3"/>
  <c r="AP399" i="3"/>
  <c r="Y399" i="3"/>
  <c r="O399" i="3"/>
  <c r="R451" i="3" s="1"/>
  <c r="E399" i="3"/>
  <c r="AI398" i="3"/>
  <c r="AR398" i="3"/>
  <c r="AQ398" i="3"/>
  <c r="AP398" i="3"/>
  <c r="Y398" i="3"/>
  <c r="O398" i="3"/>
  <c r="E398" i="3"/>
  <c r="H450" i="3" s="1"/>
  <c r="AI397" i="3"/>
  <c r="AL449" i="3" s="1"/>
  <c r="AR397" i="3"/>
  <c r="AQ397" i="3"/>
  <c r="AP397" i="3"/>
  <c r="Y397" i="3"/>
  <c r="AB449" i="3" s="1"/>
  <c r="O397" i="3"/>
  <c r="R449" i="3" s="1"/>
  <c r="E397" i="3"/>
  <c r="H449" i="3" s="1"/>
  <c r="AQ396" i="3"/>
  <c r="E396" i="3"/>
  <c r="AI396" i="3"/>
  <c r="AR396" i="3"/>
  <c r="Y396" i="3"/>
  <c r="AB448" i="3" s="1"/>
  <c r="O396" i="3"/>
  <c r="R448" i="3" s="1"/>
  <c r="AP396" i="3"/>
  <c r="AI395" i="3"/>
  <c r="AR395" i="3"/>
  <c r="AQ395" i="3"/>
  <c r="AP395" i="3"/>
  <c r="Y395" i="3"/>
  <c r="AB447" i="3" s="1"/>
  <c r="O395" i="3"/>
  <c r="E395" i="3"/>
  <c r="H447" i="3" s="1"/>
  <c r="AI394" i="3"/>
  <c r="AL446" i="3" s="1"/>
  <c r="AR394" i="3"/>
  <c r="AQ394" i="3"/>
  <c r="AP394" i="3"/>
  <c r="Y394" i="3"/>
  <c r="O394" i="3"/>
  <c r="E394" i="3"/>
  <c r="H446" i="3" s="1"/>
  <c r="AI393" i="3"/>
  <c r="AR393" i="3"/>
  <c r="AQ393" i="3"/>
  <c r="AP393" i="3"/>
  <c r="Y393" i="3"/>
  <c r="O393" i="3"/>
  <c r="R445" i="3" s="1"/>
  <c r="E393" i="3"/>
  <c r="AI392" i="3"/>
  <c r="AL444" i="3" s="1"/>
  <c r="AR392" i="3"/>
  <c r="AQ392" i="3"/>
  <c r="AP392" i="3"/>
  <c r="Y392" i="3"/>
  <c r="O392" i="3"/>
  <c r="R444" i="3" s="1"/>
  <c r="E392" i="3"/>
  <c r="AI391" i="3"/>
  <c r="AL443" i="3" s="1"/>
  <c r="AR391" i="3"/>
  <c r="AQ391" i="3"/>
  <c r="AP391" i="3"/>
  <c r="Y391" i="3"/>
  <c r="O391" i="3"/>
  <c r="R443" i="3" s="1"/>
  <c r="E391" i="3"/>
  <c r="AI390" i="3"/>
  <c r="AL442" i="3" s="1"/>
  <c r="AR390" i="3"/>
  <c r="AQ390" i="3"/>
  <c r="AP390" i="3"/>
  <c r="Y390" i="3"/>
  <c r="O390" i="3"/>
  <c r="R442" i="3" s="1"/>
  <c r="E390" i="3"/>
  <c r="H442" i="3" s="1"/>
  <c r="AI389" i="3"/>
  <c r="AL441" i="3" s="1"/>
  <c r="AR389" i="3"/>
  <c r="AQ389" i="3"/>
  <c r="AP389" i="3"/>
  <c r="Y389" i="3"/>
  <c r="O389" i="3"/>
  <c r="R441" i="3" s="1"/>
  <c r="E389" i="3"/>
  <c r="H441" i="3" s="1"/>
  <c r="AI388" i="3"/>
  <c r="AR388" i="3"/>
  <c r="AQ388" i="3"/>
  <c r="AP388" i="3"/>
  <c r="Y388" i="3"/>
  <c r="O388" i="3"/>
  <c r="R440" i="3" s="1"/>
  <c r="E388" i="3"/>
  <c r="AI387" i="3"/>
  <c r="AL439" i="3" s="1"/>
  <c r="AR387" i="3"/>
  <c r="AQ387" i="3"/>
  <c r="AP387" i="3"/>
  <c r="Y387" i="3"/>
  <c r="AB439" i="3" s="1"/>
  <c r="O387" i="3"/>
  <c r="R439" i="3" s="1"/>
  <c r="E387" i="3"/>
  <c r="H439" i="3" s="1"/>
  <c r="AI386" i="3"/>
  <c r="AR386" i="3"/>
  <c r="AQ386" i="3"/>
  <c r="AP386" i="3"/>
  <c r="Y386" i="3"/>
  <c r="AB438" i="3" s="1"/>
  <c r="O386" i="3"/>
  <c r="E386" i="3"/>
  <c r="H438" i="3" s="1"/>
  <c r="AW465" i="3" l="1"/>
  <c r="AW467" i="3"/>
  <c r="BB386" i="3"/>
  <c r="BB395" i="3"/>
  <c r="BB402" i="3"/>
  <c r="AZ403" i="3"/>
  <c r="AW466" i="3"/>
  <c r="AW464" i="3"/>
  <c r="BC391" i="3"/>
  <c r="BA395" i="3"/>
  <c r="R447" i="3"/>
  <c r="BC395" i="3"/>
  <c r="AL447" i="3"/>
  <c r="AZ396" i="3"/>
  <c r="H448" i="3"/>
  <c r="BA398" i="3"/>
  <c r="R450" i="3"/>
  <c r="AZ399" i="3"/>
  <c r="H451" i="3"/>
  <c r="BB399" i="3"/>
  <c r="AB451" i="3"/>
  <c r="BC399" i="3"/>
  <c r="AL451" i="3"/>
  <c r="BA400" i="3"/>
  <c r="R452" i="3"/>
  <c r="BB401" i="3"/>
  <c r="AB453" i="3"/>
  <c r="BC401" i="3"/>
  <c r="AL453" i="3"/>
  <c r="BA402" i="3"/>
  <c r="R454" i="3"/>
  <c r="P407" i="3"/>
  <c r="Q563" i="3" s="1"/>
  <c r="T563" i="3" s="1"/>
  <c r="R456" i="3"/>
  <c r="F408" i="3"/>
  <c r="G564" i="3" s="1"/>
  <c r="J564" i="3" s="1"/>
  <c r="H457" i="3"/>
  <c r="Z408" i="3"/>
  <c r="AA564" i="3" s="1"/>
  <c r="AD564" i="3" s="1"/>
  <c r="AB457" i="3"/>
  <c r="AW462" i="3"/>
  <c r="AM461" i="3"/>
  <c r="BC396" i="3"/>
  <c r="AL448" i="3"/>
  <c r="BB398" i="3"/>
  <c r="AB450" i="3"/>
  <c r="BC398" i="3"/>
  <c r="AL450" i="3"/>
  <c r="AZ400" i="3"/>
  <c r="H452" i="3"/>
  <c r="BB400" i="3"/>
  <c r="AB452" i="3"/>
  <c r="BC400" i="3"/>
  <c r="AL452" i="3"/>
  <c r="BA401" i="3"/>
  <c r="R453" i="3"/>
  <c r="AZ402" i="3"/>
  <c r="H454" i="3"/>
  <c r="AS404" i="3"/>
  <c r="AV456" i="3" s="1"/>
  <c r="H456" i="3"/>
  <c r="Z407" i="3"/>
  <c r="AA563" i="3" s="1"/>
  <c r="AD563" i="3" s="1"/>
  <c r="AB456" i="3"/>
  <c r="BC404" i="3"/>
  <c r="AL456" i="3"/>
  <c r="P408" i="3"/>
  <c r="Q564" i="3" s="1"/>
  <c r="T564" i="3" s="1"/>
  <c r="R457" i="3"/>
  <c r="S461" i="3"/>
  <c r="AW463" i="3"/>
  <c r="AC461" i="3"/>
  <c r="I461" i="3"/>
  <c r="BA386" i="3"/>
  <c r="R438" i="3"/>
  <c r="BC386" i="3"/>
  <c r="AL438" i="3"/>
  <c r="AZ388" i="3"/>
  <c r="H440" i="3"/>
  <c r="Z391" i="3"/>
  <c r="AA547" i="3" s="1"/>
  <c r="AD547" i="3" s="1"/>
  <c r="AB440" i="3"/>
  <c r="AJ391" i="3"/>
  <c r="AK547" i="3" s="1"/>
  <c r="AN547" i="3" s="1"/>
  <c r="AL440" i="3"/>
  <c r="AZ391" i="3"/>
  <c r="H443" i="3"/>
  <c r="Z394" i="3"/>
  <c r="AA550" i="3" s="1"/>
  <c r="AD550" i="3" s="1"/>
  <c r="AB443" i="3"/>
  <c r="AZ392" i="3"/>
  <c r="H444" i="3"/>
  <c r="BB392" i="3"/>
  <c r="AB444" i="3"/>
  <c r="BB394" i="3"/>
  <c r="AB446" i="3"/>
  <c r="Z392" i="3"/>
  <c r="AA548" i="3" s="1"/>
  <c r="AD548" i="3" s="1"/>
  <c r="AB441" i="3"/>
  <c r="BC389" i="3"/>
  <c r="BB390" i="3"/>
  <c r="AB442" i="3"/>
  <c r="AZ393" i="3"/>
  <c r="H445" i="3"/>
  <c r="BB393" i="3"/>
  <c r="AB445" i="3"/>
  <c r="BC393" i="3"/>
  <c r="AL445" i="3"/>
  <c r="BA394" i="3"/>
  <c r="R446" i="3"/>
  <c r="P396" i="3"/>
  <c r="Q552" i="3" s="1"/>
  <c r="T552" i="3" s="1"/>
  <c r="F392" i="3"/>
  <c r="G548" i="3" s="1"/>
  <c r="J548" i="3" s="1"/>
  <c r="BB389" i="3"/>
  <c r="P393" i="3"/>
  <c r="Q549" i="3" s="1"/>
  <c r="T549" i="3" s="1"/>
  <c r="BB391" i="3"/>
  <c r="BA404" i="3"/>
  <c r="Z398" i="3"/>
  <c r="AA554" i="3" s="1"/>
  <c r="AD554" i="3" s="1"/>
  <c r="BC388" i="3"/>
  <c r="BB404" i="3"/>
  <c r="F402" i="3"/>
  <c r="G558" i="3" s="1"/>
  <c r="J558" i="3" s="1"/>
  <c r="Z395" i="3"/>
  <c r="AA551" i="3" s="1"/>
  <c r="AD551" i="3" s="1"/>
  <c r="AJ392" i="3"/>
  <c r="AK548" i="3" s="1"/>
  <c r="AN548" i="3" s="1"/>
  <c r="AJ399" i="3"/>
  <c r="AK555" i="3" s="1"/>
  <c r="AN555" i="3" s="1"/>
  <c r="Z396" i="3"/>
  <c r="AA552" i="3" s="1"/>
  <c r="AD552" i="3" s="1"/>
  <c r="BA393" i="3"/>
  <c r="AS400" i="3"/>
  <c r="AV452" i="3" s="1"/>
  <c r="AJ396" i="3"/>
  <c r="AK552" i="3" s="1"/>
  <c r="AN552" i="3" s="1"/>
  <c r="BA392" i="3"/>
  <c r="P395" i="3"/>
  <c r="Q551" i="3" s="1"/>
  <c r="T551" i="3" s="1"/>
  <c r="F406" i="3"/>
  <c r="G562" i="3" s="1"/>
  <c r="J562" i="3" s="1"/>
  <c r="Z403" i="3"/>
  <c r="AA559" i="3" s="1"/>
  <c r="AD559" i="3" s="1"/>
  <c r="AS393" i="3"/>
  <c r="AV445" i="3" s="1"/>
  <c r="AJ397" i="3"/>
  <c r="AK553" i="3" s="1"/>
  <c r="AN553" i="3" s="1"/>
  <c r="AZ401" i="3"/>
  <c r="AS401" i="3"/>
  <c r="AV453" i="3" s="1"/>
  <c r="F404" i="3"/>
  <c r="G560" i="3" s="1"/>
  <c r="J560" i="3" s="1"/>
  <c r="AZ394" i="3"/>
  <c r="F397" i="3"/>
  <c r="G553" i="3" s="1"/>
  <c r="J553" i="3" s="1"/>
  <c r="F396" i="3"/>
  <c r="G552" i="3" s="1"/>
  <c r="J552" i="3" s="1"/>
  <c r="F395" i="3"/>
  <c r="G551" i="3" s="1"/>
  <c r="J551" i="3" s="1"/>
  <c r="AJ400" i="3"/>
  <c r="AK556" i="3" s="1"/>
  <c r="AN556" i="3" s="1"/>
  <c r="BC397" i="3"/>
  <c r="P400" i="3"/>
  <c r="Q556" i="3" s="1"/>
  <c r="T556" i="3" s="1"/>
  <c r="BA397" i="3"/>
  <c r="Z402" i="3"/>
  <c r="AA558" i="3" s="1"/>
  <c r="AD558" i="3" s="1"/>
  <c r="Z389" i="3"/>
  <c r="AA545" i="3" s="1"/>
  <c r="AD545" i="3" s="1"/>
  <c r="AS402" i="3"/>
  <c r="AV454" i="3" s="1"/>
  <c r="AJ404" i="3"/>
  <c r="AK560" i="3" s="1"/>
  <c r="AN560" i="3" s="1"/>
  <c r="BA396" i="3"/>
  <c r="P399" i="3"/>
  <c r="Q555" i="3" s="1"/>
  <c r="T555" i="3" s="1"/>
  <c r="AS396" i="3"/>
  <c r="AV448" i="3" s="1"/>
  <c r="BB396" i="3"/>
  <c r="Z399" i="3"/>
  <c r="AA555" i="3" s="1"/>
  <c r="AD555" i="3" s="1"/>
  <c r="Z397" i="3"/>
  <c r="AA553" i="3" s="1"/>
  <c r="AD553" i="3" s="1"/>
  <c r="F399" i="3"/>
  <c r="G555" i="3" s="1"/>
  <c r="J555" i="3" s="1"/>
  <c r="Z401" i="3"/>
  <c r="AA557" i="3" s="1"/>
  <c r="AD557" i="3" s="1"/>
  <c r="P403" i="3"/>
  <c r="Q559" i="3" s="1"/>
  <c r="T559" i="3" s="1"/>
  <c r="AZ395" i="3"/>
  <c r="F398" i="3"/>
  <c r="G554" i="3" s="1"/>
  <c r="J554" i="3" s="1"/>
  <c r="AS395" i="3"/>
  <c r="AV447" i="3" s="1"/>
  <c r="AZ398" i="3"/>
  <c r="F401" i="3"/>
  <c r="G557" i="3" s="1"/>
  <c r="J557" i="3" s="1"/>
  <c r="AS398" i="3"/>
  <c r="AV450" i="3" s="1"/>
  <c r="AS397" i="3"/>
  <c r="AV449" i="3" s="1"/>
  <c r="Z400" i="3"/>
  <c r="AA556" i="3" s="1"/>
  <c r="AD556" i="3" s="1"/>
  <c r="P406" i="3"/>
  <c r="Q562" i="3" s="1"/>
  <c r="T562" i="3" s="1"/>
  <c r="P404" i="3"/>
  <c r="Q560" i="3" s="1"/>
  <c r="T560" i="3" s="1"/>
  <c r="BA403" i="3"/>
  <c r="AJ395" i="3"/>
  <c r="AK551" i="3" s="1"/>
  <c r="AN551" i="3" s="1"/>
  <c r="AZ397" i="3"/>
  <c r="P398" i="3"/>
  <c r="Q554" i="3" s="1"/>
  <c r="T554" i="3" s="1"/>
  <c r="AJ398" i="3"/>
  <c r="AK554" i="3" s="1"/>
  <c r="AN554" i="3" s="1"/>
  <c r="BA399" i="3"/>
  <c r="P401" i="3"/>
  <c r="Q557" i="3" s="1"/>
  <c r="T557" i="3" s="1"/>
  <c r="P402" i="3"/>
  <c r="Q558" i="3" s="1"/>
  <c r="T558" i="3" s="1"/>
  <c r="AS399" i="3"/>
  <c r="AV451" i="3" s="1"/>
  <c r="AJ402" i="3"/>
  <c r="AK558" i="3" s="1"/>
  <c r="AN558" i="3" s="1"/>
  <c r="F400" i="3"/>
  <c r="G556" i="3" s="1"/>
  <c r="J556" i="3" s="1"/>
  <c r="Z405" i="3"/>
  <c r="AA561" i="3" s="1"/>
  <c r="AD561" i="3" s="1"/>
  <c r="Z404" i="3"/>
  <c r="AA560" i="3" s="1"/>
  <c r="AD560" i="3" s="1"/>
  <c r="AJ401" i="3"/>
  <c r="AK557" i="3" s="1"/>
  <c r="AN557" i="3" s="1"/>
  <c r="P405" i="3"/>
  <c r="Q561" i="3" s="1"/>
  <c r="T561" i="3" s="1"/>
  <c r="P391" i="3"/>
  <c r="Q547" i="3" s="1"/>
  <c r="T547" i="3" s="1"/>
  <c r="F393" i="3"/>
  <c r="G549" i="3" s="1"/>
  <c r="J549" i="3" s="1"/>
  <c r="P394" i="3"/>
  <c r="Q550" i="3" s="1"/>
  <c r="T550" i="3" s="1"/>
  <c r="AS403" i="3"/>
  <c r="AV455" i="3" s="1"/>
  <c r="AJ406" i="3"/>
  <c r="AK562" i="3" s="1"/>
  <c r="AN562" i="3" s="1"/>
  <c r="F405" i="3"/>
  <c r="G561" i="3" s="1"/>
  <c r="J561" i="3" s="1"/>
  <c r="AJ403" i="3"/>
  <c r="AK559" i="3" s="1"/>
  <c r="AN559" i="3" s="1"/>
  <c r="P397" i="3"/>
  <c r="Q553" i="3" s="1"/>
  <c r="T553" i="3" s="1"/>
  <c r="BB397" i="3"/>
  <c r="BD406" i="3"/>
  <c r="AT409" i="3"/>
  <c r="AU565" i="3" s="1"/>
  <c r="AX565" i="3" s="1"/>
  <c r="AJ408" i="3"/>
  <c r="AK564" i="3" s="1"/>
  <c r="AN564" i="3" s="1"/>
  <c r="F403" i="3"/>
  <c r="G559" i="3" s="1"/>
  <c r="J559" i="3" s="1"/>
  <c r="BB403" i="3"/>
  <c r="Z406" i="3"/>
  <c r="AA562" i="3" s="1"/>
  <c r="AD562" i="3" s="1"/>
  <c r="AZ404" i="3"/>
  <c r="F407" i="3"/>
  <c r="G563" i="3" s="1"/>
  <c r="J563" i="3" s="1"/>
  <c r="AJ407" i="3"/>
  <c r="AK563" i="3" s="1"/>
  <c r="AN563" i="3" s="1"/>
  <c r="AS405" i="3"/>
  <c r="AJ405" i="3"/>
  <c r="AK561" i="3" s="1"/>
  <c r="AN561" i="3" s="1"/>
  <c r="BC403" i="3"/>
  <c r="BC402" i="3"/>
  <c r="AZ386" i="3"/>
  <c r="F389" i="3"/>
  <c r="G545" i="3" s="1"/>
  <c r="J545" i="3" s="1"/>
  <c r="BA387" i="3"/>
  <c r="P390" i="3"/>
  <c r="Q546" i="3" s="1"/>
  <c r="T546" i="3" s="1"/>
  <c r="AJ390" i="3"/>
  <c r="AK546" i="3" s="1"/>
  <c r="AN546" i="3" s="1"/>
  <c r="AJ389" i="3"/>
  <c r="AK545" i="3" s="1"/>
  <c r="AN545" i="3" s="1"/>
  <c r="AS386" i="3"/>
  <c r="AV438" i="3" s="1"/>
  <c r="AZ387" i="3"/>
  <c r="AS387" i="3"/>
  <c r="AV439" i="3" s="1"/>
  <c r="F390" i="3"/>
  <c r="G546" i="3" s="1"/>
  <c r="J546" i="3" s="1"/>
  <c r="Z390" i="3"/>
  <c r="AA546" i="3" s="1"/>
  <c r="AD546" i="3" s="1"/>
  <c r="BB387" i="3"/>
  <c r="BC387" i="3"/>
  <c r="AS389" i="3"/>
  <c r="AV441" i="3" s="1"/>
  <c r="F391" i="3"/>
  <c r="G547" i="3" s="1"/>
  <c r="J547" i="3" s="1"/>
  <c r="AS391" i="3"/>
  <c r="AV443" i="3" s="1"/>
  <c r="P392" i="3"/>
  <c r="Q548" i="3" s="1"/>
  <c r="T548" i="3" s="1"/>
  <c r="F394" i="3"/>
  <c r="G550" i="3" s="1"/>
  <c r="J550" i="3" s="1"/>
  <c r="AS394" i="3"/>
  <c r="AV446" i="3" s="1"/>
  <c r="AJ394" i="3"/>
  <c r="AK550" i="3" s="1"/>
  <c r="AN550" i="3" s="1"/>
  <c r="BA388" i="3"/>
  <c r="BB388" i="3"/>
  <c r="AS388" i="3"/>
  <c r="AV440" i="3" s="1"/>
  <c r="AZ389" i="3"/>
  <c r="BA389" i="3"/>
  <c r="P389" i="3"/>
  <c r="Q545" i="3" s="1"/>
  <c r="T545" i="3" s="1"/>
  <c r="AZ390" i="3"/>
  <c r="BA390" i="3"/>
  <c r="AS390" i="3"/>
  <c r="AV442" i="3" s="1"/>
  <c r="BA391" i="3"/>
  <c r="AS392" i="3"/>
  <c r="AV444" i="3" s="1"/>
  <c r="Z393" i="3"/>
  <c r="AA549" i="3" s="1"/>
  <c r="AD549" i="3" s="1"/>
  <c r="AJ393" i="3"/>
  <c r="AK549" i="3" s="1"/>
  <c r="AN549" i="3" s="1"/>
  <c r="BC394" i="3"/>
  <c r="BC392" i="3"/>
  <c r="BC390" i="3"/>
  <c r="AI385" i="3"/>
  <c r="AL437" i="3" s="1"/>
  <c r="AR385" i="3"/>
  <c r="AQ385" i="3"/>
  <c r="AP385" i="3"/>
  <c r="Y385" i="3"/>
  <c r="AB437" i="3" s="1"/>
  <c r="O385" i="3"/>
  <c r="E385" i="3"/>
  <c r="H437" i="3" s="1"/>
  <c r="AI384" i="3"/>
  <c r="AR384" i="3"/>
  <c r="AQ384" i="3"/>
  <c r="AP384" i="3"/>
  <c r="Y384" i="3"/>
  <c r="BB384" i="3" s="1"/>
  <c r="O384" i="3"/>
  <c r="E384" i="3"/>
  <c r="AI383" i="3"/>
  <c r="AL435" i="3" s="1"/>
  <c r="AR383" i="3"/>
  <c r="AQ383" i="3"/>
  <c r="AP383" i="3"/>
  <c r="Y383" i="3"/>
  <c r="AB435" i="3" s="1"/>
  <c r="O383" i="3"/>
  <c r="E383" i="3"/>
  <c r="AI382" i="3"/>
  <c r="AR382" i="3"/>
  <c r="AQ382" i="3"/>
  <c r="AP382" i="3"/>
  <c r="Y382" i="3"/>
  <c r="AB434" i="3" s="1"/>
  <c r="O382" i="3"/>
  <c r="E382" i="3"/>
  <c r="H434" i="3" s="1"/>
  <c r="AI381" i="3"/>
  <c r="AL433" i="3" s="1"/>
  <c r="AR381" i="3"/>
  <c r="AQ381" i="3"/>
  <c r="AP381" i="3"/>
  <c r="Y381" i="3"/>
  <c r="O381" i="3"/>
  <c r="E381" i="3"/>
  <c r="AI380" i="3"/>
  <c r="AL432" i="3" s="1"/>
  <c r="AR380" i="3"/>
  <c r="AQ380" i="3"/>
  <c r="AP380" i="3"/>
  <c r="Y380" i="3"/>
  <c r="O380" i="3"/>
  <c r="E380" i="3"/>
  <c r="AI379" i="3"/>
  <c r="AL431" i="3" s="1"/>
  <c r="AR379" i="3"/>
  <c r="AQ379" i="3"/>
  <c r="AP379" i="3"/>
  <c r="Y379" i="3"/>
  <c r="AB431" i="3" s="1"/>
  <c r="O379" i="3"/>
  <c r="E379" i="3"/>
  <c r="AI378" i="3"/>
  <c r="AL430" i="3" s="1"/>
  <c r="AR378" i="3"/>
  <c r="AQ378" i="3"/>
  <c r="AP378" i="3"/>
  <c r="Y378" i="3"/>
  <c r="O378" i="3"/>
  <c r="R430" i="3" s="1"/>
  <c r="E378" i="3"/>
  <c r="H430" i="3" s="1"/>
  <c r="AP377" i="3"/>
  <c r="AQ377" i="3"/>
  <c r="AR377" i="3"/>
  <c r="AI377" i="3"/>
  <c r="Y377" i="3"/>
  <c r="O377" i="3"/>
  <c r="E377" i="3"/>
  <c r="H429" i="3" s="1"/>
  <c r="BD400" i="3" l="1"/>
  <c r="BC379" i="3"/>
  <c r="BD404" i="3"/>
  <c r="AM457" i="3"/>
  <c r="AM459" i="3"/>
  <c r="AM460" i="3"/>
  <c r="S449" i="3"/>
  <c r="I457" i="3"/>
  <c r="S457" i="3"/>
  <c r="AC456" i="3"/>
  <c r="I452" i="3"/>
  <c r="S453" i="3"/>
  <c r="AM450" i="3"/>
  <c r="S458" i="3"/>
  <c r="I453" i="3"/>
  <c r="AC453" i="3"/>
  <c r="AC449" i="3"/>
  <c r="AC454" i="3"/>
  <c r="S452" i="3"/>
  <c r="AM452" i="3"/>
  <c r="I448" i="3"/>
  <c r="AM449" i="3"/>
  <c r="AC455" i="3"/>
  <c r="S447" i="3"/>
  <c r="AC448" i="3"/>
  <c r="I454" i="3"/>
  <c r="S460" i="3"/>
  <c r="AC459" i="3"/>
  <c r="AC460" i="3"/>
  <c r="I460" i="3"/>
  <c r="S459" i="3"/>
  <c r="AT407" i="3"/>
  <c r="AU563" i="3" s="1"/>
  <c r="AX563" i="3" s="1"/>
  <c r="AV457" i="3"/>
  <c r="I459" i="3"/>
  <c r="AC458" i="3"/>
  <c r="I455" i="3"/>
  <c r="AW461" i="3"/>
  <c r="AM455" i="3"/>
  <c r="AM458" i="3"/>
  <c r="AM453" i="3"/>
  <c r="AC457" i="3"/>
  <c r="AM454" i="3"/>
  <c r="S454" i="3"/>
  <c r="S450" i="3"/>
  <c r="AM447" i="3"/>
  <c r="S456" i="3"/>
  <c r="AC452" i="3"/>
  <c r="I450" i="3"/>
  <c r="S455" i="3"/>
  <c r="I451" i="3"/>
  <c r="AC451" i="3"/>
  <c r="S451" i="3"/>
  <c r="AM456" i="3"/>
  <c r="I447" i="3"/>
  <c r="I449" i="3"/>
  <c r="I456" i="3"/>
  <c r="I458" i="3"/>
  <c r="AM448" i="3"/>
  <c r="AM451" i="3"/>
  <c r="AC447" i="3"/>
  <c r="AC450" i="3"/>
  <c r="S448" i="3"/>
  <c r="Z380" i="3"/>
  <c r="AA536" i="3" s="1"/>
  <c r="AD536" i="3" s="1"/>
  <c r="AB429" i="3"/>
  <c r="AZ379" i="3"/>
  <c r="H431" i="3"/>
  <c r="AZ380" i="3"/>
  <c r="H432" i="3"/>
  <c r="BB380" i="3"/>
  <c r="AB432" i="3"/>
  <c r="BC382" i="3"/>
  <c r="AL434" i="3"/>
  <c r="F387" i="3"/>
  <c r="G543" i="3" s="1"/>
  <c r="J543" i="3" s="1"/>
  <c r="H436" i="3"/>
  <c r="AM445" i="3"/>
  <c r="S444" i="3"/>
  <c r="I443" i="3"/>
  <c r="AC442" i="3"/>
  <c r="AM442" i="3"/>
  <c r="S446" i="3"/>
  <c r="S443" i="3"/>
  <c r="AC441" i="3"/>
  <c r="BC377" i="3"/>
  <c r="AL429" i="3"/>
  <c r="BB378" i="3"/>
  <c r="AB430" i="3"/>
  <c r="AZ381" i="3"/>
  <c r="H433" i="3"/>
  <c r="BB381" i="3"/>
  <c r="AB433" i="3"/>
  <c r="AZ383" i="3"/>
  <c r="H435" i="3"/>
  <c r="Z387" i="3"/>
  <c r="AA543" i="3" s="1"/>
  <c r="AD543" i="3" s="1"/>
  <c r="AB436" i="3"/>
  <c r="BC384" i="3"/>
  <c r="AL436" i="3"/>
  <c r="AC445" i="3"/>
  <c r="S441" i="3"/>
  <c r="AM446" i="3"/>
  <c r="I446" i="3"/>
  <c r="I442" i="3"/>
  <c r="AM441" i="3"/>
  <c r="S442" i="3"/>
  <c r="I441" i="3"/>
  <c r="I445" i="3"/>
  <c r="AM444" i="3"/>
  <c r="S445" i="3"/>
  <c r="I444" i="3"/>
  <c r="AC444" i="3"/>
  <c r="AC446" i="3"/>
  <c r="AM443" i="3"/>
  <c r="AC443" i="3"/>
  <c r="BA379" i="3"/>
  <c r="R431" i="3"/>
  <c r="BA381" i="3"/>
  <c r="R433" i="3"/>
  <c r="P386" i="3"/>
  <c r="Q542" i="3" s="1"/>
  <c r="T542" i="3" s="1"/>
  <c r="R435" i="3"/>
  <c r="BA377" i="3"/>
  <c r="R429" i="3"/>
  <c r="BA380" i="3"/>
  <c r="R432" i="3"/>
  <c r="BA382" i="3"/>
  <c r="R434" i="3"/>
  <c r="P387" i="3"/>
  <c r="Q543" i="3" s="1"/>
  <c r="T543" i="3" s="1"/>
  <c r="R436" i="3"/>
  <c r="P388" i="3"/>
  <c r="Q544" i="3" s="1"/>
  <c r="T544" i="3" s="1"/>
  <c r="R437" i="3"/>
  <c r="BA384" i="3"/>
  <c r="Z385" i="3"/>
  <c r="AA541" i="3" s="1"/>
  <c r="AD541" i="3" s="1"/>
  <c r="F380" i="3"/>
  <c r="G536" i="3" s="1"/>
  <c r="J536" i="3" s="1"/>
  <c r="Z382" i="3"/>
  <c r="AA538" i="3" s="1"/>
  <c r="AD538" i="3" s="1"/>
  <c r="AJ386" i="3"/>
  <c r="AK542" i="3" s="1"/>
  <c r="AN542" i="3" s="1"/>
  <c r="AT395" i="3"/>
  <c r="AU551" i="3" s="1"/>
  <c r="AX551" i="3" s="1"/>
  <c r="F381" i="3"/>
  <c r="G537" i="3" s="1"/>
  <c r="J537" i="3" s="1"/>
  <c r="AZ384" i="3"/>
  <c r="BD399" i="3"/>
  <c r="AT402" i="3"/>
  <c r="AU558" i="3" s="1"/>
  <c r="AX558" i="3" s="1"/>
  <c r="AJ384" i="3"/>
  <c r="AK540" i="3" s="1"/>
  <c r="AN540" i="3" s="1"/>
  <c r="F385" i="3"/>
  <c r="G541" i="3" s="1"/>
  <c r="J541" i="3" s="1"/>
  <c r="AJ387" i="3"/>
  <c r="AK543" i="3" s="1"/>
  <c r="AN543" i="3" s="1"/>
  <c r="BD403" i="3"/>
  <c r="AT406" i="3"/>
  <c r="AU562" i="3" s="1"/>
  <c r="AX562" i="3" s="1"/>
  <c r="BD393" i="3"/>
  <c r="AT396" i="3"/>
  <c r="AU552" i="3" s="1"/>
  <c r="AX552" i="3" s="1"/>
  <c r="BD402" i="3"/>
  <c r="AT405" i="3"/>
  <c r="AU561" i="3" s="1"/>
  <c r="AX561" i="3" s="1"/>
  <c r="AT397" i="3"/>
  <c r="AU553" i="3" s="1"/>
  <c r="AX553" i="3" s="1"/>
  <c r="BD395" i="3"/>
  <c r="AT398" i="3"/>
  <c r="AU554" i="3" s="1"/>
  <c r="AX554" i="3" s="1"/>
  <c r="BD398" i="3"/>
  <c r="AT401" i="3"/>
  <c r="AU557" i="3" s="1"/>
  <c r="AX557" i="3" s="1"/>
  <c r="AT399" i="3"/>
  <c r="AU555" i="3" s="1"/>
  <c r="AX555" i="3" s="1"/>
  <c r="BD396" i="3"/>
  <c r="AT408" i="3"/>
  <c r="AU564" i="3" s="1"/>
  <c r="AX564" i="3" s="1"/>
  <c r="BD397" i="3"/>
  <c r="AT400" i="3"/>
  <c r="AU556" i="3" s="1"/>
  <c r="AX556" i="3" s="1"/>
  <c r="BD401" i="3"/>
  <c r="AT404" i="3"/>
  <c r="AU560" i="3" s="1"/>
  <c r="AX560" i="3" s="1"/>
  <c r="AT403" i="3"/>
  <c r="AU559" i="3" s="1"/>
  <c r="AX559" i="3" s="1"/>
  <c r="BB383" i="3"/>
  <c r="Z386" i="3"/>
  <c r="AA542" i="3" s="1"/>
  <c r="AD542" i="3" s="1"/>
  <c r="BB385" i="3"/>
  <c r="Z388" i="3"/>
  <c r="AA544" i="3" s="1"/>
  <c r="AD544" i="3" s="1"/>
  <c r="AS385" i="3"/>
  <c r="AV437" i="3" s="1"/>
  <c r="AJ388" i="3"/>
  <c r="AK544" i="3" s="1"/>
  <c r="AN544" i="3" s="1"/>
  <c r="BD394" i="3"/>
  <c r="BD389" i="3"/>
  <c r="AT392" i="3"/>
  <c r="AU548" i="3" s="1"/>
  <c r="AX548" i="3" s="1"/>
  <c r="AZ378" i="3"/>
  <c r="Z381" i="3"/>
  <c r="AA537" i="3" s="1"/>
  <c r="AD537" i="3" s="1"/>
  <c r="F382" i="3"/>
  <c r="G538" i="3" s="1"/>
  <c r="J538" i="3" s="1"/>
  <c r="BB379" i="3"/>
  <c r="AJ382" i="3"/>
  <c r="AK538" i="3" s="1"/>
  <c r="AN538" i="3" s="1"/>
  <c r="BC381" i="3"/>
  <c r="BB382" i="3"/>
  <c r="BA383" i="3"/>
  <c r="BC383" i="3"/>
  <c r="F384" i="3"/>
  <c r="G540" i="3" s="1"/>
  <c r="J540" i="3" s="1"/>
  <c r="P384" i="3"/>
  <c r="Q540" i="3" s="1"/>
  <c r="T540" i="3" s="1"/>
  <c r="Z384" i="3"/>
  <c r="AA540" i="3" s="1"/>
  <c r="AD540" i="3" s="1"/>
  <c r="BA385" i="3"/>
  <c r="AJ385" i="3"/>
  <c r="AK541" i="3" s="1"/>
  <c r="AN541" i="3" s="1"/>
  <c r="AS383" i="3"/>
  <c r="F386" i="3"/>
  <c r="G542" i="3" s="1"/>
  <c r="J542" i="3" s="1"/>
  <c r="AZ385" i="3"/>
  <c r="F388" i="3"/>
  <c r="G544" i="3" s="1"/>
  <c r="J544" i="3" s="1"/>
  <c r="BD392" i="3"/>
  <c r="BD390" i="3"/>
  <c r="AT393" i="3"/>
  <c r="AU549" i="3" s="1"/>
  <c r="AX549" i="3" s="1"/>
  <c r="BD388" i="3"/>
  <c r="AT391" i="3"/>
  <c r="AU547" i="3" s="1"/>
  <c r="AX547" i="3" s="1"/>
  <c r="BD391" i="3"/>
  <c r="AT394" i="3"/>
  <c r="AU550" i="3" s="1"/>
  <c r="AX550" i="3" s="1"/>
  <c r="BD387" i="3"/>
  <c r="AT390" i="3"/>
  <c r="AU546" i="3" s="1"/>
  <c r="AX546" i="3" s="1"/>
  <c r="BD386" i="3"/>
  <c r="AT389" i="3"/>
  <c r="AU545" i="3" s="1"/>
  <c r="AX545" i="3" s="1"/>
  <c r="AS384" i="3"/>
  <c r="AV436" i="3" s="1"/>
  <c r="P385" i="3"/>
  <c r="Q541" i="3" s="1"/>
  <c r="T541" i="3" s="1"/>
  <c r="BC385" i="3"/>
  <c r="AS377" i="3"/>
  <c r="AV429" i="3" s="1"/>
  <c r="BB377" i="3"/>
  <c r="AZ377" i="3"/>
  <c r="AS378" i="3"/>
  <c r="AV430" i="3" s="1"/>
  <c r="P380" i="3"/>
  <c r="Q536" i="3" s="1"/>
  <c r="T536" i="3" s="1"/>
  <c r="AS380" i="3"/>
  <c r="AV432" i="3" s="1"/>
  <c r="AJ380" i="3"/>
  <c r="AK536" i="3" s="1"/>
  <c r="AN536" i="3" s="1"/>
  <c r="P381" i="3"/>
  <c r="Q537" i="3" s="1"/>
  <c r="T537" i="3" s="1"/>
  <c r="AS381" i="3"/>
  <c r="AV433" i="3" s="1"/>
  <c r="AZ382" i="3"/>
  <c r="P382" i="3"/>
  <c r="Q538" i="3" s="1"/>
  <c r="T538" i="3" s="1"/>
  <c r="P383" i="3"/>
  <c r="Q539" i="3" s="1"/>
  <c r="T539" i="3" s="1"/>
  <c r="Z383" i="3"/>
  <c r="AA539" i="3" s="1"/>
  <c r="AD539" i="3" s="1"/>
  <c r="AJ383" i="3"/>
  <c r="AK539" i="3" s="1"/>
  <c r="AN539" i="3" s="1"/>
  <c r="BA378" i="3"/>
  <c r="BC378" i="3"/>
  <c r="AS379" i="3"/>
  <c r="AV431" i="3" s="1"/>
  <c r="AJ381" i="3"/>
  <c r="AK537" i="3" s="1"/>
  <c r="AN537" i="3" s="1"/>
  <c r="AS382" i="3"/>
  <c r="AV434" i="3" s="1"/>
  <c r="F383" i="3"/>
  <c r="G539" i="3" s="1"/>
  <c r="J539" i="3" s="1"/>
  <c r="BC380" i="3"/>
  <c r="AW455" i="3" l="1"/>
  <c r="AW453" i="3"/>
  <c r="AW450" i="3"/>
  <c r="AW449" i="3"/>
  <c r="AW454" i="3"/>
  <c r="AW447" i="3"/>
  <c r="AW456" i="3"/>
  <c r="AW452" i="3"/>
  <c r="AW460" i="3"/>
  <c r="AW451" i="3"/>
  <c r="AW457" i="3"/>
  <c r="AW448" i="3"/>
  <c r="AW458" i="3"/>
  <c r="AW459" i="3"/>
  <c r="AC435" i="3"/>
  <c r="AM432" i="3"/>
  <c r="AW441" i="3"/>
  <c r="AW442" i="3"/>
  <c r="AW446" i="3"/>
  <c r="AW443" i="3"/>
  <c r="AW445" i="3"/>
  <c r="AM434" i="3"/>
  <c r="I434" i="3"/>
  <c r="AM440" i="3"/>
  <c r="AC440" i="3"/>
  <c r="AC438" i="3"/>
  <c r="I437" i="3"/>
  <c r="AC434" i="3"/>
  <c r="AC437" i="3"/>
  <c r="I435" i="3"/>
  <c r="AM433" i="3"/>
  <c r="AM435" i="3"/>
  <c r="I440" i="3"/>
  <c r="I438" i="3"/>
  <c r="AM437" i="3"/>
  <c r="AC436" i="3"/>
  <c r="I436" i="3"/>
  <c r="AC433" i="3"/>
  <c r="AW444" i="3"/>
  <c r="AM439" i="3"/>
  <c r="AM436" i="3"/>
  <c r="I433" i="3"/>
  <c r="AM438" i="3"/>
  <c r="I432" i="3"/>
  <c r="S440" i="3"/>
  <c r="S439" i="3"/>
  <c r="S438" i="3"/>
  <c r="AC439" i="3"/>
  <c r="I439" i="3"/>
  <c r="AC432" i="3"/>
  <c r="S432" i="3"/>
  <c r="S437" i="3"/>
  <c r="S435" i="3"/>
  <c r="S433" i="3"/>
  <c r="S434" i="3"/>
  <c r="BD383" i="3"/>
  <c r="AV435" i="3"/>
  <c r="S436" i="3"/>
  <c r="AT385" i="3"/>
  <c r="AU541" i="3" s="1"/>
  <c r="AX541" i="3" s="1"/>
  <c r="AT384" i="3"/>
  <c r="AU540" i="3" s="1"/>
  <c r="AX540" i="3" s="1"/>
  <c r="AT386" i="3"/>
  <c r="AU542" i="3" s="1"/>
  <c r="AX542" i="3" s="1"/>
  <c r="BD384" i="3"/>
  <c r="AT387" i="3"/>
  <c r="AU543" i="3" s="1"/>
  <c r="AX543" i="3" s="1"/>
  <c r="BD385" i="3"/>
  <c r="AT388" i="3"/>
  <c r="AU544" i="3" s="1"/>
  <c r="AX544" i="3" s="1"/>
  <c r="BD380" i="3"/>
  <c r="AT383" i="3"/>
  <c r="AU539" i="3" s="1"/>
  <c r="AX539" i="3" s="1"/>
  <c r="BD378" i="3"/>
  <c r="AT381" i="3"/>
  <c r="AU537" i="3" s="1"/>
  <c r="AX537" i="3" s="1"/>
  <c r="AT380" i="3"/>
  <c r="AU536" i="3" s="1"/>
  <c r="AX536" i="3" s="1"/>
  <c r="BD377" i="3"/>
  <c r="BD379" i="3"/>
  <c r="AT382" i="3"/>
  <c r="AU538" i="3" s="1"/>
  <c r="AX538" i="3" s="1"/>
  <c r="BD382" i="3"/>
  <c r="BD381" i="3"/>
  <c r="AI376" i="3"/>
  <c r="AL428" i="3" s="1"/>
  <c r="AR376" i="3"/>
  <c r="AQ376" i="3"/>
  <c r="AP376" i="3"/>
  <c r="Y376" i="3"/>
  <c r="AB428" i="3" s="1"/>
  <c r="O376" i="3"/>
  <c r="R428" i="3" s="1"/>
  <c r="E376" i="3"/>
  <c r="AI375" i="3"/>
  <c r="AL427" i="3" s="1"/>
  <c r="AR375" i="3"/>
  <c r="AQ375" i="3"/>
  <c r="AP375" i="3"/>
  <c r="Y375" i="3"/>
  <c r="AB427" i="3" s="1"/>
  <c r="O375" i="3"/>
  <c r="R427" i="3" s="1"/>
  <c r="E375" i="3"/>
  <c r="H427" i="3" s="1"/>
  <c r="AI374" i="3"/>
  <c r="AR374" i="3"/>
  <c r="AQ374" i="3"/>
  <c r="AP374" i="3"/>
  <c r="Y374" i="3"/>
  <c r="AB426" i="3" s="1"/>
  <c r="O374" i="3"/>
  <c r="R426" i="3" s="1"/>
  <c r="E374" i="3"/>
  <c r="H426" i="3" s="1"/>
  <c r="AI373" i="3"/>
  <c r="AR373" i="3"/>
  <c r="AQ373" i="3"/>
  <c r="AP373" i="3"/>
  <c r="Y373" i="3"/>
  <c r="O373" i="3"/>
  <c r="R425" i="3" s="1"/>
  <c r="E373" i="3"/>
  <c r="H425" i="3" s="1"/>
  <c r="AI372" i="3"/>
  <c r="AL424" i="3" s="1"/>
  <c r="AR372" i="3"/>
  <c r="AQ372" i="3"/>
  <c r="AP372" i="3"/>
  <c r="Y372" i="3"/>
  <c r="O372" i="3"/>
  <c r="R424" i="3" s="1"/>
  <c r="E372" i="3"/>
  <c r="H424" i="3" s="1"/>
  <c r="AI371" i="3"/>
  <c r="AL423" i="3" s="1"/>
  <c r="AR371" i="3"/>
  <c r="AQ371" i="3"/>
  <c r="AP371" i="3"/>
  <c r="Y371" i="3"/>
  <c r="AB423" i="3" s="1"/>
  <c r="O371" i="3"/>
  <c r="E371" i="3"/>
  <c r="AI370" i="3"/>
  <c r="AL422" i="3" s="1"/>
  <c r="AR370" i="3"/>
  <c r="AQ370" i="3"/>
  <c r="AP370" i="3"/>
  <c r="Y370" i="3"/>
  <c r="O370" i="3"/>
  <c r="E370" i="3"/>
  <c r="H422" i="3" s="1"/>
  <c r="AI369" i="3"/>
  <c r="AR369" i="3"/>
  <c r="AQ369" i="3"/>
  <c r="AP369" i="3"/>
  <c r="Y369" i="3"/>
  <c r="O369" i="3"/>
  <c r="E369" i="3"/>
  <c r="AI368" i="3"/>
  <c r="AL420" i="3" s="1"/>
  <c r="AR368" i="3"/>
  <c r="AQ368" i="3"/>
  <c r="AP368" i="3"/>
  <c r="Y368" i="3"/>
  <c r="O368" i="3"/>
  <c r="E368" i="3"/>
  <c r="H420" i="3" s="1"/>
  <c r="AI367" i="3"/>
  <c r="AR367" i="3"/>
  <c r="AQ367" i="3"/>
  <c r="AP367" i="3"/>
  <c r="Y367" i="3"/>
  <c r="AB419" i="3" s="1"/>
  <c r="O367" i="3"/>
  <c r="E367" i="3"/>
  <c r="H419" i="3" s="1"/>
  <c r="AI366" i="3"/>
  <c r="AL418" i="3" s="1"/>
  <c r="AR366" i="3"/>
  <c r="AQ366" i="3"/>
  <c r="AP366" i="3"/>
  <c r="Y366" i="3"/>
  <c r="AB418" i="3" s="1"/>
  <c r="O366" i="3"/>
  <c r="E366" i="3"/>
  <c r="H418" i="3" s="1"/>
  <c r="AI365" i="3"/>
  <c r="AR365" i="3"/>
  <c r="AQ365" i="3"/>
  <c r="AP365" i="3"/>
  <c r="Y365" i="3"/>
  <c r="O365" i="3"/>
  <c r="R417" i="3" s="1"/>
  <c r="E365" i="3"/>
  <c r="AR364" i="3"/>
  <c r="AI364" i="3"/>
  <c r="AQ364" i="3"/>
  <c r="AP364" i="3"/>
  <c r="Y364" i="3"/>
  <c r="O364" i="3"/>
  <c r="E364" i="3"/>
  <c r="AI363" i="3"/>
  <c r="AL415" i="3" s="1"/>
  <c r="AR363" i="3"/>
  <c r="AQ363" i="3"/>
  <c r="AP363" i="3"/>
  <c r="Y363" i="3"/>
  <c r="O363" i="3"/>
  <c r="R415" i="3" s="1"/>
  <c r="E363" i="3"/>
  <c r="AI362" i="3"/>
  <c r="AL414" i="3" s="1"/>
  <c r="AR362" i="3"/>
  <c r="AQ362" i="3"/>
  <c r="AP362" i="3"/>
  <c r="Y362" i="3"/>
  <c r="AB414" i="3" s="1"/>
  <c r="O362" i="3"/>
  <c r="R414" i="3" s="1"/>
  <c r="E362" i="3"/>
  <c r="AI361" i="3"/>
  <c r="AL413" i="3" s="1"/>
  <c r="AR361" i="3"/>
  <c r="AQ361" i="3"/>
  <c r="AP361" i="3"/>
  <c r="Y361" i="3"/>
  <c r="O361" i="3"/>
  <c r="E361" i="3"/>
  <c r="H413" i="3" s="1"/>
  <c r="AI360" i="3"/>
  <c r="AR360" i="3"/>
  <c r="AQ360" i="3"/>
  <c r="AP360" i="3"/>
  <c r="Y360" i="3"/>
  <c r="O360" i="3"/>
  <c r="E360" i="3"/>
  <c r="H412" i="3" s="1"/>
  <c r="AI359" i="3"/>
  <c r="AR359" i="3"/>
  <c r="AQ359" i="3"/>
  <c r="AP359" i="3"/>
  <c r="Y359" i="3"/>
  <c r="O359" i="3"/>
  <c r="E359" i="3"/>
  <c r="AI358" i="3"/>
  <c r="AR358" i="3"/>
  <c r="AQ358" i="3"/>
  <c r="AP358" i="3"/>
  <c r="Y358" i="3"/>
  <c r="O358" i="3"/>
  <c r="E358" i="3"/>
  <c r="AI357" i="3"/>
  <c r="AR357" i="3"/>
  <c r="AQ357" i="3"/>
  <c r="AP357" i="3"/>
  <c r="Y357" i="3"/>
  <c r="O357" i="3"/>
  <c r="E357" i="3"/>
  <c r="H409" i="3" s="1"/>
  <c r="AI356" i="3"/>
  <c r="AR356" i="3"/>
  <c r="AQ356" i="3"/>
  <c r="AP356" i="3"/>
  <c r="Y356" i="3"/>
  <c r="AB408" i="3" s="1"/>
  <c r="O356" i="3"/>
  <c r="R408" i="3" s="1"/>
  <c r="E356" i="3"/>
  <c r="AI355" i="3"/>
  <c r="AR355" i="3"/>
  <c r="AQ355" i="3"/>
  <c r="AP355" i="3"/>
  <c r="Y355" i="3"/>
  <c r="AB407" i="3" s="1"/>
  <c r="O355" i="3"/>
  <c r="R407" i="3" s="1"/>
  <c r="E355" i="3"/>
  <c r="H407" i="3" s="1"/>
  <c r="AI354" i="3"/>
  <c r="AL406" i="3" s="1"/>
  <c r="AR354" i="3"/>
  <c r="AQ354" i="3"/>
  <c r="AP354" i="3"/>
  <c r="Y354" i="3"/>
  <c r="AB406" i="3" s="1"/>
  <c r="O354" i="3"/>
  <c r="R406" i="3" s="1"/>
  <c r="E354" i="3"/>
  <c r="AI353" i="3"/>
  <c r="AR353" i="3"/>
  <c r="AQ353" i="3"/>
  <c r="AP353" i="3"/>
  <c r="Y353" i="3"/>
  <c r="AB405" i="3" s="1"/>
  <c r="O353" i="3"/>
  <c r="R405" i="3" s="1"/>
  <c r="E353" i="3"/>
  <c r="AI352" i="3"/>
  <c r="AR352" i="3"/>
  <c r="AQ352" i="3"/>
  <c r="AP352" i="3"/>
  <c r="Y352" i="3"/>
  <c r="O352" i="3"/>
  <c r="E352" i="3"/>
  <c r="AI351" i="3"/>
  <c r="BC351" i="3" s="1"/>
  <c r="AR351" i="3"/>
  <c r="AQ351" i="3"/>
  <c r="AP351" i="3"/>
  <c r="Y351" i="3"/>
  <c r="O351" i="3"/>
  <c r="R403" i="3" s="1"/>
  <c r="E351" i="3"/>
  <c r="AI350" i="3"/>
  <c r="BC350" i="3" s="1"/>
  <c r="AR350" i="3"/>
  <c r="AQ350" i="3"/>
  <c r="AP350" i="3"/>
  <c r="Y350" i="3"/>
  <c r="O350" i="3"/>
  <c r="E350" i="3"/>
  <c r="AI349" i="3"/>
  <c r="AL401" i="3" s="1"/>
  <c r="AR349" i="3"/>
  <c r="AQ349" i="3"/>
  <c r="AP349" i="3"/>
  <c r="Y349" i="3"/>
  <c r="O349" i="3"/>
  <c r="E349" i="3"/>
  <c r="AI348" i="3"/>
  <c r="AL400" i="3" s="1"/>
  <c r="AR348" i="3"/>
  <c r="AQ348" i="3"/>
  <c r="AP348" i="3"/>
  <c r="Y348" i="3"/>
  <c r="O348" i="3"/>
  <c r="E348" i="3"/>
  <c r="AI347" i="3"/>
  <c r="AR347" i="3"/>
  <c r="AQ347" i="3"/>
  <c r="AP347" i="3"/>
  <c r="Y347" i="3"/>
  <c r="O347" i="3"/>
  <c r="E347" i="3"/>
  <c r="AI346" i="3"/>
  <c r="AR346" i="3"/>
  <c r="AQ346" i="3"/>
  <c r="AP346" i="3"/>
  <c r="Y346" i="3"/>
  <c r="O346" i="3"/>
  <c r="E346" i="3"/>
  <c r="H398" i="3" s="1"/>
  <c r="AI345" i="3"/>
  <c r="AL397" i="3" s="1"/>
  <c r="AR345" i="3"/>
  <c r="Y345" i="3"/>
  <c r="O345" i="3"/>
  <c r="BA345" i="3" s="1"/>
  <c r="E345" i="3"/>
  <c r="H397" i="3" s="1"/>
  <c r="AQ345" i="3"/>
  <c r="AP345" i="3"/>
  <c r="AI344" i="3"/>
  <c r="AL396" i="3" s="1"/>
  <c r="AR344" i="3"/>
  <c r="Y344" i="3"/>
  <c r="O344" i="3"/>
  <c r="R396" i="3" s="1"/>
  <c r="E344" i="3"/>
  <c r="AQ344" i="3"/>
  <c r="AP344" i="3"/>
  <c r="AI343" i="3"/>
  <c r="AR343" i="3"/>
  <c r="AQ343" i="3"/>
  <c r="AP343" i="3"/>
  <c r="Y343" i="3"/>
  <c r="O343" i="3"/>
  <c r="R395" i="3" s="1"/>
  <c r="E343" i="3"/>
  <c r="AI342" i="3"/>
  <c r="BC342" i="3" s="1"/>
  <c r="AR342" i="3"/>
  <c r="AQ342" i="3"/>
  <c r="AP342" i="3"/>
  <c r="Y342" i="3"/>
  <c r="O342" i="3"/>
  <c r="R394" i="3" s="1"/>
  <c r="E342" i="3"/>
  <c r="AI341" i="3"/>
  <c r="AR341" i="3"/>
  <c r="AQ341" i="3"/>
  <c r="AP341" i="3"/>
  <c r="Y341" i="3"/>
  <c r="O341" i="3"/>
  <c r="E341" i="3"/>
  <c r="AI340" i="3"/>
  <c r="AR340" i="3"/>
  <c r="AQ340" i="3"/>
  <c r="AP340" i="3"/>
  <c r="Y340" i="3"/>
  <c r="BB340" i="3" s="1"/>
  <c r="O340" i="3"/>
  <c r="E340" i="3"/>
  <c r="AI339" i="3"/>
  <c r="AR339" i="3"/>
  <c r="AQ339" i="3"/>
  <c r="AP339" i="3"/>
  <c r="Y339" i="3"/>
  <c r="AB391" i="3" s="1"/>
  <c r="O339" i="3"/>
  <c r="R391" i="3" s="1"/>
  <c r="E339" i="3"/>
  <c r="H391" i="3" s="1"/>
  <c r="AI338" i="3"/>
  <c r="AL390" i="3" s="1"/>
  <c r="AR338" i="3"/>
  <c r="AQ338" i="3"/>
  <c r="AP338" i="3"/>
  <c r="Y338" i="3"/>
  <c r="AB390" i="3" s="1"/>
  <c r="O338" i="3"/>
  <c r="R390" i="3" s="1"/>
  <c r="E338" i="3"/>
  <c r="H390" i="3" s="1"/>
  <c r="AI337" i="3"/>
  <c r="AL389" i="3" s="1"/>
  <c r="AR337" i="3"/>
  <c r="AQ337" i="3"/>
  <c r="AP337" i="3"/>
  <c r="Y337" i="3"/>
  <c r="AB389" i="3" s="1"/>
  <c r="O337" i="3"/>
  <c r="BA337" i="3" s="1"/>
  <c r="E337" i="3"/>
  <c r="H389" i="3" s="1"/>
  <c r="AI336" i="3"/>
  <c r="AL388" i="3" s="1"/>
  <c r="AR336" i="3"/>
  <c r="AQ336" i="3"/>
  <c r="AP336" i="3"/>
  <c r="Y336" i="3"/>
  <c r="AB388" i="3" s="1"/>
  <c r="O336" i="3"/>
  <c r="E336" i="3"/>
  <c r="AI335" i="3"/>
  <c r="AR335" i="3"/>
  <c r="AQ335" i="3"/>
  <c r="AP335" i="3"/>
  <c r="Y335" i="3"/>
  <c r="BB335" i="3" s="1"/>
  <c r="O335" i="3"/>
  <c r="E335" i="3"/>
  <c r="AZ335" i="3" s="1"/>
  <c r="AI334" i="3"/>
  <c r="AR334" i="3"/>
  <c r="AQ334" i="3"/>
  <c r="AP334" i="3"/>
  <c r="Y334" i="3"/>
  <c r="BB334" i="3" s="1"/>
  <c r="O334" i="3"/>
  <c r="E334" i="3"/>
  <c r="AZ334" i="3" s="1"/>
  <c r="AI333" i="3"/>
  <c r="AR333" i="3"/>
  <c r="AQ333" i="3"/>
  <c r="AP333" i="3"/>
  <c r="Y333" i="3"/>
  <c r="BB333" i="3" s="1"/>
  <c r="O333" i="3"/>
  <c r="E333" i="3"/>
  <c r="AZ333" i="3" s="1"/>
  <c r="AI332" i="3"/>
  <c r="AR332" i="3"/>
  <c r="AQ332" i="3"/>
  <c r="AP332" i="3"/>
  <c r="Y332" i="3"/>
  <c r="BB332" i="3" s="1"/>
  <c r="O332" i="3"/>
  <c r="R384" i="3" s="1"/>
  <c r="E332" i="3"/>
  <c r="AZ332" i="3" s="1"/>
  <c r="AI331" i="3"/>
  <c r="AR331" i="3"/>
  <c r="AQ331" i="3"/>
  <c r="AP331" i="3"/>
  <c r="Y331" i="3"/>
  <c r="BB331" i="3" s="1"/>
  <c r="O331" i="3"/>
  <c r="E331" i="3"/>
  <c r="AI330" i="3"/>
  <c r="AR330" i="3"/>
  <c r="AQ330" i="3"/>
  <c r="AP330" i="3"/>
  <c r="Y330" i="3"/>
  <c r="O330" i="3"/>
  <c r="E330" i="3"/>
  <c r="AI329" i="3"/>
  <c r="AR329" i="3"/>
  <c r="AQ329" i="3"/>
  <c r="AP329" i="3"/>
  <c r="Y329" i="3"/>
  <c r="O329" i="3"/>
  <c r="E329" i="3"/>
  <c r="AI328" i="3"/>
  <c r="AL380" i="3" s="1"/>
  <c r="AR328" i="3"/>
  <c r="AQ328" i="3"/>
  <c r="AP328" i="3"/>
  <c r="Y328" i="3"/>
  <c r="O328" i="3"/>
  <c r="E328" i="3"/>
  <c r="AI327" i="3"/>
  <c r="AR327" i="3"/>
  <c r="AQ327" i="3"/>
  <c r="AP327" i="3"/>
  <c r="Y327" i="3"/>
  <c r="O327" i="3"/>
  <c r="E327" i="3"/>
  <c r="AI326" i="3"/>
  <c r="AR326" i="3"/>
  <c r="AQ326" i="3"/>
  <c r="AP326" i="3"/>
  <c r="Y326" i="3"/>
  <c r="O326" i="3"/>
  <c r="E326" i="3"/>
  <c r="AI325" i="3"/>
  <c r="AR325" i="3"/>
  <c r="AQ325" i="3"/>
  <c r="AP325" i="3"/>
  <c r="Y325" i="3"/>
  <c r="O325" i="3"/>
  <c r="E325" i="3"/>
  <c r="AI324" i="3"/>
  <c r="AR324" i="3"/>
  <c r="AQ324" i="3"/>
  <c r="AP324" i="3"/>
  <c r="Y324" i="3"/>
  <c r="O324" i="3"/>
  <c r="E324" i="3"/>
  <c r="AI323" i="3"/>
  <c r="AR323" i="3"/>
  <c r="AQ323" i="3"/>
  <c r="AP323" i="3"/>
  <c r="Y323" i="3"/>
  <c r="O323" i="3"/>
  <c r="E323" i="3"/>
  <c r="AZ323" i="3" s="1"/>
  <c r="BE323" i="3" s="1"/>
  <c r="AP322" i="3"/>
  <c r="AQ322" i="3"/>
  <c r="AR322" i="3"/>
  <c r="AI322" i="3"/>
  <c r="Y322" i="3"/>
  <c r="O322" i="3"/>
  <c r="E322" i="3"/>
  <c r="AI321" i="3"/>
  <c r="AR321" i="3"/>
  <c r="AQ321" i="3"/>
  <c r="AP321" i="3"/>
  <c r="Y321" i="3"/>
  <c r="BB321" i="3" s="1"/>
  <c r="O321" i="3"/>
  <c r="BA321" i="3" s="1"/>
  <c r="E321" i="3"/>
  <c r="AI320" i="3"/>
  <c r="AR320" i="3"/>
  <c r="AQ320" i="3"/>
  <c r="AP320" i="3"/>
  <c r="Y320" i="3"/>
  <c r="O320" i="3"/>
  <c r="E320" i="3"/>
  <c r="AI319" i="3"/>
  <c r="AR319" i="3"/>
  <c r="AQ319" i="3"/>
  <c r="AP319" i="3"/>
  <c r="Y319" i="3"/>
  <c r="O319" i="3"/>
  <c r="BA319" i="3" s="1"/>
  <c r="E319" i="3"/>
  <c r="AZ319" i="3" s="1"/>
  <c r="AI318" i="3"/>
  <c r="BC318" i="3" s="1"/>
  <c r="AR318" i="3"/>
  <c r="AQ318" i="3"/>
  <c r="AP318" i="3"/>
  <c r="Y318" i="3"/>
  <c r="O318" i="3"/>
  <c r="BA318" i="3" s="1"/>
  <c r="E318" i="3"/>
  <c r="AZ318" i="3" s="1"/>
  <c r="AI317" i="3"/>
  <c r="AR317" i="3"/>
  <c r="AQ317" i="3"/>
  <c r="AP317" i="3"/>
  <c r="Y317" i="3"/>
  <c r="BB317" i="3" s="1"/>
  <c r="O317" i="3"/>
  <c r="BA317" i="3" s="1"/>
  <c r="E317" i="3"/>
  <c r="AI316" i="3"/>
  <c r="AR316" i="3"/>
  <c r="AQ316" i="3"/>
  <c r="AP316" i="3"/>
  <c r="Y316" i="3"/>
  <c r="O316" i="3"/>
  <c r="E316" i="3"/>
  <c r="AZ316" i="3" s="1"/>
  <c r="AI315" i="3"/>
  <c r="BC315" i="3" s="1"/>
  <c r="AR315" i="3"/>
  <c r="AQ315" i="3"/>
  <c r="AP315" i="3"/>
  <c r="Y315" i="3"/>
  <c r="O315" i="3"/>
  <c r="BA315" i="3" s="1"/>
  <c r="E315" i="3"/>
  <c r="AZ315" i="3" s="1"/>
  <c r="AI314" i="3"/>
  <c r="AR314" i="3"/>
  <c r="AQ314" i="3"/>
  <c r="AP314" i="3"/>
  <c r="Y314" i="3"/>
  <c r="O314" i="3"/>
  <c r="E314" i="3"/>
  <c r="AI313" i="3"/>
  <c r="AR313" i="3"/>
  <c r="AQ313" i="3"/>
  <c r="AP313" i="3"/>
  <c r="Y313" i="3"/>
  <c r="O313" i="3"/>
  <c r="BA313" i="3" s="1"/>
  <c r="E313" i="3"/>
  <c r="AI312" i="3"/>
  <c r="BC312" i="3" s="1"/>
  <c r="AR312" i="3"/>
  <c r="AQ312" i="3"/>
  <c r="AP312" i="3"/>
  <c r="Y312" i="3"/>
  <c r="BB312" i="3" s="1"/>
  <c r="O312" i="3"/>
  <c r="E312" i="3"/>
  <c r="AI311" i="3"/>
  <c r="AR311" i="3"/>
  <c r="AQ311" i="3"/>
  <c r="AP311" i="3"/>
  <c r="Y311" i="3"/>
  <c r="BB311" i="3" s="1"/>
  <c r="O311" i="3"/>
  <c r="BA311" i="3" s="1"/>
  <c r="E311" i="3"/>
  <c r="AZ311" i="3" s="1"/>
  <c r="AI310" i="3"/>
  <c r="BC310" i="3" s="1"/>
  <c r="AR310" i="3"/>
  <c r="AQ310" i="3"/>
  <c r="AP310" i="3"/>
  <c r="Y310" i="3"/>
  <c r="O310" i="3"/>
  <c r="E310" i="3"/>
  <c r="AI309" i="3"/>
  <c r="AR309" i="3"/>
  <c r="AQ309" i="3"/>
  <c r="AP309" i="3"/>
  <c r="Y309" i="3"/>
  <c r="BB309" i="3" s="1"/>
  <c r="O309" i="3"/>
  <c r="E309" i="3"/>
  <c r="AI308" i="3"/>
  <c r="AR308" i="3"/>
  <c r="AQ308" i="3"/>
  <c r="AP308" i="3"/>
  <c r="Y308" i="3"/>
  <c r="BB308" i="3" s="1"/>
  <c r="O308" i="3"/>
  <c r="E308" i="3"/>
  <c r="AZ308" i="3" s="1"/>
  <c r="AI307" i="3"/>
  <c r="AR307" i="3"/>
  <c r="AQ307" i="3"/>
  <c r="AP307" i="3"/>
  <c r="Y307" i="3"/>
  <c r="O307" i="3"/>
  <c r="BA307" i="3" s="1"/>
  <c r="E307" i="3"/>
  <c r="AI306" i="3"/>
  <c r="AR306" i="3"/>
  <c r="AQ306" i="3"/>
  <c r="AP306" i="3"/>
  <c r="Y306" i="3"/>
  <c r="BB306" i="3" s="1"/>
  <c r="O306" i="3"/>
  <c r="BA306" i="3" s="1"/>
  <c r="E306" i="3"/>
  <c r="AZ306" i="3" s="1"/>
  <c r="AI305" i="3"/>
  <c r="AR305" i="3"/>
  <c r="AQ305" i="3"/>
  <c r="AP305" i="3"/>
  <c r="Y305" i="3"/>
  <c r="BB305" i="3" s="1"/>
  <c r="O305" i="3"/>
  <c r="BA305" i="3" s="1"/>
  <c r="E305" i="3"/>
  <c r="AZ305" i="3" s="1"/>
  <c r="AR304" i="3"/>
  <c r="AI304" i="3"/>
  <c r="AQ304" i="3"/>
  <c r="AP304" i="3"/>
  <c r="Y304" i="3"/>
  <c r="BB304" i="3" s="1"/>
  <c r="O304" i="3"/>
  <c r="E304" i="3"/>
  <c r="AI303" i="3"/>
  <c r="AR303" i="3"/>
  <c r="AQ303" i="3"/>
  <c r="AP303" i="3"/>
  <c r="Y303" i="3"/>
  <c r="O303" i="3"/>
  <c r="E303" i="3"/>
  <c r="AI302" i="3"/>
  <c r="BC302" i="3" s="1"/>
  <c r="AR302" i="3"/>
  <c r="AQ302" i="3"/>
  <c r="AP302" i="3"/>
  <c r="Y302" i="3"/>
  <c r="O302" i="3"/>
  <c r="E302" i="3"/>
  <c r="AZ302" i="3" s="1"/>
  <c r="AI301" i="3"/>
  <c r="BC301" i="3" s="1"/>
  <c r="AP301" i="3"/>
  <c r="AR301" i="3"/>
  <c r="AQ301" i="3"/>
  <c r="Y301" i="3"/>
  <c r="BB301" i="3" s="1"/>
  <c r="O301" i="3"/>
  <c r="BA301" i="3" s="1"/>
  <c r="E301" i="3"/>
  <c r="AZ301" i="3" s="1"/>
  <c r="AI300" i="3"/>
  <c r="AR300" i="3"/>
  <c r="AQ300" i="3"/>
  <c r="AP300" i="3"/>
  <c r="Y300" i="3"/>
  <c r="BB300" i="3" s="1"/>
  <c r="O300" i="3"/>
  <c r="BA300" i="3" s="1"/>
  <c r="E300" i="3"/>
  <c r="AZ300" i="3" s="1"/>
  <c r="AI299" i="3"/>
  <c r="AR299" i="3"/>
  <c r="AQ299" i="3"/>
  <c r="AP299" i="3"/>
  <c r="Y299" i="3"/>
  <c r="BB299" i="3" s="1"/>
  <c r="O299" i="3"/>
  <c r="BA299" i="3" s="1"/>
  <c r="E299" i="3"/>
  <c r="AI298" i="3"/>
  <c r="BC298" i="3" s="1"/>
  <c r="AR298" i="3"/>
  <c r="AQ298" i="3"/>
  <c r="AP298" i="3"/>
  <c r="Y298" i="3"/>
  <c r="BB298" i="3" s="1"/>
  <c r="O298" i="3"/>
  <c r="BA298" i="3" s="1"/>
  <c r="E295" i="3"/>
  <c r="E296" i="3"/>
  <c r="E297" i="3"/>
  <c r="E298" i="3"/>
  <c r="AZ298" i="3" s="1"/>
  <c r="E243" i="3"/>
  <c r="AZ243" i="3" s="1"/>
  <c r="E244" i="3"/>
  <c r="AZ244" i="3" s="1"/>
  <c r="E245" i="3"/>
  <c r="AZ245" i="3" s="1"/>
  <c r="E246" i="3"/>
  <c r="E191" i="3"/>
  <c r="AZ191" i="3" s="1"/>
  <c r="E192" i="3"/>
  <c r="E193" i="3"/>
  <c r="E194" i="3"/>
  <c r="AZ194" i="3" s="1"/>
  <c r="E139" i="3"/>
  <c r="AZ139" i="3" s="1"/>
  <c r="E140" i="3"/>
  <c r="AZ140" i="3" s="1"/>
  <c r="E141" i="3"/>
  <c r="AZ141" i="3" s="1"/>
  <c r="E142" i="3"/>
  <c r="AZ142" i="3" s="1"/>
  <c r="A232" i="3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E294" i="3"/>
  <c r="O294" i="3"/>
  <c r="Y294" i="3"/>
  <c r="BB294" i="3" s="1"/>
  <c r="AI294" i="3"/>
  <c r="BC294" i="3" s="1"/>
  <c r="O295" i="3"/>
  <c r="BA295" i="3" s="1"/>
  <c r="Y295" i="3"/>
  <c r="BB295" i="3" s="1"/>
  <c r="AI295" i="3"/>
  <c r="O296" i="3"/>
  <c r="BA296" i="3" s="1"/>
  <c r="Y296" i="3"/>
  <c r="AI296" i="3"/>
  <c r="O297" i="3"/>
  <c r="Y297" i="3"/>
  <c r="BB297" i="3" s="1"/>
  <c r="AI297" i="3"/>
  <c r="BC297" i="3" s="1"/>
  <c r="E242" i="3"/>
  <c r="O242" i="3"/>
  <c r="Y242" i="3"/>
  <c r="AI242" i="3"/>
  <c r="AP243" i="3"/>
  <c r="AQ243" i="3"/>
  <c r="AR243" i="3"/>
  <c r="AP244" i="3"/>
  <c r="AQ244" i="3"/>
  <c r="AR244" i="3"/>
  <c r="AP245" i="3"/>
  <c r="AQ245" i="3"/>
  <c r="AR245" i="3"/>
  <c r="AI243" i="3"/>
  <c r="BC243" i="3" s="1"/>
  <c r="AI244" i="3"/>
  <c r="BC244" i="3" s="1"/>
  <c r="AI245" i="3"/>
  <c r="BC245" i="3" s="1"/>
  <c r="Y243" i="3"/>
  <c r="Y244" i="3"/>
  <c r="Y245" i="3"/>
  <c r="BB245" i="3" s="1"/>
  <c r="O243" i="3"/>
  <c r="O244" i="3"/>
  <c r="BA244" i="3" s="1"/>
  <c r="O245" i="3"/>
  <c r="BA245" i="3" s="1"/>
  <c r="E219" i="3"/>
  <c r="AZ219" i="3" s="1"/>
  <c r="BE219" i="3" s="1"/>
  <c r="O219" i="3"/>
  <c r="Y219" i="3"/>
  <c r="AI219" i="3"/>
  <c r="E220" i="3"/>
  <c r="O220" i="3"/>
  <c r="Y220" i="3"/>
  <c r="AI220" i="3"/>
  <c r="BC220" i="3" s="1"/>
  <c r="E221" i="3"/>
  <c r="O221" i="3"/>
  <c r="Y221" i="3"/>
  <c r="AI221" i="3"/>
  <c r="E222" i="3"/>
  <c r="O222" i="3"/>
  <c r="BA222" i="3" s="1"/>
  <c r="Y222" i="3"/>
  <c r="AI222" i="3"/>
  <c r="BC222" i="3" s="1"/>
  <c r="E223" i="3"/>
  <c r="O223" i="3"/>
  <c r="Y223" i="3"/>
  <c r="AI223" i="3"/>
  <c r="E224" i="3"/>
  <c r="O224" i="3"/>
  <c r="Y224" i="3"/>
  <c r="AI224" i="3"/>
  <c r="BC224" i="3" s="1"/>
  <c r="E225" i="3"/>
  <c r="O225" i="3"/>
  <c r="Y225" i="3"/>
  <c r="AI225" i="3"/>
  <c r="E226" i="3"/>
  <c r="O226" i="3"/>
  <c r="Y226" i="3"/>
  <c r="BB226" i="3" s="1"/>
  <c r="AI226" i="3"/>
  <c r="E227" i="3"/>
  <c r="O227" i="3"/>
  <c r="Y227" i="3"/>
  <c r="AI227" i="3"/>
  <c r="E228" i="3"/>
  <c r="O228" i="3"/>
  <c r="Y228" i="3"/>
  <c r="AI228" i="3"/>
  <c r="E229" i="3"/>
  <c r="O229" i="3"/>
  <c r="Y229" i="3"/>
  <c r="AI229" i="3"/>
  <c r="BC229" i="3" s="1"/>
  <c r="E230" i="3"/>
  <c r="O230" i="3"/>
  <c r="BA230" i="3" s="1"/>
  <c r="Y230" i="3"/>
  <c r="AI230" i="3"/>
  <c r="E231" i="3"/>
  <c r="AZ231" i="3" s="1"/>
  <c r="O231" i="3"/>
  <c r="Y231" i="3"/>
  <c r="AI231" i="3"/>
  <c r="E232" i="3"/>
  <c r="O232" i="3"/>
  <c r="BA232" i="3" s="1"/>
  <c r="Y232" i="3"/>
  <c r="BB232" i="3" s="1"/>
  <c r="AI232" i="3"/>
  <c r="E233" i="3"/>
  <c r="O233" i="3"/>
  <c r="BA233" i="3" s="1"/>
  <c r="Y233" i="3"/>
  <c r="AI233" i="3"/>
  <c r="BC233" i="3" s="1"/>
  <c r="E234" i="3"/>
  <c r="O234" i="3"/>
  <c r="Y234" i="3"/>
  <c r="AI234" i="3"/>
  <c r="E235" i="3"/>
  <c r="O235" i="3"/>
  <c r="BA235" i="3" s="1"/>
  <c r="Y235" i="3"/>
  <c r="AI235" i="3"/>
  <c r="E236" i="3"/>
  <c r="O236" i="3"/>
  <c r="BA236" i="3" s="1"/>
  <c r="Y236" i="3"/>
  <c r="BB236" i="3" s="1"/>
  <c r="AI236" i="3"/>
  <c r="E237" i="3"/>
  <c r="O237" i="3"/>
  <c r="Y237" i="3"/>
  <c r="AI237" i="3"/>
  <c r="E238" i="3"/>
  <c r="O238" i="3"/>
  <c r="Y238" i="3"/>
  <c r="BB238" i="3" s="1"/>
  <c r="AI238" i="3"/>
  <c r="E239" i="3"/>
  <c r="O239" i="3"/>
  <c r="Y239" i="3"/>
  <c r="AI239" i="3"/>
  <c r="BC239" i="3" s="1"/>
  <c r="E240" i="3"/>
  <c r="O240" i="3"/>
  <c r="BA240" i="3" s="1"/>
  <c r="Y240" i="3"/>
  <c r="AI240" i="3"/>
  <c r="E241" i="3"/>
  <c r="O241" i="3"/>
  <c r="BA241" i="3" s="1"/>
  <c r="Y241" i="3"/>
  <c r="AI241" i="3"/>
  <c r="E293" i="3"/>
  <c r="O293" i="3"/>
  <c r="Y293" i="3"/>
  <c r="AI293" i="3"/>
  <c r="BC293" i="3" s="1"/>
  <c r="E292" i="3"/>
  <c r="AZ292" i="3" s="1"/>
  <c r="O292" i="3"/>
  <c r="BA292" i="3" s="1"/>
  <c r="Y292" i="3"/>
  <c r="BB292" i="3" s="1"/>
  <c r="AI292" i="3"/>
  <c r="BC292" i="3" s="1"/>
  <c r="E291" i="3"/>
  <c r="O291" i="3"/>
  <c r="Y291" i="3"/>
  <c r="AI291" i="3"/>
  <c r="E290" i="3"/>
  <c r="O290" i="3"/>
  <c r="BA290" i="3" s="1"/>
  <c r="Y290" i="3"/>
  <c r="BB290" i="3" s="1"/>
  <c r="AI290" i="3"/>
  <c r="E289" i="3"/>
  <c r="AZ289" i="3" s="1"/>
  <c r="O289" i="3"/>
  <c r="Y289" i="3"/>
  <c r="AI289" i="3"/>
  <c r="E288" i="3"/>
  <c r="AZ288" i="3" s="1"/>
  <c r="O288" i="3"/>
  <c r="Y288" i="3"/>
  <c r="BB288" i="3" s="1"/>
  <c r="AI288" i="3"/>
  <c r="E287" i="3"/>
  <c r="O287" i="3"/>
  <c r="Y287" i="3"/>
  <c r="AI287" i="3"/>
  <c r="E286" i="3"/>
  <c r="AZ286" i="3" s="1"/>
  <c r="O286" i="3"/>
  <c r="Y286" i="3"/>
  <c r="BB286" i="3" s="1"/>
  <c r="AI286" i="3"/>
  <c r="BC286" i="3" s="1"/>
  <c r="E285" i="3"/>
  <c r="O285" i="3"/>
  <c r="BA285" i="3" s="1"/>
  <c r="Y285" i="3"/>
  <c r="AI285" i="3"/>
  <c r="E284" i="3"/>
  <c r="O284" i="3"/>
  <c r="Y284" i="3"/>
  <c r="BB284" i="3" s="1"/>
  <c r="AI284" i="3"/>
  <c r="E283" i="3"/>
  <c r="O283" i="3"/>
  <c r="Y283" i="3"/>
  <c r="AI283" i="3"/>
  <c r="E282" i="3"/>
  <c r="O282" i="3"/>
  <c r="Y282" i="3"/>
  <c r="AI282" i="3"/>
  <c r="E281" i="3"/>
  <c r="O281" i="3"/>
  <c r="BA281" i="3" s="1"/>
  <c r="Y281" i="3"/>
  <c r="AI281" i="3"/>
  <c r="E280" i="3"/>
  <c r="AZ280" i="3" s="1"/>
  <c r="O280" i="3"/>
  <c r="BA280" i="3" s="1"/>
  <c r="Y280" i="3"/>
  <c r="BB280" i="3" s="1"/>
  <c r="AI280" i="3"/>
  <c r="E279" i="3"/>
  <c r="O279" i="3"/>
  <c r="Y279" i="3"/>
  <c r="AI279" i="3"/>
  <c r="E278" i="3"/>
  <c r="O278" i="3"/>
  <c r="Y278" i="3"/>
  <c r="BB278" i="3" s="1"/>
  <c r="AI278" i="3"/>
  <c r="BC278" i="3" s="1"/>
  <c r="E276" i="3"/>
  <c r="AZ276" i="3" s="1"/>
  <c r="O276" i="3"/>
  <c r="Y276" i="3"/>
  <c r="AI276" i="3"/>
  <c r="E275" i="3"/>
  <c r="AZ275" i="3" s="1"/>
  <c r="O275" i="3"/>
  <c r="Y275" i="3"/>
  <c r="BB275" i="3" s="1"/>
  <c r="AI275" i="3"/>
  <c r="BC275" i="3" s="1"/>
  <c r="E274" i="3"/>
  <c r="O274" i="3"/>
  <c r="Y274" i="3"/>
  <c r="AI274" i="3"/>
  <c r="E273" i="3"/>
  <c r="AZ273" i="3" s="1"/>
  <c r="O273" i="3"/>
  <c r="Y273" i="3"/>
  <c r="BB273" i="3" s="1"/>
  <c r="AI273" i="3"/>
  <c r="E272" i="3"/>
  <c r="O272" i="3"/>
  <c r="R324" i="3" s="1"/>
  <c r="Y272" i="3"/>
  <c r="AI272" i="3"/>
  <c r="E271" i="3"/>
  <c r="AZ271" i="3" s="1"/>
  <c r="BE271" i="3" s="1"/>
  <c r="O271" i="3"/>
  <c r="Y271" i="3"/>
  <c r="BB271" i="3" s="1"/>
  <c r="BG271" i="3" s="1"/>
  <c r="AI271" i="3"/>
  <c r="BC271" i="3" s="1"/>
  <c r="BH271" i="3" s="1"/>
  <c r="E277" i="3"/>
  <c r="O277" i="3"/>
  <c r="Y277" i="3"/>
  <c r="BB277" i="3" s="1"/>
  <c r="AI277" i="3"/>
  <c r="AZ282" i="3"/>
  <c r="E190" i="3"/>
  <c r="AZ190" i="3" s="1"/>
  <c r="O190" i="3"/>
  <c r="BA190" i="3" s="1"/>
  <c r="Y190" i="3"/>
  <c r="AI190" i="3"/>
  <c r="BC190" i="3" s="1"/>
  <c r="O191" i="3"/>
  <c r="BA191" i="3" s="1"/>
  <c r="Y191" i="3"/>
  <c r="BB191" i="3" s="1"/>
  <c r="AI191" i="3"/>
  <c r="O192" i="3"/>
  <c r="Y192" i="3"/>
  <c r="BB192" i="3" s="1"/>
  <c r="AI192" i="3"/>
  <c r="BC192" i="3" s="1"/>
  <c r="O193" i="3"/>
  <c r="Y193" i="3"/>
  <c r="BB193" i="3" s="1"/>
  <c r="AI193" i="3"/>
  <c r="E138" i="3"/>
  <c r="AZ138" i="3" s="1"/>
  <c r="O138" i="3"/>
  <c r="BA138" i="3" s="1"/>
  <c r="Y138" i="3"/>
  <c r="AI138" i="3"/>
  <c r="O139" i="3"/>
  <c r="Y139" i="3"/>
  <c r="BB139" i="3" s="1"/>
  <c r="AI139" i="3"/>
  <c r="O140" i="3"/>
  <c r="BA140" i="3" s="1"/>
  <c r="Y140" i="3"/>
  <c r="AI140" i="3"/>
  <c r="BC140" i="3" s="1"/>
  <c r="O141" i="3"/>
  <c r="Y141" i="3"/>
  <c r="AI141" i="3"/>
  <c r="AR297" i="3"/>
  <c r="AQ297" i="3"/>
  <c r="AP297" i="3"/>
  <c r="E189" i="3"/>
  <c r="AZ189" i="3" s="1"/>
  <c r="O189" i="3"/>
  <c r="Y189" i="3"/>
  <c r="BB189" i="3" s="1"/>
  <c r="AI189" i="3"/>
  <c r="BC189" i="3" s="1"/>
  <c r="E137" i="3"/>
  <c r="AZ137" i="3" s="1"/>
  <c r="O137" i="3"/>
  <c r="Y137" i="3"/>
  <c r="BB137" i="3" s="1"/>
  <c r="AI137" i="3"/>
  <c r="BC137" i="3" s="1"/>
  <c r="AR296" i="3"/>
  <c r="AQ296" i="3"/>
  <c r="AP296" i="3"/>
  <c r="E188" i="3"/>
  <c r="AZ188" i="3" s="1"/>
  <c r="O188" i="3"/>
  <c r="BA188" i="3" s="1"/>
  <c r="Y188" i="3"/>
  <c r="BB188" i="3" s="1"/>
  <c r="AI188" i="3"/>
  <c r="E136" i="3"/>
  <c r="O136" i="3"/>
  <c r="Y136" i="3"/>
  <c r="AI136" i="3"/>
  <c r="AR295" i="3"/>
  <c r="AQ295" i="3"/>
  <c r="AP295" i="3"/>
  <c r="E187" i="3"/>
  <c r="O187" i="3"/>
  <c r="Y187" i="3"/>
  <c r="BB187" i="3" s="1"/>
  <c r="AI187" i="3"/>
  <c r="BC187" i="3" s="1"/>
  <c r="E135" i="3"/>
  <c r="AZ135" i="3" s="1"/>
  <c r="O135" i="3"/>
  <c r="Y135" i="3"/>
  <c r="BB135" i="3" s="1"/>
  <c r="AI135" i="3"/>
  <c r="BC135" i="3" s="1"/>
  <c r="AR294" i="3"/>
  <c r="AQ294" i="3"/>
  <c r="AP294" i="3"/>
  <c r="E186" i="3"/>
  <c r="AZ186" i="3" s="1"/>
  <c r="O186" i="3"/>
  <c r="Y186" i="3"/>
  <c r="BB186" i="3" s="1"/>
  <c r="AI186" i="3"/>
  <c r="BC186" i="3" s="1"/>
  <c r="E134" i="3"/>
  <c r="O134" i="3"/>
  <c r="BA134" i="3" s="1"/>
  <c r="Y134" i="3"/>
  <c r="AI134" i="3"/>
  <c r="BC134" i="3" s="1"/>
  <c r="AR293" i="3"/>
  <c r="AQ293" i="3"/>
  <c r="AP293" i="3"/>
  <c r="E185" i="3"/>
  <c r="AZ185" i="3" s="1"/>
  <c r="O185" i="3"/>
  <c r="BA185" i="3" s="1"/>
  <c r="Y185" i="3"/>
  <c r="BB185" i="3" s="1"/>
  <c r="AI185" i="3"/>
  <c r="BC185" i="3" s="1"/>
  <c r="E133" i="3"/>
  <c r="AZ133" i="3" s="1"/>
  <c r="O133" i="3"/>
  <c r="BA133" i="3" s="1"/>
  <c r="Y133" i="3"/>
  <c r="BB133" i="3" s="1"/>
  <c r="AI133" i="3"/>
  <c r="BC133" i="3" s="1"/>
  <c r="AR292" i="3"/>
  <c r="AQ292" i="3"/>
  <c r="AP292" i="3"/>
  <c r="E184" i="3"/>
  <c r="AZ184" i="3" s="1"/>
  <c r="O184" i="3"/>
  <c r="Y184" i="3"/>
  <c r="BB184" i="3" s="1"/>
  <c r="AI184" i="3"/>
  <c r="BC184" i="3" s="1"/>
  <c r="E132" i="3"/>
  <c r="O132" i="3"/>
  <c r="Y132" i="3"/>
  <c r="AI132" i="3"/>
  <c r="BC132" i="3" s="1"/>
  <c r="AR291" i="3"/>
  <c r="AQ291" i="3"/>
  <c r="AP291" i="3"/>
  <c r="E183" i="3"/>
  <c r="O183" i="3"/>
  <c r="Y183" i="3"/>
  <c r="BB183" i="3" s="1"/>
  <c r="AI183" i="3"/>
  <c r="BC183" i="3" s="1"/>
  <c r="E131" i="3"/>
  <c r="AZ131" i="3" s="1"/>
  <c r="O131" i="3"/>
  <c r="BA131" i="3" s="1"/>
  <c r="Y131" i="3"/>
  <c r="BB131" i="3" s="1"/>
  <c r="AI131" i="3"/>
  <c r="AR290" i="3"/>
  <c r="AQ290" i="3"/>
  <c r="AP290" i="3"/>
  <c r="E182" i="3"/>
  <c r="O182" i="3"/>
  <c r="BA182" i="3" s="1"/>
  <c r="Y182" i="3"/>
  <c r="BB182" i="3" s="1"/>
  <c r="AI182" i="3"/>
  <c r="BC182" i="3" s="1"/>
  <c r="E130" i="3"/>
  <c r="AZ130" i="3" s="1"/>
  <c r="O130" i="3"/>
  <c r="Y130" i="3"/>
  <c r="AI130" i="3"/>
  <c r="AR289" i="3"/>
  <c r="AQ289" i="3"/>
  <c r="AP289" i="3"/>
  <c r="E181" i="3"/>
  <c r="AZ181" i="3" s="1"/>
  <c r="O181" i="3"/>
  <c r="Y181" i="3"/>
  <c r="AI181" i="3"/>
  <c r="E129" i="3"/>
  <c r="O129" i="3"/>
  <c r="BA129" i="3" s="1"/>
  <c r="Y129" i="3"/>
  <c r="BB129" i="3" s="1"/>
  <c r="AI129" i="3"/>
  <c r="BC129" i="3" s="1"/>
  <c r="AR288" i="3"/>
  <c r="AQ288" i="3"/>
  <c r="AP288" i="3"/>
  <c r="E180" i="3"/>
  <c r="O180" i="3"/>
  <c r="Y180" i="3"/>
  <c r="AI180" i="3"/>
  <c r="E128" i="3"/>
  <c r="AZ128" i="3" s="1"/>
  <c r="O128" i="3"/>
  <c r="BA128" i="3" s="1"/>
  <c r="Y128" i="3"/>
  <c r="BB128" i="3" s="1"/>
  <c r="AI128" i="3"/>
  <c r="AR287" i="3"/>
  <c r="AQ287" i="3"/>
  <c r="AP287" i="3"/>
  <c r="E179" i="3"/>
  <c r="O179" i="3"/>
  <c r="BA179" i="3" s="1"/>
  <c r="Y179" i="3"/>
  <c r="BB179" i="3" s="1"/>
  <c r="AI179" i="3"/>
  <c r="BC179" i="3" s="1"/>
  <c r="E127" i="3"/>
  <c r="AZ127" i="3" s="1"/>
  <c r="O127" i="3"/>
  <c r="BA127" i="3" s="1"/>
  <c r="Y127" i="3"/>
  <c r="BB127" i="3" s="1"/>
  <c r="AI127" i="3"/>
  <c r="AR286" i="3"/>
  <c r="AQ286" i="3"/>
  <c r="AP286" i="3"/>
  <c r="E178" i="3"/>
  <c r="AZ178" i="3" s="1"/>
  <c r="O178" i="3"/>
  <c r="Y178" i="3"/>
  <c r="AI178" i="3"/>
  <c r="E126" i="3"/>
  <c r="AZ126" i="3" s="1"/>
  <c r="O126" i="3"/>
  <c r="BA126" i="3" s="1"/>
  <c r="Y126" i="3"/>
  <c r="BB126" i="3" s="1"/>
  <c r="AI126" i="3"/>
  <c r="BC126" i="3" s="1"/>
  <c r="AR285" i="3"/>
  <c r="AQ285" i="3"/>
  <c r="AP285" i="3"/>
  <c r="E177" i="3"/>
  <c r="AZ177" i="3" s="1"/>
  <c r="O177" i="3"/>
  <c r="BA177" i="3" s="1"/>
  <c r="Y177" i="3"/>
  <c r="BB177" i="3" s="1"/>
  <c r="AI177" i="3"/>
  <c r="BC177" i="3" s="1"/>
  <c r="E125" i="3"/>
  <c r="AZ125" i="3" s="1"/>
  <c r="O125" i="3"/>
  <c r="BA125" i="3" s="1"/>
  <c r="Y125" i="3"/>
  <c r="AI125" i="3"/>
  <c r="BC125" i="3" s="1"/>
  <c r="AR284" i="3"/>
  <c r="AQ284" i="3"/>
  <c r="AP284" i="3"/>
  <c r="E176" i="3"/>
  <c r="AZ176" i="3" s="1"/>
  <c r="O176" i="3"/>
  <c r="BA176" i="3" s="1"/>
  <c r="Y176" i="3"/>
  <c r="AI176" i="3"/>
  <c r="E124" i="3"/>
  <c r="O124" i="3"/>
  <c r="BA124" i="3" s="1"/>
  <c r="Y124" i="3"/>
  <c r="BB124" i="3" s="1"/>
  <c r="AI124" i="3"/>
  <c r="BC124" i="3" s="1"/>
  <c r="AR283" i="3"/>
  <c r="AQ283" i="3"/>
  <c r="AP283" i="3"/>
  <c r="E175" i="3"/>
  <c r="O175" i="3"/>
  <c r="BA175" i="3" s="1"/>
  <c r="Y175" i="3"/>
  <c r="BB175" i="3" s="1"/>
  <c r="AI175" i="3"/>
  <c r="BC175" i="3" s="1"/>
  <c r="E123" i="3"/>
  <c r="AZ123" i="3" s="1"/>
  <c r="O123" i="3"/>
  <c r="BA123" i="3" s="1"/>
  <c r="Y123" i="3"/>
  <c r="AI123" i="3"/>
  <c r="AR282" i="3"/>
  <c r="AQ282" i="3"/>
  <c r="AP282" i="3"/>
  <c r="E174" i="3"/>
  <c r="AZ174" i="3" s="1"/>
  <c r="O174" i="3"/>
  <c r="BA174" i="3" s="1"/>
  <c r="Y174" i="3"/>
  <c r="BB174" i="3" s="1"/>
  <c r="AI174" i="3"/>
  <c r="E122" i="3"/>
  <c r="O122" i="3"/>
  <c r="Y122" i="3"/>
  <c r="AI122" i="3"/>
  <c r="BC122" i="3" s="1"/>
  <c r="AR281" i="3"/>
  <c r="AQ281" i="3"/>
  <c r="AP281" i="3"/>
  <c r="E173" i="3"/>
  <c r="O173" i="3"/>
  <c r="BA173" i="3" s="1"/>
  <c r="Y173" i="3"/>
  <c r="AI173" i="3"/>
  <c r="BC173" i="3" s="1"/>
  <c r="E121" i="3"/>
  <c r="AZ121" i="3" s="1"/>
  <c r="O121" i="3"/>
  <c r="BA121" i="3" s="1"/>
  <c r="Y121" i="3"/>
  <c r="BB121" i="3" s="1"/>
  <c r="AI121" i="3"/>
  <c r="BC121" i="3" s="1"/>
  <c r="AR280" i="3"/>
  <c r="AQ280" i="3"/>
  <c r="AP280" i="3"/>
  <c r="E172" i="3"/>
  <c r="AZ172" i="3" s="1"/>
  <c r="O172" i="3"/>
  <c r="BA172" i="3" s="1"/>
  <c r="Y172" i="3"/>
  <c r="BB172" i="3" s="1"/>
  <c r="AI172" i="3"/>
  <c r="E120" i="3"/>
  <c r="O120" i="3"/>
  <c r="BA120" i="3" s="1"/>
  <c r="Y120" i="3"/>
  <c r="BB120" i="3" s="1"/>
  <c r="AI120" i="3"/>
  <c r="BC120" i="3" s="1"/>
  <c r="AR279" i="3"/>
  <c r="AQ279" i="3"/>
  <c r="AP279" i="3"/>
  <c r="E171" i="3"/>
  <c r="AZ171" i="3" s="1"/>
  <c r="O171" i="3"/>
  <c r="Y171" i="3"/>
  <c r="BB171" i="3" s="1"/>
  <c r="AI171" i="3"/>
  <c r="BC171" i="3" s="1"/>
  <c r="E119" i="3"/>
  <c r="AZ119" i="3" s="1"/>
  <c r="O119" i="3"/>
  <c r="BA119" i="3" s="1"/>
  <c r="Y119" i="3"/>
  <c r="BB119" i="3" s="1"/>
  <c r="AI119" i="3"/>
  <c r="BC119" i="3" s="1"/>
  <c r="AR278" i="3"/>
  <c r="AQ278" i="3"/>
  <c r="AP278" i="3"/>
  <c r="E170" i="3"/>
  <c r="AZ170" i="3" s="1"/>
  <c r="O170" i="3"/>
  <c r="Y170" i="3"/>
  <c r="BB170" i="3" s="1"/>
  <c r="AI170" i="3"/>
  <c r="E118" i="3"/>
  <c r="AZ118" i="3" s="1"/>
  <c r="O118" i="3"/>
  <c r="BA118" i="3" s="1"/>
  <c r="Y118" i="3"/>
  <c r="AI118" i="3"/>
  <c r="AR277" i="3"/>
  <c r="AQ277" i="3"/>
  <c r="AP277" i="3"/>
  <c r="E169" i="3"/>
  <c r="AZ169" i="3" s="1"/>
  <c r="O169" i="3"/>
  <c r="Y169" i="3"/>
  <c r="BB169" i="3" s="1"/>
  <c r="AI169" i="3"/>
  <c r="BC169" i="3" s="1"/>
  <c r="E117" i="3"/>
  <c r="AZ117" i="3" s="1"/>
  <c r="O117" i="3"/>
  <c r="BA117" i="3" s="1"/>
  <c r="Y117" i="3"/>
  <c r="BB117" i="3" s="1"/>
  <c r="AI117" i="3"/>
  <c r="BC117" i="3" s="1"/>
  <c r="AR276" i="3"/>
  <c r="AQ276" i="3"/>
  <c r="AP276" i="3"/>
  <c r="E168" i="3"/>
  <c r="E116" i="3"/>
  <c r="O168" i="3"/>
  <c r="BA168" i="3" s="1"/>
  <c r="Y168" i="3"/>
  <c r="BB168" i="3" s="1"/>
  <c r="AI168" i="3"/>
  <c r="BC168" i="3" s="1"/>
  <c r="O116" i="3"/>
  <c r="BA116" i="3" s="1"/>
  <c r="Y116" i="3"/>
  <c r="BB116" i="3" s="1"/>
  <c r="AI116" i="3"/>
  <c r="AR275" i="3"/>
  <c r="AQ275" i="3"/>
  <c r="AP275" i="3"/>
  <c r="E167" i="3"/>
  <c r="AZ167" i="3" s="1"/>
  <c r="BE167" i="3" s="1"/>
  <c r="O167" i="3"/>
  <c r="Y167" i="3"/>
  <c r="BB167" i="3" s="1"/>
  <c r="BG167" i="3" s="1"/>
  <c r="AI167" i="3"/>
  <c r="AL219" i="3" s="1"/>
  <c r="E115" i="3"/>
  <c r="AZ115" i="3" s="1"/>
  <c r="BE115" i="3" s="1"/>
  <c r="O115" i="3"/>
  <c r="BA115" i="3" s="1"/>
  <c r="BF115" i="3" s="1"/>
  <c r="Y115" i="3"/>
  <c r="BB115" i="3" s="1"/>
  <c r="BG115" i="3" s="1"/>
  <c r="AI115" i="3"/>
  <c r="BC115" i="3" s="1"/>
  <c r="BH115" i="3" s="1"/>
  <c r="AR274" i="3"/>
  <c r="AQ274" i="3"/>
  <c r="AP274" i="3"/>
  <c r="AP270" i="3"/>
  <c r="AQ270" i="3"/>
  <c r="AR270" i="3"/>
  <c r="E218" i="3"/>
  <c r="AZ218" i="3" s="1"/>
  <c r="O218" i="3"/>
  <c r="BA218" i="3" s="1"/>
  <c r="Y218" i="3"/>
  <c r="BB218" i="3" s="1"/>
  <c r="AI218" i="3"/>
  <c r="BC218" i="3" s="1"/>
  <c r="E166" i="3"/>
  <c r="O166" i="3"/>
  <c r="Y166" i="3"/>
  <c r="AI166" i="3"/>
  <c r="BC166" i="3" s="1"/>
  <c r="E114" i="3"/>
  <c r="H114" i="3" s="1"/>
  <c r="O114" i="3"/>
  <c r="BA114" i="3" s="1"/>
  <c r="Y114" i="3"/>
  <c r="AB114" i="3" s="1"/>
  <c r="AI114" i="3"/>
  <c r="AL114" i="3" s="1"/>
  <c r="AI270" i="3"/>
  <c r="AR273" i="3"/>
  <c r="AQ273" i="3"/>
  <c r="AP273" i="3"/>
  <c r="Y270" i="3"/>
  <c r="BB270" i="3" s="1"/>
  <c r="O270" i="3"/>
  <c r="E270" i="3"/>
  <c r="AZ270" i="3" s="1"/>
  <c r="AP269" i="3"/>
  <c r="AQ269" i="3"/>
  <c r="AR269" i="3"/>
  <c r="E217" i="3"/>
  <c r="AZ217" i="3" s="1"/>
  <c r="O217" i="3"/>
  <c r="BA217" i="3" s="1"/>
  <c r="Y217" i="3"/>
  <c r="BB217" i="3" s="1"/>
  <c r="AI217" i="3"/>
  <c r="E269" i="3"/>
  <c r="AZ269" i="3" s="1"/>
  <c r="E165" i="3"/>
  <c r="AZ165" i="3" s="1"/>
  <c r="O165" i="3"/>
  <c r="BA165" i="3" s="1"/>
  <c r="Y165" i="3"/>
  <c r="AI165" i="3"/>
  <c r="E113" i="3"/>
  <c r="AZ113" i="3" s="1"/>
  <c r="O113" i="3"/>
  <c r="BA113" i="3" s="1"/>
  <c r="Y113" i="3"/>
  <c r="BB113" i="3" s="1"/>
  <c r="AI113" i="3"/>
  <c r="BC113" i="3" s="1"/>
  <c r="AI269" i="3"/>
  <c r="BC269" i="3" s="1"/>
  <c r="AR272" i="3"/>
  <c r="AQ272" i="3"/>
  <c r="AP272" i="3"/>
  <c r="Y269" i="3"/>
  <c r="BB269" i="3" s="1"/>
  <c r="O269" i="3"/>
  <c r="BA269" i="3" s="1"/>
  <c r="AQ259" i="3"/>
  <c r="AR259" i="3"/>
  <c r="AP259" i="3"/>
  <c r="AR255" i="3"/>
  <c r="AQ255" i="3"/>
  <c r="AP255" i="3"/>
  <c r="AP246" i="3"/>
  <c r="AQ246" i="3"/>
  <c r="AR246" i="3"/>
  <c r="AP247" i="3"/>
  <c r="AQ247" i="3"/>
  <c r="AR247" i="3"/>
  <c r="AP248" i="3"/>
  <c r="AQ248" i="3"/>
  <c r="AR248" i="3"/>
  <c r="AP249" i="3"/>
  <c r="AQ249" i="3"/>
  <c r="AR249" i="3"/>
  <c r="AP250" i="3"/>
  <c r="AQ250" i="3"/>
  <c r="AR250" i="3"/>
  <c r="AP251" i="3"/>
  <c r="AQ251" i="3"/>
  <c r="AR251" i="3"/>
  <c r="AP252" i="3"/>
  <c r="AQ252" i="3"/>
  <c r="AR252" i="3"/>
  <c r="AP253" i="3"/>
  <c r="AQ253" i="3"/>
  <c r="AR253" i="3"/>
  <c r="AP254" i="3"/>
  <c r="AQ254" i="3"/>
  <c r="AR254" i="3"/>
  <c r="AP256" i="3"/>
  <c r="AQ256" i="3"/>
  <c r="AR256" i="3"/>
  <c r="AP257" i="3"/>
  <c r="AQ257" i="3"/>
  <c r="AR257" i="3"/>
  <c r="AP258" i="3"/>
  <c r="AQ258" i="3"/>
  <c r="AR258" i="3"/>
  <c r="AP260" i="3"/>
  <c r="AQ260" i="3"/>
  <c r="AR260" i="3"/>
  <c r="AP261" i="3"/>
  <c r="AQ261" i="3"/>
  <c r="AR261" i="3"/>
  <c r="AP262" i="3"/>
  <c r="AQ262" i="3"/>
  <c r="AR262" i="3"/>
  <c r="AP263" i="3"/>
  <c r="AQ263" i="3"/>
  <c r="AR263" i="3"/>
  <c r="AP264" i="3"/>
  <c r="AQ264" i="3"/>
  <c r="AR264" i="3"/>
  <c r="AP265" i="3"/>
  <c r="AQ265" i="3"/>
  <c r="AR265" i="3"/>
  <c r="AP266" i="3"/>
  <c r="AQ266" i="3"/>
  <c r="AR266" i="3"/>
  <c r="AP267" i="3"/>
  <c r="AQ267" i="3"/>
  <c r="AR267" i="3"/>
  <c r="AP268" i="3"/>
  <c r="AQ268" i="3"/>
  <c r="AR268" i="3"/>
  <c r="AI255" i="3"/>
  <c r="AI246" i="3"/>
  <c r="BC246" i="3" s="1"/>
  <c r="AI247" i="3"/>
  <c r="BC247" i="3" s="1"/>
  <c r="AI248" i="3"/>
  <c r="AI249" i="3"/>
  <c r="AI250" i="3"/>
  <c r="AI251" i="3"/>
  <c r="AI252" i="3"/>
  <c r="AI253" i="3"/>
  <c r="AI254" i="3"/>
  <c r="BC254" i="3" s="1"/>
  <c r="AI256" i="3"/>
  <c r="BC256" i="3" s="1"/>
  <c r="AI257" i="3"/>
  <c r="BC257" i="3" s="1"/>
  <c r="AI258" i="3"/>
  <c r="BC258" i="3" s="1"/>
  <c r="AI259" i="3"/>
  <c r="AI260" i="3"/>
  <c r="BC260" i="3" s="1"/>
  <c r="AI261" i="3"/>
  <c r="AI262" i="3"/>
  <c r="BC262" i="3" s="1"/>
  <c r="AI263" i="3"/>
  <c r="BC263" i="3" s="1"/>
  <c r="AI264" i="3"/>
  <c r="AI265" i="3"/>
  <c r="BC265" i="3" s="1"/>
  <c r="AI266" i="3"/>
  <c r="AI267" i="3"/>
  <c r="AI268" i="3"/>
  <c r="BC268" i="3" s="1"/>
  <c r="Y259" i="3"/>
  <c r="Y246" i="3"/>
  <c r="Y247" i="3"/>
  <c r="Y248" i="3"/>
  <c r="BB248" i="3" s="1"/>
  <c r="Y249" i="3"/>
  <c r="BB249" i="3" s="1"/>
  <c r="Y250" i="3"/>
  <c r="Y251" i="3"/>
  <c r="Y252" i="3"/>
  <c r="Y253" i="3"/>
  <c r="Y254" i="3"/>
  <c r="Y255" i="3"/>
  <c r="Y256" i="3"/>
  <c r="BB256" i="3" s="1"/>
  <c r="Y257" i="3"/>
  <c r="BB257" i="3" s="1"/>
  <c r="Y258" i="3"/>
  <c r="Y260" i="3"/>
  <c r="Y261" i="3"/>
  <c r="BB261" i="3" s="1"/>
  <c r="Y262" i="3"/>
  <c r="Y263" i="3"/>
  <c r="Y264" i="3"/>
  <c r="BB264" i="3" s="1"/>
  <c r="Y265" i="3"/>
  <c r="BB265" i="3" s="1"/>
  <c r="Y266" i="3"/>
  <c r="BB266" i="3" s="1"/>
  <c r="Y267" i="3"/>
  <c r="BB267" i="3" s="1"/>
  <c r="Y268" i="3"/>
  <c r="O246" i="3"/>
  <c r="O247" i="3"/>
  <c r="BA247" i="3" s="1"/>
  <c r="O248" i="3"/>
  <c r="O249" i="3"/>
  <c r="BA249" i="3" s="1"/>
  <c r="O250" i="3"/>
  <c r="BA250" i="3" s="1"/>
  <c r="O251" i="3"/>
  <c r="BA251" i="3" s="1"/>
  <c r="O252" i="3"/>
  <c r="BA252" i="3" s="1"/>
  <c r="O253" i="3"/>
  <c r="O254" i="3"/>
  <c r="O255" i="3"/>
  <c r="O256" i="3"/>
  <c r="O257" i="3"/>
  <c r="BA257" i="3" s="1"/>
  <c r="O258" i="3"/>
  <c r="BA258" i="3" s="1"/>
  <c r="O259" i="3"/>
  <c r="BA259" i="3" s="1"/>
  <c r="O260" i="3"/>
  <c r="BA260" i="3" s="1"/>
  <c r="O261" i="3"/>
  <c r="O262" i="3"/>
  <c r="BA262" i="3" s="1"/>
  <c r="O263" i="3"/>
  <c r="O264" i="3"/>
  <c r="BA264" i="3" s="1"/>
  <c r="O265" i="3"/>
  <c r="BA265" i="3" s="1"/>
  <c r="O266" i="3"/>
  <c r="BA266" i="3" s="1"/>
  <c r="O267" i="3"/>
  <c r="O268" i="3"/>
  <c r="E247" i="3"/>
  <c r="E248" i="3"/>
  <c r="E249" i="3"/>
  <c r="E250" i="3"/>
  <c r="E251" i="3"/>
  <c r="AZ251" i="3" s="1"/>
  <c r="E252" i="3"/>
  <c r="AZ252" i="3" s="1"/>
  <c r="E253" i="3"/>
  <c r="AZ253" i="3" s="1"/>
  <c r="E254" i="3"/>
  <c r="E255" i="3"/>
  <c r="E256" i="3"/>
  <c r="E257" i="3"/>
  <c r="AZ257" i="3" s="1"/>
  <c r="E258" i="3"/>
  <c r="AZ258" i="3" s="1"/>
  <c r="E259" i="3"/>
  <c r="AZ259" i="3" s="1"/>
  <c r="E260" i="3"/>
  <c r="AZ260" i="3" s="1"/>
  <c r="E261" i="3"/>
  <c r="E262" i="3"/>
  <c r="E263" i="3"/>
  <c r="E264" i="3"/>
  <c r="E265" i="3"/>
  <c r="E266" i="3"/>
  <c r="E267" i="3"/>
  <c r="AZ267" i="3" s="1"/>
  <c r="E268" i="3"/>
  <c r="E216" i="3"/>
  <c r="AZ216" i="3" s="1"/>
  <c r="O216" i="3"/>
  <c r="BA216" i="3" s="1"/>
  <c r="Y216" i="3"/>
  <c r="BB216" i="3" s="1"/>
  <c r="AI216" i="3"/>
  <c r="BC216" i="3" s="1"/>
  <c r="E164" i="3"/>
  <c r="O164" i="3"/>
  <c r="BA164" i="3" s="1"/>
  <c r="Y164" i="3"/>
  <c r="BB164" i="3" s="1"/>
  <c r="AI164" i="3"/>
  <c r="E112" i="3"/>
  <c r="AZ112" i="3" s="1"/>
  <c r="O112" i="3"/>
  <c r="BA112" i="3" s="1"/>
  <c r="Y112" i="3"/>
  <c r="BB112" i="3" s="1"/>
  <c r="AI112" i="3"/>
  <c r="AR271" i="3"/>
  <c r="AQ271" i="3"/>
  <c r="AP271" i="3"/>
  <c r="E215" i="3"/>
  <c r="O215" i="3"/>
  <c r="BA215" i="3" s="1"/>
  <c r="Y215" i="3"/>
  <c r="BB215" i="3" s="1"/>
  <c r="AI215" i="3"/>
  <c r="BC215" i="3" s="1"/>
  <c r="E163" i="3"/>
  <c r="AZ163" i="3" s="1"/>
  <c r="O163" i="3"/>
  <c r="BA163" i="3" s="1"/>
  <c r="Y163" i="3"/>
  <c r="AI163" i="3"/>
  <c r="E111" i="3"/>
  <c r="O111" i="3"/>
  <c r="BA111" i="3" s="1"/>
  <c r="Y111" i="3"/>
  <c r="BB111" i="3" s="1"/>
  <c r="AI111" i="3"/>
  <c r="BC111" i="3" s="1"/>
  <c r="E214" i="3"/>
  <c r="AZ214" i="3" s="1"/>
  <c r="O214" i="3"/>
  <c r="Y214" i="3"/>
  <c r="BB214" i="3" s="1"/>
  <c r="AI214" i="3"/>
  <c r="BC214" i="3" s="1"/>
  <c r="E162" i="3"/>
  <c r="AZ162" i="3" s="1"/>
  <c r="O162" i="3"/>
  <c r="BA162" i="3" s="1"/>
  <c r="Y162" i="3"/>
  <c r="BB162" i="3" s="1"/>
  <c r="AI162" i="3"/>
  <c r="E110" i="3"/>
  <c r="O110" i="3"/>
  <c r="BA110" i="3" s="1"/>
  <c r="Y110" i="3"/>
  <c r="BB110" i="3" s="1"/>
  <c r="AI110" i="3"/>
  <c r="BC110" i="3" s="1"/>
  <c r="E213" i="3"/>
  <c r="AZ213" i="3" s="1"/>
  <c r="O213" i="3"/>
  <c r="BA213" i="3" s="1"/>
  <c r="Y213" i="3"/>
  <c r="BB213" i="3" s="1"/>
  <c r="AI213" i="3"/>
  <c r="BC213" i="3" s="1"/>
  <c r="E161" i="3"/>
  <c r="AZ161" i="3" s="1"/>
  <c r="O161" i="3"/>
  <c r="Y161" i="3"/>
  <c r="BB161" i="3" s="1"/>
  <c r="AI161" i="3"/>
  <c r="BC161" i="3" s="1"/>
  <c r="E109" i="3"/>
  <c r="AZ109" i="3" s="1"/>
  <c r="O109" i="3"/>
  <c r="BA109" i="3" s="1"/>
  <c r="Y109" i="3"/>
  <c r="BB109" i="3" s="1"/>
  <c r="AI109" i="3"/>
  <c r="BC109" i="3" s="1"/>
  <c r="E212" i="3"/>
  <c r="O212" i="3"/>
  <c r="Y212" i="3"/>
  <c r="BB212" i="3" s="1"/>
  <c r="AI212" i="3"/>
  <c r="BC212" i="3" s="1"/>
  <c r="E160" i="3"/>
  <c r="AZ160" i="3" s="1"/>
  <c r="O160" i="3"/>
  <c r="BA160" i="3" s="1"/>
  <c r="Y160" i="3"/>
  <c r="AI160" i="3"/>
  <c r="BC160" i="3" s="1"/>
  <c r="E108" i="3"/>
  <c r="AZ108" i="3" s="1"/>
  <c r="O108" i="3"/>
  <c r="BA108" i="3" s="1"/>
  <c r="Y108" i="3"/>
  <c r="BB108" i="3" s="1"/>
  <c r="AI108" i="3"/>
  <c r="BC108" i="3" s="1"/>
  <c r="E211" i="3"/>
  <c r="AZ211" i="3" s="1"/>
  <c r="O211" i="3"/>
  <c r="BA211" i="3" s="1"/>
  <c r="Y211" i="3"/>
  <c r="BB211" i="3" s="1"/>
  <c r="AI211" i="3"/>
  <c r="E159" i="3"/>
  <c r="AZ159" i="3" s="1"/>
  <c r="O159" i="3"/>
  <c r="Y159" i="3"/>
  <c r="BB159" i="3" s="1"/>
  <c r="AI159" i="3"/>
  <c r="BC159" i="3" s="1"/>
  <c r="E107" i="3"/>
  <c r="AZ107" i="3" s="1"/>
  <c r="O107" i="3"/>
  <c r="BA107" i="3" s="1"/>
  <c r="Y107" i="3"/>
  <c r="BB107" i="3" s="1"/>
  <c r="AI107" i="3"/>
  <c r="E210" i="3"/>
  <c r="AZ210" i="3" s="1"/>
  <c r="O210" i="3"/>
  <c r="Y210" i="3"/>
  <c r="BB210" i="3" s="1"/>
  <c r="AI210" i="3"/>
  <c r="BC210" i="3" s="1"/>
  <c r="E158" i="3"/>
  <c r="O158" i="3"/>
  <c r="BA158" i="3" s="1"/>
  <c r="Y158" i="3"/>
  <c r="BB158" i="3" s="1"/>
  <c r="AI158" i="3"/>
  <c r="BC158" i="3" s="1"/>
  <c r="E106" i="3"/>
  <c r="AZ106" i="3" s="1"/>
  <c r="O106" i="3"/>
  <c r="BA106" i="3" s="1"/>
  <c r="Y106" i="3"/>
  <c r="BB106" i="3" s="1"/>
  <c r="AI106" i="3"/>
  <c r="BC106" i="3" s="1"/>
  <c r="E209" i="3"/>
  <c r="AZ209" i="3" s="1"/>
  <c r="O209" i="3"/>
  <c r="BA209" i="3" s="1"/>
  <c r="Y209" i="3"/>
  <c r="AI209" i="3"/>
  <c r="BC209" i="3" s="1"/>
  <c r="E157" i="3"/>
  <c r="O157" i="3"/>
  <c r="BA157" i="3" s="1"/>
  <c r="Y157" i="3"/>
  <c r="BB157" i="3" s="1"/>
  <c r="AI157" i="3"/>
  <c r="BC157" i="3" s="1"/>
  <c r="E105" i="3"/>
  <c r="AZ105" i="3" s="1"/>
  <c r="O105" i="3"/>
  <c r="Y105" i="3"/>
  <c r="BB105" i="3" s="1"/>
  <c r="AI105" i="3"/>
  <c r="BC105" i="3" s="1"/>
  <c r="E204" i="3"/>
  <c r="AZ204" i="3" s="1"/>
  <c r="O204" i="3"/>
  <c r="BA204" i="3" s="1"/>
  <c r="Y204" i="3"/>
  <c r="AI204" i="3"/>
  <c r="O194" i="3"/>
  <c r="BA194" i="3" s="1"/>
  <c r="Y194" i="3"/>
  <c r="BB194" i="3" s="1"/>
  <c r="AI194" i="3"/>
  <c r="E195" i="3"/>
  <c r="O195" i="3"/>
  <c r="Y195" i="3"/>
  <c r="BB195" i="3" s="1"/>
  <c r="AI195" i="3"/>
  <c r="E196" i="3"/>
  <c r="AZ196" i="3" s="1"/>
  <c r="O196" i="3"/>
  <c r="BA196" i="3" s="1"/>
  <c r="Y196" i="3"/>
  <c r="BB196" i="3" s="1"/>
  <c r="AI196" i="3"/>
  <c r="BC196" i="3" s="1"/>
  <c r="E197" i="3"/>
  <c r="AZ197" i="3" s="1"/>
  <c r="O197" i="3"/>
  <c r="BA197" i="3" s="1"/>
  <c r="Y197" i="3"/>
  <c r="AI197" i="3"/>
  <c r="BC197" i="3" s="1"/>
  <c r="E198" i="3"/>
  <c r="O198" i="3"/>
  <c r="BA198" i="3" s="1"/>
  <c r="Y198" i="3"/>
  <c r="BB198" i="3" s="1"/>
  <c r="AI198" i="3"/>
  <c r="BC198" i="3" s="1"/>
  <c r="E199" i="3"/>
  <c r="O199" i="3"/>
  <c r="Y199" i="3"/>
  <c r="BB199" i="3" s="1"/>
  <c r="AI199" i="3"/>
  <c r="BC199" i="3" s="1"/>
  <c r="E200" i="3"/>
  <c r="O200" i="3"/>
  <c r="Y200" i="3"/>
  <c r="BB200" i="3" s="1"/>
  <c r="AI200" i="3"/>
  <c r="BC200" i="3" s="1"/>
  <c r="E201" i="3"/>
  <c r="O201" i="3"/>
  <c r="Y201" i="3"/>
  <c r="BB201" i="3" s="1"/>
  <c r="AI201" i="3"/>
  <c r="BC201" i="3" s="1"/>
  <c r="E202" i="3"/>
  <c r="O202" i="3"/>
  <c r="BA202" i="3" s="1"/>
  <c r="Y202" i="3"/>
  <c r="AI202" i="3"/>
  <c r="BC202" i="3" s="1"/>
  <c r="E203" i="3"/>
  <c r="O203" i="3"/>
  <c r="Y203" i="3"/>
  <c r="AI203" i="3"/>
  <c r="BC203" i="3" s="1"/>
  <c r="E205" i="3"/>
  <c r="AZ205" i="3" s="1"/>
  <c r="O205" i="3"/>
  <c r="Y205" i="3"/>
  <c r="BB205" i="3" s="1"/>
  <c r="AI205" i="3"/>
  <c r="BC205" i="3" s="1"/>
  <c r="E206" i="3"/>
  <c r="O206" i="3"/>
  <c r="BA206" i="3" s="1"/>
  <c r="Y206" i="3"/>
  <c r="BB206" i="3" s="1"/>
  <c r="AI206" i="3"/>
  <c r="BC206" i="3" s="1"/>
  <c r="E207" i="3"/>
  <c r="AZ207" i="3" s="1"/>
  <c r="O207" i="3"/>
  <c r="Y207" i="3"/>
  <c r="BB207" i="3" s="1"/>
  <c r="AI207" i="3"/>
  <c r="BC207" i="3" s="1"/>
  <c r="E208" i="3"/>
  <c r="O208" i="3"/>
  <c r="Y208" i="3"/>
  <c r="AI208" i="3"/>
  <c r="BC208" i="3" s="1"/>
  <c r="E156" i="3"/>
  <c r="AZ156" i="3" s="1"/>
  <c r="O156" i="3"/>
  <c r="BA156" i="3" s="1"/>
  <c r="Y156" i="3"/>
  <c r="BB156" i="3" s="1"/>
  <c r="AI156" i="3"/>
  <c r="E104" i="3"/>
  <c r="AZ104" i="3" s="1"/>
  <c r="O104" i="3"/>
  <c r="BA104" i="3" s="1"/>
  <c r="Y104" i="3"/>
  <c r="BB104" i="3" s="1"/>
  <c r="AI104" i="3"/>
  <c r="BC104" i="3" s="1"/>
  <c r="E155" i="3"/>
  <c r="O155" i="3"/>
  <c r="Y155" i="3"/>
  <c r="AI155" i="3"/>
  <c r="E103" i="3"/>
  <c r="AZ103" i="3" s="1"/>
  <c r="O103" i="3"/>
  <c r="BA103" i="3" s="1"/>
  <c r="Y103" i="3"/>
  <c r="BB103" i="3" s="1"/>
  <c r="AI103" i="3"/>
  <c r="BC103" i="3" s="1"/>
  <c r="E154" i="3"/>
  <c r="O154" i="3"/>
  <c r="Y154" i="3"/>
  <c r="AI154" i="3"/>
  <c r="BC154" i="3" s="1"/>
  <c r="E102" i="3"/>
  <c r="AZ102" i="3" s="1"/>
  <c r="O102" i="3"/>
  <c r="BA102" i="3" s="1"/>
  <c r="Y102" i="3"/>
  <c r="BB102" i="3" s="1"/>
  <c r="AI102" i="3"/>
  <c r="E153" i="3"/>
  <c r="AZ153" i="3" s="1"/>
  <c r="O153" i="3"/>
  <c r="BA153" i="3" s="1"/>
  <c r="Y153" i="3"/>
  <c r="BB153" i="3" s="1"/>
  <c r="AI153" i="3"/>
  <c r="BC153" i="3" s="1"/>
  <c r="E101" i="3"/>
  <c r="O101" i="3"/>
  <c r="Y101" i="3"/>
  <c r="BB101" i="3" s="1"/>
  <c r="AI101" i="3"/>
  <c r="BC101" i="3" s="1"/>
  <c r="AZ8" i="3"/>
  <c r="E152" i="3"/>
  <c r="AZ152" i="3" s="1"/>
  <c r="O152" i="3"/>
  <c r="BA152" i="3" s="1"/>
  <c r="Y152" i="3"/>
  <c r="AI152" i="3"/>
  <c r="BC152" i="3" s="1"/>
  <c r="E100" i="3"/>
  <c r="AZ100" i="3" s="1"/>
  <c r="O100" i="3"/>
  <c r="BA100" i="3" s="1"/>
  <c r="Y100" i="3"/>
  <c r="BB100" i="3" s="1"/>
  <c r="AI100" i="3"/>
  <c r="BC100" i="3" s="1"/>
  <c r="E151" i="3"/>
  <c r="AZ151" i="3" s="1"/>
  <c r="O151" i="3"/>
  <c r="Y151" i="3"/>
  <c r="BB151" i="3" s="1"/>
  <c r="AI151" i="3"/>
  <c r="BC151" i="3" s="1"/>
  <c r="E99" i="3"/>
  <c r="AZ99" i="3" s="1"/>
  <c r="O99" i="3"/>
  <c r="BA99" i="3" s="1"/>
  <c r="Y99" i="3"/>
  <c r="BB99" i="3" s="1"/>
  <c r="AI99" i="3"/>
  <c r="BC99" i="3" s="1"/>
  <c r="E150" i="3"/>
  <c r="AZ150" i="3" s="1"/>
  <c r="O150" i="3"/>
  <c r="BA150" i="3" s="1"/>
  <c r="Y150" i="3"/>
  <c r="BB150" i="3" s="1"/>
  <c r="AI150" i="3"/>
  <c r="E98" i="3"/>
  <c r="AZ98" i="3" s="1"/>
  <c r="O98" i="3"/>
  <c r="BA98" i="3" s="1"/>
  <c r="Y98" i="3"/>
  <c r="BB98" i="3" s="1"/>
  <c r="AI98" i="3"/>
  <c r="BC98" i="3" s="1"/>
  <c r="E149" i="3"/>
  <c r="AZ149" i="3" s="1"/>
  <c r="O149" i="3"/>
  <c r="Y149" i="3"/>
  <c r="BB149" i="3" s="1"/>
  <c r="AI149" i="3"/>
  <c r="BC149" i="3" s="1"/>
  <c r="E97" i="3"/>
  <c r="AZ97" i="3" s="1"/>
  <c r="O97" i="3"/>
  <c r="Y97" i="3"/>
  <c r="AI97" i="3"/>
  <c r="E148" i="3"/>
  <c r="O148" i="3"/>
  <c r="BA148" i="3" s="1"/>
  <c r="Y148" i="3"/>
  <c r="BB148" i="3" s="1"/>
  <c r="AI148" i="3"/>
  <c r="BC148" i="3" s="1"/>
  <c r="E96" i="3"/>
  <c r="AZ96" i="3" s="1"/>
  <c r="O96" i="3"/>
  <c r="BA96" i="3" s="1"/>
  <c r="Y96" i="3"/>
  <c r="BB96" i="3" s="1"/>
  <c r="AI96" i="3"/>
  <c r="BC96" i="3" s="1"/>
  <c r="E147" i="3"/>
  <c r="O147" i="3"/>
  <c r="Y147" i="3"/>
  <c r="AI147" i="3"/>
  <c r="E95" i="3"/>
  <c r="O95" i="3"/>
  <c r="Y95" i="3"/>
  <c r="AI95" i="3"/>
  <c r="BC95" i="3" s="1"/>
  <c r="E146" i="3"/>
  <c r="AZ146" i="3" s="1"/>
  <c r="O146" i="3"/>
  <c r="BA146" i="3" s="1"/>
  <c r="Y146" i="3"/>
  <c r="BB146" i="3" s="1"/>
  <c r="AI146" i="3"/>
  <c r="E94" i="3"/>
  <c r="O94" i="3"/>
  <c r="Y94" i="3"/>
  <c r="BB94" i="3" s="1"/>
  <c r="AI94" i="3"/>
  <c r="BC94" i="3" s="1"/>
  <c r="E145" i="3"/>
  <c r="AZ145" i="3" s="1"/>
  <c r="O145" i="3"/>
  <c r="BA145" i="3" s="1"/>
  <c r="Y145" i="3"/>
  <c r="BB145" i="3" s="1"/>
  <c r="AI145" i="3"/>
  <c r="BC145" i="3" s="1"/>
  <c r="E93" i="3"/>
  <c r="AZ93" i="3" s="1"/>
  <c r="O93" i="3"/>
  <c r="BA93" i="3" s="1"/>
  <c r="Y93" i="3"/>
  <c r="BB93" i="3" s="1"/>
  <c r="AI93" i="3"/>
  <c r="BC93" i="3" s="1"/>
  <c r="E144" i="3"/>
  <c r="AZ144" i="3" s="1"/>
  <c r="O144" i="3"/>
  <c r="BA144" i="3" s="1"/>
  <c r="Y144" i="3"/>
  <c r="BB144" i="3" s="1"/>
  <c r="AI144" i="3"/>
  <c r="BC144" i="3" s="1"/>
  <c r="E92" i="3"/>
  <c r="AZ92" i="3" s="1"/>
  <c r="O92" i="3"/>
  <c r="BA92" i="3" s="1"/>
  <c r="Y92" i="3"/>
  <c r="AI92" i="3"/>
  <c r="E143" i="3"/>
  <c r="AZ143" i="3" s="1"/>
  <c r="O143" i="3"/>
  <c r="BA143" i="3" s="1"/>
  <c r="Y143" i="3"/>
  <c r="AI143" i="3"/>
  <c r="E91" i="3"/>
  <c r="AZ91" i="3" s="1"/>
  <c r="O91" i="3"/>
  <c r="Y91" i="3"/>
  <c r="BB91" i="3" s="1"/>
  <c r="AI91" i="3"/>
  <c r="BC91" i="3" s="1"/>
  <c r="O142" i="3"/>
  <c r="BA142" i="3" s="1"/>
  <c r="Y142" i="3"/>
  <c r="BB142" i="3" s="1"/>
  <c r="AI142" i="3"/>
  <c r="BC142" i="3" s="1"/>
  <c r="E90" i="3"/>
  <c r="AZ90" i="3" s="1"/>
  <c r="O90" i="3"/>
  <c r="BA90" i="3" s="1"/>
  <c r="Y90" i="3"/>
  <c r="AI90" i="3"/>
  <c r="E89" i="3"/>
  <c r="AZ89" i="3" s="1"/>
  <c r="O89" i="3"/>
  <c r="Y89" i="3"/>
  <c r="AI89" i="3"/>
  <c r="BC89" i="3" s="1"/>
  <c r="E88" i="3"/>
  <c r="AZ88" i="3" s="1"/>
  <c r="O88" i="3"/>
  <c r="BA88" i="3" s="1"/>
  <c r="Y88" i="3"/>
  <c r="BB88" i="3" s="1"/>
  <c r="AI88" i="3"/>
  <c r="E87" i="3"/>
  <c r="AZ87" i="3" s="1"/>
  <c r="O87" i="3"/>
  <c r="Y87" i="3"/>
  <c r="BB87" i="3" s="1"/>
  <c r="AI87" i="3"/>
  <c r="BC87" i="3" s="1"/>
  <c r="E86" i="3"/>
  <c r="AZ86" i="3" s="1"/>
  <c r="O86" i="3"/>
  <c r="BA86" i="3" s="1"/>
  <c r="Y86" i="3"/>
  <c r="BB86" i="3" s="1"/>
  <c r="AI86" i="3"/>
  <c r="BC86" i="3" s="1"/>
  <c r="E85" i="3"/>
  <c r="AZ85" i="3" s="1"/>
  <c r="O85" i="3"/>
  <c r="Y85" i="3"/>
  <c r="BB85" i="3" s="1"/>
  <c r="AI85" i="3"/>
  <c r="BC85" i="3" s="1"/>
  <c r="O84" i="3"/>
  <c r="E84" i="3"/>
  <c r="Y84" i="3"/>
  <c r="BB84" i="3" s="1"/>
  <c r="AI84" i="3"/>
  <c r="BC84" i="3" s="1"/>
  <c r="BC178" i="3"/>
  <c r="E83" i="3"/>
  <c r="AZ83" i="3" s="1"/>
  <c r="O83" i="3"/>
  <c r="BA83" i="3" s="1"/>
  <c r="Y83" i="3"/>
  <c r="AI83" i="3"/>
  <c r="AR242" i="3"/>
  <c r="AQ242" i="3"/>
  <c r="AP242" i="3"/>
  <c r="E82" i="3"/>
  <c r="AZ82" i="3" s="1"/>
  <c r="O82" i="3"/>
  <c r="Y82" i="3"/>
  <c r="AI82" i="3"/>
  <c r="BC82" i="3" s="1"/>
  <c r="AR241" i="3"/>
  <c r="AQ241" i="3"/>
  <c r="AP241" i="3"/>
  <c r="E81" i="3"/>
  <c r="O81" i="3"/>
  <c r="BA81" i="3" s="1"/>
  <c r="Y81" i="3"/>
  <c r="BB81" i="3" s="1"/>
  <c r="AI81" i="3"/>
  <c r="BC81" i="3" s="1"/>
  <c r="AR240" i="3"/>
  <c r="AQ240" i="3"/>
  <c r="AP240" i="3"/>
  <c r="E80" i="3"/>
  <c r="AZ80" i="3" s="1"/>
  <c r="O80" i="3"/>
  <c r="Y80" i="3"/>
  <c r="BB80" i="3" s="1"/>
  <c r="AI80" i="3"/>
  <c r="BC80" i="3" s="1"/>
  <c r="AP239" i="3"/>
  <c r="AR239" i="3"/>
  <c r="AQ239" i="3"/>
  <c r="E79" i="3"/>
  <c r="AZ79" i="3" s="1"/>
  <c r="O79" i="3"/>
  <c r="BA79" i="3" s="1"/>
  <c r="Y79" i="3"/>
  <c r="BB79" i="3" s="1"/>
  <c r="AI79" i="3"/>
  <c r="AR238" i="3"/>
  <c r="AQ238" i="3"/>
  <c r="AP238" i="3"/>
  <c r="E78" i="3"/>
  <c r="AZ78" i="3" s="1"/>
  <c r="O78" i="3"/>
  <c r="BA78" i="3" s="1"/>
  <c r="Y78" i="3"/>
  <c r="AI78" i="3"/>
  <c r="AR237" i="3"/>
  <c r="AQ237" i="3"/>
  <c r="AP237" i="3"/>
  <c r="E77" i="3"/>
  <c r="O77" i="3"/>
  <c r="BA77" i="3" s="1"/>
  <c r="Y77" i="3"/>
  <c r="BB77" i="3" s="1"/>
  <c r="AI77" i="3"/>
  <c r="BC77" i="3" s="1"/>
  <c r="AR236" i="3"/>
  <c r="AQ236" i="3"/>
  <c r="AP236" i="3"/>
  <c r="E76" i="3"/>
  <c r="O76" i="3"/>
  <c r="Y76" i="3"/>
  <c r="AI76" i="3"/>
  <c r="BC76" i="3" s="1"/>
  <c r="AR235" i="3"/>
  <c r="AQ235" i="3"/>
  <c r="AP235" i="3"/>
  <c r="E75" i="3"/>
  <c r="AZ75" i="3" s="1"/>
  <c r="O75" i="3"/>
  <c r="BA75" i="3" s="1"/>
  <c r="Y75" i="3"/>
  <c r="AI75" i="3"/>
  <c r="AR234" i="3"/>
  <c r="AQ234" i="3"/>
  <c r="AP234" i="3"/>
  <c r="E74" i="3"/>
  <c r="O74" i="3"/>
  <c r="Y74" i="3"/>
  <c r="AI74" i="3"/>
  <c r="BC74" i="3" s="1"/>
  <c r="AR233" i="3"/>
  <c r="AQ233" i="3"/>
  <c r="AP233" i="3"/>
  <c r="E73" i="3"/>
  <c r="AZ73" i="3" s="1"/>
  <c r="O73" i="3"/>
  <c r="Y73" i="3"/>
  <c r="BB73" i="3" s="1"/>
  <c r="AI73" i="3"/>
  <c r="BC73" i="3" s="1"/>
  <c r="AQ232" i="3"/>
  <c r="AR232" i="3"/>
  <c r="AP232" i="3"/>
  <c r="E72" i="3"/>
  <c r="O72" i="3"/>
  <c r="BA72" i="3" s="1"/>
  <c r="Y72" i="3"/>
  <c r="BB72" i="3" s="1"/>
  <c r="AI72" i="3"/>
  <c r="BC72" i="3" s="1"/>
  <c r="AR231" i="3"/>
  <c r="AQ231" i="3"/>
  <c r="AP231" i="3"/>
  <c r="E71" i="3"/>
  <c r="AZ71" i="3" s="1"/>
  <c r="O71" i="3"/>
  <c r="BA71" i="3" s="1"/>
  <c r="Y71" i="3"/>
  <c r="AI71" i="3"/>
  <c r="BC71" i="3" s="1"/>
  <c r="AR230" i="3"/>
  <c r="AQ230" i="3"/>
  <c r="AP230" i="3"/>
  <c r="E70" i="3"/>
  <c r="AZ70" i="3" s="1"/>
  <c r="O70" i="3"/>
  <c r="BA70" i="3" s="1"/>
  <c r="Y70" i="3"/>
  <c r="BB70" i="3" s="1"/>
  <c r="AI70" i="3"/>
  <c r="AR229" i="3"/>
  <c r="AQ229" i="3"/>
  <c r="AP229" i="3"/>
  <c r="E68" i="3"/>
  <c r="O68" i="3"/>
  <c r="Y68" i="3"/>
  <c r="BB68" i="3" s="1"/>
  <c r="AI68" i="3"/>
  <c r="BC68" i="3" s="1"/>
  <c r="E69" i="3"/>
  <c r="O69" i="3"/>
  <c r="BA69" i="3" s="1"/>
  <c r="Y69" i="3"/>
  <c r="AI69" i="3"/>
  <c r="AR228" i="3"/>
  <c r="AQ228" i="3"/>
  <c r="AP228" i="3"/>
  <c r="AR227" i="3"/>
  <c r="AQ227" i="3"/>
  <c r="AP227" i="3"/>
  <c r="E67" i="3"/>
  <c r="O67" i="3"/>
  <c r="Y67" i="3"/>
  <c r="AI67" i="3"/>
  <c r="BC67" i="3" s="1"/>
  <c r="AR226" i="3"/>
  <c r="AQ226" i="3"/>
  <c r="AP226" i="3"/>
  <c r="E66" i="3"/>
  <c r="O66" i="3"/>
  <c r="BA66" i="3" s="1"/>
  <c r="Y66" i="3"/>
  <c r="BB66" i="3" s="1"/>
  <c r="AI66" i="3"/>
  <c r="BC66" i="3" s="1"/>
  <c r="AR225" i="3"/>
  <c r="AQ225" i="3"/>
  <c r="AP225" i="3"/>
  <c r="E65" i="3"/>
  <c r="AZ65" i="3" s="1"/>
  <c r="O65" i="3"/>
  <c r="Y65" i="3"/>
  <c r="BB65" i="3" s="1"/>
  <c r="AI65" i="3"/>
  <c r="BC65" i="3" s="1"/>
  <c r="AR224" i="3"/>
  <c r="AQ224" i="3"/>
  <c r="AP224" i="3"/>
  <c r="E64" i="3"/>
  <c r="AZ64" i="3" s="1"/>
  <c r="O64" i="3"/>
  <c r="Y64" i="3"/>
  <c r="AI64" i="3"/>
  <c r="BC64" i="3" s="1"/>
  <c r="AR223" i="3"/>
  <c r="AQ223" i="3"/>
  <c r="AP223" i="3"/>
  <c r="E63" i="3"/>
  <c r="O63" i="3"/>
  <c r="Y63" i="3"/>
  <c r="BB63" i="3" s="1"/>
  <c r="BG63" i="3" s="1"/>
  <c r="AI63" i="3"/>
  <c r="BC63" i="3" s="1"/>
  <c r="BH63" i="3" s="1"/>
  <c r="AR222" i="3"/>
  <c r="AQ222" i="3"/>
  <c r="AP222" i="3"/>
  <c r="AS62" i="3"/>
  <c r="AR221" i="3"/>
  <c r="AQ221" i="3"/>
  <c r="AP221" i="3"/>
  <c r="E61" i="3"/>
  <c r="AZ61" i="3" s="1"/>
  <c r="O61" i="3"/>
  <c r="BA61" i="3" s="1"/>
  <c r="Y61" i="3"/>
  <c r="BB61" i="3" s="1"/>
  <c r="AI61" i="3"/>
  <c r="AR220" i="3"/>
  <c r="AQ220" i="3"/>
  <c r="AP220" i="3"/>
  <c r="E60" i="3"/>
  <c r="AZ60" i="3" s="1"/>
  <c r="O60" i="3"/>
  <c r="BA60" i="3" s="1"/>
  <c r="Y60" i="3"/>
  <c r="BB60" i="3" s="1"/>
  <c r="AI60" i="3"/>
  <c r="BC60" i="3" s="1"/>
  <c r="AR219" i="3"/>
  <c r="AQ219" i="3"/>
  <c r="AP219" i="3"/>
  <c r="E59" i="3"/>
  <c r="AZ59" i="3" s="1"/>
  <c r="O59" i="3"/>
  <c r="BA59" i="3" s="1"/>
  <c r="Y59" i="3"/>
  <c r="BB59" i="3" s="1"/>
  <c r="AI59" i="3"/>
  <c r="BC59" i="3" s="1"/>
  <c r="AR218" i="3"/>
  <c r="AQ218" i="3"/>
  <c r="AP218" i="3"/>
  <c r="E58" i="3"/>
  <c r="AZ58" i="3" s="1"/>
  <c r="O58" i="3"/>
  <c r="BA58" i="3" s="1"/>
  <c r="Y58" i="3"/>
  <c r="BB58" i="3" s="1"/>
  <c r="AI58" i="3"/>
  <c r="AR217" i="3"/>
  <c r="AQ217" i="3"/>
  <c r="AP217" i="3"/>
  <c r="E57" i="3"/>
  <c r="AZ57" i="3" s="1"/>
  <c r="O57" i="3"/>
  <c r="BA57" i="3" s="1"/>
  <c r="Y57" i="3"/>
  <c r="BB57" i="3" s="1"/>
  <c r="AI57" i="3"/>
  <c r="BC57" i="3" s="1"/>
  <c r="AR216" i="3"/>
  <c r="AQ216" i="3"/>
  <c r="AP216" i="3"/>
  <c r="E56" i="3"/>
  <c r="AZ56" i="3" s="1"/>
  <c r="O56" i="3"/>
  <c r="BA56" i="3" s="1"/>
  <c r="Y56" i="3"/>
  <c r="BB56" i="3" s="1"/>
  <c r="AI56" i="3"/>
  <c r="BC56" i="3" s="1"/>
  <c r="AR215" i="3"/>
  <c r="AQ215" i="3"/>
  <c r="AP215" i="3"/>
  <c r="E55" i="3"/>
  <c r="AZ55" i="3" s="1"/>
  <c r="O55" i="3"/>
  <c r="BA55" i="3" s="1"/>
  <c r="Y55" i="3"/>
  <c r="BB55" i="3" s="1"/>
  <c r="AI55" i="3"/>
  <c r="BC55" i="3" s="1"/>
  <c r="AR214" i="3"/>
  <c r="AQ214" i="3"/>
  <c r="AP214" i="3"/>
  <c r="E54" i="3"/>
  <c r="AZ54" i="3" s="1"/>
  <c r="O54" i="3"/>
  <c r="BA54" i="3" s="1"/>
  <c r="Y54" i="3"/>
  <c r="BB54" i="3" s="1"/>
  <c r="AI54" i="3"/>
  <c r="BC54" i="3" s="1"/>
  <c r="AR213" i="3"/>
  <c r="AQ213" i="3"/>
  <c r="AP213" i="3"/>
  <c r="E53" i="3"/>
  <c r="O53" i="3"/>
  <c r="BA53" i="3" s="1"/>
  <c r="Y53" i="3"/>
  <c r="AI53" i="3"/>
  <c r="BC53" i="3" s="1"/>
  <c r="AR212" i="3"/>
  <c r="AQ212" i="3"/>
  <c r="AP212" i="3"/>
  <c r="E52" i="3"/>
  <c r="AZ52" i="3" s="1"/>
  <c r="O52" i="3"/>
  <c r="BA52" i="3" s="1"/>
  <c r="Y52" i="3"/>
  <c r="BB52" i="3" s="1"/>
  <c r="AI52" i="3"/>
  <c r="AR211" i="3"/>
  <c r="AQ211" i="3"/>
  <c r="AP211" i="3"/>
  <c r="E51" i="3"/>
  <c r="AZ51" i="3" s="1"/>
  <c r="O51" i="3"/>
  <c r="Y51" i="3"/>
  <c r="AI51" i="3"/>
  <c r="BC51" i="3" s="1"/>
  <c r="AQ210" i="3"/>
  <c r="AR210" i="3"/>
  <c r="AP210" i="3"/>
  <c r="E50" i="3"/>
  <c r="AZ50" i="3" s="1"/>
  <c r="O50" i="3"/>
  <c r="BA50" i="3" s="1"/>
  <c r="Y50" i="3"/>
  <c r="BB50" i="3" s="1"/>
  <c r="AI50" i="3"/>
  <c r="BC50" i="3" s="1"/>
  <c r="AR209" i="3"/>
  <c r="AQ209" i="3"/>
  <c r="AP209" i="3"/>
  <c r="E49" i="3"/>
  <c r="AZ49" i="3" s="1"/>
  <c r="O49" i="3"/>
  <c r="BA49" i="3" s="1"/>
  <c r="Y49" i="3"/>
  <c r="BB49" i="3" s="1"/>
  <c r="AI49" i="3"/>
  <c r="BC49" i="3" s="1"/>
  <c r="AR208" i="3"/>
  <c r="AQ208" i="3"/>
  <c r="AP208" i="3"/>
  <c r="E48" i="3"/>
  <c r="AZ48" i="3" s="1"/>
  <c r="O48" i="3"/>
  <c r="BA48" i="3" s="1"/>
  <c r="Y48" i="3"/>
  <c r="BB48" i="3" s="1"/>
  <c r="AI48" i="3"/>
  <c r="BC48" i="3" s="1"/>
  <c r="AR207" i="3"/>
  <c r="AQ207" i="3"/>
  <c r="AP207" i="3"/>
  <c r="E47" i="3"/>
  <c r="AZ47" i="3" s="1"/>
  <c r="O47" i="3"/>
  <c r="BA47" i="3" s="1"/>
  <c r="Y47" i="3"/>
  <c r="BB47" i="3" s="1"/>
  <c r="AI47" i="3"/>
  <c r="BC47" i="3" s="1"/>
  <c r="AR206" i="3"/>
  <c r="AQ206" i="3"/>
  <c r="AP206" i="3"/>
  <c r="E46" i="3"/>
  <c r="AZ46" i="3" s="1"/>
  <c r="O46" i="3"/>
  <c r="BA46" i="3" s="1"/>
  <c r="Y46" i="3"/>
  <c r="BB46" i="3" s="1"/>
  <c r="AI46" i="3"/>
  <c r="BC46" i="3" s="1"/>
  <c r="AR205" i="3"/>
  <c r="AQ205" i="3"/>
  <c r="AP205" i="3"/>
  <c r="E45" i="3"/>
  <c r="AZ45" i="3" s="1"/>
  <c r="O45" i="3"/>
  <c r="BA45" i="3" s="1"/>
  <c r="Y45" i="3"/>
  <c r="BB45" i="3" s="1"/>
  <c r="AI45" i="3"/>
  <c r="AR204" i="3"/>
  <c r="AQ204" i="3"/>
  <c r="AP204" i="3"/>
  <c r="E44" i="3"/>
  <c r="AZ44" i="3" s="1"/>
  <c r="O44" i="3"/>
  <c r="BA44" i="3" s="1"/>
  <c r="Y44" i="3"/>
  <c r="BB44" i="3" s="1"/>
  <c r="AI44" i="3"/>
  <c r="BC44" i="3" s="1"/>
  <c r="AR203" i="3"/>
  <c r="AQ203" i="3"/>
  <c r="AP203" i="3"/>
  <c r="E43" i="3"/>
  <c r="AZ43" i="3" s="1"/>
  <c r="O43" i="3"/>
  <c r="BA43" i="3" s="1"/>
  <c r="Y43" i="3"/>
  <c r="AI43" i="3"/>
  <c r="BC43" i="3" s="1"/>
  <c r="AQ202" i="3"/>
  <c r="AR202" i="3"/>
  <c r="AP202" i="3"/>
  <c r="E42" i="3"/>
  <c r="AZ42" i="3" s="1"/>
  <c r="O42" i="3"/>
  <c r="BA42" i="3" s="1"/>
  <c r="Y42" i="3"/>
  <c r="BB42" i="3" s="1"/>
  <c r="AI42" i="3"/>
  <c r="BC42" i="3" s="1"/>
  <c r="AR201" i="3"/>
  <c r="AQ201" i="3"/>
  <c r="AP201" i="3"/>
  <c r="E41" i="3"/>
  <c r="AZ41" i="3" s="1"/>
  <c r="O41" i="3"/>
  <c r="BA41" i="3" s="1"/>
  <c r="Y41" i="3"/>
  <c r="BB41" i="3" s="1"/>
  <c r="AI41" i="3"/>
  <c r="BC41" i="3" s="1"/>
  <c r="AR200" i="3"/>
  <c r="AQ200" i="3"/>
  <c r="AP200" i="3"/>
  <c r="E40" i="3"/>
  <c r="O40" i="3"/>
  <c r="BA40" i="3" s="1"/>
  <c r="Y40" i="3"/>
  <c r="BB40" i="3" s="1"/>
  <c r="AI40" i="3"/>
  <c r="AQ199" i="3"/>
  <c r="AR199" i="3"/>
  <c r="AP199" i="3"/>
  <c r="E39" i="3"/>
  <c r="AZ39" i="3" s="1"/>
  <c r="O39" i="3"/>
  <c r="BA39" i="3" s="1"/>
  <c r="Y39" i="3"/>
  <c r="AI39" i="3"/>
  <c r="BC39" i="3" s="1"/>
  <c r="AQ198" i="3"/>
  <c r="AR198" i="3"/>
  <c r="AP198" i="3"/>
  <c r="E38" i="3"/>
  <c r="AZ38" i="3" s="1"/>
  <c r="O38" i="3"/>
  <c r="Y38" i="3"/>
  <c r="BB38" i="3" s="1"/>
  <c r="AI38" i="3"/>
  <c r="BC38" i="3" s="1"/>
  <c r="AR197" i="3"/>
  <c r="AQ197" i="3"/>
  <c r="AP197" i="3"/>
  <c r="E37" i="3"/>
  <c r="O37" i="3"/>
  <c r="BA37" i="3" s="1"/>
  <c r="Y37" i="3"/>
  <c r="AI37" i="3"/>
  <c r="BC37" i="3" s="1"/>
  <c r="AR196" i="3"/>
  <c r="AQ196" i="3"/>
  <c r="AP196" i="3"/>
  <c r="E36" i="3"/>
  <c r="O36" i="3"/>
  <c r="BA36" i="3" s="1"/>
  <c r="Y36" i="3"/>
  <c r="BB36" i="3" s="1"/>
  <c r="AI36" i="3"/>
  <c r="BC36" i="3" s="1"/>
  <c r="AI35" i="3"/>
  <c r="BC35" i="3" s="1"/>
  <c r="AR195" i="3"/>
  <c r="AQ195" i="3"/>
  <c r="AP195" i="3"/>
  <c r="Y35" i="3"/>
  <c r="BB35" i="3" s="1"/>
  <c r="O35" i="3"/>
  <c r="BA35" i="3" s="1"/>
  <c r="E35" i="3"/>
  <c r="AZ35" i="3" s="1"/>
  <c r="AR194" i="3"/>
  <c r="AQ194" i="3"/>
  <c r="AP194" i="3"/>
  <c r="E34" i="3"/>
  <c r="AZ34" i="3" s="1"/>
  <c r="O34" i="3"/>
  <c r="Y34" i="3"/>
  <c r="BB34" i="3" s="1"/>
  <c r="AI34" i="3"/>
  <c r="AR193" i="3"/>
  <c r="AQ193" i="3"/>
  <c r="AP193" i="3"/>
  <c r="E33" i="3"/>
  <c r="AZ33" i="3" s="1"/>
  <c r="O33" i="3"/>
  <c r="BA33" i="3" s="1"/>
  <c r="Y33" i="3"/>
  <c r="BB33" i="3" s="1"/>
  <c r="AI33" i="3"/>
  <c r="BC33" i="3" s="1"/>
  <c r="AR192" i="3"/>
  <c r="AQ192" i="3"/>
  <c r="AP192" i="3"/>
  <c r="E32" i="3"/>
  <c r="O32" i="3"/>
  <c r="BA32" i="3" s="1"/>
  <c r="Y32" i="3"/>
  <c r="BB32" i="3" s="1"/>
  <c r="AI32" i="3"/>
  <c r="BC32" i="3" s="1"/>
  <c r="AR191" i="3"/>
  <c r="AQ191" i="3"/>
  <c r="AP191" i="3"/>
  <c r="E31" i="3"/>
  <c r="AZ31" i="3" s="1"/>
  <c r="O31" i="3"/>
  <c r="Y31" i="3"/>
  <c r="BB31" i="3" s="1"/>
  <c r="AI31" i="3"/>
  <c r="BC31" i="3" s="1"/>
  <c r="AR190" i="3"/>
  <c r="AQ190" i="3"/>
  <c r="AP190" i="3"/>
  <c r="E30" i="3"/>
  <c r="AZ30" i="3" s="1"/>
  <c r="O30" i="3"/>
  <c r="BA30" i="3" s="1"/>
  <c r="Y30" i="3"/>
  <c r="BB30" i="3" s="1"/>
  <c r="AI30" i="3"/>
  <c r="BC30" i="3" s="1"/>
  <c r="AR189" i="3"/>
  <c r="AQ189" i="3"/>
  <c r="AP189" i="3"/>
  <c r="E29" i="3"/>
  <c r="AZ29" i="3" s="1"/>
  <c r="O29" i="3"/>
  <c r="BA29" i="3" s="1"/>
  <c r="Y29" i="3"/>
  <c r="BB29" i="3" s="1"/>
  <c r="AI29" i="3"/>
  <c r="BC29" i="3" s="1"/>
  <c r="AR188" i="3"/>
  <c r="AQ188" i="3"/>
  <c r="AP188" i="3"/>
  <c r="E12" i="3"/>
  <c r="AZ12" i="3" s="1"/>
  <c r="O12" i="3"/>
  <c r="BA12" i="3" s="1"/>
  <c r="Y12" i="3"/>
  <c r="AI12" i="3"/>
  <c r="E13" i="3"/>
  <c r="AZ13" i="3" s="1"/>
  <c r="O13" i="3"/>
  <c r="BA13" i="3" s="1"/>
  <c r="Y13" i="3"/>
  <c r="BB13" i="3" s="1"/>
  <c r="AI13" i="3"/>
  <c r="BC13" i="3" s="1"/>
  <c r="E14" i="3"/>
  <c r="AZ14" i="3" s="1"/>
  <c r="O14" i="3"/>
  <c r="BA14" i="3" s="1"/>
  <c r="Y14" i="3"/>
  <c r="BB14" i="3" s="1"/>
  <c r="AI14" i="3"/>
  <c r="BC14" i="3" s="1"/>
  <c r="E15" i="3"/>
  <c r="AZ15" i="3" s="1"/>
  <c r="O15" i="3"/>
  <c r="BA15" i="3" s="1"/>
  <c r="Y15" i="3"/>
  <c r="BB15" i="3" s="1"/>
  <c r="AI15" i="3"/>
  <c r="BC15" i="3" s="1"/>
  <c r="E16" i="3"/>
  <c r="O16" i="3"/>
  <c r="BA16" i="3" s="1"/>
  <c r="Y16" i="3"/>
  <c r="BB16" i="3" s="1"/>
  <c r="AI16" i="3"/>
  <c r="BC16" i="3" s="1"/>
  <c r="E17" i="3"/>
  <c r="AZ17" i="3" s="1"/>
  <c r="O17" i="3"/>
  <c r="BA17" i="3" s="1"/>
  <c r="Y17" i="3"/>
  <c r="BB17" i="3" s="1"/>
  <c r="AI17" i="3"/>
  <c r="BC17" i="3" s="1"/>
  <c r="E18" i="3"/>
  <c r="O18" i="3"/>
  <c r="BA18" i="3" s="1"/>
  <c r="Y18" i="3"/>
  <c r="BB18" i="3" s="1"/>
  <c r="AI18" i="3"/>
  <c r="BC18" i="3" s="1"/>
  <c r="E19" i="3"/>
  <c r="AZ19" i="3" s="1"/>
  <c r="O19" i="3"/>
  <c r="BA19" i="3" s="1"/>
  <c r="Y19" i="3"/>
  <c r="BB19" i="3" s="1"/>
  <c r="AI19" i="3"/>
  <c r="BC19" i="3" s="1"/>
  <c r="E20" i="3"/>
  <c r="O20" i="3"/>
  <c r="BA20" i="3" s="1"/>
  <c r="Y20" i="3"/>
  <c r="BB20" i="3" s="1"/>
  <c r="AI20" i="3"/>
  <c r="BC20" i="3" s="1"/>
  <c r="E21" i="3"/>
  <c r="AZ21" i="3" s="1"/>
  <c r="O21" i="3"/>
  <c r="BA21" i="3" s="1"/>
  <c r="Y21" i="3"/>
  <c r="BB21" i="3" s="1"/>
  <c r="AI21" i="3"/>
  <c r="BC21" i="3" s="1"/>
  <c r="E22" i="3"/>
  <c r="O22" i="3"/>
  <c r="Y22" i="3"/>
  <c r="BB22" i="3" s="1"/>
  <c r="AI22" i="3"/>
  <c r="BC22" i="3" s="1"/>
  <c r="E23" i="3"/>
  <c r="AZ23" i="3" s="1"/>
  <c r="O23" i="3"/>
  <c r="BA23" i="3" s="1"/>
  <c r="Y23" i="3"/>
  <c r="BB23" i="3" s="1"/>
  <c r="AI23" i="3"/>
  <c r="BC23" i="3" s="1"/>
  <c r="E24" i="3"/>
  <c r="O24" i="3"/>
  <c r="BA24" i="3" s="1"/>
  <c r="Y24" i="3"/>
  <c r="BB24" i="3" s="1"/>
  <c r="AI24" i="3"/>
  <c r="BC24" i="3" s="1"/>
  <c r="E25" i="3"/>
  <c r="AZ25" i="3" s="1"/>
  <c r="O25" i="3"/>
  <c r="BA25" i="3" s="1"/>
  <c r="Y25" i="3"/>
  <c r="BB25" i="3" s="1"/>
  <c r="AI25" i="3"/>
  <c r="BC25" i="3" s="1"/>
  <c r="E26" i="3"/>
  <c r="AZ26" i="3" s="1"/>
  <c r="O26" i="3"/>
  <c r="BA26" i="3" s="1"/>
  <c r="Y26" i="3"/>
  <c r="BB26" i="3" s="1"/>
  <c r="AI26" i="3"/>
  <c r="BC26" i="3" s="1"/>
  <c r="E27" i="3"/>
  <c r="AZ27" i="3" s="1"/>
  <c r="O27" i="3"/>
  <c r="BA27" i="3" s="1"/>
  <c r="Y27" i="3"/>
  <c r="BB27" i="3" s="1"/>
  <c r="AI27" i="3"/>
  <c r="BC27" i="3" s="1"/>
  <c r="E28" i="3"/>
  <c r="AZ28" i="3" s="1"/>
  <c r="O28" i="3"/>
  <c r="BA28" i="3" s="1"/>
  <c r="Y28" i="3"/>
  <c r="BB28" i="3" s="1"/>
  <c r="AI28" i="3"/>
  <c r="BC28" i="3" s="1"/>
  <c r="AZ62" i="3"/>
  <c r="BA62" i="3"/>
  <c r="BB62" i="3"/>
  <c r="BC62" i="3"/>
  <c r="AZ405" i="3"/>
  <c r="BA405" i="3"/>
  <c r="BB405" i="3"/>
  <c r="BC405" i="3"/>
  <c r="BD405" i="3"/>
  <c r="E11" i="3"/>
  <c r="AZ11" i="3" s="1"/>
  <c r="O11" i="3"/>
  <c r="Y11" i="3"/>
  <c r="BB11" i="3" s="1"/>
  <c r="AI11" i="3"/>
  <c r="BC11" i="3" s="1"/>
  <c r="BD8" i="3"/>
  <c r="BC8" i="3"/>
  <c r="BB8" i="3"/>
  <c r="BA8" i="3"/>
  <c r="BD7" i="3"/>
  <c r="BC7" i="3"/>
  <c r="BB7" i="3"/>
  <c r="BA7" i="3"/>
  <c r="AZ7" i="3"/>
  <c r="AR187" i="3"/>
  <c r="AQ187" i="3"/>
  <c r="AP187" i="3"/>
  <c r="AR186" i="3"/>
  <c r="AQ186" i="3"/>
  <c r="AP186" i="3"/>
  <c r="AR185" i="3"/>
  <c r="AQ185" i="3"/>
  <c r="AP185" i="3"/>
  <c r="AR184" i="3"/>
  <c r="AQ184" i="3"/>
  <c r="AP184" i="3"/>
  <c r="AR183" i="3"/>
  <c r="AQ183" i="3"/>
  <c r="AP183" i="3"/>
  <c r="AR182" i="3"/>
  <c r="AQ182" i="3"/>
  <c r="AP182" i="3"/>
  <c r="AR181" i="3"/>
  <c r="AQ181" i="3"/>
  <c r="AP181" i="3"/>
  <c r="AR180" i="3"/>
  <c r="AQ180" i="3"/>
  <c r="AP180" i="3"/>
  <c r="AR179" i="3"/>
  <c r="AQ179" i="3"/>
  <c r="AP179" i="3"/>
  <c r="AR178" i="3"/>
  <c r="AQ178" i="3"/>
  <c r="AP178" i="3"/>
  <c r="AR177" i="3"/>
  <c r="AQ177" i="3"/>
  <c r="AP177" i="3"/>
  <c r="AR176" i="3"/>
  <c r="AQ176" i="3"/>
  <c r="AP176" i="3"/>
  <c r="AR175" i="3"/>
  <c r="AQ175" i="3"/>
  <c r="AP175" i="3"/>
  <c r="AR174" i="3"/>
  <c r="AQ174" i="3"/>
  <c r="AP174" i="3"/>
  <c r="AR173" i="3"/>
  <c r="AQ173" i="3"/>
  <c r="AP173" i="3"/>
  <c r="AR172" i="3"/>
  <c r="AQ172" i="3"/>
  <c r="AP172" i="3"/>
  <c r="AR171" i="3"/>
  <c r="AQ171" i="3"/>
  <c r="AP171" i="3"/>
  <c r="AR170" i="3"/>
  <c r="AQ170" i="3"/>
  <c r="AP170" i="3"/>
  <c r="E10" i="3"/>
  <c r="O10" i="3"/>
  <c r="Y10" i="3"/>
  <c r="AI10" i="3"/>
  <c r="AR169" i="3"/>
  <c r="AQ169" i="3"/>
  <c r="AP169" i="3"/>
  <c r="AR168" i="3"/>
  <c r="AQ168" i="3"/>
  <c r="AP168" i="3"/>
  <c r="AR167" i="3"/>
  <c r="AQ167" i="3"/>
  <c r="AP167" i="3"/>
  <c r="AR166" i="3"/>
  <c r="AQ166" i="3"/>
  <c r="AP166" i="3"/>
  <c r="AR165" i="3"/>
  <c r="AQ165" i="3"/>
  <c r="AP165" i="3"/>
  <c r="AR164" i="3"/>
  <c r="AQ164" i="3"/>
  <c r="AP164" i="3"/>
  <c r="AR163" i="3"/>
  <c r="AQ163" i="3"/>
  <c r="AP163" i="3"/>
  <c r="AR162" i="3"/>
  <c r="AQ162" i="3"/>
  <c r="AP162" i="3"/>
  <c r="AR161" i="3"/>
  <c r="AQ161" i="3"/>
  <c r="AP161" i="3"/>
  <c r="AR160" i="3"/>
  <c r="AQ160" i="3"/>
  <c r="AP160" i="3"/>
  <c r="AR159" i="3"/>
  <c r="AQ159" i="3"/>
  <c r="AP159" i="3"/>
  <c r="AR158" i="3"/>
  <c r="AQ158" i="3"/>
  <c r="AP158" i="3"/>
  <c r="AR157" i="3"/>
  <c r="AQ157" i="3"/>
  <c r="AP157" i="3"/>
  <c r="AR156" i="3"/>
  <c r="AQ156" i="3"/>
  <c r="AP156" i="3"/>
  <c r="AR155" i="3"/>
  <c r="AQ155" i="3"/>
  <c r="AP155" i="3"/>
  <c r="AR154" i="3"/>
  <c r="AQ154" i="3"/>
  <c r="AP154" i="3"/>
  <c r="AR153" i="3"/>
  <c r="AQ153" i="3"/>
  <c r="AP153" i="3"/>
  <c r="AR152" i="3"/>
  <c r="AQ152" i="3"/>
  <c r="AP152" i="3"/>
  <c r="AR151" i="3"/>
  <c r="AQ151" i="3"/>
  <c r="AP151" i="3"/>
  <c r="AR150" i="3"/>
  <c r="AQ150" i="3"/>
  <c r="AP150" i="3"/>
  <c r="AR149" i="3"/>
  <c r="AQ149" i="3"/>
  <c r="AP149" i="3"/>
  <c r="AR148" i="3"/>
  <c r="AQ148" i="3"/>
  <c r="AP148" i="3"/>
  <c r="AR147" i="3"/>
  <c r="AQ147" i="3"/>
  <c r="AP147" i="3"/>
  <c r="AR146" i="3"/>
  <c r="AQ146" i="3"/>
  <c r="AP146" i="3"/>
  <c r="AR145" i="3"/>
  <c r="AQ145" i="3"/>
  <c r="AP145" i="3"/>
  <c r="AR144" i="3"/>
  <c r="AQ144" i="3"/>
  <c r="AP144" i="3"/>
  <c r="AR143" i="3"/>
  <c r="AQ143" i="3"/>
  <c r="AP143" i="3"/>
  <c r="AR142" i="3"/>
  <c r="AQ142" i="3"/>
  <c r="AP142" i="3"/>
  <c r="AR141" i="3"/>
  <c r="AQ141" i="3"/>
  <c r="AP141" i="3"/>
  <c r="AR140" i="3"/>
  <c r="AQ140" i="3"/>
  <c r="AP140" i="3"/>
  <c r="AR139" i="3"/>
  <c r="AQ139" i="3"/>
  <c r="AP139" i="3"/>
  <c r="AR138" i="3"/>
  <c r="AQ138" i="3"/>
  <c r="AP138" i="3"/>
  <c r="AR137" i="3"/>
  <c r="AQ137" i="3"/>
  <c r="AP137" i="3"/>
  <c r="AR136" i="3"/>
  <c r="AQ136" i="3"/>
  <c r="AP136" i="3"/>
  <c r="AR135" i="3"/>
  <c r="AQ135" i="3"/>
  <c r="AP135" i="3"/>
  <c r="AR134" i="3"/>
  <c r="AQ134" i="3"/>
  <c r="AP134" i="3"/>
  <c r="AR133" i="3"/>
  <c r="AQ133" i="3"/>
  <c r="AP133" i="3"/>
  <c r="AR132" i="3"/>
  <c r="AQ132" i="3"/>
  <c r="AP132" i="3"/>
  <c r="AR131" i="3"/>
  <c r="AQ131" i="3"/>
  <c r="AP131" i="3"/>
  <c r="AR130" i="3"/>
  <c r="AQ130" i="3"/>
  <c r="AP130" i="3"/>
  <c r="AR129" i="3"/>
  <c r="AQ129" i="3"/>
  <c r="AP129" i="3"/>
  <c r="AR128" i="3"/>
  <c r="AQ128" i="3"/>
  <c r="AP128" i="3"/>
  <c r="AR127" i="3"/>
  <c r="AQ127" i="3"/>
  <c r="AP127" i="3"/>
  <c r="AR126" i="3"/>
  <c r="AQ126" i="3"/>
  <c r="AP126" i="3"/>
  <c r="AR125" i="3"/>
  <c r="AQ125" i="3"/>
  <c r="AP125" i="3"/>
  <c r="AR124" i="3"/>
  <c r="AQ124" i="3"/>
  <c r="AP124" i="3"/>
  <c r="AR123" i="3"/>
  <c r="AQ123" i="3"/>
  <c r="AP123" i="3"/>
  <c r="AR122" i="3"/>
  <c r="AQ122" i="3"/>
  <c r="AP122" i="3"/>
  <c r="AR121" i="3"/>
  <c r="AQ121" i="3"/>
  <c r="AP121" i="3"/>
  <c r="AR120" i="3"/>
  <c r="AQ120" i="3"/>
  <c r="AP120" i="3"/>
  <c r="AR119" i="3"/>
  <c r="AQ119" i="3"/>
  <c r="AP119" i="3"/>
  <c r="AR118" i="3"/>
  <c r="AQ118" i="3"/>
  <c r="AP118" i="3"/>
  <c r="AR117" i="3"/>
  <c r="AQ117" i="3"/>
  <c r="AP117" i="3"/>
  <c r="AR116" i="3"/>
  <c r="AQ116" i="3"/>
  <c r="AP116" i="3"/>
  <c r="AR115" i="3"/>
  <c r="AQ115" i="3"/>
  <c r="AP115" i="3"/>
  <c r="AR114" i="3"/>
  <c r="AQ114" i="3"/>
  <c r="AP114" i="3"/>
  <c r="AR113" i="3"/>
  <c r="AQ113" i="3"/>
  <c r="AP113" i="3"/>
  <c r="AR112" i="3"/>
  <c r="AQ112" i="3"/>
  <c r="AP112" i="3"/>
  <c r="AR111" i="3"/>
  <c r="AQ111" i="3"/>
  <c r="AP111" i="3"/>
  <c r="AR110" i="3"/>
  <c r="AQ110" i="3"/>
  <c r="AP110" i="3"/>
  <c r="AR109" i="3"/>
  <c r="AQ109" i="3"/>
  <c r="AP109" i="3"/>
  <c r="AR108" i="3"/>
  <c r="AQ108" i="3"/>
  <c r="AP108" i="3"/>
  <c r="AR107" i="3"/>
  <c r="AQ107" i="3"/>
  <c r="AP107" i="3"/>
  <c r="AR106" i="3"/>
  <c r="AQ106" i="3"/>
  <c r="AP106" i="3"/>
  <c r="AR105" i="3"/>
  <c r="AQ105" i="3"/>
  <c r="AP105" i="3"/>
  <c r="AR104" i="3"/>
  <c r="AQ104" i="3"/>
  <c r="AP104" i="3"/>
  <c r="AR103" i="3"/>
  <c r="AQ103" i="3"/>
  <c r="AP103" i="3"/>
  <c r="AR102" i="3"/>
  <c r="AQ102" i="3"/>
  <c r="AP102" i="3"/>
  <c r="AR101" i="3"/>
  <c r="AQ101" i="3"/>
  <c r="AP101" i="3"/>
  <c r="AR100" i="3"/>
  <c r="AQ100" i="3"/>
  <c r="AP100" i="3"/>
  <c r="AR99" i="3"/>
  <c r="AQ99" i="3"/>
  <c r="AP99" i="3"/>
  <c r="AR98" i="3"/>
  <c r="AQ98" i="3"/>
  <c r="AP98" i="3"/>
  <c r="AR97" i="3"/>
  <c r="AQ97" i="3"/>
  <c r="AP97" i="3"/>
  <c r="AR96" i="3"/>
  <c r="AQ96" i="3"/>
  <c r="AP96" i="3"/>
  <c r="AR95" i="3"/>
  <c r="AQ95" i="3"/>
  <c r="AP95" i="3"/>
  <c r="AR94" i="3"/>
  <c r="AQ94" i="3"/>
  <c r="AP94" i="3"/>
  <c r="AR93" i="3"/>
  <c r="AQ93" i="3"/>
  <c r="AP93" i="3"/>
  <c r="AR92" i="3"/>
  <c r="AQ92" i="3"/>
  <c r="AP92" i="3"/>
  <c r="AR91" i="3"/>
  <c r="AQ91" i="3"/>
  <c r="AP91" i="3"/>
  <c r="AR90" i="3"/>
  <c r="AQ90" i="3"/>
  <c r="AP90" i="3"/>
  <c r="AR89" i="3"/>
  <c r="AQ89" i="3"/>
  <c r="AP89" i="3"/>
  <c r="AR88" i="3"/>
  <c r="AQ88" i="3"/>
  <c r="AP88" i="3"/>
  <c r="AR87" i="3"/>
  <c r="AQ87" i="3"/>
  <c r="AP87" i="3"/>
  <c r="AR86" i="3"/>
  <c r="AQ86" i="3"/>
  <c r="AP86" i="3"/>
  <c r="AR85" i="3"/>
  <c r="AQ85" i="3"/>
  <c r="AP85" i="3"/>
  <c r="AR84" i="3"/>
  <c r="AQ84" i="3"/>
  <c r="AP84" i="3"/>
  <c r="AR83" i="3"/>
  <c r="AQ83" i="3"/>
  <c r="AP83" i="3"/>
  <c r="AR82" i="3"/>
  <c r="AQ82" i="3"/>
  <c r="AP82" i="3"/>
  <c r="AR81" i="3"/>
  <c r="AQ81" i="3"/>
  <c r="AP81" i="3"/>
  <c r="AR80" i="3"/>
  <c r="AQ80" i="3"/>
  <c r="AP80" i="3"/>
  <c r="AR79" i="3"/>
  <c r="AQ79" i="3"/>
  <c r="AP79" i="3"/>
  <c r="AR78" i="3"/>
  <c r="AQ78" i="3"/>
  <c r="AP78" i="3"/>
  <c r="AR77" i="3"/>
  <c r="AQ77" i="3"/>
  <c r="AP77" i="3"/>
  <c r="AR76" i="3"/>
  <c r="AQ76" i="3"/>
  <c r="AP76" i="3"/>
  <c r="AR75" i="3"/>
  <c r="AQ75" i="3"/>
  <c r="AP75" i="3"/>
  <c r="AR74" i="3"/>
  <c r="AQ74" i="3"/>
  <c r="AP74" i="3"/>
  <c r="AR73" i="3"/>
  <c r="AQ73" i="3"/>
  <c r="AP73" i="3"/>
  <c r="AR72" i="3"/>
  <c r="AQ72" i="3"/>
  <c r="AP72" i="3"/>
  <c r="AR71" i="3"/>
  <c r="AQ71" i="3"/>
  <c r="AP71" i="3"/>
  <c r="AR70" i="3"/>
  <c r="AQ70" i="3"/>
  <c r="AP70" i="3"/>
  <c r="AR69" i="3"/>
  <c r="AQ69" i="3"/>
  <c r="AP69" i="3"/>
  <c r="AR68" i="3"/>
  <c r="AQ68" i="3"/>
  <c r="AP68" i="3"/>
  <c r="AR67" i="3"/>
  <c r="AQ67" i="3"/>
  <c r="AP67" i="3"/>
  <c r="AR66" i="3"/>
  <c r="AQ66" i="3"/>
  <c r="AP66" i="3"/>
  <c r="AR65" i="3"/>
  <c r="AQ65" i="3"/>
  <c r="AP65" i="3"/>
  <c r="AR64" i="3"/>
  <c r="AQ64" i="3"/>
  <c r="AP64" i="3"/>
  <c r="AR63" i="3"/>
  <c r="AQ63" i="3"/>
  <c r="AP63" i="3"/>
  <c r="AR62" i="3"/>
  <c r="AQ62" i="3"/>
  <c r="AP62" i="3"/>
  <c r="AR61" i="3"/>
  <c r="AQ61" i="3"/>
  <c r="AP61" i="3"/>
  <c r="AR60" i="3"/>
  <c r="AQ60" i="3"/>
  <c r="AP60" i="3"/>
  <c r="AR59" i="3"/>
  <c r="AQ59" i="3"/>
  <c r="AP59" i="3"/>
  <c r="AR58" i="3"/>
  <c r="AQ58" i="3"/>
  <c r="AP58" i="3"/>
  <c r="AR57" i="3"/>
  <c r="AQ57" i="3"/>
  <c r="AP57" i="3"/>
  <c r="AR56" i="3"/>
  <c r="AQ56" i="3"/>
  <c r="AP56" i="3"/>
  <c r="AR55" i="3"/>
  <c r="AQ55" i="3"/>
  <c r="AP55" i="3"/>
  <c r="AR54" i="3"/>
  <c r="AQ54" i="3"/>
  <c r="AP54" i="3"/>
  <c r="AR53" i="3"/>
  <c r="AQ53" i="3"/>
  <c r="AP53" i="3"/>
  <c r="AR52" i="3"/>
  <c r="AQ52" i="3"/>
  <c r="AP52" i="3"/>
  <c r="AR51" i="3"/>
  <c r="AQ51" i="3"/>
  <c r="AP51" i="3"/>
  <c r="AR50" i="3"/>
  <c r="AQ50" i="3"/>
  <c r="AP50" i="3"/>
  <c r="AR49" i="3"/>
  <c r="AQ49" i="3"/>
  <c r="AP49" i="3"/>
  <c r="AR48" i="3"/>
  <c r="AQ48" i="3"/>
  <c r="AP48" i="3"/>
  <c r="AR47" i="3"/>
  <c r="AQ47" i="3"/>
  <c r="AP47" i="3"/>
  <c r="AR46" i="3"/>
  <c r="AQ46" i="3"/>
  <c r="AP46" i="3"/>
  <c r="AR45" i="3"/>
  <c r="AQ45" i="3"/>
  <c r="AP45" i="3"/>
  <c r="AR44" i="3"/>
  <c r="AQ44" i="3"/>
  <c r="AP44" i="3"/>
  <c r="AR43" i="3"/>
  <c r="AQ43" i="3"/>
  <c r="AP43" i="3"/>
  <c r="AR42" i="3"/>
  <c r="AQ42" i="3"/>
  <c r="AP42" i="3"/>
  <c r="AR41" i="3"/>
  <c r="AQ41" i="3"/>
  <c r="AP41" i="3"/>
  <c r="AR40" i="3"/>
  <c r="AQ40" i="3"/>
  <c r="AP40" i="3"/>
  <c r="AR39" i="3"/>
  <c r="AQ39" i="3"/>
  <c r="AP39" i="3"/>
  <c r="AR38" i="3"/>
  <c r="AQ38" i="3"/>
  <c r="AP38" i="3"/>
  <c r="AR37" i="3"/>
  <c r="AQ37" i="3"/>
  <c r="AP37" i="3"/>
  <c r="AR36" i="3"/>
  <c r="AQ36" i="3"/>
  <c r="AP36" i="3"/>
  <c r="AR35" i="3"/>
  <c r="AQ35" i="3"/>
  <c r="AP35" i="3"/>
  <c r="AR34" i="3"/>
  <c r="AQ34" i="3"/>
  <c r="AP34" i="3"/>
  <c r="AR33" i="3"/>
  <c r="AQ33" i="3"/>
  <c r="AP33" i="3"/>
  <c r="AR32" i="3"/>
  <c r="AQ32" i="3"/>
  <c r="AP32" i="3"/>
  <c r="AR31" i="3"/>
  <c r="AQ31" i="3"/>
  <c r="AP31" i="3"/>
  <c r="AR30" i="3"/>
  <c r="AQ30" i="3"/>
  <c r="AP30" i="3"/>
  <c r="AR29" i="3"/>
  <c r="AQ29" i="3"/>
  <c r="AP29" i="3"/>
  <c r="AR28" i="3"/>
  <c r="AQ28" i="3"/>
  <c r="AP28" i="3"/>
  <c r="AR27" i="3"/>
  <c r="AQ27" i="3"/>
  <c r="AP27" i="3"/>
  <c r="AR26" i="3"/>
  <c r="AQ26" i="3"/>
  <c r="AP26" i="3"/>
  <c r="AR25" i="3"/>
  <c r="AQ25" i="3"/>
  <c r="AP25" i="3"/>
  <c r="AR24" i="3"/>
  <c r="AQ24" i="3"/>
  <c r="AP24" i="3"/>
  <c r="AR23" i="3"/>
  <c r="AQ23" i="3"/>
  <c r="AP23" i="3"/>
  <c r="AR22" i="3"/>
  <c r="AQ22" i="3"/>
  <c r="AP22" i="3"/>
  <c r="AR21" i="3"/>
  <c r="AQ21" i="3"/>
  <c r="AP21" i="3"/>
  <c r="AR20" i="3"/>
  <c r="AQ20" i="3"/>
  <c r="AP20" i="3"/>
  <c r="AR19" i="3"/>
  <c r="AQ19" i="3"/>
  <c r="AP19" i="3"/>
  <c r="AR18" i="3"/>
  <c r="AQ18" i="3"/>
  <c r="AP18" i="3"/>
  <c r="AR17" i="3"/>
  <c r="AQ17" i="3"/>
  <c r="AP17" i="3"/>
  <c r="AR16" i="3"/>
  <c r="AQ16" i="3"/>
  <c r="AP16" i="3"/>
  <c r="AR15" i="3"/>
  <c r="AQ15" i="3"/>
  <c r="AP15" i="3"/>
  <c r="AR14" i="3"/>
  <c r="AQ14" i="3"/>
  <c r="AP14" i="3"/>
  <c r="AR13" i="3"/>
  <c r="AQ13" i="3"/>
  <c r="AP13" i="3"/>
  <c r="AR12" i="3"/>
  <c r="AQ12" i="3"/>
  <c r="AP12" i="3"/>
  <c r="AR11" i="3"/>
  <c r="AQ11" i="3"/>
  <c r="AP11" i="3"/>
  <c r="AR10" i="3"/>
  <c r="AQ10" i="3"/>
  <c r="AP10" i="3"/>
  <c r="H320" i="3" l="1"/>
  <c r="R306" i="3"/>
  <c r="AL319" i="3"/>
  <c r="AL311" i="3"/>
  <c r="AL230" i="3"/>
  <c r="R302" i="3"/>
  <c r="R310" i="3"/>
  <c r="AL227" i="3"/>
  <c r="R314" i="3"/>
  <c r="AB323" i="3"/>
  <c r="H169" i="3"/>
  <c r="AL198" i="3"/>
  <c r="AL202" i="3"/>
  <c r="AL194" i="3"/>
  <c r="H314" i="3"/>
  <c r="AL180" i="3"/>
  <c r="R182" i="3"/>
  <c r="H313" i="3"/>
  <c r="R322" i="3"/>
  <c r="H174" i="3"/>
  <c r="AL175" i="3"/>
  <c r="AB176" i="3"/>
  <c r="AB324" i="3"/>
  <c r="AS306" i="3"/>
  <c r="BD306" i="3" s="1"/>
  <c r="AS299" i="3"/>
  <c r="BD299" i="3" s="1"/>
  <c r="AL323" i="3"/>
  <c r="AB299" i="3"/>
  <c r="AL303" i="3"/>
  <c r="AL305" i="3"/>
  <c r="R316" i="3"/>
  <c r="AL321" i="3"/>
  <c r="AB300" i="3"/>
  <c r="BC194" i="3"/>
  <c r="AB192" i="3"/>
  <c r="AB222" i="3"/>
  <c r="AL200" i="3"/>
  <c r="BA130" i="3"/>
  <c r="H228" i="3"/>
  <c r="AB208" i="3"/>
  <c r="R210" i="3"/>
  <c r="R212" i="3"/>
  <c r="R213" i="3"/>
  <c r="R214" i="3"/>
  <c r="H167" i="3"/>
  <c r="AJ235" i="3"/>
  <c r="H323" i="3"/>
  <c r="AB302" i="3"/>
  <c r="AB181" i="3"/>
  <c r="H187" i="3"/>
  <c r="F282" i="3"/>
  <c r="F287" i="3"/>
  <c r="F290" i="3"/>
  <c r="H306" i="3"/>
  <c r="R323" i="3"/>
  <c r="AL236" i="3"/>
  <c r="AB319" i="3"/>
  <c r="BC128" i="3"/>
  <c r="AB213" i="3"/>
  <c r="BB114" i="3"/>
  <c r="H322" i="3"/>
  <c r="AB310" i="3"/>
  <c r="H321" i="3"/>
  <c r="AB201" i="3"/>
  <c r="BC306" i="3"/>
  <c r="AL176" i="3"/>
  <c r="AB177" i="3"/>
  <c r="R230" i="3"/>
  <c r="H233" i="3"/>
  <c r="H229" i="3"/>
  <c r="AL308" i="3"/>
  <c r="AL316" i="3"/>
  <c r="AL324" i="3"/>
  <c r="H312" i="3"/>
  <c r="AB270" i="3"/>
  <c r="BA212" i="3"/>
  <c r="AB209" i="3"/>
  <c r="R307" i="3"/>
  <c r="R297" i="3"/>
  <c r="AB179" i="3"/>
  <c r="R176" i="3"/>
  <c r="AL178" i="3"/>
  <c r="H181" i="3"/>
  <c r="AL182" i="3"/>
  <c r="F308" i="3"/>
  <c r="H177" i="3"/>
  <c r="BC345" i="3"/>
  <c r="H315" i="3"/>
  <c r="H307" i="3"/>
  <c r="H299" i="3"/>
  <c r="R171" i="3"/>
  <c r="H184" i="3"/>
  <c r="R187" i="3"/>
  <c r="R223" i="3"/>
  <c r="AB365" i="3"/>
  <c r="AL300" i="3"/>
  <c r="AL201" i="3"/>
  <c r="AB248" i="3"/>
  <c r="F219" i="3"/>
  <c r="H172" i="3"/>
  <c r="AL280" i="3"/>
  <c r="AJ292" i="3"/>
  <c r="AS307" i="3"/>
  <c r="BD307" i="3" s="1"/>
  <c r="AB308" i="3"/>
  <c r="AL196" i="3"/>
  <c r="R318" i="3"/>
  <c r="AS315" i="3"/>
  <c r="BD315" i="3" s="1"/>
  <c r="BB209" i="3"/>
  <c r="BA214" i="3"/>
  <c r="R250" i="3"/>
  <c r="R205" i="3"/>
  <c r="R252" i="3"/>
  <c r="H301" i="3"/>
  <c r="R169" i="3"/>
  <c r="AJ226" i="3"/>
  <c r="AL224" i="3"/>
  <c r="H202" i="3"/>
  <c r="H252" i="3"/>
  <c r="H198" i="3"/>
  <c r="H316" i="3"/>
  <c r="H308" i="3"/>
  <c r="H300" i="3"/>
  <c r="AL222" i="3"/>
  <c r="AB172" i="3"/>
  <c r="AL234" i="3"/>
  <c r="AL243" i="3"/>
  <c r="BA297" i="3"/>
  <c r="H324" i="3"/>
  <c r="AL190" i="3"/>
  <c r="AZ114" i="3"/>
  <c r="H243" i="3"/>
  <c r="AB303" i="3"/>
  <c r="AB203" i="3"/>
  <c r="H270" i="3"/>
  <c r="AL240" i="3"/>
  <c r="AL272" i="3"/>
  <c r="R237" i="3"/>
  <c r="R227" i="3"/>
  <c r="R304" i="3"/>
  <c r="R312" i="3"/>
  <c r="R320" i="3"/>
  <c r="AJ325" i="3"/>
  <c r="AL315" i="3"/>
  <c r="AL185" i="3"/>
  <c r="AL239" i="3"/>
  <c r="AB305" i="3"/>
  <c r="H191" i="3"/>
  <c r="H196" i="3"/>
  <c r="AS308" i="3"/>
  <c r="BD308" i="3" s="1"/>
  <c r="AS305" i="3"/>
  <c r="BD305" i="3" s="1"/>
  <c r="AZ132" i="3"/>
  <c r="R196" i="3"/>
  <c r="R200" i="3"/>
  <c r="AL212" i="3"/>
  <c r="AZ202" i="3"/>
  <c r="AL220" i="3"/>
  <c r="AL306" i="3"/>
  <c r="AS309" i="3"/>
  <c r="BD309" i="3" s="1"/>
  <c r="AL171" i="3"/>
  <c r="AZ129" i="3"/>
  <c r="H225" i="3"/>
  <c r="AB304" i="3"/>
  <c r="R178" i="3"/>
  <c r="R194" i="3"/>
  <c r="AB312" i="3"/>
  <c r="AL169" i="3"/>
  <c r="Z22" i="3"/>
  <c r="BA200" i="3"/>
  <c r="AZ198" i="3"/>
  <c r="H208" i="3"/>
  <c r="R282" i="3"/>
  <c r="AB169" i="3"/>
  <c r="BA135" i="3"/>
  <c r="AL210" i="3"/>
  <c r="AL246" i="3"/>
  <c r="AB317" i="3"/>
  <c r="R301" i="3"/>
  <c r="AL186" i="3"/>
  <c r="R202" i="3"/>
  <c r="AL213" i="3"/>
  <c r="BC191" i="3"/>
  <c r="H219" i="3"/>
  <c r="R303" i="3"/>
  <c r="R309" i="3"/>
  <c r="H185" i="3"/>
  <c r="AZ200" i="3"/>
  <c r="R208" i="3"/>
  <c r="H212" i="3"/>
  <c r="H277" i="3"/>
  <c r="AL301" i="3"/>
  <c r="R198" i="3"/>
  <c r="AB254" i="3"/>
  <c r="AB200" i="3"/>
  <c r="AB198" i="3"/>
  <c r="AB194" i="3"/>
  <c r="AB173" i="3"/>
  <c r="AB180" i="3"/>
  <c r="H186" i="3"/>
  <c r="R189" i="3"/>
  <c r="AL191" i="3"/>
  <c r="AB221" i="3"/>
  <c r="AS304" i="3"/>
  <c r="BD304" i="3" s="1"/>
  <c r="AS312" i="3"/>
  <c r="BD312" i="3" s="1"/>
  <c r="AB314" i="3"/>
  <c r="AB322" i="3"/>
  <c r="AB240" i="3"/>
  <c r="BA178" i="3"/>
  <c r="R219" i="3"/>
  <c r="R273" i="3"/>
  <c r="AB321" i="3"/>
  <c r="AL318" i="3"/>
  <c r="AB313" i="3"/>
  <c r="AL310" i="3"/>
  <c r="AL197" i="3"/>
  <c r="AB202" i="3"/>
  <c r="AL209" i="3"/>
  <c r="H210" i="3"/>
  <c r="H214" i="3"/>
  <c r="BA210" i="3"/>
  <c r="AZ212" i="3"/>
  <c r="AL297" i="3"/>
  <c r="BC363" i="3"/>
  <c r="BB208" i="3"/>
  <c r="AS321" i="3"/>
  <c r="BD321" i="3" s="1"/>
  <c r="AS313" i="3"/>
  <c r="BD313" i="3" s="1"/>
  <c r="AZ120" i="3"/>
  <c r="R321" i="3"/>
  <c r="AS318" i="3"/>
  <c r="BD318" i="3" s="1"/>
  <c r="AZ134" i="3"/>
  <c r="BB125" i="3"/>
  <c r="P105" i="3"/>
  <c r="AL309" i="3"/>
  <c r="AS317" i="3"/>
  <c r="BD317" i="3" s="1"/>
  <c r="AL312" i="3"/>
  <c r="F321" i="3"/>
  <c r="AS302" i="3"/>
  <c r="BD302" i="3" s="1"/>
  <c r="AB168" i="3"/>
  <c r="BC150" i="3"/>
  <c r="BC139" i="3"/>
  <c r="AB191" i="3"/>
  <c r="AL203" i="3"/>
  <c r="H204" i="3"/>
  <c r="AB211" i="3"/>
  <c r="R215" i="3"/>
  <c r="AB216" i="3"/>
  <c r="R217" i="3"/>
  <c r="BB203" i="3"/>
  <c r="AL238" i="3"/>
  <c r="BB176" i="3"/>
  <c r="Z284" i="3"/>
  <c r="Z286" i="3"/>
  <c r="R181" i="3"/>
  <c r="H319" i="3"/>
  <c r="AL187" i="3"/>
  <c r="BB140" i="3"/>
  <c r="AS310" i="3"/>
  <c r="BD310" i="3" s="1"/>
  <c r="AL302" i="3"/>
  <c r="H170" i="3"/>
  <c r="AZ122" i="3"/>
  <c r="BA208" i="3"/>
  <c r="BC188" i="3"/>
  <c r="BC172" i="3"/>
  <c r="R233" i="3"/>
  <c r="AJ280" i="3"/>
  <c r="AJ290" i="3"/>
  <c r="AL320" i="3"/>
  <c r="AS314" i="3"/>
  <c r="R305" i="3"/>
  <c r="AB187" i="3"/>
  <c r="BA161" i="3"/>
  <c r="AL205" i="3"/>
  <c r="BB202" i="3"/>
  <c r="AB226" i="3"/>
  <c r="AJ248" i="3"/>
  <c r="AB261" i="3"/>
  <c r="P109" i="3"/>
  <c r="AB278" i="3"/>
  <c r="AB280" i="3"/>
  <c r="R229" i="3"/>
  <c r="A540" i="3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H311" i="3"/>
  <c r="AB196" i="3"/>
  <c r="BA137" i="3"/>
  <c r="Z203" i="3"/>
  <c r="AJ284" i="3"/>
  <c r="R317" i="3"/>
  <c r="AZ345" i="3"/>
  <c r="AB306" i="3"/>
  <c r="AB227" i="3"/>
  <c r="Z201" i="3"/>
  <c r="Z202" i="3"/>
  <c r="AB205" i="3"/>
  <c r="H205" i="3"/>
  <c r="F254" i="3"/>
  <c r="BF116" i="3"/>
  <c r="BF117" i="3" s="1"/>
  <c r="BF118" i="3" s="1"/>
  <c r="BF119" i="3" s="1"/>
  <c r="BF120" i="3" s="1"/>
  <c r="BF121" i="3" s="1"/>
  <c r="AL172" i="3"/>
  <c r="R172" i="3"/>
  <c r="H173" i="3"/>
  <c r="H237" i="3"/>
  <c r="H221" i="3"/>
  <c r="F303" i="3"/>
  <c r="P305" i="3"/>
  <c r="AZ261" i="3"/>
  <c r="H261" i="3"/>
  <c r="BB255" i="3"/>
  <c r="Z258" i="3"/>
  <c r="BB247" i="3"/>
  <c r="Z250" i="3"/>
  <c r="AJ264" i="3"/>
  <c r="BC248" i="3"/>
  <c r="AL248" i="3"/>
  <c r="BA169" i="3"/>
  <c r="R221" i="3"/>
  <c r="BA170" i="3"/>
  <c r="R222" i="3"/>
  <c r="BC174" i="3"/>
  <c r="AL226" i="3"/>
  <c r="BA267" i="3"/>
  <c r="R267" i="3"/>
  <c r="R319" i="3"/>
  <c r="AL317" i="3"/>
  <c r="AL313" i="3"/>
  <c r="R311" i="3"/>
  <c r="AB309" i="3"/>
  <c r="H309" i="3"/>
  <c r="AB307" i="3"/>
  <c r="H305" i="3"/>
  <c r="AB301" i="3"/>
  <c r="R299" i="3"/>
  <c r="R167" i="3"/>
  <c r="R168" i="3"/>
  <c r="AL168" i="3"/>
  <c r="R170" i="3"/>
  <c r="H171" i="3"/>
  <c r="AB171" i="3"/>
  <c r="R177" i="3"/>
  <c r="AL177" i="3"/>
  <c r="H178" i="3"/>
  <c r="AJ26" i="3"/>
  <c r="AJ28" i="3"/>
  <c r="AJ29" i="3"/>
  <c r="AJ31" i="3"/>
  <c r="BC114" i="3"/>
  <c r="BA105" i="3"/>
  <c r="AL218" i="3"/>
  <c r="H223" i="3"/>
  <c r="BA167" i="3"/>
  <c r="BF167" i="3" s="1"/>
  <c r="BF168" i="3" s="1"/>
  <c r="AS88" i="3"/>
  <c r="BD88" i="3" s="1"/>
  <c r="AB257" i="3"/>
  <c r="R259" i="3"/>
  <c r="BA207" i="3"/>
  <c r="AL257" i="3"/>
  <c r="R257" i="3"/>
  <c r="BA205" i="3"/>
  <c r="AL254" i="3"/>
  <c r="Z207" i="3"/>
  <c r="BB204" i="3"/>
  <c r="P269" i="3"/>
  <c r="BA189" i="3"/>
  <c r="R241" i="3"/>
  <c r="AL245" i="3"/>
  <c r="BC193" i="3"/>
  <c r="AB234" i="3"/>
  <c r="BB231" i="3"/>
  <c r="AB231" i="3"/>
  <c r="BB228" i="3"/>
  <c r="AB228" i="3"/>
  <c r="BB224" i="3"/>
  <c r="AB224" i="3"/>
  <c r="BB220" i="3"/>
  <c r="AB220" i="3"/>
  <c r="AJ244" i="3"/>
  <c r="AJ246" i="3"/>
  <c r="AJ68" i="3"/>
  <c r="R308" i="3"/>
  <c r="F315" i="3"/>
  <c r="AS12" i="3"/>
  <c r="BD12" i="3" s="1"/>
  <c r="F47" i="3"/>
  <c r="Z206" i="3"/>
  <c r="R266" i="3"/>
  <c r="AB267" i="3"/>
  <c r="Z272" i="3"/>
  <c r="H234" i="3"/>
  <c r="P312" i="3"/>
  <c r="BC10" i="3"/>
  <c r="BH10" i="3" s="1"/>
  <c r="BH11" i="3" s="1"/>
  <c r="AL62" i="3"/>
  <c r="BA10" i="3"/>
  <c r="BF10" i="3" s="1"/>
  <c r="R62" i="3"/>
  <c r="BH64" i="3"/>
  <c r="BH65" i="3" s="1"/>
  <c r="BH66" i="3" s="1"/>
  <c r="BH67" i="3" s="1"/>
  <c r="BH68" i="3" s="1"/>
  <c r="BD62" i="3"/>
  <c r="AL63" i="3"/>
  <c r="R63" i="3"/>
  <c r="BB64" i="3"/>
  <c r="BG64" i="3" s="1"/>
  <c r="BG65" i="3" s="1"/>
  <c r="BG66" i="3" s="1"/>
  <c r="AB64" i="3"/>
  <c r="H64" i="3"/>
  <c r="AB65" i="3"/>
  <c r="H65" i="3"/>
  <c r="AB66" i="3"/>
  <c r="AZ66" i="3"/>
  <c r="H66" i="3"/>
  <c r="AL67" i="3"/>
  <c r="BA67" i="3"/>
  <c r="R67" i="3"/>
  <c r="BB69" i="3"/>
  <c r="AB69" i="3"/>
  <c r="AZ69" i="3"/>
  <c r="H69" i="3"/>
  <c r="AB68" i="3"/>
  <c r="AZ68" i="3"/>
  <c r="H68" i="3"/>
  <c r="BC70" i="3"/>
  <c r="AL70" i="3"/>
  <c r="R70" i="3"/>
  <c r="AB71" i="3"/>
  <c r="H71" i="3"/>
  <c r="AB72" i="3"/>
  <c r="AZ72" i="3"/>
  <c r="H72" i="3"/>
  <c r="AL73" i="3"/>
  <c r="BA73" i="3"/>
  <c r="R73" i="3"/>
  <c r="BB74" i="3"/>
  <c r="AB74" i="3"/>
  <c r="AZ74" i="3"/>
  <c r="H74" i="3"/>
  <c r="BC75" i="3"/>
  <c r="AL75" i="3"/>
  <c r="R75" i="3"/>
  <c r="AB76" i="3"/>
  <c r="F79" i="3"/>
  <c r="H76" i="3"/>
  <c r="AB77" i="3"/>
  <c r="AZ77" i="3"/>
  <c r="H77" i="3"/>
  <c r="BC78" i="3"/>
  <c r="AL78" i="3"/>
  <c r="R78" i="3"/>
  <c r="BC79" i="3"/>
  <c r="AL79" i="3"/>
  <c r="R79" i="3"/>
  <c r="AL80" i="3"/>
  <c r="BA80" i="3"/>
  <c r="R80" i="3"/>
  <c r="AB81" i="3"/>
  <c r="AZ81" i="3"/>
  <c r="H81" i="3"/>
  <c r="BB82" i="3"/>
  <c r="AB82" i="3"/>
  <c r="H82" i="3"/>
  <c r="BC83" i="3"/>
  <c r="AL83" i="3"/>
  <c r="R83" i="3"/>
  <c r="AL84" i="3"/>
  <c r="R84" i="3"/>
  <c r="AB85" i="3"/>
  <c r="H85" i="3"/>
  <c r="AL86" i="3"/>
  <c r="R86" i="3"/>
  <c r="AL87" i="3"/>
  <c r="R87" i="3"/>
  <c r="AB88" i="3"/>
  <c r="H88" i="3"/>
  <c r="BA89" i="3"/>
  <c r="R89" i="3"/>
  <c r="AL90" i="3"/>
  <c r="R90" i="3"/>
  <c r="AL142" i="3"/>
  <c r="R142" i="3"/>
  <c r="AB91" i="3"/>
  <c r="H91" i="3"/>
  <c r="AB143" i="3"/>
  <c r="H143" i="3"/>
  <c r="BB92" i="3"/>
  <c r="AB92" i="3"/>
  <c r="H92" i="3"/>
  <c r="AB144" i="3"/>
  <c r="H144" i="3"/>
  <c r="AB93" i="3"/>
  <c r="H93" i="3"/>
  <c r="AB145" i="3"/>
  <c r="H145" i="3"/>
  <c r="AL94" i="3"/>
  <c r="BA94" i="3"/>
  <c r="R94" i="3"/>
  <c r="AL146" i="3"/>
  <c r="R146" i="3"/>
  <c r="AL95" i="3"/>
  <c r="BA95" i="3"/>
  <c r="R95" i="3"/>
  <c r="AL147" i="3"/>
  <c r="BA147" i="3"/>
  <c r="R147" i="3"/>
  <c r="AB96" i="3"/>
  <c r="H96" i="3"/>
  <c r="AB148" i="3"/>
  <c r="H148" i="3"/>
  <c r="BB97" i="3"/>
  <c r="AB97" i="3"/>
  <c r="H97" i="3"/>
  <c r="AB149" i="3"/>
  <c r="H149" i="3"/>
  <c r="AL98" i="3"/>
  <c r="R98" i="3"/>
  <c r="AL150" i="3"/>
  <c r="R150" i="3"/>
  <c r="R99" i="3"/>
  <c r="AL151" i="3"/>
  <c r="BA151" i="3"/>
  <c r="R151" i="3"/>
  <c r="AL100" i="3"/>
  <c r="R100" i="3"/>
  <c r="AL152" i="3"/>
  <c r="R204" i="3"/>
  <c r="R152" i="3"/>
  <c r="AB101" i="3"/>
  <c r="H101" i="3"/>
  <c r="AB153" i="3"/>
  <c r="H153" i="3"/>
  <c r="BC102" i="3"/>
  <c r="AL102" i="3"/>
  <c r="R102" i="3"/>
  <c r="AL154" i="3"/>
  <c r="R206" i="3"/>
  <c r="R154" i="3"/>
  <c r="R103" i="3"/>
  <c r="BC155" i="3"/>
  <c r="AL155" i="3"/>
  <c r="R155" i="3"/>
  <c r="AL104" i="3"/>
  <c r="R104" i="3"/>
  <c r="BC156" i="3"/>
  <c r="AL156" i="3"/>
  <c r="R156" i="3"/>
  <c r="AS205" i="3"/>
  <c r="BD205" i="3" s="1"/>
  <c r="AL105" i="3"/>
  <c r="R105" i="3"/>
  <c r="AL157" i="3"/>
  <c r="R209" i="3"/>
  <c r="R157" i="3"/>
  <c r="AB106" i="3"/>
  <c r="H106" i="3"/>
  <c r="AB158" i="3"/>
  <c r="AZ158" i="3"/>
  <c r="H158" i="3"/>
  <c r="BC107" i="3"/>
  <c r="AL107" i="3"/>
  <c r="R107" i="3"/>
  <c r="AL159" i="3"/>
  <c r="R159" i="3"/>
  <c r="AL108" i="3"/>
  <c r="R108" i="3"/>
  <c r="AL160" i="3"/>
  <c r="R160" i="3"/>
  <c r="R109" i="3"/>
  <c r="AL161" i="3"/>
  <c r="R161" i="3"/>
  <c r="AB110" i="3"/>
  <c r="H110" i="3"/>
  <c r="AB162" i="3"/>
  <c r="H162" i="3"/>
  <c r="R111" i="3"/>
  <c r="AL163" i="3"/>
  <c r="R163" i="3"/>
  <c r="AB112" i="3"/>
  <c r="H112" i="3"/>
  <c r="AB164" i="3"/>
  <c r="H164" i="3"/>
  <c r="AB113" i="3"/>
  <c r="H113" i="3"/>
  <c r="BB165" i="3"/>
  <c r="AB165" i="3"/>
  <c r="H165" i="3"/>
  <c r="P117" i="3"/>
  <c r="R114" i="3"/>
  <c r="AL166" i="3"/>
  <c r="BA166" i="3"/>
  <c r="R166" i="3"/>
  <c r="AL115" i="3"/>
  <c r="R115" i="3"/>
  <c r="AB116" i="3"/>
  <c r="AS117" i="3"/>
  <c r="AL117" i="3"/>
  <c r="R117" i="3"/>
  <c r="AL118" i="3"/>
  <c r="R118" i="3"/>
  <c r="AB119" i="3"/>
  <c r="H119" i="3"/>
  <c r="AL120" i="3"/>
  <c r="R120" i="3"/>
  <c r="AB121" i="3"/>
  <c r="H121" i="3"/>
  <c r="AL122" i="3"/>
  <c r="BA122" i="3"/>
  <c r="R122" i="3"/>
  <c r="BB123" i="3"/>
  <c r="AB123" i="3"/>
  <c r="H123" i="3"/>
  <c r="AL124" i="3"/>
  <c r="P127" i="3"/>
  <c r="R124" i="3"/>
  <c r="R125" i="3"/>
  <c r="Z127" i="3"/>
  <c r="AB126" i="3"/>
  <c r="H126" i="3"/>
  <c r="BC127" i="3"/>
  <c r="AL127" i="3"/>
  <c r="R127" i="3"/>
  <c r="AB128" i="3"/>
  <c r="H128" i="3"/>
  <c r="AL129" i="3"/>
  <c r="R129" i="3"/>
  <c r="AJ181" i="3"/>
  <c r="AB130" i="3"/>
  <c r="H130" i="3"/>
  <c r="AB131" i="3"/>
  <c r="H131" i="3"/>
  <c r="AL184" i="3"/>
  <c r="AL132" i="3"/>
  <c r="R132" i="3"/>
  <c r="AL133" i="3"/>
  <c r="R133" i="3"/>
  <c r="BB134" i="3"/>
  <c r="AB134" i="3"/>
  <c r="H134" i="3"/>
  <c r="AL135" i="3"/>
  <c r="R135" i="3"/>
  <c r="AB136" i="3"/>
  <c r="H136" i="3"/>
  <c r="AB189" i="3"/>
  <c r="AB137" i="3"/>
  <c r="H137" i="3"/>
  <c r="BB141" i="3"/>
  <c r="AB141" i="3"/>
  <c r="AL140" i="3"/>
  <c r="R140" i="3"/>
  <c r="AB139" i="3"/>
  <c r="BC138" i="3"/>
  <c r="AL138" i="3"/>
  <c r="R138" i="3"/>
  <c r="Z194" i="3"/>
  <c r="AB293" i="3"/>
  <c r="AB292" i="3"/>
  <c r="AB290" i="3"/>
  <c r="H290" i="3"/>
  <c r="AB235" i="3"/>
  <c r="AB286" i="3"/>
  <c r="AB285" i="3"/>
  <c r="AB282" i="3"/>
  <c r="AB225" i="3"/>
  <c r="AB274" i="3"/>
  <c r="AJ247" i="3"/>
  <c r="H141" i="3"/>
  <c r="H139" i="3"/>
  <c r="H303" i="3"/>
  <c r="BB10" i="3"/>
  <c r="BG10" i="3" s="1"/>
  <c r="BG11" i="3" s="1"/>
  <c r="AB62" i="3"/>
  <c r="AZ10" i="3"/>
  <c r="BE10" i="3" s="1"/>
  <c r="BE11" i="3" s="1"/>
  <c r="BE12" i="3" s="1"/>
  <c r="BE13" i="3" s="1"/>
  <c r="BE14" i="3" s="1"/>
  <c r="BE15" i="3" s="1"/>
  <c r="H62" i="3"/>
  <c r="BG116" i="3"/>
  <c r="BG117" i="3" s="1"/>
  <c r="AB63" i="3"/>
  <c r="AZ63" i="3"/>
  <c r="BE63" i="3" s="1"/>
  <c r="BE64" i="3" s="1"/>
  <c r="BE65" i="3" s="1"/>
  <c r="H63" i="3"/>
  <c r="AL64" i="3"/>
  <c r="BA64" i="3"/>
  <c r="R64" i="3"/>
  <c r="AL65" i="3"/>
  <c r="R65" i="3"/>
  <c r="AL66" i="3"/>
  <c r="R66" i="3"/>
  <c r="BB67" i="3"/>
  <c r="AB67" i="3"/>
  <c r="AZ67" i="3"/>
  <c r="H67" i="3"/>
  <c r="BC69" i="3"/>
  <c r="AL69" i="3"/>
  <c r="R69" i="3"/>
  <c r="AL68" i="3"/>
  <c r="BA68" i="3"/>
  <c r="R68" i="3"/>
  <c r="AB70" i="3"/>
  <c r="H70" i="3"/>
  <c r="AL71" i="3"/>
  <c r="R71" i="3"/>
  <c r="AL72" i="3"/>
  <c r="R72" i="3"/>
  <c r="AB73" i="3"/>
  <c r="H73" i="3"/>
  <c r="AL74" i="3"/>
  <c r="BA74" i="3"/>
  <c r="R74" i="3"/>
  <c r="BB75" i="3"/>
  <c r="AB75" i="3"/>
  <c r="H75" i="3"/>
  <c r="AL76" i="3"/>
  <c r="BA76" i="3"/>
  <c r="R76" i="3"/>
  <c r="AL77" i="3"/>
  <c r="R77" i="3"/>
  <c r="BB78" i="3"/>
  <c r="AB78" i="3"/>
  <c r="H78" i="3"/>
  <c r="AB79" i="3"/>
  <c r="H79" i="3"/>
  <c r="AB80" i="3"/>
  <c r="H80" i="3"/>
  <c r="R81" i="3"/>
  <c r="AL82" i="3"/>
  <c r="R82" i="3"/>
  <c r="AB83" i="3"/>
  <c r="H83" i="3"/>
  <c r="AB84" i="3"/>
  <c r="H84" i="3"/>
  <c r="AL85" i="3"/>
  <c r="R85" i="3"/>
  <c r="AB86" i="3"/>
  <c r="H86" i="3"/>
  <c r="AB87" i="3"/>
  <c r="H87" i="3"/>
  <c r="AL88" i="3"/>
  <c r="R88" i="3"/>
  <c r="AB89" i="3"/>
  <c r="H89" i="3"/>
  <c r="BB90" i="3"/>
  <c r="AB90" i="3"/>
  <c r="H90" i="3"/>
  <c r="AB142" i="3"/>
  <c r="AL91" i="3"/>
  <c r="BA91" i="3"/>
  <c r="R91" i="3"/>
  <c r="AL195" i="3"/>
  <c r="AL143" i="3"/>
  <c r="R143" i="3"/>
  <c r="BC92" i="3"/>
  <c r="AL92" i="3"/>
  <c r="R92" i="3"/>
  <c r="AL144" i="3"/>
  <c r="R144" i="3"/>
  <c r="AL93" i="3"/>
  <c r="R93" i="3"/>
  <c r="AL145" i="3"/>
  <c r="R145" i="3"/>
  <c r="AB94" i="3"/>
  <c r="AZ94" i="3"/>
  <c r="H94" i="3"/>
  <c r="AB146" i="3"/>
  <c r="H146" i="3"/>
  <c r="BB95" i="3"/>
  <c r="AB95" i="3"/>
  <c r="F98" i="3"/>
  <c r="H95" i="3"/>
  <c r="AB147" i="3"/>
  <c r="AZ147" i="3"/>
  <c r="H147" i="3"/>
  <c r="AL96" i="3"/>
  <c r="R96" i="3"/>
  <c r="AL148" i="3"/>
  <c r="R148" i="3"/>
  <c r="BC97" i="3"/>
  <c r="AL97" i="3"/>
  <c r="R97" i="3"/>
  <c r="AL149" i="3"/>
  <c r="R149" i="3"/>
  <c r="F153" i="3"/>
  <c r="AB98" i="3"/>
  <c r="H98" i="3"/>
  <c r="AB150" i="3"/>
  <c r="H150" i="3"/>
  <c r="AB99" i="3"/>
  <c r="H99" i="3"/>
  <c r="AB151" i="3"/>
  <c r="H151" i="3"/>
  <c r="AB100" i="3"/>
  <c r="H100" i="3"/>
  <c r="AB152" i="3"/>
  <c r="H152" i="3"/>
  <c r="BA101" i="3"/>
  <c r="R101" i="3"/>
  <c r="AL153" i="3"/>
  <c r="R153" i="3"/>
  <c r="AB102" i="3"/>
  <c r="H102" i="3"/>
  <c r="BB154" i="3"/>
  <c r="AB154" i="3"/>
  <c r="H154" i="3"/>
  <c r="AB103" i="3"/>
  <c r="H103" i="3"/>
  <c r="BB155" i="3"/>
  <c r="AB155" i="3"/>
  <c r="H155" i="3"/>
  <c r="AB104" i="3"/>
  <c r="H104" i="3"/>
  <c r="AB156" i="3"/>
  <c r="H156" i="3"/>
  <c r="AB105" i="3"/>
  <c r="H105" i="3"/>
  <c r="AB157" i="3"/>
  <c r="H209" i="3"/>
  <c r="H157" i="3"/>
  <c r="Z209" i="3"/>
  <c r="AL106" i="3"/>
  <c r="R106" i="3"/>
  <c r="AL158" i="3"/>
  <c r="R158" i="3"/>
  <c r="AB107" i="3"/>
  <c r="H107" i="3"/>
  <c r="AB159" i="3"/>
  <c r="H159" i="3"/>
  <c r="AB108" i="3"/>
  <c r="H108" i="3"/>
  <c r="AB160" i="3"/>
  <c r="H160" i="3"/>
  <c r="AB109" i="3"/>
  <c r="H109" i="3"/>
  <c r="AB161" i="3"/>
  <c r="H161" i="3"/>
  <c r="AL110" i="3"/>
  <c r="R110" i="3"/>
  <c r="AL162" i="3"/>
  <c r="R162" i="3"/>
  <c r="AB111" i="3"/>
  <c r="F114" i="3"/>
  <c r="H111" i="3"/>
  <c r="AB163" i="3"/>
  <c r="H163" i="3"/>
  <c r="AL112" i="3"/>
  <c r="R112" i="3"/>
  <c r="AL216" i="3"/>
  <c r="AL164" i="3"/>
  <c r="R164" i="3"/>
  <c r="AB265" i="3"/>
  <c r="AL251" i="3"/>
  <c r="AL113" i="3"/>
  <c r="R113" i="3"/>
  <c r="BC165" i="3"/>
  <c r="AL165" i="3"/>
  <c r="R165" i="3"/>
  <c r="BB166" i="3"/>
  <c r="AB166" i="3"/>
  <c r="H166" i="3"/>
  <c r="Z118" i="3"/>
  <c r="AB115" i="3"/>
  <c r="H115" i="3"/>
  <c r="BC116" i="3"/>
  <c r="BH116" i="3" s="1"/>
  <c r="BH117" i="3" s="1"/>
  <c r="AL116" i="3"/>
  <c r="R116" i="3"/>
  <c r="AZ116" i="3"/>
  <c r="BE116" i="3" s="1"/>
  <c r="BE117" i="3" s="1"/>
  <c r="BE118" i="3" s="1"/>
  <c r="BE119" i="3" s="1"/>
  <c r="H116" i="3"/>
  <c r="AB117" i="3"/>
  <c r="H117" i="3"/>
  <c r="BB118" i="3"/>
  <c r="AB118" i="3"/>
  <c r="H118" i="3"/>
  <c r="AL119" i="3"/>
  <c r="R119" i="3"/>
  <c r="AB120" i="3"/>
  <c r="H120" i="3"/>
  <c r="AL121" i="3"/>
  <c r="R121" i="3"/>
  <c r="AB122" i="3"/>
  <c r="H122" i="3"/>
  <c r="BC123" i="3"/>
  <c r="AL123" i="3"/>
  <c r="R175" i="3"/>
  <c r="R123" i="3"/>
  <c r="AB124" i="3"/>
  <c r="H124" i="3"/>
  <c r="AB125" i="3"/>
  <c r="H125" i="3"/>
  <c r="AL126" i="3"/>
  <c r="R126" i="3"/>
  <c r="AB127" i="3"/>
  <c r="H127" i="3"/>
  <c r="R128" i="3"/>
  <c r="AB129" i="3"/>
  <c r="H129" i="3"/>
  <c r="BC130" i="3"/>
  <c r="AL130" i="3"/>
  <c r="R130" i="3"/>
  <c r="BC131" i="3"/>
  <c r="AL131" i="3"/>
  <c r="R131" i="3"/>
  <c r="AB132" i="3"/>
  <c r="H132" i="3"/>
  <c r="AB185" i="3"/>
  <c r="AB133" i="3"/>
  <c r="H133" i="3"/>
  <c r="AL134" i="3"/>
  <c r="R134" i="3"/>
  <c r="AB135" i="3"/>
  <c r="H135" i="3"/>
  <c r="AL136" i="3"/>
  <c r="BA136" i="3"/>
  <c r="R136" i="3"/>
  <c r="AL137" i="3"/>
  <c r="R137" i="3"/>
  <c r="BC141" i="3"/>
  <c r="AL141" i="3"/>
  <c r="BA141" i="3"/>
  <c r="R141" i="3"/>
  <c r="AB140" i="3"/>
  <c r="R139" i="3"/>
  <c r="BB138" i="3"/>
  <c r="AB138" i="3"/>
  <c r="H138" i="3"/>
  <c r="AJ294" i="3"/>
  <c r="BB230" i="3"/>
  <c r="H194" i="3"/>
  <c r="H142" i="3"/>
  <c r="H140" i="3"/>
  <c r="AW440" i="3"/>
  <c r="AW439" i="3"/>
  <c r="AW438" i="3"/>
  <c r="BC164" i="3"/>
  <c r="AS61" i="3"/>
  <c r="BD61" i="3" s="1"/>
  <c r="AS48" i="3"/>
  <c r="BD48" i="3" s="1"/>
  <c r="AW434" i="3"/>
  <c r="AW433" i="3"/>
  <c r="AW435" i="3"/>
  <c r="AW437" i="3"/>
  <c r="R248" i="3"/>
  <c r="AW432" i="3"/>
  <c r="AW436" i="3"/>
  <c r="AS14" i="3"/>
  <c r="BD14" i="3" s="1"/>
  <c r="P159" i="3"/>
  <c r="P196" i="3"/>
  <c r="P57" i="3"/>
  <c r="F99" i="3"/>
  <c r="Z151" i="3"/>
  <c r="P215" i="3"/>
  <c r="R265" i="3"/>
  <c r="H189" i="3"/>
  <c r="F235" i="3"/>
  <c r="F223" i="3"/>
  <c r="AL296" i="3"/>
  <c r="AS300" i="3"/>
  <c r="BD300" i="3" s="1"/>
  <c r="AB355" i="3"/>
  <c r="BB303" i="3"/>
  <c r="Z313" i="3"/>
  <c r="BB310" i="3"/>
  <c r="AL405" i="3"/>
  <c r="BC353" i="3"/>
  <c r="F17" i="3"/>
  <c r="AB236" i="3"/>
  <c r="AB238" i="3"/>
  <c r="AS84" i="3"/>
  <c r="AS85" i="3"/>
  <c r="R245" i="3"/>
  <c r="AS86" i="3"/>
  <c r="F152" i="3"/>
  <c r="F103" i="3"/>
  <c r="H199" i="3"/>
  <c r="F197" i="3"/>
  <c r="AZ268" i="3"/>
  <c r="H268" i="3"/>
  <c r="H250" i="3"/>
  <c r="AB246" i="3"/>
  <c r="BC264" i="3"/>
  <c r="AJ266" i="3"/>
  <c r="F220" i="3"/>
  <c r="AB284" i="3"/>
  <c r="Z129" i="3"/>
  <c r="Z239" i="3"/>
  <c r="BC296" i="3"/>
  <c r="BA271" i="3"/>
  <c r="BF271" i="3" s="1"/>
  <c r="R271" i="3"/>
  <c r="BC273" i="3"/>
  <c r="AJ276" i="3"/>
  <c r="BC279" i="3"/>
  <c r="AJ282" i="3"/>
  <c r="BA282" i="3"/>
  <c r="P285" i="3"/>
  <c r="BC284" i="3"/>
  <c r="AJ287" i="3"/>
  <c r="BC288" i="3"/>
  <c r="AL288" i="3"/>
  <c r="AJ291" i="3"/>
  <c r="BC290" i="3"/>
  <c r="AJ293" i="3"/>
  <c r="BB234" i="3"/>
  <c r="BB222" i="3"/>
  <c r="AS295" i="3"/>
  <c r="BD295" i="3" s="1"/>
  <c r="H294" i="3"/>
  <c r="F296" i="3"/>
  <c r="AJ302" i="3"/>
  <c r="BA303" i="3"/>
  <c r="P306" i="3"/>
  <c r="H304" i="3"/>
  <c r="AZ304" i="3"/>
  <c r="P313" i="3"/>
  <c r="AS319" i="3"/>
  <c r="BD319" i="3" s="1"/>
  <c r="BB319" i="3"/>
  <c r="R399" i="3"/>
  <c r="BA347" i="3"/>
  <c r="AB417" i="3"/>
  <c r="BB365" i="3"/>
  <c r="F154" i="3"/>
  <c r="Z159" i="3"/>
  <c r="AJ196" i="3"/>
  <c r="AB256" i="3"/>
  <c r="AJ162" i="3"/>
  <c r="Z113" i="3"/>
  <c r="H259" i="3"/>
  <c r="Z259" i="3"/>
  <c r="P195" i="3"/>
  <c r="H271" i="3"/>
  <c r="AL229" i="3"/>
  <c r="AL225" i="3"/>
  <c r="AL223" i="3"/>
  <c r="AS219" i="3"/>
  <c r="BD219" i="3" s="1"/>
  <c r="BI219" i="3" s="1"/>
  <c r="AJ242" i="3"/>
  <c r="H297" i="3"/>
  <c r="P307" i="3"/>
  <c r="AJ307" i="3"/>
  <c r="AJ309" i="3"/>
  <c r="AJ314" i="3"/>
  <c r="AJ319" i="3"/>
  <c r="AB318" i="3"/>
  <c r="AB320" i="3"/>
  <c r="AJ377" i="3"/>
  <c r="AL426" i="3"/>
  <c r="F379" i="3"/>
  <c r="G535" i="3" s="1"/>
  <c r="J535" i="3" s="1"/>
  <c r="H428" i="3"/>
  <c r="AJ150" i="3"/>
  <c r="BC147" i="3"/>
  <c r="F205" i="3"/>
  <c r="AZ203" i="3"/>
  <c r="BA180" i="3"/>
  <c r="R180" i="3"/>
  <c r="AZ183" i="3"/>
  <c r="H235" i="3"/>
  <c r="H183" i="3"/>
  <c r="Z149" i="3"/>
  <c r="BB147" i="3"/>
  <c r="AL215" i="3"/>
  <c r="BC163" i="3"/>
  <c r="F182" i="3"/>
  <c r="H180" i="3"/>
  <c r="AB175" i="3"/>
  <c r="AB199" i="3"/>
  <c r="AB215" i="3"/>
  <c r="BB163" i="3"/>
  <c r="Z266" i="3"/>
  <c r="BB263" i="3"/>
  <c r="BC253" i="3"/>
  <c r="AL253" i="3"/>
  <c r="BA228" i="3"/>
  <c r="R228" i="3"/>
  <c r="R280" i="3"/>
  <c r="AL181" i="3"/>
  <c r="AL199" i="3"/>
  <c r="AB207" i="3"/>
  <c r="AL244" i="3"/>
  <c r="AJ147" i="3"/>
  <c r="AL262" i="3"/>
  <c r="P165" i="3"/>
  <c r="AZ265" i="3"/>
  <c r="H265" i="3"/>
  <c r="P266" i="3"/>
  <c r="BA263" i="3"/>
  <c r="AB262" i="3"/>
  <c r="BB262" i="3"/>
  <c r="AZ234" i="3"/>
  <c r="H286" i="3"/>
  <c r="AZ226" i="3"/>
  <c r="H226" i="3"/>
  <c r="F228" i="3"/>
  <c r="H274" i="3"/>
  <c r="AZ222" i="3"/>
  <c r="BC146" i="3"/>
  <c r="R193" i="3"/>
  <c r="Z58" i="3"/>
  <c r="AZ180" i="3"/>
  <c r="P143" i="3"/>
  <c r="AJ114" i="3"/>
  <c r="AJ112" i="3"/>
  <c r="AZ256" i="3"/>
  <c r="F259" i="3"/>
  <c r="H256" i="3"/>
  <c r="AZ248" i="3"/>
  <c r="F251" i="3"/>
  <c r="H248" i="3"/>
  <c r="BA254" i="3"/>
  <c r="R254" i="3"/>
  <c r="P249" i="3"/>
  <c r="R246" i="3"/>
  <c r="P247" i="3"/>
  <c r="AL268" i="3"/>
  <c r="F116" i="3"/>
  <c r="R239" i="3"/>
  <c r="BA187" i="3"/>
  <c r="BB136" i="3"/>
  <c r="AB188" i="3"/>
  <c r="R296" i="3"/>
  <c r="BC241" i="3"/>
  <c r="AL241" i="3"/>
  <c r="AL237" i="3"/>
  <c r="BC237" i="3"/>
  <c r="BC235" i="3"/>
  <c r="AL235" i="3"/>
  <c r="BC231" i="3"/>
  <c r="AJ233" i="3"/>
  <c r="AM233" i="3" s="1"/>
  <c r="AL231" i="3"/>
  <c r="AJ230" i="3"/>
  <c r="AL273" i="3"/>
  <c r="AL221" i="3"/>
  <c r="BB244" i="3"/>
  <c r="AB244" i="3"/>
  <c r="Z247" i="3"/>
  <c r="AS242" i="3"/>
  <c r="BD242" i="3" s="1"/>
  <c r="R242" i="3"/>
  <c r="H351" i="3"/>
  <c r="AZ299" i="3"/>
  <c r="BA308" i="3"/>
  <c r="P308" i="3"/>
  <c r="H310" i="3"/>
  <c r="BC314" i="3"/>
  <c r="AL314" i="3"/>
  <c r="AL207" i="3"/>
  <c r="AJ210" i="3"/>
  <c r="AZ182" i="3"/>
  <c r="H182" i="3"/>
  <c r="R232" i="3"/>
  <c r="H231" i="3"/>
  <c r="F180" i="3"/>
  <c r="H179" i="3"/>
  <c r="P141" i="3"/>
  <c r="R191" i="3"/>
  <c r="BC373" i="3"/>
  <c r="AL425" i="3"/>
  <c r="AJ21" i="3"/>
  <c r="BC12" i="3"/>
  <c r="AJ15" i="3"/>
  <c r="H197" i="3"/>
  <c r="H203" i="3"/>
  <c r="P62" i="3"/>
  <c r="F113" i="3"/>
  <c r="AZ110" i="3"/>
  <c r="Z133" i="3"/>
  <c r="Z131" i="3"/>
  <c r="AB182" i="3"/>
  <c r="BB130" i="3"/>
  <c r="P236" i="3"/>
  <c r="P237" i="3"/>
  <c r="R234" i="3"/>
  <c r="BA226" i="3"/>
  <c r="R226" i="3"/>
  <c r="BA220" i="3"/>
  <c r="R220" i="3"/>
  <c r="AJ303" i="3"/>
  <c r="BC300" i="3"/>
  <c r="BB12" i="3"/>
  <c r="Z14" i="3"/>
  <c r="AL192" i="3"/>
  <c r="BC162" i="3"/>
  <c r="AL214" i="3"/>
  <c r="BB178" i="3"/>
  <c r="AB178" i="3"/>
  <c r="AL188" i="3"/>
  <c r="BC136" i="3"/>
  <c r="AZ240" i="3"/>
  <c r="H240" i="3"/>
  <c r="F242" i="3"/>
  <c r="AZ230" i="3"/>
  <c r="F232" i="3"/>
  <c r="I232" i="3" s="1"/>
  <c r="H230" i="3"/>
  <c r="AS245" i="3"/>
  <c r="BD245" i="3" s="1"/>
  <c r="H244" i="3"/>
  <c r="H192" i="3"/>
  <c r="AZ192" i="3"/>
  <c r="AB315" i="3"/>
  <c r="H302" i="3"/>
  <c r="AL298" i="3"/>
  <c r="R315" i="3"/>
  <c r="AB311" i="3"/>
  <c r="F16" i="3"/>
  <c r="R174" i="3"/>
  <c r="AL183" i="3"/>
  <c r="AZ111" i="3"/>
  <c r="AB193" i="3"/>
  <c r="AB217" i="3"/>
  <c r="R225" i="3"/>
  <c r="Z73" i="3"/>
  <c r="BB71" i="3"/>
  <c r="AZ179" i="3"/>
  <c r="AS89" i="3"/>
  <c r="F149" i="3"/>
  <c r="Z100" i="3"/>
  <c r="P149" i="3"/>
  <c r="BA149" i="3"/>
  <c r="F112" i="3"/>
  <c r="F111" i="3"/>
  <c r="Z219" i="3"/>
  <c r="Z216" i="3"/>
  <c r="Z218" i="3"/>
  <c r="AZ255" i="3"/>
  <c r="F258" i="3"/>
  <c r="H247" i="3"/>
  <c r="AZ247" i="3"/>
  <c r="P264" i="3"/>
  <c r="R261" i="3"/>
  <c r="R313" i="3"/>
  <c r="BA261" i="3"/>
  <c r="BA253" i="3"/>
  <c r="P256" i="3"/>
  <c r="BB260" i="3"/>
  <c r="AB260" i="3"/>
  <c r="Z253" i="3"/>
  <c r="AL267" i="3"/>
  <c r="BC267" i="3"/>
  <c r="BC259" i="3"/>
  <c r="AL259" i="3"/>
  <c r="AJ252" i="3"/>
  <c r="AL250" i="3"/>
  <c r="BC167" i="3"/>
  <c r="BH167" i="3" s="1"/>
  <c r="BH168" i="3" s="1"/>
  <c r="BH169" i="3" s="1"/>
  <c r="AJ170" i="3"/>
  <c r="AJ225" i="3"/>
  <c r="AL285" i="3"/>
  <c r="H292" i="3"/>
  <c r="F190" i="3"/>
  <c r="H239" i="3"/>
  <c r="AZ187" i="3"/>
  <c r="P244" i="3"/>
  <c r="BB241" i="3"/>
  <c r="AB241" i="3"/>
  <c r="BB239" i="3"/>
  <c r="AB239" i="3"/>
  <c r="Z241" i="3"/>
  <c r="BB237" i="3"/>
  <c r="Z240" i="3"/>
  <c r="AB237" i="3"/>
  <c r="AB281" i="3"/>
  <c r="AB229" i="3"/>
  <c r="Z225" i="3"/>
  <c r="AB223" i="3"/>
  <c r="BB221" i="3"/>
  <c r="Z224" i="3"/>
  <c r="Z222" i="3"/>
  <c r="AB219" i="3"/>
  <c r="AB243" i="3"/>
  <c r="Z246" i="3"/>
  <c r="H242" i="3"/>
  <c r="AZ246" i="3"/>
  <c r="F248" i="3"/>
  <c r="F249" i="3"/>
  <c r="H246" i="3"/>
  <c r="F247" i="3"/>
  <c r="P301" i="3"/>
  <c r="P303" i="3"/>
  <c r="AS311" i="3"/>
  <c r="AJ159" i="3"/>
  <c r="AL208" i="3"/>
  <c r="F203" i="3"/>
  <c r="AZ201" i="3"/>
  <c r="F218" i="3"/>
  <c r="H267" i="3"/>
  <c r="H215" i="3"/>
  <c r="Z125" i="3"/>
  <c r="BB122" i="3"/>
  <c r="AS37" i="3"/>
  <c r="BD37" i="3" s="1"/>
  <c r="AZ37" i="3"/>
  <c r="BC61" i="3"/>
  <c r="AJ63" i="3"/>
  <c r="AJ20" i="3"/>
  <c r="BA154" i="3"/>
  <c r="P158" i="3"/>
  <c r="R207" i="3"/>
  <c r="BA155" i="3"/>
  <c r="AZ266" i="3"/>
  <c r="H318" i="3"/>
  <c r="F269" i="3"/>
  <c r="P259" i="3"/>
  <c r="BA256" i="3"/>
  <c r="R256" i="3"/>
  <c r="BC242" i="3"/>
  <c r="AL294" i="3"/>
  <c r="AL242" i="3"/>
  <c r="H245" i="3"/>
  <c r="AZ193" i="3"/>
  <c r="AZ154" i="3"/>
  <c r="AZ20" i="3"/>
  <c r="AS20" i="3"/>
  <c r="BD20" i="3" s="1"/>
  <c r="AS39" i="3"/>
  <c r="BD39" i="3" s="1"/>
  <c r="H217" i="3"/>
  <c r="F252" i="3"/>
  <c r="H249" i="3"/>
  <c r="H236" i="3"/>
  <c r="AZ236" i="3"/>
  <c r="AZ228" i="3"/>
  <c r="H280" i="3"/>
  <c r="AZ157" i="3"/>
  <c r="AS320" i="3"/>
  <c r="BD320" i="3" s="1"/>
  <c r="H317" i="3"/>
  <c r="AS298" i="3"/>
  <c r="AS301" i="3"/>
  <c r="BD301" i="3" s="1"/>
  <c r="AB298" i="3"/>
  <c r="AB174" i="3"/>
  <c r="Z23" i="3"/>
  <c r="BC112" i="3"/>
  <c r="H190" i="3"/>
  <c r="F67" i="3"/>
  <c r="P248" i="3"/>
  <c r="Z249" i="3"/>
  <c r="AJ256" i="3"/>
  <c r="BC211" i="3"/>
  <c r="AL211" i="3"/>
  <c r="BB246" i="3"/>
  <c r="F178" i="3"/>
  <c r="AZ175" i="3"/>
  <c r="H227" i="3"/>
  <c r="H175" i="3"/>
  <c r="F127" i="3"/>
  <c r="AZ124" i="3"/>
  <c r="H176" i="3"/>
  <c r="Z186" i="3"/>
  <c r="AB183" i="3"/>
  <c r="AB184" i="3"/>
  <c r="BB132" i="3"/>
  <c r="R292" i="3"/>
  <c r="R231" i="3"/>
  <c r="R179" i="3"/>
  <c r="BB370" i="3"/>
  <c r="AB422" i="3"/>
  <c r="H195" i="3"/>
  <c r="Z150" i="3"/>
  <c r="BA22" i="3"/>
  <c r="P24" i="3"/>
  <c r="AZ215" i="3"/>
  <c r="F217" i="3"/>
  <c r="AZ250" i="3"/>
  <c r="F253" i="3"/>
  <c r="BA248" i="3"/>
  <c r="P251" i="3"/>
  <c r="BB254" i="3"/>
  <c r="Z257" i="3"/>
  <c r="BC255" i="3"/>
  <c r="AJ257" i="3"/>
  <c r="BA238" i="3"/>
  <c r="R238" i="3"/>
  <c r="R290" i="3"/>
  <c r="BA224" i="3"/>
  <c r="R224" i="3"/>
  <c r="BA243" i="3"/>
  <c r="R295" i="3"/>
  <c r="BA294" i="3"/>
  <c r="P296" i="3"/>
  <c r="Z319" i="3"/>
  <c r="BB316" i="3"/>
  <c r="AB316" i="3"/>
  <c r="AZ24" i="3"/>
  <c r="F26" i="3"/>
  <c r="H193" i="3"/>
  <c r="BC170" i="3"/>
  <c r="H216" i="3"/>
  <c r="AZ164" i="3"/>
  <c r="P257" i="3"/>
  <c r="AL252" i="3"/>
  <c r="AJ255" i="3"/>
  <c r="AZ168" i="3"/>
  <c r="BE168" i="3" s="1"/>
  <c r="BE169" i="3" s="1"/>
  <c r="BE170" i="3" s="1"/>
  <c r="BE171" i="3" s="1"/>
  <c r="BE172" i="3" s="1"/>
  <c r="H168" i="3"/>
  <c r="R284" i="3"/>
  <c r="R244" i="3"/>
  <c r="R192" i="3"/>
  <c r="BA192" i="3"/>
  <c r="AZ238" i="3"/>
  <c r="H238" i="3"/>
  <c r="AZ232" i="3"/>
  <c r="H232" i="3"/>
  <c r="AZ224" i="3"/>
  <c r="H224" i="3"/>
  <c r="AZ220" i="3"/>
  <c r="BE220" i="3" s="1"/>
  <c r="H220" i="3"/>
  <c r="AS303" i="3"/>
  <c r="R300" i="3"/>
  <c r="AL322" i="3"/>
  <c r="AL307" i="3"/>
  <c r="AS316" i="3"/>
  <c r="BC304" i="3"/>
  <c r="AL299" i="3"/>
  <c r="R298" i="3"/>
  <c r="F13" i="3"/>
  <c r="P16" i="3"/>
  <c r="R173" i="3"/>
  <c r="AL179" i="3"/>
  <c r="BC299" i="3"/>
  <c r="R190" i="3"/>
  <c r="AZ195" i="3"/>
  <c r="H222" i="3"/>
  <c r="R240" i="3"/>
  <c r="AJ93" i="3"/>
  <c r="BC90" i="3"/>
  <c r="F250" i="3"/>
  <c r="BB259" i="3"/>
  <c r="F230" i="3"/>
  <c r="AJ179" i="3"/>
  <c r="BC176" i="3"/>
  <c r="AL228" i="3"/>
  <c r="AL287" i="3"/>
  <c r="AJ238" i="3"/>
  <c r="BA183" i="3"/>
  <c r="R235" i="3"/>
  <c r="R183" i="3"/>
  <c r="BA132" i="3"/>
  <c r="R184" i="3"/>
  <c r="BA186" i="3"/>
  <c r="R186" i="3"/>
  <c r="BA234" i="3"/>
  <c r="AJ41" i="3"/>
  <c r="P72" i="3"/>
  <c r="P263" i="3"/>
  <c r="F125" i="3"/>
  <c r="F188" i="3"/>
  <c r="AJ143" i="3"/>
  <c r="R327" i="3"/>
  <c r="P277" i="3"/>
  <c r="R278" i="3"/>
  <c r="P279" i="3"/>
  <c r="R286" i="3"/>
  <c r="BA288" i="3"/>
  <c r="R288" i="3"/>
  <c r="F90" i="3"/>
  <c r="P94" i="3"/>
  <c r="F151" i="3"/>
  <c r="Z208" i="3"/>
  <c r="AJ199" i="3"/>
  <c r="AJ200" i="3"/>
  <c r="AJ197" i="3"/>
  <c r="AJ198" i="3"/>
  <c r="AL247" i="3"/>
  <c r="BC195" i="3"/>
  <c r="AJ160" i="3"/>
  <c r="P184" i="3"/>
  <c r="BA181" i="3"/>
  <c r="AZ278" i="3"/>
  <c r="H278" i="3"/>
  <c r="H282" i="3"/>
  <c r="H284" i="3"/>
  <c r="H288" i="3"/>
  <c r="H342" i="3"/>
  <c r="AZ290" i="3"/>
  <c r="Z307" i="3"/>
  <c r="AJ13" i="3"/>
  <c r="P52" i="3"/>
  <c r="Z62" i="3"/>
  <c r="Z79" i="3"/>
  <c r="AJ94" i="3"/>
  <c r="AB255" i="3"/>
  <c r="Z205" i="3"/>
  <c r="P123" i="3"/>
  <c r="AJ277" i="3"/>
  <c r="AJ278" i="3"/>
  <c r="AL281" i="3"/>
  <c r="AL283" i="3"/>
  <c r="AJ289" i="3"/>
  <c r="BC287" i="3"/>
  <c r="Z13" i="3"/>
  <c r="AS43" i="3"/>
  <c r="BD43" i="3" s="1"/>
  <c r="AS63" i="3"/>
  <c r="Z89" i="3"/>
  <c r="P205" i="3"/>
  <c r="P204" i="3"/>
  <c r="R195" i="3"/>
  <c r="P197" i="3"/>
  <c r="F115" i="3"/>
  <c r="P220" i="3"/>
  <c r="P174" i="3"/>
  <c r="BA171" i="3"/>
  <c r="F284" i="3"/>
  <c r="F293" i="3"/>
  <c r="AZ284" i="3"/>
  <c r="Z280" i="3"/>
  <c r="AB277" i="3"/>
  <c r="BB272" i="3"/>
  <c r="BG272" i="3" s="1"/>
  <c r="BG273" i="3" s="1"/>
  <c r="Z275" i="3"/>
  <c r="AB272" i="3"/>
  <c r="Z274" i="3"/>
  <c r="BB274" i="3"/>
  <c r="Z277" i="3"/>
  <c r="Z276" i="3"/>
  <c r="BB276" i="3"/>
  <c r="AB276" i="3"/>
  <c r="Z288" i="3"/>
  <c r="BB285" i="3"/>
  <c r="BB287" i="3"/>
  <c r="Z289" i="3"/>
  <c r="AB287" i="3"/>
  <c r="Z292" i="3"/>
  <c r="Z291" i="3"/>
  <c r="Z294" i="3"/>
  <c r="BB291" i="3"/>
  <c r="Z293" i="3"/>
  <c r="Z296" i="3"/>
  <c r="Z84" i="3"/>
  <c r="P91" i="3"/>
  <c r="Z146" i="3"/>
  <c r="P100" i="3"/>
  <c r="F100" i="3"/>
  <c r="AJ203" i="3"/>
  <c r="H213" i="3"/>
  <c r="AS165" i="3"/>
  <c r="R185" i="3"/>
  <c r="AS140" i="3"/>
  <c r="AJ102" i="3"/>
  <c r="AL265" i="3"/>
  <c r="AJ272" i="3"/>
  <c r="AL167" i="3"/>
  <c r="AJ120" i="3"/>
  <c r="R243" i="3"/>
  <c r="Z301" i="3"/>
  <c r="BB313" i="3"/>
  <c r="R367" i="3"/>
  <c r="F319" i="3"/>
  <c r="F320" i="3"/>
  <c r="AJ320" i="3"/>
  <c r="AJ324" i="3"/>
  <c r="P327" i="3"/>
  <c r="BC348" i="3"/>
  <c r="BB354" i="3"/>
  <c r="AZ371" i="3"/>
  <c r="H423" i="3"/>
  <c r="BB373" i="3"/>
  <c r="AB425" i="3"/>
  <c r="F145" i="3"/>
  <c r="AJ151" i="3"/>
  <c r="Z102" i="3"/>
  <c r="Z217" i="3"/>
  <c r="P131" i="3"/>
  <c r="Z185" i="3"/>
  <c r="AJ139" i="3"/>
  <c r="AJ193" i="3"/>
  <c r="Z318" i="3"/>
  <c r="P319" i="3"/>
  <c r="F325" i="3"/>
  <c r="P326" i="3"/>
  <c r="BA338" i="3"/>
  <c r="BA339" i="3"/>
  <c r="BA371" i="3"/>
  <c r="R423" i="3"/>
  <c r="BB372" i="3"/>
  <c r="AB424" i="3"/>
  <c r="AJ83" i="3"/>
  <c r="AS142" i="3"/>
  <c r="F148" i="3"/>
  <c r="F213" i="3"/>
  <c r="F169" i="3"/>
  <c r="Z182" i="3"/>
  <c r="F131" i="3"/>
  <c r="AB332" i="3"/>
  <c r="AB334" i="3"/>
  <c r="Z295" i="3"/>
  <c r="AB288" i="3"/>
  <c r="BA370" i="3"/>
  <c r="R422" i="3"/>
  <c r="Z155" i="3"/>
  <c r="Z152" i="3"/>
  <c r="AB204" i="3"/>
  <c r="F139" i="3"/>
  <c r="H188" i="3"/>
  <c r="Z30" i="3"/>
  <c r="Z198" i="3"/>
  <c r="Z197" i="3"/>
  <c r="AB247" i="3"/>
  <c r="Z196" i="3"/>
  <c r="Z195" i="3"/>
  <c r="AB195" i="3"/>
  <c r="AJ220" i="3"/>
  <c r="AL269" i="3"/>
  <c r="AJ219" i="3"/>
  <c r="AL217" i="3"/>
  <c r="BC217" i="3"/>
  <c r="AJ273" i="3"/>
  <c r="BC270" i="3"/>
  <c r="Z25" i="3"/>
  <c r="F28" i="3"/>
  <c r="BB143" i="3"/>
  <c r="BB83" i="3"/>
  <c r="AZ22" i="3"/>
  <c r="AS22" i="3"/>
  <c r="BD22" i="3" s="1"/>
  <c r="Z56" i="3"/>
  <c r="BB53" i="3"/>
  <c r="F71" i="3"/>
  <c r="F97" i="3"/>
  <c r="F107" i="3"/>
  <c r="AS104" i="3"/>
  <c r="P206" i="3"/>
  <c r="BA203" i="3"/>
  <c r="R203" i="3"/>
  <c r="AS197" i="3"/>
  <c r="BD197" i="3" s="1"/>
  <c r="R197" i="3"/>
  <c r="BB160" i="3"/>
  <c r="AB212" i="3"/>
  <c r="AB170" i="3"/>
  <c r="Z21" i="3"/>
  <c r="F24" i="3"/>
  <c r="F30" i="3"/>
  <c r="BB152" i="3"/>
  <c r="AZ76" i="3"/>
  <c r="AS24" i="3"/>
  <c r="BD24" i="3" s="1"/>
  <c r="AJ46" i="3"/>
  <c r="BC45" i="3"/>
  <c r="Z54" i="3"/>
  <c r="BB51" i="3"/>
  <c r="AJ60" i="3"/>
  <c r="R218" i="3"/>
  <c r="AJ74" i="3"/>
  <c r="P85" i="3"/>
  <c r="BA82" i="3"/>
  <c r="AS87" i="3"/>
  <c r="R249" i="3"/>
  <c r="AS143" i="3"/>
  <c r="AS145" i="3"/>
  <c r="AJ98" i="3"/>
  <c r="H255" i="3"/>
  <c r="Z99" i="3"/>
  <c r="Z101" i="3"/>
  <c r="AJ157" i="3"/>
  <c r="AL206" i="3"/>
  <c r="Z213" i="3"/>
  <c r="AB210" i="3"/>
  <c r="P115" i="3"/>
  <c r="P114" i="3"/>
  <c r="P219" i="3"/>
  <c r="R216" i="3"/>
  <c r="AZ262" i="3"/>
  <c r="H262" i="3"/>
  <c r="F263" i="3"/>
  <c r="F264" i="3"/>
  <c r="AZ254" i="3"/>
  <c r="H254" i="3"/>
  <c r="F257" i="3"/>
  <c r="F256" i="3"/>
  <c r="F255" i="3"/>
  <c r="BA268" i="3"/>
  <c r="R268" i="3"/>
  <c r="P262" i="3"/>
  <c r="R260" i="3"/>
  <c r="P254" i="3"/>
  <c r="P253" i="3"/>
  <c r="P255" i="3"/>
  <c r="P252" i="3"/>
  <c r="BB258" i="3"/>
  <c r="AB258" i="3"/>
  <c r="Z251" i="3"/>
  <c r="BB250" i="3"/>
  <c r="Z252" i="3"/>
  <c r="AB250" i="3"/>
  <c r="AL266" i="3"/>
  <c r="BC266" i="3"/>
  <c r="AJ259" i="3"/>
  <c r="AL258" i="3"/>
  <c r="AJ258" i="3"/>
  <c r="BC249" i="3"/>
  <c r="AL249" i="3"/>
  <c r="AJ250" i="3"/>
  <c r="AJ251" i="3"/>
  <c r="AJ249" i="3"/>
  <c r="F173" i="3"/>
  <c r="AS170" i="3"/>
  <c r="BD170" i="3" s="1"/>
  <c r="F123" i="3"/>
  <c r="AJ175" i="3"/>
  <c r="AJ177" i="3"/>
  <c r="AS141" i="3"/>
  <c r="AJ55" i="3"/>
  <c r="BC52" i="3"/>
  <c r="AS65" i="3"/>
  <c r="P68" i="3"/>
  <c r="AL170" i="3"/>
  <c r="AB186" i="3"/>
  <c r="Z46" i="3"/>
  <c r="BB43" i="3"/>
  <c r="P87" i="3"/>
  <c r="BA84" i="3"/>
  <c r="AL256" i="3"/>
  <c r="AL204" i="3"/>
  <c r="AJ204" i="3"/>
  <c r="BC204" i="3"/>
  <c r="BA51" i="3"/>
  <c r="Z40" i="3"/>
  <c r="AJ14" i="3"/>
  <c r="BB89" i="3"/>
  <c r="F46" i="3"/>
  <c r="Z51" i="3"/>
  <c r="Z98" i="3"/>
  <c r="F209" i="3"/>
  <c r="F208" i="3"/>
  <c r="H206" i="3"/>
  <c r="AZ206" i="3"/>
  <c r="F207" i="3"/>
  <c r="P202" i="3"/>
  <c r="P201" i="3"/>
  <c r="R199" i="3"/>
  <c r="AB395" i="3"/>
  <c r="BB343" i="3"/>
  <c r="AB397" i="3"/>
  <c r="BB345" i="3"/>
  <c r="AB167" i="3"/>
  <c r="Z16" i="3"/>
  <c r="AJ24" i="3"/>
  <c r="AJ30" i="3"/>
  <c r="AZ166" i="3"/>
  <c r="BA159" i="3"/>
  <c r="AZ101" i="3"/>
  <c r="AZ95" i="3"/>
  <c r="BC40" i="3"/>
  <c r="AZ18" i="3"/>
  <c r="AS18" i="3"/>
  <c r="BD18" i="3" s="1"/>
  <c r="AZ16" i="3"/>
  <c r="AS16" i="3"/>
  <c r="AJ33" i="3"/>
  <c r="AB206" i="3"/>
  <c r="Z77" i="3"/>
  <c r="Z80" i="3"/>
  <c r="AJ90" i="3"/>
  <c r="AZ155" i="3"/>
  <c r="H207" i="3"/>
  <c r="F206" i="3"/>
  <c r="H253" i="3"/>
  <c r="F204" i="3"/>
  <c r="H201" i="3"/>
  <c r="H251" i="3"/>
  <c r="F199" i="3"/>
  <c r="F201" i="3"/>
  <c r="AZ199" i="3"/>
  <c r="F202" i="3"/>
  <c r="F160" i="3"/>
  <c r="AS159" i="3"/>
  <c r="F162" i="3"/>
  <c r="H211" i="3"/>
  <c r="Z165" i="3"/>
  <c r="AB214" i="3"/>
  <c r="Z180" i="3"/>
  <c r="Z178" i="3"/>
  <c r="AB230" i="3"/>
  <c r="R236" i="3"/>
  <c r="BA184" i="3"/>
  <c r="Z347" i="3"/>
  <c r="AB396" i="3"/>
  <c r="AJ349" i="3"/>
  <c r="AK505" i="3" s="1"/>
  <c r="AN505" i="3" s="1"/>
  <c r="AL398" i="3"/>
  <c r="P103" i="3"/>
  <c r="P104" i="3"/>
  <c r="AJ22" i="3"/>
  <c r="BC143" i="3"/>
  <c r="AZ84" i="3"/>
  <c r="F20" i="3"/>
  <c r="BC118" i="3"/>
  <c r="BA97" i="3"/>
  <c r="Z97" i="3"/>
  <c r="AS201" i="3"/>
  <c r="BD201" i="3" s="1"/>
  <c r="P203" i="3"/>
  <c r="R253" i="3"/>
  <c r="R201" i="3"/>
  <c r="BA201" i="3"/>
  <c r="F14" i="3"/>
  <c r="Z17" i="3"/>
  <c r="Z18" i="3"/>
  <c r="Z19" i="3"/>
  <c r="P20" i="3"/>
  <c r="Z27" i="3"/>
  <c r="P28" i="3"/>
  <c r="AZ136" i="3"/>
  <c r="BA85" i="3"/>
  <c r="BB37" i="3"/>
  <c r="AS28" i="3"/>
  <c r="BD28" i="3" s="1"/>
  <c r="BA38" i="3"/>
  <c r="P41" i="3"/>
  <c r="F43" i="3"/>
  <c r="AZ40" i="3"/>
  <c r="R211" i="3"/>
  <c r="F56" i="3"/>
  <c r="AS53" i="3"/>
  <c r="BD53" i="3" s="1"/>
  <c r="AZ53" i="3"/>
  <c r="AJ62" i="3"/>
  <c r="P64" i="3"/>
  <c r="Z90" i="3"/>
  <c r="Z143" i="3"/>
  <c r="R251" i="3"/>
  <c r="F95" i="3"/>
  <c r="P200" i="3"/>
  <c r="F150" i="3"/>
  <c r="AZ148" i="3"/>
  <c r="H200" i="3"/>
  <c r="AJ205" i="3"/>
  <c r="F159" i="3"/>
  <c r="P162" i="3"/>
  <c r="AS178" i="3"/>
  <c r="BD178" i="3" s="1"/>
  <c r="BC180" i="3"/>
  <c r="AL232" i="3"/>
  <c r="BC181" i="3"/>
  <c r="AL233" i="3"/>
  <c r="P194" i="3"/>
  <c r="BA193" i="3"/>
  <c r="BB190" i="3"/>
  <c r="AB242" i="3"/>
  <c r="AB190" i="3"/>
  <c r="P325" i="3"/>
  <c r="Z326" i="3"/>
  <c r="Z169" i="3"/>
  <c r="AB218" i="3"/>
  <c r="Z136" i="3"/>
  <c r="AS134" i="3"/>
  <c r="P137" i="3"/>
  <c r="R188" i="3"/>
  <c r="F32" i="3"/>
  <c r="AZ32" i="3"/>
  <c r="Z42" i="3"/>
  <c r="BB39" i="3"/>
  <c r="P98" i="3"/>
  <c r="AJ207" i="3"/>
  <c r="Z199" i="3"/>
  <c r="AB249" i="3"/>
  <c r="Z200" i="3"/>
  <c r="BB197" i="3"/>
  <c r="P26" i="3"/>
  <c r="Z31" i="3"/>
  <c r="AJ91" i="3"/>
  <c r="H260" i="3"/>
  <c r="F210" i="3"/>
  <c r="P198" i="3"/>
  <c r="BA195" i="3"/>
  <c r="F15" i="3"/>
  <c r="AJ17" i="3"/>
  <c r="AJ18" i="3"/>
  <c r="P29" i="3"/>
  <c r="BC88" i="3"/>
  <c r="BB76" i="3"/>
  <c r="BA65" i="3"/>
  <c r="BA63" i="3"/>
  <c r="BF63" i="3" s="1"/>
  <c r="AS26" i="3"/>
  <c r="P38" i="3"/>
  <c r="AB197" i="3"/>
  <c r="AJ44" i="3"/>
  <c r="Z47" i="3"/>
  <c r="H218" i="3"/>
  <c r="BA199" i="3"/>
  <c r="AZ208" i="3"/>
  <c r="AJ64" i="3"/>
  <c r="F80" i="3"/>
  <c r="AS79" i="3"/>
  <c r="F82" i="3"/>
  <c r="F83" i="3"/>
  <c r="AS81" i="3"/>
  <c r="AJ89" i="3"/>
  <c r="P89" i="3"/>
  <c r="BA87" i="3"/>
  <c r="P90" i="3"/>
  <c r="P199" i="3"/>
  <c r="Z148" i="3"/>
  <c r="AJ99" i="3"/>
  <c r="AJ101" i="3"/>
  <c r="H258" i="3"/>
  <c r="AL270" i="3"/>
  <c r="AJ183" i="3"/>
  <c r="BB180" i="3"/>
  <c r="AB232" i="3"/>
  <c r="BB181" i="3"/>
  <c r="AB233" i="3"/>
  <c r="P185" i="3"/>
  <c r="AL193" i="3"/>
  <c r="AJ142" i="3"/>
  <c r="AS139" i="3"/>
  <c r="BA139" i="3"/>
  <c r="P142" i="3"/>
  <c r="F313" i="3"/>
  <c r="F311" i="3"/>
  <c r="P323" i="3"/>
  <c r="BA320" i="3"/>
  <c r="AJ37" i="3"/>
  <c r="F39" i="3"/>
  <c r="F42" i="3"/>
  <c r="AJ57" i="3"/>
  <c r="P63" i="3"/>
  <c r="AJ85" i="3"/>
  <c r="P96" i="3"/>
  <c r="AJ100" i="3"/>
  <c r="H257" i="3"/>
  <c r="P209" i="3"/>
  <c r="P207" i="3"/>
  <c r="R258" i="3"/>
  <c r="Z204" i="3"/>
  <c r="Z264" i="3"/>
  <c r="AS157" i="3"/>
  <c r="Z162" i="3"/>
  <c r="BA255" i="3"/>
  <c r="Z115" i="3"/>
  <c r="Z112" i="3"/>
  <c r="AZ263" i="3"/>
  <c r="F266" i="3"/>
  <c r="Z271" i="3"/>
  <c r="AB268" i="3"/>
  <c r="BB268" i="3"/>
  <c r="BB251" i="3"/>
  <c r="AB251" i="3"/>
  <c r="BC250" i="3"/>
  <c r="AJ253" i="3"/>
  <c r="AZ173" i="3"/>
  <c r="F176" i="3"/>
  <c r="P125" i="3"/>
  <c r="AB283" i="3"/>
  <c r="F244" i="3"/>
  <c r="F243" i="3"/>
  <c r="H241" i="3"/>
  <c r="AZ241" i="3"/>
  <c r="AZ239" i="3"/>
  <c r="F241" i="3"/>
  <c r="AZ237" i="3"/>
  <c r="F240" i="3"/>
  <c r="F239" i="3"/>
  <c r="AZ235" i="3"/>
  <c r="AS235" i="3"/>
  <c r="BD235" i="3" s="1"/>
  <c r="F237" i="3"/>
  <c r="F238" i="3"/>
  <c r="AZ233" i="3"/>
  <c r="F236" i="3"/>
  <c r="F234" i="3"/>
  <c r="F233" i="3"/>
  <c r="AZ229" i="3"/>
  <c r="F231" i="3"/>
  <c r="AZ227" i="3"/>
  <c r="F229" i="3"/>
  <c r="AS227" i="3"/>
  <c r="BD227" i="3" s="1"/>
  <c r="AZ225" i="3"/>
  <c r="F227" i="3"/>
  <c r="F226" i="3"/>
  <c r="F225" i="3"/>
  <c r="AZ223" i="3"/>
  <c r="H275" i="3"/>
  <c r="H273" i="3"/>
  <c r="F224" i="3"/>
  <c r="AZ221" i="3"/>
  <c r="F222" i="3"/>
  <c r="P222" i="3"/>
  <c r="BA219" i="3"/>
  <c r="BF219" i="3" s="1"/>
  <c r="AZ352" i="3"/>
  <c r="H404" i="3"/>
  <c r="AJ363" i="3"/>
  <c r="AK519" i="3" s="1"/>
  <c r="AN519" i="3" s="1"/>
  <c r="F365" i="3"/>
  <c r="G521" i="3" s="1"/>
  <c r="J521" i="3" s="1"/>
  <c r="H414" i="3"/>
  <c r="F40" i="3"/>
  <c r="Z45" i="3"/>
  <c r="F51" i="3"/>
  <c r="AS59" i="3"/>
  <c r="BD59" i="3" s="1"/>
  <c r="Z64" i="3"/>
  <c r="AJ80" i="3"/>
  <c r="AJ87" i="3"/>
  <c r="Z91" i="3"/>
  <c r="P101" i="3"/>
  <c r="P102" i="3"/>
  <c r="AJ156" i="3"/>
  <c r="Z263" i="3"/>
  <c r="P213" i="3"/>
  <c r="F165" i="3"/>
  <c r="AZ249" i="3"/>
  <c r="Z233" i="3"/>
  <c r="AS180" i="3"/>
  <c r="BD180" i="3" s="1"/>
  <c r="F187" i="3"/>
  <c r="AS184" i="3"/>
  <c r="BD184" i="3" s="1"/>
  <c r="P243" i="3"/>
  <c r="AJ229" i="3"/>
  <c r="BC227" i="3"/>
  <c r="AJ227" i="3"/>
  <c r="BC225" i="3"/>
  <c r="AL275" i="3"/>
  <c r="BC223" i="3"/>
  <c r="AJ223" i="3"/>
  <c r="BC221" i="3"/>
  <c r="AJ224" i="3"/>
  <c r="AB245" i="3"/>
  <c r="Z248" i="3"/>
  <c r="AB297" i="3"/>
  <c r="BB242" i="3"/>
  <c r="Z244" i="3"/>
  <c r="Z242" i="3"/>
  <c r="AB294" i="3"/>
  <c r="F297" i="3"/>
  <c r="AZ294" i="3"/>
  <c r="F194" i="3"/>
  <c r="F195" i="3"/>
  <c r="H296" i="3"/>
  <c r="AZ296" i="3"/>
  <c r="AJ301" i="3"/>
  <c r="R361" i="3"/>
  <c r="BA309" i="3"/>
  <c r="Z323" i="3"/>
  <c r="AJ61" i="3"/>
  <c r="AS67" i="3"/>
  <c r="P99" i="3"/>
  <c r="F102" i="3"/>
  <c r="F200" i="3"/>
  <c r="R255" i="3"/>
  <c r="P258" i="3"/>
  <c r="BB253" i="3"/>
  <c r="AB253" i="3"/>
  <c r="Z256" i="3"/>
  <c r="Z262" i="3"/>
  <c r="AB259" i="3"/>
  <c r="AL261" i="3"/>
  <c r="BC261" i="3"/>
  <c r="AL304" i="3"/>
  <c r="BC252" i="3"/>
  <c r="BB173" i="3"/>
  <c r="Z176" i="3"/>
  <c r="P129" i="3"/>
  <c r="Z190" i="3"/>
  <c r="R329" i="3"/>
  <c r="R277" i="3"/>
  <c r="P280" i="3"/>
  <c r="BA277" i="3"/>
  <c r="P275" i="3"/>
  <c r="P274" i="3"/>
  <c r="R272" i="3"/>
  <c r="R326" i="3"/>
  <c r="R274" i="3"/>
  <c r="P276" i="3"/>
  <c r="R328" i="3"/>
  <c r="R276" i="3"/>
  <c r="P278" i="3"/>
  <c r="BA279" i="3"/>
  <c r="P282" i="3"/>
  <c r="R279" i="3"/>
  <c r="P281" i="3"/>
  <c r="P284" i="3"/>
  <c r="R281" i="3"/>
  <c r="P283" i="3"/>
  <c r="BA283" i="3"/>
  <c r="R283" i="3"/>
  <c r="P286" i="3"/>
  <c r="R337" i="3"/>
  <c r="R285" i="3"/>
  <c r="P288" i="3"/>
  <c r="P287" i="3"/>
  <c r="R339" i="3"/>
  <c r="P290" i="3"/>
  <c r="BA287" i="3"/>
  <c r="P289" i="3"/>
  <c r="R287" i="3"/>
  <c r="BA289" i="3"/>
  <c r="P292" i="3"/>
  <c r="P291" i="3"/>
  <c r="R289" i="3"/>
  <c r="BA291" i="3"/>
  <c r="R291" i="3"/>
  <c r="P294" i="3"/>
  <c r="P293" i="3"/>
  <c r="P295" i="3"/>
  <c r="R293" i="3"/>
  <c r="BA293" i="3"/>
  <c r="BB235" i="3"/>
  <c r="Z237" i="3"/>
  <c r="Z238" i="3"/>
  <c r="BB233" i="3"/>
  <c r="Z236" i="3"/>
  <c r="Z235" i="3"/>
  <c r="BB229" i="3"/>
  <c r="Z231" i="3"/>
  <c r="Z232" i="3"/>
  <c r="BB227" i="3"/>
  <c r="Z229" i="3"/>
  <c r="Z230" i="3"/>
  <c r="BB225" i="3"/>
  <c r="Z227" i="3"/>
  <c r="Z228" i="3"/>
  <c r="BB223" i="3"/>
  <c r="AB275" i="3"/>
  <c r="Z226" i="3"/>
  <c r="Z223" i="3"/>
  <c r="AB273" i="3"/>
  <c r="AJ222" i="3"/>
  <c r="BC219" i="3"/>
  <c r="BH219" i="3" s="1"/>
  <c r="BH220" i="3" s="1"/>
  <c r="AL271" i="3"/>
  <c r="AZ295" i="3"/>
  <c r="H295" i="3"/>
  <c r="BC58" i="3"/>
  <c r="AZ36" i="3"/>
  <c r="AJ40" i="3"/>
  <c r="F64" i="3"/>
  <c r="P69" i="3"/>
  <c r="F78" i="3"/>
  <c r="AJ82" i="3"/>
  <c r="Z83" i="3"/>
  <c r="R247" i="3"/>
  <c r="F91" i="3"/>
  <c r="Z142" i="3"/>
  <c r="P250" i="3"/>
  <c r="F96" i="3"/>
  <c r="AS93" i="3"/>
  <c r="Z254" i="3"/>
  <c r="Z107" i="3"/>
  <c r="AJ206" i="3"/>
  <c r="AL255" i="3"/>
  <c r="AS199" i="3"/>
  <c r="BD199" i="3" s="1"/>
  <c r="AJ202" i="3"/>
  <c r="AJ201" i="3"/>
  <c r="F198" i="3"/>
  <c r="F196" i="3"/>
  <c r="AJ161" i="3"/>
  <c r="F109" i="3"/>
  <c r="F215" i="3"/>
  <c r="AS110" i="3"/>
  <c r="P112" i="3"/>
  <c r="AJ115" i="3"/>
  <c r="AZ264" i="3"/>
  <c r="H264" i="3"/>
  <c r="BA246" i="3"/>
  <c r="P246" i="3"/>
  <c r="BB252" i="3"/>
  <c r="Z255" i="3"/>
  <c r="AB252" i="3"/>
  <c r="AJ271" i="3"/>
  <c r="AJ263" i="3"/>
  <c r="AL260" i="3"/>
  <c r="BC251" i="3"/>
  <c r="AJ254" i="3"/>
  <c r="Z174" i="3"/>
  <c r="AJ228" i="3"/>
  <c r="Z234" i="3"/>
  <c r="F129" i="3"/>
  <c r="H291" i="3"/>
  <c r="AJ195" i="3"/>
  <c r="AJ194" i="3"/>
  <c r="AZ277" i="3"/>
  <c r="F280" i="3"/>
  <c r="F274" i="3"/>
  <c r="AZ272" i="3"/>
  <c r="BE272" i="3" s="1"/>
  <c r="BE273" i="3" s="1"/>
  <c r="H272" i="3"/>
  <c r="F275" i="3"/>
  <c r="F277" i="3"/>
  <c r="F276" i="3"/>
  <c r="AZ274" i="3"/>
  <c r="F278" i="3"/>
  <c r="F279" i="3"/>
  <c r="H276" i="3"/>
  <c r="H331" i="3"/>
  <c r="AZ279" i="3"/>
  <c r="F281" i="3"/>
  <c r="H279" i="3"/>
  <c r="H333" i="3"/>
  <c r="F283" i="3"/>
  <c r="AZ281" i="3"/>
  <c r="H281" i="3"/>
  <c r="H335" i="3"/>
  <c r="F285" i="3"/>
  <c r="AZ283" i="3"/>
  <c r="F286" i="3"/>
  <c r="H283" i="3"/>
  <c r="AZ285" i="3"/>
  <c r="F288" i="3"/>
  <c r="H285" i="3"/>
  <c r="AZ287" i="3"/>
  <c r="F289" i="3"/>
  <c r="H287" i="3"/>
  <c r="H289" i="3"/>
  <c r="F292" i="3"/>
  <c r="F291" i="3"/>
  <c r="F294" i="3"/>
  <c r="AZ291" i="3"/>
  <c r="AZ293" i="3"/>
  <c r="H293" i="3"/>
  <c r="F295" i="3"/>
  <c r="AS239" i="3"/>
  <c r="BD239" i="3" s="1"/>
  <c r="P242" i="3"/>
  <c r="P241" i="3"/>
  <c r="P240" i="3"/>
  <c r="P239" i="3"/>
  <c r="P238" i="3"/>
  <c r="P235" i="3"/>
  <c r="AS231" i="3"/>
  <c r="BD231" i="3" s="1"/>
  <c r="P233" i="3"/>
  <c r="P234" i="3"/>
  <c r="P232" i="3"/>
  <c r="P231" i="3"/>
  <c r="P230" i="3"/>
  <c r="BA227" i="3"/>
  <c r="P229" i="3"/>
  <c r="BA225" i="3"/>
  <c r="P228" i="3"/>
  <c r="P227" i="3"/>
  <c r="S279" i="3" s="1"/>
  <c r="AS223" i="3"/>
  <c r="BD223" i="3" s="1"/>
  <c r="P225" i="3"/>
  <c r="BA223" i="3"/>
  <c r="P226" i="3"/>
  <c r="R275" i="3"/>
  <c r="P223" i="3"/>
  <c r="P224" i="3"/>
  <c r="BA221" i="3"/>
  <c r="BB219" i="3"/>
  <c r="BG219" i="3" s="1"/>
  <c r="Z220" i="3"/>
  <c r="AB271" i="3"/>
  <c r="BB243" i="3"/>
  <c r="AB295" i="3"/>
  <c r="F245" i="3"/>
  <c r="AZ242" i="3"/>
  <c r="BC295" i="3"/>
  <c r="AL295" i="3"/>
  <c r="F144" i="3"/>
  <c r="F143" i="3"/>
  <c r="F307" i="3"/>
  <c r="F305" i="3"/>
  <c r="AJ209" i="3"/>
  <c r="F108" i="3"/>
  <c r="AJ109" i="3"/>
  <c r="AJ213" i="3"/>
  <c r="Z109" i="3"/>
  <c r="Z215" i="3"/>
  <c r="AJ164" i="3"/>
  <c r="AS214" i="3"/>
  <c r="BD214" i="3" s="1"/>
  <c r="Z171" i="3"/>
  <c r="F172" i="3"/>
  <c r="Z173" i="3"/>
  <c r="P192" i="3"/>
  <c r="AS138" i="3"/>
  <c r="F141" i="3"/>
  <c r="Z278" i="3"/>
  <c r="Z279" i="3"/>
  <c r="AB331" i="3"/>
  <c r="Z281" i="3"/>
  <c r="BB279" i="3"/>
  <c r="AB279" i="3"/>
  <c r="AB333" i="3"/>
  <c r="BB281" i="3"/>
  <c r="Z283" i="3"/>
  <c r="AB335" i="3"/>
  <c r="Z285" i="3"/>
  <c r="BB289" i="3"/>
  <c r="AB289" i="3"/>
  <c r="BB296" i="3"/>
  <c r="AB296" i="3"/>
  <c r="R294" i="3"/>
  <c r="AJ304" i="3"/>
  <c r="F347" i="3"/>
  <c r="H396" i="3"/>
  <c r="P348" i="3"/>
  <c r="R397" i="3"/>
  <c r="AS353" i="3"/>
  <c r="H405" i="3"/>
  <c r="F357" i="3"/>
  <c r="H406" i="3"/>
  <c r="Z360" i="3"/>
  <c r="AA516" i="3" s="1"/>
  <c r="AD516" i="3" s="1"/>
  <c r="AB409" i="3"/>
  <c r="F366" i="3"/>
  <c r="G522" i="3" s="1"/>
  <c r="J522" i="3" s="1"/>
  <c r="H415" i="3"/>
  <c r="AZ364" i="3"/>
  <c r="H416" i="3"/>
  <c r="P369" i="3"/>
  <c r="Q525" i="3" s="1"/>
  <c r="T525" i="3" s="1"/>
  <c r="R418" i="3"/>
  <c r="F376" i="3"/>
  <c r="G532" i="3" s="1"/>
  <c r="J532" i="3" s="1"/>
  <c r="AJ153" i="3"/>
  <c r="F155" i="3"/>
  <c r="AJ106" i="3"/>
  <c r="Z214" i="3"/>
  <c r="Z111" i="3"/>
  <c r="AJ218" i="3"/>
  <c r="P273" i="3"/>
  <c r="BA270" i="3"/>
  <c r="AJ221" i="3"/>
  <c r="F174" i="3"/>
  <c r="AJ141" i="3"/>
  <c r="BB293" i="3"/>
  <c r="BC240" i="3"/>
  <c r="AL292" i="3"/>
  <c r="BC238" i="3"/>
  <c r="AJ241" i="3"/>
  <c r="AJ240" i="3"/>
  <c r="AL290" i="3"/>
  <c r="BC236" i="3"/>
  <c r="AJ239" i="3"/>
  <c r="AJ237" i="3"/>
  <c r="AL286" i="3"/>
  <c r="BC234" i="3"/>
  <c r="AJ236" i="3"/>
  <c r="BC232" i="3"/>
  <c r="AJ234" i="3"/>
  <c r="AL284" i="3"/>
  <c r="BC230" i="3"/>
  <c r="AJ232" i="3"/>
  <c r="AL282" i="3"/>
  <c r="BC228" i="3"/>
  <c r="AJ231" i="3"/>
  <c r="AB354" i="3"/>
  <c r="BB302" i="3"/>
  <c r="AJ310" i="3"/>
  <c r="P317" i="3"/>
  <c r="P316" i="3"/>
  <c r="BC364" i="3"/>
  <c r="AL416" i="3"/>
  <c r="BA369" i="3"/>
  <c r="R421" i="3"/>
  <c r="AJ88" i="3"/>
  <c r="F146" i="3"/>
  <c r="Z95" i="3"/>
  <c r="AJ152" i="3"/>
  <c r="Z154" i="3"/>
  <c r="AJ104" i="3"/>
  <c r="AJ105" i="3"/>
  <c r="AS207" i="3"/>
  <c r="AS204" i="3"/>
  <c r="BD204" i="3" s="1"/>
  <c r="Z108" i="3"/>
  <c r="AJ215" i="3"/>
  <c r="P111" i="3"/>
  <c r="P216" i="3"/>
  <c r="AJ217" i="3"/>
  <c r="AS162" i="3"/>
  <c r="Z114" i="3"/>
  <c r="Z172" i="3"/>
  <c r="Z287" i="3"/>
  <c r="F185" i="3"/>
  <c r="F184" i="3"/>
  <c r="AS182" i="3"/>
  <c r="BD182" i="3" s="1"/>
  <c r="Z290" i="3"/>
  <c r="AB291" i="3"/>
  <c r="BB283" i="3"/>
  <c r="Z243" i="3"/>
  <c r="BB240" i="3"/>
  <c r="AB399" i="3"/>
  <c r="BB347" i="3"/>
  <c r="P361" i="3"/>
  <c r="Q517" i="3" s="1"/>
  <c r="T517" i="3" s="1"/>
  <c r="R410" i="3"/>
  <c r="Z362" i="3"/>
  <c r="AA518" i="3" s="1"/>
  <c r="AD518" i="3" s="1"/>
  <c r="AB411" i="3"/>
  <c r="BC365" i="3"/>
  <c r="AL417" i="3"/>
  <c r="P371" i="3"/>
  <c r="R420" i="3"/>
  <c r="Z372" i="3"/>
  <c r="AA528" i="3" s="1"/>
  <c r="AD528" i="3" s="1"/>
  <c r="AB421" i="3"/>
  <c r="F378" i="3"/>
  <c r="G534" i="3" s="1"/>
  <c r="J534" i="3" s="1"/>
  <c r="F89" i="3"/>
  <c r="AS91" i="3"/>
  <c r="Z96" i="3"/>
  <c r="AJ97" i="3"/>
  <c r="Z103" i="3"/>
  <c r="AJ103" i="3"/>
  <c r="AS103" i="3"/>
  <c r="F158" i="3"/>
  <c r="F214" i="3"/>
  <c r="I214" i="3" s="1"/>
  <c r="F216" i="3"/>
  <c r="AJ113" i="3"/>
  <c r="R270" i="3"/>
  <c r="P218" i="3"/>
  <c r="Z123" i="3"/>
  <c r="Z282" i="3"/>
  <c r="AJ133" i="3"/>
  <c r="AJ136" i="3"/>
  <c r="AJ243" i="3"/>
  <c r="AZ297" i="3"/>
  <c r="BC277" i="3"/>
  <c r="AL277" i="3"/>
  <c r="BC272" i="3"/>
  <c r="BH272" i="3" s="1"/>
  <c r="AJ275" i="3"/>
  <c r="AJ274" i="3"/>
  <c r="BC274" i="3"/>
  <c r="AL274" i="3"/>
  <c r="BC276" i="3"/>
  <c r="AJ279" i="3"/>
  <c r="AL276" i="3"/>
  <c r="AL331" i="3"/>
  <c r="AJ281" i="3"/>
  <c r="AL279" i="3"/>
  <c r="AL333" i="3"/>
  <c r="AJ283" i="3"/>
  <c r="AL335" i="3"/>
  <c r="AJ285" i="3"/>
  <c r="AJ286" i="3"/>
  <c r="BC285" i="3"/>
  <c r="AJ288" i="3"/>
  <c r="BC289" i="3"/>
  <c r="AL289" i="3"/>
  <c r="BC291" i="3"/>
  <c r="AL291" i="3"/>
  <c r="AL345" i="3"/>
  <c r="AL293" i="3"/>
  <c r="AJ296" i="3"/>
  <c r="AJ295" i="3"/>
  <c r="AZ321" i="3"/>
  <c r="F324" i="3"/>
  <c r="AJ355" i="3"/>
  <c r="AL404" i="3"/>
  <c r="AZ356" i="3"/>
  <c r="H408" i="3"/>
  <c r="BA357" i="3"/>
  <c r="R409" i="3"/>
  <c r="BB358" i="3"/>
  <c r="AB410" i="3"/>
  <c r="F368" i="3"/>
  <c r="G524" i="3" s="1"/>
  <c r="J524" i="3" s="1"/>
  <c r="H417" i="3"/>
  <c r="BA367" i="3"/>
  <c r="R419" i="3"/>
  <c r="BB368" i="3"/>
  <c r="AB420" i="3"/>
  <c r="AJ375" i="3"/>
  <c r="AK531" i="3" s="1"/>
  <c r="AN531" i="3" s="1"/>
  <c r="AJ111" i="3"/>
  <c r="AJ216" i="3"/>
  <c r="AB269" i="3"/>
  <c r="AJ166" i="3"/>
  <c r="AJ167" i="3"/>
  <c r="F273" i="3"/>
  <c r="AJ169" i="3"/>
  <c r="F170" i="3"/>
  <c r="Z187" i="3"/>
  <c r="P188" i="3"/>
  <c r="Z188" i="3"/>
  <c r="BB282" i="3"/>
  <c r="H332" i="3"/>
  <c r="H334" i="3"/>
  <c r="H336" i="3"/>
  <c r="H344" i="3"/>
  <c r="AS243" i="3"/>
  <c r="F301" i="3"/>
  <c r="Z303" i="3"/>
  <c r="AL355" i="3"/>
  <c r="P311" i="3"/>
  <c r="AJ312" i="3"/>
  <c r="F317" i="3"/>
  <c r="F318" i="3"/>
  <c r="AJ326" i="3"/>
  <c r="AZ343" i="3"/>
  <c r="H395" i="3"/>
  <c r="Z349" i="3"/>
  <c r="AA505" i="3" s="1"/>
  <c r="AD505" i="3" s="1"/>
  <c r="AB398" i="3"/>
  <c r="Z351" i="3"/>
  <c r="AA507" i="3" s="1"/>
  <c r="AD507" i="3" s="1"/>
  <c r="AB400" i="3"/>
  <c r="BB349" i="3"/>
  <c r="AB401" i="3"/>
  <c r="BC356" i="3"/>
  <c r="AL408" i="3"/>
  <c r="F361" i="3"/>
  <c r="G517" i="3" s="1"/>
  <c r="J517" i="3" s="1"/>
  <c r="H410" i="3"/>
  <c r="BA359" i="3"/>
  <c r="R411" i="3"/>
  <c r="Z363" i="3"/>
  <c r="AA519" i="3" s="1"/>
  <c r="AD519" i="3" s="1"/>
  <c r="AB412" i="3"/>
  <c r="BC367" i="3"/>
  <c r="AL419" i="3"/>
  <c r="AZ369" i="3"/>
  <c r="H421" i="3"/>
  <c r="Z374" i="3"/>
  <c r="AA530" i="3" s="1"/>
  <c r="AD530" i="3" s="1"/>
  <c r="F168" i="3"/>
  <c r="Z221" i="3"/>
  <c r="AC221" i="3" s="1"/>
  <c r="AJ171" i="3"/>
  <c r="AS176" i="3"/>
  <c r="BD176" i="3" s="1"/>
  <c r="AS131" i="3"/>
  <c r="AS188" i="3"/>
  <c r="BD188" i="3" s="1"/>
  <c r="F192" i="3"/>
  <c r="AL332" i="3"/>
  <c r="AL334" i="3"/>
  <c r="AS244" i="3"/>
  <c r="BD244" i="3" s="1"/>
  <c r="AJ299" i="3"/>
  <c r="P302" i="3"/>
  <c r="F304" i="3"/>
  <c r="F309" i="3"/>
  <c r="F316" i="3"/>
  <c r="AS347" i="3"/>
  <c r="H399" i="3"/>
  <c r="BC347" i="3"/>
  <c r="AL399" i="3"/>
  <c r="AS350" i="3"/>
  <c r="AV402" i="3" s="1"/>
  <c r="H402" i="3"/>
  <c r="AZ351" i="3"/>
  <c r="H403" i="3"/>
  <c r="BA352" i="3"/>
  <c r="R404" i="3"/>
  <c r="AJ362" i="3"/>
  <c r="AL411" i="3"/>
  <c r="P367" i="3"/>
  <c r="Q523" i="3" s="1"/>
  <c r="T523" i="3" s="1"/>
  <c r="R416" i="3"/>
  <c r="AJ373" i="3"/>
  <c r="AK529" i="3" s="1"/>
  <c r="AN529" i="3" s="1"/>
  <c r="P376" i="3"/>
  <c r="Q532" i="3" s="1"/>
  <c r="T532" i="3" s="1"/>
  <c r="Z273" i="3"/>
  <c r="P221" i="3"/>
  <c r="S273" i="3" s="1"/>
  <c r="AS174" i="3"/>
  <c r="BD174" i="3" s="1"/>
  <c r="AJ188" i="3"/>
  <c r="F136" i="3"/>
  <c r="F191" i="3"/>
  <c r="AJ140" i="3"/>
  <c r="F193" i="3"/>
  <c r="Z302" i="3"/>
  <c r="P304" i="3"/>
  <c r="AB356" i="3"/>
  <c r="R358" i="3"/>
  <c r="P310" i="3"/>
  <c r="AJ316" i="3"/>
  <c r="P321" i="3"/>
  <c r="F322" i="3"/>
  <c r="AJ322" i="3"/>
  <c r="AJ323" i="3"/>
  <c r="AM323" i="3" s="1"/>
  <c r="F351" i="3"/>
  <c r="G507" i="3" s="1"/>
  <c r="J507" i="3" s="1"/>
  <c r="H400" i="3"/>
  <c r="F352" i="3"/>
  <c r="G508" i="3" s="1"/>
  <c r="J508" i="3" s="1"/>
  <c r="H401" i="3"/>
  <c r="BA350" i="3"/>
  <c r="R402" i="3"/>
  <c r="BB352" i="3"/>
  <c r="AB404" i="3"/>
  <c r="AJ361" i="3"/>
  <c r="AL410" i="3"/>
  <c r="BA361" i="3"/>
  <c r="R413" i="3"/>
  <c r="BB362" i="3"/>
  <c r="BB363" i="3"/>
  <c r="AB415" i="3"/>
  <c r="BB364" i="3"/>
  <c r="AB416" i="3"/>
  <c r="AJ372" i="3"/>
  <c r="AK528" i="3" s="1"/>
  <c r="AN528" i="3" s="1"/>
  <c r="AL421" i="3"/>
  <c r="F221" i="3"/>
  <c r="P171" i="3"/>
  <c r="F120" i="3"/>
  <c r="AS172" i="3"/>
  <c r="BD172" i="3" s="1"/>
  <c r="AJ185" i="3"/>
  <c r="Z141" i="3"/>
  <c r="R325" i="3"/>
  <c r="R330" i="3"/>
  <c r="R336" i="3"/>
  <c r="R338" i="3"/>
  <c r="P299" i="3"/>
  <c r="Z304" i="3"/>
  <c r="F306" i="3"/>
  <c r="Z309" i="3"/>
  <c r="Z310" i="3"/>
  <c r="F312" i="3"/>
  <c r="Z315" i="3"/>
  <c r="Z321" i="3"/>
  <c r="F323" i="3"/>
  <c r="AJ327" i="3"/>
  <c r="BC343" i="3"/>
  <c r="AL395" i="3"/>
  <c r="P349" i="3"/>
  <c r="Q505" i="3" s="1"/>
  <c r="T505" i="3" s="1"/>
  <c r="R398" i="3"/>
  <c r="BA348" i="3"/>
  <c r="R400" i="3"/>
  <c r="P352" i="3"/>
  <c r="Q508" i="3" s="1"/>
  <c r="T508" i="3" s="1"/>
  <c r="R401" i="3"/>
  <c r="BB350" i="3"/>
  <c r="AB402" i="3"/>
  <c r="BB351" i="3"/>
  <c r="AB403" i="3"/>
  <c r="AJ360" i="3"/>
  <c r="AK516" i="3" s="1"/>
  <c r="AN516" i="3" s="1"/>
  <c r="AL409" i="3"/>
  <c r="AZ359" i="3"/>
  <c r="H411" i="3"/>
  <c r="P363" i="3"/>
  <c r="R412" i="3"/>
  <c r="BB361" i="3"/>
  <c r="AB413" i="3"/>
  <c r="F335" i="3"/>
  <c r="H384" i="3"/>
  <c r="P336" i="3"/>
  <c r="Q492" i="3" s="1"/>
  <c r="T492" i="3" s="1"/>
  <c r="R385" i="3"/>
  <c r="Z336" i="3"/>
  <c r="AA492" i="3" s="1"/>
  <c r="AD492" i="3" s="1"/>
  <c r="AB385" i="3"/>
  <c r="AJ336" i="3"/>
  <c r="AL385" i="3"/>
  <c r="F337" i="3"/>
  <c r="H386" i="3"/>
  <c r="P338" i="3"/>
  <c r="R387" i="3"/>
  <c r="Z338" i="3"/>
  <c r="AA494" i="3" s="1"/>
  <c r="AD494" i="3" s="1"/>
  <c r="AB387" i="3"/>
  <c r="BC335" i="3"/>
  <c r="AL387" i="3"/>
  <c r="P339" i="3"/>
  <c r="R388" i="3"/>
  <c r="P340" i="3"/>
  <c r="Q496" i="3" s="1"/>
  <c r="T496" i="3" s="1"/>
  <c r="R389" i="3"/>
  <c r="AZ340" i="3"/>
  <c r="H392" i="3"/>
  <c r="AZ341" i="3"/>
  <c r="H393" i="3"/>
  <c r="BB341" i="3"/>
  <c r="AB393" i="3"/>
  <c r="AJ344" i="3"/>
  <c r="AL393" i="3"/>
  <c r="AJ345" i="3"/>
  <c r="AL394" i="3"/>
  <c r="Z36" i="3"/>
  <c r="AS41" i="3"/>
  <c r="BD41" i="3" s="1"/>
  <c r="AS45" i="3"/>
  <c r="BD45" i="3" s="1"/>
  <c r="AS50" i="3"/>
  <c r="BD50" i="3" s="1"/>
  <c r="AS52" i="3"/>
  <c r="F58" i="3"/>
  <c r="Z76" i="3"/>
  <c r="AS90" i="3"/>
  <c r="AS155" i="3"/>
  <c r="AS209" i="3"/>
  <c r="BD209" i="3" s="1"/>
  <c r="AS107" i="3"/>
  <c r="AS113" i="3"/>
  <c r="AS118" i="3"/>
  <c r="AS183" i="3"/>
  <c r="AJ134" i="3"/>
  <c r="AS132" i="3"/>
  <c r="AS192" i="3"/>
  <c r="AS190" i="3"/>
  <c r="AS237" i="3"/>
  <c r="BD237" i="3" s="1"/>
  <c r="AS229" i="3"/>
  <c r="BD229" i="3" s="1"/>
  <c r="AS221" i="3"/>
  <c r="AJ305" i="3"/>
  <c r="BA304" i="3"/>
  <c r="Z308" i="3"/>
  <c r="AJ308" i="3"/>
  <c r="F310" i="3"/>
  <c r="BB307" i="3"/>
  <c r="Z311" i="3"/>
  <c r="BC308" i="3"/>
  <c r="AZ309" i="3"/>
  <c r="Z312" i="3"/>
  <c r="BC309" i="3"/>
  <c r="AZ310" i="3"/>
  <c r="AJ313" i="3"/>
  <c r="F314" i="3"/>
  <c r="P314" i="3"/>
  <c r="Z314" i="3"/>
  <c r="BC311" i="3"/>
  <c r="AZ312" i="3"/>
  <c r="P315" i="3"/>
  <c r="AJ315" i="3"/>
  <c r="BC313" i="3"/>
  <c r="BA314" i="3"/>
  <c r="Z317" i="3"/>
  <c r="AJ317" i="3"/>
  <c r="P318" i="3"/>
  <c r="BB315" i="3"/>
  <c r="AJ318" i="3"/>
  <c r="BC316" i="3"/>
  <c r="P320" i="3"/>
  <c r="Z320" i="3"/>
  <c r="BC317" i="3"/>
  <c r="BB318" i="3"/>
  <c r="AJ321" i="3"/>
  <c r="P322" i="3"/>
  <c r="Z322" i="3"/>
  <c r="BC319" i="3"/>
  <c r="BB320" i="3"/>
  <c r="P324" i="3"/>
  <c r="Z324" i="3"/>
  <c r="BC321" i="3"/>
  <c r="Z325" i="3"/>
  <c r="F326" i="3"/>
  <c r="BB323" i="3"/>
  <c r="BG323" i="3" s="1"/>
  <c r="F327" i="3"/>
  <c r="Z327" i="3"/>
  <c r="BC324" i="3"/>
  <c r="P346" i="3"/>
  <c r="Q502" i="3" s="1"/>
  <c r="T502" i="3" s="1"/>
  <c r="Z346" i="3"/>
  <c r="P347" i="3"/>
  <c r="AJ348" i="3"/>
  <c r="P350" i="3"/>
  <c r="Q506" i="3" s="1"/>
  <c r="T506" i="3" s="1"/>
  <c r="BA349" i="3"/>
  <c r="AJ353" i="3"/>
  <c r="P356" i="3"/>
  <c r="Q512" i="3" s="1"/>
  <c r="T512" i="3" s="1"/>
  <c r="AJ356" i="3"/>
  <c r="P357" i="3"/>
  <c r="Z357" i="3"/>
  <c r="AA513" i="3" s="1"/>
  <c r="AD513" i="3" s="1"/>
  <c r="AJ357" i="3"/>
  <c r="AK513" i="3" s="1"/>
  <c r="AN513" i="3" s="1"/>
  <c r="AS357" i="3"/>
  <c r="AV409" i="3" s="1"/>
  <c r="BB357" i="3"/>
  <c r="BC358" i="3"/>
  <c r="BB359" i="3"/>
  <c r="F363" i="3"/>
  <c r="BC360" i="3"/>
  <c r="P365" i="3"/>
  <c r="Q521" i="3" s="1"/>
  <c r="T521" i="3" s="1"/>
  <c r="Z365" i="3"/>
  <c r="P366" i="3"/>
  <c r="AJ366" i="3"/>
  <c r="BA364" i="3"/>
  <c r="P368" i="3"/>
  <c r="Z368" i="3"/>
  <c r="AA524" i="3" s="1"/>
  <c r="AD524" i="3" s="1"/>
  <c r="Z369" i="3"/>
  <c r="AA525" i="3" s="1"/>
  <c r="AD525" i="3" s="1"/>
  <c r="AJ371" i="3"/>
  <c r="AS370" i="3"/>
  <c r="AV422" i="3" s="1"/>
  <c r="BC370" i="3"/>
  <c r="BB371" i="3"/>
  <c r="F375" i="3"/>
  <c r="G531" i="3" s="1"/>
  <c r="J531" i="3" s="1"/>
  <c r="BC372" i="3"/>
  <c r="AZ373" i="3"/>
  <c r="BA373" i="3"/>
  <c r="Z377" i="3"/>
  <c r="BC374" i="3"/>
  <c r="AZ375" i="3"/>
  <c r="AZ376" i="3"/>
  <c r="BE376" i="3" s="1"/>
  <c r="Z335" i="3"/>
  <c r="AA491" i="3" s="1"/>
  <c r="AD491" i="3" s="1"/>
  <c r="AB384" i="3"/>
  <c r="AJ335" i="3"/>
  <c r="AL384" i="3"/>
  <c r="F336" i="3"/>
  <c r="I336" i="3" s="1"/>
  <c r="H385" i="3"/>
  <c r="P337" i="3"/>
  <c r="Q493" i="3" s="1"/>
  <c r="T493" i="3" s="1"/>
  <c r="R386" i="3"/>
  <c r="Z337" i="3"/>
  <c r="AB386" i="3"/>
  <c r="AJ337" i="3"/>
  <c r="AL386" i="3"/>
  <c r="F338" i="3"/>
  <c r="H387" i="3"/>
  <c r="AZ336" i="3"/>
  <c r="H388" i="3"/>
  <c r="AJ342" i="3"/>
  <c r="AK498" i="3" s="1"/>
  <c r="AN498" i="3" s="1"/>
  <c r="AL391" i="3"/>
  <c r="BA340" i="3"/>
  <c r="R392" i="3"/>
  <c r="Z343" i="3"/>
  <c r="AB392" i="3"/>
  <c r="AJ343" i="3"/>
  <c r="AL392" i="3"/>
  <c r="BA341" i="3"/>
  <c r="R393" i="3"/>
  <c r="AZ342" i="3"/>
  <c r="H394" i="3"/>
  <c r="Z345" i="3"/>
  <c r="AA501" i="3" s="1"/>
  <c r="AD501" i="3" s="1"/>
  <c r="AB394" i="3"/>
  <c r="AS11" i="3"/>
  <c r="AS27" i="3"/>
  <c r="BD27" i="3" s="1"/>
  <c r="AS25" i="3"/>
  <c r="AS23" i="3"/>
  <c r="AS21" i="3"/>
  <c r="AS19" i="3"/>
  <c r="AS17" i="3"/>
  <c r="AS15" i="3"/>
  <c r="AS13" i="3"/>
  <c r="F34" i="3"/>
  <c r="AS35" i="3"/>
  <c r="BD35" i="3" s="1"/>
  <c r="Z39" i="3"/>
  <c r="AJ43" i="3"/>
  <c r="P42" i="3"/>
  <c r="P44" i="3"/>
  <c r="AJ45" i="3"/>
  <c r="P46" i="3"/>
  <c r="AJ48" i="3"/>
  <c r="AS46" i="3"/>
  <c r="BD46" i="3" s="1"/>
  <c r="AJ50" i="3"/>
  <c r="P50" i="3"/>
  <c r="AS55" i="3"/>
  <c r="BD55" i="3" s="1"/>
  <c r="AS57" i="3"/>
  <c r="Z61" i="3"/>
  <c r="F62" i="3"/>
  <c r="Z63" i="3"/>
  <c r="P66" i="3"/>
  <c r="Z68" i="3"/>
  <c r="F68" i="3"/>
  <c r="Z70" i="3"/>
  <c r="AJ70" i="3"/>
  <c r="AS68" i="3"/>
  <c r="AS71" i="3"/>
  <c r="AJ75" i="3"/>
  <c r="AS73" i="3"/>
  <c r="Z78" i="3"/>
  <c r="AJ86" i="3"/>
  <c r="P88" i="3"/>
  <c r="P92" i="3"/>
  <c r="Z144" i="3"/>
  <c r="AJ92" i="3"/>
  <c r="P93" i="3"/>
  <c r="Z145" i="3"/>
  <c r="Z93" i="3"/>
  <c r="F93" i="3"/>
  <c r="Z94" i="3"/>
  <c r="F94" i="3"/>
  <c r="P147" i="3"/>
  <c r="AJ95" i="3"/>
  <c r="AJ96" i="3"/>
  <c r="F101" i="3"/>
  <c r="Z153" i="3"/>
  <c r="AJ154" i="3"/>
  <c r="AJ155" i="3"/>
  <c r="F104" i="3"/>
  <c r="P208" i="3"/>
  <c r="Z104" i="3"/>
  <c r="AJ208" i="3"/>
  <c r="F105" i="3"/>
  <c r="Z105" i="3"/>
  <c r="Z106" i="3"/>
  <c r="F106" i="3"/>
  <c r="Z158" i="3"/>
  <c r="AS156" i="3"/>
  <c r="AJ211" i="3"/>
  <c r="AS203" i="3"/>
  <c r="BD203" i="3" s="1"/>
  <c r="AS195" i="3"/>
  <c r="BD195" i="3" s="1"/>
  <c r="P160" i="3"/>
  <c r="Z160" i="3"/>
  <c r="AS105" i="3"/>
  <c r="Z212" i="3"/>
  <c r="F212" i="3"/>
  <c r="Z110" i="3"/>
  <c r="F110" i="3"/>
  <c r="AS211" i="3"/>
  <c r="AJ163" i="3"/>
  <c r="F270" i="3"/>
  <c r="P270" i="3"/>
  <c r="AS259" i="3"/>
  <c r="P116" i="3"/>
  <c r="P272" i="3"/>
  <c r="AJ168" i="3"/>
  <c r="F272" i="3"/>
  <c r="AJ119" i="3"/>
  <c r="P119" i="3"/>
  <c r="F171" i="3"/>
  <c r="AS169" i="3"/>
  <c r="Z121" i="3"/>
  <c r="F121" i="3"/>
  <c r="AJ174" i="3"/>
  <c r="AS120" i="3"/>
  <c r="Z175" i="3"/>
  <c r="F175" i="3"/>
  <c r="AJ176" i="3"/>
  <c r="AS122" i="3"/>
  <c r="Z177" i="3"/>
  <c r="F177" i="3"/>
  <c r="AJ178" i="3"/>
  <c r="AS124" i="3"/>
  <c r="Z179" i="3"/>
  <c r="F179" i="3"/>
  <c r="AJ180" i="3"/>
  <c r="AM232" i="3" s="1"/>
  <c r="AS126" i="3"/>
  <c r="Z181" i="3"/>
  <c r="F181" i="3"/>
  <c r="AJ182" i="3"/>
  <c r="AS128" i="3"/>
  <c r="Z183" i="3"/>
  <c r="F183" i="3"/>
  <c r="Z184" i="3"/>
  <c r="F186" i="3"/>
  <c r="P134" i="3"/>
  <c r="Z134" i="3"/>
  <c r="F134" i="3"/>
  <c r="F135" i="3"/>
  <c r="P135" i="3"/>
  <c r="Z135" i="3"/>
  <c r="AJ187" i="3"/>
  <c r="AJ189" i="3"/>
  <c r="AS186" i="3"/>
  <c r="P190" i="3"/>
  <c r="AJ190" i="3"/>
  <c r="P191" i="3"/>
  <c r="AJ138" i="3"/>
  <c r="AS136" i="3"/>
  <c r="Z191" i="3"/>
  <c r="AC296" i="3"/>
  <c r="Z192" i="3"/>
  <c r="P193" i="3"/>
  <c r="AS193" i="3"/>
  <c r="AS191" i="3"/>
  <c r="BA273" i="3"/>
  <c r="BA286" i="3"/>
  <c r="BC283" i="3"/>
  <c r="BA242" i="3"/>
  <c r="BA239" i="3"/>
  <c r="BA237" i="3"/>
  <c r="BA231" i="3"/>
  <c r="BA229" i="3"/>
  <c r="AS241" i="3"/>
  <c r="BD241" i="3" s="1"/>
  <c r="AS233" i="3"/>
  <c r="BD233" i="3" s="1"/>
  <c r="AS225" i="3"/>
  <c r="BD225" i="3" s="1"/>
  <c r="AL371" i="3"/>
  <c r="R372" i="3"/>
  <c r="AL373" i="3"/>
  <c r="AS10" i="3"/>
  <c r="AS29" i="3"/>
  <c r="BD29" i="3" s="1"/>
  <c r="AS31" i="3"/>
  <c r="AS34" i="3"/>
  <c r="AS30" i="3"/>
  <c r="P33" i="3"/>
  <c r="Z34" i="3"/>
  <c r="Z32" i="3"/>
  <c r="AS33" i="3"/>
  <c r="BD33" i="3" s="1"/>
  <c r="P35" i="3"/>
  <c r="P13" i="3"/>
  <c r="P14" i="3"/>
  <c r="P15" i="3"/>
  <c r="Z15" i="3"/>
  <c r="AJ16" i="3"/>
  <c r="P17" i="3"/>
  <c r="F18" i="3"/>
  <c r="P18" i="3"/>
  <c r="F19" i="3"/>
  <c r="P19" i="3"/>
  <c r="AJ19" i="3"/>
  <c r="Z20" i="3"/>
  <c r="F21" i="3"/>
  <c r="P21" i="3"/>
  <c r="F22" i="3"/>
  <c r="P22" i="3"/>
  <c r="F23" i="3"/>
  <c r="P23" i="3"/>
  <c r="AJ23" i="3"/>
  <c r="Z24" i="3"/>
  <c r="F25" i="3"/>
  <c r="P25" i="3"/>
  <c r="AJ25" i="3"/>
  <c r="Z26" i="3"/>
  <c r="F27" i="3"/>
  <c r="P27" i="3"/>
  <c r="AJ27" i="3"/>
  <c r="Z28" i="3"/>
  <c r="F29" i="3"/>
  <c r="Z29" i="3"/>
  <c r="P30" i="3"/>
  <c r="F31" i="3"/>
  <c r="P31" i="3"/>
  <c r="BA11" i="3"/>
  <c r="BC34" i="3"/>
  <c r="BA34" i="3"/>
  <c r="BA31" i="3"/>
  <c r="AJ32" i="3"/>
  <c r="AJ35" i="3"/>
  <c r="P37" i="3"/>
  <c r="AS130" i="3"/>
  <c r="P133" i="3"/>
  <c r="Z33" i="3"/>
  <c r="F33" i="3"/>
  <c r="AJ34" i="3"/>
  <c r="AS32" i="3"/>
  <c r="F36" i="3"/>
  <c r="Z35" i="3"/>
  <c r="F35" i="3"/>
  <c r="F38" i="3"/>
  <c r="Z38" i="3"/>
  <c r="AJ38" i="3"/>
  <c r="AJ39" i="3"/>
  <c r="AS36" i="3"/>
  <c r="AJ42" i="3"/>
  <c r="Z43" i="3"/>
  <c r="Z44" i="3"/>
  <c r="F44" i="3"/>
  <c r="F45" i="3"/>
  <c r="AJ47" i="3"/>
  <c r="AS44" i="3"/>
  <c r="P48" i="3"/>
  <c r="Z48" i="3"/>
  <c r="F48" i="3"/>
  <c r="F49" i="3"/>
  <c r="P49" i="3"/>
  <c r="Z49" i="3"/>
  <c r="AJ54" i="3"/>
  <c r="P55" i="3"/>
  <c r="Z55" i="3"/>
  <c r="Z57" i="3"/>
  <c r="F57" i="3"/>
  <c r="P60" i="3"/>
  <c r="AJ69" i="3"/>
  <c r="AJ66" i="3"/>
  <c r="Z71" i="3"/>
  <c r="AJ73" i="3"/>
  <c r="Z75" i="3"/>
  <c r="F75" i="3"/>
  <c r="F77" i="3"/>
  <c r="AJ78" i="3"/>
  <c r="AJ79" i="3"/>
  <c r="AJ84" i="3"/>
  <c r="AS101" i="3"/>
  <c r="AS153" i="3"/>
  <c r="AS102" i="3"/>
  <c r="AS154" i="3"/>
  <c r="F157" i="3"/>
  <c r="AS206" i="3"/>
  <c r="BD206" i="3" s="1"/>
  <c r="AS202" i="3"/>
  <c r="AS198" i="3"/>
  <c r="AS194" i="3"/>
  <c r="BD194" i="3" s="1"/>
  <c r="AJ108" i="3"/>
  <c r="AS106" i="3"/>
  <c r="AS158" i="3"/>
  <c r="AJ212" i="3"/>
  <c r="AS210" i="3"/>
  <c r="BD210" i="3" s="1"/>
  <c r="AS109" i="3"/>
  <c r="AS161" i="3"/>
  <c r="AS213" i="3"/>
  <c r="F164" i="3"/>
  <c r="AS112" i="3"/>
  <c r="AS164" i="3"/>
  <c r="AS216" i="3"/>
  <c r="AS268" i="3"/>
  <c r="BD268" i="3" s="1"/>
  <c r="AS266" i="3"/>
  <c r="AS264" i="3"/>
  <c r="AS262" i="3"/>
  <c r="AS260" i="3"/>
  <c r="AS257" i="3"/>
  <c r="AS254" i="3"/>
  <c r="AS252" i="3"/>
  <c r="AS250" i="3"/>
  <c r="AS248" i="3"/>
  <c r="BD248" i="3" s="1"/>
  <c r="AS246" i="3"/>
  <c r="BD246" i="3" s="1"/>
  <c r="Z167" i="3"/>
  <c r="AJ121" i="3"/>
  <c r="AS119" i="3"/>
  <c r="AS171" i="3"/>
  <c r="AJ123" i="3"/>
  <c r="AS121" i="3"/>
  <c r="AS173" i="3"/>
  <c r="AJ125" i="3"/>
  <c r="AS123" i="3"/>
  <c r="AS175" i="3"/>
  <c r="AJ127" i="3"/>
  <c r="AS125" i="3"/>
  <c r="AS177" i="3"/>
  <c r="AJ129" i="3"/>
  <c r="AS127" i="3"/>
  <c r="AS179" i="3"/>
  <c r="AS38" i="3"/>
  <c r="AS40" i="3"/>
  <c r="AS42" i="3"/>
  <c r="AS47" i="3"/>
  <c r="BD47" i="3" s="1"/>
  <c r="Z147" i="3"/>
  <c r="F147" i="3"/>
  <c r="AS208" i="3"/>
  <c r="Z210" i="3"/>
  <c r="AS200" i="3"/>
  <c r="AS196" i="3"/>
  <c r="BD196" i="3" s="1"/>
  <c r="Z161" i="3"/>
  <c r="F161" i="3"/>
  <c r="AJ110" i="3"/>
  <c r="AS108" i="3"/>
  <c r="AS160" i="3"/>
  <c r="AJ214" i="3"/>
  <c r="AS212" i="3"/>
  <c r="AS111" i="3"/>
  <c r="AS163" i="3"/>
  <c r="AS215" i="3"/>
  <c r="F268" i="3"/>
  <c r="F265" i="3"/>
  <c r="F262" i="3"/>
  <c r="F260" i="3"/>
  <c r="P268" i="3"/>
  <c r="S268" i="3" s="1"/>
  <c r="P265" i="3"/>
  <c r="P261" i="3"/>
  <c r="P260" i="3"/>
  <c r="Z269" i="3"/>
  <c r="Z267" i="3"/>
  <c r="Z265" i="3"/>
  <c r="AC265" i="3" s="1"/>
  <c r="Z261" i="3"/>
  <c r="AJ270" i="3"/>
  <c r="AM270" i="3" s="1"/>
  <c r="AJ268" i="3"/>
  <c r="AJ265" i="3"/>
  <c r="AJ262" i="3"/>
  <c r="AJ260" i="3"/>
  <c r="AS267" i="3"/>
  <c r="BD267" i="3" s="1"/>
  <c r="AS265" i="3"/>
  <c r="BD265" i="3" s="1"/>
  <c r="AS263" i="3"/>
  <c r="AS261" i="3"/>
  <c r="AS258" i="3"/>
  <c r="BD258" i="3" s="1"/>
  <c r="AS256" i="3"/>
  <c r="AS253" i="3"/>
  <c r="AS251" i="3"/>
  <c r="AS249" i="3"/>
  <c r="AS247" i="3"/>
  <c r="AS255" i="3"/>
  <c r="BD255" i="3" s="1"/>
  <c r="Z168" i="3"/>
  <c r="Z116" i="3"/>
  <c r="AS217" i="3"/>
  <c r="AS269" i="3"/>
  <c r="P170" i="3"/>
  <c r="AJ118" i="3"/>
  <c r="AS168" i="3"/>
  <c r="Z170" i="3"/>
  <c r="P172" i="3"/>
  <c r="P121" i="3"/>
  <c r="AJ173" i="3"/>
  <c r="AJ122" i="3"/>
  <c r="Z122" i="3"/>
  <c r="F122" i="3"/>
  <c r="P176" i="3"/>
  <c r="AJ124" i="3"/>
  <c r="Z124" i="3"/>
  <c r="F124" i="3"/>
  <c r="P178" i="3"/>
  <c r="AJ126" i="3"/>
  <c r="Z126" i="3"/>
  <c r="F126" i="3"/>
  <c r="P180" i="3"/>
  <c r="AJ128" i="3"/>
  <c r="Z128" i="3"/>
  <c r="F128" i="3"/>
  <c r="P182" i="3"/>
  <c r="AJ130" i="3"/>
  <c r="Z130" i="3"/>
  <c r="F130" i="3"/>
  <c r="AJ132" i="3"/>
  <c r="F328" i="3"/>
  <c r="H377" i="3"/>
  <c r="P328" i="3"/>
  <c r="R377" i="3"/>
  <c r="F329" i="3"/>
  <c r="H378" i="3"/>
  <c r="P329" i="3"/>
  <c r="R378" i="3"/>
  <c r="F330" i="3"/>
  <c r="H379" i="3"/>
  <c r="P330" i="3"/>
  <c r="R379" i="3"/>
  <c r="F331" i="3"/>
  <c r="H380" i="3"/>
  <c r="P331" i="3"/>
  <c r="R380" i="3"/>
  <c r="F332" i="3"/>
  <c r="G488" i="3" s="1"/>
  <c r="J488" i="3" s="1"/>
  <c r="H381" i="3"/>
  <c r="P332" i="3"/>
  <c r="R381" i="3"/>
  <c r="F333" i="3"/>
  <c r="H382" i="3"/>
  <c r="P333" i="3"/>
  <c r="R382" i="3"/>
  <c r="F334" i="3"/>
  <c r="H383" i="3"/>
  <c r="AJ334" i="3"/>
  <c r="AK490" i="3" s="1"/>
  <c r="AN490" i="3" s="1"/>
  <c r="AL383" i="3"/>
  <c r="AZ374" i="3"/>
  <c r="F377" i="3"/>
  <c r="BA374" i="3"/>
  <c r="P377" i="3"/>
  <c r="BA375" i="3"/>
  <c r="P378" i="3"/>
  <c r="AS375" i="3"/>
  <c r="AV427" i="3" s="1"/>
  <c r="AJ378" i="3"/>
  <c r="BA376" i="3"/>
  <c r="BF376" i="3" s="1"/>
  <c r="P379" i="3"/>
  <c r="AS376" i="3"/>
  <c r="AV428" i="3" s="1"/>
  <c r="AJ379" i="3"/>
  <c r="AJ131" i="3"/>
  <c r="AS129" i="3"/>
  <c r="AJ184" i="3"/>
  <c r="AS181" i="3"/>
  <c r="F133" i="3"/>
  <c r="Z132" i="3"/>
  <c r="AC132" i="3" s="1"/>
  <c r="F132" i="3"/>
  <c r="P186" i="3"/>
  <c r="F137" i="3"/>
  <c r="Z137" i="3"/>
  <c r="Z189" i="3"/>
  <c r="F189" i="3"/>
  <c r="AJ137" i="3"/>
  <c r="AS135" i="3"/>
  <c r="AS187" i="3"/>
  <c r="Z139" i="3"/>
  <c r="F138" i="3"/>
  <c r="AS137" i="3"/>
  <c r="AJ192" i="3"/>
  <c r="AS189" i="3"/>
  <c r="Z193" i="3"/>
  <c r="BA275" i="3"/>
  <c r="BA278" i="3"/>
  <c r="BA284" i="3"/>
  <c r="BC281" i="3"/>
  <c r="AS277" i="3"/>
  <c r="AS238" i="3"/>
  <c r="AS234" i="3"/>
  <c r="AS230" i="3"/>
  <c r="AS226" i="3"/>
  <c r="AS222" i="3"/>
  <c r="P245" i="3"/>
  <c r="AJ245" i="3"/>
  <c r="AS297" i="3"/>
  <c r="Z299" i="3"/>
  <c r="AJ298" i="3"/>
  <c r="P298" i="3"/>
  <c r="F142" i="3"/>
  <c r="F299" i="3"/>
  <c r="AZ303" i="3"/>
  <c r="BC303" i="3"/>
  <c r="BC305" i="3"/>
  <c r="AZ307" i="3"/>
  <c r="BC307" i="3"/>
  <c r="AJ311" i="3"/>
  <c r="AZ313" i="3"/>
  <c r="AZ317" i="3"/>
  <c r="BC340" i="3"/>
  <c r="BC341" i="3"/>
  <c r="AZ344" i="3"/>
  <c r="BA344" i="3"/>
  <c r="BB344" i="3"/>
  <c r="BB346" i="3"/>
  <c r="AZ348" i="3"/>
  <c r="BB348" i="3"/>
  <c r="AS348" i="3"/>
  <c r="AZ349" i="3"/>
  <c r="BC352" i="3"/>
  <c r="AS358" i="3"/>
  <c r="AS368" i="3"/>
  <c r="BC368" i="3"/>
  <c r="AZ372" i="3"/>
  <c r="BA372" i="3"/>
  <c r="AB372" i="3"/>
  <c r="AL372" i="3"/>
  <c r="H373" i="3"/>
  <c r="F373" i="3"/>
  <c r="R373" i="3"/>
  <c r="P373" i="3"/>
  <c r="AS373" i="3"/>
  <c r="AV425" i="3" s="1"/>
  <c r="R374" i="3"/>
  <c r="P374" i="3"/>
  <c r="AB374" i="3"/>
  <c r="AL374" i="3"/>
  <c r="AJ374" i="3"/>
  <c r="R375" i="3"/>
  <c r="P375" i="3"/>
  <c r="AL375" i="3"/>
  <c r="R376" i="3"/>
  <c r="AL376" i="3"/>
  <c r="AJ376" i="3"/>
  <c r="Z328" i="3"/>
  <c r="AA484" i="3" s="1"/>
  <c r="AD484" i="3" s="1"/>
  <c r="AB377" i="3"/>
  <c r="AJ328" i="3"/>
  <c r="Z329" i="3"/>
  <c r="AB378" i="3"/>
  <c r="AJ329" i="3"/>
  <c r="AL378" i="3"/>
  <c r="Z330" i="3"/>
  <c r="AA486" i="3" s="1"/>
  <c r="AD486" i="3" s="1"/>
  <c r="AB379" i="3"/>
  <c r="AJ330" i="3"/>
  <c r="AK486" i="3" s="1"/>
  <c r="AN486" i="3" s="1"/>
  <c r="Z331" i="3"/>
  <c r="AB380" i="3"/>
  <c r="AJ331" i="3"/>
  <c r="AK487" i="3" s="1"/>
  <c r="AN487" i="3" s="1"/>
  <c r="Z332" i="3"/>
  <c r="AA488" i="3" s="1"/>
  <c r="AD488" i="3" s="1"/>
  <c r="AB381" i="3"/>
  <c r="AJ332" i="3"/>
  <c r="AK488" i="3" s="1"/>
  <c r="AN488" i="3" s="1"/>
  <c r="AL381" i="3"/>
  <c r="Z333" i="3"/>
  <c r="AA489" i="3" s="1"/>
  <c r="AD489" i="3" s="1"/>
  <c r="AB382" i="3"/>
  <c r="AJ333" i="3"/>
  <c r="AL382" i="3"/>
  <c r="AS331" i="3"/>
  <c r="R383" i="3"/>
  <c r="Z334" i="3"/>
  <c r="AA490" i="3" s="1"/>
  <c r="AD490" i="3" s="1"/>
  <c r="AB383" i="3"/>
  <c r="BB375" i="3"/>
  <c r="Z378" i="3"/>
  <c r="BB376" i="3"/>
  <c r="BG376" i="3" s="1"/>
  <c r="Z379" i="3"/>
  <c r="AJ135" i="3"/>
  <c r="AS133" i="3"/>
  <c r="AS185" i="3"/>
  <c r="Z140" i="3"/>
  <c r="F140" i="3"/>
  <c r="AS271" i="3"/>
  <c r="AS272" i="3"/>
  <c r="BD272" i="3" s="1"/>
  <c r="AS279" i="3"/>
  <c r="BD279" i="3" s="1"/>
  <c r="AS280" i="3"/>
  <c r="AS281" i="3"/>
  <c r="BD281" i="3" s="1"/>
  <c r="AS282" i="3"/>
  <c r="BD282" i="3" s="1"/>
  <c r="AS283" i="3"/>
  <c r="BD283" i="3" s="1"/>
  <c r="AS288" i="3"/>
  <c r="AS289" i="3"/>
  <c r="AS290" i="3"/>
  <c r="AS291" i="3"/>
  <c r="BD291" i="3" s="1"/>
  <c r="AS292" i="3"/>
  <c r="AS293" i="3"/>
  <c r="AS236" i="3"/>
  <c r="AS232" i="3"/>
  <c r="AS228" i="3"/>
  <c r="AS224" i="3"/>
  <c r="AS220" i="3"/>
  <c r="Z245" i="3"/>
  <c r="Z298" i="3"/>
  <c r="AJ297" i="3"/>
  <c r="AM349" i="3" s="1"/>
  <c r="AS294" i="3"/>
  <c r="F246" i="3"/>
  <c r="F298" i="3"/>
  <c r="F300" i="3"/>
  <c r="BA310" i="3"/>
  <c r="BA312" i="3"/>
  <c r="BA316" i="3"/>
  <c r="AZ320" i="3"/>
  <c r="BC320" i="3"/>
  <c r="AZ322" i="3"/>
  <c r="AS323" i="3"/>
  <c r="BC323" i="3"/>
  <c r="BH323" i="3" s="1"/>
  <c r="AZ324" i="3"/>
  <c r="BE324" i="3" s="1"/>
  <c r="BA325" i="3"/>
  <c r="BA326" i="3"/>
  <c r="BA327" i="3"/>
  <c r="BA328" i="3"/>
  <c r="BA329" i="3"/>
  <c r="BA330" i="3"/>
  <c r="AZ331" i="3"/>
  <c r="BC331" i="3"/>
  <c r="AS332" i="3"/>
  <c r="AV384" i="3" s="1"/>
  <c r="BC332" i="3"/>
  <c r="BC333" i="3"/>
  <c r="BC334" i="3"/>
  <c r="BA336" i="3"/>
  <c r="AZ350" i="3"/>
  <c r="P353" i="3"/>
  <c r="BC354" i="3"/>
  <c r="BC357" i="3"/>
  <c r="AZ358" i="3"/>
  <c r="BA358" i="3"/>
  <c r="BC359" i="3"/>
  <c r="AZ360" i="3"/>
  <c r="BA360" i="3"/>
  <c r="BB360" i="3"/>
  <c r="AS360" i="3"/>
  <c r="H372" i="3"/>
  <c r="F372" i="3"/>
  <c r="P372" i="3"/>
  <c r="AS372" i="3"/>
  <c r="AV424" i="3" s="1"/>
  <c r="AB373" i="3"/>
  <c r="Z373" i="3"/>
  <c r="H374" i="3"/>
  <c r="F374" i="3"/>
  <c r="BB374" i="3"/>
  <c r="AS374" i="3"/>
  <c r="AV426" i="3" s="1"/>
  <c r="H375" i="3"/>
  <c r="AB375" i="3"/>
  <c r="Z375" i="3"/>
  <c r="BC375" i="3"/>
  <c r="H376" i="3"/>
  <c r="AB376" i="3"/>
  <c r="Z376" i="3"/>
  <c r="BC376" i="3"/>
  <c r="BH376" i="3" s="1"/>
  <c r="AS51" i="3"/>
  <c r="P54" i="3"/>
  <c r="AJ59" i="3"/>
  <c r="AJ58" i="3"/>
  <c r="AS56" i="3"/>
  <c r="P59" i="3"/>
  <c r="P58" i="3"/>
  <c r="AS58" i="3"/>
  <c r="P61" i="3"/>
  <c r="F70" i="3"/>
  <c r="F69" i="3"/>
  <c r="AJ72" i="3"/>
  <c r="AJ71" i="3"/>
  <c r="AS69" i="3"/>
  <c r="P71" i="3"/>
  <c r="AS70" i="3"/>
  <c r="P73" i="3"/>
  <c r="Z74" i="3"/>
  <c r="Z72" i="3"/>
  <c r="F74" i="3"/>
  <c r="F72" i="3"/>
  <c r="AS72" i="3"/>
  <c r="P75" i="3"/>
  <c r="AJ77" i="3"/>
  <c r="AJ76" i="3"/>
  <c r="AS74" i="3"/>
  <c r="P76" i="3"/>
  <c r="AS75" i="3"/>
  <c r="P78" i="3"/>
  <c r="AS76" i="3"/>
  <c r="P79" i="3"/>
  <c r="AS77" i="3"/>
  <c r="P80" i="3"/>
  <c r="AS80" i="3"/>
  <c r="P82" i="3"/>
  <c r="AJ146" i="3"/>
  <c r="AJ145" i="3"/>
  <c r="AJ144" i="3"/>
  <c r="AS144" i="3"/>
  <c r="P146" i="3"/>
  <c r="P145" i="3"/>
  <c r="P144" i="3"/>
  <c r="AS94" i="3"/>
  <c r="P97" i="3"/>
  <c r="AS147" i="3"/>
  <c r="P150" i="3"/>
  <c r="AS149" i="3"/>
  <c r="P152" i="3"/>
  <c r="AS151" i="3"/>
  <c r="P154" i="3"/>
  <c r="AS66" i="3"/>
  <c r="AS96" i="3"/>
  <c r="AS98" i="3"/>
  <c r="AS100" i="3"/>
  <c r="AJ52" i="3"/>
  <c r="AJ51" i="3"/>
  <c r="AS49" i="3"/>
  <c r="P51" i="3"/>
  <c r="Z53" i="3"/>
  <c r="Z52" i="3"/>
  <c r="F53" i="3"/>
  <c r="F52" i="3"/>
  <c r="F55" i="3"/>
  <c r="F54" i="3"/>
  <c r="AS54" i="3"/>
  <c r="P56" i="3"/>
  <c r="F63" i="3"/>
  <c r="AS60" i="3"/>
  <c r="F66" i="3"/>
  <c r="F65" i="3"/>
  <c r="AJ67" i="3"/>
  <c r="AJ65" i="3"/>
  <c r="AS64" i="3"/>
  <c r="P67" i="3"/>
  <c r="P65" i="3"/>
  <c r="AS82" i="3"/>
  <c r="P84" i="3"/>
  <c r="AS83" i="3"/>
  <c r="P86" i="3"/>
  <c r="Z87" i="3"/>
  <c r="Z86" i="3"/>
  <c r="Z85" i="3"/>
  <c r="F87" i="3"/>
  <c r="F86" i="3"/>
  <c r="F85" i="3"/>
  <c r="AS92" i="3"/>
  <c r="P95" i="3"/>
  <c r="AJ149" i="3"/>
  <c r="AJ148" i="3"/>
  <c r="AS146" i="3"/>
  <c r="P148" i="3"/>
  <c r="AS148" i="3"/>
  <c r="P151" i="3"/>
  <c r="AS150" i="3"/>
  <c r="P153" i="3"/>
  <c r="AS152" i="3"/>
  <c r="P155" i="3"/>
  <c r="P32" i="3"/>
  <c r="P34" i="3"/>
  <c r="P36" i="3"/>
  <c r="AJ36" i="3"/>
  <c r="F37" i="3"/>
  <c r="Z37" i="3"/>
  <c r="P39" i="3"/>
  <c r="P40" i="3"/>
  <c r="F41" i="3"/>
  <c r="Z41" i="3"/>
  <c r="P43" i="3"/>
  <c r="P45" i="3"/>
  <c r="P47" i="3"/>
  <c r="AJ49" i="3"/>
  <c r="F50" i="3"/>
  <c r="Z50" i="3"/>
  <c r="P53" i="3"/>
  <c r="AJ53" i="3"/>
  <c r="AJ56" i="3"/>
  <c r="F59" i="3"/>
  <c r="Z59" i="3"/>
  <c r="Z60" i="3"/>
  <c r="F60" i="3"/>
  <c r="F61" i="3"/>
  <c r="Z65" i="3"/>
  <c r="Z66" i="3"/>
  <c r="Z67" i="3"/>
  <c r="Z69" i="3"/>
  <c r="P70" i="3"/>
  <c r="F73" i="3"/>
  <c r="P74" i="3"/>
  <c r="F76" i="3"/>
  <c r="P77" i="3"/>
  <c r="P81" i="3"/>
  <c r="AJ81" i="3"/>
  <c r="AS78" i="3"/>
  <c r="Z82" i="3"/>
  <c r="Z81" i="3"/>
  <c r="F81" i="3"/>
  <c r="P83" i="3"/>
  <c r="F84" i="3"/>
  <c r="BG168" i="3"/>
  <c r="BG169" i="3" s="1"/>
  <c r="BG170" i="3" s="1"/>
  <c r="BG171" i="3" s="1"/>
  <c r="BG172" i="3" s="1"/>
  <c r="Z88" i="3"/>
  <c r="F88" i="3"/>
  <c r="Z92" i="3"/>
  <c r="F92" i="3"/>
  <c r="AS95" i="3"/>
  <c r="AS97" i="3"/>
  <c r="AS99" i="3"/>
  <c r="AS115" i="3"/>
  <c r="P118" i="3"/>
  <c r="F119" i="3"/>
  <c r="AS116" i="3"/>
  <c r="F118" i="3"/>
  <c r="Z120" i="3"/>
  <c r="Z119" i="3"/>
  <c r="Z117" i="3"/>
  <c r="AS166" i="3"/>
  <c r="AS270" i="3"/>
  <c r="F156" i="3"/>
  <c r="P156" i="3"/>
  <c r="Z156" i="3"/>
  <c r="Z260" i="3"/>
  <c r="F261" i="3"/>
  <c r="P157" i="3"/>
  <c r="Z157" i="3"/>
  <c r="AJ261" i="3"/>
  <c r="R262" i="3"/>
  <c r="P106" i="3"/>
  <c r="P210" i="3"/>
  <c r="AJ158" i="3"/>
  <c r="H263" i="3"/>
  <c r="F211" i="3"/>
  <c r="R263" i="3"/>
  <c r="P107" i="3"/>
  <c r="P211" i="3"/>
  <c r="AB263" i="3"/>
  <c r="Z211" i="3"/>
  <c r="AL263" i="3"/>
  <c r="AJ107" i="3"/>
  <c r="R264" i="3"/>
  <c r="P108" i="3"/>
  <c r="P212" i="3"/>
  <c r="AB264" i="3"/>
  <c r="AL264" i="3"/>
  <c r="P161" i="3"/>
  <c r="H266" i="3"/>
  <c r="P110" i="3"/>
  <c r="P214" i="3"/>
  <c r="AB266" i="3"/>
  <c r="F163" i="3"/>
  <c r="F267" i="3"/>
  <c r="P163" i="3"/>
  <c r="P267" i="3"/>
  <c r="Z163" i="3"/>
  <c r="AJ267" i="3"/>
  <c r="P164" i="3"/>
  <c r="Z164" i="3"/>
  <c r="Z268" i="3"/>
  <c r="H269" i="3"/>
  <c r="R269" i="3"/>
  <c r="P113" i="3"/>
  <c r="P217" i="3"/>
  <c r="AJ165" i="3"/>
  <c r="AJ269" i="3"/>
  <c r="F166" i="3"/>
  <c r="P166" i="3"/>
  <c r="Z166" i="3"/>
  <c r="Z270" i="3"/>
  <c r="F167" i="3"/>
  <c r="F271" i="3"/>
  <c r="P167" i="3"/>
  <c r="P271" i="3"/>
  <c r="P168" i="3"/>
  <c r="AJ116" i="3"/>
  <c r="F117" i="3"/>
  <c r="P169" i="3"/>
  <c r="AJ117" i="3"/>
  <c r="AS114" i="3"/>
  <c r="AV114" i="3" s="1"/>
  <c r="AS218" i="3"/>
  <c r="AS167" i="3"/>
  <c r="P120" i="3"/>
  <c r="AJ172" i="3"/>
  <c r="P173" i="3"/>
  <c r="P122" i="3"/>
  <c r="P175" i="3"/>
  <c r="P124" i="3"/>
  <c r="P177" i="3"/>
  <c r="P126" i="3"/>
  <c r="P179" i="3"/>
  <c r="P128" i="3"/>
  <c r="P181" i="3"/>
  <c r="P130" i="3"/>
  <c r="P183" i="3"/>
  <c r="P132" i="3"/>
  <c r="AJ186" i="3"/>
  <c r="P187" i="3"/>
  <c r="P136" i="3"/>
  <c r="P189" i="3"/>
  <c r="P138" i="3"/>
  <c r="Z138" i="3"/>
  <c r="P139" i="3"/>
  <c r="AJ191" i="3"/>
  <c r="P140" i="3"/>
  <c r="BA272" i="3"/>
  <c r="BA274" i="3"/>
  <c r="BA276" i="3"/>
  <c r="BC280" i="3"/>
  <c r="BC282" i="3"/>
  <c r="AS273" i="3"/>
  <c r="AS274" i="3"/>
  <c r="AS275" i="3"/>
  <c r="AS276" i="3"/>
  <c r="AS278" i="3"/>
  <c r="AS284" i="3"/>
  <c r="AS285" i="3"/>
  <c r="AS286" i="3"/>
  <c r="AS287" i="3"/>
  <c r="AS240" i="3"/>
  <c r="F339" i="3"/>
  <c r="AS336" i="3"/>
  <c r="AV388" i="3" s="1"/>
  <c r="Z339" i="3"/>
  <c r="AB336" i="3"/>
  <c r="BB336" i="3"/>
  <c r="F340" i="3"/>
  <c r="AS337" i="3"/>
  <c r="AV389" i="3" s="1"/>
  <c r="H337" i="3"/>
  <c r="AZ337" i="3"/>
  <c r="Z340" i="3"/>
  <c r="AB337" i="3"/>
  <c r="BB337" i="3"/>
  <c r="F341" i="3"/>
  <c r="AS338" i="3"/>
  <c r="AV390" i="3" s="1"/>
  <c r="H338" i="3"/>
  <c r="AZ338" i="3"/>
  <c r="Z341" i="3"/>
  <c r="AB338" i="3"/>
  <c r="BB338" i="3"/>
  <c r="F342" i="3"/>
  <c r="AS339" i="3"/>
  <c r="AV391" i="3" s="1"/>
  <c r="H339" i="3"/>
  <c r="AZ339" i="3"/>
  <c r="Z342" i="3"/>
  <c r="AB339" i="3"/>
  <c r="BB339" i="3"/>
  <c r="P297" i="3"/>
  <c r="Z297" i="3"/>
  <c r="AJ300" i="3"/>
  <c r="Z300" i="3"/>
  <c r="P300" i="3"/>
  <c r="AS296" i="3"/>
  <c r="H298" i="3"/>
  <c r="F302" i="3"/>
  <c r="BA302" i="3"/>
  <c r="Z305" i="3"/>
  <c r="Z306" i="3"/>
  <c r="AJ306" i="3"/>
  <c r="P309" i="3"/>
  <c r="Z316" i="3"/>
  <c r="AZ314" i="3"/>
  <c r="BB314" i="3"/>
  <c r="AS322" i="3"/>
  <c r="BA322" i="3"/>
  <c r="BB322" i="3"/>
  <c r="BC322" i="3"/>
  <c r="BA323" i="3"/>
  <c r="BF323" i="3" s="1"/>
  <c r="AS324" i="3"/>
  <c r="BA324" i="3"/>
  <c r="BB324" i="3"/>
  <c r="AZ325" i="3"/>
  <c r="H325" i="3"/>
  <c r="BB325" i="3"/>
  <c r="AB325" i="3"/>
  <c r="BC325" i="3"/>
  <c r="AS325" i="3"/>
  <c r="AV377" i="3" s="1"/>
  <c r="AL325" i="3"/>
  <c r="AZ326" i="3"/>
  <c r="H326" i="3"/>
  <c r="BB326" i="3"/>
  <c r="AB326" i="3"/>
  <c r="BC326" i="3"/>
  <c r="AS326" i="3"/>
  <c r="AV378" i="3" s="1"/>
  <c r="AL326" i="3"/>
  <c r="AZ327" i="3"/>
  <c r="H327" i="3"/>
  <c r="BB327" i="3"/>
  <c r="AB327" i="3"/>
  <c r="BC327" i="3"/>
  <c r="AS327" i="3"/>
  <c r="AV379" i="3" s="1"/>
  <c r="AL327" i="3"/>
  <c r="AZ328" i="3"/>
  <c r="H328" i="3"/>
  <c r="BB328" i="3"/>
  <c r="AB328" i="3"/>
  <c r="BC328" i="3"/>
  <c r="AS328" i="3"/>
  <c r="AV380" i="3" s="1"/>
  <c r="AL328" i="3"/>
  <c r="AZ329" i="3"/>
  <c r="H329" i="3"/>
  <c r="BB329" i="3"/>
  <c r="AB329" i="3"/>
  <c r="BC329" i="3"/>
  <c r="AS329" i="3"/>
  <c r="AV381" i="3" s="1"/>
  <c r="AL329" i="3"/>
  <c r="AZ330" i="3"/>
  <c r="H330" i="3"/>
  <c r="BB330" i="3"/>
  <c r="AB330" i="3"/>
  <c r="BC330" i="3"/>
  <c r="AS330" i="3"/>
  <c r="AV382" i="3" s="1"/>
  <c r="AL330" i="3"/>
  <c r="BA331" i="3"/>
  <c r="R331" i="3"/>
  <c r="BA332" i="3"/>
  <c r="R332" i="3"/>
  <c r="BA333" i="3"/>
  <c r="R333" i="3"/>
  <c r="BA334" i="3"/>
  <c r="R334" i="3"/>
  <c r="P334" i="3"/>
  <c r="BA335" i="3"/>
  <c r="R335" i="3"/>
  <c r="P335" i="3"/>
  <c r="AJ338" i="3"/>
  <c r="AL343" i="3"/>
  <c r="H346" i="3"/>
  <c r="AB347" i="3"/>
  <c r="R350" i="3"/>
  <c r="AB353" i="3"/>
  <c r="AJ339" i="3"/>
  <c r="AL336" i="3"/>
  <c r="BC336" i="3"/>
  <c r="AJ340" i="3"/>
  <c r="AL337" i="3"/>
  <c r="BC337" i="3"/>
  <c r="AJ341" i="3"/>
  <c r="AL338" i="3"/>
  <c r="BC338" i="3"/>
  <c r="AS333" i="3"/>
  <c r="AV385" i="3" s="1"/>
  <c r="AS334" i="3"/>
  <c r="AV386" i="3" s="1"/>
  <c r="AS335" i="3"/>
  <c r="AV387" i="3" s="1"/>
  <c r="R342" i="3"/>
  <c r="H345" i="3"/>
  <c r="AB345" i="3"/>
  <c r="AL347" i="3"/>
  <c r="H348" i="3"/>
  <c r="R348" i="3"/>
  <c r="AL348" i="3"/>
  <c r="R352" i="3"/>
  <c r="R356" i="3"/>
  <c r="AZ355" i="3"/>
  <c r="F358" i="3"/>
  <c r="Z358" i="3"/>
  <c r="BB355" i="3"/>
  <c r="AS355" i="3"/>
  <c r="AV407" i="3" s="1"/>
  <c r="AJ358" i="3"/>
  <c r="Z359" i="3"/>
  <c r="BB356" i="3"/>
  <c r="BC339" i="3"/>
  <c r="H340" i="3"/>
  <c r="R340" i="3"/>
  <c r="AB340" i="3"/>
  <c r="AL340" i="3"/>
  <c r="H341" i="3"/>
  <c r="AB341" i="3"/>
  <c r="AL341" i="3"/>
  <c r="BA342" i="3"/>
  <c r="BB342" i="3"/>
  <c r="AS342" i="3"/>
  <c r="AV394" i="3" s="1"/>
  <c r="AL342" i="3"/>
  <c r="BA343" i="3"/>
  <c r="R343" i="3"/>
  <c r="P343" i="3"/>
  <c r="AB343" i="3"/>
  <c r="AS344" i="3"/>
  <c r="AV396" i="3" s="1"/>
  <c r="P344" i="3"/>
  <c r="R344" i="3"/>
  <c r="Z344" i="3"/>
  <c r="AB344" i="3"/>
  <c r="AL344" i="3"/>
  <c r="P345" i="3"/>
  <c r="AZ346" i="3"/>
  <c r="BA346" i="3"/>
  <c r="R346" i="3"/>
  <c r="AB346" i="3"/>
  <c r="BC346" i="3"/>
  <c r="AZ347" i="3"/>
  <c r="H347" i="3"/>
  <c r="R347" i="3"/>
  <c r="AJ347" i="3"/>
  <c r="F348" i="3"/>
  <c r="AB348" i="3"/>
  <c r="Z348" i="3"/>
  <c r="H349" i="3"/>
  <c r="F349" i="3"/>
  <c r="R349" i="3"/>
  <c r="AB349" i="3"/>
  <c r="AS349" i="3"/>
  <c r="AV401" i="3" s="1"/>
  <c r="AL349" i="3"/>
  <c r="H350" i="3"/>
  <c r="F350" i="3"/>
  <c r="BA351" i="3"/>
  <c r="AB351" i="3"/>
  <c r="H352" i="3"/>
  <c r="AB352" i="3"/>
  <c r="Z352" i="3"/>
  <c r="AJ352" i="3"/>
  <c r="BA353" i="3"/>
  <c r="BB353" i="3"/>
  <c r="AZ354" i="3"/>
  <c r="BA354" i="3"/>
  <c r="R354" i="3"/>
  <c r="P354" i="3"/>
  <c r="AS354" i="3"/>
  <c r="AV406" i="3" s="1"/>
  <c r="H355" i="3"/>
  <c r="F355" i="3"/>
  <c r="Z355" i="3"/>
  <c r="Z356" i="3"/>
  <c r="AL365" i="3"/>
  <c r="H367" i="3"/>
  <c r="AB367" i="3"/>
  <c r="AB369" i="3"/>
  <c r="AL370" i="3"/>
  <c r="AB371" i="3"/>
  <c r="AZ353" i="3"/>
  <c r="F356" i="3"/>
  <c r="BA355" i="3"/>
  <c r="P358" i="3"/>
  <c r="BA356" i="3"/>
  <c r="P359" i="3"/>
  <c r="AS340" i="3"/>
  <c r="AV392" i="3" s="1"/>
  <c r="R341" i="3"/>
  <c r="P341" i="3"/>
  <c r="AS341" i="3"/>
  <c r="AV393" i="3" s="1"/>
  <c r="P342" i="3"/>
  <c r="AB342" i="3"/>
  <c r="H343" i="3"/>
  <c r="F343" i="3"/>
  <c r="AS343" i="3"/>
  <c r="AV395" i="3" s="1"/>
  <c r="F344" i="3"/>
  <c r="AS345" i="3"/>
  <c r="AV397" i="3" s="1"/>
  <c r="F345" i="3"/>
  <c r="F346" i="3"/>
  <c r="AS346" i="3"/>
  <c r="AV398" i="3" s="1"/>
  <c r="AL346" i="3"/>
  <c r="AJ346" i="3"/>
  <c r="AB350" i="3"/>
  <c r="Z350" i="3"/>
  <c r="AL350" i="3"/>
  <c r="AJ350" i="3"/>
  <c r="R351" i="3"/>
  <c r="P351" i="3"/>
  <c r="AS351" i="3"/>
  <c r="AV403" i="3" s="1"/>
  <c r="AL351" i="3"/>
  <c r="AJ351" i="3"/>
  <c r="AS352" i="3"/>
  <c r="AV404" i="3" s="1"/>
  <c r="H353" i="3"/>
  <c r="F353" i="3"/>
  <c r="R353" i="3"/>
  <c r="Z353" i="3"/>
  <c r="AL353" i="3"/>
  <c r="H354" i="3"/>
  <c r="F354" i="3"/>
  <c r="Z354" i="3"/>
  <c r="AL354" i="3"/>
  <c r="AJ354" i="3"/>
  <c r="R355" i="3"/>
  <c r="P355" i="3"/>
  <c r="AL356" i="3"/>
  <c r="H361" i="3"/>
  <c r="AL361" i="3"/>
  <c r="AL362" i="3"/>
  <c r="H366" i="3"/>
  <c r="AL367" i="3"/>
  <c r="AL368" i="3"/>
  <c r="H356" i="3"/>
  <c r="AS356" i="3"/>
  <c r="AV408" i="3" s="1"/>
  <c r="AZ357" i="3"/>
  <c r="R357" i="3"/>
  <c r="AB357" i="3"/>
  <c r="AL357" i="3"/>
  <c r="H358" i="3"/>
  <c r="AB358" i="3"/>
  <c r="AL358" i="3"/>
  <c r="R359" i="3"/>
  <c r="AB359" i="3"/>
  <c r="AL359" i="3"/>
  <c r="AJ359" i="3"/>
  <c r="H360" i="3"/>
  <c r="F360" i="3"/>
  <c r="R360" i="3"/>
  <c r="P360" i="3"/>
  <c r="AB360" i="3"/>
  <c r="AZ361" i="3"/>
  <c r="AB361" i="3"/>
  <c r="Z361" i="3"/>
  <c r="BC361" i="3"/>
  <c r="AZ362" i="3"/>
  <c r="BA362" i="3"/>
  <c r="R362" i="3"/>
  <c r="P362" i="3"/>
  <c r="AB362" i="3"/>
  <c r="BC362" i="3"/>
  <c r="AZ363" i="3"/>
  <c r="BA363" i="3"/>
  <c r="R363" i="3"/>
  <c r="AS363" i="3"/>
  <c r="AV415" i="3" s="1"/>
  <c r="H364" i="3"/>
  <c r="F364" i="3"/>
  <c r="R364" i="3"/>
  <c r="P364" i="3"/>
  <c r="AZ365" i="3"/>
  <c r="BA365" i="3"/>
  <c r="R365" i="3"/>
  <c r="AS365" i="3"/>
  <c r="AV417" i="3" s="1"/>
  <c r="AZ366" i="3"/>
  <c r="BA366" i="3"/>
  <c r="BB366" i="3"/>
  <c r="AZ367" i="3"/>
  <c r="BB367" i="3"/>
  <c r="AS367" i="3"/>
  <c r="AV419" i="3" s="1"/>
  <c r="AZ368" i="3"/>
  <c r="BA368" i="3"/>
  <c r="R368" i="3"/>
  <c r="AB368" i="3"/>
  <c r="AJ368" i="3"/>
  <c r="H369" i="3"/>
  <c r="F369" i="3"/>
  <c r="BB369" i="3"/>
  <c r="AZ370" i="3"/>
  <c r="H370" i="3"/>
  <c r="F370" i="3"/>
  <c r="R370" i="3"/>
  <c r="P370" i="3"/>
  <c r="AB370" i="3"/>
  <c r="Z370" i="3"/>
  <c r="AJ370" i="3"/>
  <c r="H371" i="3"/>
  <c r="F371" i="3"/>
  <c r="AS371" i="3"/>
  <c r="AV423" i="3" s="1"/>
  <c r="H357" i="3"/>
  <c r="H359" i="3"/>
  <c r="F359" i="3"/>
  <c r="AS359" i="3"/>
  <c r="AV411" i="3" s="1"/>
  <c r="AS361" i="3"/>
  <c r="AV413" i="3" s="1"/>
  <c r="H362" i="3"/>
  <c r="F362" i="3"/>
  <c r="AS362" i="3"/>
  <c r="AV414" i="3" s="1"/>
  <c r="H363" i="3"/>
  <c r="AB363" i="3"/>
  <c r="AL363" i="3"/>
  <c r="AB364" i="3"/>
  <c r="Z364" i="3"/>
  <c r="AJ364" i="3"/>
  <c r="AS364" i="3"/>
  <c r="AV416" i="3" s="1"/>
  <c r="H365" i="3"/>
  <c r="AJ365" i="3"/>
  <c r="R366" i="3"/>
  <c r="AB366" i="3"/>
  <c r="Z366" i="3"/>
  <c r="AS366" i="3"/>
  <c r="AV418" i="3" s="1"/>
  <c r="AL366" i="3"/>
  <c r="F367" i="3"/>
  <c r="Z367" i="3"/>
  <c r="AJ367" i="3"/>
  <c r="H368" i="3"/>
  <c r="R369" i="3"/>
  <c r="AS369" i="3"/>
  <c r="AL369" i="3"/>
  <c r="AJ369" i="3"/>
  <c r="R371" i="3"/>
  <c r="Z371" i="3"/>
  <c r="BC371" i="3"/>
  <c r="BC369" i="3"/>
  <c r="BC366" i="3"/>
  <c r="AL364" i="3"/>
  <c r="BC355" i="3"/>
  <c r="BC349" i="3"/>
  <c r="BC344" i="3"/>
  <c r="AC188" i="3" l="1"/>
  <c r="S150" i="3"/>
  <c r="AC343" i="3"/>
  <c r="AV70" i="3"/>
  <c r="AC88" i="3"/>
  <c r="S154" i="3"/>
  <c r="AV77" i="3"/>
  <c r="AM77" i="3"/>
  <c r="I315" i="3"/>
  <c r="I134" i="3"/>
  <c r="I151" i="3"/>
  <c r="S81" i="3"/>
  <c r="AM96" i="3"/>
  <c r="I334" i="3"/>
  <c r="AM278" i="3"/>
  <c r="AC293" i="3"/>
  <c r="AV358" i="3"/>
  <c r="AC152" i="3"/>
  <c r="I76" i="3"/>
  <c r="AV64" i="3"/>
  <c r="AV261" i="3"/>
  <c r="AC264" i="3"/>
  <c r="Q326" i="3"/>
  <c r="T326" i="3" s="1"/>
  <c r="S82" i="3"/>
  <c r="AC103" i="3"/>
  <c r="I88" i="3"/>
  <c r="S73" i="3"/>
  <c r="S77" i="3"/>
  <c r="AM235" i="3"/>
  <c r="AV123" i="3"/>
  <c r="S130" i="3"/>
  <c r="AV94" i="3"/>
  <c r="AM287" i="3"/>
  <c r="I322" i="3"/>
  <c r="G371" i="3"/>
  <c r="J371" i="3" s="1"/>
  <c r="AM329" i="3"/>
  <c r="AC319" i="3"/>
  <c r="I147" i="3"/>
  <c r="AM78" i="3"/>
  <c r="AC71" i="3"/>
  <c r="AM67" i="3"/>
  <c r="AK325" i="3"/>
  <c r="AN325" i="3" s="1"/>
  <c r="AV92" i="3"/>
  <c r="AV100" i="3"/>
  <c r="AV96" i="3"/>
  <c r="AV72" i="3"/>
  <c r="AV304" i="3"/>
  <c r="I108" i="3"/>
  <c r="I81" i="3"/>
  <c r="AM155" i="3"/>
  <c r="S120" i="3"/>
  <c r="AM211" i="3"/>
  <c r="AC141" i="3"/>
  <c r="I357" i="3"/>
  <c r="AM263" i="3"/>
  <c r="S248" i="3"/>
  <c r="AM248" i="3"/>
  <c r="BE120" i="3"/>
  <c r="BE121" i="3" s="1"/>
  <c r="BE122" i="3" s="1"/>
  <c r="BE123" i="3" s="1"/>
  <c r="BE124" i="3" s="1"/>
  <c r="BE125" i="3" s="1"/>
  <c r="BE126" i="3" s="1"/>
  <c r="BE127" i="3" s="1"/>
  <c r="BE128" i="3" s="1"/>
  <c r="BE129" i="3" s="1"/>
  <c r="BE130" i="3" s="1"/>
  <c r="BE131" i="3" s="1"/>
  <c r="BE132" i="3" s="1"/>
  <c r="BE133" i="3" s="1"/>
  <c r="BE134" i="3" s="1"/>
  <c r="BE135" i="3" s="1"/>
  <c r="BE136" i="3" s="1"/>
  <c r="BE137" i="3" s="1"/>
  <c r="BE138" i="3" s="1"/>
  <c r="BE139" i="3" s="1"/>
  <c r="BE140" i="3" s="1"/>
  <c r="BE141" i="3" s="1"/>
  <c r="BE142" i="3" s="1"/>
  <c r="BE143" i="3" s="1"/>
  <c r="BE144" i="3" s="1"/>
  <c r="BE145" i="3" s="1"/>
  <c r="BE146" i="3" s="1"/>
  <c r="BE147" i="3" s="1"/>
  <c r="BE148" i="3" s="1"/>
  <c r="BE149" i="3" s="1"/>
  <c r="BE150" i="3" s="1"/>
  <c r="BE151" i="3" s="1"/>
  <c r="BE152" i="3" s="1"/>
  <c r="BE153" i="3" s="1"/>
  <c r="BE154" i="3" s="1"/>
  <c r="BE155" i="3" s="1"/>
  <c r="BE156" i="3" s="1"/>
  <c r="BE157" i="3" s="1"/>
  <c r="BE158" i="3" s="1"/>
  <c r="BE159" i="3" s="1"/>
  <c r="BE160" i="3" s="1"/>
  <c r="BE161" i="3" s="1"/>
  <c r="BE162" i="3" s="1"/>
  <c r="BE163" i="3" s="1"/>
  <c r="BE164" i="3" s="1"/>
  <c r="BE165" i="3" s="1"/>
  <c r="BE166" i="3" s="1"/>
  <c r="AC272" i="3"/>
  <c r="AM325" i="3"/>
  <c r="AM344" i="3"/>
  <c r="I94" i="3"/>
  <c r="I65" i="3"/>
  <c r="AV302" i="3"/>
  <c r="G339" i="3"/>
  <c r="J339" i="3" s="1"/>
  <c r="AT315" i="3"/>
  <c r="I282" i="3"/>
  <c r="AA351" i="3"/>
  <c r="AD351" i="3" s="1"/>
  <c r="AV66" i="3"/>
  <c r="S285" i="3"/>
  <c r="AA256" i="3"/>
  <c r="AD256" i="3" s="1"/>
  <c r="AC114" i="3"/>
  <c r="AK299" i="3"/>
  <c r="AN299" i="3" s="1"/>
  <c r="AC254" i="3"/>
  <c r="AA344" i="3"/>
  <c r="AD344" i="3" s="1"/>
  <c r="S249" i="3"/>
  <c r="Q353" i="3"/>
  <c r="T353" i="3" s="1"/>
  <c r="S71" i="3"/>
  <c r="S139" i="3"/>
  <c r="AM107" i="3"/>
  <c r="AC117" i="3"/>
  <c r="AM81" i="3"/>
  <c r="S280" i="3"/>
  <c r="AC83" i="3"/>
  <c r="I259" i="3"/>
  <c r="S79" i="3"/>
  <c r="AM135" i="3"/>
  <c r="I130" i="3"/>
  <c r="AV301" i="3"/>
  <c r="BF272" i="3"/>
  <c r="BF273" i="3" s="1"/>
  <c r="BF274" i="3" s="1"/>
  <c r="BF275" i="3" s="1"/>
  <c r="BF276" i="3" s="1"/>
  <c r="BF277" i="3" s="1"/>
  <c r="BF278" i="3" s="1"/>
  <c r="BF279" i="3" s="1"/>
  <c r="BF280" i="3" s="1"/>
  <c r="BF281" i="3" s="1"/>
  <c r="BF282" i="3" s="1"/>
  <c r="BF283" i="3" s="1"/>
  <c r="BF284" i="3" s="1"/>
  <c r="BF285" i="3" s="1"/>
  <c r="BF286" i="3" s="1"/>
  <c r="BF287" i="3" s="1"/>
  <c r="BF288" i="3" s="1"/>
  <c r="BF289" i="3" s="1"/>
  <c r="BF290" i="3" s="1"/>
  <c r="BF291" i="3" s="1"/>
  <c r="BF292" i="3" s="1"/>
  <c r="BF293" i="3" s="1"/>
  <c r="BF294" i="3" s="1"/>
  <c r="BF295" i="3" s="1"/>
  <c r="BF296" i="3" s="1"/>
  <c r="BF297" i="3" s="1"/>
  <c r="BF298" i="3" s="1"/>
  <c r="BF299" i="3" s="1"/>
  <c r="BF300" i="3" s="1"/>
  <c r="BF301" i="3" s="1"/>
  <c r="BF302" i="3" s="1"/>
  <c r="BF303" i="3" s="1"/>
  <c r="BF304" i="3" s="1"/>
  <c r="BF305" i="3" s="1"/>
  <c r="BF306" i="3" s="1"/>
  <c r="BF307" i="3" s="1"/>
  <c r="BF308" i="3" s="1"/>
  <c r="BF309" i="3" s="1"/>
  <c r="BF310" i="3" s="1"/>
  <c r="BF311" i="3" s="1"/>
  <c r="BF312" i="3" s="1"/>
  <c r="BF313" i="3" s="1"/>
  <c r="BF314" i="3" s="1"/>
  <c r="BF315" i="3" s="1"/>
  <c r="BF316" i="3" s="1"/>
  <c r="BF317" i="3" s="1"/>
  <c r="BF318" i="3" s="1"/>
  <c r="S107" i="3"/>
  <c r="AC81" i="3"/>
  <c r="I73" i="3"/>
  <c r="AV76" i="3"/>
  <c r="I142" i="3"/>
  <c r="AC122" i="3"/>
  <c r="AM264" i="3"/>
  <c r="I157" i="3"/>
  <c r="AC153" i="3"/>
  <c r="AC372" i="3"/>
  <c r="S339" i="3"/>
  <c r="I335" i="3"/>
  <c r="AC142" i="3"/>
  <c r="I123" i="3"/>
  <c r="G301" i="3"/>
  <c r="J301" i="3" s="1"/>
  <c r="BF169" i="3"/>
  <c r="BF170" i="3" s="1"/>
  <c r="BF171" i="3" s="1"/>
  <c r="BF172" i="3" s="1"/>
  <c r="BF173" i="3" s="1"/>
  <c r="BF174" i="3" s="1"/>
  <c r="BF175" i="3" s="1"/>
  <c r="BF176" i="3" s="1"/>
  <c r="BF177" i="3" s="1"/>
  <c r="BF178" i="3" s="1"/>
  <c r="BF179" i="3" s="1"/>
  <c r="BF180" i="3" s="1"/>
  <c r="BF181" i="3" s="1"/>
  <c r="BF182" i="3" s="1"/>
  <c r="BF183" i="3" s="1"/>
  <c r="BF184" i="3" s="1"/>
  <c r="BF185" i="3" s="1"/>
  <c r="BF186" i="3" s="1"/>
  <c r="BF187" i="3" s="1"/>
  <c r="BF188" i="3" s="1"/>
  <c r="BF189" i="3" s="1"/>
  <c r="BF190" i="3" s="1"/>
  <c r="BF191" i="3" s="1"/>
  <c r="BF192" i="3" s="1"/>
  <c r="BF193" i="3" s="1"/>
  <c r="BF194" i="3" s="1"/>
  <c r="BF195" i="3" s="1"/>
  <c r="BF196" i="3" s="1"/>
  <c r="BF197" i="3" s="1"/>
  <c r="BF198" i="3" s="1"/>
  <c r="BF199" i="3" s="1"/>
  <c r="BF200" i="3" s="1"/>
  <c r="BF201" i="3" s="1"/>
  <c r="BF202" i="3" s="1"/>
  <c r="BF203" i="3" s="1"/>
  <c r="BF204" i="3" s="1"/>
  <c r="BF205" i="3" s="1"/>
  <c r="BF206" i="3" s="1"/>
  <c r="BF207" i="3" s="1"/>
  <c r="BF208" i="3" s="1"/>
  <c r="BF209" i="3" s="1"/>
  <c r="BF210" i="3" s="1"/>
  <c r="BF211" i="3" s="1"/>
  <c r="BF212" i="3" s="1"/>
  <c r="BF213" i="3" s="1"/>
  <c r="BF214" i="3" s="1"/>
  <c r="BF215" i="3" s="1"/>
  <c r="BF216" i="3" s="1"/>
  <c r="BF217" i="3" s="1"/>
  <c r="BF218" i="3" s="1"/>
  <c r="AM70" i="3"/>
  <c r="I117" i="3"/>
  <c r="S75" i="3"/>
  <c r="AV360" i="3"/>
  <c r="S140" i="3"/>
  <c r="AK259" i="3"/>
  <c r="AN259" i="3" s="1"/>
  <c r="AM71" i="3"/>
  <c r="AM285" i="3"/>
  <c r="S371" i="3"/>
  <c r="AA327" i="3"/>
  <c r="AD327" i="3" s="1"/>
  <c r="AC166" i="3"/>
  <c r="AM118" i="3"/>
  <c r="S361" i="3"/>
  <c r="AC86" i="3"/>
  <c r="I379" i="3"/>
  <c r="G377" i="3"/>
  <c r="J377" i="3" s="1"/>
  <c r="AM316" i="3"/>
  <c r="AM290" i="3"/>
  <c r="S156" i="3"/>
  <c r="AM137" i="3"/>
  <c r="AC160" i="3"/>
  <c r="AC106" i="3"/>
  <c r="I254" i="3"/>
  <c r="G362" i="3"/>
  <c r="J362" i="3" s="1"/>
  <c r="AA326" i="3"/>
  <c r="AD326" i="3" s="1"/>
  <c r="AK359" i="3"/>
  <c r="AN359" i="3" s="1"/>
  <c r="BE66" i="3"/>
  <c r="BE67" i="3" s="1"/>
  <c r="BE68" i="3" s="1"/>
  <c r="BE69" i="3" s="1"/>
  <c r="BE70" i="3" s="1"/>
  <c r="BE71" i="3" s="1"/>
  <c r="BE72" i="3" s="1"/>
  <c r="BE73" i="3" s="1"/>
  <c r="BE74" i="3" s="1"/>
  <c r="BE75" i="3" s="1"/>
  <c r="BE76" i="3" s="1"/>
  <c r="BE77" i="3" s="1"/>
  <c r="BE78" i="3" s="1"/>
  <c r="BE79" i="3" s="1"/>
  <c r="BE80" i="3" s="1"/>
  <c r="BE81" i="3" s="1"/>
  <c r="BE82" i="3" s="1"/>
  <c r="BE83" i="3" s="1"/>
  <c r="BE84" i="3" s="1"/>
  <c r="BE85" i="3" s="1"/>
  <c r="BE86" i="3" s="1"/>
  <c r="BE87" i="3" s="1"/>
  <c r="BE88" i="3" s="1"/>
  <c r="BE89" i="3" s="1"/>
  <c r="BE90" i="3" s="1"/>
  <c r="BE91" i="3" s="1"/>
  <c r="BE92" i="3" s="1"/>
  <c r="BE93" i="3" s="1"/>
  <c r="BE94" i="3" s="1"/>
  <c r="BE95" i="3" s="1"/>
  <c r="BE96" i="3" s="1"/>
  <c r="BE97" i="3" s="1"/>
  <c r="BE98" i="3" s="1"/>
  <c r="BE99" i="3" s="1"/>
  <c r="BE100" i="3" s="1"/>
  <c r="BE101" i="3" s="1"/>
  <c r="BE102" i="3" s="1"/>
  <c r="BE103" i="3" s="1"/>
  <c r="BE104" i="3" s="1"/>
  <c r="BE105" i="3" s="1"/>
  <c r="BE106" i="3" s="1"/>
  <c r="BE107" i="3" s="1"/>
  <c r="BE108" i="3" s="1"/>
  <c r="BE109" i="3" s="1"/>
  <c r="BE110" i="3" s="1"/>
  <c r="BE111" i="3" s="1"/>
  <c r="BE112" i="3" s="1"/>
  <c r="BE113" i="3" s="1"/>
  <c r="BE114" i="3" s="1"/>
  <c r="BH221" i="3"/>
  <c r="BH222" i="3" s="1"/>
  <c r="BH223" i="3" s="1"/>
  <c r="BH224" i="3" s="1"/>
  <c r="BH225" i="3" s="1"/>
  <c r="BH226" i="3" s="1"/>
  <c r="BH227" i="3" s="1"/>
  <c r="BH228" i="3" s="1"/>
  <c r="BH229" i="3" s="1"/>
  <c r="BH230" i="3" s="1"/>
  <c r="BH231" i="3" s="1"/>
  <c r="BH232" i="3" s="1"/>
  <c r="BH233" i="3" s="1"/>
  <c r="BH234" i="3" s="1"/>
  <c r="BH235" i="3" s="1"/>
  <c r="BH236" i="3" s="1"/>
  <c r="BH237" i="3" s="1"/>
  <c r="BH238" i="3" s="1"/>
  <c r="BH239" i="3" s="1"/>
  <c r="BH240" i="3" s="1"/>
  <c r="BH241" i="3" s="1"/>
  <c r="BH242" i="3" s="1"/>
  <c r="BH243" i="3" s="1"/>
  <c r="BH244" i="3" s="1"/>
  <c r="BH245" i="3" s="1"/>
  <c r="BH246" i="3" s="1"/>
  <c r="BH247" i="3" s="1"/>
  <c r="BH248" i="3" s="1"/>
  <c r="BH249" i="3" s="1"/>
  <c r="BH250" i="3" s="1"/>
  <c r="BH251" i="3" s="1"/>
  <c r="BH252" i="3" s="1"/>
  <c r="BH253" i="3" s="1"/>
  <c r="BH254" i="3" s="1"/>
  <c r="BH255" i="3" s="1"/>
  <c r="BH256" i="3" s="1"/>
  <c r="BH257" i="3" s="1"/>
  <c r="BH258" i="3" s="1"/>
  <c r="BH259" i="3" s="1"/>
  <c r="BH260" i="3" s="1"/>
  <c r="BH261" i="3" s="1"/>
  <c r="BH262" i="3" s="1"/>
  <c r="BH263" i="3" s="1"/>
  <c r="BH264" i="3" s="1"/>
  <c r="BH265" i="3" s="1"/>
  <c r="BH266" i="3" s="1"/>
  <c r="BH267" i="3" s="1"/>
  <c r="BH268" i="3" s="1"/>
  <c r="BH269" i="3" s="1"/>
  <c r="BH270" i="3" s="1"/>
  <c r="AM220" i="3"/>
  <c r="BD357" i="3"/>
  <c r="S132" i="3"/>
  <c r="I156" i="3"/>
  <c r="AV148" i="3"/>
  <c r="S76" i="3"/>
  <c r="G350" i="3"/>
  <c r="J350" i="3" s="1"/>
  <c r="AM328" i="3"/>
  <c r="Q363" i="3"/>
  <c r="T363" i="3" s="1"/>
  <c r="S90" i="3"/>
  <c r="AC94" i="3"/>
  <c r="S114" i="3"/>
  <c r="Q287" i="3"/>
  <c r="T287" i="3" s="1"/>
  <c r="AK339" i="3"/>
  <c r="AN339" i="3" s="1"/>
  <c r="AM116" i="3"/>
  <c r="I163" i="3"/>
  <c r="AV116" i="3"/>
  <c r="AV74" i="3"/>
  <c r="S121" i="3"/>
  <c r="I272" i="3"/>
  <c r="AV211" i="3"/>
  <c r="AM166" i="3"/>
  <c r="S137" i="3"/>
  <c r="BF220" i="3"/>
  <c r="BF221" i="3" s="1"/>
  <c r="BF222" i="3" s="1"/>
  <c r="BF223" i="3" s="1"/>
  <c r="BF224" i="3" s="1"/>
  <c r="BF225" i="3" s="1"/>
  <c r="BF226" i="3" s="1"/>
  <c r="BF227" i="3" s="1"/>
  <c r="BF228" i="3" s="1"/>
  <c r="BF229" i="3" s="1"/>
  <c r="BF230" i="3" s="1"/>
  <c r="BF231" i="3" s="1"/>
  <c r="BF232" i="3" s="1"/>
  <c r="BF233" i="3" s="1"/>
  <c r="BF234" i="3" s="1"/>
  <c r="BF235" i="3" s="1"/>
  <c r="BF236" i="3" s="1"/>
  <c r="BF237" i="3" s="1"/>
  <c r="BF238" i="3" s="1"/>
  <c r="BF239" i="3" s="1"/>
  <c r="BF240" i="3" s="1"/>
  <c r="BF241" i="3" s="1"/>
  <c r="BF242" i="3" s="1"/>
  <c r="BF243" i="3" s="1"/>
  <c r="BF244" i="3" s="1"/>
  <c r="BF245" i="3" s="1"/>
  <c r="BF246" i="3" s="1"/>
  <c r="BF247" i="3" s="1"/>
  <c r="BF248" i="3" s="1"/>
  <c r="BF249" i="3" s="1"/>
  <c r="BF250" i="3" s="1"/>
  <c r="BF251" i="3" s="1"/>
  <c r="BF252" i="3" s="1"/>
  <c r="BF253" i="3" s="1"/>
  <c r="BF254" i="3" s="1"/>
  <c r="BF255" i="3" s="1"/>
  <c r="BF256" i="3" s="1"/>
  <c r="BF257" i="3" s="1"/>
  <c r="BF258" i="3" s="1"/>
  <c r="BF259" i="3" s="1"/>
  <c r="BF260" i="3" s="1"/>
  <c r="BF261" i="3" s="1"/>
  <c r="BF262" i="3" s="1"/>
  <c r="BF263" i="3" s="1"/>
  <c r="BF264" i="3" s="1"/>
  <c r="BF265" i="3" s="1"/>
  <c r="BF266" i="3" s="1"/>
  <c r="BF267" i="3" s="1"/>
  <c r="BF268" i="3" s="1"/>
  <c r="BF269" i="3" s="1"/>
  <c r="BF270" i="3" s="1"/>
  <c r="AM377" i="3"/>
  <c r="AC258" i="3"/>
  <c r="AT317" i="3"/>
  <c r="AC164" i="3"/>
  <c r="AM366" i="3"/>
  <c r="I327" i="3"/>
  <c r="AK367" i="3"/>
  <c r="AN367" i="3" s="1"/>
  <c r="AM85" i="3"/>
  <c r="AK294" i="3"/>
  <c r="AN294" i="3" s="1"/>
  <c r="AK345" i="3"/>
  <c r="AN345" i="3" s="1"/>
  <c r="AC92" i="3"/>
  <c r="AC82" i="3"/>
  <c r="AK349" i="3"/>
  <c r="AN349" i="3" s="1"/>
  <c r="AC360" i="3"/>
  <c r="G307" i="3"/>
  <c r="J307" i="3" s="1"/>
  <c r="BF324" i="3"/>
  <c r="BF325" i="3" s="1"/>
  <c r="BF326" i="3" s="1"/>
  <c r="BF327" i="3" s="1"/>
  <c r="BF328" i="3" s="1"/>
  <c r="BF329" i="3" s="1"/>
  <c r="BF330" i="3" s="1"/>
  <c r="BF331" i="3" s="1"/>
  <c r="AV78" i="3"/>
  <c r="AM148" i="3"/>
  <c r="S116" i="3"/>
  <c r="I297" i="3"/>
  <c r="I289" i="3"/>
  <c r="AC257" i="3"/>
  <c r="AM297" i="3"/>
  <c r="AM145" i="3"/>
  <c r="I328" i="3"/>
  <c r="AM138" i="3"/>
  <c r="AC68" i="3"/>
  <c r="AC108" i="3"/>
  <c r="AC238" i="3"/>
  <c r="AM83" i="3"/>
  <c r="S136" i="3"/>
  <c r="AK368" i="3"/>
  <c r="AN368" i="3" s="1"/>
  <c r="I166" i="3"/>
  <c r="S108" i="3"/>
  <c r="AC157" i="3"/>
  <c r="AC120" i="3"/>
  <c r="I84" i="3"/>
  <c r="S105" i="3"/>
  <c r="S153" i="3"/>
  <c r="AV146" i="3"/>
  <c r="I86" i="3"/>
  <c r="AV82" i="3"/>
  <c r="AM146" i="3"/>
  <c r="AV75" i="3"/>
  <c r="I352" i="3"/>
  <c r="AC327" i="3"/>
  <c r="AT307" i="3"/>
  <c r="AV91" i="3"/>
  <c r="I311" i="3"/>
  <c r="S68" i="3"/>
  <c r="AC326" i="3"/>
  <c r="S257" i="3"/>
  <c r="AK356" i="3"/>
  <c r="AN356" i="3" s="1"/>
  <c r="Q360" i="3"/>
  <c r="T360" i="3" s="1"/>
  <c r="AC247" i="3"/>
  <c r="S247" i="3"/>
  <c r="AM296" i="3"/>
  <c r="AC207" i="3"/>
  <c r="AA255" i="3"/>
  <c r="AD255" i="3" s="1"/>
  <c r="AC72" i="3"/>
  <c r="AA291" i="3"/>
  <c r="AD291" i="3" s="1"/>
  <c r="I155" i="3"/>
  <c r="I286" i="3"/>
  <c r="BD250" i="3"/>
  <c r="S67" i="3"/>
  <c r="G373" i="3"/>
  <c r="J373" i="3" s="1"/>
  <c r="AC349" i="3"/>
  <c r="AK337" i="3"/>
  <c r="AN337" i="3" s="1"/>
  <c r="Q373" i="3"/>
  <c r="T373" i="3" s="1"/>
  <c r="AC163" i="3"/>
  <c r="I119" i="3"/>
  <c r="I92" i="3"/>
  <c r="BD252" i="3"/>
  <c r="S151" i="3"/>
  <c r="BD314" i="3"/>
  <c r="S145" i="3"/>
  <c r="S80" i="3"/>
  <c r="AM298" i="3"/>
  <c r="G264" i="3"/>
  <c r="J264" i="3" s="1"/>
  <c r="AC365" i="3"/>
  <c r="AM134" i="3"/>
  <c r="I305" i="3"/>
  <c r="I275" i="3"/>
  <c r="AA183" i="3"/>
  <c r="AD183" i="3" s="1"/>
  <c r="G256" i="3"/>
  <c r="J256" i="3" s="1"/>
  <c r="BG274" i="3"/>
  <c r="BG275" i="3" s="1"/>
  <c r="BG276" i="3" s="1"/>
  <c r="BG277" i="3" s="1"/>
  <c r="BG278" i="3" s="1"/>
  <c r="BG279" i="3" s="1"/>
  <c r="BG280" i="3" s="1"/>
  <c r="BG281" i="3" s="1"/>
  <c r="BG282" i="3" s="1"/>
  <c r="BG283" i="3" s="1"/>
  <c r="BG284" i="3" s="1"/>
  <c r="BG285" i="3" s="1"/>
  <c r="BG286" i="3" s="1"/>
  <c r="BG287" i="3" s="1"/>
  <c r="BG288" i="3" s="1"/>
  <c r="BG289" i="3" s="1"/>
  <c r="BG290" i="3" s="1"/>
  <c r="BG291" i="3" s="1"/>
  <c r="BG292" i="3" s="1"/>
  <c r="BG293" i="3" s="1"/>
  <c r="BG294" i="3" s="1"/>
  <c r="BG295" i="3" s="1"/>
  <c r="BG296" i="3" s="1"/>
  <c r="BG297" i="3" s="1"/>
  <c r="BG298" i="3" s="1"/>
  <c r="BG299" i="3" s="1"/>
  <c r="BG300" i="3" s="1"/>
  <c r="BG301" i="3" s="1"/>
  <c r="BG302" i="3" s="1"/>
  <c r="BG303" i="3" s="1"/>
  <c r="BG304" i="3" s="1"/>
  <c r="BG305" i="3" s="1"/>
  <c r="BG306" i="3" s="1"/>
  <c r="BG307" i="3" s="1"/>
  <c r="BG308" i="3" s="1"/>
  <c r="BG309" i="3" s="1"/>
  <c r="BG310" i="3" s="1"/>
  <c r="BG311" i="3" s="1"/>
  <c r="BG312" i="3" s="1"/>
  <c r="BG313" i="3" s="1"/>
  <c r="BG314" i="3" s="1"/>
  <c r="BG315" i="3" s="1"/>
  <c r="BG316" i="3" s="1"/>
  <c r="BG317" i="3" s="1"/>
  <c r="BG318" i="3" s="1"/>
  <c r="S272" i="3"/>
  <c r="AM199" i="3"/>
  <c r="AT318" i="3"/>
  <c r="AK361" i="3"/>
  <c r="AN361" i="3" s="1"/>
  <c r="AC125" i="3"/>
  <c r="AT314" i="3"/>
  <c r="I205" i="3"/>
  <c r="AM282" i="3"/>
  <c r="AK346" i="3"/>
  <c r="AN346" i="3" s="1"/>
  <c r="G183" i="3"/>
  <c r="J183" i="3" s="1"/>
  <c r="AM120" i="3"/>
  <c r="AM165" i="3"/>
  <c r="AM149" i="3"/>
  <c r="AC74" i="3"/>
  <c r="AM311" i="3"/>
  <c r="AC269" i="3"/>
  <c r="AC147" i="3"/>
  <c r="AM247" i="3"/>
  <c r="BE325" i="3"/>
  <c r="BE326" i="3" s="1"/>
  <c r="BE327" i="3" s="1"/>
  <c r="BE328" i="3" s="1"/>
  <c r="BE329" i="3" s="1"/>
  <c r="BE330" i="3" s="1"/>
  <c r="BE331" i="3" s="1"/>
  <c r="S349" i="3"/>
  <c r="G341" i="3"/>
  <c r="J341" i="3" s="1"/>
  <c r="AC156" i="3"/>
  <c r="S70" i="3"/>
  <c r="AC87" i="3"/>
  <c r="AM65" i="3"/>
  <c r="S146" i="3"/>
  <c r="AM265" i="3"/>
  <c r="S313" i="3"/>
  <c r="AC161" i="3"/>
  <c r="AV102" i="3"/>
  <c r="AC75" i="3"/>
  <c r="AM241" i="3"/>
  <c r="AV169" i="3"/>
  <c r="AC158" i="3"/>
  <c r="I338" i="3"/>
  <c r="S318" i="3"/>
  <c r="AT310" i="3"/>
  <c r="AM164" i="3"/>
  <c r="AM115" i="3"/>
  <c r="AM301" i="3"/>
  <c r="I80" i="3"/>
  <c r="AT309" i="3"/>
  <c r="AC185" i="3"/>
  <c r="AC291" i="3"/>
  <c r="I303" i="3"/>
  <c r="AM343" i="3"/>
  <c r="S157" i="3"/>
  <c r="I69" i="3"/>
  <c r="AC85" i="3"/>
  <c r="AC130" i="3"/>
  <c r="AM92" i="3"/>
  <c r="AM318" i="3"/>
  <c r="I222" i="3"/>
  <c r="AM231" i="3"/>
  <c r="AM273" i="3"/>
  <c r="AC136" i="3"/>
  <c r="AA283" i="3"/>
  <c r="AD283" i="3" s="1"/>
  <c r="AA362" i="3"/>
  <c r="AD362" i="3" s="1"/>
  <c r="AV357" i="3"/>
  <c r="BG324" i="3"/>
  <c r="BG325" i="3" s="1"/>
  <c r="BG326" i="3" s="1"/>
  <c r="BG327" i="3" s="1"/>
  <c r="BG328" i="3" s="1"/>
  <c r="BG329" i="3" s="1"/>
  <c r="BG330" i="3" s="1"/>
  <c r="BG331" i="3" s="1"/>
  <c r="BD350" i="3"/>
  <c r="AA374" i="3"/>
  <c r="AD374" i="3" s="1"/>
  <c r="AV283" i="3"/>
  <c r="AV115" i="3"/>
  <c r="I255" i="3"/>
  <c r="G211" i="3"/>
  <c r="J211" i="3" s="1"/>
  <c r="AV137" i="3"/>
  <c r="AC116" i="3"/>
  <c r="S317" i="3"/>
  <c r="AV312" i="3"/>
  <c r="I164" i="3"/>
  <c r="AM73" i="3"/>
  <c r="AK195" i="3"/>
  <c r="AN195" i="3" s="1"/>
  <c r="AM68" i="3"/>
  <c r="AM239" i="3"/>
  <c r="I223" i="3"/>
  <c r="AC70" i="3"/>
  <c r="AT308" i="3"/>
  <c r="S321" i="3"/>
  <c r="AM152" i="3"/>
  <c r="AM284" i="3"/>
  <c r="I143" i="3"/>
  <c r="Q354" i="3"/>
  <c r="T354" i="3" s="1"/>
  <c r="AM142" i="3"/>
  <c r="S104" i="3"/>
  <c r="S329" i="3"/>
  <c r="BE173" i="3"/>
  <c r="BE174" i="3" s="1"/>
  <c r="BE175" i="3" s="1"/>
  <c r="BE176" i="3" s="1"/>
  <c r="BE177" i="3" s="1"/>
  <c r="BE178" i="3" s="1"/>
  <c r="BE179" i="3" s="1"/>
  <c r="BE180" i="3" s="1"/>
  <c r="BE181" i="3" s="1"/>
  <c r="BE182" i="3" s="1"/>
  <c r="BE183" i="3" s="1"/>
  <c r="BE184" i="3" s="1"/>
  <c r="BE185" i="3" s="1"/>
  <c r="BE186" i="3" s="1"/>
  <c r="BE187" i="3" s="1"/>
  <c r="BE188" i="3" s="1"/>
  <c r="BE189" i="3" s="1"/>
  <c r="BE190" i="3" s="1"/>
  <c r="BE191" i="3" s="1"/>
  <c r="BE192" i="3" s="1"/>
  <c r="BE193" i="3" s="1"/>
  <c r="BE194" i="3" s="1"/>
  <c r="BE195" i="3" s="1"/>
  <c r="BE196" i="3" s="1"/>
  <c r="BE197" i="3" s="1"/>
  <c r="BE198" i="3" s="1"/>
  <c r="BE199" i="3" s="1"/>
  <c r="BE200" i="3" s="1"/>
  <c r="BE201" i="3" s="1"/>
  <c r="BE202" i="3" s="1"/>
  <c r="BE203" i="3" s="1"/>
  <c r="BE204" i="3" s="1"/>
  <c r="BE205" i="3" s="1"/>
  <c r="BE206" i="3" s="1"/>
  <c r="BE207" i="3" s="1"/>
  <c r="BE208" i="3" s="1"/>
  <c r="BE209" i="3" s="1"/>
  <c r="BE210" i="3" s="1"/>
  <c r="BE211" i="3" s="1"/>
  <c r="BE212" i="3" s="1"/>
  <c r="BE213" i="3" s="1"/>
  <c r="BE214" i="3" s="1"/>
  <c r="BE215" i="3" s="1"/>
  <c r="BE216" i="3" s="1"/>
  <c r="BE217" i="3" s="1"/>
  <c r="BE218" i="3" s="1"/>
  <c r="S259" i="3"/>
  <c r="G348" i="3"/>
  <c r="J348" i="3" s="1"/>
  <c r="I99" i="3"/>
  <c r="AM280" i="3"/>
  <c r="G471" i="3"/>
  <c r="J471" i="3" s="1"/>
  <c r="G523" i="3"/>
  <c r="J523" i="3" s="1"/>
  <c r="G474" i="3"/>
  <c r="J474" i="3" s="1"/>
  <c r="G526" i="3"/>
  <c r="J526" i="3" s="1"/>
  <c r="Q464" i="3"/>
  <c r="T464" i="3" s="1"/>
  <c r="Q516" i="3"/>
  <c r="T516" i="3" s="1"/>
  <c r="G460" i="3"/>
  <c r="J460" i="3" s="1"/>
  <c r="G512" i="3"/>
  <c r="J512" i="3" s="1"/>
  <c r="AK478" i="3"/>
  <c r="AN478" i="3" s="1"/>
  <c r="AK530" i="3"/>
  <c r="AN530" i="3" s="1"/>
  <c r="AK459" i="3"/>
  <c r="AN459" i="3" s="1"/>
  <c r="AK511" i="3"/>
  <c r="AN511" i="3" s="1"/>
  <c r="S166" i="3"/>
  <c r="G476" i="3"/>
  <c r="J476" i="3" s="1"/>
  <c r="G528" i="3"/>
  <c r="J528" i="3" s="1"/>
  <c r="AK475" i="3"/>
  <c r="AN475" i="3" s="1"/>
  <c r="AK527" i="3"/>
  <c r="AN527" i="3" s="1"/>
  <c r="AK465" i="3"/>
  <c r="AN465" i="3" s="1"/>
  <c r="AK517" i="3"/>
  <c r="AN517" i="3" s="1"/>
  <c r="AK466" i="3"/>
  <c r="AN466" i="3" s="1"/>
  <c r="AK518" i="3"/>
  <c r="AN518" i="3" s="1"/>
  <c r="G464" i="3"/>
  <c r="J464" i="3" s="1"/>
  <c r="G516" i="3"/>
  <c r="J516" i="3" s="1"/>
  <c r="AV370" i="3"/>
  <c r="AA459" i="3"/>
  <c r="AD459" i="3" s="1"/>
  <c r="AA511" i="3"/>
  <c r="AD511" i="3" s="1"/>
  <c r="AA463" i="3"/>
  <c r="AD463" i="3" s="1"/>
  <c r="AA515" i="3"/>
  <c r="AD515" i="3" s="1"/>
  <c r="AM355" i="3"/>
  <c r="AC69" i="3"/>
  <c r="AT269" i="3"/>
  <c r="AV69" i="3"/>
  <c r="AA480" i="3"/>
  <c r="AD480" i="3" s="1"/>
  <c r="AA532" i="3"/>
  <c r="AD532" i="3" s="1"/>
  <c r="AM122" i="3"/>
  <c r="Q461" i="3"/>
  <c r="T461" i="3" s="1"/>
  <c r="Q513" i="3"/>
  <c r="T513" i="3" s="1"/>
  <c r="BE221" i="3"/>
  <c r="BE222" i="3" s="1"/>
  <c r="BE223" i="3" s="1"/>
  <c r="BE224" i="3" s="1"/>
  <c r="BE225" i="3" s="1"/>
  <c r="BE226" i="3" s="1"/>
  <c r="BE227" i="3" s="1"/>
  <c r="BE228" i="3" s="1"/>
  <c r="BE229" i="3" s="1"/>
  <c r="BE230" i="3" s="1"/>
  <c r="BE231" i="3" s="1"/>
  <c r="BE232" i="3" s="1"/>
  <c r="BE233" i="3" s="1"/>
  <c r="BE234" i="3" s="1"/>
  <c r="BE235" i="3" s="1"/>
  <c r="BE236" i="3" s="1"/>
  <c r="BE237" i="3" s="1"/>
  <c r="BE238" i="3" s="1"/>
  <c r="BE239" i="3" s="1"/>
  <c r="BE240" i="3" s="1"/>
  <c r="BE241" i="3" s="1"/>
  <c r="BE242" i="3" s="1"/>
  <c r="BE243" i="3" s="1"/>
  <c r="BE244" i="3" s="1"/>
  <c r="BE245" i="3" s="1"/>
  <c r="BE246" i="3" s="1"/>
  <c r="BE247" i="3" s="1"/>
  <c r="BE248" i="3" s="1"/>
  <c r="BE249" i="3" s="1"/>
  <c r="BE250" i="3" s="1"/>
  <c r="BE251" i="3" s="1"/>
  <c r="BE252" i="3" s="1"/>
  <c r="BE253" i="3" s="1"/>
  <c r="BE254" i="3" s="1"/>
  <c r="BE255" i="3" s="1"/>
  <c r="BE256" i="3" s="1"/>
  <c r="BE257" i="3" s="1"/>
  <c r="BE258" i="3" s="1"/>
  <c r="BE259" i="3" s="1"/>
  <c r="BE260" i="3" s="1"/>
  <c r="BE261" i="3" s="1"/>
  <c r="BE262" i="3" s="1"/>
  <c r="BE263" i="3" s="1"/>
  <c r="BE264" i="3" s="1"/>
  <c r="BE265" i="3" s="1"/>
  <c r="BE266" i="3" s="1"/>
  <c r="BE267" i="3" s="1"/>
  <c r="BE268" i="3" s="1"/>
  <c r="BE269" i="3" s="1"/>
  <c r="BE270" i="3" s="1"/>
  <c r="AM80" i="3"/>
  <c r="AA470" i="3"/>
  <c r="AD470" i="3" s="1"/>
  <c r="AA522" i="3"/>
  <c r="AD522" i="3" s="1"/>
  <c r="AK474" i="3"/>
  <c r="AN474" i="3" s="1"/>
  <c r="AK526" i="3"/>
  <c r="AN526" i="3" s="1"/>
  <c r="Q459" i="3"/>
  <c r="T459" i="3" s="1"/>
  <c r="Q511" i="3"/>
  <c r="T511" i="3" s="1"/>
  <c r="G459" i="3"/>
  <c r="J459" i="3" s="1"/>
  <c r="G511" i="3"/>
  <c r="J511" i="3" s="1"/>
  <c r="AK462" i="3"/>
  <c r="AN462" i="3" s="1"/>
  <c r="AK514" i="3"/>
  <c r="AN514" i="3" s="1"/>
  <c r="AK355" i="3"/>
  <c r="AN355" i="3" s="1"/>
  <c r="BD332" i="3"/>
  <c r="S164" i="3"/>
  <c r="Q370" i="3"/>
  <c r="T370" i="3" s="1"/>
  <c r="AV99" i="3"/>
  <c r="AC67" i="3"/>
  <c r="I85" i="3"/>
  <c r="I66" i="3"/>
  <c r="AV98" i="3"/>
  <c r="S78" i="3"/>
  <c r="I72" i="3"/>
  <c r="G478" i="3"/>
  <c r="J478" i="3" s="1"/>
  <c r="G530" i="3"/>
  <c r="J530" i="3" s="1"/>
  <c r="AV291" i="3"/>
  <c r="Q478" i="3"/>
  <c r="T478" i="3" s="1"/>
  <c r="Q530" i="3"/>
  <c r="T530" i="3" s="1"/>
  <c r="Q482" i="3"/>
  <c r="T482" i="3" s="1"/>
  <c r="Q534" i="3"/>
  <c r="T534" i="3" s="1"/>
  <c r="AV119" i="3"/>
  <c r="AA211" i="3"/>
  <c r="AD211" i="3" s="1"/>
  <c r="AV88" i="3"/>
  <c r="AM154" i="3"/>
  <c r="G467" i="3"/>
  <c r="J467" i="3" s="1"/>
  <c r="G519" i="3"/>
  <c r="J519" i="3" s="1"/>
  <c r="AK460" i="3"/>
  <c r="AN460" i="3" s="1"/>
  <c r="AK512" i="3"/>
  <c r="AN512" i="3" s="1"/>
  <c r="AC302" i="3"/>
  <c r="I78" i="3"/>
  <c r="AM276" i="3"/>
  <c r="S142" i="3"/>
  <c r="I82" i="3"/>
  <c r="I159" i="3"/>
  <c r="AC165" i="3"/>
  <c r="S109" i="3"/>
  <c r="G466" i="3"/>
  <c r="J466" i="3" s="1"/>
  <c r="G518" i="3"/>
  <c r="J518" i="3" s="1"/>
  <c r="G481" i="3"/>
  <c r="J481" i="3" s="1"/>
  <c r="G533" i="3"/>
  <c r="J533" i="3" s="1"/>
  <c r="AK473" i="3"/>
  <c r="AN473" i="3" s="1"/>
  <c r="AK525" i="3"/>
  <c r="AN525" i="3" s="1"/>
  <c r="G475" i="3"/>
  <c r="J475" i="3" s="1"/>
  <c r="G527" i="3"/>
  <c r="J527" i="3" s="1"/>
  <c r="BD316" i="3"/>
  <c r="AK482" i="3"/>
  <c r="AN482" i="3" s="1"/>
  <c r="AK534" i="3"/>
  <c r="AN534" i="3" s="1"/>
  <c r="I268" i="3"/>
  <c r="Q467" i="3"/>
  <c r="T467" i="3" s="1"/>
  <c r="Q519" i="3"/>
  <c r="T519" i="3" s="1"/>
  <c r="AA468" i="3"/>
  <c r="AD468" i="3" s="1"/>
  <c r="AA520" i="3"/>
  <c r="AD520" i="3" s="1"/>
  <c r="S148" i="3"/>
  <c r="AV83" i="3"/>
  <c r="AV133" i="3"/>
  <c r="AK480" i="3"/>
  <c r="AN480" i="3" s="1"/>
  <c r="AK532" i="3"/>
  <c r="AN532" i="3" s="1"/>
  <c r="AM126" i="3"/>
  <c r="I161" i="3"/>
  <c r="AV125" i="3"/>
  <c r="AK191" i="3"/>
  <c r="AN191" i="3" s="1"/>
  <c r="AC135" i="3"/>
  <c r="AA356" i="3"/>
  <c r="AD356" i="3" s="1"/>
  <c r="AM153" i="3"/>
  <c r="AM82" i="3"/>
  <c r="AA474" i="3"/>
  <c r="AD474" i="3" s="1"/>
  <c r="AA526" i="3"/>
  <c r="AD526" i="3" s="1"/>
  <c r="G473" i="3"/>
  <c r="J473" i="3" s="1"/>
  <c r="G525" i="3"/>
  <c r="J525" i="3" s="1"/>
  <c r="AA465" i="3"/>
  <c r="AD465" i="3" s="1"/>
  <c r="AA517" i="3"/>
  <c r="AD517" i="3" s="1"/>
  <c r="AK463" i="3"/>
  <c r="AN463" i="3" s="1"/>
  <c r="AK515" i="3"/>
  <c r="AN515" i="3" s="1"/>
  <c r="AA457" i="3"/>
  <c r="AD457" i="3" s="1"/>
  <c r="AA509" i="3"/>
  <c r="AD509" i="3" s="1"/>
  <c r="Q463" i="3"/>
  <c r="T463" i="3" s="1"/>
  <c r="Q515" i="3"/>
  <c r="T515" i="3" s="1"/>
  <c r="AK456" i="3"/>
  <c r="AN456" i="3" s="1"/>
  <c r="AK508" i="3"/>
  <c r="AN508" i="3" s="1"/>
  <c r="AK290" i="3"/>
  <c r="AN290" i="3" s="1"/>
  <c r="S110" i="3"/>
  <c r="AV97" i="3"/>
  <c r="AC66" i="3"/>
  <c r="S152" i="3"/>
  <c r="I74" i="3"/>
  <c r="AM72" i="3"/>
  <c r="Q457" i="3"/>
  <c r="T457" i="3" s="1"/>
  <c r="Q509" i="3"/>
  <c r="T509" i="3" s="1"/>
  <c r="AA483" i="3"/>
  <c r="AD483" i="3" s="1"/>
  <c r="AA535" i="3"/>
  <c r="AD535" i="3" s="1"/>
  <c r="AC128" i="3"/>
  <c r="AT46" i="3"/>
  <c r="AT319" i="3"/>
  <c r="I135" i="3"/>
  <c r="AV120" i="3"/>
  <c r="AC274" i="3"/>
  <c r="AM163" i="3"/>
  <c r="Q472" i="3"/>
  <c r="T472" i="3" s="1"/>
  <c r="Q524" i="3"/>
  <c r="T524" i="3" s="1"/>
  <c r="AC240" i="3"/>
  <c r="AM304" i="3"/>
  <c r="AC283" i="3"/>
  <c r="AC301" i="3"/>
  <c r="G477" i="3"/>
  <c r="J477" i="3" s="1"/>
  <c r="G529" i="3"/>
  <c r="J529" i="3" s="1"/>
  <c r="AA469" i="3"/>
  <c r="AD469" i="3" s="1"/>
  <c r="AA521" i="3"/>
  <c r="AD521" i="3" s="1"/>
  <c r="AA460" i="3"/>
  <c r="AD460" i="3" s="1"/>
  <c r="AA512" i="3"/>
  <c r="AD512" i="3" s="1"/>
  <c r="G204" i="3"/>
  <c r="J204" i="3" s="1"/>
  <c r="AT313" i="3"/>
  <c r="AA481" i="3"/>
  <c r="AD481" i="3" s="1"/>
  <c r="AA533" i="3"/>
  <c r="AD533" i="3" s="1"/>
  <c r="BD311" i="3"/>
  <c r="G463" i="3"/>
  <c r="J463" i="3" s="1"/>
  <c r="G515" i="3"/>
  <c r="J515" i="3" s="1"/>
  <c r="AK458" i="3"/>
  <c r="AN458" i="3" s="1"/>
  <c r="AK510" i="3"/>
  <c r="AN510" i="3" s="1"/>
  <c r="AM362" i="3"/>
  <c r="S124" i="3"/>
  <c r="AM158" i="3"/>
  <c r="AV95" i="3"/>
  <c r="S65" i="3"/>
  <c r="AT311" i="3"/>
  <c r="S224" i="3"/>
  <c r="AA271" i="3"/>
  <c r="AD271" i="3" s="1"/>
  <c r="AM140" i="3"/>
  <c r="I249" i="3"/>
  <c r="AK471" i="3"/>
  <c r="AN471" i="3" s="1"/>
  <c r="AK523" i="3"/>
  <c r="AN523" i="3" s="1"/>
  <c r="AK469" i="3"/>
  <c r="AN469" i="3" s="1"/>
  <c r="AK521" i="3"/>
  <c r="AN521" i="3" s="1"/>
  <c r="Q474" i="3"/>
  <c r="T474" i="3" s="1"/>
  <c r="Q526" i="3"/>
  <c r="T526" i="3" s="1"/>
  <c r="AK472" i="3"/>
  <c r="AN472" i="3" s="1"/>
  <c r="AK524" i="3"/>
  <c r="AN524" i="3" s="1"/>
  <c r="G457" i="3"/>
  <c r="J457" i="3" s="1"/>
  <c r="G509" i="3"/>
  <c r="J509" i="3" s="1"/>
  <c r="Q462" i="3"/>
  <c r="T462" i="3" s="1"/>
  <c r="Q514" i="3"/>
  <c r="T514" i="3" s="1"/>
  <c r="Q458" i="3"/>
  <c r="T458" i="3" s="1"/>
  <c r="Q510" i="3"/>
  <c r="T510" i="3" s="1"/>
  <c r="AM360" i="3"/>
  <c r="AA462" i="3"/>
  <c r="AD462" i="3" s="1"/>
  <c r="AA514" i="3"/>
  <c r="AD514" i="3" s="1"/>
  <c r="G359" i="3"/>
  <c r="J359" i="3" s="1"/>
  <c r="AK336" i="3"/>
  <c r="AN336" i="3" s="1"/>
  <c r="AM117" i="3"/>
  <c r="S113" i="3"/>
  <c r="S161" i="3"/>
  <c r="S83" i="3"/>
  <c r="S155" i="3"/>
  <c r="AM252" i="3"/>
  <c r="AC259" i="3"/>
  <c r="I70" i="3"/>
  <c r="AA479" i="3"/>
  <c r="AD479" i="3" s="1"/>
  <c r="AA531" i="3"/>
  <c r="AD531" i="3" s="1"/>
  <c r="AK377" i="3"/>
  <c r="AN377" i="3" s="1"/>
  <c r="Q479" i="3"/>
  <c r="T479" i="3" s="1"/>
  <c r="Q531" i="3"/>
  <c r="T531" i="3" s="1"/>
  <c r="Q477" i="3"/>
  <c r="T477" i="3" s="1"/>
  <c r="Q529" i="3"/>
  <c r="T529" i="3" s="1"/>
  <c r="I132" i="3"/>
  <c r="Q481" i="3"/>
  <c r="T481" i="3" s="1"/>
  <c r="Q533" i="3"/>
  <c r="T533" i="3" s="1"/>
  <c r="AM132" i="3"/>
  <c r="AM125" i="3"/>
  <c r="AM66" i="3"/>
  <c r="AT305" i="3"/>
  <c r="I110" i="3"/>
  <c r="S93" i="3"/>
  <c r="AA167" i="3"/>
  <c r="AD167" i="3" s="1"/>
  <c r="AK470" i="3"/>
  <c r="AN470" i="3" s="1"/>
  <c r="AK522" i="3"/>
  <c r="AN522" i="3" s="1"/>
  <c r="I221" i="3"/>
  <c r="Q475" i="3"/>
  <c r="T475" i="3" s="1"/>
  <c r="Q527" i="3"/>
  <c r="T527" i="3" s="1"/>
  <c r="AV138" i="3"/>
  <c r="S277" i="3"/>
  <c r="AC255" i="3"/>
  <c r="I296" i="3"/>
  <c r="G203" i="3"/>
  <c r="J203" i="3" s="1"/>
  <c r="I131" i="3"/>
  <c r="AK481" i="3"/>
  <c r="AN481" i="3" s="1"/>
  <c r="AK533" i="3"/>
  <c r="AN533" i="3" s="1"/>
  <c r="G458" i="3"/>
  <c r="J458" i="3" s="1"/>
  <c r="G510" i="3"/>
  <c r="J510" i="3" s="1"/>
  <c r="Q476" i="3"/>
  <c r="T476" i="3" s="1"/>
  <c r="Q528" i="3"/>
  <c r="T528" i="3" s="1"/>
  <c r="AK468" i="3"/>
  <c r="AN468" i="3" s="1"/>
  <c r="AK520" i="3"/>
  <c r="AN520" i="3" s="1"/>
  <c r="Q468" i="3"/>
  <c r="T468" i="3" s="1"/>
  <c r="Q520" i="3"/>
  <c r="T520" i="3" s="1"/>
  <c r="AA456" i="3"/>
  <c r="AD456" i="3" s="1"/>
  <c r="AA508" i="3"/>
  <c r="AD508" i="3" s="1"/>
  <c r="AA364" i="3"/>
  <c r="AD364" i="3" s="1"/>
  <c r="AC65" i="3"/>
  <c r="I87" i="3"/>
  <c r="AK303" i="3"/>
  <c r="AN303" i="3" s="1"/>
  <c r="AA477" i="3"/>
  <c r="AD477" i="3" s="1"/>
  <c r="AA529" i="3"/>
  <c r="AD529" i="3" s="1"/>
  <c r="AK483" i="3"/>
  <c r="AN483" i="3" s="1"/>
  <c r="AK535" i="3"/>
  <c r="AN535" i="3" s="1"/>
  <c r="AV252" i="3"/>
  <c r="AM234" i="3"/>
  <c r="AK457" i="3"/>
  <c r="AN457" i="3" s="1"/>
  <c r="AK509" i="3"/>
  <c r="AN509" i="3" s="1"/>
  <c r="G461" i="3"/>
  <c r="J461" i="3" s="1"/>
  <c r="G513" i="3"/>
  <c r="J513" i="3" s="1"/>
  <c r="S250" i="3"/>
  <c r="AA475" i="3"/>
  <c r="AD475" i="3" s="1"/>
  <c r="AA527" i="3"/>
  <c r="AD527" i="3" s="1"/>
  <c r="AA471" i="3"/>
  <c r="AD471" i="3" s="1"/>
  <c r="AA523" i="3"/>
  <c r="AD523" i="3" s="1"/>
  <c r="G468" i="3"/>
  <c r="J468" i="3" s="1"/>
  <c r="G520" i="3"/>
  <c r="J520" i="3" s="1"/>
  <c r="Q466" i="3"/>
  <c r="T466" i="3" s="1"/>
  <c r="Q518" i="3"/>
  <c r="T518" i="3" s="1"/>
  <c r="AA458" i="3"/>
  <c r="AD458" i="3" s="1"/>
  <c r="AA510" i="3"/>
  <c r="AD510" i="3" s="1"/>
  <c r="S369" i="3"/>
  <c r="G462" i="3"/>
  <c r="J462" i="3" s="1"/>
  <c r="G514" i="3"/>
  <c r="J514" i="3" s="1"/>
  <c r="S138" i="3"/>
  <c r="S128" i="3"/>
  <c r="S163" i="3"/>
  <c r="S118" i="3"/>
  <c r="S74" i="3"/>
  <c r="G206" i="3"/>
  <c r="J206" i="3" s="1"/>
  <c r="AV152" i="3"/>
  <c r="AM76" i="3"/>
  <c r="AA482" i="3"/>
  <c r="AD482" i="3" s="1"/>
  <c r="AA534" i="3"/>
  <c r="AD534" i="3" s="1"/>
  <c r="Q483" i="3"/>
  <c r="T483" i="3" s="1"/>
  <c r="Q535" i="3"/>
  <c r="T535" i="3" s="1"/>
  <c r="S228" i="3"/>
  <c r="I262" i="3"/>
  <c r="AM69" i="3"/>
  <c r="AA285" i="3"/>
  <c r="AD285" i="3" s="1"/>
  <c r="AC110" i="3"/>
  <c r="Q470" i="3"/>
  <c r="T470" i="3" s="1"/>
  <c r="Q522" i="3"/>
  <c r="T522" i="3" s="1"/>
  <c r="AM113" i="3"/>
  <c r="AM141" i="3"/>
  <c r="BG220" i="3"/>
  <c r="BG221" i="3" s="1"/>
  <c r="BG222" i="3" s="1"/>
  <c r="BG223" i="3" s="1"/>
  <c r="BG224" i="3" s="1"/>
  <c r="BG225" i="3" s="1"/>
  <c r="BG226" i="3" s="1"/>
  <c r="BG227" i="3" s="1"/>
  <c r="BG228" i="3" s="1"/>
  <c r="BG229" i="3" s="1"/>
  <c r="BG230" i="3" s="1"/>
  <c r="BG231" i="3" s="1"/>
  <c r="BG232" i="3" s="1"/>
  <c r="BG233" i="3" s="1"/>
  <c r="BG234" i="3" s="1"/>
  <c r="BG235" i="3" s="1"/>
  <c r="BG236" i="3" s="1"/>
  <c r="BG237" i="3" s="1"/>
  <c r="BG238" i="3" s="1"/>
  <c r="BG239" i="3" s="1"/>
  <c r="BG240" i="3" s="1"/>
  <c r="BG241" i="3" s="1"/>
  <c r="BG242" i="3" s="1"/>
  <c r="BG243" i="3" s="1"/>
  <c r="BG244" i="3" s="1"/>
  <c r="BG245" i="3" s="1"/>
  <c r="BG246" i="3" s="1"/>
  <c r="BG247" i="3" s="1"/>
  <c r="BG248" i="3" s="1"/>
  <c r="BG249" i="3" s="1"/>
  <c r="BG250" i="3" s="1"/>
  <c r="BG251" i="3" s="1"/>
  <c r="BG252" i="3" s="1"/>
  <c r="BG253" i="3" s="1"/>
  <c r="BG254" i="3" s="1"/>
  <c r="BG255" i="3" s="1"/>
  <c r="BG256" i="3" s="1"/>
  <c r="BG257" i="3" s="1"/>
  <c r="BG258" i="3" s="1"/>
  <c r="BG259" i="3" s="1"/>
  <c r="BG260" i="3" s="1"/>
  <c r="BG261" i="3" s="1"/>
  <c r="BG262" i="3" s="1"/>
  <c r="BG263" i="3" s="1"/>
  <c r="BG264" i="3" s="1"/>
  <c r="BG265" i="3" s="1"/>
  <c r="BG266" i="3" s="1"/>
  <c r="BG267" i="3" s="1"/>
  <c r="BG268" i="3" s="1"/>
  <c r="BG269" i="3" s="1"/>
  <c r="BG270" i="3" s="1"/>
  <c r="I91" i="3"/>
  <c r="BF64" i="3"/>
  <c r="BF65" i="3" s="1"/>
  <c r="BF66" i="3" s="1"/>
  <c r="BF67" i="3" s="1"/>
  <c r="BF68" i="3" s="1"/>
  <c r="BF69" i="3" s="1"/>
  <c r="BF70" i="3" s="1"/>
  <c r="BF71" i="3" s="1"/>
  <c r="BF72" i="3" s="1"/>
  <c r="BF73" i="3" s="1"/>
  <c r="BF74" i="3" s="1"/>
  <c r="BF75" i="3" s="1"/>
  <c r="BF76" i="3" s="1"/>
  <c r="BF77" i="3" s="1"/>
  <c r="BF78" i="3" s="1"/>
  <c r="BF79" i="3" s="1"/>
  <c r="BF80" i="3" s="1"/>
  <c r="BF81" i="3" s="1"/>
  <c r="BF82" i="3" s="1"/>
  <c r="BF83" i="3" s="1"/>
  <c r="BF84" i="3" s="1"/>
  <c r="BF85" i="3" s="1"/>
  <c r="BF86" i="3" s="1"/>
  <c r="BF87" i="3" s="1"/>
  <c r="BF88" i="3" s="1"/>
  <c r="BF89" i="3" s="1"/>
  <c r="BF90" i="3" s="1"/>
  <c r="BF91" i="3" s="1"/>
  <c r="BF92" i="3" s="1"/>
  <c r="BF93" i="3" s="1"/>
  <c r="BF94" i="3" s="1"/>
  <c r="BF95" i="3" s="1"/>
  <c r="BF96" i="3" s="1"/>
  <c r="BF97" i="3" s="1"/>
  <c r="BF98" i="3" s="1"/>
  <c r="BF99" i="3" s="1"/>
  <c r="BF100" i="3" s="1"/>
  <c r="BF101" i="3" s="1"/>
  <c r="BF102" i="3" s="1"/>
  <c r="BF103" i="3" s="1"/>
  <c r="BF104" i="3" s="1"/>
  <c r="BF105" i="3" s="1"/>
  <c r="BF106" i="3" s="1"/>
  <c r="BF107" i="3" s="1"/>
  <c r="BF108" i="3" s="1"/>
  <c r="BF109" i="3" s="1"/>
  <c r="BF110" i="3" s="1"/>
  <c r="BF111" i="3" s="1"/>
  <c r="BF112" i="3" s="1"/>
  <c r="BF113" i="3" s="1"/>
  <c r="BF114" i="3" s="1"/>
  <c r="AV141" i="3"/>
  <c r="AM294" i="3"/>
  <c r="AK455" i="3"/>
  <c r="AN455" i="3" s="1"/>
  <c r="AK507" i="3"/>
  <c r="AN507" i="3" s="1"/>
  <c r="Q455" i="3"/>
  <c r="T455" i="3" s="1"/>
  <c r="Q507" i="3"/>
  <c r="T507" i="3" s="1"/>
  <c r="AK454" i="3"/>
  <c r="AN454" i="3" s="1"/>
  <c r="AK506" i="3"/>
  <c r="AN506" i="3" s="1"/>
  <c r="AA454" i="3"/>
  <c r="AD454" i="3" s="1"/>
  <c r="AA506" i="3"/>
  <c r="AD506" i="3" s="1"/>
  <c r="AK450" i="3"/>
  <c r="AN450" i="3" s="1"/>
  <c r="AK502" i="3"/>
  <c r="AN502" i="3" s="1"/>
  <c r="G449" i="3"/>
  <c r="J449" i="3" s="1"/>
  <c r="G501" i="3"/>
  <c r="J501" i="3" s="1"/>
  <c r="G448" i="3"/>
  <c r="J448" i="3" s="1"/>
  <c r="G500" i="3"/>
  <c r="J500" i="3" s="1"/>
  <c r="G447" i="3"/>
  <c r="J447" i="3" s="1"/>
  <c r="G499" i="3"/>
  <c r="J499" i="3" s="1"/>
  <c r="G454" i="3"/>
  <c r="J454" i="3" s="1"/>
  <c r="G506" i="3"/>
  <c r="J506" i="3" s="1"/>
  <c r="G453" i="3"/>
  <c r="J453" i="3" s="1"/>
  <c r="G505" i="3"/>
  <c r="J505" i="3" s="1"/>
  <c r="AA452" i="3"/>
  <c r="AD452" i="3" s="1"/>
  <c r="AA504" i="3"/>
  <c r="AD504" i="3" s="1"/>
  <c r="G452" i="3"/>
  <c r="J452" i="3" s="1"/>
  <c r="G504" i="3"/>
  <c r="J504" i="3" s="1"/>
  <c r="Q449" i="3"/>
  <c r="T449" i="3" s="1"/>
  <c r="Q501" i="3"/>
  <c r="T501" i="3" s="1"/>
  <c r="Q447" i="3"/>
  <c r="T447" i="3" s="1"/>
  <c r="Q499" i="3"/>
  <c r="T499" i="3" s="1"/>
  <c r="AK445" i="3"/>
  <c r="AN445" i="3" s="1"/>
  <c r="AK497" i="3"/>
  <c r="AN497" i="3" s="1"/>
  <c r="AK443" i="3"/>
  <c r="AN443" i="3" s="1"/>
  <c r="AK495" i="3"/>
  <c r="AN495" i="3" s="1"/>
  <c r="AK442" i="3"/>
  <c r="AN442" i="3" s="1"/>
  <c r="AK494" i="3"/>
  <c r="AN494" i="3" s="1"/>
  <c r="Q438" i="3"/>
  <c r="T438" i="3" s="1"/>
  <c r="Q490" i="3"/>
  <c r="T490" i="3" s="1"/>
  <c r="AA445" i="3"/>
  <c r="AD445" i="3" s="1"/>
  <c r="AA497" i="3"/>
  <c r="AD497" i="3" s="1"/>
  <c r="G445" i="3"/>
  <c r="J445" i="3" s="1"/>
  <c r="G497" i="3"/>
  <c r="J497" i="3" s="1"/>
  <c r="AA443" i="3"/>
  <c r="AD443" i="3" s="1"/>
  <c r="AA495" i="3"/>
  <c r="AD495" i="3" s="1"/>
  <c r="G443" i="3"/>
  <c r="J443" i="3" s="1"/>
  <c r="G495" i="3"/>
  <c r="J495" i="3" s="1"/>
  <c r="I298" i="3"/>
  <c r="AK437" i="3"/>
  <c r="AN437" i="3" s="1"/>
  <c r="AK489" i="3"/>
  <c r="AN489" i="3" s="1"/>
  <c r="AM121" i="3"/>
  <c r="AV164" i="3"/>
  <c r="AV158" i="3"/>
  <c r="AV154" i="3"/>
  <c r="AV153" i="3"/>
  <c r="AM84" i="3"/>
  <c r="AT193" i="3"/>
  <c r="AA473" i="3"/>
  <c r="AD473" i="3" s="1"/>
  <c r="AK461" i="3"/>
  <c r="AN461" i="3" s="1"/>
  <c r="Q460" i="3"/>
  <c r="T460" i="3" s="1"/>
  <c r="AK452" i="3"/>
  <c r="AN452" i="3" s="1"/>
  <c r="AK504" i="3"/>
  <c r="AN504" i="3" s="1"/>
  <c r="AA450" i="3"/>
  <c r="AD450" i="3" s="1"/>
  <c r="AA502" i="3"/>
  <c r="AD502" i="3" s="1"/>
  <c r="AM295" i="3"/>
  <c r="Q473" i="3"/>
  <c r="T473" i="3" s="1"/>
  <c r="Q452" i="3"/>
  <c r="T452" i="3" s="1"/>
  <c r="Q504" i="3"/>
  <c r="T504" i="3" s="1"/>
  <c r="G451" i="3"/>
  <c r="J451" i="3" s="1"/>
  <c r="G503" i="3"/>
  <c r="J503" i="3" s="1"/>
  <c r="S282" i="3"/>
  <c r="S274" i="3"/>
  <c r="AC77" i="3"/>
  <c r="AC198" i="3"/>
  <c r="G450" i="3"/>
  <c r="J450" i="3" s="1"/>
  <c r="G502" i="3"/>
  <c r="J502" i="3" s="1"/>
  <c r="Q446" i="3"/>
  <c r="T446" i="3" s="1"/>
  <c r="Q498" i="3"/>
  <c r="T498" i="3" s="1"/>
  <c r="Q445" i="3"/>
  <c r="T445" i="3" s="1"/>
  <c r="Q497" i="3"/>
  <c r="T497" i="3" s="1"/>
  <c r="AK451" i="3"/>
  <c r="AN451" i="3" s="1"/>
  <c r="AK503" i="3"/>
  <c r="AN503" i="3" s="1"/>
  <c r="AA448" i="3"/>
  <c r="AD448" i="3" s="1"/>
  <c r="AA500" i="3"/>
  <c r="AD500" i="3" s="1"/>
  <c r="Q448" i="3"/>
  <c r="T448" i="3" s="1"/>
  <c r="Q500" i="3"/>
  <c r="T500" i="3" s="1"/>
  <c r="AK444" i="3"/>
  <c r="AN444" i="3" s="1"/>
  <c r="AK496" i="3"/>
  <c r="AN496" i="3" s="1"/>
  <c r="Q439" i="3"/>
  <c r="T439" i="3" s="1"/>
  <c r="Q491" i="3"/>
  <c r="T491" i="3" s="1"/>
  <c r="AA446" i="3"/>
  <c r="AD446" i="3" s="1"/>
  <c r="AA498" i="3"/>
  <c r="AD498" i="3" s="1"/>
  <c r="G446" i="3"/>
  <c r="J446" i="3" s="1"/>
  <c r="G498" i="3"/>
  <c r="J498" i="3" s="1"/>
  <c r="AA444" i="3"/>
  <c r="AD444" i="3" s="1"/>
  <c r="AA496" i="3"/>
  <c r="AD496" i="3" s="1"/>
  <c r="G444" i="3"/>
  <c r="J444" i="3" s="1"/>
  <c r="G496" i="3"/>
  <c r="J496" i="3" s="1"/>
  <c r="G438" i="3"/>
  <c r="J438" i="3" s="1"/>
  <c r="G490" i="3"/>
  <c r="J490" i="3" s="1"/>
  <c r="Q437" i="3"/>
  <c r="T437" i="3" s="1"/>
  <c r="Q489" i="3"/>
  <c r="T489" i="3" s="1"/>
  <c r="G437" i="3"/>
  <c r="J437" i="3" s="1"/>
  <c r="G489" i="3"/>
  <c r="J489" i="3" s="1"/>
  <c r="AK447" i="3"/>
  <c r="AN447" i="3" s="1"/>
  <c r="AK499" i="3"/>
  <c r="AN499" i="3" s="1"/>
  <c r="AA447" i="3"/>
  <c r="AD447" i="3" s="1"/>
  <c r="AA499" i="3"/>
  <c r="AD499" i="3" s="1"/>
  <c r="G442" i="3"/>
  <c r="J442" i="3" s="1"/>
  <c r="G494" i="3"/>
  <c r="J494" i="3" s="1"/>
  <c r="AK441" i="3"/>
  <c r="AN441" i="3" s="1"/>
  <c r="AK493" i="3"/>
  <c r="AN493" i="3" s="1"/>
  <c r="AA441" i="3"/>
  <c r="AD441" i="3" s="1"/>
  <c r="AA493" i="3"/>
  <c r="AD493" i="3" s="1"/>
  <c r="G440" i="3"/>
  <c r="J440" i="3" s="1"/>
  <c r="G492" i="3"/>
  <c r="J492" i="3" s="1"/>
  <c r="AK439" i="3"/>
  <c r="AN439" i="3" s="1"/>
  <c r="AK491" i="3"/>
  <c r="AN491" i="3" s="1"/>
  <c r="Q451" i="3"/>
  <c r="T451" i="3" s="1"/>
  <c r="Q503" i="3"/>
  <c r="T503" i="3" s="1"/>
  <c r="AK449" i="3"/>
  <c r="AN449" i="3" s="1"/>
  <c r="AK501" i="3"/>
  <c r="AN501" i="3" s="1"/>
  <c r="AK448" i="3"/>
  <c r="AN448" i="3" s="1"/>
  <c r="AK500" i="3"/>
  <c r="AN500" i="3" s="1"/>
  <c r="Q443" i="3"/>
  <c r="T443" i="3" s="1"/>
  <c r="Q495" i="3"/>
  <c r="T495" i="3" s="1"/>
  <c r="Q442" i="3"/>
  <c r="T442" i="3" s="1"/>
  <c r="Q494" i="3"/>
  <c r="T494" i="3" s="1"/>
  <c r="G441" i="3"/>
  <c r="J441" i="3" s="1"/>
  <c r="G493" i="3"/>
  <c r="J493" i="3" s="1"/>
  <c r="AK440" i="3"/>
  <c r="AN440" i="3" s="1"/>
  <c r="AK492" i="3"/>
  <c r="AN492" i="3" s="1"/>
  <c r="G439" i="3"/>
  <c r="J439" i="3" s="1"/>
  <c r="G491" i="3"/>
  <c r="J491" i="3" s="1"/>
  <c r="AA451" i="3"/>
  <c r="AD451" i="3" s="1"/>
  <c r="AA503" i="3"/>
  <c r="AD503" i="3" s="1"/>
  <c r="AC138" i="3"/>
  <c r="S126" i="3"/>
  <c r="S122" i="3"/>
  <c r="AC119" i="3"/>
  <c r="I118" i="3"/>
  <c r="AV150" i="3"/>
  <c r="AK249" i="3"/>
  <c r="AN249" i="3" s="1"/>
  <c r="AM130" i="3"/>
  <c r="AM127" i="3"/>
  <c r="AM79" i="3"/>
  <c r="I77" i="3"/>
  <c r="G187" i="3"/>
  <c r="J187" i="3" s="1"/>
  <c r="G479" i="3"/>
  <c r="J479" i="3" s="1"/>
  <c r="AM373" i="3"/>
  <c r="AA240" i="3"/>
  <c r="AD240" i="3" s="1"/>
  <c r="I295" i="3"/>
  <c r="G344" i="3"/>
  <c r="J344" i="3" s="1"/>
  <c r="I277" i="3"/>
  <c r="AM253" i="3"/>
  <c r="S255" i="3"/>
  <c r="AK433" i="3"/>
  <c r="AN433" i="3" s="1"/>
  <c r="AK485" i="3"/>
  <c r="AN485" i="3" s="1"/>
  <c r="AA433" i="3"/>
  <c r="AD433" i="3" s="1"/>
  <c r="AA485" i="3"/>
  <c r="AD485" i="3" s="1"/>
  <c r="AK464" i="3"/>
  <c r="AN464" i="3" s="1"/>
  <c r="AK477" i="3"/>
  <c r="AN477" i="3" s="1"/>
  <c r="Q471" i="3"/>
  <c r="T471" i="3" s="1"/>
  <c r="G480" i="3"/>
  <c r="J480" i="3" s="1"/>
  <c r="G470" i="3"/>
  <c r="J470" i="3" s="1"/>
  <c r="AA464" i="3"/>
  <c r="AD464" i="3" s="1"/>
  <c r="I365" i="3"/>
  <c r="G469" i="3"/>
  <c r="J469" i="3" s="1"/>
  <c r="AA435" i="3"/>
  <c r="AD435" i="3" s="1"/>
  <c r="AA487" i="3"/>
  <c r="AD487" i="3" s="1"/>
  <c r="AK432" i="3"/>
  <c r="AN432" i="3" s="1"/>
  <c r="AK484" i="3"/>
  <c r="AN484" i="3" s="1"/>
  <c r="Q436" i="3"/>
  <c r="T436" i="3" s="1"/>
  <c r="Q488" i="3"/>
  <c r="T488" i="3" s="1"/>
  <c r="Q435" i="3"/>
  <c r="T435" i="3" s="1"/>
  <c r="Q487" i="3"/>
  <c r="T487" i="3" s="1"/>
  <c r="G435" i="3"/>
  <c r="J435" i="3" s="1"/>
  <c r="G487" i="3"/>
  <c r="J487" i="3" s="1"/>
  <c r="Q434" i="3"/>
  <c r="T434" i="3" s="1"/>
  <c r="Q486" i="3"/>
  <c r="T486" i="3" s="1"/>
  <c r="G434" i="3"/>
  <c r="J434" i="3" s="1"/>
  <c r="G486" i="3"/>
  <c r="J486" i="3" s="1"/>
  <c r="Q433" i="3"/>
  <c r="T433" i="3" s="1"/>
  <c r="Q485" i="3"/>
  <c r="T485" i="3" s="1"/>
  <c r="G433" i="3"/>
  <c r="J433" i="3" s="1"/>
  <c r="G485" i="3"/>
  <c r="J485" i="3" s="1"/>
  <c r="Q432" i="3"/>
  <c r="T432" i="3" s="1"/>
  <c r="Q484" i="3"/>
  <c r="T484" i="3" s="1"/>
  <c r="G432" i="3"/>
  <c r="J432" i="3" s="1"/>
  <c r="G484" i="3"/>
  <c r="J484" i="3" s="1"/>
  <c r="AA472" i="3"/>
  <c r="AD472" i="3" s="1"/>
  <c r="S365" i="3"/>
  <c r="Q469" i="3"/>
  <c r="T469" i="3" s="1"/>
  <c r="AM372" i="3"/>
  <c r="AK476" i="3"/>
  <c r="AN476" i="3" s="1"/>
  <c r="Q480" i="3"/>
  <c r="T480" i="3" s="1"/>
  <c r="AA478" i="3"/>
  <c r="AD478" i="3" s="1"/>
  <c r="AA467" i="3"/>
  <c r="AD467" i="3" s="1"/>
  <c r="G465" i="3"/>
  <c r="J465" i="3" s="1"/>
  <c r="AK479" i="3"/>
  <c r="AN479" i="3" s="1"/>
  <c r="G472" i="3"/>
  <c r="J472" i="3" s="1"/>
  <c r="G482" i="3"/>
  <c r="J482" i="3" s="1"/>
  <c r="AA476" i="3"/>
  <c r="AD476" i="3" s="1"/>
  <c r="AA466" i="3"/>
  <c r="AD466" i="3" s="1"/>
  <c r="Q465" i="3"/>
  <c r="T465" i="3" s="1"/>
  <c r="AK467" i="3"/>
  <c r="AN467" i="3" s="1"/>
  <c r="G483" i="3"/>
  <c r="J483" i="3" s="1"/>
  <c r="AC345" i="3"/>
  <c r="AA449" i="3"/>
  <c r="AD449" i="3" s="1"/>
  <c r="AA461" i="3"/>
  <c r="AD461" i="3" s="1"/>
  <c r="Q454" i="3"/>
  <c r="T454" i="3" s="1"/>
  <c r="S346" i="3"/>
  <c r="Q450" i="3"/>
  <c r="T450" i="3" s="1"/>
  <c r="AA455" i="3"/>
  <c r="AD455" i="3" s="1"/>
  <c r="AA453" i="3"/>
  <c r="AD453" i="3" s="1"/>
  <c r="AK453" i="3"/>
  <c r="AN453" i="3" s="1"/>
  <c r="BH118" i="3"/>
  <c r="BH119" i="3" s="1"/>
  <c r="BH120" i="3" s="1"/>
  <c r="BH121" i="3" s="1"/>
  <c r="BH122" i="3" s="1"/>
  <c r="BH123" i="3" s="1"/>
  <c r="BH124" i="3" s="1"/>
  <c r="BH125" i="3" s="1"/>
  <c r="BH126" i="3" s="1"/>
  <c r="BH127" i="3" s="1"/>
  <c r="BH128" i="3" s="1"/>
  <c r="BH129" i="3" s="1"/>
  <c r="BH130" i="3" s="1"/>
  <c r="BH131" i="3" s="1"/>
  <c r="BH132" i="3" s="1"/>
  <c r="BH133" i="3" s="1"/>
  <c r="BH134" i="3" s="1"/>
  <c r="BH135" i="3" s="1"/>
  <c r="BH136" i="3" s="1"/>
  <c r="BH137" i="3" s="1"/>
  <c r="BH138" i="3" s="1"/>
  <c r="BH139" i="3" s="1"/>
  <c r="BH140" i="3" s="1"/>
  <c r="BH141" i="3" s="1"/>
  <c r="BH142" i="3" s="1"/>
  <c r="BH143" i="3" s="1"/>
  <c r="BH144" i="3" s="1"/>
  <c r="BH145" i="3" s="1"/>
  <c r="BH146" i="3" s="1"/>
  <c r="BH147" i="3" s="1"/>
  <c r="BH148" i="3" s="1"/>
  <c r="BH149" i="3" s="1"/>
  <c r="BH150" i="3" s="1"/>
  <c r="BH151" i="3" s="1"/>
  <c r="BH152" i="3" s="1"/>
  <c r="BH153" i="3" s="1"/>
  <c r="BH154" i="3" s="1"/>
  <c r="BH155" i="3" s="1"/>
  <c r="BH156" i="3" s="1"/>
  <c r="BH157" i="3" s="1"/>
  <c r="BH158" i="3" s="1"/>
  <c r="BH159" i="3" s="1"/>
  <c r="BH160" i="3" s="1"/>
  <c r="BH161" i="3" s="1"/>
  <c r="BH162" i="3" s="1"/>
  <c r="BH163" i="3" s="1"/>
  <c r="BH164" i="3" s="1"/>
  <c r="BH165" i="3" s="1"/>
  <c r="BH166" i="3" s="1"/>
  <c r="BG67" i="3"/>
  <c r="BG68" i="3" s="1"/>
  <c r="BG69" i="3" s="1"/>
  <c r="BG70" i="3" s="1"/>
  <c r="BG71" i="3" s="1"/>
  <c r="BG72" i="3" s="1"/>
  <c r="BG73" i="3" s="1"/>
  <c r="BG74" i="3" s="1"/>
  <c r="BG75" i="3" s="1"/>
  <c r="BG76" i="3" s="1"/>
  <c r="BG77" i="3" s="1"/>
  <c r="BG78" i="3" s="1"/>
  <c r="BG79" i="3" s="1"/>
  <c r="BG80" i="3" s="1"/>
  <c r="BG81" i="3" s="1"/>
  <c r="BG82" i="3" s="1"/>
  <c r="BG83" i="3" s="1"/>
  <c r="BG84" i="3" s="1"/>
  <c r="BG85" i="3" s="1"/>
  <c r="BG86" i="3" s="1"/>
  <c r="BG87" i="3" s="1"/>
  <c r="BG88" i="3" s="1"/>
  <c r="BG89" i="3" s="1"/>
  <c r="BG90" i="3" s="1"/>
  <c r="BG91" i="3" s="1"/>
  <c r="BG92" i="3" s="1"/>
  <c r="BG93" i="3" s="1"/>
  <c r="BG94" i="3" s="1"/>
  <c r="BG95" i="3" s="1"/>
  <c r="BG96" i="3" s="1"/>
  <c r="BG97" i="3" s="1"/>
  <c r="BG98" i="3" s="1"/>
  <c r="BG99" i="3" s="1"/>
  <c r="BG100" i="3" s="1"/>
  <c r="BG101" i="3" s="1"/>
  <c r="BG102" i="3" s="1"/>
  <c r="BG103" i="3" s="1"/>
  <c r="BG104" i="3" s="1"/>
  <c r="BG105" i="3" s="1"/>
  <c r="BG106" i="3" s="1"/>
  <c r="BG107" i="3" s="1"/>
  <c r="BG108" i="3" s="1"/>
  <c r="BG109" i="3" s="1"/>
  <c r="BG110" i="3" s="1"/>
  <c r="BG111" i="3" s="1"/>
  <c r="BG112" i="3" s="1"/>
  <c r="BG113" i="3" s="1"/>
  <c r="BG114" i="3" s="1"/>
  <c r="Q456" i="3"/>
  <c r="T456" i="3" s="1"/>
  <c r="Q453" i="3"/>
  <c r="T453" i="3" s="1"/>
  <c r="G456" i="3"/>
  <c r="J456" i="3" s="1"/>
  <c r="G455" i="3"/>
  <c r="J455" i="3" s="1"/>
  <c r="I95" i="3"/>
  <c r="I242" i="3"/>
  <c r="AV166" i="3"/>
  <c r="AV151" i="3"/>
  <c r="AV149" i="3"/>
  <c r="AV147" i="3"/>
  <c r="S97" i="3"/>
  <c r="Q248" i="3"/>
  <c r="T248" i="3" s="1"/>
  <c r="S144" i="3"/>
  <c r="AK248" i="3"/>
  <c r="AN248" i="3" s="1"/>
  <c r="AM144" i="3"/>
  <c r="AC140" i="3"/>
  <c r="AA430" i="3"/>
  <c r="AD430" i="3" s="1"/>
  <c r="AC430" i="3"/>
  <c r="AM331" i="3"/>
  <c r="AK435" i="3"/>
  <c r="AN435" i="3" s="1"/>
  <c r="AC328" i="3"/>
  <c r="AA432" i="3"/>
  <c r="AD432" i="3" s="1"/>
  <c r="AC139" i="3"/>
  <c r="AV135" i="3"/>
  <c r="AC137" i="3"/>
  <c r="AV129" i="3"/>
  <c r="AK431" i="3"/>
  <c r="AN431" i="3" s="1"/>
  <c r="AM431" i="3"/>
  <c r="AK430" i="3"/>
  <c r="AN430" i="3" s="1"/>
  <c r="AM430" i="3"/>
  <c r="AM334" i="3"/>
  <c r="AK438" i="3"/>
  <c r="AN438" i="3" s="1"/>
  <c r="I332" i="3"/>
  <c r="G436" i="3"/>
  <c r="J436" i="3" s="1"/>
  <c r="I128" i="3"/>
  <c r="AM180" i="3"/>
  <c r="AM128" i="3"/>
  <c r="I126" i="3"/>
  <c r="AC124" i="3"/>
  <c r="BD163" i="3"/>
  <c r="AV163" i="3"/>
  <c r="AV160" i="3"/>
  <c r="AM110" i="3"/>
  <c r="AV127" i="3"/>
  <c r="AM123" i="3"/>
  <c r="BD112" i="3"/>
  <c r="AV112" i="3"/>
  <c r="BD109" i="3"/>
  <c r="AV109" i="3"/>
  <c r="AV106" i="3"/>
  <c r="AV101" i="3"/>
  <c r="S133" i="3"/>
  <c r="S135" i="3"/>
  <c r="S134" i="3"/>
  <c r="AC121" i="3"/>
  <c r="AM119" i="3"/>
  <c r="I105" i="3"/>
  <c r="AC104" i="3"/>
  <c r="I104" i="3"/>
  <c r="G257" i="3"/>
  <c r="J257" i="3" s="1"/>
  <c r="I101" i="3"/>
  <c r="AK251" i="3"/>
  <c r="AN251" i="3" s="1"/>
  <c r="AM95" i="3"/>
  <c r="I93" i="3"/>
  <c r="AC145" i="3"/>
  <c r="S92" i="3"/>
  <c r="AM86" i="3"/>
  <c r="BD73" i="3"/>
  <c r="AV73" i="3"/>
  <c r="BD71" i="3"/>
  <c r="AV71" i="3"/>
  <c r="G224" i="3"/>
  <c r="J224" i="3" s="1"/>
  <c r="I68" i="3"/>
  <c r="S66" i="3"/>
  <c r="AT14" i="3"/>
  <c r="AM342" i="3"/>
  <c r="AK446" i="3"/>
  <c r="AN446" i="3" s="1"/>
  <c r="S337" i="3"/>
  <c r="Q441" i="3"/>
  <c r="T441" i="3" s="1"/>
  <c r="AC335" i="3"/>
  <c r="AA439" i="3"/>
  <c r="AD439" i="3" s="1"/>
  <c r="AC377" i="3"/>
  <c r="AA429" i="3"/>
  <c r="AD429" i="3" s="1"/>
  <c r="AC429" i="3"/>
  <c r="AV132" i="3"/>
  <c r="BD113" i="3"/>
  <c r="AV113" i="3"/>
  <c r="G214" i="3"/>
  <c r="J214" i="3" s="1"/>
  <c r="G364" i="3"/>
  <c r="J364" i="3" s="1"/>
  <c r="I120" i="3"/>
  <c r="AC351" i="3"/>
  <c r="AM133" i="3"/>
  <c r="AC123" i="3"/>
  <c r="I158" i="3"/>
  <c r="AM103" i="3"/>
  <c r="AM97" i="3"/>
  <c r="G430" i="3"/>
  <c r="J430" i="3" s="1"/>
  <c r="I430" i="3"/>
  <c r="BD162" i="3"/>
  <c r="AV162" i="3"/>
  <c r="AM105" i="3"/>
  <c r="AC206" i="3"/>
  <c r="AC154" i="3"/>
  <c r="AC95" i="3"/>
  <c r="AM88" i="3"/>
  <c r="AC111" i="3"/>
  <c r="AM106" i="3"/>
  <c r="AC109" i="3"/>
  <c r="AK213" i="3"/>
  <c r="AN213" i="3" s="1"/>
  <c r="AM109" i="3"/>
  <c r="I144" i="3"/>
  <c r="I129" i="3"/>
  <c r="AV110" i="3"/>
  <c r="G265" i="3"/>
  <c r="J265" i="3" s="1"/>
  <c r="I109" i="3"/>
  <c r="I96" i="3"/>
  <c r="S69" i="3"/>
  <c r="S129" i="3"/>
  <c r="S99" i="3"/>
  <c r="AV67" i="3"/>
  <c r="I217" i="3"/>
  <c r="I165" i="3"/>
  <c r="S102" i="3"/>
  <c r="AC91" i="3"/>
  <c r="I285" i="3"/>
  <c r="G291" i="3"/>
  <c r="J291" i="3" s="1"/>
  <c r="S125" i="3"/>
  <c r="AC112" i="3"/>
  <c r="BD157" i="3"/>
  <c r="AV157" i="3"/>
  <c r="S96" i="3"/>
  <c r="AM99" i="3"/>
  <c r="AM89" i="3"/>
  <c r="I83" i="3"/>
  <c r="BD79" i="3"/>
  <c r="AV79" i="3"/>
  <c r="BD134" i="3"/>
  <c r="AV134" i="3"/>
  <c r="S162" i="3"/>
  <c r="AC90" i="3"/>
  <c r="S103" i="3"/>
  <c r="BD159" i="3"/>
  <c r="AV159" i="3"/>
  <c r="AC80" i="3"/>
  <c r="S87" i="3"/>
  <c r="BD65" i="3"/>
  <c r="AV65" i="3"/>
  <c r="AC101" i="3"/>
  <c r="BD145" i="3"/>
  <c r="AV145" i="3"/>
  <c r="AM74" i="3"/>
  <c r="Q258" i="3"/>
  <c r="T258" i="3" s="1"/>
  <c r="I107" i="3"/>
  <c r="I71" i="3"/>
  <c r="I139" i="3"/>
  <c r="I148" i="3"/>
  <c r="AM139" i="3"/>
  <c r="S131" i="3"/>
  <c r="AC102" i="3"/>
  <c r="I145" i="3"/>
  <c r="AM102" i="3"/>
  <c r="I100" i="3"/>
  <c r="AC146" i="3"/>
  <c r="AC84" i="3"/>
  <c r="AC89" i="3"/>
  <c r="S123" i="3"/>
  <c r="AC79" i="3"/>
  <c r="AM160" i="3"/>
  <c r="I90" i="3"/>
  <c r="AM143" i="3"/>
  <c r="I125" i="3"/>
  <c r="S72" i="3"/>
  <c r="AC202" i="3"/>
  <c r="AC150" i="3"/>
  <c r="I67" i="3"/>
  <c r="S158" i="3"/>
  <c r="I111" i="3"/>
  <c r="AC100" i="3"/>
  <c r="BD89" i="3"/>
  <c r="AV89" i="3"/>
  <c r="AC131" i="3"/>
  <c r="AM112" i="3"/>
  <c r="S143" i="3"/>
  <c r="S165" i="3"/>
  <c r="AM147" i="3"/>
  <c r="AM150" i="3"/>
  <c r="G431" i="3"/>
  <c r="J431" i="3" s="1"/>
  <c r="I431" i="3"/>
  <c r="AK429" i="3"/>
  <c r="AN429" i="3" s="1"/>
  <c r="AM429" i="3"/>
  <c r="AC113" i="3"/>
  <c r="AC159" i="3"/>
  <c r="AC129" i="3"/>
  <c r="I152" i="3"/>
  <c r="BD84" i="3"/>
  <c r="AV84" i="3"/>
  <c r="AC118" i="3"/>
  <c r="AC127" i="3"/>
  <c r="I79" i="3"/>
  <c r="BF122" i="3"/>
  <c r="BF123" i="3" s="1"/>
  <c r="BF124" i="3" s="1"/>
  <c r="BF125" i="3" s="1"/>
  <c r="BF126" i="3" s="1"/>
  <c r="BF127" i="3" s="1"/>
  <c r="BF128" i="3" s="1"/>
  <c r="BF129" i="3" s="1"/>
  <c r="BF130" i="3" s="1"/>
  <c r="BF131" i="3" s="1"/>
  <c r="BF132" i="3" s="1"/>
  <c r="BF133" i="3" s="1"/>
  <c r="BF134" i="3" s="1"/>
  <c r="BF135" i="3" s="1"/>
  <c r="BF136" i="3" s="1"/>
  <c r="BF137" i="3" s="1"/>
  <c r="BF138" i="3" s="1"/>
  <c r="BF139" i="3" s="1"/>
  <c r="BF140" i="3" s="1"/>
  <c r="BF141" i="3" s="1"/>
  <c r="BF142" i="3" s="1"/>
  <c r="BF143" i="3" s="1"/>
  <c r="BF144" i="3" s="1"/>
  <c r="BF145" i="3" s="1"/>
  <c r="BF146" i="3" s="1"/>
  <c r="BF147" i="3" s="1"/>
  <c r="BF148" i="3" s="1"/>
  <c r="BF149" i="3" s="1"/>
  <c r="BF150" i="3" s="1"/>
  <c r="BF151" i="3" s="1"/>
  <c r="BF152" i="3" s="1"/>
  <c r="BF153" i="3" s="1"/>
  <c r="BF154" i="3" s="1"/>
  <c r="BF155" i="3" s="1"/>
  <c r="BF156" i="3" s="1"/>
  <c r="BF157" i="3" s="1"/>
  <c r="BF158" i="3" s="1"/>
  <c r="BF159" i="3" s="1"/>
  <c r="BF160" i="3" s="1"/>
  <c r="BF161" i="3" s="1"/>
  <c r="BF162" i="3" s="1"/>
  <c r="BF163" i="3" s="1"/>
  <c r="BF164" i="3" s="1"/>
  <c r="BF165" i="3" s="1"/>
  <c r="BF166" i="3" s="1"/>
  <c r="Q210" i="3"/>
  <c r="T210" i="3" s="1"/>
  <c r="S106" i="3"/>
  <c r="S95" i="3"/>
  <c r="S86" i="3"/>
  <c r="S84" i="3"/>
  <c r="AV144" i="3"/>
  <c r="AT82" i="3"/>
  <c r="AV80" i="3"/>
  <c r="I140" i="3"/>
  <c r="AA431" i="3"/>
  <c r="AD431" i="3" s="1"/>
  <c r="AC431" i="3"/>
  <c r="AC334" i="3"/>
  <c r="AA438" i="3"/>
  <c r="AD438" i="3" s="1"/>
  <c r="AC333" i="3"/>
  <c r="AA437" i="3"/>
  <c r="AD437" i="3" s="1"/>
  <c r="AM332" i="3"/>
  <c r="AK436" i="3"/>
  <c r="AN436" i="3" s="1"/>
  <c r="AC332" i="3"/>
  <c r="AA436" i="3"/>
  <c r="AD436" i="3" s="1"/>
  <c r="AM330" i="3"/>
  <c r="AK434" i="3"/>
  <c r="AN434" i="3" s="1"/>
  <c r="AC330" i="3"/>
  <c r="AA434" i="3"/>
  <c r="AD434" i="3" s="1"/>
  <c r="I138" i="3"/>
  <c r="I137" i="3"/>
  <c r="I185" i="3"/>
  <c r="I133" i="3"/>
  <c r="AK235" i="3"/>
  <c r="AN235" i="3" s="1"/>
  <c r="AM131" i="3"/>
  <c r="G429" i="3"/>
  <c r="J429" i="3" s="1"/>
  <c r="I429" i="3"/>
  <c r="AC126" i="3"/>
  <c r="I124" i="3"/>
  <c r="AM124" i="3"/>
  <c r="I122" i="3"/>
  <c r="BD111" i="3"/>
  <c r="AV111" i="3"/>
  <c r="AV108" i="3"/>
  <c r="AM129" i="3"/>
  <c r="AV121" i="3"/>
  <c r="BD161" i="3"/>
  <c r="AV161" i="3"/>
  <c r="AM108" i="3"/>
  <c r="AT209" i="3"/>
  <c r="G231" i="3"/>
  <c r="J231" i="3" s="1"/>
  <c r="I75" i="3"/>
  <c r="AV130" i="3"/>
  <c r="AT13" i="3"/>
  <c r="BD10" i="3"/>
  <c r="BI10" i="3" s="1"/>
  <c r="BD136" i="3"/>
  <c r="AV136" i="3"/>
  <c r="AC186" i="3"/>
  <c r="AC134" i="3"/>
  <c r="BD128" i="3"/>
  <c r="AV128" i="3"/>
  <c r="AV126" i="3"/>
  <c r="BD124" i="3"/>
  <c r="AV124" i="3"/>
  <c r="BD122" i="3"/>
  <c r="AV122" i="3"/>
  <c r="I173" i="3"/>
  <c r="I121" i="3"/>
  <c r="S119" i="3"/>
  <c r="BD105" i="3"/>
  <c r="AV105" i="3"/>
  <c r="S160" i="3"/>
  <c r="BD156" i="3"/>
  <c r="AV156" i="3"/>
  <c r="I106" i="3"/>
  <c r="AC105" i="3"/>
  <c r="S199" i="3"/>
  <c r="S147" i="3"/>
  <c r="AC93" i="3"/>
  <c r="AC144" i="3"/>
  <c r="S88" i="3"/>
  <c r="AC78" i="3"/>
  <c r="AM75" i="3"/>
  <c r="BD68" i="3"/>
  <c r="AV68" i="3"/>
  <c r="AV118" i="3"/>
  <c r="BD107" i="3"/>
  <c r="AV107" i="3"/>
  <c r="BD155" i="3"/>
  <c r="AV155" i="3"/>
  <c r="BD90" i="3"/>
  <c r="AV90" i="3"/>
  <c r="AC76" i="3"/>
  <c r="S340" i="3"/>
  <c r="Q444" i="3"/>
  <c r="T444" i="3" s="1"/>
  <c r="AC338" i="3"/>
  <c r="AA442" i="3"/>
  <c r="AD442" i="3" s="1"/>
  <c r="AC336" i="3"/>
  <c r="AA440" i="3"/>
  <c r="AD440" i="3" s="1"/>
  <c r="S336" i="3"/>
  <c r="Q440" i="3"/>
  <c r="T440" i="3" s="1"/>
  <c r="I136" i="3"/>
  <c r="S367" i="3"/>
  <c r="BD131" i="3"/>
  <c r="AV131" i="3"/>
  <c r="AM111" i="3"/>
  <c r="AM136" i="3"/>
  <c r="G266" i="3"/>
  <c r="J266" i="3" s="1"/>
  <c r="BD103" i="3"/>
  <c r="AV103" i="3"/>
  <c r="AC96" i="3"/>
  <c r="I89" i="3"/>
  <c r="S111" i="3"/>
  <c r="AM104" i="3"/>
  <c r="I146" i="3"/>
  <c r="AK344" i="3"/>
  <c r="AN344" i="3" s="1"/>
  <c r="I141" i="3"/>
  <c r="AV214" i="3"/>
  <c r="S112" i="3"/>
  <c r="AM161" i="3"/>
  <c r="AC107" i="3"/>
  <c r="BD93" i="3"/>
  <c r="AV93" i="3"/>
  <c r="G258" i="3"/>
  <c r="J258" i="3" s="1"/>
  <c r="I102" i="3"/>
  <c r="AA300" i="3"/>
  <c r="AD300" i="3" s="1"/>
  <c r="AM156" i="3"/>
  <c r="S101" i="3"/>
  <c r="AM87" i="3"/>
  <c r="AC115" i="3"/>
  <c r="AC162" i="3"/>
  <c r="AM100" i="3"/>
  <c r="BD139" i="3"/>
  <c r="AV139" i="3"/>
  <c r="AM101" i="3"/>
  <c r="AC148" i="3"/>
  <c r="S89" i="3"/>
  <c r="BD81" i="3"/>
  <c r="AV81" i="3"/>
  <c r="AM91" i="3"/>
  <c r="S98" i="3"/>
  <c r="G306" i="3"/>
  <c r="J306" i="3" s="1"/>
  <c r="I150" i="3"/>
  <c r="AC143" i="3"/>
  <c r="AC97" i="3"/>
  <c r="I162" i="3"/>
  <c r="I160" i="3"/>
  <c r="AM90" i="3"/>
  <c r="AA254" i="3"/>
  <c r="AD254" i="3" s="1"/>
  <c r="AC98" i="3"/>
  <c r="S115" i="3"/>
  <c r="AM157" i="3"/>
  <c r="AC99" i="3"/>
  <c r="AK202" i="3"/>
  <c r="AN202" i="3" s="1"/>
  <c r="AM98" i="3"/>
  <c r="BD143" i="3"/>
  <c r="AV143" i="3"/>
  <c r="BD87" i="3"/>
  <c r="AV87" i="3"/>
  <c r="S85" i="3"/>
  <c r="BD104" i="3"/>
  <c r="AV104" i="3"/>
  <c r="I97" i="3"/>
  <c r="AC155" i="3"/>
  <c r="AV142" i="3"/>
  <c r="Q378" i="3"/>
  <c r="T378" i="3" s="1"/>
  <c r="AK255" i="3"/>
  <c r="AN255" i="3" s="1"/>
  <c r="AM151" i="3"/>
  <c r="S327" i="3"/>
  <c r="BD140" i="3"/>
  <c r="AV140" i="3"/>
  <c r="BD165" i="3"/>
  <c r="AV165" i="3"/>
  <c r="S100" i="3"/>
  <c r="S91" i="3"/>
  <c r="I115" i="3"/>
  <c r="BD63" i="3"/>
  <c r="BI63" i="3" s="1"/>
  <c r="AV63" i="3"/>
  <c r="AA257" i="3"/>
  <c r="AD257" i="3" s="1"/>
  <c r="AM94" i="3"/>
  <c r="S94" i="3"/>
  <c r="I188" i="3"/>
  <c r="Q367" i="3"/>
  <c r="T367" i="3" s="1"/>
  <c r="AM93" i="3"/>
  <c r="I127" i="3"/>
  <c r="G255" i="3"/>
  <c r="J255" i="3" s="1"/>
  <c r="AM159" i="3"/>
  <c r="BH170" i="3"/>
  <c r="BH171" i="3" s="1"/>
  <c r="BH172" i="3" s="1"/>
  <c r="BH173" i="3" s="1"/>
  <c r="BH174" i="3" s="1"/>
  <c r="BH175" i="3" s="1"/>
  <c r="BH176" i="3" s="1"/>
  <c r="BH177" i="3" s="1"/>
  <c r="BH178" i="3" s="1"/>
  <c r="BH179" i="3" s="1"/>
  <c r="BH180" i="3" s="1"/>
  <c r="BH181" i="3" s="1"/>
  <c r="BH182" i="3" s="1"/>
  <c r="BH183" i="3" s="1"/>
  <c r="BH184" i="3" s="1"/>
  <c r="BH185" i="3" s="1"/>
  <c r="BH186" i="3" s="1"/>
  <c r="BH187" i="3" s="1"/>
  <c r="BH188" i="3" s="1"/>
  <c r="BH189" i="3" s="1"/>
  <c r="BH190" i="3" s="1"/>
  <c r="BH191" i="3" s="1"/>
  <c r="BH192" i="3" s="1"/>
  <c r="BH193" i="3" s="1"/>
  <c r="BH194" i="3" s="1"/>
  <c r="BH195" i="3" s="1"/>
  <c r="BH196" i="3" s="1"/>
  <c r="BH197" i="3" s="1"/>
  <c r="BH198" i="3" s="1"/>
  <c r="BH199" i="3" s="1"/>
  <c r="BH200" i="3" s="1"/>
  <c r="BH201" i="3" s="1"/>
  <c r="BH202" i="3" s="1"/>
  <c r="BH203" i="3" s="1"/>
  <c r="BH204" i="3" s="1"/>
  <c r="BH205" i="3" s="1"/>
  <c r="BH206" i="3" s="1"/>
  <c r="BH207" i="3" s="1"/>
  <c r="BH208" i="3" s="1"/>
  <c r="BH209" i="3" s="1"/>
  <c r="BH210" i="3" s="1"/>
  <c r="BH211" i="3" s="1"/>
  <c r="BH212" i="3" s="1"/>
  <c r="BH213" i="3" s="1"/>
  <c r="BH214" i="3" s="1"/>
  <c r="BH215" i="3" s="1"/>
  <c r="BH216" i="3" s="1"/>
  <c r="BH217" i="3" s="1"/>
  <c r="BH218" i="3" s="1"/>
  <c r="AC271" i="3"/>
  <c r="I112" i="3"/>
  <c r="S149" i="3"/>
  <c r="I149" i="3"/>
  <c r="AC73" i="3"/>
  <c r="AC133" i="3"/>
  <c r="I113" i="3"/>
  <c r="S141" i="3"/>
  <c r="I116" i="3"/>
  <c r="AM114" i="3"/>
  <c r="G338" i="3"/>
  <c r="J338" i="3" s="1"/>
  <c r="AC149" i="3"/>
  <c r="AM162" i="3"/>
  <c r="I154" i="3"/>
  <c r="AM266" i="3"/>
  <c r="I197" i="3"/>
  <c r="I103" i="3"/>
  <c r="BD86" i="3"/>
  <c r="AV86" i="3"/>
  <c r="AV85" i="3"/>
  <c r="AC203" i="3"/>
  <c r="AC151" i="3"/>
  <c r="S159" i="3"/>
  <c r="I114" i="3"/>
  <c r="I153" i="3"/>
  <c r="I98" i="3"/>
  <c r="BG118" i="3"/>
  <c r="BG119" i="3" s="1"/>
  <c r="BG120" i="3" s="1"/>
  <c r="BG121" i="3" s="1"/>
  <c r="BG122" i="3" s="1"/>
  <c r="BG123" i="3" s="1"/>
  <c r="BG124" i="3" s="1"/>
  <c r="BG125" i="3" s="1"/>
  <c r="BG126" i="3" s="1"/>
  <c r="BG127" i="3" s="1"/>
  <c r="BG128" i="3" s="1"/>
  <c r="BG129" i="3" s="1"/>
  <c r="BG130" i="3" s="1"/>
  <c r="BG131" i="3" s="1"/>
  <c r="BG132" i="3" s="1"/>
  <c r="BG133" i="3" s="1"/>
  <c r="BG134" i="3" s="1"/>
  <c r="BG135" i="3" s="1"/>
  <c r="BG136" i="3" s="1"/>
  <c r="BG137" i="3" s="1"/>
  <c r="BG138" i="3" s="1"/>
  <c r="BG139" i="3" s="1"/>
  <c r="BG140" i="3" s="1"/>
  <c r="BG141" i="3" s="1"/>
  <c r="BG142" i="3" s="1"/>
  <c r="BG143" i="3" s="1"/>
  <c r="BG144" i="3" s="1"/>
  <c r="BG145" i="3" s="1"/>
  <c r="BG146" i="3" s="1"/>
  <c r="BG147" i="3" s="1"/>
  <c r="BG148" i="3" s="1"/>
  <c r="BG149" i="3" s="1"/>
  <c r="BG150" i="3" s="1"/>
  <c r="BG151" i="3" s="1"/>
  <c r="BG152" i="3" s="1"/>
  <c r="BG153" i="3" s="1"/>
  <c r="BG154" i="3" s="1"/>
  <c r="BG155" i="3" s="1"/>
  <c r="BG156" i="3" s="1"/>
  <c r="BG157" i="3" s="1"/>
  <c r="BG158" i="3" s="1"/>
  <c r="BG159" i="3" s="1"/>
  <c r="BG160" i="3" s="1"/>
  <c r="BG161" i="3" s="1"/>
  <c r="BG162" i="3" s="1"/>
  <c r="BG163" i="3" s="1"/>
  <c r="BG164" i="3" s="1"/>
  <c r="BG165" i="3" s="1"/>
  <c r="BG166" i="3" s="1"/>
  <c r="BE16" i="3"/>
  <c r="BE17" i="3" s="1"/>
  <c r="BE18" i="3" s="1"/>
  <c r="BE19" i="3" s="1"/>
  <c r="BE20" i="3" s="1"/>
  <c r="BE21" i="3" s="1"/>
  <c r="BE22" i="3" s="1"/>
  <c r="BE23" i="3" s="1"/>
  <c r="BE24" i="3" s="1"/>
  <c r="BE25" i="3" s="1"/>
  <c r="BE26" i="3" s="1"/>
  <c r="BE27" i="3" s="1"/>
  <c r="BE28" i="3" s="1"/>
  <c r="BE29" i="3" s="1"/>
  <c r="BE30" i="3" s="1"/>
  <c r="BE31" i="3" s="1"/>
  <c r="BE32" i="3" s="1"/>
  <c r="BE33" i="3" s="1"/>
  <c r="BE34" i="3" s="1"/>
  <c r="BE35" i="3" s="1"/>
  <c r="BE36" i="3" s="1"/>
  <c r="BE37" i="3" s="1"/>
  <c r="BE38" i="3" s="1"/>
  <c r="BE39" i="3" s="1"/>
  <c r="BE40" i="3" s="1"/>
  <c r="BE41" i="3" s="1"/>
  <c r="BE42" i="3" s="1"/>
  <c r="BE43" i="3" s="1"/>
  <c r="BE44" i="3" s="1"/>
  <c r="BE45" i="3" s="1"/>
  <c r="BE46" i="3" s="1"/>
  <c r="BE47" i="3" s="1"/>
  <c r="BE48" i="3" s="1"/>
  <c r="BE49" i="3" s="1"/>
  <c r="BE50" i="3" s="1"/>
  <c r="BE51" i="3" s="1"/>
  <c r="BE52" i="3" s="1"/>
  <c r="BE53" i="3" s="1"/>
  <c r="BE54" i="3" s="1"/>
  <c r="BE55" i="3" s="1"/>
  <c r="BE56" i="3" s="1"/>
  <c r="BE57" i="3" s="1"/>
  <c r="BE58" i="3" s="1"/>
  <c r="BE59" i="3" s="1"/>
  <c r="BE60" i="3" s="1"/>
  <c r="BE61" i="3" s="1"/>
  <c r="BE62" i="3" s="1"/>
  <c r="BG12" i="3"/>
  <c r="BG13" i="3" s="1"/>
  <c r="BG14" i="3" s="1"/>
  <c r="BG15" i="3" s="1"/>
  <c r="BG16" i="3" s="1"/>
  <c r="BG17" i="3" s="1"/>
  <c r="BG18" i="3" s="1"/>
  <c r="BG19" i="3" s="1"/>
  <c r="BG20" i="3" s="1"/>
  <c r="BG21" i="3" s="1"/>
  <c r="BG22" i="3" s="1"/>
  <c r="BG23" i="3" s="1"/>
  <c r="BG24" i="3" s="1"/>
  <c r="BG25" i="3" s="1"/>
  <c r="BG26" i="3" s="1"/>
  <c r="BG27" i="3" s="1"/>
  <c r="BG28" i="3" s="1"/>
  <c r="BG29" i="3" s="1"/>
  <c r="BG30" i="3" s="1"/>
  <c r="BG31" i="3" s="1"/>
  <c r="BG32" i="3" s="1"/>
  <c r="BG33" i="3" s="1"/>
  <c r="BG34" i="3" s="1"/>
  <c r="BG35" i="3" s="1"/>
  <c r="BG36" i="3" s="1"/>
  <c r="BG37" i="3" s="1"/>
  <c r="BG38" i="3" s="1"/>
  <c r="BG39" i="3" s="1"/>
  <c r="BG40" i="3" s="1"/>
  <c r="BG41" i="3" s="1"/>
  <c r="BG42" i="3" s="1"/>
  <c r="BG43" i="3" s="1"/>
  <c r="BG44" i="3" s="1"/>
  <c r="BG45" i="3" s="1"/>
  <c r="BG46" i="3" s="1"/>
  <c r="BG47" i="3" s="1"/>
  <c r="BG48" i="3" s="1"/>
  <c r="BG49" i="3" s="1"/>
  <c r="BG50" i="3" s="1"/>
  <c r="BG51" i="3" s="1"/>
  <c r="BG52" i="3" s="1"/>
  <c r="BG53" i="3" s="1"/>
  <c r="BG54" i="3" s="1"/>
  <c r="BG55" i="3" s="1"/>
  <c r="BG56" i="3" s="1"/>
  <c r="BG57" i="3" s="1"/>
  <c r="BG58" i="3" s="1"/>
  <c r="BG59" i="3" s="1"/>
  <c r="BG60" i="3" s="1"/>
  <c r="BG61" i="3" s="1"/>
  <c r="BG62" i="3" s="1"/>
  <c r="S127" i="3"/>
  <c r="AV117" i="3"/>
  <c r="BD117" i="3"/>
  <c r="S117" i="3"/>
  <c r="AV62" i="3"/>
  <c r="BH69" i="3"/>
  <c r="BH70" i="3" s="1"/>
  <c r="BH71" i="3" s="1"/>
  <c r="BH72" i="3" s="1"/>
  <c r="BH73" i="3" s="1"/>
  <c r="BH74" i="3" s="1"/>
  <c r="BH75" i="3" s="1"/>
  <c r="BH76" i="3" s="1"/>
  <c r="BH77" i="3" s="1"/>
  <c r="BH78" i="3" s="1"/>
  <c r="BH79" i="3" s="1"/>
  <c r="BH80" i="3" s="1"/>
  <c r="BH81" i="3" s="1"/>
  <c r="BH82" i="3" s="1"/>
  <c r="BH83" i="3" s="1"/>
  <c r="BH84" i="3" s="1"/>
  <c r="BH85" i="3" s="1"/>
  <c r="BH86" i="3" s="1"/>
  <c r="BH87" i="3" s="1"/>
  <c r="BH88" i="3" s="1"/>
  <c r="BH89" i="3" s="1"/>
  <c r="BH90" i="3" s="1"/>
  <c r="BH91" i="3" s="1"/>
  <c r="BH92" i="3" s="1"/>
  <c r="BH93" i="3" s="1"/>
  <c r="BH94" i="3" s="1"/>
  <c r="BH95" i="3" s="1"/>
  <c r="BH96" i="3" s="1"/>
  <c r="BH97" i="3" s="1"/>
  <c r="BH98" i="3" s="1"/>
  <c r="BH99" i="3" s="1"/>
  <c r="BH100" i="3" s="1"/>
  <c r="BH101" i="3" s="1"/>
  <c r="BH102" i="3" s="1"/>
  <c r="BH103" i="3" s="1"/>
  <c r="BH104" i="3" s="1"/>
  <c r="BH105" i="3" s="1"/>
  <c r="BH106" i="3" s="1"/>
  <c r="BH107" i="3" s="1"/>
  <c r="BH108" i="3" s="1"/>
  <c r="BH109" i="3" s="1"/>
  <c r="BH110" i="3" s="1"/>
  <c r="BH111" i="3" s="1"/>
  <c r="BH112" i="3" s="1"/>
  <c r="BH113" i="3" s="1"/>
  <c r="BH114" i="3" s="1"/>
  <c r="BF11" i="3"/>
  <c r="BF12" i="3" s="1"/>
  <c r="BF13" i="3" s="1"/>
  <c r="BF14" i="3" s="1"/>
  <c r="BF15" i="3" s="1"/>
  <c r="BF16" i="3" s="1"/>
  <c r="BF17" i="3" s="1"/>
  <c r="BF18" i="3" s="1"/>
  <c r="BF19" i="3" s="1"/>
  <c r="BF20" i="3" s="1"/>
  <c r="BF21" i="3" s="1"/>
  <c r="BF22" i="3" s="1"/>
  <c r="BF23" i="3" s="1"/>
  <c r="BF24" i="3" s="1"/>
  <c r="BF25" i="3" s="1"/>
  <c r="BF26" i="3" s="1"/>
  <c r="BF27" i="3" s="1"/>
  <c r="BF28" i="3" s="1"/>
  <c r="BF29" i="3" s="1"/>
  <c r="BF30" i="3" s="1"/>
  <c r="BF31" i="3" s="1"/>
  <c r="BF32" i="3" s="1"/>
  <c r="BF33" i="3" s="1"/>
  <c r="BF34" i="3" s="1"/>
  <c r="BF35" i="3" s="1"/>
  <c r="BF36" i="3" s="1"/>
  <c r="BF37" i="3" s="1"/>
  <c r="BF38" i="3" s="1"/>
  <c r="BF39" i="3" s="1"/>
  <c r="BF40" i="3" s="1"/>
  <c r="BF41" i="3" s="1"/>
  <c r="BF42" i="3" s="1"/>
  <c r="BF43" i="3" s="1"/>
  <c r="BF44" i="3" s="1"/>
  <c r="BF45" i="3" s="1"/>
  <c r="BF46" i="3" s="1"/>
  <c r="BF47" i="3" s="1"/>
  <c r="BF48" i="3" s="1"/>
  <c r="BF49" i="3" s="1"/>
  <c r="BF50" i="3" s="1"/>
  <c r="BF51" i="3" s="1"/>
  <c r="BF52" i="3" s="1"/>
  <c r="BF53" i="3" s="1"/>
  <c r="BF54" i="3" s="1"/>
  <c r="BF55" i="3" s="1"/>
  <c r="BF56" i="3" s="1"/>
  <c r="BF57" i="3" s="1"/>
  <c r="BF58" i="3" s="1"/>
  <c r="BF59" i="3" s="1"/>
  <c r="BF60" i="3" s="1"/>
  <c r="BF61" i="3" s="1"/>
  <c r="BF62" i="3" s="1"/>
  <c r="BH12" i="3"/>
  <c r="BH13" i="3" s="1"/>
  <c r="BH14" i="3" s="1"/>
  <c r="BH15" i="3" s="1"/>
  <c r="BH16" i="3" s="1"/>
  <c r="BH17" i="3" s="1"/>
  <c r="BH18" i="3" s="1"/>
  <c r="BH19" i="3" s="1"/>
  <c r="BH20" i="3" s="1"/>
  <c r="BH21" i="3" s="1"/>
  <c r="BH22" i="3" s="1"/>
  <c r="BH23" i="3" s="1"/>
  <c r="BH24" i="3" s="1"/>
  <c r="BH25" i="3" s="1"/>
  <c r="BH26" i="3" s="1"/>
  <c r="BH27" i="3" s="1"/>
  <c r="BH28" i="3" s="1"/>
  <c r="BH29" i="3" s="1"/>
  <c r="BH30" i="3" s="1"/>
  <c r="BH31" i="3" s="1"/>
  <c r="BH32" i="3" s="1"/>
  <c r="BH33" i="3" s="1"/>
  <c r="BH34" i="3" s="1"/>
  <c r="BH35" i="3" s="1"/>
  <c r="BH36" i="3" s="1"/>
  <c r="BH37" i="3" s="1"/>
  <c r="BH38" i="3" s="1"/>
  <c r="BH39" i="3" s="1"/>
  <c r="BH40" i="3" s="1"/>
  <c r="BH41" i="3" s="1"/>
  <c r="BH42" i="3" s="1"/>
  <c r="BH43" i="3" s="1"/>
  <c r="BH44" i="3" s="1"/>
  <c r="BH45" i="3" s="1"/>
  <c r="BH46" i="3" s="1"/>
  <c r="BH47" i="3" s="1"/>
  <c r="BH48" i="3" s="1"/>
  <c r="BH49" i="3" s="1"/>
  <c r="BH50" i="3" s="1"/>
  <c r="BH51" i="3" s="1"/>
  <c r="BH52" i="3" s="1"/>
  <c r="BH53" i="3" s="1"/>
  <c r="BH54" i="3" s="1"/>
  <c r="BH55" i="3" s="1"/>
  <c r="BH56" i="3" s="1"/>
  <c r="BH57" i="3" s="1"/>
  <c r="BH58" i="3" s="1"/>
  <c r="BH59" i="3" s="1"/>
  <c r="BH60" i="3" s="1"/>
  <c r="BH61" i="3" s="1"/>
  <c r="BH62" i="3" s="1"/>
  <c r="S256" i="3"/>
  <c r="Q431" i="3"/>
  <c r="T431" i="3" s="1"/>
  <c r="S431" i="3"/>
  <c r="Q430" i="3"/>
  <c r="T430" i="3" s="1"/>
  <c r="S430" i="3"/>
  <c r="Q429" i="3"/>
  <c r="T429" i="3" s="1"/>
  <c r="S429" i="3"/>
  <c r="S252" i="3"/>
  <c r="BD370" i="3"/>
  <c r="AV350" i="3"/>
  <c r="Q345" i="3"/>
  <c r="T345" i="3" s="1"/>
  <c r="Q337" i="3"/>
  <c r="T337" i="3" s="1"/>
  <c r="S331" i="3"/>
  <c r="Q214" i="3"/>
  <c r="T214" i="3" s="1"/>
  <c r="AT88" i="3"/>
  <c r="Q259" i="3"/>
  <c r="T259" i="3" s="1"/>
  <c r="Q179" i="3"/>
  <c r="T179" i="3" s="1"/>
  <c r="Q175" i="3"/>
  <c r="T175" i="3" s="1"/>
  <c r="AV290" i="3"/>
  <c r="S232" i="3"/>
  <c r="AV195" i="3"/>
  <c r="AT23" i="3"/>
  <c r="S315" i="3"/>
  <c r="S304" i="3"/>
  <c r="S226" i="3"/>
  <c r="AT74" i="3"/>
  <c r="AV300" i="3"/>
  <c r="AV248" i="3"/>
  <c r="AV318" i="3"/>
  <c r="AV266" i="3"/>
  <c r="BD216" i="3"/>
  <c r="AV268" i="3"/>
  <c r="AT216" i="3"/>
  <c r="AK316" i="3"/>
  <c r="AN316" i="3" s="1"/>
  <c r="AM212" i="3"/>
  <c r="BD211" i="3"/>
  <c r="AM333" i="3"/>
  <c r="AT208" i="3"/>
  <c r="AA332" i="3"/>
  <c r="AD332" i="3" s="1"/>
  <c r="I266" i="3"/>
  <c r="AK193" i="3"/>
  <c r="AN193" i="3" s="1"/>
  <c r="AK331" i="3"/>
  <c r="AN331" i="3" s="1"/>
  <c r="Q167" i="3"/>
  <c r="T167" i="3" s="1"/>
  <c r="AA181" i="3"/>
  <c r="AD181" i="3" s="1"/>
  <c r="AK376" i="3"/>
  <c r="AN376" i="3" s="1"/>
  <c r="AM272" i="3"/>
  <c r="AA299" i="3"/>
  <c r="AD299" i="3" s="1"/>
  <c r="AA247" i="3"/>
  <c r="AD247" i="3" s="1"/>
  <c r="S326" i="3"/>
  <c r="G336" i="3"/>
  <c r="J336" i="3" s="1"/>
  <c r="I284" i="3"/>
  <c r="AM289" i="3"/>
  <c r="AK250" i="3"/>
  <c r="AN250" i="3" s="1"/>
  <c r="G302" i="3"/>
  <c r="J302" i="3" s="1"/>
  <c r="G334" i="3"/>
  <c r="J334" i="3" s="1"/>
  <c r="AA298" i="3"/>
  <c r="AD298" i="3" s="1"/>
  <c r="AC246" i="3"/>
  <c r="S296" i="3"/>
  <c r="I258" i="3"/>
  <c r="Q340" i="3"/>
  <c r="T340" i="3" s="1"/>
  <c r="BH377" i="3"/>
  <c r="G426" i="3"/>
  <c r="J426" i="3" s="1"/>
  <c r="I426" i="3"/>
  <c r="AT295" i="3"/>
  <c r="BD292" i="3"/>
  <c r="AT282" i="3"/>
  <c r="AM376" i="3"/>
  <c r="AK428" i="3"/>
  <c r="AN428" i="3" s="1"/>
  <c r="AM428" i="3"/>
  <c r="Q427" i="3"/>
  <c r="T427" i="3" s="1"/>
  <c r="S427" i="3"/>
  <c r="AK426" i="3"/>
  <c r="AN426" i="3" s="1"/>
  <c r="AM426" i="3"/>
  <c r="AM226" i="3"/>
  <c r="AK330" i="3"/>
  <c r="AN330" i="3" s="1"/>
  <c r="BD13" i="3"/>
  <c r="AT15" i="3"/>
  <c r="BD11" i="3"/>
  <c r="G427" i="3"/>
  <c r="J427" i="3" s="1"/>
  <c r="I427" i="3"/>
  <c r="AT135" i="3"/>
  <c r="G374" i="3"/>
  <c r="J374" i="3" s="1"/>
  <c r="Q428" i="3"/>
  <c r="T428" i="3" s="1"/>
  <c r="S428" i="3"/>
  <c r="AC374" i="3"/>
  <c r="AA426" i="3"/>
  <c r="AD426" i="3" s="1"/>
  <c r="AC426" i="3"/>
  <c r="AK364" i="3"/>
  <c r="AN364" i="3" s="1"/>
  <c r="G325" i="3"/>
  <c r="J325" i="3" s="1"/>
  <c r="AK427" i="3"/>
  <c r="AN427" i="3" s="1"/>
  <c r="AM427" i="3"/>
  <c r="AM348" i="3"/>
  <c r="AK348" i="3"/>
  <c r="AN348" i="3" s="1"/>
  <c r="AC337" i="3"/>
  <c r="AC285" i="3"/>
  <c r="AK365" i="3"/>
  <c r="AN365" i="3" s="1"/>
  <c r="G297" i="3"/>
  <c r="J297" i="3" s="1"/>
  <c r="S223" i="3"/>
  <c r="S275" i="3"/>
  <c r="Q327" i="3"/>
  <c r="T327" i="3" s="1"/>
  <c r="I294" i="3"/>
  <c r="G346" i="3"/>
  <c r="J346" i="3" s="1"/>
  <c r="G326" i="3"/>
  <c r="J326" i="3" s="1"/>
  <c r="S325" i="3"/>
  <c r="I204" i="3"/>
  <c r="I256" i="3"/>
  <c r="AK270" i="3"/>
  <c r="AN270" i="3" s="1"/>
  <c r="AC201" i="3"/>
  <c r="AA253" i="3"/>
  <c r="AD253" i="3" s="1"/>
  <c r="Q247" i="3"/>
  <c r="T247" i="3" s="1"/>
  <c r="BD85" i="3"/>
  <c r="AT87" i="3"/>
  <c r="G287" i="3"/>
  <c r="J287" i="3" s="1"/>
  <c r="I287" i="3"/>
  <c r="AK371" i="3"/>
  <c r="AN371" i="3" s="1"/>
  <c r="AK211" i="3"/>
  <c r="AN211" i="3" s="1"/>
  <c r="AA260" i="3"/>
  <c r="AD260" i="3" s="1"/>
  <c r="BH273" i="3"/>
  <c r="BH274" i="3" s="1"/>
  <c r="BH275" i="3" s="1"/>
  <c r="BH276" i="3" s="1"/>
  <c r="BH277" i="3" s="1"/>
  <c r="BH278" i="3" s="1"/>
  <c r="BH279" i="3" s="1"/>
  <c r="BH280" i="3" s="1"/>
  <c r="BH281" i="3" s="1"/>
  <c r="BH282" i="3" s="1"/>
  <c r="BH283" i="3" s="1"/>
  <c r="BH284" i="3" s="1"/>
  <c r="BH285" i="3" s="1"/>
  <c r="BH286" i="3" s="1"/>
  <c r="BH287" i="3" s="1"/>
  <c r="BH288" i="3" s="1"/>
  <c r="BH289" i="3" s="1"/>
  <c r="BH290" i="3" s="1"/>
  <c r="BH291" i="3" s="1"/>
  <c r="BH292" i="3" s="1"/>
  <c r="BH293" i="3" s="1"/>
  <c r="BH294" i="3" s="1"/>
  <c r="BH295" i="3" s="1"/>
  <c r="BH296" i="3" s="1"/>
  <c r="BH297" i="3" s="1"/>
  <c r="BH298" i="3" s="1"/>
  <c r="BH299" i="3" s="1"/>
  <c r="BH300" i="3" s="1"/>
  <c r="BH301" i="3" s="1"/>
  <c r="BH302" i="3" s="1"/>
  <c r="BH303" i="3" s="1"/>
  <c r="BH304" i="3" s="1"/>
  <c r="BH305" i="3" s="1"/>
  <c r="BH306" i="3" s="1"/>
  <c r="BH307" i="3" s="1"/>
  <c r="BH308" i="3" s="1"/>
  <c r="BH309" i="3" s="1"/>
  <c r="BH310" i="3" s="1"/>
  <c r="BH311" i="3" s="1"/>
  <c r="BH312" i="3" s="1"/>
  <c r="BH313" i="3" s="1"/>
  <c r="BH314" i="3" s="1"/>
  <c r="BH315" i="3" s="1"/>
  <c r="BH316" i="3" s="1"/>
  <c r="BH317" i="3" s="1"/>
  <c r="BH318" i="3" s="1"/>
  <c r="AA196" i="3"/>
  <c r="AD196" i="3" s="1"/>
  <c r="AK304" i="3"/>
  <c r="AN304" i="3" s="1"/>
  <c r="AA428" i="3"/>
  <c r="AD428" i="3" s="1"/>
  <c r="AC428" i="3"/>
  <c r="AA427" i="3"/>
  <c r="AD427" i="3" s="1"/>
  <c r="AC427" i="3"/>
  <c r="AC245" i="3"/>
  <c r="S374" i="3"/>
  <c r="Q426" i="3"/>
  <c r="T426" i="3" s="1"/>
  <c r="S426" i="3"/>
  <c r="S350" i="3"/>
  <c r="AC299" i="3"/>
  <c r="AM245" i="3"/>
  <c r="AV282" i="3"/>
  <c r="AT191" i="3"/>
  <c r="AA293" i="3"/>
  <c r="AD293" i="3" s="1"/>
  <c r="I331" i="3"/>
  <c r="S328" i="3"/>
  <c r="AM176" i="3"/>
  <c r="AT255" i="3"/>
  <c r="AV319" i="3"/>
  <c r="I265" i="3"/>
  <c r="AK370" i="3"/>
  <c r="AN370" i="3" s="1"/>
  <c r="AT110" i="3"/>
  <c r="AK264" i="3"/>
  <c r="AN264" i="3" s="1"/>
  <c r="AA231" i="3"/>
  <c r="AD231" i="3" s="1"/>
  <c r="AK203" i="3"/>
  <c r="AN203" i="3" s="1"/>
  <c r="G200" i="3"/>
  <c r="J200" i="3" s="1"/>
  <c r="Q193" i="3"/>
  <c r="T193" i="3" s="1"/>
  <c r="S242" i="3"/>
  <c r="G342" i="3"/>
  <c r="J342" i="3" s="1"/>
  <c r="G285" i="3"/>
  <c r="J285" i="3" s="1"/>
  <c r="S368" i="3"/>
  <c r="S356" i="3"/>
  <c r="AK369" i="3"/>
  <c r="AN369" i="3" s="1"/>
  <c r="AM308" i="3"/>
  <c r="AM345" i="3"/>
  <c r="S352" i="3"/>
  <c r="I375" i="3"/>
  <c r="S299" i="3"/>
  <c r="I361" i="3"/>
  <c r="G220" i="3"/>
  <c r="J220" i="3" s="1"/>
  <c r="G369" i="3"/>
  <c r="J369" i="3" s="1"/>
  <c r="AM167" i="3"/>
  <c r="AK326" i="3"/>
  <c r="AN326" i="3" s="1"/>
  <c r="I210" i="3"/>
  <c r="I378" i="3"/>
  <c r="AM288" i="3"/>
  <c r="AM291" i="3"/>
  <c r="AM293" i="3"/>
  <c r="I226" i="3"/>
  <c r="G428" i="3"/>
  <c r="J428" i="3" s="1"/>
  <c r="I428" i="3"/>
  <c r="I366" i="3"/>
  <c r="S348" i="3"/>
  <c r="I347" i="3"/>
  <c r="S284" i="3"/>
  <c r="I337" i="3"/>
  <c r="I283" i="3"/>
  <c r="AK350" i="3"/>
  <c r="AN350" i="3" s="1"/>
  <c r="AC230" i="3"/>
  <c r="AA335" i="3"/>
  <c r="AD335" i="3" s="1"/>
  <c r="S290" i="3"/>
  <c r="S287" i="3"/>
  <c r="Q330" i="3"/>
  <c r="T330" i="3" s="1"/>
  <c r="Q362" i="3"/>
  <c r="T362" i="3" s="1"/>
  <c r="AA375" i="3"/>
  <c r="AD375" i="3" s="1"/>
  <c r="I247" i="3"/>
  <c r="AK184" i="3"/>
  <c r="AN184" i="3" s="1"/>
  <c r="I234" i="3"/>
  <c r="AA214" i="3"/>
  <c r="AD214" i="3" s="1"/>
  <c r="AA378" i="3"/>
  <c r="AD378" i="3" s="1"/>
  <c r="Q350" i="3"/>
  <c r="T350" i="3" s="1"/>
  <c r="Q359" i="3"/>
  <c r="T359" i="3" s="1"/>
  <c r="AA269" i="3"/>
  <c r="AD269" i="3" s="1"/>
  <c r="G251" i="3"/>
  <c r="J251" i="3" s="1"/>
  <c r="AM258" i="3"/>
  <c r="AM259" i="3"/>
  <c r="S307" i="3"/>
  <c r="G368" i="3"/>
  <c r="J368" i="3" s="1"/>
  <c r="G295" i="3"/>
  <c r="J295" i="3" s="1"/>
  <c r="I325" i="3"/>
  <c r="AA258" i="3"/>
  <c r="AD258" i="3" s="1"/>
  <c r="G249" i="3"/>
  <c r="J249" i="3" s="1"/>
  <c r="AK301" i="3"/>
  <c r="AN301" i="3" s="1"/>
  <c r="AM309" i="3"/>
  <c r="G304" i="3"/>
  <c r="J304" i="3" s="1"/>
  <c r="S353" i="3"/>
  <c r="AC292" i="3"/>
  <c r="S289" i="3"/>
  <c r="AT304" i="3"/>
  <c r="AK216" i="3"/>
  <c r="AN216" i="3" s="1"/>
  <c r="S195" i="3"/>
  <c r="AT35" i="3"/>
  <c r="BD32" i="3"/>
  <c r="BD289" i="3"/>
  <c r="AV289" i="3"/>
  <c r="BD288" i="3"/>
  <c r="AV288" i="3"/>
  <c r="AC251" i="3"/>
  <c r="AA355" i="3"/>
  <c r="AD355" i="3" s="1"/>
  <c r="BD260" i="3"/>
  <c r="Q424" i="3"/>
  <c r="T424" i="3" s="1"/>
  <c r="S424" i="3"/>
  <c r="Q290" i="3"/>
  <c r="T290" i="3" s="1"/>
  <c r="AT40" i="3"/>
  <c r="AM185" i="3"/>
  <c r="AK289" i="3"/>
  <c r="AN289" i="3" s="1"/>
  <c r="AM237" i="3"/>
  <c r="I318" i="3"/>
  <c r="G370" i="3"/>
  <c r="J370" i="3" s="1"/>
  <c r="AM375" i="3"/>
  <c r="BD207" i="3"/>
  <c r="AT210" i="3"/>
  <c r="AA277" i="3"/>
  <c r="AD277" i="3" s="1"/>
  <c r="AK258" i="3"/>
  <c r="AN258" i="3" s="1"/>
  <c r="AC223" i="3"/>
  <c r="AA379" i="3"/>
  <c r="AD379" i="3" s="1"/>
  <c r="AA281" i="3"/>
  <c r="AD281" i="3" s="1"/>
  <c r="AA308" i="3"/>
  <c r="AD308" i="3" s="1"/>
  <c r="AA360" i="3"/>
  <c r="AD360" i="3" s="1"/>
  <c r="AK246" i="3"/>
  <c r="AN246" i="3" s="1"/>
  <c r="Q194" i="3"/>
  <c r="T194" i="3" s="1"/>
  <c r="AC347" i="3"/>
  <c r="S303" i="3"/>
  <c r="Q355" i="3"/>
  <c r="T355" i="3" s="1"/>
  <c r="AK329" i="3"/>
  <c r="AN329" i="3" s="1"/>
  <c r="AM277" i="3"/>
  <c r="AC219" i="3"/>
  <c r="AT261" i="3"/>
  <c r="AA227" i="3"/>
  <c r="AD227" i="3" s="1"/>
  <c r="AA175" i="3"/>
  <c r="AD175" i="3" s="1"/>
  <c r="AT33" i="3"/>
  <c r="AT37" i="3"/>
  <c r="BD34" i="3"/>
  <c r="AM370" i="3"/>
  <c r="AK422" i="3"/>
  <c r="AN422" i="3" s="1"/>
  <c r="AM422" i="3"/>
  <c r="AT268" i="3"/>
  <c r="AT36" i="3"/>
  <c r="I372" i="3"/>
  <c r="G424" i="3"/>
  <c r="J424" i="3" s="1"/>
  <c r="I424" i="3"/>
  <c r="S373" i="3"/>
  <c r="Q425" i="3"/>
  <c r="T425" i="3" s="1"/>
  <c r="S425" i="3"/>
  <c r="AV313" i="3"/>
  <c r="BD261" i="3"/>
  <c r="AT215" i="3"/>
  <c r="BD212" i="3"/>
  <c r="AT38" i="3"/>
  <c r="AT41" i="3"/>
  <c r="BD38" i="3"/>
  <c r="BD57" i="3"/>
  <c r="AT60" i="3"/>
  <c r="AK423" i="3"/>
  <c r="AN423" i="3" s="1"/>
  <c r="AM423" i="3"/>
  <c r="AM371" i="3"/>
  <c r="AM305" i="3"/>
  <c r="AM357" i="3"/>
  <c r="AK357" i="3"/>
  <c r="AN357" i="3" s="1"/>
  <c r="AK374" i="3"/>
  <c r="AN374" i="3" s="1"/>
  <c r="AA377" i="3"/>
  <c r="AD377" i="3" s="1"/>
  <c r="AV399" i="3"/>
  <c r="AV347" i="3"/>
  <c r="BD347" i="3"/>
  <c r="I207" i="3"/>
  <c r="G207" i="3"/>
  <c r="J207" i="3" s="1"/>
  <c r="AC281" i="3"/>
  <c r="AA333" i="3"/>
  <c r="AD333" i="3" s="1"/>
  <c r="I172" i="3"/>
  <c r="I224" i="3"/>
  <c r="Q328" i="3"/>
  <c r="T328" i="3" s="1"/>
  <c r="S276" i="3"/>
  <c r="AC237" i="3"/>
  <c r="AA289" i="3"/>
  <c r="AD289" i="3" s="1"/>
  <c r="BD67" i="3"/>
  <c r="AT70" i="3"/>
  <c r="G279" i="3"/>
  <c r="J279" i="3" s="1"/>
  <c r="I240" i="3"/>
  <c r="G292" i="3"/>
  <c r="J292" i="3" s="1"/>
  <c r="AA305" i="3"/>
  <c r="AD305" i="3" s="1"/>
  <c r="AC253" i="3"/>
  <c r="AT39" i="3"/>
  <c r="BD36" i="3"/>
  <c r="Q371" i="3"/>
  <c r="T371" i="3" s="1"/>
  <c r="AV314" i="3"/>
  <c r="AV262" i="3"/>
  <c r="S332" i="3"/>
  <c r="S201" i="3"/>
  <c r="Q357" i="3"/>
  <c r="T357" i="3" s="1"/>
  <c r="AT265" i="3"/>
  <c r="AA422" i="3"/>
  <c r="AD422" i="3" s="1"/>
  <c r="AC422" i="3"/>
  <c r="AV246" i="3"/>
  <c r="BD262" i="3"/>
  <c r="I251" i="3"/>
  <c r="AK234" i="3"/>
  <c r="AN234" i="3" s="1"/>
  <c r="AV420" i="3"/>
  <c r="AV368" i="3"/>
  <c r="BD368" i="3"/>
  <c r="AV315" i="3"/>
  <c r="AT266" i="3"/>
  <c r="AV263" i="3"/>
  <c r="BD263" i="3"/>
  <c r="AC313" i="3"/>
  <c r="AC261" i="3"/>
  <c r="AA365" i="3"/>
  <c r="AD365" i="3" s="1"/>
  <c r="I312" i="3"/>
  <c r="I260" i="3"/>
  <c r="S270" i="3"/>
  <c r="Q374" i="3"/>
  <c r="T374" i="3" s="1"/>
  <c r="AK311" i="3"/>
  <c r="AN311" i="3" s="1"/>
  <c r="AM207" i="3"/>
  <c r="BD221" i="3"/>
  <c r="AV221" i="3"/>
  <c r="BD142" i="3"/>
  <c r="AT145" i="3"/>
  <c r="AC277" i="3"/>
  <c r="AC329" i="3"/>
  <c r="AK341" i="3"/>
  <c r="AN341" i="3" s="1"/>
  <c r="AK307" i="3"/>
  <c r="AN307" i="3" s="1"/>
  <c r="AM307" i="3"/>
  <c r="AM255" i="3"/>
  <c r="BD298" i="3"/>
  <c r="AT301" i="3"/>
  <c r="I321" i="3"/>
  <c r="I269" i="3"/>
  <c r="AM215" i="3"/>
  <c r="AK267" i="3"/>
  <c r="AN267" i="3" s="1"/>
  <c r="AA348" i="3"/>
  <c r="AD348" i="3" s="1"/>
  <c r="I300" i="3"/>
  <c r="G352" i="3"/>
  <c r="J352" i="3" s="1"/>
  <c r="AV316" i="3"/>
  <c r="AV264" i="3"/>
  <c r="BD264" i="3"/>
  <c r="AT267" i="3"/>
  <c r="BD198" i="3"/>
  <c r="AV250" i="3"/>
  <c r="G303" i="3"/>
  <c r="J303" i="3" s="1"/>
  <c r="G425" i="3"/>
  <c r="J425" i="3" s="1"/>
  <c r="I425" i="3"/>
  <c r="AV299" i="3"/>
  <c r="AV247" i="3"/>
  <c r="BD247" i="3"/>
  <c r="AT250" i="3"/>
  <c r="AV317" i="3"/>
  <c r="AV265" i="3"/>
  <c r="AT211" i="3"/>
  <c r="BD208" i="3"/>
  <c r="AA369" i="3"/>
  <c r="AD369" i="3" s="1"/>
  <c r="Q332" i="3"/>
  <c r="T332" i="3" s="1"/>
  <c r="AC289" i="3"/>
  <c r="AA341" i="3"/>
  <c r="AD341" i="3" s="1"/>
  <c r="Q256" i="3"/>
  <c r="T256" i="3" s="1"/>
  <c r="AT306" i="3"/>
  <c r="AT303" i="3"/>
  <c r="BD303" i="3"/>
  <c r="AA274" i="3"/>
  <c r="AD274" i="3" s="1"/>
  <c r="AM195" i="3"/>
  <c r="AM209" i="3"/>
  <c r="AK222" i="3"/>
  <c r="AN222" i="3" s="1"/>
  <c r="S311" i="3"/>
  <c r="AC318" i="3"/>
  <c r="Q422" i="3"/>
  <c r="T422" i="3" s="1"/>
  <c r="S422" i="3"/>
  <c r="AM363" i="3"/>
  <c r="G367" i="3"/>
  <c r="J367" i="3" s="1"/>
  <c r="G361" i="3"/>
  <c r="J361" i="3" s="1"/>
  <c r="AA345" i="3"/>
  <c r="AD345" i="3" s="1"/>
  <c r="AK353" i="3"/>
  <c r="AN353" i="3" s="1"/>
  <c r="AK343" i="3"/>
  <c r="AN343" i="3" s="1"/>
  <c r="BE274" i="3"/>
  <c r="BE275" i="3" s="1"/>
  <c r="BE276" i="3" s="1"/>
  <c r="BE277" i="3" s="1"/>
  <c r="BE278" i="3" s="1"/>
  <c r="BE279" i="3" s="1"/>
  <c r="BE280" i="3" s="1"/>
  <c r="BE281" i="3" s="1"/>
  <c r="BE282" i="3" s="1"/>
  <c r="BE283" i="3" s="1"/>
  <c r="BE284" i="3" s="1"/>
  <c r="BE285" i="3" s="1"/>
  <c r="BE286" i="3" s="1"/>
  <c r="BE287" i="3" s="1"/>
  <c r="BE288" i="3" s="1"/>
  <c r="BE289" i="3" s="1"/>
  <c r="BE290" i="3" s="1"/>
  <c r="BE291" i="3" s="1"/>
  <c r="BE292" i="3" s="1"/>
  <c r="BE293" i="3" s="1"/>
  <c r="BE294" i="3" s="1"/>
  <c r="BE295" i="3" s="1"/>
  <c r="BE296" i="3" s="1"/>
  <c r="BE297" i="3" s="1"/>
  <c r="BE298" i="3" s="1"/>
  <c r="BE299" i="3" s="1"/>
  <c r="BE300" i="3" s="1"/>
  <c r="BE301" i="3" s="1"/>
  <c r="BE302" i="3" s="1"/>
  <c r="BE303" i="3" s="1"/>
  <c r="BE304" i="3" s="1"/>
  <c r="BE305" i="3" s="1"/>
  <c r="BE306" i="3" s="1"/>
  <c r="BE307" i="3" s="1"/>
  <c r="BE308" i="3" s="1"/>
  <c r="BE309" i="3" s="1"/>
  <c r="BE310" i="3" s="1"/>
  <c r="BE311" i="3" s="1"/>
  <c r="BE312" i="3" s="1"/>
  <c r="BE313" i="3" s="1"/>
  <c r="BE314" i="3" s="1"/>
  <c r="BE315" i="3" s="1"/>
  <c r="BE316" i="3" s="1"/>
  <c r="BE317" i="3" s="1"/>
  <c r="BE318" i="3" s="1"/>
  <c r="AA206" i="3"/>
  <c r="AD206" i="3" s="1"/>
  <c r="AT213" i="3"/>
  <c r="S258" i="3"/>
  <c r="G209" i="3"/>
  <c r="J209" i="3" s="1"/>
  <c r="G254" i="3"/>
  <c r="J254" i="3" s="1"/>
  <c r="Q379" i="3"/>
  <c r="T379" i="3" s="1"/>
  <c r="AA236" i="3"/>
  <c r="AD236" i="3" s="1"/>
  <c r="S379" i="3"/>
  <c r="S222" i="3"/>
  <c r="AA373" i="3"/>
  <c r="AD373" i="3" s="1"/>
  <c r="AK266" i="3"/>
  <c r="AN266" i="3" s="1"/>
  <c r="AV320" i="3"/>
  <c r="AK167" i="3"/>
  <c r="AN167" i="3" s="1"/>
  <c r="BD169" i="3"/>
  <c r="S288" i="3"/>
  <c r="I191" i="3"/>
  <c r="I304" i="3"/>
  <c r="S316" i="3"/>
  <c r="G349" i="3"/>
  <c r="J349" i="3" s="1"/>
  <c r="Q369" i="3"/>
  <c r="T369" i="3" s="1"/>
  <c r="AC204" i="3"/>
  <c r="S236" i="3"/>
  <c r="AA177" i="3"/>
  <c r="AD177" i="3" s="1"/>
  <c r="AM203" i="3"/>
  <c r="I230" i="3"/>
  <c r="AT316" i="3"/>
  <c r="I203" i="3"/>
  <c r="AC276" i="3"/>
  <c r="S308" i="3"/>
  <c r="AA306" i="3"/>
  <c r="AD306" i="3" s="1"/>
  <c r="G197" i="3"/>
  <c r="J197" i="3" s="1"/>
  <c r="Q250" i="3"/>
  <c r="T250" i="3" s="1"/>
  <c r="S376" i="3"/>
  <c r="AK425" i="3"/>
  <c r="AN425" i="3" s="1"/>
  <c r="AM425" i="3"/>
  <c r="I228" i="3"/>
  <c r="AC371" i="3"/>
  <c r="AA423" i="3"/>
  <c r="AD423" i="3" s="1"/>
  <c r="AC423" i="3"/>
  <c r="AA372" i="3"/>
  <c r="AD372" i="3" s="1"/>
  <c r="Q368" i="3"/>
  <c r="T368" i="3" s="1"/>
  <c r="AT214" i="3"/>
  <c r="Q195" i="3"/>
  <c r="T195" i="3" s="1"/>
  <c r="AK219" i="3"/>
  <c r="AN219" i="3" s="1"/>
  <c r="AM249" i="3"/>
  <c r="Q299" i="3"/>
  <c r="T299" i="3" s="1"/>
  <c r="AK226" i="3"/>
  <c r="AN226" i="3" s="1"/>
  <c r="G205" i="3"/>
  <c r="J205" i="3" s="1"/>
  <c r="I273" i="3"/>
  <c r="G235" i="3"/>
  <c r="J235" i="3" s="1"/>
  <c r="AK315" i="3"/>
  <c r="AN315" i="3" s="1"/>
  <c r="AM315" i="3"/>
  <c r="S310" i="3"/>
  <c r="AM279" i="3"/>
  <c r="Q423" i="3"/>
  <c r="T423" i="3" s="1"/>
  <c r="S423" i="3"/>
  <c r="S291" i="3"/>
  <c r="AA287" i="3"/>
  <c r="AD287" i="3" s="1"/>
  <c r="AA367" i="3"/>
  <c r="AD367" i="3" s="1"/>
  <c r="I237" i="3"/>
  <c r="AT89" i="3"/>
  <c r="AM324" i="3"/>
  <c r="AT312" i="3"/>
  <c r="AT302" i="3"/>
  <c r="S237" i="3"/>
  <c r="Q254" i="3"/>
  <c r="T254" i="3" s="1"/>
  <c r="AK247" i="3"/>
  <c r="AN247" i="3" s="1"/>
  <c r="S298" i="3"/>
  <c r="AM170" i="3"/>
  <c r="AA205" i="3"/>
  <c r="AD205" i="3" s="1"/>
  <c r="G328" i="3"/>
  <c r="J328" i="3" s="1"/>
  <c r="G422" i="3"/>
  <c r="J422" i="3" s="1"/>
  <c r="I422" i="3"/>
  <c r="G347" i="3"/>
  <c r="J347" i="3" s="1"/>
  <c r="G329" i="3"/>
  <c r="J329" i="3" s="1"/>
  <c r="G270" i="3"/>
  <c r="J270" i="3" s="1"/>
  <c r="Q212" i="3"/>
  <c r="T212" i="3" s="1"/>
  <c r="AA261" i="3"/>
  <c r="AD261" i="3" s="1"/>
  <c r="BG173" i="3"/>
  <c r="BG174" i="3" s="1"/>
  <c r="BG175" i="3" s="1"/>
  <c r="BG176" i="3" s="1"/>
  <c r="BG177" i="3" s="1"/>
  <c r="BG178" i="3" s="1"/>
  <c r="BG179" i="3" s="1"/>
  <c r="BG180" i="3" s="1"/>
  <c r="BG181" i="3" s="1"/>
  <c r="BG182" i="3" s="1"/>
  <c r="BG183" i="3" s="1"/>
  <c r="BG184" i="3" s="1"/>
  <c r="BG185" i="3" s="1"/>
  <c r="BG186" i="3" s="1"/>
  <c r="BG187" i="3" s="1"/>
  <c r="BG188" i="3" s="1"/>
  <c r="BG189" i="3" s="1"/>
  <c r="BG190" i="3" s="1"/>
  <c r="BG191" i="3" s="1"/>
  <c r="BG192" i="3" s="1"/>
  <c r="BG193" i="3" s="1"/>
  <c r="BG194" i="3" s="1"/>
  <c r="BG195" i="3" s="1"/>
  <c r="BG196" i="3" s="1"/>
  <c r="BG197" i="3" s="1"/>
  <c r="BG198" i="3" s="1"/>
  <c r="BG199" i="3" s="1"/>
  <c r="BG200" i="3" s="1"/>
  <c r="BG201" i="3" s="1"/>
  <c r="BG202" i="3" s="1"/>
  <c r="BG203" i="3" s="1"/>
  <c r="BG204" i="3" s="1"/>
  <c r="BG205" i="3" s="1"/>
  <c r="BG206" i="3" s="1"/>
  <c r="BG207" i="3" s="1"/>
  <c r="BG208" i="3" s="1"/>
  <c r="BG209" i="3" s="1"/>
  <c r="BG210" i="3" s="1"/>
  <c r="BG211" i="3" s="1"/>
  <c r="BG212" i="3" s="1"/>
  <c r="BG213" i="3" s="1"/>
  <c r="BG214" i="3" s="1"/>
  <c r="BG215" i="3" s="1"/>
  <c r="BG216" i="3" s="1"/>
  <c r="BG217" i="3" s="1"/>
  <c r="BG218" i="3" s="1"/>
  <c r="AK205" i="3"/>
  <c r="AN205" i="3" s="1"/>
  <c r="Q257" i="3"/>
  <c r="T257" i="3" s="1"/>
  <c r="AT252" i="3"/>
  <c r="AK215" i="3"/>
  <c r="AN215" i="3" s="1"/>
  <c r="AC373" i="3"/>
  <c r="AA425" i="3"/>
  <c r="AD425" i="3" s="1"/>
  <c r="AC425" i="3"/>
  <c r="AV217" i="3"/>
  <c r="AK172" i="3"/>
  <c r="AN172" i="3" s="1"/>
  <c r="AA188" i="3"/>
  <c r="AD188" i="3" s="1"/>
  <c r="AK424" i="3"/>
  <c r="AN424" i="3" s="1"/>
  <c r="AM424" i="3"/>
  <c r="AA265" i="3"/>
  <c r="AD265" i="3" s="1"/>
  <c r="G300" i="3"/>
  <c r="J300" i="3" s="1"/>
  <c r="S283" i="3"/>
  <c r="AK332" i="3"/>
  <c r="AN332" i="3" s="1"/>
  <c r="AM222" i="3"/>
  <c r="S293" i="3"/>
  <c r="AK260" i="3"/>
  <c r="AN260" i="3" s="1"/>
  <c r="G283" i="3"/>
  <c r="J283" i="3" s="1"/>
  <c r="AM219" i="3"/>
  <c r="AK218" i="3"/>
  <c r="AN218" i="3" s="1"/>
  <c r="I246" i="3"/>
  <c r="S234" i="3"/>
  <c r="AA195" i="3"/>
  <c r="AD195" i="3" s="1"/>
  <c r="G366" i="3"/>
  <c r="J366" i="3" s="1"/>
  <c r="AA424" i="3"/>
  <c r="AD424" i="3" s="1"/>
  <c r="AC424" i="3"/>
  <c r="I371" i="3"/>
  <c r="G423" i="3"/>
  <c r="J423" i="3" s="1"/>
  <c r="I423" i="3"/>
  <c r="AC357" i="3"/>
  <c r="AK373" i="3"/>
  <c r="AN373" i="3" s="1"/>
  <c r="G327" i="3"/>
  <c r="J327" i="3" s="1"/>
  <c r="AA173" i="3"/>
  <c r="AD173" i="3" s="1"/>
  <c r="BD266" i="3"/>
  <c r="AT68" i="3"/>
  <c r="AT321" i="3"/>
  <c r="BD249" i="3"/>
  <c r="AT291" i="3"/>
  <c r="AA292" i="3"/>
  <c r="AD292" i="3" s="1"/>
  <c r="AC331" i="3"/>
  <c r="G379" i="3"/>
  <c r="J379" i="3" s="1"/>
  <c r="AK236" i="3"/>
  <c r="AN236" i="3" s="1"/>
  <c r="I333" i="3"/>
  <c r="I329" i="3"/>
  <c r="AK231" i="3"/>
  <c r="AN231" i="3" s="1"/>
  <c r="AA204" i="3"/>
  <c r="AD204" i="3" s="1"/>
  <c r="S193" i="3"/>
  <c r="G186" i="3"/>
  <c r="J186" i="3" s="1"/>
  <c r="AA264" i="3"/>
  <c r="AD264" i="3" s="1"/>
  <c r="AA210" i="3"/>
  <c r="AD210" i="3" s="1"/>
  <c r="AC196" i="3"/>
  <c r="AK327" i="3"/>
  <c r="AN327" i="3" s="1"/>
  <c r="AK265" i="3"/>
  <c r="AN265" i="3" s="1"/>
  <c r="G343" i="3"/>
  <c r="J343" i="3" s="1"/>
  <c r="G330" i="3"/>
  <c r="J330" i="3" s="1"/>
  <c r="I280" i="3"/>
  <c r="AA330" i="3"/>
  <c r="AD330" i="3" s="1"/>
  <c r="Q341" i="3"/>
  <c r="T341" i="3" s="1"/>
  <c r="S338" i="3"/>
  <c r="AA201" i="3"/>
  <c r="AD201" i="3" s="1"/>
  <c r="I225" i="3"/>
  <c r="S251" i="3"/>
  <c r="AA336" i="3"/>
  <c r="AD336" i="3" s="1"/>
  <c r="AK333" i="3"/>
  <c r="AN333" i="3" s="1"/>
  <c r="AC252" i="3"/>
  <c r="G360" i="3"/>
  <c r="J360" i="3" s="1"/>
  <c r="AT320" i="3"/>
  <c r="S301" i="3"/>
  <c r="AM359" i="3"/>
  <c r="AK411" i="3"/>
  <c r="AN411" i="3" s="1"/>
  <c r="AM411" i="3"/>
  <c r="S355" i="3"/>
  <c r="Q407" i="3"/>
  <c r="T407" i="3" s="1"/>
  <c r="S407" i="3"/>
  <c r="BD106" i="3"/>
  <c r="AT109" i="3"/>
  <c r="G415" i="3"/>
  <c r="J415" i="3" s="1"/>
  <c r="I415" i="3"/>
  <c r="I363" i="3"/>
  <c r="Q398" i="3"/>
  <c r="T398" i="3" s="1"/>
  <c r="S398" i="3"/>
  <c r="S314" i="3"/>
  <c r="Q366" i="3"/>
  <c r="T366" i="3" s="1"/>
  <c r="AC376" i="3"/>
  <c r="I299" i="3"/>
  <c r="G351" i="3"/>
  <c r="J351" i="3" s="1"/>
  <c r="AM182" i="3"/>
  <c r="AK182" i="3"/>
  <c r="AN182" i="3" s="1"/>
  <c r="AM351" i="3"/>
  <c r="AK403" i="3"/>
  <c r="AN403" i="3" s="1"/>
  <c r="AM403" i="3"/>
  <c r="AC298" i="3"/>
  <c r="AA350" i="3"/>
  <c r="AD350" i="3" s="1"/>
  <c r="BD280" i="3"/>
  <c r="AT283" i="3"/>
  <c r="AV280" i="3"/>
  <c r="AT259" i="3"/>
  <c r="BD254" i="3"/>
  <c r="AT257" i="3"/>
  <c r="BD164" i="3"/>
  <c r="AV216" i="3"/>
  <c r="BD158" i="3"/>
  <c r="AT161" i="3"/>
  <c r="AA421" i="3"/>
  <c r="AD421" i="3" s="1"/>
  <c r="AC421" i="3"/>
  <c r="AC369" i="3"/>
  <c r="Q409" i="3"/>
  <c r="T409" i="3" s="1"/>
  <c r="S409" i="3"/>
  <c r="S357" i="3"/>
  <c r="AA398" i="3"/>
  <c r="AD398" i="3" s="1"/>
  <c r="AC398" i="3"/>
  <c r="AC346" i="3"/>
  <c r="AC314" i="3"/>
  <c r="AA366" i="3"/>
  <c r="AD366" i="3" s="1"/>
  <c r="Q415" i="3"/>
  <c r="T415" i="3" s="1"/>
  <c r="S415" i="3"/>
  <c r="S363" i="3"/>
  <c r="I306" i="3"/>
  <c r="G358" i="3"/>
  <c r="J358" i="3" s="1"/>
  <c r="AK413" i="3"/>
  <c r="AN413" i="3" s="1"/>
  <c r="AM413" i="3"/>
  <c r="AM361" i="3"/>
  <c r="G403" i="3"/>
  <c r="J403" i="3" s="1"/>
  <c r="I403" i="3"/>
  <c r="I351" i="3"/>
  <c r="AK414" i="3"/>
  <c r="AN414" i="3" s="1"/>
  <c r="AM414" i="3"/>
  <c r="AM326" i="3"/>
  <c r="AK378" i="3"/>
  <c r="AN378" i="3" s="1"/>
  <c r="BD243" i="3"/>
  <c r="AT245" i="3"/>
  <c r="AT244" i="3"/>
  <c r="AC239" i="3"/>
  <c r="AA343" i="3"/>
  <c r="AD343" i="3" s="1"/>
  <c r="I376" i="3"/>
  <c r="G376" i="3"/>
  <c r="J376" i="3" s="1"/>
  <c r="AM283" i="3"/>
  <c r="AK335" i="3"/>
  <c r="AN335" i="3" s="1"/>
  <c r="BD91" i="3"/>
  <c r="AT94" i="3"/>
  <c r="AT91" i="3"/>
  <c r="AC295" i="3"/>
  <c r="AA347" i="3"/>
  <c r="AD347" i="3" s="1"/>
  <c r="AC224" i="3"/>
  <c r="AA328" i="3"/>
  <c r="AD328" i="3" s="1"/>
  <c r="AM286" i="3"/>
  <c r="AK338" i="3"/>
  <c r="AN338" i="3" s="1"/>
  <c r="AA318" i="3"/>
  <c r="AD318" i="3" s="1"/>
  <c r="AA266" i="3"/>
  <c r="AD266" i="3" s="1"/>
  <c r="AA370" i="3"/>
  <c r="AD370" i="3" s="1"/>
  <c r="AC266" i="3"/>
  <c r="AC214" i="3"/>
  <c r="AV405" i="3"/>
  <c r="BD353" i="3"/>
  <c r="AV353" i="3"/>
  <c r="S244" i="3"/>
  <c r="Q348" i="3"/>
  <c r="T348" i="3" s="1"/>
  <c r="Q346" i="3"/>
  <c r="T346" i="3" s="1"/>
  <c r="Q334" i="3"/>
  <c r="T334" i="3" s="1"/>
  <c r="AC262" i="3"/>
  <c r="AK401" i="3"/>
  <c r="AN401" i="3" s="1"/>
  <c r="AM401" i="3"/>
  <c r="BD16" i="3"/>
  <c r="AT16" i="3"/>
  <c r="AT19" i="3"/>
  <c r="G261" i="3"/>
  <c r="J261" i="3" s="1"/>
  <c r="G365" i="3"/>
  <c r="J365" i="3" s="1"/>
  <c r="AA202" i="3"/>
  <c r="AD202" i="3" s="1"/>
  <c r="BD141" i="3"/>
  <c r="AT142" i="3"/>
  <c r="AT143" i="3"/>
  <c r="AM302" i="3"/>
  <c r="AM250" i="3"/>
  <c r="AK354" i="3"/>
  <c r="AN354" i="3" s="1"/>
  <c r="S253" i="3"/>
  <c r="Q305" i="3"/>
  <c r="T305" i="3" s="1"/>
  <c r="S305" i="3"/>
  <c r="G309" i="3"/>
  <c r="J309" i="3" s="1"/>
  <c r="I257" i="3"/>
  <c r="G421" i="3"/>
  <c r="J421" i="3" s="1"/>
  <c r="I421" i="3"/>
  <c r="AC361" i="3"/>
  <c r="AA413" i="3"/>
  <c r="AD413" i="3" s="1"/>
  <c r="AC413" i="3"/>
  <c r="AM346" i="3"/>
  <c r="AK398" i="3"/>
  <c r="AN398" i="3" s="1"/>
  <c r="AM398" i="3"/>
  <c r="I348" i="3"/>
  <c r="G400" i="3"/>
  <c r="J400" i="3" s="1"/>
  <c r="I400" i="3"/>
  <c r="AV257" i="3"/>
  <c r="AT258" i="3"/>
  <c r="BD257" i="3"/>
  <c r="AT260" i="3"/>
  <c r="AC324" i="3"/>
  <c r="AA376" i="3"/>
  <c r="AD376" i="3" s="1"/>
  <c r="AM205" i="3"/>
  <c r="AK309" i="3"/>
  <c r="AN309" i="3" s="1"/>
  <c r="AM257" i="3"/>
  <c r="AK257" i="3"/>
  <c r="AN257" i="3" s="1"/>
  <c r="I201" i="3"/>
  <c r="G305" i="3"/>
  <c r="J305" i="3" s="1"/>
  <c r="I253" i="3"/>
  <c r="G357" i="3"/>
  <c r="J357" i="3" s="1"/>
  <c r="S306" i="3"/>
  <c r="S254" i="3"/>
  <c r="Q358" i="3"/>
  <c r="T358" i="3" s="1"/>
  <c r="AT44" i="3"/>
  <c r="AT45" i="3"/>
  <c r="BD42" i="3"/>
  <c r="BD26" i="3"/>
  <c r="AT29" i="3"/>
  <c r="AK179" i="3"/>
  <c r="AN179" i="3" s="1"/>
  <c r="AT160" i="3"/>
  <c r="AT162" i="3"/>
  <c r="AT163" i="3"/>
  <c r="BD160" i="3"/>
  <c r="S171" i="3"/>
  <c r="Q275" i="3"/>
  <c r="T275" i="3" s="1"/>
  <c r="Q168" i="3"/>
  <c r="T168" i="3" s="1"/>
  <c r="G321" i="3"/>
  <c r="J321" i="3" s="1"/>
  <c r="G269" i="3"/>
  <c r="J269" i="3" s="1"/>
  <c r="I276" i="3"/>
  <c r="G276" i="3"/>
  <c r="J276" i="3" s="1"/>
  <c r="G293" i="3"/>
  <c r="J293" i="3" s="1"/>
  <c r="I293" i="3"/>
  <c r="G345" i="3"/>
  <c r="J345" i="3" s="1"/>
  <c r="AK298" i="3"/>
  <c r="AN298" i="3" s="1"/>
  <c r="AT47" i="3"/>
  <c r="BD44" i="3"/>
  <c r="AK190" i="3"/>
  <c r="AN190" i="3" s="1"/>
  <c r="Q189" i="3"/>
  <c r="T189" i="3" s="1"/>
  <c r="AM171" i="3"/>
  <c r="AV259" i="3"/>
  <c r="BD259" i="3"/>
  <c r="AT262" i="3"/>
  <c r="AV295" i="3"/>
  <c r="AM229" i="3"/>
  <c r="AK415" i="3"/>
  <c r="AN415" i="3" s="1"/>
  <c r="AM415" i="3"/>
  <c r="I281" i="3"/>
  <c r="G281" i="3"/>
  <c r="J281" i="3" s="1"/>
  <c r="G333" i="3"/>
  <c r="J333" i="3" s="1"/>
  <c r="I290" i="3"/>
  <c r="G290" i="3"/>
  <c r="J290" i="3" s="1"/>
  <c r="AK404" i="3"/>
  <c r="AN404" i="3" s="1"/>
  <c r="AM404" i="3"/>
  <c r="Q396" i="3"/>
  <c r="T396" i="3" s="1"/>
  <c r="S396" i="3"/>
  <c r="AA420" i="3"/>
  <c r="AD420" i="3" s="1"/>
  <c r="AC420" i="3"/>
  <c r="AC368" i="3"/>
  <c r="S194" i="3"/>
  <c r="Q246" i="3"/>
  <c r="T246" i="3" s="1"/>
  <c r="AM347" i="3"/>
  <c r="AK399" i="3"/>
  <c r="AN399" i="3" s="1"/>
  <c r="AM399" i="3"/>
  <c r="AM336" i="3"/>
  <c r="AT134" i="3"/>
  <c r="AT133" i="3"/>
  <c r="AA314" i="3"/>
  <c r="AD314" i="3" s="1"/>
  <c r="AC210" i="3"/>
  <c r="AA262" i="3"/>
  <c r="AD262" i="3" s="1"/>
  <c r="G253" i="3"/>
  <c r="J253" i="3" s="1"/>
  <c r="AV383" i="3"/>
  <c r="BD331" i="3"/>
  <c r="AV331" i="3"/>
  <c r="AV251" i="3"/>
  <c r="AT253" i="3"/>
  <c r="BD251" i="3"/>
  <c r="AT254" i="3"/>
  <c r="AM260" i="3"/>
  <c r="AC199" i="3"/>
  <c r="AA251" i="3"/>
  <c r="AD251" i="3" s="1"/>
  <c r="Q298" i="3"/>
  <c r="T298" i="3" s="1"/>
  <c r="AK194" i="3"/>
  <c r="AN194" i="3" s="1"/>
  <c r="AM230" i="3"/>
  <c r="AK334" i="3"/>
  <c r="AN334" i="3" s="1"/>
  <c r="AK186" i="3"/>
  <c r="AN186" i="3" s="1"/>
  <c r="AC267" i="3"/>
  <c r="AA371" i="3"/>
  <c r="AD371" i="3" s="1"/>
  <c r="G299" i="3"/>
  <c r="J299" i="3" s="1"/>
  <c r="G247" i="3"/>
  <c r="J247" i="3" s="1"/>
  <c r="AC234" i="3"/>
  <c r="AA338" i="3"/>
  <c r="AD338" i="3" s="1"/>
  <c r="AC286" i="3"/>
  <c r="AM202" i="3"/>
  <c r="AK254" i="3"/>
  <c r="AN254" i="3" s="1"/>
  <c r="AA331" i="3"/>
  <c r="AD331" i="3" s="1"/>
  <c r="AC279" i="3"/>
  <c r="AA279" i="3"/>
  <c r="AD279" i="3" s="1"/>
  <c r="S295" i="3"/>
  <c r="Q347" i="3"/>
  <c r="T347" i="3" s="1"/>
  <c r="S347" i="3"/>
  <c r="S333" i="3"/>
  <c r="S281" i="3"/>
  <c r="I252" i="3"/>
  <c r="I200" i="3"/>
  <c r="G252" i="3"/>
  <c r="J252" i="3" s="1"/>
  <c r="G356" i="3"/>
  <c r="J356" i="3" s="1"/>
  <c r="AA311" i="3"/>
  <c r="AD311" i="3" s="1"/>
  <c r="AA207" i="3"/>
  <c r="AD207" i="3" s="1"/>
  <c r="AA259" i="3"/>
  <c r="AD259" i="3" s="1"/>
  <c r="AK288" i="3"/>
  <c r="AN288" i="3" s="1"/>
  <c r="AK340" i="3"/>
  <c r="AN340" i="3" s="1"/>
  <c r="AM337" i="3"/>
  <c r="AK408" i="3"/>
  <c r="AN408" i="3" s="1"/>
  <c r="AM408" i="3"/>
  <c r="AM356" i="3"/>
  <c r="AC311" i="3"/>
  <c r="AA363" i="3"/>
  <c r="AD363" i="3" s="1"/>
  <c r="AC363" i="3"/>
  <c r="I359" i="3"/>
  <c r="G411" i="3"/>
  <c r="J411" i="3" s="1"/>
  <c r="I411" i="3"/>
  <c r="S364" i="3"/>
  <c r="Q416" i="3"/>
  <c r="T416" i="3" s="1"/>
  <c r="S416" i="3"/>
  <c r="AA404" i="3"/>
  <c r="AD404" i="3" s="1"/>
  <c r="AC404" i="3"/>
  <c r="Q249" i="3"/>
  <c r="T249" i="3" s="1"/>
  <c r="Q301" i="3"/>
  <c r="T301" i="3" s="1"/>
  <c r="AT25" i="3"/>
  <c r="BD52" i="3"/>
  <c r="AT55" i="3"/>
  <c r="S366" i="3"/>
  <c r="AA304" i="3"/>
  <c r="AD304" i="3" s="1"/>
  <c r="I194" i="3"/>
  <c r="G298" i="3"/>
  <c r="J298" i="3" s="1"/>
  <c r="AT27" i="3"/>
  <c r="S359" i="3"/>
  <c r="Q411" i="3"/>
  <c r="T411" i="3" s="1"/>
  <c r="S411" i="3"/>
  <c r="AA411" i="3"/>
  <c r="AD411" i="3" s="1"/>
  <c r="AC411" i="3"/>
  <c r="AM335" i="3"/>
  <c r="I344" i="3"/>
  <c r="G396" i="3"/>
  <c r="J396" i="3" s="1"/>
  <c r="I396" i="3"/>
  <c r="AK410" i="3"/>
  <c r="AN410" i="3" s="1"/>
  <c r="AM410" i="3"/>
  <c r="AT292" i="3"/>
  <c r="AV293" i="3"/>
  <c r="BD293" i="3"/>
  <c r="AV281" i="3"/>
  <c r="BD348" i="3"/>
  <c r="AV400" i="3"/>
  <c r="AV321" i="3"/>
  <c r="AV269" i="3"/>
  <c r="BD269" i="3"/>
  <c r="AV253" i="3"/>
  <c r="BD253" i="3"/>
  <c r="AT256" i="3"/>
  <c r="AM314" i="3"/>
  <c r="AK366" i="3"/>
  <c r="AN366" i="3" s="1"/>
  <c r="AM262" i="3"/>
  <c r="S312" i="3"/>
  <c r="S260" i="3"/>
  <c r="Q364" i="3"/>
  <c r="T364" i="3" s="1"/>
  <c r="BD215" i="3"/>
  <c r="AT217" i="3"/>
  <c r="AV267" i="3"/>
  <c r="AT186" i="3"/>
  <c r="AC309" i="3"/>
  <c r="AA361" i="3"/>
  <c r="AD361" i="3" s="1"/>
  <c r="AM188" i="3"/>
  <c r="AK292" i="3"/>
  <c r="AN292" i="3" s="1"/>
  <c r="AM299" i="3"/>
  <c r="AK351" i="3"/>
  <c r="AN351" i="3" s="1"/>
  <c r="I301" i="3"/>
  <c r="G353" i="3"/>
  <c r="J353" i="3" s="1"/>
  <c r="AK268" i="3"/>
  <c r="AN268" i="3" s="1"/>
  <c r="AK372" i="3"/>
  <c r="AN372" i="3" s="1"/>
  <c r="AM216" i="3"/>
  <c r="AM268" i="3"/>
  <c r="G420" i="3"/>
  <c r="J420" i="3" s="1"/>
  <c r="I420" i="3"/>
  <c r="I368" i="3"/>
  <c r="AK407" i="3"/>
  <c r="AN407" i="3" s="1"/>
  <c r="AM407" i="3"/>
  <c r="AA339" i="3"/>
  <c r="AD339" i="3" s="1"/>
  <c r="AC287" i="3"/>
  <c r="AM310" i="3"/>
  <c r="AK362" i="3"/>
  <c r="AN362" i="3" s="1"/>
  <c r="AM193" i="3"/>
  <c r="AK245" i="3"/>
  <c r="AN245" i="3" s="1"/>
  <c r="BD138" i="3"/>
  <c r="AT141" i="3"/>
  <c r="S240" i="3"/>
  <c r="S292" i="3"/>
  <c r="Q344" i="3"/>
  <c r="T344" i="3" s="1"/>
  <c r="I288" i="3"/>
  <c r="G340" i="3"/>
  <c r="J340" i="3" s="1"/>
  <c r="G331" i="3"/>
  <c r="J331" i="3" s="1"/>
  <c r="I279" i="3"/>
  <c r="I274" i="3"/>
  <c r="G378" i="3"/>
  <c r="J378" i="3" s="1"/>
  <c r="I326" i="3"/>
  <c r="AC307" i="3"/>
  <c r="AA307" i="3"/>
  <c r="AD307" i="3" s="1"/>
  <c r="AA359" i="3"/>
  <c r="AD359" i="3" s="1"/>
  <c r="BD110" i="3"/>
  <c r="AT112" i="3"/>
  <c r="AC194" i="3"/>
  <c r="AA194" i="3"/>
  <c r="AD194" i="3" s="1"/>
  <c r="AA246" i="3"/>
  <c r="AD246" i="3" s="1"/>
  <c r="AC288" i="3"/>
  <c r="AA340" i="3"/>
  <c r="AD340" i="3" s="1"/>
  <c r="AM223" i="3"/>
  <c r="AC249" i="3"/>
  <c r="AA353" i="3"/>
  <c r="AD353" i="3" s="1"/>
  <c r="Q410" i="3"/>
  <c r="T410" i="3" s="1"/>
  <c r="S410" i="3"/>
  <c r="I216" i="3"/>
  <c r="AC242" i="3"/>
  <c r="AC294" i="3"/>
  <c r="AM204" i="3"/>
  <c r="AK308" i="3"/>
  <c r="AN308" i="3" s="1"/>
  <c r="AC225" i="3"/>
  <c r="AC353" i="3"/>
  <c r="AA405" i="3"/>
  <c r="AD405" i="3" s="1"/>
  <c r="AC405" i="3"/>
  <c r="Q395" i="3"/>
  <c r="T395" i="3" s="1"/>
  <c r="S395" i="3"/>
  <c r="G355" i="3"/>
  <c r="J355" i="3" s="1"/>
  <c r="AA329" i="3"/>
  <c r="AD329" i="3" s="1"/>
  <c r="Q336" i="3"/>
  <c r="T336" i="3" s="1"/>
  <c r="G274" i="3"/>
  <c r="J274" i="3" s="1"/>
  <c r="G193" i="3"/>
  <c r="J193" i="3" s="1"/>
  <c r="AT198" i="3"/>
  <c r="AT107" i="3"/>
  <c r="AC173" i="3"/>
  <c r="Q400" i="3"/>
  <c r="T400" i="3" s="1"/>
  <c r="S400" i="3"/>
  <c r="AM369" i="3"/>
  <c r="AK421" i="3"/>
  <c r="AN421" i="3" s="1"/>
  <c r="AM421" i="3"/>
  <c r="AM350" i="3"/>
  <c r="AK402" i="3"/>
  <c r="AN402" i="3" s="1"/>
  <c r="AM402" i="3"/>
  <c r="AC356" i="3"/>
  <c r="AA408" i="3"/>
  <c r="AD408" i="3" s="1"/>
  <c r="AC408" i="3"/>
  <c r="I358" i="3"/>
  <c r="G410" i="3"/>
  <c r="J410" i="3" s="1"/>
  <c r="I410" i="3"/>
  <c r="AT372" i="3"/>
  <c r="AU528" i="3" s="1"/>
  <c r="AX528" i="3" s="1"/>
  <c r="AV421" i="3"/>
  <c r="AC366" i="3"/>
  <c r="AA418" i="3"/>
  <c r="AD418" i="3" s="1"/>
  <c r="AC418" i="3"/>
  <c r="AC350" i="3"/>
  <c r="AA402" i="3"/>
  <c r="AD402" i="3" s="1"/>
  <c r="AC402" i="3"/>
  <c r="G407" i="3"/>
  <c r="J407" i="3" s="1"/>
  <c r="I407" i="3"/>
  <c r="I291" i="3"/>
  <c r="AA337" i="3"/>
  <c r="AD337" i="3" s="1"/>
  <c r="I330" i="3"/>
  <c r="Q342" i="3"/>
  <c r="T342" i="3" s="1"/>
  <c r="Q338" i="3"/>
  <c r="T338" i="3" s="1"/>
  <c r="AM327" i="3"/>
  <c r="Q217" i="3"/>
  <c r="T217" i="3" s="1"/>
  <c r="AV279" i="3"/>
  <c r="G196" i="3"/>
  <c r="J196" i="3" s="1"/>
  <c r="G216" i="3"/>
  <c r="J216" i="3" s="1"/>
  <c r="AT263" i="3"/>
  <c r="AT200" i="3"/>
  <c r="AC256" i="3"/>
  <c r="AK208" i="3"/>
  <c r="AN208" i="3" s="1"/>
  <c r="AA302" i="3"/>
  <c r="AD302" i="3" s="1"/>
  <c r="AT76" i="3"/>
  <c r="BD217" i="3"/>
  <c r="AV249" i="3"/>
  <c r="BD256" i="3"/>
  <c r="I264" i="3"/>
  <c r="AA303" i="3"/>
  <c r="AD303" i="3" s="1"/>
  <c r="AK214" i="3"/>
  <c r="AN214" i="3" s="1"/>
  <c r="AT43" i="3"/>
  <c r="AT31" i="3"/>
  <c r="BH324" i="3"/>
  <c r="BH325" i="3" s="1"/>
  <c r="BH326" i="3" s="1"/>
  <c r="BH327" i="3" s="1"/>
  <c r="BH328" i="3" s="1"/>
  <c r="BH329" i="3" s="1"/>
  <c r="BH330" i="3" s="1"/>
  <c r="BH331" i="3" s="1"/>
  <c r="AM378" i="3"/>
  <c r="AK375" i="3"/>
  <c r="AN375" i="3" s="1"/>
  <c r="AT199" i="3"/>
  <c r="I199" i="3"/>
  <c r="AT48" i="3"/>
  <c r="Q376" i="3"/>
  <c r="T376" i="3" s="1"/>
  <c r="I209" i="3"/>
  <c r="G272" i="3"/>
  <c r="J272" i="3" s="1"/>
  <c r="AV207" i="3"/>
  <c r="AC244" i="3"/>
  <c r="I187" i="3"/>
  <c r="AA397" i="3"/>
  <c r="AD397" i="3" s="1"/>
  <c r="AC397" i="3"/>
  <c r="AA395" i="3"/>
  <c r="AD395" i="3" s="1"/>
  <c r="AC395" i="3"/>
  <c r="Q417" i="3"/>
  <c r="T417" i="3" s="1"/>
  <c r="S417" i="3"/>
  <c r="AA409" i="3"/>
  <c r="AD409" i="3" s="1"/>
  <c r="AC409" i="3"/>
  <c r="Q399" i="3"/>
  <c r="T399" i="3" s="1"/>
  <c r="S399" i="3"/>
  <c r="Q401" i="3"/>
  <c r="T401" i="3" s="1"/>
  <c r="S401" i="3"/>
  <c r="AC310" i="3"/>
  <c r="G404" i="3"/>
  <c r="J404" i="3" s="1"/>
  <c r="I404" i="3"/>
  <c r="Q419" i="3"/>
  <c r="T419" i="3" s="1"/>
  <c r="S419" i="3"/>
  <c r="S302" i="3"/>
  <c r="AC303" i="3"/>
  <c r="AM218" i="3"/>
  <c r="Q421" i="3"/>
  <c r="T421" i="3" s="1"/>
  <c r="S421" i="3"/>
  <c r="G409" i="3"/>
  <c r="J409" i="3" s="1"/>
  <c r="I409" i="3"/>
  <c r="I307" i="3"/>
  <c r="AK323" i="3"/>
  <c r="AN323" i="3" s="1"/>
  <c r="AC228" i="3"/>
  <c r="AC280" i="3"/>
  <c r="AC323" i="3"/>
  <c r="G417" i="3"/>
  <c r="J417" i="3" s="1"/>
  <c r="I417" i="3"/>
  <c r="I236" i="3"/>
  <c r="G195" i="3"/>
  <c r="J195" i="3" s="1"/>
  <c r="I202" i="3"/>
  <c r="I206" i="3"/>
  <c r="G310" i="3"/>
  <c r="J310" i="3" s="1"/>
  <c r="AM251" i="3"/>
  <c r="AM303" i="3"/>
  <c r="G308" i="3"/>
  <c r="J308" i="3" s="1"/>
  <c r="I308" i="3"/>
  <c r="Q406" i="3"/>
  <c r="T406" i="3" s="1"/>
  <c r="S406" i="3"/>
  <c r="Q283" i="3"/>
  <c r="T283" i="3" s="1"/>
  <c r="Q211" i="3"/>
  <c r="T211" i="3" s="1"/>
  <c r="AT144" i="3"/>
  <c r="AK240" i="3"/>
  <c r="AN240" i="3" s="1"/>
  <c r="AC367" i="3"/>
  <c r="AA419" i="3"/>
  <c r="AD419" i="3" s="1"/>
  <c r="AC419" i="3"/>
  <c r="Q414" i="3"/>
  <c r="T414" i="3" s="1"/>
  <c r="S414" i="3"/>
  <c r="AT294" i="3"/>
  <c r="AC217" i="3"/>
  <c r="Q255" i="3"/>
  <c r="T255" i="3" s="1"/>
  <c r="AK170" i="3"/>
  <c r="AN170" i="3" s="1"/>
  <c r="AT90" i="3"/>
  <c r="AK405" i="3"/>
  <c r="AN405" i="3" s="1"/>
  <c r="AM405" i="3"/>
  <c r="G418" i="3"/>
  <c r="J418" i="3" s="1"/>
  <c r="I418" i="3"/>
  <c r="S286" i="3"/>
  <c r="I362" i="3"/>
  <c r="G414" i="3"/>
  <c r="J414" i="3" s="1"/>
  <c r="I414" i="3"/>
  <c r="S360" i="3"/>
  <c r="Q412" i="3"/>
  <c r="T412" i="3" s="1"/>
  <c r="S412" i="3"/>
  <c r="I346" i="3"/>
  <c r="G398" i="3"/>
  <c r="J398" i="3" s="1"/>
  <c r="I398" i="3"/>
  <c r="G401" i="3"/>
  <c r="J401" i="3" s="1"/>
  <c r="I401" i="3"/>
  <c r="AA410" i="3"/>
  <c r="AD410" i="3" s="1"/>
  <c r="AC410" i="3"/>
  <c r="AK363" i="3"/>
  <c r="AN363" i="3" s="1"/>
  <c r="Q343" i="3"/>
  <c r="T343" i="3" s="1"/>
  <c r="G335" i="3"/>
  <c r="J335" i="3" s="1"/>
  <c r="Q279" i="3"/>
  <c r="T279" i="3" s="1"/>
  <c r="Q329" i="3"/>
  <c r="T329" i="3" s="1"/>
  <c r="S330" i="3"/>
  <c r="AK360" i="3"/>
  <c r="AN360" i="3" s="1"/>
  <c r="G332" i="3"/>
  <c r="J332" i="3" s="1"/>
  <c r="AV332" i="3"/>
  <c r="AT114" i="3"/>
  <c r="Q375" i="3"/>
  <c r="T375" i="3" s="1"/>
  <c r="AT293" i="3"/>
  <c r="AK212" i="3"/>
  <c r="AN212" i="3" s="1"/>
  <c r="AK192" i="3"/>
  <c r="AN192" i="3" s="1"/>
  <c r="AA219" i="3"/>
  <c r="AD219" i="3" s="1"/>
  <c r="AA217" i="3"/>
  <c r="AD217" i="3" s="1"/>
  <c r="AM213" i="3"/>
  <c r="G259" i="3"/>
  <c r="J259" i="3" s="1"/>
  <c r="Q251" i="3"/>
  <c r="T251" i="3" s="1"/>
  <c r="AT264" i="3"/>
  <c r="S261" i="3"/>
  <c r="AM256" i="3"/>
  <c r="Q183" i="3"/>
  <c r="T183" i="3" s="1"/>
  <c r="AT32" i="3"/>
  <c r="BD30" i="3"/>
  <c r="BD360" i="3"/>
  <c r="AV412" i="3"/>
  <c r="AK379" i="3"/>
  <c r="AN379" i="3" s="1"/>
  <c r="Q377" i="3"/>
  <c r="T377" i="3" s="1"/>
  <c r="AT137" i="3"/>
  <c r="AA290" i="3"/>
  <c r="AD290" i="3" s="1"/>
  <c r="S375" i="3"/>
  <c r="S320" i="3"/>
  <c r="G262" i="3"/>
  <c r="J262" i="3" s="1"/>
  <c r="AA200" i="3"/>
  <c r="AD200" i="3" s="1"/>
  <c r="AC273" i="3"/>
  <c r="AV243" i="3"/>
  <c r="AC236" i="3"/>
  <c r="G250" i="3"/>
  <c r="J250" i="3" s="1"/>
  <c r="AK204" i="3"/>
  <c r="AN204" i="3" s="1"/>
  <c r="AK418" i="3"/>
  <c r="AN418" i="3" s="1"/>
  <c r="AM418" i="3"/>
  <c r="AV197" i="3"/>
  <c r="G245" i="3"/>
  <c r="J245" i="3" s="1"/>
  <c r="I193" i="3"/>
  <c r="I316" i="3"/>
  <c r="AA403" i="3"/>
  <c r="AD403" i="3" s="1"/>
  <c r="AC403" i="3"/>
  <c r="AM281" i="3"/>
  <c r="AM275" i="3"/>
  <c r="AC282" i="3"/>
  <c r="AC290" i="3"/>
  <c r="AM221" i="3"/>
  <c r="AM194" i="3"/>
  <c r="AM246" i="3"/>
  <c r="AC226" i="3"/>
  <c r="S278" i="3"/>
  <c r="I243" i="3"/>
  <c r="G318" i="3"/>
  <c r="J318" i="3" s="1"/>
  <c r="G311" i="3"/>
  <c r="J311" i="3" s="1"/>
  <c r="AM365" i="3"/>
  <c r="AK417" i="3"/>
  <c r="AN417" i="3" s="1"/>
  <c r="AM417" i="3"/>
  <c r="AM368" i="3"/>
  <c r="AK420" i="3"/>
  <c r="AN420" i="3" s="1"/>
  <c r="AM420" i="3"/>
  <c r="AM354" i="3"/>
  <c r="AK406" i="3"/>
  <c r="AN406" i="3" s="1"/>
  <c r="AM406" i="3"/>
  <c r="G395" i="3"/>
  <c r="J395" i="3" s="1"/>
  <c r="I395" i="3"/>
  <c r="AA193" i="3"/>
  <c r="AD193" i="3" s="1"/>
  <c r="AT53" i="3"/>
  <c r="AK173" i="3"/>
  <c r="AN173" i="3" s="1"/>
  <c r="AC243" i="3"/>
  <c r="Q420" i="3"/>
  <c r="T420" i="3" s="1"/>
  <c r="S420" i="3"/>
  <c r="AC304" i="3"/>
  <c r="S345" i="3"/>
  <c r="Q397" i="3"/>
  <c r="T397" i="3" s="1"/>
  <c r="S397" i="3"/>
  <c r="AV292" i="3"/>
  <c r="G337" i="3"/>
  <c r="J337" i="3" s="1"/>
  <c r="Q173" i="3"/>
  <c r="T173" i="3" s="1"/>
  <c r="AA212" i="3"/>
  <c r="AD212" i="3" s="1"/>
  <c r="Q404" i="3"/>
  <c r="T404" i="3" s="1"/>
  <c r="S404" i="3"/>
  <c r="S294" i="3"/>
  <c r="AK306" i="3"/>
  <c r="AN306" i="3" s="1"/>
  <c r="AA252" i="3"/>
  <c r="AD252" i="3" s="1"/>
  <c r="AC200" i="3"/>
  <c r="AM364" i="3"/>
  <c r="AK416" i="3"/>
  <c r="AN416" i="3" s="1"/>
  <c r="AM416" i="3"/>
  <c r="AA406" i="3"/>
  <c r="AD406" i="3" s="1"/>
  <c r="AC406" i="3"/>
  <c r="AV348" i="3"/>
  <c r="AA354" i="3"/>
  <c r="AD354" i="3" s="1"/>
  <c r="Q351" i="3"/>
  <c r="T351" i="3" s="1"/>
  <c r="Q271" i="3"/>
  <c r="T271" i="3" s="1"/>
  <c r="AK269" i="3"/>
  <c r="AN269" i="3" s="1"/>
  <c r="BD290" i="3"/>
  <c r="AT165" i="3"/>
  <c r="Q187" i="3"/>
  <c r="T187" i="3" s="1"/>
  <c r="Q181" i="3"/>
  <c r="T181" i="3" s="1"/>
  <c r="BD213" i="3"/>
  <c r="Q252" i="3"/>
  <c r="T252" i="3" s="1"/>
  <c r="AT92" i="3"/>
  <c r="AT66" i="3"/>
  <c r="AT56" i="3"/>
  <c r="S265" i="3"/>
  <c r="I270" i="3"/>
  <c r="AK256" i="3"/>
  <c r="AN256" i="3" s="1"/>
  <c r="AM254" i="3"/>
  <c r="AK183" i="3"/>
  <c r="AN183" i="3" s="1"/>
  <c r="Q405" i="3"/>
  <c r="T405" i="3" s="1"/>
  <c r="S405" i="3"/>
  <c r="AC379" i="3"/>
  <c r="Q289" i="3"/>
  <c r="T289" i="3" s="1"/>
  <c r="AK282" i="3"/>
  <c r="AN282" i="3" s="1"/>
  <c r="AT106" i="3"/>
  <c r="G233" i="3"/>
  <c r="J233" i="3" s="1"/>
  <c r="AV209" i="3"/>
  <c r="AC187" i="3"/>
  <c r="AM228" i="3"/>
  <c r="AA198" i="3"/>
  <c r="AD198" i="3" s="1"/>
  <c r="AK395" i="3"/>
  <c r="AN395" i="3" s="1"/>
  <c r="AM395" i="3"/>
  <c r="Q418" i="3"/>
  <c r="T418" i="3" s="1"/>
  <c r="S418" i="3"/>
  <c r="Q402" i="3"/>
  <c r="T402" i="3" s="1"/>
  <c r="S402" i="3"/>
  <c r="AC308" i="3"/>
  <c r="AK271" i="3"/>
  <c r="AN271" i="3" s="1"/>
  <c r="AK396" i="3"/>
  <c r="AN396" i="3" s="1"/>
  <c r="AM396" i="3"/>
  <c r="AK412" i="3"/>
  <c r="AN412" i="3" s="1"/>
  <c r="AM412" i="3"/>
  <c r="AC315" i="3"/>
  <c r="I309" i="3"/>
  <c r="Q413" i="3"/>
  <c r="T413" i="3" s="1"/>
  <c r="S413" i="3"/>
  <c r="AA412" i="3"/>
  <c r="AD412" i="3" s="1"/>
  <c r="AC412" i="3"/>
  <c r="G399" i="3"/>
  <c r="J399" i="3" s="1"/>
  <c r="I399" i="3"/>
  <c r="AC275" i="3"/>
  <c r="AK261" i="3"/>
  <c r="AN261" i="3" s="1"/>
  <c r="I245" i="3"/>
  <c r="I248" i="3"/>
  <c r="I196" i="3"/>
  <c r="AC232" i="3"/>
  <c r="I195" i="3"/>
  <c r="I278" i="3"/>
  <c r="I239" i="3"/>
  <c r="I244" i="3"/>
  <c r="AA203" i="3"/>
  <c r="AD203" i="3" s="1"/>
  <c r="AC195" i="3"/>
  <c r="AA310" i="3"/>
  <c r="AD310" i="3" s="1"/>
  <c r="AM367" i="3"/>
  <c r="AK419" i="3"/>
  <c r="AN419" i="3" s="1"/>
  <c r="AM419" i="3"/>
  <c r="Q177" i="3"/>
  <c r="T177" i="3" s="1"/>
  <c r="AV208" i="3"/>
  <c r="G201" i="3"/>
  <c r="J201" i="3" s="1"/>
  <c r="Q408" i="3"/>
  <c r="T408" i="3" s="1"/>
  <c r="S408" i="3"/>
  <c r="AA415" i="3"/>
  <c r="AD415" i="3" s="1"/>
  <c r="AC415" i="3"/>
  <c r="AM240" i="3"/>
  <c r="AA399" i="3"/>
  <c r="AD399" i="3" s="1"/>
  <c r="AC399" i="3"/>
  <c r="I364" i="3"/>
  <c r="G416" i="3"/>
  <c r="J416" i="3" s="1"/>
  <c r="I416" i="3"/>
  <c r="S351" i="3"/>
  <c r="Q403" i="3"/>
  <c r="T403" i="3" s="1"/>
  <c r="S403" i="3"/>
  <c r="Q365" i="3"/>
  <c r="T365" i="3" s="1"/>
  <c r="Q333" i="3"/>
  <c r="T333" i="3" s="1"/>
  <c r="AM271" i="3"/>
  <c r="Q169" i="3"/>
  <c r="T169" i="3" s="1"/>
  <c r="AK397" i="3"/>
  <c r="AN397" i="3" s="1"/>
  <c r="AM397" i="3"/>
  <c r="I168" i="3"/>
  <c r="AM274" i="3"/>
  <c r="AA414" i="3"/>
  <c r="AD414" i="3" s="1"/>
  <c r="AC414" i="3"/>
  <c r="S246" i="3"/>
  <c r="G202" i="3"/>
  <c r="J202" i="3" s="1"/>
  <c r="I367" i="3"/>
  <c r="G419" i="3"/>
  <c r="J419" i="3" s="1"/>
  <c r="I419" i="3"/>
  <c r="G405" i="3"/>
  <c r="J405" i="3" s="1"/>
  <c r="I405" i="3"/>
  <c r="AC362" i="3"/>
  <c r="AC364" i="3"/>
  <c r="AA416" i="3"/>
  <c r="AD416" i="3" s="1"/>
  <c r="AC416" i="3"/>
  <c r="I360" i="3"/>
  <c r="G412" i="3"/>
  <c r="J412" i="3" s="1"/>
  <c r="I412" i="3"/>
  <c r="G406" i="3"/>
  <c r="J406" i="3" s="1"/>
  <c r="I406" i="3"/>
  <c r="G397" i="3"/>
  <c r="J397" i="3" s="1"/>
  <c r="I397" i="3"/>
  <c r="I356" i="3"/>
  <c r="G408" i="3"/>
  <c r="J408" i="3" s="1"/>
  <c r="I408" i="3"/>
  <c r="AA407" i="3"/>
  <c r="AD407" i="3" s="1"/>
  <c r="AC407" i="3"/>
  <c r="I350" i="3"/>
  <c r="G402" i="3"/>
  <c r="J402" i="3" s="1"/>
  <c r="I402" i="3"/>
  <c r="AC348" i="3"/>
  <c r="AA400" i="3"/>
  <c r="AD400" i="3" s="1"/>
  <c r="AC400" i="3"/>
  <c r="AA396" i="3"/>
  <c r="AD396" i="3" s="1"/>
  <c r="AC396" i="3"/>
  <c r="G363" i="3"/>
  <c r="J363" i="3" s="1"/>
  <c r="AM353" i="3"/>
  <c r="AK347" i="3"/>
  <c r="AN347" i="3" s="1"/>
  <c r="AM292" i="3"/>
  <c r="AK328" i="3"/>
  <c r="AN328" i="3" s="1"/>
  <c r="AC325" i="3"/>
  <c r="Q356" i="3"/>
  <c r="T356" i="3" s="1"/>
  <c r="AA346" i="3"/>
  <c r="AD346" i="3" s="1"/>
  <c r="AA342" i="3"/>
  <c r="AD342" i="3" s="1"/>
  <c r="AA334" i="3"/>
  <c r="AD334" i="3" s="1"/>
  <c r="AA325" i="3"/>
  <c r="AD325" i="3" s="1"/>
  <c r="G375" i="3"/>
  <c r="J375" i="3" s="1"/>
  <c r="G277" i="3"/>
  <c r="J277" i="3" s="1"/>
  <c r="AT164" i="3"/>
  <c r="G217" i="3"/>
  <c r="J217" i="3" s="1"/>
  <c r="AK209" i="3"/>
  <c r="AN209" i="3" s="1"/>
  <c r="AA197" i="3"/>
  <c r="AD197" i="3" s="1"/>
  <c r="AV260" i="3"/>
  <c r="G210" i="3"/>
  <c r="J210" i="3" s="1"/>
  <c r="AK207" i="3"/>
  <c r="AN207" i="3" s="1"/>
  <c r="Q303" i="3"/>
  <c r="T303" i="3" s="1"/>
  <c r="AT58" i="3"/>
  <c r="BD40" i="3"/>
  <c r="AT30" i="3"/>
  <c r="BG377" i="3"/>
  <c r="AM374" i="3"/>
  <c r="BD358" i="3"/>
  <c r="AV410" i="3"/>
  <c r="BF377" i="3"/>
  <c r="S230" i="3"/>
  <c r="AV212" i="3"/>
  <c r="AV210" i="3"/>
  <c r="AA250" i="3"/>
  <c r="AD250" i="3" s="1"/>
  <c r="S185" i="3"/>
  <c r="G175" i="3"/>
  <c r="J175" i="3" s="1"/>
  <c r="I220" i="3"/>
  <c r="S243" i="3"/>
  <c r="G227" i="3"/>
  <c r="J227" i="3" s="1"/>
  <c r="AK324" i="3"/>
  <c r="AN324" i="3" s="1"/>
  <c r="AM208" i="3"/>
  <c r="AC250" i="3"/>
  <c r="AA417" i="3"/>
  <c r="AD417" i="3" s="1"/>
  <c r="AC417" i="3"/>
  <c r="AK409" i="3"/>
  <c r="AN409" i="3" s="1"/>
  <c r="AM409" i="3"/>
  <c r="AK400" i="3"/>
  <c r="AN400" i="3" s="1"/>
  <c r="AM400" i="3"/>
  <c r="G413" i="3"/>
  <c r="J413" i="3" s="1"/>
  <c r="I413" i="3"/>
  <c r="AA401" i="3"/>
  <c r="AD401" i="3" s="1"/>
  <c r="AC401" i="3"/>
  <c r="AC278" i="3"/>
  <c r="I198" i="3"/>
  <c r="I250" i="3"/>
  <c r="AM227" i="3"/>
  <c r="AC284" i="3"/>
  <c r="I292" i="3"/>
  <c r="G212" i="3"/>
  <c r="J212" i="3" s="1"/>
  <c r="AC248" i="3"/>
  <c r="AK392" i="3"/>
  <c r="AN392" i="3" s="1"/>
  <c r="AM392" i="3"/>
  <c r="Q387" i="3"/>
  <c r="T387" i="3" s="1"/>
  <c r="S387" i="3"/>
  <c r="Q386" i="3"/>
  <c r="T386" i="3" s="1"/>
  <c r="S386" i="3"/>
  <c r="AC342" i="3"/>
  <c r="AA394" i="3"/>
  <c r="AD394" i="3" s="1"/>
  <c r="AC394" i="3"/>
  <c r="G394" i="3"/>
  <c r="J394" i="3" s="1"/>
  <c r="I394" i="3"/>
  <c r="AA392" i="3"/>
  <c r="AD392" i="3" s="1"/>
  <c r="AC392" i="3"/>
  <c r="I340" i="3"/>
  <c r="G392" i="3"/>
  <c r="J392" i="3" s="1"/>
  <c r="I392" i="3"/>
  <c r="AV193" i="3"/>
  <c r="BD193" i="3"/>
  <c r="AM190" i="3"/>
  <c r="AM242" i="3"/>
  <c r="BD186" i="3"/>
  <c r="AV186" i="3"/>
  <c r="I238" i="3"/>
  <c r="I186" i="3"/>
  <c r="AC235" i="3"/>
  <c r="AC183" i="3"/>
  <c r="AC233" i="3"/>
  <c r="AC181" i="3"/>
  <c r="AC231" i="3"/>
  <c r="AC179" i="3"/>
  <c r="AC177" i="3"/>
  <c r="AC229" i="3"/>
  <c r="AC175" i="3"/>
  <c r="AC227" i="3"/>
  <c r="G324" i="3"/>
  <c r="J324" i="3" s="1"/>
  <c r="I324" i="3"/>
  <c r="AC212" i="3"/>
  <c r="AA316" i="3"/>
  <c r="AD316" i="3" s="1"/>
  <c r="AM206" i="3"/>
  <c r="AK310" i="3"/>
  <c r="AN310" i="3" s="1"/>
  <c r="AA301" i="3"/>
  <c r="AD301" i="3" s="1"/>
  <c r="AC197" i="3"/>
  <c r="AA249" i="3"/>
  <c r="AD249" i="3" s="1"/>
  <c r="BD17" i="3"/>
  <c r="AT20" i="3"/>
  <c r="BD21" i="3"/>
  <c r="AT24" i="3"/>
  <c r="BD25" i="3"/>
  <c r="AT28" i="3"/>
  <c r="AK394" i="3"/>
  <c r="AN394" i="3" s="1"/>
  <c r="AM394" i="3"/>
  <c r="G390" i="3"/>
  <c r="J390" i="3" s="1"/>
  <c r="I390" i="3"/>
  <c r="AK389" i="3"/>
  <c r="AN389" i="3" s="1"/>
  <c r="AM389" i="3"/>
  <c r="AA389" i="3"/>
  <c r="AD389" i="3" s="1"/>
  <c r="AC389" i="3"/>
  <c r="Q389" i="3"/>
  <c r="T389" i="3" s="1"/>
  <c r="S389" i="3"/>
  <c r="G388" i="3"/>
  <c r="J388" i="3" s="1"/>
  <c r="I388" i="3"/>
  <c r="AK387" i="3"/>
  <c r="AN387" i="3" s="1"/>
  <c r="AM387" i="3"/>
  <c r="AA387" i="3"/>
  <c r="AD387" i="3" s="1"/>
  <c r="AC387" i="3"/>
  <c r="BD192" i="3"/>
  <c r="AV192" i="3"/>
  <c r="BD118" i="3"/>
  <c r="AV170" i="3"/>
  <c r="Q392" i="3"/>
  <c r="T392" i="3" s="1"/>
  <c r="S392" i="3"/>
  <c r="Q391" i="3"/>
  <c r="T391" i="3" s="1"/>
  <c r="S391" i="3"/>
  <c r="AA390" i="3"/>
  <c r="AD390" i="3" s="1"/>
  <c r="AC390" i="3"/>
  <c r="Q390" i="3"/>
  <c r="T390" i="3" s="1"/>
  <c r="S390" i="3"/>
  <c r="G389" i="3"/>
  <c r="J389" i="3" s="1"/>
  <c r="I389" i="3"/>
  <c r="AK388" i="3"/>
  <c r="AN388" i="3" s="1"/>
  <c r="AM388" i="3"/>
  <c r="AA388" i="3"/>
  <c r="AD388" i="3" s="1"/>
  <c r="AC388" i="3"/>
  <c r="Q388" i="3"/>
  <c r="T388" i="3" s="1"/>
  <c r="S388" i="3"/>
  <c r="G387" i="3"/>
  <c r="J387" i="3" s="1"/>
  <c r="I387" i="3"/>
  <c r="AT363" i="3"/>
  <c r="AT71" i="3"/>
  <c r="AK242" i="3"/>
  <c r="AN242" i="3" s="1"/>
  <c r="AK199" i="3"/>
  <c r="AN199" i="3" s="1"/>
  <c r="G172" i="3"/>
  <c r="J172" i="3" s="1"/>
  <c r="S324" i="3"/>
  <c r="S322" i="3"/>
  <c r="G239" i="3"/>
  <c r="J239" i="3" s="1"/>
  <c r="G198" i="3"/>
  <c r="J198" i="3" s="1"/>
  <c r="AA229" i="3"/>
  <c r="AD229" i="3" s="1"/>
  <c r="AV188" i="3"/>
  <c r="AV180" i="3"/>
  <c r="AV176" i="3"/>
  <c r="AV311" i="3"/>
  <c r="AV245" i="3"/>
  <c r="AK275" i="3"/>
  <c r="AN275" i="3" s="1"/>
  <c r="S342" i="3"/>
  <c r="Q394" i="3"/>
  <c r="T394" i="3" s="1"/>
  <c r="S394" i="3"/>
  <c r="S341" i="3"/>
  <c r="Q393" i="3"/>
  <c r="T393" i="3" s="1"/>
  <c r="S393" i="3"/>
  <c r="AM341" i="3"/>
  <c r="AK393" i="3"/>
  <c r="AN393" i="3" s="1"/>
  <c r="AM393" i="3"/>
  <c r="AK391" i="3"/>
  <c r="AN391" i="3" s="1"/>
  <c r="AM391" i="3"/>
  <c r="AK390" i="3"/>
  <c r="AN390" i="3" s="1"/>
  <c r="AM390" i="3"/>
  <c r="AC341" i="3"/>
  <c r="AA393" i="3"/>
  <c r="AD393" i="3" s="1"/>
  <c r="AC393" i="3"/>
  <c r="G393" i="3"/>
  <c r="J393" i="3" s="1"/>
  <c r="I393" i="3"/>
  <c r="AA391" i="3"/>
  <c r="AD391" i="3" s="1"/>
  <c r="AC391" i="3"/>
  <c r="G391" i="3"/>
  <c r="J391" i="3" s="1"/>
  <c r="I391" i="3"/>
  <c r="AA386" i="3"/>
  <c r="AD386" i="3" s="1"/>
  <c r="AC386" i="3"/>
  <c r="AK385" i="3"/>
  <c r="AN385" i="3" s="1"/>
  <c r="AM385" i="3"/>
  <c r="AA385" i="3"/>
  <c r="AD385" i="3" s="1"/>
  <c r="AC385" i="3"/>
  <c r="AK384" i="3"/>
  <c r="AN384" i="3" s="1"/>
  <c r="AM384" i="3"/>
  <c r="AA384" i="3"/>
  <c r="AD384" i="3" s="1"/>
  <c r="AC384" i="3"/>
  <c r="AK386" i="3"/>
  <c r="AN386" i="3" s="1"/>
  <c r="AM386" i="3"/>
  <c r="G386" i="3"/>
  <c r="J386" i="3" s="1"/>
  <c r="I386" i="3"/>
  <c r="Q385" i="3"/>
  <c r="T385" i="3" s="1"/>
  <c r="S385" i="3"/>
  <c r="G385" i="3"/>
  <c r="J385" i="3" s="1"/>
  <c r="I385" i="3"/>
  <c r="Q384" i="3"/>
  <c r="T384" i="3" s="1"/>
  <c r="S384" i="3"/>
  <c r="G384" i="3"/>
  <c r="J384" i="3" s="1"/>
  <c r="I384" i="3"/>
  <c r="BD191" i="3"/>
  <c r="AV191" i="3"/>
  <c r="I235" i="3"/>
  <c r="I183" i="3"/>
  <c r="I233" i="3"/>
  <c r="I181" i="3"/>
  <c r="BD126" i="3"/>
  <c r="AV178" i="3"/>
  <c r="I231" i="3"/>
  <c r="I179" i="3"/>
  <c r="I229" i="3"/>
  <c r="I177" i="3"/>
  <c r="I227" i="3"/>
  <c r="I175" i="3"/>
  <c r="BD120" i="3"/>
  <c r="AV172" i="3"/>
  <c r="I212" i="3"/>
  <c r="G316" i="3"/>
  <c r="J316" i="3" s="1"/>
  <c r="AC205" i="3"/>
  <c r="AA309" i="3"/>
  <c r="AD309" i="3" s="1"/>
  <c r="BD15" i="3"/>
  <c r="AT17" i="3"/>
  <c r="AT18" i="3"/>
  <c r="BD19" i="3"/>
  <c r="AT22" i="3"/>
  <c r="AT21" i="3"/>
  <c r="BD23" i="3"/>
  <c r="AT26" i="3"/>
  <c r="I310" i="3"/>
  <c r="BD190" i="3"/>
  <c r="AV190" i="3"/>
  <c r="BD132" i="3"/>
  <c r="AV184" i="3"/>
  <c r="BD183" i="3"/>
  <c r="AV183" i="3"/>
  <c r="AV235" i="3"/>
  <c r="AT148" i="3"/>
  <c r="AK206" i="3"/>
  <c r="AN206" i="3" s="1"/>
  <c r="AA187" i="3"/>
  <c r="AD187" i="3" s="1"/>
  <c r="Q245" i="3"/>
  <c r="T245" i="3" s="1"/>
  <c r="AA239" i="3"/>
  <c r="AD239" i="3" s="1"/>
  <c r="G238" i="3"/>
  <c r="J238" i="3" s="1"/>
  <c r="AA233" i="3"/>
  <c r="AD233" i="3" s="1"/>
  <c r="AV242" i="3"/>
  <c r="AV244" i="3"/>
  <c r="AA235" i="3"/>
  <c r="AD235" i="3" s="1"/>
  <c r="AV174" i="3"/>
  <c r="BD371" i="3"/>
  <c r="AV371" i="3"/>
  <c r="AT374" i="3"/>
  <c r="AU530" i="3" s="1"/>
  <c r="AX530" i="3" s="1"/>
  <c r="AC375" i="3"/>
  <c r="S372" i="3"/>
  <c r="BD220" i="3"/>
  <c r="BI220" i="3" s="1"/>
  <c r="AT223" i="3"/>
  <c r="AT222" i="3"/>
  <c r="AV220" i="3"/>
  <c r="BD228" i="3"/>
  <c r="AT231" i="3"/>
  <c r="AT230" i="3"/>
  <c r="AV228" i="3"/>
  <c r="BD236" i="3"/>
  <c r="AT238" i="3"/>
  <c r="AT239" i="3"/>
  <c r="AV236" i="3"/>
  <c r="G296" i="3"/>
  <c r="J296" i="3" s="1"/>
  <c r="I192" i="3"/>
  <c r="AT188" i="3"/>
  <c r="BD185" i="3"/>
  <c r="AV237" i="3"/>
  <c r="AV185" i="3"/>
  <c r="AK291" i="3"/>
  <c r="AN291" i="3" s="1"/>
  <c r="AM187" i="3"/>
  <c r="AK383" i="3"/>
  <c r="AN383" i="3" s="1"/>
  <c r="AM383" i="3"/>
  <c r="AA383" i="3"/>
  <c r="AD383" i="3" s="1"/>
  <c r="AC383" i="3"/>
  <c r="AK382" i="3"/>
  <c r="AN382" i="3" s="1"/>
  <c r="AM382" i="3"/>
  <c r="AA382" i="3"/>
  <c r="AD382" i="3" s="1"/>
  <c r="AC382" i="3"/>
  <c r="AK381" i="3"/>
  <c r="AN381" i="3" s="1"/>
  <c r="AM381" i="3"/>
  <c r="AA381" i="3"/>
  <c r="AD381" i="3" s="1"/>
  <c r="AC381" i="3"/>
  <c r="AK380" i="3"/>
  <c r="AN380" i="3" s="1"/>
  <c r="AM380" i="3"/>
  <c r="AA380" i="3"/>
  <c r="AD380" i="3" s="1"/>
  <c r="AC380" i="3"/>
  <c r="BD373" i="3"/>
  <c r="AV373" i="3"/>
  <c r="AT376" i="3"/>
  <c r="AU532" i="3" s="1"/>
  <c r="AX532" i="3" s="1"/>
  <c r="BD297" i="3"/>
  <c r="AV297" i="3"/>
  <c r="AT300" i="3"/>
  <c r="Q297" i="3"/>
  <c r="T297" i="3" s="1"/>
  <c r="S245" i="3"/>
  <c r="BD226" i="3"/>
  <c r="AT229" i="3"/>
  <c r="AV226" i="3"/>
  <c r="AT228" i="3"/>
  <c r="BD234" i="3"/>
  <c r="AT237" i="3"/>
  <c r="AV234" i="3"/>
  <c r="AA297" i="3"/>
  <c r="AD297" i="3" s="1"/>
  <c r="AC193" i="3"/>
  <c r="AT192" i="3"/>
  <c r="BD189" i="3"/>
  <c r="AV241" i="3"/>
  <c r="AV189" i="3"/>
  <c r="AT140" i="3"/>
  <c r="BD137" i="3"/>
  <c r="G294" i="3"/>
  <c r="J294" i="3" s="1"/>
  <c r="I190" i="3"/>
  <c r="AT190" i="3"/>
  <c r="BD187" i="3"/>
  <c r="AV239" i="3"/>
  <c r="AV187" i="3"/>
  <c r="AK293" i="3"/>
  <c r="AN293" i="3" s="1"/>
  <c r="AK241" i="3"/>
  <c r="AN241" i="3" s="1"/>
  <c r="AM189" i="3"/>
  <c r="AC241" i="3"/>
  <c r="AC189" i="3"/>
  <c r="G288" i="3"/>
  <c r="J288" i="3" s="1"/>
  <c r="I184" i="3"/>
  <c r="AT184" i="3"/>
  <c r="BD181" i="3"/>
  <c r="AV233" i="3"/>
  <c r="AV181" i="3"/>
  <c r="AT132" i="3"/>
  <c r="BD129" i="3"/>
  <c r="BD376" i="3"/>
  <c r="BI376" i="3" s="1"/>
  <c r="AT379" i="3"/>
  <c r="AU535" i="3" s="1"/>
  <c r="AX535" i="3" s="1"/>
  <c r="AV376" i="3"/>
  <c r="BD375" i="3"/>
  <c r="AT378" i="3"/>
  <c r="AU534" i="3" s="1"/>
  <c r="AX534" i="3" s="1"/>
  <c r="AV375" i="3"/>
  <c r="Q383" i="3"/>
  <c r="T383" i="3" s="1"/>
  <c r="S383" i="3"/>
  <c r="G383" i="3"/>
  <c r="J383" i="3" s="1"/>
  <c r="I383" i="3"/>
  <c r="Q382" i="3"/>
  <c r="T382" i="3" s="1"/>
  <c r="S382" i="3"/>
  <c r="G382" i="3"/>
  <c r="J382" i="3" s="1"/>
  <c r="I382" i="3"/>
  <c r="Q381" i="3"/>
  <c r="T381" i="3" s="1"/>
  <c r="S381" i="3"/>
  <c r="G381" i="3"/>
  <c r="J381" i="3" s="1"/>
  <c r="I381" i="3"/>
  <c r="Q380" i="3"/>
  <c r="T380" i="3" s="1"/>
  <c r="S380" i="3"/>
  <c r="G380" i="3"/>
  <c r="J380" i="3" s="1"/>
  <c r="I380" i="3"/>
  <c r="AA286" i="3"/>
  <c r="AD286" i="3" s="1"/>
  <c r="AC182" i="3"/>
  <c r="AA284" i="3"/>
  <c r="AD284" i="3" s="1"/>
  <c r="AC180" i="3"/>
  <c r="AA282" i="3"/>
  <c r="AD282" i="3" s="1"/>
  <c r="AC178" i="3"/>
  <c r="AA280" i="3"/>
  <c r="AD280" i="3" s="1"/>
  <c r="AC176" i="3"/>
  <c r="AA226" i="3"/>
  <c r="AD226" i="3" s="1"/>
  <c r="AC174" i="3"/>
  <c r="AK277" i="3"/>
  <c r="AN277" i="3" s="1"/>
  <c r="AM225" i="3"/>
  <c r="AM173" i="3"/>
  <c r="AT171" i="3"/>
  <c r="BD168" i="3"/>
  <c r="AC220" i="3"/>
  <c r="AA324" i="3"/>
  <c r="AD324" i="3" s="1"/>
  <c r="AC168" i="3"/>
  <c r="AV256" i="3"/>
  <c r="AV308" i="3"/>
  <c r="AM312" i="3"/>
  <c r="AK312" i="3"/>
  <c r="AN312" i="3" s="1"/>
  <c r="AM317" i="3"/>
  <c r="AK317" i="3"/>
  <c r="AN317" i="3" s="1"/>
  <c r="AK322" i="3"/>
  <c r="AN322" i="3" s="1"/>
  <c r="AM322" i="3"/>
  <c r="AC317" i="3"/>
  <c r="AA317" i="3"/>
  <c r="AD317" i="3" s="1"/>
  <c r="AA321" i="3"/>
  <c r="AD321" i="3" s="1"/>
  <c r="AC321" i="3"/>
  <c r="I314" i="3"/>
  <c r="G314" i="3"/>
  <c r="J314" i="3" s="1"/>
  <c r="G320" i="3"/>
  <c r="J320" i="3" s="1"/>
  <c r="I320" i="3"/>
  <c r="AM214" i="3"/>
  <c r="AK318" i="3"/>
  <c r="AN318" i="3" s="1"/>
  <c r="AT111" i="3"/>
  <c r="BD108" i="3"/>
  <c r="G213" i="3"/>
  <c r="J213" i="3" s="1"/>
  <c r="I213" i="3"/>
  <c r="AT130" i="3"/>
  <c r="BD127" i="3"/>
  <c r="AT180" i="3"/>
  <c r="BD177" i="3"/>
  <c r="AV229" i="3"/>
  <c r="AV177" i="3"/>
  <c r="AK283" i="3"/>
  <c r="AN283" i="3" s="1"/>
  <c r="AM179" i="3"/>
  <c r="AT126" i="3"/>
  <c r="BD123" i="3"/>
  <c r="AT176" i="3"/>
  <c r="BD173" i="3"/>
  <c r="AV225" i="3"/>
  <c r="AV173" i="3"/>
  <c r="AK279" i="3"/>
  <c r="AN279" i="3" s="1"/>
  <c r="AM175" i="3"/>
  <c r="AT122" i="3"/>
  <c r="BD119" i="3"/>
  <c r="AT247" i="3"/>
  <c r="AT249" i="3"/>
  <c r="AT248" i="3"/>
  <c r="AT246" i="3"/>
  <c r="AV254" i="3"/>
  <c r="AV306" i="3"/>
  <c r="AT207" i="3"/>
  <c r="AV206" i="3"/>
  <c r="AT157" i="3"/>
  <c r="BD154" i="3"/>
  <c r="AT104" i="3"/>
  <c r="BD101" i="3"/>
  <c r="BD130" i="3"/>
  <c r="AV182" i="3"/>
  <c r="AT34" i="3"/>
  <c r="BD31" i="3"/>
  <c r="AV272" i="3"/>
  <c r="AT187" i="3"/>
  <c r="AT371" i="3"/>
  <c r="AT139" i="3"/>
  <c r="AK239" i="3"/>
  <c r="AN239" i="3" s="1"/>
  <c r="AA234" i="3"/>
  <c r="AD234" i="3" s="1"/>
  <c r="AT42" i="3"/>
  <c r="AT236" i="3"/>
  <c r="AT373" i="3"/>
  <c r="G372" i="3"/>
  <c r="J372" i="3" s="1"/>
  <c r="AT183" i="3"/>
  <c r="AK286" i="3"/>
  <c r="AN286" i="3" s="1"/>
  <c r="AT179" i="3"/>
  <c r="AT175" i="3"/>
  <c r="AK278" i="3"/>
  <c r="AN278" i="3" s="1"/>
  <c r="AT120" i="3"/>
  <c r="G268" i="3"/>
  <c r="J268" i="3" s="1"/>
  <c r="AT201" i="3"/>
  <c r="AK229" i="3"/>
  <c r="AN229" i="3" s="1"/>
  <c r="AT129" i="3"/>
  <c r="AT125" i="3"/>
  <c r="AT108" i="3"/>
  <c r="AA184" i="3"/>
  <c r="AD184" i="3" s="1"/>
  <c r="AA180" i="3"/>
  <c r="AD180" i="3" s="1"/>
  <c r="G179" i="3"/>
  <c r="J179" i="3" s="1"/>
  <c r="AV305" i="3"/>
  <c r="AT206" i="3"/>
  <c r="AA278" i="3"/>
  <c r="AD278" i="3" s="1"/>
  <c r="AK274" i="3"/>
  <c r="AN274" i="3" s="1"/>
  <c r="AA232" i="3"/>
  <c r="AD232" i="3" s="1"/>
  <c r="G184" i="3"/>
  <c r="J184" i="3" s="1"/>
  <c r="AA179" i="3"/>
  <c r="AD179" i="3" s="1"/>
  <c r="AT212" i="3"/>
  <c r="BD374" i="3"/>
  <c r="AT377" i="3"/>
  <c r="AU533" i="3" s="1"/>
  <c r="AX533" i="3" s="1"/>
  <c r="AV374" i="3"/>
  <c r="I374" i="3"/>
  <c r="BD372" i="3"/>
  <c r="AT375" i="3"/>
  <c r="AU531" i="3" s="1"/>
  <c r="AX531" i="3" s="1"/>
  <c r="AV372" i="3"/>
  <c r="AV323" i="3"/>
  <c r="BD323" i="3"/>
  <c r="BI323" i="3" s="1"/>
  <c r="BD294" i="3"/>
  <c r="AV294" i="3"/>
  <c r="BD224" i="3"/>
  <c r="AT227" i="3"/>
  <c r="AV224" i="3"/>
  <c r="AT226" i="3"/>
  <c r="BD232" i="3"/>
  <c r="AT235" i="3"/>
  <c r="AV232" i="3"/>
  <c r="AT234" i="3"/>
  <c r="AV271" i="3"/>
  <c r="BD271" i="3"/>
  <c r="BI271" i="3" s="1"/>
  <c r="BI272" i="3" s="1"/>
  <c r="AA296" i="3"/>
  <c r="AD296" i="3" s="1"/>
  <c r="AC192" i="3"/>
  <c r="AT136" i="3"/>
  <c r="BD133" i="3"/>
  <c r="AC378" i="3"/>
  <c r="I373" i="3"/>
  <c r="BD222" i="3"/>
  <c r="AT225" i="3"/>
  <c r="AT224" i="3"/>
  <c r="AV222" i="3"/>
  <c r="BD230" i="3"/>
  <c r="AT233" i="3"/>
  <c r="AT232" i="3"/>
  <c r="AV230" i="3"/>
  <c r="BD238" i="3"/>
  <c r="AV238" i="3"/>
  <c r="BD277" i="3"/>
  <c r="AV277" i="3"/>
  <c r="AM244" i="3"/>
  <c r="AM192" i="3"/>
  <c r="AA295" i="3"/>
  <c r="AD295" i="3" s="1"/>
  <c r="AC191" i="3"/>
  <c r="AT138" i="3"/>
  <c r="BD135" i="3"/>
  <c r="I241" i="3"/>
  <c r="I189" i="3"/>
  <c r="S238" i="3"/>
  <c r="S186" i="3"/>
  <c r="AA288" i="3"/>
  <c r="AD288" i="3" s="1"/>
  <c r="AC184" i="3"/>
  <c r="AM236" i="3"/>
  <c r="AM184" i="3"/>
  <c r="AK287" i="3"/>
  <c r="AN287" i="3" s="1"/>
  <c r="AM183" i="3"/>
  <c r="AM379" i="3"/>
  <c r="S378" i="3"/>
  <c r="S377" i="3"/>
  <c r="I377" i="3"/>
  <c r="G286" i="3"/>
  <c r="J286" i="3" s="1"/>
  <c r="I182" i="3"/>
  <c r="G284" i="3"/>
  <c r="J284" i="3" s="1"/>
  <c r="I180" i="3"/>
  <c r="G282" i="3"/>
  <c r="J282" i="3" s="1"/>
  <c r="I178" i="3"/>
  <c r="AK178" i="3"/>
  <c r="AN178" i="3" s="1"/>
  <c r="AM178" i="3"/>
  <c r="G280" i="3"/>
  <c r="J280" i="3" s="1"/>
  <c r="I176" i="3"/>
  <c r="G278" i="3"/>
  <c r="J278" i="3" s="1"/>
  <c r="I174" i="3"/>
  <c r="AK174" i="3"/>
  <c r="AN174" i="3" s="1"/>
  <c r="AM174" i="3"/>
  <c r="AC222" i="3"/>
  <c r="AC170" i="3"/>
  <c r="AA272" i="3"/>
  <c r="AD272" i="3" s="1"/>
  <c r="AA168" i="3"/>
  <c r="AD168" i="3" s="1"/>
  <c r="AV255" i="3"/>
  <c r="AV307" i="3"/>
  <c r="AV258" i="3"/>
  <c r="AV310" i="3"/>
  <c r="AK320" i="3"/>
  <c r="AN320" i="3" s="1"/>
  <c r="AM320" i="3"/>
  <c r="I317" i="3"/>
  <c r="G317" i="3"/>
  <c r="J317" i="3" s="1"/>
  <c r="AC213" i="3"/>
  <c r="AA213" i="3"/>
  <c r="AD213" i="3" s="1"/>
  <c r="BD200" i="3"/>
  <c r="AT203" i="3"/>
  <c r="AT182" i="3"/>
  <c r="BD179" i="3"/>
  <c r="AV231" i="3"/>
  <c r="AV179" i="3"/>
  <c r="AK285" i="3"/>
  <c r="AN285" i="3" s="1"/>
  <c r="AM181" i="3"/>
  <c r="AT128" i="3"/>
  <c r="BD125" i="3"/>
  <c r="AT178" i="3"/>
  <c r="BD175" i="3"/>
  <c r="AV227" i="3"/>
  <c r="AV175" i="3"/>
  <c r="AK281" i="3"/>
  <c r="AN281" i="3" s="1"/>
  <c r="AK177" i="3"/>
  <c r="AN177" i="3" s="1"/>
  <c r="AM177" i="3"/>
  <c r="AT124" i="3"/>
  <c r="BD121" i="3"/>
  <c r="AT174" i="3"/>
  <c r="BD171" i="3"/>
  <c r="AV223" i="3"/>
  <c r="AV171" i="3"/>
  <c r="AA323" i="3"/>
  <c r="AD323" i="3" s="1"/>
  <c r="AC167" i="3"/>
  <c r="AT197" i="3"/>
  <c r="AT196" i="3"/>
  <c r="AT194" i="3"/>
  <c r="AT195" i="3"/>
  <c r="AV194" i="3"/>
  <c r="BD202" i="3"/>
  <c r="AT205" i="3"/>
  <c r="AT204" i="3"/>
  <c r="AT105" i="3"/>
  <c r="BD102" i="3"/>
  <c r="AT156" i="3"/>
  <c r="BD153" i="3"/>
  <c r="AV205" i="3"/>
  <c r="Q304" i="3"/>
  <c r="T304" i="3" s="1"/>
  <c r="AK297" i="3"/>
  <c r="AN297" i="3" s="1"/>
  <c r="AK296" i="3"/>
  <c r="AN296" i="3" s="1"/>
  <c r="AT189" i="3"/>
  <c r="G289" i="3"/>
  <c r="J289" i="3" s="1"/>
  <c r="AV215" i="3"/>
  <c r="AT113" i="3"/>
  <c r="G246" i="3"/>
  <c r="J246" i="3" s="1"/>
  <c r="AA245" i="3"/>
  <c r="AD245" i="3" s="1"/>
  <c r="G236" i="3"/>
  <c r="J236" i="3" s="1"/>
  <c r="AK230" i="3"/>
  <c r="AN230" i="3" s="1"/>
  <c r="AA220" i="3"/>
  <c r="AD220" i="3" s="1"/>
  <c r="G199" i="3"/>
  <c r="J199" i="3" s="1"/>
  <c r="Q372" i="3"/>
  <c r="T372" i="3" s="1"/>
  <c r="AT185" i="3"/>
  <c r="AT181" i="3"/>
  <c r="AK284" i="3"/>
  <c r="AN284" i="3" s="1"/>
  <c r="AT177" i="3"/>
  <c r="AK280" i="3"/>
  <c r="AN280" i="3" s="1"/>
  <c r="AT173" i="3"/>
  <c r="AT251" i="3"/>
  <c r="AV213" i="3"/>
  <c r="AK244" i="3"/>
  <c r="AN244" i="3" s="1"/>
  <c r="AK225" i="3"/>
  <c r="AN225" i="3" s="1"/>
  <c r="AA199" i="3"/>
  <c r="AD199" i="3" s="1"/>
  <c r="G194" i="3"/>
  <c r="J194" i="3" s="1"/>
  <c r="AT131" i="3"/>
  <c r="AT127" i="3"/>
  <c r="AT123" i="3"/>
  <c r="AT159" i="3"/>
  <c r="AK188" i="3"/>
  <c r="AN188" i="3" s="1"/>
  <c r="AA182" i="3"/>
  <c r="AD182" i="3" s="1"/>
  <c r="G181" i="3"/>
  <c r="J181" i="3" s="1"/>
  <c r="AV298" i="3"/>
  <c r="AT172" i="3"/>
  <c r="AT121" i="3"/>
  <c r="G234" i="3"/>
  <c r="J234" i="3" s="1"/>
  <c r="AK189" i="3"/>
  <c r="AN189" i="3" s="1"/>
  <c r="AK187" i="3"/>
  <c r="AN187" i="3" s="1"/>
  <c r="G182" i="3"/>
  <c r="J182" i="3" s="1"/>
  <c r="AA174" i="3"/>
  <c r="AD174" i="3" s="1"/>
  <c r="AT202" i="3"/>
  <c r="AT158" i="3"/>
  <c r="AV309" i="3"/>
  <c r="AV303" i="3"/>
  <c r="BD362" i="3"/>
  <c r="AT365" i="3"/>
  <c r="AV362" i="3"/>
  <c r="BD361" i="3"/>
  <c r="AV361" i="3"/>
  <c r="BD359" i="3"/>
  <c r="AT362" i="3"/>
  <c r="AV359" i="3"/>
  <c r="AC370" i="3"/>
  <c r="S370" i="3"/>
  <c r="I370" i="3"/>
  <c r="I369" i="3"/>
  <c r="BD356" i="3"/>
  <c r="AV356" i="3"/>
  <c r="AT359" i="3"/>
  <c r="AC354" i="3"/>
  <c r="I353" i="3"/>
  <c r="BD352" i="3"/>
  <c r="AT355" i="3"/>
  <c r="AV352" i="3"/>
  <c r="BD351" i="3"/>
  <c r="AT354" i="3"/>
  <c r="AV351" i="3"/>
  <c r="I345" i="3"/>
  <c r="I343" i="3"/>
  <c r="BD341" i="3"/>
  <c r="AT344" i="3"/>
  <c r="AV341" i="3"/>
  <c r="S358" i="3"/>
  <c r="AC355" i="3"/>
  <c r="I349" i="3"/>
  <c r="BD344" i="3"/>
  <c r="AT347" i="3"/>
  <c r="AV344" i="3"/>
  <c r="S343" i="3"/>
  <c r="BD342" i="3"/>
  <c r="AT345" i="3"/>
  <c r="AV342" i="3"/>
  <c r="AC359" i="3"/>
  <c r="BD355" i="3"/>
  <c r="AT358" i="3"/>
  <c r="AV355" i="3"/>
  <c r="AC358" i="3"/>
  <c r="AT338" i="3"/>
  <c r="AU494" i="3" s="1"/>
  <c r="AX494" i="3" s="1"/>
  <c r="AV335" i="3"/>
  <c r="BD335" i="3"/>
  <c r="AT336" i="3"/>
  <c r="AU492" i="3" s="1"/>
  <c r="AX492" i="3" s="1"/>
  <c r="AV333" i="3"/>
  <c r="BD333" i="3"/>
  <c r="AM339" i="3"/>
  <c r="AV330" i="3"/>
  <c r="BD330" i="3"/>
  <c r="AT333" i="3"/>
  <c r="AU489" i="3" s="1"/>
  <c r="AX489" i="3" s="1"/>
  <c r="AV328" i="3"/>
  <c r="BD328" i="3"/>
  <c r="AT331" i="3"/>
  <c r="AU487" i="3" s="1"/>
  <c r="AX487" i="3" s="1"/>
  <c r="AT329" i="3"/>
  <c r="AU485" i="3" s="1"/>
  <c r="AX485" i="3" s="1"/>
  <c r="AV326" i="3"/>
  <c r="BD326" i="3"/>
  <c r="AT325" i="3"/>
  <c r="AV322" i="3"/>
  <c r="AT323" i="3"/>
  <c r="BD322" i="3"/>
  <c r="Q361" i="3"/>
  <c r="T361" i="3" s="1"/>
  <c r="S309" i="3"/>
  <c r="AA358" i="3"/>
  <c r="AD358" i="3" s="1"/>
  <c r="AC306" i="3"/>
  <c r="Q352" i="3"/>
  <c r="T352" i="3" s="1"/>
  <c r="S300" i="3"/>
  <c r="AK352" i="3"/>
  <c r="AN352" i="3" s="1"/>
  <c r="AM300" i="3"/>
  <c r="Q349" i="3"/>
  <c r="T349" i="3" s="1"/>
  <c r="S297" i="3"/>
  <c r="AV339" i="3"/>
  <c r="BD339" i="3"/>
  <c r="AT342" i="3"/>
  <c r="AU498" i="3" s="1"/>
  <c r="AX498" i="3" s="1"/>
  <c r="I341" i="3"/>
  <c r="AT340" i="3"/>
  <c r="AU496" i="3" s="1"/>
  <c r="AX496" i="3" s="1"/>
  <c r="AV337" i="3"/>
  <c r="BD337" i="3"/>
  <c r="AC339" i="3"/>
  <c r="I339" i="3"/>
  <c r="BD286" i="3"/>
  <c r="AT289" i="3"/>
  <c r="AV286" i="3"/>
  <c r="BD284" i="3"/>
  <c r="AT287" i="3"/>
  <c r="AV284" i="3"/>
  <c r="AV276" i="3"/>
  <c r="BD276" i="3"/>
  <c r="AT279" i="3"/>
  <c r="BD274" i="3"/>
  <c r="AT277" i="3"/>
  <c r="AV274" i="3"/>
  <c r="Q296" i="3"/>
  <c r="T296" i="3" s="1"/>
  <c r="Q244" i="3"/>
  <c r="T244" i="3" s="1"/>
  <c r="Q192" i="3"/>
  <c r="T192" i="3" s="1"/>
  <c r="S192" i="3"/>
  <c r="AK243" i="3"/>
  <c r="AN243" i="3" s="1"/>
  <c r="AM243" i="3"/>
  <c r="AM191" i="3"/>
  <c r="Q241" i="3"/>
  <c r="T241" i="3" s="1"/>
  <c r="S241" i="3"/>
  <c r="S189" i="3"/>
  <c r="Q239" i="3"/>
  <c r="T239" i="3" s="1"/>
  <c r="S239" i="3"/>
  <c r="S187" i="3"/>
  <c r="Q288" i="3"/>
  <c r="T288" i="3" s="1"/>
  <c r="Q236" i="3"/>
  <c r="T236" i="3" s="1"/>
  <c r="Q184" i="3"/>
  <c r="T184" i="3" s="1"/>
  <c r="S184" i="3"/>
  <c r="Q286" i="3"/>
  <c r="T286" i="3" s="1"/>
  <c r="Q234" i="3"/>
  <c r="T234" i="3" s="1"/>
  <c r="Q182" i="3"/>
  <c r="T182" i="3" s="1"/>
  <c r="S182" i="3"/>
  <c r="Q284" i="3"/>
  <c r="T284" i="3" s="1"/>
  <c r="Q232" i="3"/>
  <c r="T232" i="3" s="1"/>
  <c r="Q180" i="3"/>
  <c r="T180" i="3" s="1"/>
  <c r="S180" i="3"/>
  <c r="Q282" i="3"/>
  <c r="T282" i="3" s="1"/>
  <c r="Q230" i="3"/>
  <c r="T230" i="3" s="1"/>
  <c r="Q178" i="3"/>
  <c r="T178" i="3" s="1"/>
  <c r="S178" i="3"/>
  <c r="Q280" i="3"/>
  <c r="T280" i="3" s="1"/>
  <c r="Q228" i="3"/>
  <c r="T228" i="3" s="1"/>
  <c r="Q176" i="3"/>
  <c r="T176" i="3" s="1"/>
  <c r="S176" i="3"/>
  <c r="Q278" i="3"/>
  <c r="T278" i="3" s="1"/>
  <c r="Q226" i="3"/>
  <c r="T226" i="3" s="1"/>
  <c r="Q174" i="3"/>
  <c r="T174" i="3" s="1"/>
  <c r="S174" i="3"/>
  <c r="AK224" i="3"/>
  <c r="AN224" i="3" s="1"/>
  <c r="AM224" i="3"/>
  <c r="AM172" i="3"/>
  <c r="AT221" i="3"/>
  <c r="AV218" i="3"/>
  <c r="BD218" i="3"/>
  <c r="AK169" i="3"/>
  <c r="AN169" i="3" s="1"/>
  <c r="AM169" i="3"/>
  <c r="AK221" i="3"/>
  <c r="AN221" i="3" s="1"/>
  <c r="Q221" i="3"/>
  <c r="T221" i="3" s="1"/>
  <c r="S169" i="3"/>
  <c r="S221" i="3"/>
  <c r="Q220" i="3"/>
  <c r="T220" i="3" s="1"/>
  <c r="S220" i="3"/>
  <c r="S168" i="3"/>
  <c r="Q324" i="3"/>
  <c r="T324" i="3" s="1"/>
  <c r="S271" i="3"/>
  <c r="S323" i="3"/>
  <c r="Q323" i="3"/>
  <c r="T323" i="3" s="1"/>
  <c r="I271" i="3"/>
  <c r="G323" i="3"/>
  <c r="J323" i="3" s="1"/>
  <c r="I323" i="3"/>
  <c r="AC270" i="3"/>
  <c r="AC322" i="3"/>
  <c r="AA322" i="3"/>
  <c r="AD322" i="3" s="1"/>
  <c r="S218" i="3"/>
  <c r="Q322" i="3"/>
  <c r="T322" i="3" s="1"/>
  <c r="Q218" i="3"/>
  <c r="T218" i="3" s="1"/>
  <c r="AM269" i="3"/>
  <c r="AK321" i="3"/>
  <c r="AN321" i="3" s="1"/>
  <c r="AM321" i="3"/>
  <c r="Q269" i="3"/>
  <c r="T269" i="3" s="1"/>
  <c r="S269" i="3"/>
  <c r="S217" i="3"/>
  <c r="Q321" i="3"/>
  <c r="T321" i="3" s="1"/>
  <c r="AC268" i="3"/>
  <c r="AC320" i="3"/>
  <c r="AA320" i="3"/>
  <c r="AD320" i="3" s="1"/>
  <c r="Q216" i="3"/>
  <c r="T216" i="3" s="1"/>
  <c r="S216" i="3"/>
  <c r="Q320" i="3"/>
  <c r="T320" i="3" s="1"/>
  <c r="AA215" i="3"/>
  <c r="AD215" i="3" s="1"/>
  <c r="AC215" i="3"/>
  <c r="AA319" i="3"/>
  <c r="AD319" i="3" s="1"/>
  <c r="S215" i="3"/>
  <c r="Q215" i="3"/>
  <c r="T215" i="3" s="1"/>
  <c r="G215" i="3"/>
  <c r="J215" i="3" s="1"/>
  <c r="I215" i="3"/>
  <c r="Q266" i="3"/>
  <c r="T266" i="3" s="1"/>
  <c r="S266" i="3"/>
  <c r="S214" i="3"/>
  <c r="Q318" i="3"/>
  <c r="T318" i="3" s="1"/>
  <c r="Q264" i="3"/>
  <c r="T264" i="3" s="1"/>
  <c r="S264" i="3"/>
  <c r="S212" i="3"/>
  <c r="Q316" i="3"/>
  <c r="T316" i="3" s="1"/>
  <c r="G263" i="3"/>
  <c r="J263" i="3" s="1"/>
  <c r="I263" i="3"/>
  <c r="I211" i="3"/>
  <c r="G315" i="3"/>
  <c r="J315" i="3" s="1"/>
  <c r="AM210" i="3"/>
  <c r="AK210" i="3"/>
  <c r="AN210" i="3" s="1"/>
  <c r="AK314" i="3"/>
  <c r="AN314" i="3" s="1"/>
  <c r="AM261" i="3"/>
  <c r="AM313" i="3"/>
  <c r="AK313" i="3"/>
  <c r="AN313" i="3" s="1"/>
  <c r="Q209" i="3"/>
  <c r="T209" i="3" s="1"/>
  <c r="S209" i="3"/>
  <c r="Q313" i="3"/>
  <c r="T313" i="3" s="1"/>
  <c r="AC260" i="3"/>
  <c r="AC312" i="3"/>
  <c r="AA312" i="3"/>
  <c r="AD312" i="3" s="1"/>
  <c r="Q208" i="3"/>
  <c r="T208" i="3" s="1"/>
  <c r="S208" i="3"/>
  <c r="Q312" i="3"/>
  <c r="T312" i="3" s="1"/>
  <c r="AT273" i="3"/>
  <c r="BD270" i="3"/>
  <c r="AV270" i="3"/>
  <c r="AA273" i="3"/>
  <c r="AD273" i="3" s="1"/>
  <c r="AA221" i="3"/>
  <c r="AD221" i="3" s="1"/>
  <c r="AA169" i="3"/>
  <c r="AD169" i="3" s="1"/>
  <c r="AC169" i="3"/>
  <c r="AA276" i="3"/>
  <c r="AD276" i="3" s="1"/>
  <c r="AA224" i="3"/>
  <c r="AD224" i="3" s="1"/>
  <c r="AA172" i="3"/>
  <c r="AD172" i="3" s="1"/>
  <c r="AC172" i="3"/>
  <c r="AT119" i="3"/>
  <c r="BD116" i="3"/>
  <c r="AV168" i="3"/>
  <c r="Q222" i="3"/>
  <c r="T222" i="3" s="1"/>
  <c r="Q170" i="3"/>
  <c r="T170" i="3" s="1"/>
  <c r="S170" i="3"/>
  <c r="BD99" i="3"/>
  <c r="AT102" i="3"/>
  <c r="BD97" i="3"/>
  <c r="AT100" i="3"/>
  <c r="BD95" i="3"/>
  <c r="AT98" i="3"/>
  <c r="AA244" i="3"/>
  <c r="AD244" i="3" s="1"/>
  <c r="AA192" i="3"/>
  <c r="AD192" i="3" s="1"/>
  <c r="AA185" i="3"/>
  <c r="AD185" i="3" s="1"/>
  <c r="AA237" i="3"/>
  <c r="AD237" i="3" s="1"/>
  <c r="AA238" i="3"/>
  <c r="AD238" i="3" s="1"/>
  <c r="AA186" i="3"/>
  <c r="AD186" i="3" s="1"/>
  <c r="AK237" i="3"/>
  <c r="AN237" i="3" s="1"/>
  <c r="AK185" i="3"/>
  <c r="AN185" i="3" s="1"/>
  <c r="AV204" i="3"/>
  <c r="AT155" i="3"/>
  <c r="BD152" i="3"/>
  <c r="AV202" i="3"/>
  <c r="AT153" i="3"/>
  <c r="BD150" i="3"/>
  <c r="AV200" i="3"/>
  <c r="AT151" i="3"/>
  <c r="BD148" i="3"/>
  <c r="AV198" i="3"/>
  <c r="AT149" i="3"/>
  <c r="BD146" i="3"/>
  <c r="AK201" i="3"/>
  <c r="AN201" i="3" s="1"/>
  <c r="AM201" i="3"/>
  <c r="AK305" i="3"/>
  <c r="AN305" i="3" s="1"/>
  <c r="AT95" i="3"/>
  <c r="BD92" i="3"/>
  <c r="G242" i="3"/>
  <c r="J242" i="3" s="1"/>
  <c r="G190" i="3"/>
  <c r="J190" i="3" s="1"/>
  <c r="AA241" i="3"/>
  <c r="AD241" i="3" s="1"/>
  <c r="AA189" i="3"/>
  <c r="AD189" i="3" s="1"/>
  <c r="AA243" i="3"/>
  <c r="AD243" i="3" s="1"/>
  <c r="AA191" i="3"/>
  <c r="AD191" i="3" s="1"/>
  <c r="BD83" i="3"/>
  <c r="AT86" i="3"/>
  <c r="AT85" i="3"/>
  <c r="BD82" i="3"/>
  <c r="Q223" i="3"/>
  <c r="T223" i="3" s="1"/>
  <c r="Q171" i="3"/>
  <c r="T171" i="3" s="1"/>
  <c r="AT63" i="3"/>
  <c r="BD60" i="3"/>
  <c r="AT154" i="3"/>
  <c r="BD151" i="3"/>
  <c r="AV203" i="3"/>
  <c r="AT152" i="3"/>
  <c r="BD149" i="3"/>
  <c r="AV201" i="3"/>
  <c r="AT150" i="3"/>
  <c r="BD147" i="3"/>
  <c r="AV199" i="3"/>
  <c r="AT97" i="3"/>
  <c r="BD94" i="3"/>
  <c r="Q197" i="3"/>
  <c r="T197" i="3" s="1"/>
  <c r="S197" i="3"/>
  <c r="AT147" i="3"/>
  <c r="AV196" i="3"/>
  <c r="BD144" i="3"/>
  <c r="AK197" i="3"/>
  <c r="AN197" i="3" s="1"/>
  <c r="AM197" i="3"/>
  <c r="Q238" i="3"/>
  <c r="T238" i="3" s="1"/>
  <c r="Q186" i="3"/>
  <c r="T186" i="3" s="1"/>
  <c r="AK232" i="3"/>
  <c r="AN232" i="3" s="1"/>
  <c r="AK180" i="3"/>
  <c r="AN180" i="3" s="1"/>
  <c r="G176" i="3"/>
  <c r="J176" i="3" s="1"/>
  <c r="G228" i="3"/>
  <c r="J228" i="3" s="1"/>
  <c r="AA228" i="3"/>
  <c r="AD228" i="3" s="1"/>
  <c r="AA176" i="3"/>
  <c r="AD176" i="3" s="1"/>
  <c r="AK227" i="3"/>
  <c r="AN227" i="3" s="1"/>
  <c r="AK175" i="3"/>
  <c r="AN175" i="3" s="1"/>
  <c r="G225" i="3"/>
  <c r="J225" i="3" s="1"/>
  <c r="G173" i="3"/>
  <c r="J173" i="3" s="1"/>
  <c r="AT59" i="3"/>
  <c r="BD56" i="3"/>
  <c r="AT54" i="3"/>
  <c r="BD51" i="3"/>
  <c r="AT353" i="3"/>
  <c r="AK342" i="3"/>
  <c r="AN342" i="3" s="1"/>
  <c r="Q339" i="3"/>
  <c r="T339" i="3" s="1"/>
  <c r="Q335" i="3"/>
  <c r="T335" i="3" s="1"/>
  <c r="Q331" i="3"/>
  <c r="T331" i="3" s="1"/>
  <c r="AT335" i="3"/>
  <c r="AK295" i="3"/>
  <c r="AN295" i="3" s="1"/>
  <c r="Q291" i="3"/>
  <c r="T291" i="3" s="1"/>
  <c r="Q293" i="3"/>
  <c r="T293" i="3" s="1"/>
  <c r="AK276" i="3"/>
  <c r="AN276" i="3" s="1"/>
  <c r="Q273" i="3"/>
  <c r="T273" i="3" s="1"/>
  <c r="AT115" i="3"/>
  <c r="AT219" i="3"/>
  <c r="AK253" i="3"/>
  <c r="AN253" i="3" s="1"/>
  <c r="AA225" i="3"/>
  <c r="AD225" i="3" s="1"/>
  <c r="AT116" i="3"/>
  <c r="Q268" i="3"/>
  <c r="T268" i="3" s="1"/>
  <c r="G267" i="3"/>
  <c r="J267" i="3" s="1"/>
  <c r="Q260" i="3"/>
  <c r="T260" i="3" s="1"/>
  <c r="AT96" i="3"/>
  <c r="AT146" i="3"/>
  <c r="AT62" i="3"/>
  <c r="AT220" i="3"/>
  <c r="AT270" i="3"/>
  <c r="S207" i="3"/>
  <c r="AT322" i="3"/>
  <c r="BD366" i="3"/>
  <c r="AT369" i="3"/>
  <c r="AV366" i="3"/>
  <c r="AT364" i="3"/>
  <c r="AT367" i="3"/>
  <c r="BD364" i="3"/>
  <c r="BD369" i="3"/>
  <c r="AV369" i="3"/>
  <c r="BD367" i="3"/>
  <c r="AV367" i="3"/>
  <c r="AT370" i="3"/>
  <c r="BD365" i="3"/>
  <c r="AV365" i="3"/>
  <c r="AT368" i="3"/>
  <c r="BD363" i="3"/>
  <c r="AT366" i="3"/>
  <c r="AV363" i="3"/>
  <c r="S362" i="3"/>
  <c r="I354" i="3"/>
  <c r="BD346" i="3"/>
  <c r="AV346" i="3"/>
  <c r="AT349" i="3"/>
  <c r="AU505" i="3" s="1"/>
  <c r="AX505" i="3" s="1"/>
  <c r="AT348" i="3"/>
  <c r="AU504" i="3" s="1"/>
  <c r="AX504" i="3" s="1"/>
  <c r="BD345" i="3"/>
  <c r="AV345" i="3"/>
  <c r="BD343" i="3"/>
  <c r="AT346" i="3"/>
  <c r="AV343" i="3"/>
  <c r="BD340" i="3"/>
  <c r="AT343" i="3"/>
  <c r="AV340" i="3"/>
  <c r="I355" i="3"/>
  <c r="BD354" i="3"/>
  <c r="AT357" i="3"/>
  <c r="AV354" i="3"/>
  <c r="S354" i="3"/>
  <c r="AM352" i="3"/>
  <c r="AC352" i="3"/>
  <c r="BD349" i="3"/>
  <c r="AT352" i="3"/>
  <c r="AV349" i="3"/>
  <c r="AC344" i="3"/>
  <c r="S344" i="3"/>
  <c r="AM358" i="3"/>
  <c r="AT337" i="3"/>
  <c r="AU493" i="3" s="1"/>
  <c r="AX493" i="3" s="1"/>
  <c r="AV334" i="3"/>
  <c r="BD334" i="3"/>
  <c r="AM340" i="3"/>
  <c r="AM338" i="3"/>
  <c r="S335" i="3"/>
  <c r="S334" i="3"/>
  <c r="AV329" i="3"/>
  <c r="BD329" i="3"/>
  <c r="AT332" i="3"/>
  <c r="AU488" i="3" s="1"/>
  <c r="AX488" i="3" s="1"/>
  <c r="AT330" i="3"/>
  <c r="AU486" i="3" s="1"/>
  <c r="AX486" i="3" s="1"/>
  <c r="AV327" i="3"/>
  <c r="BD327" i="3"/>
  <c r="AT328" i="3"/>
  <c r="AU484" i="3" s="1"/>
  <c r="AX484" i="3" s="1"/>
  <c r="AV325" i="3"/>
  <c r="BD325" i="3"/>
  <c r="AT327" i="3"/>
  <c r="BD324" i="3"/>
  <c r="AV324" i="3"/>
  <c r="AA368" i="3"/>
  <c r="AD368" i="3" s="1"/>
  <c r="AC316" i="3"/>
  <c r="AK358" i="3"/>
  <c r="AN358" i="3" s="1"/>
  <c r="AM306" i="3"/>
  <c r="AA357" i="3"/>
  <c r="AD357" i="3" s="1"/>
  <c r="AC305" i="3"/>
  <c r="G354" i="3"/>
  <c r="J354" i="3" s="1"/>
  <c r="I302" i="3"/>
  <c r="BD296" i="3"/>
  <c r="AV296" i="3"/>
  <c r="AT298" i="3"/>
  <c r="AT299" i="3"/>
  <c r="AA352" i="3"/>
  <c r="AD352" i="3" s="1"/>
  <c r="AC300" i="3"/>
  <c r="AA349" i="3"/>
  <c r="AD349" i="3" s="1"/>
  <c r="AC297" i="3"/>
  <c r="I342" i="3"/>
  <c r="AT341" i="3"/>
  <c r="AV338" i="3"/>
  <c r="BD338" i="3"/>
  <c r="AC340" i="3"/>
  <c r="AT339" i="3"/>
  <c r="AV336" i="3"/>
  <c r="BD336" i="3"/>
  <c r="AT243" i="3"/>
  <c r="AT241" i="3"/>
  <c r="BD240" i="3"/>
  <c r="AT242" i="3"/>
  <c r="AT240" i="3"/>
  <c r="AV240" i="3"/>
  <c r="AV287" i="3"/>
  <c r="BD287" i="3"/>
  <c r="AT290" i="3"/>
  <c r="AT288" i="3"/>
  <c r="AV285" i="3"/>
  <c r="BD285" i="3"/>
  <c r="AT280" i="3"/>
  <c r="BD278" i="3"/>
  <c r="AT281" i="3"/>
  <c r="AV278" i="3"/>
  <c r="AT278" i="3"/>
  <c r="BD275" i="3"/>
  <c r="AV275" i="3"/>
  <c r="AT276" i="3"/>
  <c r="BD273" i="3"/>
  <c r="AV273" i="3"/>
  <c r="Q295" i="3"/>
  <c r="T295" i="3" s="1"/>
  <c r="Q191" i="3"/>
  <c r="T191" i="3" s="1"/>
  <c r="S191" i="3"/>
  <c r="Q243" i="3"/>
  <c r="T243" i="3" s="1"/>
  <c r="AA294" i="3"/>
  <c r="AD294" i="3" s="1"/>
  <c r="AA242" i="3"/>
  <c r="AD242" i="3" s="1"/>
  <c r="AA190" i="3"/>
  <c r="AD190" i="3" s="1"/>
  <c r="AC190" i="3"/>
  <c r="Q294" i="3"/>
  <c r="T294" i="3" s="1"/>
  <c r="Q242" i="3"/>
  <c r="T242" i="3" s="1"/>
  <c r="Q190" i="3"/>
  <c r="T190" i="3" s="1"/>
  <c r="S190" i="3"/>
  <c r="Q292" i="3"/>
  <c r="T292" i="3" s="1"/>
  <c r="Q240" i="3"/>
  <c r="T240" i="3" s="1"/>
  <c r="Q188" i="3"/>
  <c r="T188" i="3" s="1"/>
  <c r="S188" i="3"/>
  <c r="AK238" i="3"/>
  <c r="AN238" i="3" s="1"/>
  <c r="AM238" i="3"/>
  <c r="AM186" i="3"/>
  <c r="Q235" i="3"/>
  <c r="T235" i="3" s="1"/>
  <c r="S235" i="3"/>
  <c r="S183" i="3"/>
  <c r="Q233" i="3"/>
  <c r="T233" i="3" s="1"/>
  <c r="S233" i="3"/>
  <c r="S181" i="3"/>
  <c r="S231" i="3"/>
  <c r="Q231" i="3"/>
  <c r="T231" i="3" s="1"/>
  <c r="S179" i="3"/>
  <c r="S229" i="3"/>
  <c r="Q229" i="3"/>
  <c r="T229" i="3" s="1"/>
  <c r="S177" i="3"/>
  <c r="Q227" i="3"/>
  <c r="T227" i="3" s="1"/>
  <c r="S227" i="3"/>
  <c r="S175" i="3"/>
  <c r="Q225" i="3"/>
  <c r="T225" i="3" s="1"/>
  <c r="S225" i="3"/>
  <c r="S173" i="3"/>
  <c r="Q276" i="3"/>
  <c r="T276" i="3" s="1"/>
  <c r="Q224" i="3"/>
  <c r="T224" i="3" s="1"/>
  <c r="Q172" i="3"/>
  <c r="T172" i="3" s="1"/>
  <c r="S172" i="3"/>
  <c r="AT170" i="3"/>
  <c r="BD167" i="3"/>
  <c r="BI167" i="3" s="1"/>
  <c r="AV219" i="3"/>
  <c r="AV167" i="3"/>
  <c r="AT117" i="3"/>
  <c r="BD114" i="3"/>
  <c r="G273" i="3"/>
  <c r="J273" i="3" s="1"/>
  <c r="G221" i="3"/>
  <c r="J221" i="3" s="1"/>
  <c r="G169" i="3"/>
  <c r="J169" i="3" s="1"/>
  <c r="I169" i="3"/>
  <c r="AK220" i="3"/>
  <c r="AN220" i="3" s="1"/>
  <c r="AK168" i="3"/>
  <c r="AN168" i="3" s="1"/>
  <c r="AM168" i="3"/>
  <c r="Q219" i="3"/>
  <c r="T219" i="3" s="1"/>
  <c r="S219" i="3"/>
  <c r="S167" i="3"/>
  <c r="I219" i="3"/>
  <c r="G219" i="3"/>
  <c r="J219" i="3" s="1"/>
  <c r="I167" i="3"/>
  <c r="AA218" i="3"/>
  <c r="AD218" i="3" s="1"/>
  <c r="AC218" i="3"/>
  <c r="I218" i="3"/>
  <c r="G218" i="3"/>
  <c r="J218" i="3" s="1"/>
  <c r="G322" i="3"/>
  <c r="J322" i="3" s="1"/>
  <c r="AM217" i="3"/>
  <c r="AK217" i="3"/>
  <c r="AN217" i="3" s="1"/>
  <c r="AA216" i="3"/>
  <c r="AD216" i="3" s="1"/>
  <c r="AC216" i="3"/>
  <c r="AM267" i="3"/>
  <c r="AM319" i="3"/>
  <c r="AK319" i="3"/>
  <c r="AN319" i="3" s="1"/>
  <c r="S267" i="3"/>
  <c r="S319" i="3"/>
  <c r="Q319" i="3"/>
  <c r="T319" i="3" s="1"/>
  <c r="I267" i="3"/>
  <c r="G319" i="3"/>
  <c r="J319" i="3" s="1"/>
  <c r="I319" i="3"/>
  <c r="Q213" i="3"/>
  <c r="T213" i="3" s="1"/>
  <c r="S213" i="3"/>
  <c r="Q317" i="3"/>
  <c r="T317" i="3" s="1"/>
  <c r="AA263" i="3"/>
  <c r="AD263" i="3" s="1"/>
  <c r="AC263" i="3"/>
  <c r="AC211" i="3"/>
  <c r="AA315" i="3"/>
  <c r="AD315" i="3" s="1"/>
  <c r="Q263" i="3"/>
  <c r="T263" i="3" s="1"/>
  <c r="S263" i="3"/>
  <c r="S211" i="3"/>
  <c r="Q315" i="3"/>
  <c r="T315" i="3" s="1"/>
  <c r="Q262" i="3"/>
  <c r="T262" i="3" s="1"/>
  <c r="S262" i="3"/>
  <c r="S210" i="3"/>
  <c r="Q314" i="3"/>
  <c r="T314" i="3" s="1"/>
  <c r="AC209" i="3"/>
  <c r="AA313" i="3"/>
  <c r="AD313" i="3" s="1"/>
  <c r="AA209" i="3"/>
  <c r="AD209" i="3" s="1"/>
  <c r="I261" i="3"/>
  <c r="G313" i="3"/>
  <c r="J313" i="3" s="1"/>
  <c r="I313" i="3"/>
  <c r="AA208" i="3"/>
  <c r="AD208" i="3" s="1"/>
  <c r="AC208" i="3"/>
  <c r="G208" i="3"/>
  <c r="J208" i="3" s="1"/>
  <c r="I208" i="3"/>
  <c r="G312" i="3"/>
  <c r="J312" i="3" s="1"/>
  <c r="AT169" i="3"/>
  <c r="BD166" i="3"/>
  <c r="AA275" i="3"/>
  <c r="AD275" i="3" s="1"/>
  <c r="AA223" i="3"/>
  <c r="AD223" i="3" s="1"/>
  <c r="AA171" i="3"/>
  <c r="AD171" i="3" s="1"/>
  <c r="AC171" i="3"/>
  <c r="G170" i="3"/>
  <c r="J170" i="3" s="1"/>
  <c r="I170" i="3"/>
  <c r="G222" i="3"/>
  <c r="J222" i="3" s="1"/>
  <c r="G275" i="3"/>
  <c r="J275" i="3" s="1"/>
  <c r="G223" i="3"/>
  <c r="J223" i="3" s="1"/>
  <c r="G171" i="3"/>
  <c r="J171" i="3" s="1"/>
  <c r="I171" i="3"/>
  <c r="AT118" i="3"/>
  <c r="BD115" i="3"/>
  <c r="BI115" i="3" s="1"/>
  <c r="G192" i="3"/>
  <c r="J192" i="3" s="1"/>
  <c r="G244" i="3"/>
  <c r="J244" i="3" s="1"/>
  <c r="G240" i="3"/>
  <c r="J240" i="3" s="1"/>
  <c r="G188" i="3"/>
  <c r="J188" i="3" s="1"/>
  <c r="G237" i="3"/>
  <c r="J237" i="3" s="1"/>
  <c r="G185" i="3"/>
  <c r="J185" i="3" s="1"/>
  <c r="AT81" i="3"/>
  <c r="BD78" i="3"/>
  <c r="Q237" i="3"/>
  <c r="T237" i="3" s="1"/>
  <c r="Q185" i="3"/>
  <c r="T185" i="3" s="1"/>
  <c r="G232" i="3"/>
  <c r="J232" i="3" s="1"/>
  <c r="G180" i="3"/>
  <c r="J180" i="3" s="1"/>
  <c r="G229" i="3"/>
  <c r="J229" i="3" s="1"/>
  <c r="G177" i="3"/>
  <c r="J177" i="3" s="1"/>
  <c r="AA222" i="3"/>
  <c r="AD222" i="3" s="1"/>
  <c r="AA170" i="3"/>
  <c r="AD170" i="3" s="1"/>
  <c r="Q207" i="3"/>
  <c r="T207" i="3" s="1"/>
  <c r="Q311" i="3"/>
  <c r="T311" i="3" s="1"/>
  <c r="S205" i="3"/>
  <c r="Q205" i="3"/>
  <c r="T205" i="3" s="1"/>
  <c r="Q309" i="3"/>
  <c r="T309" i="3" s="1"/>
  <c r="Q203" i="3"/>
  <c r="T203" i="3" s="1"/>
  <c r="S203" i="3"/>
  <c r="Q307" i="3"/>
  <c r="T307" i="3" s="1"/>
  <c r="Q200" i="3"/>
  <c r="T200" i="3" s="1"/>
  <c r="S200" i="3"/>
  <c r="AK200" i="3"/>
  <c r="AN200" i="3" s="1"/>
  <c r="AM200" i="3"/>
  <c r="G241" i="3"/>
  <c r="J241" i="3" s="1"/>
  <c r="G189" i="3"/>
  <c r="J189" i="3" s="1"/>
  <c r="G243" i="3"/>
  <c r="J243" i="3" s="1"/>
  <c r="G191" i="3"/>
  <c r="J191" i="3" s="1"/>
  <c r="AT65" i="3"/>
  <c r="AT67" i="3"/>
  <c r="BD64" i="3"/>
  <c r="AK223" i="3"/>
  <c r="AN223" i="3" s="1"/>
  <c r="AK171" i="3"/>
  <c r="AN171" i="3" s="1"/>
  <c r="AT57" i="3"/>
  <c r="BD54" i="3"/>
  <c r="BD49" i="3"/>
  <c r="AT52" i="3"/>
  <c r="AT103" i="3"/>
  <c r="BD100" i="3"/>
  <c r="AT101" i="3"/>
  <c r="BD98" i="3"/>
  <c r="AT99" i="3"/>
  <c r="BD96" i="3"/>
  <c r="AT69" i="3"/>
  <c r="BD66" i="3"/>
  <c r="Q206" i="3"/>
  <c r="T206" i="3" s="1"/>
  <c r="S206" i="3"/>
  <c r="Q310" i="3"/>
  <c r="T310" i="3" s="1"/>
  <c r="Q204" i="3"/>
  <c r="T204" i="3" s="1"/>
  <c r="S204" i="3"/>
  <c r="Q308" i="3"/>
  <c r="T308" i="3" s="1"/>
  <c r="Q202" i="3"/>
  <c r="T202" i="3" s="1"/>
  <c r="S202" i="3"/>
  <c r="Q306" i="3"/>
  <c r="T306" i="3" s="1"/>
  <c r="Q196" i="3"/>
  <c r="T196" i="3" s="1"/>
  <c r="S196" i="3"/>
  <c r="Q198" i="3"/>
  <c r="T198" i="3" s="1"/>
  <c r="S198" i="3"/>
  <c r="AK196" i="3"/>
  <c r="AN196" i="3" s="1"/>
  <c r="AM196" i="3"/>
  <c r="AK198" i="3"/>
  <c r="AN198" i="3" s="1"/>
  <c r="AM198" i="3"/>
  <c r="AT83" i="3"/>
  <c r="BD80" i="3"/>
  <c r="AT80" i="3"/>
  <c r="BD77" i="3"/>
  <c r="AT79" i="3"/>
  <c r="BD76" i="3"/>
  <c r="AT78" i="3"/>
  <c r="BD75" i="3"/>
  <c r="AT77" i="3"/>
  <c r="BD74" i="3"/>
  <c r="AK233" i="3"/>
  <c r="AN233" i="3" s="1"/>
  <c r="AK181" i="3"/>
  <c r="AN181" i="3" s="1"/>
  <c r="AT75" i="3"/>
  <c r="BD72" i="3"/>
  <c r="G230" i="3"/>
  <c r="J230" i="3" s="1"/>
  <c r="G178" i="3"/>
  <c r="J178" i="3" s="1"/>
  <c r="AA178" i="3"/>
  <c r="AD178" i="3" s="1"/>
  <c r="AA230" i="3"/>
  <c r="AD230" i="3" s="1"/>
  <c r="AT73" i="3"/>
  <c r="BD70" i="3"/>
  <c r="AT72" i="3"/>
  <c r="BD69" i="3"/>
  <c r="AK228" i="3"/>
  <c r="AN228" i="3" s="1"/>
  <c r="AK176" i="3"/>
  <c r="AN176" i="3" s="1"/>
  <c r="G226" i="3"/>
  <c r="J226" i="3" s="1"/>
  <c r="G174" i="3"/>
  <c r="J174" i="3" s="1"/>
  <c r="AT61" i="3"/>
  <c r="BD58" i="3"/>
  <c r="AV364" i="3"/>
  <c r="AT361" i="3"/>
  <c r="AT351" i="3"/>
  <c r="AU507" i="3" s="1"/>
  <c r="AX507" i="3" s="1"/>
  <c r="AT360" i="3"/>
  <c r="AT356" i="3"/>
  <c r="AT350" i="3"/>
  <c r="AT326" i="3"/>
  <c r="AT297" i="3"/>
  <c r="AT334" i="3"/>
  <c r="Q277" i="3"/>
  <c r="T277" i="3" s="1"/>
  <c r="AT274" i="3"/>
  <c r="Q285" i="3"/>
  <c r="T285" i="3" s="1"/>
  <c r="Q281" i="3"/>
  <c r="T281" i="3" s="1"/>
  <c r="AT296" i="3"/>
  <c r="AT286" i="3"/>
  <c r="AT285" i="3"/>
  <c r="AT284" i="3"/>
  <c r="AT275" i="3"/>
  <c r="AT168" i="3"/>
  <c r="AT167" i="3"/>
  <c r="G271" i="3"/>
  <c r="J271" i="3" s="1"/>
  <c r="Q270" i="3"/>
  <c r="T270" i="3" s="1"/>
  <c r="AA268" i="3"/>
  <c r="AD268" i="3" s="1"/>
  <c r="Q267" i="3"/>
  <c r="T267" i="3" s="1"/>
  <c r="AK262" i="3"/>
  <c r="AN262" i="3" s="1"/>
  <c r="G260" i="3"/>
  <c r="J260" i="3" s="1"/>
  <c r="AT271" i="3"/>
  <c r="Q199" i="3"/>
  <c r="T199" i="3" s="1"/>
  <c r="Q274" i="3"/>
  <c r="T274" i="3" s="1"/>
  <c r="AK273" i="3"/>
  <c r="AN273" i="3" s="1"/>
  <c r="Q272" i="3"/>
  <c r="T272" i="3" s="1"/>
  <c r="AT166" i="3"/>
  <c r="AA270" i="3"/>
  <c r="AD270" i="3" s="1"/>
  <c r="AA267" i="3"/>
  <c r="AD267" i="3" s="1"/>
  <c r="Q265" i="3"/>
  <c r="T265" i="3" s="1"/>
  <c r="Q261" i="3"/>
  <c r="T261" i="3" s="1"/>
  <c r="AK252" i="3"/>
  <c r="AN252" i="3" s="1"/>
  <c r="AT93" i="3"/>
  <c r="AT84" i="3"/>
  <c r="AT64" i="3"/>
  <c r="AT51" i="3"/>
  <c r="Q325" i="3"/>
  <c r="T325" i="3" s="1"/>
  <c r="AT272" i="3"/>
  <c r="AK272" i="3"/>
  <c r="AN272" i="3" s="1"/>
  <c r="AT218" i="3"/>
  <c r="AK263" i="3"/>
  <c r="AN263" i="3" s="1"/>
  <c r="Q201" i="3"/>
  <c r="T201" i="3" s="1"/>
  <c r="AK302" i="3"/>
  <c r="AN302" i="3" s="1"/>
  <c r="Q302" i="3"/>
  <c r="T302" i="3" s="1"/>
  <c r="AK300" i="3"/>
  <c r="AN300" i="3" s="1"/>
  <c r="Q300" i="3"/>
  <c r="T300" i="3" s="1"/>
  <c r="G248" i="3"/>
  <c r="J248" i="3" s="1"/>
  <c r="AT49" i="3"/>
  <c r="AT324" i="3"/>
  <c r="Q253" i="3"/>
  <c r="T253" i="3" s="1"/>
  <c r="AA248" i="3"/>
  <c r="AD248" i="3" s="1"/>
  <c r="AT50" i="3"/>
  <c r="AW77" i="3" l="1"/>
  <c r="AW65" i="3"/>
  <c r="AW309" i="3"/>
  <c r="AW126" i="3"/>
  <c r="AW282" i="3"/>
  <c r="AW105" i="3"/>
  <c r="AW178" i="3"/>
  <c r="AW216" i="3"/>
  <c r="AW185" i="3"/>
  <c r="AW182" i="3"/>
  <c r="AW134" i="3"/>
  <c r="AW321" i="3"/>
  <c r="AW177" i="3"/>
  <c r="AW187" i="3"/>
  <c r="AW120" i="3"/>
  <c r="AW268" i="3"/>
  <c r="BI324" i="3"/>
  <c r="BI325" i="3" s="1"/>
  <c r="BI326" i="3" s="1"/>
  <c r="BI327" i="3" s="1"/>
  <c r="BI328" i="3" s="1"/>
  <c r="BI329" i="3" s="1"/>
  <c r="BI330" i="3" s="1"/>
  <c r="BI331" i="3" s="1"/>
  <c r="AW248" i="3"/>
  <c r="AW315" i="3"/>
  <c r="AW90" i="3"/>
  <c r="AU226" i="3"/>
  <c r="AX226" i="3" s="1"/>
  <c r="AW311" i="3"/>
  <c r="AW292" i="3"/>
  <c r="AW302" i="3"/>
  <c r="AW100" i="3"/>
  <c r="AU174" i="3"/>
  <c r="AX174" i="3" s="1"/>
  <c r="AU247" i="3"/>
  <c r="AX247" i="3" s="1"/>
  <c r="AU213" i="3"/>
  <c r="AX213" i="3" s="1"/>
  <c r="BI116" i="3"/>
  <c r="BI117" i="3" s="1"/>
  <c r="BI118" i="3" s="1"/>
  <c r="BI119" i="3" s="1"/>
  <c r="BI120" i="3" s="1"/>
  <c r="BI121" i="3" s="1"/>
  <c r="BI122" i="3" s="1"/>
  <c r="BI123" i="3" s="1"/>
  <c r="BI124" i="3" s="1"/>
  <c r="BI125" i="3" s="1"/>
  <c r="BI126" i="3" s="1"/>
  <c r="BI127" i="3" s="1"/>
  <c r="BI128" i="3" s="1"/>
  <c r="BI129" i="3" s="1"/>
  <c r="BI130" i="3" s="1"/>
  <c r="BI131" i="3" s="1"/>
  <c r="BI132" i="3" s="1"/>
  <c r="BI133" i="3" s="1"/>
  <c r="BI134" i="3" s="1"/>
  <c r="BI135" i="3" s="1"/>
  <c r="BI136" i="3" s="1"/>
  <c r="BI137" i="3" s="1"/>
  <c r="BI138" i="3" s="1"/>
  <c r="BI139" i="3" s="1"/>
  <c r="BI140" i="3" s="1"/>
  <c r="BI141" i="3" s="1"/>
  <c r="BI142" i="3" s="1"/>
  <c r="BI143" i="3" s="1"/>
  <c r="BI144" i="3" s="1"/>
  <c r="BI145" i="3" s="1"/>
  <c r="BI146" i="3" s="1"/>
  <c r="BI147" i="3" s="1"/>
  <c r="BI148" i="3" s="1"/>
  <c r="BI149" i="3" s="1"/>
  <c r="BI150" i="3" s="1"/>
  <c r="BI151" i="3" s="1"/>
  <c r="BI152" i="3" s="1"/>
  <c r="BI153" i="3" s="1"/>
  <c r="BI154" i="3" s="1"/>
  <c r="BI155" i="3" s="1"/>
  <c r="BI156" i="3" s="1"/>
  <c r="BI157" i="3" s="1"/>
  <c r="BI158" i="3" s="1"/>
  <c r="BI159" i="3" s="1"/>
  <c r="BI160" i="3" s="1"/>
  <c r="BI161" i="3" s="1"/>
  <c r="BI162" i="3" s="1"/>
  <c r="BI163" i="3" s="1"/>
  <c r="BI164" i="3" s="1"/>
  <c r="BI165" i="3" s="1"/>
  <c r="BI166" i="3" s="1"/>
  <c r="AW310" i="3"/>
  <c r="AW80" i="3"/>
  <c r="AW85" i="3"/>
  <c r="AU361" i="3"/>
  <c r="AX361" i="3" s="1"/>
  <c r="AW295" i="3"/>
  <c r="AW112" i="3"/>
  <c r="AW89" i="3"/>
  <c r="AU263" i="3"/>
  <c r="AX263" i="3" s="1"/>
  <c r="AW266" i="3"/>
  <c r="AW78" i="3"/>
  <c r="AW318" i="3"/>
  <c r="AW67" i="3"/>
  <c r="AW95" i="3"/>
  <c r="AW98" i="3"/>
  <c r="AU289" i="3"/>
  <c r="AX289" i="3" s="1"/>
  <c r="AU186" i="3"/>
  <c r="AX186" i="3" s="1"/>
  <c r="AW307" i="3"/>
  <c r="AW166" i="3"/>
  <c r="AU371" i="3"/>
  <c r="AX371" i="3" s="1"/>
  <c r="AW197" i="3"/>
  <c r="AU359" i="3"/>
  <c r="AX359" i="3" s="1"/>
  <c r="AW304" i="3"/>
  <c r="AU304" i="3"/>
  <c r="AX304" i="3" s="1"/>
  <c r="AW73" i="3"/>
  <c r="AU363" i="3"/>
  <c r="AX363" i="3" s="1"/>
  <c r="AW71" i="3"/>
  <c r="AW262" i="3"/>
  <c r="AU214" i="3"/>
  <c r="AX214" i="3" s="1"/>
  <c r="AW99" i="3"/>
  <c r="AW143" i="3"/>
  <c r="AU318" i="3"/>
  <c r="AX318" i="3" s="1"/>
  <c r="AW319" i="3"/>
  <c r="AW193" i="3"/>
  <c r="AW72" i="3"/>
  <c r="AU244" i="3"/>
  <c r="AX244" i="3" s="1"/>
  <c r="AW97" i="3"/>
  <c r="AU191" i="3"/>
  <c r="AX191" i="3" s="1"/>
  <c r="AU373" i="3"/>
  <c r="AX373" i="3" s="1"/>
  <c r="AU471" i="3"/>
  <c r="AX471" i="3" s="1"/>
  <c r="AU523" i="3"/>
  <c r="AX523" i="3" s="1"/>
  <c r="AU315" i="3"/>
  <c r="AX315" i="3" s="1"/>
  <c r="AU459" i="3"/>
  <c r="AX459" i="3" s="1"/>
  <c r="AU511" i="3"/>
  <c r="AX511" i="3" s="1"/>
  <c r="AW260" i="3"/>
  <c r="AW320" i="3"/>
  <c r="AU456" i="3"/>
  <c r="AX456" i="3" s="1"/>
  <c r="AU508" i="3"/>
  <c r="AX508" i="3" s="1"/>
  <c r="AU473" i="3"/>
  <c r="AX473" i="3" s="1"/>
  <c r="AU525" i="3"/>
  <c r="AX525" i="3" s="1"/>
  <c r="AU356" i="3"/>
  <c r="AX356" i="3" s="1"/>
  <c r="AW252" i="3"/>
  <c r="AW263" i="3"/>
  <c r="AU462" i="3"/>
  <c r="AX462" i="3" s="1"/>
  <c r="AU514" i="3"/>
  <c r="AX514" i="3" s="1"/>
  <c r="AU360" i="3"/>
  <c r="AX360" i="3" s="1"/>
  <c r="AW128" i="3"/>
  <c r="AU372" i="3"/>
  <c r="AX372" i="3" s="1"/>
  <c r="AU474" i="3"/>
  <c r="AX474" i="3" s="1"/>
  <c r="AU526" i="3"/>
  <c r="AX526" i="3" s="1"/>
  <c r="AU320" i="3"/>
  <c r="AX320" i="3" s="1"/>
  <c r="AU457" i="3"/>
  <c r="AX457" i="3" s="1"/>
  <c r="AU509" i="3"/>
  <c r="AX509" i="3" s="1"/>
  <c r="AW158" i="3"/>
  <c r="AU467" i="3"/>
  <c r="AX467" i="3" s="1"/>
  <c r="AU519" i="3"/>
  <c r="AX519" i="3" s="1"/>
  <c r="AW84" i="3"/>
  <c r="AW75" i="3"/>
  <c r="AW79" i="3"/>
  <c r="AU314" i="3"/>
  <c r="AX314" i="3" s="1"/>
  <c r="AW294" i="3"/>
  <c r="AU470" i="3"/>
  <c r="AX470" i="3" s="1"/>
  <c r="AU522" i="3"/>
  <c r="AX522" i="3" s="1"/>
  <c r="AW146" i="3"/>
  <c r="AU477" i="3"/>
  <c r="AX477" i="3" s="1"/>
  <c r="AU529" i="3"/>
  <c r="AX529" i="3" s="1"/>
  <c r="AU475" i="3"/>
  <c r="AX475" i="3" s="1"/>
  <c r="AU527" i="3"/>
  <c r="AX527" i="3" s="1"/>
  <c r="AW92" i="3"/>
  <c r="AU460" i="3"/>
  <c r="AX460" i="3" s="1"/>
  <c r="AU512" i="3"/>
  <c r="AX512" i="3" s="1"/>
  <c r="AU468" i="3"/>
  <c r="AX468" i="3" s="1"/>
  <c r="AU520" i="3"/>
  <c r="AX520" i="3" s="1"/>
  <c r="AW122" i="3"/>
  <c r="AU464" i="3"/>
  <c r="AX464" i="3" s="1"/>
  <c r="AU516" i="3"/>
  <c r="AX516" i="3" s="1"/>
  <c r="AU461" i="3"/>
  <c r="AX461" i="3" s="1"/>
  <c r="AU513" i="3"/>
  <c r="AX513" i="3" s="1"/>
  <c r="AU466" i="3"/>
  <c r="AX466" i="3" s="1"/>
  <c r="AU518" i="3"/>
  <c r="AX518" i="3" s="1"/>
  <c r="AW123" i="3"/>
  <c r="AW66" i="3"/>
  <c r="AW93" i="3"/>
  <c r="AW314" i="3"/>
  <c r="AU367" i="3"/>
  <c r="AX367" i="3" s="1"/>
  <c r="AW96" i="3"/>
  <c r="AU463" i="3"/>
  <c r="AX463" i="3" s="1"/>
  <c r="AU515" i="3"/>
  <c r="AX515" i="3" s="1"/>
  <c r="AW189" i="3"/>
  <c r="AW107" i="3"/>
  <c r="AW141" i="3"/>
  <c r="AW261" i="3"/>
  <c r="AW69" i="3"/>
  <c r="AU465" i="3"/>
  <c r="AX465" i="3" s="1"/>
  <c r="AU517" i="3"/>
  <c r="AX517" i="3" s="1"/>
  <c r="AW164" i="3"/>
  <c r="AU472" i="3"/>
  <c r="AX472" i="3" s="1"/>
  <c r="AU524" i="3"/>
  <c r="AX524" i="3" s="1"/>
  <c r="AW86" i="3"/>
  <c r="AU195" i="3"/>
  <c r="AX195" i="3" s="1"/>
  <c r="AU458" i="3"/>
  <c r="AX458" i="3" s="1"/>
  <c r="AU510" i="3"/>
  <c r="AX510" i="3" s="1"/>
  <c r="AU469" i="3"/>
  <c r="AX469" i="3" s="1"/>
  <c r="AU521" i="3"/>
  <c r="AX521" i="3" s="1"/>
  <c r="AU362" i="3"/>
  <c r="AX362" i="3" s="1"/>
  <c r="AW91" i="3"/>
  <c r="AU445" i="3"/>
  <c r="AX445" i="3" s="1"/>
  <c r="AU497" i="3"/>
  <c r="AX497" i="3" s="1"/>
  <c r="AU448" i="3"/>
  <c r="AX448" i="3" s="1"/>
  <c r="AU500" i="3"/>
  <c r="AX500" i="3" s="1"/>
  <c r="AU438" i="3"/>
  <c r="AX438" i="3" s="1"/>
  <c r="AU490" i="3"/>
  <c r="AX490" i="3" s="1"/>
  <c r="AU454" i="3"/>
  <c r="AX454" i="3" s="1"/>
  <c r="AU506" i="3"/>
  <c r="AX506" i="3" s="1"/>
  <c r="AU443" i="3"/>
  <c r="AX443" i="3" s="1"/>
  <c r="AU495" i="3"/>
  <c r="AX495" i="3" s="1"/>
  <c r="AU450" i="3"/>
  <c r="AX450" i="3" s="1"/>
  <c r="AU502" i="3"/>
  <c r="AX502" i="3" s="1"/>
  <c r="AU439" i="3"/>
  <c r="AX439" i="3" s="1"/>
  <c r="AU491" i="3"/>
  <c r="AX491" i="3" s="1"/>
  <c r="AW198" i="3"/>
  <c r="AU447" i="3"/>
  <c r="AX447" i="3" s="1"/>
  <c r="AU499" i="3"/>
  <c r="AX499" i="3" s="1"/>
  <c r="AW150" i="3"/>
  <c r="AW154" i="3"/>
  <c r="AW210" i="3"/>
  <c r="AU243" i="3"/>
  <c r="AX243" i="3" s="1"/>
  <c r="AU449" i="3"/>
  <c r="AX449" i="3" s="1"/>
  <c r="AU501" i="3"/>
  <c r="AX501" i="3" s="1"/>
  <c r="AU451" i="3"/>
  <c r="AX451" i="3" s="1"/>
  <c r="AU503" i="3"/>
  <c r="AX503" i="3" s="1"/>
  <c r="AU476" i="3"/>
  <c r="AX476" i="3" s="1"/>
  <c r="AW162" i="3"/>
  <c r="AU455" i="3"/>
  <c r="AX455" i="3" s="1"/>
  <c r="AU479" i="3"/>
  <c r="AX479" i="3" s="1"/>
  <c r="AU483" i="3"/>
  <c r="AX483" i="3" s="1"/>
  <c r="AU481" i="3"/>
  <c r="AX481" i="3" s="1"/>
  <c r="AU482" i="3"/>
  <c r="AX482" i="3" s="1"/>
  <c r="AU480" i="3"/>
  <c r="AX480" i="3" s="1"/>
  <c r="AU478" i="3"/>
  <c r="AX478" i="3" s="1"/>
  <c r="AU452" i="3"/>
  <c r="AX452" i="3" s="1"/>
  <c r="AU453" i="3"/>
  <c r="AX453" i="3" s="1"/>
  <c r="AW144" i="3"/>
  <c r="AW101" i="3"/>
  <c r="AW103" i="3"/>
  <c r="AU170" i="3"/>
  <c r="AX170" i="3" s="1"/>
  <c r="AW118" i="3"/>
  <c r="AW116" i="3"/>
  <c r="AW151" i="3"/>
  <c r="AU311" i="3"/>
  <c r="AX311" i="3" s="1"/>
  <c r="AW155" i="3"/>
  <c r="AW102" i="3"/>
  <c r="AU446" i="3"/>
  <c r="AX446" i="3" s="1"/>
  <c r="AU442" i="3"/>
  <c r="AX442" i="3" s="1"/>
  <c r="AW131" i="3"/>
  <c r="AW208" i="3"/>
  <c r="AW156" i="3"/>
  <c r="AW124" i="3"/>
  <c r="AW138" i="3"/>
  <c r="AW136" i="3"/>
  <c r="AU212" i="3"/>
  <c r="AX212" i="3" s="1"/>
  <c r="AW108" i="3"/>
  <c r="AW129" i="3"/>
  <c r="AW191" i="3"/>
  <c r="AW139" i="3"/>
  <c r="AU192" i="3"/>
  <c r="AX192" i="3" s="1"/>
  <c r="AW140" i="3"/>
  <c r="AW106" i="3"/>
  <c r="AW137" i="3"/>
  <c r="AW114" i="3"/>
  <c r="AW76" i="3"/>
  <c r="AW133" i="3"/>
  <c r="AW215" i="3"/>
  <c r="AW163" i="3"/>
  <c r="AW160" i="3"/>
  <c r="AW142" i="3"/>
  <c r="AW94" i="3"/>
  <c r="AU265" i="3"/>
  <c r="AX265" i="3" s="1"/>
  <c r="AW161" i="3"/>
  <c r="AW68" i="3"/>
  <c r="AW145" i="3"/>
  <c r="AU193" i="3"/>
  <c r="AX193" i="3" s="1"/>
  <c r="AW110" i="3"/>
  <c r="AW135" i="3"/>
  <c r="BI64" i="3"/>
  <c r="BI65" i="3" s="1"/>
  <c r="BI66" i="3" s="1"/>
  <c r="BI67" i="3" s="1"/>
  <c r="BI68" i="3" s="1"/>
  <c r="BI69" i="3" s="1"/>
  <c r="BI70" i="3" s="1"/>
  <c r="BI71" i="3" s="1"/>
  <c r="BI72" i="3" s="1"/>
  <c r="BI73" i="3" s="1"/>
  <c r="BI74" i="3" s="1"/>
  <c r="BI75" i="3" s="1"/>
  <c r="BI76" i="3" s="1"/>
  <c r="BI77" i="3" s="1"/>
  <c r="BI78" i="3" s="1"/>
  <c r="BI79" i="3" s="1"/>
  <c r="BI80" i="3" s="1"/>
  <c r="BI81" i="3" s="1"/>
  <c r="BI82" i="3" s="1"/>
  <c r="BI83" i="3" s="1"/>
  <c r="BI84" i="3" s="1"/>
  <c r="BI85" i="3" s="1"/>
  <c r="BI86" i="3" s="1"/>
  <c r="BI87" i="3" s="1"/>
  <c r="BI88" i="3" s="1"/>
  <c r="BI89" i="3" s="1"/>
  <c r="BI90" i="3" s="1"/>
  <c r="BI91" i="3" s="1"/>
  <c r="BI92" i="3" s="1"/>
  <c r="BI93" i="3" s="1"/>
  <c r="BI94" i="3" s="1"/>
  <c r="BI95" i="3" s="1"/>
  <c r="BI96" i="3" s="1"/>
  <c r="BI97" i="3" s="1"/>
  <c r="BI98" i="3" s="1"/>
  <c r="BI99" i="3" s="1"/>
  <c r="BI100" i="3" s="1"/>
  <c r="BI101" i="3" s="1"/>
  <c r="BI102" i="3" s="1"/>
  <c r="BI103" i="3" s="1"/>
  <c r="BI104" i="3" s="1"/>
  <c r="BI105" i="3" s="1"/>
  <c r="BI106" i="3" s="1"/>
  <c r="BI107" i="3" s="1"/>
  <c r="BI108" i="3" s="1"/>
  <c r="BI109" i="3" s="1"/>
  <c r="BI110" i="3" s="1"/>
  <c r="BI111" i="3" s="1"/>
  <c r="BI112" i="3" s="1"/>
  <c r="BI113" i="3" s="1"/>
  <c r="BI114" i="3" s="1"/>
  <c r="BI11" i="3"/>
  <c r="BI12" i="3" s="1"/>
  <c r="BI13" i="3" s="1"/>
  <c r="BI14" i="3" s="1"/>
  <c r="BI15" i="3" s="1"/>
  <c r="BI16" i="3" s="1"/>
  <c r="BI17" i="3" s="1"/>
  <c r="BI18" i="3" s="1"/>
  <c r="BI19" i="3" s="1"/>
  <c r="BI20" i="3" s="1"/>
  <c r="BI21" i="3" s="1"/>
  <c r="BI22" i="3" s="1"/>
  <c r="BI23" i="3" s="1"/>
  <c r="BI24" i="3" s="1"/>
  <c r="BI25" i="3" s="1"/>
  <c r="BI26" i="3" s="1"/>
  <c r="BI27" i="3" s="1"/>
  <c r="BI28" i="3" s="1"/>
  <c r="BI29" i="3" s="1"/>
  <c r="BI30" i="3" s="1"/>
  <c r="BI31" i="3" s="1"/>
  <c r="BI32" i="3" s="1"/>
  <c r="BI33" i="3" s="1"/>
  <c r="BI34" i="3" s="1"/>
  <c r="BI35" i="3" s="1"/>
  <c r="BI36" i="3" s="1"/>
  <c r="BI37" i="3" s="1"/>
  <c r="BI38" i="3" s="1"/>
  <c r="BI39" i="3" s="1"/>
  <c r="BI40" i="3" s="1"/>
  <c r="BI41" i="3" s="1"/>
  <c r="BI42" i="3" s="1"/>
  <c r="BI43" i="3" s="1"/>
  <c r="BI44" i="3" s="1"/>
  <c r="BI45" i="3" s="1"/>
  <c r="BI46" i="3" s="1"/>
  <c r="BI47" i="3" s="1"/>
  <c r="BI48" i="3" s="1"/>
  <c r="BI49" i="3" s="1"/>
  <c r="BI50" i="3" s="1"/>
  <c r="BI51" i="3" s="1"/>
  <c r="BI52" i="3" s="1"/>
  <c r="BI53" i="3" s="1"/>
  <c r="BI54" i="3" s="1"/>
  <c r="BI55" i="3" s="1"/>
  <c r="BI56" i="3" s="1"/>
  <c r="BI57" i="3" s="1"/>
  <c r="BI58" i="3" s="1"/>
  <c r="BI59" i="3" s="1"/>
  <c r="BI60" i="3" s="1"/>
  <c r="BI61" i="3" s="1"/>
  <c r="BI62" i="3" s="1"/>
  <c r="AU239" i="3"/>
  <c r="AX239" i="3" s="1"/>
  <c r="AW83" i="3"/>
  <c r="AU237" i="3"/>
  <c r="AX237" i="3" s="1"/>
  <c r="AW81" i="3"/>
  <c r="AW117" i="3"/>
  <c r="AU441" i="3"/>
  <c r="AX441" i="3" s="1"/>
  <c r="AW115" i="3"/>
  <c r="AW147" i="3"/>
  <c r="AW152" i="3"/>
  <c r="AU305" i="3"/>
  <c r="AX305" i="3" s="1"/>
  <c r="AW149" i="3"/>
  <c r="AW153" i="3"/>
  <c r="AW119" i="3"/>
  <c r="AU444" i="3"/>
  <c r="AX444" i="3" s="1"/>
  <c r="AU440" i="3"/>
  <c r="AX440" i="3" s="1"/>
  <c r="AW121" i="3"/>
  <c r="AW211" i="3"/>
  <c r="AW159" i="3"/>
  <c r="AW127" i="3"/>
  <c r="AW113" i="3"/>
  <c r="AW125" i="3"/>
  <c r="AW104" i="3"/>
  <c r="AW209" i="3"/>
  <c r="AW157" i="3"/>
  <c r="AW130" i="3"/>
  <c r="AU267" i="3"/>
  <c r="AX267" i="3" s="1"/>
  <c r="AW111" i="3"/>
  <c r="AW132" i="3"/>
  <c r="AW200" i="3"/>
  <c r="AW148" i="3"/>
  <c r="AW165" i="3"/>
  <c r="AW109" i="3"/>
  <c r="AW70" i="3"/>
  <c r="AW87" i="3"/>
  <c r="AW74" i="3"/>
  <c r="AW88" i="3"/>
  <c r="AW82" i="3"/>
  <c r="AU196" i="3"/>
  <c r="AX196" i="3" s="1"/>
  <c r="AU218" i="3"/>
  <c r="AX218" i="3" s="1"/>
  <c r="AU431" i="3"/>
  <c r="AX431" i="3" s="1"/>
  <c r="AW431" i="3"/>
  <c r="AU432" i="3"/>
  <c r="AX432" i="3" s="1"/>
  <c r="AU436" i="3"/>
  <c r="AX436" i="3" s="1"/>
  <c r="AU433" i="3"/>
  <c r="AX433" i="3" s="1"/>
  <c r="AU437" i="3"/>
  <c r="AX437" i="3" s="1"/>
  <c r="AU224" i="3"/>
  <c r="AX224" i="3" s="1"/>
  <c r="AU429" i="3"/>
  <c r="AX429" i="3" s="1"/>
  <c r="AW429" i="3"/>
  <c r="AU430" i="3"/>
  <c r="AX430" i="3" s="1"/>
  <c r="AW430" i="3"/>
  <c r="AU434" i="3"/>
  <c r="AX434" i="3" s="1"/>
  <c r="AU435" i="3"/>
  <c r="AX435" i="3" s="1"/>
  <c r="BH378" i="3"/>
  <c r="BH379" i="3" s="1"/>
  <c r="BH380" i="3" s="1"/>
  <c r="BH381" i="3" s="1"/>
  <c r="BH382" i="3" s="1"/>
  <c r="BH383" i="3" s="1"/>
  <c r="BH384" i="3" s="1"/>
  <c r="BH385" i="3" s="1"/>
  <c r="BH386" i="3" s="1"/>
  <c r="BH387" i="3" s="1"/>
  <c r="BH388" i="3" s="1"/>
  <c r="BH389" i="3" s="1"/>
  <c r="BH390" i="3" s="1"/>
  <c r="BH391" i="3" s="1"/>
  <c r="BH392" i="3" s="1"/>
  <c r="BH393" i="3" s="1"/>
  <c r="BH394" i="3" s="1"/>
  <c r="BF378" i="3"/>
  <c r="BF379" i="3" s="1"/>
  <c r="BF380" i="3" s="1"/>
  <c r="BF381" i="3" s="1"/>
  <c r="BF382" i="3" s="1"/>
  <c r="BF383" i="3" s="1"/>
  <c r="BF384" i="3" s="1"/>
  <c r="BF385" i="3" s="1"/>
  <c r="BG378" i="3"/>
  <c r="BG379" i="3" s="1"/>
  <c r="BG380" i="3" s="1"/>
  <c r="BG381" i="3" s="1"/>
  <c r="BG382" i="3" s="1"/>
  <c r="BG383" i="3" s="1"/>
  <c r="BG384" i="3" s="1"/>
  <c r="BG385" i="3" s="1"/>
  <c r="BG386" i="3" s="1"/>
  <c r="BG387" i="3" s="1"/>
  <c r="BG388" i="3" s="1"/>
  <c r="BG389" i="3" s="1"/>
  <c r="BG390" i="3" s="1"/>
  <c r="BG391" i="3" s="1"/>
  <c r="BG392" i="3" s="1"/>
  <c r="BG393" i="3" s="1"/>
  <c r="BG394" i="3" s="1"/>
  <c r="AU427" i="3"/>
  <c r="AX427" i="3" s="1"/>
  <c r="AW427" i="3"/>
  <c r="AU175" i="3"/>
  <c r="AX175" i="3" s="1"/>
  <c r="AW264" i="3"/>
  <c r="AU246" i="3"/>
  <c r="AX246" i="3" s="1"/>
  <c r="AU216" i="3"/>
  <c r="AX216" i="3" s="1"/>
  <c r="AU321" i="3"/>
  <c r="AX321" i="3" s="1"/>
  <c r="AW195" i="3"/>
  <c r="AW250" i="3"/>
  <c r="AW265" i="3"/>
  <c r="BE377" i="3"/>
  <c r="AW173" i="3"/>
  <c r="AW181" i="3"/>
  <c r="AU428" i="3"/>
  <c r="AX428" i="3" s="1"/>
  <c r="AW428" i="3"/>
  <c r="AU344" i="3"/>
  <c r="AX344" i="3" s="1"/>
  <c r="AU291" i="3"/>
  <c r="AU426" i="3"/>
  <c r="AX426" i="3" s="1"/>
  <c r="AW426" i="3"/>
  <c r="AU172" i="3"/>
  <c r="AX172" i="3" s="1"/>
  <c r="AU250" i="3"/>
  <c r="AX250" i="3" s="1"/>
  <c r="AW244" i="3"/>
  <c r="AW214" i="3"/>
  <c r="AW316" i="3"/>
  <c r="AU366" i="3"/>
  <c r="AX366" i="3" s="1"/>
  <c r="AW317" i="3"/>
  <c r="AU358" i="3"/>
  <c r="AX358" i="3" s="1"/>
  <c r="AW283" i="3"/>
  <c r="AU194" i="3"/>
  <c r="AX194" i="3" s="1"/>
  <c r="AU302" i="3"/>
  <c r="AX302" i="3" s="1"/>
  <c r="AU313" i="3"/>
  <c r="AX313" i="3" s="1"/>
  <c r="AW217" i="3"/>
  <c r="AX291" i="3"/>
  <c r="AW372" i="3"/>
  <c r="AU424" i="3"/>
  <c r="AX424" i="3" s="1"/>
  <c r="AW424" i="3"/>
  <c r="AU268" i="3"/>
  <c r="AX268" i="3" s="1"/>
  <c r="AU261" i="3"/>
  <c r="AX261" i="3" s="1"/>
  <c r="AU365" i="3"/>
  <c r="AX365" i="3" s="1"/>
  <c r="AU368" i="3"/>
  <c r="AX368" i="3" s="1"/>
  <c r="AW256" i="3"/>
  <c r="AW313" i="3"/>
  <c r="AU266" i="3"/>
  <c r="AX266" i="3" s="1"/>
  <c r="AU290" i="3"/>
  <c r="AX290" i="3" s="1"/>
  <c r="AU354" i="3"/>
  <c r="AX354" i="3" s="1"/>
  <c r="AU319" i="3"/>
  <c r="AX319" i="3" s="1"/>
  <c r="AU180" i="3"/>
  <c r="AX180" i="3" s="1"/>
  <c r="AW253" i="3"/>
  <c r="AU357" i="3"/>
  <c r="AX357" i="3" s="1"/>
  <c r="AU167" i="3"/>
  <c r="AX167" i="3" s="1"/>
  <c r="AW269" i="3"/>
  <c r="AW238" i="3"/>
  <c r="AU370" i="3"/>
  <c r="AX370" i="3" s="1"/>
  <c r="AU217" i="3"/>
  <c r="AX217" i="3" s="1"/>
  <c r="AW257" i="3"/>
  <c r="AU347" i="3"/>
  <c r="AX347" i="3" s="1"/>
  <c r="AW370" i="3"/>
  <c r="AU422" i="3"/>
  <c r="AX422" i="3" s="1"/>
  <c r="AW422" i="3"/>
  <c r="AU210" i="3"/>
  <c r="AX210" i="3" s="1"/>
  <c r="AW259" i="3"/>
  <c r="AU317" i="3"/>
  <c r="AX317" i="3" s="1"/>
  <c r="AW373" i="3"/>
  <c r="AU425" i="3"/>
  <c r="AX425" i="3" s="1"/>
  <c r="AW425" i="3"/>
  <c r="AW371" i="3"/>
  <c r="AU423" i="3"/>
  <c r="AX423" i="3" s="1"/>
  <c r="AW423" i="3"/>
  <c r="AU260" i="3"/>
  <c r="AX260" i="3" s="1"/>
  <c r="BI221" i="3"/>
  <c r="BI222" i="3" s="1"/>
  <c r="BI223" i="3" s="1"/>
  <c r="BI224" i="3" s="1"/>
  <c r="BI225" i="3" s="1"/>
  <c r="BI226" i="3" s="1"/>
  <c r="BI227" i="3" s="1"/>
  <c r="BI228" i="3" s="1"/>
  <c r="BI229" i="3" s="1"/>
  <c r="BI230" i="3" s="1"/>
  <c r="BI231" i="3" s="1"/>
  <c r="BI232" i="3" s="1"/>
  <c r="BI233" i="3" s="1"/>
  <c r="BI234" i="3" s="1"/>
  <c r="BI235" i="3" s="1"/>
  <c r="BI236" i="3" s="1"/>
  <c r="BI237" i="3" s="1"/>
  <c r="BI238" i="3" s="1"/>
  <c r="BI239" i="3" s="1"/>
  <c r="BI240" i="3" s="1"/>
  <c r="BI241" i="3" s="1"/>
  <c r="BI242" i="3" s="1"/>
  <c r="BI243" i="3" s="1"/>
  <c r="BI244" i="3" s="1"/>
  <c r="BI245" i="3" s="1"/>
  <c r="BI246" i="3" s="1"/>
  <c r="BI247" i="3" s="1"/>
  <c r="BI248" i="3" s="1"/>
  <c r="BI249" i="3" s="1"/>
  <c r="BI250" i="3" s="1"/>
  <c r="BI251" i="3" s="1"/>
  <c r="BI252" i="3" s="1"/>
  <c r="BI253" i="3" s="1"/>
  <c r="BI254" i="3" s="1"/>
  <c r="BI255" i="3" s="1"/>
  <c r="BI256" i="3" s="1"/>
  <c r="BI257" i="3" s="1"/>
  <c r="BI258" i="3" s="1"/>
  <c r="BI259" i="3" s="1"/>
  <c r="BI260" i="3" s="1"/>
  <c r="BI261" i="3" s="1"/>
  <c r="BI262" i="3" s="1"/>
  <c r="BI263" i="3" s="1"/>
  <c r="BI264" i="3" s="1"/>
  <c r="BI265" i="3" s="1"/>
  <c r="BI266" i="3" s="1"/>
  <c r="BI267" i="3" s="1"/>
  <c r="BI268" i="3" s="1"/>
  <c r="BI269" i="3" s="1"/>
  <c r="BI270" i="3" s="1"/>
  <c r="AU369" i="3"/>
  <c r="AX369" i="3" s="1"/>
  <c r="AW267" i="3"/>
  <c r="AU252" i="3"/>
  <c r="AX252" i="3" s="1"/>
  <c r="AU262" i="3"/>
  <c r="AX262" i="3" s="1"/>
  <c r="AU309" i="3"/>
  <c r="AX309" i="3" s="1"/>
  <c r="AU346" i="3"/>
  <c r="AX346" i="3" s="1"/>
  <c r="AW254" i="3"/>
  <c r="AW172" i="3"/>
  <c r="AW174" i="3"/>
  <c r="AU178" i="3"/>
  <c r="AX178" i="3" s="1"/>
  <c r="AU245" i="3"/>
  <c r="AX245" i="3" s="1"/>
  <c r="AW346" i="3"/>
  <c r="AU398" i="3"/>
  <c r="AX398" i="3" s="1"/>
  <c r="AW398" i="3"/>
  <c r="AU407" i="3"/>
  <c r="AX407" i="3" s="1"/>
  <c r="AW407" i="3"/>
  <c r="AU301" i="3"/>
  <c r="AX301" i="3" s="1"/>
  <c r="AW351" i="3"/>
  <c r="AU403" i="3"/>
  <c r="AX403" i="3" s="1"/>
  <c r="AW403" i="3"/>
  <c r="AU335" i="3"/>
  <c r="AX335" i="3" s="1"/>
  <c r="AU299" i="3"/>
  <c r="AX299" i="3" s="1"/>
  <c r="AU364" i="3"/>
  <c r="AX364" i="3" s="1"/>
  <c r="AW356" i="3"/>
  <c r="AU408" i="3"/>
  <c r="AX408" i="3" s="1"/>
  <c r="AW408" i="3"/>
  <c r="AU420" i="3"/>
  <c r="AX420" i="3" s="1"/>
  <c r="AW420" i="3"/>
  <c r="AU227" i="3"/>
  <c r="AX227" i="3" s="1"/>
  <c r="AU316" i="3"/>
  <c r="AX316" i="3" s="1"/>
  <c r="AW306" i="3"/>
  <c r="AU232" i="3"/>
  <c r="AX232" i="3" s="1"/>
  <c r="AW186" i="3"/>
  <c r="AU396" i="3"/>
  <c r="AX396" i="3" s="1"/>
  <c r="AW396" i="3"/>
  <c r="AW359" i="3"/>
  <c r="AU411" i="3"/>
  <c r="AX411" i="3" s="1"/>
  <c r="AW411" i="3"/>
  <c r="AW367" i="3"/>
  <c r="AU419" i="3"/>
  <c r="AX419" i="3" s="1"/>
  <c r="AW419" i="3"/>
  <c r="AW365" i="3"/>
  <c r="AU417" i="3"/>
  <c r="AX417" i="3" s="1"/>
  <c r="AW417" i="3"/>
  <c r="AW357" i="3"/>
  <c r="AU409" i="3"/>
  <c r="AX409" i="3" s="1"/>
  <c r="AW409" i="3"/>
  <c r="AU310" i="3"/>
  <c r="AX310" i="3" s="1"/>
  <c r="AU397" i="3"/>
  <c r="AX397" i="3" s="1"/>
  <c r="AW397" i="3"/>
  <c r="AW196" i="3"/>
  <c r="AU249" i="3"/>
  <c r="AX249" i="3" s="1"/>
  <c r="AU306" i="3"/>
  <c r="AX306" i="3" s="1"/>
  <c r="AU269" i="3"/>
  <c r="AX269" i="3" s="1"/>
  <c r="AU248" i="3"/>
  <c r="AX248" i="3" s="1"/>
  <c r="AW312" i="3"/>
  <c r="AW291" i="3"/>
  <c r="AW358" i="3"/>
  <c r="AU410" i="3"/>
  <c r="AX410" i="3" s="1"/>
  <c r="AW410" i="3"/>
  <c r="BI377" i="3"/>
  <c r="AW363" i="3"/>
  <c r="AU415" i="3"/>
  <c r="AX415" i="3" s="1"/>
  <c r="AW415" i="3"/>
  <c r="AU404" i="3"/>
  <c r="AX404" i="3" s="1"/>
  <c r="AW404" i="3"/>
  <c r="AU416" i="3"/>
  <c r="AX416" i="3" s="1"/>
  <c r="AW416" i="3"/>
  <c r="AW360" i="3"/>
  <c r="AU412" i="3"/>
  <c r="AX412" i="3" s="1"/>
  <c r="AW412" i="3"/>
  <c r="AU405" i="3"/>
  <c r="AX405" i="3" s="1"/>
  <c r="AW405" i="3"/>
  <c r="AU307" i="3"/>
  <c r="AX307" i="3" s="1"/>
  <c r="AW369" i="3"/>
  <c r="AU421" i="3"/>
  <c r="AX421" i="3" s="1"/>
  <c r="AW421" i="3"/>
  <c r="AU414" i="3"/>
  <c r="AX414" i="3" s="1"/>
  <c r="AW414" i="3"/>
  <c r="AW255" i="3"/>
  <c r="AU208" i="3"/>
  <c r="AX208" i="3" s="1"/>
  <c r="AW194" i="3"/>
  <c r="AW213" i="3"/>
  <c r="AU343" i="3"/>
  <c r="AX343" i="3" s="1"/>
  <c r="AU400" i="3"/>
  <c r="AX400" i="3" s="1"/>
  <c r="AW400" i="3"/>
  <c r="AU418" i="3"/>
  <c r="AX418" i="3" s="1"/>
  <c r="AW418" i="3"/>
  <c r="AW308" i="3"/>
  <c r="AW258" i="3"/>
  <c r="AW305" i="3"/>
  <c r="AU211" i="3"/>
  <c r="AX211" i="3" s="1"/>
  <c r="AU334" i="3"/>
  <c r="AX334" i="3" s="1"/>
  <c r="AU238" i="3"/>
  <c r="AX238" i="3" s="1"/>
  <c r="AW245" i="3"/>
  <c r="AU297" i="3"/>
  <c r="AX297" i="3" s="1"/>
  <c r="AU312" i="3"/>
  <c r="AX312" i="3" s="1"/>
  <c r="BI168" i="3"/>
  <c r="BI169" i="3" s="1"/>
  <c r="BI170" i="3" s="1"/>
  <c r="BI171" i="3" s="1"/>
  <c r="BI172" i="3" s="1"/>
  <c r="BI173" i="3" s="1"/>
  <c r="BI174" i="3" s="1"/>
  <c r="BI175" i="3" s="1"/>
  <c r="BI176" i="3" s="1"/>
  <c r="BI177" i="3" s="1"/>
  <c r="BI178" i="3" s="1"/>
  <c r="BI179" i="3" s="1"/>
  <c r="BI180" i="3" s="1"/>
  <c r="BI181" i="3" s="1"/>
  <c r="BI182" i="3" s="1"/>
  <c r="BI183" i="3" s="1"/>
  <c r="BI184" i="3" s="1"/>
  <c r="BI185" i="3" s="1"/>
  <c r="BI186" i="3" s="1"/>
  <c r="BI187" i="3" s="1"/>
  <c r="BI188" i="3" s="1"/>
  <c r="BI189" i="3" s="1"/>
  <c r="BI190" i="3" s="1"/>
  <c r="BI191" i="3" s="1"/>
  <c r="BI192" i="3" s="1"/>
  <c r="BI193" i="3" s="1"/>
  <c r="BI194" i="3" s="1"/>
  <c r="BI195" i="3" s="1"/>
  <c r="BI196" i="3" s="1"/>
  <c r="BI197" i="3" s="1"/>
  <c r="BI198" i="3" s="1"/>
  <c r="BI199" i="3" s="1"/>
  <c r="BI200" i="3" s="1"/>
  <c r="BI201" i="3" s="1"/>
  <c r="BI202" i="3" s="1"/>
  <c r="BI203" i="3" s="1"/>
  <c r="BI204" i="3" s="1"/>
  <c r="BI205" i="3" s="1"/>
  <c r="BI206" i="3" s="1"/>
  <c r="BI207" i="3" s="1"/>
  <c r="BI208" i="3" s="1"/>
  <c r="BI209" i="3" s="1"/>
  <c r="BI210" i="3" s="1"/>
  <c r="BI211" i="3" s="1"/>
  <c r="BI212" i="3" s="1"/>
  <c r="BI213" i="3" s="1"/>
  <c r="BI214" i="3" s="1"/>
  <c r="BI215" i="3" s="1"/>
  <c r="BI216" i="3" s="1"/>
  <c r="BI217" i="3" s="1"/>
  <c r="BI218" i="3" s="1"/>
  <c r="AU215" i="3"/>
  <c r="AX215" i="3" s="1"/>
  <c r="AU413" i="3"/>
  <c r="AX413" i="3" s="1"/>
  <c r="AW413" i="3"/>
  <c r="AW350" i="3"/>
  <c r="AU402" i="3"/>
  <c r="AX402" i="3" s="1"/>
  <c r="AW402" i="3"/>
  <c r="AU230" i="3"/>
  <c r="AX230" i="3" s="1"/>
  <c r="AU395" i="3"/>
  <c r="AX395" i="3" s="1"/>
  <c r="AW395" i="3"/>
  <c r="AU401" i="3"/>
  <c r="AX401" i="3" s="1"/>
  <c r="AW401" i="3"/>
  <c r="AU198" i="3"/>
  <c r="AX198" i="3" s="1"/>
  <c r="AU308" i="3"/>
  <c r="AX308" i="3" s="1"/>
  <c r="AW347" i="3"/>
  <c r="AU399" i="3"/>
  <c r="AX399" i="3" s="1"/>
  <c r="AW399" i="3"/>
  <c r="AW354" i="3"/>
  <c r="AU406" i="3"/>
  <c r="AX406" i="3" s="1"/>
  <c r="AW406" i="3"/>
  <c r="AU386" i="3"/>
  <c r="AX386" i="3" s="1"/>
  <c r="AW386" i="3"/>
  <c r="AW341" i="3"/>
  <c r="AU393" i="3"/>
  <c r="AX393" i="3" s="1"/>
  <c r="AW393" i="3"/>
  <c r="AU384" i="3"/>
  <c r="AX384" i="3" s="1"/>
  <c r="AW384" i="3"/>
  <c r="AU387" i="3"/>
  <c r="AX387" i="3" s="1"/>
  <c r="AW387" i="3"/>
  <c r="AU392" i="3"/>
  <c r="AX392" i="3" s="1"/>
  <c r="AW392" i="3"/>
  <c r="AU385" i="3"/>
  <c r="AX385" i="3" s="1"/>
  <c r="AW385" i="3"/>
  <c r="AU390" i="3"/>
  <c r="AX390" i="3" s="1"/>
  <c r="AW390" i="3"/>
  <c r="AU391" i="3"/>
  <c r="AX391" i="3" s="1"/>
  <c r="AW391" i="3"/>
  <c r="AU389" i="3"/>
  <c r="AX389" i="3" s="1"/>
  <c r="AW389" i="3"/>
  <c r="AU394" i="3"/>
  <c r="AX394" i="3" s="1"/>
  <c r="AW394" i="3"/>
  <c r="AU388" i="3"/>
  <c r="AX388" i="3" s="1"/>
  <c r="AW388" i="3"/>
  <c r="AU209" i="3"/>
  <c r="AX209" i="3" s="1"/>
  <c r="BE332" i="3"/>
  <c r="BE333" i="3" s="1"/>
  <c r="BE334" i="3" s="1"/>
  <c r="BE335" i="3" s="1"/>
  <c r="BE336" i="3" s="1"/>
  <c r="BE337" i="3" s="1"/>
  <c r="BE338" i="3" s="1"/>
  <c r="BE339" i="3" s="1"/>
  <c r="BE340" i="3" s="1"/>
  <c r="BE341" i="3" s="1"/>
  <c r="BE342" i="3" s="1"/>
  <c r="BG332" i="3"/>
  <c r="BG333" i="3" s="1"/>
  <c r="BG334" i="3" s="1"/>
  <c r="BG335" i="3" s="1"/>
  <c r="BG336" i="3" s="1"/>
  <c r="BG337" i="3" s="1"/>
  <c r="BG338" i="3" s="1"/>
  <c r="BG339" i="3" s="1"/>
  <c r="BG340" i="3" s="1"/>
  <c r="BG341" i="3" s="1"/>
  <c r="BG342" i="3" s="1"/>
  <c r="AU382" i="3"/>
  <c r="AX382" i="3" s="1"/>
  <c r="AW382" i="3"/>
  <c r="AU381" i="3"/>
  <c r="AX381" i="3" s="1"/>
  <c r="AW381" i="3"/>
  <c r="AW303" i="3"/>
  <c r="AU355" i="3"/>
  <c r="AX355" i="3" s="1"/>
  <c r="AW251" i="3"/>
  <c r="AW233" i="3"/>
  <c r="AU285" i="3"/>
  <c r="AX285" i="3" s="1"/>
  <c r="AW234" i="3"/>
  <c r="AU286" i="3"/>
  <c r="AX286" i="3" s="1"/>
  <c r="AW235" i="3"/>
  <c r="AU287" i="3"/>
  <c r="AX287" i="3" s="1"/>
  <c r="AW226" i="3"/>
  <c r="AU278" i="3"/>
  <c r="AX278" i="3" s="1"/>
  <c r="AW227" i="3"/>
  <c r="AU279" i="3"/>
  <c r="AX279" i="3" s="1"/>
  <c r="AU298" i="3"/>
  <c r="AX298" i="3" s="1"/>
  <c r="AW246" i="3"/>
  <c r="AW249" i="3"/>
  <c r="AW301" i="3"/>
  <c r="AU353" i="3"/>
  <c r="AX353" i="3" s="1"/>
  <c r="AW192" i="3"/>
  <c r="AU296" i="3"/>
  <c r="AX296" i="3" s="1"/>
  <c r="AW228" i="3"/>
  <c r="AU280" i="3"/>
  <c r="AX280" i="3" s="1"/>
  <c r="AW229" i="3"/>
  <c r="AU281" i="3"/>
  <c r="AX281" i="3" s="1"/>
  <c r="AU352" i="3"/>
  <c r="AX352" i="3" s="1"/>
  <c r="AW300" i="3"/>
  <c r="AW231" i="3"/>
  <c r="AU283" i="3"/>
  <c r="AX283" i="3" s="1"/>
  <c r="AU376" i="3"/>
  <c r="AX376" i="3" s="1"/>
  <c r="AU378" i="3"/>
  <c r="AX378" i="3" s="1"/>
  <c r="AU379" i="3"/>
  <c r="AX379" i="3" s="1"/>
  <c r="AU374" i="3"/>
  <c r="AX374" i="3" s="1"/>
  <c r="BF332" i="3"/>
  <c r="BF333" i="3" s="1"/>
  <c r="BF334" i="3" s="1"/>
  <c r="BF335" i="3" s="1"/>
  <c r="BF336" i="3" s="1"/>
  <c r="BF337" i="3" s="1"/>
  <c r="BF338" i="3" s="1"/>
  <c r="BF339" i="3" s="1"/>
  <c r="BF340" i="3" s="1"/>
  <c r="BF341" i="3" s="1"/>
  <c r="BF342" i="3" s="1"/>
  <c r="AU277" i="3"/>
  <c r="AX277" i="3" s="1"/>
  <c r="AW225" i="3"/>
  <c r="AW375" i="3"/>
  <c r="AW175" i="3"/>
  <c r="AW379" i="3"/>
  <c r="AW190" i="3"/>
  <c r="AW237" i="3"/>
  <c r="AW223" i="3"/>
  <c r="AW374" i="3"/>
  <c r="BH332" i="3"/>
  <c r="BH333" i="3" s="1"/>
  <c r="BH334" i="3" s="1"/>
  <c r="BH335" i="3" s="1"/>
  <c r="BH336" i="3" s="1"/>
  <c r="BH337" i="3" s="1"/>
  <c r="BH338" i="3" s="1"/>
  <c r="BH339" i="3" s="1"/>
  <c r="BH340" i="3" s="1"/>
  <c r="BH341" i="3" s="1"/>
  <c r="BH342" i="3" s="1"/>
  <c r="AU380" i="3"/>
  <c r="AX380" i="3" s="1"/>
  <c r="AW380" i="3"/>
  <c r="AU383" i="3"/>
  <c r="AX383" i="3" s="1"/>
  <c r="AW383" i="3"/>
  <c r="AW232" i="3"/>
  <c r="AU284" i="3"/>
  <c r="AX284" i="3" s="1"/>
  <c r="AU276" i="3"/>
  <c r="AX276" i="3" s="1"/>
  <c r="AW224" i="3"/>
  <c r="AW377" i="3"/>
  <c r="AW212" i="3"/>
  <c r="AU264" i="3"/>
  <c r="AX264" i="3" s="1"/>
  <c r="AW236" i="3"/>
  <c r="AU288" i="3"/>
  <c r="AX288" i="3" s="1"/>
  <c r="AW230" i="3"/>
  <c r="AU282" i="3"/>
  <c r="AX282" i="3" s="1"/>
  <c r="BI273" i="3"/>
  <c r="BI274" i="3" s="1"/>
  <c r="BI275" i="3" s="1"/>
  <c r="BI276" i="3" s="1"/>
  <c r="BI277" i="3" s="1"/>
  <c r="BI278" i="3" s="1"/>
  <c r="BI279" i="3" s="1"/>
  <c r="BI280" i="3" s="1"/>
  <c r="BI281" i="3" s="1"/>
  <c r="BI282" i="3" s="1"/>
  <c r="BI283" i="3" s="1"/>
  <c r="BI284" i="3" s="1"/>
  <c r="BI285" i="3" s="1"/>
  <c r="BI286" i="3" s="1"/>
  <c r="BI287" i="3" s="1"/>
  <c r="BI288" i="3" s="1"/>
  <c r="BI289" i="3" s="1"/>
  <c r="BI290" i="3" s="1"/>
  <c r="BI291" i="3" s="1"/>
  <c r="BI292" i="3" s="1"/>
  <c r="BI293" i="3" s="1"/>
  <c r="BI294" i="3" s="1"/>
  <c r="BI295" i="3" s="1"/>
  <c r="BI296" i="3" s="1"/>
  <c r="BI297" i="3" s="1"/>
  <c r="BI298" i="3" s="1"/>
  <c r="BI299" i="3" s="1"/>
  <c r="BI300" i="3" s="1"/>
  <c r="BI301" i="3" s="1"/>
  <c r="BI302" i="3" s="1"/>
  <c r="BI303" i="3" s="1"/>
  <c r="BI304" i="3" s="1"/>
  <c r="BI305" i="3" s="1"/>
  <c r="BI306" i="3" s="1"/>
  <c r="BI307" i="3" s="1"/>
  <c r="BI308" i="3" s="1"/>
  <c r="BI309" i="3" s="1"/>
  <c r="BI310" i="3" s="1"/>
  <c r="BI311" i="3" s="1"/>
  <c r="BI312" i="3" s="1"/>
  <c r="BI313" i="3" s="1"/>
  <c r="BI314" i="3" s="1"/>
  <c r="BI315" i="3" s="1"/>
  <c r="BI316" i="3" s="1"/>
  <c r="BI317" i="3" s="1"/>
  <c r="BI318" i="3" s="1"/>
  <c r="AU375" i="3"/>
  <c r="AX375" i="3" s="1"/>
  <c r="AU377" i="3"/>
  <c r="AX377" i="3" s="1"/>
  <c r="AW179" i="3"/>
  <c r="AW183" i="3"/>
  <c r="AU300" i="3"/>
  <c r="AX300" i="3" s="1"/>
  <c r="AW247" i="3"/>
  <c r="AW176" i="3"/>
  <c r="AW180" i="3"/>
  <c r="AW378" i="3"/>
  <c r="AW184" i="3"/>
  <c r="AW376" i="3"/>
  <c r="AW188" i="3"/>
  <c r="AW239" i="3"/>
  <c r="BH319" i="3"/>
  <c r="BH320" i="3" s="1"/>
  <c r="BH321" i="3" s="1"/>
  <c r="BH322" i="3" s="1"/>
  <c r="BF319" i="3"/>
  <c r="BF320" i="3" s="1"/>
  <c r="BF321" i="3" s="1"/>
  <c r="BF322" i="3" s="1"/>
  <c r="AU270" i="3"/>
  <c r="AX270" i="3" s="1"/>
  <c r="AW218" i="3"/>
  <c r="AW272" i="3"/>
  <c r="AU324" i="3"/>
  <c r="AX324" i="3" s="1"/>
  <c r="AU240" i="3"/>
  <c r="AX240" i="3" s="1"/>
  <c r="AU188" i="3"/>
  <c r="AX188" i="3" s="1"/>
  <c r="AW271" i="3"/>
  <c r="AU323" i="3"/>
  <c r="AX323" i="3" s="1"/>
  <c r="AU220" i="3"/>
  <c r="AX220" i="3" s="1"/>
  <c r="AW168" i="3"/>
  <c r="AU338" i="3"/>
  <c r="AX338" i="3" s="1"/>
  <c r="AW286" i="3"/>
  <c r="AU349" i="3"/>
  <c r="AX349" i="3" s="1"/>
  <c r="AW297" i="3"/>
  <c r="AW326" i="3"/>
  <c r="BG319" i="3"/>
  <c r="BG320" i="3" s="1"/>
  <c r="BG321" i="3" s="1"/>
  <c r="BG322" i="3" s="1"/>
  <c r="AW361" i="3"/>
  <c r="AU228" i="3"/>
  <c r="AX228" i="3" s="1"/>
  <c r="AU176" i="3"/>
  <c r="AX176" i="3" s="1"/>
  <c r="AU229" i="3"/>
  <c r="AX229" i="3" s="1"/>
  <c r="AU177" i="3"/>
  <c r="AX177" i="3" s="1"/>
  <c r="AU231" i="3"/>
  <c r="AX231" i="3" s="1"/>
  <c r="AU179" i="3"/>
  <c r="AX179" i="3" s="1"/>
  <c r="AU233" i="3"/>
  <c r="AX233" i="3" s="1"/>
  <c r="AU181" i="3"/>
  <c r="AX181" i="3" s="1"/>
  <c r="AU234" i="3"/>
  <c r="AX234" i="3" s="1"/>
  <c r="AU182" i="3"/>
  <c r="AX182" i="3" s="1"/>
  <c r="AU235" i="3"/>
  <c r="AX235" i="3" s="1"/>
  <c r="AU183" i="3"/>
  <c r="AX183" i="3" s="1"/>
  <c r="AU236" i="3"/>
  <c r="AX236" i="3" s="1"/>
  <c r="AU184" i="3"/>
  <c r="AX184" i="3" s="1"/>
  <c r="AU221" i="3"/>
  <c r="AX221" i="3" s="1"/>
  <c r="AW169" i="3"/>
  <c r="AW222" i="3"/>
  <c r="AU222" i="3"/>
  <c r="AX222" i="3" s="1"/>
  <c r="AW170" i="3"/>
  <c r="AU274" i="3"/>
  <c r="AX274" i="3" s="1"/>
  <c r="AU330" i="3"/>
  <c r="AX330" i="3" s="1"/>
  <c r="AW278" i="3"/>
  <c r="AU333" i="3"/>
  <c r="AX333" i="3" s="1"/>
  <c r="AW281" i="3"/>
  <c r="AU332" i="3"/>
  <c r="AX332" i="3" s="1"/>
  <c r="AW280" i="3"/>
  <c r="AU342" i="3"/>
  <c r="AX342" i="3" s="1"/>
  <c r="AW290" i="3"/>
  <c r="AU292" i="3"/>
  <c r="AX292" i="3" s="1"/>
  <c r="AW240" i="3"/>
  <c r="AU295" i="3"/>
  <c r="AX295" i="3" s="1"/>
  <c r="AW243" i="3"/>
  <c r="AU350" i="3"/>
  <c r="AX350" i="3" s="1"/>
  <c r="AW298" i="3"/>
  <c r="AW328" i="3"/>
  <c r="AW332" i="3"/>
  <c r="AW322" i="3"/>
  <c r="AU272" i="3"/>
  <c r="AX272" i="3" s="1"/>
  <c r="AW220" i="3"/>
  <c r="AW335" i="3"/>
  <c r="BE319" i="3"/>
  <c r="BE320" i="3" s="1"/>
  <c r="BE321" i="3" s="1"/>
  <c r="BE322" i="3" s="1"/>
  <c r="AU199" i="3"/>
  <c r="AX199" i="3" s="1"/>
  <c r="AW199" i="3"/>
  <c r="AU251" i="3"/>
  <c r="AX251" i="3" s="1"/>
  <c r="AU303" i="3"/>
  <c r="AX303" i="3" s="1"/>
  <c r="AU204" i="3"/>
  <c r="AX204" i="3" s="1"/>
  <c r="AW204" i="3"/>
  <c r="AU256" i="3"/>
  <c r="AX256" i="3" s="1"/>
  <c r="AU241" i="3"/>
  <c r="AX241" i="3" s="1"/>
  <c r="AU189" i="3"/>
  <c r="AX189" i="3" s="1"/>
  <c r="AU203" i="3"/>
  <c r="AX203" i="3" s="1"/>
  <c r="AW203" i="3"/>
  <c r="AU255" i="3"/>
  <c r="AX255" i="3" s="1"/>
  <c r="AU207" i="3"/>
  <c r="AX207" i="3" s="1"/>
  <c r="AW207" i="3"/>
  <c r="AU259" i="3"/>
  <c r="AX259" i="3" s="1"/>
  <c r="AU223" i="3"/>
  <c r="AX223" i="3" s="1"/>
  <c r="AU171" i="3"/>
  <c r="AX171" i="3" s="1"/>
  <c r="AW171" i="3"/>
  <c r="AU275" i="3"/>
  <c r="AX275" i="3" s="1"/>
  <c r="AU325" i="3"/>
  <c r="AX325" i="3" s="1"/>
  <c r="AW273" i="3"/>
  <c r="AU341" i="3"/>
  <c r="AX341" i="3" s="1"/>
  <c r="AW289" i="3"/>
  <c r="AW323" i="3"/>
  <c r="AW325" i="3"/>
  <c r="AW331" i="3"/>
  <c r="AW336" i="3"/>
  <c r="AW345" i="3"/>
  <c r="AW344" i="3"/>
  <c r="AW355" i="3"/>
  <c r="AW362" i="3"/>
  <c r="AU169" i="3"/>
  <c r="AX169" i="3" s="1"/>
  <c r="AU185" i="3"/>
  <c r="AX185" i="3" s="1"/>
  <c r="AW348" i="3"/>
  <c r="AU168" i="3"/>
  <c r="AX168" i="3" s="1"/>
  <c r="AU200" i="3"/>
  <c r="AX200" i="3" s="1"/>
  <c r="AU197" i="3"/>
  <c r="AX197" i="3" s="1"/>
  <c r="AU187" i="3"/>
  <c r="AX187" i="3" s="1"/>
  <c r="AW340" i="3"/>
  <c r="AW324" i="3"/>
  <c r="AU219" i="3"/>
  <c r="AX219" i="3" s="1"/>
  <c r="AW167" i="3"/>
  <c r="AU327" i="3"/>
  <c r="AX327" i="3" s="1"/>
  <c r="AW275" i="3"/>
  <c r="AU336" i="3"/>
  <c r="AX336" i="3" s="1"/>
  <c r="AW284" i="3"/>
  <c r="AU337" i="3"/>
  <c r="AX337" i="3" s="1"/>
  <c r="AW285" i="3"/>
  <c r="AU348" i="3"/>
  <c r="AX348" i="3" s="1"/>
  <c r="AW296" i="3"/>
  <c r="AU326" i="3"/>
  <c r="AX326" i="3" s="1"/>
  <c r="AW274" i="3"/>
  <c r="AW334" i="3"/>
  <c r="AU225" i="3"/>
  <c r="AX225" i="3" s="1"/>
  <c r="AU173" i="3"/>
  <c r="AX173" i="3" s="1"/>
  <c r="AU328" i="3"/>
  <c r="AX328" i="3" s="1"/>
  <c r="AW276" i="3"/>
  <c r="AU340" i="3"/>
  <c r="AX340" i="3" s="1"/>
  <c r="AW288" i="3"/>
  <c r="AU294" i="3"/>
  <c r="AX294" i="3" s="1"/>
  <c r="AW242" i="3"/>
  <c r="AU293" i="3"/>
  <c r="AX293" i="3" s="1"/>
  <c r="AW241" i="3"/>
  <c r="AW339" i="3"/>
  <c r="AU351" i="3"/>
  <c r="AX351" i="3" s="1"/>
  <c r="AW299" i="3"/>
  <c r="AW327" i="3"/>
  <c r="AW330" i="3"/>
  <c r="AW337" i="3"/>
  <c r="AW352" i="3"/>
  <c r="AW343" i="3"/>
  <c r="AW349" i="3"/>
  <c r="AW366" i="3"/>
  <c r="AW368" i="3"/>
  <c r="AW364" i="3"/>
  <c r="AW270" i="3"/>
  <c r="AU322" i="3"/>
  <c r="AX322" i="3" s="1"/>
  <c r="AU271" i="3"/>
  <c r="AX271" i="3" s="1"/>
  <c r="AW219" i="3"/>
  <c r="AW353" i="3"/>
  <c r="AU202" i="3"/>
  <c r="AX202" i="3" s="1"/>
  <c r="AW202" i="3"/>
  <c r="AU254" i="3"/>
  <c r="AX254" i="3" s="1"/>
  <c r="AU206" i="3"/>
  <c r="AX206" i="3" s="1"/>
  <c r="AW206" i="3"/>
  <c r="AU258" i="3"/>
  <c r="AX258" i="3" s="1"/>
  <c r="AU242" i="3"/>
  <c r="AX242" i="3" s="1"/>
  <c r="AU190" i="3"/>
  <c r="AX190" i="3" s="1"/>
  <c r="AU201" i="3"/>
  <c r="AX201" i="3" s="1"/>
  <c r="AW201" i="3"/>
  <c r="AU253" i="3"/>
  <c r="AX253" i="3" s="1"/>
  <c r="AW205" i="3"/>
  <c r="AU205" i="3"/>
  <c r="AX205" i="3" s="1"/>
  <c r="AU257" i="3"/>
  <c r="AX257" i="3" s="1"/>
  <c r="AU273" i="3"/>
  <c r="AX273" i="3" s="1"/>
  <c r="AW221" i="3"/>
  <c r="AU329" i="3"/>
  <c r="AX329" i="3" s="1"/>
  <c r="AW277" i="3"/>
  <c r="AU331" i="3"/>
  <c r="AX331" i="3" s="1"/>
  <c r="AW279" i="3"/>
  <c r="AU339" i="3"/>
  <c r="AX339" i="3" s="1"/>
  <c r="AW287" i="3"/>
  <c r="AW329" i="3"/>
  <c r="AW333" i="3"/>
  <c r="AW338" i="3"/>
  <c r="AW293" i="3"/>
  <c r="AU345" i="3"/>
  <c r="AX345" i="3" s="1"/>
  <c r="AW342" i="3"/>
  <c r="BG395" i="3" l="1"/>
  <c r="BG396" i="3" s="1"/>
  <c r="BG397" i="3" s="1"/>
  <c r="BG398" i="3" s="1"/>
  <c r="BG399" i="3" s="1"/>
  <c r="BG400" i="3" s="1"/>
  <c r="BG401" i="3" s="1"/>
  <c r="BG402" i="3" s="1"/>
  <c r="BG403" i="3" s="1"/>
  <c r="BG404" i="3" s="1"/>
  <c r="BG405" i="3" s="1"/>
  <c r="BG406" i="3" s="1"/>
  <c r="BG407" i="3" s="1"/>
  <c r="BG408" i="3" s="1"/>
  <c r="BG409" i="3" s="1"/>
  <c r="BG410" i="3" s="1"/>
  <c r="BG411" i="3" s="1"/>
  <c r="BH395" i="3"/>
  <c r="BH396" i="3" s="1"/>
  <c r="BH397" i="3" s="1"/>
  <c r="BH398" i="3" s="1"/>
  <c r="BH399" i="3" s="1"/>
  <c r="BH400" i="3" s="1"/>
  <c r="BH401" i="3" s="1"/>
  <c r="BH402" i="3" s="1"/>
  <c r="BH403" i="3" s="1"/>
  <c r="BH404" i="3" s="1"/>
  <c r="BH405" i="3" s="1"/>
  <c r="BH406" i="3" s="1"/>
  <c r="BH407" i="3" s="1"/>
  <c r="BH408" i="3" s="1"/>
  <c r="BH409" i="3" s="1"/>
  <c r="BH410" i="3" s="1"/>
  <c r="BH411" i="3" s="1"/>
  <c r="BF386" i="3"/>
  <c r="BF387" i="3" s="1"/>
  <c r="BF388" i="3" s="1"/>
  <c r="BF389" i="3" s="1"/>
  <c r="BF390" i="3" s="1"/>
  <c r="BF391" i="3" s="1"/>
  <c r="BF392" i="3" s="1"/>
  <c r="BF393" i="3" s="1"/>
  <c r="BF394" i="3" s="1"/>
  <c r="BI378" i="3"/>
  <c r="BI379" i="3" s="1"/>
  <c r="BI380" i="3" s="1"/>
  <c r="BI381" i="3" s="1"/>
  <c r="BI382" i="3" s="1"/>
  <c r="BI383" i="3" s="1"/>
  <c r="BI384" i="3" s="1"/>
  <c r="BI385" i="3" s="1"/>
  <c r="BE378" i="3"/>
  <c r="BE379" i="3" s="1"/>
  <c r="BE380" i="3" s="1"/>
  <c r="BE381" i="3" s="1"/>
  <c r="BE382" i="3" s="1"/>
  <c r="BE383" i="3" s="1"/>
  <c r="BE384" i="3" s="1"/>
  <c r="BE385" i="3" s="1"/>
  <c r="BE386" i="3" s="1"/>
  <c r="BE387" i="3" s="1"/>
  <c r="BE388" i="3" s="1"/>
  <c r="BE389" i="3" s="1"/>
  <c r="BE390" i="3" s="1"/>
  <c r="BE391" i="3" s="1"/>
  <c r="BE392" i="3" s="1"/>
  <c r="BE393" i="3" s="1"/>
  <c r="BE394" i="3" s="1"/>
  <c r="BH343" i="3"/>
  <c r="BH344" i="3" s="1"/>
  <c r="BH345" i="3" s="1"/>
  <c r="BH346" i="3" s="1"/>
  <c r="BH347" i="3" s="1"/>
  <c r="BH348" i="3" s="1"/>
  <c r="BH349" i="3" s="1"/>
  <c r="BH350" i="3" s="1"/>
  <c r="BH351" i="3" s="1"/>
  <c r="BH352" i="3" s="1"/>
  <c r="BH353" i="3" s="1"/>
  <c r="BH354" i="3" s="1"/>
  <c r="BH355" i="3" s="1"/>
  <c r="BH356" i="3" s="1"/>
  <c r="BH357" i="3" s="1"/>
  <c r="BH358" i="3" s="1"/>
  <c r="BH359" i="3" s="1"/>
  <c r="BH360" i="3" s="1"/>
  <c r="BH361" i="3" s="1"/>
  <c r="BH362" i="3" s="1"/>
  <c r="BH363" i="3" s="1"/>
  <c r="BH364" i="3" s="1"/>
  <c r="BH365" i="3" s="1"/>
  <c r="BH366" i="3" s="1"/>
  <c r="BH367" i="3" s="1"/>
  <c r="BH368" i="3" s="1"/>
  <c r="BH369" i="3" s="1"/>
  <c r="BF343" i="3"/>
  <c r="BF344" i="3" s="1"/>
  <c r="BF345" i="3" s="1"/>
  <c r="BF346" i="3" s="1"/>
  <c r="BF347" i="3" s="1"/>
  <c r="BF348" i="3" s="1"/>
  <c r="BF349" i="3" s="1"/>
  <c r="BF350" i="3" s="1"/>
  <c r="BF351" i="3" s="1"/>
  <c r="BF352" i="3" s="1"/>
  <c r="BF353" i="3" s="1"/>
  <c r="BF354" i="3" s="1"/>
  <c r="BF355" i="3" s="1"/>
  <c r="BF356" i="3" s="1"/>
  <c r="BF357" i="3" s="1"/>
  <c r="BF358" i="3" s="1"/>
  <c r="BF359" i="3" s="1"/>
  <c r="BF360" i="3" s="1"/>
  <c r="BF361" i="3" s="1"/>
  <c r="BF362" i="3" s="1"/>
  <c r="BF363" i="3" s="1"/>
  <c r="BF364" i="3" s="1"/>
  <c r="BF365" i="3" s="1"/>
  <c r="BF366" i="3" s="1"/>
  <c r="BF367" i="3" s="1"/>
  <c r="BF368" i="3" s="1"/>
  <c r="BF369" i="3" s="1"/>
  <c r="BE343" i="3"/>
  <c r="BE344" i="3" s="1"/>
  <c r="BE345" i="3" s="1"/>
  <c r="BE346" i="3" s="1"/>
  <c r="BE347" i="3" s="1"/>
  <c r="BE348" i="3" s="1"/>
  <c r="BE349" i="3" s="1"/>
  <c r="BE350" i="3" s="1"/>
  <c r="BE351" i="3" s="1"/>
  <c r="BE352" i="3" s="1"/>
  <c r="BE353" i="3" s="1"/>
  <c r="BE354" i="3" s="1"/>
  <c r="BE355" i="3" s="1"/>
  <c r="BE356" i="3" s="1"/>
  <c r="BE357" i="3" s="1"/>
  <c r="BE358" i="3" s="1"/>
  <c r="BE359" i="3" s="1"/>
  <c r="BE360" i="3" s="1"/>
  <c r="BE361" i="3" s="1"/>
  <c r="BE362" i="3" s="1"/>
  <c r="BE363" i="3" s="1"/>
  <c r="BE364" i="3" s="1"/>
  <c r="BE365" i="3" s="1"/>
  <c r="BE366" i="3" s="1"/>
  <c r="BE367" i="3" s="1"/>
  <c r="BE368" i="3" s="1"/>
  <c r="BE369" i="3" s="1"/>
  <c r="BG343" i="3"/>
  <c r="BG344" i="3" s="1"/>
  <c r="BG345" i="3" s="1"/>
  <c r="BG346" i="3" s="1"/>
  <c r="BG347" i="3" s="1"/>
  <c r="BG348" i="3" s="1"/>
  <c r="BG349" i="3" s="1"/>
  <c r="BG350" i="3" s="1"/>
  <c r="BG351" i="3" s="1"/>
  <c r="BG352" i="3" s="1"/>
  <c r="BG353" i="3" s="1"/>
  <c r="BG354" i="3" s="1"/>
  <c r="BG355" i="3" s="1"/>
  <c r="BG356" i="3" s="1"/>
  <c r="BG357" i="3" s="1"/>
  <c r="BG358" i="3" s="1"/>
  <c r="BG359" i="3" s="1"/>
  <c r="BG360" i="3" s="1"/>
  <c r="BG361" i="3" s="1"/>
  <c r="BG362" i="3" s="1"/>
  <c r="BG363" i="3" s="1"/>
  <c r="BG364" i="3" s="1"/>
  <c r="BG365" i="3" s="1"/>
  <c r="BG366" i="3" s="1"/>
  <c r="BG367" i="3" s="1"/>
  <c r="BG368" i="3" s="1"/>
  <c r="BG369" i="3" s="1"/>
  <c r="BI332" i="3"/>
  <c r="BI333" i="3" s="1"/>
  <c r="BI334" i="3" s="1"/>
  <c r="BI335" i="3" s="1"/>
  <c r="BI336" i="3" s="1"/>
  <c r="BI337" i="3" s="1"/>
  <c r="BI338" i="3" s="1"/>
  <c r="BI339" i="3" s="1"/>
  <c r="BI340" i="3" s="1"/>
  <c r="BI341" i="3" s="1"/>
  <c r="BI342" i="3" s="1"/>
  <c r="BI319" i="3"/>
  <c r="BI320" i="3" s="1"/>
  <c r="BI321" i="3" s="1"/>
  <c r="BI322" i="3" s="1"/>
  <c r="BH412" i="3" l="1"/>
  <c r="BH413" i="3" s="1"/>
  <c r="BH414" i="3" s="1"/>
  <c r="BH415" i="3" s="1"/>
  <c r="BH416" i="3" s="1"/>
  <c r="BH417" i="3" s="1"/>
  <c r="BH418" i="3" s="1"/>
  <c r="BH419" i="3" s="1"/>
  <c r="BH420" i="3" s="1"/>
  <c r="BH421" i="3" s="1"/>
  <c r="BH422" i="3" s="1"/>
  <c r="BH423" i="3" s="1"/>
  <c r="BH424" i="3" s="1"/>
  <c r="BH425" i="3" s="1"/>
  <c r="BH426" i="3" s="1"/>
  <c r="BH427" i="3" s="1"/>
  <c r="BG412" i="3"/>
  <c r="BG413" i="3" s="1"/>
  <c r="BG414" i="3" s="1"/>
  <c r="BG415" i="3" s="1"/>
  <c r="BG416" i="3" s="1"/>
  <c r="BG417" i="3" s="1"/>
  <c r="BG418" i="3" s="1"/>
  <c r="BG419" i="3" s="1"/>
  <c r="BG420" i="3" s="1"/>
  <c r="BG421" i="3" s="1"/>
  <c r="BG422" i="3" s="1"/>
  <c r="BG423" i="3" s="1"/>
  <c r="BG424" i="3" s="1"/>
  <c r="BG425" i="3" s="1"/>
  <c r="BG426" i="3" s="1"/>
  <c r="BG427" i="3" s="1"/>
  <c r="BE395" i="3"/>
  <c r="BE396" i="3" s="1"/>
  <c r="BE397" i="3" s="1"/>
  <c r="BE398" i="3" s="1"/>
  <c r="BE399" i="3" s="1"/>
  <c r="BE400" i="3" s="1"/>
  <c r="BE401" i="3" s="1"/>
  <c r="BE402" i="3" s="1"/>
  <c r="BE403" i="3" s="1"/>
  <c r="BE404" i="3" s="1"/>
  <c r="BE405" i="3" s="1"/>
  <c r="BE406" i="3" s="1"/>
  <c r="BE407" i="3" s="1"/>
  <c r="BE408" i="3" s="1"/>
  <c r="BE409" i="3" s="1"/>
  <c r="BE410" i="3" s="1"/>
  <c r="BE411" i="3" s="1"/>
  <c r="BF395" i="3"/>
  <c r="BF396" i="3" s="1"/>
  <c r="BF397" i="3" s="1"/>
  <c r="BF398" i="3" s="1"/>
  <c r="BF399" i="3" s="1"/>
  <c r="BF400" i="3" s="1"/>
  <c r="BF401" i="3" s="1"/>
  <c r="BF402" i="3" s="1"/>
  <c r="BF403" i="3" s="1"/>
  <c r="BF404" i="3" s="1"/>
  <c r="BF405" i="3" s="1"/>
  <c r="BF406" i="3" s="1"/>
  <c r="BF407" i="3" s="1"/>
  <c r="BF408" i="3" s="1"/>
  <c r="BF409" i="3" s="1"/>
  <c r="BF410" i="3" s="1"/>
  <c r="BF411" i="3" s="1"/>
  <c r="BI386" i="3"/>
  <c r="BI387" i="3" s="1"/>
  <c r="BI388" i="3" s="1"/>
  <c r="BI389" i="3" s="1"/>
  <c r="BI390" i="3" s="1"/>
  <c r="BI391" i="3" s="1"/>
  <c r="BI392" i="3" s="1"/>
  <c r="BI393" i="3" s="1"/>
  <c r="BI394" i="3" s="1"/>
  <c r="BG370" i="3"/>
  <c r="BG371" i="3" s="1"/>
  <c r="BG372" i="3" s="1"/>
  <c r="BG373" i="3" s="1"/>
  <c r="BE370" i="3"/>
  <c r="BE371" i="3" s="1"/>
  <c r="BE372" i="3" s="1"/>
  <c r="BE373" i="3" s="1"/>
  <c r="BF370" i="3"/>
  <c r="BF371" i="3" s="1"/>
  <c r="BF372" i="3" s="1"/>
  <c r="BF373" i="3" s="1"/>
  <c r="BH370" i="3"/>
  <c r="BH371" i="3" s="1"/>
  <c r="BH372" i="3" s="1"/>
  <c r="BH373" i="3" s="1"/>
  <c r="BI343" i="3"/>
  <c r="BI344" i="3" s="1"/>
  <c r="BI345" i="3" s="1"/>
  <c r="BI346" i="3" s="1"/>
  <c r="BI347" i="3" s="1"/>
  <c r="BI348" i="3" s="1"/>
  <c r="BI349" i="3" s="1"/>
  <c r="BI350" i="3" s="1"/>
  <c r="BI351" i="3" s="1"/>
  <c r="BI352" i="3" s="1"/>
  <c r="BI353" i="3" s="1"/>
  <c r="BI354" i="3" s="1"/>
  <c r="BI355" i="3" s="1"/>
  <c r="BI356" i="3" s="1"/>
  <c r="BI357" i="3" s="1"/>
  <c r="BI358" i="3" s="1"/>
  <c r="BI359" i="3" s="1"/>
  <c r="BI360" i="3" s="1"/>
  <c r="BI361" i="3" s="1"/>
  <c r="BI362" i="3" s="1"/>
  <c r="BI363" i="3" s="1"/>
  <c r="BI364" i="3" s="1"/>
  <c r="BI365" i="3" s="1"/>
  <c r="BI366" i="3" s="1"/>
  <c r="BI367" i="3" s="1"/>
  <c r="BI368" i="3" s="1"/>
  <c r="BI369" i="3" s="1"/>
  <c r="BF412" i="3" l="1"/>
  <c r="BF413" i="3" s="1"/>
  <c r="BF414" i="3" s="1"/>
  <c r="BF415" i="3" s="1"/>
  <c r="BF416" i="3" s="1"/>
  <c r="BF417" i="3" s="1"/>
  <c r="BF418" i="3" s="1"/>
  <c r="BF419" i="3" s="1"/>
  <c r="BF420" i="3" s="1"/>
  <c r="BF421" i="3" s="1"/>
  <c r="BF422" i="3" s="1"/>
  <c r="BF423" i="3" s="1"/>
  <c r="BF424" i="3" s="1"/>
  <c r="BF425" i="3" s="1"/>
  <c r="BF426" i="3" s="1"/>
  <c r="BF427" i="3" s="1"/>
  <c r="C17" i="1"/>
  <c r="BE412" i="3"/>
  <c r="BE413" i="3" s="1"/>
  <c r="BE414" i="3" s="1"/>
  <c r="BE415" i="3" s="1"/>
  <c r="BE416" i="3" s="1"/>
  <c r="BE417" i="3" s="1"/>
  <c r="BE418" i="3" s="1"/>
  <c r="BE419" i="3" s="1"/>
  <c r="BE420" i="3" s="1"/>
  <c r="BE421" i="3" s="1"/>
  <c r="BE422" i="3" s="1"/>
  <c r="BE423" i="3" s="1"/>
  <c r="BE424" i="3" s="1"/>
  <c r="BE425" i="3" s="1"/>
  <c r="BE426" i="3" s="1"/>
  <c r="BE427" i="3" s="1"/>
  <c r="BI395" i="3"/>
  <c r="BI396" i="3" s="1"/>
  <c r="BI397" i="3" s="1"/>
  <c r="BI398" i="3" s="1"/>
  <c r="BI399" i="3" s="1"/>
  <c r="BI400" i="3" s="1"/>
  <c r="BI401" i="3" s="1"/>
  <c r="BI402" i="3" s="1"/>
  <c r="BI403" i="3" s="1"/>
  <c r="BI404" i="3" s="1"/>
  <c r="BI405" i="3" s="1"/>
  <c r="BI406" i="3" s="1"/>
  <c r="BI407" i="3" s="1"/>
  <c r="BI408" i="3" s="1"/>
  <c r="BI409" i="3" s="1"/>
  <c r="BI410" i="3" s="1"/>
  <c r="BI411" i="3" s="1"/>
  <c r="BH374" i="3"/>
  <c r="BH375" i="3" s="1"/>
  <c r="BE374" i="3"/>
  <c r="BE375" i="3" s="1"/>
  <c r="BG374" i="3"/>
  <c r="BG375" i="3" s="1"/>
  <c r="D17" i="1"/>
  <c r="BF374" i="3"/>
  <c r="BF375" i="3" s="1"/>
  <c r="BI370" i="3"/>
  <c r="BI371" i="3" s="1"/>
  <c r="BI372" i="3" s="1"/>
  <c r="BI373" i="3" s="1"/>
  <c r="BI412" i="3" l="1"/>
  <c r="BI413" i="3" s="1"/>
  <c r="BI414" i="3" s="1"/>
  <c r="BI415" i="3" s="1"/>
  <c r="BI416" i="3" s="1"/>
  <c r="BI417" i="3" s="1"/>
  <c r="BI418" i="3" s="1"/>
  <c r="BI419" i="3" s="1"/>
  <c r="BI420" i="3" s="1"/>
  <c r="BI421" i="3" s="1"/>
  <c r="BI422" i="3" s="1"/>
  <c r="BI423" i="3" s="1"/>
  <c r="BI424" i="3" s="1"/>
  <c r="BI425" i="3" s="1"/>
  <c r="BI426" i="3" s="1"/>
  <c r="BI427" i="3" s="1"/>
  <c r="F17" i="1"/>
  <c r="BI374" i="3"/>
  <c r="BI375" i="3" s="1"/>
</calcChain>
</file>

<file path=xl/sharedStrings.xml><?xml version="1.0" encoding="utf-8"?>
<sst xmlns="http://schemas.openxmlformats.org/spreadsheetml/2006/main" count="183" uniqueCount="64">
  <si>
    <t>Mississippi River</t>
  </si>
  <si>
    <t>Rock Island, IL (L15)</t>
  </si>
  <si>
    <t>Winfield, MO (L25)</t>
  </si>
  <si>
    <t>Alton, IL (L26)</t>
  </si>
  <si>
    <t>Granite City, IL (L27)</t>
  </si>
  <si>
    <t>Illinois River (L8)</t>
  </si>
  <si>
    <t>Ohio River (L52)</t>
  </si>
  <si>
    <t>Arkansas River (L1)</t>
  </si>
  <si>
    <t xml:space="preserve">         Total</t>
  </si>
  <si>
    <t>Other</t>
  </si>
  <si>
    <t>Note:  Total may not add exactly, due to rounding</t>
  </si>
  <si>
    <t>Barge Grain Movements (1,000 tons)</t>
  </si>
  <si>
    <t>Table 10</t>
  </si>
  <si>
    <t>% change</t>
  </si>
  <si>
    <t>Total</t>
  </si>
  <si>
    <t>3-year avg of</t>
  </si>
  <si>
    <t>this week to</t>
  </si>
  <si>
    <t>last 4-weeks</t>
  </si>
  <si>
    <t>Mississippi</t>
  </si>
  <si>
    <t>Ohio</t>
  </si>
  <si>
    <t>Arkansas</t>
  </si>
  <si>
    <t>4-week</t>
  </si>
  <si>
    <t xml:space="preserve">4-week </t>
  </si>
  <si>
    <t xml:space="preserve">same week </t>
  </si>
  <si>
    <t>to same 4-weeks</t>
  </si>
  <si>
    <t>to 3-year</t>
  </si>
  <si>
    <t>Lock 27</t>
  </si>
  <si>
    <t>Lock 52</t>
  </si>
  <si>
    <t>Lock 1</t>
  </si>
  <si>
    <t>average</t>
  </si>
  <si>
    <t>last year</t>
  </si>
  <si>
    <t>Corn Volumes</t>
  </si>
  <si>
    <t>Miss.</t>
  </si>
  <si>
    <t>Other Grain Volumes</t>
  </si>
  <si>
    <t>Soybean Volumes</t>
  </si>
  <si>
    <t>Wheat Volumes</t>
  </si>
  <si>
    <t>Total Grain Volumes</t>
  </si>
  <si>
    <r>
      <t>1</t>
    </r>
    <r>
      <rPr>
        <sz val="8"/>
        <rFont val="Times New Roman"/>
        <family val="1"/>
      </rPr>
      <t xml:space="preserve"> Weekly total, YTD (year-to-date) and calendar year total includes Miss/27, Ohio/52, and Ark/1; "Other" refers to oats, barley, sorghum, and rye. </t>
    </r>
  </si>
  <si>
    <t>Soybean</t>
  </si>
  <si>
    <t>Wheat</t>
  </si>
  <si>
    <t>Corn</t>
  </si>
  <si>
    <t>YTD</t>
  </si>
  <si>
    <t>Soybeans</t>
  </si>
  <si>
    <t>Weekly Totals (1000 tons)</t>
  </si>
  <si>
    <t>Table 10:  Grain Barge Movements</t>
  </si>
  <si>
    <t>Source:  U.S. Army Corps of Engineers</t>
  </si>
  <si>
    <t xml:space="preserve">Footnote:  </t>
  </si>
  <si>
    <t>Dash marks '-' indicate no data available that week.</t>
  </si>
  <si>
    <t xml:space="preserve">Empty cells indicate insufficient data to perform the calcuation.  </t>
  </si>
  <si>
    <t>Week Number</t>
  </si>
  <si>
    <t>Week ending</t>
  </si>
  <si>
    <t>n/a</t>
  </si>
  <si>
    <t>Yellow highlight indicates revised data</t>
  </si>
  <si>
    <t xml:space="preserve">Source:  U.S. Army Corps of Engineers </t>
  </si>
  <si>
    <t>Weekly total - 2013</t>
  </si>
  <si>
    <t xml:space="preserve">Locks 16, 17, 18, 20, 21, 22, 24, 25, and 27 closed most of the week.  </t>
  </si>
  <si>
    <t>Total 2013</t>
  </si>
  <si>
    <r>
      <t>Last 4 weeks as % of 2013</t>
    </r>
    <r>
      <rPr>
        <vertAlign val="superscript"/>
        <sz val="9"/>
        <rFont val="Times New Roman"/>
        <family val="1"/>
      </rPr>
      <t>2</t>
    </r>
  </si>
  <si>
    <r>
      <t xml:space="preserve">2 </t>
    </r>
    <r>
      <rPr>
        <sz val="8"/>
        <rFont val="Times New Roman"/>
        <family val="1"/>
      </rPr>
      <t xml:space="preserve">As a percent of same period in 2013. </t>
    </r>
  </si>
  <si>
    <r>
      <t>2014 YTD</t>
    </r>
    <r>
      <rPr>
        <vertAlign val="superscript"/>
        <sz val="9"/>
        <rFont val="Times New Roman"/>
        <family val="1"/>
      </rPr>
      <t>1</t>
    </r>
  </si>
  <si>
    <t>2013 YTD</t>
  </si>
  <si>
    <t>2014 as % of 2013 YTD</t>
  </si>
  <si>
    <t>Weekly total - 2014</t>
  </si>
  <si>
    <t>Week ending 12/13/2014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</si>
</sst>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#,##0_____);\(#,##0\)"/>
    <numFmt numFmtId="165" formatCode="#,##0___________);\(#,##0\)"/>
    <numFmt numFmtId="166" formatCode="_(* #,##0_);_(* \(#,##0\);_(* &quot;-&quot;??_);_(@_)"/>
    <numFmt numFmtId="167" formatCode="0.0"/>
    <numFmt numFmtId="168" formatCode="mm/dd/yy;@"/>
  </numFmts>
  <fonts count="15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10"/>
      <name val="Times New Roman"/>
      <family val="1"/>
    </font>
    <font>
      <vertAlign val="superscript"/>
      <sz val="9"/>
      <name val="Times New Roman"/>
      <family val="1"/>
    </font>
    <font>
      <vertAlign val="superscript"/>
      <sz val="10"/>
      <name val="Times New Roman"/>
      <family val="1"/>
    </font>
    <font>
      <b/>
      <sz val="11"/>
      <name val="Times New Roman"/>
      <family val="1"/>
    </font>
    <font>
      <vertAlign val="superscript"/>
      <sz val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3" fillId="2" borderId="0" xfId="0" applyFont="1" applyFill="1"/>
    <xf numFmtId="0" fontId="6" fillId="2" borderId="0" xfId="0" applyFont="1" applyFill="1"/>
    <xf numFmtId="0" fontId="3" fillId="2" borderId="2" xfId="0" applyFont="1" applyFill="1" applyBorder="1"/>
    <xf numFmtId="0" fontId="3" fillId="2" borderId="0" xfId="0" applyFont="1" applyFill="1" applyAlignment="1">
      <alignment horizontal="left" indent="2"/>
    </xf>
    <xf numFmtId="0" fontId="6" fillId="0" borderId="0" xfId="0" applyFont="1"/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0" fontId="6" fillId="3" borderId="0" xfId="0" applyFont="1" applyFill="1"/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9" fillId="3" borderId="0" xfId="0" applyFont="1" applyFill="1"/>
    <xf numFmtId="0" fontId="2" fillId="2" borderId="0" xfId="0" applyFont="1" applyFill="1"/>
    <xf numFmtId="0" fontId="10" fillId="2" borderId="2" xfId="0" applyFont="1" applyFill="1" applyBorder="1"/>
    <xf numFmtId="0" fontId="3" fillId="4" borderId="3" xfId="0" applyFont="1" applyFill="1" applyBorder="1"/>
    <xf numFmtId="0" fontId="11" fillId="2" borderId="0" xfId="0" applyFont="1" applyFill="1"/>
    <xf numFmtId="0" fontId="11" fillId="3" borderId="0" xfId="0" applyFont="1" applyFill="1"/>
    <xf numFmtId="0" fontId="7" fillId="0" borderId="0" xfId="0" applyFont="1" applyFill="1" applyBorder="1"/>
    <xf numFmtId="0" fontId="3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4" fillId="0" borderId="0" xfId="0" applyFont="1" applyFill="1" applyBorder="1"/>
    <xf numFmtId="0" fontId="7" fillId="0" borderId="0" xfId="0" applyFont="1"/>
    <xf numFmtId="0" fontId="4" fillId="0" borderId="4" xfId="0" applyFont="1" applyFill="1" applyBorder="1"/>
    <xf numFmtId="0" fontId="4" fillId="0" borderId="4" xfId="0" applyFont="1" applyFill="1" applyBorder="1" applyAlignment="1">
      <alignment horizontal="center"/>
    </xf>
    <xf numFmtId="0" fontId="7" fillId="0" borderId="4" xfId="0" applyFont="1" applyBorder="1"/>
    <xf numFmtId="0" fontId="7" fillId="0" borderId="0" xfId="0" applyFont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2" fillId="2" borderId="0" xfId="0" applyFont="1" applyFill="1" applyAlignment="1">
      <alignment horizontal="right"/>
    </xf>
    <xf numFmtId="0" fontId="3" fillId="2" borderId="2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6" fillId="2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4" fillId="0" borderId="4" xfId="0" applyFont="1" applyBorder="1"/>
    <xf numFmtId="3" fontId="3" fillId="3" borderId="0" xfId="0" applyNumberFormat="1" applyFont="1" applyFill="1"/>
    <xf numFmtId="0" fontId="4" fillId="4" borderId="3" xfId="0" applyFont="1" applyFill="1" applyBorder="1" applyAlignment="1">
      <alignment horizontal="left"/>
    </xf>
    <xf numFmtId="0" fontId="4" fillId="4" borderId="3" xfId="0" applyFont="1" applyFill="1" applyBorder="1" applyAlignment="1"/>
    <xf numFmtId="164" fontId="3" fillId="3" borderId="0" xfId="0" applyNumberFormat="1" applyFont="1" applyFill="1"/>
    <xf numFmtId="0" fontId="4" fillId="4" borderId="3" xfId="0" applyFont="1" applyFill="1" applyBorder="1" applyAlignment="1">
      <alignment horizontal="right"/>
    </xf>
    <xf numFmtId="3" fontId="3" fillId="2" borderId="0" xfId="0" applyNumberFormat="1" applyFont="1" applyFill="1" applyAlignment="1">
      <alignment horizontal="right"/>
    </xf>
    <xf numFmtId="3" fontId="3" fillId="3" borderId="6" xfId="0" applyNumberFormat="1" applyFont="1" applyFill="1" applyBorder="1" applyAlignment="1">
      <alignment horizontal="right"/>
    </xf>
    <xf numFmtId="3" fontId="3" fillId="2" borderId="2" xfId="0" applyNumberFormat="1" applyFont="1" applyFill="1" applyBorder="1" applyAlignment="1">
      <alignment horizontal="right"/>
    </xf>
    <xf numFmtId="168" fontId="3" fillId="0" borderId="0" xfId="0" applyNumberFormat="1" applyFont="1" applyFill="1" applyBorder="1"/>
    <xf numFmtId="168" fontId="3" fillId="0" borderId="0" xfId="0" applyNumberFormat="1" applyFont="1" applyFill="1"/>
    <xf numFmtId="0" fontId="12" fillId="0" borderId="0" xfId="0" applyFont="1" applyFill="1" applyBorder="1"/>
    <xf numFmtId="0" fontId="2" fillId="0" borderId="0" xfId="0" applyFont="1" applyFill="1"/>
    <xf numFmtId="0" fontId="2" fillId="0" borderId="5" xfId="0" applyFont="1" applyBorder="1"/>
    <xf numFmtId="166" fontId="2" fillId="0" borderId="0" xfId="1" applyNumberFormat="1" applyFont="1"/>
    <xf numFmtId="0" fontId="2" fillId="0" borderId="0" xfId="0" applyFont="1" applyBorder="1"/>
    <xf numFmtId="0" fontId="2" fillId="0" borderId="0" xfId="0" applyFont="1" applyFill="1" applyBorder="1"/>
    <xf numFmtId="166" fontId="2" fillId="0" borderId="0" xfId="1" quotePrefix="1" applyNumberFormat="1" applyFont="1"/>
    <xf numFmtId="166" fontId="13" fillId="0" borderId="0" xfId="1" applyNumberFormat="1" applyFont="1" applyFill="1" applyBorder="1" applyAlignment="1">
      <alignment horizontal="right" wrapText="1"/>
    </xf>
    <xf numFmtId="166" fontId="13" fillId="0" borderId="1" xfId="1" applyNumberFormat="1" applyFont="1" applyFill="1" applyBorder="1" applyAlignment="1">
      <alignment horizontal="right" wrapText="1"/>
    </xf>
    <xf numFmtId="167" fontId="2" fillId="0" borderId="0" xfId="0" applyNumberFormat="1" applyFont="1"/>
    <xf numFmtId="166" fontId="2" fillId="0" borderId="0" xfId="0" applyNumberFormat="1" applyFont="1"/>
    <xf numFmtId="1" fontId="2" fillId="0" borderId="0" xfId="0" applyNumberFormat="1" applyFont="1"/>
    <xf numFmtId="1" fontId="7" fillId="0" borderId="0" xfId="0" applyNumberFormat="1" applyFont="1"/>
    <xf numFmtId="16" fontId="2" fillId="0" borderId="0" xfId="0" applyNumberFormat="1" applyFont="1"/>
    <xf numFmtId="3" fontId="2" fillId="0" borderId="0" xfId="0" applyNumberFormat="1" applyFont="1"/>
    <xf numFmtId="9" fontId="2" fillId="0" borderId="0" xfId="2" applyFont="1"/>
    <xf numFmtId="14" fontId="3" fillId="0" borderId="0" xfId="0" applyNumberFormat="1" applyFont="1"/>
    <xf numFmtId="3" fontId="2" fillId="5" borderId="0" xfId="0" applyNumberFormat="1" applyFont="1" applyFill="1"/>
    <xf numFmtId="0" fontId="2" fillId="5" borderId="0" xfId="0" applyFont="1" applyFill="1"/>
    <xf numFmtId="0" fontId="0" fillId="0" borderId="0" xfId="0" applyNumberFormat="1"/>
    <xf numFmtId="166" fontId="0" fillId="0" borderId="0" xfId="1" applyNumberFormat="1" applyFont="1"/>
    <xf numFmtId="3" fontId="2" fillId="0" borderId="0" xfId="1" applyNumberFormat="1" applyFont="1"/>
    <xf numFmtId="3" fontId="3" fillId="2" borderId="0" xfId="0" quotePrefix="1" applyNumberFormat="1" applyFont="1" applyFill="1" applyAlignment="1">
      <alignment horizontal="right"/>
    </xf>
    <xf numFmtId="1" fontId="2" fillId="0" borderId="0" xfId="2" applyNumberFormat="1" applyFont="1"/>
    <xf numFmtId="1" fontId="3" fillId="0" borderId="0" xfId="0" applyNumberFormat="1" applyFont="1"/>
    <xf numFmtId="1" fontId="3" fillId="2" borderId="0" xfId="0" applyNumberFormat="1" applyFont="1" applyFill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Fill="1" applyAlignment="1">
      <alignment horizontal="left" wrapText="1"/>
    </xf>
    <xf numFmtId="0" fontId="7" fillId="0" borderId="4" xfId="0" applyFont="1" applyBorder="1" applyAlignment="1">
      <alignment horizontal="center"/>
    </xf>
    <xf numFmtId="0" fontId="6" fillId="2" borderId="0" xfId="0" applyFont="1" applyFill="1" applyAlignment="1"/>
    <xf numFmtId="0" fontId="2" fillId="3" borderId="0" xfId="0" applyFont="1" applyFill="1" applyAlignment="1"/>
  </cellXfs>
  <cellStyles count="6">
    <cellStyle name="Comma" xfId="1" builtinId="3"/>
    <cellStyle name="Normal" xfId="0" builtinId="0"/>
    <cellStyle name="Normal 2" xfId="3"/>
    <cellStyle name="Normal 3" xfId="4"/>
    <cellStyle name="Percent" xfId="2" builtinId="5"/>
    <cellStyle name="Percent 2" xfId="5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N647"/>
  <sheetViews>
    <sheetView topLeftCell="A3" workbookViewId="0">
      <pane xSplit="1" ySplit="6" topLeftCell="BD631" activePane="bottomRight" state="frozen"/>
      <selection activeCell="A3" sqref="A3"/>
      <selection pane="topRight" activeCell="B3" sqref="B3"/>
      <selection pane="bottomLeft" activeCell="A8" sqref="A8"/>
      <selection pane="bottomRight" activeCell="BD633" sqref="BD633"/>
    </sheetView>
  </sheetViews>
  <sheetFormatPr defaultColWidth="9.1796875" defaultRowHeight="13" x14ac:dyDescent="0.3"/>
  <cols>
    <col min="1" max="1" width="36" style="51" customWidth="1"/>
    <col min="2" max="2" width="15" style="1" bestFit="1" customWidth="1"/>
    <col min="3" max="3" width="11.54296875" style="1" bestFit="1" customWidth="1"/>
    <col min="4" max="4" width="11.453125" style="1" bestFit="1" customWidth="1"/>
    <col min="5" max="5" width="12.81640625" style="1" bestFit="1" customWidth="1"/>
    <col min="6" max="6" width="11.1796875" style="1" bestFit="1" customWidth="1"/>
    <col min="7" max="7" width="10.453125" style="1" bestFit="1" customWidth="1"/>
    <col min="8" max="8" width="10" style="1" bestFit="1" customWidth="1"/>
    <col min="9" max="9" width="13.1796875" style="1" bestFit="1" customWidth="1"/>
    <col min="10" max="10" width="10.1796875" style="1" bestFit="1" customWidth="1"/>
    <col min="11" max="11" width="3.1796875" style="1" customWidth="1"/>
    <col min="12" max="12" width="11.1796875" style="1" bestFit="1" customWidth="1"/>
    <col min="13" max="14" width="10.1796875" style="1" bestFit="1" customWidth="1"/>
    <col min="15" max="16" width="11.1796875" style="1" bestFit="1" customWidth="1"/>
    <col min="17" max="17" width="10.1796875" style="1" bestFit="1" customWidth="1"/>
    <col min="18" max="18" width="9.1796875" style="1"/>
    <col min="19" max="19" width="11.81640625" style="1" customWidth="1"/>
    <col min="20" max="20" width="9.1796875" style="1"/>
    <col min="21" max="21" width="2.1796875" style="1" customWidth="1"/>
    <col min="22" max="23" width="11.1796875" style="1" bestFit="1" customWidth="1"/>
    <col min="24" max="24" width="10.1796875" style="1" bestFit="1" customWidth="1"/>
    <col min="25" max="27" width="11.1796875" style="1" bestFit="1" customWidth="1"/>
    <col min="28" max="29" width="9.1796875" style="1"/>
    <col min="30" max="30" width="10.1796875" style="1" bestFit="1" customWidth="1"/>
    <col min="31" max="31" width="2.1796875" style="1" customWidth="1"/>
    <col min="32" max="35" width="10.453125" style="1" bestFit="1" customWidth="1"/>
    <col min="36" max="37" width="10.1796875" style="1" bestFit="1" customWidth="1"/>
    <col min="38" max="38" width="9.1796875" style="1" customWidth="1"/>
    <col min="39" max="40" width="9.1796875" style="1"/>
    <col min="41" max="41" width="2.1796875" style="1" customWidth="1"/>
    <col min="42" max="42" width="12.81640625" style="1" bestFit="1" customWidth="1"/>
    <col min="43" max="44" width="11.1796875" style="1" bestFit="1" customWidth="1"/>
    <col min="45" max="46" width="12.81640625" style="1" bestFit="1" customWidth="1"/>
    <col min="47" max="47" width="10" style="1" customWidth="1"/>
    <col min="48" max="51" width="9.1796875" style="1"/>
    <col min="52" max="52" width="11.453125" style="1" bestFit="1" customWidth="1"/>
    <col min="53" max="53" width="10.453125" style="1" bestFit="1" customWidth="1"/>
    <col min="54" max="54" width="11.81640625" style="1" bestFit="1" customWidth="1"/>
    <col min="55" max="55" width="8.453125" style="1" customWidth="1"/>
    <col min="56" max="56" width="11.453125" style="1" bestFit="1" customWidth="1"/>
    <col min="57" max="57" width="9.1796875" style="1"/>
    <col min="58" max="58" width="10.1796875" style="1" bestFit="1" customWidth="1"/>
    <col min="59" max="59" width="11.81640625" style="1" bestFit="1" customWidth="1"/>
    <col min="60" max="60" width="5.1796875" style="1" bestFit="1" customWidth="1"/>
    <col min="61" max="61" width="8.54296875" style="1" bestFit="1" customWidth="1"/>
    <col min="62" max="62" width="11.81640625" style="1" bestFit="1" customWidth="1"/>
    <col min="63" max="63" width="12.54296875" style="1" customWidth="1"/>
    <col min="64" max="64" width="9.1796875" style="1"/>
    <col min="65" max="65" width="10.81640625" style="1" bestFit="1" customWidth="1"/>
    <col min="66" max="66" width="11" style="1" bestFit="1" customWidth="1"/>
    <col min="67" max="16384" width="9.1796875" style="1"/>
  </cols>
  <sheetData>
    <row r="2" spans="1:62" x14ac:dyDescent="0.3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</row>
    <row r="3" spans="1:62" ht="15" x14ac:dyDescent="0.3">
      <c r="A3" s="50" t="s">
        <v>44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</row>
    <row r="4" spans="1:62" x14ac:dyDescent="0.3">
      <c r="A4" s="51" t="s">
        <v>45</v>
      </c>
    </row>
    <row r="5" spans="1:62" x14ac:dyDescent="0.3">
      <c r="H5" s="26" t="s">
        <v>13</v>
      </c>
      <c r="I5" s="26" t="s">
        <v>13</v>
      </c>
      <c r="J5" s="26" t="s">
        <v>13</v>
      </c>
      <c r="R5" s="26" t="s">
        <v>13</v>
      </c>
      <c r="S5" s="26" t="s">
        <v>13</v>
      </c>
      <c r="T5" s="26" t="s">
        <v>13</v>
      </c>
      <c r="AB5" s="26" t="s">
        <v>13</v>
      </c>
      <c r="AC5" s="26" t="s">
        <v>13</v>
      </c>
      <c r="AD5" s="26" t="s">
        <v>13</v>
      </c>
      <c r="AL5" s="26" t="s">
        <v>13</v>
      </c>
      <c r="AM5" s="26" t="s">
        <v>13</v>
      </c>
      <c r="AN5" s="26" t="s">
        <v>13</v>
      </c>
      <c r="AV5" s="26" t="s">
        <v>13</v>
      </c>
      <c r="AW5" s="26" t="s">
        <v>13</v>
      </c>
      <c r="AX5" s="26" t="s">
        <v>13</v>
      </c>
      <c r="AZ5" s="26" t="s">
        <v>43</v>
      </c>
    </row>
    <row r="6" spans="1:62" ht="13.5" thickBot="1" x14ac:dyDescent="0.35">
      <c r="A6" s="22"/>
      <c r="B6" s="78" t="s">
        <v>31</v>
      </c>
      <c r="C6" s="78"/>
      <c r="D6" s="78"/>
      <c r="E6" s="78"/>
      <c r="F6" s="26"/>
      <c r="G6" s="24" t="s">
        <v>15</v>
      </c>
      <c r="H6" s="24" t="s">
        <v>16</v>
      </c>
      <c r="I6" s="24" t="s">
        <v>17</v>
      </c>
      <c r="J6" s="26" t="s">
        <v>17</v>
      </c>
      <c r="K6" s="31"/>
      <c r="L6" s="78" t="s">
        <v>35</v>
      </c>
      <c r="M6" s="78"/>
      <c r="N6" s="78"/>
      <c r="O6" s="78"/>
      <c r="P6" s="26"/>
      <c r="Q6" s="24" t="s">
        <v>15</v>
      </c>
      <c r="R6" s="24" t="s">
        <v>16</v>
      </c>
      <c r="S6" s="24" t="s">
        <v>17</v>
      </c>
      <c r="T6" s="26" t="s">
        <v>17</v>
      </c>
      <c r="U6" s="32"/>
      <c r="V6" s="78" t="s">
        <v>34</v>
      </c>
      <c r="W6" s="78"/>
      <c r="X6" s="78"/>
      <c r="Y6" s="78"/>
      <c r="Z6" s="26"/>
      <c r="AA6" s="24" t="s">
        <v>15</v>
      </c>
      <c r="AB6" s="24" t="s">
        <v>16</v>
      </c>
      <c r="AC6" s="24" t="s">
        <v>17</v>
      </c>
      <c r="AD6" s="26" t="s">
        <v>17</v>
      </c>
      <c r="AE6" s="31"/>
      <c r="AF6" s="78" t="s">
        <v>33</v>
      </c>
      <c r="AG6" s="78"/>
      <c r="AH6" s="78"/>
      <c r="AI6" s="78"/>
      <c r="AJ6" s="26"/>
      <c r="AK6" s="24" t="s">
        <v>15</v>
      </c>
      <c r="AL6" s="24" t="s">
        <v>16</v>
      </c>
      <c r="AM6" s="24" t="s">
        <v>17</v>
      </c>
      <c r="AN6" s="26" t="s">
        <v>17</v>
      </c>
      <c r="AP6" s="78" t="s">
        <v>36</v>
      </c>
      <c r="AQ6" s="78"/>
      <c r="AR6" s="78"/>
      <c r="AS6" s="78"/>
      <c r="AT6" s="26"/>
      <c r="AU6" s="24" t="s">
        <v>15</v>
      </c>
      <c r="AV6" s="24" t="s">
        <v>16</v>
      </c>
      <c r="AW6" s="24" t="s">
        <v>17</v>
      </c>
      <c r="AX6" s="26" t="s">
        <v>17</v>
      </c>
      <c r="AZ6" s="42" t="s">
        <v>40</v>
      </c>
      <c r="BA6" s="42" t="s">
        <v>39</v>
      </c>
      <c r="BB6" s="42" t="s">
        <v>38</v>
      </c>
      <c r="BC6" s="42" t="s">
        <v>9</v>
      </c>
      <c r="BD6" s="41" t="s">
        <v>8</v>
      </c>
      <c r="BE6" s="41" t="s">
        <v>40</v>
      </c>
      <c r="BF6" s="41" t="s">
        <v>39</v>
      </c>
      <c r="BG6" s="41" t="s">
        <v>38</v>
      </c>
      <c r="BH6" s="41" t="s">
        <v>9</v>
      </c>
      <c r="BI6" s="41" t="s">
        <v>14</v>
      </c>
    </row>
    <row r="7" spans="1:62" x14ac:dyDescent="0.3">
      <c r="B7" s="24" t="s">
        <v>18</v>
      </c>
      <c r="C7" s="24" t="s">
        <v>19</v>
      </c>
      <c r="D7" s="24" t="s">
        <v>20</v>
      </c>
      <c r="E7" s="24" t="s">
        <v>14</v>
      </c>
      <c r="F7" s="24" t="s">
        <v>21</v>
      </c>
      <c r="G7" s="24" t="s">
        <v>22</v>
      </c>
      <c r="H7" s="26" t="s">
        <v>23</v>
      </c>
      <c r="I7" s="3" t="s">
        <v>24</v>
      </c>
      <c r="J7" s="25" t="s">
        <v>25</v>
      </c>
      <c r="K7" s="24"/>
      <c r="L7" s="24" t="s">
        <v>18</v>
      </c>
      <c r="M7" s="24" t="s">
        <v>19</v>
      </c>
      <c r="N7" s="24" t="s">
        <v>20</v>
      </c>
      <c r="O7" s="24" t="s">
        <v>14</v>
      </c>
      <c r="P7" s="24" t="s">
        <v>21</v>
      </c>
      <c r="Q7" s="24" t="s">
        <v>22</v>
      </c>
      <c r="R7" s="26" t="s">
        <v>23</v>
      </c>
      <c r="S7" s="3" t="s">
        <v>24</v>
      </c>
      <c r="T7" s="25" t="s">
        <v>25</v>
      </c>
      <c r="U7" s="24"/>
      <c r="V7" s="24" t="s">
        <v>18</v>
      </c>
      <c r="W7" s="24" t="s">
        <v>19</v>
      </c>
      <c r="X7" s="24" t="s">
        <v>20</v>
      </c>
      <c r="Y7" s="24" t="s">
        <v>14</v>
      </c>
      <c r="Z7" s="24" t="s">
        <v>21</v>
      </c>
      <c r="AA7" s="24" t="s">
        <v>22</v>
      </c>
      <c r="AB7" s="26" t="s">
        <v>23</v>
      </c>
      <c r="AC7" s="27" t="s">
        <v>24</v>
      </c>
      <c r="AD7" s="25" t="s">
        <v>25</v>
      </c>
      <c r="AE7" s="24"/>
      <c r="AF7" s="24" t="s">
        <v>18</v>
      </c>
      <c r="AG7" s="24" t="s">
        <v>19</v>
      </c>
      <c r="AH7" s="24" t="s">
        <v>20</v>
      </c>
      <c r="AI7" s="24" t="s">
        <v>14</v>
      </c>
      <c r="AJ7" s="24" t="s">
        <v>21</v>
      </c>
      <c r="AK7" s="24" t="s">
        <v>22</v>
      </c>
      <c r="AL7" s="26" t="s">
        <v>23</v>
      </c>
      <c r="AM7" s="27" t="s">
        <v>24</v>
      </c>
      <c r="AN7" s="25" t="s">
        <v>25</v>
      </c>
      <c r="AP7" s="24" t="s">
        <v>18</v>
      </c>
      <c r="AQ7" s="24" t="s">
        <v>19</v>
      </c>
      <c r="AR7" s="24" t="s">
        <v>20</v>
      </c>
      <c r="AS7" s="24" t="s">
        <v>14</v>
      </c>
      <c r="AT7" s="24" t="s">
        <v>21</v>
      </c>
      <c r="AU7" s="24" t="s">
        <v>22</v>
      </c>
      <c r="AV7" s="26" t="s">
        <v>23</v>
      </c>
      <c r="AW7" s="27" t="s">
        <v>24</v>
      </c>
      <c r="AX7" s="25" t="s">
        <v>25</v>
      </c>
      <c r="AZ7" s="1" t="str">
        <f>+E7</f>
        <v>Total</v>
      </c>
      <c r="BA7" s="1" t="str">
        <f>+O7</f>
        <v>Total</v>
      </c>
      <c r="BB7" s="1" t="str">
        <f>+Y7</f>
        <v>Total</v>
      </c>
      <c r="BC7" s="1" t="str">
        <f>+AI7</f>
        <v>Total</v>
      </c>
      <c r="BD7" s="1" t="str">
        <f>+AS7</f>
        <v>Total</v>
      </c>
      <c r="BE7" s="1" t="s">
        <v>41</v>
      </c>
      <c r="BF7" s="1" t="s">
        <v>41</v>
      </c>
      <c r="BG7" s="1" t="s">
        <v>41</v>
      </c>
      <c r="BH7" s="1" t="s">
        <v>41</v>
      </c>
      <c r="BI7" s="1" t="s">
        <v>41</v>
      </c>
      <c r="BJ7" s="1" t="s">
        <v>49</v>
      </c>
    </row>
    <row r="8" spans="1:62" ht="13.5" thickBot="1" x14ac:dyDescent="0.35">
      <c r="A8" s="26" t="s">
        <v>50</v>
      </c>
      <c r="B8" s="29" t="s">
        <v>26</v>
      </c>
      <c r="C8" s="29" t="s">
        <v>27</v>
      </c>
      <c r="D8" s="29" t="s">
        <v>28</v>
      </c>
      <c r="E8" s="29" t="s">
        <v>32</v>
      </c>
      <c r="F8" s="29" t="s">
        <v>29</v>
      </c>
      <c r="G8" s="29" t="s">
        <v>29</v>
      </c>
      <c r="H8" s="30" t="s">
        <v>30</v>
      </c>
      <c r="I8" s="28" t="s">
        <v>30</v>
      </c>
      <c r="J8" s="28" t="s">
        <v>29</v>
      </c>
      <c r="K8" s="24"/>
      <c r="L8" s="29" t="s">
        <v>26</v>
      </c>
      <c r="M8" s="29" t="s">
        <v>27</v>
      </c>
      <c r="N8" s="29" t="s">
        <v>28</v>
      </c>
      <c r="O8" s="29" t="s">
        <v>32</v>
      </c>
      <c r="P8" s="29" t="s">
        <v>29</v>
      </c>
      <c r="Q8" s="29" t="s">
        <v>29</v>
      </c>
      <c r="R8" s="39" t="s">
        <v>30</v>
      </c>
      <c r="S8" s="28" t="s">
        <v>30</v>
      </c>
      <c r="T8" s="28" t="s">
        <v>29</v>
      </c>
      <c r="U8" s="24"/>
      <c r="V8" s="29" t="s">
        <v>26</v>
      </c>
      <c r="W8" s="29" t="s">
        <v>27</v>
      </c>
      <c r="X8" s="29" t="s">
        <v>28</v>
      </c>
      <c r="Y8" s="29" t="s">
        <v>32</v>
      </c>
      <c r="Z8" s="29" t="s">
        <v>29</v>
      </c>
      <c r="AA8" s="29" t="s">
        <v>29</v>
      </c>
      <c r="AB8" s="30" t="s">
        <v>30</v>
      </c>
      <c r="AC8" s="28" t="s">
        <v>30</v>
      </c>
      <c r="AD8" s="28" t="s">
        <v>29</v>
      </c>
      <c r="AE8" s="24"/>
      <c r="AF8" s="29" t="s">
        <v>26</v>
      </c>
      <c r="AG8" s="29" t="s">
        <v>27</v>
      </c>
      <c r="AH8" s="29" t="s">
        <v>28</v>
      </c>
      <c r="AI8" s="29" t="s">
        <v>32</v>
      </c>
      <c r="AJ8" s="29" t="s">
        <v>29</v>
      </c>
      <c r="AK8" s="29" t="s">
        <v>29</v>
      </c>
      <c r="AL8" s="30" t="s">
        <v>30</v>
      </c>
      <c r="AM8" s="28" t="s">
        <v>30</v>
      </c>
      <c r="AN8" s="28" t="s">
        <v>29</v>
      </c>
      <c r="AP8" s="29" t="s">
        <v>26</v>
      </c>
      <c r="AQ8" s="29" t="s">
        <v>27</v>
      </c>
      <c r="AR8" s="29" t="s">
        <v>28</v>
      </c>
      <c r="AS8" s="29" t="s">
        <v>32</v>
      </c>
      <c r="AT8" s="29" t="s">
        <v>29</v>
      </c>
      <c r="AU8" s="29" t="s">
        <v>29</v>
      </c>
      <c r="AV8" s="30" t="s">
        <v>30</v>
      </c>
      <c r="AW8" s="28" t="s">
        <v>30</v>
      </c>
      <c r="AX8" s="28" t="s">
        <v>29</v>
      </c>
      <c r="AZ8" s="52" t="str">
        <f>+E8</f>
        <v>Miss.</v>
      </c>
      <c r="BA8" s="52" t="str">
        <f>+O8</f>
        <v>Miss.</v>
      </c>
      <c r="BB8" s="52" t="str">
        <f>+Y8</f>
        <v>Miss.</v>
      </c>
      <c r="BC8" s="52" t="str">
        <f>+AI8</f>
        <v>Miss.</v>
      </c>
      <c r="BD8" s="52" t="str">
        <f>+AS8</f>
        <v>Miss.</v>
      </c>
    </row>
    <row r="9" spans="1:62" x14ac:dyDescent="0.3">
      <c r="C9" s="64"/>
      <c r="D9" s="64"/>
      <c r="K9" s="54"/>
      <c r="U9" s="55"/>
      <c r="AE9" s="54"/>
    </row>
    <row r="10" spans="1:62" x14ac:dyDescent="0.3">
      <c r="A10" s="49">
        <v>37625</v>
      </c>
      <c r="B10" s="53">
        <v>366644</v>
      </c>
      <c r="C10" s="64">
        <v>24721</v>
      </c>
      <c r="D10" s="64">
        <v>0</v>
      </c>
      <c r="E10" s="53">
        <f>SUM(B10:D10)</f>
        <v>391365</v>
      </c>
      <c r="F10" s="53"/>
      <c r="G10" s="53"/>
      <c r="L10" s="53">
        <v>7535</v>
      </c>
      <c r="M10" s="53">
        <v>4500</v>
      </c>
      <c r="N10" s="53">
        <v>8500</v>
      </c>
      <c r="O10" s="53">
        <f>SUM(L10:N10)</f>
        <v>20535</v>
      </c>
      <c r="P10" s="53"/>
      <c r="Q10" s="53"/>
      <c r="U10" s="55"/>
      <c r="V10" s="53">
        <v>121265</v>
      </c>
      <c r="W10" s="53">
        <v>46454</v>
      </c>
      <c r="X10" s="53">
        <v>11500</v>
      </c>
      <c r="Y10" s="53">
        <f>SUM(V10:X10)</f>
        <v>179219</v>
      </c>
      <c r="Z10" s="53"/>
      <c r="AA10" s="53"/>
      <c r="AE10" s="54"/>
      <c r="AF10" s="53">
        <v>16520</v>
      </c>
      <c r="AG10" s="53">
        <v>11993</v>
      </c>
      <c r="AH10" s="53">
        <v>0</v>
      </c>
      <c r="AI10" s="53">
        <f>SUM(AF10:AH10)</f>
        <v>28513</v>
      </c>
      <c r="AJ10" s="53"/>
      <c r="AK10" s="53"/>
      <c r="AP10" s="53">
        <f>SUM(B10,L10,V10,AF10)</f>
        <v>511964</v>
      </c>
      <c r="AQ10" s="53">
        <f t="shared" ref="AQ10:AS25" si="0">SUM(C10,M10,W10,AG10)</f>
        <v>87668</v>
      </c>
      <c r="AR10" s="53">
        <f t="shared" si="0"/>
        <v>20000</v>
      </c>
      <c r="AS10" s="53">
        <f t="shared" si="0"/>
        <v>619632</v>
      </c>
      <c r="AT10" s="53"/>
      <c r="AU10" s="53"/>
      <c r="AZ10" s="53">
        <f>+E10/1000</f>
        <v>391.36500000000001</v>
      </c>
      <c r="BA10" s="53">
        <f>+O10/1000</f>
        <v>20.535</v>
      </c>
      <c r="BB10" s="53">
        <f>+Y10/1000</f>
        <v>179.21899999999999</v>
      </c>
      <c r="BC10" s="53">
        <f>+AI10/1000</f>
        <v>28.513000000000002</v>
      </c>
      <c r="BD10" s="53">
        <f>+AS10/1000</f>
        <v>619.63199999999995</v>
      </c>
      <c r="BE10" s="60">
        <f>AZ10</f>
        <v>391.36500000000001</v>
      </c>
      <c r="BF10" s="60">
        <f t="shared" ref="BF10:BI10" si="1">BA10</f>
        <v>20.535</v>
      </c>
      <c r="BG10" s="60">
        <f t="shared" si="1"/>
        <v>179.21899999999999</v>
      </c>
      <c r="BH10" s="60">
        <f t="shared" si="1"/>
        <v>28.513000000000002</v>
      </c>
      <c r="BI10" s="60">
        <f t="shared" si="1"/>
        <v>619.63199999999995</v>
      </c>
      <c r="BJ10" s="1">
        <v>1</v>
      </c>
    </row>
    <row r="11" spans="1:62" x14ac:dyDescent="0.3">
      <c r="A11" s="49">
        <v>37632</v>
      </c>
      <c r="B11" s="53">
        <v>446444</v>
      </c>
      <c r="C11" s="53">
        <v>41350</v>
      </c>
      <c r="D11" s="53">
        <v>0</v>
      </c>
      <c r="E11" s="53">
        <f t="shared" ref="E11:E62" si="2">SUM(B11:D11)</f>
        <v>487794</v>
      </c>
      <c r="F11" s="53"/>
      <c r="G11" s="53"/>
      <c r="L11" s="53">
        <v>25633</v>
      </c>
      <c r="M11" s="53">
        <v>1842</v>
      </c>
      <c r="N11" s="53">
        <v>14600</v>
      </c>
      <c r="O11" s="53">
        <f t="shared" ref="O11:O62" si="3">SUM(L11:N11)</f>
        <v>42075</v>
      </c>
      <c r="P11" s="53"/>
      <c r="Q11" s="53"/>
      <c r="V11" s="53">
        <v>163965</v>
      </c>
      <c r="W11" s="53">
        <v>43229</v>
      </c>
      <c r="X11" s="53">
        <v>21600</v>
      </c>
      <c r="Y11" s="53">
        <f t="shared" ref="Y11:Y62" si="4">SUM(V11:X11)</f>
        <v>228794</v>
      </c>
      <c r="Z11" s="53"/>
      <c r="AA11" s="53"/>
      <c r="AE11" s="54"/>
      <c r="AF11" s="53">
        <v>11200</v>
      </c>
      <c r="AG11" s="53">
        <v>47580</v>
      </c>
      <c r="AH11" s="53">
        <v>0</v>
      </c>
      <c r="AI11" s="53">
        <f t="shared" ref="AI11:AI62" si="5">SUM(AF11:AH11)</f>
        <v>58780</v>
      </c>
      <c r="AJ11" s="53"/>
      <c r="AK11" s="53"/>
      <c r="AP11" s="53">
        <f t="shared" ref="AP11:AS74" si="6">SUM(B11,L11,V11,AF11)</f>
        <v>647242</v>
      </c>
      <c r="AQ11" s="53">
        <f t="shared" si="0"/>
        <v>134001</v>
      </c>
      <c r="AR11" s="53">
        <f t="shared" si="0"/>
        <v>36200</v>
      </c>
      <c r="AS11" s="53">
        <f t="shared" si="0"/>
        <v>817443</v>
      </c>
      <c r="AT11" s="53"/>
      <c r="AU11" s="53"/>
      <c r="AZ11" s="53">
        <f>+E11/1000</f>
        <v>487.79399999999998</v>
      </c>
      <c r="BA11" s="53">
        <f>+O11/1000</f>
        <v>42.075000000000003</v>
      </c>
      <c r="BB11" s="53">
        <f>+Y11/1000</f>
        <v>228.79400000000001</v>
      </c>
      <c r="BC11" s="53">
        <f>+AI11/1000</f>
        <v>58.78</v>
      </c>
      <c r="BD11" s="53">
        <f>+AS11/1000</f>
        <v>817.44299999999998</v>
      </c>
      <c r="BE11" s="60">
        <f>BE10+AZ11</f>
        <v>879.15899999999999</v>
      </c>
      <c r="BF11" s="60">
        <f t="shared" ref="BF11:BI13" si="7">BF10+BA11</f>
        <v>62.61</v>
      </c>
      <c r="BG11" s="60">
        <f t="shared" si="7"/>
        <v>408.01300000000003</v>
      </c>
      <c r="BH11" s="60">
        <f t="shared" si="7"/>
        <v>87.293000000000006</v>
      </c>
      <c r="BI11" s="60">
        <f t="shared" si="7"/>
        <v>1437.0749999999998</v>
      </c>
      <c r="BJ11" s="1">
        <v>2</v>
      </c>
    </row>
    <row r="12" spans="1:62" x14ac:dyDescent="0.3">
      <c r="A12" s="49">
        <v>37639</v>
      </c>
      <c r="B12" s="53">
        <v>432764</v>
      </c>
      <c r="C12" s="53">
        <v>149294</v>
      </c>
      <c r="D12" s="53">
        <v>0</v>
      </c>
      <c r="E12" s="53">
        <f t="shared" si="2"/>
        <v>582058</v>
      </c>
      <c r="F12" s="53"/>
      <c r="G12" s="53"/>
      <c r="L12" s="53">
        <v>1405</v>
      </c>
      <c r="M12" s="53">
        <v>4680</v>
      </c>
      <c r="N12" s="53">
        <v>19600</v>
      </c>
      <c r="O12" s="53">
        <f t="shared" si="3"/>
        <v>25685</v>
      </c>
      <c r="P12" s="53"/>
      <c r="Q12" s="53"/>
      <c r="V12" s="53">
        <v>251138</v>
      </c>
      <c r="W12" s="53">
        <v>138720</v>
      </c>
      <c r="X12" s="53">
        <v>19000</v>
      </c>
      <c r="Y12" s="53">
        <f t="shared" si="4"/>
        <v>408858</v>
      </c>
      <c r="Z12" s="53"/>
      <c r="AA12" s="53"/>
      <c r="AF12" s="53">
        <v>0</v>
      </c>
      <c r="AG12" s="53">
        <v>18035</v>
      </c>
      <c r="AH12" s="53">
        <v>0</v>
      </c>
      <c r="AI12" s="53">
        <f t="shared" si="5"/>
        <v>18035</v>
      </c>
      <c r="AJ12" s="53"/>
      <c r="AK12" s="53"/>
      <c r="AP12" s="53">
        <f t="shared" si="6"/>
        <v>685307</v>
      </c>
      <c r="AQ12" s="53">
        <f t="shared" si="0"/>
        <v>310729</v>
      </c>
      <c r="AR12" s="53">
        <f t="shared" si="0"/>
        <v>38600</v>
      </c>
      <c r="AS12" s="53">
        <f t="shared" si="0"/>
        <v>1034636</v>
      </c>
      <c r="AT12" s="53"/>
      <c r="AU12" s="53"/>
      <c r="AZ12" s="53">
        <f t="shared" ref="AZ12:AZ75" si="8">+E12/1000</f>
        <v>582.05799999999999</v>
      </c>
      <c r="BA12" s="53">
        <f t="shared" ref="BA12:BA75" si="9">+O12/1000</f>
        <v>25.684999999999999</v>
      </c>
      <c r="BB12" s="53">
        <f t="shared" ref="BB12:BB75" si="10">+Y12/1000</f>
        <v>408.858</v>
      </c>
      <c r="BC12" s="53">
        <f t="shared" ref="BC12:BC75" si="11">+AI12/1000</f>
        <v>18.035</v>
      </c>
      <c r="BD12" s="53">
        <f t="shared" ref="BD12:BD75" si="12">+AS12/1000</f>
        <v>1034.636</v>
      </c>
      <c r="BE12" s="60">
        <f>BE11+AZ12</f>
        <v>1461.2170000000001</v>
      </c>
      <c r="BF12" s="60">
        <f t="shared" si="7"/>
        <v>88.295000000000002</v>
      </c>
      <c r="BG12" s="60">
        <f t="shared" si="7"/>
        <v>816.87100000000009</v>
      </c>
      <c r="BH12" s="60">
        <f t="shared" si="7"/>
        <v>105.328</v>
      </c>
      <c r="BI12" s="60">
        <f t="shared" si="7"/>
        <v>2471.7109999999998</v>
      </c>
      <c r="BJ12" s="1">
        <v>3</v>
      </c>
    </row>
    <row r="13" spans="1:62" x14ac:dyDescent="0.3">
      <c r="A13" s="49">
        <v>37646</v>
      </c>
      <c r="B13" s="53">
        <v>345846</v>
      </c>
      <c r="C13" s="53">
        <v>190786</v>
      </c>
      <c r="D13" s="53">
        <v>0</v>
      </c>
      <c r="E13" s="53">
        <f t="shared" si="2"/>
        <v>536632</v>
      </c>
      <c r="F13" s="53">
        <f t="shared" ref="F13:F44" si="13">AVERAGE(E10,E11,E12,E13)</f>
        <v>499462.25</v>
      </c>
      <c r="G13" s="53"/>
      <c r="L13" s="53">
        <v>10925</v>
      </c>
      <c r="M13" s="53">
        <v>4600</v>
      </c>
      <c r="N13" s="53">
        <v>23900</v>
      </c>
      <c r="O13" s="53">
        <f t="shared" si="3"/>
        <v>39425</v>
      </c>
      <c r="P13" s="53">
        <f t="shared" ref="P13:P44" si="14">AVERAGE(O10,O11,O12,O13)</f>
        <v>31930</v>
      </c>
      <c r="Q13" s="53"/>
      <c r="V13" s="53">
        <v>94152</v>
      </c>
      <c r="W13" s="53">
        <v>176655</v>
      </c>
      <c r="X13" s="53">
        <v>21000</v>
      </c>
      <c r="Y13" s="53">
        <f t="shared" si="4"/>
        <v>291807</v>
      </c>
      <c r="Z13" s="53">
        <f t="shared" ref="Z13:Z44" si="15">AVERAGE(Y10,Y11,Y12,Y13)</f>
        <v>277169.5</v>
      </c>
      <c r="AA13" s="53"/>
      <c r="AF13" s="53">
        <v>3008</v>
      </c>
      <c r="AG13" s="53">
        <v>15052</v>
      </c>
      <c r="AH13" s="56">
        <v>0</v>
      </c>
      <c r="AI13" s="53">
        <f t="shared" si="5"/>
        <v>18060</v>
      </c>
      <c r="AJ13" s="53">
        <f t="shared" ref="AJ13:AJ44" si="16">AVERAGE(AI10,AI11,AI12,AI13)</f>
        <v>30847</v>
      </c>
      <c r="AK13" s="53"/>
      <c r="AP13" s="53">
        <f t="shared" si="6"/>
        <v>453931</v>
      </c>
      <c r="AQ13" s="53">
        <f t="shared" si="0"/>
        <v>387093</v>
      </c>
      <c r="AR13" s="53">
        <f t="shared" si="0"/>
        <v>44900</v>
      </c>
      <c r="AS13" s="53">
        <f t="shared" si="0"/>
        <v>885924</v>
      </c>
      <c r="AT13" s="53">
        <f t="shared" ref="AT13:AT44" si="17">AVERAGE(AS10,AS11,AS12,AS13)</f>
        <v>839408.75</v>
      </c>
      <c r="AU13" s="53"/>
      <c r="AZ13" s="53">
        <f t="shared" si="8"/>
        <v>536.63199999999995</v>
      </c>
      <c r="BA13" s="53">
        <f t="shared" si="9"/>
        <v>39.424999999999997</v>
      </c>
      <c r="BB13" s="53">
        <f t="shared" si="10"/>
        <v>291.80700000000002</v>
      </c>
      <c r="BC13" s="53">
        <f t="shared" si="11"/>
        <v>18.059999999999999</v>
      </c>
      <c r="BD13" s="53">
        <f t="shared" si="12"/>
        <v>885.92399999999998</v>
      </c>
      <c r="BE13" s="60">
        <f>BE12+AZ13</f>
        <v>1997.8490000000002</v>
      </c>
      <c r="BF13" s="60">
        <f t="shared" si="7"/>
        <v>127.72</v>
      </c>
      <c r="BG13" s="60">
        <f t="shared" si="7"/>
        <v>1108.6780000000001</v>
      </c>
      <c r="BH13" s="60">
        <f t="shared" si="7"/>
        <v>123.38800000000001</v>
      </c>
      <c r="BI13" s="60">
        <f t="shared" si="7"/>
        <v>3357.6349999999998</v>
      </c>
      <c r="BJ13" s="1">
        <v>4</v>
      </c>
    </row>
    <row r="14" spans="1:62" x14ac:dyDescent="0.3">
      <c r="A14" s="49">
        <v>37653</v>
      </c>
      <c r="B14" s="53">
        <v>231488</v>
      </c>
      <c r="C14" s="53">
        <v>97782</v>
      </c>
      <c r="D14" s="53">
        <v>0</v>
      </c>
      <c r="E14" s="53">
        <f t="shared" si="2"/>
        <v>329270</v>
      </c>
      <c r="F14" s="53">
        <f t="shared" si="13"/>
        <v>483938.5</v>
      </c>
      <c r="G14" s="53"/>
      <c r="L14" s="53">
        <v>1500</v>
      </c>
      <c r="M14" s="53">
        <v>0</v>
      </c>
      <c r="N14" s="53">
        <v>19700</v>
      </c>
      <c r="O14" s="53">
        <f t="shared" si="3"/>
        <v>21200</v>
      </c>
      <c r="P14" s="53">
        <f t="shared" si="14"/>
        <v>32096.25</v>
      </c>
      <c r="Q14" s="53"/>
      <c r="V14" s="53">
        <v>158945</v>
      </c>
      <c r="W14" s="53">
        <v>81821</v>
      </c>
      <c r="X14" s="53">
        <v>22980</v>
      </c>
      <c r="Y14" s="53">
        <f t="shared" si="4"/>
        <v>263746</v>
      </c>
      <c r="Z14" s="53">
        <f t="shared" si="15"/>
        <v>298301.25</v>
      </c>
      <c r="AA14" s="53"/>
      <c r="AF14" s="53">
        <v>0</v>
      </c>
      <c r="AG14" s="53">
        <v>14573</v>
      </c>
      <c r="AH14" s="56">
        <v>0</v>
      </c>
      <c r="AI14" s="53">
        <f t="shared" si="5"/>
        <v>14573</v>
      </c>
      <c r="AJ14" s="53">
        <f t="shared" si="16"/>
        <v>27362</v>
      </c>
      <c r="AK14" s="53"/>
      <c r="AP14" s="53">
        <f t="shared" si="6"/>
        <v>391933</v>
      </c>
      <c r="AQ14" s="53">
        <f t="shared" si="0"/>
        <v>194176</v>
      </c>
      <c r="AR14" s="53">
        <f t="shared" si="0"/>
        <v>42680</v>
      </c>
      <c r="AS14" s="53">
        <f t="shared" si="0"/>
        <v>628789</v>
      </c>
      <c r="AT14" s="53">
        <f t="shared" si="17"/>
        <v>841698</v>
      </c>
      <c r="AU14" s="53"/>
      <c r="AZ14" s="53">
        <f t="shared" si="8"/>
        <v>329.27</v>
      </c>
      <c r="BA14" s="53">
        <f t="shared" si="9"/>
        <v>21.2</v>
      </c>
      <c r="BB14" s="53">
        <f t="shared" si="10"/>
        <v>263.74599999999998</v>
      </c>
      <c r="BC14" s="53">
        <f t="shared" si="11"/>
        <v>14.573</v>
      </c>
      <c r="BD14" s="53">
        <f t="shared" si="12"/>
        <v>628.78899999999999</v>
      </c>
      <c r="BE14" s="60">
        <f t="shared" ref="BE14:BE62" si="18">BE13+AZ14</f>
        <v>2327.1190000000001</v>
      </c>
      <c r="BF14" s="60">
        <f t="shared" ref="BF14:BF62" si="19">BF13+BA14</f>
        <v>148.91999999999999</v>
      </c>
      <c r="BG14" s="60">
        <f t="shared" ref="BG14:BG62" si="20">BG13+BB14</f>
        <v>1372.424</v>
      </c>
      <c r="BH14" s="60">
        <f t="shared" ref="BH14:BH62" si="21">BH13+BC14</f>
        <v>137.96100000000001</v>
      </c>
      <c r="BI14" s="60">
        <f t="shared" ref="BI14:BI62" si="22">BI13+BD14</f>
        <v>3986.424</v>
      </c>
      <c r="BJ14" s="1">
        <v>5</v>
      </c>
    </row>
    <row r="15" spans="1:62" x14ac:dyDescent="0.3">
      <c r="A15" s="49">
        <v>37660</v>
      </c>
      <c r="B15" s="53">
        <v>263380</v>
      </c>
      <c r="C15" s="53">
        <v>51257</v>
      </c>
      <c r="D15" s="53">
        <v>0</v>
      </c>
      <c r="E15" s="53">
        <f t="shared" si="2"/>
        <v>314637</v>
      </c>
      <c r="F15" s="53">
        <f t="shared" si="13"/>
        <v>440649.25</v>
      </c>
      <c r="G15" s="53"/>
      <c r="L15" s="53">
        <v>4570</v>
      </c>
      <c r="M15" s="53">
        <v>13535</v>
      </c>
      <c r="N15" s="53">
        <v>28600</v>
      </c>
      <c r="O15" s="53">
        <f t="shared" si="3"/>
        <v>46705</v>
      </c>
      <c r="P15" s="53">
        <f t="shared" si="14"/>
        <v>33253.75</v>
      </c>
      <c r="Q15" s="53"/>
      <c r="V15" s="53">
        <v>120593</v>
      </c>
      <c r="W15" s="53">
        <v>137384</v>
      </c>
      <c r="X15" s="53">
        <v>10200</v>
      </c>
      <c r="Y15" s="53">
        <f t="shared" si="4"/>
        <v>268177</v>
      </c>
      <c r="Z15" s="53">
        <f t="shared" si="15"/>
        <v>308147</v>
      </c>
      <c r="AA15" s="53"/>
      <c r="AF15" s="53">
        <v>11120</v>
      </c>
      <c r="AG15" s="53">
        <v>22400</v>
      </c>
      <c r="AH15" s="56">
        <v>0</v>
      </c>
      <c r="AI15" s="53">
        <f t="shared" si="5"/>
        <v>33520</v>
      </c>
      <c r="AJ15" s="53">
        <f t="shared" si="16"/>
        <v>21047</v>
      </c>
      <c r="AK15" s="53"/>
      <c r="AP15" s="53">
        <f t="shared" si="6"/>
        <v>399663</v>
      </c>
      <c r="AQ15" s="53">
        <f t="shared" si="0"/>
        <v>224576</v>
      </c>
      <c r="AR15" s="53">
        <f t="shared" si="0"/>
        <v>38800</v>
      </c>
      <c r="AS15" s="53">
        <f t="shared" si="0"/>
        <v>663039</v>
      </c>
      <c r="AT15" s="53">
        <f t="shared" si="17"/>
        <v>803097</v>
      </c>
      <c r="AU15" s="53"/>
      <c r="AZ15" s="53">
        <f t="shared" si="8"/>
        <v>314.637</v>
      </c>
      <c r="BA15" s="53">
        <f t="shared" si="9"/>
        <v>46.704999999999998</v>
      </c>
      <c r="BB15" s="53">
        <f t="shared" si="10"/>
        <v>268.17700000000002</v>
      </c>
      <c r="BC15" s="53">
        <f t="shared" si="11"/>
        <v>33.520000000000003</v>
      </c>
      <c r="BD15" s="53">
        <f t="shared" si="12"/>
        <v>663.03899999999999</v>
      </c>
      <c r="BE15" s="60">
        <f t="shared" si="18"/>
        <v>2641.7560000000003</v>
      </c>
      <c r="BF15" s="60">
        <f t="shared" si="19"/>
        <v>195.625</v>
      </c>
      <c r="BG15" s="60">
        <f t="shared" si="20"/>
        <v>1640.6010000000001</v>
      </c>
      <c r="BH15" s="60">
        <f t="shared" si="21"/>
        <v>171.48100000000002</v>
      </c>
      <c r="BI15" s="60">
        <f t="shared" si="22"/>
        <v>4649.4629999999997</v>
      </c>
      <c r="BJ15" s="1">
        <v>6</v>
      </c>
    </row>
    <row r="16" spans="1:62" x14ac:dyDescent="0.3">
      <c r="A16" s="49">
        <v>37667</v>
      </c>
      <c r="B16" s="53">
        <v>304179</v>
      </c>
      <c r="C16" s="53">
        <v>57800</v>
      </c>
      <c r="D16" s="53">
        <v>0</v>
      </c>
      <c r="E16" s="53">
        <f t="shared" si="2"/>
        <v>361979</v>
      </c>
      <c r="F16" s="53">
        <f t="shared" si="13"/>
        <v>385629.5</v>
      </c>
      <c r="G16" s="53"/>
      <c r="L16" s="53">
        <v>10700</v>
      </c>
      <c r="M16" s="53">
        <v>7300</v>
      </c>
      <c r="N16" s="53">
        <v>28100</v>
      </c>
      <c r="O16" s="53">
        <f t="shared" si="3"/>
        <v>46100</v>
      </c>
      <c r="P16" s="53">
        <f t="shared" si="14"/>
        <v>38357.5</v>
      </c>
      <c r="Q16" s="53"/>
      <c r="V16" s="53">
        <v>116066</v>
      </c>
      <c r="W16" s="53">
        <v>62700</v>
      </c>
      <c r="X16" s="53">
        <v>20600</v>
      </c>
      <c r="Y16" s="53">
        <f t="shared" si="4"/>
        <v>199366</v>
      </c>
      <c r="Z16" s="53">
        <f t="shared" si="15"/>
        <v>255774</v>
      </c>
      <c r="AA16" s="53"/>
      <c r="AF16" s="53">
        <v>0</v>
      </c>
      <c r="AG16" s="53">
        <v>40949</v>
      </c>
      <c r="AH16" s="56">
        <v>0</v>
      </c>
      <c r="AI16" s="53">
        <f t="shared" si="5"/>
        <v>40949</v>
      </c>
      <c r="AJ16" s="53">
        <f t="shared" si="16"/>
        <v>26775.5</v>
      </c>
      <c r="AK16" s="53"/>
      <c r="AP16" s="53">
        <f t="shared" si="6"/>
        <v>430945</v>
      </c>
      <c r="AQ16" s="53">
        <f t="shared" si="0"/>
        <v>168749</v>
      </c>
      <c r="AR16" s="53">
        <f t="shared" si="0"/>
        <v>48700</v>
      </c>
      <c r="AS16" s="53">
        <f t="shared" si="0"/>
        <v>648394</v>
      </c>
      <c r="AT16" s="53">
        <f t="shared" si="17"/>
        <v>706536.5</v>
      </c>
      <c r="AU16" s="53"/>
      <c r="AZ16" s="53">
        <f t="shared" si="8"/>
        <v>361.97899999999998</v>
      </c>
      <c r="BA16" s="53">
        <f t="shared" si="9"/>
        <v>46.1</v>
      </c>
      <c r="BB16" s="53">
        <f t="shared" si="10"/>
        <v>199.36600000000001</v>
      </c>
      <c r="BC16" s="53">
        <f t="shared" si="11"/>
        <v>40.948999999999998</v>
      </c>
      <c r="BD16" s="53">
        <f t="shared" si="12"/>
        <v>648.39400000000001</v>
      </c>
      <c r="BE16" s="60">
        <f t="shared" si="18"/>
        <v>3003.7350000000001</v>
      </c>
      <c r="BF16" s="60">
        <f t="shared" si="19"/>
        <v>241.72499999999999</v>
      </c>
      <c r="BG16" s="60">
        <f t="shared" si="20"/>
        <v>1839.9670000000001</v>
      </c>
      <c r="BH16" s="60">
        <f t="shared" si="21"/>
        <v>212.43</v>
      </c>
      <c r="BI16" s="60">
        <f t="shared" si="22"/>
        <v>5297.857</v>
      </c>
      <c r="BJ16" s="1">
        <v>7</v>
      </c>
    </row>
    <row r="17" spans="1:62" x14ac:dyDescent="0.3">
      <c r="A17" s="49">
        <v>37674</v>
      </c>
      <c r="B17" s="53">
        <v>322520</v>
      </c>
      <c r="C17" s="53">
        <v>23835</v>
      </c>
      <c r="D17" s="53">
        <v>0</v>
      </c>
      <c r="E17" s="53">
        <f t="shared" si="2"/>
        <v>346355</v>
      </c>
      <c r="F17" s="53">
        <f t="shared" si="13"/>
        <v>338060.25</v>
      </c>
      <c r="G17" s="53"/>
      <c r="L17" s="53">
        <v>3200</v>
      </c>
      <c r="M17" s="53">
        <v>1500</v>
      </c>
      <c r="N17" s="53">
        <v>36900</v>
      </c>
      <c r="O17" s="53">
        <f t="shared" si="3"/>
        <v>41600</v>
      </c>
      <c r="P17" s="53">
        <f t="shared" si="14"/>
        <v>38901.25</v>
      </c>
      <c r="Q17" s="53"/>
      <c r="V17" s="53">
        <v>115481</v>
      </c>
      <c r="W17" s="53">
        <v>41216</v>
      </c>
      <c r="X17" s="53">
        <v>21600</v>
      </c>
      <c r="Y17" s="53">
        <f t="shared" si="4"/>
        <v>178297</v>
      </c>
      <c r="Z17" s="53">
        <f t="shared" si="15"/>
        <v>227396.5</v>
      </c>
      <c r="AA17" s="53"/>
      <c r="AF17" s="53">
        <v>0</v>
      </c>
      <c r="AG17" s="53">
        <v>20949</v>
      </c>
      <c r="AH17" s="56">
        <v>0</v>
      </c>
      <c r="AI17" s="53">
        <f t="shared" si="5"/>
        <v>20949</v>
      </c>
      <c r="AJ17" s="53">
        <f t="shared" si="16"/>
        <v>27497.75</v>
      </c>
      <c r="AK17" s="53"/>
      <c r="AP17" s="53">
        <f t="shared" si="6"/>
        <v>441201</v>
      </c>
      <c r="AQ17" s="53">
        <f t="shared" si="0"/>
        <v>87500</v>
      </c>
      <c r="AR17" s="53">
        <f t="shared" si="0"/>
        <v>58500</v>
      </c>
      <c r="AS17" s="53">
        <f t="shared" si="0"/>
        <v>587201</v>
      </c>
      <c r="AT17" s="53">
        <f t="shared" si="17"/>
        <v>631855.75</v>
      </c>
      <c r="AU17" s="53"/>
      <c r="AZ17" s="53">
        <f t="shared" si="8"/>
        <v>346.35500000000002</v>
      </c>
      <c r="BA17" s="53">
        <f t="shared" si="9"/>
        <v>41.6</v>
      </c>
      <c r="BB17" s="53">
        <f t="shared" si="10"/>
        <v>178.297</v>
      </c>
      <c r="BC17" s="53">
        <f t="shared" si="11"/>
        <v>20.949000000000002</v>
      </c>
      <c r="BD17" s="53">
        <f t="shared" si="12"/>
        <v>587.20100000000002</v>
      </c>
      <c r="BE17" s="60">
        <f t="shared" si="18"/>
        <v>3350.09</v>
      </c>
      <c r="BF17" s="60">
        <f t="shared" si="19"/>
        <v>283.32499999999999</v>
      </c>
      <c r="BG17" s="60">
        <f t="shared" si="20"/>
        <v>2018.2640000000001</v>
      </c>
      <c r="BH17" s="60">
        <f t="shared" si="21"/>
        <v>233.37900000000002</v>
      </c>
      <c r="BI17" s="60">
        <f t="shared" si="22"/>
        <v>5885.058</v>
      </c>
      <c r="BJ17" s="1">
        <v>8</v>
      </c>
    </row>
    <row r="18" spans="1:62" x14ac:dyDescent="0.3">
      <c r="A18" s="49">
        <v>37681</v>
      </c>
      <c r="B18" s="53">
        <v>363486</v>
      </c>
      <c r="C18" s="53">
        <v>51900</v>
      </c>
      <c r="D18" s="53">
        <v>0</v>
      </c>
      <c r="E18" s="53">
        <f t="shared" si="2"/>
        <v>415386</v>
      </c>
      <c r="F18" s="53">
        <f t="shared" si="13"/>
        <v>359589.25</v>
      </c>
      <c r="G18" s="53"/>
      <c r="L18" s="53">
        <v>15307</v>
      </c>
      <c r="M18" s="53">
        <v>4500</v>
      </c>
      <c r="N18" s="53">
        <v>19600</v>
      </c>
      <c r="O18" s="53">
        <f t="shared" si="3"/>
        <v>39407</v>
      </c>
      <c r="P18" s="53">
        <f t="shared" si="14"/>
        <v>43453</v>
      </c>
      <c r="Q18" s="53"/>
      <c r="V18" s="53">
        <v>87463</v>
      </c>
      <c r="W18" s="53">
        <v>35195</v>
      </c>
      <c r="X18" s="53">
        <v>11200</v>
      </c>
      <c r="Y18" s="53">
        <f t="shared" si="4"/>
        <v>133858</v>
      </c>
      <c r="Z18" s="53">
        <f t="shared" si="15"/>
        <v>194924.5</v>
      </c>
      <c r="AA18" s="53"/>
      <c r="AF18" s="53">
        <v>7850</v>
      </c>
      <c r="AG18" s="53">
        <v>17978</v>
      </c>
      <c r="AH18" s="56">
        <v>0</v>
      </c>
      <c r="AI18" s="53">
        <f t="shared" si="5"/>
        <v>25828</v>
      </c>
      <c r="AJ18" s="53">
        <f t="shared" si="16"/>
        <v>30311.5</v>
      </c>
      <c r="AK18" s="53"/>
      <c r="AP18" s="53">
        <f t="shared" si="6"/>
        <v>474106</v>
      </c>
      <c r="AQ18" s="53">
        <f t="shared" si="0"/>
        <v>109573</v>
      </c>
      <c r="AR18" s="53">
        <f t="shared" si="0"/>
        <v>30800</v>
      </c>
      <c r="AS18" s="53">
        <f t="shared" si="0"/>
        <v>614479</v>
      </c>
      <c r="AT18" s="53">
        <f t="shared" si="17"/>
        <v>628278.25</v>
      </c>
      <c r="AU18" s="53"/>
      <c r="AZ18" s="53">
        <f t="shared" si="8"/>
        <v>415.38600000000002</v>
      </c>
      <c r="BA18" s="53">
        <f t="shared" si="9"/>
        <v>39.406999999999996</v>
      </c>
      <c r="BB18" s="53">
        <f t="shared" si="10"/>
        <v>133.858</v>
      </c>
      <c r="BC18" s="53">
        <f t="shared" si="11"/>
        <v>25.827999999999999</v>
      </c>
      <c r="BD18" s="53">
        <f t="shared" si="12"/>
        <v>614.47900000000004</v>
      </c>
      <c r="BE18" s="60">
        <f t="shared" si="18"/>
        <v>3765.4760000000001</v>
      </c>
      <c r="BF18" s="60">
        <f t="shared" si="19"/>
        <v>322.73199999999997</v>
      </c>
      <c r="BG18" s="60">
        <f t="shared" si="20"/>
        <v>2152.1220000000003</v>
      </c>
      <c r="BH18" s="60">
        <f t="shared" si="21"/>
        <v>259.20699999999999</v>
      </c>
      <c r="BI18" s="60">
        <f t="shared" si="22"/>
        <v>6499.5370000000003</v>
      </c>
      <c r="BJ18" s="1">
        <v>9</v>
      </c>
    </row>
    <row r="19" spans="1:62" x14ac:dyDescent="0.3">
      <c r="A19" s="49">
        <v>37688</v>
      </c>
      <c r="B19" s="53">
        <v>507339</v>
      </c>
      <c r="C19" s="53">
        <v>27336</v>
      </c>
      <c r="D19" s="53">
        <v>0</v>
      </c>
      <c r="E19" s="53">
        <f t="shared" si="2"/>
        <v>534675</v>
      </c>
      <c r="F19" s="53">
        <f t="shared" si="13"/>
        <v>414598.75</v>
      </c>
      <c r="G19" s="53"/>
      <c r="L19" s="53">
        <v>16172</v>
      </c>
      <c r="M19" s="53">
        <v>7400</v>
      </c>
      <c r="N19" s="53">
        <v>24000</v>
      </c>
      <c r="O19" s="53">
        <f t="shared" si="3"/>
        <v>47572</v>
      </c>
      <c r="P19" s="53">
        <f t="shared" si="14"/>
        <v>43669.75</v>
      </c>
      <c r="Q19" s="53"/>
      <c r="V19" s="53">
        <v>132052</v>
      </c>
      <c r="W19" s="53">
        <v>47724</v>
      </c>
      <c r="X19" s="53">
        <v>8400</v>
      </c>
      <c r="Y19" s="53">
        <f t="shared" si="4"/>
        <v>188176</v>
      </c>
      <c r="Z19" s="53">
        <f t="shared" si="15"/>
        <v>174924.25</v>
      </c>
      <c r="AA19" s="53"/>
      <c r="AF19" s="53">
        <v>0</v>
      </c>
      <c r="AG19" s="53">
        <v>12385</v>
      </c>
      <c r="AH19" s="56">
        <v>0</v>
      </c>
      <c r="AI19" s="53">
        <f t="shared" si="5"/>
        <v>12385</v>
      </c>
      <c r="AJ19" s="53">
        <f t="shared" si="16"/>
        <v>25027.75</v>
      </c>
      <c r="AK19" s="53"/>
      <c r="AP19" s="53">
        <f t="shared" si="6"/>
        <v>655563</v>
      </c>
      <c r="AQ19" s="53">
        <f t="shared" si="0"/>
        <v>94845</v>
      </c>
      <c r="AR19" s="53">
        <f t="shared" si="0"/>
        <v>32400</v>
      </c>
      <c r="AS19" s="53">
        <f t="shared" si="0"/>
        <v>782808</v>
      </c>
      <c r="AT19" s="53">
        <f t="shared" si="17"/>
        <v>658220.5</v>
      </c>
      <c r="AU19" s="53"/>
      <c r="AZ19" s="53">
        <f t="shared" si="8"/>
        <v>534.67499999999995</v>
      </c>
      <c r="BA19" s="53">
        <f t="shared" si="9"/>
        <v>47.572000000000003</v>
      </c>
      <c r="BB19" s="53">
        <f t="shared" si="10"/>
        <v>188.17599999999999</v>
      </c>
      <c r="BC19" s="53">
        <f t="shared" si="11"/>
        <v>12.385</v>
      </c>
      <c r="BD19" s="53">
        <f t="shared" si="12"/>
        <v>782.80799999999999</v>
      </c>
      <c r="BE19" s="60">
        <f t="shared" si="18"/>
        <v>4300.1509999999998</v>
      </c>
      <c r="BF19" s="60">
        <f t="shared" si="19"/>
        <v>370.30399999999997</v>
      </c>
      <c r="BG19" s="60">
        <f t="shared" si="20"/>
        <v>2340.2980000000002</v>
      </c>
      <c r="BH19" s="60">
        <f t="shared" si="21"/>
        <v>271.59199999999998</v>
      </c>
      <c r="BI19" s="60">
        <f t="shared" si="22"/>
        <v>7282.3450000000003</v>
      </c>
      <c r="BJ19" s="1">
        <v>10</v>
      </c>
    </row>
    <row r="20" spans="1:62" x14ac:dyDescent="0.3">
      <c r="A20" s="49">
        <v>37695</v>
      </c>
      <c r="B20" s="53">
        <v>413681</v>
      </c>
      <c r="C20" s="53">
        <v>32993</v>
      </c>
      <c r="D20" s="53">
        <v>0</v>
      </c>
      <c r="E20" s="53">
        <f t="shared" si="2"/>
        <v>446674</v>
      </c>
      <c r="F20" s="53">
        <f t="shared" si="13"/>
        <v>435772.5</v>
      </c>
      <c r="G20" s="53"/>
      <c r="L20" s="53">
        <v>7635</v>
      </c>
      <c r="M20" s="53">
        <v>1500</v>
      </c>
      <c r="N20" s="53">
        <v>19900</v>
      </c>
      <c r="O20" s="53">
        <f t="shared" si="3"/>
        <v>29035</v>
      </c>
      <c r="P20" s="53">
        <f t="shared" si="14"/>
        <v>39403.5</v>
      </c>
      <c r="Q20" s="53"/>
      <c r="V20" s="53">
        <v>79407</v>
      </c>
      <c r="W20" s="53">
        <v>42740</v>
      </c>
      <c r="X20" s="53">
        <v>5700</v>
      </c>
      <c r="Y20" s="53">
        <f t="shared" si="4"/>
        <v>127847</v>
      </c>
      <c r="Z20" s="53">
        <f t="shared" si="15"/>
        <v>157044.5</v>
      </c>
      <c r="AA20" s="53"/>
      <c r="AF20" s="53">
        <v>0</v>
      </c>
      <c r="AG20" s="53">
        <v>7700</v>
      </c>
      <c r="AH20" s="56">
        <v>0</v>
      </c>
      <c r="AI20" s="53">
        <f t="shared" si="5"/>
        <v>7700</v>
      </c>
      <c r="AJ20" s="53">
        <f t="shared" si="16"/>
        <v>16715.5</v>
      </c>
      <c r="AK20" s="53"/>
      <c r="AP20" s="53">
        <f t="shared" si="6"/>
        <v>500723</v>
      </c>
      <c r="AQ20" s="53">
        <f t="shared" si="0"/>
        <v>84933</v>
      </c>
      <c r="AR20" s="53">
        <f t="shared" si="0"/>
        <v>25600</v>
      </c>
      <c r="AS20" s="53">
        <f t="shared" si="0"/>
        <v>611256</v>
      </c>
      <c r="AT20" s="53">
        <f t="shared" si="17"/>
        <v>648936</v>
      </c>
      <c r="AU20" s="53"/>
      <c r="AZ20" s="53">
        <f t="shared" si="8"/>
        <v>446.67399999999998</v>
      </c>
      <c r="BA20" s="53">
        <f t="shared" si="9"/>
        <v>29.035</v>
      </c>
      <c r="BB20" s="53">
        <f t="shared" si="10"/>
        <v>127.84699999999999</v>
      </c>
      <c r="BC20" s="53">
        <f t="shared" si="11"/>
        <v>7.7</v>
      </c>
      <c r="BD20" s="53">
        <f t="shared" si="12"/>
        <v>611.25599999999997</v>
      </c>
      <c r="BE20" s="60">
        <f t="shared" si="18"/>
        <v>4746.8249999999998</v>
      </c>
      <c r="BF20" s="60">
        <f t="shared" si="19"/>
        <v>399.339</v>
      </c>
      <c r="BG20" s="60">
        <f t="shared" si="20"/>
        <v>2468.1450000000004</v>
      </c>
      <c r="BH20" s="60">
        <f t="shared" si="21"/>
        <v>279.29199999999997</v>
      </c>
      <c r="BI20" s="60">
        <f t="shared" si="22"/>
        <v>7893.6010000000006</v>
      </c>
      <c r="BJ20" s="1">
        <v>11</v>
      </c>
    </row>
    <row r="21" spans="1:62" x14ac:dyDescent="0.3">
      <c r="A21" s="49">
        <v>37702</v>
      </c>
      <c r="B21" s="53">
        <v>442830</v>
      </c>
      <c r="C21" s="53">
        <v>33260</v>
      </c>
      <c r="D21" s="53">
        <v>0</v>
      </c>
      <c r="E21" s="53">
        <f t="shared" si="2"/>
        <v>476090</v>
      </c>
      <c r="F21" s="53">
        <f t="shared" si="13"/>
        <v>468206.25</v>
      </c>
      <c r="G21" s="53"/>
      <c r="L21" s="53">
        <v>7550</v>
      </c>
      <c r="M21" s="53">
        <v>4580</v>
      </c>
      <c r="N21" s="53">
        <v>27200</v>
      </c>
      <c r="O21" s="53">
        <f t="shared" si="3"/>
        <v>39330</v>
      </c>
      <c r="P21" s="53">
        <f t="shared" si="14"/>
        <v>38836</v>
      </c>
      <c r="Q21" s="53"/>
      <c r="V21" s="53">
        <v>84436</v>
      </c>
      <c r="W21" s="53">
        <v>44960</v>
      </c>
      <c r="X21" s="53">
        <v>7300</v>
      </c>
      <c r="Y21" s="53">
        <f t="shared" si="4"/>
        <v>136696</v>
      </c>
      <c r="Z21" s="53">
        <f t="shared" si="15"/>
        <v>146644.25</v>
      </c>
      <c r="AA21" s="53"/>
      <c r="AF21" s="53">
        <v>0</v>
      </c>
      <c r="AG21" s="53">
        <v>13937</v>
      </c>
      <c r="AH21" s="56">
        <v>0</v>
      </c>
      <c r="AI21" s="53">
        <f t="shared" si="5"/>
        <v>13937</v>
      </c>
      <c r="AJ21" s="53">
        <f t="shared" si="16"/>
        <v>14962.5</v>
      </c>
      <c r="AK21" s="53"/>
      <c r="AP21" s="53">
        <f t="shared" si="6"/>
        <v>534816</v>
      </c>
      <c r="AQ21" s="53">
        <f t="shared" si="0"/>
        <v>96737</v>
      </c>
      <c r="AR21" s="53">
        <f t="shared" si="0"/>
        <v>34500</v>
      </c>
      <c r="AS21" s="53">
        <f t="shared" si="0"/>
        <v>666053</v>
      </c>
      <c r="AT21" s="53">
        <f t="shared" si="17"/>
        <v>668649</v>
      </c>
      <c r="AU21" s="53"/>
      <c r="AZ21" s="53">
        <f t="shared" si="8"/>
        <v>476.09</v>
      </c>
      <c r="BA21" s="53">
        <f t="shared" si="9"/>
        <v>39.33</v>
      </c>
      <c r="BB21" s="53">
        <f t="shared" si="10"/>
        <v>136.696</v>
      </c>
      <c r="BC21" s="53">
        <f t="shared" si="11"/>
        <v>13.936999999999999</v>
      </c>
      <c r="BD21" s="53">
        <f t="shared" si="12"/>
        <v>666.053</v>
      </c>
      <c r="BE21" s="60">
        <f t="shared" si="18"/>
        <v>5222.915</v>
      </c>
      <c r="BF21" s="60">
        <f t="shared" si="19"/>
        <v>438.66899999999998</v>
      </c>
      <c r="BG21" s="60">
        <f t="shared" si="20"/>
        <v>2604.8410000000003</v>
      </c>
      <c r="BH21" s="60">
        <f t="shared" si="21"/>
        <v>293.22899999999998</v>
      </c>
      <c r="BI21" s="60">
        <f t="shared" si="22"/>
        <v>8559.6540000000005</v>
      </c>
      <c r="BJ21" s="1">
        <v>12</v>
      </c>
    </row>
    <row r="22" spans="1:62" x14ac:dyDescent="0.3">
      <c r="A22" s="49">
        <v>37709</v>
      </c>
      <c r="B22" s="53">
        <v>682701</v>
      </c>
      <c r="C22" s="53">
        <v>49168</v>
      </c>
      <c r="D22" s="53">
        <v>0</v>
      </c>
      <c r="E22" s="53">
        <f t="shared" si="2"/>
        <v>731869</v>
      </c>
      <c r="F22" s="53">
        <f t="shared" si="13"/>
        <v>547327</v>
      </c>
      <c r="G22" s="53"/>
      <c r="L22" s="53">
        <v>15259</v>
      </c>
      <c r="M22" s="53">
        <v>0</v>
      </c>
      <c r="N22" s="53">
        <v>19600</v>
      </c>
      <c r="O22" s="53">
        <f t="shared" si="3"/>
        <v>34859</v>
      </c>
      <c r="P22" s="53">
        <f t="shared" si="14"/>
        <v>37699</v>
      </c>
      <c r="Q22" s="53"/>
      <c r="V22" s="53">
        <v>111184</v>
      </c>
      <c r="W22" s="53">
        <v>19624</v>
      </c>
      <c r="X22" s="53">
        <v>5600</v>
      </c>
      <c r="Y22" s="53">
        <f t="shared" si="4"/>
        <v>136408</v>
      </c>
      <c r="Z22" s="53">
        <f t="shared" si="15"/>
        <v>147281.75</v>
      </c>
      <c r="AA22" s="53"/>
      <c r="AF22" s="53">
        <v>6000</v>
      </c>
      <c r="AG22" s="53">
        <v>21420</v>
      </c>
      <c r="AH22" s="56">
        <v>0</v>
      </c>
      <c r="AI22" s="53">
        <f t="shared" si="5"/>
        <v>27420</v>
      </c>
      <c r="AJ22" s="53">
        <f t="shared" si="16"/>
        <v>15360.5</v>
      </c>
      <c r="AK22" s="53"/>
      <c r="AP22" s="53">
        <f t="shared" si="6"/>
        <v>815144</v>
      </c>
      <c r="AQ22" s="53">
        <f t="shared" si="0"/>
        <v>90212</v>
      </c>
      <c r="AR22" s="53">
        <f t="shared" si="0"/>
        <v>25200</v>
      </c>
      <c r="AS22" s="53">
        <f t="shared" si="0"/>
        <v>930556</v>
      </c>
      <c r="AT22" s="53">
        <f t="shared" si="17"/>
        <v>747668.25</v>
      </c>
      <c r="AU22" s="53"/>
      <c r="AZ22" s="53">
        <f t="shared" si="8"/>
        <v>731.86900000000003</v>
      </c>
      <c r="BA22" s="53">
        <f t="shared" si="9"/>
        <v>34.859000000000002</v>
      </c>
      <c r="BB22" s="53">
        <f t="shared" si="10"/>
        <v>136.40799999999999</v>
      </c>
      <c r="BC22" s="53">
        <f t="shared" si="11"/>
        <v>27.42</v>
      </c>
      <c r="BD22" s="53">
        <f t="shared" si="12"/>
        <v>930.55600000000004</v>
      </c>
      <c r="BE22" s="60">
        <f t="shared" si="18"/>
        <v>5954.7839999999997</v>
      </c>
      <c r="BF22" s="60">
        <f t="shared" si="19"/>
        <v>473.52799999999996</v>
      </c>
      <c r="BG22" s="60">
        <f t="shared" si="20"/>
        <v>2741.2490000000003</v>
      </c>
      <c r="BH22" s="60">
        <f t="shared" si="21"/>
        <v>320.649</v>
      </c>
      <c r="BI22" s="60">
        <f t="shared" si="22"/>
        <v>9490.2100000000009</v>
      </c>
      <c r="BJ22" s="1">
        <v>13</v>
      </c>
    </row>
    <row r="23" spans="1:62" x14ac:dyDescent="0.3">
      <c r="A23" s="49">
        <v>37716</v>
      </c>
      <c r="B23" s="53">
        <v>675491</v>
      </c>
      <c r="C23" s="53">
        <v>36735</v>
      </c>
      <c r="D23" s="53">
        <v>0</v>
      </c>
      <c r="E23" s="53">
        <f t="shared" si="2"/>
        <v>712226</v>
      </c>
      <c r="F23" s="53">
        <f t="shared" si="13"/>
        <v>591714.75</v>
      </c>
      <c r="G23" s="53"/>
      <c r="L23" s="53">
        <v>13924</v>
      </c>
      <c r="M23" s="53">
        <v>4500</v>
      </c>
      <c r="N23" s="53">
        <v>11300</v>
      </c>
      <c r="O23" s="53">
        <f t="shared" si="3"/>
        <v>29724</v>
      </c>
      <c r="P23" s="53">
        <f t="shared" si="14"/>
        <v>33237</v>
      </c>
      <c r="Q23" s="53"/>
      <c r="V23" s="53">
        <v>134812</v>
      </c>
      <c r="W23" s="53">
        <v>23913</v>
      </c>
      <c r="X23" s="53">
        <v>5500</v>
      </c>
      <c r="Y23" s="53">
        <f t="shared" si="4"/>
        <v>164225</v>
      </c>
      <c r="Z23" s="53">
        <f t="shared" si="15"/>
        <v>141294</v>
      </c>
      <c r="AA23" s="53"/>
      <c r="AF23" s="53">
        <v>0</v>
      </c>
      <c r="AG23" s="53">
        <v>9124</v>
      </c>
      <c r="AH23" s="56">
        <v>0</v>
      </c>
      <c r="AI23" s="53">
        <f t="shared" si="5"/>
        <v>9124</v>
      </c>
      <c r="AJ23" s="53">
        <f t="shared" si="16"/>
        <v>14545.25</v>
      </c>
      <c r="AK23" s="53"/>
      <c r="AP23" s="53">
        <f t="shared" si="6"/>
        <v>824227</v>
      </c>
      <c r="AQ23" s="53">
        <f t="shared" si="0"/>
        <v>74272</v>
      </c>
      <c r="AR23" s="53">
        <f t="shared" si="0"/>
        <v>16800</v>
      </c>
      <c r="AS23" s="53">
        <f t="shared" si="0"/>
        <v>915299</v>
      </c>
      <c r="AT23" s="53">
        <f t="shared" si="17"/>
        <v>780791</v>
      </c>
      <c r="AU23" s="53"/>
      <c r="AZ23" s="53">
        <f t="shared" si="8"/>
        <v>712.226</v>
      </c>
      <c r="BA23" s="53">
        <f t="shared" si="9"/>
        <v>29.724</v>
      </c>
      <c r="BB23" s="53">
        <f t="shared" si="10"/>
        <v>164.22499999999999</v>
      </c>
      <c r="BC23" s="53">
        <f t="shared" si="11"/>
        <v>9.1240000000000006</v>
      </c>
      <c r="BD23" s="53">
        <f t="shared" si="12"/>
        <v>915.29899999999998</v>
      </c>
      <c r="BE23" s="60">
        <f t="shared" si="18"/>
        <v>6667.0099999999993</v>
      </c>
      <c r="BF23" s="60">
        <f t="shared" si="19"/>
        <v>503.25199999999995</v>
      </c>
      <c r="BG23" s="60">
        <f t="shared" si="20"/>
        <v>2905.4740000000002</v>
      </c>
      <c r="BH23" s="60">
        <f t="shared" si="21"/>
        <v>329.77300000000002</v>
      </c>
      <c r="BI23" s="60">
        <f t="shared" si="22"/>
        <v>10405.509000000002</v>
      </c>
      <c r="BJ23" s="1">
        <v>14</v>
      </c>
    </row>
    <row r="24" spans="1:62" x14ac:dyDescent="0.3">
      <c r="A24" s="49">
        <v>37723</v>
      </c>
      <c r="B24" s="53">
        <v>595846</v>
      </c>
      <c r="C24" s="53">
        <v>33200</v>
      </c>
      <c r="D24" s="53">
        <v>0</v>
      </c>
      <c r="E24" s="53">
        <f t="shared" si="2"/>
        <v>629046</v>
      </c>
      <c r="F24" s="53">
        <f t="shared" si="13"/>
        <v>637307.75</v>
      </c>
      <c r="G24" s="53"/>
      <c r="L24" s="53">
        <v>3000</v>
      </c>
      <c r="M24" s="53">
        <v>4493</v>
      </c>
      <c r="N24" s="53">
        <v>13800</v>
      </c>
      <c r="O24" s="53">
        <f t="shared" si="3"/>
        <v>21293</v>
      </c>
      <c r="P24" s="53">
        <f t="shared" si="14"/>
        <v>31301.5</v>
      </c>
      <c r="Q24" s="53"/>
      <c r="V24" s="53">
        <v>162020</v>
      </c>
      <c r="W24" s="53">
        <v>16700</v>
      </c>
      <c r="X24" s="53">
        <v>1400</v>
      </c>
      <c r="Y24" s="53">
        <f t="shared" si="4"/>
        <v>180120</v>
      </c>
      <c r="Z24" s="53">
        <f t="shared" si="15"/>
        <v>154362.25</v>
      </c>
      <c r="AA24" s="53"/>
      <c r="AF24" s="53">
        <v>1600</v>
      </c>
      <c r="AG24" s="53">
        <v>16289</v>
      </c>
      <c r="AH24" s="56">
        <v>0</v>
      </c>
      <c r="AI24" s="53">
        <f t="shared" si="5"/>
        <v>17889</v>
      </c>
      <c r="AJ24" s="53">
        <f t="shared" si="16"/>
        <v>17092.5</v>
      </c>
      <c r="AK24" s="53"/>
      <c r="AP24" s="53">
        <f t="shared" si="6"/>
        <v>762466</v>
      </c>
      <c r="AQ24" s="53">
        <f t="shared" si="0"/>
        <v>70682</v>
      </c>
      <c r="AR24" s="53">
        <f t="shared" si="0"/>
        <v>15200</v>
      </c>
      <c r="AS24" s="53">
        <f t="shared" si="0"/>
        <v>848348</v>
      </c>
      <c r="AT24" s="53">
        <f t="shared" si="17"/>
        <v>840064</v>
      </c>
      <c r="AU24" s="53"/>
      <c r="AZ24" s="53">
        <f t="shared" si="8"/>
        <v>629.04600000000005</v>
      </c>
      <c r="BA24" s="53">
        <f t="shared" si="9"/>
        <v>21.292999999999999</v>
      </c>
      <c r="BB24" s="53">
        <f t="shared" si="10"/>
        <v>180.12</v>
      </c>
      <c r="BC24" s="53">
        <f t="shared" si="11"/>
        <v>17.888999999999999</v>
      </c>
      <c r="BD24" s="53">
        <f t="shared" si="12"/>
        <v>848.34799999999996</v>
      </c>
      <c r="BE24" s="60">
        <f t="shared" si="18"/>
        <v>7296.0559999999996</v>
      </c>
      <c r="BF24" s="60">
        <f t="shared" si="19"/>
        <v>524.54499999999996</v>
      </c>
      <c r="BG24" s="60">
        <f t="shared" si="20"/>
        <v>3085.5940000000001</v>
      </c>
      <c r="BH24" s="60">
        <f t="shared" si="21"/>
        <v>347.66200000000003</v>
      </c>
      <c r="BI24" s="60">
        <f t="shared" si="22"/>
        <v>11253.857000000002</v>
      </c>
      <c r="BJ24" s="1">
        <v>15</v>
      </c>
    </row>
    <row r="25" spans="1:62" x14ac:dyDescent="0.3">
      <c r="A25" s="49">
        <v>37730</v>
      </c>
      <c r="B25" s="53">
        <v>498388</v>
      </c>
      <c r="C25" s="53">
        <v>18300</v>
      </c>
      <c r="D25" s="53">
        <v>0</v>
      </c>
      <c r="E25" s="53">
        <f t="shared" si="2"/>
        <v>516688</v>
      </c>
      <c r="F25" s="53">
        <f t="shared" si="13"/>
        <v>647457.25</v>
      </c>
      <c r="G25" s="53"/>
      <c r="L25" s="53">
        <v>9020</v>
      </c>
      <c r="M25" s="53">
        <v>0</v>
      </c>
      <c r="N25" s="53">
        <v>2300</v>
      </c>
      <c r="O25" s="53">
        <f t="shared" si="3"/>
        <v>11320</v>
      </c>
      <c r="P25" s="53">
        <f t="shared" si="14"/>
        <v>24299</v>
      </c>
      <c r="Q25" s="53"/>
      <c r="V25" s="53">
        <v>190666</v>
      </c>
      <c r="W25" s="53">
        <v>16593</v>
      </c>
      <c r="X25" s="53">
        <v>4300</v>
      </c>
      <c r="Y25" s="53">
        <f t="shared" si="4"/>
        <v>211559</v>
      </c>
      <c r="Z25" s="53">
        <f t="shared" si="15"/>
        <v>173078</v>
      </c>
      <c r="AA25" s="53"/>
      <c r="AF25" s="53">
        <v>1500</v>
      </c>
      <c r="AG25" s="53">
        <v>8750</v>
      </c>
      <c r="AH25" s="56">
        <v>0</v>
      </c>
      <c r="AI25" s="53">
        <f t="shared" si="5"/>
        <v>10250</v>
      </c>
      <c r="AJ25" s="53">
        <f t="shared" si="16"/>
        <v>16170.75</v>
      </c>
      <c r="AK25" s="53"/>
      <c r="AP25" s="53">
        <f t="shared" si="6"/>
        <v>699574</v>
      </c>
      <c r="AQ25" s="53">
        <f t="shared" si="0"/>
        <v>43643</v>
      </c>
      <c r="AR25" s="53">
        <f t="shared" si="0"/>
        <v>6600</v>
      </c>
      <c r="AS25" s="53">
        <f t="shared" si="0"/>
        <v>749817</v>
      </c>
      <c r="AT25" s="53">
        <f t="shared" si="17"/>
        <v>861005</v>
      </c>
      <c r="AU25" s="53"/>
      <c r="AZ25" s="53">
        <f t="shared" si="8"/>
        <v>516.68799999999999</v>
      </c>
      <c r="BA25" s="53">
        <f t="shared" si="9"/>
        <v>11.32</v>
      </c>
      <c r="BB25" s="53">
        <f t="shared" si="10"/>
        <v>211.559</v>
      </c>
      <c r="BC25" s="53">
        <f t="shared" si="11"/>
        <v>10.25</v>
      </c>
      <c r="BD25" s="53">
        <f t="shared" si="12"/>
        <v>749.81700000000001</v>
      </c>
      <c r="BE25" s="60">
        <f t="shared" si="18"/>
        <v>7812.7439999999997</v>
      </c>
      <c r="BF25" s="60">
        <f t="shared" si="19"/>
        <v>535.86500000000001</v>
      </c>
      <c r="BG25" s="60">
        <f t="shared" si="20"/>
        <v>3297.1530000000002</v>
      </c>
      <c r="BH25" s="60">
        <f t="shared" si="21"/>
        <v>357.91200000000003</v>
      </c>
      <c r="BI25" s="60">
        <f t="shared" si="22"/>
        <v>12003.674000000003</v>
      </c>
      <c r="BJ25" s="1">
        <v>16</v>
      </c>
    </row>
    <row r="26" spans="1:62" x14ac:dyDescent="0.3">
      <c r="A26" s="49">
        <v>37737</v>
      </c>
      <c r="B26" s="53">
        <v>627283</v>
      </c>
      <c r="C26" s="53">
        <v>10872</v>
      </c>
      <c r="D26" s="53">
        <v>0</v>
      </c>
      <c r="E26" s="53">
        <f t="shared" si="2"/>
        <v>638155</v>
      </c>
      <c r="F26" s="53">
        <f t="shared" si="13"/>
        <v>624028.75</v>
      </c>
      <c r="G26" s="53"/>
      <c r="L26" s="53">
        <v>7659</v>
      </c>
      <c r="M26" s="53">
        <v>1624</v>
      </c>
      <c r="N26" s="53">
        <v>11400</v>
      </c>
      <c r="O26" s="53">
        <f t="shared" si="3"/>
        <v>20683</v>
      </c>
      <c r="P26" s="53">
        <f t="shared" si="14"/>
        <v>20755</v>
      </c>
      <c r="Q26" s="53"/>
      <c r="V26" s="53">
        <v>154038</v>
      </c>
      <c r="W26" s="53">
        <v>9280</v>
      </c>
      <c r="X26" s="53">
        <v>4500</v>
      </c>
      <c r="Y26" s="53">
        <f t="shared" si="4"/>
        <v>167818</v>
      </c>
      <c r="Z26" s="53">
        <f t="shared" si="15"/>
        <v>180930.5</v>
      </c>
      <c r="AA26" s="53"/>
      <c r="AF26" s="53">
        <v>0</v>
      </c>
      <c r="AG26" s="53">
        <v>10500</v>
      </c>
      <c r="AH26" s="56">
        <v>0</v>
      </c>
      <c r="AI26" s="53">
        <f t="shared" si="5"/>
        <v>10500</v>
      </c>
      <c r="AJ26" s="53">
        <f t="shared" si="16"/>
        <v>11940.75</v>
      </c>
      <c r="AK26" s="53"/>
      <c r="AP26" s="53">
        <f t="shared" si="6"/>
        <v>788980</v>
      </c>
      <c r="AQ26" s="53">
        <f t="shared" si="6"/>
        <v>32276</v>
      </c>
      <c r="AR26" s="53">
        <f t="shared" si="6"/>
        <v>15900</v>
      </c>
      <c r="AS26" s="53">
        <f t="shared" si="6"/>
        <v>837156</v>
      </c>
      <c r="AT26" s="53">
        <f t="shared" si="17"/>
        <v>837655</v>
      </c>
      <c r="AU26" s="53"/>
      <c r="AZ26" s="53">
        <f t="shared" si="8"/>
        <v>638.15499999999997</v>
      </c>
      <c r="BA26" s="53">
        <f t="shared" si="9"/>
        <v>20.683</v>
      </c>
      <c r="BB26" s="53">
        <f t="shared" si="10"/>
        <v>167.81800000000001</v>
      </c>
      <c r="BC26" s="53">
        <f t="shared" si="11"/>
        <v>10.5</v>
      </c>
      <c r="BD26" s="53">
        <f t="shared" si="12"/>
        <v>837.15599999999995</v>
      </c>
      <c r="BE26" s="60">
        <f t="shared" si="18"/>
        <v>8450.8989999999994</v>
      </c>
      <c r="BF26" s="60">
        <f t="shared" si="19"/>
        <v>556.548</v>
      </c>
      <c r="BG26" s="60">
        <f t="shared" si="20"/>
        <v>3464.9710000000005</v>
      </c>
      <c r="BH26" s="60">
        <f t="shared" si="21"/>
        <v>368.41200000000003</v>
      </c>
      <c r="BI26" s="60">
        <f t="shared" si="22"/>
        <v>12840.830000000002</v>
      </c>
      <c r="BJ26" s="1">
        <v>17</v>
      </c>
    </row>
    <row r="27" spans="1:62" x14ac:dyDescent="0.3">
      <c r="A27" s="49">
        <v>37744</v>
      </c>
      <c r="B27" s="53">
        <v>542920</v>
      </c>
      <c r="C27" s="53">
        <v>9080</v>
      </c>
      <c r="D27" s="53">
        <v>0</v>
      </c>
      <c r="E27" s="53">
        <f t="shared" si="2"/>
        <v>552000</v>
      </c>
      <c r="F27" s="53">
        <f t="shared" si="13"/>
        <v>583972.25</v>
      </c>
      <c r="G27" s="53"/>
      <c r="L27" s="53">
        <v>36275</v>
      </c>
      <c r="M27" s="53">
        <v>0</v>
      </c>
      <c r="N27" s="53">
        <v>7100</v>
      </c>
      <c r="O27" s="53">
        <f t="shared" si="3"/>
        <v>43375</v>
      </c>
      <c r="P27" s="53">
        <f t="shared" si="14"/>
        <v>24167.75</v>
      </c>
      <c r="Q27" s="53"/>
      <c r="V27" s="53">
        <v>100045</v>
      </c>
      <c r="W27" s="53">
        <v>13624</v>
      </c>
      <c r="X27" s="53">
        <v>2900</v>
      </c>
      <c r="Y27" s="53">
        <f t="shared" si="4"/>
        <v>116569</v>
      </c>
      <c r="Z27" s="53">
        <f t="shared" si="15"/>
        <v>169016.5</v>
      </c>
      <c r="AA27" s="53"/>
      <c r="AF27" s="53">
        <v>3035</v>
      </c>
      <c r="AG27" s="53">
        <v>1748</v>
      </c>
      <c r="AH27" s="56">
        <v>0</v>
      </c>
      <c r="AI27" s="53">
        <f t="shared" si="5"/>
        <v>4783</v>
      </c>
      <c r="AJ27" s="53">
        <f t="shared" si="16"/>
        <v>10855.5</v>
      </c>
      <c r="AK27" s="53"/>
      <c r="AP27" s="53">
        <f t="shared" si="6"/>
        <v>682275</v>
      </c>
      <c r="AQ27" s="53">
        <f t="shared" si="6"/>
        <v>24452</v>
      </c>
      <c r="AR27" s="53">
        <f t="shared" si="6"/>
        <v>10000</v>
      </c>
      <c r="AS27" s="53">
        <f t="shared" si="6"/>
        <v>716727</v>
      </c>
      <c r="AT27" s="53">
        <f t="shared" si="17"/>
        <v>788012</v>
      </c>
      <c r="AU27" s="53"/>
      <c r="AZ27" s="53">
        <f t="shared" si="8"/>
        <v>552</v>
      </c>
      <c r="BA27" s="53">
        <f t="shared" si="9"/>
        <v>43.375</v>
      </c>
      <c r="BB27" s="53">
        <f t="shared" si="10"/>
        <v>116.569</v>
      </c>
      <c r="BC27" s="53">
        <f t="shared" si="11"/>
        <v>4.7830000000000004</v>
      </c>
      <c r="BD27" s="53">
        <f t="shared" si="12"/>
        <v>716.72699999999998</v>
      </c>
      <c r="BE27" s="60">
        <f t="shared" si="18"/>
        <v>9002.8989999999994</v>
      </c>
      <c r="BF27" s="60">
        <f t="shared" si="19"/>
        <v>599.923</v>
      </c>
      <c r="BG27" s="60">
        <f t="shared" si="20"/>
        <v>3581.5400000000004</v>
      </c>
      <c r="BH27" s="60">
        <f t="shared" si="21"/>
        <v>373.19500000000005</v>
      </c>
      <c r="BI27" s="60">
        <f t="shared" si="22"/>
        <v>13557.557000000003</v>
      </c>
      <c r="BJ27" s="1">
        <v>18</v>
      </c>
    </row>
    <row r="28" spans="1:62" x14ac:dyDescent="0.3">
      <c r="A28" s="49">
        <v>37751</v>
      </c>
      <c r="B28" s="53">
        <v>482252</v>
      </c>
      <c r="C28" s="53">
        <v>12150</v>
      </c>
      <c r="D28" s="53">
        <v>0</v>
      </c>
      <c r="E28" s="53">
        <f t="shared" si="2"/>
        <v>494402</v>
      </c>
      <c r="F28" s="53">
        <f t="shared" si="13"/>
        <v>550311.25</v>
      </c>
      <c r="G28" s="53"/>
      <c r="L28" s="53">
        <v>15000</v>
      </c>
      <c r="M28" s="53">
        <v>3293</v>
      </c>
      <c r="N28" s="53">
        <v>7100</v>
      </c>
      <c r="O28" s="53">
        <f t="shared" si="3"/>
        <v>25393</v>
      </c>
      <c r="P28" s="53">
        <f t="shared" si="14"/>
        <v>25192.75</v>
      </c>
      <c r="Q28" s="53"/>
      <c r="V28" s="53">
        <v>104739</v>
      </c>
      <c r="W28" s="53">
        <v>19700</v>
      </c>
      <c r="X28" s="53">
        <v>2900</v>
      </c>
      <c r="Y28" s="53">
        <f t="shared" si="4"/>
        <v>127339</v>
      </c>
      <c r="Z28" s="53">
        <f t="shared" si="15"/>
        <v>155821.25</v>
      </c>
      <c r="AA28" s="53"/>
      <c r="AF28" s="53">
        <v>1500</v>
      </c>
      <c r="AG28" s="53">
        <v>1500</v>
      </c>
      <c r="AH28" s="56">
        <v>0</v>
      </c>
      <c r="AI28" s="53">
        <f t="shared" si="5"/>
        <v>3000</v>
      </c>
      <c r="AJ28" s="53">
        <f t="shared" si="16"/>
        <v>7133.25</v>
      </c>
      <c r="AK28" s="53"/>
      <c r="AP28" s="53">
        <f t="shared" si="6"/>
        <v>603491</v>
      </c>
      <c r="AQ28" s="53">
        <f t="shared" si="6"/>
        <v>36643</v>
      </c>
      <c r="AR28" s="53">
        <f t="shared" si="6"/>
        <v>10000</v>
      </c>
      <c r="AS28" s="53">
        <f t="shared" si="6"/>
        <v>650134</v>
      </c>
      <c r="AT28" s="53">
        <f t="shared" si="17"/>
        <v>738458.5</v>
      </c>
      <c r="AU28" s="53"/>
      <c r="AZ28" s="53">
        <f t="shared" si="8"/>
        <v>494.40199999999999</v>
      </c>
      <c r="BA28" s="53">
        <f t="shared" si="9"/>
        <v>25.393000000000001</v>
      </c>
      <c r="BB28" s="53">
        <f t="shared" si="10"/>
        <v>127.339</v>
      </c>
      <c r="BC28" s="53">
        <f t="shared" si="11"/>
        <v>3</v>
      </c>
      <c r="BD28" s="53">
        <f t="shared" si="12"/>
        <v>650.13400000000001</v>
      </c>
      <c r="BE28" s="60">
        <f t="shared" si="18"/>
        <v>9497.3009999999995</v>
      </c>
      <c r="BF28" s="60">
        <f t="shared" si="19"/>
        <v>625.31600000000003</v>
      </c>
      <c r="BG28" s="60">
        <f t="shared" si="20"/>
        <v>3708.8790000000004</v>
      </c>
      <c r="BH28" s="60">
        <f t="shared" si="21"/>
        <v>376.19500000000005</v>
      </c>
      <c r="BI28" s="60">
        <f t="shared" si="22"/>
        <v>14207.691000000003</v>
      </c>
      <c r="BJ28" s="1">
        <v>19</v>
      </c>
    </row>
    <row r="29" spans="1:62" x14ac:dyDescent="0.3">
      <c r="A29" s="49">
        <v>37758</v>
      </c>
      <c r="B29" s="53">
        <v>542980</v>
      </c>
      <c r="C29" s="53">
        <v>19700</v>
      </c>
      <c r="D29" s="53">
        <v>0</v>
      </c>
      <c r="E29" s="53">
        <f t="shared" si="2"/>
        <v>562680</v>
      </c>
      <c r="F29" s="53">
        <f t="shared" si="13"/>
        <v>561809.25</v>
      </c>
      <c r="G29" s="53"/>
      <c r="L29" s="53">
        <v>12248</v>
      </c>
      <c r="M29" s="53">
        <v>0</v>
      </c>
      <c r="N29" s="53">
        <v>5600</v>
      </c>
      <c r="O29" s="53">
        <f t="shared" si="3"/>
        <v>17848</v>
      </c>
      <c r="P29" s="53">
        <f t="shared" si="14"/>
        <v>26824.75</v>
      </c>
      <c r="Q29" s="53"/>
      <c r="V29" s="53">
        <v>54291</v>
      </c>
      <c r="W29" s="53">
        <v>13600</v>
      </c>
      <c r="X29" s="53">
        <v>0</v>
      </c>
      <c r="Y29" s="53">
        <f t="shared" si="4"/>
        <v>67891</v>
      </c>
      <c r="Z29" s="53">
        <f t="shared" si="15"/>
        <v>119904.25</v>
      </c>
      <c r="AA29" s="53"/>
      <c r="AF29" s="53">
        <v>0</v>
      </c>
      <c r="AG29" s="53">
        <v>0</v>
      </c>
      <c r="AH29" s="56">
        <v>0</v>
      </c>
      <c r="AI29" s="53">
        <f t="shared" si="5"/>
        <v>0</v>
      </c>
      <c r="AJ29" s="53">
        <f t="shared" si="16"/>
        <v>4570.75</v>
      </c>
      <c r="AK29" s="53"/>
      <c r="AP29" s="53">
        <f t="shared" si="6"/>
        <v>609519</v>
      </c>
      <c r="AQ29" s="53">
        <f t="shared" si="6"/>
        <v>33300</v>
      </c>
      <c r="AR29" s="53">
        <f t="shared" si="6"/>
        <v>5600</v>
      </c>
      <c r="AS29" s="53">
        <f t="shared" si="6"/>
        <v>648419</v>
      </c>
      <c r="AT29" s="53">
        <f t="shared" si="17"/>
        <v>713109</v>
      </c>
      <c r="AU29" s="53"/>
      <c r="AZ29" s="53">
        <f t="shared" si="8"/>
        <v>562.67999999999995</v>
      </c>
      <c r="BA29" s="53">
        <f t="shared" si="9"/>
        <v>17.847999999999999</v>
      </c>
      <c r="BB29" s="53">
        <f t="shared" si="10"/>
        <v>67.891000000000005</v>
      </c>
      <c r="BC29" s="53">
        <f t="shared" si="11"/>
        <v>0</v>
      </c>
      <c r="BD29" s="53">
        <f t="shared" si="12"/>
        <v>648.41899999999998</v>
      </c>
      <c r="BE29" s="60">
        <f t="shared" si="18"/>
        <v>10059.981</v>
      </c>
      <c r="BF29" s="60">
        <f t="shared" si="19"/>
        <v>643.16399999999999</v>
      </c>
      <c r="BG29" s="60">
        <f t="shared" si="20"/>
        <v>3776.7700000000004</v>
      </c>
      <c r="BH29" s="60">
        <f t="shared" si="21"/>
        <v>376.19500000000005</v>
      </c>
      <c r="BI29" s="60">
        <f t="shared" si="22"/>
        <v>14856.110000000002</v>
      </c>
      <c r="BJ29" s="1">
        <v>20</v>
      </c>
    </row>
    <row r="30" spans="1:62" x14ac:dyDescent="0.3">
      <c r="A30" s="49">
        <v>37765</v>
      </c>
      <c r="B30" s="53">
        <v>774813</v>
      </c>
      <c r="C30" s="53">
        <v>29900</v>
      </c>
      <c r="D30" s="53">
        <v>0</v>
      </c>
      <c r="E30" s="53">
        <f t="shared" si="2"/>
        <v>804713</v>
      </c>
      <c r="F30" s="53">
        <f t="shared" si="13"/>
        <v>603448.75</v>
      </c>
      <c r="G30" s="53"/>
      <c r="L30" s="53">
        <v>12235</v>
      </c>
      <c r="M30" s="53">
        <v>1590</v>
      </c>
      <c r="N30" s="53">
        <v>12800</v>
      </c>
      <c r="O30" s="53">
        <f t="shared" si="3"/>
        <v>26625</v>
      </c>
      <c r="P30" s="53">
        <f t="shared" si="14"/>
        <v>28310.25</v>
      </c>
      <c r="Q30" s="53"/>
      <c r="V30" s="53">
        <v>116813</v>
      </c>
      <c r="W30" s="53">
        <v>20650</v>
      </c>
      <c r="X30" s="53">
        <v>4300</v>
      </c>
      <c r="Y30" s="53">
        <f t="shared" si="4"/>
        <v>141763</v>
      </c>
      <c r="Z30" s="53">
        <f t="shared" si="15"/>
        <v>113390.5</v>
      </c>
      <c r="AA30" s="53"/>
      <c r="AF30" s="53">
        <v>0</v>
      </c>
      <c r="AG30" s="53">
        <v>16500</v>
      </c>
      <c r="AH30" s="53">
        <v>8000</v>
      </c>
      <c r="AI30" s="53">
        <f t="shared" si="5"/>
        <v>24500</v>
      </c>
      <c r="AJ30" s="53">
        <f t="shared" si="16"/>
        <v>8070.75</v>
      </c>
      <c r="AK30" s="53"/>
      <c r="AP30" s="53">
        <f t="shared" si="6"/>
        <v>903861</v>
      </c>
      <c r="AQ30" s="53">
        <f t="shared" si="6"/>
        <v>68640</v>
      </c>
      <c r="AR30" s="53">
        <f t="shared" si="6"/>
        <v>25100</v>
      </c>
      <c r="AS30" s="53">
        <f t="shared" si="6"/>
        <v>997601</v>
      </c>
      <c r="AT30" s="53">
        <f t="shared" si="17"/>
        <v>753220.25</v>
      </c>
      <c r="AU30" s="53"/>
      <c r="AZ30" s="53">
        <f t="shared" si="8"/>
        <v>804.71299999999997</v>
      </c>
      <c r="BA30" s="53">
        <f t="shared" si="9"/>
        <v>26.625</v>
      </c>
      <c r="BB30" s="53">
        <f t="shared" si="10"/>
        <v>141.76300000000001</v>
      </c>
      <c r="BC30" s="53">
        <f t="shared" si="11"/>
        <v>24.5</v>
      </c>
      <c r="BD30" s="53">
        <f t="shared" si="12"/>
        <v>997.601</v>
      </c>
      <c r="BE30" s="60">
        <f t="shared" si="18"/>
        <v>10864.694</v>
      </c>
      <c r="BF30" s="60">
        <f t="shared" si="19"/>
        <v>669.78899999999999</v>
      </c>
      <c r="BG30" s="60">
        <f t="shared" si="20"/>
        <v>3918.5330000000004</v>
      </c>
      <c r="BH30" s="60">
        <f t="shared" si="21"/>
        <v>400.69500000000005</v>
      </c>
      <c r="BI30" s="60">
        <f t="shared" si="22"/>
        <v>15853.711000000003</v>
      </c>
      <c r="BJ30" s="1">
        <v>21</v>
      </c>
    </row>
    <row r="31" spans="1:62" x14ac:dyDescent="0.3">
      <c r="A31" s="49">
        <v>37772</v>
      </c>
      <c r="B31" s="53">
        <v>620607</v>
      </c>
      <c r="C31" s="53">
        <v>9000</v>
      </c>
      <c r="D31" s="53">
        <v>0</v>
      </c>
      <c r="E31" s="53">
        <f t="shared" si="2"/>
        <v>629607</v>
      </c>
      <c r="F31" s="53">
        <f t="shared" si="13"/>
        <v>622850.5</v>
      </c>
      <c r="G31" s="53"/>
      <c r="L31" s="53">
        <v>24108</v>
      </c>
      <c r="M31" s="53">
        <v>3170</v>
      </c>
      <c r="N31" s="53">
        <v>2800</v>
      </c>
      <c r="O31" s="53">
        <f t="shared" si="3"/>
        <v>30078</v>
      </c>
      <c r="P31" s="53">
        <f t="shared" si="14"/>
        <v>24986</v>
      </c>
      <c r="Q31" s="53"/>
      <c r="V31" s="53">
        <v>137153</v>
      </c>
      <c r="W31" s="53">
        <v>6200</v>
      </c>
      <c r="X31" s="53">
        <v>0</v>
      </c>
      <c r="Y31" s="53">
        <f t="shared" si="4"/>
        <v>143353</v>
      </c>
      <c r="Z31" s="53">
        <f t="shared" si="15"/>
        <v>120086.5</v>
      </c>
      <c r="AA31" s="53"/>
      <c r="AF31" s="53">
        <v>0</v>
      </c>
      <c r="AG31" s="53">
        <v>3000</v>
      </c>
      <c r="AH31" s="56">
        <v>0</v>
      </c>
      <c r="AI31" s="53">
        <f t="shared" si="5"/>
        <v>3000</v>
      </c>
      <c r="AJ31" s="53">
        <f t="shared" si="16"/>
        <v>7625</v>
      </c>
      <c r="AK31" s="53"/>
      <c r="AP31" s="53">
        <f t="shared" si="6"/>
        <v>781868</v>
      </c>
      <c r="AQ31" s="53">
        <f t="shared" si="6"/>
        <v>21370</v>
      </c>
      <c r="AR31" s="53">
        <f t="shared" si="6"/>
        <v>2800</v>
      </c>
      <c r="AS31" s="53">
        <f t="shared" si="6"/>
        <v>806038</v>
      </c>
      <c r="AT31" s="53">
        <f t="shared" si="17"/>
        <v>775548</v>
      </c>
      <c r="AU31" s="53"/>
      <c r="AZ31" s="53">
        <f t="shared" si="8"/>
        <v>629.60699999999997</v>
      </c>
      <c r="BA31" s="53">
        <f t="shared" si="9"/>
        <v>30.077999999999999</v>
      </c>
      <c r="BB31" s="53">
        <f t="shared" si="10"/>
        <v>143.35300000000001</v>
      </c>
      <c r="BC31" s="53">
        <f t="shared" si="11"/>
        <v>3</v>
      </c>
      <c r="BD31" s="53">
        <f t="shared" si="12"/>
        <v>806.03800000000001</v>
      </c>
      <c r="BE31" s="60">
        <f t="shared" si="18"/>
        <v>11494.300999999999</v>
      </c>
      <c r="BF31" s="60">
        <f t="shared" si="19"/>
        <v>699.86699999999996</v>
      </c>
      <c r="BG31" s="60">
        <f t="shared" si="20"/>
        <v>4061.8860000000004</v>
      </c>
      <c r="BH31" s="60">
        <f t="shared" si="21"/>
        <v>403.69500000000005</v>
      </c>
      <c r="BI31" s="60">
        <f t="shared" si="22"/>
        <v>16659.749000000003</v>
      </c>
      <c r="BJ31" s="1">
        <v>22</v>
      </c>
    </row>
    <row r="32" spans="1:62" x14ac:dyDescent="0.3">
      <c r="A32" s="49">
        <v>37779</v>
      </c>
      <c r="B32" s="53">
        <v>767270</v>
      </c>
      <c r="C32" s="53">
        <v>18000</v>
      </c>
      <c r="D32" s="53">
        <v>0</v>
      </c>
      <c r="E32" s="53">
        <f t="shared" si="2"/>
        <v>785270</v>
      </c>
      <c r="F32" s="53">
        <f t="shared" si="13"/>
        <v>695567.5</v>
      </c>
      <c r="G32" s="53"/>
      <c r="L32" s="53">
        <v>6200</v>
      </c>
      <c r="M32" s="53">
        <v>3418</v>
      </c>
      <c r="N32" s="53">
        <v>8600</v>
      </c>
      <c r="O32" s="53">
        <f t="shared" si="3"/>
        <v>18218</v>
      </c>
      <c r="P32" s="53">
        <f t="shared" si="14"/>
        <v>23192.25</v>
      </c>
      <c r="Q32" s="53"/>
      <c r="V32" s="53">
        <v>51560</v>
      </c>
      <c r="W32" s="53">
        <v>11800</v>
      </c>
      <c r="X32" s="53">
        <v>0</v>
      </c>
      <c r="Y32" s="53">
        <f t="shared" si="4"/>
        <v>63360</v>
      </c>
      <c r="Z32" s="53">
        <f t="shared" si="15"/>
        <v>104091.75</v>
      </c>
      <c r="AA32" s="53"/>
      <c r="AF32" s="53">
        <v>0</v>
      </c>
      <c r="AG32" s="53">
        <v>1500</v>
      </c>
      <c r="AH32" s="56">
        <v>0</v>
      </c>
      <c r="AI32" s="53">
        <f t="shared" si="5"/>
        <v>1500</v>
      </c>
      <c r="AJ32" s="53">
        <f t="shared" si="16"/>
        <v>7250</v>
      </c>
      <c r="AK32" s="53"/>
      <c r="AP32" s="53">
        <f t="shared" si="6"/>
        <v>825030</v>
      </c>
      <c r="AQ32" s="53">
        <f t="shared" si="6"/>
        <v>34718</v>
      </c>
      <c r="AR32" s="53">
        <f t="shared" si="6"/>
        <v>8600</v>
      </c>
      <c r="AS32" s="53">
        <f t="shared" si="6"/>
        <v>868348</v>
      </c>
      <c r="AT32" s="53">
        <f t="shared" si="17"/>
        <v>830101.5</v>
      </c>
      <c r="AU32" s="53"/>
      <c r="AZ32" s="53">
        <f t="shared" si="8"/>
        <v>785.27</v>
      </c>
      <c r="BA32" s="53">
        <f t="shared" si="9"/>
        <v>18.218</v>
      </c>
      <c r="BB32" s="53">
        <f t="shared" si="10"/>
        <v>63.36</v>
      </c>
      <c r="BC32" s="53">
        <f t="shared" si="11"/>
        <v>1.5</v>
      </c>
      <c r="BD32" s="53">
        <f t="shared" si="12"/>
        <v>868.34799999999996</v>
      </c>
      <c r="BE32" s="60">
        <f t="shared" si="18"/>
        <v>12279.571</v>
      </c>
      <c r="BF32" s="60">
        <f t="shared" si="19"/>
        <v>718.08499999999992</v>
      </c>
      <c r="BG32" s="60">
        <f t="shared" si="20"/>
        <v>4125.2460000000001</v>
      </c>
      <c r="BH32" s="60">
        <f t="shared" si="21"/>
        <v>405.19500000000005</v>
      </c>
      <c r="BI32" s="60">
        <f t="shared" si="22"/>
        <v>17528.097000000002</v>
      </c>
      <c r="BJ32" s="1">
        <v>23</v>
      </c>
    </row>
    <row r="33" spans="1:62" x14ac:dyDescent="0.3">
      <c r="A33" s="49">
        <v>37786</v>
      </c>
      <c r="B33" s="53">
        <v>724081</v>
      </c>
      <c r="C33" s="53">
        <v>28600</v>
      </c>
      <c r="D33" s="53">
        <v>0</v>
      </c>
      <c r="E33" s="53">
        <f t="shared" si="2"/>
        <v>752681</v>
      </c>
      <c r="F33" s="53">
        <f t="shared" si="13"/>
        <v>743067.75</v>
      </c>
      <c r="G33" s="53"/>
      <c r="L33" s="53">
        <v>15590</v>
      </c>
      <c r="M33" s="53">
        <v>0</v>
      </c>
      <c r="N33" s="53">
        <v>8700</v>
      </c>
      <c r="O33" s="53">
        <f t="shared" si="3"/>
        <v>24290</v>
      </c>
      <c r="P33" s="53">
        <f t="shared" si="14"/>
        <v>24802.75</v>
      </c>
      <c r="Q33" s="53"/>
      <c r="V33" s="53">
        <v>132958</v>
      </c>
      <c r="W33" s="53">
        <v>4500</v>
      </c>
      <c r="X33" s="53">
        <v>0</v>
      </c>
      <c r="Y33" s="53">
        <f t="shared" si="4"/>
        <v>137458</v>
      </c>
      <c r="Z33" s="53">
        <f t="shared" si="15"/>
        <v>121483.5</v>
      </c>
      <c r="AA33" s="53"/>
      <c r="AF33" s="53">
        <v>0</v>
      </c>
      <c r="AG33" s="53">
        <v>16500</v>
      </c>
      <c r="AH33" s="56">
        <v>0</v>
      </c>
      <c r="AI33" s="53">
        <f t="shared" si="5"/>
        <v>16500</v>
      </c>
      <c r="AJ33" s="53">
        <f t="shared" si="16"/>
        <v>11375</v>
      </c>
      <c r="AK33" s="53"/>
      <c r="AP33" s="53">
        <f t="shared" si="6"/>
        <v>872629</v>
      </c>
      <c r="AQ33" s="53">
        <f t="shared" si="6"/>
        <v>49600</v>
      </c>
      <c r="AR33" s="53">
        <f t="shared" si="6"/>
        <v>8700</v>
      </c>
      <c r="AS33" s="53">
        <f t="shared" si="6"/>
        <v>930929</v>
      </c>
      <c r="AT33" s="53">
        <f t="shared" si="17"/>
        <v>900729</v>
      </c>
      <c r="AU33" s="53"/>
      <c r="AZ33" s="53">
        <f t="shared" si="8"/>
        <v>752.68100000000004</v>
      </c>
      <c r="BA33" s="53">
        <f t="shared" si="9"/>
        <v>24.29</v>
      </c>
      <c r="BB33" s="53">
        <f t="shared" si="10"/>
        <v>137.458</v>
      </c>
      <c r="BC33" s="53">
        <f t="shared" si="11"/>
        <v>16.5</v>
      </c>
      <c r="BD33" s="53">
        <f t="shared" si="12"/>
        <v>930.92899999999997</v>
      </c>
      <c r="BE33" s="60">
        <f t="shared" si="18"/>
        <v>13032.252</v>
      </c>
      <c r="BF33" s="60">
        <f t="shared" si="19"/>
        <v>742.37499999999989</v>
      </c>
      <c r="BG33" s="60">
        <f t="shared" si="20"/>
        <v>4262.7039999999997</v>
      </c>
      <c r="BH33" s="60">
        <f t="shared" si="21"/>
        <v>421.69500000000005</v>
      </c>
      <c r="BI33" s="60">
        <f t="shared" si="22"/>
        <v>18459.026000000002</v>
      </c>
      <c r="BJ33" s="1">
        <v>24</v>
      </c>
    </row>
    <row r="34" spans="1:62" x14ac:dyDescent="0.3">
      <c r="A34" s="49">
        <v>37793</v>
      </c>
      <c r="B34" s="53">
        <v>607500</v>
      </c>
      <c r="C34" s="53">
        <v>4500</v>
      </c>
      <c r="D34" s="53">
        <v>0</v>
      </c>
      <c r="E34" s="53">
        <f t="shared" si="2"/>
        <v>612000</v>
      </c>
      <c r="F34" s="53">
        <f t="shared" si="13"/>
        <v>694889.5</v>
      </c>
      <c r="G34" s="53"/>
      <c r="L34" s="53">
        <v>17214</v>
      </c>
      <c r="M34" s="53">
        <v>0</v>
      </c>
      <c r="N34" s="53">
        <v>17200</v>
      </c>
      <c r="O34" s="53">
        <f t="shared" si="3"/>
        <v>34414</v>
      </c>
      <c r="P34" s="53">
        <f t="shared" si="14"/>
        <v>26750</v>
      </c>
      <c r="Q34" s="53"/>
      <c r="V34" s="53">
        <v>77605</v>
      </c>
      <c r="W34" s="53">
        <v>7500</v>
      </c>
      <c r="X34" s="53">
        <v>0</v>
      </c>
      <c r="Y34" s="53">
        <f t="shared" si="4"/>
        <v>85105</v>
      </c>
      <c r="Z34" s="53">
        <f t="shared" si="15"/>
        <v>107319</v>
      </c>
      <c r="AA34" s="53"/>
      <c r="AF34" s="53">
        <v>10500</v>
      </c>
      <c r="AG34" s="53">
        <v>2900</v>
      </c>
      <c r="AH34" s="56">
        <v>0</v>
      </c>
      <c r="AI34" s="53">
        <f t="shared" si="5"/>
        <v>13400</v>
      </c>
      <c r="AJ34" s="53">
        <f t="shared" si="16"/>
        <v>8600</v>
      </c>
      <c r="AK34" s="53"/>
      <c r="AP34" s="53">
        <f t="shared" si="6"/>
        <v>712819</v>
      </c>
      <c r="AQ34" s="53">
        <f t="shared" si="6"/>
        <v>14900</v>
      </c>
      <c r="AR34" s="53">
        <f t="shared" si="6"/>
        <v>17200</v>
      </c>
      <c r="AS34" s="53">
        <f t="shared" si="6"/>
        <v>744919</v>
      </c>
      <c r="AT34" s="53">
        <f t="shared" si="17"/>
        <v>837558.5</v>
      </c>
      <c r="AU34" s="53"/>
      <c r="AZ34" s="53">
        <f t="shared" si="8"/>
        <v>612</v>
      </c>
      <c r="BA34" s="53">
        <f t="shared" si="9"/>
        <v>34.414000000000001</v>
      </c>
      <c r="BB34" s="53">
        <f t="shared" si="10"/>
        <v>85.105000000000004</v>
      </c>
      <c r="BC34" s="53">
        <f t="shared" si="11"/>
        <v>13.4</v>
      </c>
      <c r="BD34" s="53">
        <f t="shared" si="12"/>
        <v>744.91899999999998</v>
      </c>
      <c r="BE34" s="60">
        <f t="shared" si="18"/>
        <v>13644.252</v>
      </c>
      <c r="BF34" s="60">
        <f t="shared" si="19"/>
        <v>776.78899999999987</v>
      </c>
      <c r="BG34" s="60">
        <f t="shared" si="20"/>
        <v>4347.8089999999993</v>
      </c>
      <c r="BH34" s="60">
        <f t="shared" si="21"/>
        <v>435.09500000000003</v>
      </c>
      <c r="BI34" s="60">
        <f t="shared" si="22"/>
        <v>19203.945000000003</v>
      </c>
      <c r="BJ34" s="1">
        <v>25</v>
      </c>
    </row>
    <row r="35" spans="1:62" x14ac:dyDescent="0.3">
      <c r="A35" s="49">
        <v>37800</v>
      </c>
      <c r="B35" s="53">
        <v>789284</v>
      </c>
      <c r="C35" s="53">
        <v>10570</v>
      </c>
      <c r="D35" s="53">
        <v>0</v>
      </c>
      <c r="E35" s="53">
        <f t="shared" si="2"/>
        <v>799854</v>
      </c>
      <c r="F35" s="53">
        <f t="shared" si="13"/>
        <v>737451.25</v>
      </c>
      <c r="G35" s="53"/>
      <c r="L35" s="53">
        <v>23449</v>
      </c>
      <c r="M35" s="53">
        <v>5900</v>
      </c>
      <c r="N35" s="53">
        <v>29900</v>
      </c>
      <c r="O35" s="53">
        <f t="shared" si="3"/>
        <v>59249</v>
      </c>
      <c r="P35" s="53">
        <f t="shared" si="14"/>
        <v>34042.75</v>
      </c>
      <c r="Q35" s="53"/>
      <c r="V35" s="53">
        <v>100700</v>
      </c>
      <c r="W35" s="53">
        <v>1500</v>
      </c>
      <c r="X35" s="53">
        <v>0</v>
      </c>
      <c r="Y35" s="53">
        <f t="shared" si="4"/>
        <v>102200</v>
      </c>
      <c r="Z35" s="53">
        <f t="shared" si="15"/>
        <v>97030.75</v>
      </c>
      <c r="AA35" s="53"/>
      <c r="AF35" s="53">
        <v>4748</v>
      </c>
      <c r="AG35" s="53">
        <v>0</v>
      </c>
      <c r="AH35" s="56">
        <v>0</v>
      </c>
      <c r="AI35" s="53">
        <f t="shared" si="5"/>
        <v>4748</v>
      </c>
      <c r="AJ35" s="53">
        <f t="shared" si="16"/>
        <v>9037</v>
      </c>
      <c r="AK35" s="53"/>
      <c r="AP35" s="53">
        <f t="shared" si="6"/>
        <v>918181</v>
      </c>
      <c r="AQ35" s="53">
        <f t="shared" si="6"/>
        <v>17970</v>
      </c>
      <c r="AR35" s="53">
        <f t="shared" si="6"/>
        <v>29900</v>
      </c>
      <c r="AS35" s="53">
        <f t="shared" si="6"/>
        <v>966051</v>
      </c>
      <c r="AT35" s="53">
        <f t="shared" si="17"/>
        <v>877561.75</v>
      </c>
      <c r="AU35" s="53"/>
      <c r="AZ35" s="53">
        <f t="shared" si="8"/>
        <v>799.85400000000004</v>
      </c>
      <c r="BA35" s="53">
        <f t="shared" si="9"/>
        <v>59.249000000000002</v>
      </c>
      <c r="BB35" s="53">
        <f t="shared" si="10"/>
        <v>102.2</v>
      </c>
      <c r="BC35" s="53">
        <f t="shared" si="11"/>
        <v>4.7480000000000002</v>
      </c>
      <c r="BD35" s="53">
        <f t="shared" si="12"/>
        <v>966.05100000000004</v>
      </c>
      <c r="BE35" s="60">
        <f t="shared" si="18"/>
        <v>14444.106</v>
      </c>
      <c r="BF35" s="60">
        <f t="shared" si="19"/>
        <v>836.0379999999999</v>
      </c>
      <c r="BG35" s="60">
        <f t="shared" si="20"/>
        <v>4450.0089999999991</v>
      </c>
      <c r="BH35" s="60">
        <f t="shared" si="21"/>
        <v>439.84300000000002</v>
      </c>
      <c r="BI35" s="60">
        <f t="shared" si="22"/>
        <v>20169.996000000003</v>
      </c>
      <c r="BJ35" s="1">
        <v>26</v>
      </c>
    </row>
    <row r="36" spans="1:62" x14ac:dyDescent="0.3">
      <c r="A36" s="49">
        <v>37807</v>
      </c>
      <c r="B36" s="53">
        <v>821644</v>
      </c>
      <c r="C36" s="53">
        <v>13600</v>
      </c>
      <c r="D36" s="53">
        <v>0</v>
      </c>
      <c r="E36" s="53">
        <f t="shared" si="2"/>
        <v>835244</v>
      </c>
      <c r="F36" s="53">
        <f t="shared" si="13"/>
        <v>749944.75</v>
      </c>
      <c r="G36" s="53"/>
      <c r="L36" s="53">
        <v>12245</v>
      </c>
      <c r="M36" s="53">
        <v>24495</v>
      </c>
      <c r="N36" s="53">
        <v>54600</v>
      </c>
      <c r="O36" s="53">
        <f t="shared" si="3"/>
        <v>91340</v>
      </c>
      <c r="P36" s="53">
        <f t="shared" si="14"/>
        <v>52323.25</v>
      </c>
      <c r="Q36" s="53"/>
      <c r="V36" s="53">
        <v>90427</v>
      </c>
      <c r="W36" s="53">
        <v>0</v>
      </c>
      <c r="X36" s="53">
        <v>0</v>
      </c>
      <c r="Y36" s="53">
        <f t="shared" si="4"/>
        <v>90427</v>
      </c>
      <c r="Z36" s="53">
        <f t="shared" si="15"/>
        <v>103797.5</v>
      </c>
      <c r="AA36" s="53"/>
      <c r="AF36" s="53">
        <v>3140</v>
      </c>
      <c r="AG36" s="53">
        <v>7500</v>
      </c>
      <c r="AH36" s="56">
        <v>0</v>
      </c>
      <c r="AI36" s="53">
        <f t="shared" si="5"/>
        <v>10640</v>
      </c>
      <c r="AJ36" s="53">
        <f t="shared" si="16"/>
        <v>11322</v>
      </c>
      <c r="AK36" s="53"/>
      <c r="AP36" s="53">
        <f t="shared" si="6"/>
        <v>927456</v>
      </c>
      <c r="AQ36" s="53">
        <f t="shared" si="6"/>
        <v>45595</v>
      </c>
      <c r="AR36" s="53">
        <f t="shared" si="6"/>
        <v>54600</v>
      </c>
      <c r="AS36" s="53">
        <f t="shared" si="6"/>
        <v>1027651</v>
      </c>
      <c r="AT36" s="53">
        <f t="shared" si="17"/>
        <v>917387.5</v>
      </c>
      <c r="AU36" s="53"/>
      <c r="AZ36" s="53">
        <f t="shared" si="8"/>
        <v>835.24400000000003</v>
      </c>
      <c r="BA36" s="53">
        <f t="shared" si="9"/>
        <v>91.34</v>
      </c>
      <c r="BB36" s="53">
        <f t="shared" si="10"/>
        <v>90.427000000000007</v>
      </c>
      <c r="BC36" s="53">
        <f t="shared" si="11"/>
        <v>10.64</v>
      </c>
      <c r="BD36" s="53">
        <f t="shared" si="12"/>
        <v>1027.6510000000001</v>
      </c>
      <c r="BE36" s="60">
        <f t="shared" si="18"/>
        <v>15279.35</v>
      </c>
      <c r="BF36" s="60">
        <f t="shared" si="19"/>
        <v>927.37799999999993</v>
      </c>
      <c r="BG36" s="60">
        <f t="shared" si="20"/>
        <v>4540.4359999999988</v>
      </c>
      <c r="BH36" s="60">
        <f t="shared" si="21"/>
        <v>450.483</v>
      </c>
      <c r="BI36" s="60">
        <f t="shared" si="22"/>
        <v>21197.647000000004</v>
      </c>
      <c r="BJ36" s="1">
        <v>27</v>
      </c>
    </row>
    <row r="37" spans="1:62" x14ac:dyDescent="0.3">
      <c r="A37" s="49">
        <v>37814</v>
      </c>
      <c r="B37" s="53">
        <v>568255</v>
      </c>
      <c r="C37" s="53">
        <v>17500</v>
      </c>
      <c r="D37" s="53">
        <v>0</v>
      </c>
      <c r="E37" s="53">
        <f t="shared" si="2"/>
        <v>585755</v>
      </c>
      <c r="F37" s="53">
        <f t="shared" si="13"/>
        <v>708213.25</v>
      </c>
      <c r="G37" s="53"/>
      <c r="L37" s="53">
        <v>3124</v>
      </c>
      <c r="M37" s="53">
        <v>17190</v>
      </c>
      <c r="N37" s="53">
        <v>41100</v>
      </c>
      <c r="O37" s="53">
        <f t="shared" si="3"/>
        <v>61414</v>
      </c>
      <c r="P37" s="53">
        <f t="shared" si="14"/>
        <v>61604.25</v>
      </c>
      <c r="Q37" s="53"/>
      <c r="V37" s="53">
        <v>94898</v>
      </c>
      <c r="W37" s="53">
        <v>10400</v>
      </c>
      <c r="X37" s="53">
        <v>0</v>
      </c>
      <c r="Y37" s="53">
        <f t="shared" si="4"/>
        <v>105298</v>
      </c>
      <c r="Z37" s="53">
        <f t="shared" si="15"/>
        <v>95757.5</v>
      </c>
      <c r="AA37" s="53"/>
      <c r="AF37" s="53">
        <v>0</v>
      </c>
      <c r="AG37" s="53">
        <v>0</v>
      </c>
      <c r="AH37" s="56">
        <v>0</v>
      </c>
      <c r="AI37" s="53">
        <f t="shared" si="5"/>
        <v>0</v>
      </c>
      <c r="AJ37" s="53">
        <f t="shared" si="16"/>
        <v>7197</v>
      </c>
      <c r="AK37" s="53"/>
      <c r="AP37" s="53">
        <f t="shared" si="6"/>
        <v>666277</v>
      </c>
      <c r="AQ37" s="53">
        <f t="shared" si="6"/>
        <v>45090</v>
      </c>
      <c r="AR37" s="53">
        <f t="shared" si="6"/>
        <v>41100</v>
      </c>
      <c r="AS37" s="53">
        <f t="shared" si="6"/>
        <v>752467</v>
      </c>
      <c r="AT37" s="53">
        <f t="shared" si="17"/>
        <v>872772</v>
      </c>
      <c r="AU37" s="53"/>
      <c r="AZ37" s="53">
        <f t="shared" si="8"/>
        <v>585.755</v>
      </c>
      <c r="BA37" s="53">
        <f t="shared" si="9"/>
        <v>61.414000000000001</v>
      </c>
      <c r="BB37" s="53">
        <f t="shared" si="10"/>
        <v>105.298</v>
      </c>
      <c r="BC37" s="53">
        <f t="shared" si="11"/>
        <v>0</v>
      </c>
      <c r="BD37" s="53">
        <f t="shared" si="12"/>
        <v>752.46699999999998</v>
      </c>
      <c r="BE37" s="60">
        <f t="shared" si="18"/>
        <v>15865.105</v>
      </c>
      <c r="BF37" s="60">
        <f t="shared" si="19"/>
        <v>988.79199999999992</v>
      </c>
      <c r="BG37" s="60">
        <f t="shared" si="20"/>
        <v>4645.7339999999986</v>
      </c>
      <c r="BH37" s="60">
        <f t="shared" si="21"/>
        <v>450.483</v>
      </c>
      <c r="BI37" s="60">
        <f t="shared" si="22"/>
        <v>21950.114000000005</v>
      </c>
      <c r="BJ37" s="1">
        <v>28</v>
      </c>
    </row>
    <row r="38" spans="1:62" x14ac:dyDescent="0.3">
      <c r="A38" s="49">
        <v>37821</v>
      </c>
      <c r="B38" s="53">
        <v>765553</v>
      </c>
      <c r="C38" s="53">
        <v>4824</v>
      </c>
      <c r="D38" s="53">
        <v>0</v>
      </c>
      <c r="E38" s="53">
        <f t="shared" si="2"/>
        <v>770377</v>
      </c>
      <c r="F38" s="53">
        <f t="shared" si="13"/>
        <v>747807.5</v>
      </c>
      <c r="G38" s="53"/>
      <c r="L38" s="53">
        <v>23587</v>
      </c>
      <c r="M38" s="53">
        <v>28350</v>
      </c>
      <c r="N38" s="53">
        <v>59900</v>
      </c>
      <c r="O38" s="53">
        <f t="shared" si="3"/>
        <v>111837</v>
      </c>
      <c r="P38" s="53">
        <f t="shared" si="14"/>
        <v>80960</v>
      </c>
      <c r="Q38" s="53"/>
      <c r="V38" s="53">
        <v>135062</v>
      </c>
      <c r="W38" s="53">
        <v>4500</v>
      </c>
      <c r="X38" s="53">
        <v>0</v>
      </c>
      <c r="Y38" s="53">
        <f t="shared" si="4"/>
        <v>139562</v>
      </c>
      <c r="Z38" s="53">
        <f t="shared" si="15"/>
        <v>109371.75</v>
      </c>
      <c r="AA38" s="53"/>
      <c r="AF38" s="53">
        <v>3175</v>
      </c>
      <c r="AG38" s="53">
        <v>0</v>
      </c>
      <c r="AH38" s="56">
        <v>0</v>
      </c>
      <c r="AI38" s="53">
        <f t="shared" si="5"/>
        <v>3175</v>
      </c>
      <c r="AJ38" s="53">
        <f t="shared" si="16"/>
        <v>4640.75</v>
      </c>
      <c r="AK38" s="53"/>
      <c r="AP38" s="53">
        <f t="shared" si="6"/>
        <v>927377</v>
      </c>
      <c r="AQ38" s="53">
        <f t="shared" si="6"/>
        <v>37674</v>
      </c>
      <c r="AR38" s="53">
        <f t="shared" si="6"/>
        <v>59900</v>
      </c>
      <c r="AS38" s="53">
        <f t="shared" si="6"/>
        <v>1024951</v>
      </c>
      <c r="AT38" s="53">
        <f t="shared" si="17"/>
        <v>942780</v>
      </c>
      <c r="AU38" s="53"/>
      <c r="AZ38" s="53">
        <f t="shared" si="8"/>
        <v>770.37699999999995</v>
      </c>
      <c r="BA38" s="53">
        <f t="shared" si="9"/>
        <v>111.837</v>
      </c>
      <c r="BB38" s="53">
        <f t="shared" si="10"/>
        <v>139.56200000000001</v>
      </c>
      <c r="BC38" s="53">
        <f t="shared" si="11"/>
        <v>3.1749999999999998</v>
      </c>
      <c r="BD38" s="53">
        <f t="shared" si="12"/>
        <v>1024.951</v>
      </c>
      <c r="BE38" s="60">
        <f t="shared" si="18"/>
        <v>16635.482</v>
      </c>
      <c r="BF38" s="60">
        <f t="shared" si="19"/>
        <v>1100.6289999999999</v>
      </c>
      <c r="BG38" s="60">
        <f t="shared" si="20"/>
        <v>4785.2959999999985</v>
      </c>
      <c r="BH38" s="60">
        <f t="shared" si="21"/>
        <v>453.65800000000002</v>
      </c>
      <c r="BI38" s="60">
        <f t="shared" si="22"/>
        <v>22975.065000000006</v>
      </c>
      <c r="BJ38" s="1">
        <v>29</v>
      </c>
    </row>
    <row r="39" spans="1:62" x14ac:dyDescent="0.3">
      <c r="A39" s="49">
        <v>37828</v>
      </c>
      <c r="B39" s="53">
        <v>563273</v>
      </c>
      <c r="C39" s="53">
        <v>7500</v>
      </c>
      <c r="D39" s="53">
        <v>0</v>
      </c>
      <c r="E39" s="53">
        <f t="shared" si="2"/>
        <v>570773</v>
      </c>
      <c r="F39" s="53">
        <f t="shared" si="13"/>
        <v>690537.25</v>
      </c>
      <c r="G39" s="53"/>
      <c r="L39" s="53">
        <v>71016</v>
      </c>
      <c r="M39" s="53">
        <v>19600</v>
      </c>
      <c r="N39" s="53">
        <v>24400</v>
      </c>
      <c r="O39" s="53">
        <f t="shared" si="3"/>
        <v>115016</v>
      </c>
      <c r="P39" s="53">
        <f t="shared" si="14"/>
        <v>94901.75</v>
      </c>
      <c r="Q39" s="53"/>
      <c r="V39" s="53">
        <v>130140</v>
      </c>
      <c r="W39" s="53">
        <v>19800</v>
      </c>
      <c r="X39" s="53">
        <v>0</v>
      </c>
      <c r="Y39" s="53">
        <f t="shared" si="4"/>
        <v>149940</v>
      </c>
      <c r="Z39" s="53">
        <f t="shared" si="15"/>
        <v>121306.75</v>
      </c>
      <c r="AA39" s="53"/>
      <c r="AF39" s="53">
        <v>1640</v>
      </c>
      <c r="AG39" s="53">
        <v>0</v>
      </c>
      <c r="AH39" s="56">
        <v>0</v>
      </c>
      <c r="AI39" s="53">
        <f t="shared" si="5"/>
        <v>1640</v>
      </c>
      <c r="AJ39" s="53">
        <f t="shared" si="16"/>
        <v>3863.75</v>
      </c>
      <c r="AK39" s="53"/>
      <c r="AP39" s="53">
        <f t="shared" si="6"/>
        <v>766069</v>
      </c>
      <c r="AQ39" s="53">
        <f t="shared" si="6"/>
        <v>46900</v>
      </c>
      <c r="AR39" s="53">
        <f t="shared" si="6"/>
        <v>24400</v>
      </c>
      <c r="AS39" s="53">
        <f t="shared" si="6"/>
        <v>837369</v>
      </c>
      <c r="AT39" s="53">
        <f t="shared" si="17"/>
        <v>910609.5</v>
      </c>
      <c r="AU39" s="53"/>
      <c r="AZ39" s="53">
        <f t="shared" si="8"/>
        <v>570.77300000000002</v>
      </c>
      <c r="BA39" s="53">
        <f t="shared" si="9"/>
        <v>115.01600000000001</v>
      </c>
      <c r="BB39" s="53">
        <f t="shared" si="10"/>
        <v>149.94</v>
      </c>
      <c r="BC39" s="53">
        <f t="shared" si="11"/>
        <v>1.64</v>
      </c>
      <c r="BD39" s="53">
        <f t="shared" si="12"/>
        <v>837.36900000000003</v>
      </c>
      <c r="BE39" s="60">
        <f t="shared" si="18"/>
        <v>17206.255000000001</v>
      </c>
      <c r="BF39" s="60">
        <f t="shared" si="19"/>
        <v>1215.645</v>
      </c>
      <c r="BG39" s="60">
        <f t="shared" si="20"/>
        <v>4935.2359999999981</v>
      </c>
      <c r="BH39" s="60">
        <f t="shared" si="21"/>
        <v>455.298</v>
      </c>
      <c r="BI39" s="60">
        <f t="shared" si="22"/>
        <v>23812.434000000005</v>
      </c>
      <c r="BJ39" s="1">
        <v>30</v>
      </c>
    </row>
    <row r="40" spans="1:62" x14ac:dyDescent="0.3">
      <c r="A40" s="49">
        <v>37835</v>
      </c>
      <c r="B40" s="53">
        <v>581815</v>
      </c>
      <c r="C40" s="53">
        <v>11100</v>
      </c>
      <c r="D40" s="53">
        <v>0</v>
      </c>
      <c r="E40" s="53">
        <f t="shared" si="2"/>
        <v>592915</v>
      </c>
      <c r="F40" s="53">
        <f t="shared" si="13"/>
        <v>629955</v>
      </c>
      <c r="G40" s="53"/>
      <c r="L40" s="53">
        <v>52839</v>
      </c>
      <c r="M40" s="53">
        <v>17850</v>
      </c>
      <c r="N40" s="53">
        <v>59800</v>
      </c>
      <c r="O40" s="53">
        <f t="shared" si="3"/>
        <v>130489</v>
      </c>
      <c r="P40" s="53">
        <f t="shared" si="14"/>
        <v>104689</v>
      </c>
      <c r="Q40" s="53"/>
      <c r="V40" s="53">
        <v>138311</v>
      </c>
      <c r="W40" s="53">
        <v>16800</v>
      </c>
      <c r="X40" s="53">
        <v>0</v>
      </c>
      <c r="Y40" s="53">
        <f t="shared" si="4"/>
        <v>155111</v>
      </c>
      <c r="Z40" s="53">
        <f t="shared" si="15"/>
        <v>137477.75</v>
      </c>
      <c r="AA40" s="53"/>
      <c r="AF40" s="53">
        <v>1580</v>
      </c>
      <c r="AG40" s="53">
        <v>17195</v>
      </c>
      <c r="AH40" s="56">
        <v>0</v>
      </c>
      <c r="AI40" s="53">
        <f t="shared" si="5"/>
        <v>18775</v>
      </c>
      <c r="AJ40" s="53">
        <f t="shared" si="16"/>
        <v>5897.5</v>
      </c>
      <c r="AK40" s="53"/>
      <c r="AP40" s="53">
        <f t="shared" si="6"/>
        <v>774545</v>
      </c>
      <c r="AQ40" s="53">
        <f t="shared" si="6"/>
        <v>62945</v>
      </c>
      <c r="AR40" s="53">
        <f t="shared" si="6"/>
        <v>59800</v>
      </c>
      <c r="AS40" s="53">
        <f t="shared" si="6"/>
        <v>897290</v>
      </c>
      <c r="AT40" s="53">
        <f t="shared" si="17"/>
        <v>878019.25</v>
      </c>
      <c r="AU40" s="53"/>
      <c r="AZ40" s="53">
        <f t="shared" si="8"/>
        <v>592.91499999999996</v>
      </c>
      <c r="BA40" s="53">
        <f t="shared" si="9"/>
        <v>130.489</v>
      </c>
      <c r="BB40" s="53">
        <f t="shared" si="10"/>
        <v>155.11099999999999</v>
      </c>
      <c r="BC40" s="53">
        <f t="shared" si="11"/>
        <v>18.774999999999999</v>
      </c>
      <c r="BD40" s="53">
        <f t="shared" si="12"/>
        <v>897.29</v>
      </c>
      <c r="BE40" s="60">
        <f t="shared" si="18"/>
        <v>17799.170000000002</v>
      </c>
      <c r="BF40" s="60">
        <f t="shared" si="19"/>
        <v>1346.134</v>
      </c>
      <c r="BG40" s="60">
        <f t="shared" si="20"/>
        <v>5090.3469999999979</v>
      </c>
      <c r="BH40" s="60">
        <f t="shared" si="21"/>
        <v>474.07299999999998</v>
      </c>
      <c r="BI40" s="60">
        <f t="shared" si="22"/>
        <v>24709.724000000006</v>
      </c>
      <c r="BJ40" s="1">
        <v>31</v>
      </c>
    </row>
    <row r="41" spans="1:62" x14ac:dyDescent="0.3">
      <c r="A41" s="49">
        <v>37842</v>
      </c>
      <c r="B41" s="53">
        <v>533195</v>
      </c>
      <c r="C41" s="53">
        <v>4500</v>
      </c>
      <c r="D41" s="53">
        <v>0</v>
      </c>
      <c r="E41" s="53">
        <f t="shared" si="2"/>
        <v>537695</v>
      </c>
      <c r="F41" s="53">
        <f t="shared" si="13"/>
        <v>617940</v>
      </c>
      <c r="G41" s="53"/>
      <c r="L41" s="53">
        <v>23564</v>
      </c>
      <c r="M41" s="53">
        <v>33093</v>
      </c>
      <c r="N41" s="53">
        <v>69500</v>
      </c>
      <c r="O41" s="53">
        <f t="shared" si="3"/>
        <v>126157</v>
      </c>
      <c r="P41" s="53">
        <f t="shared" si="14"/>
        <v>120874.75</v>
      </c>
      <c r="Q41" s="53"/>
      <c r="V41" s="53">
        <v>138536</v>
      </c>
      <c r="W41" s="53">
        <v>3000</v>
      </c>
      <c r="X41" s="53">
        <v>0</v>
      </c>
      <c r="Y41" s="53">
        <f t="shared" si="4"/>
        <v>141536</v>
      </c>
      <c r="Z41" s="53">
        <f t="shared" si="15"/>
        <v>146537.25</v>
      </c>
      <c r="AA41" s="53"/>
      <c r="AF41" s="53">
        <v>3200</v>
      </c>
      <c r="AG41" s="53">
        <v>14700</v>
      </c>
      <c r="AH41" s="56">
        <v>0</v>
      </c>
      <c r="AI41" s="53">
        <f t="shared" si="5"/>
        <v>17900</v>
      </c>
      <c r="AJ41" s="53">
        <f t="shared" si="16"/>
        <v>10372.5</v>
      </c>
      <c r="AK41" s="53"/>
      <c r="AP41" s="53">
        <f t="shared" si="6"/>
        <v>698495</v>
      </c>
      <c r="AQ41" s="53">
        <f t="shared" si="6"/>
        <v>55293</v>
      </c>
      <c r="AR41" s="53">
        <f t="shared" si="6"/>
        <v>69500</v>
      </c>
      <c r="AS41" s="53">
        <f t="shared" si="6"/>
        <v>823288</v>
      </c>
      <c r="AT41" s="53">
        <f t="shared" si="17"/>
        <v>895724.5</v>
      </c>
      <c r="AU41" s="53"/>
      <c r="AZ41" s="53">
        <f t="shared" si="8"/>
        <v>537.69500000000005</v>
      </c>
      <c r="BA41" s="53">
        <f t="shared" si="9"/>
        <v>126.157</v>
      </c>
      <c r="BB41" s="53">
        <f t="shared" si="10"/>
        <v>141.536</v>
      </c>
      <c r="BC41" s="53">
        <f t="shared" si="11"/>
        <v>17.899999999999999</v>
      </c>
      <c r="BD41" s="53">
        <f t="shared" si="12"/>
        <v>823.28800000000001</v>
      </c>
      <c r="BE41" s="60">
        <f t="shared" si="18"/>
        <v>18336.865000000002</v>
      </c>
      <c r="BF41" s="60">
        <f t="shared" si="19"/>
        <v>1472.2909999999999</v>
      </c>
      <c r="BG41" s="60">
        <f t="shared" si="20"/>
        <v>5231.882999999998</v>
      </c>
      <c r="BH41" s="60">
        <f t="shared" si="21"/>
        <v>491.97299999999996</v>
      </c>
      <c r="BI41" s="60">
        <f t="shared" si="22"/>
        <v>25533.012000000006</v>
      </c>
      <c r="BJ41" s="1">
        <v>32</v>
      </c>
    </row>
    <row r="42" spans="1:62" x14ac:dyDescent="0.3">
      <c r="A42" s="49">
        <v>37849</v>
      </c>
      <c r="B42" s="53">
        <v>564698</v>
      </c>
      <c r="C42" s="53">
        <v>16800</v>
      </c>
      <c r="D42" s="53">
        <v>0</v>
      </c>
      <c r="E42" s="53">
        <f t="shared" si="2"/>
        <v>581498</v>
      </c>
      <c r="F42" s="53">
        <f t="shared" si="13"/>
        <v>570720.25</v>
      </c>
      <c r="G42" s="53"/>
      <c r="L42" s="53">
        <v>36979</v>
      </c>
      <c r="M42" s="53">
        <v>19350</v>
      </c>
      <c r="N42" s="53">
        <v>42100</v>
      </c>
      <c r="O42" s="53">
        <f t="shared" si="3"/>
        <v>98429</v>
      </c>
      <c r="P42" s="53">
        <f t="shared" si="14"/>
        <v>117522.75</v>
      </c>
      <c r="Q42" s="53"/>
      <c r="V42" s="53">
        <v>76636</v>
      </c>
      <c r="W42" s="53">
        <v>13500</v>
      </c>
      <c r="X42" s="53">
        <v>0</v>
      </c>
      <c r="Y42" s="53">
        <f t="shared" si="4"/>
        <v>90136</v>
      </c>
      <c r="Z42" s="53">
        <f t="shared" si="15"/>
        <v>134180.75</v>
      </c>
      <c r="AA42" s="53"/>
      <c r="AF42" s="53">
        <v>36979</v>
      </c>
      <c r="AG42" s="53">
        <v>4620</v>
      </c>
      <c r="AH42" s="56">
        <v>0</v>
      </c>
      <c r="AI42" s="53">
        <f t="shared" si="5"/>
        <v>41599</v>
      </c>
      <c r="AJ42" s="53">
        <f t="shared" si="16"/>
        <v>19978.5</v>
      </c>
      <c r="AK42" s="53"/>
      <c r="AP42" s="53">
        <f t="shared" si="6"/>
        <v>715292</v>
      </c>
      <c r="AQ42" s="53">
        <f t="shared" si="6"/>
        <v>54270</v>
      </c>
      <c r="AR42" s="53">
        <f t="shared" si="6"/>
        <v>42100</v>
      </c>
      <c r="AS42" s="53">
        <f t="shared" si="6"/>
        <v>811662</v>
      </c>
      <c r="AT42" s="53">
        <f t="shared" si="17"/>
        <v>842402.25</v>
      </c>
      <c r="AU42" s="53"/>
      <c r="AZ42" s="53">
        <f t="shared" si="8"/>
        <v>581.49800000000005</v>
      </c>
      <c r="BA42" s="53">
        <f t="shared" si="9"/>
        <v>98.429000000000002</v>
      </c>
      <c r="BB42" s="53">
        <f t="shared" si="10"/>
        <v>90.135999999999996</v>
      </c>
      <c r="BC42" s="53">
        <f t="shared" si="11"/>
        <v>41.598999999999997</v>
      </c>
      <c r="BD42" s="53">
        <f t="shared" si="12"/>
        <v>811.66200000000003</v>
      </c>
      <c r="BE42" s="60">
        <f t="shared" si="18"/>
        <v>18918.363000000001</v>
      </c>
      <c r="BF42" s="60">
        <f t="shared" si="19"/>
        <v>1570.72</v>
      </c>
      <c r="BG42" s="60">
        <f t="shared" si="20"/>
        <v>5322.0189999999984</v>
      </c>
      <c r="BH42" s="60">
        <f t="shared" si="21"/>
        <v>533.572</v>
      </c>
      <c r="BI42" s="60">
        <f t="shared" si="22"/>
        <v>26344.674000000006</v>
      </c>
      <c r="BJ42" s="1">
        <v>33</v>
      </c>
    </row>
    <row r="43" spans="1:62" x14ac:dyDescent="0.3">
      <c r="A43" s="49">
        <v>37856</v>
      </c>
      <c r="B43" s="53">
        <v>496408</v>
      </c>
      <c r="C43" s="53">
        <v>5780</v>
      </c>
      <c r="D43" s="53">
        <v>0</v>
      </c>
      <c r="E43" s="53">
        <f t="shared" si="2"/>
        <v>502188</v>
      </c>
      <c r="F43" s="53">
        <f t="shared" si="13"/>
        <v>553574</v>
      </c>
      <c r="G43" s="53"/>
      <c r="L43" s="53">
        <v>15405</v>
      </c>
      <c r="M43" s="53">
        <v>17900</v>
      </c>
      <c r="N43" s="53">
        <v>38500</v>
      </c>
      <c r="O43" s="53">
        <f t="shared" si="3"/>
        <v>71805</v>
      </c>
      <c r="P43" s="53">
        <f t="shared" si="14"/>
        <v>106720</v>
      </c>
      <c r="Q43" s="53"/>
      <c r="V43" s="53">
        <v>39052</v>
      </c>
      <c r="W43" s="53">
        <v>9900</v>
      </c>
      <c r="X43" s="53">
        <v>0</v>
      </c>
      <c r="Y43" s="53">
        <f>SUM(V43:X43)</f>
        <v>48952</v>
      </c>
      <c r="Z43" s="53">
        <f t="shared" si="15"/>
        <v>108933.75</v>
      </c>
      <c r="AA43" s="53"/>
      <c r="AF43" s="53">
        <v>0</v>
      </c>
      <c r="AG43" s="53">
        <v>6495</v>
      </c>
      <c r="AH43" s="56">
        <v>0</v>
      </c>
      <c r="AI43" s="53">
        <f t="shared" si="5"/>
        <v>6495</v>
      </c>
      <c r="AJ43" s="53">
        <f t="shared" si="16"/>
        <v>21192.25</v>
      </c>
      <c r="AK43" s="53"/>
      <c r="AP43" s="53">
        <f t="shared" si="6"/>
        <v>550865</v>
      </c>
      <c r="AQ43" s="53">
        <f t="shared" si="6"/>
        <v>40075</v>
      </c>
      <c r="AR43" s="53">
        <f t="shared" si="6"/>
        <v>38500</v>
      </c>
      <c r="AS43" s="53">
        <f t="shared" si="6"/>
        <v>629440</v>
      </c>
      <c r="AT43" s="53">
        <f t="shared" si="17"/>
        <v>790420</v>
      </c>
      <c r="AU43" s="53"/>
      <c r="AZ43" s="53">
        <f t="shared" si="8"/>
        <v>502.18799999999999</v>
      </c>
      <c r="BA43" s="53">
        <f t="shared" si="9"/>
        <v>71.805000000000007</v>
      </c>
      <c r="BB43" s="53">
        <f t="shared" si="10"/>
        <v>48.951999999999998</v>
      </c>
      <c r="BC43" s="53">
        <f t="shared" si="11"/>
        <v>6.4950000000000001</v>
      </c>
      <c r="BD43" s="53">
        <f t="shared" si="12"/>
        <v>629.44000000000005</v>
      </c>
      <c r="BE43" s="60">
        <f t="shared" si="18"/>
        <v>19420.550999999999</v>
      </c>
      <c r="BF43" s="60">
        <f t="shared" si="19"/>
        <v>1642.5250000000001</v>
      </c>
      <c r="BG43" s="60">
        <f t="shared" si="20"/>
        <v>5370.9709999999986</v>
      </c>
      <c r="BH43" s="60">
        <f t="shared" si="21"/>
        <v>540.06700000000001</v>
      </c>
      <c r="BI43" s="60">
        <f t="shared" si="22"/>
        <v>26974.114000000005</v>
      </c>
      <c r="BJ43" s="1">
        <v>34</v>
      </c>
    </row>
    <row r="44" spans="1:62" x14ac:dyDescent="0.3">
      <c r="A44" s="49">
        <v>37863</v>
      </c>
      <c r="B44" s="53">
        <v>478048</v>
      </c>
      <c r="C44" s="53">
        <v>7400</v>
      </c>
      <c r="D44" s="53">
        <v>0</v>
      </c>
      <c r="E44" s="53">
        <f t="shared" si="2"/>
        <v>485448</v>
      </c>
      <c r="F44" s="53">
        <f t="shared" si="13"/>
        <v>526707.25</v>
      </c>
      <c r="G44" s="53"/>
      <c r="L44" s="53">
        <v>48107</v>
      </c>
      <c r="M44" s="53">
        <v>34700</v>
      </c>
      <c r="N44" s="53">
        <v>56000</v>
      </c>
      <c r="O44" s="53">
        <f t="shared" si="3"/>
        <v>138807</v>
      </c>
      <c r="P44" s="53">
        <f t="shared" si="14"/>
        <v>108799.5</v>
      </c>
      <c r="Q44" s="53"/>
      <c r="V44" s="53">
        <v>73120</v>
      </c>
      <c r="W44" s="53">
        <v>10600</v>
      </c>
      <c r="X44" s="53">
        <v>2800</v>
      </c>
      <c r="Y44" s="53">
        <f t="shared" si="4"/>
        <v>86520</v>
      </c>
      <c r="Z44" s="53">
        <f t="shared" si="15"/>
        <v>91786</v>
      </c>
      <c r="AA44" s="53"/>
      <c r="AF44" s="53">
        <v>6240</v>
      </c>
      <c r="AG44" s="53">
        <v>7500</v>
      </c>
      <c r="AH44" s="56">
        <v>0</v>
      </c>
      <c r="AI44" s="53">
        <f t="shared" si="5"/>
        <v>13740</v>
      </c>
      <c r="AJ44" s="53">
        <f t="shared" si="16"/>
        <v>19933.5</v>
      </c>
      <c r="AK44" s="53"/>
      <c r="AP44" s="53">
        <f t="shared" si="6"/>
        <v>605515</v>
      </c>
      <c r="AQ44" s="53">
        <f t="shared" si="6"/>
        <v>60200</v>
      </c>
      <c r="AR44" s="53">
        <f t="shared" si="6"/>
        <v>58800</v>
      </c>
      <c r="AS44" s="53">
        <f t="shared" si="6"/>
        <v>724515</v>
      </c>
      <c r="AT44" s="53">
        <f t="shared" si="17"/>
        <v>747226.25</v>
      </c>
      <c r="AU44" s="53"/>
      <c r="AZ44" s="53">
        <f t="shared" si="8"/>
        <v>485.44799999999998</v>
      </c>
      <c r="BA44" s="53">
        <f t="shared" si="9"/>
        <v>138.80699999999999</v>
      </c>
      <c r="BB44" s="53">
        <f t="shared" si="10"/>
        <v>86.52</v>
      </c>
      <c r="BC44" s="53">
        <f t="shared" si="11"/>
        <v>13.74</v>
      </c>
      <c r="BD44" s="53">
        <f t="shared" si="12"/>
        <v>724.51499999999999</v>
      </c>
      <c r="BE44" s="60">
        <f t="shared" si="18"/>
        <v>19905.999</v>
      </c>
      <c r="BF44" s="60">
        <f t="shared" si="19"/>
        <v>1781.3320000000001</v>
      </c>
      <c r="BG44" s="60">
        <f t="shared" si="20"/>
        <v>5457.4909999999991</v>
      </c>
      <c r="BH44" s="60">
        <f t="shared" si="21"/>
        <v>553.80700000000002</v>
      </c>
      <c r="BI44" s="60">
        <f t="shared" si="22"/>
        <v>27698.629000000004</v>
      </c>
      <c r="BJ44" s="1">
        <v>35</v>
      </c>
    </row>
    <row r="45" spans="1:62" x14ac:dyDescent="0.3">
      <c r="A45" s="49">
        <v>37870</v>
      </c>
      <c r="B45" s="53">
        <v>311576</v>
      </c>
      <c r="C45" s="53">
        <v>7893</v>
      </c>
      <c r="D45" s="53">
        <v>0</v>
      </c>
      <c r="E45" s="53">
        <f t="shared" si="2"/>
        <v>319469</v>
      </c>
      <c r="F45" s="53">
        <f t="shared" ref="F45:F73" si="23">AVERAGE(E42,E43,E44,E45)</f>
        <v>472150.75</v>
      </c>
      <c r="G45" s="53"/>
      <c r="L45" s="53">
        <v>115796</v>
      </c>
      <c r="M45" s="53">
        <v>44616</v>
      </c>
      <c r="N45" s="53">
        <v>28000</v>
      </c>
      <c r="O45" s="53">
        <f t="shared" si="3"/>
        <v>188412</v>
      </c>
      <c r="P45" s="53">
        <f t="shared" ref="P45:P73" si="24">AVERAGE(O42,O43,O44,O45)</f>
        <v>124363.25</v>
      </c>
      <c r="Q45" s="53"/>
      <c r="V45" s="53">
        <v>30100</v>
      </c>
      <c r="W45" s="53">
        <v>7500</v>
      </c>
      <c r="X45" s="53">
        <v>0</v>
      </c>
      <c r="Y45" s="53">
        <f t="shared" si="4"/>
        <v>37600</v>
      </c>
      <c r="Z45" s="53">
        <f t="shared" ref="Z45:Z73" si="25">AVERAGE(Y42,Y43,Y44,Y45)</f>
        <v>65802</v>
      </c>
      <c r="AA45" s="53"/>
      <c r="AF45" s="53">
        <v>12000</v>
      </c>
      <c r="AG45" s="53">
        <v>6070</v>
      </c>
      <c r="AH45" s="56">
        <v>0</v>
      </c>
      <c r="AI45" s="53">
        <f t="shared" si="5"/>
        <v>18070</v>
      </c>
      <c r="AJ45" s="53">
        <f t="shared" ref="AJ45:AJ74" si="26">AVERAGE(AI42,AI43,AI44,AI45)</f>
        <v>19976</v>
      </c>
      <c r="AK45" s="53"/>
      <c r="AP45" s="53">
        <f t="shared" si="6"/>
        <v>469472</v>
      </c>
      <c r="AQ45" s="53">
        <f t="shared" si="6"/>
        <v>66079</v>
      </c>
      <c r="AR45" s="53">
        <f t="shared" si="6"/>
        <v>28000</v>
      </c>
      <c r="AS45" s="53">
        <f t="shared" si="6"/>
        <v>563551</v>
      </c>
      <c r="AT45" s="53">
        <f t="shared" ref="AT45:AT74" si="27">AVERAGE(AS42,AS43,AS44,AS45)</f>
        <v>682292</v>
      </c>
      <c r="AU45" s="53"/>
      <c r="AZ45" s="53">
        <f t="shared" si="8"/>
        <v>319.46899999999999</v>
      </c>
      <c r="BA45" s="53">
        <f t="shared" si="9"/>
        <v>188.41200000000001</v>
      </c>
      <c r="BB45" s="53">
        <f t="shared" si="10"/>
        <v>37.6</v>
      </c>
      <c r="BC45" s="53">
        <f t="shared" si="11"/>
        <v>18.07</v>
      </c>
      <c r="BD45" s="53">
        <f t="shared" si="12"/>
        <v>563.55100000000004</v>
      </c>
      <c r="BE45" s="60">
        <f t="shared" si="18"/>
        <v>20225.468000000001</v>
      </c>
      <c r="BF45" s="60">
        <f t="shared" si="19"/>
        <v>1969.7440000000001</v>
      </c>
      <c r="BG45" s="60">
        <f t="shared" si="20"/>
        <v>5495.0909999999994</v>
      </c>
      <c r="BH45" s="60">
        <f t="shared" si="21"/>
        <v>571.87700000000007</v>
      </c>
      <c r="BI45" s="60">
        <f t="shared" si="22"/>
        <v>28262.180000000004</v>
      </c>
      <c r="BJ45" s="1">
        <v>36</v>
      </c>
    </row>
    <row r="46" spans="1:62" x14ac:dyDescent="0.3">
      <c r="A46" s="49">
        <v>37877</v>
      </c>
      <c r="B46" s="53">
        <v>346454</v>
      </c>
      <c r="C46" s="53">
        <v>21480</v>
      </c>
      <c r="D46" s="53">
        <v>1400</v>
      </c>
      <c r="E46" s="53">
        <f t="shared" si="2"/>
        <v>369334</v>
      </c>
      <c r="F46" s="53">
        <f t="shared" si="23"/>
        <v>419109.75</v>
      </c>
      <c r="G46" s="53"/>
      <c r="L46" s="53">
        <v>42016</v>
      </c>
      <c r="M46" s="53">
        <v>39693</v>
      </c>
      <c r="N46" s="53">
        <v>55600</v>
      </c>
      <c r="O46" s="53">
        <f t="shared" si="3"/>
        <v>137309</v>
      </c>
      <c r="P46" s="53">
        <f t="shared" si="24"/>
        <v>134083.25</v>
      </c>
      <c r="Q46" s="53"/>
      <c r="V46" s="53">
        <v>26698</v>
      </c>
      <c r="W46" s="53">
        <v>7400</v>
      </c>
      <c r="X46" s="53">
        <v>0</v>
      </c>
      <c r="Y46" s="53">
        <f t="shared" si="4"/>
        <v>34098</v>
      </c>
      <c r="Z46" s="53">
        <f t="shared" si="25"/>
        <v>51792.5</v>
      </c>
      <c r="AA46" s="53"/>
      <c r="AF46" s="53">
        <v>14052</v>
      </c>
      <c r="AG46" s="53">
        <v>4500</v>
      </c>
      <c r="AH46" s="56">
        <v>0</v>
      </c>
      <c r="AI46" s="53">
        <f t="shared" si="5"/>
        <v>18552</v>
      </c>
      <c r="AJ46" s="53">
        <f t="shared" si="26"/>
        <v>14214.25</v>
      </c>
      <c r="AK46" s="53"/>
      <c r="AP46" s="53">
        <f t="shared" si="6"/>
        <v>429220</v>
      </c>
      <c r="AQ46" s="53">
        <f t="shared" si="6"/>
        <v>73073</v>
      </c>
      <c r="AR46" s="53">
        <f t="shared" si="6"/>
        <v>57000</v>
      </c>
      <c r="AS46" s="53">
        <f t="shared" si="6"/>
        <v>559293</v>
      </c>
      <c r="AT46" s="53">
        <f t="shared" si="27"/>
        <v>619199.75</v>
      </c>
      <c r="AU46" s="53"/>
      <c r="AZ46" s="53">
        <f t="shared" si="8"/>
        <v>369.334</v>
      </c>
      <c r="BA46" s="53">
        <f t="shared" si="9"/>
        <v>137.309</v>
      </c>
      <c r="BB46" s="53">
        <f t="shared" si="10"/>
        <v>34.097999999999999</v>
      </c>
      <c r="BC46" s="53">
        <f t="shared" si="11"/>
        <v>18.552</v>
      </c>
      <c r="BD46" s="53">
        <f t="shared" si="12"/>
        <v>559.29300000000001</v>
      </c>
      <c r="BE46" s="60">
        <f t="shared" si="18"/>
        <v>20594.802</v>
      </c>
      <c r="BF46" s="60">
        <f t="shared" si="19"/>
        <v>2107.0530000000003</v>
      </c>
      <c r="BG46" s="60">
        <f t="shared" si="20"/>
        <v>5529.1889999999994</v>
      </c>
      <c r="BH46" s="60">
        <f t="shared" si="21"/>
        <v>590.42900000000009</v>
      </c>
      <c r="BI46" s="60">
        <f t="shared" si="22"/>
        <v>28821.473000000005</v>
      </c>
      <c r="BJ46" s="1">
        <v>37</v>
      </c>
    </row>
    <row r="47" spans="1:62" x14ac:dyDescent="0.3">
      <c r="A47" s="49">
        <v>37884</v>
      </c>
      <c r="B47" s="53">
        <v>240213</v>
      </c>
      <c r="C47" s="53">
        <v>65238</v>
      </c>
      <c r="D47" s="53">
        <v>0</v>
      </c>
      <c r="E47" s="53">
        <f t="shared" si="2"/>
        <v>305451</v>
      </c>
      <c r="F47" s="53">
        <f t="shared" si="23"/>
        <v>369925.5</v>
      </c>
      <c r="G47" s="53"/>
      <c r="L47" s="53">
        <v>24962</v>
      </c>
      <c r="M47" s="53">
        <v>23942</v>
      </c>
      <c r="N47" s="53">
        <v>45400</v>
      </c>
      <c r="O47" s="53">
        <f t="shared" si="3"/>
        <v>94304</v>
      </c>
      <c r="P47" s="53">
        <f t="shared" si="24"/>
        <v>139708</v>
      </c>
      <c r="Q47" s="53"/>
      <c r="V47" s="53">
        <v>29953</v>
      </c>
      <c r="W47" s="53">
        <v>12600</v>
      </c>
      <c r="X47" s="53">
        <v>0</v>
      </c>
      <c r="Y47" s="53">
        <f t="shared" si="4"/>
        <v>42553</v>
      </c>
      <c r="Z47" s="53">
        <f t="shared" si="25"/>
        <v>50192.75</v>
      </c>
      <c r="AA47" s="53"/>
      <c r="AF47" s="53">
        <v>0</v>
      </c>
      <c r="AG47" s="53">
        <v>0</v>
      </c>
      <c r="AH47" s="56">
        <v>0</v>
      </c>
      <c r="AI47" s="53">
        <f t="shared" si="5"/>
        <v>0</v>
      </c>
      <c r="AJ47" s="53">
        <f t="shared" si="26"/>
        <v>12590.5</v>
      </c>
      <c r="AK47" s="53"/>
      <c r="AP47" s="53">
        <f t="shared" si="6"/>
        <v>295128</v>
      </c>
      <c r="AQ47" s="53">
        <f t="shared" si="6"/>
        <v>101780</v>
      </c>
      <c r="AR47" s="53">
        <f t="shared" si="6"/>
        <v>45400</v>
      </c>
      <c r="AS47" s="53">
        <f t="shared" si="6"/>
        <v>442308</v>
      </c>
      <c r="AT47" s="53">
        <f t="shared" si="27"/>
        <v>572416.75</v>
      </c>
      <c r="AU47" s="53"/>
      <c r="AZ47" s="53">
        <f t="shared" si="8"/>
        <v>305.45100000000002</v>
      </c>
      <c r="BA47" s="53">
        <f t="shared" si="9"/>
        <v>94.304000000000002</v>
      </c>
      <c r="BB47" s="53">
        <f t="shared" si="10"/>
        <v>42.552999999999997</v>
      </c>
      <c r="BC47" s="53">
        <f t="shared" si="11"/>
        <v>0</v>
      </c>
      <c r="BD47" s="53">
        <f t="shared" si="12"/>
        <v>442.30799999999999</v>
      </c>
      <c r="BE47" s="60">
        <f t="shared" si="18"/>
        <v>20900.253000000001</v>
      </c>
      <c r="BF47" s="60">
        <f t="shared" si="19"/>
        <v>2201.3570000000004</v>
      </c>
      <c r="BG47" s="60">
        <f t="shared" si="20"/>
        <v>5571.7419999999993</v>
      </c>
      <c r="BH47" s="60">
        <f t="shared" si="21"/>
        <v>590.42900000000009</v>
      </c>
      <c r="BI47" s="60">
        <f t="shared" si="22"/>
        <v>29263.781000000006</v>
      </c>
      <c r="BJ47" s="1">
        <v>38</v>
      </c>
    </row>
    <row r="48" spans="1:62" x14ac:dyDescent="0.3">
      <c r="A48" s="49">
        <v>37891</v>
      </c>
      <c r="B48" s="53">
        <v>419161</v>
      </c>
      <c r="C48" s="53">
        <v>61723</v>
      </c>
      <c r="D48" s="53">
        <v>0</v>
      </c>
      <c r="E48" s="53">
        <f t="shared" si="2"/>
        <v>480884</v>
      </c>
      <c r="F48" s="53">
        <f t="shared" si="23"/>
        <v>368784.5</v>
      </c>
      <c r="G48" s="53"/>
      <c r="L48" s="53">
        <v>25180</v>
      </c>
      <c r="M48" s="53">
        <v>25100</v>
      </c>
      <c r="N48" s="53">
        <v>28500</v>
      </c>
      <c r="O48" s="53">
        <f t="shared" si="3"/>
        <v>78780</v>
      </c>
      <c r="P48" s="53">
        <f t="shared" si="24"/>
        <v>124701.25</v>
      </c>
      <c r="Q48" s="53"/>
      <c r="V48" s="53">
        <v>71138</v>
      </c>
      <c r="W48" s="53">
        <v>2900</v>
      </c>
      <c r="X48" s="53">
        <v>7300</v>
      </c>
      <c r="Y48" s="53">
        <f t="shared" si="4"/>
        <v>81338</v>
      </c>
      <c r="Z48" s="53">
        <f t="shared" si="25"/>
        <v>48897.25</v>
      </c>
      <c r="AA48" s="53"/>
      <c r="AF48" s="53">
        <v>3200</v>
      </c>
      <c r="AG48" s="53">
        <v>1500</v>
      </c>
      <c r="AH48" s="56">
        <v>0</v>
      </c>
      <c r="AI48" s="53">
        <f t="shared" si="5"/>
        <v>4700</v>
      </c>
      <c r="AJ48" s="53">
        <f t="shared" si="26"/>
        <v>10330.5</v>
      </c>
      <c r="AK48" s="53"/>
      <c r="AP48" s="53">
        <f t="shared" si="6"/>
        <v>518679</v>
      </c>
      <c r="AQ48" s="53">
        <f t="shared" si="6"/>
        <v>91223</v>
      </c>
      <c r="AR48" s="53">
        <f t="shared" si="6"/>
        <v>35800</v>
      </c>
      <c r="AS48" s="53">
        <f t="shared" si="6"/>
        <v>645702</v>
      </c>
      <c r="AT48" s="53">
        <f t="shared" si="27"/>
        <v>552713.5</v>
      </c>
      <c r="AU48" s="53"/>
      <c r="AZ48" s="53">
        <f t="shared" si="8"/>
        <v>480.88400000000001</v>
      </c>
      <c r="BA48" s="53">
        <f t="shared" si="9"/>
        <v>78.78</v>
      </c>
      <c r="BB48" s="53">
        <f t="shared" si="10"/>
        <v>81.337999999999994</v>
      </c>
      <c r="BC48" s="53">
        <f t="shared" si="11"/>
        <v>4.7</v>
      </c>
      <c r="BD48" s="53">
        <f t="shared" si="12"/>
        <v>645.702</v>
      </c>
      <c r="BE48" s="60">
        <f t="shared" si="18"/>
        <v>21381.137000000002</v>
      </c>
      <c r="BF48" s="60">
        <f t="shared" si="19"/>
        <v>2280.1370000000006</v>
      </c>
      <c r="BG48" s="60">
        <f t="shared" si="20"/>
        <v>5653.079999999999</v>
      </c>
      <c r="BH48" s="60">
        <f t="shared" si="21"/>
        <v>595.12900000000013</v>
      </c>
      <c r="BI48" s="60">
        <f t="shared" si="22"/>
        <v>29909.483000000007</v>
      </c>
      <c r="BJ48" s="1">
        <v>39</v>
      </c>
    </row>
    <row r="49" spans="1:62" x14ac:dyDescent="0.3">
      <c r="A49" s="49">
        <v>37898</v>
      </c>
      <c r="B49" s="53">
        <v>318968</v>
      </c>
      <c r="C49" s="53">
        <v>125684</v>
      </c>
      <c r="D49" s="53">
        <v>0</v>
      </c>
      <c r="E49" s="53">
        <f t="shared" si="2"/>
        <v>444652</v>
      </c>
      <c r="F49" s="53">
        <f t="shared" si="23"/>
        <v>400080.25</v>
      </c>
      <c r="G49" s="53"/>
      <c r="L49" s="53">
        <v>14257</v>
      </c>
      <c r="M49" s="53">
        <v>14280</v>
      </c>
      <c r="N49" s="53">
        <v>19600</v>
      </c>
      <c r="O49" s="53">
        <f t="shared" si="3"/>
        <v>48137</v>
      </c>
      <c r="P49" s="53">
        <f t="shared" si="24"/>
        <v>89632.5</v>
      </c>
      <c r="Q49" s="53"/>
      <c r="V49" s="53">
        <v>126968</v>
      </c>
      <c r="W49" s="53">
        <v>5993</v>
      </c>
      <c r="X49" s="53">
        <v>1400</v>
      </c>
      <c r="Y49" s="53">
        <f t="shared" si="4"/>
        <v>134361</v>
      </c>
      <c r="Z49" s="53">
        <f t="shared" si="25"/>
        <v>73087.5</v>
      </c>
      <c r="AA49" s="53"/>
      <c r="AF49" s="56">
        <v>0</v>
      </c>
      <c r="AG49" s="56">
        <v>0</v>
      </c>
      <c r="AH49" s="56">
        <v>0</v>
      </c>
      <c r="AI49" s="53">
        <f t="shared" si="5"/>
        <v>0</v>
      </c>
      <c r="AJ49" s="53">
        <f t="shared" si="26"/>
        <v>5813</v>
      </c>
      <c r="AK49" s="53"/>
      <c r="AP49" s="53">
        <f t="shared" si="6"/>
        <v>460193</v>
      </c>
      <c r="AQ49" s="53">
        <f t="shared" si="6"/>
        <v>145957</v>
      </c>
      <c r="AR49" s="53">
        <f t="shared" si="6"/>
        <v>21000</v>
      </c>
      <c r="AS49" s="53">
        <f t="shared" si="6"/>
        <v>627150</v>
      </c>
      <c r="AT49" s="53">
        <f t="shared" si="27"/>
        <v>568613.25</v>
      </c>
      <c r="AU49" s="53"/>
      <c r="AZ49" s="53">
        <f t="shared" si="8"/>
        <v>444.65199999999999</v>
      </c>
      <c r="BA49" s="53">
        <f t="shared" si="9"/>
        <v>48.137</v>
      </c>
      <c r="BB49" s="53">
        <f t="shared" si="10"/>
        <v>134.36099999999999</v>
      </c>
      <c r="BC49" s="53">
        <f t="shared" si="11"/>
        <v>0</v>
      </c>
      <c r="BD49" s="53">
        <f t="shared" si="12"/>
        <v>627.15</v>
      </c>
      <c r="BE49" s="60">
        <f t="shared" si="18"/>
        <v>21825.789000000001</v>
      </c>
      <c r="BF49" s="60">
        <f t="shared" si="19"/>
        <v>2328.2740000000008</v>
      </c>
      <c r="BG49" s="60">
        <f t="shared" si="20"/>
        <v>5787.4409999999989</v>
      </c>
      <c r="BH49" s="60">
        <f t="shared" si="21"/>
        <v>595.12900000000013</v>
      </c>
      <c r="BI49" s="60">
        <f t="shared" si="22"/>
        <v>30536.633000000009</v>
      </c>
      <c r="BJ49" s="1">
        <v>40</v>
      </c>
    </row>
    <row r="50" spans="1:62" x14ac:dyDescent="0.3">
      <c r="A50" s="49">
        <v>37905</v>
      </c>
      <c r="B50" s="53">
        <v>415792</v>
      </c>
      <c r="C50" s="53">
        <v>46080</v>
      </c>
      <c r="D50" s="53">
        <v>1400</v>
      </c>
      <c r="E50" s="53">
        <f t="shared" si="2"/>
        <v>463272</v>
      </c>
      <c r="F50" s="53">
        <f t="shared" si="23"/>
        <v>423564.75</v>
      </c>
      <c r="G50" s="53"/>
      <c r="L50" s="53">
        <v>18524</v>
      </c>
      <c r="M50" s="53">
        <v>3000</v>
      </c>
      <c r="N50" s="53">
        <v>15500</v>
      </c>
      <c r="O50" s="53">
        <f t="shared" si="3"/>
        <v>37024</v>
      </c>
      <c r="P50" s="53">
        <f t="shared" si="24"/>
        <v>64561.25</v>
      </c>
      <c r="Q50" s="53"/>
      <c r="V50" s="53">
        <v>215982</v>
      </c>
      <c r="W50" s="53">
        <v>10580</v>
      </c>
      <c r="X50" s="53">
        <v>7000</v>
      </c>
      <c r="Y50" s="53">
        <f t="shared" si="4"/>
        <v>233562</v>
      </c>
      <c r="Z50" s="53">
        <f t="shared" si="25"/>
        <v>122953.5</v>
      </c>
      <c r="AA50" s="53"/>
      <c r="AF50" s="53">
        <v>1500</v>
      </c>
      <c r="AG50" s="56">
        <v>0</v>
      </c>
      <c r="AH50" s="56">
        <v>0</v>
      </c>
      <c r="AI50" s="53">
        <f t="shared" si="5"/>
        <v>1500</v>
      </c>
      <c r="AJ50" s="53">
        <f t="shared" si="26"/>
        <v>1550</v>
      </c>
      <c r="AK50" s="53"/>
      <c r="AP50" s="53">
        <f t="shared" si="6"/>
        <v>651798</v>
      </c>
      <c r="AQ50" s="53">
        <f t="shared" si="6"/>
        <v>59660</v>
      </c>
      <c r="AR50" s="53">
        <f t="shared" si="6"/>
        <v>23900</v>
      </c>
      <c r="AS50" s="53">
        <f t="shared" si="6"/>
        <v>735358</v>
      </c>
      <c r="AT50" s="53">
        <f t="shared" si="27"/>
        <v>612629.5</v>
      </c>
      <c r="AU50" s="53"/>
      <c r="AZ50" s="53">
        <f t="shared" si="8"/>
        <v>463.27199999999999</v>
      </c>
      <c r="BA50" s="53">
        <f t="shared" si="9"/>
        <v>37.024000000000001</v>
      </c>
      <c r="BB50" s="53">
        <f t="shared" si="10"/>
        <v>233.56200000000001</v>
      </c>
      <c r="BC50" s="53">
        <f t="shared" si="11"/>
        <v>1.5</v>
      </c>
      <c r="BD50" s="53">
        <f t="shared" si="12"/>
        <v>735.35799999999995</v>
      </c>
      <c r="BE50" s="60">
        <f t="shared" si="18"/>
        <v>22289.061000000002</v>
      </c>
      <c r="BF50" s="60">
        <f t="shared" si="19"/>
        <v>2365.2980000000007</v>
      </c>
      <c r="BG50" s="60">
        <f t="shared" si="20"/>
        <v>6021.0029999999988</v>
      </c>
      <c r="BH50" s="60">
        <f t="shared" si="21"/>
        <v>596.62900000000013</v>
      </c>
      <c r="BI50" s="60">
        <f t="shared" si="22"/>
        <v>31271.991000000009</v>
      </c>
      <c r="BJ50" s="1">
        <v>41</v>
      </c>
    </row>
    <row r="51" spans="1:62" x14ac:dyDescent="0.3">
      <c r="A51" s="49">
        <v>37912</v>
      </c>
      <c r="B51" s="53">
        <v>323136</v>
      </c>
      <c r="C51" s="53">
        <v>49500</v>
      </c>
      <c r="D51" s="53">
        <v>0</v>
      </c>
      <c r="E51" s="53">
        <f t="shared" si="2"/>
        <v>372636</v>
      </c>
      <c r="F51" s="53">
        <f t="shared" si="23"/>
        <v>440361</v>
      </c>
      <c r="G51" s="53"/>
      <c r="L51" s="53">
        <v>6357</v>
      </c>
      <c r="M51" s="53">
        <v>10300</v>
      </c>
      <c r="N51" s="53">
        <v>27100</v>
      </c>
      <c r="O51" s="53">
        <f t="shared" si="3"/>
        <v>43757</v>
      </c>
      <c r="P51" s="53">
        <f t="shared" si="24"/>
        <v>51924.5</v>
      </c>
      <c r="Q51" s="53"/>
      <c r="V51" s="53">
        <v>364847</v>
      </c>
      <c r="W51" s="53">
        <v>42389</v>
      </c>
      <c r="X51" s="53">
        <v>7100</v>
      </c>
      <c r="Y51" s="53">
        <f t="shared" si="4"/>
        <v>414336</v>
      </c>
      <c r="Z51" s="53">
        <f t="shared" si="25"/>
        <v>215899.25</v>
      </c>
      <c r="AA51" s="53"/>
      <c r="AF51" s="56">
        <v>0</v>
      </c>
      <c r="AG51" s="56">
        <v>0</v>
      </c>
      <c r="AH51" s="56">
        <v>0</v>
      </c>
      <c r="AI51" s="53">
        <f t="shared" si="5"/>
        <v>0</v>
      </c>
      <c r="AJ51" s="53">
        <f t="shared" si="26"/>
        <v>1550</v>
      </c>
      <c r="AK51" s="53"/>
      <c r="AP51" s="53">
        <f t="shared" si="6"/>
        <v>694340</v>
      </c>
      <c r="AQ51" s="53">
        <f t="shared" si="6"/>
        <v>102189</v>
      </c>
      <c r="AR51" s="53">
        <f t="shared" si="6"/>
        <v>34200</v>
      </c>
      <c r="AS51" s="53">
        <f t="shared" si="6"/>
        <v>830729</v>
      </c>
      <c r="AT51" s="53">
        <f t="shared" si="27"/>
        <v>709734.75</v>
      </c>
      <c r="AU51" s="53"/>
      <c r="AZ51" s="53">
        <f t="shared" si="8"/>
        <v>372.63600000000002</v>
      </c>
      <c r="BA51" s="53">
        <f t="shared" si="9"/>
        <v>43.756999999999998</v>
      </c>
      <c r="BB51" s="53">
        <f t="shared" si="10"/>
        <v>414.33600000000001</v>
      </c>
      <c r="BC51" s="53">
        <f t="shared" si="11"/>
        <v>0</v>
      </c>
      <c r="BD51" s="53">
        <f t="shared" si="12"/>
        <v>830.72900000000004</v>
      </c>
      <c r="BE51" s="60">
        <f t="shared" si="18"/>
        <v>22661.697</v>
      </c>
      <c r="BF51" s="60">
        <f t="shared" si="19"/>
        <v>2409.0550000000007</v>
      </c>
      <c r="BG51" s="60">
        <f t="shared" si="20"/>
        <v>6435.338999999999</v>
      </c>
      <c r="BH51" s="60">
        <f t="shared" si="21"/>
        <v>596.62900000000013</v>
      </c>
      <c r="BI51" s="60">
        <f t="shared" si="22"/>
        <v>32102.720000000008</v>
      </c>
      <c r="BJ51" s="1">
        <v>42</v>
      </c>
    </row>
    <row r="52" spans="1:62" x14ac:dyDescent="0.3">
      <c r="A52" s="49">
        <v>37919</v>
      </c>
      <c r="B52" s="53">
        <v>508706</v>
      </c>
      <c r="C52" s="53">
        <v>25535</v>
      </c>
      <c r="D52" s="53">
        <v>0</v>
      </c>
      <c r="E52" s="53">
        <f t="shared" si="2"/>
        <v>534241</v>
      </c>
      <c r="F52" s="53">
        <f t="shared" si="23"/>
        <v>453700.25</v>
      </c>
      <c r="G52" s="53"/>
      <c r="L52" s="53"/>
      <c r="M52" s="53"/>
      <c r="N52" s="53">
        <v>8400</v>
      </c>
      <c r="O52" s="53">
        <f t="shared" si="3"/>
        <v>8400</v>
      </c>
      <c r="P52" s="53">
        <f t="shared" si="24"/>
        <v>34329.5</v>
      </c>
      <c r="Q52" s="53"/>
      <c r="V52" s="53">
        <v>138493</v>
      </c>
      <c r="W52" s="53">
        <v>159454</v>
      </c>
      <c r="X52" s="53">
        <v>39500</v>
      </c>
      <c r="Y52" s="53">
        <f t="shared" si="4"/>
        <v>337447</v>
      </c>
      <c r="Z52" s="53">
        <f t="shared" si="25"/>
        <v>279926.5</v>
      </c>
      <c r="AA52" s="53"/>
      <c r="AF52" s="53">
        <v>6335</v>
      </c>
      <c r="AG52" s="53">
        <v>1500</v>
      </c>
      <c r="AH52" s="56">
        <v>0</v>
      </c>
      <c r="AI52" s="53">
        <f t="shared" si="5"/>
        <v>7835</v>
      </c>
      <c r="AJ52" s="53">
        <f t="shared" si="26"/>
        <v>2333.75</v>
      </c>
      <c r="AK52" s="53"/>
      <c r="AP52" s="53">
        <f t="shared" si="6"/>
        <v>653534</v>
      </c>
      <c r="AQ52" s="53">
        <f t="shared" si="6"/>
        <v>186489</v>
      </c>
      <c r="AR52" s="53">
        <f t="shared" si="6"/>
        <v>47900</v>
      </c>
      <c r="AS52" s="53">
        <f t="shared" si="6"/>
        <v>887923</v>
      </c>
      <c r="AT52" s="53">
        <f t="shared" si="27"/>
        <v>770290</v>
      </c>
      <c r="AU52" s="53"/>
      <c r="AZ52" s="53">
        <f t="shared" si="8"/>
        <v>534.24099999999999</v>
      </c>
      <c r="BA52" s="53">
        <f t="shared" si="9"/>
        <v>8.4</v>
      </c>
      <c r="BB52" s="53">
        <f t="shared" si="10"/>
        <v>337.447</v>
      </c>
      <c r="BC52" s="53">
        <f t="shared" si="11"/>
        <v>7.835</v>
      </c>
      <c r="BD52" s="53">
        <f t="shared" si="12"/>
        <v>887.923</v>
      </c>
      <c r="BE52" s="60">
        <f t="shared" si="18"/>
        <v>23195.938000000002</v>
      </c>
      <c r="BF52" s="60">
        <f t="shared" si="19"/>
        <v>2417.4550000000008</v>
      </c>
      <c r="BG52" s="60">
        <f t="shared" si="20"/>
        <v>6772.7859999999991</v>
      </c>
      <c r="BH52" s="60">
        <f t="shared" si="21"/>
        <v>604.46400000000017</v>
      </c>
      <c r="BI52" s="60">
        <f t="shared" si="22"/>
        <v>32990.643000000011</v>
      </c>
      <c r="BJ52" s="1">
        <v>43</v>
      </c>
    </row>
    <row r="53" spans="1:62" x14ac:dyDescent="0.3">
      <c r="A53" s="49">
        <v>37926</v>
      </c>
      <c r="B53" s="53">
        <v>420975</v>
      </c>
      <c r="C53" s="53">
        <v>37884</v>
      </c>
      <c r="D53" s="53">
        <v>0</v>
      </c>
      <c r="E53" s="53">
        <f t="shared" si="2"/>
        <v>458859</v>
      </c>
      <c r="F53" s="53">
        <f t="shared" si="23"/>
        <v>457252</v>
      </c>
      <c r="G53" s="53"/>
      <c r="L53" s="53">
        <v>17908</v>
      </c>
      <c r="M53" s="53"/>
      <c r="N53" s="53">
        <v>18400</v>
      </c>
      <c r="O53" s="53">
        <f t="shared" si="3"/>
        <v>36308</v>
      </c>
      <c r="P53" s="53">
        <f t="shared" si="24"/>
        <v>31372.25</v>
      </c>
      <c r="Q53" s="53"/>
      <c r="V53" s="53">
        <v>322987</v>
      </c>
      <c r="W53" s="53">
        <v>89358</v>
      </c>
      <c r="X53" s="53">
        <v>28800</v>
      </c>
      <c r="Y53" s="53">
        <f t="shared" si="4"/>
        <v>441145</v>
      </c>
      <c r="Z53" s="53">
        <f t="shared" si="25"/>
        <v>356622.5</v>
      </c>
      <c r="AA53" s="53"/>
      <c r="AF53" s="53">
        <v>9600</v>
      </c>
      <c r="AG53" s="53">
        <v>1600</v>
      </c>
      <c r="AH53" s="56">
        <v>0</v>
      </c>
      <c r="AI53" s="53">
        <f t="shared" si="5"/>
        <v>11200</v>
      </c>
      <c r="AJ53" s="53">
        <f t="shared" si="26"/>
        <v>5133.75</v>
      </c>
      <c r="AK53" s="53"/>
      <c r="AP53" s="53">
        <f t="shared" si="6"/>
        <v>771470</v>
      </c>
      <c r="AQ53" s="53">
        <f t="shared" si="6"/>
        <v>128842</v>
      </c>
      <c r="AR53" s="53">
        <f t="shared" si="6"/>
        <v>47200</v>
      </c>
      <c r="AS53" s="53">
        <f t="shared" si="6"/>
        <v>947512</v>
      </c>
      <c r="AT53" s="53">
        <f t="shared" si="27"/>
        <v>850380.5</v>
      </c>
      <c r="AU53" s="53"/>
      <c r="AZ53" s="53">
        <f t="shared" si="8"/>
        <v>458.85899999999998</v>
      </c>
      <c r="BA53" s="53">
        <f t="shared" si="9"/>
        <v>36.308</v>
      </c>
      <c r="BB53" s="53">
        <f t="shared" si="10"/>
        <v>441.14499999999998</v>
      </c>
      <c r="BC53" s="53">
        <f t="shared" si="11"/>
        <v>11.2</v>
      </c>
      <c r="BD53" s="53">
        <f t="shared" si="12"/>
        <v>947.51199999999994</v>
      </c>
      <c r="BE53" s="60">
        <f t="shared" si="18"/>
        <v>23654.797000000002</v>
      </c>
      <c r="BF53" s="60">
        <f t="shared" si="19"/>
        <v>2453.7630000000008</v>
      </c>
      <c r="BG53" s="60">
        <f t="shared" si="20"/>
        <v>7213.9309999999987</v>
      </c>
      <c r="BH53" s="60">
        <f t="shared" si="21"/>
        <v>615.66400000000021</v>
      </c>
      <c r="BI53" s="60">
        <f t="shared" si="22"/>
        <v>33938.155000000013</v>
      </c>
      <c r="BJ53" s="1">
        <v>44</v>
      </c>
    </row>
    <row r="54" spans="1:62" x14ac:dyDescent="0.3">
      <c r="A54" s="49">
        <v>37933</v>
      </c>
      <c r="B54" s="53">
        <v>813647</v>
      </c>
      <c r="C54" s="53">
        <v>45901</v>
      </c>
      <c r="D54" s="53">
        <v>0</v>
      </c>
      <c r="E54" s="53">
        <f t="shared" si="2"/>
        <v>859548</v>
      </c>
      <c r="F54" s="53">
        <f t="shared" si="23"/>
        <v>556321</v>
      </c>
      <c r="G54" s="53"/>
      <c r="L54" s="53">
        <v>22477</v>
      </c>
      <c r="M54" s="53"/>
      <c r="N54" s="53">
        <v>16900</v>
      </c>
      <c r="O54" s="53">
        <f t="shared" si="3"/>
        <v>39377</v>
      </c>
      <c r="P54" s="53">
        <f t="shared" si="24"/>
        <v>31960.5</v>
      </c>
      <c r="Q54" s="53"/>
      <c r="V54" s="53">
        <v>136828</v>
      </c>
      <c r="W54" s="53">
        <v>138065</v>
      </c>
      <c r="X54" s="53">
        <v>43200</v>
      </c>
      <c r="Y54" s="53">
        <f t="shared" si="4"/>
        <v>318093</v>
      </c>
      <c r="Z54" s="53">
        <f t="shared" si="25"/>
        <v>377755.25</v>
      </c>
      <c r="AA54" s="53"/>
      <c r="AF54" s="53">
        <v>1600</v>
      </c>
      <c r="AG54" s="53">
        <v>6700</v>
      </c>
      <c r="AH54" s="56">
        <v>0</v>
      </c>
      <c r="AI54" s="53">
        <f t="shared" si="5"/>
        <v>8300</v>
      </c>
      <c r="AJ54" s="53">
        <f t="shared" si="26"/>
        <v>6833.75</v>
      </c>
      <c r="AK54" s="53"/>
      <c r="AP54" s="53">
        <f t="shared" si="6"/>
        <v>974552</v>
      </c>
      <c r="AQ54" s="53">
        <f t="shared" si="6"/>
        <v>190666</v>
      </c>
      <c r="AR54" s="53">
        <f t="shared" si="6"/>
        <v>60100</v>
      </c>
      <c r="AS54" s="53">
        <f t="shared" si="6"/>
        <v>1225318</v>
      </c>
      <c r="AT54" s="53">
        <f t="shared" si="27"/>
        <v>972870.5</v>
      </c>
      <c r="AU54" s="53"/>
      <c r="AZ54" s="53">
        <f t="shared" si="8"/>
        <v>859.548</v>
      </c>
      <c r="BA54" s="53">
        <f t="shared" si="9"/>
        <v>39.377000000000002</v>
      </c>
      <c r="BB54" s="53">
        <f t="shared" si="10"/>
        <v>318.09300000000002</v>
      </c>
      <c r="BC54" s="53">
        <f t="shared" si="11"/>
        <v>8.3000000000000007</v>
      </c>
      <c r="BD54" s="53">
        <f t="shared" si="12"/>
        <v>1225.318</v>
      </c>
      <c r="BE54" s="60">
        <f t="shared" si="18"/>
        <v>24514.345000000001</v>
      </c>
      <c r="BF54" s="60">
        <f t="shared" si="19"/>
        <v>2493.1400000000008</v>
      </c>
      <c r="BG54" s="60">
        <f t="shared" si="20"/>
        <v>7532.0239999999985</v>
      </c>
      <c r="BH54" s="60">
        <f t="shared" si="21"/>
        <v>623.96400000000017</v>
      </c>
      <c r="BI54" s="60">
        <f t="shared" si="22"/>
        <v>35163.473000000013</v>
      </c>
      <c r="BJ54" s="1">
        <v>45</v>
      </c>
    </row>
    <row r="55" spans="1:62" x14ac:dyDescent="0.3">
      <c r="A55" s="49">
        <v>37940</v>
      </c>
      <c r="B55" s="53">
        <v>623316</v>
      </c>
      <c r="C55" s="53">
        <v>42320</v>
      </c>
      <c r="D55" s="53">
        <v>0</v>
      </c>
      <c r="E55" s="53">
        <f t="shared" si="2"/>
        <v>665636</v>
      </c>
      <c r="F55" s="53">
        <f t="shared" si="23"/>
        <v>629571</v>
      </c>
      <c r="G55" s="53"/>
      <c r="L55" s="53">
        <v>10948</v>
      </c>
      <c r="M55" s="53">
        <v>6000</v>
      </c>
      <c r="N55" s="53">
        <v>7000</v>
      </c>
      <c r="O55" s="53">
        <f t="shared" si="3"/>
        <v>23948</v>
      </c>
      <c r="P55" s="53">
        <f t="shared" si="24"/>
        <v>27008.25</v>
      </c>
      <c r="Q55" s="53"/>
      <c r="V55" s="53">
        <v>106451</v>
      </c>
      <c r="W55" s="53">
        <v>71222</v>
      </c>
      <c r="X55" s="53">
        <v>41200</v>
      </c>
      <c r="Y55" s="53">
        <f t="shared" si="4"/>
        <v>218873</v>
      </c>
      <c r="Z55" s="53">
        <f t="shared" si="25"/>
        <v>328889.5</v>
      </c>
      <c r="AA55" s="53"/>
      <c r="AF55" s="53">
        <v>4500</v>
      </c>
      <c r="AG55" s="56">
        <v>0</v>
      </c>
      <c r="AH55" s="56">
        <v>0</v>
      </c>
      <c r="AI55" s="53">
        <f t="shared" si="5"/>
        <v>4500</v>
      </c>
      <c r="AJ55" s="53">
        <f t="shared" si="26"/>
        <v>7958.75</v>
      </c>
      <c r="AK55" s="53"/>
      <c r="AP55" s="53">
        <f t="shared" si="6"/>
        <v>745215</v>
      </c>
      <c r="AQ55" s="53">
        <f t="shared" si="6"/>
        <v>119542</v>
      </c>
      <c r="AR55" s="53">
        <f t="shared" si="6"/>
        <v>48200</v>
      </c>
      <c r="AS55" s="53">
        <f t="shared" si="6"/>
        <v>912957</v>
      </c>
      <c r="AT55" s="53">
        <f t="shared" si="27"/>
        <v>993427.5</v>
      </c>
      <c r="AU55" s="53"/>
      <c r="AZ55" s="53">
        <f t="shared" si="8"/>
        <v>665.63599999999997</v>
      </c>
      <c r="BA55" s="53">
        <f t="shared" si="9"/>
        <v>23.948</v>
      </c>
      <c r="BB55" s="53">
        <f t="shared" si="10"/>
        <v>218.87299999999999</v>
      </c>
      <c r="BC55" s="53">
        <f t="shared" si="11"/>
        <v>4.5</v>
      </c>
      <c r="BD55" s="53">
        <f t="shared" si="12"/>
        <v>912.95699999999999</v>
      </c>
      <c r="BE55" s="60">
        <f t="shared" si="18"/>
        <v>25179.981</v>
      </c>
      <c r="BF55" s="60">
        <f t="shared" si="19"/>
        <v>2517.0880000000006</v>
      </c>
      <c r="BG55" s="60">
        <f t="shared" si="20"/>
        <v>7750.8969999999981</v>
      </c>
      <c r="BH55" s="60">
        <f t="shared" si="21"/>
        <v>628.46400000000017</v>
      </c>
      <c r="BI55" s="60">
        <f t="shared" si="22"/>
        <v>36076.430000000015</v>
      </c>
      <c r="BJ55" s="1">
        <v>46</v>
      </c>
    </row>
    <row r="56" spans="1:62" x14ac:dyDescent="0.3">
      <c r="A56" s="49">
        <v>37947</v>
      </c>
      <c r="B56" s="53">
        <v>786202</v>
      </c>
      <c r="C56" s="53">
        <v>58724</v>
      </c>
      <c r="D56" s="53">
        <v>0</v>
      </c>
      <c r="E56" s="53">
        <f t="shared" si="2"/>
        <v>844926</v>
      </c>
      <c r="F56" s="53">
        <f t="shared" si="23"/>
        <v>707242.25</v>
      </c>
      <c r="G56" s="53"/>
      <c r="L56" s="53">
        <v>16852</v>
      </c>
      <c r="M56" s="53"/>
      <c r="N56" s="53">
        <v>14000</v>
      </c>
      <c r="O56" s="53">
        <f t="shared" si="3"/>
        <v>30852</v>
      </c>
      <c r="P56" s="53">
        <f t="shared" si="24"/>
        <v>32621.25</v>
      </c>
      <c r="Q56" s="53"/>
      <c r="V56" s="53">
        <v>113631</v>
      </c>
      <c r="W56" s="53">
        <v>88728</v>
      </c>
      <c r="X56" s="53">
        <v>16800</v>
      </c>
      <c r="Y56" s="53">
        <f t="shared" si="4"/>
        <v>219159</v>
      </c>
      <c r="Z56" s="53">
        <f t="shared" si="25"/>
        <v>299317.5</v>
      </c>
      <c r="AA56" s="53"/>
      <c r="AF56" s="53">
        <v>3000</v>
      </c>
      <c r="AG56" s="53">
        <v>3000</v>
      </c>
      <c r="AH56" s="56">
        <v>0</v>
      </c>
      <c r="AI56" s="53">
        <f t="shared" si="5"/>
        <v>6000</v>
      </c>
      <c r="AJ56" s="53">
        <f t="shared" si="26"/>
        <v>7500</v>
      </c>
      <c r="AK56" s="53"/>
      <c r="AP56" s="53">
        <f t="shared" si="6"/>
        <v>919685</v>
      </c>
      <c r="AQ56" s="53">
        <f t="shared" si="6"/>
        <v>150452</v>
      </c>
      <c r="AR56" s="53">
        <f t="shared" si="6"/>
        <v>30800</v>
      </c>
      <c r="AS56" s="53">
        <f t="shared" si="6"/>
        <v>1100937</v>
      </c>
      <c r="AT56" s="53">
        <f t="shared" si="27"/>
        <v>1046681</v>
      </c>
      <c r="AU56" s="53"/>
      <c r="AZ56" s="53">
        <f t="shared" si="8"/>
        <v>844.92600000000004</v>
      </c>
      <c r="BA56" s="53">
        <f t="shared" si="9"/>
        <v>30.852</v>
      </c>
      <c r="BB56" s="53">
        <f t="shared" si="10"/>
        <v>219.15899999999999</v>
      </c>
      <c r="BC56" s="53">
        <f t="shared" si="11"/>
        <v>6</v>
      </c>
      <c r="BD56" s="53">
        <f t="shared" si="12"/>
        <v>1100.9369999999999</v>
      </c>
      <c r="BE56" s="60">
        <f t="shared" si="18"/>
        <v>26024.906999999999</v>
      </c>
      <c r="BF56" s="60">
        <f t="shared" si="19"/>
        <v>2547.9400000000005</v>
      </c>
      <c r="BG56" s="60">
        <f t="shared" si="20"/>
        <v>7970.0559999999978</v>
      </c>
      <c r="BH56" s="60">
        <f t="shared" si="21"/>
        <v>634.46400000000017</v>
      </c>
      <c r="BI56" s="60">
        <f t="shared" si="22"/>
        <v>37177.367000000013</v>
      </c>
      <c r="BJ56" s="1">
        <v>47</v>
      </c>
    </row>
    <row r="57" spans="1:62" x14ac:dyDescent="0.3">
      <c r="A57" s="49">
        <v>37954</v>
      </c>
      <c r="B57" s="53">
        <v>700370</v>
      </c>
      <c r="C57" s="53">
        <v>36772</v>
      </c>
      <c r="D57" s="53">
        <v>0</v>
      </c>
      <c r="E57" s="53">
        <f t="shared" si="2"/>
        <v>737142</v>
      </c>
      <c r="F57" s="53">
        <f t="shared" si="23"/>
        <v>776813</v>
      </c>
      <c r="G57" s="53"/>
      <c r="L57" s="53">
        <v>21352</v>
      </c>
      <c r="M57" s="53">
        <v>9642</v>
      </c>
      <c r="N57" s="53">
        <v>14100</v>
      </c>
      <c r="O57" s="53">
        <f t="shared" si="3"/>
        <v>45094</v>
      </c>
      <c r="P57" s="53">
        <f t="shared" si="24"/>
        <v>34817.75</v>
      </c>
      <c r="Q57" s="53"/>
      <c r="V57" s="53">
        <v>167447</v>
      </c>
      <c r="W57" s="53">
        <v>66606</v>
      </c>
      <c r="X57" s="53">
        <v>42100</v>
      </c>
      <c r="Y57" s="53">
        <f t="shared" si="4"/>
        <v>276153</v>
      </c>
      <c r="Z57" s="53">
        <f t="shared" si="25"/>
        <v>258069.5</v>
      </c>
      <c r="AA57" s="53"/>
      <c r="AF57" s="56">
        <v>0</v>
      </c>
      <c r="AG57" s="56">
        <v>0</v>
      </c>
      <c r="AH57" s="56">
        <v>0</v>
      </c>
      <c r="AI57" s="53">
        <f t="shared" si="5"/>
        <v>0</v>
      </c>
      <c r="AJ57" s="53">
        <f t="shared" si="26"/>
        <v>4700</v>
      </c>
      <c r="AK57" s="53"/>
      <c r="AP57" s="53">
        <f t="shared" si="6"/>
        <v>889169</v>
      </c>
      <c r="AQ57" s="53">
        <f t="shared" si="6"/>
        <v>113020</v>
      </c>
      <c r="AR57" s="53">
        <f t="shared" si="6"/>
        <v>56200</v>
      </c>
      <c r="AS57" s="53">
        <f t="shared" si="6"/>
        <v>1058389</v>
      </c>
      <c r="AT57" s="53">
        <f t="shared" si="27"/>
        <v>1074400.25</v>
      </c>
      <c r="AU57" s="53"/>
      <c r="AZ57" s="53">
        <f t="shared" si="8"/>
        <v>737.14200000000005</v>
      </c>
      <c r="BA57" s="53">
        <f t="shared" si="9"/>
        <v>45.094000000000001</v>
      </c>
      <c r="BB57" s="53">
        <f t="shared" si="10"/>
        <v>276.15300000000002</v>
      </c>
      <c r="BC57" s="53">
        <f t="shared" si="11"/>
        <v>0</v>
      </c>
      <c r="BD57" s="53">
        <f t="shared" si="12"/>
        <v>1058.3889999999999</v>
      </c>
      <c r="BE57" s="60">
        <f t="shared" si="18"/>
        <v>26762.048999999999</v>
      </c>
      <c r="BF57" s="60">
        <f t="shared" si="19"/>
        <v>2593.0340000000006</v>
      </c>
      <c r="BG57" s="60">
        <f t="shared" si="20"/>
        <v>8246.2089999999971</v>
      </c>
      <c r="BH57" s="60">
        <f t="shared" si="21"/>
        <v>634.46400000000017</v>
      </c>
      <c r="BI57" s="60">
        <f t="shared" si="22"/>
        <v>38235.756000000016</v>
      </c>
      <c r="BJ57" s="1">
        <v>48</v>
      </c>
    </row>
    <row r="58" spans="1:62" x14ac:dyDescent="0.3">
      <c r="A58" s="49">
        <v>37961</v>
      </c>
      <c r="B58" s="53">
        <v>833745</v>
      </c>
      <c r="C58" s="53">
        <v>63121</v>
      </c>
      <c r="D58" s="53">
        <v>0</v>
      </c>
      <c r="E58" s="53">
        <f t="shared" si="2"/>
        <v>896866</v>
      </c>
      <c r="F58" s="53">
        <f t="shared" si="23"/>
        <v>786142.5</v>
      </c>
      <c r="G58" s="53"/>
      <c r="L58" s="53">
        <v>19994</v>
      </c>
      <c r="M58" s="53">
        <v>8100</v>
      </c>
      <c r="N58" s="53">
        <v>30400</v>
      </c>
      <c r="O58" s="53">
        <f t="shared" si="3"/>
        <v>58494</v>
      </c>
      <c r="P58" s="53">
        <f t="shared" si="24"/>
        <v>39597</v>
      </c>
      <c r="Q58" s="53"/>
      <c r="V58" s="53">
        <v>285069</v>
      </c>
      <c r="W58" s="53">
        <v>72800</v>
      </c>
      <c r="X58" s="53">
        <v>18500</v>
      </c>
      <c r="Y58" s="53">
        <f t="shared" si="4"/>
        <v>376369</v>
      </c>
      <c r="Z58" s="53">
        <f t="shared" si="25"/>
        <v>272638.5</v>
      </c>
      <c r="AA58" s="53"/>
      <c r="AF58" s="53">
        <v>1600</v>
      </c>
      <c r="AG58" s="56">
        <v>0</v>
      </c>
      <c r="AH58" s="56">
        <v>0</v>
      </c>
      <c r="AI58" s="53">
        <f t="shared" si="5"/>
        <v>1600</v>
      </c>
      <c r="AJ58" s="53">
        <f t="shared" si="26"/>
        <v>3025</v>
      </c>
      <c r="AK58" s="53"/>
      <c r="AP58" s="53">
        <f t="shared" si="6"/>
        <v>1140408</v>
      </c>
      <c r="AQ58" s="53">
        <f t="shared" si="6"/>
        <v>144021</v>
      </c>
      <c r="AR58" s="53">
        <f t="shared" si="6"/>
        <v>48900</v>
      </c>
      <c r="AS58" s="53">
        <f t="shared" si="6"/>
        <v>1333329</v>
      </c>
      <c r="AT58" s="53">
        <f t="shared" si="27"/>
        <v>1101403</v>
      </c>
      <c r="AU58" s="53"/>
      <c r="AZ58" s="53">
        <f t="shared" si="8"/>
        <v>896.86599999999999</v>
      </c>
      <c r="BA58" s="53">
        <f t="shared" si="9"/>
        <v>58.494</v>
      </c>
      <c r="BB58" s="53">
        <f t="shared" si="10"/>
        <v>376.36900000000003</v>
      </c>
      <c r="BC58" s="53">
        <f t="shared" si="11"/>
        <v>1.6</v>
      </c>
      <c r="BD58" s="53">
        <f t="shared" si="12"/>
        <v>1333.329</v>
      </c>
      <c r="BE58" s="60">
        <f t="shared" si="18"/>
        <v>27658.915000000001</v>
      </c>
      <c r="BF58" s="60">
        <f t="shared" si="19"/>
        <v>2651.5280000000007</v>
      </c>
      <c r="BG58" s="60">
        <f t="shared" si="20"/>
        <v>8622.5779999999977</v>
      </c>
      <c r="BH58" s="60">
        <f t="shared" si="21"/>
        <v>636.06400000000019</v>
      </c>
      <c r="BI58" s="60">
        <f t="shared" si="22"/>
        <v>39569.085000000014</v>
      </c>
      <c r="BJ58" s="1">
        <v>49</v>
      </c>
    </row>
    <row r="59" spans="1:62" x14ac:dyDescent="0.3">
      <c r="A59" s="49">
        <v>37968</v>
      </c>
      <c r="B59" s="53">
        <v>953441</v>
      </c>
      <c r="C59" s="53">
        <v>52450</v>
      </c>
      <c r="D59" s="53">
        <v>0</v>
      </c>
      <c r="E59" s="53">
        <f t="shared" si="2"/>
        <v>1005891</v>
      </c>
      <c r="F59" s="53">
        <f t="shared" si="23"/>
        <v>871206.25</v>
      </c>
      <c r="G59" s="53"/>
      <c r="L59" s="53">
        <v>23100</v>
      </c>
      <c r="M59" s="53">
        <v>13200</v>
      </c>
      <c r="N59" s="53"/>
      <c r="O59" s="53">
        <f t="shared" si="3"/>
        <v>36300</v>
      </c>
      <c r="P59" s="53">
        <f t="shared" si="24"/>
        <v>42685</v>
      </c>
      <c r="Q59" s="53"/>
      <c r="R59" s="59"/>
      <c r="S59" s="59"/>
      <c r="V59" s="53">
        <v>265090</v>
      </c>
      <c r="W59" s="53">
        <v>10250</v>
      </c>
      <c r="X59" s="53">
        <v>0</v>
      </c>
      <c r="Y59" s="53">
        <f t="shared" si="4"/>
        <v>275340</v>
      </c>
      <c r="Z59" s="53">
        <f t="shared" si="25"/>
        <v>286755.25</v>
      </c>
      <c r="AA59" s="53"/>
      <c r="AB59" s="59"/>
      <c r="AF59" s="56">
        <v>0</v>
      </c>
      <c r="AG59" s="56">
        <v>0</v>
      </c>
      <c r="AH59" s="56">
        <v>0</v>
      </c>
      <c r="AI59" s="53">
        <f t="shared" si="5"/>
        <v>0</v>
      </c>
      <c r="AJ59" s="53">
        <f t="shared" si="26"/>
        <v>1900</v>
      </c>
      <c r="AK59" s="53"/>
      <c r="AP59" s="53">
        <f t="shared" si="6"/>
        <v>1241631</v>
      </c>
      <c r="AQ59" s="53">
        <f t="shared" si="6"/>
        <v>75900</v>
      </c>
      <c r="AR59" s="53">
        <f t="shared" si="6"/>
        <v>0</v>
      </c>
      <c r="AS59" s="53">
        <f t="shared" si="6"/>
        <v>1317531</v>
      </c>
      <c r="AT59" s="53">
        <f t="shared" si="27"/>
        <v>1202546.5</v>
      </c>
      <c r="AU59" s="53"/>
      <c r="AZ59" s="53">
        <f t="shared" si="8"/>
        <v>1005.891</v>
      </c>
      <c r="BA59" s="53">
        <f t="shared" si="9"/>
        <v>36.299999999999997</v>
      </c>
      <c r="BB59" s="53">
        <f t="shared" si="10"/>
        <v>275.33999999999997</v>
      </c>
      <c r="BC59" s="53">
        <f t="shared" si="11"/>
        <v>0</v>
      </c>
      <c r="BD59" s="53">
        <f t="shared" si="12"/>
        <v>1317.5309999999999</v>
      </c>
      <c r="BE59" s="60">
        <f t="shared" si="18"/>
        <v>28664.806</v>
      </c>
      <c r="BF59" s="60">
        <f t="shared" si="19"/>
        <v>2687.8280000000009</v>
      </c>
      <c r="BG59" s="60">
        <f t="shared" si="20"/>
        <v>8897.9179999999978</v>
      </c>
      <c r="BH59" s="60">
        <f t="shared" si="21"/>
        <v>636.06400000000019</v>
      </c>
      <c r="BI59" s="60">
        <f t="shared" si="22"/>
        <v>40886.616000000016</v>
      </c>
      <c r="BJ59" s="1">
        <v>50</v>
      </c>
    </row>
    <row r="60" spans="1:62" x14ac:dyDescent="0.3">
      <c r="A60" s="49">
        <v>37975</v>
      </c>
      <c r="B60" s="53">
        <v>519841</v>
      </c>
      <c r="C60" s="53">
        <v>103329</v>
      </c>
      <c r="D60" s="53">
        <v>0</v>
      </c>
      <c r="E60" s="53">
        <f t="shared" si="2"/>
        <v>623170</v>
      </c>
      <c r="F60" s="53">
        <f t="shared" si="23"/>
        <v>815767.25</v>
      </c>
      <c r="G60" s="53"/>
      <c r="L60" s="53">
        <v>10764</v>
      </c>
      <c r="M60" s="53">
        <v>14583</v>
      </c>
      <c r="N60" s="53">
        <v>27100</v>
      </c>
      <c r="O60" s="53">
        <f t="shared" si="3"/>
        <v>52447</v>
      </c>
      <c r="P60" s="53">
        <f t="shared" si="24"/>
        <v>48083.75</v>
      </c>
      <c r="Q60" s="53"/>
      <c r="R60" s="59"/>
      <c r="S60" s="59"/>
      <c r="V60" s="53">
        <v>71251</v>
      </c>
      <c r="W60" s="53">
        <v>46629</v>
      </c>
      <c r="X60" s="53">
        <v>18300</v>
      </c>
      <c r="Y60" s="53">
        <f t="shared" si="4"/>
        <v>136180</v>
      </c>
      <c r="Z60" s="53">
        <f t="shared" si="25"/>
        <v>266010.5</v>
      </c>
      <c r="AA60" s="53"/>
      <c r="AB60" s="59"/>
      <c r="AF60" s="53">
        <v>27400</v>
      </c>
      <c r="AG60" s="53">
        <v>21150</v>
      </c>
      <c r="AH60" s="56">
        <v>0</v>
      </c>
      <c r="AI60" s="53">
        <f t="shared" si="5"/>
        <v>48550</v>
      </c>
      <c r="AJ60" s="53">
        <f t="shared" si="26"/>
        <v>12537.5</v>
      </c>
      <c r="AK60" s="53"/>
      <c r="AP60" s="53">
        <f t="shared" si="6"/>
        <v>629256</v>
      </c>
      <c r="AQ60" s="53">
        <f t="shared" si="6"/>
        <v>185691</v>
      </c>
      <c r="AR60" s="53">
        <f t="shared" si="6"/>
        <v>45400</v>
      </c>
      <c r="AS60" s="53">
        <f t="shared" si="6"/>
        <v>860347</v>
      </c>
      <c r="AT60" s="53">
        <f t="shared" si="27"/>
        <v>1142399</v>
      </c>
      <c r="AU60" s="53"/>
      <c r="AZ60" s="53">
        <f t="shared" si="8"/>
        <v>623.16999999999996</v>
      </c>
      <c r="BA60" s="53">
        <f t="shared" si="9"/>
        <v>52.447000000000003</v>
      </c>
      <c r="BB60" s="53">
        <f t="shared" si="10"/>
        <v>136.18</v>
      </c>
      <c r="BC60" s="53">
        <f t="shared" si="11"/>
        <v>48.55</v>
      </c>
      <c r="BD60" s="53">
        <f t="shared" si="12"/>
        <v>860.34699999999998</v>
      </c>
      <c r="BE60" s="60">
        <f t="shared" si="18"/>
        <v>29287.975999999999</v>
      </c>
      <c r="BF60" s="60">
        <f t="shared" si="19"/>
        <v>2740.275000000001</v>
      </c>
      <c r="BG60" s="60">
        <f t="shared" si="20"/>
        <v>9034.0979999999981</v>
      </c>
      <c r="BH60" s="60">
        <f t="shared" si="21"/>
        <v>684.61400000000015</v>
      </c>
      <c r="BI60" s="60">
        <f t="shared" si="22"/>
        <v>41746.963000000018</v>
      </c>
      <c r="BJ60" s="1">
        <v>51</v>
      </c>
    </row>
    <row r="61" spans="1:62" x14ac:dyDescent="0.3">
      <c r="A61" s="49">
        <v>37982</v>
      </c>
      <c r="B61" s="53">
        <v>506413</v>
      </c>
      <c r="C61" s="53">
        <v>103329</v>
      </c>
      <c r="D61" s="53">
        <v>0</v>
      </c>
      <c r="E61" s="53">
        <f t="shared" si="2"/>
        <v>609742</v>
      </c>
      <c r="F61" s="53">
        <f t="shared" si="23"/>
        <v>783917.25</v>
      </c>
      <c r="G61" s="53"/>
      <c r="H61" s="59"/>
      <c r="L61" s="53">
        <v>15700</v>
      </c>
      <c r="M61" s="53">
        <v>14583</v>
      </c>
      <c r="N61" s="53">
        <v>16800</v>
      </c>
      <c r="O61" s="53">
        <f t="shared" si="3"/>
        <v>47083</v>
      </c>
      <c r="P61" s="53">
        <f t="shared" si="24"/>
        <v>48581</v>
      </c>
      <c r="Q61" s="53"/>
      <c r="R61" s="59"/>
      <c r="S61" s="59"/>
      <c r="V61" s="53">
        <v>54683</v>
      </c>
      <c r="W61" s="53">
        <v>46629</v>
      </c>
      <c r="X61" s="53">
        <v>10100</v>
      </c>
      <c r="Y61" s="53">
        <f t="shared" si="4"/>
        <v>111412</v>
      </c>
      <c r="Z61" s="53">
        <f t="shared" si="25"/>
        <v>224825.25</v>
      </c>
      <c r="AA61" s="53"/>
      <c r="AB61" s="59"/>
      <c r="AC61" s="59"/>
      <c r="AF61" s="56">
        <v>0</v>
      </c>
      <c r="AG61" s="53">
        <v>10450</v>
      </c>
      <c r="AH61" s="56">
        <v>0</v>
      </c>
      <c r="AI61" s="53">
        <f t="shared" si="5"/>
        <v>10450</v>
      </c>
      <c r="AJ61" s="53">
        <f t="shared" si="26"/>
        <v>15150</v>
      </c>
      <c r="AK61" s="53"/>
      <c r="AL61" s="59"/>
      <c r="AP61" s="53">
        <f t="shared" si="6"/>
        <v>576796</v>
      </c>
      <c r="AQ61" s="53">
        <f t="shared" si="6"/>
        <v>174991</v>
      </c>
      <c r="AR61" s="53">
        <f t="shared" si="6"/>
        <v>26900</v>
      </c>
      <c r="AS61" s="53">
        <f t="shared" si="6"/>
        <v>778687</v>
      </c>
      <c r="AT61" s="53">
        <f t="shared" si="27"/>
        <v>1072473.5</v>
      </c>
      <c r="AU61" s="53"/>
      <c r="AV61" s="59"/>
      <c r="AZ61" s="53">
        <f t="shared" si="8"/>
        <v>609.74199999999996</v>
      </c>
      <c r="BA61" s="53">
        <f t="shared" si="9"/>
        <v>47.082999999999998</v>
      </c>
      <c r="BB61" s="53">
        <f t="shared" si="10"/>
        <v>111.41200000000001</v>
      </c>
      <c r="BC61" s="53">
        <f t="shared" si="11"/>
        <v>10.45</v>
      </c>
      <c r="BD61" s="53">
        <f t="shared" si="12"/>
        <v>778.68700000000001</v>
      </c>
      <c r="BE61" s="60">
        <f t="shared" si="18"/>
        <v>29897.717999999997</v>
      </c>
      <c r="BF61" s="60">
        <f t="shared" si="19"/>
        <v>2787.3580000000011</v>
      </c>
      <c r="BG61" s="60">
        <f t="shared" si="20"/>
        <v>9145.5099999999984</v>
      </c>
      <c r="BH61" s="60">
        <f t="shared" si="21"/>
        <v>695.06400000000019</v>
      </c>
      <c r="BI61" s="60">
        <f t="shared" si="22"/>
        <v>42525.650000000016</v>
      </c>
      <c r="BJ61" s="1">
        <v>52</v>
      </c>
    </row>
    <row r="62" spans="1:62" x14ac:dyDescent="0.3">
      <c r="A62" s="49">
        <v>37989</v>
      </c>
      <c r="B62" s="53">
        <v>372917</v>
      </c>
      <c r="C62" s="53">
        <v>65875</v>
      </c>
      <c r="D62" s="53">
        <v>0</v>
      </c>
      <c r="E62" s="53">
        <f t="shared" si="2"/>
        <v>438792</v>
      </c>
      <c r="F62" s="53">
        <f t="shared" si="23"/>
        <v>669398.75</v>
      </c>
      <c r="G62" s="53"/>
      <c r="H62" s="59">
        <f>((E62/E10)-1)*100</f>
        <v>12.118354988310154</v>
      </c>
      <c r="I62" s="59"/>
      <c r="L62" s="53">
        <v>3000</v>
      </c>
      <c r="M62" s="53">
        <v>11054</v>
      </c>
      <c r="N62" s="53">
        <v>13100</v>
      </c>
      <c r="O62" s="53">
        <f t="shared" si="3"/>
        <v>27154</v>
      </c>
      <c r="P62" s="53">
        <f t="shared" si="24"/>
        <v>40746</v>
      </c>
      <c r="Q62" s="53"/>
      <c r="R62" s="59">
        <f t="shared" ref="R62:R122" si="28">((O62/O10)-1)*100</f>
        <v>32.232773313854388</v>
      </c>
      <c r="S62" s="59"/>
      <c r="V62" s="53">
        <v>42800</v>
      </c>
      <c r="W62" s="53">
        <v>48151</v>
      </c>
      <c r="X62" s="53">
        <v>8500</v>
      </c>
      <c r="Y62" s="53">
        <f t="shared" si="4"/>
        <v>99451</v>
      </c>
      <c r="Z62" s="53">
        <f t="shared" si="25"/>
        <v>155595.75</v>
      </c>
      <c r="AA62" s="53"/>
      <c r="AB62" s="59">
        <f t="shared" ref="AB62:AB122" si="29">((Y62/Y10)-1)*100</f>
        <v>-44.508673745529215</v>
      </c>
      <c r="AC62" s="59"/>
      <c r="AF62" s="56">
        <v>0</v>
      </c>
      <c r="AG62" s="56">
        <v>0</v>
      </c>
      <c r="AH62" s="56">
        <v>8000</v>
      </c>
      <c r="AI62" s="53">
        <f t="shared" si="5"/>
        <v>8000</v>
      </c>
      <c r="AJ62" s="53">
        <f t="shared" si="26"/>
        <v>16750</v>
      </c>
      <c r="AK62" s="53"/>
      <c r="AL62" s="59">
        <f t="shared" ref="AL62:AL124" si="30">((AI62/AI10)-1)*100</f>
        <v>-71.94262266334654</v>
      </c>
      <c r="AM62" s="59"/>
      <c r="AP62" s="53">
        <f t="shared" si="6"/>
        <v>418717</v>
      </c>
      <c r="AQ62" s="53">
        <f t="shared" si="6"/>
        <v>125080</v>
      </c>
      <c r="AR62" s="53">
        <f t="shared" si="6"/>
        <v>29600</v>
      </c>
      <c r="AS62" s="53">
        <f t="shared" si="6"/>
        <v>573397</v>
      </c>
      <c r="AT62" s="53">
        <f t="shared" si="27"/>
        <v>882490.5</v>
      </c>
      <c r="AU62" s="53"/>
      <c r="AV62" s="59">
        <f t="shared" ref="AV62:AV124" si="31">((AS62/AS10)-1)*100</f>
        <v>-7.4616869367624687</v>
      </c>
      <c r="AW62" s="59"/>
      <c r="AZ62" s="53">
        <f t="shared" si="8"/>
        <v>438.79199999999997</v>
      </c>
      <c r="BA62" s="53">
        <f t="shared" si="9"/>
        <v>27.154</v>
      </c>
      <c r="BB62" s="53">
        <f t="shared" si="10"/>
        <v>99.450999999999993</v>
      </c>
      <c r="BC62" s="53">
        <f t="shared" si="11"/>
        <v>8</v>
      </c>
      <c r="BD62" s="53">
        <f t="shared" si="12"/>
        <v>573.39700000000005</v>
      </c>
      <c r="BE62" s="60">
        <f t="shared" si="18"/>
        <v>30336.51</v>
      </c>
      <c r="BF62" s="60">
        <f t="shared" si="19"/>
        <v>2814.5120000000011</v>
      </c>
      <c r="BG62" s="60">
        <f t="shared" si="20"/>
        <v>9244.9609999999975</v>
      </c>
      <c r="BH62" s="60">
        <f t="shared" si="21"/>
        <v>703.06400000000019</v>
      </c>
      <c r="BI62" s="60">
        <f t="shared" si="22"/>
        <v>43099.047000000013</v>
      </c>
      <c r="BJ62" s="1">
        <v>53</v>
      </c>
    </row>
    <row r="63" spans="1:62" x14ac:dyDescent="0.3">
      <c r="A63" s="49">
        <v>37996</v>
      </c>
      <c r="B63" s="56">
        <v>413456</v>
      </c>
      <c r="C63" s="56">
        <v>84552</v>
      </c>
      <c r="D63" s="56">
        <v>0</v>
      </c>
      <c r="E63" s="53">
        <f>SUM(B63:D63)</f>
        <v>498008</v>
      </c>
      <c r="F63" s="53">
        <f t="shared" si="23"/>
        <v>542428</v>
      </c>
      <c r="G63" s="53"/>
      <c r="H63" s="59">
        <f t="shared" ref="H63:H125" si="32">((E63/E11)-1)*100</f>
        <v>2.0939166943422904</v>
      </c>
      <c r="I63" s="59"/>
      <c r="L63" s="53">
        <v>10500</v>
      </c>
      <c r="M63" s="53">
        <v>15393</v>
      </c>
      <c r="N63" s="53">
        <v>11300</v>
      </c>
      <c r="O63" s="53">
        <f>SUM(L63:N63)</f>
        <v>37193</v>
      </c>
      <c r="P63" s="53">
        <f t="shared" si="24"/>
        <v>40969.25</v>
      </c>
      <c r="Q63" s="53"/>
      <c r="R63" s="59">
        <f t="shared" si="28"/>
        <v>-11.603089720736781</v>
      </c>
      <c r="S63" s="59"/>
      <c r="V63" s="56">
        <v>54472</v>
      </c>
      <c r="W63" s="56">
        <v>91916</v>
      </c>
      <c r="X63" s="56">
        <v>0</v>
      </c>
      <c r="Y63" s="53">
        <f>SUM(V63:X63)</f>
        <v>146388</v>
      </c>
      <c r="Z63" s="53">
        <f t="shared" si="25"/>
        <v>123357.75</v>
      </c>
      <c r="AA63" s="53"/>
      <c r="AB63" s="59">
        <f t="shared" si="29"/>
        <v>-36.017552907855979</v>
      </c>
      <c r="AC63" s="59"/>
      <c r="AF63" s="56">
        <v>0</v>
      </c>
      <c r="AG63" s="56">
        <v>19225</v>
      </c>
      <c r="AH63" s="56">
        <v>0</v>
      </c>
      <c r="AI63" s="53">
        <f>SUM(AF63:AH63)</f>
        <v>19225</v>
      </c>
      <c r="AJ63" s="53">
        <f t="shared" si="26"/>
        <v>21556.25</v>
      </c>
      <c r="AK63" s="53"/>
      <c r="AL63" s="59">
        <f t="shared" si="30"/>
        <v>-67.29329703980946</v>
      </c>
      <c r="AM63" s="59"/>
      <c r="AP63" s="53">
        <f t="shared" si="6"/>
        <v>478428</v>
      </c>
      <c r="AQ63" s="53">
        <f t="shared" si="6"/>
        <v>211086</v>
      </c>
      <c r="AR63" s="53">
        <f t="shared" si="6"/>
        <v>11300</v>
      </c>
      <c r="AS63" s="53">
        <f t="shared" si="6"/>
        <v>700814</v>
      </c>
      <c r="AT63" s="53">
        <f t="shared" si="27"/>
        <v>728311.25</v>
      </c>
      <c r="AU63" s="53"/>
      <c r="AV63" s="59">
        <f t="shared" si="31"/>
        <v>-14.267539143402052</v>
      </c>
      <c r="AW63" s="59"/>
      <c r="AZ63" s="53">
        <f t="shared" si="8"/>
        <v>498.00799999999998</v>
      </c>
      <c r="BA63" s="53">
        <f t="shared" si="9"/>
        <v>37.192999999999998</v>
      </c>
      <c r="BB63" s="53">
        <f t="shared" si="10"/>
        <v>146.38800000000001</v>
      </c>
      <c r="BC63" s="53">
        <f t="shared" si="11"/>
        <v>19.225000000000001</v>
      </c>
      <c r="BD63" s="53">
        <f t="shared" si="12"/>
        <v>700.81399999999996</v>
      </c>
      <c r="BE63" s="60">
        <f>AZ63</f>
        <v>498.00799999999998</v>
      </c>
      <c r="BF63" s="60">
        <f t="shared" ref="BF63:BI63" si="33">BA63</f>
        <v>37.192999999999998</v>
      </c>
      <c r="BG63" s="60">
        <f t="shared" si="33"/>
        <v>146.38800000000001</v>
      </c>
      <c r="BH63" s="60">
        <f t="shared" si="33"/>
        <v>19.225000000000001</v>
      </c>
      <c r="BI63" s="60">
        <f t="shared" si="33"/>
        <v>700.81399999999996</v>
      </c>
      <c r="BJ63" s="1">
        <v>1</v>
      </c>
    </row>
    <row r="64" spans="1:62" x14ac:dyDescent="0.3">
      <c r="A64" s="49">
        <v>38003</v>
      </c>
      <c r="B64" s="56">
        <v>425615</v>
      </c>
      <c r="C64" s="56">
        <v>173006</v>
      </c>
      <c r="D64" s="56">
        <v>0</v>
      </c>
      <c r="E64" s="53">
        <f t="shared" ref="E64:E114" si="34">SUM(B64:D64)</f>
        <v>598621</v>
      </c>
      <c r="F64" s="53">
        <f t="shared" si="23"/>
        <v>536290.75</v>
      </c>
      <c r="G64" s="53"/>
      <c r="H64" s="59">
        <f t="shared" si="32"/>
        <v>2.8455927072559728</v>
      </c>
      <c r="I64" s="59"/>
      <c r="L64" s="53">
        <v>0</v>
      </c>
      <c r="M64" s="53">
        <v>1500</v>
      </c>
      <c r="N64" s="53">
        <v>38900</v>
      </c>
      <c r="O64" s="53">
        <f t="shared" ref="O64:O114" si="35">SUM(L64:N64)</f>
        <v>40400</v>
      </c>
      <c r="P64" s="53">
        <f t="shared" si="24"/>
        <v>37957.5</v>
      </c>
      <c r="Q64" s="53"/>
      <c r="R64" s="59">
        <f t="shared" si="28"/>
        <v>57.290247226007395</v>
      </c>
      <c r="S64" s="59"/>
      <c r="V64" s="56">
        <v>72687</v>
      </c>
      <c r="W64" s="56">
        <v>129367</v>
      </c>
      <c r="X64" s="56">
        <v>10200</v>
      </c>
      <c r="Y64" s="53">
        <f t="shared" ref="Y64:Y114" si="36">SUM(V64:X64)</f>
        <v>212254</v>
      </c>
      <c r="Z64" s="53">
        <f t="shared" si="25"/>
        <v>142376.25</v>
      </c>
      <c r="AA64" s="53"/>
      <c r="AB64" s="59">
        <f t="shared" si="29"/>
        <v>-48.086132593712236</v>
      </c>
      <c r="AC64" s="59"/>
      <c r="AF64" s="56">
        <v>1535</v>
      </c>
      <c r="AG64" s="56">
        <v>19500</v>
      </c>
      <c r="AH64" s="56">
        <v>0</v>
      </c>
      <c r="AI64" s="53">
        <f t="shared" ref="AI64:AI114" si="37">SUM(AF64:AH64)</f>
        <v>21035</v>
      </c>
      <c r="AJ64" s="53">
        <f t="shared" si="26"/>
        <v>14677.5</v>
      </c>
      <c r="AK64" s="53"/>
      <c r="AL64" s="59">
        <f t="shared" si="30"/>
        <v>16.634322151372327</v>
      </c>
      <c r="AM64" s="59"/>
      <c r="AP64" s="53">
        <f t="shared" si="6"/>
        <v>499837</v>
      </c>
      <c r="AQ64" s="53">
        <f t="shared" si="6"/>
        <v>323373</v>
      </c>
      <c r="AR64" s="53">
        <f t="shared" si="6"/>
        <v>49100</v>
      </c>
      <c r="AS64" s="53">
        <f t="shared" si="6"/>
        <v>872310</v>
      </c>
      <c r="AT64" s="53">
        <f t="shared" si="27"/>
        <v>731302</v>
      </c>
      <c r="AU64" s="53"/>
      <c r="AV64" s="59">
        <f t="shared" si="31"/>
        <v>-15.689189241433699</v>
      </c>
      <c r="AW64" s="59"/>
      <c r="AZ64" s="53">
        <f t="shared" si="8"/>
        <v>598.62099999999998</v>
      </c>
      <c r="BA64" s="53">
        <f t="shared" si="9"/>
        <v>40.4</v>
      </c>
      <c r="BB64" s="53">
        <f t="shared" si="10"/>
        <v>212.25399999999999</v>
      </c>
      <c r="BC64" s="53">
        <f t="shared" si="11"/>
        <v>21.035</v>
      </c>
      <c r="BD64" s="53">
        <f t="shared" si="12"/>
        <v>872.31</v>
      </c>
      <c r="BE64" s="60">
        <f>BE63+AZ64</f>
        <v>1096.6289999999999</v>
      </c>
      <c r="BF64" s="60">
        <f t="shared" ref="BF64:BI64" si="38">BF63+BA64</f>
        <v>77.592999999999989</v>
      </c>
      <c r="BG64" s="60">
        <f t="shared" si="38"/>
        <v>358.642</v>
      </c>
      <c r="BH64" s="60">
        <f t="shared" si="38"/>
        <v>40.260000000000005</v>
      </c>
      <c r="BI64" s="60">
        <f t="shared" si="38"/>
        <v>1573.1239999999998</v>
      </c>
      <c r="BJ64" s="1">
        <v>2</v>
      </c>
    </row>
    <row r="65" spans="1:62" x14ac:dyDescent="0.3">
      <c r="A65" s="49">
        <v>38010</v>
      </c>
      <c r="B65" s="56">
        <v>378386</v>
      </c>
      <c r="C65" s="56">
        <v>128101</v>
      </c>
      <c r="D65" s="56">
        <v>0</v>
      </c>
      <c r="E65" s="53">
        <f t="shared" si="34"/>
        <v>506487</v>
      </c>
      <c r="F65" s="53">
        <f t="shared" si="23"/>
        <v>510477</v>
      </c>
      <c r="G65" s="53"/>
      <c r="H65" s="59">
        <f t="shared" si="32"/>
        <v>-5.6174436112643278</v>
      </c>
      <c r="I65" s="59">
        <f t="shared" ref="I65:I125" si="39">((F65/F13)-1)*100</f>
        <v>2.2053218236212979</v>
      </c>
      <c r="L65" s="53">
        <v>51725</v>
      </c>
      <c r="M65" s="53">
        <v>10624</v>
      </c>
      <c r="N65" s="53">
        <v>9200</v>
      </c>
      <c r="O65" s="53">
        <f t="shared" si="35"/>
        <v>71549</v>
      </c>
      <c r="P65" s="53">
        <f t="shared" si="24"/>
        <v>44074</v>
      </c>
      <c r="Q65" s="53"/>
      <c r="R65" s="59">
        <f t="shared" si="28"/>
        <v>81.481293595434366</v>
      </c>
      <c r="S65" s="59">
        <f t="shared" ref="S65:S125" si="40">((P65/P13)-1)*100</f>
        <v>38.033197619793292</v>
      </c>
      <c r="V65" s="56">
        <v>51725</v>
      </c>
      <c r="W65" s="56">
        <v>81931</v>
      </c>
      <c r="X65" s="56">
        <v>9800</v>
      </c>
      <c r="Y65" s="53">
        <f t="shared" si="36"/>
        <v>143456</v>
      </c>
      <c r="Z65" s="53">
        <f t="shared" si="25"/>
        <v>150387.25</v>
      </c>
      <c r="AA65" s="53"/>
      <c r="AB65" s="59">
        <f t="shared" si="29"/>
        <v>-50.838739303717873</v>
      </c>
      <c r="AC65" s="59">
        <f t="shared" ref="AC65:AC124" si="41">((Z65/Z13)-1)*100</f>
        <v>-45.74177533963875</v>
      </c>
      <c r="AF65" s="56">
        <v>1500</v>
      </c>
      <c r="AG65" s="56">
        <v>23238</v>
      </c>
      <c r="AH65" s="56">
        <v>0</v>
      </c>
      <c r="AI65" s="53">
        <f t="shared" si="37"/>
        <v>24738</v>
      </c>
      <c r="AJ65" s="53">
        <f t="shared" si="26"/>
        <v>18249.5</v>
      </c>
      <c r="AK65" s="53"/>
      <c r="AL65" s="59">
        <f t="shared" si="30"/>
        <v>36.976744186046503</v>
      </c>
      <c r="AM65" s="59">
        <f t="shared" ref="AM65:AM125" si="42">((AJ65/AJ13)-1)*100</f>
        <v>-40.838655298732448</v>
      </c>
      <c r="AP65" s="53">
        <f t="shared" si="6"/>
        <v>483336</v>
      </c>
      <c r="AQ65" s="53">
        <f t="shared" si="6"/>
        <v>243894</v>
      </c>
      <c r="AR65" s="53">
        <f t="shared" si="6"/>
        <v>19000</v>
      </c>
      <c r="AS65" s="53">
        <f t="shared" si="6"/>
        <v>746230</v>
      </c>
      <c r="AT65" s="53">
        <f t="shared" si="27"/>
        <v>723187.75</v>
      </c>
      <c r="AU65" s="53"/>
      <c r="AV65" s="59">
        <f t="shared" si="31"/>
        <v>-15.768169730134861</v>
      </c>
      <c r="AW65" s="59">
        <f t="shared" ref="AW65:AW125" si="43">((AT65/AT13)-1)*100</f>
        <v>-13.845578807702442</v>
      </c>
      <c r="AZ65" s="53">
        <f t="shared" si="8"/>
        <v>506.48700000000002</v>
      </c>
      <c r="BA65" s="53">
        <f t="shared" si="9"/>
        <v>71.549000000000007</v>
      </c>
      <c r="BB65" s="53">
        <f t="shared" si="10"/>
        <v>143.45599999999999</v>
      </c>
      <c r="BC65" s="53">
        <f t="shared" si="11"/>
        <v>24.738</v>
      </c>
      <c r="BD65" s="53">
        <f t="shared" si="12"/>
        <v>746.23</v>
      </c>
      <c r="BE65" s="60">
        <f t="shared" ref="BE65:BE114" si="44">BE64+AZ65</f>
        <v>1603.116</v>
      </c>
      <c r="BF65" s="60">
        <f t="shared" ref="BF65:BF114" si="45">BF64+BA65</f>
        <v>149.142</v>
      </c>
      <c r="BG65" s="60">
        <f t="shared" ref="BG65:BG114" si="46">BG64+BB65</f>
        <v>502.09799999999996</v>
      </c>
      <c r="BH65" s="60">
        <f t="shared" ref="BH65:BH114" si="47">BH64+BC65</f>
        <v>64.998000000000005</v>
      </c>
      <c r="BI65" s="60">
        <f t="shared" ref="BI65:BI114" si="48">BI64+BD65</f>
        <v>2319.3539999999998</v>
      </c>
      <c r="BJ65" s="1">
        <v>3</v>
      </c>
    </row>
    <row r="66" spans="1:62" x14ac:dyDescent="0.3">
      <c r="A66" s="49">
        <v>38017</v>
      </c>
      <c r="B66" s="56">
        <v>241188</v>
      </c>
      <c r="C66" s="56">
        <v>173737</v>
      </c>
      <c r="D66" s="56">
        <v>0</v>
      </c>
      <c r="E66" s="53">
        <f t="shared" si="34"/>
        <v>414925</v>
      </c>
      <c r="F66" s="53">
        <f t="shared" si="23"/>
        <v>504510.25</v>
      </c>
      <c r="G66" s="53"/>
      <c r="H66" s="59">
        <f t="shared" si="32"/>
        <v>26.013605855377044</v>
      </c>
      <c r="I66" s="59">
        <f t="shared" si="39"/>
        <v>4.2509017158171902</v>
      </c>
      <c r="L66" s="53">
        <v>7983</v>
      </c>
      <c r="M66" s="53">
        <v>13890</v>
      </c>
      <c r="N66" s="53">
        <v>34000</v>
      </c>
      <c r="O66" s="53">
        <f t="shared" si="35"/>
        <v>55873</v>
      </c>
      <c r="P66" s="53">
        <f t="shared" si="24"/>
        <v>51253.75</v>
      </c>
      <c r="Q66" s="53"/>
      <c r="R66" s="59">
        <f t="shared" si="28"/>
        <v>163.55188679245285</v>
      </c>
      <c r="S66" s="59">
        <f t="shared" si="40"/>
        <v>59.687658215523619</v>
      </c>
      <c r="V66" s="56">
        <v>66641</v>
      </c>
      <c r="W66" s="56">
        <v>130707</v>
      </c>
      <c r="X66" s="56">
        <v>19300</v>
      </c>
      <c r="Y66" s="53">
        <f t="shared" si="36"/>
        <v>216648</v>
      </c>
      <c r="Z66" s="53">
        <f t="shared" si="25"/>
        <v>179686.5</v>
      </c>
      <c r="AA66" s="53"/>
      <c r="AB66" s="59">
        <f t="shared" si="29"/>
        <v>-17.857332433477669</v>
      </c>
      <c r="AC66" s="59">
        <f t="shared" si="41"/>
        <v>-39.763410310885384</v>
      </c>
      <c r="AF66" s="56">
        <v>9000</v>
      </c>
      <c r="AG66" s="56">
        <v>20950</v>
      </c>
      <c r="AH66" s="56">
        <v>0</v>
      </c>
      <c r="AI66" s="53">
        <f t="shared" si="37"/>
        <v>29950</v>
      </c>
      <c r="AJ66" s="53">
        <f t="shared" si="26"/>
        <v>23737</v>
      </c>
      <c r="AK66" s="53"/>
      <c r="AL66" s="59">
        <f t="shared" si="30"/>
        <v>105.51705208261852</v>
      </c>
      <c r="AM66" s="59">
        <f t="shared" si="42"/>
        <v>-13.248300562824355</v>
      </c>
      <c r="AP66" s="53">
        <f t="shared" si="6"/>
        <v>324812</v>
      </c>
      <c r="AQ66" s="53">
        <f t="shared" si="6"/>
        <v>339284</v>
      </c>
      <c r="AR66" s="53">
        <f t="shared" si="6"/>
        <v>53300</v>
      </c>
      <c r="AS66" s="53">
        <f t="shared" si="6"/>
        <v>717396</v>
      </c>
      <c r="AT66" s="53">
        <f t="shared" si="27"/>
        <v>759187.5</v>
      </c>
      <c r="AU66" s="53"/>
      <c r="AV66" s="59">
        <f t="shared" si="31"/>
        <v>14.091690535298795</v>
      </c>
      <c r="AW66" s="59">
        <f t="shared" si="43"/>
        <v>-9.8028627845141649</v>
      </c>
      <c r="AZ66" s="53">
        <f t="shared" si="8"/>
        <v>414.92500000000001</v>
      </c>
      <c r="BA66" s="53">
        <f t="shared" si="9"/>
        <v>55.872999999999998</v>
      </c>
      <c r="BB66" s="53">
        <f t="shared" si="10"/>
        <v>216.648</v>
      </c>
      <c r="BC66" s="53">
        <f t="shared" si="11"/>
        <v>29.95</v>
      </c>
      <c r="BD66" s="53">
        <f t="shared" si="12"/>
        <v>717.39599999999996</v>
      </c>
      <c r="BE66" s="60">
        <f t="shared" si="44"/>
        <v>2018.0409999999999</v>
      </c>
      <c r="BF66" s="60">
        <f t="shared" si="45"/>
        <v>205.01499999999999</v>
      </c>
      <c r="BG66" s="60">
        <f t="shared" si="46"/>
        <v>718.74599999999998</v>
      </c>
      <c r="BH66" s="60">
        <f t="shared" si="47"/>
        <v>94.948000000000008</v>
      </c>
      <c r="BI66" s="60">
        <f t="shared" si="48"/>
        <v>3036.75</v>
      </c>
      <c r="BJ66" s="1">
        <v>4</v>
      </c>
    </row>
    <row r="67" spans="1:62" x14ac:dyDescent="0.3">
      <c r="A67" s="49">
        <v>38024</v>
      </c>
      <c r="B67" s="56">
        <v>178264</v>
      </c>
      <c r="C67" s="56">
        <v>154722</v>
      </c>
      <c r="D67" s="56">
        <v>0</v>
      </c>
      <c r="E67" s="53">
        <f t="shared" si="34"/>
        <v>332986</v>
      </c>
      <c r="F67" s="53">
        <f t="shared" si="23"/>
        <v>463254.75</v>
      </c>
      <c r="G67" s="53"/>
      <c r="H67" s="59">
        <f t="shared" si="32"/>
        <v>5.8317998201101506</v>
      </c>
      <c r="I67" s="59">
        <f t="shared" si="39"/>
        <v>5.1300439068034276</v>
      </c>
      <c r="L67" s="53">
        <v>6200</v>
      </c>
      <c r="M67" s="53">
        <v>13630</v>
      </c>
      <c r="N67" s="53">
        <v>37700</v>
      </c>
      <c r="O67" s="53">
        <f t="shared" si="35"/>
        <v>57530</v>
      </c>
      <c r="P67" s="53">
        <f t="shared" si="24"/>
        <v>56338</v>
      </c>
      <c r="Q67" s="53"/>
      <c r="R67" s="59">
        <f t="shared" si="28"/>
        <v>23.177390001070552</v>
      </c>
      <c r="S67" s="59">
        <f t="shared" si="40"/>
        <v>69.418486636845472</v>
      </c>
      <c r="V67" s="56">
        <v>39464</v>
      </c>
      <c r="W67" s="56">
        <v>75265</v>
      </c>
      <c r="X67" s="56">
        <v>15600</v>
      </c>
      <c r="Y67" s="53">
        <f t="shared" si="36"/>
        <v>130329</v>
      </c>
      <c r="Z67" s="53">
        <f t="shared" si="25"/>
        <v>175671.75</v>
      </c>
      <c r="AA67" s="53"/>
      <c r="AB67" s="59">
        <f t="shared" si="29"/>
        <v>-51.401872643813597</v>
      </c>
      <c r="AC67" s="59">
        <f t="shared" si="41"/>
        <v>-42.990926408499838</v>
      </c>
      <c r="AF67" s="56">
        <v>1600</v>
      </c>
      <c r="AG67" s="56">
        <v>25500</v>
      </c>
      <c r="AH67" s="56">
        <v>0</v>
      </c>
      <c r="AI67" s="53">
        <f t="shared" si="37"/>
        <v>27100</v>
      </c>
      <c r="AJ67" s="53">
        <f t="shared" si="26"/>
        <v>25705.75</v>
      </c>
      <c r="AK67" s="53"/>
      <c r="AL67" s="59">
        <f t="shared" si="30"/>
        <v>-19.152744630071595</v>
      </c>
      <c r="AM67" s="59">
        <f t="shared" si="42"/>
        <v>22.134983608115167</v>
      </c>
      <c r="AP67" s="53">
        <f t="shared" si="6"/>
        <v>225528</v>
      </c>
      <c r="AQ67" s="53">
        <f t="shared" si="6"/>
        <v>269117</v>
      </c>
      <c r="AR67" s="53">
        <f t="shared" si="6"/>
        <v>53300</v>
      </c>
      <c r="AS67" s="53">
        <f t="shared" si="6"/>
        <v>547945</v>
      </c>
      <c r="AT67" s="53">
        <f t="shared" si="27"/>
        <v>720970.25</v>
      </c>
      <c r="AU67" s="53"/>
      <c r="AV67" s="59">
        <f t="shared" si="31"/>
        <v>-17.358556585660878</v>
      </c>
      <c r="AW67" s="59">
        <f t="shared" si="43"/>
        <v>-10.226255358941694</v>
      </c>
      <c r="AZ67" s="53">
        <f t="shared" si="8"/>
        <v>332.98599999999999</v>
      </c>
      <c r="BA67" s="53">
        <f t="shared" si="9"/>
        <v>57.53</v>
      </c>
      <c r="BB67" s="53">
        <f t="shared" si="10"/>
        <v>130.32900000000001</v>
      </c>
      <c r="BC67" s="53">
        <f t="shared" si="11"/>
        <v>27.1</v>
      </c>
      <c r="BD67" s="53">
        <f t="shared" si="12"/>
        <v>547.94500000000005</v>
      </c>
      <c r="BE67" s="60">
        <f t="shared" si="44"/>
        <v>2351.027</v>
      </c>
      <c r="BF67" s="60">
        <f t="shared" si="45"/>
        <v>262.54499999999996</v>
      </c>
      <c r="BG67" s="60">
        <f t="shared" si="46"/>
        <v>849.07500000000005</v>
      </c>
      <c r="BH67" s="60">
        <f t="shared" si="47"/>
        <v>122.048</v>
      </c>
      <c r="BI67" s="60">
        <f t="shared" si="48"/>
        <v>3584.6950000000002</v>
      </c>
      <c r="BJ67" s="1">
        <v>5</v>
      </c>
    </row>
    <row r="68" spans="1:62" x14ac:dyDescent="0.3">
      <c r="A68" s="49">
        <v>38031</v>
      </c>
      <c r="B68" s="56">
        <v>173210</v>
      </c>
      <c r="C68" s="56">
        <v>148509</v>
      </c>
      <c r="D68" s="56">
        <v>0</v>
      </c>
      <c r="E68" s="53">
        <f t="shared" si="34"/>
        <v>321719</v>
      </c>
      <c r="F68" s="53">
        <f t="shared" si="23"/>
        <v>394029.25</v>
      </c>
      <c r="G68" s="53"/>
      <c r="H68" s="59">
        <f t="shared" si="32"/>
        <v>-11.122192171369061</v>
      </c>
      <c r="I68" s="59">
        <f t="shared" si="39"/>
        <v>2.1781917617817115</v>
      </c>
      <c r="L68" s="53">
        <v>4859</v>
      </c>
      <c r="M68" s="53">
        <v>1493</v>
      </c>
      <c r="N68" s="53">
        <v>23000</v>
      </c>
      <c r="O68" s="53">
        <f t="shared" si="35"/>
        <v>29352</v>
      </c>
      <c r="P68" s="53">
        <f t="shared" si="24"/>
        <v>53576</v>
      </c>
      <c r="Q68" s="53"/>
      <c r="R68" s="59">
        <f t="shared" si="28"/>
        <v>-36.329718004338396</v>
      </c>
      <c r="S68" s="59">
        <f t="shared" si="40"/>
        <v>39.675422016554784</v>
      </c>
      <c r="V68" s="56">
        <v>40285</v>
      </c>
      <c r="W68" s="56">
        <v>54293</v>
      </c>
      <c r="X68" s="56">
        <v>14000</v>
      </c>
      <c r="Y68" s="53">
        <f t="shared" si="36"/>
        <v>108578</v>
      </c>
      <c r="Z68" s="53">
        <f t="shared" si="25"/>
        <v>149752.75</v>
      </c>
      <c r="AA68" s="53"/>
      <c r="AB68" s="59">
        <f t="shared" si="29"/>
        <v>-45.538356590391537</v>
      </c>
      <c r="AC68" s="59">
        <f t="shared" si="41"/>
        <v>-41.451144369638826</v>
      </c>
      <c r="AF68" s="56">
        <v>0</v>
      </c>
      <c r="AG68" s="56">
        <v>1500</v>
      </c>
      <c r="AH68" s="56">
        <v>0</v>
      </c>
      <c r="AI68" s="53">
        <f t="shared" si="37"/>
        <v>1500</v>
      </c>
      <c r="AJ68" s="53">
        <f t="shared" si="26"/>
        <v>20822</v>
      </c>
      <c r="AK68" s="53"/>
      <c r="AL68" s="59">
        <f t="shared" si="30"/>
        <v>-96.336906884173004</v>
      </c>
      <c r="AM68" s="59">
        <f t="shared" si="42"/>
        <v>-22.234878900487388</v>
      </c>
      <c r="AP68" s="53">
        <f t="shared" si="6"/>
        <v>218354</v>
      </c>
      <c r="AQ68" s="53">
        <f t="shared" si="6"/>
        <v>205795</v>
      </c>
      <c r="AR68" s="53">
        <f t="shared" si="6"/>
        <v>37000</v>
      </c>
      <c r="AS68" s="53">
        <f t="shared" si="6"/>
        <v>461149</v>
      </c>
      <c r="AT68" s="53">
        <f t="shared" si="27"/>
        <v>618180</v>
      </c>
      <c r="AU68" s="53"/>
      <c r="AV68" s="59">
        <f t="shared" si="31"/>
        <v>-28.878274629314895</v>
      </c>
      <c r="AW68" s="59">
        <f t="shared" si="43"/>
        <v>-12.505581806460109</v>
      </c>
      <c r="AZ68" s="53">
        <f t="shared" si="8"/>
        <v>321.71899999999999</v>
      </c>
      <c r="BA68" s="53">
        <f t="shared" si="9"/>
        <v>29.352</v>
      </c>
      <c r="BB68" s="53">
        <f t="shared" si="10"/>
        <v>108.578</v>
      </c>
      <c r="BC68" s="53">
        <f t="shared" si="11"/>
        <v>1.5</v>
      </c>
      <c r="BD68" s="53">
        <f t="shared" si="12"/>
        <v>461.149</v>
      </c>
      <c r="BE68" s="60">
        <f t="shared" si="44"/>
        <v>2672.7460000000001</v>
      </c>
      <c r="BF68" s="60">
        <f t="shared" si="45"/>
        <v>291.89699999999993</v>
      </c>
      <c r="BG68" s="60">
        <f t="shared" si="46"/>
        <v>957.65300000000002</v>
      </c>
      <c r="BH68" s="60">
        <f t="shared" si="47"/>
        <v>123.548</v>
      </c>
      <c r="BI68" s="60">
        <f t="shared" si="48"/>
        <v>4045.8440000000001</v>
      </c>
      <c r="BJ68" s="1">
        <v>6</v>
      </c>
    </row>
    <row r="69" spans="1:62" x14ac:dyDescent="0.3">
      <c r="A69" s="49">
        <v>38038</v>
      </c>
      <c r="B69" s="56">
        <v>239587</v>
      </c>
      <c r="C69" s="56">
        <v>112199</v>
      </c>
      <c r="D69" s="56">
        <v>0</v>
      </c>
      <c r="E69" s="53">
        <f t="shared" si="34"/>
        <v>351786</v>
      </c>
      <c r="F69" s="53">
        <f t="shared" si="23"/>
        <v>355354</v>
      </c>
      <c r="G69" s="53"/>
      <c r="H69" s="59">
        <f t="shared" si="32"/>
        <v>1.5680443475624806</v>
      </c>
      <c r="I69" s="59">
        <f t="shared" si="39"/>
        <v>5.115582207609437</v>
      </c>
      <c r="L69" s="53">
        <v>3248</v>
      </c>
      <c r="M69" s="53">
        <v>10500</v>
      </c>
      <c r="N69" s="53">
        <v>44000</v>
      </c>
      <c r="O69" s="53">
        <f t="shared" si="35"/>
        <v>57748</v>
      </c>
      <c r="P69" s="53">
        <f t="shared" si="24"/>
        <v>50125.75</v>
      </c>
      <c r="Q69" s="53"/>
      <c r="R69" s="59">
        <f t="shared" si="28"/>
        <v>38.817307692307693</v>
      </c>
      <c r="S69" s="59">
        <f t="shared" si="40"/>
        <v>28.853828604479293</v>
      </c>
      <c r="V69" s="56">
        <v>18920</v>
      </c>
      <c r="W69" s="56">
        <v>61900</v>
      </c>
      <c r="X69" s="56">
        <v>4400</v>
      </c>
      <c r="Y69" s="53">
        <f t="shared" si="36"/>
        <v>85220</v>
      </c>
      <c r="Z69" s="53">
        <f t="shared" si="25"/>
        <v>135193.75</v>
      </c>
      <c r="AA69" s="53"/>
      <c r="AB69" s="59">
        <f t="shared" si="29"/>
        <v>-52.203346102290006</v>
      </c>
      <c r="AC69" s="59">
        <f t="shared" si="41"/>
        <v>-40.547128034072642</v>
      </c>
      <c r="AF69" s="56">
        <v>29629</v>
      </c>
      <c r="AG69" s="56">
        <v>4700</v>
      </c>
      <c r="AH69" s="56">
        <v>0</v>
      </c>
      <c r="AI69" s="53">
        <f t="shared" si="37"/>
        <v>34329</v>
      </c>
      <c r="AJ69" s="53">
        <f t="shared" si="26"/>
        <v>23219.75</v>
      </c>
      <c r="AK69" s="53"/>
      <c r="AL69" s="59">
        <f t="shared" si="30"/>
        <v>63.869397107260497</v>
      </c>
      <c r="AM69" s="59">
        <f t="shared" si="42"/>
        <v>-15.557636533898222</v>
      </c>
      <c r="AP69" s="53">
        <f t="shared" si="6"/>
        <v>291384</v>
      </c>
      <c r="AQ69" s="53">
        <f t="shared" si="6"/>
        <v>189299</v>
      </c>
      <c r="AR69" s="53">
        <f t="shared" si="6"/>
        <v>48400</v>
      </c>
      <c r="AS69" s="53">
        <f t="shared" si="6"/>
        <v>529083</v>
      </c>
      <c r="AT69" s="53">
        <f t="shared" si="27"/>
        <v>563893.25</v>
      </c>
      <c r="AU69" s="53"/>
      <c r="AV69" s="59">
        <f t="shared" si="31"/>
        <v>-9.8974627086806706</v>
      </c>
      <c r="AW69" s="59">
        <f t="shared" si="43"/>
        <v>-10.756015118957141</v>
      </c>
      <c r="AZ69" s="53">
        <f t="shared" si="8"/>
        <v>351.786</v>
      </c>
      <c r="BA69" s="53">
        <f t="shared" si="9"/>
        <v>57.747999999999998</v>
      </c>
      <c r="BB69" s="53">
        <f t="shared" si="10"/>
        <v>85.22</v>
      </c>
      <c r="BC69" s="53">
        <f t="shared" si="11"/>
        <v>34.329000000000001</v>
      </c>
      <c r="BD69" s="53">
        <f t="shared" si="12"/>
        <v>529.08299999999997</v>
      </c>
      <c r="BE69" s="60">
        <f t="shared" si="44"/>
        <v>3024.5320000000002</v>
      </c>
      <c r="BF69" s="60">
        <f t="shared" si="45"/>
        <v>349.64499999999992</v>
      </c>
      <c r="BG69" s="60">
        <f t="shared" si="46"/>
        <v>1042.873</v>
      </c>
      <c r="BH69" s="60">
        <f t="shared" si="47"/>
        <v>157.87700000000001</v>
      </c>
      <c r="BI69" s="60">
        <f t="shared" si="48"/>
        <v>4574.9269999999997</v>
      </c>
      <c r="BJ69" s="1">
        <v>7</v>
      </c>
    </row>
    <row r="70" spans="1:62" x14ac:dyDescent="0.3">
      <c r="A70" s="49">
        <v>38045</v>
      </c>
      <c r="B70" s="56">
        <v>353083</v>
      </c>
      <c r="C70" s="56">
        <v>137774</v>
      </c>
      <c r="D70" s="56">
        <v>0</v>
      </c>
      <c r="E70" s="53">
        <f t="shared" si="34"/>
        <v>490857</v>
      </c>
      <c r="F70" s="53">
        <f t="shared" si="23"/>
        <v>374337</v>
      </c>
      <c r="G70" s="53"/>
      <c r="H70" s="59">
        <f t="shared" si="32"/>
        <v>18.168883881498175</v>
      </c>
      <c r="I70" s="59">
        <f t="shared" si="39"/>
        <v>4.1012766649725974</v>
      </c>
      <c r="L70" s="53">
        <v>0</v>
      </c>
      <c r="M70" s="53">
        <v>6204</v>
      </c>
      <c r="N70" s="53">
        <v>25800</v>
      </c>
      <c r="O70" s="53">
        <f t="shared" si="35"/>
        <v>32004</v>
      </c>
      <c r="P70" s="53">
        <f t="shared" si="24"/>
        <v>44158.5</v>
      </c>
      <c r="Q70" s="53"/>
      <c r="R70" s="59">
        <f t="shared" si="28"/>
        <v>-18.786002486867815</v>
      </c>
      <c r="S70" s="59">
        <f t="shared" si="40"/>
        <v>1.6235933077117792</v>
      </c>
      <c r="V70" s="56">
        <v>77424</v>
      </c>
      <c r="W70" s="56">
        <v>52000</v>
      </c>
      <c r="X70" s="56">
        <v>13800</v>
      </c>
      <c r="Y70" s="53">
        <f t="shared" si="36"/>
        <v>143224</v>
      </c>
      <c r="Z70" s="53">
        <f t="shared" si="25"/>
        <v>116837.75</v>
      </c>
      <c r="AA70" s="53"/>
      <c r="AB70" s="59">
        <f t="shared" si="29"/>
        <v>6.9969669351103381</v>
      </c>
      <c r="AC70" s="59">
        <f t="shared" si="41"/>
        <v>-40.059997588810027</v>
      </c>
      <c r="AF70" s="56">
        <v>1500</v>
      </c>
      <c r="AG70" s="56">
        <v>7704</v>
      </c>
      <c r="AH70" s="56">
        <v>0</v>
      </c>
      <c r="AI70" s="53">
        <f t="shared" si="37"/>
        <v>9204</v>
      </c>
      <c r="AJ70" s="53">
        <f t="shared" si="26"/>
        <v>18033.25</v>
      </c>
      <c r="AK70" s="53"/>
      <c r="AL70" s="59">
        <f t="shared" si="30"/>
        <v>-64.364255846368295</v>
      </c>
      <c r="AM70" s="59">
        <f t="shared" si="42"/>
        <v>-40.506903320521914</v>
      </c>
      <c r="AP70" s="53">
        <f t="shared" si="6"/>
        <v>432007</v>
      </c>
      <c r="AQ70" s="53">
        <f t="shared" si="6"/>
        <v>203682</v>
      </c>
      <c r="AR70" s="53">
        <f t="shared" si="6"/>
        <v>39600</v>
      </c>
      <c r="AS70" s="53">
        <f t="shared" si="6"/>
        <v>675289</v>
      </c>
      <c r="AT70" s="53">
        <f t="shared" si="27"/>
        <v>553366.5</v>
      </c>
      <c r="AU70" s="53"/>
      <c r="AV70" s="59">
        <f t="shared" si="31"/>
        <v>9.8961884783694831</v>
      </c>
      <c r="AW70" s="59">
        <f t="shared" si="43"/>
        <v>-11.923339698612834</v>
      </c>
      <c r="AZ70" s="53">
        <f t="shared" si="8"/>
        <v>490.85700000000003</v>
      </c>
      <c r="BA70" s="53">
        <f t="shared" si="9"/>
        <v>32.003999999999998</v>
      </c>
      <c r="BB70" s="53">
        <f t="shared" si="10"/>
        <v>143.22399999999999</v>
      </c>
      <c r="BC70" s="53">
        <f t="shared" si="11"/>
        <v>9.2040000000000006</v>
      </c>
      <c r="BD70" s="53">
        <f t="shared" si="12"/>
        <v>675.28899999999999</v>
      </c>
      <c r="BE70" s="60">
        <f t="shared" si="44"/>
        <v>3515.3890000000001</v>
      </c>
      <c r="BF70" s="60">
        <f t="shared" si="45"/>
        <v>381.64899999999994</v>
      </c>
      <c r="BG70" s="60">
        <f t="shared" si="46"/>
        <v>1186.097</v>
      </c>
      <c r="BH70" s="60">
        <f t="shared" si="47"/>
        <v>167.08100000000002</v>
      </c>
      <c r="BI70" s="60">
        <f t="shared" si="48"/>
        <v>5250.2159999999994</v>
      </c>
      <c r="BJ70" s="1">
        <v>8</v>
      </c>
    </row>
    <row r="71" spans="1:62" x14ac:dyDescent="0.3">
      <c r="A71" s="49">
        <v>38052</v>
      </c>
      <c r="B71" s="56">
        <v>233314</v>
      </c>
      <c r="C71" s="56">
        <v>97980</v>
      </c>
      <c r="D71" s="56">
        <v>0</v>
      </c>
      <c r="E71" s="53">
        <f t="shared" si="34"/>
        <v>331294</v>
      </c>
      <c r="F71" s="53">
        <f t="shared" si="23"/>
        <v>373914</v>
      </c>
      <c r="G71" s="53"/>
      <c r="H71" s="59">
        <f t="shared" si="32"/>
        <v>-38.038247533548422</v>
      </c>
      <c r="I71" s="59">
        <f t="shared" si="39"/>
        <v>-9.8130421280816726</v>
      </c>
      <c r="L71" s="53">
        <v>9335</v>
      </c>
      <c r="M71" s="53">
        <v>4611</v>
      </c>
      <c r="N71" s="53">
        <v>23200</v>
      </c>
      <c r="O71" s="53">
        <f t="shared" si="35"/>
        <v>37146</v>
      </c>
      <c r="P71" s="53">
        <f t="shared" si="24"/>
        <v>39062.5</v>
      </c>
      <c r="Q71" s="53"/>
      <c r="R71" s="59">
        <f t="shared" si="28"/>
        <v>-21.916253258219122</v>
      </c>
      <c r="S71" s="59">
        <f t="shared" si="40"/>
        <v>-10.550209240950547</v>
      </c>
      <c r="V71" s="56">
        <v>51832</v>
      </c>
      <c r="W71" s="56">
        <v>36045</v>
      </c>
      <c r="X71" s="56">
        <v>10600</v>
      </c>
      <c r="Y71" s="53">
        <f t="shared" si="36"/>
        <v>98477</v>
      </c>
      <c r="Z71" s="53">
        <f t="shared" si="25"/>
        <v>108874.75</v>
      </c>
      <c r="AA71" s="53"/>
      <c r="AB71" s="59">
        <f t="shared" si="29"/>
        <v>-47.667609046849755</v>
      </c>
      <c r="AC71" s="59">
        <f t="shared" si="41"/>
        <v>-37.758915644914872</v>
      </c>
      <c r="AF71" s="56">
        <v>19043</v>
      </c>
      <c r="AG71" s="56">
        <v>37960</v>
      </c>
      <c r="AH71" s="56">
        <v>0</v>
      </c>
      <c r="AI71" s="53">
        <f t="shared" si="37"/>
        <v>57003</v>
      </c>
      <c r="AJ71" s="53">
        <f t="shared" si="26"/>
        <v>25509</v>
      </c>
      <c r="AK71" s="53"/>
      <c r="AL71" s="59">
        <f t="shared" si="30"/>
        <v>360.25837706903519</v>
      </c>
      <c r="AM71" s="59">
        <f t="shared" si="42"/>
        <v>1.922865619162728</v>
      </c>
      <c r="AP71" s="53">
        <f t="shared" si="6"/>
        <v>313524</v>
      </c>
      <c r="AQ71" s="53">
        <f t="shared" si="6"/>
        <v>176596</v>
      </c>
      <c r="AR71" s="53">
        <f t="shared" si="6"/>
        <v>33800</v>
      </c>
      <c r="AS71" s="53">
        <f t="shared" si="6"/>
        <v>523920</v>
      </c>
      <c r="AT71" s="53">
        <f t="shared" si="27"/>
        <v>547360.25</v>
      </c>
      <c r="AU71" s="53"/>
      <c r="AV71" s="59">
        <f t="shared" si="31"/>
        <v>-33.071711070913942</v>
      </c>
      <c r="AW71" s="59">
        <f t="shared" si="43"/>
        <v>-16.842418308150531</v>
      </c>
      <c r="AZ71" s="53">
        <f t="shared" si="8"/>
        <v>331.29399999999998</v>
      </c>
      <c r="BA71" s="53">
        <f t="shared" si="9"/>
        <v>37.146000000000001</v>
      </c>
      <c r="BB71" s="53">
        <f t="shared" si="10"/>
        <v>98.477000000000004</v>
      </c>
      <c r="BC71" s="53">
        <f t="shared" si="11"/>
        <v>57.003</v>
      </c>
      <c r="BD71" s="53">
        <f t="shared" si="12"/>
        <v>523.91999999999996</v>
      </c>
      <c r="BE71" s="60">
        <f t="shared" si="44"/>
        <v>3846.683</v>
      </c>
      <c r="BF71" s="60">
        <f t="shared" si="45"/>
        <v>418.79499999999996</v>
      </c>
      <c r="BG71" s="60">
        <f t="shared" si="46"/>
        <v>1284.5740000000001</v>
      </c>
      <c r="BH71" s="60">
        <f t="shared" si="47"/>
        <v>224.084</v>
      </c>
      <c r="BI71" s="60">
        <f t="shared" si="48"/>
        <v>5774.1359999999995</v>
      </c>
      <c r="BJ71" s="1">
        <v>9</v>
      </c>
    </row>
    <row r="72" spans="1:62" x14ac:dyDescent="0.3">
      <c r="A72" s="49">
        <v>38059</v>
      </c>
      <c r="B72" s="56">
        <v>313150</v>
      </c>
      <c r="C72" s="56">
        <v>116569</v>
      </c>
      <c r="D72" s="56">
        <v>0</v>
      </c>
      <c r="E72" s="53">
        <f t="shared" si="34"/>
        <v>429719</v>
      </c>
      <c r="F72" s="53">
        <f t="shared" si="23"/>
        <v>400914</v>
      </c>
      <c r="G72" s="53"/>
      <c r="H72" s="59">
        <f t="shared" si="32"/>
        <v>-3.7958332027384634</v>
      </c>
      <c r="I72" s="59">
        <f t="shared" si="39"/>
        <v>-7.9992427241278419</v>
      </c>
      <c r="L72" s="53">
        <v>11142</v>
      </c>
      <c r="M72" s="53">
        <v>16081</v>
      </c>
      <c r="N72" s="53">
        <v>29900</v>
      </c>
      <c r="O72" s="53">
        <f t="shared" si="35"/>
        <v>57123</v>
      </c>
      <c r="P72" s="53">
        <f t="shared" si="24"/>
        <v>46005.25</v>
      </c>
      <c r="Q72" s="53"/>
      <c r="R72" s="59">
        <f t="shared" si="28"/>
        <v>96.738419149302572</v>
      </c>
      <c r="S72" s="59">
        <f t="shared" si="40"/>
        <v>16.754222340655023</v>
      </c>
      <c r="V72" s="56">
        <v>55647</v>
      </c>
      <c r="W72" s="56">
        <v>36842</v>
      </c>
      <c r="X72" s="56">
        <v>1400</v>
      </c>
      <c r="Y72" s="53">
        <f t="shared" si="36"/>
        <v>93889</v>
      </c>
      <c r="Z72" s="53">
        <f t="shared" si="25"/>
        <v>105202.5</v>
      </c>
      <c r="AA72" s="53"/>
      <c r="AB72" s="59">
        <f t="shared" si="29"/>
        <v>-26.561436717326181</v>
      </c>
      <c r="AC72" s="59">
        <f t="shared" si="41"/>
        <v>-33.011025537347692</v>
      </c>
      <c r="AF72" s="56">
        <v>0</v>
      </c>
      <c r="AG72" s="56">
        <v>13500</v>
      </c>
      <c r="AH72" s="56">
        <v>0</v>
      </c>
      <c r="AI72" s="53">
        <f t="shared" si="37"/>
        <v>13500</v>
      </c>
      <c r="AJ72" s="53">
        <f t="shared" si="26"/>
        <v>28509</v>
      </c>
      <c r="AK72" s="53"/>
      <c r="AL72" s="59">
        <f t="shared" si="30"/>
        <v>75.324675324675326</v>
      </c>
      <c r="AM72" s="59">
        <f t="shared" si="42"/>
        <v>70.554275971403783</v>
      </c>
      <c r="AP72" s="53">
        <f t="shared" si="6"/>
        <v>379939</v>
      </c>
      <c r="AQ72" s="53">
        <f t="shared" si="6"/>
        <v>182992</v>
      </c>
      <c r="AR72" s="53">
        <f t="shared" si="6"/>
        <v>31300</v>
      </c>
      <c r="AS72" s="53">
        <f t="shared" si="6"/>
        <v>594231</v>
      </c>
      <c r="AT72" s="53">
        <f t="shared" si="27"/>
        <v>580630.75</v>
      </c>
      <c r="AU72" s="53"/>
      <c r="AV72" s="59">
        <f t="shared" si="31"/>
        <v>-2.7852487337547638</v>
      </c>
      <c r="AW72" s="59">
        <f t="shared" si="43"/>
        <v>-10.525729810027496</v>
      </c>
      <c r="AZ72" s="53">
        <f t="shared" si="8"/>
        <v>429.71899999999999</v>
      </c>
      <c r="BA72" s="53">
        <f t="shared" si="9"/>
        <v>57.122999999999998</v>
      </c>
      <c r="BB72" s="53">
        <f t="shared" si="10"/>
        <v>93.888999999999996</v>
      </c>
      <c r="BC72" s="53">
        <f t="shared" si="11"/>
        <v>13.5</v>
      </c>
      <c r="BD72" s="53">
        <f t="shared" si="12"/>
        <v>594.23099999999999</v>
      </c>
      <c r="BE72" s="60">
        <f t="shared" si="44"/>
        <v>4276.402</v>
      </c>
      <c r="BF72" s="60">
        <f t="shared" si="45"/>
        <v>475.91799999999995</v>
      </c>
      <c r="BG72" s="60">
        <f t="shared" si="46"/>
        <v>1378.463</v>
      </c>
      <c r="BH72" s="60">
        <f t="shared" si="47"/>
        <v>237.584</v>
      </c>
      <c r="BI72" s="60">
        <f t="shared" si="48"/>
        <v>6368.3669999999993</v>
      </c>
      <c r="BJ72" s="1">
        <v>10</v>
      </c>
    </row>
    <row r="73" spans="1:62" x14ac:dyDescent="0.3">
      <c r="A73" s="49">
        <v>38066</v>
      </c>
      <c r="B73" s="56">
        <v>242416</v>
      </c>
      <c r="C73" s="56">
        <v>72695</v>
      </c>
      <c r="D73" s="56">
        <v>0</v>
      </c>
      <c r="E73" s="53">
        <f t="shared" si="34"/>
        <v>315111</v>
      </c>
      <c r="F73" s="53">
        <f t="shared" si="23"/>
        <v>391745.25</v>
      </c>
      <c r="G73" s="53"/>
      <c r="H73" s="59">
        <f t="shared" si="32"/>
        <v>-33.812724484866308</v>
      </c>
      <c r="I73" s="59">
        <f t="shared" si="39"/>
        <v>-16.330623523287013</v>
      </c>
      <c r="L73" s="53">
        <v>12200</v>
      </c>
      <c r="M73" s="53">
        <v>10500</v>
      </c>
      <c r="N73" s="53">
        <v>28200</v>
      </c>
      <c r="O73" s="53">
        <f t="shared" si="35"/>
        <v>50900</v>
      </c>
      <c r="P73" s="53">
        <f t="shared" si="24"/>
        <v>44293.25</v>
      </c>
      <c r="Q73" s="53"/>
      <c r="R73" s="59">
        <f t="shared" si="28"/>
        <v>29.417747266717509</v>
      </c>
      <c r="S73" s="59">
        <f t="shared" si="40"/>
        <v>14.052039344937683</v>
      </c>
      <c r="V73" s="56">
        <v>28153</v>
      </c>
      <c r="W73" s="56">
        <v>7624</v>
      </c>
      <c r="X73" s="56">
        <v>4200</v>
      </c>
      <c r="Y73" s="53">
        <f t="shared" si="36"/>
        <v>39977</v>
      </c>
      <c r="Z73" s="53">
        <f t="shared" si="25"/>
        <v>93891.75</v>
      </c>
      <c r="AA73" s="53"/>
      <c r="AB73" s="59">
        <f t="shared" si="29"/>
        <v>-70.754813600983198</v>
      </c>
      <c r="AC73" s="59">
        <f t="shared" si="41"/>
        <v>-35.973111799473898</v>
      </c>
      <c r="AF73" s="56">
        <v>0</v>
      </c>
      <c r="AG73" s="56">
        <v>0</v>
      </c>
      <c r="AH73" s="56">
        <v>0</v>
      </c>
      <c r="AI73" s="53">
        <f t="shared" si="37"/>
        <v>0</v>
      </c>
      <c r="AJ73" s="53">
        <f t="shared" si="26"/>
        <v>19926.75</v>
      </c>
      <c r="AK73" s="53"/>
      <c r="AL73" s="59">
        <f t="shared" si="30"/>
        <v>-100</v>
      </c>
      <c r="AM73" s="59">
        <f t="shared" si="42"/>
        <v>33.177944862155393</v>
      </c>
      <c r="AP73" s="53">
        <f t="shared" si="6"/>
        <v>282769</v>
      </c>
      <c r="AQ73" s="53">
        <f t="shared" si="6"/>
        <v>90819</v>
      </c>
      <c r="AR73" s="53">
        <f t="shared" si="6"/>
        <v>32400</v>
      </c>
      <c r="AS73" s="53">
        <f t="shared" si="6"/>
        <v>405988</v>
      </c>
      <c r="AT73" s="53">
        <f t="shared" si="27"/>
        <v>549857</v>
      </c>
      <c r="AU73" s="53"/>
      <c r="AV73" s="59">
        <f t="shared" si="31"/>
        <v>-39.045691559080133</v>
      </c>
      <c r="AW73" s="59">
        <f t="shared" si="43"/>
        <v>-17.765972879642391</v>
      </c>
      <c r="AZ73" s="53">
        <f t="shared" si="8"/>
        <v>315.11099999999999</v>
      </c>
      <c r="BA73" s="53">
        <f t="shared" si="9"/>
        <v>50.9</v>
      </c>
      <c r="BB73" s="53">
        <f t="shared" si="10"/>
        <v>39.976999999999997</v>
      </c>
      <c r="BC73" s="53">
        <f t="shared" si="11"/>
        <v>0</v>
      </c>
      <c r="BD73" s="53">
        <f t="shared" si="12"/>
        <v>405.988</v>
      </c>
      <c r="BE73" s="60">
        <f t="shared" si="44"/>
        <v>4591.5129999999999</v>
      </c>
      <c r="BF73" s="60">
        <f t="shared" si="45"/>
        <v>526.81799999999998</v>
      </c>
      <c r="BG73" s="60">
        <f t="shared" si="46"/>
        <v>1418.44</v>
      </c>
      <c r="BH73" s="60">
        <f t="shared" si="47"/>
        <v>237.584</v>
      </c>
      <c r="BI73" s="60">
        <f t="shared" si="48"/>
        <v>6774.3549999999996</v>
      </c>
      <c r="BJ73" s="1">
        <v>11</v>
      </c>
    </row>
    <row r="74" spans="1:62" x14ac:dyDescent="0.3">
      <c r="A74" s="49">
        <v>38073</v>
      </c>
      <c r="B74" s="56">
        <v>426381</v>
      </c>
      <c r="C74" s="56">
        <v>36000</v>
      </c>
      <c r="D74" s="56">
        <v>0</v>
      </c>
      <c r="E74" s="53">
        <f t="shared" si="34"/>
        <v>462381</v>
      </c>
      <c r="F74" s="53">
        <f t="shared" ref="F74:F137" si="49">AVERAGE(E71,E72,E73,E74)</f>
        <v>384626.25</v>
      </c>
      <c r="G74" s="53"/>
      <c r="H74" s="59">
        <f t="shared" si="32"/>
        <v>-36.821890256316358</v>
      </c>
      <c r="I74" s="59">
        <f t="shared" si="39"/>
        <v>-29.726424970812694</v>
      </c>
      <c r="L74" s="53">
        <v>12354</v>
      </c>
      <c r="M74" s="53">
        <v>0</v>
      </c>
      <c r="N74" s="53">
        <v>26700</v>
      </c>
      <c r="O74" s="53">
        <f t="shared" si="35"/>
        <v>39054</v>
      </c>
      <c r="P74" s="53">
        <f t="shared" ref="P74:P137" si="50">AVERAGE(O71,O72,O73,O74)</f>
        <v>46055.75</v>
      </c>
      <c r="Q74" s="53"/>
      <c r="R74" s="59">
        <f t="shared" si="28"/>
        <v>12.034194899452078</v>
      </c>
      <c r="S74" s="59">
        <f t="shared" si="40"/>
        <v>22.167033608318533</v>
      </c>
      <c r="V74" s="56">
        <v>81408</v>
      </c>
      <c r="W74" s="56">
        <v>22300</v>
      </c>
      <c r="X74" s="56">
        <v>2800</v>
      </c>
      <c r="Y74" s="53">
        <f t="shared" si="36"/>
        <v>106508</v>
      </c>
      <c r="Z74" s="53">
        <f t="shared" ref="Z74:Z137" si="51">AVERAGE(Y71,Y72,Y73,Y74)</f>
        <v>84712.75</v>
      </c>
      <c r="AA74" s="53"/>
      <c r="AB74" s="59">
        <f t="shared" si="29"/>
        <v>-21.919535511113718</v>
      </c>
      <c r="AC74" s="59">
        <f t="shared" si="41"/>
        <v>-42.482520746799921</v>
      </c>
      <c r="AF74" s="56">
        <v>0</v>
      </c>
      <c r="AG74" s="56">
        <v>4500</v>
      </c>
      <c r="AH74" s="56">
        <v>0</v>
      </c>
      <c r="AI74" s="53">
        <f t="shared" si="37"/>
        <v>4500</v>
      </c>
      <c r="AJ74" s="53">
        <f t="shared" si="26"/>
        <v>18750.75</v>
      </c>
      <c r="AK74" s="53"/>
      <c r="AL74" s="59">
        <f t="shared" si="30"/>
        <v>-83.588621444201323</v>
      </c>
      <c r="AM74" s="59">
        <f t="shared" si="42"/>
        <v>22.071221639920569</v>
      </c>
      <c r="AP74" s="53">
        <f t="shared" si="6"/>
        <v>520143</v>
      </c>
      <c r="AQ74" s="53">
        <f t="shared" si="6"/>
        <v>62800</v>
      </c>
      <c r="AR74" s="53">
        <f t="shared" si="6"/>
        <v>29500</v>
      </c>
      <c r="AS74" s="53">
        <f t="shared" si="6"/>
        <v>612443</v>
      </c>
      <c r="AT74" s="53">
        <f t="shared" si="27"/>
        <v>534145.5</v>
      </c>
      <c r="AU74" s="53"/>
      <c r="AV74" s="59">
        <f t="shared" si="31"/>
        <v>-34.185261284651325</v>
      </c>
      <c r="AW74" s="59">
        <f t="shared" si="43"/>
        <v>-28.558488340249831</v>
      </c>
      <c r="AZ74" s="53">
        <f t="shared" si="8"/>
        <v>462.38099999999997</v>
      </c>
      <c r="BA74" s="53">
        <f t="shared" si="9"/>
        <v>39.054000000000002</v>
      </c>
      <c r="BB74" s="53">
        <f t="shared" si="10"/>
        <v>106.508</v>
      </c>
      <c r="BC74" s="53">
        <f t="shared" si="11"/>
        <v>4.5</v>
      </c>
      <c r="BD74" s="53">
        <f t="shared" si="12"/>
        <v>612.44299999999998</v>
      </c>
      <c r="BE74" s="60">
        <f t="shared" si="44"/>
        <v>5053.8940000000002</v>
      </c>
      <c r="BF74" s="60">
        <f t="shared" si="45"/>
        <v>565.87199999999996</v>
      </c>
      <c r="BG74" s="60">
        <f t="shared" si="46"/>
        <v>1524.9480000000001</v>
      </c>
      <c r="BH74" s="60">
        <f t="shared" si="47"/>
        <v>242.084</v>
      </c>
      <c r="BI74" s="60">
        <f t="shared" si="48"/>
        <v>7386.7979999999998</v>
      </c>
      <c r="BJ74" s="1">
        <v>12</v>
      </c>
    </row>
    <row r="75" spans="1:62" x14ac:dyDescent="0.3">
      <c r="A75" s="49">
        <v>38080</v>
      </c>
      <c r="B75" s="56">
        <v>415004</v>
      </c>
      <c r="C75" s="56">
        <v>80080</v>
      </c>
      <c r="D75" s="56">
        <v>0</v>
      </c>
      <c r="E75" s="53">
        <f t="shared" si="34"/>
        <v>495084</v>
      </c>
      <c r="F75" s="53">
        <f t="shared" si="49"/>
        <v>425573.75</v>
      </c>
      <c r="G75" s="53"/>
      <c r="H75" s="59">
        <f t="shared" si="32"/>
        <v>-30.4877946045216</v>
      </c>
      <c r="I75" s="59">
        <f t="shared" si="39"/>
        <v>-28.077887191421201</v>
      </c>
      <c r="L75" s="53">
        <v>18779</v>
      </c>
      <c r="M75" s="53">
        <v>10660</v>
      </c>
      <c r="N75" s="53">
        <v>36500</v>
      </c>
      <c r="O75" s="53">
        <f t="shared" si="35"/>
        <v>65939</v>
      </c>
      <c r="P75" s="53">
        <f t="shared" si="50"/>
        <v>53254</v>
      </c>
      <c r="Q75" s="53"/>
      <c r="R75" s="59">
        <f t="shared" si="28"/>
        <v>121.83757233212221</v>
      </c>
      <c r="S75" s="59">
        <f t="shared" si="40"/>
        <v>60.225050395643407</v>
      </c>
      <c r="V75" s="56">
        <v>82094</v>
      </c>
      <c r="W75" s="56">
        <v>31924</v>
      </c>
      <c r="X75" s="56">
        <v>8900</v>
      </c>
      <c r="Y75" s="53">
        <f t="shared" si="36"/>
        <v>122918</v>
      </c>
      <c r="Z75" s="53">
        <f t="shared" si="51"/>
        <v>90823</v>
      </c>
      <c r="AA75" s="53"/>
      <c r="AB75" s="59">
        <f t="shared" si="29"/>
        <v>-25.152686862536157</v>
      </c>
      <c r="AC75" s="59">
        <f t="shared" si="41"/>
        <v>-35.720554305207585</v>
      </c>
      <c r="AF75" s="56">
        <v>8040</v>
      </c>
      <c r="AG75" s="56">
        <v>3000</v>
      </c>
      <c r="AH75" s="56">
        <v>4200</v>
      </c>
      <c r="AI75" s="53">
        <f t="shared" si="37"/>
        <v>15240</v>
      </c>
      <c r="AJ75" s="53">
        <f t="shared" ref="AJ75:AJ138" si="52">AVERAGE(AI72,AI73,AI74,AI75)</f>
        <v>8310</v>
      </c>
      <c r="AK75" s="53"/>
      <c r="AL75" s="59">
        <f t="shared" si="30"/>
        <v>67.032003507233668</v>
      </c>
      <c r="AM75" s="59">
        <f t="shared" si="42"/>
        <v>-42.867946580498781</v>
      </c>
      <c r="AP75" s="53">
        <f t="shared" ref="AP75:AS138" si="53">SUM(B75,L75,V75,AF75)</f>
        <v>523917</v>
      </c>
      <c r="AQ75" s="53">
        <f t="shared" si="53"/>
        <v>125664</v>
      </c>
      <c r="AR75" s="53">
        <f t="shared" si="53"/>
        <v>49600</v>
      </c>
      <c r="AS75" s="53">
        <f t="shared" si="53"/>
        <v>699181</v>
      </c>
      <c r="AT75" s="53">
        <f t="shared" ref="AT75:AT138" si="54">AVERAGE(AS72,AS73,AS74,AS75)</f>
        <v>577960.75</v>
      </c>
      <c r="AU75" s="53"/>
      <c r="AV75" s="59">
        <f t="shared" si="31"/>
        <v>-23.611737803712231</v>
      </c>
      <c r="AW75" s="59">
        <f t="shared" si="43"/>
        <v>-25.977534320964256</v>
      </c>
      <c r="AZ75" s="53">
        <f t="shared" si="8"/>
        <v>495.084</v>
      </c>
      <c r="BA75" s="53">
        <f t="shared" si="9"/>
        <v>65.938999999999993</v>
      </c>
      <c r="BB75" s="53">
        <f t="shared" si="10"/>
        <v>122.91800000000001</v>
      </c>
      <c r="BC75" s="53">
        <f t="shared" si="11"/>
        <v>15.24</v>
      </c>
      <c r="BD75" s="53">
        <f t="shared" si="12"/>
        <v>699.18100000000004</v>
      </c>
      <c r="BE75" s="60">
        <f t="shared" si="44"/>
        <v>5548.9780000000001</v>
      </c>
      <c r="BF75" s="60">
        <f t="shared" si="45"/>
        <v>631.81099999999992</v>
      </c>
      <c r="BG75" s="60">
        <f t="shared" si="46"/>
        <v>1647.866</v>
      </c>
      <c r="BH75" s="60">
        <f t="shared" si="47"/>
        <v>257.32400000000001</v>
      </c>
      <c r="BI75" s="60">
        <f t="shared" si="48"/>
        <v>8085.9789999999994</v>
      </c>
      <c r="BJ75" s="1">
        <v>13</v>
      </c>
    </row>
    <row r="76" spans="1:62" x14ac:dyDescent="0.3">
      <c r="A76" s="49">
        <v>38087</v>
      </c>
      <c r="B76" s="56">
        <v>453845</v>
      </c>
      <c r="C76" s="56">
        <v>43665</v>
      </c>
      <c r="D76" s="56">
        <v>0</v>
      </c>
      <c r="E76" s="53">
        <f t="shared" si="34"/>
        <v>497510</v>
      </c>
      <c r="F76" s="53">
        <f t="shared" si="49"/>
        <v>442521.5</v>
      </c>
      <c r="G76" s="53"/>
      <c r="H76" s="59">
        <f t="shared" si="32"/>
        <v>-20.910394470356696</v>
      </c>
      <c r="I76" s="59">
        <f t="shared" si="39"/>
        <v>-30.563923002662374</v>
      </c>
      <c r="L76" s="53">
        <v>14280</v>
      </c>
      <c r="M76" s="53">
        <v>15944</v>
      </c>
      <c r="N76" s="53">
        <v>35400</v>
      </c>
      <c r="O76" s="53">
        <f t="shared" si="35"/>
        <v>65624</v>
      </c>
      <c r="P76" s="53">
        <f t="shared" si="50"/>
        <v>55379.25</v>
      </c>
      <c r="Q76" s="53"/>
      <c r="R76" s="59">
        <f t="shared" si="28"/>
        <v>208.19518151505187</v>
      </c>
      <c r="S76" s="59">
        <f t="shared" si="40"/>
        <v>76.922032490455734</v>
      </c>
      <c r="V76" s="56">
        <v>102248</v>
      </c>
      <c r="W76" s="56">
        <v>12200</v>
      </c>
      <c r="X76" s="56">
        <v>2900</v>
      </c>
      <c r="Y76" s="53">
        <f t="shared" si="36"/>
        <v>117348</v>
      </c>
      <c r="Z76" s="53">
        <f t="shared" si="51"/>
        <v>96687.75</v>
      </c>
      <c r="AA76" s="53"/>
      <c r="AB76" s="59">
        <f t="shared" si="29"/>
        <v>-34.850099933377741</v>
      </c>
      <c r="AC76" s="59">
        <f t="shared" si="41"/>
        <v>-37.363085858103261</v>
      </c>
      <c r="AF76" s="56">
        <v>0</v>
      </c>
      <c r="AG76" s="56">
        <v>0</v>
      </c>
      <c r="AH76" s="56">
        <v>0</v>
      </c>
      <c r="AI76" s="53">
        <f t="shared" si="37"/>
        <v>0</v>
      </c>
      <c r="AJ76" s="53">
        <f t="shared" si="52"/>
        <v>4935</v>
      </c>
      <c r="AK76" s="53"/>
      <c r="AL76" s="59">
        <f t="shared" si="30"/>
        <v>-100</v>
      </c>
      <c r="AM76" s="59">
        <f t="shared" si="42"/>
        <v>-71.127687582272927</v>
      </c>
      <c r="AP76" s="53">
        <f t="shared" si="53"/>
        <v>570373</v>
      </c>
      <c r="AQ76" s="53">
        <f t="shared" si="53"/>
        <v>71809</v>
      </c>
      <c r="AR76" s="53">
        <f t="shared" si="53"/>
        <v>38300</v>
      </c>
      <c r="AS76" s="53">
        <f t="shared" si="53"/>
        <v>680482</v>
      </c>
      <c r="AT76" s="53">
        <f t="shared" si="54"/>
        <v>599523.5</v>
      </c>
      <c r="AU76" s="53"/>
      <c r="AV76" s="59">
        <f t="shared" si="31"/>
        <v>-19.787398567568971</v>
      </c>
      <c r="AW76" s="59">
        <f t="shared" si="43"/>
        <v>-28.633592202498861</v>
      </c>
      <c r="AZ76" s="53">
        <f t="shared" ref="AZ76:AZ139" si="55">+E76/1000</f>
        <v>497.51</v>
      </c>
      <c r="BA76" s="53">
        <f t="shared" ref="BA76:BA139" si="56">+O76/1000</f>
        <v>65.623999999999995</v>
      </c>
      <c r="BB76" s="53">
        <f t="shared" ref="BB76:BB139" si="57">+Y76/1000</f>
        <v>117.348</v>
      </c>
      <c r="BC76" s="53">
        <f t="shared" ref="BC76:BC139" si="58">+AI76/1000</f>
        <v>0</v>
      </c>
      <c r="BD76" s="53">
        <f t="shared" ref="BD76:BD139" si="59">+AS76/1000</f>
        <v>680.48199999999997</v>
      </c>
      <c r="BE76" s="60">
        <f t="shared" si="44"/>
        <v>6046.4880000000003</v>
      </c>
      <c r="BF76" s="60">
        <f t="shared" si="45"/>
        <v>697.43499999999995</v>
      </c>
      <c r="BG76" s="60">
        <f t="shared" si="46"/>
        <v>1765.2139999999999</v>
      </c>
      <c r="BH76" s="60">
        <f t="shared" si="47"/>
        <v>257.32400000000001</v>
      </c>
      <c r="BI76" s="60">
        <f t="shared" si="48"/>
        <v>8766.4609999999993</v>
      </c>
      <c r="BJ76" s="1">
        <v>14</v>
      </c>
    </row>
    <row r="77" spans="1:62" x14ac:dyDescent="0.3">
      <c r="A77" s="49">
        <v>38094</v>
      </c>
      <c r="B77" s="56">
        <v>545576</v>
      </c>
      <c r="C77" s="56">
        <v>15360</v>
      </c>
      <c r="D77" s="56">
        <v>0</v>
      </c>
      <c r="E77" s="53">
        <f t="shared" si="34"/>
        <v>560936</v>
      </c>
      <c r="F77" s="53">
        <f t="shared" si="49"/>
        <v>503977.75</v>
      </c>
      <c r="G77" s="53"/>
      <c r="H77" s="59">
        <f t="shared" si="32"/>
        <v>8.5637754312080094</v>
      </c>
      <c r="I77" s="59">
        <f t="shared" si="39"/>
        <v>-22.160459242675866</v>
      </c>
      <c r="L77" s="53">
        <v>14166</v>
      </c>
      <c r="M77" s="53">
        <v>10608</v>
      </c>
      <c r="N77" s="53">
        <v>42800</v>
      </c>
      <c r="O77" s="53">
        <f t="shared" si="35"/>
        <v>67574</v>
      </c>
      <c r="P77" s="53">
        <f t="shared" si="50"/>
        <v>59547.75</v>
      </c>
      <c r="Q77" s="53"/>
      <c r="R77" s="59">
        <f t="shared" si="28"/>
        <v>496.94346289752656</v>
      </c>
      <c r="S77" s="59">
        <f t="shared" si="40"/>
        <v>145.06255401456852</v>
      </c>
      <c r="V77" s="56">
        <v>69756</v>
      </c>
      <c r="W77" s="56">
        <v>10600</v>
      </c>
      <c r="X77" s="56">
        <v>1400</v>
      </c>
      <c r="Y77" s="53">
        <f t="shared" si="36"/>
        <v>81756</v>
      </c>
      <c r="Z77" s="53">
        <f t="shared" si="51"/>
        <v>107132.5</v>
      </c>
      <c r="AA77" s="53"/>
      <c r="AB77" s="59">
        <f t="shared" si="29"/>
        <v>-61.35546112431993</v>
      </c>
      <c r="AC77" s="59">
        <f t="shared" si="41"/>
        <v>-38.101607367776381</v>
      </c>
      <c r="AF77" s="56">
        <v>1500</v>
      </c>
      <c r="AG77" s="56">
        <v>7600</v>
      </c>
      <c r="AH77" s="56">
        <v>0</v>
      </c>
      <c r="AI77" s="53">
        <f t="shared" si="37"/>
        <v>9100</v>
      </c>
      <c r="AJ77" s="53">
        <f t="shared" si="52"/>
        <v>7210</v>
      </c>
      <c r="AK77" s="53"/>
      <c r="AL77" s="59">
        <f t="shared" si="30"/>
        <v>-11.219512195121951</v>
      </c>
      <c r="AM77" s="59">
        <f t="shared" si="42"/>
        <v>-55.413323438925218</v>
      </c>
      <c r="AP77" s="53">
        <f t="shared" si="53"/>
        <v>630998</v>
      </c>
      <c r="AQ77" s="53">
        <f t="shared" si="53"/>
        <v>44168</v>
      </c>
      <c r="AR77" s="53">
        <f t="shared" si="53"/>
        <v>44200</v>
      </c>
      <c r="AS77" s="53">
        <f t="shared" si="53"/>
        <v>719366</v>
      </c>
      <c r="AT77" s="53">
        <f t="shared" si="54"/>
        <v>677868</v>
      </c>
      <c r="AU77" s="53"/>
      <c r="AV77" s="59">
        <f t="shared" si="31"/>
        <v>-4.0611242476497615</v>
      </c>
      <c r="AW77" s="59">
        <f t="shared" si="43"/>
        <v>-21.270143611244997</v>
      </c>
      <c r="AZ77" s="53">
        <f t="shared" si="55"/>
        <v>560.93600000000004</v>
      </c>
      <c r="BA77" s="53">
        <f t="shared" si="56"/>
        <v>67.573999999999998</v>
      </c>
      <c r="BB77" s="53">
        <f t="shared" si="57"/>
        <v>81.756</v>
      </c>
      <c r="BC77" s="53">
        <f t="shared" si="58"/>
        <v>9.1</v>
      </c>
      <c r="BD77" s="53">
        <f t="shared" si="59"/>
        <v>719.36599999999999</v>
      </c>
      <c r="BE77" s="60">
        <f t="shared" si="44"/>
        <v>6607.424</v>
      </c>
      <c r="BF77" s="60">
        <f t="shared" si="45"/>
        <v>765.0089999999999</v>
      </c>
      <c r="BG77" s="60">
        <f t="shared" si="46"/>
        <v>1846.97</v>
      </c>
      <c r="BH77" s="60">
        <f t="shared" si="47"/>
        <v>266.42400000000004</v>
      </c>
      <c r="BI77" s="60">
        <f t="shared" si="48"/>
        <v>9485.8269999999993</v>
      </c>
      <c r="BJ77" s="1">
        <v>15</v>
      </c>
    </row>
    <row r="78" spans="1:62" x14ac:dyDescent="0.3">
      <c r="A78" s="49">
        <v>38101</v>
      </c>
      <c r="B78" s="56">
        <v>471636</v>
      </c>
      <c r="C78" s="56">
        <v>35040</v>
      </c>
      <c r="D78" s="56">
        <v>0</v>
      </c>
      <c r="E78" s="53">
        <f t="shared" si="34"/>
        <v>506676</v>
      </c>
      <c r="F78" s="53">
        <f t="shared" si="49"/>
        <v>515051.5</v>
      </c>
      <c r="G78" s="53"/>
      <c r="H78" s="59">
        <f t="shared" si="32"/>
        <v>-20.602988302214975</v>
      </c>
      <c r="I78" s="59">
        <f t="shared" si="39"/>
        <v>-17.463498276321399</v>
      </c>
      <c r="L78" s="53">
        <v>14000</v>
      </c>
      <c r="M78" s="53">
        <v>4700</v>
      </c>
      <c r="N78" s="53">
        <v>32600</v>
      </c>
      <c r="O78" s="53">
        <f t="shared" si="35"/>
        <v>51300</v>
      </c>
      <c r="P78" s="53">
        <f t="shared" si="50"/>
        <v>62609.25</v>
      </c>
      <c r="Q78" s="53"/>
      <c r="R78" s="59">
        <f t="shared" si="28"/>
        <v>148.02978291350385</v>
      </c>
      <c r="S78" s="59">
        <f t="shared" si="40"/>
        <v>201.65863647313901</v>
      </c>
      <c r="V78" s="56">
        <v>33336</v>
      </c>
      <c r="W78" s="56">
        <v>4580</v>
      </c>
      <c r="X78" s="56">
        <v>0</v>
      </c>
      <c r="Y78" s="53">
        <f t="shared" si="36"/>
        <v>37916</v>
      </c>
      <c r="Z78" s="53">
        <f t="shared" si="51"/>
        <v>89984.5</v>
      </c>
      <c r="AA78" s="53"/>
      <c r="AB78" s="59">
        <f t="shared" si="29"/>
        <v>-77.406476063354347</v>
      </c>
      <c r="AC78" s="59">
        <f t="shared" si="41"/>
        <v>-50.265709761483002</v>
      </c>
      <c r="AF78" s="56">
        <v>7829</v>
      </c>
      <c r="AG78" s="56">
        <v>1500</v>
      </c>
      <c r="AH78" s="56">
        <v>0</v>
      </c>
      <c r="AI78" s="53">
        <f t="shared" si="37"/>
        <v>9329</v>
      </c>
      <c r="AJ78" s="53">
        <f t="shared" si="52"/>
        <v>8417.25</v>
      </c>
      <c r="AK78" s="53"/>
      <c r="AL78" s="59">
        <f t="shared" si="30"/>
        <v>-11.152380952380947</v>
      </c>
      <c r="AM78" s="59">
        <f t="shared" si="42"/>
        <v>-29.508196721311474</v>
      </c>
      <c r="AP78" s="53">
        <f t="shared" si="53"/>
        <v>526801</v>
      </c>
      <c r="AQ78" s="53">
        <f t="shared" si="53"/>
        <v>45820</v>
      </c>
      <c r="AR78" s="53">
        <f t="shared" si="53"/>
        <v>32600</v>
      </c>
      <c r="AS78" s="53">
        <f t="shared" si="53"/>
        <v>605221</v>
      </c>
      <c r="AT78" s="53">
        <f t="shared" si="54"/>
        <v>676062.5</v>
      </c>
      <c r="AU78" s="53"/>
      <c r="AV78" s="59">
        <f t="shared" si="31"/>
        <v>-27.7051111142965</v>
      </c>
      <c r="AW78" s="59">
        <f t="shared" si="43"/>
        <v>-19.291056580573152</v>
      </c>
      <c r="AZ78" s="53">
        <f t="shared" si="55"/>
        <v>506.67599999999999</v>
      </c>
      <c r="BA78" s="53">
        <f t="shared" si="56"/>
        <v>51.3</v>
      </c>
      <c r="BB78" s="53">
        <f t="shared" si="57"/>
        <v>37.915999999999997</v>
      </c>
      <c r="BC78" s="53">
        <f t="shared" si="58"/>
        <v>9.3290000000000006</v>
      </c>
      <c r="BD78" s="53">
        <f t="shared" si="59"/>
        <v>605.221</v>
      </c>
      <c r="BE78" s="60">
        <f t="shared" si="44"/>
        <v>7114.1</v>
      </c>
      <c r="BF78" s="60">
        <f t="shared" si="45"/>
        <v>816.30899999999986</v>
      </c>
      <c r="BG78" s="60">
        <f t="shared" si="46"/>
        <v>1884.886</v>
      </c>
      <c r="BH78" s="60">
        <f t="shared" si="47"/>
        <v>275.75300000000004</v>
      </c>
      <c r="BI78" s="60">
        <f t="shared" si="48"/>
        <v>10091.047999999999</v>
      </c>
      <c r="BJ78" s="1">
        <v>16</v>
      </c>
    </row>
    <row r="79" spans="1:62" x14ac:dyDescent="0.3">
      <c r="A79" s="49">
        <v>38108</v>
      </c>
      <c r="B79" s="56">
        <v>499912</v>
      </c>
      <c r="C79" s="56">
        <v>30417</v>
      </c>
      <c r="D79" s="56">
        <v>0</v>
      </c>
      <c r="E79" s="53">
        <f t="shared" si="34"/>
        <v>530329</v>
      </c>
      <c r="F79" s="53">
        <f t="shared" si="49"/>
        <v>523862.75</v>
      </c>
      <c r="G79" s="53"/>
      <c r="H79" s="59">
        <f t="shared" si="32"/>
        <v>-3.9259057971014477</v>
      </c>
      <c r="I79" s="59">
        <f t="shared" si="39"/>
        <v>-10.29321170654941</v>
      </c>
      <c r="L79" s="53">
        <v>21748</v>
      </c>
      <c r="M79" s="53">
        <v>13592</v>
      </c>
      <c r="N79" s="53">
        <v>12200</v>
      </c>
      <c r="O79" s="53">
        <f t="shared" si="35"/>
        <v>47540</v>
      </c>
      <c r="P79" s="53">
        <f t="shared" si="50"/>
        <v>58009.5</v>
      </c>
      <c r="Q79" s="53"/>
      <c r="R79" s="59">
        <f t="shared" si="28"/>
        <v>9.6023054755043127</v>
      </c>
      <c r="S79" s="59">
        <f t="shared" si="40"/>
        <v>140.0285504442904</v>
      </c>
      <c r="V79" s="56">
        <v>64498</v>
      </c>
      <c r="W79" s="56">
        <v>4500</v>
      </c>
      <c r="X79" s="56">
        <v>0</v>
      </c>
      <c r="Y79" s="53">
        <f t="shared" si="36"/>
        <v>68998</v>
      </c>
      <c r="Z79" s="53">
        <f t="shared" si="51"/>
        <v>76504.5</v>
      </c>
      <c r="AA79" s="53"/>
      <c r="AB79" s="59">
        <f t="shared" si="29"/>
        <v>-40.809306076229532</v>
      </c>
      <c r="AC79" s="59">
        <f t="shared" si="41"/>
        <v>-54.735484405368709</v>
      </c>
      <c r="AF79" s="56">
        <v>1500</v>
      </c>
      <c r="AG79" s="56">
        <v>3000</v>
      </c>
      <c r="AH79" s="56">
        <v>0</v>
      </c>
      <c r="AI79" s="53">
        <f t="shared" si="37"/>
        <v>4500</v>
      </c>
      <c r="AJ79" s="53">
        <f t="shared" si="52"/>
        <v>5732.25</v>
      </c>
      <c r="AK79" s="53"/>
      <c r="AL79" s="59">
        <f t="shared" si="30"/>
        <v>-5.9167886263851166</v>
      </c>
      <c r="AM79" s="59">
        <f t="shared" si="42"/>
        <v>-47.194970291557269</v>
      </c>
      <c r="AP79" s="53">
        <f t="shared" si="53"/>
        <v>587658</v>
      </c>
      <c r="AQ79" s="53">
        <f t="shared" si="53"/>
        <v>51509</v>
      </c>
      <c r="AR79" s="53">
        <f t="shared" si="53"/>
        <v>12200</v>
      </c>
      <c r="AS79" s="53">
        <f t="shared" si="53"/>
        <v>651367</v>
      </c>
      <c r="AT79" s="53">
        <f t="shared" si="54"/>
        <v>664109</v>
      </c>
      <c r="AU79" s="53"/>
      <c r="AV79" s="59">
        <f t="shared" si="31"/>
        <v>-9.119232287886458</v>
      </c>
      <c r="AW79" s="59">
        <f t="shared" si="43"/>
        <v>-15.723491520433697</v>
      </c>
      <c r="AZ79" s="53">
        <f t="shared" si="55"/>
        <v>530.32899999999995</v>
      </c>
      <c r="BA79" s="53">
        <f t="shared" si="56"/>
        <v>47.54</v>
      </c>
      <c r="BB79" s="53">
        <f t="shared" si="57"/>
        <v>68.998000000000005</v>
      </c>
      <c r="BC79" s="53">
        <f t="shared" si="58"/>
        <v>4.5</v>
      </c>
      <c r="BD79" s="53">
        <f t="shared" si="59"/>
        <v>651.36699999999996</v>
      </c>
      <c r="BE79" s="60">
        <f t="shared" si="44"/>
        <v>7644.4290000000001</v>
      </c>
      <c r="BF79" s="60">
        <f t="shared" si="45"/>
        <v>863.84899999999982</v>
      </c>
      <c r="BG79" s="60">
        <f t="shared" si="46"/>
        <v>1953.884</v>
      </c>
      <c r="BH79" s="60">
        <f t="shared" si="47"/>
        <v>280.25300000000004</v>
      </c>
      <c r="BI79" s="60">
        <f t="shared" si="48"/>
        <v>10742.414999999999</v>
      </c>
      <c r="BJ79" s="1">
        <v>17</v>
      </c>
    </row>
    <row r="80" spans="1:62" x14ac:dyDescent="0.3">
      <c r="A80" s="49">
        <v>38115</v>
      </c>
      <c r="B80" s="56">
        <v>495833</v>
      </c>
      <c r="C80" s="56">
        <v>37800</v>
      </c>
      <c r="D80" s="56">
        <v>0</v>
      </c>
      <c r="E80" s="53">
        <f t="shared" si="34"/>
        <v>533633</v>
      </c>
      <c r="F80" s="53">
        <f t="shared" si="49"/>
        <v>532893.5</v>
      </c>
      <c r="G80" s="53"/>
      <c r="H80" s="59">
        <f t="shared" si="32"/>
        <v>7.9350407158547132</v>
      </c>
      <c r="I80" s="59">
        <f t="shared" si="39"/>
        <v>-3.1650724930664231</v>
      </c>
      <c r="L80" s="53">
        <v>31331</v>
      </c>
      <c r="M80" s="53">
        <v>10800</v>
      </c>
      <c r="N80" s="53">
        <v>35200</v>
      </c>
      <c r="O80" s="53">
        <f t="shared" si="35"/>
        <v>77331</v>
      </c>
      <c r="P80" s="53">
        <f t="shared" si="50"/>
        <v>60936.25</v>
      </c>
      <c r="Q80" s="53"/>
      <c r="R80" s="59">
        <f t="shared" si="28"/>
        <v>204.53668333792777</v>
      </c>
      <c r="S80" s="59">
        <f t="shared" si="40"/>
        <v>141.88010439511368</v>
      </c>
      <c r="V80" s="56">
        <v>50314</v>
      </c>
      <c r="W80" s="56">
        <v>6160</v>
      </c>
      <c r="X80" s="56">
        <v>2800</v>
      </c>
      <c r="Y80" s="53">
        <f t="shared" si="36"/>
        <v>59274</v>
      </c>
      <c r="Z80" s="53">
        <f t="shared" si="51"/>
        <v>61986</v>
      </c>
      <c r="AA80" s="53"/>
      <c r="AB80" s="59">
        <f t="shared" si="29"/>
        <v>-53.451809736215928</v>
      </c>
      <c r="AC80" s="59">
        <f t="shared" si="41"/>
        <v>-60.219803139815653</v>
      </c>
      <c r="AF80" s="56">
        <v>0</v>
      </c>
      <c r="AG80" s="56">
        <v>7500</v>
      </c>
      <c r="AH80" s="56">
        <v>16000</v>
      </c>
      <c r="AI80" s="53">
        <f t="shared" si="37"/>
        <v>23500</v>
      </c>
      <c r="AJ80" s="53">
        <f t="shared" si="52"/>
        <v>11607.25</v>
      </c>
      <c r="AK80" s="53"/>
      <c r="AL80" s="59">
        <f t="shared" si="30"/>
        <v>683.33333333333326</v>
      </c>
      <c r="AM80" s="59">
        <f t="shared" si="42"/>
        <v>62.720358882697226</v>
      </c>
      <c r="AP80" s="53">
        <f t="shared" si="53"/>
        <v>577478</v>
      </c>
      <c r="AQ80" s="53">
        <f t="shared" si="53"/>
        <v>62260</v>
      </c>
      <c r="AR80" s="53">
        <f t="shared" si="53"/>
        <v>54000</v>
      </c>
      <c r="AS80" s="53">
        <f t="shared" si="53"/>
        <v>693738</v>
      </c>
      <c r="AT80" s="53">
        <f t="shared" si="54"/>
        <v>667423</v>
      </c>
      <c r="AU80" s="53"/>
      <c r="AV80" s="59">
        <f t="shared" si="31"/>
        <v>6.706925033916078</v>
      </c>
      <c r="AW80" s="59">
        <f t="shared" si="43"/>
        <v>-9.6194302049472</v>
      </c>
      <c r="AZ80" s="53">
        <f t="shared" si="55"/>
        <v>533.63300000000004</v>
      </c>
      <c r="BA80" s="53">
        <f t="shared" si="56"/>
        <v>77.331000000000003</v>
      </c>
      <c r="BB80" s="53">
        <f t="shared" si="57"/>
        <v>59.274000000000001</v>
      </c>
      <c r="BC80" s="53">
        <f t="shared" si="58"/>
        <v>23.5</v>
      </c>
      <c r="BD80" s="53">
        <f t="shared" si="59"/>
        <v>693.73800000000006</v>
      </c>
      <c r="BE80" s="60">
        <f t="shared" si="44"/>
        <v>8178.0619999999999</v>
      </c>
      <c r="BF80" s="60">
        <f t="shared" si="45"/>
        <v>941.17999999999984</v>
      </c>
      <c r="BG80" s="60">
        <f t="shared" si="46"/>
        <v>2013.1579999999999</v>
      </c>
      <c r="BH80" s="60">
        <f t="shared" si="47"/>
        <v>303.75300000000004</v>
      </c>
      <c r="BI80" s="60">
        <f t="shared" si="48"/>
        <v>11436.152999999998</v>
      </c>
      <c r="BJ80" s="1">
        <v>18</v>
      </c>
    </row>
    <row r="81" spans="1:62" x14ac:dyDescent="0.3">
      <c r="A81" s="49">
        <v>38122</v>
      </c>
      <c r="B81" s="56">
        <v>430491</v>
      </c>
      <c r="C81" s="56">
        <v>43970</v>
      </c>
      <c r="D81" s="56">
        <v>0</v>
      </c>
      <c r="E81" s="53">
        <f t="shared" si="34"/>
        <v>474461</v>
      </c>
      <c r="F81" s="53">
        <f t="shared" si="49"/>
        <v>511274.75</v>
      </c>
      <c r="G81" s="53"/>
      <c r="H81" s="59">
        <f t="shared" si="32"/>
        <v>-15.678360702353022</v>
      </c>
      <c r="I81" s="59">
        <f t="shared" si="39"/>
        <v>-8.9949569182066647</v>
      </c>
      <c r="L81" s="53">
        <v>10715</v>
      </c>
      <c r="M81" s="53">
        <v>6080</v>
      </c>
      <c r="N81" s="53">
        <v>31700</v>
      </c>
      <c r="O81" s="53">
        <f t="shared" si="35"/>
        <v>48495</v>
      </c>
      <c r="P81" s="53">
        <f t="shared" si="50"/>
        <v>56166.5</v>
      </c>
      <c r="Q81" s="53"/>
      <c r="R81" s="59">
        <f t="shared" si="28"/>
        <v>171.71111609143881</v>
      </c>
      <c r="S81" s="59">
        <f t="shared" si="40"/>
        <v>109.38312565820745</v>
      </c>
      <c r="V81" s="56">
        <v>52060</v>
      </c>
      <c r="W81" s="56">
        <v>12300</v>
      </c>
      <c r="X81" s="56">
        <v>2800</v>
      </c>
      <c r="Y81" s="53">
        <f t="shared" si="36"/>
        <v>67160</v>
      </c>
      <c r="Z81" s="53">
        <f t="shared" si="51"/>
        <v>58337</v>
      </c>
      <c r="AA81" s="53"/>
      <c r="AB81" s="59">
        <f t="shared" si="29"/>
        <v>-1.0767259283262831</v>
      </c>
      <c r="AC81" s="59">
        <f t="shared" si="41"/>
        <v>-51.347012303567219</v>
      </c>
      <c r="AF81" s="56">
        <v>0</v>
      </c>
      <c r="AG81" s="56">
        <v>10500</v>
      </c>
      <c r="AH81" s="56">
        <v>0</v>
      </c>
      <c r="AI81" s="53">
        <f t="shared" si="37"/>
        <v>10500</v>
      </c>
      <c r="AJ81" s="53">
        <f t="shared" si="52"/>
        <v>11957.25</v>
      </c>
      <c r="AK81" s="53"/>
      <c r="AL81" s="59"/>
      <c r="AM81" s="59">
        <f t="shared" si="42"/>
        <v>161.6036755455888</v>
      </c>
      <c r="AP81" s="53">
        <f t="shared" si="53"/>
        <v>493266</v>
      </c>
      <c r="AQ81" s="53">
        <f t="shared" si="53"/>
        <v>72850</v>
      </c>
      <c r="AR81" s="53">
        <f t="shared" si="53"/>
        <v>34500</v>
      </c>
      <c r="AS81" s="53">
        <f t="shared" si="53"/>
        <v>600616</v>
      </c>
      <c r="AT81" s="53">
        <f t="shared" si="54"/>
        <v>637735.5</v>
      </c>
      <c r="AU81" s="53"/>
      <c r="AV81" s="59">
        <f t="shared" si="31"/>
        <v>-7.3722392465365711</v>
      </c>
      <c r="AW81" s="59">
        <f t="shared" si="43"/>
        <v>-10.569702527944536</v>
      </c>
      <c r="AZ81" s="53">
        <f t="shared" si="55"/>
        <v>474.46100000000001</v>
      </c>
      <c r="BA81" s="53">
        <f t="shared" si="56"/>
        <v>48.494999999999997</v>
      </c>
      <c r="BB81" s="53">
        <f t="shared" si="57"/>
        <v>67.16</v>
      </c>
      <c r="BC81" s="53">
        <f t="shared" si="58"/>
        <v>10.5</v>
      </c>
      <c r="BD81" s="53">
        <f t="shared" si="59"/>
        <v>600.61599999999999</v>
      </c>
      <c r="BE81" s="60">
        <f t="shared" si="44"/>
        <v>8652.5229999999992</v>
      </c>
      <c r="BF81" s="60">
        <f t="shared" si="45"/>
        <v>989.67499999999984</v>
      </c>
      <c r="BG81" s="60">
        <f t="shared" si="46"/>
        <v>2080.3179999999998</v>
      </c>
      <c r="BH81" s="60">
        <f t="shared" si="47"/>
        <v>314.25300000000004</v>
      </c>
      <c r="BI81" s="60">
        <f t="shared" si="48"/>
        <v>12036.768999999998</v>
      </c>
      <c r="BJ81" s="1">
        <v>19</v>
      </c>
    </row>
    <row r="82" spans="1:62" x14ac:dyDescent="0.3">
      <c r="A82" s="49">
        <v>38129</v>
      </c>
      <c r="B82" s="56">
        <v>471516</v>
      </c>
      <c r="C82" s="56">
        <v>13680</v>
      </c>
      <c r="D82" s="56">
        <v>0</v>
      </c>
      <c r="E82" s="53">
        <f t="shared" si="34"/>
        <v>485196</v>
      </c>
      <c r="F82" s="53">
        <f t="shared" si="49"/>
        <v>505904.75</v>
      </c>
      <c r="G82" s="53"/>
      <c r="H82" s="59">
        <f t="shared" si="32"/>
        <v>-39.705708743365641</v>
      </c>
      <c r="I82" s="59">
        <f t="shared" si="39"/>
        <v>-16.164421585097323</v>
      </c>
      <c r="L82" s="53">
        <v>15301</v>
      </c>
      <c r="M82" s="53">
        <v>2900</v>
      </c>
      <c r="N82" s="53">
        <v>38000</v>
      </c>
      <c r="O82" s="53">
        <f t="shared" si="35"/>
        <v>56201</v>
      </c>
      <c r="P82" s="53">
        <f t="shared" si="50"/>
        <v>57391.75</v>
      </c>
      <c r="Q82" s="53"/>
      <c r="R82" s="59">
        <f t="shared" si="28"/>
        <v>111.08356807511738</v>
      </c>
      <c r="S82" s="59">
        <f t="shared" si="40"/>
        <v>102.72427830909301</v>
      </c>
      <c r="V82" s="56">
        <v>43817</v>
      </c>
      <c r="W82" s="56">
        <v>13500</v>
      </c>
      <c r="X82" s="56">
        <v>2900</v>
      </c>
      <c r="Y82" s="53">
        <f t="shared" si="36"/>
        <v>60217</v>
      </c>
      <c r="Z82" s="53">
        <f t="shared" si="51"/>
        <v>63912.25</v>
      </c>
      <c r="AA82" s="53"/>
      <c r="AB82" s="59">
        <f t="shared" si="29"/>
        <v>-57.522766871468576</v>
      </c>
      <c r="AC82" s="59">
        <f t="shared" si="41"/>
        <v>-43.635269268589518</v>
      </c>
      <c r="AF82" s="56">
        <v>1535</v>
      </c>
      <c r="AG82" s="56">
        <v>3000</v>
      </c>
      <c r="AH82" s="56">
        <v>5900</v>
      </c>
      <c r="AI82" s="53">
        <f t="shared" si="37"/>
        <v>10435</v>
      </c>
      <c r="AJ82" s="53">
        <f t="shared" si="52"/>
        <v>12233.75</v>
      </c>
      <c r="AK82" s="53"/>
      <c r="AL82" s="59">
        <f t="shared" si="30"/>
        <v>-57.408163265306122</v>
      </c>
      <c r="AM82" s="59">
        <f t="shared" si="42"/>
        <v>51.581327633739129</v>
      </c>
      <c r="AP82" s="53">
        <f t="shared" si="53"/>
        <v>532169</v>
      </c>
      <c r="AQ82" s="53">
        <f t="shared" si="53"/>
        <v>33080</v>
      </c>
      <c r="AR82" s="53">
        <f t="shared" si="53"/>
        <v>46800</v>
      </c>
      <c r="AS82" s="53">
        <f t="shared" si="53"/>
        <v>612049</v>
      </c>
      <c r="AT82" s="53">
        <f t="shared" si="54"/>
        <v>639442.5</v>
      </c>
      <c r="AU82" s="53"/>
      <c r="AV82" s="59">
        <f t="shared" si="31"/>
        <v>-38.647916351326828</v>
      </c>
      <c r="AW82" s="59">
        <f t="shared" si="43"/>
        <v>-15.105508647702981</v>
      </c>
      <c r="AZ82" s="53">
        <f t="shared" si="55"/>
        <v>485.19600000000003</v>
      </c>
      <c r="BA82" s="53">
        <f t="shared" si="56"/>
        <v>56.201000000000001</v>
      </c>
      <c r="BB82" s="53">
        <f t="shared" si="57"/>
        <v>60.216999999999999</v>
      </c>
      <c r="BC82" s="53">
        <f t="shared" si="58"/>
        <v>10.435</v>
      </c>
      <c r="BD82" s="53">
        <f t="shared" si="59"/>
        <v>612.04899999999998</v>
      </c>
      <c r="BE82" s="60">
        <f t="shared" si="44"/>
        <v>9137.7189999999991</v>
      </c>
      <c r="BF82" s="60">
        <f t="shared" si="45"/>
        <v>1045.8759999999997</v>
      </c>
      <c r="BG82" s="60">
        <f t="shared" si="46"/>
        <v>2140.5349999999999</v>
      </c>
      <c r="BH82" s="60">
        <f t="shared" si="47"/>
        <v>324.68800000000005</v>
      </c>
      <c r="BI82" s="60">
        <f t="shared" si="48"/>
        <v>12648.817999999999</v>
      </c>
      <c r="BJ82" s="1">
        <v>20</v>
      </c>
    </row>
    <row r="83" spans="1:62" x14ac:dyDescent="0.3">
      <c r="A83" s="49">
        <v>38136</v>
      </c>
      <c r="B83" s="56">
        <v>650816</v>
      </c>
      <c r="C83" s="56">
        <v>22700</v>
      </c>
      <c r="D83" s="56">
        <v>0</v>
      </c>
      <c r="E83" s="53">
        <f t="shared" si="34"/>
        <v>673516</v>
      </c>
      <c r="F83" s="53">
        <f t="shared" si="49"/>
        <v>541701.5</v>
      </c>
      <c r="G83" s="53"/>
      <c r="H83" s="59">
        <f t="shared" si="32"/>
        <v>6.974033007892233</v>
      </c>
      <c r="I83" s="59">
        <f t="shared" si="39"/>
        <v>-13.028648126637133</v>
      </c>
      <c r="L83" s="53">
        <v>23743</v>
      </c>
      <c r="M83" s="53">
        <v>4600</v>
      </c>
      <c r="N83" s="53">
        <v>16000</v>
      </c>
      <c r="O83" s="53">
        <f t="shared" si="35"/>
        <v>44343</v>
      </c>
      <c r="P83" s="53">
        <f t="shared" si="50"/>
        <v>56592.5</v>
      </c>
      <c r="Q83" s="53"/>
      <c r="R83" s="59">
        <f t="shared" si="28"/>
        <v>47.42669060442848</v>
      </c>
      <c r="S83" s="59">
        <f t="shared" si="40"/>
        <v>126.49683822940845</v>
      </c>
      <c r="V83" s="56">
        <v>56896</v>
      </c>
      <c r="W83" s="56">
        <v>10400</v>
      </c>
      <c r="X83" s="56">
        <v>0</v>
      </c>
      <c r="Y83" s="53">
        <f t="shared" si="36"/>
        <v>67296</v>
      </c>
      <c r="Z83" s="53">
        <f t="shared" si="51"/>
        <v>63486.75</v>
      </c>
      <c r="AA83" s="53"/>
      <c r="AB83" s="59">
        <f t="shared" si="29"/>
        <v>-53.055743514261998</v>
      </c>
      <c r="AC83" s="59">
        <f t="shared" si="41"/>
        <v>-47.13248366802263</v>
      </c>
      <c r="AF83" s="56">
        <v>3506</v>
      </c>
      <c r="AG83" s="56">
        <v>10500</v>
      </c>
      <c r="AH83" s="56">
        <v>0</v>
      </c>
      <c r="AI83" s="53">
        <f t="shared" si="37"/>
        <v>14006</v>
      </c>
      <c r="AJ83" s="53">
        <f t="shared" si="52"/>
        <v>14610.25</v>
      </c>
      <c r="AK83" s="53"/>
      <c r="AL83" s="59">
        <f t="shared" si="30"/>
        <v>366.86666666666667</v>
      </c>
      <c r="AM83" s="59">
        <f t="shared" si="42"/>
        <v>91.609836065573774</v>
      </c>
      <c r="AP83" s="53">
        <f t="shared" si="53"/>
        <v>734961</v>
      </c>
      <c r="AQ83" s="53">
        <f t="shared" si="53"/>
        <v>48200</v>
      </c>
      <c r="AR83" s="53">
        <f t="shared" si="53"/>
        <v>16000</v>
      </c>
      <c r="AS83" s="53">
        <f t="shared" si="53"/>
        <v>799161</v>
      </c>
      <c r="AT83" s="53">
        <f t="shared" si="54"/>
        <v>676391</v>
      </c>
      <c r="AU83" s="53"/>
      <c r="AV83" s="59">
        <f t="shared" si="31"/>
        <v>-0.85318558182120308</v>
      </c>
      <c r="AW83" s="59">
        <f t="shared" si="43"/>
        <v>-12.785411089964771</v>
      </c>
      <c r="AZ83" s="53">
        <f t="shared" si="55"/>
        <v>673.51599999999996</v>
      </c>
      <c r="BA83" s="53">
        <f t="shared" si="56"/>
        <v>44.343000000000004</v>
      </c>
      <c r="BB83" s="53">
        <f t="shared" si="57"/>
        <v>67.296000000000006</v>
      </c>
      <c r="BC83" s="53">
        <f t="shared" si="58"/>
        <v>14.006</v>
      </c>
      <c r="BD83" s="53">
        <f t="shared" si="59"/>
        <v>799.16099999999994</v>
      </c>
      <c r="BE83" s="60">
        <f t="shared" si="44"/>
        <v>9811.2349999999988</v>
      </c>
      <c r="BF83" s="60">
        <f t="shared" si="45"/>
        <v>1090.2189999999998</v>
      </c>
      <c r="BG83" s="60">
        <f t="shared" si="46"/>
        <v>2207.8309999999997</v>
      </c>
      <c r="BH83" s="60">
        <f t="shared" si="47"/>
        <v>338.69400000000007</v>
      </c>
      <c r="BI83" s="60">
        <f t="shared" si="48"/>
        <v>13447.978999999999</v>
      </c>
      <c r="BJ83" s="1">
        <v>21</v>
      </c>
    </row>
    <row r="84" spans="1:62" x14ac:dyDescent="0.3">
      <c r="A84" s="49">
        <v>38143</v>
      </c>
      <c r="B84" s="56">
        <v>597121</v>
      </c>
      <c r="C84" s="56">
        <v>33550</v>
      </c>
      <c r="D84" s="56">
        <v>0</v>
      </c>
      <c r="E84" s="53">
        <f t="shared" si="34"/>
        <v>630671</v>
      </c>
      <c r="F84" s="53">
        <f t="shared" si="49"/>
        <v>565961</v>
      </c>
      <c r="G84" s="53"/>
      <c r="H84" s="59">
        <f t="shared" si="32"/>
        <v>-19.6873686757421</v>
      </c>
      <c r="I84" s="59">
        <f t="shared" si="39"/>
        <v>-18.633202385102809</v>
      </c>
      <c r="L84" s="53">
        <v>14028</v>
      </c>
      <c r="M84" s="53">
        <v>6250</v>
      </c>
      <c r="N84" s="53">
        <v>17100</v>
      </c>
      <c r="O84" s="53">
        <f t="shared" si="35"/>
        <v>37378</v>
      </c>
      <c r="P84" s="53">
        <f t="shared" si="50"/>
        <v>46604.25</v>
      </c>
      <c r="Q84" s="53"/>
      <c r="R84" s="59">
        <f t="shared" si="28"/>
        <v>105.1707102865298</v>
      </c>
      <c r="S84" s="59">
        <f t="shared" si="40"/>
        <v>100.94751479481295</v>
      </c>
      <c r="V84" s="56">
        <v>56882</v>
      </c>
      <c r="W84" s="56">
        <v>18200</v>
      </c>
      <c r="X84" s="56">
        <v>10400</v>
      </c>
      <c r="Y84" s="53">
        <f t="shared" si="36"/>
        <v>85482</v>
      </c>
      <c r="Z84" s="53">
        <f t="shared" si="51"/>
        <v>70038.75</v>
      </c>
      <c r="AA84" s="53"/>
      <c r="AB84" s="59">
        <f t="shared" si="29"/>
        <v>34.914772727272727</v>
      </c>
      <c r="AC84" s="59">
        <f t="shared" si="41"/>
        <v>-32.714408202379154</v>
      </c>
      <c r="AF84" s="56">
        <v>1500</v>
      </c>
      <c r="AG84" s="56">
        <v>1500</v>
      </c>
      <c r="AH84" s="56">
        <v>0</v>
      </c>
      <c r="AI84" s="53">
        <f t="shared" si="37"/>
        <v>3000</v>
      </c>
      <c r="AJ84" s="53">
        <f t="shared" si="52"/>
        <v>9485.25</v>
      </c>
      <c r="AK84" s="53"/>
      <c r="AL84" s="59">
        <f t="shared" si="30"/>
        <v>100</v>
      </c>
      <c r="AM84" s="59">
        <f t="shared" si="42"/>
        <v>30.831034482758611</v>
      </c>
      <c r="AP84" s="53">
        <f t="shared" si="53"/>
        <v>669531</v>
      </c>
      <c r="AQ84" s="53">
        <f t="shared" si="53"/>
        <v>59500</v>
      </c>
      <c r="AR84" s="53">
        <f t="shared" si="53"/>
        <v>27500</v>
      </c>
      <c r="AS84" s="53">
        <f t="shared" si="53"/>
        <v>756531</v>
      </c>
      <c r="AT84" s="53">
        <f t="shared" si="54"/>
        <v>692089.25</v>
      </c>
      <c r="AU84" s="53"/>
      <c r="AV84" s="59">
        <f t="shared" si="31"/>
        <v>-12.876980196879595</v>
      </c>
      <c r="AW84" s="59">
        <f t="shared" si="43"/>
        <v>-16.625948754459539</v>
      </c>
      <c r="AZ84" s="53">
        <f t="shared" si="55"/>
        <v>630.67100000000005</v>
      </c>
      <c r="BA84" s="53">
        <f t="shared" si="56"/>
        <v>37.378</v>
      </c>
      <c r="BB84" s="53">
        <f t="shared" si="57"/>
        <v>85.481999999999999</v>
      </c>
      <c r="BC84" s="53">
        <f t="shared" si="58"/>
        <v>3</v>
      </c>
      <c r="BD84" s="53">
        <f t="shared" si="59"/>
        <v>756.53099999999995</v>
      </c>
      <c r="BE84" s="60">
        <f t="shared" si="44"/>
        <v>10441.905999999999</v>
      </c>
      <c r="BF84" s="60">
        <f t="shared" si="45"/>
        <v>1127.5969999999998</v>
      </c>
      <c r="BG84" s="60">
        <f t="shared" si="46"/>
        <v>2293.3129999999996</v>
      </c>
      <c r="BH84" s="60">
        <f t="shared" si="47"/>
        <v>341.69400000000007</v>
      </c>
      <c r="BI84" s="60">
        <f t="shared" si="48"/>
        <v>14204.509999999998</v>
      </c>
      <c r="BJ84" s="1">
        <v>22</v>
      </c>
    </row>
    <row r="85" spans="1:62" x14ac:dyDescent="0.3">
      <c r="A85" s="49">
        <v>38150</v>
      </c>
      <c r="B85" s="56">
        <v>643573</v>
      </c>
      <c r="C85" s="56">
        <v>4500</v>
      </c>
      <c r="D85" s="56">
        <v>0</v>
      </c>
      <c r="E85" s="53">
        <f t="shared" si="34"/>
        <v>648073</v>
      </c>
      <c r="F85" s="53">
        <f t="shared" si="49"/>
        <v>609364</v>
      </c>
      <c r="G85" s="53"/>
      <c r="H85" s="59">
        <f t="shared" si="32"/>
        <v>-13.898052428585284</v>
      </c>
      <c r="I85" s="59">
        <f t="shared" si="39"/>
        <v>-17.993480406059881</v>
      </c>
      <c r="L85" s="53">
        <v>15651</v>
      </c>
      <c r="M85" s="53">
        <v>1500</v>
      </c>
      <c r="N85" s="53">
        <v>22500</v>
      </c>
      <c r="O85" s="53">
        <f t="shared" si="35"/>
        <v>39651</v>
      </c>
      <c r="P85" s="53">
        <f t="shared" si="50"/>
        <v>44393.25</v>
      </c>
      <c r="Q85" s="53"/>
      <c r="R85" s="59">
        <f t="shared" si="28"/>
        <v>63.240016467682182</v>
      </c>
      <c r="S85" s="59">
        <f t="shared" si="40"/>
        <v>78.985193174143987</v>
      </c>
      <c r="V85" s="56">
        <v>29232</v>
      </c>
      <c r="W85" s="56">
        <v>3000</v>
      </c>
      <c r="X85" s="56">
        <v>1400</v>
      </c>
      <c r="Y85" s="53">
        <f t="shared" si="36"/>
        <v>33632</v>
      </c>
      <c r="Z85" s="53">
        <f t="shared" si="51"/>
        <v>61656.75</v>
      </c>
      <c r="AA85" s="53"/>
      <c r="AB85" s="59">
        <f t="shared" si="29"/>
        <v>-75.532890046414181</v>
      </c>
      <c r="AC85" s="59">
        <f t="shared" si="41"/>
        <v>-49.246811295361105</v>
      </c>
      <c r="AF85" s="56">
        <v>14000</v>
      </c>
      <c r="AG85" s="56">
        <v>0</v>
      </c>
      <c r="AH85" s="56">
        <v>0</v>
      </c>
      <c r="AI85" s="53">
        <f t="shared" si="37"/>
        <v>14000</v>
      </c>
      <c r="AJ85" s="53">
        <f t="shared" si="52"/>
        <v>10360.25</v>
      </c>
      <c r="AK85" s="53"/>
      <c r="AL85" s="59">
        <f t="shared" si="30"/>
        <v>-15.151515151515149</v>
      </c>
      <c r="AM85" s="59">
        <f t="shared" si="42"/>
        <v>-8.9208791208791212</v>
      </c>
      <c r="AP85" s="53">
        <f t="shared" si="53"/>
        <v>702456</v>
      </c>
      <c r="AQ85" s="53">
        <f t="shared" si="53"/>
        <v>9000</v>
      </c>
      <c r="AR85" s="53">
        <f t="shared" si="53"/>
        <v>23900</v>
      </c>
      <c r="AS85" s="53">
        <f t="shared" si="53"/>
        <v>735356</v>
      </c>
      <c r="AT85" s="53">
        <f t="shared" si="54"/>
        <v>725774.25</v>
      </c>
      <c r="AU85" s="53"/>
      <c r="AV85" s="59">
        <f t="shared" si="31"/>
        <v>-21.00836905929453</v>
      </c>
      <c r="AW85" s="59">
        <f t="shared" si="43"/>
        <v>-19.423683483045394</v>
      </c>
      <c r="AZ85" s="53">
        <f t="shared" si="55"/>
        <v>648.07299999999998</v>
      </c>
      <c r="BA85" s="53">
        <f t="shared" si="56"/>
        <v>39.651000000000003</v>
      </c>
      <c r="BB85" s="53">
        <f t="shared" si="57"/>
        <v>33.631999999999998</v>
      </c>
      <c r="BC85" s="53">
        <f t="shared" si="58"/>
        <v>14</v>
      </c>
      <c r="BD85" s="53">
        <f t="shared" si="59"/>
        <v>735.35599999999999</v>
      </c>
      <c r="BE85" s="60">
        <f t="shared" si="44"/>
        <v>11089.978999999999</v>
      </c>
      <c r="BF85" s="60">
        <f t="shared" si="45"/>
        <v>1167.2479999999998</v>
      </c>
      <c r="BG85" s="60">
        <f t="shared" si="46"/>
        <v>2326.9449999999997</v>
      </c>
      <c r="BH85" s="60">
        <f t="shared" si="47"/>
        <v>355.69400000000007</v>
      </c>
      <c r="BI85" s="60">
        <f t="shared" si="48"/>
        <v>14939.865999999998</v>
      </c>
      <c r="BJ85" s="1">
        <v>23</v>
      </c>
    </row>
    <row r="86" spans="1:62" x14ac:dyDescent="0.3">
      <c r="A86" s="49">
        <v>38157</v>
      </c>
      <c r="B86" s="56">
        <v>702167</v>
      </c>
      <c r="C86" s="56">
        <v>15293</v>
      </c>
      <c r="D86" s="56">
        <v>0</v>
      </c>
      <c r="E86" s="53">
        <f t="shared" si="34"/>
        <v>717460</v>
      </c>
      <c r="F86" s="53">
        <f t="shared" si="49"/>
        <v>667430</v>
      </c>
      <c r="G86" s="53"/>
      <c r="H86" s="59">
        <f t="shared" si="32"/>
        <v>17.232026143790847</v>
      </c>
      <c r="I86" s="59">
        <f t="shared" si="39"/>
        <v>-3.95163547585623</v>
      </c>
      <c r="L86" s="53">
        <v>12344</v>
      </c>
      <c r="M86" s="53">
        <v>0</v>
      </c>
      <c r="N86" s="53">
        <v>41400</v>
      </c>
      <c r="O86" s="53">
        <f t="shared" si="35"/>
        <v>53744</v>
      </c>
      <c r="P86" s="53">
        <f t="shared" si="50"/>
        <v>43779</v>
      </c>
      <c r="Q86" s="53"/>
      <c r="R86" s="59">
        <f t="shared" si="28"/>
        <v>56.169000987970023</v>
      </c>
      <c r="S86" s="59">
        <f t="shared" si="40"/>
        <v>63.659813084112152</v>
      </c>
      <c r="V86" s="56">
        <v>21664</v>
      </c>
      <c r="W86" s="56">
        <v>1500</v>
      </c>
      <c r="X86" s="56">
        <v>0</v>
      </c>
      <c r="Y86" s="53">
        <f t="shared" si="36"/>
        <v>23164</v>
      </c>
      <c r="Z86" s="53">
        <f t="shared" si="51"/>
        <v>52393.5</v>
      </c>
      <c r="AA86" s="53"/>
      <c r="AB86" s="59">
        <f t="shared" si="29"/>
        <v>-72.781857705187704</v>
      </c>
      <c r="AC86" s="59">
        <f t="shared" si="41"/>
        <v>-51.179660637911276</v>
      </c>
      <c r="AF86" s="56">
        <v>1600</v>
      </c>
      <c r="AG86" s="56">
        <v>10500</v>
      </c>
      <c r="AH86" s="56">
        <v>0</v>
      </c>
      <c r="AI86" s="53">
        <f t="shared" si="37"/>
        <v>12100</v>
      </c>
      <c r="AJ86" s="53">
        <f t="shared" si="52"/>
        <v>10776.5</v>
      </c>
      <c r="AK86" s="53"/>
      <c r="AL86" s="59">
        <f t="shared" si="30"/>
        <v>-9.7014925373134275</v>
      </c>
      <c r="AM86" s="59">
        <f t="shared" si="42"/>
        <v>25.308139534883711</v>
      </c>
      <c r="AP86" s="53">
        <f t="shared" si="53"/>
        <v>737775</v>
      </c>
      <c r="AQ86" s="53">
        <f t="shared" si="53"/>
        <v>27293</v>
      </c>
      <c r="AR86" s="53">
        <f t="shared" si="53"/>
        <v>41400</v>
      </c>
      <c r="AS86" s="53">
        <f t="shared" si="53"/>
        <v>806468</v>
      </c>
      <c r="AT86" s="53">
        <f t="shared" si="54"/>
        <v>774379</v>
      </c>
      <c r="AU86" s="53"/>
      <c r="AV86" s="59">
        <f t="shared" si="31"/>
        <v>8.2625090781682342</v>
      </c>
      <c r="AW86" s="59">
        <f t="shared" si="43"/>
        <v>-7.5432939908078094</v>
      </c>
      <c r="AZ86" s="53">
        <f t="shared" si="55"/>
        <v>717.46</v>
      </c>
      <c r="BA86" s="53">
        <f t="shared" si="56"/>
        <v>53.744</v>
      </c>
      <c r="BB86" s="53">
        <f t="shared" si="57"/>
        <v>23.164000000000001</v>
      </c>
      <c r="BC86" s="53">
        <f t="shared" si="58"/>
        <v>12.1</v>
      </c>
      <c r="BD86" s="53">
        <f t="shared" si="59"/>
        <v>806.46799999999996</v>
      </c>
      <c r="BE86" s="60">
        <f t="shared" si="44"/>
        <v>11807.438999999998</v>
      </c>
      <c r="BF86" s="60">
        <f t="shared" si="45"/>
        <v>1220.9919999999997</v>
      </c>
      <c r="BG86" s="60">
        <f t="shared" si="46"/>
        <v>2350.1089999999999</v>
      </c>
      <c r="BH86" s="60">
        <f t="shared" si="47"/>
        <v>367.7940000000001</v>
      </c>
      <c r="BI86" s="60">
        <f t="shared" si="48"/>
        <v>15746.333999999999</v>
      </c>
      <c r="BJ86" s="1">
        <v>24</v>
      </c>
    </row>
    <row r="87" spans="1:62" x14ac:dyDescent="0.3">
      <c r="A87" s="49">
        <v>38164</v>
      </c>
      <c r="B87" s="56">
        <v>514714</v>
      </c>
      <c r="C87" s="56">
        <v>29600</v>
      </c>
      <c r="D87" s="56">
        <v>49300</v>
      </c>
      <c r="E87" s="53">
        <f t="shared" si="34"/>
        <v>593614</v>
      </c>
      <c r="F87" s="53">
        <f t="shared" si="49"/>
        <v>647454.5</v>
      </c>
      <c r="G87" s="53"/>
      <c r="H87" s="59">
        <f t="shared" si="32"/>
        <v>-25.784705708791854</v>
      </c>
      <c r="I87" s="59">
        <f t="shared" si="39"/>
        <v>-12.20375584148783</v>
      </c>
      <c r="L87" s="53">
        <v>3244</v>
      </c>
      <c r="M87" s="53">
        <v>1600</v>
      </c>
      <c r="N87" s="53">
        <v>1400</v>
      </c>
      <c r="O87" s="53">
        <f t="shared" si="35"/>
        <v>6244</v>
      </c>
      <c r="P87" s="53">
        <f t="shared" si="50"/>
        <v>34254.25</v>
      </c>
      <c r="Q87" s="53"/>
      <c r="R87" s="59">
        <f t="shared" si="28"/>
        <v>-89.461425509291288</v>
      </c>
      <c r="S87" s="59">
        <f t="shared" si="40"/>
        <v>0.62127765823853931</v>
      </c>
      <c r="V87" s="56">
        <v>72080</v>
      </c>
      <c r="W87" s="56">
        <v>4500</v>
      </c>
      <c r="X87" s="56">
        <v>0</v>
      </c>
      <c r="Y87" s="53">
        <f t="shared" si="36"/>
        <v>76580</v>
      </c>
      <c r="Z87" s="53">
        <f t="shared" si="51"/>
        <v>54714.5</v>
      </c>
      <c r="AA87" s="53"/>
      <c r="AB87" s="59">
        <f t="shared" si="29"/>
        <v>-25.068493150684933</v>
      </c>
      <c r="AC87" s="59">
        <f t="shared" si="41"/>
        <v>-43.611174807986131</v>
      </c>
      <c r="AF87" s="56">
        <v>0</v>
      </c>
      <c r="AG87" s="56">
        <v>0</v>
      </c>
      <c r="AH87" s="56">
        <v>0</v>
      </c>
      <c r="AI87" s="53">
        <f t="shared" si="37"/>
        <v>0</v>
      </c>
      <c r="AJ87" s="53">
        <f t="shared" si="52"/>
        <v>7275</v>
      </c>
      <c r="AK87" s="53"/>
      <c r="AL87" s="59">
        <f t="shared" si="30"/>
        <v>-100</v>
      </c>
      <c r="AM87" s="59">
        <f t="shared" si="42"/>
        <v>-19.4976208918889</v>
      </c>
      <c r="AP87" s="53">
        <f t="shared" si="53"/>
        <v>590038</v>
      </c>
      <c r="AQ87" s="53">
        <f t="shared" si="53"/>
        <v>35700</v>
      </c>
      <c r="AR87" s="53">
        <f t="shared" si="53"/>
        <v>50700</v>
      </c>
      <c r="AS87" s="53">
        <f t="shared" si="53"/>
        <v>676438</v>
      </c>
      <c r="AT87" s="53">
        <f t="shared" si="54"/>
        <v>743698.25</v>
      </c>
      <c r="AU87" s="53"/>
      <c r="AV87" s="59">
        <f t="shared" si="31"/>
        <v>-29.979059076591199</v>
      </c>
      <c r="AW87" s="59">
        <f t="shared" si="43"/>
        <v>-15.254026283620492</v>
      </c>
      <c r="AZ87" s="53">
        <f t="shared" si="55"/>
        <v>593.61400000000003</v>
      </c>
      <c r="BA87" s="53">
        <f t="shared" si="56"/>
        <v>6.2439999999999998</v>
      </c>
      <c r="BB87" s="53">
        <f t="shared" si="57"/>
        <v>76.58</v>
      </c>
      <c r="BC87" s="53">
        <f t="shared" si="58"/>
        <v>0</v>
      </c>
      <c r="BD87" s="53">
        <f t="shared" si="59"/>
        <v>676.43799999999999</v>
      </c>
      <c r="BE87" s="60">
        <f t="shared" si="44"/>
        <v>12401.052999999998</v>
      </c>
      <c r="BF87" s="60">
        <f t="shared" si="45"/>
        <v>1227.2359999999996</v>
      </c>
      <c r="BG87" s="60">
        <f t="shared" si="46"/>
        <v>2426.6889999999999</v>
      </c>
      <c r="BH87" s="60">
        <f t="shared" si="47"/>
        <v>367.7940000000001</v>
      </c>
      <c r="BI87" s="60">
        <f t="shared" si="48"/>
        <v>16422.771999999997</v>
      </c>
      <c r="BJ87" s="1">
        <v>25</v>
      </c>
    </row>
    <row r="88" spans="1:62" x14ac:dyDescent="0.3">
      <c r="A88" s="49">
        <v>38171</v>
      </c>
      <c r="B88" s="56">
        <v>594878</v>
      </c>
      <c r="C88" s="56">
        <v>11150</v>
      </c>
      <c r="D88" s="56">
        <v>0</v>
      </c>
      <c r="E88" s="53">
        <f t="shared" si="34"/>
        <v>606028</v>
      </c>
      <c r="F88" s="53">
        <f t="shared" si="49"/>
        <v>641293.75</v>
      </c>
      <c r="G88" s="53"/>
      <c r="H88" s="59">
        <f t="shared" si="32"/>
        <v>-27.442998692597609</v>
      </c>
      <c r="I88" s="59">
        <f t="shared" si="39"/>
        <v>-14.487867272889099</v>
      </c>
      <c r="L88" s="53">
        <v>14285</v>
      </c>
      <c r="M88" s="53">
        <v>8800</v>
      </c>
      <c r="N88" s="53">
        <v>52700</v>
      </c>
      <c r="O88" s="53">
        <f t="shared" si="35"/>
        <v>75785</v>
      </c>
      <c r="P88" s="53">
        <f t="shared" si="50"/>
        <v>43856</v>
      </c>
      <c r="Q88" s="53"/>
      <c r="R88" s="59">
        <f t="shared" si="28"/>
        <v>-17.029778848259248</v>
      </c>
      <c r="S88" s="59">
        <f t="shared" si="40"/>
        <v>-16.182576579245367</v>
      </c>
      <c r="V88" s="56">
        <v>36922</v>
      </c>
      <c r="W88" s="56">
        <v>12150</v>
      </c>
      <c r="X88" s="56">
        <v>0</v>
      </c>
      <c r="Y88" s="53">
        <f t="shared" si="36"/>
        <v>49072</v>
      </c>
      <c r="Z88" s="53">
        <f t="shared" si="51"/>
        <v>45612</v>
      </c>
      <c r="AA88" s="53"/>
      <c r="AB88" s="59">
        <f t="shared" si="29"/>
        <v>-45.733022216815776</v>
      </c>
      <c r="AC88" s="59">
        <f t="shared" si="41"/>
        <v>-56.056745104650886</v>
      </c>
      <c r="AF88" s="56">
        <v>1500</v>
      </c>
      <c r="AG88" s="56">
        <v>0</v>
      </c>
      <c r="AH88" s="56">
        <v>0</v>
      </c>
      <c r="AI88" s="53">
        <f t="shared" si="37"/>
        <v>1500</v>
      </c>
      <c r="AJ88" s="53">
        <f t="shared" si="52"/>
        <v>6900</v>
      </c>
      <c r="AK88" s="53"/>
      <c r="AL88" s="59">
        <f t="shared" si="30"/>
        <v>-85.902255639097746</v>
      </c>
      <c r="AM88" s="59">
        <f t="shared" si="42"/>
        <v>-39.056703762586118</v>
      </c>
      <c r="AP88" s="53">
        <f t="shared" si="53"/>
        <v>647585</v>
      </c>
      <c r="AQ88" s="53">
        <f t="shared" si="53"/>
        <v>32100</v>
      </c>
      <c r="AR88" s="53">
        <f t="shared" si="53"/>
        <v>52700</v>
      </c>
      <c r="AS88" s="53">
        <f t="shared" si="53"/>
        <v>732385</v>
      </c>
      <c r="AT88" s="53">
        <f t="shared" si="54"/>
        <v>737661.75</v>
      </c>
      <c r="AU88" s="53"/>
      <c r="AV88" s="59">
        <f t="shared" si="31"/>
        <v>-28.732127930591222</v>
      </c>
      <c r="AW88" s="59">
        <f t="shared" si="43"/>
        <v>-19.591039773269202</v>
      </c>
      <c r="AZ88" s="53">
        <f t="shared" si="55"/>
        <v>606.02800000000002</v>
      </c>
      <c r="BA88" s="53">
        <f t="shared" si="56"/>
        <v>75.784999999999997</v>
      </c>
      <c r="BB88" s="53">
        <f t="shared" si="57"/>
        <v>49.072000000000003</v>
      </c>
      <c r="BC88" s="53">
        <f t="shared" si="58"/>
        <v>1.5</v>
      </c>
      <c r="BD88" s="53">
        <f t="shared" si="59"/>
        <v>732.38499999999999</v>
      </c>
      <c r="BE88" s="60">
        <f t="shared" si="44"/>
        <v>13007.080999999998</v>
      </c>
      <c r="BF88" s="60">
        <f t="shared" si="45"/>
        <v>1303.0209999999997</v>
      </c>
      <c r="BG88" s="60">
        <f t="shared" si="46"/>
        <v>2475.761</v>
      </c>
      <c r="BH88" s="60">
        <f t="shared" si="47"/>
        <v>369.2940000000001</v>
      </c>
      <c r="BI88" s="60">
        <f t="shared" si="48"/>
        <v>17155.156999999996</v>
      </c>
      <c r="BJ88" s="1">
        <v>26</v>
      </c>
    </row>
    <row r="89" spans="1:62" x14ac:dyDescent="0.3">
      <c r="A89" s="49">
        <v>38178</v>
      </c>
      <c r="B89" s="56">
        <v>502651</v>
      </c>
      <c r="C89" s="56">
        <v>10500</v>
      </c>
      <c r="D89" s="56">
        <v>0</v>
      </c>
      <c r="E89" s="53">
        <f t="shared" si="34"/>
        <v>513151</v>
      </c>
      <c r="F89" s="53">
        <f t="shared" si="49"/>
        <v>607563.25</v>
      </c>
      <c r="G89" s="53"/>
      <c r="H89" s="59">
        <f t="shared" si="32"/>
        <v>-12.394943278333093</v>
      </c>
      <c r="I89" s="59">
        <f t="shared" si="39"/>
        <v>-14.211821086374766</v>
      </c>
      <c r="L89" s="53">
        <v>29570</v>
      </c>
      <c r="M89" s="53">
        <v>4400</v>
      </c>
      <c r="N89" s="53">
        <v>41200</v>
      </c>
      <c r="O89" s="53">
        <f t="shared" si="35"/>
        <v>75170</v>
      </c>
      <c r="P89" s="53">
        <f t="shared" si="50"/>
        <v>52735.75</v>
      </c>
      <c r="Q89" s="53"/>
      <c r="R89" s="59">
        <f t="shared" si="28"/>
        <v>22.398801576187832</v>
      </c>
      <c r="S89" s="59">
        <f t="shared" si="40"/>
        <v>-14.395922359252811</v>
      </c>
      <c r="V89" s="56">
        <v>38335</v>
      </c>
      <c r="W89" s="56">
        <v>6000</v>
      </c>
      <c r="X89" s="56">
        <v>1400</v>
      </c>
      <c r="Y89" s="53">
        <f t="shared" si="36"/>
        <v>45735</v>
      </c>
      <c r="Z89" s="53">
        <f t="shared" si="51"/>
        <v>48637.75</v>
      </c>
      <c r="AA89" s="53"/>
      <c r="AB89" s="59">
        <f t="shared" si="29"/>
        <v>-56.566126612091395</v>
      </c>
      <c r="AC89" s="59">
        <f t="shared" si="41"/>
        <v>-49.207372790643035</v>
      </c>
      <c r="AF89" s="56">
        <v>1624</v>
      </c>
      <c r="AG89" s="56">
        <v>0</v>
      </c>
      <c r="AH89" s="56">
        <v>0</v>
      </c>
      <c r="AI89" s="53">
        <f t="shared" si="37"/>
        <v>1624</v>
      </c>
      <c r="AJ89" s="53">
        <f t="shared" si="52"/>
        <v>3806</v>
      </c>
      <c r="AK89" s="53"/>
      <c r="AL89" s="59"/>
      <c r="AM89" s="59">
        <f t="shared" si="42"/>
        <v>-47.116854244824239</v>
      </c>
      <c r="AP89" s="53">
        <f t="shared" si="53"/>
        <v>572180</v>
      </c>
      <c r="AQ89" s="53">
        <f t="shared" si="53"/>
        <v>20900</v>
      </c>
      <c r="AR89" s="53">
        <f t="shared" si="53"/>
        <v>42600</v>
      </c>
      <c r="AS89" s="53">
        <f t="shared" si="53"/>
        <v>635680</v>
      </c>
      <c r="AT89" s="53">
        <f t="shared" si="54"/>
        <v>712742.75</v>
      </c>
      <c r="AU89" s="53"/>
      <c r="AV89" s="59">
        <f t="shared" si="31"/>
        <v>-15.520547744950941</v>
      </c>
      <c r="AW89" s="59">
        <f t="shared" si="43"/>
        <v>-18.335745188892403</v>
      </c>
      <c r="AZ89" s="53">
        <f t="shared" si="55"/>
        <v>513.15099999999995</v>
      </c>
      <c r="BA89" s="53">
        <f t="shared" si="56"/>
        <v>75.17</v>
      </c>
      <c r="BB89" s="53">
        <f t="shared" si="57"/>
        <v>45.734999999999999</v>
      </c>
      <c r="BC89" s="53">
        <f t="shared" si="58"/>
        <v>1.6240000000000001</v>
      </c>
      <c r="BD89" s="53">
        <f t="shared" si="59"/>
        <v>635.67999999999995</v>
      </c>
      <c r="BE89" s="60">
        <f t="shared" si="44"/>
        <v>13520.231999999998</v>
      </c>
      <c r="BF89" s="60">
        <f t="shared" si="45"/>
        <v>1378.1909999999998</v>
      </c>
      <c r="BG89" s="60">
        <f t="shared" si="46"/>
        <v>2521.4960000000001</v>
      </c>
      <c r="BH89" s="60">
        <f t="shared" si="47"/>
        <v>370.91800000000012</v>
      </c>
      <c r="BI89" s="60">
        <f t="shared" si="48"/>
        <v>17790.836999999996</v>
      </c>
      <c r="BJ89" s="1">
        <v>27</v>
      </c>
    </row>
    <row r="90" spans="1:62" x14ac:dyDescent="0.3">
      <c r="A90" s="49">
        <v>38185</v>
      </c>
      <c r="B90" s="56">
        <v>626215</v>
      </c>
      <c r="C90" s="56">
        <v>13600</v>
      </c>
      <c r="D90" s="56">
        <v>0</v>
      </c>
      <c r="E90" s="53">
        <f t="shared" si="34"/>
        <v>639815</v>
      </c>
      <c r="F90" s="53">
        <f t="shared" si="49"/>
        <v>588152</v>
      </c>
      <c r="G90" s="53"/>
      <c r="H90" s="59">
        <f t="shared" si="32"/>
        <v>-16.947806074168881</v>
      </c>
      <c r="I90" s="59">
        <f t="shared" si="39"/>
        <v>-21.349812618889217</v>
      </c>
      <c r="L90" s="53">
        <v>28266</v>
      </c>
      <c r="M90" s="53">
        <v>26595</v>
      </c>
      <c r="N90" s="53">
        <v>48000</v>
      </c>
      <c r="O90" s="53">
        <f t="shared" si="35"/>
        <v>102861</v>
      </c>
      <c r="P90" s="53">
        <f t="shared" si="50"/>
        <v>65015</v>
      </c>
      <c r="Q90" s="53"/>
      <c r="R90" s="59">
        <f t="shared" si="28"/>
        <v>-8.0259663617586305</v>
      </c>
      <c r="S90" s="59">
        <f t="shared" si="40"/>
        <v>-19.694911067193676</v>
      </c>
      <c r="V90" s="56">
        <v>21871</v>
      </c>
      <c r="W90" s="56">
        <v>2700</v>
      </c>
      <c r="X90" s="56">
        <v>0</v>
      </c>
      <c r="Y90" s="53">
        <f t="shared" si="36"/>
        <v>24571</v>
      </c>
      <c r="Z90" s="53">
        <f t="shared" si="51"/>
        <v>48989.5</v>
      </c>
      <c r="AA90" s="53"/>
      <c r="AB90" s="59">
        <f t="shared" si="29"/>
        <v>-82.394204726214866</v>
      </c>
      <c r="AC90" s="59">
        <f t="shared" si="41"/>
        <v>-55.208269045708789</v>
      </c>
      <c r="AF90" s="56">
        <v>1500</v>
      </c>
      <c r="AG90" s="56">
        <v>0</v>
      </c>
      <c r="AH90" s="56">
        <v>0</v>
      </c>
      <c r="AI90" s="53">
        <f t="shared" si="37"/>
        <v>1500</v>
      </c>
      <c r="AJ90" s="53">
        <f t="shared" si="52"/>
        <v>1156</v>
      </c>
      <c r="AK90" s="53"/>
      <c r="AL90" s="59">
        <f t="shared" si="30"/>
        <v>-52.755905511811022</v>
      </c>
      <c r="AM90" s="59">
        <f t="shared" si="42"/>
        <v>-75.090233259710175</v>
      </c>
      <c r="AP90" s="53">
        <f t="shared" si="53"/>
        <v>677852</v>
      </c>
      <c r="AQ90" s="53">
        <f t="shared" si="53"/>
        <v>42895</v>
      </c>
      <c r="AR90" s="53">
        <f t="shared" si="53"/>
        <v>48000</v>
      </c>
      <c r="AS90" s="53">
        <f t="shared" si="53"/>
        <v>768747</v>
      </c>
      <c r="AT90" s="53">
        <f t="shared" si="54"/>
        <v>703312.5</v>
      </c>
      <c r="AU90" s="53"/>
      <c r="AV90" s="59">
        <f t="shared" si="31"/>
        <v>-24.996707159659337</v>
      </c>
      <c r="AW90" s="59">
        <f t="shared" si="43"/>
        <v>-25.400146375612554</v>
      </c>
      <c r="AZ90" s="53">
        <f t="shared" si="55"/>
        <v>639.81500000000005</v>
      </c>
      <c r="BA90" s="53">
        <f t="shared" si="56"/>
        <v>102.861</v>
      </c>
      <c r="BB90" s="53">
        <f t="shared" si="57"/>
        <v>24.571000000000002</v>
      </c>
      <c r="BC90" s="53">
        <f t="shared" si="58"/>
        <v>1.5</v>
      </c>
      <c r="BD90" s="53">
        <f t="shared" si="59"/>
        <v>768.74699999999996</v>
      </c>
      <c r="BE90" s="60">
        <f t="shared" si="44"/>
        <v>14160.046999999999</v>
      </c>
      <c r="BF90" s="60">
        <f t="shared" si="45"/>
        <v>1481.0519999999999</v>
      </c>
      <c r="BG90" s="60">
        <f t="shared" si="46"/>
        <v>2546.067</v>
      </c>
      <c r="BH90" s="60">
        <f t="shared" si="47"/>
        <v>372.41800000000012</v>
      </c>
      <c r="BI90" s="60">
        <f t="shared" si="48"/>
        <v>18559.583999999995</v>
      </c>
      <c r="BJ90" s="1">
        <v>28</v>
      </c>
    </row>
    <row r="91" spans="1:62" x14ac:dyDescent="0.3">
      <c r="A91" s="49">
        <v>38192</v>
      </c>
      <c r="B91" s="56">
        <v>511989</v>
      </c>
      <c r="C91" s="56">
        <v>13600</v>
      </c>
      <c r="D91" s="56">
        <v>0</v>
      </c>
      <c r="E91" s="53">
        <f t="shared" si="34"/>
        <v>525589</v>
      </c>
      <c r="F91" s="53">
        <f t="shared" si="49"/>
        <v>571145.75</v>
      </c>
      <c r="G91" s="53"/>
      <c r="H91" s="59">
        <f t="shared" si="32"/>
        <v>-7.9162819544722707</v>
      </c>
      <c r="I91" s="59">
        <f t="shared" si="39"/>
        <v>-17.289653816647832</v>
      </c>
      <c r="L91" s="53">
        <v>33920</v>
      </c>
      <c r="M91" s="53">
        <v>26743</v>
      </c>
      <c r="N91" s="53">
        <v>54500</v>
      </c>
      <c r="O91" s="53">
        <f t="shared" si="35"/>
        <v>115163</v>
      </c>
      <c r="P91" s="53">
        <f t="shared" si="50"/>
        <v>92244.75</v>
      </c>
      <c r="Q91" s="53"/>
      <c r="R91" s="59">
        <f t="shared" si="28"/>
        <v>0.12780830493148709</v>
      </c>
      <c r="S91" s="59">
        <f t="shared" si="40"/>
        <v>-2.7997376233841798</v>
      </c>
      <c r="V91" s="56">
        <v>34144</v>
      </c>
      <c r="W91" s="56">
        <v>5400</v>
      </c>
      <c r="X91" s="56">
        <v>1400</v>
      </c>
      <c r="Y91" s="53">
        <f t="shared" si="36"/>
        <v>40944</v>
      </c>
      <c r="Z91" s="53">
        <f t="shared" si="51"/>
        <v>40080.5</v>
      </c>
      <c r="AA91" s="53"/>
      <c r="AB91" s="59">
        <f t="shared" si="29"/>
        <v>-72.693077230892357</v>
      </c>
      <c r="AC91" s="59">
        <f t="shared" si="41"/>
        <v>-66.959381897544873</v>
      </c>
      <c r="AF91" s="56">
        <v>0</v>
      </c>
      <c r="AG91" s="56">
        <v>1500</v>
      </c>
      <c r="AH91" s="56">
        <v>7600</v>
      </c>
      <c r="AI91" s="53">
        <f t="shared" si="37"/>
        <v>9100</v>
      </c>
      <c r="AJ91" s="53">
        <f t="shared" si="52"/>
        <v>3431</v>
      </c>
      <c r="AK91" s="53"/>
      <c r="AL91" s="59">
        <f t="shared" si="30"/>
        <v>454.8780487804878</v>
      </c>
      <c r="AM91" s="59">
        <f t="shared" si="42"/>
        <v>-11.200258815917174</v>
      </c>
      <c r="AP91" s="53">
        <f t="shared" si="53"/>
        <v>580053</v>
      </c>
      <c r="AQ91" s="53">
        <f t="shared" si="53"/>
        <v>47243</v>
      </c>
      <c r="AR91" s="53">
        <f t="shared" si="53"/>
        <v>63500</v>
      </c>
      <c r="AS91" s="53">
        <f t="shared" si="53"/>
        <v>690796</v>
      </c>
      <c r="AT91" s="53">
        <f t="shared" si="54"/>
        <v>706902</v>
      </c>
      <c r="AU91" s="53"/>
      <c r="AV91" s="59">
        <f t="shared" si="31"/>
        <v>-17.503991669144668</v>
      </c>
      <c r="AW91" s="59">
        <f t="shared" si="43"/>
        <v>-22.370456271321572</v>
      </c>
      <c r="AZ91" s="53">
        <f t="shared" si="55"/>
        <v>525.58900000000006</v>
      </c>
      <c r="BA91" s="53">
        <f t="shared" si="56"/>
        <v>115.163</v>
      </c>
      <c r="BB91" s="53">
        <f t="shared" si="57"/>
        <v>40.944000000000003</v>
      </c>
      <c r="BC91" s="53">
        <f t="shared" si="58"/>
        <v>9.1</v>
      </c>
      <c r="BD91" s="53">
        <f t="shared" si="59"/>
        <v>690.79600000000005</v>
      </c>
      <c r="BE91" s="60">
        <f t="shared" si="44"/>
        <v>14685.635999999999</v>
      </c>
      <c r="BF91" s="60">
        <f t="shared" si="45"/>
        <v>1596.2149999999999</v>
      </c>
      <c r="BG91" s="60">
        <f t="shared" si="46"/>
        <v>2587.011</v>
      </c>
      <c r="BH91" s="60">
        <f t="shared" si="47"/>
        <v>381.51800000000014</v>
      </c>
      <c r="BI91" s="60">
        <f t="shared" si="48"/>
        <v>19250.379999999994</v>
      </c>
      <c r="BJ91" s="1">
        <v>29</v>
      </c>
    </row>
    <row r="92" spans="1:62" x14ac:dyDescent="0.3">
      <c r="A92" s="49">
        <v>38199</v>
      </c>
      <c r="B92" s="56">
        <v>417094</v>
      </c>
      <c r="C92" s="56">
        <v>10500</v>
      </c>
      <c r="D92" s="56">
        <v>0</v>
      </c>
      <c r="E92" s="53">
        <f t="shared" si="34"/>
        <v>427594</v>
      </c>
      <c r="F92" s="53">
        <f t="shared" si="49"/>
        <v>526537.25</v>
      </c>
      <c r="G92" s="53"/>
      <c r="H92" s="59">
        <f t="shared" si="32"/>
        <v>-27.882748791985357</v>
      </c>
      <c r="I92" s="59">
        <f t="shared" si="39"/>
        <v>-16.416688493622555</v>
      </c>
      <c r="L92" s="53">
        <v>25488</v>
      </c>
      <c r="M92" s="53">
        <v>14900</v>
      </c>
      <c r="N92" s="53">
        <v>10400</v>
      </c>
      <c r="O92" s="53">
        <f t="shared" si="35"/>
        <v>50788</v>
      </c>
      <c r="P92" s="53">
        <f t="shared" si="50"/>
        <v>85995.5</v>
      </c>
      <c r="Q92" s="53"/>
      <c r="R92" s="59">
        <f t="shared" si="28"/>
        <v>-61.078711615538474</v>
      </c>
      <c r="S92" s="59">
        <f t="shared" si="40"/>
        <v>-17.856221761598647</v>
      </c>
      <c r="V92" s="56">
        <v>12623</v>
      </c>
      <c r="W92" s="56">
        <v>25425</v>
      </c>
      <c r="X92" s="56">
        <v>0</v>
      </c>
      <c r="Y92" s="53">
        <f t="shared" si="36"/>
        <v>38048</v>
      </c>
      <c r="Z92" s="53">
        <f t="shared" si="51"/>
        <v>37324.5</v>
      </c>
      <c r="AA92" s="53"/>
      <c r="AB92" s="59">
        <f t="shared" si="29"/>
        <v>-75.470469534720294</v>
      </c>
      <c r="AC92" s="59">
        <f t="shared" si="41"/>
        <v>-72.850515810740291</v>
      </c>
      <c r="AF92" s="56">
        <v>1500</v>
      </c>
      <c r="AG92" s="56">
        <v>13500</v>
      </c>
      <c r="AH92" s="56">
        <v>0</v>
      </c>
      <c r="AI92" s="53">
        <f t="shared" si="37"/>
        <v>15000</v>
      </c>
      <c r="AJ92" s="53">
        <f t="shared" si="52"/>
        <v>6806</v>
      </c>
      <c r="AK92" s="53"/>
      <c r="AL92" s="59">
        <f t="shared" si="30"/>
        <v>-20.106524633821575</v>
      </c>
      <c r="AM92" s="59">
        <f t="shared" si="42"/>
        <v>15.404832556167868</v>
      </c>
      <c r="AP92" s="53">
        <f t="shared" si="53"/>
        <v>456705</v>
      </c>
      <c r="AQ92" s="53">
        <f t="shared" si="53"/>
        <v>64325</v>
      </c>
      <c r="AR92" s="53">
        <f t="shared" si="53"/>
        <v>10400</v>
      </c>
      <c r="AS92" s="53">
        <f t="shared" si="53"/>
        <v>531430</v>
      </c>
      <c r="AT92" s="53">
        <f t="shared" si="54"/>
        <v>656663.25</v>
      </c>
      <c r="AU92" s="53"/>
      <c r="AV92" s="59">
        <f t="shared" si="31"/>
        <v>-40.773885811721968</v>
      </c>
      <c r="AW92" s="59">
        <f t="shared" si="43"/>
        <v>-25.210836778350821</v>
      </c>
      <c r="AZ92" s="53">
        <f t="shared" si="55"/>
        <v>427.59399999999999</v>
      </c>
      <c r="BA92" s="53">
        <f t="shared" si="56"/>
        <v>50.787999999999997</v>
      </c>
      <c r="BB92" s="53">
        <f t="shared" si="57"/>
        <v>38.048000000000002</v>
      </c>
      <c r="BC92" s="53">
        <f t="shared" si="58"/>
        <v>15</v>
      </c>
      <c r="BD92" s="53">
        <f t="shared" si="59"/>
        <v>531.42999999999995</v>
      </c>
      <c r="BE92" s="60">
        <f t="shared" si="44"/>
        <v>15113.229999999998</v>
      </c>
      <c r="BF92" s="60">
        <f t="shared" si="45"/>
        <v>1647.0029999999999</v>
      </c>
      <c r="BG92" s="60">
        <f t="shared" si="46"/>
        <v>2625.0590000000002</v>
      </c>
      <c r="BH92" s="60">
        <f t="shared" si="47"/>
        <v>396.51800000000014</v>
      </c>
      <c r="BI92" s="60">
        <f t="shared" si="48"/>
        <v>19781.809999999994</v>
      </c>
      <c r="BJ92" s="1">
        <v>30</v>
      </c>
    </row>
    <row r="93" spans="1:62" x14ac:dyDescent="0.3">
      <c r="A93" s="49">
        <v>38206</v>
      </c>
      <c r="B93" s="56">
        <v>412612</v>
      </c>
      <c r="C93" s="56">
        <v>28463</v>
      </c>
      <c r="D93" s="56">
        <v>0</v>
      </c>
      <c r="E93" s="53">
        <f t="shared" si="34"/>
        <v>441075</v>
      </c>
      <c r="F93" s="53">
        <f t="shared" si="49"/>
        <v>508518.25</v>
      </c>
      <c r="G93" s="53"/>
      <c r="H93" s="59">
        <f t="shared" si="32"/>
        <v>-17.969294860469219</v>
      </c>
      <c r="I93" s="59">
        <f t="shared" si="39"/>
        <v>-17.70750396478622</v>
      </c>
      <c r="L93" s="53">
        <v>32924</v>
      </c>
      <c r="M93" s="53">
        <v>17358</v>
      </c>
      <c r="N93" s="53">
        <v>36400</v>
      </c>
      <c r="O93" s="53">
        <f t="shared" si="35"/>
        <v>86682</v>
      </c>
      <c r="P93" s="53">
        <f t="shared" si="50"/>
        <v>88873.5</v>
      </c>
      <c r="Q93" s="53"/>
      <c r="R93" s="59">
        <f t="shared" si="28"/>
        <v>-31.290376277178432</v>
      </c>
      <c r="S93" s="59">
        <f t="shared" si="40"/>
        <v>-26.474718665395379</v>
      </c>
      <c r="V93" s="56">
        <v>33080</v>
      </c>
      <c r="W93" s="56">
        <v>6800</v>
      </c>
      <c r="X93" s="56">
        <v>0</v>
      </c>
      <c r="Y93" s="53">
        <f t="shared" si="36"/>
        <v>39880</v>
      </c>
      <c r="Z93" s="53">
        <f t="shared" si="51"/>
        <v>35860.75</v>
      </c>
      <c r="AA93" s="53"/>
      <c r="AB93" s="59">
        <f t="shared" si="29"/>
        <v>-71.823423016052445</v>
      </c>
      <c r="AC93" s="59">
        <f t="shared" si="41"/>
        <v>-75.52789478443195</v>
      </c>
      <c r="AF93" s="56">
        <v>0</v>
      </c>
      <c r="AG93" s="56">
        <v>0</v>
      </c>
      <c r="AH93" s="56">
        <v>1800</v>
      </c>
      <c r="AI93" s="53">
        <f t="shared" si="37"/>
        <v>1800</v>
      </c>
      <c r="AJ93" s="53">
        <f t="shared" si="52"/>
        <v>6850</v>
      </c>
      <c r="AK93" s="53"/>
      <c r="AL93" s="59">
        <f t="shared" si="30"/>
        <v>-89.944134078212286</v>
      </c>
      <c r="AM93" s="59">
        <f t="shared" si="42"/>
        <v>-33.959990359122685</v>
      </c>
      <c r="AP93" s="53">
        <f t="shared" si="53"/>
        <v>478616</v>
      </c>
      <c r="AQ93" s="53">
        <f t="shared" si="53"/>
        <v>52621</v>
      </c>
      <c r="AR93" s="53">
        <f t="shared" si="53"/>
        <v>38200</v>
      </c>
      <c r="AS93" s="53">
        <f t="shared" si="53"/>
        <v>569437</v>
      </c>
      <c r="AT93" s="53">
        <f t="shared" si="54"/>
        <v>640102.5</v>
      </c>
      <c r="AU93" s="53"/>
      <c r="AV93" s="59">
        <f t="shared" si="31"/>
        <v>-30.833802994820768</v>
      </c>
      <c r="AW93" s="59">
        <f t="shared" si="43"/>
        <v>-28.538015874300637</v>
      </c>
      <c r="AZ93" s="53">
        <f t="shared" si="55"/>
        <v>441.07499999999999</v>
      </c>
      <c r="BA93" s="53">
        <f t="shared" si="56"/>
        <v>86.682000000000002</v>
      </c>
      <c r="BB93" s="53">
        <f t="shared" si="57"/>
        <v>39.880000000000003</v>
      </c>
      <c r="BC93" s="53">
        <f t="shared" si="58"/>
        <v>1.8</v>
      </c>
      <c r="BD93" s="53">
        <f t="shared" si="59"/>
        <v>569.43700000000001</v>
      </c>
      <c r="BE93" s="60">
        <f t="shared" si="44"/>
        <v>15554.304999999998</v>
      </c>
      <c r="BF93" s="60">
        <f t="shared" si="45"/>
        <v>1733.6849999999999</v>
      </c>
      <c r="BG93" s="60">
        <f t="shared" si="46"/>
        <v>2664.9390000000003</v>
      </c>
      <c r="BH93" s="60">
        <f t="shared" si="47"/>
        <v>398.31800000000015</v>
      </c>
      <c r="BI93" s="60">
        <f t="shared" si="48"/>
        <v>20351.246999999996</v>
      </c>
      <c r="BJ93" s="1">
        <v>31</v>
      </c>
    </row>
    <row r="94" spans="1:62" x14ac:dyDescent="0.3">
      <c r="A94" s="49">
        <v>38213</v>
      </c>
      <c r="B94" s="56">
        <v>720226</v>
      </c>
      <c r="C94" s="56">
        <v>15275</v>
      </c>
      <c r="D94" s="56">
        <v>0</v>
      </c>
      <c r="E94" s="53">
        <f t="shared" si="34"/>
        <v>735501</v>
      </c>
      <c r="F94" s="53">
        <f t="shared" si="49"/>
        <v>532439.75</v>
      </c>
      <c r="G94" s="53"/>
      <c r="H94" s="59">
        <f t="shared" si="32"/>
        <v>26.483840013207271</v>
      </c>
      <c r="I94" s="59">
        <f t="shared" si="39"/>
        <v>-6.7074017436738913</v>
      </c>
      <c r="L94" s="53">
        <v>17347</v>
      </c>
      <c r="M94" s="53">
        <v>11600</v>
      </c>
      <c r="N94" s="53">
        <v>45100</v>
      </c>
      <c r="O94" s="53">
        <f t="shared" si="35"/>
        <v>74047</v>
      </c>
      <c r="P94" s="53">
        <f t="shared" si="50"/>
        <v>81670</v>
      </c>
      <c r="Q94" s="53"/>
      <c r="R94" s="59">
        <f t="shared" si="28"/>
        <v>-24.77115484257688</v>
      </c>
      <c r="S94" s="59">
        <f t="shared" si="40"/>
        <v>-30.507072034988969</v>
      </c>
      <c r="V94" s="56">
        <v>41184</v>
      </c>
      <c r="W94" s="56">
        <v>9000</v>
      </c>
      <c r="X94" s="56">
        <v>1400</v>
      </c>
      <c r="Y94" s="53">
        <f t="shared" si="36"/>
        <v>51584</v>
      </c>
      <c r="Z94" s="53">
        <f t="shared" si="51"/>
        <v>42614</v>
      </c>
      <c r="AA94" s="53"/>
      <c r="AB94" s="59">
        <f t="shared" si="29"/>
        <v>-42.770923937161619</v>
      </c>
      <c r="AC94" s="59">
        <f t="shared" si="41"/>
        <v>-68.241346094726694</v>
      </c>
      <c r="AF94" s="56">
        <v>4570</v>
      </c>
      <c r="AG94" s="56">
        <v>31550</v>
      </c>
      <c r="AH94" s="56">
        <v>2000</v>
      </c>
      <c r="AI94" s="53">
        <f t="shared" si="37"/>
        <v>38120</v>
      </c>
      <c r="AJ94" s="53">
        <f t="shared" si="52"/>
        <v>16005</v>
      </c>
      <c r="AK94" s="53"/>
      <c r="AL94" s="59">
        <f t="shared" si="30"/>
        <v>-8.3631818072549819</v>
      </c>
      <c r="AM94" s="59">
        <f t="shared" si="42"/>
        <v>-19.888880546587583</v>
      </c>
      <c r="AP94" s="53">
        <f t="shared" si="53"/>
        <v>783327</v>
      </c>
      <c r="AQ94" s="53">
        <f t="shared" si="53"/>
        <v>67425</v>
      </c>
      <c r="AR94" s="53">
        <f t="shared" si="53"/>
        <v>48500</v>
      </c>
      <c r="AS94" s="53">
        <f t="shared" si="53"/>
        <v>899252</v>
      </c>
      <c r="AT94" s="53">
        <f t="shared" si="54"/>
        <v>672728.75</v>
      </c>
      <c r="AU94" s="53"/>
      <c r="AV94" s="59">
        <f t="shared" si="31"/>
        <v>10.791437815248228</v>
      </c>
      <c r="AW94" s="59">
        <f t="shared" si="43"/>
        <v>-20.141624740437248</v>
      </c>
      <c r="AZ94" s="53">
        <f t="shared" si="55"/>
        <v>735.50099999999998</v>
      </c>
      <c r="BA94" s="53">
        <f t="shared" si="56"/>
        <v>74.046999999999997</v>
      </c>
      <c r="BB94" s="53">
        <f t="shared" si="57"/>
        <v>51.584000000000003</v>
      </c>
      <c r="BC94" s="53">
        <f t="shared" si="58"/>
        <v>38.119999999999997</v>
      </c>
      <c r="BD94" s="53">
        <f t="shared" si="59"/>
        <v>899.25199999999995</v>
      </c>
      <c r="BE94" s="60">
        <f t="shared" si="44"/>
        <v>16289.805999999999</v>
      </c>
      <c r="BF94" s="60">
        <f t="shared" si="45"/>
        <v>1807.732</v>
      </c>
      <c r="BG94" s="60">
        <f t="shared" si="46"/>
        <v>2716.5230000000001</v>
      </c>
      <c r="BH94" s="60">
        <f t="shared" si="47"/>
        <v>436.43800000000016</v>
      </c>
      <c r="BI94" s="60">
        <f t="shared" si="48"/>
        <v>21250.498999999996</v>
      </c>
      <c r="BJ94" s="1">
        <v>32</v>
      </c>
    </row>
    <row r="95" spans="1:62" x14ac:dyDescent="0.3">
      <c r="A95" s="49">
        <v>38220</v>
      </c>
      <c r="B95" s="56">
        <v>451402</v>
      </c>
      <c r="C95" s="56">
        <v>20800</v>
      </c>
      <c r="D95" s="56">
        <v>0</v>
      </c>
      <c r="E95" s="53">
        <f t="shared" si="34"/>
        <v>472202</v>
      </c>
      <c r="F95" s="53">
        <f t="shared" si="49"/>
        <v>519093</v>
      </c>
      <c r="G95" s="53"/>
      <c r="H95" s="59">
        <f t="shared" si="32"/>
        <v>-5.9710705950759451</v>
      </c>
      <c r="I95" s="59">
        <f t="shared" si="39"/>
        <v>-6.2287968726854936</v>
      </c>
      <c r="L95" s="53">
        <v>23473</v>
      </c>
      <c r="M95" s="53">
        <v>40741</v>
      </c>
      <c r="N95" s="53">
        <v>31600</v>
      </c>
      <c r="O95" s="53">
        <f t="shared" si="35"/>
        <v>95814</v>
      </c>
      <c r="P95" s="53">
        <f t="shared" si="50"/>
        <v>76832.75</v>
      </c>
      <c r="Q95" s="53"/>
      <c r="R95" s="59">
        <f t="shared" si="28"/>
        <v>33.436390223522025</v>
      </c>
      <c r="S95" s="59">
        <f t="shared" si="40"/>
        <v>-28.005294227886058</v>
      </c>
      <c r="V95" s="56">
        <v>15743</v>
      </c>
      <c r="W95" s="56">
        <v>0</v>
      </c>
      <c r="X95" s="56">
        <v>2400</v>
      </c>
      <c r="Y95" s="53">
        <f t="shared" si="36"/>
        <v>18143</v>
      </c>
      <c r="Z95" s="53">
        <f t="shared" si="51"/>
        <v>36913.75</v>
      </c>
      <c r="AA95" s="53"/>
      <c r="AB95" s="59">
        <f t="shared" si="29"/>
        <v>-62.937162935120114</v>
      </c>
      <c r="AC95" s="59">
        <f t="shared" si="41"/>
        <v>-66.113578206937703</v>
      </c>
      <c r="AF95" s="56">
        <v>0</v>
      </c>
      <c r="AG95" s="56">
        <v>12500</v>
      </c>
      <c r="AH95" s="56">
        <v>0</v>
      </c>
      <c r="AI95" s="53">
        <f t="shared" si="37"/>
        <v>12500</v>
      </c>
      <c r="AJ95" s="53">
        <f t="shared" si="52"/>
        <v>16855</v>
      </c>
      <c r="AK95" s="53"/>
      <c r="AL95" s="59">
        <f t="shared" si="30"/>
        <v>92.455735180908391</v>
      </c>
      <c r="AM95" s="59">
        <f t="shared" si="42"/>
        <v>-20.466208165720957</v>
      </c>
      <c r="AP95" s="53">
        <f t="shared" si="53"/>
        <v>490618</v>
      </c>
      <c r="AQ95" s="53">
        <f t="shared" si="53"/>
        <v>74041</v>
      </c>
      <c r="AR95" s="53">
        <f t="shared" si="53"/>
        <v>34000</v>
      </c>
      <c r="AS95" s="53">
        <f t="shared" si="53"/>
        <v>598659</v>
      </c>
      <c r="AT95" s="53">
        <f t="shared" si="54"/>
        <v>649694.5</v>
      </c>
      <c r="AU95" s="53"/>
      <c r="AV95" s="59">
        <f t="shared" si="31"/>
        <v>-4.8902198779867785</v>
      </c>
      <c r="AW95" s="59">
        <f t="shared" si="43"/>
        <v>-17.803889071632806</v>
      </c>
      <c r="AZ95" s="53">
        <f t="shared" si="55"/>
        <v>472.202</v>
      </c>
      <c r="BA95" s="53">
        <f t="shared" si="56"/>
        <v>95.813999999999993</v>
      </c>
      <c r="BB95" s="53">
        <f t="shared" si="57"/>
        <v>18.143000000000001</v>
      </c>
      <c r="BC95" s="53">
        <f t="shared" si="58"/>
        <v>12.5</v>
      </c>
      <c r="BD95" s="53">
        <f t="shared" si="59"/>
        <v>598.65899999999999</v>
      </c>
      <c r="BE95" s="60">
        <f t="shared" si="44"/>
        <v>16762.007999999998</v>
      </c>
      <c r="BF95" s="60">
        <f t="shared" si="45"/>
        <v>1903.546</v>
      </c>
      <c r="BG95" s="60">
        <f t="shared" si="46"/>
        <v>2734.6660000000002</v>
      </c>
      <c r="BH95" s="60">
        <f t="shared" si="47"/>
        <v>448.93800000000016</v>
      </c>
      <c r="BI95" s="60">
        <f t="shared" si="48"/>
        <v>21849.157999999996</v>
      </c>
      <c r="BJ95" s="1">
        <v>33</v>
      </c>
    </row>
    <row r="96" spans="1:62" x14ac:dyDescent="0.3">
      <c r="A96" s="49">
        <v>38227</v>
      </c>
      <c r="B96" s="56">
        <v>474663</v>
      </c>
      <c r="C96" s="56">
        <v>13900</v>
      </c>
      <c r="D96" s="56">
        <v>0</v>
      </c>
      <c r="E96" s="53">
        <f t="shared" si="34"/>
        <v>488563</v>
      </c>
      <c r="F96" s="53">
        <f t="shared" si="49"/>
        <v>534335.25</v>
      </c>
      <c r="G96" s="53"/>
      <c r="H96" s="59">
        <f t="shared" si="32"/>
        <v>0.64167531846870407</v>
      </c>
      <c r="I96" s="59">
        <f t="shared" si="39"/>
        <v>1.4482428331867414</v>
      </c>
      <c r="L96" s="53">
        <v>20140</v>
      </c>
      <c r="M96" s="53">
        <v>26800</v>
      </c>
      <c r="N96" s="53">
        <v>38100</v>
      </c>
      <c r="O96" s="53">
        <f t="shared" si="35"/>
        <v>85040</v>
      </c>
      <c r="P96" s="53">
        <f t="shared" si="50"/>
        <v>85395.75</v>
      </c>
      <c r="Q96" s="53"/>
      <c r="R96" s="59">
        <f t="shared" si="28"/>
        <v>-38.735078202107964</v>
      </c>
      <c r="S96" s="59">
        <f t="shared" si="40"/>
        <v>-21.51089848758496</v>
      </c>
      <c r="V96" s="56">
        <v>9488</v>
      </c>
      <c r="W96" s="56">
        <v>0</v>
      </c>
      <c r="X96" s="56">
        <v>0</v>
      </c>
      <c r="Y96" s="53">
        <f t="shared" si="36"/>
        <v>9488</v>
      </c>
      <c r="Z96" s="53">
        <f t="shared" si="51"/>
        <v>29773.75</v>
      </c>
      <c r="AA96" s="53"/>
      <c r="AB96" s="59">
        <f t="shared" si="29"/>
        <v>-89.033749422098936</v>
      </c>
      <c r="AC96" s="59">
        <f t="shared" si="41"/>
        <v>-67.561774126773145</v>
      </c>
      <c r="AF96" s="56">
        <v>26479</v>
      </c>
      <c r="AG96" s="56">
        <v>4800</v>
      </c>
      <c r="AH96" s="56">
        <v>3800</v>
      </c>
      <c r="AI96" s="53">
        <f t="shared" si="37"/>
        <v>35079</v>
      </c>
      <c r="AJ96" s="53">
        <f t="shared" si="52"/>
        <v>21874.75</v>
      </c>
      <c r="AK96" s="53"/>
      <c r="AL96" s="59">
        <f t="shared" si="30"/>
        <v>155.30567685589517</v>
      </c>
      <c r="AM96" s="59">
        <f t="shared" si="42"/>
        <v>9.7386309479017719</v>
      </c>
      <c r="AP96" s="53">
        <f t="shared" si="53"/>
        <v>530770</v>
      </c>
      <c r="AQ96" s="53">
        <f t="shared" si="53"/>
        <v>45500</v>
      </c>
      <c r="AR96" s="53">
        <f t="shared" si="53"/>
        <v>41900</v>
      </c>
      <c r="AS96" s="53">
        <f t="shared" si="53"/>
        <v>618170</v>
      </c>
      <c r="AT96" s="53">
        <f t="shared" si="54"/>
        <v>671379.5</v>
      </c>
      <c r="AU96" s="53"/>
      <c r="AV96" s="59">
        <f t="shared" si="31"/>
        <v>-14.678095001483749</v>
      </c>
      <c r="AW96" s="59">
        <f t="shared" si="43"/>
        <v>-10.150439709525727</v>
      </c>
      <c r="AZ96" s="53">
        <f t="shared" si="55"/>
        <v>488.56299999999999</v>
      </c>
      <c r="BA96" s="53">
        <f t="shared" si="56"/>
        <v>85.04</v>
      </c>
      <c r="BB96" s="53">
        <f t="shared" si="57"/>
        <v>9.4879999999999995</v>
      </c>
      <c r="BC96" s="53">
        <f t="shared" si="58"/>
        <v>35.079000000000001</v>
      </c>
      <c r="BD96" s="53">
        <f t="shared" si="59"/>
        <v>618.16999999999996</v>
      </c>
      <c r="BE96" s="60">
        <f t="shared" si="44"/>
        <v>17250.570999999996</v>
      </c>
      <c r="BF96" s="60">
        <f t="shared" si="45"/>
        <v>1988.586</v>
      </c>
      <c r="BG96" s="60">
        <f t="shared" si="46"/>
        <v>2744.154</v>
      </c>
      <c r="BH96" s="60">
        <f t="shared" si="47"/>
        <v>484.01700000000017</v>
      </c>
      <c r="BI96" s="60">
        <f t="shared" si="48"/>
        <v>22467.327999999994</v>
      </c>
      <c r="BJ96" s="1">
        <v>34</v>
      </c>
    </row>
    <row r="97" spans="1:62" x14ac:dyDescent="0.3">
      <c r="A97" s="49">
        <v>38234</v>
      </c>
      <c r="B97" s="56">
        <v>239020</v>
      </c>
      <c r="C97" s="56">
        <v>31817</v>
      </c>
      <c r="D97" s="56">
        <v>1400</v>
      </c>
      <c r="E97" s="53">
        <f t="shared" si="34"/>
        <v>272237</v>
      </c>
      <c r="F97" s="53">
        <f t="shared" si="49"/>
        <v>492125.75</v>
      </c>
      <c r="G97" s="53"/>
      <c r="H97" s="59">
        <f t="shared" si="32"/>
        <v>-14.784533084587236</v>
      </c>
      <c r="I97" s="59">
        <f t="shared" si="39"/>
        <v>4.2306403198554721</v>
      </c>
      <c r="L97" s="53">
        <v>35780</v>
      </c>
      <c r="M97" s="53">
        <v>21746</v>
      </c>
      <c r="N97" s="53">
        <v>42500</v>
      </c>
      <c r="O97" s="53">
        <f t="shared" si="35"/>
        <v>100026</v>
      </c>
      <c r="P97" s="53">
        <f t="shared" si="50"/>
        <v>88731.75</v>
      </c>
      <c r="Q97" s="53"/>
      <c r="R97" s="59">
        <f t="shared" si="28"/>
        <v>-46.911024775492002</v>
      </c>
      <c r="S97" s="59">
        <f t="shared" si="40"/>
        <v>-28.651148952765382</v>
      </c>
      <c r="V97" s="56">
        <v>18754</v>
      </c>
      <c r="W97" s="56">
        <v>0</v>
      </c>
      <c r="X97" s="56">
        <v>9800</v>
      </c>
      <c r="Y97" s="53">
        <f t="shared" si="36"/>
        <v>28554</v>
      </c>
      <c r="Z97" s="53">
        <f t="shared" si="51"/>
        <v>26942.25</v>
      </c>
      <c r="AA97" s="53"/>
      <c r="AB97" s="59">
        <f t="shared" si="29"/>
        <v>-24.058510638297868</v>
      </c>
      <c r="AC97" s="59">
        <f t="shared" si="41"/>
        <v>-59.055575818364183</v>
      </c>
      <c r="AF97" s="56">
        <v>6000</v>
      </c>
      <c r="AG97" s="56">
        <v>9000</v>
      </c>
      <c r="AH97" s="56">
        <v>2900</v>
      </c>
      <c r="AI97" s="53">
        <f t="shared" si="37"/>
        <v>17900</v>
      </c>
      <c r="AJ97" s="53">
        <f t="shared" si="52"/>
        <v>25899.75</v>
      </c>
      <c r="AK97" s="53"/>
      <c r="AL97" s="59">
        <f t="shared" si="30"/>
        <v>-0.94078583287215967</v>
      </c>
      <c r="AM97" s="59">
        <f t="shared" si="42"/>
        <v>29.654335202242699</v>
      </c>
      <c r="AP97" s="53">
        <f t="shared" si="53"/>
        <v>299554</v>
      </c>
      <c r="AQ97" s="53">
        <f t="shared" si="53"/>
        <v>62563</v>
      </c>
      <c r="AR97" s="53">
        <f t="shared" si="53"/>
        <v>56600</v>
      </c>
      <c r="AS97" s="53">
        <f t="shared" si="53"/>
        <v>418717</v>
      </c>
      <c r="AT97" s="53">
        <f t="shared" si="54"/>
        <v>633699.5</v>
      </c>
      <c r="AU97" s="53"/>
      <c r="AV97" s="59">
        <f t="shared" si="31"/>
        <v>-25.70024718259749</v>
      </c>
      <c r="AW97" s="59">
        <f t="shared" si="43"/>
        <v>-7.1219507190469766</v>
      </c>
      <c r="AZ97" s="53">
        <f t="shared" si="55"/>
        <v>272.23700000000002</v>
      </c>
      <c r="BA97" s="53">
        <f t="shared" si="56"/>
        <v>100.026</v>
      </c>
      <c r="BB97" s="53">
        <f t="shared" si="57"/>
        <v>28.553999999999998</v>
      </c>
      <c r="BC97" s="53">
        <f t="shared" si="58"/>
        <v>17.899999999999999</v>
      </c>
      <c r="BD97" s="53">
        <f t="shared" si="59"/>
        <v>418.71699999999998</v>
      </c>
      <c r="BE97" s="60">
        <f t="shared" si="44"/>
        <v>17522.807999999997</v>
      </c>
      <c r="BF97" s="60">
        <f t="shared" si="45"/>
        <v>2088.6120000000001</v>
      </c>
      <c r="BG97" s="60">
        <f t="shared" si="46"/>
        <v>2772.7080000000001</v>
      </c>
      <c r="BH97" s="60">
        <f t="shared" si="47"/>
        <v>501.91700000000014</v>
      </c>
      <c r="BI97" s="60">
        <f t="shared" si="48"/>
        <v>22886.044999999995</v>
      </c>
      <c r="BJ97" s="1">
        <v>35</v>
      </c>
    </row>
    <row r="98" spans="1:62" x14ac:dyDescent="0.3">
      <c r="A98" s="49">
        <v>38241</v>
      </c>
      <c r="B98" s="56">
        <v>172569</v>
      </c>
      <c r="C98" s="56">
        <v>71743</v>
      </c>
      <c r="D98" s="56">
        <v>2800</v>
      </c>
      <c r="E98" s="53">
        <f t="shared" si="34"/>
        <v>247112</v>
      </c>
      <c r="F98" s="53">
        <f t="shared" si="49"/>
        <v>370028.5</v>
      </c>
      <c r="G98" s="53"/>
      <c r="H98" s="59">
        <f t="shared" si="32"/>
        <v>-33.092539544152444</v>
      </c>
      <c r="I98" s="59">
        <f t="shared" si="39"/>
        <v>-11.710834691867699</v>
      </c>
      <c r="L98" s="53">
        <v>21642</v>
      </c>
      <c r="M98" s="53">
        <v>13723</v>
      </c>
      <c r="N98" s="53">
        <v>2900</v>
      </c>
      <c r="O98" s="53">
        <f t="shared" si="35"/>
        <v>38265</v>
      </c>
      <c r="P98" s="53">
        <f t="shared" si="50"/>
        <v>79786.25</v>
      </c>
      <c r="Q98" s="53"/>
      <c r="R98" s="59">
        <f t="shared" si="28"/>
        <v>-72.132198180745604</v>
      </c>
      <c r="S98" s="59">
        <f t="shared" si="40"/>
        <v>-40.494990985078303</v>
      </c>
      <c r="V98" s="56">
        <v>4904</v>
      </c>
      <c r="W98" s="56">
        <v>0</v>
      </c>
      <c r="X98" s="56">
        <v>12700</v>
      </c>
      <c r="Y98" s="53">
        <f t="shared" si="36"/>
        <v>17604</v>
      </c>
      <c r="Z98" s="53">
        <f t="shared" si="51"/>
        <v>18447.25</v>
      </c>
      <c r="AA98" s="53"/>
      <c r="AB98" s="59">
        <f t="shared" si="29"/>
        <v>-48.372338553580853</v>
      </c>
      <c r="AC98" s="59">
        <f t="shared" si="41"/>
        <v>-64.382391272867693</v>
      </c>
      <c r="AF98" s="56">
        <v>0</v>
      </c>
      <c r="AG98" s="56">
        <v>0</v>
      </c>
      <c r="AH98" s="56">
        <v>8900</v>
      </c>
      <c r="AI98" s="53">
        <f t="shared" si="37"/>
        <v>8900</v>
      </c>
      <c r="AJ98" s="53">
        <f t="shared" si="52"/>
        <v>18594.75</v>
      </c>
      <c r="AK98" s="53"/>
      <c r="AL98" s="59">
        <f t="shared" si="30"/>
        <v>-52.02673566192324</v>
      </c>
      <c r="AM98" s="59">
        <f t="shared" si="42"/>
        <v>30.81766537101851</v>
      </c>
      <c r="AP98" s="53">
        <f t="shared" si="53"/>
        <v>199115</v>
      </c>
      <c r="AQ98" s="53">
        <f t="shared" si="53"/>
        <v>85466</v>
      </c>
      <c r="AR98" s="53">
        <f t="shared" si="53"/>
        <v>27300</v>
      </c>
      <c r="AS98" s="53">
        <f t="shared" si="53"/>
        <v>311881</v>
      </c>
      <c r="AT98" s="53">
        <f t="shared" si="54"/>
        <v>486856.75</v>
      </c>
      <c r="AU98" s="53"/>
      <c r="AV98" s="59">
        <f t="shared" si="31"/>
        <v>-44.236562946434155</v>
      </c>
      <c r="AW98" s="59">
        <f t="shared" si="43"/>
        <v>-21.37323214358533</v>
      </c>
      <c r="AZ98" s="53">
        <f t="shared" si="55"/>
        <v>247.11199999999999</v>
      </c>
      <c r="BA98" s="53">
        <f t="shared" si="56"/>
        <v>38.265000000000001</v>
      </c>
      <c r="BB98" s="53">
        <f t="shared" si="57"/>
        <v>17.603999999999999</v>
      </c>
      <c r="BC98" s="53">
        <f t="shared" si="58"/>
        <v>8.9</v>
      </c>
      <c r="BD98" s="53">
        <f t="shared" si="59"/>
        <v>311.88099999999997</v>
      </c>
      <c r="BE98" s="60">
        <f t="shared" si="44"/>
        <v>17769.919999999998</v>
      </c>
      <c r="BF98" s="60">
        <f t="shared" si="45"/>
        <v>2126.877</v>
      </c>
      <c r="BG98" s="60">
        <f t="shared" si="46"/>
        <v>2790.3119999999999</v>
      </c>
      <c r="BH98" s="60">
        <f t="shared" si="47"/>
        <v>510.81700000000012</v>
      </c>
      <c r="BI98" s="60">
        <f t="shared" si="48"/>
        <v>23197.925999999996</v>
      </c>
      <c r="BJ98" s="1">
        <v>36</v>
      </c>
    </row>
    <row r="99" spans="1:62" x14ac:dyDescent="0.3">
      <c r="A99" s="49">
        <v>38248</v>
      </c>
      <c r="B99" s="56">
        <v>176069</v>
      </c>
      <c r="C99" s="56">
        <v>76746</v>
      </c>
      <c r="D99" s="56">
        <v>1400</v>
      </c>
      <c r="E99" s="53">
        <f t="shared" si="34"/>
        <v>254215</v>
      </c>
      <c r="F99" s="53">
        <f t="shared" si="49"/>
        <v>315531.75</v>
      </c>
      <c r="G99" s="53"/>
      <c r="H99" s="59">
        <f t="shared" si="32"/>
        <v>-16.773885173071946</v>
      </c>
      <c r="I99" s="59">
        <f t="shared" si="39"/>
        <v>-14.703974178584611</v>
      </c>
      <c r="L99" s="53">
        <v>20564</v>
      </c>
      <c r="M99" s="53">
        <v>4650</v>
      </c>
      <c r="N99" s="53">
        <v>0</v>
      </c>
      <c r="O99" s="53">
        <f t="shared" si="35"/>
        <v>25214</v>
      </c>
      <c r="P99" s="53">
        <f t="shared" si="50"/>
        <v>62136.25</v>
      </c>
      <c r="Q99" s="53"/>
      <c r="R99" s="59">
        <f t="shared" si="28"/>
        <v>-73.263064133016627</v>
      </c>
      <c r="S99" s="59">
        <f t="shared" si="40"/>
        <v>-55.524200475277006</v>
      </c>
      <c r="V99" s="56">
        <v>15700</v>
      </c>
      <c r="W99" s="56">
        <v>7900</v>
      </c>
      <c r="X99" s="56">
        <v>1400</v>
      </c>
      <c r="Y99" s="53">
        <f t="shared" si="36"/>
        <v>25000</v>
      </c>
      <c r="Z99" s="53">
        <f t="shared" si="51"/>
        <v>20161.5</v>
      </c>
      <c r="AA99" s="53"/>
      <c r="AB99" s="59">
        <f t="shared" si="29"/>
        <v>-41.249735623810302</v>
      </c>
      <c r="AC99" s="59">
        <f t="shared" si="41"/>
        <v>-59.831848225092266</v>
      </c>
      <c r="AF99" s="56">
        <v>11224</v>
      </c>
      <c r="AG99" s="56">
        <v>3000</v>
      </c>
      <c r="AH99" s="56">
        <v>0</v>
      </c>
      <c r="AI99" s="53">
        <f t="shared" si="37"/>
        <v>14224</v>
      </c>
      <c r="AJ99" s="53">
        <f t="shared" si="52"/>
        <v>19025.75</v>
      </c>
      <c r="AK99" s="53"/>
      <c r="AL99" s="59"/>
      <c r="AM99" s="59">
        <f t="shared" si="42"/>
        <v>51.111949485723372</v>
      </c>
      <c r="AP99" s="53">
        <f t="shared" si="53"/>
        <v>223557</v>
      </c>
      <c r="AQ99" s="53">
        <f t="shared" si="53"/>
        <v>92296</v>
      </c>
      <c r="AR99" s="53">
        <f t="shared" si="53"/>
        <v>2800</v>
      </c>
      <c r="AS99" s="53">
        <f t="shared" si="53"/>
        <v>318653</v>
      </c>
      <c r="AT99" s="53">
        <f t="shared" si="54"/>
        <v>416855.25</v>
      </c>
      <c r="AU99" s="53"/>
      <c r="AV99" s="59">
        <f t="shared" si="31"/>
        <v>-27.956763160512587</v>
      </c>
      <c r="AW99" s="59">
        <f t="shared" si="43"/>
        <v>-27.176266243082516</v>
      </c>
      <c r="AZ99" s="53">
        <f t="shared" si="55"/>
        <v>254.215</v>
      </c>
      <c r="BA99" s="53">
        <f t="shared" si="56"/>
        <v>25.213999999999999</v>
      </c>
      <c r="BB99" s="53">
        <f t="shared" si="57"/>
        <v>25</v>
      </c>
      <c r="BC99" s="53">
        <f t="shared" si="58"/>
        <v>14.224</v>
      </c>
      <c r="BD99" s="53">
        <f t="shared" si="59"/>
        <v>318.65300000000002</v>
      </c>
      <c r="BE99" s="60">
        <f t="shared" si="44"/>
        <v>18024.134999999998</v>
      </c>
      <c r="BF99" s="60">
        <f t="shared" si="45"/>
        <v>2152.0909999999999</v>
      </c>
      <c r="BG99" s="60">
        <f t="shared" si="46"/>
        <v>2815.3119999999999</v>
      </c>
      <c r="BH99" s="60">
        <f t="shared" si="47"/>
        <v>525.04100000000017</v>
      </c>
      <c r="BI99" s="60">
        <f t="shared" si="48"/>
        <v>23516.578999999994</v>
      </c>
      <c r="BJ99" s="1">
        <v>37</v>
      </c>
    </row>
    <row r="100" spans="1:62" x14ac:dyDescent="0.3">
      <c r="A100" s="49">
        <v>38255</v>
      </c>
      <c r="B100" s="56">
        <v>202919</v>
      </c>
      <c r="C100" s="56">
        <v>205740</v>
      </c>
      <c r="D100" s="56">
        <v>0</v>
      </c>
      <c r="E100" s="53">
        <f t="shared" si="34"/>
        <v>408659</v>
      </c>
      <c r="F100" s="53">
        <f t="shared" si="49"/>
        <v>295555.75</v>
      </c>
      <c r="G100" s="53"/>
      <c r="H100" s="59">
        <f t="shared" si="32"/>
        <v>-15.019214613087561</v>
      </c>
      <c r="I100" s="59">
        <f t="shared" si="39"/>
        <v>-19.856786280334447</v>
      </c>
      <c r="L100" s="53">
        <v>12270</v>
      </c>
      <c r="M100" s="53">
        <v>12300</v>
      </c>
      <c r="N100" s="53">
        <v>39200</v>
      </c>
      <c r="O100" s="53">
        <f t="shared" si="35"/>
        <v>63770</v>
      </c>
      <c r="P100" s="53">
        <f t="shared" si="50"/>
        <v>56818.75</v>
      </c>
      <c r="Q100" s="53"/>
      <c r="R100" s="59">
        <f t="shared" si="28"/>
        <v>-19.053059152069054</v>
      </c>
      <c r="S100" s="59">
        <f t="shared" si="40"/>
        <v>-54.436102284459849</v>
      </c>
      <c r="V100" s="56">
        <v>21718</v>
      </c>
      <c r="W100" s="56">
        <v>24642</v>
      </c>
      <c r="X100" s="56">
        <v>7400</v>
      </c>
      <c r="Y100" s="53">
        <f t="shared" si="36"/>
        <v>53760</v>
      </c>
      <c r="Z100" s="53">
        <f t="shared" si="51"/>
        <v>31229.5</v>
      </c>
      <c r="AA100" s="53"/>
      <c r="AB100" s="59">
        <f t="shared" si="29"/>
        <v>-33.905431655560747</v>
      </c>
      <c r="AC100" s="59">
        <f t="shared" si="41"/>
        <v>-36.132400083849291</v>
      </c>
      <c r="AF100" s="56">
        <v>1640</v>
      </c>
      <c r="AG100" s="56">
        <v>11993</v>
      </c>
      <c r="AH100" s="56">
        <v>0</v>
      </c>
      <c r="AI100" s="53">
        <f t="shared" si="37"/>
        <v>13633</v>
      </c>
      <c r="AJ100" s="53">
        <f t="shared" si="52"/>
        <v>13664.25</v>
      </c>
      <c r="AK100" s="53"/>
      <c r="AL100" s="59">
        <f t="shared" si="30"/>
        <v>190.06382978723403</v>
      </c>
      <c r="AM100" s="59">
        <f t="shared" si="42"/>
        <v>32.270945259183968</v>
      </c>
      <c r="AP100" s="53">
        <f t="shared" si="53"/>
        <v>238547</v>
      </c>
      <c r="AQ100" s="53">
        <f t="shared" si="53"/>
        <v>254675</v>
      </c>
      <c r="AR100" s="53">
        <f t="shared" si="53"/>
        <v>46600</v>
      </c>
      <c r="AS100" s="53">
        <f t="shared" si="53"/>
        <v>539822</v>
      </c>
      <c r="AT100" s="53">
        <f t="shared" si="54"/>
        <v>397268.25</v>
      </c>
      <c r="AU100" s="53"/>
      <c r="AV100" s="59">
        <f t="shared" si="31"/>
        <v>-16.397657123564734</v>
      </c>
      <c r="AW100" s="59">
        <f t="shared" si="43"/>
        <v>-28.124019044224536</v>
      </c>
      <c r="AZ100" s="53">
        <f t="shared" si="55"/>
        <v>408.65899999999999</v>
      </c>
      <c r="BA100" s="53">
        <f t="shared" si="56"/>
        <v>63.77</v>
      </c>
      <c r="BB100" s="53">
        <f t="shared" si="57"/>
        <v>53.76</v>
      </c>
      <c r="BC100" s="53">
        <f t="shared" si="58"/>
        <v>13.632999999999999</v>
      </c>
      <c r="BD100" s="53">
        <f t="shared" si="59"/>
        <v>539.822</v>
      </c>
      <c r="BE100" s="60">
        <f t="shared" si="44"/>
        <v>18432.793999999998</v>
      </c>
      <c r="BF100" s="60">
        <f t="shared" si="45"/>
        <v>2215.8609999999999</v>
      </c>
      <c r="BG100" s="60">
        <f t="shared" si="46"/>
        <v>2869.0720000000001</v>
      </c>
      <c r="BH100" s="60">
        <f t="shared" si="47"/>
        <v>538.67400000000021</v>
      </c>
      <c r="BI100" s="60">
        <f t="shared" si="48"/>
        <v>24056.400999999994</v>
      </c>
      <c r="BJ100" s="1">
        <v>38</v>
      </c>
    </row>
    <row r="101" spans="1:62" x14ac:dyDescent="0.3">
      <c r="A101" s="49">
        <v>38262</v>
      </c>
      <c r="B101" s="56">
        <v>226499</v>
      </c>
      <c r="C101" s="56">
        <v>173945</v>
      </c>
      <c r="D101" s="56">
        <v>0</v>
      </c>
      <c r="E101" s="53">
        <f t="shared" si="34"/>
        <v>400444</v>
      </c>
      <c r="F101" s="53">
        <f t="shared" si="49"/>
        <v>327607.5</v>
      </c>
      <c r="G101" s="53"/>
      <c r="H101" s="59">
        <f t="shared" si="32"/>
        <v>-9.9421570126750787</v>
      </c>
      <c r="I101" s="59">
        <f t="shared" si="39"/>
        <v>-18.114553267750654</v>
      </c>
      <c r="L101" s="53">
        <v>17320</v>
      </c>
      <c r="M101" s="53">
        <v>13600</v>
      </c>
      <c r="N101" s="53">
        <v>48400</v>
      </c>
      <c r="O101" s="53">
        <f t="shared" si="35"/>
        <v>79320</v>
      </c>
      <c r="P101" s="53">
        <f t="shared" si="50"/>
        <v>51642.25</v>
      </c>
      <c r="Q101" s="53"/>
      <c r="R101" s="59">
        <f t="shared" si="28"/>
        <v>64.779691297754312</v>
      </c>
      <c r="S101" s="59">
        <f t="shared" si="40"/>
        <v>-42.384458762167739</v>
      </c>
      <c r="V101" s="56">
        <v>68977</v>
      </c>
      <c r="W101" s="56">
        <v>34800</v>
      </c>
      <c r="X101" s="56">
        <v>10100</v>
      </c>
      <c r="Y101" s="53">
        <f t="shared" si="36"/>
        <v>113877</v>
      </c>
      <c r="Z101" s="53">
        <f t="shared" si="51"/>
        <v>52560.25</v>
      </c>
      <c r="AA101" s="53"/>
      <c r="AB101" s="59">
        <f t="shared" si="29"/>
        <v>-15.245495344631255</v>
      </c>
      <c r="AC101" s="59">
        <f t="shared" si="41"/>
        <v>-28.085855994527108</v>
      </c>
      <c r="AF101" s="56">
        <v>0</v>
      </c>
      <c r="AG101" s="56">
        <v>18000</v>
      </c>
      <c r="AH101" s="56">
        <v>0</v>
      </c>
      <c r="AI101" s="53">
        <f t="shared" si="37"/>
        <v>18000</v>
      </c>
      <c r="AJ101" s="53">
        <f t="shared" si="52"/>
        <v>13689.25</v>
      </c>
      <c r="AK101" s="53"/>
      <c r="AL101" s="59"/>
      <c r="AM101" s="59">
        <f t="shared" si="42"/>
        <v>135.49372097023911</v>
      </c>
      <c r="AP101" s="53">
        <f t="shared" si="53"/>
        <v>312796</v>
      </c>
      <c r="AQ101" s="53">
        <f t="shared" si="53"/>
        <v>240345</v>
      </c>
      <c r="AR101" s="53">
        <f t="shared" si="53"/>
        <v>58500</v>
      </c>
      <c r="AS101" s="53">
        <f t="shared" si="53"/>
        <v>611641</v>
      </c>
      <c r="AT101" s="53">
        <f t="shared" si="54"/>
        <v>445499.25</v>
      </c>
      <c r="AU101" s="53"/>
      <c r="AV101" s="59">
        <f t="shared" si="31"/>
        <v>-2.4729331101012497</v>
      </c>
      <c r="AW101" s="59">
        <f t="shared" si="43"/>
        <v>-21.651623489252138</v>
      </c>
      <c r="AZ101" s="53">
        <f t="shared" si="55"/>
        <v>400.44400000000002</v>
      </c>
      <c r="BA101" s="53">
        <f t="shared" si="56"/>
        <v>79.319999999999993</v>
      </c>
      <c r="BB101" s="53">
        <f t="shared" si="57"/>
        <v>113.877</v>
      </c>
      <c r="BC101" s="53">
        <f t="shared" si="58"/>
        <v>18</v>
      </c>
      <c r="BD101" s="53">
        <f t="shared" si="59"/>
        <v>611.64099999999996</v>
      </c>
      <c r="BE101" s="60">
        <f t="shared" si="44"/>
        <v>18833.237999999998</v>
      </c>
      <c r="BF101" s="60">
        <f t="shared" si="45"/>
        <v>2295.181</v>
      </c>
      <c r="BG101" s="60">
        <f t="shared" si="46"/>
        <v>2982.9490000000001</v>
      </c>
      <c r="BH101" s="60">
        <f t="shared" si="47"/>
        <v>556.67400000000021</v>
      </c>
      <c r="BI101" s="60">
        <f t="shared" si="48"/>
        <v>24668.041999999994</v>
      </c>
      <c r="BJ101" s="1">
        <v>39</v>
      </c>
    </row>
    <row r="102" spans="1:62" x14ac:dyDescent="0.3">
      <c r="A102" s="49">
        <v>38269</v>
      </c>
      <c r="B102" s="56">
        <v>402702</v>
      </c>
      <c r="C102" s="56">
        <v>147268</v>
      </c>
      <c r="D102" s="56">
        <v>0</v>
      </c>
      <c r="E102" s="53">
        <f t="shared" si="34"/>
        <v>549970</v>
      </c>
      <c r="F102" s="53">
        <f t="shared" si="49"/>
        <v>403322</v>
      </c>
      <c r="G102" s="53"/>
      <c r="H102" s="59">
        <f t="shared" si="32"/>
        <v>18.714275846586894</v>
      </c>
      <c r="I102" s="59">
        <f t="shared" si="39"/>
        <v>-4.7791394349978367</v>
      </c>
      <c r="L102" s="53">
        <v>4700</v>
      </c>
      <c r="M102" s="53">
        <v>4200</v>
      </c>
      <c r="N102" s="53">
        <v>25800</v>
      </c>
      <c r="O102" s="53">
        <f t="shared" si="35"/>
        <v>34700</v>
      </c>
      <c r="P102" s="53">
        <f t="shared" si="50"/>
        <v>50751</v>
      </c>
      <c r="Q102" s="53"/>
      <c r="R102" s="59">
        <f t="shared" si="28"/>
        <v>-6.2770095073465875</v>
      </c>
      <c r="S102" s="59">
        <f t="shared" si="40"/>
        <v>-21.390927220275323</v>
      </c>
      <c r="V102" s="56">
        <v>162555</v>
      </c>
      <c r="W102" s="56">
        <v>91740</v>
      </c>
      <c r="X102" s="56">
        <v>28700</v>
      </c>
      <c r="Y102" s="53">
        <f t="shared" si="36"/>
        <v>282995</v>
      </c>
      <c r="Z102" s="53">
        <f t="shared" si="51"/>
        <v>118908</v>
      </c>
      <c r="AA102" s="53"/>
      <c r="AB102" s="59">
        <f t="shared" si="29"/>
        <v>21.16482989527406</v>
      </c>
      <c r="AC102" s="59">
        <f t="shared" si="41"/>
        <v>-3.2902682721516641</v>
      </c>
      <c r="AF102" s="56">
        <v>7600</v>
      </c>
      <c r="AG102" s="56">
        <v>19673</v>
      </c>
      <c r="AH102" s="56">
        <v>0</v>
      </c>
      <c r="AI102" s="53">
        <f t="shared" si="37"/>
        <v>27273</v>
      </c>
      <c r="AJ102" s="53">
        <f t="shared" si="52"/>
        <v>18282.5</v>
      </c>
      <c r="AK102" s="53"/>
      <c r="AL102" s="59">
        <f t="shared" si="30"/>
        <v>1718.1999999999998</v>
      </c>
      <c r="AM102" s="59">
        <f t="shared" si="42"/>
        <v>1079.516129032258</v>
      </c>
      <c r="AP102" s="53">
        <f t="shared" si="53"/>
        <v>577557</v>
      </c>
      <c r="AQ102" s="53">
        <f t="shared" si="53"/>
        <v>262881</v>
      </c>
      <c r="AR102" s="53">
        <f t="shared" si="53"/>
        <v>54500</v>
      </c>
      <c r="AS102" s="53">
        <f t="shared" si="53"/>
        <v>894938</v>
      </c>
      <c r="AT102" s="53">
        <f t="shared" si="54"/>
        <v>591263.5</v>
      </c>
      <c r="AU102" s="53"/>
      <c r="AV102" s="59">
        <f t="shared" si="31"/>
        <v>21.700994617587632</v>
      </c>
      <c r="AW102" s="59">
        <f t="shared" si="43"/>
        <v>-3.4875891546195525</v>
      </c>
      <c r="AZ102" s="53">
        <f t="shared" si="55"/>
        <v>549.97</v>
      </c>
      <c r="BA102" s="53">
        <f t="shared" si="56"/>
        <v>34.700000000000003</v>
      </c>
      <c r="BB102" s="53">
        <f t="shared" si="57"/>
        <v>282.995</v>
      </c>
      <c r="BC102" s="53">
        <f t="shared" si="58"/>
        <v>27.273</v>
      </c>
      <c r="BD102" s="53">
        <f t="shared" si="59"/>
        <v>894.93799999999999</v>
      </c>
      <c r="BE102" s="60">
        <f t="shared" si="44"/>
        <v>19383.207999999999</v>
      </c>
      <c r="BF102" s="60">
        <f t="shared" si="45"/>
        <v>2329.8809999999999</v>
      </c>
      <c r="BG102" s="60">
        <f t="shared" si="46"/>
        <v>3265.944</v>
      </c>
      <c r="BH102" s="60">
        <f t="shared" si="47"/>
        <v>583.94700000000023</v>
      </c>
      <c r="BI102" s="60">
        <f t="shared" si="48"/>
        <v>25562.979999999992</v>
      </c>
      <c r="BJ102" s="1">
        <v>40</v>
      </c>
    </row>
    <row r="103" spans="1:62" x14ac:dyDescent="0.3">
      <c r="A103" s="49">
        <v>38276</v>
      </c>
      <c r="B103" s="56">
        <v>399923</v>
      </c>
      <c r="C103" s="56">
        <v>87184</v>
      </c>
      <c r="D103" s="56">
        <v>0</v>
      </c>
      <c r="E103" s="53">
        <f t="shared" si="34"/>
        <v>487107</v>
      </c>
      <c r="F103" s="53">
        <f t="shared" si="49"/>
        <v>461545</v>
      </c>
      <c r="G103" s="53"/>
      <c r="H103" s="59">
        <f t="shared" si="32"/>
        <v>30.71925417834025</v>
      </c>
      <c r="I103" s="59">
        <f t="shared" si="39"/>
        <v>4.8105985770765303</v>
      </c>
      <c r="L103" s="53">
        <v>17380</v>
      </c>
      <c r="M103" s="53">
        <v>7793</v>
      </c>
      <c r="N103" s="53">
        <v>15400</v>
      </c>
      <c r="O103" s="53">
        <f t="shared" si="35"/>
        <v>40573</v>
      </c>
      <c r="P103" s="53">
        <f t="shared" si="50"/>
        <v>54590.75</v>
      </c>
      <c r="Q103" s="53"/>
      <c r="R103" s="59">
        <f t="shared" si="28"/>
        <v>-7.276550037708251</v>
      </c>
      <c r="S103" s="59">
        <f t="shared" si="40"/>
        <v>5.134859266820091</v>
      </c>
      <c r="V103" s="56">
        <v>163612</v>
      </c>
      <c r="W103" s="56">
        <v>70859</v>
      </c>
      <c r="X103" s="56">
        <v>4200</v>
      </c>
      <c r="Y103" s="53">
        <f t="shared" si="36"/>
        <v>238671</v>
      </c>
      <c r="Z103" s="53">
        <f t="shared" si="51"/>
        <v>172325.75</v>
      </c>
      <c r="AA103" s="53"/>
      <c r="AB103" s="59">
        <f t="shared" si="29"/>
        <v>-42.396750463392031</v>
      </c>
      <c r="AC103" s="59">
        <f t="shared" si="41"/>
        <v>-20.182330415691574</v>
      </c>
      <c r="AF103" s="56">
        <v>15200</v>
      </c>
      <c r="AG103" s="56">
        <v>3000</v>
      </c>
      <c r="AH103" s="56">
        <v>0</v>
      </c>
      <c r="AI103" s="53">
        <f t="shared" si="37"/>
        <v>18200</v>
      </c>
      <c r="AJ103" s="53">
        <f t="shared" si="52"/>
        <v>19276.5</v>
      </c>
      <c r="AK103" s="53"/>
      <c r="AL103" s="59"/>
      <c r="AM103" s="59">
        <f t="shared" si="42"/>
        <v>1143.6451612903224</v>
      </c>
      <c r="AP103" s="53">
        <f t="shared" si="53"/>
        <v>596115</v>
      </c>
      <c r="AQ103" s="53">
        <f t="shared" si="53"/>
        <v>168836</v>
      </c>
      <c r="AR103" s="53">
        <f t="shared" si="53"/>
        <v>19600</v>
      </c>
      <c r="AS103" s="53">
        <f t="shared" si="53"/>
        <v>784551</v>
      </c>
      <c r="AT103" s="53">
        <f t="shared" si="54"/>
        <v>707738</v>
      </c>
      <c r="AU103" s="53"/>
      <c r="AV103" s="59">
        <f t="shared" si="31"/>
        <v>-5.5587321497142845</v>
      </c>
      <c r="AW103" s="59">
        <f t="shared" si="43"/>
        <v>-0.28133749967858002</v>
      </c>
      <c r="AZ103" s="53">
        <f t="shared" si="55"/>
        <v>487.10700000000003</v>
      </c>
      <c r="BA103" s="53">
        <f t="shared" si="56"/>
        <v>40.573</v>
      </c>
      <c r="BB103" s="53">
        <f t="shared" si="57"/>
        <v>238.67099999999999</v>
      </c>
      <c r="BC103" s="53">
        <f t="shared" si="58"/>
        <v>18.2</v>
      </c>
      <c r="BD103" s="53">
        <f t="shared" si="59"/>
        <v>784.55100000000004</v>
      </c>
      <c r="BE103" s="60">
        <f t="shared" si="44"/>
        <v>19870.314999999999</v>
      </c>
      <c r="BF103" s="60">
        <f t="shared" si="45"/>
        <v>2370.4539999999997</v>
      </c>
      <c r="BG103" s="60">
        <f t="shared" si="46"/>
        <v>3504.6149999999998</v>
      </c>
      <c r="BH103" s="60">
        <f t="shared" si="47"/>
        <v>602.14700000000028</v>
      </c>
      <c r="BI103" s="60">
        <f t="shared" si="48"/>
        <v>26347.530999999992</v>
      </c>
      <c r="BJ103" s="1">
        <v>41</v>
      </c>
    </row>
    <row r="104" spans="1:62" x14ac:dyDescent="0.3">
      <c r="A104" s="49">
        <v>38283</v>
      </c>
      <c r="B104" s="56">
        <v>373591</v>
      </c>
      <c r="C104" s="56">
        <v>63807</v>
      </c>
      <c r="D104" s="56">
        <v>0</v>
      </c>
      <c r="E104" s="53">
        <f t="shared" si="34"/>
        <v>437398</v>
      </c>
      <c r="F104" s="53">
        <f t="shared" si="49"/>
        <v>468729.75</v>
      </c>
      <c r="G104" s="53"/>
      <c r="H104" s="59">
        <f t="shared" si="32"/>
        <v>-18.127212250650928</v>
      </c>
      <c r="I104" s="59">
        <f t="shared" si="39"/>
        <v>3.3126497064967397</v>
      </c>
      <c r="L104" s="53">
        <v>11079</v>
      </c>
      <c r="M104" s="53">
        <v>3200</v>
      </c>
      <c r="N104" s="53">
        <v>10100</v>
      </c>
      <c r="O104" s="53">
        <f t="shared" si="35"/>
        <v>24379</v>
      </c>
      <c r="P104" s="53">
        <f t="shared" si="50"/>
        <v>44743</v>
      </c>
      <c r="Q104" s="53"/>
      <c r="R104" s="59">
        <f t="shared" si="28"/>
        <v>190.22619047619048</v>
      </c>
      <c r="S104" s="59">
        <f t="shared" si="40"/>
        <v>30.333969326672406</v>
      </c>
      <c r="V104" s="56">
        <v>170694</v>
      </c>
      <c r="W104" s="56">
        <v>101608</v>
      </c>
      <c r="X104" s="56">
        <v>14000</v>
      </c>
      <c r="Y104" s="53">
        <f t="shared" si="36"/>
        <v>286302</v>
      </c>
      <c r="Z104" s="53">
        <f t="shared" si="51"/>
        <v>230461.25</v>
      </c>
      <c r="AA104" s="53"/>
      <c r="AB104" s="59">
        <f t="shared" si="29"/>
        <v>-15.156454198733426</v>
      </c>
      <c r="AC104" s="59">
        <f t="shared" si="41"/>
        <v>-17.670799299101724</v>
      </c>
      <c r="AF104" s="56">
        <v>0</v>
      </c>
      <c r="AG104" s="56">
        <v>21465</v>
      </c>
      <c r="AH104" s="56">
        <v>0</v>
      </c>
      <c r="AI104" s="53">
        <f t="shared" si="37"/>
        <v>21465</v>
      </c>
      <c r="AJ104" s="53">
        <f t="shared" si="52"/>
        <v>21234.5</v>
      </c>
      <c r="AK104" s="53"/>
      <c r="AL104" s="59">
        <f t="shared" si="30"/>
        <v>173.96298659859605</v>
      </c>
      <c r="AM104" s="59">
        <f t="shared" si="42"/>
        <v>809.88752008569895</v>
      </c>
      <c r="AP104" s="53">
        <f t="shared" si="53"/>
        <v>555364</v>
      </c>
      <c r="AQ104" s="53">
        <f t="shared" si="53"/>
        <v>190080</v>
      </c>
      <c r="AR104" s="53">
        <f t="shared" si="53"/>
        <v>24100</v>
      </c>
      <c r="AS104" s="53">
        <f t="shared" si="53"/>
        <v>769544</v>
      </c>
      <c r="AT104" s="53">
        <f t="shared" si="54"/>
        <v>765168.5</v>
      </c>
      <c r="AU104" s="53"/>
      <c r="AV104" s="59">
        <f t="shared" si="31"/>
        <v>-13.332124519806332</v>
      </c>
      <c r="AW104" s="59">
        <f t="shared" si="43"/>
        <v>-0.66487946098222617</v>
      </c>
      <c r="AZ104" s="53">
        <f t="shared" si="55"/>
        <v>437.39800000000002</v>
      </c>
      <c r="BA104" s="53">
        <f t="shared" si="56"/>
        <v>24.379000000000001</v>
      </c>
      <c r="BB104" s="53">
        <f t="shared" si="57"/>
        <v>286.30200000000002</v>
      </c>
      <c r="BC104" s="53">
        <f t="shared" si="58"/>
        <v>21.465</v>
      </c>
      <c r="BD104" s="53">
        <f t="shared" si="59"/>
        <v>769.54399999999998</v>
      </c>
      <c r="BE104" s="60">
        <f t="shared" si="44"/>
        <v>20307.713</v>
      </c>
      <c r="BF104" s="60">
        <f t="shared" si="45"/>
        <v>2394.8329999999996</v>
      </c>
      <c r="BG104" s="60">
        <f t="shared" si="46"/>
        <v>3790.9169999999999</v>
      </c>
      <c r="BH104" s="60">
        <f t="shared" si="47"/>
        <v>623.61200000000031</v>
      </c>
      <c r="BI104" s="60">
        <f t="shared" si="48"/>
        <v>27117.074999999993</v>
      </c>
      <c r="BJ104" s="1">
        <v>42</v>
      </c>
    </row>
    <row r="105" spans="1:62" x14ac:dyDescent="0.3">
      <c r="A105" s="49">
        <v>38290</v>
      </c>
      <c r="B105" s="56">
        <v>369080</v>
      </c>
      <c r="C105" s="56">
        <v>56248</v>
      </c>
      <c r="D105" s="56">
        <v>0</v>
      </c>
      <c r="E105" s="53">
        <f t="shared" si="34"/>
        <v>425328</v>
      </c>
      <c r="F105" s="53">
        <f t="shared" si="49"/>
        <v>474950.75</v>
      </c>
      <c r="G105" s="53"/>
      <c r="H105" s="59">
        <f t="shared" si="32"/>
        <v>-7.3074735376226663</v>
      </c>
      <c r="I105" s="59">
        <f t="shared" si="39"/>
        <v>3.870677438261616</v>
      </c>
      <c r="L105" s="53">
        <v>9268</v>
      </c>
      <c r="M105" s="53">
        <v>3000</v>
      </c>
      <c r="N105" s="53">
        <v>14000</v>
      </c>
      <c r="O105" s="53">
        <f t="shared" si="35"/>
        <v>26268</v>
      </c>
      <c r="P105" s="53">
        <f t="shared" si="50"/>
        <v>31480</v>
      </c>
      <c r="Q105" s="53"/>
      <c r="R105" s="59">
        <f t="shared" si="28"/>
        <v>-27.652308031287877</v>
      </c>
      <c r="S105" s="59">
        <f t="shared" si="40"/>
        <v>0.34345639856880883</v>
      </c>
      <c r="V105" s="56">
        <v>103547</v>
      </c>
      <c r="W105" s="56">
        <v>47004</v>
      </c>
      <c r="X105" s="56">
        <v>15800</v>
      </c>
      <c r="Y105" s="53">
        <f t="shared" si="36"/>
        <v>166351</v>
      </c>
      <c r="Z105" s="53">
        <f t="shared" si="51"/>
        <v>243579.75</v>
      </c>
      <c r="AA105" s="53"/>
      <c r="AB105" s="59">
        <f t="shared" si="29"/>
        <v>-62.291083430618045</v>
      </c>
      <c r="AC105" s="59">
        <f t="shared" si="41"/>
        <v>-31.698154210684969</v>
      </c>
      <c r="AF105" s="56">
        <v>1624</v>
      </c>
      <c r="AG105" s="56">
        <v>6100</v>
      </c>
      <c r="AH105" s="56">
        <v>0</v>
      </c>
      <c r="AI105" s="53">
        <f t="shared" si="37"/>
        <v>7724</v>
      </c>
      <c r="AJ105" s="53">
        <f t="shared" si="52"/>
        <v>18665.5</v>
      </c>
      <c r="AK105" s="53"/>
      <c r="AL105" s="59">
        <f t="shared" si="30"/>
        <v>-31.035714285714288</v>
      </c>
      <c r="AM105" s="59">
        <f t="shared" si="42"/>
        <v>263.58412466520576</v>
      </c>
      <c r="AP105" s="53">
        <f t="shared" si="53"/>
        <v>483519</v>
      </c>
      <c r="AQ105" s="53">
        <f t="shared" si="53"/>
        <v>112352</v>
      </c>
      <c r="AR105" s="53">
        <f t="shared" si="53"/>
        <v>29800</v>
      </c>
      <c r="AS105" s="53">
        <f t="shared" si="53"/>
        <v>625671</v>
      </c>
      <c r="AT105" s="53">
        <f t="shared" si="54"/>
        <v>768676</v>
      </c>
      <c r="AU105" s="53"/>
      <c r="AV105" s="59">
        <f t="shared" si="31"/>
        <v>-33.96695767441468</v>
      </c>
      <c r="AW105" s="59">
        <f t="shared" si="43"/>
        <v>-9.6079931277822102</v>
      </c>
      <c r="AZ105" s="53">
        <f t="shared" si="55"/>
        <v>425.32799999999997</v>
      </c>
      <c r="BA105" s="53">
        <f t="shared" si="56"/>
        <v>26.268000000000001</v>
      </c>
      <c r="BB105" s="53">
        <f t="shared" si="57"/>
        <v>166.351</v>
      </c>
      <c r="BC105" s="53">
        <f t="shared" si="58"/>
        <v>7.7240000000000002</v>
      </c>
      <c r="BD105" s="53">
        <f t="shared" si="59"/>
        <v>625.67100000000005</v>
      </c>
      <c r="BE105" s="60">
        <f t="shared" si="44"/>
        <v>20733.041000000001</v>
      </c>
      <c r="BF105" s="60">
        <f t="shared" si="45"/>
        <v>2421.1009999999997</v>
      </c>
      <c r="BG105" s="60">
        <f t="shared" si="46"/>
        <v>3957.268</v>
      </c>
      <c r="BH105" s="60">
        <f t="shared" si="47"/>
        <v>631.33600000000035</v>
      </c>
      <c r="BI105" s="60">
        <f t="shared" si="48"/>
        <v>27742.745999999992</v>
      </c>
      <c r="BJ105" s="1">
        <v>43</v>
      </c>
    </row>
    <row r="106" spans="1:62" x14ac:dyDescent="0.3">
      <c r="A106" s="49">
        <v>38297</v>
      </c>
      <c r="B106" s="56">
        <v>447628</v>
      </c>
      <c r="C106" s="56">
        <v>89245</v>
      </c>
      <c r="D106" s="56">
        <v>0</v>
      </c>
      <c r="E106" s="53">
        <f t="shared" si="34"/>
        <v>536873</v>
      </c>
      <c r="F106" s="53">
        <f t="shared" si="49"/>
        <v>471676.5</v>
      </c>
      <c r="G106" s="53"/>
      <c r="H106" s="59">
        <f t="shared" si="32"/>
        <v>-37.540079204419065</v>
      </c>
      <c r="I106" s="59">
        <f t="shared" si="39"/>
        <v>-15.215046708644831</v>
      </c>
      <c r="L106" s="53">
        <v>12664</v>
      </c>
      <c r="M106" s="53">
        <v>0</v>
      </c>
      <c r="N106" s="53">
        <v>5600</v>
      </c>
      <c r="O106" s="53">
        <f t="shared" si="35"/>
        <v>18264</v>
      </c>
      <c r="P106" s="53">
        <f t="shared" si="50"/>
        <v>27371</v>
      </c>
      <c r="Q106" s="53"/>
      <c r="R106" s="59">
        <f t="shared" si="28"/>
        <v>-53.61759402697006</v>
      </c>
      <c r="S106" s="59">
        <f t="shared" si="40"/>
        <v>-14.359913017631143</v>
      </c>
      <c r="V106" s="56">
        <v>192777</v>
      </c>
      <c r="W106" s="56">
        <v>96521</v>
      </c>
      <c r="X106" s="56">
        <v>8400</v>
      </c>
      <c r="Y106" s="53">
        <f t="shared" si="36"/>
        <v>297698</v>
      </c>
      <c r="Z106" s="53">
        <f t="shared" si="51"/>
        <v>247255.5</v>
      </c>
      <c r="AA106" s="53"/>
      <c r="AB106" s="59">
        <f t="shared" si="29"/>
        <v>-6.4116469082941112</v>
      </c>
      <c r="AC106" s="59">
        <f t="shared" si="41"/>
        <v>-34.546111536504121</v>
      </c>
      <c r="AF106" s="56">
        <v>3175</v>
      </c>
      <c r="AG106" s="56">
        <v>0</v>
      </c>
      <c r="AH106" s="56">
        <v>0</v>
      </c>
      <c r="AI106" s="53">
        <f t="shared" si="37"/>
        <v>3175</v>
      </c>
      <c r="AJ106" s="53">
        <f t="shared" si="52"/>
        <v>12641</v>
      </c>
      <c r="AK106" s="53"/>
      <c r="AL106" s="59">
        <f t="shared" si="30"/>
        <v>-61.746987951807228</v>
      </c>
      <c r="AM106" s="59">
        <f t="shared" si="42"/>
        <v>84.978964697274549</v>
      </c>
      <c r="AP106" s="53">
        <f t="shared" si="53"/>
        <v>656244</v>
      </c>
      <c r="AQ106" s="53">
        <f t="shared" si="53"/>
        <v>185766</v>
      </c>
      <c r="AR106" s="53">
        <f t="shared" si="53"/>
        <v>14000</v>
      </c>
      <c r="AS106" s="53">
        <f t="shared" si="53"/>
        <v>856010</v>
      </c>
      <c r="AT106" s="53">
        <f t="shared" si="54"/>
        <v>758944</v>
      </c>
      <c r="AU106" s="53"/>
      <c r="AV106" s="59">
        <f t="shared" si="31"/>
        <v>-30.139767799052986</v>
      </c>
      <c r="AW106" s="59">
        <f t="shared" si="43"/>
        <v>-21.989206168755249</v>
      </c>
      <c r="AZ106" s="53">
        <f t="shared" si="55"/>
        <v>536.87300000000005</v>
      </c>
      <c r="BA106" s="53">
        <f t="shared" si="56"/>
        <v>18.263999999999999</v>
      </c>
      <c r="BB106" s="53">
        <f t="shared" si="57"/>
        <v>297.69799999999998</v>
      </c>
      <c r="BC106" s="53">
        <f t="shared" si="58"/>
        <v>3.1749999999999998</v>
      </c>
      <c r="BD106" s="53">
        <f t="shared" si="59"/>
        <v>856.01</v>
      </c>
      <c r="BE106" s="60">
        <f t="shared" si="44"/>
        <v>21269.914000000001</v>
      </c>
      <c r="BF106" s="60">
        <f t="shared" si="45"/>
        <v>2439.3649999999998</v>
      </c>
      <c r="BG106" s="60">
        <f t="shared" si="46"/>
        <v>4254.9660000000003</v>
      </c>
      <c r="BH106" s="60">
        <f t="shared" si="47"/>
        <v>634.51100000000031</v>
      </c>
      <c r="BI106" s="60">
        <f t="shared" si="48"/>
        <v>28598.75599999999</v>
      </c>
      <c r="BJ106" s="1">
        <v>44</v>
      </c>
    </row>
    <row r="107" spans="1:62" x14ac:dyDescent="0.3">
      <c r="A107" s="49">
        <v>38304</v>
      </c>
      <c r="B107" s="56">
        <v>510395</v>
      </c>
      <c r="C107" s="56">
        <v>54455</v>
      </c>
      <c r="D107" s="56">
        <v>0</v>
      </c>
      <c r="E107" s="53">
        <f t="shared" si="34"/>
        <v>564850</v>
      </c>
      <c r="F107" s="53">
        <f t="shared" si="49"/>
        <v>491112.25</v>
      </c>
      <c r="G107" s="53"/>
      <c r="H107" s="59">
        <f t="shared" si="32"/>
        <v>-15.141308462883618</v>
      </c>
      <c r="I107" s="59">
        <f t="shared" si="39"/>
        <v>-21.992555247938672</v>
      </c>
      <c r="L107" s="53">
        <v>13500</v>
      </c>
      <c r="M107" s="53">
        <v>1550</v>
      </c>
      <c r="N107" s="53">
        <v>15500</v>
      </c>
      <c r="O107" s="53">
        <f t="shared" si="35"/>
        <v>30550</v>
      </c>
      <c r="P107" s="53">
        <f t="shared" si="50"/>
        <v>24865.25</v>
      </c>
      <c r="Q107" s="53"/>
      <c r="R107" s="59">
        <f t="shared" si="28"/>
        <v>27.568064138967774</v>
      </c>
      <c r="S107" s="59">
        <f t="shared" si="40"/>
        <v>-7.934612572084454</v>
      </c>
      <c r="V107" s="56">
        <v>261306</v>
      </c>
      <c r="W107" s="56">
        <v>43030</v>
      </c>
      <c r="X107" s="56">
        <v>14600</v>
      </c>
      <c r="Y107" s="53">
        <f t="shared" si="36"/>
        <v>318936</v>
      </c>
      <c r="Z107" s="53">
        <f t="shared" si="51"/>
        <v>267321.75</v>
      </c>
      <c r="AA107" s="53"/>
      <c r="AB107" s="59">
        <f t="shared" si="29"/>
        <v>45.717379484906772</v>
      </c>
      <c r="AC107" s="59">
        <f t="shared" si="41"/>
        <v>-18.719889202908579</v>
      </c>
      <c r="AF107" s="56">
        <v>8200</v>
      </c>
      <c r="AG107" s="56">
        <v>31500</v>
      </c>
      <c r="AH107" s="56">
        <v>1400</v>
      </c>
      <c r="AI107" s="53">
        <f t="shared" si="37"/>
        <v>41100</v>
      </c>
      <c r="AJ107" s="53">
        <f t="shared" si="52"/>
        <v>18366</v>
      </c>
      <c r="AK107" s="53"/>
      <c r="AL107" s="59">
        <f t="shared" si="30"/>
        <v>813.33333333333326</v>
      </c>
      <c r="AM107" s="59">
        <f t="shared" si="42"/>
        <v>130.76488141982097</v>
      </c>
      <c r="AP107" s="53">
        <f t="shared" si="53"/>
        <v>793401</v>
      </c>
      <c r="AQ107" s="53">
        <f t="shared" si="53"/>
        <v>130535</v>
      </c>
      <c r="AR107" s="53">
        <f t="shared" si="53"/>
        <v>31500</v>
      </c>
      <c r="AS107" s="53">
        <f t="shared" si="53"/>
        <v>955436</v>
      </c>
      <c r="AT107" s="53">
        <f t="shared" si="54"/>
        <v>801665.25</v>
      </c>
      <c r="AU107" s="53"/>
      <c r="AV107" s="59">
        <f t="shared" si="31"/>
        <v>4.6529026011082664</v>
      </c>
      <c r="AW107" s="59">
        <f t="shared" si="43"/>
        <v>-19.303094589187431</v>
      </c>
      <c r="AZ107" s="53">
        <f t="shared" si="55"/>
        <v>564.85</v>
      </c>
      <c r="BA107" s="53">
        <f t="shared" si="56"/>
        <v>30.55</v>
      </c>
      <c r="BB107" s="53">
        <f t="shared" si="57"/>
        <v>318.93599999999998</v>
      </c>
      <c r="BC107" s="53">
        <f t="shared" si="58"/>
        <v>41.1</v>
      </c>
      <c r="BD107" s="53">
        <f t="shared" si="59"/>
        <v>955.43600000000004</v>
      </c>
      <c r="BE107" s="60">
        <f t="shared" si="44"/>
        <v>21834.763999999999</v>
      </c>
      <c r="BF107" s="60">
        <f t="shared" si="45"/>
        <v>2469.915</v>
      </c>
      <c r="BG107" s="60">
        <f t="shared" si="46"/>
        <v>4573.902</v>
      </c>
      <c r="BH107" s="60">
        <f t="shared" si="47"/>
        <v>675.61100000000033</v>
      </c>
      <c r="BI107" s="60">
        <f t="shared" si="48"/>
        <v>29554.191999999992</v>
      </c>
      <c r="BJ107" s="1">
        <v>45</v>
      </c>
    </row>
    <row r="108" spans="1:62" x14ac:dyDescent="0.3">
      <c r="A108" s="49">
        <v>38311</v>
      </c>
      <c r="B108" s="56">
        <v>462622</v>
      </c>
      <c r="C108" s="56">
        <v>69128</v>
      </c>
      <c r="D108" s="56">
        <v>0</v>
      </c>
      <c r="E108" s="53">
        <f t="shared" si="34"/>
        <v>531750</v>
      </c>
      <c r="F108" s="53">
        <f t="shared" si="49"/>
        <v>514700.25</v>
      </c>
      <c r="G108" s="53"/>
      <c r="H108" s="59">
        <f t="shared" si="32"/>
        <v>-37.065494493008856</v>
      </c>
      <c r="I108" s="59">
        <f t="shared" si="39"/>
        <v>-27.224335084619167</v>
      </c>
      <c r="L108" s="53">
        <v>12553</v>
      </c>
      <c r="M108" s="53">
        <v>7200</v>
      </c>
      <c r="N108" s="53">
        <v>10600</v>
      </c>
      <c r="O108" s="53">
        <f t="shared" si="35"/>
        <v>30353</v>
      </c>
      <c r="P108" s="53">
        <f t="shared" si="50"/>
        <v>26358.75</v>
      </c>
      <c r="Q108" s="53"/>
      <c r="R108" s="59">
        <f t="shared" si="28"/>
        <v>-1.617399196162328</v>
      </c>
      <c r="S108" s="59">
        <f t="shared" si="40"/>
        <v>-19.197608920565578</v>
      </c>
      <c r="V108" s="56">
        <v>229115</v>
      </c>
      <c r="W108" s="56">
        <v>184178</v>
      </c>
      <c r="X108" s="56">
        <v>44400</v>
      </c>
      <c r="Y108" s="53">
        <f t="shared" si="36"/>
        <v>457693</v>
      </c>
      <c r="Z108" s="53">
        <f t="shared" si="51"/>
        <v>310169.5</v>
      </c>
      <c r="AA108" s="53"/>
      <c r="AB108" s="59">
        <f t="shared" si="29"/>
        <v>108.84061343590727</v>
      </c>
      <c r="AC108" s="59">
        <f t="shared" si="41"/>
        <v>3.6255815313170903</v>
      </c>
      <c r="AF108" s="56">
        <v>1600</v>
      </c>
      <c r="AG108" s="56">
        <v>1500</v>
      </c>
      <c r="AH108" s="56">
        <v>0</v>
      </c>
      <c r="AI108" s="53">
        <f t="shared" si="37"/>
        <v>3100</v>
      </c>
      <c r="AJ108" s="53">
        <f t="shared" si="52"/>
        <v>13774.75</v>
      </c>
      <c r="AK108" s="53"/>
      <c r="AL108" s="59">
        <f t="shared" si="30"/>
        <v>-48.333333333333329</v>
      </c>
      <c r="AM108" s="59">
        <f t="shared" si="42"/>
        <v>83.663333333333327</v>
      </c>
      <c r="AP108" s="53">
        <f t="shared" si="53"/>
        <v>705890</v>
      </c>
      <c r="AQ108" s="53">
        <f t="shared" si="53"/>
        <v>262006</v>
      </c>
      <c r="AR108" s="53">
        <f t="shared" si="53"/>
        <v>55000</v>
      </c>
      <c r="AS108" s="53">
        <f t="shared" si="53"/>
        <v>1022896</v>
      </c>
      <c r="AT108" s="53">
        <f t="shared" si="54"/>
        <v>865003.25</v>
      </c>
      <c r="AU108" s="53"/>
      <c r="AV108" s="59">
        <f t="shared" si="31"/>
        <v>-7.0885981668342479</v>
      </c>
      <c r="AW108" s="59">
        <f t="shared" si="43"/>
        <v>-17.357509116913374</v>
      </c>
      <c r="AZ108" s="53">
        <f t="shared" si="55"/>
        <v>531.75</v>
      </c>
      <c r="BA108" s="53">
        <f t="shared" si="56"/>
        <v>30.353000000000002</v>
      </c>
      <c r="BB108" s="53">
        <f t="shared" si="57"/>
        <v>457.69299999999998</v>
      </c>
      <c r="BC108" s="53">
        <f t="shared" si="58"/>
        <v>3.1</v>
      </c>
      <c r="BD108" s="53">
        <f t="shared" si="59"/>
        <v>1022.896</v>
      </c>
      <c r="BE108" s="60">
        <f t="shared" si="44"/>
        <v>22366.513999999999</v>
      </c>
      <c r="BF108" s="60">
        <f t="shared" si="45"/>
        <v>2500.268</v>
      </c>
      <c r="BG108" s="60">
        <f t="shared" si="46"/>
        <v>5031.5950000000003</v>
      </c>
      <c r="BH108" s="60">
        <f t="shared" si="47"/>
        <v>678.71100000000035</v>
      </c>
      <c r="BI108" s="60">
        <f t="shared" si="48"/>
        <v>30577.087999999992</v>
      </c>
      <c r="BJ108" s="1">
        <v>46</v>
      </c>
    </row>
    <row r="109" spans="1:62" x14ac:dyDescent="0.3">
      <c r="A109" s="49">
        <v>38318</v>
      </c>
      <c r="B109" s="56">
        <v>458724</v>
      </c>
      <c r="C109" s="56">
        <v>62087</v>
      </c>
      <c r="D109" s="56">
        <v>0</v>
      </c>
      <c r="E109" s="53">
        <f t="shared" si="34"/>
        <v>520811</v>
      </c>
      <c r="F109" s="53">
        <f t="shared" si="49"/>
        <v>538571</v>
      </c>
      <c r="G109" s="53"/>
      <c r="H109" s="59">
        <f t="shared" si="32"/>
        <v>-29.347262806894737</v>
      </c>
      <c r="I109" s="59">
        <f t="shared" si="39"/>
        <v>-30.669157184547636</v>
      </c>
      <c r="L109" s="53">
        <v>4824</v>
      </c>
      <c r="M109" s="53">
        <v>3073</v>
      </c>
      <c r="N109" s="53">
        <v>8400</v>
      </c>
      <c r="O109" s="53">
        <f t="shared" si="35"/>
        <v>16297</v>
      </c>
      <c r="P109" s="53">
        <f t="shared" si="50"/>
        <v>23866</v>
      </c>
      <c r="Q109" s="53"/>
      <c r="R109" s="59">
        <f t="shared" si="28"/>
        <v>-63.859937020446175</v>
      </c>
      <c r="S109" s="59">
        <f t="shared" si="40"/>
        <v>-31.454502373071204</v>
      </c>
      <c r="V109" s="56">
        <v>152168</v>
      </c>
      <c r="W109" s="56">
        <v>132535</v>
      </c>
      <c r="X109" s="56">
        <v>43900</v>
      </c>
      <c r="Y109" s="53">
        <f t="shared" si="36"/>
        <v>328603</v>
      </c>
      <c r="Z109" s="53">
        <f t="shared" si="51"/>
        <v>350732.5</v>
      </c>
      <c r="AA109" s="53"/>
      <c r="AB109" s="59">
        <f t="shared" si="29"/>
        <v>18.993094407810162</v>
      </c>
      <c r="AC109" s="59">
        <f t="shared" si="41"/>
        <v>35.90621906114437</v>
      </c>
      <c r="AF109" s="56">
        <v>0</v>
      </c>
      <c r="AG109" s="56">
        <v>1500</v>
      </c>
      <c r="AH109" s="56">
        <v>0</v>
      </c>
      <c r="AI109" s="53">
        <f t="shared" si="37"/>
        <v>1500</v>
      </c>
      <c r="AJ109" s="53">
        <f t="shared" si="52"/>
        <v>12218.75</v>
      </c>
      <c r="AK109" s="53"/>
      <c r="AL109" s="59"/>
      <c r="AM109" s="59">
        <f t="shared" si="42"/>
        <v>159.97340425531914</v>
      </c>
      <c r="AP109" s="53">
        <f t="shared" si="53"/>
        <v>615716</v>
      </c>
      <c r="AQ109" s="53">
        <f t="shared" si="53"/>
        <v>199195</v>
      </c>
      <c r="AR109" s="53">
        <f t="shared" si="53"/>
        <v>52300</v>
      </c>
      <c r="AS109" s="53">
        <f t="shared" si="53"/>
        <v>867211</v>
      </c>
      <c r="AT109" s="53">
        <f t="shared" si="54"/>
        <v>925388.25</v>
      </c>
      <c r="AU109" s="53"/>
      <c r="AV109" s="59">
        <f t="shared" si="31"/>
        <v>-18.063112900833246</v>
      </c>
      <c r="AW109" s="59">
        <f t="shared" si="43"/>
        <v>-13.869319185285001</v>
      </c>
      <c r="AZ109" s="53">
        <f t="shared" si="55"/>
        <v>520.81100000000004</v>
      </c>
      <c r="BA109" s="53">
        <f t="shared" si="56"/>
        <v>16.297000000000001</v>
      </c>
      <c r="BB109" s="53">
        <f t="shared" si="57"/>
        <v>328.60300000000001</v>
      </c>
      <c r="BC109" s="53">
        <f t="shared" si="58"/>
        <v>1.5</v>
      </c>
      <c r="BD109" s="53">
        <f t="shared" si="59"/>
        <v>867.21100000000001</v>
      </c>
      <c r="BE109" s="60">
        <f t="shared" si="44"/>
        <v>22887.325000000001</v>
      </c>
      <c r="BF109" s="60">
        <f t="shared" si="45"/>
        <v>2516.5650000000001</v>
      </c>
      <c r="BG109" s="60">
        <f t="shared" si="46"/>
        <v>5360.1980000000003</v>
      </c>
      <c r="BH109" s="60">
        <f t="shared" si="47"/>
        <v>680.21100000000035</v>
      </c>
      <c r="BI109" s="60">
        <f t="shared" si="48"/>
        <v>31444.298999999992</v>
      </c>
      <c r="BJ109" s="1">
        <v>47</v>
      </c>
    </row>
    <row r="110" spans="1:62" x14ac:dyDescent="0.3">
      <c r="A110" s="49">
        <v>38325</v>
      </c>
      <c r="B110" s="56">
        <v>523217</v>
      </c>
      <c r="C110" s="56">
        <v>68900</v>
      </c>
      <c r="D110" s="56">
        <v>0</v>
      </c>
      <c r="E110" s="53">
        <f t="shared" si="34"/>
        <v>592117</v>
      </c>
      <c r="F110" s="53">
        <f t="shared" si="49"/>
        <v>552382</v>
      </c>
      <c r="G110" s="53"/>
      <c r="H110" s="59">
        <f t="shared" si="32"/>
        <v>-33.979323555581317</v>
      </c>
      <c r="I110" s="59">
        <f t="shared" si="39"/>
        <v>-29.735130717395386</v>
      </c>
      <c r="L110" s="53">
        <v>6400</v>
      </c>
      <c r="M110" s="53">
        <v>1500</v>
      </c>
      <c r="N110" s="53">
        <v>19600</v>
      </c>
      <c r="O110" s="53">
        <f t="shared" si="35"/>
        <v>27500</v>
      </c>
      <c r="P110" s="53">
        <f t="shared" si="50"/>
        <v>26175</v>
      </c>
      <c r="Q110" s="53"/>
      <c r="R110" s="59">
        <f t="shared" si="28"/>
        <v>-52.986631107464021</v>
      </c>
      <c r="S110" s="59">
        <f t="shared" si="40"/>
        <v>-33.896507311159937</v>
      </c>
      <c r="V110" s="56">
        <v>160265</v>
      </c>
      <c r="W110" s="56">
        <v>85200</v>
      </c>
      <c r="X110" s="56">
        <v>28100</v>
      </c>
      <c r="Y110" s="53">
        <f t="shared" si="36"/>
        <v>273565</v>
      </c>
      <c r="Z110" s="53">
        <f t="shared" si="51"/>
        <v>344699.25</v>
      </c>
      <c r="AA110" s="53"/>
      <c r="AB110" s="59">
        <f t="shared" si="29"/>
        <v>-27.314683196543822</v>
      </c>
      <c r="AC110" s="59">
        <f t="shared" si="41"/>
        <v>26.430878250870649</v>
      </c>
      <c r="AF110" s="56">
        <v>0</v>
      </c>
      <c r="AG110" s="56">
        <v>39000</v>
      </c>
      <c r="AH110" s="56">
        <v>0</v>
      </c>
      <c r="AI110" s="53">
        <f t="shared" si="37"/>
        <v>39000</v>
      </c>
      <c r="AJ110" s="53">
        <f t="shared" si="52"/>
        <v>21175</v>
      </c>
      <c r="AK110" s="53"/>
      <c r="AL110" s="59">
        <f t="shared" si="30"/>
        <v>2337.5</v>
      </c>
      <c r="AM110" s="59">
        <f t="shared" si="42"/>
        <v>600</v>
      </c>
      <c r="AP110" s="53">
        <f t="shared" si="53"/>
        <v>689882</v>
      </c>
      <c r="AQ110" s="53">
        <f t="shared" si="53"/>
        <v>194600</v>
      </c>
      <c r="AR110" s="53">
        <f t="shared" si="53"/>
        <v>47700</v>
      </c>
      <c r="AS110" s="53">
        <f t="shared" si="53"/>
        <v>932182</v>
      </c>
      <c r="AT110" s="53">
        <f t="shared" si="54"/>
        <v>944431.25</v>
      </c>
      <c r="AU110" s="53"/>
      <c r="AV110" s="59">
        <f t="shared" si="31"/>
        <v>-30.086122779899039</v>
      </c>
      <c r="AW110" s="59">
        <f t="shared" si="43"/>
        <v>-14.251981336531683</v>
      </c>
      <c r="AZ110" s="53">
        <f t="shared" si="55"/>
        <v>592.11699999999996</v>
      </c>
      <c r="BA110" s="53">
        <f t="shared" si="56"/>
        <v>27.5</v>
      </c>
      <c r="BB110" s="53">
        <f t="shared" si="57"/>
        <v>273.565</v>
      </c>
      <c r="BC110" s="53">
        <f t="shared" si="58"/>
        <v>39</v>
      </c>
      <c r="BD110" s="53">
        <f t="shared" si="59"/>
        <v>932.18200000000002</v>
      </c>
      <c r="BE110" s="60">
        <f t="shared" si="44"/>
        <v>23479.441999999999</v>
      </c>
      <c r="BF110" s="60">
        <f t="shared" si="45"/>
        <v>2544.0650000000001</v>
      </c>
      <c r="BG110" s="60">
        <f t="shared" si="46"/>
        <v>5633.7629999999999</v>
      </c>
      <c r="BH110" s="60">
        <f t="shared" si="47"/>
        <v>719.21100000000035</v>
      </c>
      <c r="BI110" s="60">
        <f t="shared" si="48"/>
        <v>32376.480999999992</v>
      </c>
      <c r="BJ110" s="1">
        <v>48</v>
      </c>
    </row>
    <row r="111" spans="1:62" x14ac:dyDescent="0.3">
      <c r="A111" s="49">
        <v>38332</v>
      </c>
      <c r="B111" s="56">
        <v>684649</v>
      </c>
      <c r="C111" s="56">
        <v>77807</v>
      </c>
      <c r="D111" s="56">
        <v>0</v>
      </c>
      <c r="E111" s="53">
        <f t="shared" si="34"/>
        <v>762456</v>
      </c>
      <c r="F111" s="53">
        <f t="shared" si="49"/>
        <v>601783.5</v>
      </c>
      <c r="G111" s="53"/>
      <c r="H111" s="59">
        <f t="shared" si="32"/>
        <v>-24.200932307774902</v>
      </c>
      <c r="I111" s="59">
        <f t="shared" si="39"/>
        <v>-30.925254496280296</v>
      </c>
      <c r="L111" s="53">
        <v>27800</v>
      </c>
      <c r="M111" s="53">
        <v>8600</v>
      </c>
      <c r="N111" s="53">
        <v>15600</v>
      </c>
      <c r="O111" s="53">
        <f t="shared" si="35"/>
        <v>52000</v>
      </c>
      <c r="P111" s="53">
        <f t="shared" si="50"/>
        <v>31537.5</v>
      </c>
      <c r="Q111" s="53"/>
      <c r="R111" s="59">
        <f t="shared" si="28"/>
        <v>43.250688705234161</v>
      </c>
      <c r="S111" s="59">
        <f t="shared" si="40"/>
        <v>-26.115731521611806</v>
      </c>
      <c r="V111" s="56">
        <v>197025</v>
      </c>
      <c r="W111" s="56">
        <v>61328</v>
      </c>
      <c r="X111" s="56">
        <v>15600</v>
      </c>
      <c r="Y111" s="53">
        <f t="shared" si="36"/>
        <v>273953</v>
      </c>
      <c r="Z111" s="53">
        <f t="shared" si="51"/>
        <v>333453.5</v>
      </c>
      <c r="AA111" s="53"/>
      <c r="AB111" s="59">
        <f t="shared" si="29"/>
        <v>-0.50374082951986088</v>
      </c>
      <c r="AC111" s="59">
        <f t="shared" si="41"/>
        <v>16.285054937965391</v>
      </c>
      <c r="AF111" s="56">
        <v>29025</v>
      </c>
      <c r="AG111" s="56">
        <v>0</v>
      </c>
      <c r="AH111" s="56">
        <v>0</v>
      </c>
      <c r="AI111" s="53">
        <f t="shared" si="37"/>
        <v>29025</v>
      </c>
      <c r="AJ111" s="53">
        <f t="shared" si="52"/>
        <v>18156.25</v>
      </c>
      <c r="AK111" s="53"/>
      <c r="AL111" s="59"/>
      <c r="AM111" s="59">
        <f t="shared" si="42"/>
        <v>855.59210526315792</v>
      </c>
      <c r="AP111" s="53">
        <f t="shared" si="53"/>
        <v>938499</v>
      </c>
      <c r="AQ111" s="53">
        <f t="shared" si="53"/>
        <v>147735</v>
      </c>
      <c r="AR111" s="53">
        <f t="shared" si="53"/>
        <v>31200</v>
      </c>
      <c r="AS111" s="53">
        <f t="shared" si="53"/>
        <v>1117434</v>
      </c>
      <c r="AT111" s="53">
        <f t="shared" si="54"/>
        <v>984930.75</v>
      </c>
      <c r="AU111" s="53"/>
      <c r="AV111" s="59">
        <f t="shared" si="31"/>
        <v>-15.187270735944736</v>
      </c>
      <c r="AW111" s="59">
        <f t="shared" si="43"/>
        <v>-18.096244095342673</v>
      </c>
      <c r="AZ111" s="53">
        <f t="shared" si="55"/>
        <v>762.45600000000002</v>
      </c>
      <c r="BA111" s="53">
        <f t="shared" si="56"/>
        <v>52</v>
      </c>
      <c r="BB111" s="53">
        <f t="shared" si="57"/>
        <v>273.95299999999997</v>
      </c>
      <c r="BC111" s="53">
        <f t="shared" si="58"/>
        <v>29.024999999999999</v>
      </c>
      <c r="BD111" s="53">
        <f t="shared" si="59"/>
        <v>1117.434</v>
      </c>
      <c r="BE111" s="60">
        <f t="shared" si="44"/>
        <v>24241.897999999997</v>
      </c>
      <c r="BF111" s="60">
        <f t="shared" si="45"/>
        <v>2596.0650000000001</v>
      </c>
      <c r="BG111" s="60">
        <f t="shared" si="46"/>
        <v>5907.7160000000003</v>
      </c>
      <c r="BH111" s="60">
        <f t="shared" si="47"/>
        <v>748.23600000000033</v>
      </c>
      <c r="BI111" s="60">
        <f t="shared" si="48"/>
        <v>33493.914999999994</v>
      </c>
      <c r="BJ111" s="1">
        <v>49</v>
      </c>
    </row>
    <row r="112" spans="1:62" x14ac:dyDescent="0.3">
      <c r="A112" s="49">
        <v>38339</v>
      </c>
      <c r="B112" s="56">
        <v>594231</v>
      </c>
      <c r="C112" s="56">
        <v>66311</v>
      </c>
      <c r="D112" s="56">
        <v>0</v>
      </c>
      <c r="E112" s="53">
        <f t="shared" si="34"/>
        <v>660542</v>
      </c>
      <c r="F112" s="53">
        <f t="shared" si="49"/>
        <v>633981.5</v>
      </c>
      <c r="G112" s="53"/>
      <c r="H112" s="59">
        <f t="shared" si="32"/>
        <v>5.9970794486255752</v>
      </c>
      <c r="I112" s="59">
        <f t="shared" si="39"/>
        <v>-22.284021576007127</v>
      </c>
      <c r="L112" s="53">
        <v>12448</v>
      </c>
      <c r="M112" s="53">
        <v>12408</v>
      </c>
      <c r="N112" s="53">
        <v>9700</v>
      </c>
      <c r="O112" s="53">
        <f t="shared" si="35"/>
        <v>34556</v>
      </c>
      <c r="P112" s="53">
        <f t="shared" si="50"/>
        <v>32588.25</v>
      </c>
      <c r="Q112" s="53"/>
      <c r="R112" s="59">
        <f t="shared" si="28"/>
        <v>-34.1125326520106</v>
      </c>
      <c r="S112" s="59">
        <f t="shared" si="40"/>
        <v>-32.226063898926348</v>
      </c>
      <c r="V112" s="56">
        <v>141523</v>
      </c>
      <c r="W112" s="56">
        <v>91929</v>
      </c>
      <c r="X112" s="56">
        <v>21000</v>
      </c>
      <c r="Y112" s="53">
        <f t="shared" si="36"/>
        <v>254452</v>
      </c>
      <c r="Z112" s="53">
        <f t="shared" si="51"/>
        <v>282643.25</v>
      </c>
      <c r="AA112" s="53"/>
      <c r="AB112" s="59">
        <f t="shared" si="29"/>
        <v>86.849757673667199</v>
      </c>
      <c r="AC112" s="59">
        <f t="shared" si="41"/>
        <v>6.2526667180430762</v>
      </c>
      <c r="AF112" s="56">
        <v>17424</v>
      </c>
      <c r="AG112" s="56">
        <v>49729</v>
      </c>
      <c r="AH112" s="56">
        <v>0</v>
      </c>
      <c r="AI112" s="53">
        <f t="shared" si="37"/>
        <v>67153</v>
      </c>
      <c r="AJ112" s="53">
        <f t="shared" si="52"/>
        <v>34169.5</v>
      </c>
      <c r="AK112" s="53"/>
      <c r="AL112" s="59">
        <f t="shared" si="30"/>
        <v>38.317198764160665</v>
      </c>
      <c r="AM112" s="59">
        <f t="shared" si="42"/>
        <v>172.53838484546361</v>
      </c>
      <c r="AP112" s="53">
        <f t="shared" si="53"/>
        <v>765626</v>
      </c>
      <c r="AQ112" s="53">
        <f t="shared" si="53"/>
        <v>220377</v>
      </c>
      <c r="AR112" s="53">
        <f t="shared" si="53"/>
        <v>30700</v>
      </c>
      <c r="AS112" s="53">
        <f t="shared" si="53"/>
        <v>1016703</v>
      </c>
      <c r="AT112" s="53">
        <f t="shared" si="54"/>
        <v>983382.5</v>
      </c>
      <c r="AU112" s="53"/>
      <c r="AV112" s="59">
        <f t="shared" si="31"/>
        <v>18.173597397329221</v>
      </c>
      <c r="AW112" s="59">
        <f t="shared" si="43"/>
        <v>-13.919523739078898</v>
      </c>
      <c r="AZ112" s="53">
        <f t="shared" si="55"/>
        <v>660.54200000000003</v>
      </c>
      <c r="BA112" s="53">
        <f t="shared" si="56"/>
        <v>34.555999999999997</v>
      </c>
      <c r="BB112" s="53">
        <f t="shared" si="57"/>
        <v>254.452</v>
      </c>
      <c r="BC112" s="53">
        <f t="shared" si="58"/>
        <v>67.153000000000006</v>
      </c>
      <c r="BD112" s="53">
        <f t="shared" si="59"/>
        <v>1016.703</v>
      </c>
      <c r="BE112" s="60">
        <f t="shared" si="44"/>
        <v>24902.44</v>
      </c>
      <c r="BF112" s="60">
        <f t="shared" si="45"/>
        <v>2630.6210000000001</v>
      </c>
      <c r="BG112" s="60">
        <f t="shared" si="46"/>
        <v>6162.1680000000006</v>
      </c>
      <c r="BH112" s="60">
        <f t="shared" si="47"/>
        <v>815.38900000000035</v>
      </c>
      <c r="BI112" s="60">
        <f t="shared" si="48"/>
        <v>34510.617999999995</v>
      </c>
      <c r="BJ112" s="1">
        <v>50</v>
      </c>
    </row>
    <row r="113" spans="1:62" x14ac:dyDescent="0.3">
      <c r="A113" s="49">
        <v>38346</v>
      </c>
      <c r="B113" s="56">
        <v>429525</v>
      </c>
      <c r="C113" s="56">
        <v>93523</v>
      </c>
      <c r="D113" s="56">
        <v>0</v>
      </c>
      <c r="E113" s="53">
        <f t="shared" si="34"/>
        <v>523048</v>
      </c>
      <c r="F113" s="53">
        <f t="shared" si="49"/>
        <v>634540.75</v>
      </c>
      <c r="G113" s="53"/>
      <c r="H113" s="59">
        <f t="shared" si="32"/>
        <v>-14.218144723506009</v>
      </c>
      <c r="I113" s="59">
        <f t="shared" si="39"/>
        <v>-19.055136240464154</v>
      </c>
      <c r="L113" s="53">
        <v>10500</v>
      </c>
      <c r="M113" s="53">
        <v>3248</v>
      </c>
      <c r="N113" s="53">
        <v>19600</v>
      </c>
      <c r="O113" s="53">
        <f t="shared" si="35"/>
        <v>33348</v>
      </c>
      <c r="P113" s="53">
        <f t="shared" si="50"/>
        <v>36851</v>
      </c>
      <c r="Q113" s="53"/>
      <c r="R113" s="59">
        <f t="shared" si="28"/>
        <v>-29.171887942569509</v>
      </c>
      <c r="S113" s="59">
        <f t="shared" si="40"/>
        <v>-24.145241967024145</v>
      </c>
      <c r="V113" s="56">
        <v>154469</v>
      </c>
      <c r="W113" s="56">
        <v>95576</v>
      </c>
      <c r="X113" s="56">
        <v>26900</v>
      </c>
      <c r="Y113" s="53">
        <f t="shared" si="36"/>
        <v>276945</v>
      </c>
      <c r="Z113" s="53">
        <f t="shared" si="51"/>
        <v>269728.75</v>
      </c>
      <c r="AA113" s="53"/>
      <c r="AB113" s="59">
        <f t="shared" si="29"/>
        <v>148.57735252935052</v>
      </c>
      <c r="AC113" s="59">
        <f t="shared" si="41"/>
        <v>19.9726231817823</v>
      </c>
      <c r="AF113" s="56">
        <v>0</v>
      </c>
      <c r="AG113" s="56">
        <v>4500</v>
      </c>
      <c r="AH113" s="56">
        <v>4600</v>
      </c>
      <c r="AI113" s="53">
        <f t="shared" si="37"/>
        <v>9100</v>
      </c>
      <c r="AJ113" s="53">
        <f t="shared" si="52"/>
        <v>36069.5</v>
      </c>
      <c r="AK113" s="53"/>
      <c r="AL113" s="59">
        <f t="shared" si="30"/>
        <v>-12.918660287081341</v>
      </c>
      <c r="AM113" s="59">
        <f t="shared" si="42"/>
        <v>138.08250825082507</v>
      </c>
      <c r="AP113" s="53">
        <f t="shared" si="53"/>
        <v>594494</v>
      </c>
      <c r="AQ113" s="53">
        <f t="shared" si="53"/>
        <v>196847</v>
      </c>
      <c r="AR113" s="53">
        <f t="shared" si="53"/>
        <v>51100</v>
      </c>
      <c r="AS113" s="53">
        <f t="shared" si="53"/>
        <v>842441</v>
      </c>
      <c r="AT113" s="53">
        <f t="shared" si="54"/>
        <v>977190</v>
      </c>
      <c r="AU113" s="53"/>
      <c r="AV113" s="59">
        <f t="shared" si="31"/>
        <v>8.1873718194858789</v>
      </c>
      <c r="AW113" s="59">
        <f t="shared" si="43"/>
        <v>-8.8844619470784139</v>
      </c>
      <c r="AZ113" s="53">
        <f t="shared" si="55"/>
        <v>523.048</v>
      </c>
      <c r="BA113" s="53">
        <f t="shared" si="56"/>
        <v>33.347999999999999</v>
      </c>
      <c r="BB113" s="53">
        <f t="shared" si="57"/>
        <v>276.94499999999999</v>
      </c>
      <c r="BC113" s="53">
        <f t="shared" si="58"/>
        <v>9.1</v>
      </c>
      <c r="BD113" s="53">
        <f t="shared" si="59"/>
        <v>842.44100000000003</v>
      </c>
      <c r="BE113" s="60">
        <f t="shared" si="44"/>
        <v>25425.487999999998</v>
      </c>
      <c r="BF113" s="60">
        <f t="shared" si="45"/>
        <v>2663.9690000000001</v>
      </c>
      <c r="BG113" s="60">
        <f t="shared" si="46"/>
        <v>6439.1130000000003</v>
      </c>
      <c r="BH113" s="60">
        <f t="shared" si="47"/>
        <v>824.48900000000037</v>
      </c>
      <c r="BI113" s="60">
        <f t="shared" si="48"/>
        <v>35353.058999999994</v>
      </c>
      <c r="BJ113" s="1">
        <v>51</v>
      </c>
    </row>
    <row r="114" spans="1:62" x14ac:dyDescent="0.3">
      <c r="A114" s="49">
        <v>38353</v>
      </c>
      <c r="B114" s="56">
        <v>302750</v>
      </c>
      <c r="C114" s="56">
        <v>67532</v>
      </c>
      <c r="D114" s="56">
        <v>0</v>
      </c>
      <c r="E114" s="53">
        <f t="shared" si="34"/>
        <v>370282</v>
      </c>
      <c r="F114" s="53">
        <f t="shared" si="49"/>
        <v>579082</v>
      </c>
      <c r="G114" s="53"/>
      <c r="H114" s="59">
        <f t="shared" si="32"/>
        <v>-15.613320206384806</v>
      </c>
      <c r="I114" s="59">
        <f t="shared" si="39"/>
        <v>-13.492219697153606</v>
      </c>
      <c r="L114" s="53">
        <v>1500</v>
      </c>
      <c r="M114" s="53">
        <v>1500</v>
      </c>
      <c r="N114" s="53">
        <v>7000</v>
      </c>
      <c r="O114" s="53">
        <f t="shared" si="35"/>
        <v>10000</v>
      </c>
      <c r="P114" s="53">
        <f t="shared" si="50"/>
        <v>32476</v>
      </c>
      <c r="Q114" s="53"/>
      <c r="R114" s="59">
        <f t="shared" si="28"/>
        <v>-63.173013184061276</v>
      </c>
      <c r="S114" s="59">
        <f t="shared" si="40"/>
        <v>-20.296470819221526</v>
      </c>
      <c r="V114" s="56">
        <v>121375</v>
      </c>
      <c r="W114" s="56">
        <v>94920</v>
      </c>
      <c r="X114" s="56">
        <v>28700</v>
      </c>
      <c r="Y114" s="53">
        <f t="shared" si="36"/>
        <v>244995</v>
      </c>
      <c r="Z114" s="53">
        <f t="shared" si="51"/>
        <v>262586.25</v>
      </c>
      <c r="AA114" s="53"/>
      <c r="AB114" s="59">
        <f t="shared" si="29"/>
        <v>146.34744748670201</v>
      </c>
      <c r="AC114" s="59">
        <f t="shared" si="41"/>
        <v>68.761839574667036</v>
      </c>
      <c r="AF114" s="56">
        <v>0</v>
      </c>
      <c r="AG114" s="56">
        <v>18900</v>
      </c>
      <c r="AH114" s="56">
        <v>0</v>
      </c>
      <c r="AI114" s="53">
        <f t="shared" si="37"/>
        <v>18900</v>
      </c>
      <c r="AJ114" s="53">
        <f t="shared" si="52"/>
        <v>31044.5</v>
      </c>
      <c r="AK114" s="53"/>
      <c r="AL114" s="59">
        <f t="shared" si="30"/>
        <v>136.24999999999997</v>
      </c>
      <c r="AM114" s="59">
        <f t="shared" si="42"/>
        <v>85.340298507462691</v>
      </c>
      <c r="AP114" s="53">
        <f t="shared" si="53"/>
        <v>425625</v>
      </c>
      <c r="AQ114" s="53">
        <f t="shared" si="53"/>
        <v>182852</v>
      </c>
      <c r="AR114" s="53">
        <f t="shared" si="53"/>
        <v>35700</v>
      </c>
      <c r="AS114" s="53">
        <f t="shared" si="53"/>
        <v>644177</v>
      </c>
      <c r="AT114" s="53">
        <f t="shared" si="54"/>
        <v>905188.75</v>
      </c>
      <c r="AU114" s="53"/>
      <c r="AV114" s="59">
        <f t="shared" si="31"/>
        <v>12.343978081503737</v>
      </c>
      <c r="AW114" s="59">
        <f t="shared" si="43"/>
        <v>2.5720673480337686</v>
      </c>
      <c r="AZ114" s="53">
        <f t="shared" si="55"/>
        <v>370.28199999999998</v>
      </c>
      <c r="BA114" s="53">
        <f t="shared" si="56"/>
        <v>10</v>
      </c>
      <c r="BB114" s="53">
        <f t="shared" si="57"/>
        <v>244.995</v>
      </c>
      <c r="BC114" s="53">
        <f t="shared" si="58"/>
        <v>18.899999999999999</v>
      </c>
      <c r="BD114" s="53">
        <f t="shared" si="59"/>
        <v>644.17700000000002</v>
      </c>
      <c r="BE114" s="60">
        <f t="shared" si="44"/>
        <v>25795.769999999997</v>
      </c>
      <c r="BF114" s="60">
        <f t="shared" si="45"/>
        <v>2673.9690000000001</v>
      </c>
      <c r="BG114" s="60">
        <f t="shared" si="46"/>
        <v>6684.1080000000002</v>
      </c>
      <c r="BH114" s="60">
        <f t="shared" si="47"/>
        <v>843.38900000000035</v>
      </c>
      <c r="BI114" s="60">
        <f t="shared" si="48"/>
        <v>35997.235999999997</v>
      </c>
      <c r="BJ114" s="1">
        <v>52</v>
      </c>
    </row>
    <row r="115" spans="1:62" x14ac:dyDescent="0.3">
      <c r="A115" s="49">
        <v>38360</v>
      </c>
      <c r="B115" s="56">
        <v>429029</v>
      </c>
      <c r="C115" s="56">
        <v>40951</v>
      </c>
      <c r="D115" s="56">
        <v>0</v>
      </c>
      <c r="E115" s="53">
        <f>SUM(B115:D115)</f>
        <v>469980</v>
      </c>
      <c r="F115" s="53">
        <f t="shared" si="49"/>
        <v>505963</v>
      </c>
      <c r="G115" s="53"/>
      <c r="H115" s="59">
        <f t="shared" si="32"/>
        <v>-5.6280220398065905</v>
      </c>
      <c r="I115" s="59">
        <f t="shared" si="39"/>
        <v>-6.7225511957347379</v>
      </c>
      <c r="L115" s="53">
        <v>0</v>
      </c>
      <c r="M115" s="53">
        <v>0</v>
      </c>
      <c r="N115" s="53">
        <v>2800</v>
      </c>
      <c r="O115" s="53">
        <f>SUM(L115:N115)</f>
        <v>2800</v>
      </c>
      <c r="P115" s="53">
        <f t="shared" si="50"/>
        <v>20176</v>
      </c>
      <c r="Q115" s="53"/>
      <c r="R115" s="59">
        <f t="shared" si="28"/>
        <v>-92.471701664291672</v>
      </c>
      <c r="S115" s="59">
        <f t="shared" si="40"/>
        <v>-50.753308884102097</v>
      </c>
      <c r="V115" s="56">
        <v>144493</v>
      </c>
      <c r="W115" s="56">
        <v>52753</v>
      </c>
      <c r="X115" s="56">
        <v>0</v>
      </c>
      <c r="Y115" s="53">
        <f>SUM(V115:X115)</f>
        <v>197246</v>
      </c>
      <c r="Z115" s="53">
        <f t="shared" si="51"/>
        <v>243409.5</v>
      </c>
      <c r="AA115" s="53"/>
      <c r="AB115" s="59">
        <f t="shared" si="29"/>
        <v>34.741918736508445</v>
      </c>
      <c r="AC115" s="59">
        <f t="shared" si="41"/>
        <v>97.319990029001019</v>
      </c>
      <c r="AF115" s="56">
        <v>7900</v>
      </c>
      <c r="AG115" s="56">
        <v>7900</v>
      </c>
      <c r="AH115" s="56">
        <v>0</v>
      </c>
      <c r="AI115" s="53">
        <f>SUM(AF115:AH115)</f>
        <v>15800</v>
      </c>
      <c r="AJ115" s="53">
        <f t="shared" si="52"/>
        <v>27738.25</v>
      </c>
      <c r="AK115" s="53"/>
      <c r="AL115" s="59">
        <f t="shared" si="30"/>
        <v>-17.815344603381011</v>
      </c>
      <c r="AM115" s="59">
        <f t="shared" si="42"/>
        <v>28.678457523919974</v>
      </c>
      <c r="AP115" s="53">
        <f t="shared" si="53"/>
        <v>581422</v>
      </c>
      <c r="AQ115" s="53">
        <f t="shared" si="53"/>
        <v>101604</v>
      </c>
      <c r="AR115" s="53">
        <f t="shared" si="53"/>
        <v>2800</v>
      </c>
      <c r="AS115" s="53">
        <f t="shared" si="53"/>
        <v>685826</v>
      </c>
      <c r="AT115" s="53">
        <f t="shared" si="54"/>
        <v>797286.75</v>
      </c>
      <c r="AU115" s="53"/>
      <c r="AV115" s="59">
        <f t="shared" si="31"/>
        <v>-2.1386559058466315</v>
      </c>
      <c r="AW115" s="59">
        <f t="shared" si="43"/>
        <v>9.4706075184201701</v>
      </c>
      <c r="AZ115" s="53">
        <f t="shared" si="55"/>
        <v>469.98</v>
      </c>
      <c r="BA115" s="53">
        <f t="shared" si="56"/>
        <v>2.8</v>
      </c>
      <c r="BB115" s="53">
        <f t="shared" si="57"/>
        <v>197.24600000000001</v>
      </c>
      <c r="BC115" s="53">
        <f t="shared" si="58"/>
        <v>15.8</v>
      </c>
      <c r="BD115" s="53">
        <f t="shared" si="59"/>
        <v>685.82600000000002</v>
      </c>
      <c r="BE115" s="60">
        <f>AZ115</f>
        <v>469.98</v>
      </c>
      <c r="BF115" s="60">
        <f t="shared" ref="BF115:BI115" si="60">BA115</f>
        <v>2.8</v>
      </c>
      <c r="BG115" s="60">
        <f t="shared" si="60"/>
        <v>197.24600000000001</v>
      </c>
      <c r="BH115" s="60">
        <f t="shared" si="60"/>
        <v>15.8</v>
      </c>
      <c r="BI115" s="60">
        <f t="shared" si="60"/>
        <v>685.82600000000002</v>
      </c>
      <c r="BJ115" s="1">
        <v>1</v>
      </c>
    </row>
    <row r="116" spans="1:62" x14ac:dyDescent="0.3">
      <c r="A116" s="49">
        <v>38367</v>
      </c>
      <c r="B116" s="56">
        <v>261055</v>
      </c>
      <c r="C116" s="56">
        <v>88316</v>
      </c>
      <c r="D116" s="56">
        <v>0</v>
      </c>
      <c r="E116" s="53">
        <f t="shared" ref="E116:E166" si="61">SUM(B116:D116)</f>
        <v>349371</v>
      </c>
      <c r="F116" s="53">
        <f t="shared" si="49"/>
        <v>428170.25</v>
      </c>
      <c r="G116" s="53"/>
      <c r="H116" s="59">
        <f t="shared" si="32"/>
        <v>-41.637363206436127</v>
      </c>
      <c r="I116" s="59">
        <f t="shared" si="39"/>
        <v>-20.160798969588789</v>
      </c>
      <c r="L116" s="53">
        <v>3159</v>
      </c>
      <c r="M116" s="53">
        <v>1500</v>
      </c>
      <c r="N116" s="53">
        <v>16900</v>
      </c>
      <c r="O116" s="53">
        <f t="shared" ref="O116:O166" si="62">SUM(L116:N116)</f>
        <v>21559</v>
      </c>
      <c r="P116" s="53">
        <f t="shared" si="50"/>
        <v>16926.75</v>
      </c>
      <c r="Q116" s="53"/>
      <c r="R116" s="59">
        <f t="shared" si="28"/>
        <v>-46.636138613861391</v>
      </c>
      <c r="S116" s="59">
        <f t="shared" si="40"/>
        <v>-55.406046235921757</v>
      </c>
      <c r="V116" s="56">
        <v>108493</v>
      </c>
      <c r="W116" s="56">
        <v>78741</v>
      </c>
      <c r="X116" s="56">
        <v>30900</v>
      </c>
      <c r="Y116" s="53">
        <f t="shared" ref="Y116:Y166" si="63">SUM(V116:X116)</f>
        <v>218134</v>
      </c>
      <c r="Z116" s="53">
        <f t="shared" si="51"/>
        <v>234330</v>
      </c>
      <c r="AA116" s="53"/>
      <c r="AB116" s="59">
        <f t="shared" si="29"/>
        <v>2.7702658136006919</v>
      </c>
      <c r="AC116" s="59">
        <f t="shared" si="41"/>
        <v>64.585034371954592</v>
      </c>
      <c r="AF116" s="56">
        <v>10748</v>
      </c>
      <c r="AG116" s="56">
        <v>3000</v>
      </c>
      <c r="AH116" s="56">
        <v>10900</v>
      </c>
      <c r="AI116" s="53">
        <f t="shared" ref="AI116:AI166" si="64">SUM(AF116:AH116)</f>
        <v>24648</v>
      </c>
      <c r="AJ116" s="53">
        <f t="shared" si="52"/>
        <v>17112</v>
      </c>
      <c r="AK116" s="53"/>
      <c r="AL116" s="59">
        <f t="shared" si="30"/>
        <v>17.176135013073445</v>
      </c>
      <c r="AM116" s="59">
        <f t="shared" si="42"/>
        <v>16.586612161471635</v>
      </c>
      <c r="AP116" s="53">
        <f t="shared" si="53"/>
        <v>383455</v>
      </c>
      <c r="AQ116" s="53">
        <f t="shared" si="53"/>
        <v>171557</v>
      </c>
      <c r="AR116" s="53">
        <f t="shared" si="53"/>
        <v>58700</v>
      </c>
      <c r="AS116" s="53">
        <f t="shared" si="53"/>
        <v>613712</v>
      </c>
      <c r="AT116" s="53">
        <f t="shared" si="54"/>
        <v>696539</v>
      </c>
      <c r="AU116" s="53"/>
      <c r="AV116" s="59">
        <f t="shared" si="31"/>
        <v>-29.645194942165055</v>
      </c>
      <c r="AW116" s="59">
        <f t="shared" si="43"/>
        <v>-4.7535764978080213</v>
      </c>
      <c r="AZ116" s="53">
        <f t="shared" si="55"/>
        <v>349.37099999999998</v>
      </c>
      <c r="BA116" s="53">
        <f t="shared" si="56"/>
        <v>21.559000000000001</v>
      </c>
      <c r="BB116" s="53">
        <f t="shared" si="57"/>
        <v>218.13399999999999</v>
      </c>
      <c r="BC116" s="53">
        <f t="shared" si="58"/>
        <v>24.648</v>
      </c>
      <c r="BD116" s="53">
        <f t="shared" si="59"/>
        <v>613.71199999999999</v>
      </c>
      <c r="BE116" s="60">
        <f>BE115+AZ116</f>
        <v>819.351</v>
      </c>
      <c r="BF116" s="60">
        <f t="shared" ref="BF116:BI116" si="65">BF115+BA116</f>
        <v>24.359000000000002</v>
      </c>
      <c r="BG116" s="60">
        <f t="shared" si="65"/>
        <v>415.38</v>
      </c>
      <c r="BH116" s="60">
        <f t="shared" si="65"/>
        <v>40.448</v>
      </c>
      <c r="BI116" s="60">
        <f t="shared" si="65"/>
        <v>1299.538</v>
      </c>
      <c r="BJ116" s="1">
        <v>2</v>
      </c>
    </row>
    <row r="117" spans="1:62" x14ac:dyDescent="0.3">
      <c r="A117" s="49">
        <v>38374</v>
      </c>
      <c r="B117" s="56">
        <v>90466</v>
      </c>
      <c r="C117" s="56">
        <v>129146</v>
      </c>
      <c r="D117" s="56">
        <v>0</v>
      </c>
      <c r="E117" s="53">
        <f t="shared" si="61"/>
        <v>219612</v>
      </c>
      <c r="F117" s="53">
        <f t="shared" si="49"/>
        <v>352311.25</v>
      </c>
      <c r="G117" s="53"/>
      <c r="H117" s="59">
        <f t="shared" si="32"/>
        <v>-56.640150685012649</v>
      </c>
      <c r="I117" s="59">
        <f t="shared" si="39"/>
        <v>-30.983913085212457</v>
      </c>
      <c r="L117" s="53">
        <v>0</v>
      </c>
      <c r="M117" s="53">
        <v>4550</v>
      </c>
      <c r="N117" s="53">
        <v>4400</v>
      </c>
      <c r="O117" s="53">
        <f t="shared" si="62"/>
        <v>8950</v>
      </c>
      <c r="P117" s="53">
        <f t="shared" si="50"/>
        <v>10827.25</v>
      </c>
      <c r="Q117" s="53"/>
      <c r="R117" s="59">
        <f t="shared" si="28"/>
        <v>-87.491090022222522</v>
      </c>
      <c r="S117" s="59">
        <f t="shared" si="40"/>
        <v>-75.433929300721516</v>
      </c>
      <c r="V117" s="56">
        <v>56116</v>
      </c>
      <c r="W117" s="56">
        <v>48466</v>
      </c>
      <c r="X117" s="56">
        <v>7500</v>
      </c>
      <c r="Y117" s="53">
        <f t="shared" si="63"/>
        <v>112082</v>
      </c>
      <c r="Z117" s="53">
        <f t="shared" si="51"/>
        <v>193114.25</v>
      </c>
      <c r="AA117" s="53"/>
      <c r="AB117" s="59">
        <f t="shared" si="29"/>
        <v>-21.870120455052422</v>
      </c>
      <c r="AC117" s="59">
        <f t="shared" si="41"/>
        <v>28.41131811373636</v>
      </c>
      <c r="AF117" s="56">
        <v>0</v>
      </c>
      <c r="AG117" s="56">
        <v>0</v>
      </c>
      <c r="AH117" s="56">
        <v>5600</v>
      </c>
      <c r="AI117" s="53">
        <f t="shared" si="64"/>
        <v>5600</v>
      </c>
      <c r="AJ117" s="53">
        <f t="shared" si="52"/>
        <v>16237</v>
      </c>
      <c r="AK117" s="53"/>
      <c r="AL117" s="59">
        <f t="shared" si="30"/>
        <v>-77.362761743067338</v>
      </c>
      <c r="AM117" s="59">
        <f t="shared" si="42"/>
        <v>-11.02769938902436</v>
      </c>
      <c r="AP117" s="53">
        <f t="shared" si="53"/>
        <v>146582</v>
      </c>
      <c r="AQ117" s="53">
        <f t="shared" si="53"/>
        <v>182162</v>
      </c>
      <c r="AR117" s="53">
        <f t="shared" si="53"/>
        <v>17500</v>
      </c>
      <c r="AS117" s="53">
        <f t="shared" si="53"/>
        <v>346244</v>
      </c>
      <c r="AT117" s="53">
        <f t="shared" si="54"/>
        <v>572489.75</v>
      </c>
      <c r="AU117" s="53"/>
      <c r="AV117" s="59">
        <f t="shared" si="31"/>
        <v>-53.60090052664728</v>
      </c>
      <c r="AW117" s="59">
        <f t="shared" si="43"/>
        <v>-20.838018896199493</v>
      </c>
      <c r="AZ117" s="53">
        <f t="shared" si="55"/>
        <v>219.61199999999999</v>
      </c>
      <c r="BA117" s="53">
        <f t="shared" si="56"/>
        <v>8.9499999999999993</v>
      </c>
      <c r="BB117" s="53">
        <f t="shared" si="57"/>
        <v>112.08199999999999</v>
      </c>
      <c r="BC117" s="53">
        <f t="shared" si="58"/>
        <v>5.6</v>
      </c>
      <c r="BD117" s="53">
        <f t="shared" si="59"/>
        <v>346.24400000000003</v>
      </c>
      <c r="BE117" s="60">
        <f t="shared" ref="BE117:BE166" si="66">BE116+AZ117</f>
        <v>1038.963</v>
      </c>
      <c r="BF117" s="60">
        <f t="shared" ref="BF117:BF166" si="67">BF116+BA117</f>
        <v>33.308999999999997</v>
      </c>
      <c r="BG117" s="60">
        <f t="shared" ref="BG117:BG166" si="68">BG116+BB117</f>
        <v>527.46199999999999</v>
      </c>
      <c r="BH117" s="60">
        <f t="shared" ref="BH117:BH166" si="69">BH116+BC117</f>
        <v>46.048000000000002</v>
      </c>
      <c r="BI117" s="60">
        <f t="shared" ref="BI117:BI166" si="70">BI116+BD117</f>
        <v>1645.7820000000002</v>
      </c>
      <c r="BJ117" s="1">
        <v>3</v>
      </c>
    </row>
    <row r="118" spans="1:62" x14ac:dyDescent="0.3">
      <c r="A118" s="49">
        <v>38381</v>
      </c>
      <c r="B118" s="56">
        <v>268036</v>
      </c>
      <c r="C118" s="56">
        <v>133600</v>
      </c>
      <c r="D118" s="56">
        <v>0</v>
      </c>
      <c r="E118" s="53">
        <f t="shared" si="61"/>
        <v>401636</v>
      </c>
      <c r="F118" s="53">
        <f t="shared" si="49"/>
        <v>360149.75</v>
      </c>
      <c r="G118" s="53"/>
      <c r="H118" s="59">
        <f t="shared" si="32"/>
        <v>-3.2027474844851467</v>
      </c>
      <c r="I118" s="59">
        <f t="shared" si="39"/>
        <v>-28.613987525525996</v>
      </c>
      <c r="L118" s="53">
        <v>9566</v>
      </c>
      <c r="M118" s="53">
        <v>1500</v>
      </c>
      <c r="N118" s="53">
        <v>30800</v>
      </c>
      <c r="O118" s="53">
        <f t="shared" si="62"/>
        <v>41866</v>
      </c>
      <c r="P118" s="53">
        <f t="shared" si="50"/>
        <v>18793.75</v>
      </c>
      <c r="Q118" s="53"/>
      <c r="R118" s="59">
        <f t="shared" si="28"/>
        <v>-25.069353712884578</v>
      </c>
      <c r="S118" s="59">
        <f t="shared" si="40"/>
        <v>-63.331951320635071</v>
      </c>
      <c r="V118" s="56">
        <v>124750</v>
      </c>
      <c r="W118" s="56">
        <v>83370</v>
      </c>
      <c r="X118" s="56">
        <v>38700</v>
      </c>
      <c r="Y118" s="53">
        <f t="shared" si="63"/>
        <v>246820</v>
      </c>
      <c r="Z118" s="53">
        <f t="shared" si="51"/>
        <v>193570.5</v>
      </c>
      <c r="AA118" s="53"/>
      <c r="AB118" s="59">
        <f t="shared" si="29"/>
        <v>13.926738303607689</v>
      </c>
      <c r="AC118" s="59">
        <f t="shared" si="41"/>
        <v>7.7267908273576547</v>
      </c>
      <c r="AF118" s="56">
        <v>0</v>
      </c>
      <c r="AG118" s="56">
        <v>25500</v>
      </c>
      <c r="AH118" s="56">
        <v>0</v>
      </c>
      <c r="AI118" s="53">
        <f t="shared" si="64"/>
        <v>25500</v>
      </c>
      <c r="AJ118" s="53">
        <f t="shared" si="52"/>
        <v>17887</v>
      </c>
      <c r="AK118" s="53"/>
      <c r="AL118" s="59">
        <f t="shared" si="30"/>
        <v>-14.85809682804674</v>
      </c>
      <c r="AM118" s="59">
        <f t="shared" si="42"/>
        <v>-24.645068879807898</v>
      </c>
      <c r="AP118" s="53">
        <f t="shared" si="53"/>
        <v>402352</v>
      </c>
      <c r="AQ118" s="53">
        <f t="shared" si="53"/>
        <v>243970</v>
      </c>
      <c r="AR118" s="53">
        <f t="shared" si="53"/>
        <v>69500</v>
      </c>
      <c r="AS118" s="53">
        <f t="shared" si="53"/>
        <v>715822</v>
      </c>
      <c r="AT118" s="53">
        <f t="shared" si="54"/>
        <v>590401</v>
      </c>
      <c r="AU118" s="53"/>
      <c r="AV118" s="59">
        <f t="shared" si="31"/>
        <v>-0.2194046245030612</v>
      </c>
      <c r="AW118" s="59">
        <f t="shared" si="43"/>
        <v>-22.232518317279993</v>
      </c>
      <c r="AZ118" s="53">
        <f t="shared" si="55"/>
        <v>401.63600000000002</v>
      </c>
      <c r="BA118" s="53">
        <f t="shared" si="56"/>
        <v>41.866</v>
      </c>
      <c r="BB118" s="53">
        <f t="shared" si="57"/>
        <v>246.82</v>
      </c>
      <c r="BC118" s="53">
        <f t="shared" si="58"/>
        <v>25.5</v>
      </c>
      <c r="BD118" s="53">
        <f t="shared" si="59"/>
        <v>715.822</v>
      </c>
      <c r="BE118" s="60">
        <f t="shared" si="66"/>
        <v>1440.5989999999999</v>
      </c>
      <c r="BF118" s="60">
        <f t="shared" si="67"/>
        <v>75.174999999999997</v>
      </c>
      <c r="BG118" s="60">
        <f t="shared" si="68"/>
        <v>774.28199999999993</v>
      </c>
      <c r="BH118" s="60">
        <f t="shared" si="69"/>
        <v>71.548000000000002</v>
      </c>
      <c r="BI118" s="60">
        <f t="shared" si="70"/>
        <v>2361.6040000000003</v>
      </c>
      <c r="BJ118" s="1">
        <v>4</v>
      </c>
    </row>
    <row r="119" spans="1:62" x14ac:dyDescent="0.3">
      <c r="A119" s="49">
        <v>38388</v>
      </c>
      <c r="B119" s="56">
        <v>241111</v>
      </c>
      <c r="C119" s="56">
        <v>92136</v>
      </c>
      <c r="D119" s="56">
        <v>0</v>
      </c>
      <c r="E119" s="53">
        <f t="shared" si="61"/>
        <v>333247</v>
      </c>
      <c r="F119" s="53">
        <f t="shared" si="49"/>
        <v>325966.5</v>
      </c>
      <c r="G119" s="53"/>
      <c r="H119" s="59">
        <f t="shared" si="32"/>
        <v>7.8381673703997734E-2</v>
      </c>
      <c r="I119" s="59">
        <f t="shared" si="39"/>
        <v>-29.635583876905748</v>
      </c>
      <c r="L119" s="53">
        <v>5041</v>
      </c>
      <c r="M119" s="53">
        <v>6035</v>
      </c>
      <c r="N119" s="53">
        <v>5600</v>
      </c>
      <c r="O119" s="53">
        <f t="shared" si="62"/>
        <v>16676</v>
      </c>
      <c r="P119" s="53">
        <f t="shared" si="50"/>
        <v>22262.75</v>
      </c>
      <c r="Q119" s="53"/>
      <c r="R119" s="59">
        <f t="shared" si="28"/>
        <v>-71.013384321223711</v>
      </c>
      <c r="S119" s="59">
        <f t="shared" si="40"/>
        <v>-60.483598991799489</v>
      </c>
      <c r="V119" s="56">
        <v>144155</v>
      </c>
      <c r="W119" s="56">
        <v>107946</v>
      </c>
      <c r="X119" s="56">
        <v>16700</v>
      </c>
      <c r="Y119" s="53">
        <f t="shared" si="63"/>
        <v>268801</v>
      </c>
      <c r="Z119" s="53">
        <f t="shared" si="51"/>
        <v>211459.25</v>
      </c>
      <c r="AA119" s="53"/>
      <c r="AB119" s="59">
        <f t="shared" si="29"/>
        <v>106.2480338220964</v>
      </c>
      <c r="AC119" s="59">
        <f t="shared" si="41"/>
        <v>20.371801385254031</v>
      </c>
      <c r="AF119" s="56">
        <v>1624</v>
      </c>
      <c r="AG119" s="56">
        <v>26700</v>
      </c>
      <c r="AH119" s="56">
        <v>0</v>
      </c>
      <c r="AI119" s="53">
        <f t="shared" si="64"/>
        <v>28324</v>
      </c>
      <c r="AJ119" s="53">
        <f t="shared" si="52"/>
        <v>21018</v>
      </c>
      <c r="AK119" s="53"/>
      <c r="AL119" s="59">
        <f t="shared" si="30"/>
        <v>4.5166051660516571</v>
      </c>
      <c r="AM119" s="59">
        <f t="shared" si="42"/>
        <v>-18.23619229160791</v>
      </c>
      <c r="AP119" s="53">
        <f t="shared" si="53"/>
        <v>391931</v>
      </c>
      <c r="AQ119" s="53">
        <f t="shared" si="53"/>
        <v>232817</v>
      </c>
      <c r="AR119" s="53">
        <f t="shared" si="53"/>
        <v>22300</v>
      </c>
      <c r="AS119" s="53">
        <f t="shared" si="53"/>
        <v>647048</v>
      </c>
      <c r="AT119" s="53">
        <f t="shared" si="54"/>
        <v>580706.5</v>
      </c>
      <c r="AU119" s="53"/>
      <c r="AV119" s="59">
        <f t="shared" si="31"/>
        <v>18.086304282364107</v>
      </c>
      <c r="AW119" s="59">
        <f t="shared" si="43"/>
        <v>-19.454859614526399</v>
      </c>
      <c r="AZ119" s="53">
        <f t="shared" si="55"/>
        <v>333.24700000000001</v>
      </c>
      <c r="BA119" s="53">
        <f t="shared" si="56"/>
        <v>16.675999999999998</v>
      </c>
      <c r="BB119" s="53">
        <f t="shared" si="57"/>
        <v>268.80099999999999</v>
      </c>
      <c r="BC119" s="53">
        <f t="shared" si="58"/>
        <v>28.324000000000002</v>
      </c>
      <c r="BD119" s="53">
        <f t="shared" si="59"/>
        <v>647.048</v>
      </c>
      <c r="BE119" s="60">
        <f t="shared" si="66"/>
        <v>1773.846</v>
      </c>
      <c r="BF119" s="60">
        <f t="shared" si="67"/>
        <v>91.850999999999999</v>
      </c>
      <c r="BG119" s="60">
        <f t="shared" si="68"/>
        <v>1043.0829999999999</v>
      </c>
      <c r="BH119" s="60">
        <f t="shared" si="69"/>
        <v>99.872</v>
      </c>
      <c r="BI119" s="60">
        <f t="shared" si="70"/>
        <v>3008.652</v>
      </c>
      <c r="BJ119" s="1">
        <v>5</v>
      </c>
    </row>
    <row r="120" spans="1:62" x14ac:dyDescent="0.3">
      <c r="A120" s="49">
        <v>38395</v>
      </c>
      <c r="B120" s="56">
        <v>246426</v>
      </c>
      <c r="C120" s="56">
        <v>116946</v>
      </c>
      <c r="D120" s="56">
        <v>0</v>
      </c>
      <c r="E120" s="53">
        <f t="shared" si="61"/>
        <v>363372</v>
      </c>
      <c r="F120" s="53">
        <f t="shared" si="49"/>
        <v>329466.75</v>
      </c>
      <c r="G120" s="53"/>
      <c r="H120" s="59">
        <f t="shared" si="32"/>
        <v>12.947012765798727</v>
      </c>
      <c r="I120" s="59">
        <f t="shared" si="39"/>
        <v>-16.385204905473383</v>
      </c>
      <c r="L120" s="53">
        <v>10900</v>
      </c>
      <c r="M120" s="53">
        <v>1600</v>
      </c>
      <c r="N120" s="53">
        <v>24200</v>
      </c>
      <c r="O120" s="53">
        <f t="shared" si="62"/>
        <v>36700</v>
      </c>
      <c r="P120" s="53">
        <f t="shared" si="50"/>
        <v>26048</v>
      </c>
      <c r="Q120" s="53"/>
      <c r="R120" s="59">
        <f t="shared" si="28"/>
        <v>25.034069228672664</v>
      </c>
      <c r="S120" s="59">
        <f t="shared" si="40"/>
        <v>-51.381215469613259</v>
      </c>
      <c r="V120" s="56">
        <v>134823</v>
      </c>
      <c r="W120" s="56">
        <v>104324</v>
      </c>
      <c r="X120" s="56">
        <v>23550</v>
      </c>
      <c r="Y120" s="53">
        <f t="shared" si="63"/>
        <v>262697</v>
      </c>
      <c r="Z120" s="53">
        <f t="shared" si="51"/>
        <v>222600</v>
      </c>
      <c r="AA120" s="53"/>
      <c r="AB120" s="59">
        <f t="shared" si="29"/>
        <v>141.94311923225698</v>
      </c>
      <c r="AC120" s="59">
        <f t="shared" si="41"/>
        <v>48.645016535589505</v>
      </c>
      <c r="AF120" s="56">
        <v>15070</v>
      </c>
      <c r="AG120" s="56">
        <v>21580</v>
      </c>
      <c r="AH120" s="56">
        <v>0</v>
      </c>
      <c r="AI120" s="53">
        <f t="shared" si="64"/>
        <v>36650</v>
      </c>
      <c r="AJ120" s="53">
        <f t="shared" si="52"/>
        <v>24018.5</v>
      </c>
      <c r="AK120" s="53"/>
      <c r="AL120" s="59">
        <f t="shared" si="30"/>
        <v>2343.3333333333335</v>
      </c>
      <c r="AM120" s="59">
        <f t="shared" si="42"/>
        <v>15.35155124387666</v>
      </c>
      <c r="AP120" s="53">
        <f t="shared" si="53"/>
        <v>407219</v>
      </c>
      <c r="AQ120" s="53">
        <f t="shared" si="53"/>
        <v>244450</v>
      </c>
      <c r="AR120" s="53">
        <f t="shared" si="53"/>
        <v>47750</v>
      </c>
      <c r="AS120" s="53">
        <f t="shared" si="53"/>
        <v>699419</v>
      </c>
      <c r="AT120" s="53">
        <f t="shared" si="54"/>
        <v>602133.25</v>
      </c>
      <c r="AU120" s="53"/>
      <c r="AV120" s="59">
        <f t="shared" si="31"/>
        <v>51.668766494126615</v>
      </c>
      <c r="AW120" s="59">
        <f t="shared" si="43"/>
        <v>-2.5958054288394927</v>
      </c>
      <c r="AZ120" s="53">
        <f t="shared" si="55"/>
        <v>363.37200000000001</v>
      </c>
      <c r="BA120" s="53">
        <f t="shared" si="56"/>
        <v>36.700000000000003</v>
      </c>
      <c r="BB120" s="53">
        <f t="shared" si="57"/>
        <v>262.697</v>
      </c>
      <c r="BC120" s="53">
        <f t="shared" si="58"/>
        <v>36.65</v>
      </c>
      <c r="BD120" s="53">
        <f t="shared" si="59"/>
        <v>699.41899999999998</v>
      </c>
      <c r="BE120" s="60">
        <f t="shared" si="66"/>
        <v>2137.2179999999998</v>
      </c>
      <c r="BF120" s="60">
        <f t="shared" si="67"/>
        <v>128.55099999999999</v>
      </c>
      <c r="BG120" s="60">
        <f t="shared" si="68"/>
        <v>1305.7799999999997</v>
      </c>
      <c r="BH120" s="60">
        <f t="shared" si="69"/>
        <v>136.52199999999999</v>
      </c>
      <c r="BI120" s="60">
        <f t="shared" si="70"/>
        <v>3708.0709999999999</v>
      </c>
      <c r="BJ120" s="1">
        <v>6</v>
      </c>
    </row>
    <row r="121" spans="1:62" x14ac:dyDescent="0.3">
      <c r="A121" s="49">
        <v>38402</v>
      </c>
      <c r="B121" s="56">
        <v>152777</v>
      </c>
      <c r="C121" s="56">
        <v>141335</v>
      </c>
      <c r="D121" s="56">
        <v>0</v>
      </c>
      <c r="E121" s="53">
        <f t="shared" si="61"/>
        <v>294112</v>
      </c>
      <c r="F121" s="53">
        <f t="shared" si="49"/>
        <v>348091.75</v>
      </c>
      <c r="G121" s="53"/>
      <c r="H121" s="59">
        <f t="shared" si="32"/>
        <v>-16.394626278476121</v>
      </c>
      <c r="I121" s="59">
        <f t="shared" si="39"/>
        <v>-2.0436663158427959</v>
      </c>
      <c r="L121" s="53">
        <v>1535</v>
      </c>
      <c r="M121" s="53">
        <v>3100</v>
      </c>
      <c r="N121" s="53">
        <v>15400</v>
      </c>
      <c r="O121" s="53">
        <f t="shared" si="62"/>
        <v>20035</v>
      </c>
      <c r="P121" s="53">
        <f t="shared" si="50"/>
        <v>28819.25</v>
      </c>
      <c r="Q121" s="53"/>
      <c r="R121" s="59">
        <f t="shared" si="28"/>
        <v>-65.306157789014335</v>
      </c>
      <c r="S121" s="59">
        <f t="shared" si="40"/>
        <v>-42.506097165628439</v>
      </c>
      <c r="V121" s="56">
        <v>67243</v>
      </c>
      <c r="W121" s="56">
        <v>47480</v>
      </c>
      <c r="X121" s="56">
        <v>15600</v>
      </c>
      <c r="Y121" s="53">
        <f t="shared" si="63"/>
        <v>130323</v>
      </c>
      <c r="Z121" s="53">
        <f t="shared" si="51"/>
        <v>227160.25</v>
      </c>
      <c r="AA121" s="53"/>
      <c r="AB121" s="59">
        <f t="shared" si="29"/>
        <v>52.925369631541884</v>
      </c>
      <c r="AC121" s="59">
        <f t="shared" si="41"/>
        <v>68.025703850954656</v>
      </c>
      <c r="AF121" s="56">
        <v>0</v>
      </c>
      <c r="AG121" s="56">
        <v>0</v>
      </c>
      <c r="AH121" s="56">
        <v>0</v>
      </c>
      <c r="AI121" s="53">
        <f t="shared" si="64"/>
        <v>0</v>
      </c>
      <c r="AJ121" s="53">
        <f t="shared" si="52"/>
        <v>22618.5</v>
      </c>
      <c r="AK121" s="53"/>
      <c r="AL121" s="59">
        <f t="shared" si="30"/>
        <v>-100</v>
      </c>
      <c r="AM121" s="59">
        <f t="shared" si="42"/>
        <v>-2.5893904973137039</v>
      </c>
      <c r="AP121" s="53">
        <f t="shared" si="53"/>
        <v>221555</v>
      </c>
      <c r="AQ121" s="53">
        <f t="shared" si="53"/>
        <v>191915</v>
      </c>
      <c r="AR121" s="53">
        <f t="shared" si="53"/>
        <v>31000</v>
      </c>
      <c r="AS121" s="53">
        <f t="shared" si="53"/>
        <v>444470</v>
      </c>
      <c r="AT121" s="53">
        <f t="shared" si="54"/>
        <v>626689.75</v>
      </c>
      <c r="AU121" s="53"/>
      <c r="AV121" s="59">
        <f t="shared" si="31"/>
        <v>-15.992386827775606</v>
      </c>
      <c r="AW121" s="59">
        <f t="shared" si="43"/>
        <v>11.136238995590041</v>
      </c>
      <c r="AZ121" s="53">
        <f t="shared" si="55"/>
        <v>294.11200000000002</v>
      </c>
      <c r="BA121" s="53">
        <f t="shared" si="56"/>
        <v>20.035</v>
      </c>
      <c r="BB121" s="53">
        <f t="shared" si="57"/>
        <v>130.32300000000001</v>
      </c>
      <c r="BC121" s="53">
        <f t="shared" si="58"/>
        <v>0</v>
      </c>
      <c r="BD121" s="53">
        <f t="shared" si="59"/>
        <v>444.47</v>
      </c>
      <c r="BE121" s="60">
        <f t="shared" si="66"/>
        <v>2431.33</v>
      </c>
      <c r="BF121" s="60">
        <f t="shared" si="67"/>
        <v>148.58599999999998</v>
      </c>
      <c r="BG121" s="60">
        <f t="shared" si="68"/>
        <v>1436.1029999999998</v>
      </c>
      <c r="BH121" s="60">
        <f t="shared" si="69"/>
        <v>136.52199999999999</v>
      </c>
      <c r="BI121" s="60">
        <f t="shared" si="70"/>
        <v>4152.5410000000002</v>
      </c>
      <c r="BJ121" s="1">
        <v>7</v>
      </c>
    </row>
    <row r="122" spans="1:62" x14ac:dyDescent="0.3">
      <c r="A122" s="49">
        <v>38409</v>
      </c>
      <c r="B122" s="56">
        <v>216512</v>
      </c>
      <c r="C122" s="56">
        <v>129112</v>
      </c>
      <c r="D122" s="56">
        <v>0</v>
      </c>
      <c r="E122" s="53">
        <f t="shared" si="61"/>
        <v>345624</v>
      </c>
      <c r="F122" s="53">
        <f t="shared" si="49"/>
        <v>334088.75</v>
      </c>
      <c r="G122" s="53"/>
      <c r="H122" s="59">
        <f t="shared" si="32"/>
        <v>-29.587639577310696</v>
      </c>
      <c r="I122" s="59">
        <f t="shared" si="39"/>
        <v>-10.751875983405323</v>
      </c>
      <c r="L122" s="53">
        <v>18434</v>
      </c>
      <c r="M122" s="53">
        <v>43942</v>
      </c>
      <c r="N122" s="53">
        <v>11200</v>
      </c>
      <c r="O122" s="53">
        <f t="shared" si="62"/>
        <v>73576</v>
      </c>
      <c r="P122" s="53">
        <f t="shared" si="50"/>
        <v>36746.75</v>
      </c>
      <c r="Q122" s="53"/>
      <c r="R122" s="59">
        <f t="shared" si="28"/>
        <v>129.8962629671291</v>
      </c>
      <c r="S122" s="59">
        <f t="shared" si="40"/>
        <v>-16.784424289774336</v>
      </c>
      <c r="V122" s="56">
        <v>107956</v>
      </c>
      <c r="W122" s="56">
        <v>18000</v>
      </c>
      <c r="X122" s="56">
        <v>14400</v>
      </c>
      <c r="Y122" s="53">
        <f t="shared" si="63"/>
        <v>140356</v>
      </c>
      <c r="Z122" s="53">
        <f t="shared" si="51"/>
        <v>200544.25</v>
      </c>
      <c r="AA122" s="53"/>
      <c r="AB122" s="59">
        <f t="shared" si="29"/>
        <v>-2.0024576886555345</v>
      </c>
      <c r="AC122" s="59">
        <f t="shared" si="41"/>
        <v>71.643368688630176</v>
      </c>
      <c r="AF122" s="56">
        <v>0</v>
      </c>
      <c r="AG122" s="56">
        <v>0</v>
      </c>
      <c r="AH122" s="56">
        <v>0</v>
      </c>
      <c r="AI122" s="53">
        <f t="shared" si="64"/>
        <v>0</v>
      </c>
      <c r="AJ122" s="53">
        <f t="shared" si="52"/>
        <v>16243.5</v>
      </c>
      <c r="AK122" s="53"/>
      <c r="AL122" s="59">
        <f t="shared" si="30"/>
        <v>-100</v>
      </c>
      <c r="AM122" s="59">
        <f t="shared" si="42"/>
        <v>-9.9247223878114017</v>
      </c>
      <c r="AP122" s="53">
        <f t="shared" si="53"/>
        <v>342902</v>
      </c>
      <c r="AQ122" s="53">
        <f t="shared" si="53"/>
        <v>191054</v>
      </c>
      <c r="AR122" s="53">
        <f t="shared" si="53"/>
        <v>25600</v>
      </c>
      <c r="AS122" s="53">
        <f t="shared" si="53"/>
        <v>559556</v>
      </c>
      <c r="AT122" s="53">
        <f t="shared" si="54"/>
        <v>587623.25</v>
      </c>
      <c r="AU122" s="53"/>
      <c r="AV122" s="59">
        <f t="shared" si="31"/>
        <v>-17.138291901689495</v>
      </c>
      <c r="AW122" s="59">
        <f t="shared" si="43"/>
        <v>6.1906078521197117</v>
      </c>
      <c r="AZ122" s="53">
        <f t="shared" si="55"/>
        <v>345.62400000000002</v>
      </c>
      <c r="BA122" s="53">
        <f t="shared" si="56"/>
        <v>73.575999999999993</v>
      </c>
      <c r="BB122" s="53">
        <f t="shared" si="57"/>
        <v>140.35599999999999</v>
      </c>
      <c r="BC122" s="53">
        <f t="shared" si="58"/>
        <v>0</v>
      </c>
      <c r="BD122" s="53">
        <f t="shared" si="59"/>
        <v>559.55600000000004</v>
      </c>
      <c r="BE122" s="60">
        <f t="shared" si="66"/>
        <v>2776.9539999999997</v>
      </c>
      <c r="BF122" s="60">
        <f t="shared" si="67"/>
        <v>222.16199999999998</v>
      </c>
      <c r="BG122" s="60">
        <f t="shared" si="68"/>
        <v>1576.4589999999998</v>
      </c>
      <c r="BH122" s="60">
        <f t="shared" si="69"/>
        <v>136.52199999999999</v>
      </c>
      <c r="BI122" s="60">
        <f t="shared" si="70"/>
        <v>4712.0969999999998</v>
      </c>
      <c r="BJ122" s="1">
        <v>8</v>
      </c>
    </row>
    <row r="123" spans="1:62" x14ac:dyDescent="0.3">
      <c r="A123" s="49">
        <v>38416</v>
      </c>
      <c r="B123" s="56">
        <v>182834</v>
      </c>
      <c r="C123" s="56">
        <v>97116</v>
      </c>
      <c r="D123" s="56">
        <v>0</v>
      </c>
      <c r="E123" s="53">
        <f t="shared" si="61"/>
        <v>279950</v>
      </c>
      <c r="F123" s="53">
        <f t="shared" si="49"/>
        <v>320764.5</v>
      </c>
      <c r="G123" s="53"/>
      <c r="H123" s="59">
        <f t="shared" si="32"/>
        <v>-15.498016867193487</v>
      </c>
      <c r="I123" s="59">
        <f t="shared" si="39"/>
        <v>-14.214364800462143</v>
      </c>
      <c r="L123" s="53">
        <v>3200</v>
      </c>
      <c r="M123" s="53">
        <v>3000</v>
      </c>
      <c r="N123" s="53">
        <v>25200</v>
      </c>
      <c r="O123" s="53">
        <f t="shared" si="62"/>
        <v>31400</v>
      </c>
      <c r="P123" s="53">
        <f t="shared" si="50"/>
        <v>40427.75</v>
      </c>
      <c r="Q123" s="53"/>
      <c r="R123" s="59">
        <f t="shared" ref="R123:R166" si="71">((O123/O71)-1)*100</f>
        <v>-15.468691110752165</v>
      </c>
      <c r="S123" s="59">
        <f t="shared" si="40"/>
        <v>3.4950400000000048</v>
      </c>
      <c r="V123" s="56">
        <v>84248</v>
      </c>
      <c r="W123" s="56">
        <v>48130</v>
      </c>
      <c r="X123" s="56">
        <v>22800</v>
      </c>
      <c r="Y123" s="53">
        <f t="shared" si="63"/>
        <v>155178</v>
      </c>
      <c r="Z123" s="53">
        <f t="shared" si="51"/>
        <v>172138.5</v>
      </c>
      <c r="AA123" s="53"/>
      <c r="AB123" s="59">
        <f t="shared" ref="AB123:AB166" si="72">((Y123/Y71)-1)*100</f>
        <v>57.577911593570064</v>
      </c>
      <c r="AC123" s="59">
        <f t="shared" si="41"/>
        <v>58.106907248925957</v>
      </c>
      <c r="AF123" s="56">
        <v>6400</v>
      </c>
      <c r="AG123" s="56">
        <v>13500</v>
      </c>
      <c r="AH123" s="56">
        <v>0</v>
      </c>
      <c r="AI123" s="53">
        <f t="shared" si="64"/>
        <v>19900</v>
      </c>
      <c r="AJ123" s="53">
        <f t="shared" si="52"/>
        <v>14137.5</v>
      </c>
      <c r="AK123" s="53"/>
      <c r="AL123" s="59">
        <f t="shared" si="30"/>
        <v>-65.089556689998773</v>
      </c>
      <c r="AM123" s="59">
        <f t="shared" si="42"/>
        <v>-44.578384099729504</v>
      </c>
      <c r="AP123" s="53">
        <f t="shared" si="53"/>
        <v>276682</v>
      </c>
      <c r="AQ123" s="53">
        <f t="shared" si="53"/>
        <v>161746</v>
      </c>
      <c r="AR123" s="53">
        <f t="shared" si="53"/>
        <v>48000</v>
      </c>
      <c r="AS123" s="53">
        <f t="shared" si="53"/>
        <v>486428</v>
      </c>
      <c r="AT123" s="53">
        <f t="shared" si="54"/>
        <v>547468.25</v>
      </c>
      <c r="AU123" s="53"/>
      <c r="AV123" s="59">
        <f t="shared" si="31"/>
        <v>-7.1560543594441857</v>
      </c>
      <c r="AW123" s="59">
        <f t="shared" si="43"/>
        <v>1.9731063773820168E-2</v>
      </c>
      <c r="AZ123" s="53">
        <f t="shared" si="55"/>
        <v>279.95</v>
      </c>
      <c r="BA123" s="53">
        <f t="shared" si="56"/>
        <v>31.4</v>
      </c>
      <c r="BB123" s="53">
        <f t="shared" si="57"/>
        <v>155.178</v>
      </c>
      <c r="BC123" s="53">
        <f t="shared" si="58"/>
        <v>19.899999999999999</v>
      </c>
      <c r="BD123" s="53">
        <f t="shared" si="59"/>
        <v>486.428</v>
      </c>
      <c r="BE123" s="60">
        <f t="shared" si="66"/>
        <v>3056.9039999999995</v>
      </c>
      <c r="BF123" s="60">
        <f t="shared" si="67"/>
        <v>253.56199999999998</v>
      </c>
      <c r="BG123" s="60">
        <f t="shared" si="68"/>
        <v>1731.6369999999997</v>
      </c>
      <c r="BH123" s="60">
        <f t="shared" si="69"/>
        <v>156.422</v>
      </c>
      <c r="BI123" s="60">
        <f t="shared" si="70"/>
        <v>5198.5249999999996</v>
      </c>
      <c r="BJ123" s="1">
        <v>9</v>
      </c>
    </row>
    <row r="124" spans="1:62" x14ac:dyDescent="0.3">
      <c r="A124" s="49">
        <v>38423</v>
      </c>
      <c r="B124" s="56">
        <v>177201</v>
      </c>
      <c r="C124" s="56">
        <v>85031</v>
      </c>
      <c r="D124" s="56">
        <v>0</v>
      </c>
      <c r="E124" s="53">
        <f t="shared" si="61"/>
        <v>262232</v>
      </c>
      <c r="F124" s="53">
        <f t="shared" si="49"/>
        <v>295479.5</v>
      </c>
      <c r="G124" s="53"/>
      <c r="H124" s="59">
        <f t="shared" si="32"/>
        <v>-38.975935436878515</v>
      </c>
      <c r="I124" s="59">
        <f t="shared" si="39"/>
        <v>-26.298532852432189</v>
      </c>
      <c r="L124" s="53">
        <v>4800</v>
      </c>
      <c r="M124" s="53">
        <v>7642</v>
      </c>
      <c r="N124" s="53">
        <v>11300</v>
      </c>
      <c r="O124" s="53">
        <f t="shared" si="62"/>
        <v>23742</v>
      </c>
      <c r="P124" s="53">
        <f t="shared" si="50"/>
        <v>37188.25</v>
      </c>
      <c r="Q124" s="53"/>
      <c r="R124" s="59">
        <f t="shared" si="71"/>
        <v>-58.437056877264851</v>
      </c>
      <c r="S124" s="59">
        <f t="shared" si="40"/>
        <v>-19.165203971285884</v>
      </c>
      <c r="V124" s="56">
        <v>67811</v>
      </c>
      <c r="W124" s="56">
        <v>32150</v>
      </c>
      <c r="X124" s="56">
        <v>10300</v>
      </c>
      <c r="Y124" s="53">
        <f t="shared" si="63"/>
        <v>110261</v>
      </c>
      <c r="Z124" s="53">
        <f t="shared" si="51"/>
        <v>134029.5</v>
      </c>
      <c r="AA124" s="53"/>
      <c r="AB124" s="59">
        <f t="shared" si="72"/>
        <v>17.437612499866862</v>
      </c>
      <c r="AC124" s="59">
        <f t="shared" si="41"/>
        <v>27.401440079846019</v>
      </c>
      <c r="AF124" s="56">
        <v>0</v>
      </c>
      <c r="AG124" s="56">
        <v>6000</v>
      </c>
      <c r="AH124" s="56">
        <v>0</v>
      </c>
      <c r="AI124" s="53">
        <f t="shared" si="64"/>
        <v>6000</v>
      </c>
      <c r="AJ124" s="53">
        <f t="shared" si="52"/>
        <v>6475</v>
      </c>
      <c r="AK124" s="53"/>
      <c r="AL124" s="59">
        <f t="shared" si="30"/>
        <v>-55.555555555555557</v>
      </c>
      <c r="AM124" s="59">
        <f t="shared" si="42"/>
        <v>-77.287874004700271</v>
      </c>
      <c r="AP124" s="53">
        <f t="shared" si="53"/>
        <v>249812</v>
      </c>
      <c r="AQ124" s="53">
        <f t="shared" si="53"/>
        <v>130823</v>
      </c>
      <c r="AR124" s="53">
        <f t="shared" si="53"/>
        <v>21600</v>
      </c>
      <c r="AS124" s="53">
        <f t="shared" si="53"/>
        <v>402235</v>
      </c>
      <c r="AT124" s="53">
        <f t="shared" si="54"/>
        <v>473172.25</v>
      </c>
      <c r="AU124" s="53"/>
      <c r="AV124" s="59">
        <f t="shared" si="31"/>
        <v>-32.309993924921457</v>
      </c>
      <c r="AW124" s="59">
        <f t="shared" si="43"/>
        <v>-18.507201005113838</v>
      </c>
      <c r="AZ124" s="53">
        <f t="shared" si="55"/>
        <v>262.23200000000003</v>
      </c>
      <c r="BA124" s="53">
        <f t="shared" si="56"/>
        <v>23.742000000000001</v>
      </c>
      <c r="BB124" s="53">
        <f t="shared" si="57"/>
        <v>110.261</v>
      </c>
      <c r="BC124" s="53">
        <f t="shared" si="58"/>
        <v>6</v>
      </c>
      <c r="BD124" s="53">
        <f t="shared" si="59"/>
        <v>402.23500000000001</v>
      </c>
      <c r="BE124" s="60">
        <f t="shared" si="66"/>
        <v>3319.1359999999995</v>
      </c>
      <c r="BF124" s="60">
        <f t="shared" si="67"/>
        <v>277.30399999999997</v>
      </c>
      <c r="BG124" s="60">
        <f t="shared" si="68"/>
        <v>1841.8979999999997</v>
      </c>
      <c r="BH124" s="60">
        <f t="shared" si="69"/>
        <v>162.422</v>
      </c>
      <c r="BI124" s="60">
        <f t="shared" si="70"/>
        <v>5600.7599999999993</v>
      </c>
      <c r="BJ124" s="1">
        <v>10</v>
      </c>
    </row>
    <row r="125" spans="1:62" x14ac:dyDescent="0.3">
      <c r="A125" s="49">
        <v>38430</v>
      </c>
      <c r="B125" s="56">
        <v>299912</v>
      </c>
      <c r="C125" s="56">
        <v>109340</v>
      </c>
      <c r="D125" s="56">
        <v>0</v>
      </c>
      <c r="E125" s="53">
        <f t="shared" si="61"/>
        <v>409252</v>
      </c>
      <c r="F125" s="53">
        <f t="shared" si="49"/>
        <v>324264.5</v>
      </c>
      <c r="G125" s="53"/>
      <c r="H125" s="59">
        <f t="shared" si="32"/>
        <v>29.875504187413316</v>
      </c>
      <c r="I125" s="59">
        <f t="shared" si="39"/>
        <v>-17.225671530158948</v>
      </c>
      <c r="L125" s="53">
        <v>14372</v>
      </c>
      <c r="M125" s="53">
        <v>4500</v>
      </c>
      <c r="N125" s="53">
        <v>31200</v>
      </c>
      <c r="O125" s="53">
        <f t="shared" si="62"/>
        <v>50072</v>
      </c>
      <c r="P125" s="53">
        <f t="shared" si="50"/>
        <v>44697.5</v>
      </c>
      <c r="Q125" s="53"/>
      <c r="R125" s="59">
        <f t="shared" si="71"/>
        <v>-1.6267190569744572</v>
      </c>
      <c r="S125" s="59">
        <f t="shared" si="40"/>
        <v>0.91266728000316544</v>
      </c>
      <c r="V125" s="56">
        <v>84685</v>
      </c>
      <c r="W125" s="56">
        <v>70470</v>
      </c>
      <c r="X125" s="56">
        <v>19700</v>
      </c>
      <c r="Y125" s="53">
        <f t="shared" si="63"/>
        <v>174855</v>
      </c>
      <c r="Z125" s="53">
        <f t="shared" si="51"/>
        <v>145162.5</v>
      </c>
      <c r="AA125" s="53"/>
      <c r="AB125" s="59">
        <f t="shared" si="72"/>
        <v>337.38899867423765</v>
      </c>
      <c r="AC125" s="59">
        <f t="shared" ref="AC125:AC166" si="73">((Z125/Z73)-1)*100</f>
        <v>54.606235372117354</v>
      </c>
      <c r="AF125" s="56">
        <v>1624</v>
      </c>
      <c r="AG125" s="56">
        <v>19600</v>
      </c>
      <c r="AH125" s="56">
        <v>0</v>
      </c>
      <c r="AI125" s="53">
        <f t="shared" si="64"/>
        <v>21224</v>
      </c>
      <c r="AJ125" s="53">
        <f t="shared" si="52"/>
        <v>11781</v>
      </c>
      <c r="AK125" s="53"/>
      <c r="AL125" s="59"/>
      <c r="AM125" s="59">
        <f t="shared" si="42"/>
        <v>-40.878467386804175</v>
      </c>
      <c r="AP125" s="53">
        <f t="shared" si="53"/>
        <v>400593</v>
      </c>
      <c r="AQ125" s="53">
        <f t="shared" si="53"/>
        <v>203910</v>
      </c>
      <c r="AR125" s="53">
        <f t="shared" si="53"/>
        <v>50900</v>
      </c>
      <c r="AS125" s="53">
        <f t="shared" si="53"/>
        <v>655403</v>
      </c>
      <c r="AT125" s="53">
        <f t="shared" si="54"/>
        <v>525905.5</v>
      </c>
      <c r="AU125" s="53"/>
      <c r="AV125" s="59">
        <f t="shared" ref="AV125:AV166" si="74">((AS125/AS73)-1)*100</f>
        <v>61.434081795521053</v>
      </c>
      <c r="AW125" s="59">
        <f t="shared" si="43"/>
        <v>-4.3559507290077288</v>
      </c>
      <c r="AZ125" s="53">
        <f t="shared" si="55"/>
        <v>409.25200000000001</v>
      </c>
      <c r="BA125" s="53">
        <f t="shared" si="56"/>
        <v>50.072000000000003</v>
      </c>
      <c r="BB125" s="53">
        <f t="shared" si="57"/>
        <v>174.85499999999999</v>
      </c>
      <c r="BC125" s="53">
        <f t="shared" si="58"/>
        <v>21.224</v>
      </c>
      <c r="BD125" s="53">
        <f t="shared" si="59"/>
        <v>655.40300000000002</v>
      </c>
      <c r="BE125" s="60">
        <f t="shared" si="66"/>
        <v>3728.3879999999995</v>
      </c>
      <c r="BF125" s="60">
        <f t="shared" si="67"/>
        <v>327.37599999999998</v>
      </c>
      <c r="BG125" s="60">
        <f t="shared" si="68"/>
        <v>2016.7529999999997</v>
      </c>
      <c r="BH125" s="60">
        <f t="shared" si="69"/>
        <v>183.64599999999999</v>
      </c>
      <c r="BI125" s="60">
        <f t="shared" si="70"/>
        <v>6256.1629999999996</v>
      </c>
      <c r="BJ125" s="1">
        <v>11</v>
      </c>
    </row>
    <row r="126" spans="1:62" x14ac:dyDescent="0.3">
      <c r="A126" s="49">
        <v>38437</v>
      </c>
      <c r="B126" s="56">
        <v>280454</v>
      </c>
      <c r="C126" s="56">
        <v>97720</v>
      </c>
      <c r="D126" s="56">
        <v>0</v>
      </c>
      <c r="E126" s="53">
        <f t="shared" si="61"/>
        <v>378174</v>
      </c>
      <c r="F126" s="53">
        <f t="shared" si="49"/>
        <v>332402</v>
      </c>
      <c r="G126" s="53"/>
      <c r="H126" s="59">
        <f t="shared" ref="H126:H166" si="75">((E126/E74)-1)*100</f>
        <v>-18.21160471559169</v>
      </c>
      <c r="I126" s="59">
        <f t="shared" ref="I126:I165" si="76">((F126/F74)-1)*100</f>
        <v>-13.577921423719786</v>
      </c>
      <c r="L126" s="53">
        <v>12718</v>
      </c>
      <c r="M126" s="53">
        <v>1500</v>
      </c>
      <c r="N126" s="53">
        <v>22700</v>
      </c>
      <c r="O126" s="53">
        <f t="shared" si="62"/>
        <v>36918</v>
      </c>
      <c r="P126" s="53">
        <f t="shared" si="50"/>
        <v>35533</v>
      </c>
      <c r="Q126" s="53"/>
      <c r="R126" s="59">
        <f t="shared" si="71"/>
        <v>-5.4693501305884134</v>
      </c>
      <c r="S126" s="59">
        <f t="shared" ref="S126:S166" si="77">((P126/P74)-1)*100</f>
        <v>-22.847852873962538</v>
      </c>
      <c r="V126" s="56">
        <v>53050</v>
      </c>
      <c r="W126" s="56">
        <v>50670</v>
      </c>
      <c r="X126" s="56">
        <v>19800</v>
      </c>
      <c r="Y126" s="53">
        <f t="shared" si="63"/>
        <v>123520</v>
      </c>
      <c r="Z126" s="53">
        <f t="shared" si="51"/>
        <v>140953.5</v>
      </c>
      <c r="AA126" s="53"/>
      <c r="AB126" s="59">
        <f t="shared" si="72"/>
        <v>15.972509107297107</v>
      </c>
      <c r="AC126" s="59">
        <f t="shared" si="73"/>
        <v>66.389947203933303</v>
      </c>
      <c r="AF126" s="56">
        <v>0</v>
      </c>
      <c r="AG126" s="56">
        <v>13800</v>
      </c>
      <c r="AH126" s="56">
        <v>0</v>
      </c>
      <c r="AI126" s="53">
        <f t="shared" si="64"/>
        <v>13800</v>
      </c>
      <c r="AJ126" s="53">
        <f t="shared" si="52"/>
        <v>15231</v>
      </c>
      <c r="AK126" s="53"/>
      <c r="AL126" s="59">
        <f t="shared" ref="AL126:AL166" si="78">((AI126/AI74)-1)*100</f>
        <v>206.66666666666669</v>
      </c>
      <c r="AM126" s="59">
        <f t="shared" ref="AM126:AM166" si="79">((AJ126/AJ74)-1)*100</f>
        <v>-18.771249150033999</v>
      </c>
      <c r="AP126" s="53">
        <f t="shared" si="53"/>
        <v>346222</v>
      </c>
      <c r="AQ126" s="53">
        <f t="shared" si="53"/>
        <v>163690</v>
      </c>
      <c r="AR126" s="53">
        <f t="shared" si="53"/>
        <v>42500</v>
      </c>
      <c r="AS126" s="53">
        <f t="shared" si="53"/>
        <v>552412</v>
      </c>
      <c r="AT126" s="53">
        <f t="shared" si="54"/>
        <v>524119.5</v>
      </c>
      <c r="AU126" s="53"/>
      <c r="AV126" s="59">
        <f t="shared" si="74"/>
        <v>-9.8018917678869713</v>
      </c>
      <c r="AW126" s="59">
        <f t="shared" ref="AW126:AW166" si="80">((AT126/AT74)-1)*100</f>
        <v>-1.8770166555741818</v>
      </c>
      <c r="AZ126" s="53">
        <f t="shared" si="55"/>
        <v>378.17399999999998</v>
      </c>
      <c r="BA126" s="53">
        <f t="shared" si="56"/>
        <v>36.917999999999999</v>
      </c>
      <c r="BB126" s="53">
        <f t="shared" si="57"/>
        <v>123.52</v>
      </c>
      <c r="BC126" s="53">
        <f t="shared" si="58"/>
        <v>13.8</v>
      </c>
      <c r="BD126" s="53">
        <f t="shared" si="59"/>
        <v>552.41200000000003</v>
      </c>
      <c r="BE126" s="60">
        <f t="shared" si="66"/>
        <v>4106.5619999999999</v>
      </c>
      <c r="BF126" s="60">
        <f t="shared" si="67"/>
        <v>364.29399999999998</v>
      </c>
      <c r="BG126" s="60">
        <f t="shared" si="68"/>
        <v>2140.2729999999997</v>
      </c>
      <c r="BH126" s="60">
        <f t="shared" si="69"/>
        <v>197.446</v>
      </c>
      <c r="BI126" s="60">
        <f t="shared" si="70"/>
        <v>6808.5749999999998</v>
      </c>
      <c r="BJ126" s="1">
        <v>12</v>
      </c>
    </row>
    <row r="127" spans="1:62" x14ac:dyDescent="0.3">
      <c r="A127" s="49">
        <v>38444</v>
      </c>
      <c r="B127" s="56">
        <v>316962</v>
      </c>
      <c r="C127" s="56">
        <v>66124</v>
      </c>
      <c r="D127" s="56">
        <v>0</v>
      </c>
      <c r="E127" s="53">
        <f t="shared" si="61"/>
        <v>383086</v>
      </c>
      <c r="F127" s="53">
        <f t="shared" si="49"/>
        <v>358186</v>
      </c>
      <c r="G127" s="53"/>
      <c r="H127" s="59">
        <f t="shared" si="75"/>
        <v>-22.622019697667461</v>
      </c>
      <c r="I127" s="59">
        <f t="shared" si="76"/>
        <v>-15.834564514376181</v>
      </c>
      <c r="L127" s="53">
        <v>3248</v>
      </c>
      <c r="M127" s="53">
        <v>1500</v>
      </c>
      <c r="N127" s="53">
        <v>21500</v>
      </c>
      <c r="O127" s="53">
        <f t="shared" si="62"/>
        <v>26248</v>
      </c>
      <c r="P127" s="53">
        <f t="shared" si="50"/>
        <v>34245</v>
      </c>
      <c r="Q127" s="53"/>
      <c r="R127" s="59">
        <f t="shared" si="71"/>
        <v>-60.19351218550478</v>
      </c>
      <c r="S127" s="59">
        <f t="shared" si="77"/>
        <v>-35.694971269763776</v>
      </c>
      <c r="V127" s="56">
        <v>64374</v>
      </c>
      <c r="W127" s="56">
        <v>36693</v>
      </c>
      <c r="X127" s="56">
        <v>17500</v>
      </c>
      <c r="Y127" s="53">
        <f t="shared" si="63"/>
        <v>118567</v>
      </c>
      <c r="Z127" s="53">
        <f t="shared" si="51"/>
        <v>131800.75</v>
      </c>
      <c r="AA127" s="53"/>
      <c r="AB127" s="59">
        <f t="shared" si="72"/>
        <v>-3.5397582127922655</v>
      </c>
      <c r="AC127" s="59">
        <f t="shared" si="73"/>
        <v>45.118251984629445</v>
      </c>
      <c r="AF127" s="56">
        <v>4605</v>
      </c>
      <c r="AG127" s="56">
        <v>3000</v>
      </c>
      <c r="AH127" s="56">
        <v>0</v>
      </c>
      <c r="AI127" s="53">
        <f t="shared" si="64"/>
        <v>7605</v>
      </c>
      <c r="AJ127" s="53">
        <f t="shared" si="52"/>
        <v>12157.25</v>
      </c>
      <c r="AK127" s="53"/>
      <c r="AL127" s="59">
        <f t="shared" si="78"/>
        <v>-50.098425196850393</v>
      </c>
      <c r="AM127" s="59">
        <f t="shared" si="79"/>
        <v>46.296630565583641</v>
      </c>
      <c r="AP127" s="53">
        <f t="shared" si="53"/>
        <v>389189</v>
      </c>
      <c r="AQ127" s="53">
        <f t="shared" si="53"/>
        <v>107317</v>
      </c>
      <c r="AR127" s="53">
        <f t="shared" si="53"/>
        <v>39000</v>
      </c>
      <c r="AS127" s="53">
        <f t="shared" si="53"/>
        <v>535506</v>
      </c>
      <c r="AT127" s="53">
        <f t="shared" si="54"/>
        <v>536389</v>
      </c>
      <c r="AU127" s="53"/>
      <c r="AV127" s="59">
        <f t="shared" si="74"/>
        <v>-23.409532009594081</v>
      </c>
      <c r="AW127" s="59">
        <f t="shared" si="80"/>
        <v>-7.1928327312884122</v>
      </c>
      <c r="AZ127" s="53">
        <f t="shared" si="55"/>
        <v>383.08600000000001</v>
      </c>
      <c r="BA127" s="53">
        <f t="shared" si="56"/>
        <v>26.248000000000001</v>
      </c>
      <c r="BB127" s="53">
        <f t="shared" si="57"/>
        <v>118.56699999999999</v>
      </c>
      <c r="BC127" s="53">
        <f t="shared" si="58"/>
        <v>7.6050000000000004</v>
      </c>
      <c r="BD127" s="53">
        <f t="shared" si="59"/>
        <v>535.50599999999997</v>
      </c>
      <c r="BE127" s="60">
        <f t="shared" si="66"/>
        <v>4489.6480000000001</v>
      </c>
      <c r="BF127" s="60">
        <f t="shared" si="67"/>
        <v>390.54199999999997</v>
      </c>
      <c r="BG127" s="60">
        <f t="shared" si="68"/>
        <v>2258.8399999999997</v>
      </c>
      <c r="BH127" s="60">
        <f t="shared" si="69"/>
        <v>205.05099999999999</v>
      </c>
      <c r="BI127" s="60">
        <f t="shared" si="70"/>
        <v>7344.0810000000001</v>
      </c>
      <c r="BJ127" s="1">
        <v>13</v>
      </c>
    </row>
    <row r="128" spans="1:62" x14ac:dyDescent="0.3">
      <c r="A128" s="49">
        <v>38451</v>
      </c>
      <c r="B128" s="56">
        <v>328808</v>
      </c>
      <c r="C128" s="56">
        <v>84664</v>
      </c>
      <c r="D128" s="56">
        <v>0</v>
      </c>
      <c r="E128" s="53">
        <f t="shared" si="61"/>
        <v>413472</v>
      </c>
      <c r="F128" s="53">
        <f t="shared" si="49"/>
        <v>395996</v>
      </c>
      <c r="G128" s="53"/>
      <c r="H128" s="59">
        <f t="shared" si="75"/>
        <v>-16.891720769431771</v>
      </c>
      <c r="I128" s="59">
        <f t="shared" si="76"/>
        <v>-10.513726451709127</v>
      </c>
      <c r="L128" s="53">
        <v>9453</v>
      </c>
      <c r="M128" s="53">
        <v>1500</v>
      </c>
      <c r="N128" s="53">
        <v>12600</v>
      </c>
      <c r="O128" s="53">
        <f t="shared" si="62"/>
        <v>23553</v>
      </c>
      <c r="P128" s="53">
        <f t="shared" si="50"/>
        <v>34197.75</v>
      </c>
      <c r="Q128" s="53"/>
      <c r="R128" s="59">
        <f t="shared" si="71"/>
        <v>-64.109167377788609</v>
      </c>
      <c r="S128" s="59">
        <f t="shared" si="77"/>
        <v>-38.248080282777394</v>
      </c>
      <c r="V128" s="56">
        <v>106716</v>
      </c>
      <c r="W128" s="56">
        <v>45300</v>
      </c>
      <c r="X128" s="56">
        <v>11000</v>
      </c>
      <c r="Y128" s="53">
        <f t="shared" si="63"/>
        <v>163016</v>
      </c>
      <c r="Z128" s="53">
        <f t="shared" si="51"/>
        <v>144989.5</v>
      </c>
      <c r="AA128" s="53"/>
      <c r="AB128" s="59">
        <f t="shared" si="72"/>
        <v>38.916726318301123</v>
      </c>
      <c r="AC128" s="59">
        <f t="shared" si="73"/>
        <v>49.956431916142428</v>
      </c>
      <c r="AF128" s="56">
        <v>0</v>
      </c>
      <c r="AG128" s="56">
        <v>27500</v>
      </c>
      <c r="AH128" s="56">
        <v>0</v>
      </c>
      <c r="AI128" s="53">
        <f t="shared" si="64"/>
        <v>27500</v>
      </c>
      <c r="AJ128" s="53">
        <f t="shared" si="52"/>
        <v>17532.25</v>
      </c>
      <c r="AK128" s="53"/>
      <c r="AL128" s="59"/>
      <c r="AM128" s="59">
        <f t="shared" si="79"/>
        <v>255.26342451874368</v>
      </c>
      <c r="AP128" s="53">
        <f t="shared" si="53"/>
        <v>444977</v>
      </c>
      <c r="AQ128" s="53">
        <f t="shared" si="53"/>
        <v>158964</v>
      </c>
      <c r="AR128" s="53">
        <f t="shared" si="53"/>
        <v>23600</v>
      </c>
      <c r="AS128" s="53">
        <f t="shared" si="53"/>
        <v>627541</v>
      </c>
      <c r="AT128" s="53">
        <f t="shared" si="54"/>
        <v>592715.5</v>
      </c>
      <c r="AU128" s="53"/>
      <c r="AV128" s="59">
        <f t="shared" si="74"/>
        <v>-7.7799265814525569</v>
      </c>
      <c r="AW128" s="59">
        <f t="shared" si="80"/>
        <v>-1.1355684973149538</v>
      </c>
      <c r="AZ128" s="53">
        <f t="shared" si="55"/>
        <v>413.47199999999998</v>
      </c>
      <c r="BA128" s="53">
        <f t="shared" si="56"/>
        <v>23.553000000000001</v>
      </c>
      <c r="BB128" s="53">
        <f t="shared" si="57"/>
        <v>163.01599999999999</v>
      </c>
      <c r="BC128" s="53">
        <f t="shared" si="58"/>
        <v>27.5</v>
      </c>
      <c r="BD128" s="53">
        <f t="shared" si="59"/>
        <v>627.54100000000005</v>
      </c>
      <c r="BE128" s="60">
        <f t="shared" si="66"/>
        <v>4903.12</v>
      </c>
      <c r="BF128" s="60">
        <f t="shared" si="67"/>
        <v>414.09499999999997</v>
      </c>
      <c r="BG128" s="60">
        <f t="shared" si="68"/>
        <v>2421.8559999999998</v>
      </c>
      <c r="BH128" s="60">
        <f t="shared" si="69"/>
        <v>232.55099999999999</v>
      </c>
      <c r="BI128" s="60">
        <f t="shared" si="70"/>
        <v>7971.6220000000003</v>
      </c>
      <c r="BJ128" s="1">
        <v>14</v>
      </c>
    </row>
    <row r="129" spans="1:62" x14ac:dyDescent="0.3">
      <c r="A129" s="49">
        <v>38458</v>
      </c>
      <c r="B129" s="56">
        <v>504723</v>
      </c>
      <c r="C129" s="56">
        <v>93300</v>
      </c>
      <c r="D129" s="56">
        <v>0</v>
      </c>
      <c r="E129" s="53">
        <f t="shared" si="61"/>
        <v>598023</v>
      </c>
      <c r="F129" s="53">
        <f t="shared" si="49"/>
        <v>443188.75</v>
      </c>
      <c r="G129" s="53"/>
      <c r="H129" s="59">
        <f t="shared" si="75"/>
        <v>6.6116277079738106</v>
      </c>
      <c r="I129" s="59">
        <f t="shared" si="76"/>
        <v>-12.061842015842961</v>
      </c>
      <c r="L129" s="53">
        <v>6544</v>
      </c>
      <c r="M129" s="53">
        <v>2900</v>
      </c>
      <c r="N129" s="53">
        <v>5600</v>
      </c>
      <c r="O129" s="53">
        <f t="shared" si="62"/>
        <v>15044</v>
      </c>
      <c r="P129" s="53">
        <f t="shared" si="50"/>
        <v>25440.75</v>
      </c>
      <c r="Q129" s="53"/>
      <c r="R129" s="59">
        <f t="shared" si="71"/>
        <v>-77.736999437653537</v>
      </c>
      <c r="S129" s="59">
        <f t="shared" si="77"/>
        <v>-57.276723301887976</v>
      </c>
      <c r="V129" s="56">
        <v>120893</v>
      </c>
      <c r="W129" s="56">
        <v>24200</v>
      </c>
      <c r="X129" s="56">
        <v>4200</v>
      </c>
      <c r="Y129" s="53">
        <f t="shared" si="63"/>
        <v>149293</v>
      </c>
      <c r="Z129" s="53">
        <f t="shared" si="51"/>
        <v>138599</v>
      </c>
      <c r="AA129" s="53"/>
      <c r="AB129" s="59">
        <f t="shared" si="72"/>
        <v>82.608004305494404</v>
      </c>
      <c r="AC129" s="59">
        <f t="shared" si="73"/>
        <v>29.371572585349924</v>
      </c>
      <c r="AF129" s="56">
        <v>4646</v>
      </c>
      <c r="AG129" s="56">
        <v>6000</v>
      </c>
      <c r="AH129" s="56">
        <v>0</v>
      </c>
      <c r="AI129" s="53">
        <f t="shared" si="64"/>
        <v>10646</v>
      </c>
      <c r="AJ129" s="53">
        <f t="shared" si="52"/>
        <v>14887.75</v>
      </c>
      <c r="AK129" s="53"/>
      <c r="AL129" s="59">
        <f t="shared" si="78"/>
        <v>16.989010989011</v>
      </c>
      <c r="AM129" s="59">
        <f t="shared" si="79"/>
        <v>106.48751733703187</v>
      </c>
      <c r="AP129" s="53">
        <f t="shared" si="53"/>
        <v>636806</v>
      </c>
      <c r="AQ129" s="53">
        <f t="shared" si="53"/>
        <v>126400</v>
      </c>
      <c r="AR129" s="53">
        <f t="shared" si="53"/>
        <v>9800</v>
      </c>
      <c r="AS129" s="53">
        <f t="shared" si="53"/>
        <v>773006</v>
      </c>
      <c r="AT129" s="53">
        <f t="shared" si="54"/>
        <v>622116.25</v>
      </c>
      <c r="AU129" s="53"/>
      <c r="AV129" s="59">
        <f t="shared" si="74"/>
        <v>7.4565659205467094</v>
      </c>
      <c r="AW129" s="59">
        <f t="shared" si="80"/>
        <v>-8.2245732207450466</v>
      </c>
      <c r="AZ129" s="53">
        <f t="shared" si="55"/>
        <v>598.02300000000002</v>
      </c>
      <c r="BA129" s="53">
        <f t="shared" si="56"/>
        <v>15.044</v>
      </c>
      <c r="BB129" s="53">
        <f t="shared" si="57"/>
        <v>149.29300000000001</v>
      </c>
      <c r="BC129" s="53">
        <f t="shared" si="58"/>
        <v>10.646000000000001</v>
      </c>
      <c r="BD129" s="53">
        <f t="shared" si="59"/>
        <v>773.00599999999997</v>
      </c>
      <c r="BE129" s="60">
        <f t="shared" si="66"/>
        <v>5501.143</v>
      </c>
      <c r="BF129" s="60">
        <f t="shared" si="67"/>
        <v>429.13899999999995</v>
      </c>
      <c r="BG129" s="60">
        <f t="shared" si="68"/>
        <v>2571.1489999999999</v>
      </c>
      <c r="BH129" s="60">
        <f t="shared" si="69"/>
        <v>243.197</v>
      </c>
      <c r="BI129" s="60">
        <f t="shared" si="70"/>
        <v>8744.6280000000006</v>
      </c>
      <c r="BJ129" s="1">
        <v>15</v>
      </c>
    </row>
    <row r="130" spans="1:62" x14ac:dyDescent="0.3">
      <c r="A130" s="48">
        <v>38465</v>
      </c>
      <c r="B130" s="56">
        <v>431306</v>
      </c>
      <c r="C130" s="56">
        <v>74770</v>
      </c>
      <c r="D130" s="56">
        <v>0</v>
      </c>
      <c r="E130" s="53">
        <f t="shared" si="61"/>
        <v>506076</v>
      </c>
      <c r="F130" s="53">
        <f t="shared" si="49"/>
        <v>475164.25</v>
      </c>
      <c r="G130" s="53"/>
      <c r="H130" s="59">
        <f t="shared" si="75"/>
        <v>-0.11841887123131833</v>
      </c>
      <c r="I130" s="59">
        <f t="shared" si="76"/>
        <v>-7.7443226551131339</v>
      </c>
      <c r="L130" s="53">
        <v>15505</v>
      </c>
      <c r="M130" s="53">
        <v>3000</v>
      </c>
      <c r="N130" s="53">
        <v>13200</v>
      </c>
      <c r="O130" s="53">
        <f t="shared" si="62"/>
        <v>31705</v>
      </c>
      <c r="P130" s="53">
        <f t="shared" si="50"/>
        <v>24137.5</v>
      </c>
      <c r="Q130" s="53"/>
      <c r="R130" s="59">
        <f t="shared" si="71"/>
        <v>-38.196881091617932</v>
      </c>
      <c r="S130" s="59">
        <f t="shared" si="77"/>
        <v>-61.447389962345824</v>
      </c>
      <c r="V130" s="56">
        <v>88930</v>
      </c>
      <c r="W130" s="56">
        <v>38750</v>
      </c>
      <c r="X130" s="56">
        <v>4300</v>
      </c>
      <c r="Y130" s="53">
        <f t="shared" si="63"/>
        <v>131980</v>
      </c>
      <c r="Z130" s="53">
        <f t="shared" si="51"/>
        <v>140714</v>
      </c>
      <c r="AA130" s="53"/>
      <c r="AB130" s="59">
        <f t="shared" si="72"/>
        <v>248.08524105918343</v>
      </c>
      <c r="AC130" s="59">
        <f t="shared" si="73"/>
        <v>56.375820280159353</v>
      </c>
      <c r="AF130" s="56">
        <v>9000</v>
      </c>
      <c r="AG130" s="56">
        <v>0</v>
      </c>
      <c r="AH130" s="56">
        <v>0</v>
      </c>
      <c r="AI130" s="53">
        <f t="shared" si="64"/>
        <v>9000</v>
      </c>
      <c r="AJ130" s="53">
        <f t="shared" si="52"/>
        <v>13687.75</v>
      </c>
      <c r="AK130" s="53"/>
      <c r="AL130" s="59">
        <f t="shared" si="78"/>
        <v>-3.526637367349128</v>
      </c>
      <c r="AM130" s="59">
        <f t="shared" si="79"/>
        <v>62.615462294692435</v>
      </c>
      <c r="AP130" s="53">
        <f t="shared" si="53"/>
        <v>544741</v>
      </c>
      <c r="AQ130" s="53">
        <f t="shared" si="53"/>
        <v>116520</v>
      </c>
      <c r="AR130" s="53">
        <f t="shared" si="53"/>
        <v>17500</v>
      </c>
      <c r="AS130" s="53">
        <f t="shared" si="53"/>
        <v>678761</v>
      </c>
      <c r="AT130" s="53">
        <f t="shared" si="54"/>
        <v>653703.5</v>
      </c>
      <c r="AU130" s="53"/>
      <c r="AV130" s="59">
        <f t="shared" si="74"/>
        <v>12.150933295440836</v>
      </c>
      <c r="AW130" s="59">
        <f t="shared" si="80"/>
        <v>-3.3072386058981218</v>
      </c>
      <c r="AZ130" s="53">
        <f t="shared" si="55"/>
        <v>506.07600000000002</v>
      </c>
      <c r="BA130" s="53">
        <f t="shared" si="56"/>
        <v>31.704999999999998</v>
      </c>
      <c r="BB130" s="53">
        <f t="shared" si="57"/>
        <v>131.97999999999999</v>
      </c>
      <c r="BC130" s="53">
        <f t="shared" si="58"/>
        <v>9</v>
      </c>
      <c r="BD130" s="53">
        <f t="shared" si="59"/>
        <v>678.76099999999997</v>
      </c>
      <c r="BE130" s="60">
        <f t="shared" si="66"/>
        <v>6007.2190000000001</v>
      </c>
      <c r="BF130" s="60">
        <f t="shared" si="67"/>
        <v>460.84399999999994</v>
      </c>
      <c r="BG130" s="60">
        <f t="shared" si="68"/>
        <v>2703.1289999999999</v>
      </c>
      <c r="BH130" s="60">
        <f t="shared" si="69"/>
        <v>252.197</v>
      </c>
      <c r="BI130" s="60">
        <f t="shared" si="70"/>
        <v>9423.389000000001</v>
      </c>
      <c r="BJ130" s="1">
        <v>16</v>
      </c>
    </row>
    <row r="131" spans="1:62" x14ac:dyDescent="0.3">
      <c r="A131" s="48">
        <v>38472</v>
      </c>
      <c r="B131" s="56">
        <v>404501</v>
      </c>
      <c r="C131" s="56">
        <v>36600</v>
      </c>
      <c r="D131" s="56">
        <v>0</v>
      </c>
      <c r="E131" s="53">
        <f t="shared" si="61"/>
        <v>441101</v>
      </c>
      <c r="F131" s="53">
        <f t="shared" si="49"/>
        <v>489668</v>
      </c>
      <c r="G131" s="53"/>
      <c r="H131" s="59">
        <f t="shared" si="75"/>
        <v>-16.825027482939838</v>
      </c>
      <c r="I131" s="59">
        <f t="shared" si="76"/>
        <v>-6.5274253609366228</v>
      </c>
      <c r="L131" s="53">
        <v>9035</v>
      </c>
      <c r="M131" s="53">
        <v>4500</v>
      </c>
      <c r="N131" s="53">
        <v>18200</v>
      </c>
      <c r="O131" s="53">
        <f t="shared" si="62"/>
        <v>31735</v>
      </c>
      <c r="P131" s="53">
        <f t="shared" si="50"/>
        <v>25509.25</v>
      </c>
      <c r="Q131" s="53"/>
      <c r="R131" s="59">
        <f t="shared" si="71"/>
        <v>-33.245687841817414</v>
      </c>
      <c r="S131" s="59">
        <f t="shared" si="77"/>
        <v>-56.025737163740416</v>
      </c>
      <c r="V131" s="56">
        <v>69365</v>
      </c>
      <c r="W131" s="56">
        <v>18100</v>
      </c>
      <c r="X131" s="56">
        <v>7000</v>
      </c>
      <c r="Y131" s="53">
        <f t="shared" si="63"/>
        <v>94465</v>
      </c>
      <c r="Z131" s="53">
        <f t="shared" si="51"/>
        <v>134688.5</v>
      </c>
      <c r="AA131" s="53"/>
      <c r="AB131" s="59">
        <f t="shared" si="72"/>
        <v>36.909765500449289</v>
      </c>
      <c r="AC131" s="59">
        <f t="shared" si="73"/>
        <v>76.053042631479187</v>
      </c>
      <c r="AF131" s="56">
        <v>4500</v>
      </c>
      <c r="AG131" s="56">
        <v>1500</v>
      </c>
      <c r="AH131" s="56">
        <v>0</v>
      </c>
      <c r="AI131" s="53">
        <f t="shared" si="64"/>
        <v>6000</v>
      </c>
      <c r="AJ131" s="53">
        <f t="shared" si="52"/>
        <v>13286.5</v>
      </c>
      <c r="AK131" s="53"/>
      <c r="AL131" s="59">
        <f t="shared" si="78"/>
        <v>33.333333333333329</v>
      </c>
      <c r="AM131" s="59">
        <f t="shared" si="79"/>
        <v>131.78507566836757</v>
      </c>
      <c r="AP131" s="53">
        <f t="shared" si="53"/>
        <v>487401</v>
      </c>
      <c r="AQ131" s="53">
        <f t="shared" si="53"/>
        <v>60700</v>
      </c>
      <c r="AR131" s="53">
        <f t="shared" si="53"/>
        <v>25200</v>
      </c>
      <c r="AS131" s="53">
        <f t="shared" si="53"/>
        <v>573301</v>
      </c>
      <c r="AT131" s="53">
        <f t="shared" si="54"/>
        <v>663152.25</v>
      </c>
      <c r="AU131" s="53"/>
      <c r="AV131" s="59">
        <f t="shared" si="74"/>
        <v>-11.984948577376498</v>
      </c>
      <c r="AW131" s="59">
        <f t="shared" si="80"/>
        <v>-0.1440652061634462</v>
      </c>
      <c r="AZ131" s="53">
        <f t="shared" si="55"/>
        <v>441.101</v>
      </c>
      <c r="BA131" s="53">
        <f t="shared" si="56"/>
        <v>31.734999999999999</v>
      </c>
      <c r="BB131" s="53">
        <f t="shared" si="57"/>
        <v>94.465000000000003</v>
      </c>
      <c r="BC131" s="53">
        <f t="shared" si="58"/>
        <v>6</v>
      </c>
      <c r="BD131" s="53">
        <f t="shared" si="59"/>
        <v>573.30100000000004</v>
      </c>
      <c r="BE131" s="60">
        <f t="shared" si="66"/>
        <v>6448.32</v>
      </c>
      <c r="BF131" s="60">
        <f t="shared" si="67"/>
        <v>492.57899999999995</v>
      </c>
      <c r="BG131" s="60">
        <f t="shared" si="68"/>
        <v>2797.5940000000001</v>
      </c>
      <c r="BH131" s="60">
        <f t="shared" si="69"/>
        <v>258.197</v>
      </c>
      <c r="BI131" s="60">
        <f t="shared" si="70"/>
        <v>9996.69</v>
      </c>
      <c r="BJ131" s="1">
        <v>17</v>
      </c>
    </row>
    <row r="132" spans="1:62" x14ac:dyDescent="0.3">
      <c r="A132" s="48">
        <v>38479</v>
      </c>
      <c r="B132" s="56">
        <v>502897</v>
      </c>
      <c r="C132" s="56">
        <v>68500</v>
      </c>
      <c r="D132" s="56">
        <v>0</v>
      </c>
      <c r="E132" s="53">
        <f t="shared" si="61"/>
        <v>571397</v>
      </c>
      <c r="F132" s="53">
        <f t="shared" si="49"/>
        <v>529149.25</v>
      </c>
      <c r="G132" s="53"/>
      <c r="H132" s="59">
        <f t="shared" si="75"/>
        <v>7.0767737377561035</v>
      </c>
      <c r="I132" s="59">
        <f t="shared" si="76"/>
        <v>-0.70262632214503906</v>
      </c>
      <c r="L132" s="53">
        <v>7869</v>
      </c>
      <c r="M132" s="53">
        <v>6300</v>
      </c>
      <c r="N132" s="53">
        <v>9800</v>
      </c>
      <c r="O132" s="53">
        <f t="shared" si="62"/>
        <v>23969</v>
      </c>
      <c r="P132" s="53">
        <f t="shared" si="50"/>
        <v>25613.25</v>
      </c>
      <c r="Q132" s="53"/>
      <c r="R132" s="59">
        <f t="shared" si="71"/>
        <v>-69.004668244300476</v>
      </c>
      <c r="S132" s="59">
        <f t="shared" si="77"/>
        <v>-57.967137787441793</v>
      </c>
      <c r="V132" s="56">
        <v>102504</v>
      </c>
      <c r="W132" s="56">
        <v>12100</v>
      </c>
      <c r="X132" s="56">
        <v>4200</v>
      </c>
      <c r="Y132" s="53">
        <f t="shared" si="63"/>
        <v>118804</v>
      </c>
      <c r="Z132" s="53">
        <f t="shared" si="51"/>
        <v>123635.5</v>
      </c>
      <c r="AA132" s="53"/>
      <c r="AB132" s="59">
        <f t="shared" si="72"/>
        <v>100.43189256672403</v>
      </c>
      <c r="AC132" s="59">
        <f t="shared" si="73"/>
        <v>99.457135482205643</v>
      </c>
      <c r="AF132" s="56">
        <v>6240</v>
      </c>
      <c r="AG132" s="56">
        <v>1500</v>
      </c>
      <c r="AH132" s="56">
        <v>0</v>
      </c>
      <c r="AI132" s="53">
        <f t="shared" si="64"/>
        <v>7740</v>
      </c>
      <c r="AJ132" s="53">
        <f t="shared" si="52"/>
        <v>8346.5</v>
      </c>
      <c r="AK132" s="53"/>
      <c r="AL132" s="59">
        <f t="shared" si="78"/>
        <v>-67.063829787234042</v>
      </c>
      <c r="AM132" s="59">
        <f t="shared" si="79"/>
        <v>-28.092356070559344</v>
      </c>
      <c r="AP132" s="53">
        <f t="shared" si="53"/>
        <v>619510</v>
      </c>
      <c r="AQ132" s="53">
        <f t="shared" si="53"/>
        <v>88400</v>
      </c>
      <c r="AR132" s="53">
        <f t="shared" si="53"/>
        <v>14000</v>
      </c>
      <c r="AS132" s="53">
        <f t="shared" si="53"/>
        <v>721910</v>
      </c>
      <c r="AT132" s="53">
        <f t="shared" si="54"/>
        <v>686744.5</v>
      </c>
      <c r="AU132" s="53"/>
      <c r="AV132" s="59">
        <f t="shared" si="74"/>
        <v>4.0608990714073645</v>
      </c>
      <c r="AW132" s="59">
        <f t="shared" si="80"/>
        <v>2.8949406897874397</v>
      </c>
      <c r="AZ132" s="53">
        <f t="shared" si="55"/>
        <v>571.39700000000005</v>
      </c>
      <c r="BA132" s="53">
        <f t="shared" si="56"/>
        <v>23.969000000000001</v>
      </c>
      <c r="BB132" s="53">
        <f t="shared" si="57"/>
        <v>118.804</v>
      </c>
      <c r="BC132" s="53">
        <f t="shared" si="58"/>
        <v>7.74</v>
      </c>
      <c r="BD132" s="53">
        <f t="shared" si="59"/>
        <v>721.91</v>
      </c>
      <c r="BE132" s="60">
        <f t="shared" si="66"/>
        <v>7019.7169999999996</v>
      </c>
      <c r="BF132" s="60">
        <f t="shared" si="67"/>
        <v>516.548</v>
      </c>
      <c r="BG132" s="60">
        <f t="shared" si="68"/>
        <v>2916.3980000000001</v>
      </c>
      <c r="BH132" s="60">
        <f t="shared" si="69"/>
        <v>265.93700000000001</v>
      </c>
      <c r="BI132" s="60">
        <f t="shared" si="70"/>
        <v>10718.6</v>
      </c>
      <c r="BJ132" s="1">
        <v>18</v>
      </c>
    </row>
    <row r="133" spans="1:62" x14ac:dyDescent="0.3">
      <c r="A133" s="49">
        <v>38486</v>
      </c>
      <c r="B133" s="56">
        <v>432745</v>
      </c>
      <c r="C133" s="56">
        <v>66034</v>
      </c>
      <c r="D133" s="56">
        <v>0</v>
      </c>
      <c r="E133" s="53">
        <f t="shared" si="61"/>
        <v>498779</v>
      </c>
      <c r="F133" s="53">
        <f t="shared" si="49"/>
        <v>504338.25</v>
      </c>
      <c r="G133" s="53"/>
      <c r="H133" s="59">
        <f t="shared" si="75"/>
        <v>5.1253949218165396</v>
      </c>
      <c r="I133" s="59">
        <f t="shared" si="76"/>
        <v>-1.3567069369257889</v>
      </c>
      <c r="L133" s="53">
        <v>12300</v>
      </c>
      <c r="M133" s="53">
        <v>4500</v>
      </c>
      <c r="N133" s="53">
        <v>33900</v>
      </c>
      <c r="O133" s="53">
        <f t="shared" si="62"/>
        <v>50700</v>
      </c>
      <c r="P133" s="53">
        <f t="shared" si="50"/>
        <v>34527.25</v>
      </c>
      <c r="Q133" s="53"/>
      <c r="R133" s="59">
        <f t="shared" si="71"/>
        <v>4.5468605010825947</v>
      </c>
      <c r="S133" s="59">
        <f t="shared" si="77"/>
        <v>-38.526968922756446</v>
      </c>
      <c r="V133" s="56">
        <v>93425</v>
      </c>
      <c r="W133" s="56">
        <v>15324</v>
      </c>
      <c r="X133" s="56">
        <v>4200</v>
      </c>
      <c r="Y133" s="53">
        <f t="shared" si="63"/>
        <v>112949</v>
      </c>
      <c r="Z133" s="53">
        <f t="shared" si="51"/>
        <v>114549.5</v>
      </c>
      <c r="AA133" s="53"/>
      <c r="AB133" s="59">
        <f t="shared" si="72"/>
        <v>68.178975580702811</v>
      </c>
      <c r="AC133" s="59">
        <f t="shared" si="73"/>
        <v>96.358228911325568</v>
      </c>
      <c r="AF133" s="56">
        <v>6000</v>
      </c>
      <c r="AG133" s="56">
        <v>0</v>
      </c>
      <c r="AH133" s="56">
        <v>12600</v>
      </c>
      <c r="AI133" s="53">
        <f t="shared" si="64"/>
        <v>18600</v>
      </c>
      <c r="AJ133" s="53">
        <f t="shared" si="52"/>
        <v>10335</v>
      </c>
      <c r="AK133" s="53"/>
      <c r="AL133" s="59">
        <f t="shared" si="78"/>
        <v>77.142857142857139</v>
      </c>
      <c r="AM133" s="59">
        <f t="shared" si="79"/>
        <v>-13.567082732233581</v>
      </c>
      <c r="AP133" s="53">
        <f t="shared" si="53"/>
        <v>544470</v>
      </c>
      <c r="AQ133" s="53">
        <f t="shared" si="53"/>
        <v>85858</v>
      </c>
      <c r="AR133" s="53">
        <f t="shared" si="53"/>
        <v>50700</v>
      </c>
      <c r="AS133" s="53">
        <f t="shared" si="53"/>
        <v>681028</v>
      </c>
      <c r="AT133" s="53">
        <f t="shared" si="54"/>
        <v>663750</v>
      </c>
      <c r="AU133" s="53"/>
      <c r="AV133" s="59">
        <f t="shared" si="74"/>
        <v>13.38825472514884</v>
      </c>
      <c r="AW133" s="59">
        <f t="shared" si="80"/>
        <v>4.0791989782597904</v>
      </c>
      <c r="AZ133" s="53">
        <f t="shared" si="55"/>
        <v>498.779</v>
      </c>
      <c r="BA133" s="53">
        <f t="shared" si="56"/>
        <v>50.7</v>
      </c>
      <c r="BB133" s="53">
        <f t="shared" si="57"/>
        <v>112.949</v>
      </c>
      <c r="BC133" s="53">
        <f t="shared" si="58"/>
        <v>18.600000000000001</v>
      </c>
      <c r="BD133" s="53">
        <f t="shared" si="59"/>
        <v>681.02800000000002</v>
      </c>
      <c r="BE133" s="60">
        <f t="shared" si="66"/>
        <v>7518.4959999999992</v>
      </c>
      <c r="BF133" s="60">
        <f t="shared" si="67"/>
        <v>567.24800000000005</v>
      </c>
      <c r="BG133" s="60">
        <f t="shared" si="68"/>
        <v>3029.3470000000002</v>
      </c>
      <c r="BH133" s="60">
        <f t="shared" si="69"/>
        <v>284.53700000000003</v>
      </c>
      <c r="BI133" s="60">
        <f t="shared" si="70"/>
        <v>11399.628000000001</v>
      </c>
      <c r="BJ133" s="1">
        <v>19</v>
      </c>
    </row>
    <row r="134" spans="1:62" x14ac:dyDescent="0.3">
      <c r="A134" s="49">
        <v>38493</v>
      </c>
      <c r="B134" s="56">
        <v>397120</v>
      </c>
      <c r="C134" s="56">
        <v>61800</v>
      </c>
      <c r="D134" s="56">
        <v>0</v>
      </c>
      <c r="E134" s="53">
        <f t="shared" si="61"/>
        <v>458920</v>
      </c>
      <c r="F134" s="53">
        <f t="shared" si="49"/>
        <v>492549.25</v>
      </c>
      <c r="G134" s="53"/>
      <c r="H134" s="59">
        <f t="shared" si="75"/>
        <v>-5.4155434092614136</v>
      </c>
      <c r="I134" s="59">
        <f t="shared" si="76"/>
        <v>-2.6399238196518238</v>
      </c>
      <c r="L134" s="53">
        <v>7766</v>
      </c>
      <c r="M134" s="53">
        <v>6050</v>
      </c>
      <c r="N134" s="53">
        <v>25200</v>
      </c>
      <c r="O134" s="53">
        <f t="shared" si="62"/>
        <v>39016</v>
      </c>
      <c r="P134" s="53">
        <f t="shared" si="50"/>
        <v>36355</v>
      </c>
      <c r="Q134" s="53"/>
      <c r="R134" s="59">
        <f t="shared" si="71"/>
        <v>-30.577747726908775</v>
      </c>
      <c r="S134" s="59">
        <f t="shared" si="77"/>
        <v>-36.654658552840779</v>
      </c>
      <c r="V134" s="56">
        <v>93183</v>
      </c>
      <c r="W134" s="56">
        <v>25672</v>
      </c>
      <c r="X134" s="56">
        <v>5800</v>
      </c>
      <c r="Y134" s="53">
        <f t="shared" si="63"/>
        <v>124655</v>
      </c>
      <c r="Z134" s="53">
        <f t="shared" si="51"/>
        <v>112718.25</v>
      </c>
      <c r="AA134" s="53"/>
      <c r="AB134" s="59">
        <f t="shared" si="72"/>
        <v>107.00964843814869</v>
      </c>
      <c r="AC134" s="59">
        <f t="shared" si="73"/>
        <v>76.364077309123047</v>
      </c>
      <c r="AF134" s="56">
        <v>0</v>
      </c>
      <c r="AG134" s="56">
        <v>0</v>
      </c>
      <c r="AH134" s="56">
        <v>17100</v>
      </c>
      <c r="AI134" s="53">
        <f t="shared" si="64"/>
        <v>17100</v>
      </c>
      <c r="AJ134" s="53">
        <f t="shared" si="52"/>
        <v>12360</v>
      </c>
      <c r="AK134" s="53"/>
      <c r="AL134" s="59">
        <f t="shared" si="78"/>
        <v>63.871586008624817</v>
      </c>
      <c r="AM134" s="59">
        <f t="shared" si="79"/>
        <v>1.0319811995504136</v>
      </c>
      <c r="AP134" s="53">
        <f t="shared" si="53"/>
        <v>498069</v>
      </c>
      <c r="AQ134" s="53">
        <f t="shared" si="53"/>
        <v>93522</v>
      </c>
      <c r="AR134" s="53">
        <f t="shared" si="53"/>
        <v>48100</v>
      </c>
      <c r="AS134" s="53">
        <f t="shared" si="53"/>
        <v>639691</v>
      </c>
      <c r="AT134" s="53">
        <f t="shared" si="54"/>
        <v>653982.5</v>
      </c>
      <c r="AU134" s="53"/>
      <c r="AV134" s="59">
        <f t="shared" si="74"/>
        <v>4.5163050670779636</v>
      </c>
      <c r="AW134" s="59">
        <f t="shared" si="80"/>
        <v>2.2738557415248328</v>
      </c>
      <c r="AZ134" s="53">
        <f t="shared" si="55"/>
        <v>458.92</v>
      </c>
      <c r="BA134" s="53">
        <f t="shared" si="56"/>
        <v>39.015999999999998</v>
      </c>
      <c r="BB134" s="53">
        <f t="shared" si="57"/>
        <v>124.655</v>
      </c>
      <c r="BC134" s="53">
        <f t="shared" si="58"/>
        <v>17.100000000000001</v>
      </c>
      <c r="BD134" s="53">
        <f t="shared" si="59"/>
        <v>639.69100000000003</v>
      </c>
      <c r="BE134" s="60">
        <f t="shared" si="66"/>
        <v>7977.4159999999993</v>
      </c>
      <c r="BF134" s="60">
        <f t="shared" si="67"/>
        <v>606.26400000000001</v>
      </c>
      <c r="BG134" s="60">
        <f t="shared" si="68"/>
        <v>3154.0020000000004</v>
      </c>
      <c r="BH134" s="60">
        <f t="shared" si="69"/>
        <v>301.63700000000006</v>
      </c>
      <c r="BI134" s="60">
        <f t="shared" si="70"/>
        <v>12039.319000000001</v>
      </c>
      <c r="BJ134" s="1">
        <v>20</v>
      </c>
    </row>
    <row r="135" spans="1:62" x14ac:dyDescent="0.3">
      <c r="A135" s="48">
        <v>38500</v>
      </c>
      <c r="B135" s="56">
        <v>439758</v>
      </c>
      <c r="C135" s="56">
        <v>69700</v>
      </c>
      <c r="D135" s="56">
        <v>0</v>
      </c>
      <c r="E135" s="53">
        <f t="shared" si="61"/>
        <v>509458</v>
      </c>
      <c r="F135" s="53">
        <f t="shared" si="49"/>
        <v>509638.5</v>
      </c>
      <c r="G135" s="53"/>
      <c r="H135" s="59">
        <f t="shared" si="75"/>
        <v>-24.358441373330407</v>
      </c>
      <c r="I135" s="59">
        <f t="shared" si="76"/>
        <v>-5.9189424433936377</v>
      </c>
      <c r="L135" s="53">
        <v>13535</v>
      </c>
      <c r="M135" s="53">
        <v>1500</v>
      </c>
      <c r="N135" s="53">
        <v>14100</v>
      </c>
      <c r="O135" s="53">
        <f t="shared" si="62"/>
        <v>29135</v>
      </c>
      <c r="P135" s="53">
        <f t="shared" si="50"/>
        <v>35705</v>
      </c>
      <c r="Q135" s="53"/>
      <c r="R135" s="59">
        <f t="shared" si="71"/>
        <v>-34.296281261980468</v>
      </c>
      <c r="S135" s="59">
        <f t="shared" si="77"/>
        <v>-36.908600963025137</v>
      </c>
      <c r="V135" s="56">
        <v>129530</v>
      </c>
      <c r="W135" s="56">
        <v>9000</v>
      </c>
      <c r="X135" s="56">
        <v>7100</v>
      </c>
      <c r="Y135" s="53">
        <f t="shared" si="63"/>
        <v>145630</v>
      </c>
      <c r="Z135" s="53">
        <f t="shared" si="51"/>
        <v>125509.5</v>
      </c>
      <c r="AA135" s="53"/>
      <c r="AB135" s="59">
        <f t="shared" si="72"/>
        <v>116.40216357584406</v>
      </c>
      <c r="AC135" s="59">
        <f t="shared" si="73"/>
        <v>97.694007017212243</v>
      </c>
      <c r="AF135" s="56">
        <v>0</v>
      </c>
      <c r="AG135" s="56">
        <v>21000</v>
      </c>
      <c r="AH135" s="56">
        <v>0</v>
      </c>
      <c r="AI135" s="53">
        <f t="shared" si="64"/>
        <v>21000</v>
      </c>
      <c r="AJ135" s="53">
        <f t="shared" si="52"/>
        <v>16110</v>
      </c>
      <c r="AK135" s="53"/>
      <c r="AL135" s="59">
        <f t="shared" si="78"/>
        <v>49.935741824932165</v>
      </c>
      <c r="AM135" s="59">
        <f t="shared" si="79"/>
        <v>10.265053643845935</v>
      </c>
      <c r="AP135" s="53">
        <f t="shared" si="53"/>
        <v>582823</v>
      </c>
      <c r="AQ135" s="53">
        <f t="shared" si="53"/>
        <v>101200</v>
      </c>
      <c r="AR135" s="53">
        <f t="shared" si="53"/>
        <v>21200</v>
      </c>
      <c r="AS135" s="53">
        <f t="shared" si="53"/>
        <v>705223</v>
      </c>
      <c r="AT135" s="53">
        <f t="shared" si="54"/>
        <v>686963</v>
      </c>
      <c r="AU135" s="53"/>
      <c r="AV135" s="59">
        <f t="shared" si="74"/>
        <v>-11.754577613271922</v>
      </c>
      <c r="AW135" s="59">
        <f t="shared" si="80"/>
        <v>1.5630012818029781</v>
      </c>
      <c r="AZ135" s="53">
        <f t="shared" si="55"/>
        <v>509.45800000000003</v>
      </c>
      <c r="BA135" s="53">
        <f t="shared" si="56"/>
        <v>29.135000000000002</v>
      </c>
      <c r="BB135" s="53">
        <f t="shared" si="57"/>
        <v>145.63</v>
      </c>
      <c r="BC135" s="53">
        <f t="shared" si="58"/>
        <v>21</v>
      </c>
      <c r="BD135" s="53">
        <f t="shared" si="59"/>
        <v>705.22299999999996</v>
      </c>
      <c r="BE135" s="60">
        <f t="shared" si="66"/>
        <v>8486.8739999999998</v>
      </c>
      <c r="BF135" s="60">
        <f t="shared" si="67"/>
        <v>635.399</v>
      </c>
      <c r="BG135" s="60">
        <f t="shared" si="68"/>
        <v>3299.6320000000005</v>
      </c>
      <c r="BH135" s="60">
        <f t="shared" si="69"/>
        <v>322.63700000000006</v>
      </c>
      <c r="BI135" s="60">
        <f t="shared" si="70"/>
        <v>12744.542000000001</v>
      </c>
      <c r="BJ135" s="1">
        <v>21</v>
      </c>
    </row>
    <row r="136" spans="1:62" x14ac:dyDescent="0.3">
      <c r="A136" s="48">
        <v>38507</v>
      </c>
      <c r="B136" s="56">
        <v>469074</v>
      </c>
      <c r="C136" s="56">
        <v>48700</v>
      </c>
      <c r="D136" s="56">
        <v>5</v>
      </c>
      <c r="E136" s="53">
        <f t="shared" si="61"/>
        <v>517779</v>
      </c>
      <c r="F136" s="53">
        <f t="shared" si="49"/>
        <v>496234</v>
      </c>
      <c r="G136" s="53"/>
      <c r="H136" s="59">
        <f t="shared" si="75"/>
        <v>-17.900299839377421</v>
      </c>
      <c r="I136" s="59">
        <f t="shared" si="76"/>
        <v>-12.320106862486991</v>
      </c>
      <c r="L136" s="53">
        <v>29539</v>
      </c>
      <c r="M136" s="53">
        <v>0</v>
      </c>
      <c r="N136" s="53">
        <v>17000</v>
      </c>
      <c r="O136" s="53">
        <f t="shared" si="62"/>
        <v>46539</v>
      </c>
      <c r="P136" s="53">
        <f t="shared" si="50"/>
        <v>41347.5</v>
      </c>
      <c r="Q136" s="53"/>
      <c r="R136" s="59">
        <f t="shared" si="71"/>
        <v>24.50906950612659</v>
      </c>
      <c r="S136" s="59">
        <f t="shared" si="77"/>
        <v>-11.279550684755147</v>
      </c>
      <c r="V136" s="56">
        <v>123334</v>
      </c>
      <c r="W136" s="56">
        <v>7400</v>
      </c>
      <c r="X136" s="56">
        <v>8600</v>
      </c>
      <c r="Y136" s="53">
        <f t="shared" si="63"/>
        <v>139334</v>
      </c>
      <c r="Z136" s="53">
        <f t="shared" si="51"/>
        <v>130642</v>
      </c>
      <c r="AA136" s="53"/>
      <c r="AB136" s="59">
        <f t="shared" si="72"/>
        <v>62.998058070704957</v>
      </c>
      <c r="AC136" s="59">
        <f t="shared" si="73"/>
        <v>86.528171904838388</v>
      </c>
      <c r="AF136" s="56">
        <v>1500</v>
      </c>
      <c r="AG136" s="56">
        <v>0</v>
      </c>
      <c r="AH136" s="56">
        <v>0</v>
      </c>
      <c r="AI136" s="53">
        <f t="shared" si="64"/>
        <v>1500</v>
      </c>
      <c r="AJ136" s="53">
        <f t="shared" si="52"/>
        <v>14550</v>
      </c>
      <c r="AK136" s="53"/>
      <c r="AL136" s="59">
        <f t="shared" si="78"/>
        <v>-50</v>
      </c>
      <c r="AM136" s="59">
        <f t="shared" si="79"/>
        <v>53.396062307266547</v>
      </c>
      <c r="AP136" s="53">
        <f t="shared" si="53"/>
        <v>623447</v>
      </c>
      <c r="AQ136" s="53">
        <f t="shared" si="53"/>
        <v>56100</v>
      </c>
      <c r="AR136" s="53">
        <f t="shared" si="53"/>
        <v>25605</v>
      </c>
      <c r="AS136" s="53">
        <f t="shared" si="53"/>
        <v>705152</v>
      </c>
      <c r="AT136" s="53">
        <f t="shared" si="54"/>
        <v>682773.5</v>
      </c>
      <c r="AU136" s="53"/>
      <c r="AV136" s="59">
        <f t="shared" si="74"/>
        <v>-6.7913938754657792</v>
      </c>
      <c r="AW136" s="59">
        <f t="shared" si="80"/>
        <v>-1.3460330441485646</v>
      </c>
      <c r="AZ136" s="53">
        <f t="shared" si="55"/>
        <v>517.779</v>
      </c>
      <c r="BA136" s="53">
        <f t="shared" si="56"/>
        <v>46.539000000000001</v>
      </c>
      <c r="BB136" s="53">
        <f t="shared" si="57"/>
        <v>139.334</v>
      </c>
      <c r="BC136" s="53">
        <f t="shared" si="58"/>
        <v>1.5</v>
      </c>
      <c r="BD136" s="53">
        <f t="shared" si="59"/>
        <v>705.15200000000004</v>
      </c>
      <c r="BE136" s="60">
        <f t="shared" si="66"/>
        <v>9004.6530000000002</v>
      </c>
      <c r="BF136" s="60">
        <f t="shared" si="67"/>
        <v>681.93799999999999</v>
      </c>
      <c r="BG136" s="60">
        <f t="shared" si="68"/>
        <v>3438.9660000000003</v>
      </c>
      <c r="BH136" s="60">
        <f t="shared" si="69"/>
        <v>324.13700000000006</v>
      </c>
      <c r="BI136" s="60">
        <f t="shared" si="70"/>
        <v>13449.694000000001</v>
      </c>
      <c r="BJ136" s="1">
        <v>22</v>
      </c>
    </row>
    <row r="137" spans="1:62" x14ac:dyDescent="0.3">
      <c r="A137" s="48">
        <v>38514</v>
      </c>
      <c r="B137" s="56">
        <v>596495</v>
      </c>
      <c r="C137" s="56">
        <v>44146</v>
      </c>
      <c r="D137" s="56">
        <v>22400</v>
      </c>
      <c r="E137" s="53">
        <f t="shared" si="61"/>
        <v>663041</v>
      </c>
      <c r="F137" s="53">
        <f t="shared" si="49"/>
        <v>537299.5</v>
      </c>
      <c r="G137" s="53"/>
      <c r="H137" s="59">
        <f t="shared" si="75"/>
        <v>2.3096163549476634</v>
      </c>
      <c r="I137" s="59">
        <f t="shared" si="76"/>
        <v>-11.826182708528886</v>
      </c>
      <c r="L137" s="53">
        <v>29674</v>
      </c>
      <c r="M137" s="53">
        <v>1500</v>
      </c>
      <c r="N137" s="53">
        <v>1400</v>
      </c>
      <c r="O137" s="53">
        <f t="shared" si="62"/>
        <v>32574</v>
      </c>
      <c r="P137" s="53">
        <f t="shared" si="50"/>
        <v>36816</v>
      </c>
      <c r="Q137" s="53"/>
      <c r="R137" s="59">
        <f t="shared" si="71"/>
        <v>-17.848225769841875</v>
      </c>
      <c r="S137" s="59">
        <f t="shared" si="77"/>
        <v>-17.068473247622109</v>
      </c>
      <c r="V137" s="56">
        <v>118659</v>
      </c>
      <c r="W137" s="56">
        <v>14350</v>
      </c>
      <c r="X137" s="56">
        <v>0</v>
      </c>
      <c r="Y137" s="53">
        <f t="shared" si="63"/>
        <v>133009</v>
      </c>
      <c r="Z137" s="53">
        <f t="shared" si="51"/>
        <v>135657</v>
      </c>
      <c r="AA137" s="53"/>
      <c r="AB137" s="59">
        <f t="shared" si="72"/>
        <v>295.4834681255947</v>
      </c>
      <c r="AC137" s="59">
        <f t="shared" si="73"/>
        <v>120.01970587161988</v>
      </c>
      <c r="AF137" s="56">
        <v>0</v>
      </c>
      <c r="AG137" s="56">
        <v>0</v>
      </c>
      <c r="AH137" s="56">
        <v>0</v>
      </c>
      <c r="AI137" s="53">
        <f t="shared" si="64"/>
        <v>0</v>
      </c>
      <c r="AJ137" s="53">
        <f t="shared" si="52"/>
        <v>9900</v>
      </c>
      <c r="AK137" s="53"/>
      <c r="AL137" s="59">
        <f t="shared" si="78"/>
        <v>-100</v>
      </c>
      <c r="AM137" s="59">
        <f t="shared" si="79"/>
        <v>-4.4424603653386736</v>
      </c>
      <c r="AP137" s="53">
        <f t="shared" si="53"/>
        <v>744828</v>
      </c>
      <c r="AQ137" s="53">
        <f t="shared" si="53"/>
        <v>59996</v>
      </c>
      <c r="AR137" s="53">
        <f t="shared" si="53"/>
        <v>23800</v>
      </c>
      <c r="AS137" s="53">
        <f t="shared" si="53"/>
        <v>828624</v>
      </c>
      <c r="AT137" s="53">
        <f t="shared" si="54"/>
        <v>719672.5</v>
      </c>
      <c r="AU137" s="53"/>
      <c r="AV137" s="59">
        <f t="shared" si="74"/>
        <v>12.683380566691515</v>
      </c>
      <c r="AW137" s="59">
        <f t="shared" si="80"/>
        <v>-0.84072285562625249</v>
      </c>
      <c r="AZ137" s="53">
        <f t="shared" si="55"/>
        <v>663.04100000000005</v>
      </c>
      <c r="BA137" s="53">
        <f t="shared" si="56"/>
        <v>32.573999999999998</v>
      </c>
      <c r="BB137" s="53">
        <f t="shared" si="57"/>
        <v>133.00899999999999</v>
      </c>
      <c r="BC137" s="53">
        <f t="shared" si="58"/>
        <v>0</v>
      </c>
      <c r="BD137" s="53">
        <f t="shared" si="59"/>
        <v>828.62400000000002</v>
      </c>
      <c r="BE137" s="60">
        <f t="shared" si="66"/>
        <v>9667.6939999999995</v>
      </c>
      <c r="BF137" s="60">
        <f t="shared" si="67"/>
        <v>714.51199999999994</v>
      </c>
      <c r="BG137" s="60">
        <f t="shared" si="68"/>
        <v>3571.9750000000004</v>
      </c>
      <c r="BH137" s="60">
        <f t="shared" si="69"/>
        <v>324.13700000000006</v>
      </c>
      <c r="BI137" s="60">
        <f t="shared" si="70"/>
        <v>14278.318000000001</v>
      </c>
      <c r="BJ137" s="1">
        <v>23</v>
      </c>
    </row>
    <row r="138" spans="1:62" x14ac:dyDescent="0.3">
      <c r="A138" s="49">
        <v>38521</v>
      </c>
      <c r="B138" s="56">
        <v>436346</v>
      </c>
      <c r="C138" s="56">
        <v>26569</v>
      </c>
      <c r="D138" s="56">
        <v>0</v>
      </c>
      <c r="E138" s="53">
        <f t="shared" si="61"/>
        <v>462915</v>
      </c>
      <c r="F138" s="53">
        <f t="shared" ref="F138:F185" si="81">AVERAGE(E135,E136,E137,E138)</f>
        <v>538298.25</v>
      </c>
      <c r="G138" s="53"/>
      <c r="H138" s="59">
        <f t="shared" si="75"/>
        <v>-35.478632955147326</v>
      </c>
      <c r="I138" s="59">
        <f t="shared" si="76"/>
        <v>-19.34760948713723</v>
      </c>
      <c r="L138" s="53">
        <v>9418</v>
      </c>
      <c r="M138" s="53">
        <v>1500</v>
      </c>
      <c r="N138" s="53">
        <v>30500</v>
      </c>
      <c r="O138" s="53">
        <f t="shared" si="62"/>
        <v>41418</v>
      </c>
      <c r="P138" s="53">
        <f t="shared" ref="P138:P189" si="82">AVERAGE(O135,O136,O137,O138)</f>
        <v>37416.5</v>
      </c>
      <c r="Q138" s="53"/>
      <c r="R138" s="59">
        <f t="shared" si="71"/>
        <v>-22.934653170586483</v>
      </c>
      <c r="S138" s="59">
        <f t="shared" si="77"/>
        <v>-14.53322369172434</v>
      </c>
      <c r="V138" s="56">
        <v>60477</v>
      </c>
      <c r="W138" s="56">
        <v>15100</v>
      </c>
      <c r="X138" s="56">
        <v>10000</v>
      </c>
      <c r="Y138" s="53">
        <f t="shared" si="63"/>
        <v>85577</v>
      </c>
      <c r="Z138" s="53">
        <f t="shared" ref="Z138:Z189" si="83">AVERAGE(Y135,Y136,Y137,Y138)</f>
        <v>125887.5</v>
      </c>
      <c r="AA138" s="53"/>
      <c r="AB138" s="59">
        <f t="shared" si="72"/>
        <v>269.43964772923505</v>
      </c>
      <c r="AC138" s="59">
        <f t="shared" si="73"/>
        <v>140.27312548312293</v>
      </c>
      <c r="AF138" s="56">
        <v>1611</v>
      </c>
      <c r="AG138" s="56">
        <v>7500</v>
      </c>
      <c r="AH138" s="56">
        <v>0</v>
      </c>
      <c r="AI138" s="53">
        <f t="shared" si="64"/>
        <v>9111</v>
      </c>
      <c r="AJ138" s="53">
        <f t="shared" si="52"/>
        <v>7902.75</v>
      </c>
      <c r="AK138" s="53"/>
      <c r="AL138" s="59">
        <f t="shared" si="78"/>
        <v>-24.702479338842977</v>
      </c>
      <c r="AM138" s="59">
        <f t="shared" si="79"/>
        <v>-26.666821324177615</v>
      </c>
      <c r="AP138" s="53">
        <f t="shared" si="53"/>
        <v>507852</v>
      </c>
      <c r="AQ138" s="53">
        <f t="shared" si="53"/>
        <v>50669</v>
      </c>
      <c r="AR138" s="53">
        <f t="shared" si="53"/>
        <v>40500</v>
      </c>
      <c r="AS138" s="53">
        <f t="shared" ref="AS138:AS195" si="84">SUM(E138,O138,Y138,AI138)</f>
        <v>599021</v>
      </c>
      <c r="AT138" s="53">
        <f t="shared" si="54"/>
        <v>709505</v>
      </c>
      <c r="AU138" s="53"/>
      <c r="AV138" s="59">
        <f t="shared" si="74"/>
        <v>-25.722905310564094</v>
      </c>
      <c r="AW138" s="59">
        <f t="shared" si="80"/>
        <v>-8.3775515606699038</v>
      </c>
      <c r="AZ138" s="53">
        <f t="shared" si="55"/>
        <v>462.91500000000002</v>
      </c>
      <c r="BA138" s="53">
        <f t="shared" si="56"/>
        <v>41.417999999999999</v>
      </c>
      <c r="BB138" s="53">
        <f t="shared" si="57"/>
        <v>85.576999999999998</v>
      </c>
      <c r="BC138" s="53">
        <f t="shared" si="58"/>
        <v>9.1110000000000007</v>
      </c>
      <c r="BD138" s="53">
        <f t="shared" si="59"/>
        <v>599.02099999999996</v>
      </c>
      <c r="BE138" s="60">
        <f t="shared" si="66"/>
        <v>10130.609</v>
      </c>
      <c r="BF138" s="60">
        <f t="shared" si="67"/>
        <v>755.93</v>
      </c>
      <c r="BG138" s="60">
        <f t="shared" si="68"/>
        <v>3657.5520000000006</v>
      </c>
      <c r="BH138" s="60">
        <f t="shared" si="69"/>
        <v>333.24800000000005</v>
      </c>
      <c r="BI138" s="60">
        <f t="shared" si="70"/>
        <v>14877.339000000002</v>
      </c>
      <c r="BJ138" s="1">
        <v>24</v>
      </c>
    </row>
    <row r="139" spans="1:62" x14ac:dyDescent="0.3">
      <c r="A139" s="49">
        <v>38528</v>
      </c>
      <c r="B139" s="56">
        <v>507812</v>
      </c>
      <c r="C139" s="56">
        <v>70800</v>
      </c>
      <c r="D139" s="56">
        <v>0</v>
      </c>
      <c r="E139" s="53">
        <f t="shared" si="61"/>
        <v>578612</v>
      </c>
      <c r="F139" s="53">
        <f t="shared" si="81"/>
        <v>555586.75</v>
      </c>
      <c r="G139" s="53"/>
      <c r="H139" s="59">
        <f t="shared" si="75"/>
        <v>-2.5272315006047652</v>
      </c>
      <c r="I139" s="59">
        <f t="shared" si="76"/>
        <v>-14.189066567612086</v>
      </c>
      <c r="L139" s="53">
        <v>12698</v>
      </c>
      <c r="M139" s="53">
        <v>1500</v>
      </c>
      <c r="N139" s="53">
        <v>8400</v>
      </c>
      <c r="O139" s="53">
        <f t="shared" si="62"/>
        <v>22598</v>
      </c>
      <c r="P139" s="53">
        <f t="shared" si="82"/>
        <v>35782.25</v>
      </c>
      <c r="Q139" s="53"/>
      <c r="R139" s="59">
        <f t="shared" si="71"/>
        <v>261.91543882126842</v>
      </c>
      <c r="S139" s="59">
        <f t="shared" si="77"/>
        <v>4.4607603436070065</v>
      </c>
      <c r="V139" s="56">
        <v>103109</v>
      </c>
      <c r="W139" s="56">
        <v>13900</v>
      </c>
      <c r="X139" s="56">
        <v>2800</v>
      </c>
      <c r="Y139" s="53">
        <f t="shared" si="63"/>
        <v>119809</v>
      </c>
      <c r="Z139" s="53">
        <f t="shared" si="83"/>
        <v>119432.25</v>
      </c>
      <c r="AA139" s="53"/>
      <c r="AB139" s="59">
        <f t="shared" si="72"/>
        <v>56.449464612170289</v>
      </c>
      <c r="AC139" s="59">
        <f t="shared" si="73"/>
        <v>118.28263074687695</v>
      </c>
      <c r="AF139" s="56">
        <v>0</v>
      </c>
      <c r="AG139" s="56">
        <v>7700</v>
      </c>
      <c r="AH139" s="56">
        <v>0</v>
      </c>
      <c r="AI139" s="53">
        <f t="shared" si="64"/>
        <v>7700</v>
      </c>
      <c r="AJ139" s="53">
        <f t="shared" ref="AJ139:AJ189" si="85">AVERAGE(AI136,AI137,AI138,AI139)</f>
        <v>4577.75</v>
      </c>
      <c r="AK139" s="53"/>
      <c r="AL139" s="59"/>
      <c r="AM139" s="59">
        <f t="shared" si="79"/>
        <v>-37.075601374570446</v>
      </c>
      <c r="AP139" s="53">
        <f t="shared" ref="AP139:AR189" si="86">SUM(B139,L139,V139,AF139)</f>
        <v>623619</v>
      </c>
      <c r="AQ139" s="53">
        <f t="shared" si="86"/>
        <v>93900</v>
      </c>
      <c r="AR139" s="53">
        <f t="shared" si="86"/>
        <v>11200</v>
      </c>
      <c r="AS139" s="53">
        <f t="shared" si="84"/>
        <v>728719</v>
      </c>
      <c r="AT139" s="53">
        <f t="shared" ref="AT139:AT189" si="87">AVERAGE(AS136,AS137,AS138,AS139)</f>
        <v>715379</v>
      </c>
      <c r="AU139" s="53"/>
      <c r="AV139" s="59">
        <f t="shared" si="74"/>
        <v>7.7288679819879968</v>
      </c>
      <c r="AW139" s="59">
        <f t="shared" si="80"/>
        <v>-3.8078952048092085</v>
      </c>
      <c r="AZ139" s="53">
        <f t="shared" si="55"/>
        <v>578.61199999999997</v>
      </c>
      <c r="BA139" s="53">
        <f t="shared" si="56"/>
        <v>22.597999999999999</v>
      </c>
      <c r="BB139" s="53">
        <f t="shared" si="57"/>
        <v>119.809</v>
      </c>
      <c r="BC139" s="53">
        <f t="shared" si="58"/>
        <v>7.7</v>
      </c>
      <c r="BD139" s="53">
        <f t="shared" si="59"/>
        <v>728.71900000000005</v>
      </c>
      <c r="BE139" s="60">
        <f t="shared" si="66"/>
        <v>10709.221</v>
      </c>
      <c r="BF139" s="60">
        <f t="shared" si="67"/>
        <v>778.52799999999991</v>
      </c>
      <c r="BG139" s="60">
        <f t="shared" si="68"/>
        <v>3777.3610000000008</v>
      </c>
      <c r="BH139" s="60">
        <f t="shared" si="69"/>
        <v>340.94800000000004</v>
      </c>
      <c r="BI139" s="60">
        <f t="shared" si="70"/>
        <v>15606.058000000001</v>
      </c>
      <c r="BJ139" s="1">
        <v>25</v>
      </c>
    </row>
    <row r="140" spans="1:62" x14ac:dyDescent="0.3">
      <c r="A140" s="48">
        <v>38535</v>
      </c>
      <c r="B140" s="56">
        <v>567895</v>
      </c>
      <c r="C140" s="56">
        <v>20500</v>
      </c>
      <c r="D140" s="56">
        <v>0</v>
      </c>
      <c r="E140" s="53">
        <f t="shared" si="61"/>
        <v>588395</v>
      </c>
      <c r="F140" s="53">
        <f t="shared" si="81"/>
        <v>573240.75</v>
      </c>
      <c r="G140" s="53"/>
      <c r="H140" s="59">
        <f t="shared" si="75"/>
        <v>-2.9096015365626671</v>
      </c>
      <c r="I140" s="59">
        <f t="shared" si="76"/>
        <v>-10.611829602268852</v>
      </c>
      <c r="L140" s="53">
        <v>18615</v>
      </c>
      <c r="M140" s="53">
        <v>13100</v>
      </c>
      <c r="N140" s="53">
        <v>18200</v>
      </c>
      <c r="O140" s="53">
        <f t="shared" si="62"/>
        <v>49915</v>
      </c>
      <c r="P140" s="53">
        <f t="shared" si="82"/>
        <v>36626.25</v>
      </c>
      <c r="Q140" s="53"/>
      <c r="R140" s="59">
        <f t="shared" si="71"/>
        <v>-34.136042752523586</v>
      </c>
      <c r="S140" s="59">
        <f t="shared" si="77"/>
        <v>-16.485201568770524</v>
      </c>
      <c r="V140" s="56">
        <v>72177</v>
      </c>
      <c r="W140" s="56">
        <v>10600</v>
      </c>
      <c r="X140" s="56">
        <v>7000</v>
      </c>
      <c r="Y140" s="53">
        <f t="shared" si="63"/>
        <v>89777</v>
      </c>
      <c r="Z140" s="53">
        <f t="shared" si="83"/>
        <v>107043</v>
      </c>
      <c r="AA140" s="53"/>
      <c r="AB140" s="59">
        <f t="shared" si="72"/>
        <v>82.949543527877395</v>
      </c>
      <c r="AC140" s="59">
        <f t="shared" si="73"/>
        <v>134.68166272033676</v>
      </c>
      <c r="AF140" s="56">
        <v>23235</v>
      </c>
      <c r="AG140" s="56">
        <v>0</v>
      </c>
      <c r="AH140" s="56">
        <v>1400</v>
      </c>
      <c r="AI140" s="53">
        <f t="shared" si="64"/>
        <v>24635</v>
      </c>
      <c r="AJ140" s="53">
        <f t="shared" si="85"/>
        <v>10361.5</v>
      </c>
      <c r="AK140" s="53"/>
      <c r="AL140" s="59">
        <f t="shared" si="78"/>
        <v>1542.3333333333333</v>
      </c>
      <c r="AM140" s="59">
        <f t="shared" si="79"/>
        <v>50.166666666666671</v>
      </c>
      <c r="AP140" s="53">
        <f t="shared" si="86"/>
        <v>681922</v>
      </c>
      <c r="AQ140" s="53">
        <f t="shared" si="86"/>
        <v>44200</v>
      </c>
      <c r="AR140" s="53">
        <f t="shared" si="86"/>
        <v>26600</v>
      </c>
      <c r="AS140" s="53">
        <f t="shared" si="84"/>
        <v>752722</v>
      </c>
      <c r="AT140" s="53">
        <f t="shared" si="87"/>
        <v>727271.5</v>
      </c>
      <c r="AU140" s="53"/>
      <c r="AV140" s="59">
        <f t="shared" si="74"/>
        <v>2.7768182035404987</v>
      </c>
      <c r="AW140" s="59">
        <f t="shared" si="80"/>
        <v>-1.4085385340909973</v>
      </c>
      <c r="AZ140" s="53">
        <f t="shared" ref="AZ140:AZ203" si="88">+E140/1000</f>
        <v>588.39499999999998</v>
      </c>
      <c r="BA140" s="53">
        <f t="shared" ref="BA140:BA203" si="89">+O140/1000</f>
        <v>49.914999999999999</v>
      </c>
      <c r="BB140" s="53">
        <f t="shared" ref="BB140:BB203" si="90">+Y140/1000</f>
        <v>89.777000000000001</v>
      </c>
      <c r="BC140" s="53">
        <f t="shared" ref="BC140:BC203" si="91">+AI140/1000</f>
        <v>24.635000000000002</v>
      </c>
      <c r="BD140" s="53">
        <f t="shared" ref="BD140:BD203" si="92">+AS140/1000</f>
        <v>752.72199999999998</v>
      </c>
      <c r="BE140" s="60">
        <f t="shared" si="66"/>
        <v>11297.616</v>
      </c>
      <c r="BF140" s="60">
        <f t="shared" si="67"/>
        <v>828.44299999999987</v>
      </c>
      <c r="BG140" s="60">
        <f t="shared" si="68"/>
        <v>3867.1380000000008</v>
      </c>
      <c r="BH140" s="60">
        <f t="shared" si="69"/>
        <v>365.58300000000003</v>
      </c>
      <c r="BI140" s="60">
        <f t="shared" si="70"/>
        <v>16358.78</v>
      </c>
      <c r="BJ140" s="1">
        <v>26</v>
      </c>
    </row>
    <row r="141" spans="1:62" x14ac:dyDescent="0.3">
      <c r="A141" s="48">
        <v>38542</v>
      </c>
      <c r="B141" s="56">
        <v>423519</v>
      </c>
      <c r="C141" s="56">
        <v>82610</v>
      </c>
      <c r="D141" s="56">
        <v>0</v>
      </c>
      <c r="E141" s="53">
        <f t="shared" si="61"/>
        <v>506129</v>
      </c>
      <c r="F141" s="53">
        <f t="shared" si="81"/>
        <v>534012.75</v>
      </c>
      <c r="G141" s="53"/>
      <c r="H141" s="59">
        <f t="shared" si="75"/>
        <v>-1.3684081293810157</v>
      </c>
      <c r="I141" s="59">
        <f t="shared" si="76"/>
        <v>-12.105817789341277</v>
      </c>
      <c r="L141" s="53">
        <v>15549</v>
      </c>
      <c r="M141" s="53">
        <v>31400</v>
      </c>
      <c r="N141" s="53">
        <v>15800</v>
      </c>
      <c r="O141" s="53">
        <f t="shared" si="62"/>
        <v>62749</v>
      </c>
      <c r="P141" s="53">
        <f t="shared" si="82"/>
        <v>44170</v>
      </c>
      <c r="Q141" s="53"/>
      <c r="R141" s="59">
        <f t="shared" si="71"/>
        <v>-16.523879207130509</v>
      </c>
      <c r="S141" s="59">
        <f t="shared" si="77"/>
        <v>-16.242776484642775</v>
      </c>
      <c r="V141" s="56">
        <v>51769</v>
      </c>
      <c r="W141" s="56">
        <v>45100</v>
      </c>
      <c r="X141" s="56">
        <v>0</v>
      </c>
      <c r="Y141" s="53">
        <f t="shared" si="63"/>
        <v>96869</v>
      </c>
      <c r="Z141" s="53">
        <f t="shared" si="83"/>
        <v>98008</v>
      </c>
      <c r="AA141" s="53"/>
      <c r="AB141" s="59">
        <f t="shared" si="72"/>
        <v>111.80496337597026</v>
      </c>
      <c r="AC141" s="59">
        <f t="shared" si="73"/>
        <v>101.50603183741023</v>
      </c>
      <c r="AF141" s="56">
        <v>9043</v>
      </c>
      <c r="AG141" s="56">
        <v>3000</v>
      </c>
      <c r="AH141" s="56">
        <v>0</v>
      </c>
      <c r="AI141" s="53">
        <f t="shared" si="64"/>
        <v>12043</v>
      </c>
      <c r="AJ141" s="53">
        <f t="shared" si="85"/>
        <v>13372.25</v>
      </c>
      <c r="AK141" s="53"/>
      <c r="AL141" s="59">
        <f t="shared" si="78"/>
        <v>641.56403940886696</v>
      </c>
      <c r="AM141" s="59">
        <f t="shared" si="79"/>
        <v>251.34655806621126</v>
      </c>
      <c r="AP141" s="53">
        <f t="shared" si="86"/>
        <v>499880</v>
      </c>
      <c r="AQ141" s="53">
        <f t="shared" si="86"/>
        <v>162110</v>
      </c>
      <c r="AR141" s="53">
        <f t="shared" si="86"/>
        <v>15800</v>
      </c>
      <c r="AS141" s="53">
        <f t="shared" si="84"/>
        <v>677790</v>
      </c>
      <c r="AT141" s="53">
        <f t="shared" si="87"/>
        <v>689563</v>
      </c>
      <c r="AU141" s="53"/>
      <c r="AV141" s="59">
        <f t="shared" si="74"/>
        <v>6.6244022149509085</v>
      </c>
      <c r="AW141" s="59">
        <f t="shared" si="80"/>
        <v>-3.2521902187009233</v>
      </c>
      <c r="AZ141" s="53">
        <f t="shared" si="88"/>
        <v>506.12900000000002</v>
      </c>
      <c r="BA141" s="53">
        <f t="shared" si="89"/>
        <v>62.749000000000002</v>
      </c>
      <c r="BB141" s="53">
        <f t="shared" si="90"/>
        <v>96.869</v>
      </c>
      <c r="BC141" s="53">
        <f t="shared" si="91"/>
        <v>12.042999999999999</v>
      </c>
      <c r="BD141" s="53">
        <f t="shared" si="92"/>
        <v>677.79</v>
      </c>
      <c r="BE141" s="60">
        <f t="shared" si="66"/>
        <v>11803.745000000001</v>
      </c>
      <c r="BF141" s="60">
        <f t="shared" si="67"/>
        <v>891.19199999999989</v>
      </c>
      <c r="BG141" s="60">
        <f t="shared" si="68"/>
        <v>3964.007000000001</v>
      </c>
      <c r="BH141" s="60">
        <f t="shared" si="69"/>
        <v>377.62600000000003</v>
      </c>
      <c r="BI141" s="60">
        <f t="shared" si="70"/>
        <v>17036.57</v>
      </c>
      <c r="BJ141" s="1">
        <v>27</v>
      </c>
    </row>
    <row r="142" spans="1:62" x14ac:dyDescent="0.3">
      <c r="A142" s="49">
        <v>38549</v>
      </c>
      <c r="B142" s="56">
        <v>688399</v>
      </c>
      <c r="C142" s="56">
        <v>54000</v>
      </c>
      <c r="D142" s="56">
        <v>0</v>
      </c>
      <c r="E142" s="53">
        <f t="shared" si="61"/>
        <v>742399</v>
      </c>
      <c r="F142" s="53">
        <f t="shared" si="81"/>
        <v>603883.75</v>
      </c>
      <c r="G142" s="53"/>
      <c r="H142" s="59">
        <f t="shared" si="75"/>
        <v>16.033384650250461</v>
      </c>
      <c r="I142" s="59">
        <f t="shared" si="76"/>
        <v>2.674776248316757</v>
      </c>
      <c r="L142" s="53">
        <v>12070</v>
      </c>
      <c r="M142" s="53">
        <v>16859</v>
      </c>
      <c r="N142" s="53">
        <v>28600</v>
      </c>
      <c r="O142" s="53">
        <f t="shared" si="62"/>
        <v>57529</v>
      </c>
      <c r="P142" s="53">
        <f t="shared" si="82"/>
        <v>48197.75</v>
      </c>
      <c r="Q142" s="53"/>
      <c r="R142" s="59">
        <f t="shared" si="71"/>
        <v>-44.071125110586131</v>
      </c>
      <c r="S142" s="59">
        <f t="shared" si="77"/>
        <v>-25.866723063908324</v>
      </c>
      <c r="V142" s="56">
        <v>73523</v>
      </c>
      <c r="W142" s="56">
        <v>4591</v>
      </c>
      <c r="X142" s="56">
        <v>2800</v>
      </c>
      <c r="Y142" s="53">
        <f t="shared" si="63"/>
        <v>80914</v>
      </c>
      <c r="Z142" s="53">
        <f t="shared" si="83"/>
        <v>96842.25</v>
      </c>
      <c r="AA142" s="53"/>
      <c r="AB142" s="59">
        <f t="shared" si="72"/>
        <v>229.30690651581131</v>
      </c>
      <c r="AC142" s="59">
        <f t="shared" si="73"/>
        <v>97.679604813276313</v>
      </c>
      <c r="AF142" s="56">
        <v>4800</v>
      </c>
      <c r="AG142" s="56">
        <v>7500</v>
      </c>
      <c r="AH142" s="56">
        <v>0</v>
      </c>
      <c r="AI142" s="53">
        <f t="shared" si="64"/>
        <v>12300</v>
      </c>
      <c r="AJ142" s="53">
        <f t="shared" si="85"/>
        <v>14169.5</v>
      </c>
      <c r="AK142" s="53"/>
      <c r="AL142" s="59">
        <f t="shared" si="78"/>
        <v>719.99999999999989</v>
      </c>
      <c r="AM142" s="59">
        <f t="shared" si="79"/>
        <v>1125.7352941176471</v>
      </c>
      <c r="AP142" s="53">
        <f t="shared" si="86"/>
        <v>778792</v>
      </c>
      <c r="AQ142" s="53">
        <f t="shared" si="86"/>
        <v>82950</v>
      </c>
      <c r="AR142" s="53">
        <f t="shared" si="86"/>
        <v>31400</v>
      </c>
      <c r="AS142" s="53">
        <f t="shared" si="84"/>
        <v>893142</v>
      </c>
      <c r="AT142" s="53">
        <f t="shared" si="87"/>
        <v>763093.25</v>
      </c>
      <c r="AU142" s="53"/>
      <c r="AV142" s="59">
        <f t="shared" si="74"/>
        <v>16.18152656205487</v>
      </c>
      <c r="AW142" s="59">
        <f t="shared" si="80"/>
        <v>8.4998844752510507</v>
      </c>
      <c r="AZ142" s="53">
        <f t="shared" si="88"/>
        <v>742.399</v>
      </c>
      <c r="BA142" s="53">
        <f t="shared" si="89"/>
        <v>57.529000000000003</v>
      </c>
      <c r="BB142" s="53">
        <f t="shared" si="90"/>
        <v>80.914000000000001</v>
      </c>
      <c r="BC142" s="53">
        <f t="shared" si="91"/>
        <v>12.3</v>
      </c>
      <c r="BD142" s="53">
        <f t="shared" si="92"/>
        <v>893.14200000000005</v>
      </c>
      <c r="BE142" s="60">
        <f t="shared" si="66"/>
        <v>12546.144</v>
      </c>
      <c r="BF142" s="60">
        <f t="shared" si="67"/>
        <v>948.72099999999989</v>
      </c>
      <c r="BG142" s="60">
        <f t="shared" si="68"/>
        <v>4044.9210000000012</v>
      </c>
      <c r="BH142" s="60">
        <f t="shared" si="69"/>
        <v>389.92600000000004</v>
      </c>
      <c r="BI142" s="60">
        <f t="shared" si="70"/>
        <v>17929.712</v>
      </c>
      <c r="BJ142" s="1">
        <v>28</v>
      </c>
    </row>
    <row r="143" spans="1:62" x14ac:dyDescent="0.3">
      <c r="A143" s="49">
        <v>38556</v>
      </c>
      <c r="B143" s="56">
        <v>416748</v>
      </c>
      <c r="C143" s="56">
        <v>55671</v>
      </c>
      <c r="D143" s="56">
        <v>0</v>
      </c>
      <c r="E143" s="53">
        <f t="shared" si="61"/>
        <v>472419</v>
      </c>
      <c r="F143" s="53">
        <f t="shared" si="81"/>
        <v>577335.5</v>
      </c>
      <c r="G143" s="53"/>
      <c r="H143" s="59">
        <f t="shared" si="75"/>
        <v>-10.116269556630753</v>
      </c>
      <c r="I143" s="59">
        <f t="shared" si="76"/>
        <v>1.0837426348703438</v>
      </c>
      <c r="L143" s="53">
        <v>4735</v>
      </c>
      <c r="M143" s="53">
        <v>13350</v>
      </c>
      <c r="N143" s="53">
        <v>13500</v>
      </c>
      <c r="O143" s="53">
        <f t="shared" si="62"/>
        <v>31585</v>
      </c>
      <c r="P143" s="53">
        <f t="shared" si="82"/>
        <v>50444.5</v>
      </c>
      <c r="Q143" s="53"/>
      <c r="R143" s="59">
        <f t="shared" si="71"/>
        <v>-72.573656469525801</v>
      </c>
      <c r="S143" s="59">
        <f t="shared" si="77"/>
        <v>-45.314502993395287</v>
      </c>
      <c r="V143" s="56">
        <v>66130</v>
      </c>
      <c r="W143" s="56">
        <v>18078</v>
      </c>
      <c r="X143" s="56">
        <v>3000</v>
      </c>
      <c r="Y143" s="53">
        <f t="shared" si="63"/>
        <v>87208</v>
      </c>
      <c r="Z143" s="53">
        <f t="shared" si="83"/>
        <v>88692</v>
      </c>
      <c r="AA143" s="53"/>
      <c r="AB143" s="59">
        <f t="shared" si="72"/>
        <v>112.99335677999221</v>
      </c>
      <c r="AC143" s="59">
        <f t="shared" si="73"/>
        <v>121.28466461246741</v>
      </c>
      <c r="AF143" s="56">
        <v>1535</v>
      </c>
      <c r="AG143" s="56">
        <v>12000</v>
      </c>
      <c r="AH143" s="56">
        <v>0</v>
      </c>
      <c r="AI143" s="53">
        <f t="shared" si="64"/>
        <v>13535</v>
      </c>
      <c r="AJ143" s="53">
        <f t="shared" si="85"/>
        <v>15628.25</v>
      </c>
      <c r="AK143" s="53"/>
      <c r="AL143" s="59">
        <f t="shared" si="78"/>
        <v>48.736263736263737</v>
      </c>
      <c r="AM143" s="59">
        <f t="shared" si="79"/>
        <v>355.50131157097053</v>
      </c>
      <c r="AP143" s="53">
        <f t="shared" si="86"/>
        <v>489148</v>
      </c>
      <c r="AQ143" s="53">
        <f t="shared" si="86"/>
        <v>99099</v>
      </c>
      <c r="AR143" s="53">
        <f t="shared" si="86"/>
        <v>16500</v>
      </c>
      <c r="AS143" s="53">
        <f t="shared" si="84"/>
        <v>604747</v>
      </c>
      <c r="AT143" s="53">
        <f t="shared" si="87"/>
        <v>732100.25</v>
      </c>
      <c r="AU143" s="53"/>
      <c r="AV143" s="59">
        <f t="shared" si="74"/>
        <v>-12.456499458595594</v>
      </c>
      <c r="AW143" s="59">
        <f t="shared" si="80"/>
        <v>3.5646030142792107</v>
      </c>
      <c r="AZ143" s="53">
        <f t="shared" si="88"/>
        <v>472.41899999999998</v>
      </c>
      <c r="BA143" s="53">
        <f t="shared" si="89"/>
        <v>31.585000000000001</v>
      </c>
      <c r="BB143" s="53">
        <f t="shared" si="90"/>
        <v>87.207999999999998</v>
      </c>
      <c r="BC143" s="53">
        <f t="shared" si="91"/>
        <v>13.535</v>
      </c>
      <c r="BD143" s="53">
        <f t="shared" si="92"/>
        <v>604.74699999999996</v>
      </c>
      <c r="BE143" s="60">
        <f t="shared" si="66"/>
        <v>13018.563</v>
      </c>
      <c r="BF143" s="60">
        <f t="shared" si="67"/>
        <v>980.30599999999993</v>
      </c>
      <c r="BG143" s="60">
        <f t="shared" si="68"/>
        <v>4132.1290000000008</v>
      </c>
      <c r="BH143" s="60">
        <f t="shared" si="69"/>
        <v>403.46100000000007</v>
      </c>
      <c r="BI143" s="60">
        <f t="shared" si="70"/>
        <v>18534.458999999999</v>
      </c>
      <c r="BJ143" s="1">
        <v>29</v>
      </c>
    </row>
    <row r="144" spans="1:62" x14ac:dyDescent="0.3">
      <c r="A144" s="48">
        <v>38563</v>
      </c>
      <c r="B144" s="56">
        <v>665268</v>
      </c>
      <c r="C144" s="56">
        <v>47280</v>
      </c>
      <c r="D144" s="56">
        <v>0</v>
      </c>
      <c r="E144" s="53">
        <f t="shared" si="61"/>
        <v>712548</v>
      </c>
      <c r="F144" s="53">
        <f t="shared" si="81"/>
        <v>608373.75</v>
      </c>
      <c r="G144" s="53"/>
      <c r="H144" s="59">
        <f t="shared" si="75"/>
        <v>66.641253151353851</v>
      </c>
      <c r="I144" s="59">
        <f t="shared" si="76"/>
        <v>15.542395148681321</v>
      </c>
      <c r="L144" s="53">
        <v>15812</v>
      </c>
      <c r="M144" s="53">
        <v>3000</v>
      </c>
      <c r="N144" s="53">
        <v>22800</v>
      </c>
      <c r="O144" s="53">
        <f t="shared" si="62"/>
        <v>41612</v>
      </c>
      <c r="P144" s="53">
        <f t="shared" si="82"/>
        <v>48368.75</v>
      </c>
      <c r="Q144" s="53"/>
      <c r="R144" s="59">
        <f t="shared" si="71"/>
        <v>-18.067259982673068</v>
      </c>
      <c r="S144" s="59">
        <f t="shared" si="77"/>
        <v>-43.754324354181328</v>
      </c>
      <c r="V144" s="56">
        <v>53847</v>
      </c>
      <c r="W144" s="56">
        <v>22700</v>
      </c>
      <c r="X144" s="56">
        <v>7100</v>
      </c>
      <c r="Y144" s="53">
        <f t="shared" si="63"/>
        <v>83647</v>
      </c>
      <c r="Z144" s="53">
        <f t="shared" si="83"/>
        <v>87159.5</v>
      </c>
      <c r="AA144" s="53"/>
      <c r="AB144" s="59">
        <f t="shared" si="72"/>
        <v>119.84598402018504</v>
      </c>
      <c r="AC144" s="59">
        <f t="shared" si="73"/>
        <v>133.5181985023242</v>
      </c>
      <c r="AF144" s="56">
        <v>0</v>
      </c>
      <c r="AG144" s="56">
        <v>19954</v>
      </c>
      <c r="AH144" s="56">
        <v>0</v>
      </c>
      <c r="AI144" s="53">
        <f t="shared" si="64"/>
        <v>19954</v>
      </c>
      <c r="AJ144" s="53">
        <f t="shared" si="85"/>
        <v>14458</v>
      </c>
      <c r="AK144" s="53"/>
      <c r="AL144" s="59">
        <f t="shared" si="78"/>
        <v>33.026666666666671</v>
      </c>
      <c r="AM144" s="59">
        <f t="shared" si="79"/>
        <v>112.4302086394358</v>
      </c>
      <c r="AP144" s="53">
        <f t="shared" si="86"/>
        <v>734927</v>
      </c>
      <c r="AQ144" s="53">
        <f t="shared" si="86"/>
        <v>92934</v>
      </c>
      <c r="AR144" s="53">
        <f t="shared" si="86"/>
        <v>29900</v>
      </c>
      <c r="AS144" s="53">
        <f t="shared" si="84"/>
        <v>857761</v>
      </c>
      <c r="AT144" s="53">
        <f t="shared" si="87"/>
        <v>758360</v>
      </c>
      <c r="AU144" s="53"/>
      <c r="AV144" s="59">
        <f t="shared" si="74"/>
        <v>61.406205897295976</v>
      </c>
      <c r="AW144" s="59">
        <f t="shared" si="80"/>
        <v>15.486895299835957</v>
      </c>
      <c r="AZ144" s="53">
        <f t="shared" si="88"/>
        <v>712.548</v>
      </c>
      <c r="BA144" s="53">
        <f t="shared" si="89"/>
        <v>41.612000000000002</v>
      </c>
      <c r="BB144" s="53">
        <f t="shared" si="90"/>
        <v>83.647000000000006</v>
      </c>
      <c r="BC144" s="53">
        <f t="shared" si="91"/>
        <v>19.954000000000001</v>
      </c>
      <c r="BD144" s="53">
        <f t="shared" si="92"/>
        <v>857.76099999999997</v>
      </c>
      <c r="BE144" s="60">
        <f t="shared" si="66"/>
        <v>13731.111000000001</v>
      </c>
      <c r="BF144" s="60">
        <f t="shared" si="67"/>
        <v>1021.9179999999999</v>
      </c>
      <c r="BG144" s="60">
        <f t="shared" si="68"/>
        <v>4215.7760000000007</v>
      </c>
      <c r="BH144" s="60">
        <f t="shared" si="69"/>
        <v>423.41500000000008</v>
      </c>
      <c r="BI144" s="60">
        <f t="shared" si="70"/>
        <v>19392.219999999998</v>
      </c>
      <c r="BJ144" s="1">
        <v>30</v>
      </c>
    </row>
    <row r="145" spans="1:62" x14ac:dyDescent="0.3">
      <c r="A145" s="48">
        <v>38570</v>
      </c>
      <c r="B145" s="56">
        <v>526240</v>
      </c>
      <c r="C145" s="56">
        <v>67290</v>
      </c>
      <c r="D145" s="56">
        <v>0</v>
      </c>
      <c r="E145" s="53">
        <f t="shared" si="61"/>
        <v>593530</v>
      </c>
      <c r="F145" s="53">
        <f t="shared" si="81"/>
        <v>630224</v>
      </c>
      <c r="G145" s="53"/>
      <c r="H145" s="59">
        <f t="shared" si="75"/>
        <v>34.564416482457631</v>
      </c>
      <c r="I145" s="59">
        <f t="shared" si="76"/>
        <v>23.933408486322772</v>
      </c>
      <c r="L145" s="53">
        <v>1600</v>
      </c>
      <c r="M145" s="53">
        <v>11600</v>
      </c>
      <c r="N145" s="53">
        <v>8400</v>
      </c>
      <c r="O145" s="53">
        <f t="shared" si="62"/>
        <v>21600</v>
      </c>
      <c r="P145" s="53">
        <f t="shared" si="82"/>
        <v>38081.5</v>
      </c>
      <c r="Q145" s="53"/>
      <c r="R145" s="59">
        <f t="shared" si="71"/>
        <v>-75.081331764380138</v>
      </c>
      <c r="S145" s="59">
        <f t="shared" si="77"/>
        <v>-57.150894248566786</v>
      </c>
      <c r="V145" s="56">
        <v>76733</v>
      </c>
      <c r="W145" s="56">
        <v>14863</v>
      </c>
      <c r="X145" s="56">
        <v>2800</v>
      </c>
      <c r="Y145" s="53">
        <f t="shared" si="63"/>
        <v>94396</v>
      </c>
      <c r="Z145" s="53">
        <f t="shared" si="83"/>
        <v>86541.25</v>
      </c>
      <c r="AA145" s="53"/>
      <c r="AB145" s="59">
        <f t="shared" si="72"/>
        <v>136.7001003009027</v>
      </c>
      <c r="AC145" s="59">
        <f t="shared" si="73"/>
        <v>141.32582280069434</v>
      </c>
      <c r="AF145" s="56">
        <v>0</v>
      </c>
      <c r="AG145" s="56">
        <v>13000</v>
      </c>
      <c r="AH145" s="56">
        <v>0</v>
      </c>
      <c r="AI145" s="53">
        <f t="shared" si="64"/>
        <v>13000</v>
      </c>
      <c r="AJ145" s="53">
        <f t="shared" si="85"/>
        <v>14697.25</v>
      </c>
      <c r="AK145" s="53"/>
      <c r="AL145" s="59">
        <f t="shared" si="78"/>
        <v>622.22222222222229</v>
      </c>
      <c r="AM145" s="59">
        <f t="shared" si="79"/>
        <v>114.55839416058393</v>
      </c>
      <c r="AP145" s="53">
        <f t="shared" si="86"/>
        <v>604573</v>
      </c>
      <c r="AQ145" s="53">
        <f t="shared" si="86"/>
        <v>106753</v>
      </c>
      <c r="AR145" s="53">
        <f t="shared" si="86"/>
        <v>11200</v>
      </c>
      <c r="AS145" s="53">
        <f t="shared" si="84"/>
        <v>722526</v>
      </c>
      <c r="AT145" s="53">
        <f t="shared" si="87"/>
        <v>769544</v>
      </c>
      <c r="AU145" s="53"/>
      <c r="AV145" s="59">
        <f t="shared" si="74"/>
        <v>26.88427341391586</v>
      </c>
      <c r="AW145" s="59">
        <f t="shared" si="80"/>
        <v>20.221995696001805</v>
      </c>
      <c r="AZ145" s="53">
        <f t="shared" si="88"/>
        <v>593.53</v>
      </c>
      <c r="BA145" s="53">
        <f t="shared" si="89"/>
        <v>21.6</v>
      </c>
      <c r="BB145" s="53">
        <f t="shared" si="90"/>
        <v>94.396000000000001</v>
      </c>
      <c r="BC145" s="53">
        <f t="shared" si="91"/>
        <v>13</v>
      </c>
      <c r="BD145" s="53">
        <f t="shared" si="92"/>
        <v>722.52599999999995</v>
      </c>
      <c r="BE145" s="60">
        <f t="shared" si="66"/>
        <v>14324.641000000001</v>
      </c>
      <c r="BF145" s="60">
        <f t="shared" si="67"/>
        <v>1043.5179999999998</v>
      </c>
      <c r="BG145" s="60">
        <f t="shared" si="68"/>
        <v>4310.1720000000005</v>
      </c>
      <c r="BH145" s="60">
        <f t="shared" si="69"/>
        <v>436.41500000000008</v>
      </c>
      <c r="BI145" s="60">
        <f t="shared" si="70"/>
        <v>20114.745999999999</v>
      </c>
      <c r="BJ145" s="1">
        <v>31</v>
      </c>
    </row>
    <row r="146" spans="1:62" x14ac:dyDescent="0.3">
      <c r="A146" s="49">
        <v>38577</v>
      </c>
      <c r="B146" s="56">
        <v>603680</v>
      </c>
      <c r="C146" s="56">
        <v>48325</v>
      </c>
      <c r="D146" s="56">
        <v>0</v>
      </c>
      <c r="E146" s="53">
        <f t="shared" si="61"/>
        <v>652005</v>
      </c>
      <c r="F146" s="53">
        <f t="shared" si="81"/>
        <v>607625.5</v>
      </c>
      <c r="G146" s="53"/>
      <c r="H146" s="59">
        <f t="shared" si="75"/>
        <v>-11.352261927584051</v>
      </c>
      <c r="I146" s="59">
        <f t="shared" si="76"/>
        <v>14.120987398104678</v>
      </c>
      <c r="L146" s="53">
        <v>10960</v>
      </c>
      <c r="M146" s="53">
        <v>21559</v>
      </c>
      <c r="N146" s="53">
        <v>21000</v>
      </c>
      <c r="O146" s="53">
        <f t="shared" si="62"/>
        <v>53519</v>
      </c>
      <c r="P146" s="53">
        <f t="shared" si="82"/>
        <v>37079</v>
      </c>
      <c r="Q146" s="53"/>
      <c r="R146" s="59">
        <f t="shared" si="71"/>
        <v>-27.72293273191352</v>
      </c>
      <c r="S146" s="59">
        <f t="shared" si="77"/>
        <v>-54.598995959348606</v>
      </c>
      <c r="V146" s="56">
        <v>67987</v>
      </c>
      <c r="W146" s="56">
        <v>4691</v>
      </c>
      <c r="X146" s="56">
        <v>0</v>
      </c>
      <c r="Y146" s="53">
        <f t="shared" si="63"/>
        <v>72678</v>
      </c>
      <c r="Z146" s="53">
        <f t="shared" si="83"/>
        <v>84482.25</v>
      </c>
      <c r="AA146" s="53"/>
      <c r="AB146" s="59">
        <f t="shared" si="72"/>
        <v>40.892524813895783</v>
      </c>
      <c r="AC146" s="59">
        <f t="shared" si="73"/>
        <v>98.249988266766792</v>
      </c>
      <c r="AF146" s="56">
        <v>4708</v>
      </c>
      <c r="AG146" s="56">
        <v>7500</v>
      </c>
      <c r="AH146" s="56">
        <v>6600</v>
      </c>
      <c r="AI146" s="53">
        <f t="shared" si="64"/>
        <v>18808</v>
      </c>
      <c r="AJ146" s="53">
        <f t="shared" si="85"/>
        <v>16324.25</v>
      </c>
      <c r="AK146" s="53"/>
      <c r="AL146" s="59">
        <f t="shared" si="78"/>
        <v>-50.6610703043022</v>
      </c>
      <c r="AM146" s="59">
        <f t="shared" si="79"/>
        <v>1.9946891596376082</v>
      </c>
      <c r="AP146" s="53">
        <f t="shared" si="86"/>
        <v>687335</v>
      </c>
      <c r="AQ146" s="53">
        <f t="shared" si="86"/>
        <v>82075</v>
      </c>
      <c r="AR146" s="53">
        <f t="shared" si="86"/>
        <v>27600</v>
      </c>
      <c r="AS146" s="53">
        <f t="shared" si="84"/>
        <v>797010</v>
      </c>
      <c r="AT146" s="53">
        <f t="shared" si="87"/>
        <v>745511</v>
      </c>
      <c r="AU146" s="53"/>
      <c r="AV146" s="59">
        <f t="shared" si="74"/>
        <v>-11.369671682687388</v>
      </c>
      <c r="AW146" s="59">
        <f t="shared" si="80"/>
        <v>10.818959350258183</v>
      </c>
      <c r="AZ146" s="53">
        <f t="shared" si="88"/>
        <v>652.005</v>
      </c>
      <c r="BA146" s="53">
        <f t="shared" si="89"/>
        <v>53.518999999999998</v>
      </c>
      <c r="BB146" s="53">
        <f t="shared" si="90"/>
        <v>72.677999999999997</v>
      </c>
      <c r="BC146" s="53">
        <f t="shared" si="91"/>
        <v>18.808</v>
      </c>
      <c r="BD146" s="53">
        <f t="shared" si="92"/>
        <v>797.01</v>
      </c>
      <c r="BE146" s="60">
        <f t="shared" si="66"/>
        <v>14976.646000000001</v>
      </c>
      <c r="BF146" s="60">
        <f t="shared" si="67"/>
        <v>1097.0369999999998</v>
      </c>
      <c r="BG146" s="60">
        <f t="shared" si="68"/>
        <v>4382.8500000000004</v>
      </c>
      <c r="BH146" s="60">
        <f t="shared" si="69"/>
        <v>455.22300000000007</v>
      </c>
      <c r="BI146" s="60">
        <f t="shared" si="70"/>
        <v>20911.755999999998</v>
      </c>
      <c r="BJ146" s="1">
        <v>32</v>
      </c>
    </row>
    <row r="147" spans="1:62" x14ac:dyDescent="0.3">
      <c r="A147" s="49">
        <v>38584</v>
      </c>
      <c r="B147" s="56">
        <v>511713</v>
      </c>
      <c r="C147" s="56">
        <v>41621</v>
      </c>
      <c r="D147" s="56">
        <v>0</v>
      </c>
      <c r="E147" s="53">
        <f t="shared" si="61"/>
        <v>553334</v>
      </c>
      <c r="F147" s="53">
        <f t="shared" si="81"/>
        <v>627854.25</v>
      </c>
      <c r="G147" s="53"/>
      <c r="H147" s="59">
        <f t="shared" si="75"/>
        <v>17.181629895680238</v>
      </c>
      <c r="I147" s="59">
        <f t="shared" si="76"/>
        <v>20.95217042032931</v>
      </c>
      <c r="L147" s="53">
        <v>13958</v>
      </c>
      <c r="M147" s="53">
        <v>18447</v>
      </c>
      <c r="N147" s="53">
        <v>15400</v>
      </c>
      <c r="O147" s="53">
        <f t="shared" si="62"/>
        <v>47805</v>
      </c>
      <c r="P147" s="53">
        <f t="shared" si="82"/>
        <v>41134</v>
      </c>
      <c r="Q147" s="53"/>
      <c r="R147" s="59">
        <f t="shared" si="71"/>
        <v>-50.10645625900181</v>
      </c>
      <c r="S147" s="59">
        <f t="shared" si="77"/>
        <v>-46.462934100367356</v>
      </c>
      <c r="V147" s="56">
        <v>78825</v>
      </c>
      <c r="W147" s="56">
        <v>19400</v>
      </c>
      <c r="X147" s="56">
        <v>5600</v>
      </c>
      <c r="Y147" s="53">
        <f t="shared" si="63"/>
        <v>103825</v>
      </c>
      <c r="Z147" s="53">
        <f t="shared" si="83"/>
        <v>88636.5</v>
      </c>
      <c r="AA147" s="53"/>
      <c r="AB147" s="59">
        <f t="shared" si="72"/>
        <v>472.25927354902717</v>
      </c>
      <c r="AC147" s="59">
        <f t="shared" si="73"/>
        <v>140.11784226744774</v>
      </c>
      <c r="AF147" s="56">
        <v>0</v>
      </c>
      <c r="AG147" s="56">
        <v>1500</v>
      </c>
      <c r="AH147" s="56">
        <v>0</v>
      </c>
      <c r="AI147" s="53">
        <f t="shared" si="64"/>
        <v>1500</v>
      </c>
      <c r="AJ147" s="53">
        <f t="shared" si="85"/>
        <v>13315.5</v>
      </c>
      <c r="AK147" s="53"/>
      <c r="AL147" s="59">
        <f t="shared" si="78"/>
        <v>-88</v>
      </c>
      <c r="AM147" s="59">
        <f t="shared" si="79"/>
        <v>-20.999703352121035</v>
      </c>
      <c r="AP147" s="53">
        <f t="shared" si="86"/>
        <v>604496</v>
      </c>
      <c r="AQ147" s="53">
        <f t="shared" si="86"/>
        <v>80968</v>
      </c>
      <c r="AR147" s="53">
        <f t="shared" si="86"/>
        <v>21000</v>
      </c>
      <c r="AS147" s="53">
        <f t="shared" si="84"/>
        <v>706464</v>
      </c>
      <c r="AT147" s="53">
        <f t="shared" si="87"/>
        <v>770940.25</v>
      </c>
      <c r="AU147" s="53"/>
      <c r="AV147" s="59">
        <f t="shared" si="74"/>
        <v>18.007747315249588</v>
      </c>
      <c r="AW147" s="59">
        <f t="shared" si="80"/>
        <v>18.661963430504635</v>
      </c>
      <c r="AZ147" s="53">
        <f t="shared" si="88"/>
        <v>553.33399999999995</v>
      </c>
      <c r="BA147" s="53">
        <f t="shared" si="89"/>
        <v>47.805</v>
      </c>
      <c r="BB147" s="53">
        <f t="shared" si="90"/>
        <v>103.825</v>
      </c>
      <c r="BC147" s="53">
        <f t="shared" si="91"/>
        <v>1.5</v>
      </c>
      <c r="BD147" s="53">
        <f t="shared" si="92"/>
        <v>706.46400000000006</v>
      </c>
      <c r="BE147" s="60">
        <f t="shared" si="66"/>
        <v>15529.980000000001</v>
      </c>
      <c r="BF147" s="60">
        <f t="shared" si="67"/>
        <v>1144.8419999999999</v>
      </c>
      <c r="BG147" s="60">
        <f t="shared" si="68"/>
        <v>4486.6750000000002</v>
      </c>
      <c r="BH147" s="60">
        <f t="shared" si="69"/>
        <v>456.72300000000007</v>
      </c>
      <c r="BI147" s="60">
        <f t="shared" si="70"/>
        <v>21618.219999999998</v>
      </c>
      <c r="BJ147" s="1">
        <v>33</v>
      </c>
    </row>
    <row r="148" spans="1:62" x14ac:dyDescent="0.3">
      <c r="A148" s="48">
        <v>38591</v>
      </c>
      <c r="B148" s="56">
        <v>556511</v>
      </c>
      <c r="C148" s="56">
        <v>22478</v>
      </c>
      <c r="D148" s="56">
        <v>1400</v>
      </c>
      <c r="E148" s="53">
        <f t="shared" si="61"/>
        <v>580389</v>
      </c>
      <c r="F148" s="53">
        <f t="shared" si="81"/>
        <v>594814.5</v>
      </c>
      <c r="G148" s="53"/>
      <c r="H148" s="59">
        <f t="shared" si="75"/>
        <v>18.795119564928164</v>
      </c>
      <c r="I148" s="59">
        <f t="shared" si="76"/>
        <v>11.318596330674424</v>
      </c>
      <c r="L148" s="53">
        <v>1500</v>
      </c>
      <c r="M148" s="53">
        <v>7700</v>
      </c>
      <c r="N148" s="53">
        <v>25200</v>
      </c>
      <c r="O148" s="53">
        <f t="shared" si="62"/>
        <v>34400</v>
      </c>
      <c r="P148" s="53">
        <f t="shared" si="82"/>
        <v>39331</v>
      </c>
      <c r="Q148" s="53"/>
      <c r="R148" s="59">
        <f t="shared" si="71"/>
        <v>-59.548447789275642</v>
      </c>
      <c r="S148" s="59">
        <f t="shared" si="77"/>
        <v>-53.942672791093237</v>
      </c>
      <c r="V148" s="56">
        <v>50551</v>
      </c>
      <c r="W148" s="56">
        <v>4773</v>
      </c>
      <c r="X148" s="56">
        <v>7000</v>
      </c>
      <c r="Y148" s="53">
        <f t="shared" si="63"/>
        <v>62324</v>
      </c>
      <c r="Z148" s="53">
        <f t="shared" si="83"/>
        <v>83305.75</v>
      </c>
      <c r="AA148" s="53"/>
      <c r="AB148" s="59">
        <f t="shared" si="72"/>
        <v>556.87183811129853</v>
      </c>
      <c r="AC148" s="59">
        <f t="shared" si="73"/>
        <v>179.79596120743943</v>
      </c>
      <c r="AF148" s="56">
        <v>3100</v>
      </c>
      <c r="AG148" s="56">
        <v>3000</v>
      </c>
      <c r="AH148" s="56">
        <v>7400</v>
      </c>
      <c r="AI148" s="53">
        <f t="shared" si="64"/>
        <v>13500</v>
      </c>
      <c r="AJ148" s="53">
        <f t="shared" si="85"/>
        <v>11702</v>
      </c>
      <c r="AK148" s="53"/>
      <c r="AL148" s="59">
        <f t="shared" si="78"/>
        <v>-61.515436585991608</v>
      </c>
      <c r="AM148" s="59">
        <f t="shared" si="79"/>
        <v>-46.50453148035978</v>
      </c>
      <c r="AP148" s="53">
        <f t="shared" si="86"/>
        <v>611662</v>
      </c>
      <c r="AQ148" s="53">
        <f t="shared" si="86"/>
        <v>37951</v>
      </c>
      <c r="AR148" s="53">
        <f t="shared" si="86"/>
        <v>41000</v>
      </c>
      <c r="AS148" s="53">
        <f t="shared" si="84"/>
        <v>690613</v>
      </c>
      <c r="AT148" s="53">
        <f t="shared" si="87"/>
        <v>729153.25</v>
      </c>
      <c r="AU148" s="53"/>
      <c r="AV148" s="59">
        <f t="shared" si="74"/>
        <v>11.718944626882566</v>
      </c>
      <c r="AW148" s="59">
        <f t="shared" si="80"/>
        <v>8.6052299779781691</v>
      </c>
      <c r="AZ148" s="53">
        <f t="shared" si="88"/>
        <v>580.38900000000001</v>
      </c>
      <c r="BA148" s="53">
        <f t="shared" si="89"/>
        <v>34.4</v>
      </c>
      <c r="BB148" s="53">
        <f t="shared" si="90"/>
        <v>62.323999999999998</v>
      </c>
      <c r="BC148" s="53">
        <f t="shared" si="91"/>
        <v>13.5</v>
      </c>
      <c r="BD148" s="53">
        <f t="shared" si="92"/>
        <v>690.61300000000006</v>
      </c>
      <c r="BE148" s="60">
        <f t="shared" si="66"/>
        <v>16110.369000000001</v>
      </c>
      <c r="BF148" s="60">
        <f t="shared" si="67"/>
        <v>1179.242</v>
      </c>
      <c r="BG148" s="60">
        <f t="shared" si="68"/>
        <v>4548.9989999999998</v>
      </c>
      <c r="BH148" s="60">
        <f t="shared" si="69"/>
        <v>470.22300000000007</v>
      </c>
      <c r="BI148" s="60">
        <f t="shared" si="70"/>
        <v>22308.832999999999</v>
      </c>
      <c r="BJ148" s="1">
        <v>34</v>
      </c>
    </row>
    <row r="149" spans="1:62" x14ac:dyDescent="0.3">
      <c r="A149" s="48">
        <v>38598</v>
      </c>
      <c r="B149" s="56">
        <v>422075</v>
      </c>
      <c r="C149" s="56">
        <v>46911</v>
      </c>
      <c r="D149" s="56">
        <v>0</v>
      </c>
      <c r="E149" s="53">
        <f t="shared" si="61"/>
        <v>468986</v>
      </c>
      <c r="F149" s="53">
        <f t="shared" si="81"/>
        <v>563678.5</v>
      </c>
      <c r="G149" s="53"/>
      <c r="H149" s="59">
        <f t="shared" si="75"/>
        <v>72.27121956236661</v>
      </c>
      <c r="I149" s="59">
        <f t="shared" si="76"/>
        <v>14.53952572081425</v>
      </c>
      <c r="L149" s="53">
        <v>14034</v>
      </c>
      <c r="M149" s="53">
        <v>18045</v>
      </c>
      <c r="N149" s="53">
        <v>8400</v>
      </c>
      <c r="O149" s="53">
        <f t="shared" si="62"/>
        <v>40479</v>
      </c>
      <c r="P149" s="53">
        <f t="shared" si="82"/>
        <v>44050.75</v>
      </c>
      <c r="Q149" s="53"/>
      <c r="R149" s="59">
        <f t="shared" si="71"/>
        <v>-59.531521804330879</v>
      </c>
      <c r="S149" s="59">
        <f t="shared" si="77"/>
        <v>-50.355143452033801</v>
      </c>
      <c r="V149" s="56">
        <v>87602</v>
      </c>
      <c r="W149" s="56">
        <v>3900</v>
      </c>
      <c r="X149" s="56">
        <v>1400</v>
      </c>
      <c r="Y149" s="53">
        <f t="shared" si="63"/>
        <v>92902</v>
      </c>
      <c r="Z149" s="53">
        <f t="shared" si="83"/>
        <v>82932.25</v>
      </c>
      <c r="AA149" s="53"/>
      <c r="AB149" s="59">
        <f t="shared" si="72"/>
        <v>225.3554668347692</v>
      </c>
      <c r="AC149" s="59">
        <f t="shared" si="73"/>
        <v>207.81486327236962</v>
      </c>
      <c r="AF149" s="56">
        <v>1500</v>
      </c>
      <c r="AG149" s="56">
        <v>10203</v>
      </c>
      <c r="AH149" s="56">
        <v>0</v>
      </c>
      <c r="AI149" s="53">
        <f t="shared" si="64"/>
        <v>11703</v>
      </c>
      <c r="AJ149" s="53">
        <f t="shared" si="85"/>
        <v>11377.75</v>
      </c>
      <c r="AK149" s="53"/>
      <c r="AL149" s="59">
        <f t="shared" si="78"/>
        <v>-34.620111731843572</v>
      </c>
      <c r="AM149" s="59">
        <f t="shared" si="79"/>
        <v>-56.07003928609349</v>
      </c>
      <c r="AP149" s="53">
        <f t="shared" si="86"/>
        <v>525211</v>
      </c>
      <c r="AQ149" s="53">
        <f t="shared" si="86"/>
        <v>79059</v>
      </c>
      <c r="AR149" s="53">
        <f t="shared" si="86"/>
        <v>9800</v>
      </c>
      <c r="AS149" s="53">
        <f t="shared" si="84"/>
        <v>614070</v>
      </c>
      <c r="AT149" s="53">
        <f t="shared" si="87"/>
        <v>702039.25</v>
      </c>
      <c r="AU149" s="53"/>
      <c r="AV149" s="59">
        <f t="shared" si="74"/>
        <v>46.655139390089253</v>
      </c>
      <c r="AW149" s="59">
        <f t="shared" si="80"/>
        <v>10.784251841764124</v>
      </c>
      <c r="AZ149" s="53">
        <f t="shared" si="88"/>
        <v>468.98599999999999</v>
      </c>
      <c r="BA149" s="53">
        <f t="shared" si="89"/>
        <v>40.478999999999999</v>
      </c>
      <c r="BB149" s="53">
        <f t="shared" si="90"/>
        <v>92.902000000000001</v>
      </c>
      <c r="BC149" s="53">
        <f t="shared" si="91"/>
        <v>11.702999999999999</v>
      </c>
      <c r="BD149" s="53">
        <f t="shared" si="92"/>
        <v>614.07000000000005</v>
      </c>
      <c r="BE149" s="60">
        <f t="shared" si="66"/>
        <v>16579.355</v>
      </c>
      <c r="BF149" s="60">
        <f t="shared" si="67"/>
        <v>1219.721</v>
      </c>
      <c r="BG149" s="60">
        <f t="shared" si="68"/>
        <v>4641.9009999999998</v>
      </c>
      <c r="BH149" s="60">
        <f t="shared" si="69"/>
        <v>481.92600000000004</v>
      </c>
      <c r="BI149" s="60">
        <f t="shared" si="70"/>
        <v>22922.902999999998</v>
      </c>
      <c r="BJ149" s="1">
        <v>35</v>
      </c>
    </row>
    <row r="150" spans="1:62" x14ac:dyDescent="0.3">
      <c r="A150" s="49">
        <v>38605</v>
      </c>
      <c r="B150" s="56">
        <v>376622</v>
      </c>
      <c r="C150" s="56">
        <v>22500</v>
      </c>
      <c r="D150" s="56">
        <v>0</v>
      </c>
      <c r="E150" s="53">
        <f t="shared" si="61"/>
        <v>399122</v>
      </c>
      <c r="F150" s="53">
        <f t="shared" si="81"/>
        <v>500457.75</v>
      </c>
      <c r="G150" s="53"/>
      <c r="H150" s="59">
        <f t="shared" si="75"/>
        <v>61.514616853896207</v>
      </c>
      <c r="I150" s="59">
        <f t="shared" si="76"/>
        <v>35.248433566603651</v>
      </c>
      <c r="L150" s="53">
        <v>26220</v>
      </c>
      <c r="M150" s="53">
        <v>15000</v>
      </c>
      <c r="N150" s="53">
        <v>15400</v>
      </c>
      <c r="O150" s="53">
        <f t="shared" si="62"/>
        <v>56620</v>
      </c>
      <c r="P150" s="53">
        <f t="shared" si="82"/>
        <v>44826</v>
      </c>
      <c r="Q150" s="53"/>
      <c r="R150" s="59">
        <f t="shared" si="71"/>
        <v>47.968117078269955</v>
      </c>
      <c r="S150" s="59">
        <f t="shared" si="77"/>
        <v>-43.817387081107327</v>
      </c>
      <c r="V150" s="56">
        <v>46115</v>
      </c>
      <c r="W150" s="56">
        <v>1500</v>
      </c>
      <c r="X150" s="56">
        <v>1400</v>
      </c>
      <c r="Y150" s="53">
        <f t="shared" si="63"/>
        <v>49015</v>
      </c>
      <c r="Z150" s="53">
        <f t="shared" si="83"/>
        <v>77016.5</v>
      </c>
      <c r="AA150" s="53"/>
      <c r="AB150" s="59">
        <f t="shared" si="72"/>
        <v>178.43103840036355</v>
      </c>
      <c r="AC150" s="59">
        <f t="shared" si="73"/>
        <v>317.49583271219291</v>
      </c>
      <c r="AF150" s="56">
        <v>4600</v>
      </c>
      <c r="AG150" s="56">
        <v>6000</v>
      </c>
      <c r="AH150" s="56">
        <v>0</v>
      </c>
      <c r="AI150" s="53">
        <f t="shared" si="64"/>
        <v>10600</v>
      </c>
      <c r="AJ150" s="53">
        <f t="shared" si="85"/>
        <v>9325.75</v>
      </c>
      <c r="AK150" s="53"/>
      <c r="AL150" s="59">
        <f t="shared" si="78"/>
        <v>19.101123595505619</v>
      </c>
      <c r="AM150" s="59">
        <f t="shared" si="79"/>
        <v>-49.847403164871807</v>
      </c>
      <c r="AP150" s="53">
        <f t="shared" si="86"/>
        <v>453557</v>
      </c>
      <c r="AQ150" s="53">
        <f t="shared" si="86"/>
        <v>45000</v>
      </c>
      <c r="AR150" s="53">
        <f t="shared" si="86"/>
        <v>16800</v>
      </c>
      <c r="AS150" s="53">
        <f t="shared" si="84"/>
        <v>515357</v>
      </c>
      <c r="AT150" s="53">
        <f t="shared" si="87"/>
        <v>631626</v>
      </c>
      <c r="AU150" s="53"/>
      <c r="AV150" s="59">
        <f t="shared" si="74"/>
        <v>65.241550463157424</v>
      </c>
      <c r="AW150" s="59">
        <f t="shared" si="80"/>
        <v>29.735492010740327</v>
      </c>
      <c r="AZ150" s="53">
        <f t="shared" si="88"/>
        <v>399.12200000000001</v>
      </c>
      <c r="BA150" s="53">
        <f t="shared" si="89"/>
        <v>56.62</v>
      </c>
      <c r="BB150" s="53">
        <f t="shared" si="90"/>
        <v>49.015000000000001</v>
      </c>
      <c r="BC150" s="53">
        <f t="shared" si="91"/>
        <v>10.6</v>
      </c>
      <c r="BD150" s="53">
        <f t="shared" si="92"/>
        <v>515.35699999999997</v>
      </c>
      <c r="BE150" s="60">
        <f t="shared" si="66"/>
        <v>16978.476999999999</v>
      </c>
      <c r="BF150" s="60">
        <f t="shared" si="67"/>
        <v>1276.3409999999999</v>
      </c>
      <c r="BG150" s="60">
        <f t="shared" si="68"/>
        <v>4690.9160000000002</v>
      </c>
      <c r="BH150" s="60">
        <f t="shared" si="69"/>
        <v>492.52600000000007</v>
      </c>
      <c r="BI150" s="60">
        <f t="shared" si="70"/>
        <v>23438.26</v>
      </c>
      <c r="BJ150" s="1">
        <v>36</v>
      </c>
    </row>
    <row r="151" spans="1:62" x14ac:dyDescent="0.3">
      <c r="A151" s="49">
        <v>38612</v>
      </c>
      <c r="B151" s="56">
        <v>198415</v>
      </c>
      <c r="C151" s="56">
        <v>17300</v>
      </c>
      <c r="D151" s="56">
        <v>0</v>
      </c>
      <c r="E151" s="53">
        <f t="shared" si="61"/>
        <v>215715</v>
      </c>
      <c r="F151" s="53">
        <f t="shared" si="81"/>
        <v>416053</v>
      </c>
      <c r="G151" s="53"/>
      <c r="H151" s="59">
        <f t="shared" si="75"/>
        <v>-15.144661015282335</v>
      </c>
      <c r="I151" s="59">
        <f t="shared" si="76"/>
        <v>31.857729055792316</v>
      </c>
      <c r="L151" s="53">
        <v>32378</v>
      </c>
      <c r="M151" s="53">
        <v>18215</v>
      </c>
      <c r="N151" s="53">
        <v>14000</v>
      </c>
      <c r="O151" s="53">
        <f t="shared" si="62"/>
        <v>64593</v>
      </c>
      <c r="P151" s="53">
        <f t="shared" si="82"/>
        <v>49023</v>
      </c>
      <c r="Q151" s="53"/>
      <c r="R151" s="59">
        <f t="shared" si="71"/>
        <v>156.17910684540334</v>
      </c>
      <c r="S151" s="59">
        <f t="shared" si="77"/>
        <v>-21.104025427990901</v>
      </c>
      <c r="V151" s="56">
        <v>10764</v>
      </c>
      <c r="W151" s="56">
        <v>1400</v>
      </c>
      <c r="X151" s="56">
        <v>18000</v>
      </c>
      <c r="Y151" s="53">
        <f t="shared" si="63"/>
        <v>30164</v>
      </c>
      <c r="Z151" s="53">
        <f t="shared" si="83"/>
        <v>58601.25</v>
      </c>
      <c r="AA151" s="53"/>
      <c r="AB151" s="59">
        <f t="shared" si="72"/>
        <v>20.656000000000006</v>
      </c>
      <c r="AC151" s="59">
        <f t="shared" si="73"/>
        <v>190.6591771445577</v>
      </c>
      <c r="AF151" s="56">
        <v>0</v>
      </c>
      <c r="AG151" s="56">
        <v>0</v>
      </c>
      <c r="AH151" s="56">
        <v>15300</v>
      </c>
      <c r="AI151" s="53">
        <f t="shared" si="64"/>
        <v>15300</v>
      </c>
      <c r="AJ151" s="53">
        <f t="shared" si="85"/>
        <v>12775.75</v>
      </c>
      <c r="AK151" s="53"/>
      <c r="AL151" s="59">
        <f t="shared" si="78"/>
        <v>7.5646794150731056</v>
      </c>
      <c r="AM151" s="59">
        <f t="shared" si="79"/>
        <v>-32.850216154422299</v>
      </c>
      <c r="AP151" s="53">
        <f t="shared" si="86"/>
        <v>241557</v>
      </c>
      <c r="AQ151" s="53">
        <f t="shared" si="86"/>
        <v>36915</v>
      </c>
      <c r="AR151" s="53">
        <f t="shared" si="86"/>
        <v>47300</v>
      </c>
      <c r="AS151" s="53">
        <f t="shared" si="84"/>
        <v>325772</v>
      </c>
      <c r="AT151" s="53">
        <f t="shared" si="87"/>
        <v>536453</v>
      </c>
      <c r="AU151" s="53"/>
      <c r="AV151" s="59">
        <f t="shared" si="74"/>
        <v>2.2340916294527169</v>
      </c>
      <c r="AW151" s="59">
        <f t="shared" si="80"/>
        <v>28.690474691154776</v>
      </c>
      <c r="AZ151" s="53">
        <f t="shared" si="88"/>
        <v>215.715</v>
      </c>
      <c r="BA151" s="53">
        <f t="shared" si="89"/>
        <v>64.593000000000004</v>
      </c>
      <c r="BB151" s="53">
        <f t="shared" si="90"/>
        <v>30.164000000000001</v>
      </c>
      <c r="BC151" s="53">
        <f t="shared" si="91"/>
        <v>15.3</v>
      </c>
      <c r="BD151" s="53">
        <f t="shared" si="92"/>
        <v>325.77199999999999</v>
      </c>
      <c r="BE151" s="60">
        <f t="shared" si="66"/>
        <v>17194.191999999999</v>
      </c>
      <c r="BF151" s="60">
        <f t="shared" si="67"/>
        <v>1340.934</v>
      </c>
      <c r="BG151" s="60">
        <f t="shared" si="68"/>
        <v>4721.08</v>
      </c>
      <c r="BH151" s="60">
        <f t="shared" si="69"/>
        <v>507.82600000000008</v>
      </c>
      <c r="BI151" s="60">
        <f t="shared" si="70"/>
        <v>23764.031999999999</v>
      </c>
      <c r="BJ151" s="1">
        <v>37</v>
      </c>
    </row>
    <row r="152" spans="1:62" x14ac:dyDescent="0.3">
      <c r="A152" s="48">
        <v>38619</v>
      </c>
      <c r="B152" s="56">
        <v>234693</v>
      </c>
      <c r="C152" s="56">
        <v>84900</v>
      </c>
      <c r="D152" s="56">
        <v>1400</v>
      </c>
      <c r="E152" s="53">
        <f t="shared" si="61"/>
        <v>320993</v>
      </c>
      <c r="F152" s="53">
        <f t="shared" si="81"/>
        <v>351204</v>
      </c>
      <c r="G152" s="53"/>
      <c r="H152" s="59">
        <f t="shared" si="75"/>
        <v>-21.45211533332191</v>
      </c>
      <c r="I152" s="59">
        <f t="shared" si="76"/>
        <v>18.828342876090211</v>
      </c>
      <c r="L152" s="53">
        <v>4624</v>
      </c>
      <c r="M152" s="53">
        <v>5900</v>
      </c>
      <c r="N152" s="53">
        <v>2800</v>
      </c>
      <c r="O152" s="53">
        <f t="shared" si="62"/>
        <v>13324</v>
      </c>
      <c r="P152" s="53">
        <f t="shared" si="82"/>
        <v>43754</v>
      </c>
      <c r="Q152" s="53"/>
      <c r="R152" s="59">
        <f t="shared" si="71"/>
        <v>-79.106162772463534</v>
      </c>
      <c r="S152" s="59">
        <f t="shared" si="77"/>
        <v>-22.99373006269937</v>
      </c>
      <c r="V152" s="56">
        <v>22107</v>
      </c>
      <c r="W152" s="56">
        <v>13400</v>
      </c>
      <c r="X152" s="56">
        <v>12600</v>
      </c>
      <c r="Y152" s="53">
        <f t="shared" si="63"/>
        <v>48107</v>
      </c>
      <c r="Z152" s="53">
        <f t="shared" si="83"/>
        <v>55047</v>
      </c>
      <c r="AA152" s="53"/>
      <c r="AB152" s="59">
        <f t="shared" si="72"/>
        <v>-10.515252976190482</v>
      </c>
      <c r="AC152" s="59">
        <f t="shared" si="73"/>
        <v>76.266030516018503</v>
      </c>
      <c r="AF152" s="56">
        <v>1500</v>
      </c>
      <c r="AG152" s="56">
        <v>0</v>
      </c>
      <c r="AH152" s="56">
        <v>2800</v>
      </c>
      <c r="AI152" s="53">
        <f t="shared" si="64"/>
        <v>4300</v>
      </c>
      <c r="AJ152" s="53">
        <f t="shared" si="85"/>
        <v>10475.75</v>
      </c>
      <c r="AK152" s="53"/>
      <c r="AL152" s="59">
        <f t="shared" si="78"/>
        <v>-68.458886525342905</v>
      </c>
      <c r="AM152" s="59">
        <f t="shared" si="79"/>
        <v>-23.334614047605985</v>
      </c>
      <c r="AP152" s="53">
        <f t="shared" si="86"/>
        <v>262924</v>
      </c>
      <c r="AQ152" s="53">
        <f t="shared" si="86"/>
        <v>104200</v>
      </c>
      <c r="AR152" s="53">
        <f t="shared" si="86"/>
        <v>19600</v>
      </c>
      <c r="AS152" s="53">
        <f t="shared" si="84"/>
        <v>386724</v>
      </c>
      <c r="AT152" s="53">
        <f t="shared" si="87"/>
        <v>460480.75</v>
      </c>
      <c r="AU152" s="53"/>
      <c r="AV152" s="59">
        <f t="shared" si="74"/>
        <v>-28.36083005138731</v>
      </c>
      <c r="AW152" s="59">
        <f t="shared" si="80"/>
        <v>15.911792598577911</v>
      </c>
      <c r="AZ152" s="53">
        <f t="shared" si="88"/>
        <v>320.99299999999999</v>
      </c>
      <c r="BA152" s="53">
        <f t="shared" si="89"/>
        <v>13.324</v>
      </c>
      <c r="BB152" s="53">
        <f t="shared" si="90"/>
        <v>48.106999999999999</v>
      </c>
      <c r="BC152" s="53">
        <f t="shared" si="91"/>
        <v>4.3</v>
      </c>
      <c r="BD152" s="53">
        <f t="shared" si="92"/>
        <v>386.72399999999999</v>
      </c>
      <c r="BE152" s="60">
        <f t="shared" si="66"/>
        <v>17515.184999999998</v>
      </c>
      <c r="BF152" s="60">
        <f t="shared" si="67"/>
        <v>1354.258</v>
      </c>
      <c r="BG152" s="60">
        <f t="shared" si="68"/>
        <v>4769.1869999999999</v>
      </c>
      <c r="BH152" s="60">
        <f t="shared" si="69"/>
        <v>512.12600000000009</v>
      </c>
      <c r="BI152" s="60">
        <f t="shared" si="70"/>
        <v>24150.755999999998</v>
      </c>
      <c r="BJ152" s="1">
        <v>38</v>
      </c>
    </row>
    <row r="153" spans="1:62" x14ac:dyDescent="0.3">
      <c r="A153" s="48">
        <v>38626</v>
      </c>
      <c r="B153" s="56">
        <v>167592</v>
      </c>
      <c r="C153" s="56">
        <v>103053</v>
      </c>
      <c r="D153" s="56">
        <v>0</v>
      </c>
      <c r="E153" s="53">
        <f t="shared" si="61"/>
        <v>270645</v>
      </c>
      <c r="F153" s="53">
        <f t="shared" si="81"/>
        <v>301618.75</v>
      </c>
      <c r="G153" s="53"/>
      <c r="H153" s="59">
        <f t="shared" si="75"/>
        <v>-32.413770714506896</v>
      </c>
      <c r="I153" s="59">
        <f t="shared" si="76"/>
        <v>-7.9328922567401534</v>
      </c>
      <c r="L153" s="53">
        <v>3170</v>
      </c>
      <c r="M153" s="53">
        <v>8971</v>
      </c>
      <c r="N153" s="53">
        <v>11200</v>
      </c>
      <c r="O153" s="53">
        <f t="shared" si="62"/>
        <v>23341</v>
      </c>
      <c r="P153" s="53">
        <f t="shared" si="82"/>
        <v>39469.5</v>
      </c>
      <c r="Q153" s="53"/>
      <c r="R153" s="59">
        <f t="shared" si="71"/>
        <v>-70.573625819465462</v>
      </c>
      <c r="S153" s="59">
        <f t="shared" si="77"/>
        <v>-23.571300630781966</v>
      </c>
      <c r="V153" s="56">
        <v>15661</v>
      </c>
      <c r="W153" s="56">
        <v>4500</v>
      </c>
      <c r="X153" s="56">
        <v>7000</v>
      </c>
      <c r="Y153" s="53">
        <f t="shared" si="63"/>
        <v>27161</v>
      </c>
      <c r="Z153" s="53">
        <f t="shared" si="83"/>
        <v>38611.75</v>
      </c>
      <c r="AA153" s="53"/>
      <c r="AB153" s="59">
        <f t="shared" si="72"/>
        <v>-76.148827243429324</v>
      </c>
      <c r="AC153" s="59">
        <f t="shared" si="73"/>
        <v>-26.538115781412763</v>
      </c>
      <c r="AF153" s="56">
        <v>1414</v>
      </c>
      <c r="AG153" s="56">
        <v>3000</v>
      </c>
      <c r="AH153" s="56">
        <v>19650</v>
      </c>
      <c r="AI153" s="53">
        <f t="shared" si="64"/>
        <v>24064</v>
      </c>
      <c r="AJ153" s="53">
        <f t="shared" si="85"/>
        <v>13566</v>
      </c>
      <c r="AK153" s="53"/>
      <c r="AL153" s="59">
        <f t="shared" si="78"/>
        <v>33.688888888888883</v>
      </c>
      <c r="AM153" s="59">
        <f t="shared" si="79"/>
        <v>-0.90034150884817921</v>
      </c>
      <c r="AP153" s="53">
        <f t="shared" si="86"/>
        <v>187837</v>
      </c>
      <c r="AQ153" s="53">
        <f t="shared" si="86"/>
        <v>119524</v>
      </c>
      <c r="AR153" s="53">
        <f t="shared" si="86"/>
        <v>37850</v>
      </c>
      <c r="AS153" s="53">
        <f t="shared" si="84"/>
        <v>345211</v>
      </c>
      <c r="AT153" s="53">
        <f t="shared" si="87"/>
        <v>393266</v>
      </c>
      <c r="AU153" s="53"/>
      <c r="AV153" s="59">
        <f t="shared" si="74"/>
        <v>-43.559865999826698</v>
      </c>
      <c r="AW153" s="59">
        <f t="shared" si="80"/>
        <v>-11.724654979778304</v>
      </c>
      <c r="AZ153" s="53">
        <f t="shared" si="88"/>
        <v>270.64499999999998</v>
      </c>
      <c r="BA153" s="53">
        <f t="shared" si="89"/>
        <v>23.341000000000001</v>
      </c>
      <c r="BB153" s="53">
        <f t="shared" si="90"/>
        <v>27.161000000000001</v>
      </c>
      <c r="BC153" s="53">
        <f t="shared" si="91"/>
        <v>24.064</v>
      </c>
      <c r="BD153" s="53">
        <f t="shared" si="92"/>
        <v>345.21100000000001</v>
      </c>
      <c r="BE153" s="60">
        <f t="shared" si="66"/>
        <v>17785.829999999998</v>
      </c>
      <c r="BF153" s="60">
        <f t="shared" si="67"/>
        <v>1377.5989999999999</v>
      </c>
      <c r="BG153" s="60">
        <f t="shared" si="68"/>
        <v>4796.348</v>
      </c>
      <c r="BH153" s="60">
        <f t="shared" si="69"/>
        <v>536.19000000000005</v>
      </c>
      <c r="BI153" s="60">
        <f t="shared" si="70"/>
        <v>24495.966999999997</v>
      </c>
      <c r="BJ153" s="1">
        <v>39</v>
      </c>
    </row>
    <row r="154" spans="1:62" x14ac:dyDescent="0.3">
      <c r="A154" s="48">
        <v>38633</v>
      </c>
      <c r="B154" s="56">
        <v>236885</v>
      </c>
      <c r="C154" s="56">
        <v>102300</v>
      </c>
      <c r="D154" s="56">
        <v>0</v>
      </c>
      <c r="E154" s="53">
        <f t="shared" si="61"/>
        <v>339185</v>
      </c>
      <c r="F154" s="53">
        <f t="shared" si="81"/>
        <v>286634.5</v>
      </c>
      <c r="G154" s="53"/>
      <c r="H154" s="59">
        <f t="shared" si="75"/>
        <v>-38.326635998327184</v>
      </c>
      <c r="I154" s="59">
        <f t="shared" si="76"/>
        <v>-28.931598077962516</v>
      </c>
      <c r="L154" s="53">
        <v>7641</v>
      </c>
      <c r="M154" s="53">
        <v>1500</v>
      </c>
      <c r="N154" s="53">
        <v>2800</v>
      </c>
      <c r="O154" s="53">
        <f t="shared" si="62"/>
        <v>11941</v>
      </c>
      <c r="P154" s="53">
        <f t="shared" si="82"/>
        <v>28299.75</v>
      </c>
      <c r="Q154" s="53"/>
      <c r="R154" s="59">
        <f t="shared" si="71"/>
        <v>-65.58789625360231</v>
      </c>
      <c r="S154" s="59">
        <f t="shared" si="77"/>
        <v>-44.238044570550336</v>
      </c>
      <c r="V154" s="56">
        <v>67237</v>
      </c>
      <c r="W154" s="56">
        <v>15000</v>
      </c>
      <c r="X154" s="56">
        <v>10000</v>
      </c>
      <c r="Y154" s="53">
        <f t="shared" si="63"/>
        <v>92237</v>
      </c>
      <c r="Z154" s="53">
        <f t="shared" si="83"/>
        <v>49417.25</v>
      </c>
      <c r="AA154" s="53"/>
      <c r="AB154" s="59">
        <f t="shared" si="72"/>
        <v>-67.406844643898296</v>
      </c>
      <c r="AC154" s="59">
        <f t="shared" si="73"/>
        <v>-58.440769334275245</v>
      </c>
      <c r="AF154" s="56">
        <v>3055</v>
      </c>
      <c r="AG154" s="56">
        <v>0</v>
      </c>
      <c r="AH154" s="56">
        <v>7000</v>
      </c>
      <c r="AI154" s="53">
        <f t="shared" si="64"/>
        <v>10055</v>
      </c>
      <c r="AJ154" s="53">
        <f t="shared" si="85"/>
        <v>13429.75</v>
      </c>
      <c r="AK154" s="53"/>
      <c r="AL154" s="59">
        <f t="shared" si="78"/>
        <v>-63.132035346313195</v>
      </c>
      <c r="AM154" s="59">
        <f t="shared" si="79"/>
        <v>-26.543142349241077</v>
      </c>
      <c r="AP154" s="53">
        <f t="shared" si="86"/>
        <v>314818</v>
      </c>
      <c r="AQ154" s="53">
        <f t="shared" si="86"/>
        <v>118800</v>
      </c>
      <c r="AR154" s="53">
        <f t="shared" si="86"/>
        <v>19800</v>
      </c>
      <c r="AS154" s="53">
        <f t="shared" si="84"/>
        <v>453418</v>
      </c>
      <c r="AT154" s="53">
        <f t="shared" si="87"/>
        <v>377781.25</v>
      </c>
      <c r="AU154" s="53"/>
      <c r="AV154" s="59">
        <f t="shared" si="74"/>
        <v>-49.335261213625969</v>
      </c>
      <c r="AW154" s="59">
        <f t="shared" si="80"/>
        <v>-36.106110050764173</v>
      </c>
      <c r="AZ154" s="53">
        <f t="shared" si="88"/>
        <v>339.185</v>
      </c>
      <c r="BA154" s="53">
        <f t="shared" si="89"/>
        <v>11.941000000000001</v>
      </c>
      <c r="BB154" s="53">
        <f t="shared" si="90"/>
        <v>92.236999999999995</v>
      </c>
      <c r="BC154" s="53">
        <f t="shared" si="91"/>
        <v>10.055</v>
      </c>
      <c r="BD154" s="53">
        <f t="shared" si="92"/>
        <v>453.41800000000001</v>
      </c>
      <c r="BE154" s="60">
        <f t="shared" si="66"/>
        <v>18125.014999999999</v>
      </c>
      <c r="BF154" s="60">
        <f t="shared" si="67"/>
        <v>1389.54</v>
      </c>
      <c r="BG154" s="60">
        <f t="shared" si="68"/>
        <v>4888.585</v>
      </c>
      <c r="BH154" s="60">
        <f t="shared" si="69"/>
        <v>546.245</v>
      </c>
      <c r="BI154" s="60">
        <f t="shared" si="70"/>
        <v>24949.384999999998</v>
      </c>
      <c r="BJ154" s="1">
        <v>40</v>
      </c>
    </row>
    <row r="155" spans="1:62" x14ac:dyDescent="0.3">
      <c r="A155" s="48">
        <v>38640</v>
      </c>
      <c r="B155" s="56">
        <v>234594</v>
      </c>
      <c r="C155" s="56">
        <v>82500</v>
      </c>
      <c r="D155" s="56">
        <v>0</v>
      </c>
      <c r="E155" s="53">
        <f t="shared" si="61"/>
        <v>317094</v>
      </c>
      <c r="F155" s="53">
        <f t="shared" si="81"/>
        <v>311979.25</v>
      </c>
      <c r="G155" s="53"/>
      <c r="H155" s="59">
        <f t="shared" si="75"/>
        <v>-34.902598402404394</v>
      </c>
      <c r="I155" s="59">
        <f t="shared" si="76"/>
        <v>-32.405453422743179</v>
      </c>
      <c r="L155" s="53">
        <v>4735</v>
      </c>
      <c r="M155" s="53">
        <v>13500</v>
      </c>
      <c r="N155" s="53">
        <v>25200</v>
      </c>
      <c r="O155" s="53">
        <f t="shared" si="62"/>
        <v>43435</v>
      </c>
      <c r="P155" s="53">
        <f t="shared" si="82"/>
        <v>23010.25</v>
      </c>
      <c r="Q155" s="53"/>
      <c r="R155" s="59">
        <f t="shared" si="71"/>
        <v>7.0539521356567159</v>
      </c>
      <c r="S155" s="59">
        <f t="shared" si="77"/>
        <v>-57.849544107747185</v>
      </c>
      <c r="V155" s="56">
        <v>176601</v>
      </c>
      <c r="W155" s="56">
        <v>43300</v>
      </c>
      <c r="X155" s="56">
        <v>22800</v>
      </c>
      <c r="Y155" s="53">
        <f t="shared" si="63"/>
        <v>242701</v>
      </c>
      <c r="Z155" s="53">
        <f t="shared" si="83"/>
        <v>102551.5</v>
      </c>
      <c r="AA155" s="53"/>
      <c r="AB155" s="59">
        <f t="shared" si="72"/>
        <v>1.6885168286050689</v>
      </c>
      <c r="AC155" s="59">
        <f t="shared" si="73"/>
        <v>-40.489741086285711</v>
      </c>
      <c r="AF155" s="56">
        <v>3100</v>
      </c>
      <c r="AG155" s="56">
        <v>0</v>
      </c>
      <c r="AH155" s="56">
        <v>12350</v>
      </c>
      <c r="AI155" s="53">
        <f t="shared" si="64"/>
        <v>15450</v>
      </c>
      <c r="AJ155" s="53">
        <f t="shared" si="85"/>
        <v>13467.25</v>
      </c>
      <c r="AK155" s="53"/>
      <c r="AL155" s="59">
        <f t="shared" si="78"/>
        <v>-15.109890109890111</v>
      </c>
      <c r="AM155" s="59">
        <f t="shared" si="79"/>
        <v>-30.136435556247243</v>
      </c>
      <c r="AP155" s="53">
        <f t="shared" si="86"/>
        <v>419030</v>
      </c>
      <c r="AQ155" s="53">
        <f t="shared" si="86"/>
        <v>139300</v>
      </c>
      <c r="AR155" s="53">
        <f t="shared" si="86"/>
        <v>60350</v>
      </c>
      <c r="AS155" s="53">
        <f t="shared" si="84"/>
        <v>618680</v>
      </c>
      <c r="AT155" s="53">
        <f t="shared" si="87"/>
        <v>451008.25</v>
      </c>
      <c r="AU155" s="53"/>
      <c r="AV155" s="59">
        <f t="shared" si="74"/>
        <v>-21.14215646911418</v>
      </c>
      <c r="AW155" s="59">
        <f t="shared" si="80"/>
        <v>-36.274687808200213</v>
      </c>
      <c r="AZ155" s="53">
        <f t="shared" si="88"/>
        <v>317.09399999999999</v>
      </c>
      <c r="BA155" s="53">
        <f t="shared" si="89"/>
        <v>43.435000000000002</v>
      </c>
      <c r="BB155" s="53">
        <f t="shared" si="90"/>
        <v>242.70099999999999</v>
      </c>
      <c r="BC155" s="53">
        <f t="shared" si="91"/>
        <v>15.45</v>
      </c>
      <c r="BD155" s="53">
        <f t="shared" si="92"/>
        <v>618.67999999999995</v>
      </c>
      <c r="BE155" s="60">
        <f t="shared" si="66"/>
        <v>18442.109</v>
      </c>
      <c r="BF155" s="60">
        <f t="shared" si="67"/>
        <v>1432.9749999999999</v>
      </c>
      <c r="BG155" s="60">
        <f t="shared" si="68"/>
        <v>5131.2860000000001</v>
      </c>
      <c r="BH155" s="60">
        <f t="shared" si="69"/>
        <v>561.69500000000005</v>
      </c>
      <c r="BI155" s="60">
        <f t="shared" si="70"/>
        <v>25568.064999999999</v>
      </c>
      <c r="BJ155" s="1">
        <v>41</v>
      </c>
    </row>
    <row r="156" spans="1:62" x14ac:dyDescent="0.3">
      <c r="A156" s="49">
        <v>38647</v>
      </c>
      <c r="B156" s="56">
        <v>244553</v>
      </c>
      <c r="C156" s="56">
        <v>43849</v>
      </c>
      <c r="D156" s="56">
        <v>0</v>
      </c>
      <c r="E156" s="53">
        <f t="shared" si="61"/>
        <v>288402</v>
      </c>
      <c r="F156" s="53">
        <f t="shared" si="81"/>
        <v>303831.5</v>
      </c>
      <c r="G156" s="53"/>
      <c r="H156" s="59">
        <f t="shared" si="75"/>
        <v>-34.064170389439361</v>
      </c>
      <c r="I156" s="59">
        <f t="shared" si="76"/>
        <v>-35.179813101259306</v>
      </c>
      <c r="L156" s="53">
        <v>3000</v>
      </c>
      <c r="M156" s="53">
        <v>0</v>
      </c>
      <c r="N156" s="53">
        <v>7000</v>
      </c>
      <c r="O156" s="53">
        <f t="shared" si="62"/>
        <v>10000</v>
      </c>
      <c r="P156" s="53">
        <f t="shared" si="82"/>
        <v>22179.25</v>
      </c>
      <c r="Q156" s="53"/>
      <c r="R156" s="59">
        <f t="shared" si="71"/>
        <v>-58.981090282620286</v>
      </c>
      <c r="S156" s="59">
        <f t="shared" si="77"/>
        <v>-50.429676150459294</v>
      </c>
      <c r="V156" s="56">
        <v>234864</v>
      </c>
      <c r="W156" s="56">
        <v>41929</v>
      </c>
      <c r="X156" s="56">
        <v>22700</v>
      </c>
      <c r="Y156" s="53">
        <f t="shared" si="63"/>
        <v>299493</v>
      </c>
      <c r="Z156" s="53">
        <f t="shared" si="83"/>
        <v>165398</v>
      </c>
      <c r="AA156" s="53"/>
      <c r="AB156" s="59">
        <f t="shared" si="72"/>
        <v>4.6073726344908472</v>
      </c>
      <c r="AC156" s="59">
        <f t="shared" si="73"/>
        <v>-28.231752626526152</v>
      </c>
      <c r="AF156" s="56">
        <v>0</v>
      </c>
      <c r="AG156" s="56">
        <v>12000</v>
      </c>
      <c r="AH156" s="56">
        <v>7100</v>
      </c>
      <c r="AI156" s="53">
        <f t="shared" si="64"/>
        <v>19100</v>
      </c>
      <c r="AJ156" s="53">
        <f t="shared" si="85"/>
        <v>17167.25</v>
      </c>
      <c r="AK156" s="53"/>
      <c r="AL156" s="59">
        <f t="shared" si="78"/>
        <v>-11.017936175168874</v>
      </c>
      <c r="AM156" s="59">
        <f t="shared" si="79"/>
        <v>-19.153971131884429</v>
      </c>
      <c r="AP156" s="53">
        <f t="shared" si="86"/>
        <v>482417</v>
      </c>
      <c r="AQ156" s="53">
        <f t="shared" si="86"/>
        <v>97778</v>
      </c>
      <c r="AR156" s="53">
        <f t="shared" si="86"/>
        <v>36800</v>
      </c>
      <c r="AS156" s="53">
        <f t="shared" si="84"/>
        <v>616995</v>
      </c>
      <c r="AT156" s="53">
        <f t="shared" si="87"/>
        <v>508576</v>
      </c>
      <c r="AU156" s="53"/>
      <c r="AV156" s="59">
        <f t="shared" si="74"/>
        <v>-19.823297953073503</v>
      </c>
      <c r="AW156" s="59">
        <f t="shared" si="80"/>
        <v>-33.53411699514551</v>
      </c>
      <c r="AZ156" s="53">
        <f t="shared" si="88"/>
        <v>288.40199999999999</v>
      </c>
      <c r="BA156" s="53">
        <f t="shared" si="89"/>
        <v>10</v>
      </c>
      <c r="BB156" s="53">
        <f t="shared" si="90"/>
        <v>299.49299999999999</v>
      </c>
      <c r="BC156" s="53">
        <f t="shared" si="91"/>
        <v>19.100000000000001</v>
      </c>
      <c r="BD156" s="53">
        <f t="shared" si="92"/>
        <v>616.995</v>
      </c>
      <c r="BE156" s="60">
        <f t="shared" si="66"/>
        <v>18730.510999999999</v>
      </c>
      <c r="BF156" s="60">
        <f t="shared" si="67"/>
        <v>1442.9749999999999</v>
      </c>
      <c r="BG156" s="60">
        <f t="shared" si="68"/>
        <v>5430.7790000000005</v>
      </c>
      <c r="BH156" s="60">
        <f t="shared" si="69"/>
        <v>580.79500000000007</v>
      </c>
      <c r="BI156" s="60">
        <f t="shared" si="70"/>
        <v>26185.059999999998</v>
      </c>
      <c r="BJ156" s="1">
        <v>42</v>
      </c>
    </row>
    <row r="157" spans="1:62" x14ac:dyDescent="0.3">
      <c r="A157" s="49">
        <v>38654</v>
      </c>
      <c r="B157" s="56">
        <v>212468</v>
      </c>
      <c r="C157" s="56">
        <v>62592</v>
      </c>
      <c r="D157" s="56">
        <v>0</v>
      </c>
      <c r="E157" s="53">
        <f t="shared" si="61"/>
        <v>275060</v>
      </c>
      <c r="F157" s="53">
        <f t="shared" si="81"/>
        <v>304935.25</v>
      </c>
      <c r="G157" s="53"/>
      <c r="H157" s="59">
        <f t="shared" si="75"/>
        <v>-35.329910092916528</v>
      </c>
      <c r="I157" s="59">
        <f t="shared" si="76"/>
        <v>-35.796448368594</v>
      </c>
      <c r="L157" s="53">
        <v>1500</v>
      </c>
      <c r="M157" s="53">
        <v>1400</v>
      </c>
      <c r="N157" s="53">
        <v>4200</v>
      </c>
      <c r="O157" s="53">
        <f t="shared" si="62"/>
        <v>7100</v>
      </c>
      <c r="P157" s="53">
        <f t="shared" si="82"/>
        <v>18119</v>
      </c>
      <c r="Q157" s="53"/>
      <c r="R157" s="59">
        <f t="shared" si="71"/>
        <v>-72.970915181970454</v>
      </c>
      <c r="S157" s="59">
        <f t="shared" si="77"/>
        <v>-42.442820838627703</v>
      </c>
      <c r="V157" s="56">
        <v>160547</v>
      </c>
      <c r="W157" s="56">
        <v>44363</v>
      </c>
      <c r="X157" s="56">
        <v>31500</v>
      </c>
      <c r="Y157" s="53">
        <f t="shared" si="63"/>
        <v>236410</v>
      </c>
      <c r="Z157" s="53">
        <f t="shared" si="83"/>
        <v>217710.25</v>
      </c>
      <c r="AA157" s="53"/>
      <c r="AB157" s="59">
        <f t="shared" si="72"/>
        <v>42.115166124640055</v>
      </c>
      <c r="AC157" s="59">
        <f t="shared" si="73"/>
        <v>-10.620546248200025</v>
      </c>
      <c r="AF157" s="56">
        <v>0</v>
      </c>
      <c r="AG157" s="56">
        <v>12500</v>
      </c>
      <c r="AH157" s="56">
        <v>1500</v>
      </c>
      <c r="AI157" s="53">
        <f t="shared" si="64"/>
        <v>14000</v>
      </c>
      <c r="AJ157" s="53">
        <f t="shared" si="85"/>
        <v>14651.25</v>
      </c>
      <c r="AK157" s="53"/>
      <c r="AL157" s="59">
        <f t="shared" si="78"/>
        <v>81.253236664940445</v>
      </c>
      <c r="AM157" s="59">
        <f t="shared" si="79"/>
        <v>-21.50625485521417</v>
      </c>
      <c r="AP157" s="53">
        <f t="shared" si="86"/>
        <v>374515</v>
      </c>
      <c r="AQ157" s="53">
        <f t="shared" si="86"/>
        <v>120855</v>
      </c>
      <c r="AR157" s="53">
        <f t="shared" si="86"/>
        <v>37200</v>
      </c>
      <c r="AS157" s="53">
        <f t="shared" si="84"/>
        <v>532570</v>
      </c>
      <c r="AT157" s="53">
        <f t="shared" si="87"/>
        <v>555415.75</v>
      </c>
      <c r="AU157" s="53"/>
      <c r="AV157" s="59">
        <f t="shared" si="74"/>
        <v>-14.880184633777171</v>
      </c>
      <c r="AW157" s="59">
        <f t="shared" si="80"/>
        <v>-27.743841358387666</v>
      </c>
      <c r="AZ157" s="53">
        <f t="shared" si="88"/>
        <v>275.06</v>
      </c>
      <c r="BA157" s="53">
        <f t="shared" si="89"/>
        <v>7.1</v>
      </c>
      <c r="BB157" s="53">
        <f t="shared" si="90"/>
        <v>236.41</v>
      </c>
      <c r="BC157" s="53">
        <f t="shared" si="91"/>
        <v>14</v>
      </c>
      <c r="BD157" s="53">
        <f t="shared" si="92"/>
        <v>532.57000000000005</v>
      </c>
      <c r="BE157" s="60">
        <f t="shared" si="66"/>
        <v>19005.571</v>
      </c>
      <c r="BF157" s="60">
        <f t="shared" si="67"/>
        <v>1450.0749999999998</v>
      </c>
      <c r="BG157" s="60">
        <f t="shared" si="68"/>
        <v>5667.1890000000003</v>
      </c>
      <c r="BH157" s="60">
        <f t="shared" si="69"/>
        <v>594.79500000000007</v>
      </c>
      <c r="BI157" s="60">
        <f t="shared" si="70"/>
        <v>26717.629999999997</v>
      </c>
      <c r="BJ157" s="1">
        <v>43</v>
      </c>
    </row>
    <row r="158" spans="1:62" x14ac:dyDescent="0.3">
      <c r="A158" s="48">
        <v>38661</v>
      </c>
      <c r="B158" s="56">
        <v>373723</v>
      </c>
      <c r="C158" s="56">
        <v>73130</v>
      </c>
      <c r="D158" s="56">
        <v>0</v>
      </c>
      <c r="E158" s="53">
        <f t="shared" si="61"/>
        <v>446853</v>
      </c>
      <c r="F158" s="53">
        <f t="shared" si="81"/>
        <v>331852.25</v>
      </c>
      <c r="G158" s="53"/>
      <c r="H158" s="59">
        <f t="shared" si="75"/>
        <v>-16.767466421295161</v>
      </c>
      <c r="I158" s="59">
        <f t="shared" si="76"/>
        <v>-29.644099292629591</v>
      </c>
      <c r="L158" s="53">
        <v>4670</v>
      </c>
      <c r="M158" s="53">
        <v>1500</v>
      </c>
      <c r="N158" s="53">
        <v>24000</v>
      </c>
      <c r="O158" s="53">
        <f t="shared" si="62"/>
        <v>30170</v>
      </c>
      <c r="P158" s="53">
        <f t="shared" si="82"/>
        <v>22676.25</v>
      </c>
      <c r="Q158" s="53"/>
      <c r="R158" s="59">
        <f t="shared" si="71"/>
        <v>65.188348664038557</v>
      </c>
      <c r="S158" s="59">
        <f t="shared" si="77"/>
        <v>-17.152277958423145</v>
      </c>
      <c r="V158" s="56">
        <v>104763</v>
      </c>
      <c r="W158" s="56">
        <v>44400</v>
      </c>
      <c r="X158" s="56">
        <v>30900</v>
      </c>
      <c r="Y158" s="53">
        <f t="shared" si="63"/>
        <v>180063</v>
      </c>
      <c r="Z158" s="53">
        <f t="shared" si="83"/>
        <v>239666.75</v>
      </c>
      <c r="AA158" s="53"/>
      <c r="AB158" s="59">
        <f t="shared" si="72"/>
        <v>-39.51487749329857</v>
      </c>
      <c r="AC158" s="59">
        <f t="shared" si="73"/>
        <v>-3.0691936074222825</v>
      </c>
      <c r="AF158" s="56">
        <v>1624</v>
      </c>
      <c r="AG158" s="56">
        <v>0</v>
      </c>
      <c r="AH158" s="56">
        <v>7400</v>
      </c>
      <c r="AI158" s="53">
        <f t="shared" si="64"/>
        <v>9024</v>
      </c>
      <c r="AJ158" s="53">
        <f t="shared" si="85"/>
        <v>14393.5</v>
      </c>
      <c r="AK158" s="53"/>
      <c r="AL158" s="59">
        <f t="shared" si="78"/>
        <v>184.22047244094486</v>
      </c>
      <c r="AM158" s="59">
        <f t="shared" si="79"/>
        <v>13.863618384621468</v>
      </c>
      <c r="AP158" s="53">
        <f t="shared" si="86"/>
        <v>484780</v>
      </c>
      <c r="AQ158" s="53">
        <f t="shared" si="86"/>
        <v>119030</v>
      </c>
      <c r="AR158" s="53">
        <f t="shared" si="86"/>
        <v>62300</v>
      </c>
      <c r="AS158" s="53">
        <f t="shared" si="84"/>
        <v>666110</v>
      </c>
      <c r="AT158" s="53">
        <f t="shared" si="87"/>
        <v>608588.75</v>
      </c>
      <c r="AU158" s="53"/>
      <c r="AV158" s="59">
        <f t="shared" si="74"/>
        <v>-22.184320276632285</v>
      </c>
      <c r="AW158" s="59">
        <f t="shared" si="80"/>
        <v>-19.811112545853181</v>
      </c>
      <c r="AZ158" s="53">
        <f t="shared" si="88"/>
        <v>446.85300000000001</v>
      </c>
      <c r="BA158" s="53">
        <f t="shared" si="89"/>
        <v>30.17</v>
      </c>
      <c r="BB158" s="53">
        <f t="shared" si="90"/>
        <v>180.06299999999999</v>
      </c>
      <c r="BC158" s="53">
        <f t="shared" si="91"/>
        <v>9.0239999999999991</v>
      </c>
      <c r="BD158" s="53">
        <f t="shared" si="92"/>
        <v>666.11</v>
      </c>
      <c r="BE158" s="60">
        <f t="shared" si="66"/>
        <v>19452.423999999999</v>
      </c>
      <c r="BF158" s="60">
        <f t="shared" si="67"/>
        <v>1480.2449999999999</v>
      </c>
      <c r="BG158" s="60">
        <f t="shared" si="68"/>
        <v>5847.2520000000004</v>
      </c>
      <c r="BH158" s="60">
        <f t="shared" si="69"/>
        <v>603.81900000000007</v>
      </c>
      <c r="BI158" s="60">
        <f t="shared" si="70"/>
        <v>27383.739999999998</v>
      </c>
      <c r="BJ158" s="1">
        <v>44</v>
      </c>
    </row>
    <row r="159" spans="1:62" x14ac:dyDescent="0.3">
      <c r="A159" s="48">
        <v>38668</v>
      </c>
      <c r="B159" s="56">
        <v>434435</v>
      </c>
      <c r="C159" s="56">
        <v>80651</v>
      </c>
      <c r="D159" s="56">
        <v>0</v>
      </c>
      <c r="E159" s="53">
        <f t="shared" si="61"/>
        <v>515086</v>
      </c>
      <c r="F159" s="53">
        <f t="shared" si="81"/>
        <v>381350.25</v>
      </c>
      <c r="G159" s="53"/>
      <c r="H159" s="59">
        <f t="shared" si="75"/>
        <v>-8.8101265822784764</v>
      </c>
      <c r="I159" s="59">
        <f t="shared" si="76"/>
        <v>-22.34967667778599</v>
      </c>
      <c r="L159" s="53">
        <v>3124</v>
      </c>
      <c r="M159" s="53">
        <v>4500</v>
      </c>
      <c r="N159" s="53">
        <v>0</v>
      </c>
      <c r="O159" s="53">
        <f t="shared" si="62"/>
        <v>7624</v>
      </c>
      <c r="P159" s="53">
        <f t="shared" si="82"/>
        <v>13723.5</v>
      </c>
      <c r="Q159" s="53"/>
      <c r="R159" s="59">
        <f t="shared" si="71"/>
        <v>-75.044189852700498</v>
      </c>
      <c r="S159" s="59">
        <f t="shared" si="77"/>
        <v>-44.80851791154322</v>
      </c>
      <c r="V159" s="56">
        <v>121439</v>
      </c>
      <c r="W159" s="56">
        <v>40782</v>
      </c>
      <c r="X159" s="56">
        <v>24400</v>
      </c>
      <c r="Y159" s="53">
        <f t="shared" si="63"/>
        <v>186621</v>
      </c>
      <c r="Z159" s="53">
        <f t="shared" si="83"/>
        <v>225646.75</v>
      </c>
      <c r="AA159" s="53"/>
      <c r="AB159" s="59">
        <f t="shared" si="72"/>
        <v>-41.486379712544206</v>
      </c>
      <c r="AC159" s="59">
        <f t="shared" si="73"/>
        <v>-15.589827614101736</v>
      </c>
      <c r="AF159" s="56">
        <v>0</v>
      </c>
      <c r="AG159" s="56">
        <v>0</v>
      </c>
      <c r="AH159" s="56">
        <v>1500</v>
      </c>
      <c r="AI159" s="53">
        <f t="shared" si="64"/>
        <v>1500</v>
      </c>
      <c r="AJ159" s="53">
        <f t="shared" si="85"/>
        <v>10906</v>
      </c>
      <c r="AK159" s="53"/>
      <c r="AL159" s="59">
        <f t="shared" si="78"/>
        <v>-96.350364963503651</v>
      </c>
      <c r="AM159" s="59">
        <f t="shared" si="79"/>
        <v>-40.618534248067085</v>
      </c>
      <c r="AP159" s="53">
        <f t="shared" si="86"/>
        <v>558998</v>
      </c>
      <c r="AQ159" s="53">
        <f t="shared" si="86"/>
        <v>125933</v>
      </c>
      <c r="AR159" s="53">
        <f t="shared" si="86"/>
        <v>25900</v>
      </c>
      <c r="AS159" s="53">
        <f t="shared" si="84"/>
        <v>710831</v>
      </c>
      <c r="AT159" s="53">
        <f t="shared" si="87"/>
        <v>631626.5</v>
      </c>
      <c r="AU159" s="53"/>
      <c r="AV159" s="59">
        <f t="shared" si="74"/>
        <v>-25.601400826428979</v>
      </c>
      <c r="AW159" s="59">
        <f t="shared" si="80"/>
        <v>-21.210692368167383</v>
      </c>
      <c r="AZ159" s="53">
        <f t="shared" si="88"/>
        <v>515.08600000000001</v>
      </c>
      <c r="BA159" s="53">
        <f t="shared" si="89"/>
        <v>7.6239999999999997</v>
      </c>
      <c r="BB159" s="53">
        <f t="shared" si="90"/>
        <v>186.62100000000001</v>
      </c>
      <c r="BC159" s="53">
        <f t="shared" si="91"/>
        <v>1.5</v>
      </c>
      <c r="BD159" s="53">
        <f t="shared" si="92"/>
        <v>710.83100000000002</v>
      </c>
      <c r="BE159" s="60">
        <f t="shared" si="66"/>
        <v>19967.509999999998</v>
      </c>
      <c r="BF159" s="60">
        <f t="shared" si="67"/>
        <v>1487.8689999999999</v>
      </c>
      <c r="BG159" s="60">
        <f t="shared" si="68"/>
        <v>6033.8730000000005</v>
      </c>
      <c r="BH159" s="60">
        <f t="shared" si="69"/>
        <v>605.31900000000007</v>
      </c>
      <c r="BI159" s="60">
        <f t="shared" si="70"/>
        <v>28094.570999999996</v>
      </c>
      <c r="BJ159" s="1">
        <v>45</v>
      </c>
    </row>
    <row r="160" spans="1:62" x14ac:dyDescent="0.3">
      <c r="A160" s="48">
        <v>38675</v>
      </c>
      <c r="B160" s="56">
        <v>541915</v>
      </c>
      <c r="C160" s="56">
        <v>65928</v>
      </c>
      <c r="D160" s="56">
        <v>0</v>
      </c>
      <c r="E160" s="53">
        <f t="shared" si="61"/>
        <v>607843</v>
      </c>
      <c r="F160" s="53">
        <f t="shared" si="81"/>
        <v>461210.5</v>
      </c>
      <c r="G160" s="53"/>
      <c r="H160" s="59">
        <f t="shared" si="75"/>
        <v>14.309920075223314</v>
      </c>
      <c r="I160" s="59">
        <f t="shared" si="76"/>
        <v>-10.392408008350495</v>
      </c>
      <c r="L160" s="53">
        <v>0</v>
      </c>
      <c r="M160" s="53">
        <v>1500</v>
      </c>
      <c r="N160" s="53">
        <v>9900</v>
      </c>
      <c r="O160" s="53">
        <f t="shared" si="62"/>
        <v>11400</v>
      </c>
      <c r="P160" s="53">
        <f t="shared" si="82"/>
        <v>14073.5</v>
      </c>
      <c r="Q160" s="53"/>
      <c r="R160" s="59">
        <f t="shared" si="71"/>
        <v>-62.441933252067336</v>
      </c>
      <c r="S160" s="59">
        <f t="shared" si="77"/>
        <v>-46.607862664200695</v>
      </c>
      <c r="V160" s="56">
        <v>95707</v>
      </c>
      <c r="W160" s="56">
        <v>74479</v>
      </c>
      <c r="X160" s="56">
        <v>30700</v>
      </c>
      <c r="Y160" s="53">
        <f t="shared" si="63"/>
        <v>200886</v>
      </c>
      <c r="Z160" s="53">
        <f t="shared" si="83"/>
        <v>200995</v>
      </c>
      <c r="AA160" s="53"/>
      <c r="AB160" s="59">
        <f t="shared" si="72"/>
        <v>-56.109007566207048</v>
      </c>
      <c r="AC160" s="59">
        <f t="shared" si="73"/>
        <v>-35.198335103870626</v>
      </c>
      <c r="AF160" s="56">
        <v>0</v>
      </c>
      <c r="AG160" s="56">
        <v>0</v>
      </c>
      <c r="AH160" s="56">
        <v>11940</v>
      </c>
      <c r="AI160" s="53">
        <f t="shared" si="64"/>
        <v>11940</v>
      </c>
      <c r="AJ160" s="53">
        <f t="shared" si="85"/>
        <v>9116</v>
      </c>
      <c r="AK160" s="53"/>
      <c r="AL160" s="59">
        <f t="shared" si="78"/>
        <v>285.16129032258061</v>
      </c>
      <c r="AM160" s="59">
        <f t="shared" si="79"/>
        <v>-33.820940488938092</v>
      </c>
      <c r="AP160" s="53">
        <f t="shared" si="86"/>
        <v>637622</v>
      </c>
      <c r="AQ160" s="53">
        <f t="shared" si="86"/>
        <v>141907</v>
      </c>
      <c r="AR160" s="53">
        <f t="shared" si="86"/>
        <v>52540</v>
      </c>
      <c r="AS160" s="53">
        <f t="shared" si="84"/>
        <v>832069</v>
      </c>
      <c r="AT160" s="53">
        <f t="shared" si="87"/>
        <v>685395</v>
      </c>
      <c r="AU160" s="53"/>
      <c r="AV160" s="59">
        <f t="shared" si="74"/>
        <v>-18.655562246797331</v>
      </c>
      <c r="AW160" s="59">
        <f t="shared" si="80"/>
        <v>-20.763881522988491</v>
      </c>
      <c r="AZ160" s="53">
        <f t="shared" si="88"/>
        <v>607.84299999999996</v>
      </c>
      <c r="BA160" s="53">
        <f t="shared" si="89"/>
        <v>11.4</v>
      </c>
      <c r="BB160" s="53">
        <f t="shared" si="90"/>
        <v>200.886</v>
      </c>
      <c r="BC160" s="53">
        <f t="shared" si="91"/>
        <v>11.94</v>
      </c>
      <c r="BD160" s="53">
        <f t="shared" si="92"/>
        <v>832.06899999999996</v>
      </c>
      <c r="BE160" s="60">
        <f t="shared" si="66"/>
        <v>20575.352999999999</v>
      </c>
      <c r="BF160" s="60">
        <f t="shared" si="67"/>
        <v>1499.269</v>
      </c>
      <c r="BG160" s="60">
        <f t="shared" si="68"/>
        <v>6234.7590000000009</v>
      </c>
      <c r="BH160" s="60">
        <f t="shared" si="69"/>
        <v>617.25900000000013</v>
      </c>
      <c r="BI160" s="60">
        <f t="shared" si="70"/>
        <v>28926.639999999996</v>
      </c>
      <c r="BJ160" s="1">
        <v>46</v>
      </c>
    </row>
    <row r="161" spans="1:62" x14ac:dyDescent="0.3">
      <c r="A161" s="48">
        <v>38682</v>
      </c>
      <c r="B161" s="56">
        <v>566924</v>
      </c>
      <c r="C161" s="56">
        <v>65000</v>
      </c>
      <c r="D161" s="56">
        <v>0</v>
      </c>
      <c r="E161" s="53">
        <f t="shared" si="61"/>
        <v>631924</v>
      </c>
      <c r="F161" s="53">
        <f t="shared" si="81"/>
        <v>550426.5</v>
      </c>
      <c r="G161" s="53"/>
      <c r="H161" s="59">
        <f t="shared" si="75"/>
        <v>21.3346108281123</v>
      </c>
      <c r="I161" s="59">
        <f t="shared" si="76"/>
        <v>2.2012882238367837</v>
      </c>
      <c r="L161" s="53">
        <v>7780</v>
      </c>
      <c r="M161" s="53">
        <v>3000</v>
      </c>
      <c r="N161" s="53">
        <v>5600</v>
      </c>
      <c r="O161" s="53">
        <f t="shared" si="62"/>
        <v>16380</v>
      </c>
      <c r="P161" s="53">
        <f t="shared" si="82"/>
        <v>16393.5</v>
      </c>
      <c r="Q161" s="53"/>
      <c r="R161" s="59">
        <f t="shared" si="71"/>
        <v>0.50929618948272193</v>
      </c>
      <c r="S161" s="59">
        <f t="shared" si="77"/>
        <v>-31.310232129389092</v>
      </c>
      <c r="V161" s="56">
        <v>110116</v>
      </c>
      <c r="W161" s="56">
        <v>74395</v>
      </c>
      <c r="X161" s="56">
        <v>30800</v>
      </c>
      <c r="Y161" s="53">
        <f t="shared" si="63"/>
        <v>215311</v>
      </c>
      <c r="Z161" s="53">
        <f t="shared" si="83"/>
        <v>195720.25</v>
      </c>
      <c r="AA161" s="53"/>
      <c r="AB161" s="59">
        <f t="shared" si="72"/>
        <v>-34.476861136386461</v>
      </c>
      <c r="AC161" s="59">
        <f t="shared" si="73"/>
        <v>-44.196716871119726</v>
      </c>
      <c r="AF161" s="56">
        <v>0</v>
      </c>
      <c r="AG161" s="56">
        <v>1500</v>
      </c>
      <c r="AH161" s="56">
        <v>8600</v>
      </c>
      <c r="AI161" s="53">
        <f t="shared" si="64"/>
        <v>10100</v>
      </c>
      <c r="AJ161" s="53">
        <f t="shared" si="85"/>
        <v>8141</v>
      </c>
      <c r="AK161" s="53"/>
      <c r="AL161" s="59">
        <f t="shared" si="78"/>
        <v>573.33333333333337</v>
      </c>
      <c r="AM161" s="59">
        <f t="shared" si="79"/>
        <v>-33.372890025575451</v>
      </c>
      <c r="AP161" s="53">
        <f t="shared" si="86"/>
        <v>684820</v>
      </c>
      <c r="AQ161" s="53">
        <f t="shared" si="86"/>
        <v>143895</v>
      </c>
      <c r="AR161" s="53">
        <f t="shared" si="86"/>
        <v>45000</v>
      </c>
      <c r="AS161" s="53">
        <f t="shared" si="84"/>
        <v>873715</v>
      </c>
      <c r="AT161" s="53">
        <f t="shared" si="87"/>
        <v>770681.25</v>
      </c>
      <c r="AU161" s="53"/>
      <c r="AV161" s="59">
        <f t="shared" si="74"/>
        <v>0.7499904867442897</v>
      </c>
      <c r="AW161" s="59">
        <f t="shared" si="80"/>
        <v>-16.718064012591473</v>
      </c>
      <c r="AZ161" s="53">
        <f t="shared" si="88"/>
        <v>631.92399999999998</v>
      </c>
      <c r="BA161" s="53">
        <f t="shared" si="89"/>
        <v>16.38</v>
      </c>
      <c r="BB161" s="53">
        <f t="shared" si="90"/>
        <v>215.31100000000001</v>
      </c>
      <c r="BC161" s="53">
        <f t="shared" si="91"/>
        <v>10.1</v>
      </c>
      <c r="BD161" s="53">
        <f t="shared" si="92"/>
        <v>873.71500000000003</v>
      </c>
      <c r="BE161" s="60">
        <f t="shared" si="66"/>
        <v>21207.276999999998</v>
      </c>
      <c r="BF161" s="60">
        <f t="shared" si="67"/>
        <v>1515.6490000000001</v>
      </c>
      <c r="BG161" s="60">
        <f t="shared" si="68"/>
        <v>6450.0700000000006</v>
      </c>
      <c r="BH161" s="60">
        <f t="shared" si="69"/>
        <v>627.35900000000015</v>
      </c>
      <c r="BI161" s="60">
        <f t="shared" si="70"/>
        <v>29800.354999999996</v>
      </c>
      <c r="BJ161" s="1">
        <v>47</v>
      </c>
    </row>
    <row r="162" spans="1:62" x14ac:dyDescent="0.3">
      <c r="A162" s="49">
        <v>38689</v>
      </c>
      <c r="B162" s="56">
        <v>555609</v>
      </c>
      <c r="C162" s="56">
        <v>61866</v>
      </c>
      <c r="D162" s="56">
        <v>1400</v>
      </c>
      <c r="E162" s="53">
        <f t="shared" si="61"/>
        <v>618875</v>
      </c>
      <c r="F162" s="53">
        <f t="shared" si="81"/>
        <v>593432</v>
      </c>
      <c r="G162" s="53"/>
      <c r="H162" s="59">
        <f t="shared" si="75"/>
        <v>4.5190393114874272</v>
      </c>
      <c r="I162" s="59">
        <f t="shared" si="76"/>
        <v>7.4314514231093698</v>
      </c>
      <c r="L162" s="53">
        <v>1600</v>
      </c>
      <c r="M162" s="53">
        <v>4673</v>
      </c>
      <c r="N162" s="53">
        <v>16800</v>
      </c>
      <c r="O162" s="53">
        <f t="shared" si="62"/>
        <v>23073</v>
      </c>
      <c r="P162" s="53">
        <f t="shared" si="82"/>
        <v>14619.25</v>
      </c>
      <c r="Q162" s="53"/>
      <c r="R162" s="59">
        <f t="shared" si="71"/>
        <v>-16.098181818181821</v>
      </c>
      <c r="S162" s="59">
        <f t="shared" si="77"/>
        <v>-44.148042024832854</v>
      </c>
      <c r="V162" s="56">
        <v>78709</v>
      </c>
      <c r="W162" s="56">
        <v>51400</v>
      </c>
      <c r="X162" s="56">
        <v>21000</v>
      </c>
      <c r="Y162" s="53">
        <f t="shared" si="63"/>
        <v>151109</v>
      </c>
      <c r="Z162" s="53">
        <f t="shared" si="83"/>
        <v>188481.75</v>
      </c>
      <c r="AA162" s="53"/>
      <c r="AB162" s="59">
        <f t="shared" si="72"/>
        <v>-44.763036207117132</v>
      </c>
      <c r="AC162" s="59">
        <f t="shared" si="73"/>
        <v>-45.319941949395016</v>
      </c>
      <c r="AF162" s="56">
        <v>0</v>
      </c>
      <c r="AG162" s="56">
        <v>1500</v>
      </c>
      <c r="AH162" s="56">
        <v>9400</v>
      </c>
      <c r="AI162" s="53">
        <f t="shared" si="64"/>
        <v>10900</v>
      </c>
      <c r="AJ162" s="53">
        <f t="shared" si="85"/>
        <v>8610</v>
      </c>
      <c r="AK162" s="53"/>
      <c r="AL162" s="59">
        <f t="shared" si="78"/>
        <v>-72.051282051282044</v>
      </c>
      <c r="AM162" s="59">
        <f t="shared" si="79"/>
        <v>-59.338842975206617</v>
      </c>
      <c r="AP162" s="53">
        <f t="shared" si="86"/>
        <v>635918</v>
      </c>
      <c r="AQ162" s="53">
        <f t="shared" si="86"/>
        <v>119439</v>
      </c>
      <c r="AR162" s="53">
        <f t="shared" si="86"/>
        <v>48600</v>
      </c>
      <c r="AS162" s="53">
        <f t="shared" si="84"/>
        <v>803957</v>
      </c>
      <c r="AT162" s="53">
        <f t="shared" si="87"/>
        <v>805143</v>
      </c>
      <c r="AU162" s="53"/>
      <c r="AV162" s="59">
        <f t="shared" si="74"/>
        <v>-13.755361077557815</v>
      </c>
      <c r="AW162" s="59">
        <f t="shared" si="80"/>
        <v>-14.748373690514793</v>
      </c>
      <c r="AZ162" s="53">
        <f t="shared" si="88"/>
        <v>618.875</v>
      </c>
      <c r="BA162" s="53">
        <f t="shared" si="89"/>
        <v>23.073</v>
      </c>
      <c r="BB162" s="53">
        <f t="shared" si="90"/>
        <v>151.10900000000001</v>
      </c>
      <c r="BC162" s="53">
        <f t="shared" si="91"/>
        <v>10.9</v>
      </c>
      <c r="BD162" s="53">
        <f t="shared" si="92"/>
        <v>803.95699999999999</v>
      </c>
      <c r="BE162" s="60">
        <f t="shared" si="66"/>
        <v>21826.151999999998</v>
      </c>
      <c r="BF162" s="60">
        <f t="shared" si="67"/>
        <v>1538.7220000000002</v>
      </c>
      <c r="BG162" s="60">
        <f t="shared" si="68"/>
        <v>6601.179000000001</v>
      </c>
      <c r="BH162" s="60">
        <f t="shared" si="69"/>
        <v>638.25900000000013</v>
      </c>
      <c r="BI162" s="60">
        <f t="shared" si="70"/>
        <v>30604.311999999994</v>
      </c>
      <c r="BJ162" s="1">
        <v>48</v>
      </c>
    </row>
    <row r="163" spans="1:62" x14ac:dyDescent="0.3">
      <c r="A163" s="49">
        <v>38696</v>
      </c>
      <c r="B163" s="57">
        <v>509300</v>
      </c>
      <c r="C163" s="58">
        <v>48915</v>
      </c>
      <c r="D163" s="56">
        <v>0</v>
      </c>
      <c r="E163" s="53">
        <f t="shared" si="61"/>
        <v>558215</v>
      </c>
      <c r="F163" s="53">
        <f t="shared" si="81"/>
        <v>604214.25</v>
      </c>
      <c r="G163" s="53"/>
      <c r="H163" s="59">
        <f t="shared" si="75"/>
        <v>-26.787250674137265</v>
      </c>
      <c r="I163" s="59">
        <f t="shared" si="76"/>
        <v>0.40392433491447388</v>
      </c>
      <c r="L163" s="53">
        <v>3070</v>
      </c>
      <c r="M163" s="53">
        <v>5800</v>
      </c>
      <c r="N163" s="53">
        <v>4200</v>
      </c>
      <c r="O163" s="53">
        <f t="shared" si="62"/>
        <v>13070</v>
      </c>
      <c r="P163" s="53">
        <f t="shared" si="82"/>
        <v>15980.75</v>
      </c>
      <c r="Q163" s="53"/>
      <c r="R163" s="59">
        <f t="shared" si="71"/>
        <v>-74.865384615384613</v>
      </c>
      <c r="S163" s="59">
        <f t="shared" si="77"/>
        <v>-49.327784383670235</v>
      </c>
      <c r="V163" s="57">
        <v>120248</v>
      </c>
      <c r="W163" s="58">
        <v>45490</v>
      </c>
      <c r="X163" s="57">
        <v>7000</v>
      </c>
      <c r="Y163" s="53">
        <f t="shared" si="63"/>
        <v>172738</v>
      </c>
      <c r="Z163" s="53">
        <f t="shared" si="83"/>
        <v>185011</v>
      </c>
      <c r="AA163" s="53"/>
      <c r="AB163" s="59">
        <f t="shared" si="72"/>
        <v>-36.946118494778304</v>
      </c>
      <c r="AC163" s="59">
        <f t="shared" si="73"/>
        <v>-44.516701729026686</v>
      </c>
      <c r="AF163" s="57">
        <v>16780</v>
      </c>
      <c r="AG163" s="58">
        <v>1500</v>
      </c>
      <c r="AH163" s="57">
        <v>13000</v>
      </c>
      <c r="AI163" s="53">
        <f t="shared" si="64"/>
        <v>31280</v>
      </c>
      <c r="AJ163" s="53">
        <f t="shared" si="85"/>
        <v>16055</v>
      </c>
      <c r="AK163" s="53"/>
      <c r="AL163" s="59">
        <f t="shared" si="78"/>
        <v>7.7691645133505682</v>
      </c>
      <c r="AM163" s="59">
        <f t="shared" si="79"/>
        <v>-11.573149741824441</v>
      </c>
      <c r="AP163" s="53">
        <f t="shared" si="86"/>
        <v>649398</v>
      </c>
      <c r="AQ163" s="53">
        <f t="shared" si="86"/>
        <v>101705</v>
      </c>
      <c r="AR163" s="53">
        <f t="shared" si="86"/>
        <v>24200</v>
      </c>
      <c r="AS163" s="53">
        <f t="shared" si="84"/>
        <v>775303</v>
      </c>
      <c r="AT163" s="53">
        <f t="shared" si="87"/>
        <v>821261</v>
      </c>
      <c r="AU163" s="53"/>
      <c r="AV163" s="59">
        <f t="shared" si="74"/>
        <v>-30.617557726004396</v>
      </c>
      <c r="AW163" s="59">
        <f t="shared" si="80"/>
        <v>-16.617386552303294</v>
      </c>
      <c r="AZ163" s="53">
        <f t="shared" si="88"/>
        <v>558.21500000000003</v>
      </c>
      <c r="BA163" s="53">
        <f t="shared" si="89"/>
        <v>13.07</v>
      </c>
      <c r="BB163" s="53">
        <f t="shared" si="90"/>
        <v>172.738</v>
      </c>
      <c r="BC163" s="53">
        <f t="shared" si="91"/>
        <v>31.28</v>
      </c>
      <c r="BD163" s="53">
        <f t="shared" si="92"/>
        <v>775.303</v>
      </c>
      <c r="BE163" s="60">
        <f t="shared" si="66"/>
        <v>22384.366999999998</v>
      </c>
      <c r="BF163" s="60">
        <f t="shared" si="67"/>
        <v>1551.7920000000001</v>
      </c>
      <c r="BG163" s="60">
        <f t="shared" si="68"/>
        <v>6773.9170000000013</v>
      </c>
      <c r="BH163" s="60">
        <f t="shared" si="69"/>
        <v>669.5390000000001</v>
      </c>
      <c r="BI163" s="60">
        <f t="shared" si="70"/>
        <v>31379.614999999994</v>
      </c>
      <c r="BJ163" s="1">
        <v>49</v>
      </c>
    </row>
    <row r="164" spans="1:62" x14ac:dyDescent="0.3">
      <c r="A164" s="48">
        <v>38703</v>
      </c>
      <c r="B164" s="57">
        <v>435839</v>
      </c>
      <c r="C164" s="58">
        <v>71068</v>
      </c>
      <c r="D164" s="56">
        <v>0</v>
      </c>
      <c r="E164" s="53">
        <f t="shared" si="61"/>
        <v>506907</v>
      </c>
      <c r="F164" s="53">
        <f t="shared" si="81"/>
        <v>578980.25</v>
      </c>
      <c r="G164" s="53"/>
      <c r="H164" s="59">
        <f t="shared" si="75"/>
        <v>-23.258929787962003</v>
      </c>
      <c r="I164" s="59">
        <f t="shared" si="76"/>
        <v>-8.6755291755358783</v>
      </c>
      <c r="L164" s="53">
        <v>1500</v>
      </c>
      <c r="M164" s="53">
        <v>11600</v>
      </c>
      <c r="N164" s="53">
        <v>12800</v>
      </c>
      <c r="O164" s="53">
        <f t="shared" si="62"/>
        <v>25900</v>
      </c>
      <c r="P164" s="53">
        <f t="shared" si="82"/>
        <v>19605.75</v>
      </c>
      <c r="Q164" s="53"/>
      <c r="R164" s="59">
        <f t="shared" si="71"/>
        <v>-25.049195508739441</v>
      </c>
      <c r="S164" s="59">
        <f t="shared" si="77"/>
        <v>-39.837978412464615</v>
      </c>
      <c r="V164" s="57">
        <v>102760</v>
      </c>
      <c r="W164" s="58">
        <v>54772</v>
      </c>
      <c r="X164" s="57">
        <v>20100</v>
      </c>
      <c r="Y164" s="53">
        <f t="shared" si="63"/>
        <v>177632</v>
      </c>
      <c r="Z164" s="53">
        <f t="shared" si="83"/>
        <v>179197.5</v>
      </c>
      <c r="AA164" s="53"/>
      <c r="AB164" s="59">
        <f t="shared" si="72"/>
        <v>-30.190369892946411</v>
      </c>
      <c r="AC164" s="59">
        <f t="shared" si="73"/>
        <v>-36.599405788038453</v>
      </c>
      <c r="AF164" s="57">
        <v>9655</v>
      </c>
      <c r="AG164" s="56">
        <v>0</v>
      </c>
      <c r="AH164" s="57">
        <v>15500</v>
      </c>
      <c r="AI164" s="53">
        <f t="shared" si="64"/>
        <v>25155</v>
      </c>
      <c r="AJ164" s="53">
        <f t="shared" si="85"/>
        <v>19358.75</v>
      </c>
      <c r="AK164" s="53"/>
      <c r="AL164" s="59">
        <f t="shared" si="78"/>
        <v>-62.540765118460826</v>
      </c>
      <c r="AM164" s="59">
        <f t="shared" si="79"/>
        <v>-43.34494212675046</v>
      </c>
      <c r="AP164" s="53">
        <f t="shared" si="86"/>
        <v>549754</v>
      </c>
      <c r="AQ164" s="53">
        <f t="shared" si="86"/>
        <v>137440</v>
      </c>
      <c r="AR164" s="53">
        <f t="shared" si="86"/>
        <v>48400</v>
      </c>
      <c r="AS164" s="53">
        <f t="shared" si="84"/>
        <v>735594</v>
      </c>
      <c r="AT164" s="53">
        <f t="shared" si="87"/>
        <v>797142.25</v>
      </c>
      <c r="AU164" s="53"/>
      <c r="AV164" s="59">
        <f t="shared" si="74"/>
        <v>-27.649077459198999</v>
      </c>
      <c r="AW164" s="59">
        <f t="shared" si="80"/>
        <v>-18.938739503702784</v>
      </c>
      <c r="AZ164" s="53">
        <f t="shared" si="88"/>
        <v>506.90699999999998</v>
      </c>
      <c r="BA164" s="53">
        <f t="shared" si="89"/>
        <v>25.9</v>
      </c>
      <c r="BB164" s="53">
        <f t="shared" si="90"/>
        <v>177.63200000000001</v>
      </c>
      <c r="BC164" s="53">
        <f t="shared" si="91"/>
        <v>25.155000000000001</v>
      </c>
      <c r="BD164" s="53">
        <f t="shared" si="92"/>
        <v>735.59400000000005</v>
      </c>
      <c r="BE164" s="60">
        <f t="shared" si="66"/>
        <v>22891.273999999998</v>
      </c>
      <c r="BF164" s="60">
        <f t="shared" si="67"/>
        <v>1577.6920000000002</v>
      </c>
      <c r="BG164" s="60">
        <f t="shared" si="68"/>
        <v>6951.5490000000009</v>
      </c>
      <c r="BH164" s="60">
        <f t="shared" si="69"/>
        <v>694.69400000000007</v>
      </c>
      <c r="BI164" s="60">
        <f t="shared" si="70"/>
        <v>32115.208999999995</v>
      </c>
      <c r="BJ164" s="1">
        <v>50</v>
      </c>
    </row>
    <row r="165" spans="1:62" x14ac:dyDescent="0.3">
      <c r="A165" s="48">
        <v>38710</v>
      </c>
      <c r="B165" s="57">
        <v>277043</v>
      </c>
      <c r="C165" s="58">
        <v>120162</v>
      </c>
      <c r="D165" s="56">
        <v>0</v>
      </c>
      <c r="E165" s="53">
        <f t="shared" si="61"/>
        <v>397205</v>
      </c>
      <c r="F165" s="53">
        <f t="shared" si="81"/>
        <v>520300.5</v>
      </c>
      <c r="G165" s="53"/>
      <c r="H165" s="59">
        <f t="shared" si="75"/>
        <v>-24.059550939875496</v>
      </c>
      <c r="I165" s="59">
        <f t="shared" si="76"/>
        <v>-18.003611273192465</v>
      </c>
      <c r="L165" s="53">
        <v>0</v>
      </c>
      <c r="M165" s="53">
        <v>7400</v>
      </c>
      <c r="N165" s="53">
        <v>15200</v>
      </c>
      <c r="O165" s="53">
        <f t="shared" si="62"/>
        <v>22600</v>
      </c>
      <c r="P165" s="53">
        <f t="shared" si="82"/>
        <v>21160.75</v>
      </c>
      <c r="Q165" s="53"/>
      <c r="R165" s="59">
        <f t="shared" si="71"/>
        <v>-32.229818879692942</v>
      </c>
      <c r="S165" s="59">
        <f t="shared" si="77"/>
        <v>-42.577541993433009</v>
      </c>
      <c r="V165" s="57">
        <v>47858</v>
      </c>
      <c r="W165" s="58">
        <v>92900</v>
      </c>
      <c r="X165" s="57">
        <v>10200</v>
      </c>
      <c r="Y165" s="53">
        <f t="shared" si="63"/>
        <v>150958</v>
      </c>
      <c r="Z165" s="53">
        <f t="shared" si="83"/>
        <v>163109.25</v>
      </c>
      <c r="AA165" s="53"/>
      <c r="AB165" s="59">
        <f t="shared" si="72"/>
        <v>-45.491704128978682</v>
      </c>
      <c r="AC165" s="59">
        <f t="shared" si="73"/>
        <v>-39.52841512074631</v>
      </c>
      <c r="AF165" s="57">
        <v>6000</v>
      </c>
      <c r="AG165" s="56">
        <v>0</v>
      </c>
      <c r="AH165" s="57">
        <v>9100</v>
      </c>
      <c r="AI165" s="53">
        <f t="shared" si="64"/>
        <v>15100</v>
      </c>
      <c r="AJ165" s="53">
        <f t="shared" si="85"/>
        <v>20608.75</v>
      </c>
      <c r="AK165" s="53"/>
      <c r="AL165" s="59">
        <f t="shared" si="78"/>
        <v>65.934065934065941</v>
      </c>
      <c r="AM165" s="59">
        <f t="shared" si="79"/>
        <v>-42.863776875199264</v>
      </c>
      <c r="AP165" s="53">
        <f t="shared" si="86"/>
        <v>330901</v>
      </c>
      <c r="AQ165" s="53">
        <f t="shared" si="86"/>
        <v>220462</v>
      </c>
      <c r="AR165" s="53">
        <f t="shared" si="86"/>
        <v>34500</v>
      </c>
      <c r="AS165" s="53">
        <f t="shared" si="84"/>
        <v>585863</v>
      </c>
      <c r="AT165" s="53">
        <f t="shared" si="87"/>
        <v>725179.25</v>
      </c>
      <c r="AU165" s="53"/>
      <c r="AV165" s="59">
        <f t="shared" si="74"/>
        <v>-30.456494876199049</v>
      </c>
      <c r="AW165" s="59">
        <f t="shared" si="80"/>
        <v>-25.789329608366852</v>
      </c>
      <c r="AZ165" s="53">
        <f t="shared" si="88"/>
        <v>397.20499999999998</v>
      </c>
      <c r="BA165" s="53">
        <f t="shared" si="89"/>
        <v>22.6</v>
      </c>
      <c r="BB165" s="53">
        <f t="shared" si="90"/>
        <v>150.958</v>
      </c>
      <c r="BC165" s="53">
        <f t="shared" si="91"/>
        <v>15.1</v>
      </c>
      <c r="BD165" s="53">
        <f t="shared" si="92"/>
        <v>585.86300000000006</v>
      </c>
      <c r="BE165" s="60">
        <f t="shared" si="66"/>
        <v>23288.478999999999</v>
      </c>
      <c r="BF165" s="60">
        <f t="shared" si="67"/>
        <v>1600.2920000000001</v>
      </c>
      <c r="BG165" s="60">
        <f t="shared" si="68"/>
        <v>7102.5070000000005</v>
      </c>
      <c r="BH165" s="60">
        <f t="shared" si="69"/>
        <v>709.7940000000001</v>
      </c>
      <c r="BI165" s="60">
        <f t="shared" si="70"/>
        <v>32701.071999999996</v>
      </c>
      <c r="BJ165" s="1">
        <v>51</v>
      </c>
    </row>
    <row r="166" spans="1:62" x14ac:dyDescent="0.3">
      <c r="A166" s="49">
        <v>38717</v>
      </c>
      <c r="B166" s="57">
        <v>331822</v>
      </c>
      <c r="C166" s="58">
        <v>140200</v>
      </c>
      <c r="D166" s="56">
        <v>0</v>
      </c>
      <c r="E166" s="53">
        <f t="shared" si="61"/>
        <v>472022</v>
      </c>
      <c r="F166" s="53">
        <f t="shared" si="81"/>
        <v>483587.25</v>
      </c>
      <c r="G166" s="53"/>
      <c r="H166" s="59">
        <f t="shared" si="75"/>
        <v>27.476355858507851</v>
      </c>
      <c r="I166" s="59">
        <f>((F166/F114)-1)*100</f>
        <v>-16.490712886948657</v>
      </c>
      <c r="L166" s="53">
        <v>0</v>
      </c>
      <c r="M166" s="53">
        <v>4400</v>
      </c>
      <c r="N166" s="53">
        <v>15400</v>
      </c>
      <c r="O166" s="53">
        <f t="shared" si="62"/>
        <v>19800</v>
      </c>
      <c r="P166" s="53">
        <f t="shared" si="82"/>
        <v>20342.5</v>
      </c>
      <c r="Q166" s="53"/>
      <c r="R166" s="59">
        <f t="shared" si="71"/>
        <v>98</v>
      </c>
      <c r="S166" s="59">
        <f t="shared" si="77"/>
        <v>-37.36143613745535</v>
      </c>
      <c r="V166" s="57">
        <v>72698</v>
      </c>
      <c r="W166" s="58">
        <v>90627</v>
      </c>
      <c r="X166" s="57">
        <v>9800</v>
      </c>
      <c r="Y166" s="53">
        <f t="shared" si="63"/>
        <v>173125</v>
      </c>
      <c r="Z166" s="53">
        <f t="shared" si="83"/>
        <v>168613.25</v>
      </c>
      <c r="AA166" s="53"/>
      <c r="AB166" s="59">
        <f t="shared" si="72"/>
        <v>-29.335292556990954</v>
      </c>
      <c r="AC166" s="59">
        <f t="shared" si="73"/>
        <v>-35.78747935202243</v>
      </c>
      <c r="AF166" s="57">
        <v>4500</v>
      </c>
      <c r="AG166" s="56">
        <v>0</v>
      </c>
      <c r="AH166" s="57">
        <v>16500</v>
      </c>
      <c r="AI166" s="53">
        <f t="shared" si="64"/>
        <v>21000</v>
      </c>
      <c r="AJ166" s="53">
        <f t="shared" si="85"/>
        <v>23133.75</v>
      </c>
      <c r="AK166" s="53"/>
      <c r="AL166" s="59">
        <f t="shared" si="78"/>
        <v>11.111111111111116</v>
      </c>
      <c r="AM166" s="59">
        <f t="shared" si="79"/>
        <v>-25.481969430978111</v>
      </c>
      <c r="AP166" s="53">
        <f t="shared" si="86"/>
        <v>409020</v>
      </c>
      <c r="AQ166" s="53">
        <f t="shared" si="86"/>
        <v>235227</v>
      </c>
      <c r="AR166" s="53">
        <f t="shared" si="86"/>
        <v>41700</v>
      </c>
      <c r="AS166" s="53">
        <f t="shared" si="84"/>
        <v>685947</v>
      </c>
      <c r="AT166" s="53">
        <f t="shared" si="87"/>
        <v>695676.75</v>
      </c>
      <c r="AU166" s="53"/>
      <c r="AV166" s="59">
        <f t="shared" si="74"/>
        <v>6.4842426848521484</v>
      </c>
      <c r="AW166" s="59">
        <f t="shared" si="80"/>
        <v>-23.145669894814759</v>
      </c>
      <c r="AZ166" s="53">
        <f t="shared" si="88"/>
        <v>472.02199999999999</v>
      </c>
      <c r="BA166" s="53">
        <f t="shared" si="89"/>
        <v>19.8</v>
      </c>
      <c r="BB166" s="53">
        <f t="shared" si="90"/>
        <v>173.125</v>
      </c>
      <c r="BC166" s="53">
        <f t="shared" si="91"/>
        <v>21</v>
      </c>
      <c r="BD166" s="53">
        <f t="shared" si="92"/>
        <v>685.947</v>
      </c>
      <c r="BE166" s="60">
        <f t="shared" si="66"/>
        <v>23760.501</v>
      </c>
      <c r="BF166" s="60">
        <f t="shared" si="67"/>
        <v>1620.0920000000001</v>
      </c>
      <c r="BG166" s="60">
        <f t="shared" si="68"/>
        <v>7275.6320000000005</v>
      </c>
      <c r="BH166" s="60">
        <f t="shared" si="69"/>
        <v>730.7940000000001</v>
      </c>
      <c r="BI166" s="60">
        <f t="shared" si="70"/>
        <v>33387.018999999993</v>
      </c>
      <c r="BJ166" s="1">
        <v>52</v>
      </c>
    </row>
    <row r="167" spans="1:62" x14ac:dyDescent="0.3">
      <c r="A167" s="48">
        <v>38724</v>
      </c>
      <c r="B167" s="56">
        <v>213851</v>
      </c>
      <c r="C167" s="56">
        <v>147238</v>
      </c>
      <c r="D167" s="56">
        <v>0</v>
      </c>
      <c r="E167" s="53">
        <f>SUM(B167:D167)</f>
        <v>361089</v>
      </c>
      <c r="F167" s="53">
        <f t="shared" si="81"/>
        <v>434305.75</v>
      </c>
      <c r="G167" s="53"/>
      <c r="H167" s="59">
        <f>((E167/E115)-1)*100</f>
        <v>-23.169283799310612</v>
      </c>
      <c r="I167" s="59">
        <f>((F167/F115)-1)*100</f>
        <v>-14.162547459003916</v>
      </c>
      <c r="J167" s="59"/>
      <c r="L167" s="53">
        <v>0</v>
      </c>
      <c r="M167" s="53">
        <v>10988</v>
      </c>
      <c r="N167" s="53">
        <v>9900</v>
      </c>
      <c r="O167" s="53">
        <f>SUM(L167:N167)</f>
        <v>20888</v>
      </c>
      <c r="P167" s="53">
        <f>AVERAGE(O164,O165,O166,O167)</f>
        <v>22297</v>
      </c>
      <c r="Q167" s="53">
        <f>AVERAGE(P115,P63,P11)</f>
        <v>30572.625</v>
      </c>
      <c r="R167" s="59">
        <f>((O167/O115)-1)*100</f>
        <v>646</v>
      </c>
      <c r="S167" s="59">
        <f>((P167/P115)-1)*100</f>
        <v>10.512490087232361</v>
      </c>
      <c r="T167" s="59">
        <f>((P167/Q167)-1)*100</f>
        <v>-27.068742052735082</v>
      </c>
      <c r="V167" s="56">
        <v>68415</v>
      </c>
      <c r="W167" s="56">
        <v>87984</v>
      </c>
      <c r="X167" s="56">
        <v>22500</v>
      </c>
      <c r="Y167" s="53">
        <f>SUM(V167:X167)</f>
        <v>178899</v>
      </c>
      <c r="Z167" s="53">
        <f>AVERAGE(Y164,Y165,Y166,Y167)</f>
        <v>170153.5</v>
      </c>
      <c r="AA167" s="53">
        <f>AVERAGE(Z115,Z63,Z11)</f>
        <v>183383.625</v>
      </c>
      <c r="AB167" s="59">
        <f>((Y167/Y115)-1)*100</f>
        <v>-9.30158279508837</v>
      </c>
      <c r="AC167" s="59">
        <f>((Z167/Z115)-1)*100</f>
        <v>-30.095785086448966</v>
      </c>
      <c r="AD167" s="59">
        <f>((Z167/AA167)-1)*100</f>
        <v>-7.2144527626171628</v>
      </c>
      <c r="AF167" s="56">
        <v>23986</v>
      </c>
      <c r="AG167" s="56">
        <v>7500</v>
      </c>
      <c r="AH167" s="56">
        <v>9200</v>
      </c>
      <c r="AI167" s="53">
        <f>SUM(AF167:AH167)</f>
        <v>40686</v>
      </c>
      <c r="AJ167" s="53">
        <f t="shared" si="85"/>
        <v>25485.25</v>
      </c>
      <c r="AK167" s="53">
        <f>AVERAGE(AJ115,AJ63,AJ11)</f>
        <v>24647.25</v>
      </c>
      <c r="AL167" s="59">
        <f>((AI167/AI115)-1)*100</f>
        <v>157.50632911392404</v>
      </c>
      <c r="AM167" s="59">
        <f>((AJ167/AJ115)-1)*100</f>
        <v>-8.1223581155984945</v>
      </c>
      <c r="AN167" s="59">
        <f>((AJ167/AK167)-1)*100</f>
        <v>3.3999736278895298</v>
      </c>
      <c r="AP167" s="53">
        <f t="shared" si="86"/>
        <v>306252</v>
      </c>
      <c r="AQ167" s="53">
        <f t="shared" si="86"/>
        <v>253710</v>
      </c>
      <c r="AR167" s="53">
        <f t="shared" si="86"/>
        <v>41600</v>
      </c>
      <c r="AS167" s="53">
        <f t="shared" si="84"/>
        <v>601562</v>
      </c>
      <c r="AT167" s="53">
        <f t="shared" si="87"/>
        <v>652241.5</v>
      </c>
      <c r="AU167" s="53">
        <f>AVERAGE(AT115,AT63,AT11)</f>
        <v>762799</v>
      </c>
      <c r="AV167" s="59">
        <f>((AS167/AS115)-1)*100</f>
        <v>-12.286498324647944</v>
      </c>
      <c r="AW167" s="59">
        <f>((AT167/AT115)-1)*100</f>
        <v>-18.19235676499077</v>
      </c>
      <c r="AX167" s="59">
        <f>((AT167/AU167)-1)*100</f>
        <v>-14.493660846435297</v>
      </c>
      <c r="AZ167" s="53">
        <f t="shared" si="88"/>
        <v>361.089</v>
      </c>
      <c r="BA167" s="53">
        <f t="shared" si="89"/>
        <v>20.888000000000002</v>
      </c>
      <c r="BB167" s="53">
        <f t="shared" si="90"/>
        <v>178.899</v>
      </c>
      <c r="BC167" s="53">
        <f t="shared" si="91"/>
        <v>40.686</v>
      </c>
      <c r="BD167" s="53">
        <f t="shared" si="92"/>
        <v>601.56200000000001</v>
      </c>
      <c r="BE167" s="60">
        <f>AZ167</f>
        <v>361.089</v>
      </c>
      <c r="BF167" s="60">
        <f>BA167</f>
        <v>20.888000000000002</v>
      </c>
      <c r="BG167" s="60">
        <f>BB167</f>
        <v>178.899</v>
      </c>
      <c r="BH167" s="60">
        <f>BC167</f>
        <v>40.686</v>
      </c>
      <c r="BI167" s="60">
        <f>BD167</f>
        <v>601.56200000000001</v>
      </c>
      <c r="BJ167" s="1">
        <v>1</v>
      </c>
    </row>
    <row r="168" spans="1:62" x14ac:dyDescent="0.3">
      <c r="A168" s="48">
        <v>38731</v>
      </c>
      <c r="B168" s="56">
        <v>218255</v>
      </c>
      <c r="C168" s="56">
        <v>182000</v>
      </c>
      <c r="D168" s="56">
        <v>0</v>
      </c>
      <c r="E168" s="53">
        <f t="shared" ref="E168:E195" si="93">SUM(B168:D168)</f>
        <v>400255</v>
      </c>
      <c r="F168" s="53">
        <f t="shared" si="81"/>
        <v>407642.75</v>
      </c>
      <c r="G168" s="53"/>
      <c r="H168" s="59">
        <f t="shared" ref="H168:I185" si="94">((E168/E116)-1)*100</f>
        <v>14.56446012977608</v>
      </c>
      <c r="I168" s="59">
        <f t="shared" si="94"/>
        <v>-4.7942378061063273</v>
      </c>
      <c r="J168" s="59"/>
      <c r="L168" s="53">
        <v>0</v>
      </c>
      <c r="M168" s="53">
        <v>4600</v>
      </c>
      <c r="N168" s="53">
        <v>14000</v>
      </c>
      <c r="O168" s="53">
        <f t="shared" ref="O168:O231" si="95">SUM(L168:N168)</f>
        <v>18600</v>
      </c>
      <c r="P168" s="53">
        <f t="shared" si="82"/>
        <v>20472</v>
      </c>
      <c r="Q168" s="53">
        <f t="shared" ref="Q168:Q189" si="96">AVERAGE(P116,P64,P12)</f>
        <v>27442.125</v>
      </c>
      <c r="R168" s="59">
        <f t="shared" ref="R168:S188" si="97">((O168/O116)-1)*100</f>
        <v>-13.725126397328257</v>
      </c>
      <c r="S168" s="59">
        <f t="shared" si="97"/>
        <v>20.944658602507872</v>
      </c>
      <c r="T168" s="59">
        <f t="shared" ref="T168:T189" si="98">((P168/Q168)-1)*100</f>
        <v>-25.399363205291138</v>
      </c>
      <c r="V168" s="56">
        <v>39083</v>
      </c>
      <c r="W168" s="56">
        <v>63600</v>
      </c>
      <c r="X168" s="56">
        <v>12600</v>
      </c>
      <c r="Y168" s="53">
        <f t="shared" ref="Y168:Y231" si="99">SUM(V168:X168)</f>
        <v>115283</v>
      </c>
      <c r="Z168" s="53">
        <f t="shared" si="83"/>
        <v>154566.25</v>
      </c>
      <c r="AA168" s="53">
        <f t="shared" ref="AA168:AA189" si="100">AVERAGE(Z116,Z64,Z12)</f>
        <v>188353.125</v>
      </c>
      <c r="AB168" s="59">
        <f t="shared" ref="AB168:AC188" si="101">((Y168/Y116)-1)*100</f>
        <v>-47.150375457287716</v>
      </c>
      <c r="AC168" s="59">
        <f t="shared" si="101"/>
        <v>-34.039068834549568</v>
      </c>
      <c r="AD168" s="59">
        <f t="shared" ref="AD168:AD189" si="102">((Z168/AA168)-1)*100</f>
        <v>-17.938048545783346</v>
      </c>
      <c r="AF168" s="56">
        <v>3200</v>
      </c>
      <c r="AG168" s="56">
        <v>1500</v>
      </c>
      <c r="AH168" s="56">
        <v>16300</v>
      </c>
      <c r="AI168" s="53">
        <f t="shared" ref="AI168:AI270" si="103">SUM(AF168:AH168)</f>
        <v>21000</v>
      </c>
      <c r="AJ168" s="53">
        <f t="shared" si="85"/>
        <v>24446.5</v>
      </c>
      <c r="AK168" s="53">
        <f t="shared" ref="AK168:AK189" si="104">AVERAGE(AJ116,AJ64,AJ12)</f>
        <v>15894.75</v>
      </c>
      <c r="AL168" s="59">
        <f t="shared" ref="AL168:AM188" si="105">((AI168/AI116)-1)*100</f>
        <v>-14.800389483933785</v>
      </c>
      <c r="AM168" s="59">
        <f t="shared" si="105"/>
        <v>42.861734455352973</v>
      </c>
      <c r="AN168" s="59">
        <f t="shared" ref="AN168:AN189" si="106">((AJ168/AK168)-1)*100</f>
        <v>53.802356123877381</v>
      </c>
      <c r="AP168" s="53">
        <f t="shared" si="86"/>
        <v>260538</v>
      </c>
      <c r="AQ168" s="53">
        <f t="shared" si="86"/>
        <v>251700</v>
      </c>
      <c r="AR168" s="53">
        <f t="shared" si="86"/>
        <v>42900</v>
      </c>
      <c r="AS168" s="53">
        <f t="shared" si="84"/>
        <v>555138</v>
      </c>
      <c r="AT168" s="53">
        <f t="shared" si="87"/>
        <v>607127.5</v>
      </c>
      <c r="AU168" s="53">
        <f t="shared" ref="AU168:AU189" si="107">AVERAGE(AT116,AT64,AT12)</f>
        <v>713920.5</v>
      </c>
      <c r="AV168" s="59">
        <f t="shared" ref="AV168:AW188" si="108">((AS168/AS116)-1)*100</f>
        <v>-9.5442161795760931</v>
      </c>
      <c r="AW168" s="59">
        <f t="shared" si="108"/>
        <v>-12.836538944696564</v>
      </c>
      <c r="AX168" s="59">
        <f t="shared" ref="AX168:AX189" si="109">((AT168/AU168)-1)*100</f>
        <v>-14.958668367136118</v>
      </c>
      <c r="AZ168" s="53">
        <f t="shared" si="88"/>
        <v>400.255</v>
      </c>
      <c r="BA168" s="53">
        <f t="shared" si="89"/>
        <v>18.600000000000001</v>
      </c>
      <c r="BB168" s="53">
        <f t="shared" si="90"/>
        <v>115.283</v>
      </c>
      <c r="BC168" s="53">
        <f t="shared" si="91"/>
        <v>21</v>
      </c>
      <c r="BD168" s="53">
        <f t="shared" si="92"/>
        <v>555.13800000000003</v>
      </c>
      <c r="BE168" s="60">
        <f>BE167+AZ168</f>
        <v>761.34400000000005</v>
      </c>
      <c r="BF168" s="60">
        <f>BF167+BA168</f>
        <v>39.488</v>
      </c>
      <c r="BG168" s="60">
        <f t="shared" ref="BG168:BI183" si="110">BG167+BB168</f>
        <v>294.18200000000002</v>
      </c>
      <c r="BH168" s="60">
        <f t="shared" si="110"/>
        <v>61.686</v>
      </c>
      <c r="BI168" s="60">
        <f t="shared" si="110"/>
        <v>1156.7</v>
      </c>
      <c r="BJ168" s="1">
        <f t="shared" ref="BJ168:BJ204" si="111">1+BJ167</f>
        <v>2</v>
      </c>
    </row>
    <row r="169" spans="1:62" x14ac:dyDescent="0.3">
      <c r="A169" s="48">
        <v>38738</v>
      </c>
      <c r="B169" s="56">
        <v>184558</v>
      </c>
      <c r="C169" s="56">
        <v>171057</v>
      </c>
      <c r="D169" s="56">
        <v>0</v>
      </c>
      <c r="E169" s="53">
        <f t="shared" si="93"/>
        <v>355615</v>
      </c>
      <c r="F169" s="53">
        <f t="shared" si="81"/>
        <v>397245.25</v>
      </c>
      <c r="G169" s="53">
        <f t="shared" ref="G169:G189" si="112">AVERAGE(F117,F65,F13)</f>
        <v>454083.5</v>
      </c>
      <c r="H169" s="59">
        <f t="shared" si="94"/>
        <v>61.928765276942976</v>
      </c>
      <c r="I169" s="59">
        <f t="shared" si="94"/>
        <v>12.754063345976041</v>
      </c>
      <c r="J169" s="59">
        <f t="shared" ref="J169:J185" si="113">((F169/G169)-1)*100</f>
        <v>-12.517136165484988</v>
      </c>
      <c r="L169" s="53">
        <v>4624</v>
      </c>
      <c r="M169" s="53">
        <v>10752</v>
      </c>
      <c r="N169" s="53">
        <v>3200</v>
      </c>
      <c r="O169" s="53">
        <f t="shared" si="95"/>
        <v>18576</v>
      </c>
      <c r="P169" s="53">
        <f t="shared" si="82"/>
        <v>19466</v>
      </c>
      <c r="Q169" s="53">
        <f t="shared" si="96"/>
        <v>28943.75</v>
      </c>
      <c r="R169" s="59">
        <f t="shared" si="97"/>
        <v>107.55307262569831</v>
      </c>
      <c r="S169" s="59">
        <f t="shared" si="97"/>
        <v>79.787111223995026</v>
      </c>
      <c r="T169" s="59">
        <f t="shared" si="98"/>
        <v>-32.745411358237966</v>
      </c>
      <c r="V169" s="56">
        <v>48544</v>
      </c>
      <c r="W169" s="56">
        <v>57314</v>
      </c>
      <c r="X169" s="56">
        <v>11700</v>
      </c>
      <c r="Y169" s="53">
        <f t="shared" si="99"/>
        <v>117558</v>
      </c>
      <c r="Z169" s="53">
        <f t="shared" si="83"/>
        <v>146216.25</v>
      </c>
      <c r="AA169" s="53">
        <f t="shared" si="100"/>
        <v>206890.33333333334</v>
      </c>
      <c r="AB169" s="59">
        <f t="shared" si="101"/>
        <v>4.88570867757534</v>
      </c>
      <c r="AC169" s="59">
        <f t="shared" si="101"/>
        <v>-24.285105837606491</v>
      </c>
      <c r="AD169" s="59">
        <f t="shared" si="102"/>
        <v>-29.326688374356145</v>
      </c>
      <c r="AF169" s="56">
        <v>0</v>
      </c>
      <c r="AG169" s="56">
        <v>0</v>
      </c>
      <c r="AH169" s="56">
        <v>1500</v>
      </c>
      <c r="AI169" s="53">
        <f t="shared" si="103"/>
        <v>1500</v>
      </c>
      <c r="AJ169" s="53">
        <f t="shared" si="85"/>
        <v>21046.5</v>
      </c>
      <c r="AK169" s="53">
        <f t="shared" si="104"/>
        <v>21777.833333333332</v>
      </c>
      <c r="AL169" s="59">
        <f t="shared" si="105"/>
        <v>-73.214285714285722</v>
      </c>
      <c r="AM169" s="59">
        <f t="shared" si="105"/>
        <v>29.620619572581152</v>
      </c>
      <c r="AN169" s="59">
        <f t="shared" si="106"/>
        <v>-3.3581546985849475</v>
      </c>
      <c r="AP169" s="53">
        <f t="shared" si="86"/>
        <v>237726</v>
      </c>
      <c r="AQ169" s="53">
        <f t="shared" si="86"/>
        <v>239123</v>
      </c>
      <c r="AR169" s="53">
        <f t="shared" si="86"/>
        <v>16400</v>
      </c>
      <c r="AS169" s="53">
        <f t="shared" si="84"/>
        <v>493249</v>
      </c>
      <c r="AT169" s="53">
        <f t="shared" si="87"/>
        <v>583974</v>
      </c>
      <c r="AU169" s="53">
        <f t="shared" si="107"/>
        <v>711695.41666666663</v>
      </c>
      <c r="AV169" s="59">
        <f t="shared" si="108"/>
        <v>42.457053407423672</v>
      </c>
      <c r="AW169" s="59">
        <f t="shared" si="108"/>
        <v>2.0060184483652321</v>
      </c>
      <c r="AX169" s="59">
        <f t="shared" si="109"/>
        <v>-17.946078290748201</v>
      </c>
      <c r="AZ169" s="53">
        <f t="shared" si="88"/>
        <v>355.61500000000001</v>
      </c>
      <c r="BA169" s="53">
        <f t="shared" si="89"/>
        <v>18.576000000000001</v>
      </c>
      <c r="BB169" s="53">
        <f t="shared" si="90"/>
        <v>117.55800000000001</v>
      </c>
      <c r="BC169" s="53">
        <f t="shared" si="91"/>
        <v>1.5</v>
      </c>
      <c r="BD169" s="53">
        <f t="shared" si="92"/>
        <v>493.24900000000002</v>
      </c>
      <c r="BE169" s="60">
        <f t="shared" ref="BE169:BF216" si="114">BE168+AZ169</f>
        <v>1116.9590000000001</v>
      </c>
      <c r="BF169" s="60">
        <f t="shared" si="114"/>
        <v>58.064</v>
      </c>
      <c r="BG169" s="60">
        <f t="shared" si="110"/>
        <v>411.74</v>
      </c>
      <c r="BH169" s="60">
        <f t="shared" si="110"/>
        <v>63.186</v>
      </c>
      <c r="BI169" s="60">
        <f t="shared" si="110"/>
        <v>1649.9490000000001</v>
      </c>
      <c r="BJ169" s="1">
        <f t="shared" si="111"/>
        <v>3</v>
      </c>
    </row>
    <row r="170" spans="1:62" x14ac:dyDescent="0.3">
      <c r="A170" s="48">
        <v>38745</v>
      </c>
      <c r="B170" s="56">
        <v>252603</v>
      </c>
      <c r="C170" s="56">
        <v>138023</v>
      </c>
      <c r="D170" s="56">
        <v>0</v>
      </c>
      <c r="E170" s="53">
        <f t="shared" si="93"/>
        <v>390626</v>
      </c>
      <c r="F170" s="53">
        <f t="shared" si="81"/>
        <v>376896.25</v>
      </c>
      <c r="G170" s="53">
        <f t="shared" si="112"/>
        <v>449532.83333333331</v>
      </c>
      <c r="H170" s="59">
        <f t="shared" si="94"/>
        <v>-2.7412881315419968</v>
      </c>
      <c r="I170" s="59">
        <f t="shared" si="94"/>
        <v>4.6498713382419288</v>
      </c>
      <c r="J170" s="59">
        <f t="shared" si="113"/>
        <v>-16.158237607412428</v>
      </c>
      <c r="L170" s="53">
        <v>4748</v>
      </c>
      <c r="M170" s="53">
        <v>12000</v>
      </c>
      <c r="N170" s="53">
        <v>16900</v>
      </c>
      <c r="O170" s="53">
        <f t="shared" si="95"/>
        <v>33648</v>
      </c>
      <c r="P170" s="53">
        <f t="shared" si="82"/>
        <v>22928</v>
      </c>
      <c r="Q170" s="53">
        <f t="shared" si="96"/>
        <v>34047.916666666664</v>
      </c>
      <c r="R170" s="59">
        <f t="shared" si="97"/>
        <v>-19.629293460086949</v>
      </c>
      <c r="S170" s="59">
        <f t="shared" si="97"/>
        <v>21.998004655803129</v>
      </c>
      <c r="T170" s="59">
        <f t="shared" si="98"/>
        <v>-32.659609618797035</v>
      </c>
      <c r="V170" s="56">
        <v>63894</v>
      </c>
      <c r="W170" s="56">
        <v>49301</v>
      </c>
      <c r="X170" s="56">
        <v>21000</v>
      </c>
      <c r="Y170" s="53">
        <f t="shared" si="99"/>
        <v>134195</v>
      </c>
      <c r="Z170" s="53">
        <f t="shared" si="83"/>
        <v>136483.75</v>
      </c>
      <c r="AA170" s="53">
        <f t="shared" si="100"/>
        <v>223852.75</v>
      </c>
      <c r="AB170" s="59">
        <f t="shared" si="101"/>
        <v>-45.630418928774006</v>
      </c>
      <c r="AC170" s="59">
        <f t="shared" si="101"/>
        <v>-29.491451435006887</v>
      </c>
      <c r="AD170" s="59">
        <f t="shared" si="102"/>
        <v>-39.029674641030766</v>
      </c>
      <c r="AF170" s="56">
        <v>0</v>
      </c>
      <c r="AG170" s="56">
        <v>3000</v>
      </c>
      <c r="AH170" s="56">
        <v>8700</v>
      </c>
      <c r="AI170" s="53">
        <f t="shared" si="103"/>
        <v>11700</v>
      </c>
      <c r="AJ170" s="53">
        <f t="shared" si="85"/>
        <v>18721.5</v>
      </c>
      <c r="AK170" s="53">
        <f t="shared" si="104"/>
        <v>22995.333333333332</v>
      </c>
      <c r="AL170" s="59">
        <f t="shared" si="105"/>
        <v>-54.117647058823536</v>
      </c>
      <c r="AM170" s="59">
        <f t="shared" si="105"/>
        <v>4.6653994521160591</v>
      </c>
      <c r="AN170" s="59">
        <f t="shared" si="106"/>
        <v>-18.585655060447049</v>
      </c>
      <c r="AP170" s="53">
        <f t="shared" si="86"/>
        <v>321245</v>
      </c>
      <c r="AQ170" s="53">
        <f t="shared" si="86"/>
        <v>202324</v>
      </c>
      <c r="AR170" s="53">
        <f t="shared" si="86"/>
        <v>46600</v>
      </c>
      <c r="AS170" s="53">
        <f t="shared" si="84"/>
        <v>570169</v>
      </c>
      <c r="AT170" s="53">
        <f t="shared" si="87"/>
        <v>555029.5</v>
      </c>
      <c r="AU170" s="53">
        <f t="shared" si="107"/>
        <v>730428.83333333337</v>
      </c>
      <c r="AV170" s="59">
        <f t="shared" si="108"/>
        <v>-20.347656260914025</v>
      </c>
      <c r="AW170" s="59">
        <f t="shared" si="108"/>
        <v>-5.9910975760542389</v>
      </c>
      <c r="AX170" s="59">
        <f t="shared" si="109"/>
        <v>-24.013199551952702</v>
      </c>
      <c r="AZ170" s="53">
        <f t="shared" si="88"/>
        <v>390.62599999999998</v>
      </c>
      <c r="BA170" s="53">
        <f t="shared" si="89"/>
        <v>33.648000000000003</v>
      </c>
      <c r="BB170" s="53">
        <f t="shared" si="90"/>
        <v>134.19499999999999</v>
      </c>
      <c r="BC170" s="53">
        <f t="shared" si="91"/>
        <v>11.7</v>
      </c>
      <c r="BD170" s="53">
        <f t="shared" si="92"/>
        <v>570.16899999999998</v>
      </c>
      <c r="BE170" s="60">
        <f t="shared" si="114"/>
        <v>1507.585</v>
      </c>
      <c r="BF170" s="60">
        <f t="shared" si="114"/>
        <v>91.712000000000003</v>
      </c>
      <c r="BG170" s="60">
        <f t="shared" si="110"/>
        <v>545.93499999999995</v>
      </c>
      <c r="BH170" s="60">
        <f t="shared" si="110"/>
        <v>74.885999999999996</v>
      </c>
      <c r="BI170" s="60">
        <f t="shared" si="110"/>
        <v>2220.1179999999999</v>
      </c>
      <c r="BJ170" s="1">
        <f t="shared" si="111"/>
        <v>4</v>
      </c>
    </row>
    <row r="171" spans="1:62" x14ac:dyDescent="0.3">
      <c r="A171" s="48">
        <v>38752</v>
      </c>
      <c r="B171" s="56">
        <v>237238</v>
      </c>
      <c r="C171" s="56">
        <v>166578</v>
      </c>
      <c r="D171" s="56">
        <v>0</v>
      </c>
      <c r="E171" s="53">
        <f t="shared" si="93"/>
        <v>403816</v>
      </c>
      <c r="F171" s="53">
        <f t="shared" si="81"/>
        <v>387578</v>
      </c>
      <c r="G171" s="53">
        <f t="shared" si="112"/>
        <v>409956.83333333331</v>
      </c>
      <c r="H171" s="59">
        <f t="shared" si="94"/>
        <v>21.176184631819652</v>
      </c>
      <c r="I171" s="59">
        <f t="shared" si="94"/>
        <v>18.901175427536266</v>
      </c>
      <c r="J171" s="59">
        <f t="shared" si="113"/>
        <v>-5.4588267626550895</v>
      </c>
      <c r="L171" s="53">
        <v>6100</v>
      </c>
      <c r="M171" s="53">
        <v>3000</v>
      </c>
      <c r="N171" s="53">
        <v>9800</v>
      </c>
      <c r="O171" s="53">
        <f t="shared" si="95"/>
        <v>18900</v>
      </c>
      <c r="P171" s="53">
        <f t="shared" si="82"/>
        <v>22431</v>
      </c>
      <c r="Q171" s="53">
        <f t="shared" si="96"/>
        <v>37284.833333333336</v>
      </c>
      <c r="R171" s="59">
        <f t="shared" si="97"/>
        <v>13.336531542336294</v>
      </c>
      <c r="S171" s="59">
        <f t="shared" si="97"/>
        <v>0.75574670694320556</v>
      </c>
      <c r="T171" s="59">
        <f t="shared" si="98"/>
        <v>-39.838808452051552</v>
      </c>
      <c r="V171" s="56">
        <v>80547</v>
      </c>
      <c r="W171" s="56">
        <v>78750</v>
      </c>
      <c r="X171" s="56">
        <v>15600</v>
      </c>
      <c r="Y171" s="53">
        <f t="shared" si="99"/>
        <v>174897</v>
      </c>
      <c r="Z171" s="53">
        <f t="shared" si="83"/>
        <v>135483.25</v>
      </c>
      <c r="AA171" s="53">
        <f t="shared" si="100"/>
        <v>231759.33333333334</v>
      </c>
      <c r="AB171" s="59">
        <f t="shared" si="101"/>
        <v>-34.934393845260992</v>
      </c>
      <c r="AC171" s="59">
        <f t="shared" si="101"/>
        <v>-35.929381192830299</v>
      </c>
      <c r="AD171" s="59">
        <f t="shared" si="102"/>
        <v>-41.541405020725527</v>
      </c>
      <c r="AF171" s="56">
        <v>6140</v>
      </c>
      <c r="AG171" s="56">
        <v>0</v>
      </c>
      <c r="AH171" s="56">
        <v>22500</v>
      </c>
      <c r="AI171" s="53">
        <f t="shared" si="103"/>
        <v>28640</v>
      </c>
      <c r="AJ171" s="53">
        <f t="shared" si="85"/>
        <v>15710</v>
      </c>
      <c r="AK171" s="53">
        <f t="shared" si="104"/>
        <v>22590.25</v>
      </c>
      <c r="AL171" s="59">
        <f t="shared" si="105"/>
        <v>1.1156616297133271</v>
      </c>
      <c r="AM171" s="59">
        <f t="shared" si="105"/>
        <v>-25.254543724426682</v>
      </c>
      <c r="AN171" s="59">
        <f t="shared" si="106"/>
        <v>-30.456723586503031</v>
      </c>
      <c r="AP171" s="53">
        <f t="shared" si="86"/>
        <v>330025</v>
      </c>
      <c r="AQ171" s="53">
        <f t="shared" si="86"/>
        <v>248328</v>
      </c>
      <c r="AR171" s="53">
        <f t="shared" si="86"/>
        <v>47900</v>
      </c>
      <c r="AS171" s="53">
        <f t="shared" si="84"/>
        <v>626253</v>
      </c>
      <c r="AT171" s="53">
        <f t="shared" si="87"/>
        <v>561202.25</v>
      </c>
      <c r="AU171" s="53">
        <f t="shared" si="107"/>
        <v>701591.25</v>
      </c>
      <c r="AV171" s="59">
        <f t="shared" si="108"/>
        <v>-3.2138264858248555</v>
      </c>
      <c r="AW171" s="59">
        <f t="shared" si="108"/>
        <v>-3.3587104673359125</v>
      </c>
      <c r="AX171" s="59">
        <f t="shared" si="109"/>
        <v>-20.010084219265845</v>
      </c>
      <c r="AZ171" s="53">
        <f t="shared" si="88"/>
        <v>403.81599999999997</v>
      </c>
      <c r="BA171" s="53">
        <f t="shared" si="89"/>
        <v>18.899999999999999</v>
      </c>
      <c r="BB171" s="53">
        <f t="shared" si="90"/>
        <v>174.89699999999999</v>
      </c>
      <c r="BC171" s="53">
        <f t="shared" si="91"/>
        <v>28.64</v>
      </c>
      <c r="BD171" s="53">
        <f t="shared" si="92"/>
        <v>626.25300000000004</v>
      </c>
      <c r="BE171" s="60">
        <f t="shared" si="114"/>
        <v>1911.4010000000001</v>
      </c>
      <c r="BF171" s="60">
        <f t="shared" si="114"/>
        <v>110.61199999999999</v>
      </c>
      <c r="BG171" s="60">
        <f t="shared" si="110"/>
        <v>720.83199999999988</v>
      </c>
      <c r="BH171" s="60">
        <f t="shared" si="110"/>
        <v>103.526</v>
      </c>
      <c r="BI171" s="60">
        <f t="shared" si="110"/>
        <v>2846.3710000000001</v>
      </c>
      <c r="BJ171" s="1">
        <f t="shared" si="111"/>
        <v>5</v>
      </c>
    </row>
    <row r="172" spans="1:62" x14ac:dyDescent="0.3">
      <c r="A172" s="48">
        <v>38759</v>
      </c>
      <c r="B172" s="56">
        <v>280639</v>
      </c>
      <c r="C172" s="56">
        <v>190293</v>
      </c>
      <c r="D172" s="56">
        <v>0</v>
      </c>
      <c r="E172" s="53">
        <f t="shared" si="93"/>
        <v>470932</v>
      </c>
      <c r="F172" s="53">
        <f t="shared" si="81"/>
        <v>405247.25</v>
      </c>
      <c r="G172" s="53">
        <f t="shared" si="112"/>
        <v>369708.5</v>
      </c>
      <c r="H172" s="59">
        <f t="shared" si="94"/>
        <v>29.600519577733021</v>
      </c>
      <c r="I172" s="59">
        <f t="shared" si="94"/>
        <v>23.00095533160782</v>
      </c>
      <c r="J172" s="59">
        <f t="shared" si="113"/>
        <v>9.6126407696874629</v>
      </c>
      <c r="L172" s="53">
        <v>4500</v>
      </c>
      <c r="M172" s="53">
        <v>0</v>
      </c>
      <c r="N172" s="53">
        <v>19600</v>
      </c>
      <c r="O172" s="53">
        <f t="shared" si="95"/>
        <v>24100</v>
      </c>
      <c r="P172" s="53">
        <f t="shared" si="82"/>
        <v>23806</v>
      </c>
      <c r="Q172" s="53">
        <f t="shared" si="96"/>
        <v>39327.166666666664</v>
      </c>
      <c r="R172" s="59">
        <f t="shared" si="97"/>
        <v>-34.332425068119889</v>
      </c>
      <c r="S172" s="59">
        <f t="shared" si="97"/>
        <v>-8.607186732186733</v>
      </c>
      <c r="T172" s="59">
        <f t="shared" si="98"/>
        <v>-39.466780808855617</v>
      </c>
      <c r="V172" s="56">
        <v>75443</v>
      </c>
      <c r="W172" s="56">
        <v>72425</v>
      </c>
      <c r="X172" s="56">
        <v>32200</v>
      </c>
      <c r="Y172" s="53">
        <f t="shared" si="99"/>
        <v>180068</v>
      </c>
      <c r="Z172" s="53">
        <f t="shared" si="83"/>
        <v>151679.5</v>
      </c>
      <c r="AA172" s="53">
        <f t="shared" si="100"/>
        <v>209375.58333333334</v>
      </c>
      <c r="AB172" s="59">
        <f t="shared" si="101"/>
        <v>-31.454108726022756</v>
      </c>
      <c r="AC172" s="59">
        <f t="shared" si="101"/>
        <v>-31.860062893081764</v>
      </c>
      <c r="AD172" s="59">
        <f t="shared" si="102"/>
        <v>-27.556261534793734</v>
      </c>
      <c r="AF172" s="56">
        <v>1600</v>
      </c>
      <c r="AG172" s="56">
        <v>1500</v>
      </c>
      <c r="AH172" s="56">
        <v>18700</v>
      </c>
      <c r="AI172" s="53">
        <f t="shared" si="103"/>
        <v>21800</v>
      </c>
      <c r="AJ172" s="53">
        <f t="shared" si="85"/>
        <v>15910</v>
      </c>
      <c r="AK172" s="53">
        <f t="shared" si="104"/>
        <v>23872</v>
      </c>
      <c r="AL172" s="59">
        <f t="shared" si="105"/>
        <v>-40.518417462482944</v>
      </c>
      <c r="AM172" s="59">
        <f t="shared" si="105"/>
        <v>-33.759393800612024</v>
      </c>
      <c r="AN172" s="59">
        <f t="shared" si="106"/>
        <v>-33.352882037533519</v>
      </c>
      <c r="AP172" s="53">
        <f t="shared" si="86"/>
        <v>362182</v>
      </c>
      <c r="AQ172" s="53">
        <f t="shared" si="86"/>
        <v>264218</v>
      </c>
      <c r="AR172" s="53">
        <f t="shared" si="86"/>
        <v>70500</v>
      </c>
      <c r="AS172" s="53">
        <f t="shared" si="84"/>
        <v>696900</v>
      </c>
      <c r="AT172" s="53">
        <f t="shared" si="87"/>
        <v>596642.75</v>
      </c>
      <c r="AU172" s="53">
        <f t="shared" si="107"/>
        <v>642283.25</v>
      </c>
      <c r="AV172" s="59">
        <f t="shared" si="108"/>
        <v>-0.36015607239723302</v>
      </c>
      <c r="AW172" s="59">
        <f t="shared" si="108"/>
        <v>-0.91184135737396588</v>
      </c>
      <c r="AX172" s="59">
        <f t="shared" si="109"/>
        <v>-7.1059769969090691</v>
      </c>
      <c r="AZ172" s="53">
        <f t="shared" si="88"/>
        <v>470.93200000000002</v>
      </c>
      <c r="BA172" s="53">
        <f t="shared" si="89"/>
        <v>24.1</v>
      </c>
      <c r="BB172" s="53">
        <f t="shared" si="90"/>
        <v>180.06800000000001</v>
      </c>
      <c r="BC172" s="53">
        <f t="shared" si="91"/>
        <v>21.8</v>
      </c>
      <c r="BD172" s="53">
        <f t="shared" si="92"/>
        <v>696.9</v>
      </c>
      <c r="BE172" s="60">
        <f t="shared" si="114"/>
        <v>2382.3330000000001</v>
      </c>
      <c r="BF172" s="60">
        <f t="shared" si="114"/>
        <v>134.71199999999999</v>
      </c>
      <c r="BG172" s="60">
        <f t="shared" si="110"/>
        <v>900.89999999999986</v>
      </c>
      <c r="BH172" s="60">
        <f t="shared" si="110"/>
        <v>125.32599999999999</v>
      </c>
      <c r="BI172" s="60">
        <f t="shared" si="110"/>
        <v>3543.2710000000002</v>
      </c>
      <c r="BJ172" s="1">
        <f t="shared" si="111"/>
        <v>6</v>
      </c>
    </row>
    <row r="173" spans="1:62" x14ac:dyDescent="0.3">
      <c r="A173" s="48">
        <v>38766</v>
      </c>
      <c r="B173" s="56">
        <v>279168</v>
      </c>
      <c r="C173" s="56">
        <v>128755</v>
      </c>
      <c r="D173" s="56">
        <v>0</v>
      </c>
      <c r="E173" s="53">
        <f t="shared" si="93"/>
        <v>407923</v>
      </c>
      <c r="F173" s="53">
        <f t="shared" si="81"/>
        <v>418324.25</v>
      </c>
      <c r="G173" s="53">
        <f t="shared" si="112"/>
        <v>347168.66666666669</v>
      </c>
      <c r="H173" s="59">
        <f t="shared" si="94"/>
        <v>38.696482972473078</v>
      </c>
      <c r="I173" s="59">
        <f t="shared" si="94"/>
        <v>20.176433368501257</v>
      </c>
      <c r="J173" s="59">
        <f t="shared" si="113"/>
        <v>20.495969298304573</v>
      </c>
      <c r="L173" s="53">
        <v>0</v>
      </c>
      <c r="M173" s="53">
        <v>9150</v>
      </c>
      <c r="N173" s="53">
        <v>1400</v>
      </c>
      <c r="O173" s="53">
        <f t="shared" si="95"/>
        <v>10550</v>
      </c>
      <c r="P173" s="53">
        <f t="shared" si="82"/>
        <v>21799.5</v>
      </c>
      <c r="Q173" s="53">
        <f t="shared" si="96"/>
        <v>39282.083333333336</v>
      </c>
      <c r="R173" s="59">
        <f t="shared" si="97"/>
        <v>-47.342151235338157</v>
      </c>
      <c r="S173" s="59">
        <f t="shared" si="97"/>
        <v>-24.35785108911578</v>
      </c>
      <c r="T173" s="59">
        <f t="shared" si="98"/>
        <v>-44.505234574710698</v>
      </c>
      <c r="V173" s="56">
        <v>39975</v>
      </c>
      <c r="W173" s="56">
        <v>37745</v>
      </c>
      <c r="X173" s="56">
        <v>18200</v>
      </c>
      <c r="Y173" s="53">
        <f t="shared" si="99"/>
        <v>95920</v>
      </c>
      <c r="Z173" s="53">
        <f t="shared" si="83"/>
        <v>146270</v>
      </c>
      <c r="AA173" s="53">
        <f t="shared" si="100"/>
        <v>196583.5</v>
      </c>
      <c r="AB173" s="59">
        <f t="shared" si="101"/>
        <v>-26.398256639273189</v>
      </c>
      <c r="AC173" s="59">
        <f t="shared" si="101"/>
        <v>-35.609333058930872</v>
      </c>
      <c r="AD173" s="59">
        <f t="shared" si="102"/>
        <v>-25.593958801221874</v>
      </c>
      <c r="AF173" s="56">
        <v>0</v>
      </c>
      <c r="AG173" s="56">
        <v>1500</v>
      </c>
      <c r="AH173" s="56">
        <v>26000</v>
      </c>
      <c r="AI173" s="53">
        <f t="shared" si="103"/>
        <v>27500</v>
      </c>
      <c r="AJ173" s="53">
        <f t="shared" si="85"/>
        <v>22410</v>
      </c>
      <c r="AK173" s="53">
        <f t="shared" si="104"/>
        <v>24445.333333333332</v>
      </c>
      <c r="AL173" s="59"/>
      <c r="AM173" s="59">
        <f t="shared" si="105"/>
        <v>-0.92181179123284052</v>
      </c>
      <c r="AN173" s="59">
        <f t="shared" si="106"/>
        <v>-8.3260608705137962</v>
      </c>
      <c r="AP173" s="53">
        <f t="shared" si="86"/>
        <v>319143</v>
      </c>
      <c r="AQ173" s="53">
        <f t="shared" si="86"/>
        <v>177150</v>
      </c>
      <c r="AR173" s="53">
        <f t="shared" si="86"/>
        <v>45600</v>
      </c>
      <c r="AS173" s="53">
        <f t="shared" si="84"/>
        <v>541893</v>
      </c>
      <c r="AT173" s="53">
        <f t="shared" si="87"/>
        <v>608803.75</v>
      </c>
      <c r="AU173" s="53">
        <f t="shared" si="107"/>
        <v>607479.58333333337</v>
      </c>
      <c r="AV173" s="59">
        <f t="shared" si="108"/>
        <v>21.91891466240692</v>
      </c>
      <c r="AW173" s="59">
        <f t="shared" si="108"/>
        <v>-2.8540438071629537</v>
      </c>
      <c r="AX173" s="59">
        <f t="shared" si="109"/>
        <v>0.21797714738012175</v>
      </c>
      <c r="AZ173" s="53">
        <f t="shared" si="88"/>
        <v>407.923</v>
      </c>
      <c r="BA173" s="53">
        <f t="shared" si="89"/>
        <v>10.55</v>
      </c>
      <c r="BB173" s="53">
        <f t="shared" si="90"/>
        <v>95.92</v>
      </c>
      <c r="BC173" s="53">
        <f t="shared" si="91"/>
        <v>27.5</v>
      </c>
      <c r="BD173" s="53">
        <f t="shared" si="92"/>
        <v>541.89300000000003</v>
      </c>
      <c r="BE173" s="60">
        <f t="shared" si="114"/>
        <v>2790.2560000000003</v>
      </c>
      <c r="BF173" s="60">
        <f t="shared" si="114"/>
        <v>145.262</v>
      </c>
      <c r="BG173" s="60">
        <f t="shared" si="110"/>
        <v>996.81999999999982</v>
      </c>
      <c r="BH173" s="60">
        <f t="shared" si="110"/>
        <v>152.82599999999999</v>
      </c>
      <c r="BI173" s="60">
        <f t="shared" si="110"/>
        <v>4085.1640000000002</v>
      </c>
      <c r="BJ173" s="1">
        <f t="shared" si="111"/>
        <v>7</v>
      </c>
    </row>
    <row r="174" spans="1:62" x14ac:dyDescent="0.3">
      <c r="A174" s="48">
        <v>38773</v>
      </c>
      <c r="B174" s="56">
        <v>190452</v>
      </c>
      <c r="C174" s="56">
        <v>154400</v>
      </c>
      <c r="D174" s="56">
        <v>0</v>
      </c>
      <c r="E174" s="53">
        <f t="shared" si="93"/>
        <v>344852</v>
      </c>
      <c r="F174" s="53">
        <f t="shared" si="81"/>
        <v>406880.75</v>
      </c>
      <c r="G174" s="53">
        <f t="shared" si="112"/>
        <v>356005</v>
      </c>
      <c r="H174" s="59">
        <f t="shared" si="94"/>
        <v>-0.22336411823252744</v>
      </c>
      <c r="I174" s="59">
        <f t="shared" si="94"/>
        <v>21.788222440893335</v>
      </c>
      <c r="J174" s="59">
        <f t="shared" si="113"/>
        <v>14.29074029859132</v>
      </c>
      <c r="L174" s="53">
        <v>0</v>
      </c>
      <c r="M174" s="53">
        <v>1400</v>
      </c>
      <c r="N174" s="53">
        <v>19600</v>
      </c>
      <c r="O174" s="53">
        <f t="shared" si="95"/>
        <v>21000</v>
      </c>
      <c r="P174" s="53">
        <f t="shared" si="82"/>
        <v>18637.5</v>
      </c>
      <c r="Q174" s="53">
        <f t="shared" si="96"/>
        <v>41452.75</v>
      </c>
      <c r="R174" s="59">
        <f t="shared" si="97"/>
        <v>-71.458084157877565</v>
      </c>
      <c r="S174" s="59">
        <f t="shared" si="97"/>
        <v>-49.281228952220268</v>
      </c>
      <c r="T174" s="59">
        <f t="shared" si="98"/>
        <v>-55.039171104450247</v>
      </c>
      <c r="V174" s="56">
        <v>77130</v>
      </c>
      <c r="W174" s="56">
        <v>79600</v>
      </c>
      <c r="X174" s="56">
        <v>35350</v>
      </c>
      <c r="Y174" s="53">
        <f t="shared" si="99"/>
        <v>192080</v>
      </c>
      <c r="Z174" s="53">
        <f t="shared" si="83"/>
        <v>160741.25</v>
      </c>
      <c r="AA174" s="53">
        <f t="shared" si="100"/>
        <v>170768.83333333334</v>
      </c>
      <c r="AB174" s="59">
        <f t="shared" si="101"/>
        <v>36.852004901821076</v>
      </c>
      <c r="AC174" s="59">
        <f t="shared" si="101"/>
        <v>-19.847490017789092</v>
      </c>
      <c r="AD174" s="59">
        <f t="shared" si="102"/>
        <v>-5.8720219243753586</v>
      </c>
      <c r="AF174" s="56">
        <v>0</v>
      </c>
      <c r="AG174" s="56">
        <v>0</v>
      </c>
      <c r="AH174" s="56">
        <v>20500</v>
      </c>
      <c r="AI174" s="53">
        <f t="shared" si="103"/>
        <v>20500</v>
      </c>
      <c r="AJ174" s="53">
        <f t="shared" si="85"/>
        <v>24610</v>
      </c>
      <c r="AK174" s="53">
        <f t="shared" si="104"/>
        <v>21529.416666666668</v>
      </c>
      <c r="AL174" s="59"/>
      <c r="AM174" s="59">
        <f t="shared" si="105"/>
        <v>51.506756548773346</v>
      </c>
      <c r="AN174" s="59">
        <f t="shared" si="106"/>
        <v>14.308717142823957</v>
      </c>
      <c r="AP174" s="53">
        <f t="shared" si="86"/>
        <v>267582</v>
      </c>
      <c r="AQ174" s="53">
        <f t="shared" si="86"/>
        <v>235400</v>
      </c>
      <c r="AR174" s="53">
        <f t="shared" si="86"/>
        <v>75450</v>
      </c>
      <c r="AS174" s="53">
        <f t="shared" si="84"/>
        <v>578432</v>
      </c>
      <c r="AT174" s="53">
        <f t="shared" si="87"/>
        <v>610869.5</v>
      </c>
      <c r="AU174" s="53">
        <f t="shared" si="107"/>
        <v>589756</v>
      </c>
      <c r="AV174" s="59">
        <f t="shared" si="108"/>
        <v>3.3733889012002471</v>
      </c>
      <c r="AW174" s="59">
        <f t="shared" si="108"/>
        <v>3.955978596830545</v>
      </c>
      <c r="AX174" s="59">
        <f t="shared" si="109"/>
        <v>3.580039880899899</v>
      </c>
      <c r="AZ174" s="53">
        <f t="shared" si="88"/>
        <v>344.85199999999998</v>
      </c>
      <c r="BA174" s="53">
        <f t="shared" si="89"/>
        <v>21</v>
      </c>
      <c r="BB174" s="53">
        <f t="shared" si="90"/>
        <v>192.08</v>
      </c>
      <c r="BC174" s="53">
        <f t="shared" si="91"/>
        <v>20.5</v>
      </c>
      <c r="BD174" s="53">
        <f t="shared" si="92"/>
        <v>578.43200000000002</v>
      </c>
      <c r="BE174" s="60">
        <f t="shared" si="114"/>
        <v>3135.1080000000002</v>
      </c>
      <c r="BF174" s="60">
        <f t="shared" si="114"/>
        <v>166.262</v>
      </c>
      <c r="BG174" s="60">
        <f t="shared" si="110"/>
        <v>1188.8999999999999</v>
      </c>
      <c r="BH174" s="60">
        <f t="shared" si="110"/>
        <v>173.32599999999999</v>
      </c>
      <c r="BI174" s="60">
        <f t="shared" si="110"/>
        <v>4663.5960000000005</v>
      </c>
      <c r="BJ174" s="1">
        <f t="shared" si="111"/>
        <v>8</v>
      </c>
    </row>
    <row r="175" spans="1:62" x14ac:dyDescent="0.3">
      <c r="A175" s="48">
        <v>38780</v>
      </c>
      <c r="B175" s="56">
        <v>179503</v>
      </c>
      <c r="C175" s="56">
        <v>116500</v>
      </c>
      <c r="D175" s="56">
        <v>0</v>
      </c>
      <c r="E175" s="53">
        <f t="shared" si="93"/>
        <v>296003</v>
      </c>
      <c r="F175" s="53">
        <f t="shared" si="81"/>
        <v>379927.5</v>
      </c>
      <c r="G175" s="53">
        <f t="shared" si="112"/>
        <v>369759.08333333331</v>
      </c>
      <c r="H175" s="59">
        <f t="shared" si="94"/>
        <v>5.7342382568315697</v>
      </c>
      <c r="I175" s="59">
        <f t="shared" si="94"/>
        <v>18.44437274074906</v>
      </c>
      <c r="J175" s="59">
        <f t="shared" si="113"/>
        <v>2.7500113249415481</v>
      </c>
      <c r="L175" s="53">
        <v>0</v>
      </c>
      <c r="M175" s="53">
        <v>3000</v>
      </c>
      <c r="N175" s="53">
        <v>21000</v>
      </c>
      <c r="O175" s="53">
        <f t="shared" si="95"/>
        <v>24000</v>
      </c>
      <c r="P175" s="53">
        <f t="shared" si="82"/>
        <v>19912.5</v>
      </c>
      <c r="Q175" s="53">
        <f t="shared" si="96"/>
        <v>41053.333333333336</v>
      </c>
      <c r="R175" s="59">
        <f t="shared" si="97"/>
        <v>-23.566878980891715</v>
      </c>
      <c r="S175" s="59">
        <f t="shared" si="97"/>
        <v>-50.745465676422754</v>
      </c>
      <c r="T175" s="59">
        <f t="shared" si="98"/>
        <v>-51.496021435531027</v>
      </c>
      <c r="V175" s="56">
        <v>115460</v>
      </c>
      <c r="W175" s="56">
        <v>57200</v>
      </c>
      <c r="X175" s="56">
        <v>21000</v>
      </c>
      <c r="Y175" s="53">
        <f t="shared" si="99"/>
        <v>193660</v>
      </c>
      <c r="Z175" s="53">
        <f t="shared" si="83"/>
        <v>165432</v>
      </c>
      <c r="AA175" s="53">
        <f t="shared" si="100"/>
        <v>151979.16666666666</v>
      </c>
      <c r="AB175" s="59">
        <f t="shared" si="101"/>
        <v>24.79861836085011</v>
      </c>
      <c r="AC175" s="59">
        <f t="shared" si="101"/>
        <v>-3.895990728396026</v>
      </c>
      <c r="AD175" s="59">
        <f t="shared" si="102"/>
        <v>8.8517614804660703</v>
      </c>
      <c r="AF175" s="56">
        <v>0</v>
      </c>
      <c r="AG175" s="56">
        <v>0</v>
      </c>
      <c r="AH175" s="56">
        <v>9750</v>
      </c>
      <c r="AI175" s="53">
        <f t="shared" si="103"/>
        <v>9750</v>
      </c>
      <c r="AJ175" s="53">
        <f t="shared" si="85"/>
        <v>19887.5</v>
      </c>
      <c r="AK175" s="53">
        <f t="shared" si="104"/>
        <v>21558.083333333332</v>
      </c>
      <c r="AL175" s="59">
        <f t="shared" si="105"/>
        <v>-51.005025125628144</v>
      </c>
      <c r="AM175" s="59">
        <f t="shared" si="105"/>
        <v>40.671971706454471</v>
      </c>
      <c r="AN175" s="59">
        <f t="shared" si="106"/>
        <v>-7.7492201301135992</v>
      </c>
      <c r="AP175" s="53">
        <f t="shared" si="86"/>
        <v>294963</v>
      </c>
      <c r="AQ175" s="53">
        <f t="shared" si="86"/>
        <v>176700</v>
      </c>
      <c r="AR175" s="53">
        <f t="shared" si="86"/>
        <v>51750</v>
      </c>
      <c r="AS175" s="53">
        <f t="shared" si="84"/>
        <v>523413</v>
      </c>
      <c r="AT175" s="53">
        <f t="shared" si="87"/>
        <v>585159.5</v>
      </c>
      <c r="AU175" s="53">
        <f t="shared" si="107"/>
        <v>584349.66666666663</v>
      </c>
      <c r="AV175" s="59">
        <f t="shared" si="108"/>
        <v>7.6033863182218164</v>
      </c>
      <c r="AW175" s="59">
        <f t="shared" si="108"/>
        <v>6.8846458219266493</v>
      </c>
      <c r="AX175" s="59">
        <f t="shared" si="109"/>
        <v>0.1385871130812788</v>
      </c>
      <c r="AZ175" s="53">
        <f t="shared" si="88"/>
        <v>296.00299999999999</v>
      </c>
      <c r="BA175" s="53">
        <f t="shared" si="89"/>
        <v>24</v>
      </c>
      <c r="BB175" s="53">
        <f t="shared" si="90"/>
        <v>193.66</v>
      </c>
      <c r="BC175" s="53">
        <f t="shared" si="91"/>
        <v>9.75</v>
      </c>
      <c r="BD175" s="53">
        <f t="shared" si="92"/>
        <v>523.41300000000001</v>
      </c>
      <c r="BE175" s="60">
        <f t="shared" si="114"/>
        <v>3431.1110000000003</v>
      </c>
      <c r="BF175" s="60">
        <f t="shared" si="114"/>
        <v>190.262</v>
      </c>
      <c r="BG175" s="60">
        <f t="shared" si="110"/>
        <v>1382.56</v>
      </c>
      <c r="BH175" s="60">
        <f t="shared" si="110"/>
        <v>183.07599999999999</v>
      </c>
      <c r="BI175" s="60">
        <f t="shared" si="110"/>
        <v>5187.009</v>
      </c>
      <c r="BJ175" s="1">
        <f t="shared" si="111"/>
        <v>9</v>
      </c>
    </row>
    <row r="176" spans="1:62" x14ac:dyDescent="0.3">
      <c r="A176" s="48">
        <v>38787</v>
      </c>
      <c r="B176" s="56">
        <v>281010</v>
      </c>
      <c r="C176" s="56">
        <v>179800</v>
      </c>
      <c r="D176" s="56">
        <v>0</v>
      </c>
      <c r="E176" s="53">
        <f t="shared" si="93"/>
        <v>460810</v>
      </c>
      <c r="F176" s="53">
        <f t="shared" si="81"/>
        <v>377397</v>
      </c>
      <c r="G176" s="53">
        <f t="shared" si="112"/>
        <v>377388.66666666669</v>
      </c>
      <c r="H176" s="59">
        <f t="shared" si="94"/>
        <v>75.726074620946335</v>
      </c>
      <c r="I176" s="59">
        <f t="shared" si="94"/>
        <v>27.723581500577875</v>
      </c>
      <c r="J176" s="59">
        <f t="shared" si="113"/>
        <v>2.208156754401891E-3</v>
      </c>
      <c r="L176" s="53">
        <v>19885</v>
      </c>
      <c r="M176" s="53">
        <v>9100</v>
      </c>
      <c r="N176" s="53">
        <v>28100</v>
      </c>
      <c r="O176" s="53">
        <f t="shared" si="95"/>
        <v>57085</v>
      </c>
      <c r="P176" s="53">
        <f t="shared" si="82"/>
        <v>28158.75</v>
      </c>
      <c r="Q176" s="53">
        <f t="shared" si="96"/>
        <v>40865.666666666664</v>
      </c>
      <c r="R176" s="59">
        <f t="shared" si="97"/>
        <v>140.43888467694381</v>
      </c>
      <c r="S176" s="59">
        <f t="shared" si="97"/>
        <v>-24.28051871222765</v>
      </c>
      <c r="T176" s="59">
        <f t="shared" si="98"/>
        <v>-31.094357936980511</v>
      </c>
      <c r="V176" s="56">
        <v>74447</v>
      </c>
      <c r="W176" s="56">
        <v>49850</v>
      </c>
      <c r="X176" s="56">
        <v>15600</v>
      </c>
      <c r="Y176" s="53">
        <f t="shared" si="99"/>
        <v>139897</v>
      </c>
      <c r="Z176" s="53">
        <f t="shared" si="83"/>
        <v>155389.25</v>
      </c>
      <c r="AA176" s="53">
        <f t="shared" si="100"/>
        <v>132092.16666666666</v>
      </c>
      <c r="AB176" s="59">
        <f t="shared" si="101"/>
        <v>26.878043913985916</v>
      </c>
      <c r="AC176" s="59">
        <f t="shared" si="101"/>
        <v>15.936603508929004</v>
      </c>
      <c r="AD176" s="59">
        <f t="shared" si="102"/>
        <v>17.636990838467593</v>
      </c>
      <c r="AF176" s="56">
        <v>3000</v>
      </c>
      <c r="AG176" s="56">
        <v>9000</v>
      </c>
      <c r="AH176" s="56">
        <v>17900</v>
      </c>
      <c r="AI176" s="53">
        <f t="shared" si="103"/>
        <v>29900</v>
      </c>
      <c r="AJ176" s="53">
        <f t="shared" si="85"/>
        <v>21912.5</v>
      </c>
      <c r="AK176" s="53">
        <f t="shared" si="104"/>
        <v>17233.166666666668</v>
      </c>
      <c r="AL176" s="59">
        <f t="shared" si="105"/>
        <v>398.33333333333331</v>
      </c>
      <c r="AM176" s="59">
        <f t="shared" si="105"/>
        <v>238.4169884169884</v>
      </c>
      <c r="AN176" s="59">
        <f t="shared" si="106"/>
        <v>27.15306724436406</v>
      </c>
      <c r="AP176" s="53">
        <f t="shared" si="86"/>
        <v>378342</v>
      </c>
      <c r="AQ176" s="53">
        <f t="shared" si="86"/>
        <v>247750</v>
      </c>
      <c r="AR176" s="53">
        <f t="shared" si="86"/>
        <v>61600</v>
      </c>
      <c r="AS176" s="53">
        <f t="shared" si="84"/>
        <v>687692</v>
      </c>
      <c r="AT176" s="53">
        <f t="shared" si="87"/>
        <v>582857.5</v>
      </c>
      <c r="AU176" s="53">
        <f t="shared" si="107"/>
        <v>567579.66666666663</v>
      </c>
      <c r="AV176" s="59">
        <f t="shared" si="108"/>
        <v>70.967717876365796</v>
      </c>
      <c r="AW176" s="59">
        <f t="shared" si="108"/>
        <v>23.180828968731792</v>
      </c>
      <c r="AX176" s="59">
        <f t="shared" si="109"/>
        <v>2.6917513488561751</v>
      </c>
      <c r="AZ176" s="53">
        <f t="shared" si="88"/>
        <v>460.81</v>
      </c>
      <c r="BA176" s="53">
        <f t="shared" si="89"/>
        <v>57.085000000000001</v>
      </c>
      <c r="BB176" s="53">
        <f t="shared" si="90"/>
        <v>139.89699999999999</v>
      </c>
      <c r="BC176" s="53">
        <f t="shared" si="91"/>
        <v>29.9</v>
      </c>
      <c r="BD176" s="53">
        <f t="shared" si="92"/>
        <v>687.69200000000001</v>
      </c>
      <c r="BE176" s="60">
        <f t="shared" si="114"/>
        <v>3891.9210000000003</v>
      </c>
      <c r="BF176" s="60">
        <f t="shared" si="114"/>
        <v>247.34700000000001</v>
      </c>
      <c r="BG176" s="60">
        <f t="shared" si="110"/>
        <v>1522.4569999999999</v>
      </c>
      <c r="BH176" s="60">
        <f t="shared" si="110"/>
        <v>212.976</v>
      </c>
      <c r="BI176" s="60">
        <f t="shared" si="110"/>
        <v>5874.701</v>
      </c>
      <c r="BJ176" s="1">
        <f t="shared" si="111"/>
        <v>10</v>
      </c>
    </row>
    <row r="177" spans="1:62" x14ac:dyDescent="0.3">
      <c r="A177" s="48">
        <v>38794</v>
      </c>
      <c r="B177" s="56">
        <v>175440</v>
      </c>
      <c r="C177" s="56">
        <v>137600</v>
      </c>
      <c r="D177" s="56">
        <v>1400</v>
      </c>
      <c r="E177" s="53">
        <f t="shared" si="93"/>
        <v>314440</v>
      </c>
      <c r="F177" s="53">
        <f t="shared" si="81"/>
        <v>354026.25</v>
      </c>
      <c r="G177" s="53">
        <f t="shared" si="112"/>
        <v>394738.66666666669</v>
      </c>
      <c r="H177" s="59">
        <f t="shared" si="94"/>
        <v>-23.167143960200566</v>
      </c>
      <c r="I177" s="59">
        <f t="shared" si="94"/>
        <v>9.1782325848188684</v>
      </c>
      <c r="J177" s="59">
        <f t="shared" si="113"/>
        <v>-10.313764549710536</v>
      </c>
      <c r="L177" s="53">
        <v>1500</v>
      </c>
      <c r="M177" s="53">
        <v>0</v>
      </c>
      <c r="N177" s="53">
        <v>26600</v>
      </c>
      <c r="O177" s="53">
        <f t="shared" si="95"/>
        <v>28100</v>
      </c>
      <c r="P177" s="53">
        <f t="shared" si="82"/>
        <v>32546.25</v>
      </c>
      <c r="Q177" s="53">
        <f t="shared" si="96"/>
        <v>42608.916666666664</v>
      </c>
      <c r="R177" s="59">
        <f t="shared" si="97"/>
        <v>-43.880811631250992</v>
      </c>
      <c r="S177" s="59">
        <f t="shared" si="97"/>
        <v>-27.185524917500981</v>
      </c>
      <c r="T177" s="59">
        <f t="shared" si="98"/>
        <v>-23.616340085310782</v>
      </c>
      <c r="V177" s="56">
        <v>49729</v>
      </c>
      <c r="W177" s="56">
        <v>43150</v>
      </c>
      <c r="X177" s="56">
        <v>22600</v>
      </c>
      <c r="Y177" s="53">
        <f t="shared" si="99"/>
        <v>115479</v>
      </c>
      <c r="Z177" s="53">
        <f t="shared" si="83"/>
        <v>160279</v>
      </c>
      <c r="AA177" s="53">
        <f t="shared" si="100"/>
        <v>128566.16666666667</v>
      </c>
      <c r="AB177" s="59">
        <f t="shared" si="101"/>
        <v>-33.957278888221666</v>
      </c>
      <c r="AC177" s="59">
        <f t="shared" si="101"/>
        <v>10.413502109704641</v>
      </c>
      <c r="AD177" s="59">
        <f t="shared" si="102"/>
        <v>24.666546538293499</v>
      </c>
      <c r="AF177" s="56">
        <v>0</v>
      </c>
      <c r="AG177" s="56">
        <v>0</v>
      </c>
      <c r="AH177" s="56">
        <v>1400</v>
      </c>
      <c r="AI177" s="53">
        <f t="shared" si="103"/>
        <v>1400</v>
      </c>
      <c r="AJ177" s="53">
        <f t="shared" si="85"/>
        <v>15387.5</v>
      </c>
      <c r="AK177" s="53">
        <f t="shared" si="104"/>
        <v>15556.75</v>
      </c>
      <c r="AL177" s="59">
        <f t="shared" si="105"/>
        <v>-93.403693931398408</v>
      </c>
      <c r="AM177" s="59">
        <f t="shared" si="105"/>
        <v>30.612851201086499</v>
      </c>
      <c r="AN177" s="59">
        <f t="shared" si="106"/>
        <v>-1.087952175100837</v>
      </c>
      <c r="AP177" s="53">
        <f t="shared" si="86"/>
        <v>226669</v>
      </c>
      <c r="AQ177" s="53">
        <f t="shared" si="86"/>
        <v>180750</v>
      </c>
      <c r="AR177" s="53">
        <f t="shared" si="86"/>
        <v>52000</v>
      </c>
      <c r="AS177" s="53">
        <f t="shared" si="84"/>
        <v>459419</v>
      </c>
      <c r="AT177" s="53">
        <f t="shared" si="87"/>
        <v>562239</v>
      </c>
      <c r="AU177" s="53">
        <f t="shared" si="107"/>
        <v>581470.5</v>
      </c>
      <c r="AV177" s="59">
        <f t="shared" si="108"/>
        <v>-29.902823148505576</v>
      </c>
      <c r="AW177" s="59">
        <f t="shared" si="108"/>
        <v>6.908750716621137</v>
      </c>
      <c r="AX177" s="59">
        <f t="shared" si="109"/>
        <v>-3.3073904867056858</v>
      </c>
      <c r="AZ177" s="53">
        <f t="shared" si="88"/>
        <v>314.44</v>
      </c>
      <c r="BA177" s="53">
        <f t="shared" si="89"/>
        <v>28.1</v>
      </c>
      <c r="BB177" s="53">
        <f t="shared" si="90"/>
        <v>115.479</v>
      </c>
      <c r="BC177" s="53">
        <f t="shared" si="91"/>
        <v>1.4</v>
      </c>
      <c r="BD177" s="53">
        <f t="shared" si="92"/>
        <v>459.41899999999998</v>
      </c>
      <c r="BE177" s="60">
        <f t="shared" si="114"/>
        <v>4206.3609999999999</v>
      </c>
      <c r="BF177" s="60">
        <f t="shared" si="114"/>
        <v>275.447</v>
      </c>
      <c r="BG177" s="60">
        <f t="shared" si="110"/>
        <v>1637.9359999999999</v>
      </c>
      <c r="BH177" s="60">
        <f t="shared" si="110"/>
        <v>214.376</v>
      </c>
      <c r="BI177" s="60">
        <f t="shared" si="110"/>
        <v>6334.12</v>
      </c>
      <c r="BJ177" s="1">
        <f t="shared" si="111"/>
        <v>11</v>
      </c>
    </row>
    <row r="178" spans="1:62" x14ac:dyDescent="0.3">
      <c r="A178" s="48">
        <v>38801</v>
      </c>
      <c r="B178" s="56">
        <v>194290</v>
      </c>
      <c r="C178" s="56">
        <v>108100</v>
      </c>
      <c r="D178" s="56">
        <v>0</v>
      </c>
      <c r="E178" s="53">
        <f t="shared" si="93"/>
        <v>302390</v>
      </c>
      <c r="F178" s="53">
        <f t="shared" si="81"/>
        <v>343410.75</v>
      </c>
      <c r="G178" s="53">
        <f t="shared" si="112"/>
        <v>421451.75</v>
      </c>
      <c r="H178" s="59">
        <f t="shared" si="94"/>
        <v>-20.039452738686425</v>
      </c>
      <c r="I178" s="59">
        <f t="shared" si="94"/>
        <v>3.3118783882166714</v>
      </c>
      <c r="J178" s="59">
        <f t="shared" si="113"/>
        <v>-18.517184944658549</v>
      </c>
      <c r="L178" s="53">
        <v>3200</v>
      </c>
      <c r="M178" s="53">
        <v>3000</v>
      </c>
      <c r="N178" s="53">
        <v>18785</v>
      </c>
      <c r="O178" s="53">
        <f t="shared" si="95"/>
        <v>24985</v>
      </c>
      <c r="P178" s="53">
        <f t="shared" si="82"/>
        <v>33542.5</v>
      </c>
      <c r="Q178" s="53">
        <f t="shared" si="96"/>
        <v>39762.583333333336</v>
      </c>
      <c r="R178" s="59">
        <f t="shared" si="97"/>
        <v>-32.322986077252288</v>
      </c>
      <c r="S178" s="59">
        <f t="shared" si="97"/>
        <v>-5.6018349140235841</v>
      </c>
      <c r="T178" s="59">
        <f t="shared" si="98"/>
        <v>-15.643056390953813</v>
      </c>
      <c r="V178" s="56">
        <v>46974</v>
      </c>
      <c r="W178" s="56">
        <v>28300</v>
      </c>
      <c r="X178" s="56">
        <v>26852</v>
      </c>
      <c r="Y178" s="53">
        <f t="shared" si="99"/>
        <v>102126</v>
      </c>
      <c r="Z178" s="53">
        <f t="shared" si="83"/>
        <v>137790.5</v>
      </c>
      <c r="AA178" s="53">
        <f t="shared" si="100"/>
        <v>124316</v>
      </c>
      <c r="AB178" s="59">
        <f t="shared" si="101"/>
        <v>-17.32027202072539</v>
      </c>
      <c r="AC178" s="59">
        <f t="shared" si="101"/>
        <v>-2.2440024547102366</v>
      </c>
      <c r="AD178" s="59">
        <f t="shared" si="102"/>
        <v>10.838910518356437</v>
      </c>
      <c r="AF178" s="56">
        <v>13800</v>
      </c>
      <c r="AG178" s="56">
        <v>0</v>
      </c>
      <c r="AH178" s="56">
        <v>17250</v>
      </c>
      <c r="AI178" s="53">
        <f t="shared" si="103"/>
        <v>31050</v>
      </c>
      <c r="AJ178" s="53">
        <f t="shared" si="85"/>
        <v>18025</v>
      </c>
      <c r="AK178" s="53">
        <f t="shared" si="104"/>
        <v>16447.416666666668</v>
      </c>
      <c r="AL178" s="59">
        <f t="shared" si="105"/>
        <v>125</v>
      </c>
      <c r="AM178" s="59">
        <f t="shared" si="105"/>
        <v>18.344166502527749</v>
      </c>
      <c r="AN178" s="59">
        <f t="shared" si="106"/>
        <v>9.5916785310762975</v>
      </c>
      <c r="AP178" s="53">
        <f t="shared" si="86"/>
        <v>258264</v>
      </c>
      <c r="AQ178" s="53">
        <f t="shared" si="86"/>
        <v>139400</v>
      </c>
      <c r="AR178" s="53">
        <f t="shared" si="86"/>
        <v>62887</v>
      </c>
      <c r="AS178" s="53">
        <f t="shared" si="84"/>
        <v>460551</v>
      </c>
      <c r="AT178" s="53">
        <f t="shared" si="87"/>
        <v>532768.75</v>
      </c>
      <c r="AU178" s="53">
        <f t="shared" si="107"/>
        <v>601977.75</v>
      </c>
      <c r="AV178" s="59">
        <f t="shared" si="108"/>
        <v>-16.629073952050277</v>
      </c>
      <c r="AW178" s="59">
        <f t="shared" si="108"/>
        <v>1.6502438852208368</v>
      </c>
      <c r="AX178" s="59">
        <f t="shared" si="109"/>
        <v>-11.496936556209924</v>
      </c>
      <c r="AZ178" s="53">
        <f t="shared" si="88"/>
        <v>302.39</v>
      </c>
      <c r="BA178" s="53">
        <f t="shared" si="89"/>
        <v>24.984999999999999</v>
      </c>
      <c r="BB178" s="53">
        <f t="shared" si="90"/>
        <v>102.126</v>
      </c>
      <c r="BC178" s="53">
        <f t="shared" si="91"/>
        <v>31.05</v>
      </c>
      <c r="BD178" s="53">
        <f t="shared" si="92"/>
        <v>460.55099999999999</v>
      </c>
      <c r="BE178" s="60">
        <f t="shared" si="114"/>
        <v>4508.7510000000002</v>
      </c>
      <c r="BF178" s="60">
        <f t="shared" si="114"/>
        <v>300.43200000000002</v>
      </c>
      <c r="BG178" s="60">
        <f t="shared" si="110"/>
        <v>1740.0619999999999</v>
      </c>
      <c r="BH178" s="60">
        <f t="shared" si="110"/>
        <v>245.42600000000002</v>
      </c>
      <c r="BI178" s="60">
        <f t="shared" si="110"/>
        <v>6794.6710000000003</v>
      </c>
      <c r="BJ178" s="1">
        <f t="shared" si="111"/>
        <v>12</v>
      </c>
    </row>
    <row r="179" spans="1:62" x14ac:dyDescent="0.3">
      <c r="A179" s="48">
        <v>38808</v>
      </c>
      <c r="B179" s="56">
        <v>440411</v>
      </c>
      <c r="C179" s="56">
        <v>98592</v>
      </c>
      <c r="D179" s="56">
        <v>0</v>
      </c>
      <c r="E179" s="53">
        <f t="shared" si="93"/>
        <v>539003</v>
      </c>
      <c r="F179" s="53">
        <f t="shared" si="81"/>
        <v>404160.75</v>
      </c>
      <c r="G179" s="53">
        <f t="shared" si="112"/>
        <v>458491.5</v>
      </c>
      <c r="H179" s="59">
        <f t="shared" si="94"/>
        <v>40.700260515915488</v>
      </c>
      <c r="I179" s="59">
        <f t="shared" si="94"/>
        <v>12.835440246129103</v>
      </c>
      <c r="J179" s="59">
        <f t="shared" si="113"/>
        <v>-11.849892527996698</v>
      </c>
      <c r="L179" s="53">
        <v>10899</v>
      </c>
      <c r="M179" s="53">
        <v>6000</v>
      </c>
      <c r="N179" s="53">
        <v>8400</v>
      </c>
      <c r="O179" s="53">
        <f t="shared" si="95"/>
        <v>25299</v>
      </c>
      <c r="P179" s="53">
        <f t="shared" si="82"/>
        <v>33867.25</v>
      </c>
      <c r="Q179" s="53">
        <f t="shared" si="96"/>
        <v>40245.333333333336</v>
      </c>
      <c r="R179" s="59">
        <f t="shared" si="97"/>
        <v>-3.615513562938133</v>
      </c>
      <c r="S179" s="59">
        <f t="shared" si="97"/>
        <v>-1.1030807417141242</v>
      </c>
      <c r="T179" s="59">
        <f t="shared" si="98"/>
        <v>-15.848007222369475</v>
      </c>
      <c r="V179" s="56">
        <v>84469</v>
      </c>
      <c r="W179" s="56">
        <v>25800</v>
      </c>
      <c r="X179" s="56">
        <v>14000</v>
      </c>
      <c r="Y179" s="53">
        <f t="shared" si="99"/>
        <v>124269</v>
      </c>
      <c r="Z179" s="53">
        <f t="shared" si="83"/>
        <v>120442.75</v>
      </c>
      <c r="AA179" s="53">
        <f t="shared" si="100"/>
        <v>121305.91666666667</v>
      </c>
      <c r="AB179" s="59">
        <f t="shared" si="101"/>
        <v>4.8090952794622499</v>
      </c>
      <c r="AC179" s="59">
        <f t="shared" si="101"/>
        <v>-8.6175533902500554</v>
      </c>
      <c r="AD179" s="59">
        <f t="shared" si="102"/>
        <v>-0.71156188451924063</v>
      </c>
      <c r="AF179" s="56">
        <v>1640</v>
      </c>
      <c r="AG179" s="56">
        <v>0</v>
      </c>
      <c r="AH179" s="56">
        <v>4600</v>
      </c>
      <c r="AI179" s="53">
        <f t="shared" si="103"/>
        <v>6240</v>
      </c>
      <c r="AJ179" s="53">
        <f t="shared" si="85"/>
        <v>17147.5</v>
      </c>
      <c r="AK179" s="53">
        <f t="shared" si="104"/>
        <v>11670.833333333334</v>
      </c>
      <c r="AL179" s="59">
        <f t="shared" si="105"/>
        <v>-17.948717948717952</v>
      </c>
      <c r="AM179" s="59">
        <f t="shared" si="105"/>
        <v>41.047523082934049</v>
      </c>
      <c r="AN179" s="59">
        <f t="shared" si="106"/>
        <v>46.926097822206337</v>
      </c>
      <c r="AP179" s="53">
        <f t="shared" si="86"/>
        <v>537419</v>
      </c>
      <c r="AQ179" s="53">
        <f t="shared" si="86"/>
        <v>130392</v>
      </c>
      <c r="AR179" s="53">
        <f t="shared" si="86"/>
        <v>27000</v>
      </c>
      <c r="AS179" s="53">
        <f t="shared" si="84"/>
        <v>694811</v>
      </c>
      <c r="AT179" s="53">
        <f t="shared" si="87"/>
        <v>575618.25</v>
      </c>
      <c r="AU179" s="53">
        <f t="shared" si="107"/>
        <v>631713.58333333337</v>
      </c>
      <c r="AV179" s="59">
        <f t="shared" si="108"/>
        <v>29.748499549958353</v>
      </c>
      <c r="AW179" s="59">
        <f t="shared" si="108"/>
        <v>7.3135821204387108</v>
      </c>
      <c r="AX179" s="59">
        <f t="shared" si="109"/>
        <v>-8.8798681575497866</v>
      </c>
      <c r="AZ179" s="53">
        <f t="shared" si="88"/>
        <v>539.00300000000004</v>
      </c>
      <c r="BA179" s="53">
        <f t="shared" si="89"/>
        <v>25.298999999999999</v>
      </c>
      <c r="BB179" s="53">
        <f t="shared" si="90"/>
        <v>124.26900000000001</v>
      </c>
      <c r="BC179" s="53">
        <f t="shared" si="91"/>
        <v>6.24</v>
      </c>
      <c r="BD179" s="53">
        <f t="shared" si="92"/>
        <v>694.81100000000004</v>
      </c>
      <c r="BE179" s="60">
        <f t="shared" si="114"/>
        <v>5047.7539999999999</v>
      </c>
      <c r="BF179" s="60">
        <f t="shared" si="114"/>
        <v>325.73099999999999</v>
      </c>
      <c r="BG179" s="60">
        <f t="shared" si="110"/>
        <v>1864.3309999999999</v>
      </c>
      <c r="BH179" s="60">
        <f t="shared" si="110"/>
        <v>251.66600000000003</v>
      </c>
      <c r="BI179" s="60">
        <f>BI178+BD179</f>
        <v>7489.482</v>
      </c>
      <c r="BJ179" s="1">
        <f t="shared" si="111"/>
        <v>13</v>
      </c>
    </row>
    <row r="180" spans="1:62" x14ac:dyDescent="0.3">
      <c r="A180" s="48">
        <v>38815</v>
      </c>
      <c r="B180" s="56">
        <v>373845</v>
      </c>
      <c r="C180" s="56">
        <v>108860</v>
      </c>
      <c r="D180" s="56">
        <v>0</v>
      </c>
      <c r="E180" s="53">
        <f t="shared" si="93"/>
        <v>482705</v>
      </c>
      <c r="F180" s="53">
        <f t="shared" si="81"/>
        <v>409634.5</v>
      </c>
      <c r="G180" s="53">
        <f t="shared" si="112"/>
        <v>491941.75</v>
      </c>
      <c r="H180" s="59">
        <f t="shared" si="94"/>
        <v>16.744301911616756</v>
      </c>
      <c r="I180" s="59">
        <f t="shared" si="94"/>
        <v>3.4441004454590418</v>
      </c>
      <c r="J180" s="59">
        <f t="shared" si="113"/>
        <v>-16.731096720292594</v>
      </c>
      <c r="L180" s="53">
        <v>1600</v>
      </c>
      <c r="M180" s="53">
        <v>1500</v>
      </c>
      <c r="N180" s="53">
        <v>22400</v>
      </c>
      <c r="O180" s="53">
        <f t="shared" si="95"/>
        <v>25500</v>
      </c>
      <c r="P180" s="53">
        <f t="shared" si="82"/>
        <v>25971</v>
      </c>
      <c r="Q180" s="53">
        <f t="shared" si="96"/>
        <v>40292.833333333336</v>
      </c>
      <c r="R180" s="59">
        <f t="shared" si="97"/>
        <v>8.2664628709718571</v>
      </c>
      <c r="S180" s="59">
        <f t="shared" si="97"/>
        <v>-24.056407219773234</v>
      </c>
      <c r="T180" s="59">
        <f t="shared" si="98"/>
        <v>-35.544368932440427</v>
      </c>
      <c r="V180" s="56">
        <v>73727</v>
      </c>
      <c r="W180" s="56">
        <v>25685</v>
      </c>
      <c r="X180" s="56">
        <v>9800</v>
      </c>
      <c r="Y180" s="53">
        <f t="shared" si="99"/>
        <v>109212</v>
      </c>
      <c r="Z180" s="53">
        <f t="shared" si="83"/>
        <v>112771.5</v>
      </c>
      <c r="AA180" s="53">
        <f>AVERAGE(Z128,Z76,Z24)</f>
        <v>132013.16666666666</v>
      </c>
      <c r="AB180" s="59">
        <f t="shared" si="101"/>
        <v>-33.005349168179812</v>
      </c>
      <c r="AC180" s="59">
        <f t="shared" si="101"/>
        <v>-22.220919445890907</v>
      </c>
      <c r="AD180" s="59">
        <f t="shared" si="102"/>
        <v>-14.575566326086154</v>
      </c>
      <c r="AF180" s="56">
        <v>0</v>
      </c>
      <c r="AG180" s="56">
        <v>0</v>
      </c>
      <c r="AH180" s="56">
        <v>7800</v>
      </c>
      <c r="AI180" s="53">
        <f t="shared" si="103"/>
        <v>7800</v>
      </c>
      <c r="AJ180" s="53">
        <f t="shared" si="85"/>
        <v>11622.5</v>
      </c>
      <c r="AK180" s="53">
        <f t="shared" si="104"/>
        <v>13186.583333333334</v>
      </c>
      <c r="AL180" s="59">
        <f t="shared" si="105"/>
        <v>-71.636363636363626</v>
      </c>
      <c r="AM180" s="59">
        <f t="shared" si="105"/>
        <v>-33.707881190377734</v>
      </c>
      <c r="AN180" s="59">
        <f t="shared" si="106"/>
        <v>-11.861172024595712</v>
      </c>
      <c r="AP180" s="53">
        <f t="shared" si="86"/>
        <v>449172</v>
      </c>
      <c r="AQ180" s="53">
        <f t="shared" si="86"/>
        <v>136045</v>
      </c>
      <c r="AR180" s="53">
        <f t="shared" si="86"/>
        <v>40000</v>
      </c>
      <c r="AS180" s="53">
        <f t="shared" si="84"/>
        <v>625217</v>
      </c>
      <c r="AT180" s="53">
        <f t="shared" si="87"/>
        <v>559999.5</v>
      </c>
      <c r="AU180" s="53">
        <f t="shared" si="107"/>
        <v>677434.33333333337</v>
      </c>
      <c r="AV180" s="59">
        <f t="shared" si="108"/>
        <v>-0.37033436859105207</v>
      </c>
      <c r="AW180" s="59">
        <f t="shared" si="108"/>
        <v>-5.519680183831877</v>
      </c>
      <c r="AX180" s="59">
        <f t="shared" si="109"/>
        <v>-17.335234952662081</v>
      </c>
      <c r="AZ180" s="53">
        <f t="shared" si="88"/>
        <v>482.70499999999998</v>
      </c>
      <c r="BA180" s="53">
        <f t="shared" si="89"/>
        <v>25.5</v>
      </c>
      <c r="BB180" s="53">
        <f t="shared" si="90"/>
        <v>109.212</v>
      </c>
      <c r="BC180" s="53">
        <f t="shared" si="91"/>
        <v>7.8</v>
      </c>
      <c r="BD180" s="53">
        <f t="shared" si="92"/>
        <v>625.21699999999998</v>
      </c>
      <c r="BE180" s="60">
        <f t="shared" si="114"/>
        <v>5530.4589999999998</v>
      </c>
      <c r="BF180" s="60">
        <f t="shared" si="114"/>
        <v>351.23099999999999</v>
      </c>
      <c r="BG180" s="60">
        <f t="shared" si="110"/>
        <v>1973.5429999999999</v>
      </c>
      <c r="BH180" s="60">
        <f t="shared" si="110"/>
        <v>259.46600000000001</v>
      </c>
      <c r="BI180" s="60">
        <f t="shared" si="110"/>
        <v>8114.6989999999996</v>
      </c>
      <c r="BJ180" s="1">
        <f t="shared" si="111"/>
        <v>14</v>
      </c>
    </row>
    <row r="181" spans="1:62" x14ac:dyDescent="0.3">
      <c r="A181" s="48">
        <v>38822</v>
      </c>
      <c r="B181" s="56">
        <v>560177</v>
      </c>
      <c r="C181" s="56">
        <v>102593</v>
      </c>
      <c r="D181" s="56">
        <v>0</v>
      </c>
      <c r="E181" s="53">
        <f t="shared" si="93"/>
        <v>662770</v>
      </c>
      <c r="F181" s="53">
        <f t="shared" si="81"/>
        <v>496717</v>
      </c>
      <c r="G181" s="53">
        <f t="shared" si="112"/>
        <v>531541.25</v>
      </c>
      <c r="H181" s="59">
        <f t="shared" si="94"/>
        <v>10.826841108117913</v>
      </c>
      <c r="I181" s="59">
        <f t="shared" si="94"/>
        <v>12.077980318769367</v>
      </c>
      <c r="J181" s="59">
        <f t="shared" si="113"/>
        <v>-6.5515611441256949</v>
      </c>
      <c r="L181" s="53">
        <v>1535</v>
      </c>
      <c r="M181" s="53">
        <v>3000</v>
      </c>
      <c r="N181" s="53">
        <v>10889</v>
      </c>
      <c r="O181" s="53">
        <f t="shared" si="95"/>
        <v>15424</v>
      </c>
      <c r="P181" s="53">
        <f t="shared" si="82"/>
        <v>22802</v>
      </c>
      <c r="Q181" s="53">
        <f t="shared" si="96"/>
        <v>36429.166666666664</v>
      </c>
      <c r="R181" s="59">
        <f t="shared" si="97"/>
        <v>2.5259239563945712</v>
      </c>
      <c r="S181" s="59">
        <f t="shared" si="97"/>
        <v>-10.37213918614821</v>
      </c>
      <c r="T181" s="59">
        <f t="shared" si="98"/>
        <v>-37.407297266384532</v>
      </c>
      <c r="V181" s="56">
        <v>45458</v>
      </c>
      <c r="W181" s="56">
        <v>13820</v>
      </c>
      <c r="X181" s="56">
        <v>7000</v>
      </c>
      <c r="Y181" s="53">
        <f t="shared" si="99"/>
        <v>66278</v>
      </c>
      <c r="Z181" s="53">
        <f t="shared" si="83"/>
        <v>100471.25</v>
      </c>
      <c r="AA181" s="53">
        <f t="shared" si="100"/>
        <v>139603.16666666666</v>
      </c>
      <c r="AB181" s="59">
        <f t="shared" si="101"/>
        <v>-55.605420213941713</v>
      </c>
      <c r="AC181" s="59">
        <f t="shared" si="101"/>
        <v>-27.509397614701403</v>
      </c>
      <c r="AD181" s="59">
        <f t="shared" si="102"/>
        <v>-28.030823083048496</v>
      </c>
      <c r="AF181" s="56">
        <v>0</v>
      </c>
      <c r="AG181" s="56">
        <v>0</v>
      </c>
      <c r="AH181" s="56">
        <v>5300</v>
      </c>
      <c r="AI181" s="53">
        <f t="shared" si="103"/>
        <v>5300</v>
      </c>
      <c r="AJ181" s="53">
        <f t="shared" si="85"/>
        <v>12597.5</v>
      </c>
      <c r="AK181" s="53">
        <f t="shared" si="104"/>
        <v>12756.166666666666</v>
      </c>
      <c r="AL181" s="59">
        <f t="shared" si="105"/>
        <v>-50.216043584444868</v>
      </c>
      <c r="AM181" s="59">
        <f t="shared" si="105"/>
        <v>-15.383452838743262</v>
      </c>
      <c r="AN181" s="59">
        <f t="shared" si="106"/>
        <v>-1.2438428472503427</v>
      </c>
      <c r="AP181" s="53">
        <f t="shared" si="86"/>
        <v>607170</v>
      </c>
      <c r="AQ181" s="53">
        <f t="shared" si="86"/>
        <v>119413</v>
      </c>
      <c r="AR181" s="53">
        <f t="shared" si="86"/>
        <v>23189</v>
      </c>
      <c r="AS181" s="53">
        <f t="shared" si="84"/>
        <v>749772</v>
      </c>
      <c r="AT181" s="53">
        <f t="shared" si="87"/>
        <v>632587.75</v>
      </c>
      <c r="AU181" s="53">
        <f t="shared" si="107"/>
        <v>720329.75</v>
      </c>
      <c r="AV181" s="59">
        <f t="shared" si="108"/>
        <v>-3.0056687787675673</v>
      </c>
      <c r="AW181" s="59">
        <f t="shared" si="108"/>
        <v>1.6832063139324838</v>
      </c>
      <c r="AX181" s="59">
        <f t="shared" si="109"/>
        <v>-12.180810246973694</v>
      </c>
      <c r="AZ181" s="53">
        <f t="shared" si="88"/>
        <v>662.77</v>
      </c>
      <c r="BA181" s="53">
        <f t="shared" si="89"/>
        <v>15.423999999999999</v>
      </c>
      <c r="BB181" s="53">
        <f t="shared" si="90"/>
        <v>66.278000000000006</v>
      </c>
      <c r="BC181" s="53">
        <f t="shared" si="91"/>
        <v>5.3</v>
      </c>
      <c r="BD181" s="53">
        <f t="shared" si="92"/>
        <v>749.77200000000005</v>
      </c>
      <c r="BE181" s="60">
        <f t="shared" si="114"/>
        <v>6193.2289999999994</v>
      </c>
      <c r="BF181" s="60">
        <f t="shared" si="114"/>
        <v>366.65499999999997</v>
      </c>
      <c r="BG181" s="60">
        <f t="shared" si="110"/>
        <v>2039.8209999999999</v>
      </c>
      <c r="BH181" s="60">
        <f t="shared" si="110"/>
        <v>264.76600000000002</v>
      </c>
      <c r="BI181" s="60">
        <f t="shared" si="110"/>
        <v>8864.4709999999995</v>
      </c>
      <c r="BJ181" s="1">
        <f t="shared" si="111"/>
        <v>15</v>
      </c>
    </row>
    <row r="182" spans="1:62" x14ac:dyDescent="0.3">
      <c r="A182" s="48">
        <v>38829</v>
      </c>
      <c r="B182" s="56">
        <v>459283</v>
      </c>
      <c r="C182" s="56">
        <v>67512</v>
      </c>
      <c r="D182" s="56">
        <v>0</v>
      </c>
      <c r="E182" s="53">
        <f t="shared" si="93"/>
        <v>526795</v>
      </c>
      <c r="F182" s="53">
        <f t="shared" si="81"/>
        <v>552818.25</v>
      </c>
      <c r="G182" s="53">
        <f t="shared" si="112"/>
        <v>538081.5</v>
      </c>
      <c r="H182" s="59">
        <f t="shared" si="94"/>
        <v>4.0940491151526759</v>
      </c>
      <c r="I182" s="59">
        <f t="shared" si="94"/>
        <v>16.342559441287928</v>
      </c>
      <c r="J182" s="59">
        <f t="shared" si="113"/>
        <v>2.7387579762545355</v>
      </c>
      <c r="L182" s="53">
        <v>6175</v>
      </c>
      <c r="M182" s="53">
        <v>3000</v>
      </c>
      <c r="N182" s="53">
        <v>18200</v>
      </c>
      <c r="O182" s="53">
        <f t="shared" si="95"/>
        <v>27375</v>
      </c>
      <c r="P182" s="53">
        <f t="shared" si="82"/>
        <v>23399.5</v>
      </c>
      <c r="Q182" s="53">
        <f t="shared" si="96"/>
        <v>35833.916666666664</v>
      </c>
      <c r="R182" s="59">
        <f t="shared" si="97"/>
        <v>-13.657151868790407</v>
      </c>
      <c r="S182" s="59">
        <f t="shared" si="97"/>
        <v>-3.0574831693423121</v>
      </c>
      <c r="T182" s="59">
        <f t="shared" si="98"/>
        <v>-34.700132788535996</v>
      </c>
      <c r="V182" s="56">
        <v>53080</v>
      </c>
      <c r="W182" s="56">
        <v>14100</v>
      </c>
      <c r="X182" s="56">
        <v>5600</v>
      </c>
      <c r="Y182" s="53">
        <f t="shared" si="99"/>
        <v>72780</v>
      </c>
      <c r="Z182" s="53">
        <f t="shared" si="83"/>
        <v>93134.75</v>
      </c>
      <c r="AA182" s="53">
        <f t="shared" si="100"/>
        <v>137209.66666666666</v>
      </c>
      <c r="AB182" s="59">
        <f t="shared" si="101"/>
        <v>-44.855281103197456</v>
      </c>
      <c r="AC182" s="59">
        <f t="shared" si="101"/>
        <v>-33.812733629916004</v>
      </c>
      <c r="AD182" s="59">
        <f t="shared" si="102"/>
        <v>-32.122311596121747</v>
      </c>
      <c r="AF182" s="56">
        <v>0</v>
      </c>
      <c r="AG182" s="56">
        <v>0</v>
      </c>
      <c r="AH182" s="56">
        <v>12500</v>
      </c>
      <c r="AI182" s="53">
        <f t="shared" si="103"/>
        <v>12500</v>
      </c>
      <c r="AJ182" s="53">
        <f t="shared" si="85"/>
        <v>7960</v>
      </c>
      <c r="AK182" s="53">
        <f t="shared" si="104"/>
        <v>11348.583333333334</v>
      </c>
      <c r="AL182" s="59">
        <f t="shared" si="105"/>
        <v>38.888888888888886</v>
      </c>
      <c r="AM182" s="59">
        <f t="shared" si="105"/>
        <v>-41.845811035414883</v>
      </c>
      <c r="AN182" s="59">
        <f t="shared" si="106"/>
        <v>-29.859086670142389</v>
      </c>
      <c r="AP182" s="53">
        <f t="shared" si="86"/>
        <v>518538</v>
      </c>
      <c r="AQ182" s="53">
        <f t="shared" si="86"/>
        <v>84612</v>
      </c>
      <c r="AR182" s="53">
        <f t="shared" si="86"/>
        <v>36300</v>
      </c>
      <c r="AS182" s="53">
        <f t="shared" si="84"/>
        <v>639450</v>
      </c>
      <c r="AT182" s="53">
        <f t="shared" si="87"/>
        <v>677312.5</v>
      </c>
      <c r="AU182" s="53">
        <f t="shared" si="107"/>
        <v>722473.66666666663</v>
      </c>
      <c r="AV182" s="59">
        <f t="shared" si="108"/>
        <v>-5.7915820148771058</v>
      </c>
      <c r="AW182" s="59">
        <f t="shared" si="108"/>
        <v>3.6115761962418835</v>
      </c>
      <c r="AX182" s="59">
        <f t="shared" si="109"/>
        <v>-6.2509083376049208</v>
      </c>
      <c r="AZ182" s="53">
        <f t="shared" si="88"/>
        <v>526.79499999999996</v>
      </c>
      <c r="BA182" s="53">
        <f t="shared" si="89"/>
        <v>27.375</v>
      </c>
      <c r="BB182" s="53">
        <f t="shared" si="90"/>
        <v>72.78</v>
      </c>
      <c r="BC182" s="53">
        <f t="shared" si="91"/>
        <v>12.5</v>
      </c>
      <c r="BD182" s="53">
        <f t="shared" si="92"/>
        <v>639.45000000000005</v>
      </c>
      <c r="BE182" s="60">
        <f t="shared" si="114"/>
        <v>6720.0239999999994</v>
      </c>
      <c r="BF182" s="60">
        <f t="shared" si="114"/>
        <v>394.03</v>
      </c>
      <c r="BG182" s="60">
        <f t="shared" si="110"/>
        <v>2112.6010000000001</v>
      </c>
      <c r="BH182" s="60">
        <f t="shared" si="110"/>
        <v>277.26600000000002</v>
      </c>
      <c r="BI182" s="60">
        <f t="shared" si="110"/>
        <v>9503.9210000000003</v>
      </c>
      <c r="BJ182" s="1">
        <f t="shared" si="111"/>
        <v>16</v>
      </c>
    </row>
    <row r="183" spans="1:62" x14ac:dyDescent="0.3">
      <c r="A183" s="48">
        <v>38836</v>
      </c>
      <c r="B183" s="56">
        <v>521773</v>
      </c>
      <c r="C183" s="56">
        <v>65000</v>
      </c>
      <c r="D183" s="56">
        <v>0</v>
      </c>
      <c r="E183" s="53">
        <f t="shared" si="93"/>
        <v>586773</v>
      </c>
      <c r="F183" s="53">
        <f t="shared" si="81"/>
        <v>564760.75</v>
      </c>
      <c r="G183" s="53">
        <f t="shared" si="112"/>
        <v>532501</v>
      </c>
      <c r="H183" s="59">
        <f t="shared" si="94"/>
        <v>33.024636081078931</v>
      </c>
      <c r="I183" s="59">
        <f t="shared" si="94"/>
        <v>15.335441564488583</v>
      </c>
      <c r="J183" s="59">
        <f t="shared" si="113"/>
        <v>6.0581576372626511</v>
      </c>
      <c r="L183" s="53">
        <v>1600</v>
      </c>
      <c r="M183" s="53">
        <v>0</v>
      </c>
      <c r="N183" s="53">
        <v>12600</v>
      </c>
      <c r="O183" s="53">
        <f t="shared" si="95"/>
        <v>14200</v>
      </c>
      <c r="P183" s="53">
        <f t="shared" si="82"/>
        <v>20624.75</v>
      </c>
      <c r="Q183" s="53">
        <f t="shared" si="96"/>
        <v>35895.5</v>
      </c>
      <c r="R183" s="59">
        <f t="shared" si="97"/>
        <v>-55.254450921695295</v>
      </c>
      <c r="S183" s="59">
        <f t="shared" si="97"/>
        <v>-19.147956133559397</v>
      </c>
      <c r="T183" s="59">
        <f t="shared" si="98"/>
        <v>-42.542240670836172</v>
      </c>
      <c r="V183" s="56">
        <v>56593</v>
      </c>
      <c r="W183" s="56">
        <v>10500</v>
      </c>
      <c r="X183" s="56">
        <v>9900</v>
      </c>
      <c r="Y183" s="53">
        <f t="shared" si="99"/>
        <v>76993</v>
      </c>
      <c r="Z183" s="53">
        <f t="shared" si="83"/>
        <v>81315.75</v>
      </c>
      <c r="AA183" s="53">
        <f t="shared" si="100"/>
        <v>126736.5</v>
      </c>
      <c r="AB183" s="59">
        <f t="shared" si="101"/>
        <v>-18.495739162652836</v>
      </c>
      <c r="AC183" s="59">
        <f t="shared" si="101"/>
        <v>-39.626805555039965</v>
      </c>
      <c r="AD183" s="59">
        <f t="shared" si="102"/>
        <v>-35.8387283852718</v>
      </c>
      <c r="AF183" s="56">
        <v>0</v>
      </c>
      <c r="AG183" s="56">
        <v>1500</v>
      </c>
      <c r="AH183" s="56">
        <v>5800</v>
      </c>
      <c r="AI183" s="53">
        <f t="shared" si="103"/>
        <v>7300</v>
      </c>
      <c r="AJ183" s="53">
        <f t="shared" si="85"/>
        <v>8225</v>
      </c>
      <c r="AK183" s="53">
        <f t="shared" si="104"/>
        <v>9958.0833333333339</v>
      </c>
      <c r="AL183" s="59">
        <f t="shared" si="105"/>
        <v>21.666666666666657</v>
      </c>
      <c r="AM183" s="59">
        <f t="shared" si="105"/>
        <v>-38.09505889436646</v>
      </c>
      <c r="AN183" s="59">
        <f t="shared" si="106"/>
        <v>-17.403784195419135</v>
      </c>
      <c r="AP183" s="53">
        <f t="shared" si="86"/>
        <v>579966</v>
      </c>
      <c r="AQ183" s="53">
        <f t="shared" si="86"/>
        <v>77000</v>
      </c>
      <c r="AR183" s="53">
        <f t="shared" si="86"/>
        <v>28300</v>
      </c>
      <c r="AS183" s="53">
        <f t="shared" si="84"/>
        <v>685266</v>
      </c>
      <c r="AT183" s="53">
        <f t="shared" si="87"/>
        <v>674926.25</v>
      </c>
      <c r="AU183" s="53">
        <f t="shared" si="107"/>
        <v>705091.08333333337</v>
      </c>
      <c r="AV183" s="59">
        <f t="shared" si="108"/>
        <v>19.529880464188977</v>
      </c>
      <c r="AW183" s="59">
        <f t="shared" si="108"/>
        <v>1.7754595569871023</v>
      </c>
      <c r="AX183" s="59">
        <f t="shared" si="109"/>
        <v>-4.278147043177527</v>
      </c>
      <c r="AZ183" s="53">
        <f t="shared" si="88"/>
        <v>586.77300000000002</v>
      </c>
      <c r="BA183" s="53">
        <f t="shared" si="89"/>
        <v>14.2</v>
      </c>
      <c r="BB183" s="53">
        <f t="shared" si="90"/>
        <v>76.992999999999995</v>
      </c>
      <c r="BC183" s="53">
        <f t="shared" si="91"/>
        <v>7.3</v>
      </c>
      <c r="BD183" s="53">
        <f t="shared" si="92"/>
        <v>685.26599999999996</v>
      </c>
      <c r="BE183" s="60">
        <f t="shared" si="114"/>
        <v>7306.7969999999996</v>
      </c>
      <c r="BF183" s="60">
        <f t="shared" si="114"/>
        <v>408.22999999999996</v>
      </c>
      <c r="BG183" s="60">
        <f t="shared" si="110"/>
        <v>2189.5940000000001</v>
      </c>
      <c r="BH183" s="60">
        <f t="shared" si="110"/>
        <v>284.56600000000003</v>
      </c>
      <c r="BI183" s="60">
        <f t="shared" si="110"/>
        <v>10189.187</v>
      </c>
      <c r="BJ183" s="1">
        <f t="shared" si="111"/>
        <v>17</v>
      </c>
    </row>
    <row r="184" spans="1:62" x14ac:dyDescent="0.3">
      <c r="A184" s="48">
        <v>38843</v>
      </c>
      <c r="B184" s="56">
        <v>467810</v>
      </c>
      <c r="C184" s="56">
        <v>47600</v>
      </c>
      <c r="D184" s="56">
        <v>0</v>
      </c>
      <c r="E184" s="53">
        <f t="shared" si="93"/>
        <v>515410</v>
      </c>
      <c r="F184" s="53">
        <f t="shared" si="81"/>
        <v>572937</v>
      </c>
      <c r="G184" s="53">
        <f t="shared" si="112"/>
        <v>537451.33333333337</v>
      </c>
      <c r="H184" s="59">
        <f t="shared" si="94"/>
        <v>-9.798266354216068</v>
      </c>
      <c r="I184" s="59">
        <f t="shared" si="94"/>
        <v>8.2751227560088125</v>
      </c>
      <c r="J184" s="59">
        <f t="shared" si="113"/>
        <v>6.6025823113286419</v>
      </c>
      <c r="L184" s="53">
        <v>4500</v>
      </c>
      <c r="M184" s="53">
        <v>0</v>
      </c>
      <c r="N184" s="53">
        <v>9800</v>
      </c>
      <c r="O184" s="53">
        <f t="shared" si="95"/>
        <v>14300</v>
      </c>
      <c r="P184" s="53">
        <f t="shared" si="82"/>
        <v>17824.75</v>
      </c>
      <c r="Q184" s="53">
        <f t="shared" si="96"/>
        <v>37247.416666666664</v>
      </c>
      <c r="R184" s="59">
        <f t="shared" si="97"/>
        <v>-40.339605323542905</v>
      </c>
      <c r="S184" s="59">
        <f t="shared" si="97"/>
        <v>-30.408089563019136</v>
      </c>
      <c r="T184" s="59">
        <f t="shared" si="98"/>
        <v>-52.145003344750975</v>
      </c>
      <c r="V184" s="56">
        <v>77312</v>
      </c>
      <c r="W184" s="56">
        <v>25500</v>
      </c>
      <c r="X184" s="56">
        <v>9800</v>
      </c>
      <c r="Y184" s="53">
        <f t="shared" si="99"/>
        <v>112612</v>
      </c>
      <c r="Z184" s="53">
        <f t="shared" si="83"/>
        <v>82165.75</v>
      </c>
      <c r="AA184" s="53">
        <f t="shared" si="100"/>
        <v>113814.25</v>
      </c>
      <c r="AB184" s="59">
        <f t="shared" si="101"/>
        <v>-5.2119457257331359</v>
      </c>
      <c r="AC184" s="59">
        <f t="shared" si="101"/>
        <v>-33.541943859166665</v>
      </c>
      <c r="AD184" s="59">
        <f t="shared" si="102"/>
        <v>-27.807150686315641</v>
      </c>
      <c r="AF184" s="56">
        <v>1500</v>
      </c>
      <c r="AG184" s="56">
        <v>13500</v>
      </c>
      <c r="AH184" s="56">
        <v>8600</v>
      </c>
      <c r="AI184" s="53">
        <f t="shared" si="103"/>
        <v>23600</v>
      </c>
      <c r="AJ184" s="53">
        <f t="shared" si="85"/>
        <v>12175</v>
      </c>
      <c r="AK184" s="53">
        <f t="shared" si="104"/>
        <v>9029</v>
      </c>
      <c r="AL184" s="59">
        <f t="shared" si="105"/>
        <v>204.9095607235142</v>
      </c>
      <c r="AM184" s="59">
        <f t="shared" si="105"/>
        <v>45.869526148685068</v>
      </c>
      <c r="AN184" s="59">
        <f t="shared" si="106"/>
        <v>34.843282755565411</v>
      </c>
      <c r="AP184" s="53">
        <f t="shared" si="86"/>
        <v>551122</v>
      </c>
      <c r="AQ184" s="53">
        <f t="shared" si="86"/>
        <v>86600</v>
      </c>
      <c r="AR184" s="53">
        <f t="shared" si="86"/>
        <v>28200</v>
      </c>
      <c r="AS184" s="53">
        <f t="shared" si="84"/>
        <v>665922</v>
      </c>
      <c r="AT184" s="53">
        <f t="shared" si="87"/>
        <v>685102.5</v>
      </c>
      <c r="AU184" s="53">
        <f t="shared" si="107"/>
        <v>697542</v>
      </c>
      <c r="AV184" s="59">
        <f t="shared" si="108"/>
        <v>-7.7555373938579582</v>
      </c>
      <c r="AW184" s="59">
        <f t="shared" si="108"/>
        <v>-0.23909911182397048</v>
      </c>
      <c r="AX184" s="59">
        <f t="shared" si="109"/>
        <v>-1.7833334766938713</v>
      </c>
      <c r="AZ184" s="53">
        <f t="shared" si="88"/>
        <v>515.41</v>
      </c>
      <c r="BA184" s="53">
        <f t="shared" si="89"/>
        <v>14.3</v>
      </c>
      <c r="BB184" s="53">
        <f t="shared" si="90"/>
        <v>112.61199999999999</v>
      </c>
      <c r="BC184" s="53">
        <f t="shared" si="91"/>
        <v>23.6</v>
      </c>
      <c r="BD184" s="53">
        <f t="shared" si="92"/>
        <v>665.92200000000003</v>
      </c>
      <c r="BE184" s="60">
        <f t="shared" si="114"/>
        <v>7822.2069999999994</v>
      </c>
      <c r="BF184" s="60">
        <f t="shared" si="114"/>
        <v>422.53</v>
      </c>
      <c r="BG184" s="60">
        <f t="shared" ref="BG184:BG217" si="115">BG183+BB184</f>
        <v>2302.2060000000001</v>
      </c>
      <c r="BH184" s="60">
        <f t="shared" ref="BH184:BH207" si="116">BH183+BC184</f>
        <v>308.16600000000005</v>
      </c>
      <c r="BI184" s="60">
        <f t="shared" ref="BI184:BI207" si="117">BI183+BD184</f>
        <v>10855.109</v>
      </c>
      <c r="BJ184" s="1">
        <f t="shared" si="111"/>
        <v>18</v>
      </c>
    </row>
    <row r="185" spans="1:62" x14ac:dyDescent="0.3">
      <c r="A185" s="48">
        <v>38850</v>
      </c>
      <c r="B185" s="56">
        <v>568693</v>
      </c>
      <c r="C185" s="56">
        <v>107100</v>
      </c>
      <c r="D185" s="56">
        <v>0</v>
      </c>
      <c r="E185" s="53">
        <f t="shared" si="93"/>
        <v>675793</v>
      </c>
      <c r="F185" s="53">
        <f t="shared" si="81"/>
        <v>576192.75</v>
      </c>
      <c r="G185" s="53">
        <f t="shared" si="112"/>
        <v>525807.41666666663</v>
      </c>
      <c r="H185" s="59">
        <f t="shared" si="94"/>
        <v>35.489465274199603</v>
      </c>
      <c r="I185" s="59">
        <f t="shared" si="94"/>
        <v>14.247283445187819</v>
      </c>
      <c r="J185" s="59">
        <f t="shared" si="113"/>
        <v>9.5824691201103604</v>
      </c>
      <c r="L185" s="53">
        <v>0</v>
      </c>
      <c r="M185" s="53">
        <v>13500</v>
      </c>
      <c r="N185" s="53">
        <v>4200</v>
      </c>
      <c r="O185" s="53">
        <f t="shared" si="95"/>
        <v>17700</v>
      </c>
      <c r="P185" s="53">
        <f t="shared" si="82"/>
        <v>18393.75</v>
      </c>
      <c r="Q185" s="53">
        <f t="shared" si="96"/>
        <v>39172.833333333336</v>
      </c>
      <c r="R185" s="59">
        <f t="shared" si="97"/>
        <v>-65.088757396449708</v>
      </c>
      <c r="S185" s="59">
        <f t="shared" si="97"/>
        <v>-46.726860668023086</v>
      </c>
      <c r="T185" s="59">
        <f t="shared" si="98"/>
        <v>-53.044627016171916</v>
      </c>
      <c r="V185" s="56">
        <v>116338</v>
      </c>
      <c r="W185" s="56">
        <v>21000</v>
      </c>
      <c r="X185" s="56">
        <v>16600</v>
      </c>
      <c r="Y185" s="53">
        <f t="shared" si="99"/>
        <v>153938</v>
      </c>
      <c r="Z185" s="53">
        <f t="shared" si="83"/>
        <v>104080.75</v>
      </c>
      <c r="AA185" s="53">
        <f t="shared" si="100"/>
        <v>97596.916666666672</v>
      </c>
      <c r="AB185" s="59">
        <f t="shared" si="101"/>
        <v>36.289829923239701</v>
      </c>
      <c r="AC185" s="59">
        <f t="shared" si="101"/>
        <v>-9.1390621521700197</v>
      </c>
      <c r="AD185" s="59">
        <f t="shared" si="102"/>
        <v>6.6434817356764153</v>
      </c>
      <c r="AF185" s="56">
        <v>0</v>
      </c>
      <c r="AG185" s="56">
        <v>0</v>
      </c>
      <c r="AH185" s="56">
        <v>2600</v>
      </c>
      <c r="AI185" s="53">
        <f t="shared" si="103"/>
        <v>2600</v>
      </c>
      <c r="AJ185" s="53">
        <f t="shared" si="85"/>
        <v>11500</v>
      </c>
      <c r="AK185" s="53">
        <f t="shared" si="104"/>
        <v>8954.3333333333339</v>
      </c>
      <c r="AL185" s="59">
        <f t="shared" si="105"/>
        <v>-86.021505376344081</v>
      </c>
      <c r="AM185" s="59">
        <f t="shared" si="105"/>
        <v>11.272375423318826</v>
      </c>
      <c r="AN185" s="59">
        <f t="shared" si="106"/>
        <v>28.429438260804819</v>
      </c>
      <c r="AP185" s="53">
        <f t="shared" si="86"/>
        <v>685031</v>
      </c>
      <c r="AQ185" s="53">
        <f t="shared" si="86"/>
        <v>141600</v>
      </c>
      <c r="AR185" s="53">
        <f t="shared" si="86"/>
        <v>23400</v>
      </c>
      <c r="AS185" s="53">
        <f t="shared" si="84"/>
        <v>850031</v>
      </c>
      <c r="AT185" s="53">
        <f t="shared" si="87"/>
        <v>710167.25</v>
      </c>
      <c r="AU185" s="53">
        <f t="shared" si="107"/>
        <v>671531.5</v>
      </c>
      <c r="AV185" s="59">
        <f t="shared" si="108"/>
        <v>24.815866601666905</v>
      </c>
      <c r="AW185" s="59">
        <f t="shared" si="108"/>
        <v>6.9931826741996161</v>
      </c>
      <c r="AX185" s="59">
        <f t="shared" si="109"/>
        <v>5.7533786575908907</v>
      </c>
      <c r="AZ185" s="53">
        <f t="shared" si="88"/>
        <v>675.79300000000001</v>
      </c>
      <c r="BA185" s="53">
        <f t="shared" si="89"/>
        <v>17.7</v>
      </c>
      <c r="BB185" s="53">
        <f t="shared" si="90"/>
        <v>153.93799999999999</v>
      </c>
      <c r="BC185" s="53">
        <f t="shared" si="91"/>
        <v>2.6</v>
      </c>
      <c r="BD185" s="53">
        <f t="shared" si="92"/>
        <v>850.03099999999995</v>
      </c>
      <c r="BE185" s="60">
        <f t="shared" si="114"/>
        <v>8498</v>
      </c>
      <c r="BF185" s="60">
        <f t="shared" si="114"/>
        <v>440.22999999999996</v>
      </c>
      <c r="BG185" s="60">
        <f t="shared" si="115"/>
        <v>2456.1440000000002</v>
      </c>
      <c r="BH185" s="60">
        <f t="shared" si="116"/>
        <v>310.76600000000008</v>
      </c>
      <c r="BI185" s="60">
        <f t="shared" si="117"/>
        <v>11705.14</v>
      </c>
      <c r="BJ185" s="1">
        <f t="shared" si="111"/>
        <v>19</v>
      </c>
    </row>
    <row r="186" spans="1:62" x14ac:dyDescent="0.3">
      <c r="A186" s="48">
        <v>38857</v>
      </c>
      <c r="B186" s="56">
        <v>623897</v>
      </c>
      <c r="C186" s="56">
        <v>54628</v>
      </c>
      <c r="D186" s="56">
        <v>0</v>
      </c>
      <c r="E186" s="53">
        <f t="shared" si="93"/>
        <v>678525</v>
      </c>
      <c r="F186" s="53">
        <f t="shared" ref="F186:F192" si="118">AVERAGE(E183,E184,E185,E186)</f>
        <v>614125.25</v>
      </c>
      <c r="G186" s="53">
        <f t="shared" si="112"/>
        <v>533967.58333333337</v>
      </c>
      <c r="H186" s="59">
        <f t="shared" ref="H186:I192" si="119">((E186/E134)-1)*100</f>
        <v>47.852566896191064</v>
      </c>
      <c r="I186" s="59">
        <f t="shared" si="119"/>
        <v>24.683013932109322</v>
      </c>
      <c r="J186" s="59">
        <f t="shared" ref="J186:J192" si="120">((F186/G186)-1)*100</f>
        <v>15.011710292650404</v>
      </c>
      <c r="L186" s="53">
        <v>4735</v>
      </c>
      <c r="M186" s="53">
        <v>1500</v>
      </c>
      <c r="N186" s="53">
        <v>2800</v>
      </c>
      <c r="O186" s="53">
        <f t="shared" si="95"/>
        <v>9035</v>
      </c>
      <c r="P186" s="53">
        <f t="shared" si="82"/>
        <v>13808.75</v>
      </c>
      <c r="Q186" s="53">
        <f t="shared" si="96"/>
        <v>40685.666666666664</v>
      </c>
      <c r="R186" s="59">
        <f t="shared" si="97"/>
        <v>-76.842833709247486</v>
      </c>
      <c r="S186" s="59">
        <f t="shared" si="97"/>
        <v>-62.016916517672946</v>
      </c>
      <c r="T186" s="59">
        <f t="shared" si="98"/>
        <v>-66.059914630049903</v>
      </c>
      <c r="V186" s="56">
        <v>127237</v>
      </c>
      <c r="W186" s="56">
        <v>24341</v>
      </c>
      <c r="X186" s="56">
        <v>14000</v>
      </c>
      <c r="Y186" s="53">
        <f t="shared" si="99"/>
        <v>165578</v>
      </c>
      <c r="Z186" s="53">
        <f t="shared" si="83"/>
        <v>127280.25</v>
      </c>
      <c r="AA186" s="53">
        <f t="shared" si="100"/>
        <v>96673.666666666672</v>
      </c>
      <c r="AB186" s="59">
        <f t="shared" si="101"/>
        <v>32.829008062251816</v>
      </c>
      <c r="AC186" s="59">
        <f t="shared" si="101"/>
        <v>12.918937261712271</v>
      </c>
      <c r="AD186" s="59">
        <f t="shared" si="102"/>
        <v>31.659690160367692</v>
      </c>
      <c r="AF186" s="56">
        <v>0</v>
      </c>
      <c r="AG186" s="56">
        <v>0</v>
      </c>
      <c r="AH186" s="56">
        <v>5600</v>
      </c>
      <c r="AI186" s="53">
        <f t="shared" si="103"/>
        <v>5600</v>
      </c>
      <c r="AJ186" s="53">
        <f t="shared" si="85"/>
        <v>9775</v>
      </c>
      <c r="AK186" s="53">
        <f t="shared" si="104"/>
        <v>10888.166666666666</v>
      </c>
      <c r="AL186" s="59">
        <f t="shared" si="105"/>
        <v>-67.251461988304101</v>
      </c>
      <c r="AM186" s="59">
        <f t="shared" si="105"/>
        <v>-20.914239482200646</v>
      </c>
      <c r="AN186" s="59">
        <f t="shared" si="106"/>
        <v>-10.223637282064624</v>
      </c>
      <c r="AP186" s="53">
        <f t="shared" si="86"/>
        <v>755869</v>
      </c>
      <c r="AQ186" s="53">
        <f t="shared" si="86"/>
        <v>80469</v>
      </c>
      <c r="AR186" s="53">
        <f t="shared" si="86"/>
        <v>22400</v>
      </c>
      <c r="AS186" s="53">
        <f t="shared" si="84"/>
        <v>858738</v>
      </c>
      <c r="AT186" s="53">
        <f t="shared" si="87"/>
        <v>764989.25</v>
      </c>
      <c r="AU186" s="53">
        <f t="shared" si="107"/>
        <v>682215.08333333337</v>
      </c>
      <c r="AV186" s="59">
        <f t="shared" si="108"/>
        <v>34.242626518115785</v>
      </c>
      <c r="AW186" s="59">
        <f t="shared" si="108"/>
        <v>16.973963370579483</v>
      </c>
      <c r="AX186" s="59">
        <f t="shared" si="109"/>
        <v>12.133148135955651</v>
      </c>
      <c r="AZ186" s="53">
        <f t="shared" si="88"/>
        <v>678.52499999999998</v>
      </c>
      <c r="BA186" s="53">
        <f t="shared" si="89"/>
        <v>9.0350000000000001</v>
      </c>
      <c r="BB186" s="53">
        <f t="shared" si="90"/>
        <v>165.578</v>
      </c>
      <c r="BC186" s="53">
        <f t="shared" si="91"/>
        <v>5.6</v>
      </c>
      <c r="BD186" s="53">
        <f t="shared" si="92"/>
        <v>858.73800000000006</v>
      </c>
      <c r="BE186" s="60">
        <f t="shared" si="114"/>
        <v>9176.5249999999996</v>
      </c>
      <c r="BF186" s="60">
        <f t="shared" si="114"/>
        <v>449.26499999999999</v>
      </c>
      <c r="BG186" s="60">
        <f t="shared" si="115"/>
        <v>2621.7220000000002</v>
      </c>
      <c r="BH186" s="60">
        <f t="shared" si="116"/>
        <v>316.3660000000001</v>
      </c>
      <c r="BI186" s="60">
        <f t="shared" si="117"/>
        <v>12563.877999999999</v>
      </c>
      <c r="BJ186" s="1">
        <f t="shared" si="111"/>
        <v>20</v>
      </c>
    </row>
    <row r="187" spans="1:62" x14ac:dyDescent="0.3">
      <c r="A187" s="48">
        <v>38864</v>
      </c>
      <c r="B187" s="53">
        <v>591450</v>
      </c>
      <c r="C187" s="53">
        <v>72100</v>
      </c>
      <c r="D187" s="53">
        <v>0</v>
      </c>
      <c r="E187" s="53">
        <f t="shared" si="93"/>
        <v>663550</v>
      </c>
      <c r="F187" s="53">
        <f t="shared" si="118"/>
        <v>633319.5</v>
      </c>
      <c r="G187" s="53">
        <f t="shared" si="112"/>
        <v>558063.5</v>
      </c>
      <c r="H187" s="59">
        <f t="shared" si="119"/>
        <v>30.24626171342879</v>
      </c>
      <c r="I187" s="59">
        <f t="shared" si="119"/>
        <v>24.268378468267215</v>
      </c>
      <c r="J187" s="59">
        <f t="shared" si="120"/>
        <v>13.485203744735141</v>
      </c>
      <c r="L187" s="53">
        <v>0</v>
      </c>
      <c r="M187" s="53">
        <v>6600</v>
      </c>
      <c r="N187" s="53">
        <v>2800</v>
      </c>
      <c r="O187" s="53">
        <f t="shared" si="95"/>
        <v>9400</v>
      </c>
      <c r="P187" s="53">
        <f t="shared" si="82"/>
        <v>12608.75</v>
      </c>
      <c r="Q187" s="53">
        <f t="shared" si="96"/>
        <v>39094.5</v>
      </c>
      <c r="R187" s="59">
        <f t="shared" si="97"/>
        <v>-67.736399519478297</v>
      </c>
      <c r="S187" s="59">
        <f t="shared" si="97"/>
        <v>-64.686318442795127</v>
      </c>
      <c r="T187" s="59">
        <f t="shared" si="98"/>
        <v>-67.748020821343161</v>
      </c>
      <c r="V187" s="53">
        <v>76201</v>
      </c>
      <c r="W187" s="53">
        <v>33500</v>
      </c>
      <c r="X187" s="53">
        <v>12600</v>
      </c>
      <c r="Y187" s="53">
        <f t="shared" si="99"/>
        <v>122301</v>
      </c>
      <c r="Z187" s="53">
        <f t="shared" si="83"/>
        <v>138607.25</v>
      </c>
      <c r="AA187" s="53">
        <f t="shared" si="100"/>
        <v>103027.58333333333</v>
      </c>
      <c r="AB187" s="59">
        <f t="shared" si="101"/>
        <v>-16.01936414200371</v>
      </c>
      <c r="AC187" s="59">
        <f t="shared" si="101"/>
        <v>10.435664232587971</v>
      </c>
      <c r="AD187" s="59">
        <f t="shared" si="102"/>
        <v>34.53411748148352</v>
      </c>
      <c r="AF187" s="53">
        <v>0</v>
      </c>
      <c r="AG187" s="53">
        <v>0</v>
      </c>
      <c r="AH187" s="53">
        <v>4600</v>
      </c>
      <c r="AI187" s="53">
        <f t="shared" si="103"/>
        <v>4600</v>
      </c>
      <c r="AJ187" s="53">
        <f t="shared" si="85"/>
        <v>9100</v>
      </c>
      <c r="AK187" s="53">
        <f t="shared" si="104"/>
        <v>12781.75</v>
      </c>
      <c r="AL187" s="59">
        <f t="shared" si="105"/>
        <v>-78.095238095238102</v>
      </c>
      <c r="AM187" s="59">
        <f t="shared" si="105"/>
        <v>-43.513345747982626</v>
      </c>
      <c r="AN187" s="59">
        <f t="shared" si="106"/>
        <v>-28.804741134821132</v>
      </c>
      <c r="AP187" s="53">
        <f t="shared" si="86"/>
        <v>667651</v>
      </c>
      <c r="AQ187" s="53">
        <f t="shared" si="86"/>
        <v>112200</v>
      </c>
      <c r="AR187" s="53">
        <f t="shared" si="86"/>
        <v>20000</v>
      </c>
      <c r="AS187" s="53">
        <f t="shared" si="84"/>
        <v>799851</v>
      </c>
      <c r="AT187" s="53">
        <f t="shared" si="87"/>
        <v>793635.5</v>
      </c>
      <c r="AU187" s="53">
        <f t="shared" si="107"/>
        <v>712967.33333333337</v>
      </c>
      <c r="AV187" s="59">
        <f t="shared" si="108"/>
        <v>13.418167019510129</v>
      </c>
      <c r="AW187" s="59">
        <f t="shared" si="108"/>
        <v>15.528128880303594</v>
      </c>
      <c r="AX187" s="59">
        <f t="shared" si="109"/>
        <v>11.314426747929529</v>
      </c>
      <c r="AZ187" s="53">
        <f t="shared" si="88"/>
        <v>663.55</v>
      </c>
      <c r="BA187" s="53">
        <f t="shared" si="89"/>
        <v>9.4</v>
      </c>
      <c r="BB187" s="53">
        <f t="shared" si="90"/>
        <v>122.301</v>
      </c>
      <c r="BC187" s="53">
        <f t="shared" si="91"/>
        <v>4.5999999999999996</v>
      </c>
      <c r="BD187" s="53">
        <f t="shared" si="92"/>
        <v>799.851</v>
      </c>
      <c r="BE187" s="60">
        <f t="shared" si="114"/>
        <v>9840.0749999999989</v>
      </c>
      <c r="BF187" s="60">
        <f t="shared" si="114"/>
        <v>458.66499999999996</v>
      </c>
      <c r="BG187" s="60">
        <f t="shared" si="115"/>
        <v>2744.0230000000001</v>
      </c>
      <c r="BH187" s="60">
        <f t="shared" si="116"/>
        <v>320.96600000000012</v>
      </c>
      <c r="BI187" s="60">
        <f t="shared" si="117"/>
        <v>13363.728999999999</v>
      </c>
      <c r="BJ187" s="1">
        <f t="shared" si="111"/>
        <v>21</v>
      </c>
    </row>
    <row r="188" spans="1:62" x14ac:dyDescent="0.3">
      <c r="A188" s="48">
        <v>38871</v>
      </c>
      <c r="B188" s="53">
        <v>562313</v>
      </c>
      <c r="C188" s="53">
        <v>48512</v>
      </c>
      <c r="D188" s="53">
        <v>0</v>
      </c>
      <c r="E188" s="53">
        <f t="shared" si="93"/>
        <v>610825</v>
      </c>
      <c r="F188" s="53">
        <f t="shared" si="118"/>
        <v>657173.25</v>
      </c>
      <c r="G188" s="53">
        <f t="shared" si="112"/>
        <v>585920.83333333337</v>
      </c>
      <c r="H188" s="59">
        <f t="shared" si="119"/>
        <v>17.970215091766949</v>
      </c>
      <c r="I188" s="59">
        <f t="shared" si="119"/>
        <v>32.432128794076995</v>
      </c>
      <c r="J188" s="59">
        <f t="shared" si="120"/>
        <v>12.160758350459734</v>
      </c>
      <c r="L188" s="53">
        <v>7941</v>
      </c>
      <c r="M188" s="53">
        <v>0</v>
      </c>
      <c r="N188" s="53">
        <v>9800</v>
      </c>
      <c r="O188" s="53">
        <f t="shared" si="95"/>
        <v>17741</v>
      </c>
      <c r="P188" s="53">
        <f t="shared" si="82"/>
        <v>13469</v>
      </c>
      <c r="Q188" s="53">
        <f t="shared" si="96"/>
        <v>37048</v>
      </c>
      <c r="R188" s="59">
        <f t="shared" si="97"/>
        <v>-61.879284041341663</v>
      </c>
      <c r="S188" s="59">
        <f t="shared" si="97"/>
        <v>-67.42487453896851</v>
      </c>
      <c r="T188" s="59">
        <f t="shared" si="98"/>
        <v>-63.644461239473117</v>
      </c>
      <c r="V188" s="53">
        <v>55463</v>
      </c>
      <c r="W188" s="53">
        <v>21271</v>
      </c>
      <c r="X188" s="53">
        <v>18200</v>
      </c>
      <c r="Y188" s="53">
        <f t="shared" si="99"/>
        <v>94934</v>
      </c>
      <c r="Z188" s="53">
        <f t="shared" si="83"/>
        <v>134187.75</v>
      </c>
      <c r="AA188" s="53">
        <f t="shared" si="100"/>
        <v>101590.83333333333</v>
      </c>
      <c r="AB188" s="59">
        <f t="shared" si="101"/>
        <v>-31.865876239826608</v>
      </c>
      <c r="AC188" s="59">
        <f t="shared" si="101"/>
        <v>2.7140965386322824</v>
      </c>
      <c r="AD188" s="59">
        <f t="shared" si="102"/>
        <v>32.086474337415623</v>
      </c>
      <c r="AF188" s="53">
        <v>0</v>
      </c>
      <c r="AG188" s="53">
        <v>1500</v>
      </c>
      <c r="AH188" s="53">
        <v>7550</v>
      </c>
      <c r="AI188" s="53">
        <f t="shared" si="103"/>
        <v>9050</v>
      </c>
      <c r="AJ188" s="53">
        <f t="shared" si="85"/>
        <v>5462.5</v>
      </c>
      <c r="AK188" s="53">
        <f t="shared" si="104"/>
        <v>10428.416666666666</v>
      </c>
      <c r="AL188" s="59">
        <f t="shared" si="105"/>
        <v>503.33333333333331</v>
      </c>
      <c r="AM188" s="59">
        <f t="shared" si="105"/>
        <v>-62.457044673539521</v>
      </c>
      <c r="AN188" s="59">
        <f t="shared" si="106"/>
        <v>-47.619085671362704</v>
      </c>
      <c r="AP188" s="53">
        <f t="shared" si="86"/>
        <v>625717</v>
      </c>
      <c r="AQ188" s="53">
        <f t="shared" si="86"/>
        <v>71283</v>
      </c>
      <c r="AR188" s="53">
        <f t="shared" si="86"/>
        <v>35550</v>
      </c>
      <c r="AS188" s="53">
        <f t="shared" si="84"/>
        <v>732550</v>
      </c>
      <c r="AT188" s="53">
        <f t="shared" si="87"/>
        <v>810292.5</v>
      </c>
      <c r="AU188" s="53">
        <f t="shared" si="107"/>
        <v>734988.08333333337</v>
      </c>
      <c r="AV188" s="59">
        <f t="shared" si="108"/>
        <v>3.8854034307496788</v>
      </c>
      <c r="AW188" s="59">
        <f t="shared" si="108"/>
        <v>18.676618234304641</v>
      </c>
      <c r="AX188" s="59">
        <f t="shared" si="109"/>
        <v>10.24566498073607</v>
      </c>
      <c r="AZ188" s="53">
        <f t="shared" si="88"/>
        <v>610.82500000000005</v>
      </c>
      <c r="BA188" s="53">
        <f t="shared" si="89"/>
        <v>17.741</v>
      </c>
      <c r="BB188" s="53">
        <f t="shared" si="90"/>
        <v>94.933999999999997</v>
      </c>
      <c r="BC188" s="53">
        <f t="shared" si="91"/>
        <v>9.0500000000000007</v>
      </c>
      <c r="BD188" s="53">
        <f t="shared" si="92"/>
        <v>732.55</v>
      </c>
      <c r="BE188" s="60">
        <f t="shared" si="114"/>
        <v>10450.9</v>
      </c>
      <c r="BF188" s="60">
        <f t="shared" si="114"/>
        <v>476.40599999999995</v>
      </c>
      <c r="BG188" s="60">
        <f t="shared" si="115"/>
        <v>2838.9570000000003</v>
      </c>
      <c r="BH188" s="60">
        <f t="shared" si="116"/>
        <v>330.01600000000013</v>
      </c>
      <c r="BI188" s="60">
        <f t="shared" si="117"/>
        <v>14096.278999999999</v>
      </c>
      <c r="BJ188" s="1">
        <f t="shared" si="111"/>
        <v>22</v>
      </c>
    </row>
    <row r="189" spans="1:62" x14ac:dyDescent="0.3">
      <c r="A189" s="48">
        <v>38878</v>
      </c>
      <c r="B189" s="53">
        <v>450061</v>
      </c>
      <c r="C189" s="53">
        <v>58600</v>
      </c>
      <c r="D189" s="53">
        <v>0</v>
      </c>
      <c r="E189" s="53">
        <f t="shared" si="93"/>
        <v>508661</v>
      </c>
      <c r="F189" s="53">
        <f t="shared" si="118"/>
        <v>615390.25</v>
      </c>
      <c r="G189" s="53">
        <f t="shared" si="112"/>
        <v>629910.41666666663</v>
      </c>
      <c r="H189" s="59">
        <f t="shared" si="119"/>
        <v>-23.283628010937484</v>
      </c>
      <c r="I189" s="59">
        <f t="shared" si="119"/>
        <v>14.533933122960295</v>
      </c>
      <c r="J189" s="59">
        <f t="shared" si="120"/>
        <v>-2.3051161375460039</v>
      </c>
      <c r="L189" s="53">
        <v>1500</v>
      </c>
      <c r="M189" s="53">
        <v>0</v>
      </c>
      <c r="N189" s="53">
        <v>11200</v>
      </c>
      <c r="O189" s="53">
        <f t="shared" si="95"/>
        <v>12700</v>
      </c>
      <c r="P189" s="53">
        <f t="shared" si="82"/>
        <v>12219</v>
      </c>
      <c r="Q189" s="53">
        <f t="shared" si="96"/>
        <v>35337.333333333336</v>
      </c>
      <c r="R189" s="59">
        <f t="shared" ref="R189:S192" si="121">((O189/O137)-1)*100</f>
        <v>-61.011849941671272</v>
      </c>
      <c r="S189" s="59">
        <f t="shared" si="121"/>
        <v>-66.810625814863101</v>
      </c>
      <c r="T189" s="59">
        <f t="shared" si="98"/>
        <v>-65.421839037090137</v>
      </c>
      <c r="V189" s="53">
        <v>99891</v>
      </c>
      <c r="W189" s="53">
        <v>25650</v>
      </c>
      <c r="X189" s="53">
        <v>11200</v>
      </c>
      <c r="Y189" s="53">
        <f t="shared" si="99"/>
        <v>136741</v>
      </c>
      <c r="Z189" s="53">
        <f t="shared" si="83"/>
        <v>129888.5</v>
      </c>
      <c r="AA189" s="53">
        <f t="shared" si="100"/>
        <v>106265.75</v>
      </c>
      <c r="AB189" s="59">
        <f t="shared" ref="AB189:AC192" si="122">((Y189/Y137)-1)*100</f>
        <v>2.8058251697253622</v>
      </c>
      <c r="AC189" s="59">
        <f t="shared" si="122"/>
        <v>-4.2522685891623784</v>
      </c>
      <c r="AD189" s="59">
        <f t="shared" si="102"/>
        <v>22.22988121760774</v>
      </c>
      <c r="AF189" s="53">
        <v>0</v>
      </c>
      <c r="AG189" s="53">
        <v>0</v>
      </c>
      <c r="AH189" s="53">
        <v>8150</v>
      </c>
      <c r="AI189" s="53">
        <f t="shared" si="103"/>
        <v>8150</v>
      </c>
      <c r="AJ189" s="53">
        <f t="shared" si="85"/>
        <v>6850</v>
      </c>
      <c r="AK189" s="53">
        <f t="shared" si="104"/>
        <v>10545.083333333334</v>
      </c>
      <c r="AL189" s="59"/>
      <c r="AM189" s="59">
        <f t="shared" ref="AL189:AM192" si="123">((AJ189/AJ137)-1)*100</f>
        <v>-30.808080808080806</v>
      </c>
      <c r="AN189" s="59">
        <f t="shared" si="106"/>
        <v>-35.040816810361861</v>
      </c>
      <c r="AP189" s="53">
        <f t="shared" si="86"/>
        <v>551452</v>
      </c>
      <c r="AQ189" s="53">
        <f t="shared" si="86"/>
        <v>84250</v>
      </c>
      <c r="AR189" s="53">
        <f t="shared" si="86"/>
        <v>30550</v>
      </c>
      <c r="AS189" s="53">
        <f t="shared" si="84"/>
        <v>666252</v>
      </c>
      <c r="AT189" s="53">
        <f t="shared" si="87"/>
        <v>764347.75</v>
      </c>
      <c r="AU189" s="53">
        <f t="shared" si="107"/>
        <v>782058.58333333337</v>
      </c>
      <c r="AV189" s="59">
        <f t="shared" ref="AV189:AW192" si="124">((AS189/AS137)-1)*100</f>
        <v>-19.595377396744485</v>
      </c>
      <c r="AW189" s="59">
        <f t="shared" si="124"/>
        <v>6.2077194835150618</v>
      </c>
      <c r="AX189" s="59">
        <f t="shared" si="109"/>
        <v>-2.2646427915726353</v>
      </c>
      <c r="AZ189" s="53">
        <f t="shared" si="88"/>
        <v>508.661</v>
      </c>
      <c r="BA189" s="53">
        <f t="shared" si="89"/>
        <v>12.7</v>
      </c>
      <c r="BB189" s="53">
        <f t="shared" si="90"/>
        <v>136.74100000000001</v>
      </c>
      <c r="BC189" s="53">
        <f t="shared" si="91"/>
        <v>8.15</v>
      </c>
      <c r="BD189" s="53">
        <f t="shared" si="92"/>
        <v>666.25199999999995</v>
      </c>
      <c r="BE189" s="60">
        <f t="shared" si="114"/>
        <v>10959.561</v>
      </c>
      <c r="BF189" s="60">
        <f t="shared" si="114"/>
        <v>489.10599999999994</v>
      </c>
      <c r="BG189" s="60">
        <f t="shared" si="115"/>
        <v>2975.6980000000003</v>
      </c>
      <c r="BH189" s="60">
        <f t="shared" si="116"/>
        <v>338.16600000000011</v>
      </c>
      <c r="BI189" s="60">
        <f t="shared" si="117"/>
        <v>14762.530999999999</v>
      </c>
      <c r="BJ189" s="1">
        <f t="shared" si="111"/>
        <v>23</v>
      </c>
    </row>
    <row r="190" spans="1:62" x14ac:dyDescent="0.3">
      <c r="A190" s="48">
        <v>38885</v>
      </c>
      <c r="B190" s="53">
        <v>575329</v>
      </c>
      <c r="C190" s="53">
        <v>42000</v>
      </c>
      <c r="D190" s="53">
        <v>0</v>
      </c>
      <c r="E190" s="53">
        <f t="shared" si="93"/>
        <v>617329</v>
      </c>
      <c r="F190" s="53">
        <f t="shared" si="118"/>
        <v>600091.25</v>
      </c>
      <c r="G190" s="53">
        <f t="shared" ref="G190:G195" si="125">AVERAGE(F138,F86,F34)</f>
        <v>633539.25</v>
      </c>
      <c r="H190" s="59">
        <f t="shared" si="119"/>
        <v>33.356879772744463</v>
      </c>
      <c r="I190" s="59">
        <f t="shared" si="119"/>
        <v>11.47932396213438</v>
      </c>
      <c r="J190" s="59">
        <f t="shared" si="120"/>
        <v>-5.2795466105691187</v>
      </c>
      <c r="L190" s="53">
        <v>19000</v>
      </c>
      <c r="M190" s="53">
        <v>0</v>
      </c>
      <c r="N190" s="53">
        <v>18200</v>
      </c>
      <c r="O190" s="53">
        <f t="shared" si="95"/>
        <v>37200</v>
      </c>
      <c r="P190" s="53">
        <f t="shared" ref="P190:P195" si="126">AVERAGE(O187,O188,O189,O190)</f>
        <v>19260.25</v>
      </c>
      <c r="Q190" s="53">
        <f t="shared" ref="Q190:Q195" si="127">AVERAGE(P138,P86,P34)</f>
        <v>35981.833333333336</v>
      </c>
      <c r="R190" s="59">
        <f t="shared" si="121"/>
        <v>-10.183977980588155</v>
      </c>
      <c r="S190" s="59">
        <f t="shared" si="121"/>
        <v>-48.524715032138232</v>
      </c>
      <c r="T190" s="59">
        <f t="shared" ref="T190:T195" si="128">((P190/Q190)-1)*100</f>
        <v>-46.472293889045865</v>
      </c>
      <c r="V190" s="53">
        <v>74222</v>
      </c>
      <c r="W190" s="53">
        <v>9400</v>
      </c>
      <c r="X190" s="53">
        <v>12600</v>
      </c>
      <c r="Y190" s="53">
        <f t="shared" si="99"/>
        <v>96222</v>
      </c>
      <c r="Z190" s="53">
        <f t="shared" ref="Z190:Z195" si="129">AVERAGE(Y187,Y188,Y189,Y190)</f>
        <v>112549.5</v>
      </c>
      <c r="AA190" s="53">
        <f t="shared" ref="AA190:AA195" si="130">AVERAGE(Z138,Z86,Z34)</f>
        <v>95200</v>
      </c>
      <c r="AB190" s="59">
        <f t="shared" si="122"/>
        <v>12.439089942391067</v>
      </c>
      <c r="AC190" s="59">
        <f t="shared" si="122"/>
        <v>-10.595174262734586</v>
      </c>
      <c r="AD190" s="59">
        <f t="shared" ref="AD190:AD195" si="131">((Z190/AA190)-1)*100</f>
        <v>18.224264705882341</v>
      </c>
      <c r="AF190" s="53">
        <v>6400</v>
      </c>
      <c r="AG190" s="53">
        <v>0</v>
      </c>
      <c r="AH190" s="53">
        <v>12500</v>
      </c>
      <c r="AI190" s="53">
        <f t="shared" si="103"/>
        <v>18900</v>
      </c>
      <c r="AJ190" s="53">
        <f t="shared" ref="AJ190:AJ195" si="132">AVERAGE(AI187,AI188,AI189,AI190)</f>
        <v>10175</v>
      </c>
      <c r="AK190" s="53">
        <f t="shared" ref="AK190:AK195" si="133">AVERAGE(AJ138,AJ86,AJ34)</f>
        <v>9093.0833333333339</v>
      </c>
      <c r="AL190" s="59">
        <f t="shared" si="123"/>
        <v>107.4415541652947</v>
      </c>
      <c r="AM190" s="59">
        <f t="shared" si="123"/>
        <v>28.752649394198215</v>
      </c>
      <c r="AN190" s="59">
        <f t="shared" ref="AN190:AN195" si="134">((AJ190/AK190)-1)*100</f>
        <v>11.89823767149023</v>
      </c>
      <c r="AP190" s="53">
        <f t="shared" ref="AP190:AR314" si="135">SUM(B190,L190,V190,AF190)</f>
        <v>674951</v>
      </c>
      <c r="AQ190" s="53">
        <f t="shared" si="135"/>
        <v>51400</v>
      </c>
      <c r="AR190" s="53">
        <f t="shared" si="135"/>
        <v>43300</v>
      </c>
      <c r="AS190" s="53">
        <f t="shared" si="84"/>
        <v>769651</v>
      </c>
      <c r="AT190" s="53">
        <f t="shared" ref="AT190:AT195" si="136">AVERAGE(AS187,AS188,AS189,AS190)</f>
        <v>742076</v>
      </c>
      <c r="AU190" s="53">
        <f t="shared" ref="AU190:AU195" si="137">AVERAGE(AT138,AT86,AT34)</f>
        <v>773814.16666666663</v>
      </c>
      <c r="AV190" s="59">
        <f t="shared" si="124"/>
        <v>28.484811050029958</v>
      </c>
      <c r="AW190" s="59">
        <f t="shared" si="124"/>
        <v>4.5906653230068928</v>
      </c>
      <c r="AX190" s="59">
        <f t="shared" ref="AX190:AX195" si="138">((AT190/AU190)-1)*100</f>
        <v>-4.1015230831691891</v>
      </c>
      <c r="AZ190" s="53">
        <f t="shared" si="88"/>
        <v>617.32899999999995</v>
      </c>
      <c r="BA190" s="53">
        <f t="shared" si="89"/>
        <v>37.200000000000003</v>
      </c>
      <c r="BB190" s="53">
        <f t="shared" si="90"/>
        <v>96.221999999999994</v>
      </c>
      <c r="BC190" s="53">
        <f t="shared" si="91"/>
        <v>18.899999999999999</v>
      </c>
      <c r="BD190" s="53">
        <f t="shared" si="92"/>
        <v>769.65099999999995</v>
      </c>
      <c r="BE190" s="60">
        <f t="shared" si="114"/>
        <v>11576.89</v>
      </c>
      <c r="BF190" s="60">
        <f t="shared" si="114"/>
        <v>526.30599999999993</v>
      </c>
      <c r="BG190" s="60">
        <f t="shared" si="115"/>
        <v>3071.9200000000005</v>
      </c>
      <c r="BH190" s="60">
        <f t="shared" si="116"/>
        <v>357.06600000000009</v>
      </c>
      <c r="BI190" s="60">
        <f t="shared" si="117"/>
        <v>15532.181999999999</v>
      </c>
      <c r="BJ190" s="1">
        <f t="shared" si="111"/>
        <v>24</v>
      </c>
    </row>
    <row r="191" spans="1:62" x14ac:dyDescent="0.3">
      <c r="A191" s="48">
        <v>38892</v>
      </c>
      <c r="B191" s="53">
        <v>729799</v>
      </c>
      <c r="C191" s="53">
        <v>35775</v>
      </c>
      <c r="D191" s="53">
        <v>0</v>
      </c>
      <c r="E191" s="53">
        <f t="shared" si="93"/>
        <v>765574</v>
      </c>
      <c r="F191" s="53">
        <f t="shared" si="118"/>
        <v>625597.25</v>
      </c>
      <c r="G191" s="53">
        <f t="shared" si="125"/>
        <v>646830.83333333337</v>
      </c>
      <c r="H191" s="59">
        <f t="shared" si="119"/>
        <v>32.312153913157694</v>
      </c>
      <c r="I191" s="59">
        <f t="shared" si="119"/>
        <v>12.601182443605797</v>
      </c>
      <c r="J191" s="59">
        <f t="shared" si="120"/>
        <v>-3.2827104459306145</v>
      </c>
      <c r="L191" s="53">
        <v>0</v>
      </c>
      <c r="M191" s="53">
        <v>0</v>
      </c>
      <c r="N191" s="53">
        <v>15400</v>
      </c>
      <c r="O191" s="53">
        <f t="shared" si="95"/>
        <v>15400</v>
      </c>
      <c r="P191" s="53">
        <f t="shared" si="126"/>
        <v>20760.25</v>
      </c>
      <c r="Q191" s="53">
        <f t="shared" si="127"/>
        <v>34693.083333333336</v>
      </c>
      <c r="R191" s="59">
        <f t="shared" si="121"/>
        <v>-31.852376316488183</v>
      </c>
      <c r="S191" s="59">
        <f t="shared" si="121"/>
        <v>-41.981708808138116</v>
      </c>
      <c r="T191" s="59">
        <f t="shared" si="128"/>
        <v>-40.160262492283529</v>
      </c>
      <c r="V191" s="53">
        <v>54669</v>
      </c>
      <c r="W191" s="53">
        <v>12094</v>
      </c>
      <c r="X191" s="53">
        <v>2800</v>
      </c>
      <c r="Y191" s="53">
        <f t="shared" si="99"/>
        <v>69563</v>
      </c>
      <c r="Z191" s="53">
        <f t="shared" si="129"/>
        <v>99365</v>
      </c>
      <c r="AA191" s="53">
        <f t="shared" si="130"/>
        <v>90392.5</v>
      </c>
      <c r="AB191" s="59">
        <f t="shared" si="122"/>
        <v>-41.938418649684081</v>
      </c>
      <c r="AC191" s="59">
        <f t="shared" si="122"/>
        <v>-16.802203759872224</v>
      </c>
      <c r="AD191" s="59">
        <f t="shared" si="131"/>
        <v>9.9261553779351086</v>
      </c>
      <c r="AF191" s="53">
        <v>0</v>
      </c>
      <c r="AG191" s="53">
        <v>0</v>
      </c>
      <c r="AH191" s="53">
        <v>3600</v>
      </c>
      <c r="AI191" s="53">
        <f t="shared" si="103"/>
        <v>3600</v>
      </c>
      <c r="AJ191" s="53">
        <f t="shared" si="132"/>
        <v>9925</v>
      </c>
      <c r="AK191" s="53">
        <f t="shared" si="133"/>
        <v>6963.25</v>
      </c>
      <c r="AL191" s="59">
        <f t="shared" si="123"/>
        <v>-53.246753246753251</v>
      </c>
      <c r="AM191" s="59">
        <f t="shared" si="123"/>
        <v>116.80956801922342</v>
      </c>
      <c r="AN191" s="59">
        <f t="shared" si="134"/>
        <v>42.534017879582088</v>
      </c>
      <c r="AP191" s="53">
        <f t="shared" si="135"/>
        <v>784468</v>
      </c>
      <c r="AQ191" s="53">
        <f t="shared" si="135"/>
        <v>47869</v>
      </c>
      <c r="AR191" s="53">
        <f t="shared" si="135"/>
        <v>21800</v>
      </c>
      <c r="AS191" s="53">
        <f t="shared" si="84"/>
        <v>854137</v>
      </c>
      <c r="AT191" s="53">
        <f t="shared" si="136"/>
        <v>755647.5</v>
      </c>
      <c r="AU191" s="53">
        <f t="shared" si="137"/>
        <v>778879.66666666663</v>
      </c>
      <c r="AV191" s="59">
        <f t="shared" si="124"/>
        <v>17.210749273725547</v>
      </c>
      <c r="AW191" s="59">
        <f t="shared" si="124"/>
        <v>5.6289742919487518</v>
      </c>
      <c r="AX191" s="59">
        <f t="shared" si="138"/>
        <v>-2.9827671283411683</v>
      </c>
      <c r="AZ191" s="53">
        <f t="shared" si="88"/>
        <v>765.57399999999996</v>
      </c>
      <c r="BA191" s="53">
        <f t="shared" si="89"/>
        <v>15.4</v>
      </c>
      <c r="BB191" s="53">
        <f t="shared" si="90"/>
        <v>69.563000000000002</v>
      </c>
      <c r="BC191" s="53">
        <f t="shared" si="91"/>
        <v>3.6</v>
      </c>
      <c r="BD191" s="53">
        <f t="shared" si="92"/>
        <v>854.13699999999994</v>
      </c>
      <c r="BE191" s="60">
        <f t="shared" si="114"/>
        <v>12342.464</v>
      </c>
      <c r="BF191" s="60">
        <f t="shared" si="114"/>
        <v>541.7059999999999</v>
      </c>
      <c r="BG191" s="60">
        <f t="shared" si="115"/>
        <v>3141.4830000000006</v>
      </c>
      <c r="BH191" s="60">
        <f t="shared" si="116"/>
        <v>360.66600000000011</v>
      </c>
      <c r="BI191" s="60">
        <f t="shared" si="117"/>
        <v>16386.319</v>
      </c>
      <c r="BJ191" s="1">
        <f t="shared" si="111"/>
        <v>25</v>
      </c>
    </row>
    <row r="192" spans="1:62" x14ac:dyDescent="0.3">
      <c r="A192" s="48">
        <v>38899</v>
      </c>
      <c r="B192" s="53">
        <v>818428</v>
      </c>
      <c r="C192" s="53">
        <v>36380</v>
      </c>
      <c r="D192" s="53">
        <v>0</v>
      </c>
      <c r="E192" s="53">
        <f t="shared" si="93"/>
        <v>854808</v>
      </c>
      <c r="F192" s="53">
        <f t="shared" si="118"/>
        <v>686593</v>
      </c>
      <c r="G192" s="53">
        <f t="shared" si="125"/>
        <v>654826.41666666663</v>
      </c>
      <c r="H192" s="59">
        <f t="shared" si="119"/>
        <v>45.27791704552213</v>
      </c>
      <c r="I192" s="59">
        <f t="shared" si="119"/>
        <v>19.773934424585129</v>
      </c>
      <c r="J192" s="59">
        <f t="shared" si="120"/>
        <v>4.8511456662115426</v>
      </c>
      <c r="L192" s="53">
        <v>4697</v>
      </c>
      <c r="M192" s="53">
        <v>22235</v>
      </c>
      <c r="N192" s="53">
        <v>30000</v>
      </c>
      <c r="O192" s="53">
        <f t="shared" si="95"/>
        <v>56932</v>
      </c>
      <c r="P192" s="53">
        <f t="shared" si="126"/>
        <v>30558</v>
      </c>
      <c r="Q192" s="53">
        <f t="shared" si="127"/>
        <v>44268.5</v>
      </c>
      <c r="R192" s="59">
        <f t="shared" si="121"/>
        <v>14.057898427326453</v>
      </c>
      <c r="S192" s="59">
        <f t="shared" si="121"/>
        <v>-16.56803522064093</v>
      </c>
      <c r="T192" s="59">
        <f t="shared" si="128"/>
        <v>-30.971232366129421</v>
      </c>
      <c r="V192" s="53">
        <v>73406</v>
      </c>
      <c r="W192" s="53">
        <v>19950</v>
      </c>
      <c r="X192" s="53">
        <v>5600</v>
      </c>
      <c r="Y192" s="53">
        <f t="shared" si="99"/>
        <v>98956</v>
      </c>
      <c r="Z192" s="53">
        <f t="shared" si="129"/>
        <v>100370.5</v>
      </c>
      <c r="AA192" s="53">
        <f t="shared" si="130"/>
        <v>85484.166666666672</v>
      </c>
      <c r="AB192" s="59">
        <f t="shared" si="122"/>
        <v>10.224222239549107</v>
      </c>
      <c r="AC192" s="59">
        <f t="shared" si="122"/>
        <v>-6.2334762665470889</v>
      </c>
      <c r="AD192" s="59">
        <f t="shared" si="131"/>
        <v>17.414141020266904</v>
      </c>
      <c r="AF192" s="53">
        <v>0</v>
      </c>
      <c r="AG192" s="53">
        <v>0</v>
      </c>
      <c r="AH192" s="53">
        <v>8700</v>
      </c>
      <c r="AI192" s="53">
        <f t="shared" si="103"/>
        <v>8700</v>
      </c>
      <c r="AJ192" s="53">
        <f t="shared" si="132"/>
        <v>9837.5</v>
      </c>
      <c r="AK192" s="53">
        <f t="shared" si="133"/>
        <v>9527.8333333333339</v>
      </c>
      <c r="AL192" s="59">
        <f t="shared" si="123"/>
        <v>-64.684392125025369</v>
      </c>
      <c r="AM192" s="59">
        <f t="shared" si="123"/>
        <v>-5.0571828403223495</v>
      </c>
      <c r="AN192" s="59">
        <f t="shared" si="134"/>
        <v>3.2501268214179424</v>
      </c>
      <c r="AP192" s="53">
        <f t="shared" si="135"/>
        <v>896531</v>
      </c>
      <c r="AQ192" s="53">
        <f t="shared" si="135"/>
        <v>78565</v>
      </c>
      <c r="AR192" s="53">
        <f t="shared" si="135"/>
        <v>44300</v>
      </c>
      <c r="AS192" s="53">
        <f t="shared" si="84"/>
        <v>1019396</v>
      </c>
      <c r="AT192" s="53">
        <f t="shared" si="136"/>
        <v>827359</v>
      </c>
      <c r="AU192" s="53">
        <f t="shared" si="137"/>
        <v>794106.91666666663</v>
      </c>
      <c r="AV192" s="59">
        <f t="shared" si="124"/>
        <v>35.427953480833565</v>
      </c>
      <c r="AW192" s="59">
        <f t="shared" si="124"/>
        <v>13.762054473466922</v>
      </c>
      <c r="AX192" s="59">
        <f t="shared" si="138"/>
        <v>4.1873559637173097</v>
      </c>
      <c r="AZ192" s="53">
        <f t="shared" si="88"/>
        <v>854.80799999999999</v>
      </c>
      <c r="BA192" s="53">
        <f t="shared" si="89"/>
        <v>56.932000000000002</v>
      </c>
      <c r="BB192" s="53">
        <f t="shared" si="90"/>
        <v>98.956000000000003</v>
      </c>
      <c r="BC192" s="53">
        <f t="shared" si="91"/>
        <v>8.6999999999999993</v>
      </c>
      <c r="BD192" s="53">
        <f t="shared" si="92"/>
        <v>1019.396</v>
      </c>
      <c r="BE192" s="60">
        <f t="shared" si="114"/>
        <v>13197.272000000001</v>
      </c>
      <c r="BF192" s="60">
        <f t="shared" si="114"/>
        <v>598.63799999999992</v>
      </c>
      <c r="BG192" s="60">
        <f t="shared" si="115"/>
        <v>3240.4390000000008</v>
      </c>
      <c r="BH192" s="60">
        <f t="shared" si="116"/>
        <v>369.3660000000001</v>
      </c>
      <c r="BI192" s="60">
        <f t="shared" si="117"/>
        <v>17405.715</v>
      </c>
      <c r="BJ192" s="1">
        <f t="shared" si="111"/>
        <v>26</v>
      </c>
    </row>
    <row r="193" spans="1:62" x14ac:dyDescent="0.3">
      <c r="A193" s="48">
        <v>38906</v>
      </c>
      <c r="B193" s="53">
        <v>698605</v>
      </c>
      <c r="C193" s="53">
        <v>24418</v>
      </c>
      <c r="D193" s="53">
        <v>0</v>
      </c>
      <c r="E193" s="53">
        <f t="shared" si="93"/>
        <v>723023</v>
      </c>
      <c r="F193" s="53">
        <f t="shared" ref="F193:F208" si="139">AVERAGE(E190,E191,E192,E193)</f>
        <v>740183.5</v>
      </c>
      <c r="G193" s="53">
        <f t="shared" si="125"/>
        <v>616596.41666666663</v>
      </c>
      <c r="H193" s="59">
        <f t="shared" ref="H193:I195" si="140">((E193/E141)-1)*100</f>
        <v>42.853501775239124</v>
      </c>
      <c r="I193" s="59">
        <f t="shared" si="140"/>
        <v>38.607832865413805</v>
      </c>
      <c r="J193" s="59">
        <f t="shared" ref="J193:J204" si="141">((F193/G193)-1)*100</f>
        <v>20.043431974750646</v>
      </c>
      <c r="L193" s="53">
        <v>1500</v>
      </c>
      <c r="M193" s="53">
        <v>1500</v>
      </c>
      <c r="N193" s="53">
        <v>29800</v>
      </c>
      <c r="O193" s="53">
        <f t="shared" si="95"/>
        <v>32800</v>
      </c>
      <c r="P193" s="53">
        <f t="shared" si="126"/>
        <v>35583</v>
      </c>
      <c r="Q193" s="53">
        <f t="shared" si="127"/>
        <v>52836.666666666664</v>
      </c>
      <c r="R193" s="59">
        <f t="shared" ref="R193:S195" si="142">((O193/O141)-1)*100</f>
        <v>-47.728250649412743</v>
      </c>
      <c r="S193" s="59">
        <f t="shared" si="142"/>
        <v>-19.44079692098709</v>
      </c>
      <c r="T193" s="59">
        <f t="shared" si="128"/>
        <v>-32.654722099552082</v>
      </c>
      <c r="V193" s="53">
        <v>80997</v>
      </c>
      <c r="W193" s="53">
        <v>25231</v>
      </c>
      <c r="X193" s="53">
        <v>0</v>
      </c>
      <c r="Y193" s="53">
        <f t="shared" si="99"/>
        <v>106228</v>
      </c>
      <c r="Z193" s="53">
        <f t="shared" si="129"/>
        <v>92742.25</v>
      </c>
      <c r="AA193" s="53">
        <f t="shared" si="130"/>
        <v>80801.083333333328</v>
      </c>
      <c r="AB193" s="59">
        <f t="shared" ref="AB193:AC195" si="143">((Y193/Y141)-1)*100</f>
        <v>9.6615016155839228</v>
      </c>
      <c r="AC193" s="59">
        <f t="shared" si="143"/>
        <v>-5.3727756917802623</v>
      </c>
      <c r="AD193" s="59">
        <f t="shared" si="131"/>
        <v>14.778473473437348</v>
      </c>
      <c r="AF193" s="53">
        <v>9500</v>
      </c>
      <c r="AG193" s="53">
        <v>0</v>
      </c>
      <c r="AH193" s="53">
        <v>9100</v>
      </c>
      <c r="AI193" s="53">
        <f t="shared" si="103"/>
        <v>18600</v>
      </c>
      <c r="AJ193" s="53">
        <f t="shared" si="132"/>
        <v>12450</v>
      </c>
      <c r="AK193" s="53">
        <f t="shared" si="133"/>
        <v>8125.083333333333</v>
      </c>
      <c r="AL193" s="59">
        <f t="shared" ref="AL193:AM195" si="144">((AI193/AI141)-1)*100</f>
        <v>54.446566470148625</v>
      </c>
      <c r="AM193" s="59">
        <f t="shared" si="144"/>
        <v>-6.8967451251659266</v>
      </c>
      <c r="AN193" s="59">
        <f t="shared" si="134"/>
        <v>53.229197649254886</v>
      </c>
      <c r="AP193" s="53">
        <f t="shared" si="135"/>
        <v>790602</v>
      </c>
      <c r="AQ193" s="53">
        <f t="shared" si="135"/>
        <v>51149</v>
      </c>
      <c r="AR193" s="53">
        <f t="shared" si="135"/>
        <v>38900</v>
      </c>
      <c r="AS193" s="53">
        <f t="shared" si="84"/>
        <v>880651</v>
      </c>
      <c r="AT193" s="53">
        <f t="shared" si="136"/>
        <v>880958.75</v>
      </c>
      <c r="AU193" s="53">
        <f t="shared" si="137"/>
        <v>758359.25</v>
      </c>
      <c r="AV193" s="59">
        <f t="shared" ref="AV193:AW195" si="145">((AS193/AS141)-1)*100</f>
        <v>29.929771758214187</v>
      </c>
      <c r="AW193" s="59">
        <f t="shared" si="145"/>
        <v>27.756093351876476</v>
      </c>
      <c r="AX193" s="59">
        <f t="shared" si="138"/>
        <v>16.166414532426423</v>
      </c>
      <c r="AZ193" s="53">
        <f t="shared" si="88"/>
        <v>723.02300000000002</v>
      </c>
      <c r="BA193" s="53">
        <f t="shared" si="89"/>
        <v>32.799999999999997</v>
      </c>
      <c r="BB193" s="53">
        <f t="shared" si="90"/>
        <v>106.22799999999999</v>
      </c>
      <c r="BC193" s="53">
        <f t="shared" si="91"/>
        <v>18.600000000000001</v>
      </c>
      <c r="BD193" s="53">
        <f t="shared" si="92"/>
        <v>880.65099999999995</v>
      </c>
      <c r="BE193" s="60">
        <f t="shared" si="114"/>
        <v>13920.295</v>
      </c>
      <c r="BF193" s="60">
        <f t="shared" si="114"/>
        <v>631.43799999999987</v>
      </c>
      <c r="BG193" s="60">
        <f t="shared" si="115"/>
        <v>3346.6670000000008</v>
      </c>
      <c r="BH193" s="60">
        <f t="shared" si="116"/>
        <v>387.96600000000012</v>
      </c>
      <c r="BI193" s="60">
        <f t="shared" si="117"/>
        <v>18286.366000000002</v>
      </c>
      <c r="BJ193" s="1">
        <f t="shared" si="111"/>
        <v>27</v>
      </c>
    </row>
    <row r="194" spans="1:62" x14ac:dyDescent="0.3">
      <c r="A194" s="48">
        <v>38913</v>
      </c>
      <c r="B194" s="53">
        <v>589643</v>
      </c>
      <c r="C194" s="53">
        <v>29982</v>
      </c>
      <c r="D194" s="53">
        <v>0</v>
      </c>
      <c r="E194" s="53">
        <f t="shared" si="93"/>
        <v>619625</v>
      </c>
      <c r="F194" s="53">
        <f t="shared" si="139"/>
        <v>740757.5</v>
      </c>
      <c r="G194" s="53">
        <f t="shared" si="125"/>
        <v>646614.41666666663</v>
      </c>
      <c r="H194" s="59">
        <f t="shared" si="140"/>
        <v>-16.537468396374454</v>
      </c>
      <c r="I194" s="59">
        <f t="shared" si="140"/>
        <v>22.665579260909062</v>
      </c>
      <c r="J194" s="59">
        <f t="shared" si="141"/>
        <v>14.559385146196746</v>
      </c>
      <c r="L194" s="53">
        <v>4600</v>
      </c>
      <c r="M194" s="53">
        <v>6361</v>
      </c>
      <c r="N194" s="53">
        <v>21000</v>
      </c>
      <c r="O194" s="53">
        <f t="shared" si="95"/>
        <v>31961</v>
      </c>
      <c r="P194" s="53">
        <f t="shared" si="126"/>
        <v>34273.25</v>
      </c>
      <c r="Q194" s="53">
        <f t="shared" si="127"/>
        <v>64724.25</v>
      </c>
      <c r="R194" s="59">
        <f t="shared" si="142"/>
        <v>-44.443671887222095</v>
      </c>
      <c r="S194" s="59">
        <f t="shared" si="142"/>
        <v>-28.890352765429917</v>
      </c>
      <c r="T194" s="59">
        <f t="shared" si="128"/>
        <v>-47.047281351270968</v>
      </c>
      <c r="V194" s="53">
        <v>93087</v>
      </c>
      <c r="W194" s="53">
        <v>35900</v>
      </c>
      <c r="X194" s="53">
        <v>4200</v>
      </c>
      <c r="Y194" s="53">
        <f t="shared" si="99"/>
        <v>133187</v>
      </c>
      <c r="Z194" s="53">
        <f t="shared" si="129"/>
        <v>101983.5</v>
      </c>
      <c r="AA194" s="53">
        <f t="shared" si="130"/>
        <v>85067.833333333328</v>
      </c>
      <c r="AB194" s="59">
        <f t="shared" si="143"/>
        <v>64.603158909459424</v>
      </c>
      <c r="AC194" s="59">
        <f t="shared" si="143"/>
        <v>5.3088915220371291</v>
      </c>
      <c r="AD194" s="59">
        <f t="shared" si="131"/>
        <v>19.884915371458469</v>
      </c>
      <c r="AF194" s="53">
        <v>1624</v>
      </c>
      <c r="AG194" s="53">
        <v>3000</v>
      </c>
      <c r="AH194" s="53">
        <v>6200</v>
      </c>
      <c r="AI194" s="53">
        <f t="shared" si="103"/>
        <v>10824</v>
      </c>
      <c r="AJ194" s="53">
        <f t="shared" si="132"/>
        <v>10431</v>
      </c>
      <c r="AK194" s="53">
        <f t="shared" si="133"/>
        <v>6655.416666666667</v>
      </c>
      <c r="AL194" s="59">
        <f t="shared" si="144"/>
        <v>-12</v>
      </c>
      <c r="AM194" s="59">
        <f t="shared" si="144"/>
        <v>-26.38413493771834</v>
      </c>
      <c r="AN194" s="59">
        <f t="shared" si="134"/>
        <v>56.729480999186109</v>
      </c>
      <c r="AP194" s="53">
        <f t="shared" si="135"/>
        <v>688954</v>
      </c>
      <c r="AQ194" s="53">
        <f t="shared" si="135"/>
        <v>75243</v>
      </c>
      <c r="AR194" s="53">
        <f t="shared" si="135"/>
        <v>31400</v>
      </c>
      <c r="AS194" s="53">
        <f t="shared" si="84"/>
        <v>795597</v>
      </c>
      <c r="AT194" s="53">
        <f t="shared" si="136"/>
        <v>887445.25</v>
      </c>
      <c r="AU194" s="53">
        <f t="shared" si="137"/>
        <v>803061.91666666663</v>
      </c>
      <c r="AV194" s="59">
        <f t="shared" si="145"/>
        <v>-10.921555586905551</v>
      </c>
      <c r="AW194" s="59">
        <f t="shared" si="145"/>
        <v>16.295780364981603</v>
      </c>
      <c r="AX194" s="59">
        <f t="shared" si="138"/>
        <v>10.50769954122468</v>
      </c>
      <c r="AZ194" s="53">
        <f t="shared" si="88"/>
        <v>619.625</v>
      </c>
      <c r="BA194" s="53">
        <f t="shared" si="89"/>
        <v>31.960999999999999</v>
      </c>
      <c r="BB194" s="53">
        <f t="shared" si="90"/>
        <v>133.18700000000001</v>
      </c>
      <c r="BC194" s="53">
        <f t="shared" si="91"/>
        <v>10.824</v>
      </c>
      <c r="BD194" s="53">
        <f t="shared" si="92"/>
        <v>795.59699999999998</v>
      </c>
      <c r="BE194" s="60">
        <f t="shared" si="114"/>
        <v>14539.92</v>
      </c>
      <c r="BF194" s="60">
        <f t="shared" si="114"/>
        <v>663.39899999999989</v>
      </c>
      <c r="BG194" s="60">
        <f t="shared" si="115"/>
        <v>3479.8540000000007</v>
      </c>
      <c r="BH194" s="60">
        <f t="shared" si="116"/>
        <v>398.79000000000013</v>
      </c>
      <c r="BI194" s="60">
        <f t="shared" si="117"/>
        <v>19081.963000000003</v>
      </c>
      <c r="BJ194" s="1">
        <f t="shared" si="111"/>
        <v>28</v>
      </c>
    </row>
    <row r="195" spans="1:62" x14ac:dyDescent="0.3">
      <c r="A195" s="48">
        <v>38920</v>
      </c>
      <c r="B195" s="53">
        <v>620326</v>
      </c>
      <c r="C195" s="53">
        <v>43259</v>
      </c>
      <c r="D195" s="53">
        <v>0</v>
      </c>
      <c r="E195" s="53">
        <f t="shared" si="93"/>
        <v>663585</v>
      </c>
      <c r="F195" s="53">
        <f t="shared" si="139"/>
        <v>715260.25</v>
      </c>
      <c r="G195" s="53">
        <f t="shared" si="125"/>
        <v>613006.16666666663</v>
      </c>
      <c r="H195" s="59">
        <f t="shared" si="140"/>
        <v>40.465349615489643</v>
      </c>
      <c r="I195" s="59">
        <f t="shared" si="140"/>
        <v>23.889878588792833</v>
      </c>
      <c r="J195" s="59">
        <f t="shared" si="141"/>
        <v>16.680759328957272</v>
      </c>
      <c r="L195" s="53">
        <v>3200</v>
      </c>
      <c r="M195" s="53">
        <v>19665</v>
      </c>
      <c r="N195" s="53">
        <v>36400</v>
      </c>
      <c r="O195" s="53">
        <f t="shared" si="95"/>
        <v>59265</v>
      </c>
      <c r="P195" s="53">
        <f t="shared" si="126"/>
        <v>45239.5</v>
      </c>
      <c r="Q195" s="53">
        <f t="shared" si="127"/>
        <v>79197</v>
      </c>
      <c r="R195" s="59">
        <f t="shared" si="142"/>
        <v>87.636536330536657</v>
      </c>
      <c r="S195" s="59">
        <f t="shared" si="142"/>
        <v>-10.318270574591882</v>
      </c>
      <c r="T195" s="59">
        <f t="shared" si="128"/>
        <v>-42.877255451595389</v>
      </c>
      <c r="V195" s="53">
        <v>103310</v>
      </c>
      <c r="W195" s="53">
        <v>18700</v>
      </c>
      <c r="X195" s="53">
        <v>11200</v>
      </c>
      <c r="Y195" s="53">
        <f t="shared" si="99"/>
        <v>133210</v>
      </c>
      <c r="Z195" s="53">
        <f t="shared" si="129"/>
        <v>117895.25</v>
      </c>
      <c r="AA195" s="53">
        <f t="shared" si="130"/>
        <v>83359.75</v>
      </c>
      <c r="AB195" s="59">
        <f t="shared" si="143"/>
        <v>52.749747729566089</v>
      </c>
      <c r="AC195" s="59">
        <f t="shared" si="143"/>
        <v>32.926588643846124</v>
      </c>
      <c r="AD195" s="59">
        <f t="shared" si="131"/>
        <v>41.4294668590057</v>
      </c>
      <c r="AF195" s="53">
        <v>0</v>
      </c>
      <c r="AG195" s="53">
        <v>0</v>
      </c>
      <c r="AH195" s="53">
        <v>8300</v>
      </c>
      <c r="AI195" s="53">
        <f t="shared" si="103"/>
        <v>8300</v>
      </c>
      <c r="AJ195" s="53">
        <f t="shared" si="132"/>
        <v>11606</v>
      </c>
      <c r="AK195" s="53">
        <f t="shared" si="133"/>
        <v>7641</v>
      </c>
      <c r="AL195" s="59">
        <f t="shared" si="144"/>
        <v>-38.677502770594749</v>
      </c>
      <c r="AM195" s="59">
        <f t="shared" si="144"/>
        <v>-25.737046694287592</v>
      </c>
      <c r="AN195" s="59">
        <f t="shared" si="134"/>
        <v>51.891113728569557</v>
      </c>
      <c r="AP195" s="53">
        <f t="shared" si="135"/>
        <v>726836</v>
      </c>
      <c r="AQ195" s="53">
        <f t="shared" si="135"/>
        <v>81624</v>
      </c>
      <c r="AR195" s="53">
        <f t="shared" si="135"/>
        <v>55900</v>
      </c>
      <c r="AS195" s="53">
        <f t="shared" si="84"/>
        <v>864360</v>
      </c>
      <c r="AT195" s="53">
        <f t="shared" si="136"/>
        <v>890001</v>
      </c>
      <c r="AU195" s="53">
        <f t="shared" si="137"/>
        <v>783203.91666666663</v>
      </c>
      <c r="AV195" s="59">
        <f t="shared" si="145"/>
        <v>42.929191876933672</v>
      </c>
      <c r="AW195" s="59">
        <f t="shared" si="145"/>
        <v>21.568186870582284</v>
      </c>
      <c r="AX195" s="59">
        <f t="shared" si="138"/>
        <v>13.635923041328013</v>
      </c>
      <c r="AZ195" s="53">
        <f t="shared" si="88"/>
        <v>663.58500000000004</v>
      </c>
      <c r="BA195" s="53">
        <f t="shared" si="89"/>
        <v>59.265000000000001</v>
      </c>
      <c r="BB195" s="53">
        <f t="shared" si="90"/>
        <v>133.21</v>
      </c>
      <c r="BC195" s="53">
        <f t="shared" si="91"/>
        <v>8.3000000000000007</v>
      </c>
      <c r="BD195" s="53">
        <f t="shared" si="92"/>
        <v>864.36</v>
      </c>
      <c r="BE195" s="60">
        <f t="shared" si="114"/>
        <v>15203.505000000001</v>
      </c>
      <c r="BF195" s="60">
        <f t="shared" si="114"/>
        <v>722.66399999999987</v>
      </c>
      <c r="BG195" s="60">
        <f t="shared" si="115"/>
        <v>3613.0640000000008</v>
      </c>
      <c r="BH195" s="60">
        <f t="shared" si="116"/>
        <v>407.09000000000015</v>
      </c>
      <c r="BI195" s="60">
        <f t="shared" si="117"/>
        <v>19946.323000000004</v>
      </c>
      <c r="BJ195" s="1">
        <f t="shared" si="111"/>
        <v>29</v>
      </c>
    </row>
    <row r="196" spans="1:62" x14ac:dyDescent="0.3">
      <c r="A196" s="48">
        <v>38927</v>
      </c>
      <c r="B196" s="53">
        <v>659687</v>
      </c>
      <c r="C196" s="53">
        <v>34000</v>
      </c>
      <c r="D196" s="53"/>
      <c r="E196" s="53">
        <f t="shared" ref="E196:E212" si="146">SUM(B196:D196)</f>
        <v>693687</v>
      </c>
      <c r="F196" s="53">
        <f t="shared" si="139"/>
        <v>674980</v>
      </c>
      <c r="G196" s="53">
        <f t="shared" ref="G196:G210" si="147">AVERAGE(F144,F92,F40)</f>
        <v>588288.66666666663</v>
      </c>
      <c r="H196" s="59">
        <f t="shared" ref="H196:I210" si="148">((E196/E144)-1)*100</f>
        <v>-2.6469795719025191</v>
      </c>
      <c r="I196" s="59">
        <f t="shared" si="148"/>
        <v>10.94824521932447</v>
      </c>
      <c r="J196" s="59">
        <f t="shared" si="141"/>
        <v>14.736189603063355</v>
      </c>
      <c r="L196" s="53">
        <v>4700</v>
      </c>
      <c r="M196" s="53">
        <v>9000</v>
      </c>
      <c r="N196" s="53">
        <v>26600</v>
      </c>
      <c r="O196" s="53">
        <f t="shared" si="95"/>
        <v>40300</v>
      </c>
      <c r="P196" s="53">
        <f t="shared" ref="P196:P204" si="149">AVERAGE(O193,O194,O195,O196)</f>
        <v>41081.5</v>
      </c>
      <c r="Q196" s="53">
        <f t="shared" ref="Q196:Q204" si="150">AVERAGE(P144,P92,P40)</f>
        <v>79684.416666666672</v>
      </c>
      <c r="R196" s="59">
        <f t="shared" ref="R196:S204" si="151">((O196/O144)-1)*100</f>
        <v>-3.1529366528885938</v>
      </c>
      <c r="S196" s="59">
        <f t="shared" si="151"/>
        <v>-15.066029202739372</v>
      </c>
      <c r="T196" s="59">
        <f t="shared" ref="T196:T204" si="152">((P196/Q196)-1)*100</f>
        <v>-48.444750280533732</v>
      </c>
      <c r="V196" s="53">
        <v>70651</v>
      </c>
      <c r="W196" s="53">
        <v>23900</v>
      </c>
      <c r="X196" s="53">
        <v>12600</v>
      </c>
      <c r="Y196" s="53">
        <f t="shared" si="99"/>
        <v>107151</v>
      </c>
      <c r="Z196" s="53">
        <f t="shared" ref="Z196:Z204" si="153">AVERAGE(Y193,Y194,Y195,Y196)</f>
        <v>119944</v>
      </c>
      <c r="AA196" s="53">
        <f t="shared" ref="AA196:AA204" si="154">AVERAGE(Z144,Z92,Z40)</f>
        <v>87320.583333333328</v>
      </c>
      <c r="AB196" s="59">
        <f t="shared" ref="AB196:AC204" si="155">((Y196/Y144)-1)*100</f>
        <v>28.09903523138906</v>
      </c>
      <c r="AC196" s="59">
        <f t="shared" si="155"/>
        <v>37.614373648311442</v>
      </c>
      <c r="AD196" s="59">
        <f t="shared" ref="AD196:AD204" si="156">((Z196/AA196)-1)*100</f>
        <v>37.360511601407474</v>
      </c>
      <c r="AF196" s="53">
        <v>4694</v>
      </c>
      <c r="AG196" s="53">
        <v>1500</v>
      </c>
      <c r="AH196" s="53">
        <v>7550</v>
      </c>
      <c r="AI196" s="53">
        <f t="shared" si="103"/>
        <v>13744</v>
      </c>
      <c r="AJ196" s="53">
        <f t="shared" ref="AJ196:AJ204" si="157">AVERAGE(AI193,AI194,AI195,AI196)</f>
        <v>12867</v>
      </c>
      <c r="AK196" s="53">
        <f t="shared" ref="AK196:AK204" si="158">AVERAGE(AJ144,AJ92,AJ40)</f>
        <v>9053.8333333333339</v>
      </c>
      <c r="AL196" s="59">
        <f t="shared" ref="AL196:AM204" si="159">((AI196/AI144)-1)*100</f>
        <v>-31.121579633156259</v>
      </c>
      <c r="AM196" s="59">
        <f t="shared" si="159"/>
        <v>-11.004288283303366</v>
      </c>
      <c r="AN196" s="59">
        <f t="shared" ref="AN196:AN204" si="160">((AJ196/AK196)-1)*100</f>
        <v>42.11659886236032</v>
      </c>
      <c r="AP196" s="53">
        <f t="shared" si="135"/>
        <v>739732</v>
      </c>
      <c r="AQ196" s="53">
        <f t="shared" si="135"/>
        <v>68400</v>
      </c>
      <c r="AR196" s="53">
        <f t="shared" ref="AR196:AS303" si="161">SUM(D196,N196,X196,AH196)</f>
        <v>46750</v>
      </c>
      <c r="AS196" s="53">
        <f t="shared" si="161"/>
        <v>854882</v>
      </c>
      <c r="AT196" s="53">
        <f t="shared" ref="AT196:AT204" si="162">AVERAGE(AS193,AS194,AS195,AS196)</f>
        <v>848872.5</v>
      </c>
      <c r="AU196" s="53">
        <f t="shared" ref="AU196:AU204" si="163">AVERAGE(AT144,AT92,AT40)</f>
        <v>764347.5</v>
      </c>
      <c r="AV196" s="59">
        <f t="shared" ref="AV196:AW204" si="164">((AS196/AS144)-1)*100</f>
        <v>-0.33564128003021887</v>
      </c>
      <c r="AW196" s="59">
        <f t="shared" si="164"/>
        <v>11.935294583047629</v>
      </c>
      <c r="AX196" s="59">
        <f t="shared" ref="AX196:AX204" si="165">((AT196/AU196)-1)*100</f>
        <v>11.058451816745652</v>
      </c>
      <c r="AZ196" s="53">
        <f t="shared" si="88"/>
        <v>693.68700000000001</v>
      </c>
      <c r="BA196" s="53">
        <f t="shared" si="89"/>
        <v>40.299999999999997</v>
      </c>
      <c r="BB196" s="53">
        <f t="shared" si="90"/>
        <v>107.151</v>
      </c>
      <c r="BC196" s="53">
        <f t="shared" si="91"/>
        <v>13.744</v>
      </c>
      <c r="BD196" s="53">
        <f t="shared" si="92"/>
        <v>854.88199999999995</v>
      </c>
      <c r="BE196" s="60">
        <f t="shared" si="114"/>
        <v>15897.192000000001</v>
      </c>
      <c r="BF196" s="60">
        <f t="shared" si="114"/>
        <v>762.96399999999983</v>
      </c>
      <c r="BG196" s="60">
        <f t="shared" si="115"/>
        <v>3720.2150000000006</v>
      </c>
      <c r="BH196" s="60">
        <f t="shared" si="116"/>
        <v>420.83400000000017</v>
      </c>
      <c r="BI196" s="60">
        <f t="shared" si="117"/>
        <v>20801.205000000005</v>
      </c>
      <c r="BJ196" s="1">
        <f t="shared" si="111"/>
        <v>30</v>
      </c>
    </row>
    <row r="197" spans="1:62" x14ac:dyDescent="0.3">
      <c r="A197" s="48">
        <v>38934</v>
      </c>
      <c r="B197" s="53">
        <v>579474</v>
      </c>
      <c r="C197" s="53">
        <v>26000</v>
      </c>
      <c r="D197" s="53">
        <v>0</v>
      </c>
      <c r="E197" s="53">
        <f t="shared" si="146"/>
        <v>605474</v>
      </c>
      <c r="F197" s="53">
        <f t="shared" si="139"/>
        <v>645592.75</v>
      </c>
      <c r="G197" s="53">
        <f t="shared" si="147"/>
        <v>585560.75</v>
      </c>
      <c r="H197" s="59">
        <f t="shared" si="148"/>
        <v>2.0123666874462875</v>
      </c>
      <c r="I197" s="59">
        <f t="shared" si="148"/>
        <v>2.4386170631394588</v>
      </c>
      <c r="J197" s="59">
        <f t="shared" si="141"/>
        <v>10.252053266889893</v>
      </c>
      <c r="L197" s="53">
        <v>9294</v>
      </c>
      <c r="M197" s="53">
        <v>5900</v>
      </c>
      <c r="N197" s="53">
        <v>13800</v>
      </c>
      <c r="O197" s="53">
        <f t="shared" si="95"/>
        <v>28994</v>
      </c>
      <c r="P197" s="53">
        <f t="shared" si="149"/>
        <v>40130</v>
      </c>
      <c r="Q197" s="53">
        <f t="shared" si="150"/>
        <v>82609.916666666672</v>
      </c>
      <c r="R197" s="59">
        <f t="shared" si="151"/>
        <v>34.231481481481474</v>
      </c>
      <c r="S197" s="59">
        <f t="shared" si="151"/>
        <v>5.3792523928941849</v>
      </c>
      <c r="T197" s="59">
        <f t="shared" si="152"/>
        <v>-51.422296959908977</v>
      </c>
      <c r="V197" s="53">
        <v>125243</v>
      </c>
      <c r="W197" s="53">
        <v>9200</v>
      </c>
      <c r="X197" s="53">
        <v>1400</v>
      </c>
      <c r="Y197" s="53">
        <f t="shared" si="99"/>
        <v>135843</v>
      </c>
      <c r="Z197" s="53">
        <f t="shared" si="153"/>
        <v>127347.75</v>
      </c>
      <c r="AA197" s="53">
        <f t="shared" si="154"/>
        <v>89646.416666666672</v>
      </c>
      <c r="AB197" s="59">
        <f t="shared" si="155"/>
        <v>43.907580829696172</v>
      </c>
      <c r="AC197" s="59">
        <f t="shared" si="155"/>
        <v>47.152658414339975</v>
      </c>
      <c r="AD197" s="59">
        <f t="shared" si="156"/>
        <v>42.055594339613855</v>
      </c>
      <c r="AF197" s="53">
        <v>0</v>
      </c>
      <c r="AG197" s="53">
        <v>0</v>
      </c>
      <c r="AH197" s="53">
        <v>15450</v>
      </c>
      <c r="AI197" s="53">
        <f t="shared" si="103"/>
        <v>15450</v>
      </c>
      <c r="AJ197" s="53">
        <f t="shared" si="157"/>
        <v>12079.5</v>
      </c>
      <c r="AK197" s="53">
        <f t="shared" si="158"/>
        <v>10639.916666666666</v>
      </c>
      <c r="AL197" s="59">
        <f t="shared" si="159"/>
        <v>18.846153846153847</v>
      </c>
      <c r="AM197" s="59">
        <f t="shared" si="159"/>
        <v>-17.811155148071922</v>
      </c>
      <c r="AN197" s="59">
        <f t="shared" si="160"/>
        <v>13.530024514603035</v>
      </c>
      <c r="AP197" s="53">
        <f t="shared" si="135"/>
        <v>714011</v>
      </c>
      <c r="AQ197" s="53">
        <f t="shared" si="135"/>
        <v>41100</v>
      </c>
      <c r="AR197" s="53">
        <f t="shared" si="161"/>
        <v>30650</v>
      </c>
      <c r="AS197" s="53">
        <f t="shared" si="161"/>
        <v>785761</v>
      </c>
      <c r="AT197" s="53">
        <f t="shared" si="162"/>
        <v>825150</v>
      </c>
      <c r="AU197" s="53">
        <f t="shared" si="163"/>
        <v>768457</v>
      </c>
      <c r="AV197" s="59">
        <f t="shared" si="164"/>
        <v>8.7519341864514146</v>
      </c>
      <c r="AW197" s="59">
        <f t="shared" si="164"/>
        <v>7.2258376389134238</v>
      </c>
      <c r="AX197" s="59">
        <f t="shared" si="165"/>
        <v>7.3775110383534903</v>
      </c>
      <c r="AZ197" s="53">
        <f t="shared" si="88"/>
        <v>605.47400000000005</v>
      </c>
      <c r="BA197" s="53">
        <f t="shared" si="89"/>
        <v>28.994</v>
      </c>
      <c r="BB197" s="53">
        <f t="shared" si="90"/>
        <v>135.84299999999999</v>
      </c>
      <c r="BC197" s="53">
        <f t="shared" si="91"/>
        <v>15.45</v>
      </c>
      <c r="BD197" s="53">
        <f t="shared" si="92"/>
        <v>785.76099999999997</v>
      </c>
      <c r="BE197" s="60">
        <f t="shared" si="114"/>
        <v>16502.666000000001</v>
      </c>
      <c r="BF197" s="60">
        <f t="shared" si="114"/>
        <v>791.95799999999986</v>
      </c>
      <c r="BG197" s="60">
        <f t="shared" si="115"/>
        <v>3856.0580000000004</v>
      </c>
      <c r="BH197" s="60">
        <f t="shared" si="116"/>
        <v>436.28400000000016</v>
      </c>
      <c r="BI197" s="60">
        <f t="shared" si="117"/>
        <v>21586.966000000004</v>
      </c>
      <c r="BJ197" s="1">
        <f t="shared" si="111"/>
        <v>31</v>
      </c>
    </row>
    <row r="198" spans="1:62" x14ac:dyDescent="0.3">
      <c r="A198" s="48">
        <v>38941</v>
      </c>
      <c r="B198" s="53">
        <v>546544</v>
      </c>
      <c r="C198" s="53">
        <v>16700</v>
      </c>
      <c r="D198" s="53">
        <v>0</v>
      </c>
      <c r="E198" s="53">
        <f t="shared" si="146"/>
        <v>563244</v>
      </c>
      <c r="F198" s="53">
        <f t="shared" si="139"/>
        <v>631497.5</v>
      </c>
      <c r="G198" s="53">
        <f t="shared" si="147"/>
        <v>570261.83333333337</v>
      </c>
      <c r="H198" s="59">
        <f t="shared" si="148"/>
        <v>-13.613545908390268</v>
      </c>
      <c r="I198" s="59">
        <f t="shared" si="148"/>
        <v>3.9287357097422593</v>
      </c>
      <c r="J198" s="59">
        <f t="shared" si="141"/>
        <v>10.738166766084923</v>
      </c>
      <c r="L198" s="53">
        <v>13822</v>
      </c>
      <c r="M198" s="53">
        <v>12400</v>
      </c>
      <c r="N198" s="53">
        <v>26600</v>
      </c>
      <c r="O198" s="53">
        <f t="shared" si="95"/>
        <v>52822</v>
      </c>
      <c r="P198" s="53">
        <f t="shared" si="149"/>
        <v>45345.25</v>
      </c>
      <c r="Q198" s="53">
        <f t="shared" si="150"/>
        <v>78757.25</v>
      </c>
      <c r="R198" s="59">
        <f t="shared" si="151"/>
        <v>-1.3023412246118249</v>
      </c>
      <c r="S198" s="59">
        <f t="shared" si="151"/>
        <v>22.293616332695066</v>
      </c>
      <c r="T198" s="59">
        <f t="shared" si="152"/>
        <v>-42.424030803513325</v>
      </c>
      <c r="V198" s="53">
        <v>107645</v>
      </c>
      <c r="W198" s="53">
        <v>21000</v>
      </c>
      <c r="X198" s="53">
        <v>2800</v>
      </c>
      <c r="Y198" s="53">
        <f t="shared" si="99"/>
        <v>131445</v>
      </c>
      <c r="Z198" s="53">
        <f t="shared" si="153"/>
        <v>126912.25</v>
      </c>
      <c r="AA198" s="53">
        <f t="shared" si="154"/>
        <v>87092.333333333328</v>
      </c>
      <c r="AB198" s="59">
        <f t="shared" si="155"/>
        <v>80.859407248410804</v>
      </c>
      <c r="AC198" s="59">
        <f t="shared" si="155"/>
        <v>50.22356767249925</v>
      </c>
      <c r="AD198" s="59">
        <f t="shared" si="156"/>
        <v>45.721494812019436</v>
      </c>
      <c r="AF198" s="53">
        <v>0</v>
      </c>
      <c r="AG198" s="53">
        <v>0</v>
      </c>
      <c r="AH198" s="53">
        <v>13600</v>
      </c>
      <c r="AI198" s="53">
        <f t="shared" si="103"/>
        <v>13600</v>
      </c>
      <c r="AJ198" s="53">
        <f t="shared" si="157"/>
        <v>12773.5</v>
      </c>
      <c r="AK198" s="53">
        <f t="shared" si="158"/>
        <v>17435.916666666668</v>
      </c>
      <c r="AL198" s="59">
        <f t="shared" si="159"/>
        <v>-27.690344534240751</v>
      </c>
      <c r="AM198" s="59">
        <f t="shared" si="159"/>
        <v>-21.751382146193542</v>
      </c>
      <c r="AN198" s="59">
        <f t="shared" si="160"/>
        <v>-26.740301389373478</v>
      </c>
      <c r="AP198" s="53">
        <f t="shared" si="135"/>
        <v>668011</v>
      </c>
      <c r="AQ198" s="53">
        <f t="shared" si="135"/>
        <v>50100</v>
      </c>
      <c r="AR198" s="53">
        <f t="shared" si="161"/>
        <v>43000</v>
      </c>
      <c r="AS198" s="53">
        <f t="shared" si="161"/>
        <v>761111</v>
      </c>
      <c r="AT198" s="53">
        <f t="shared" si="162"/>
        <v>816528.5</v>
      </c>
      <c r="AU198" s="53">
        <f t="shared" si="163"/>
        <v>753547.33333333337</v>
      </c>
      <c r="AV198" s="59">
        <f t="shared" si="164"/>
        <v>-4.5042094829425006</v>
      </c>
      <c r="AW198" s="59">
        <f t="shared" si="164"/>
        <v>9.5260163833934097</v>
      </c>
      <c r="AX198" s="59">
        <f t="shared" si="165"/>
        <v>8.3579576067329455</v>
      </c>
      <c r="AZ198" s="53">
        <f t="shared" si="88"/>
        <v>563.24400000000003</v>
      </c>
      <c r="BA198" s="53">
        <f t="shared" si="89"/>
        <v>52.822000000000003</v>
      </c>
      <c r="BB198" s="53">
        <f t="shared" si="90"/>
        <v>131.44499999999999</v>
      </c>
      <c r="BC198" s="53">
        <f t="shared" si="91"/>
        <v>13.6</v>
      </c>
      <c r="BD198" s="53">
        <f t="shared" si="92"/>
        <v>761.11099999999999</v>
      </c>
      <c r="BE198" s="60">
        <f t="shared" si="114"/>
        <v>17065.91</v>
      </c>
      <c r="BF198" s="60">
        <f t="shared" si="114"/>
        <v>844.77999999999986</v>
      </c>
      <c r="BG198" s="60">
        <f t="shared" si="115"/>
        <v>3987.5030000000006</v>
      </c>
      <c r="BH198" s="60">
        <f t="shared" si="116"/>
        <v>449.88400000000019</v>
      </c>
      <c r="BI198" s="60">
        <f t="shared" si="117"/>
        <v>22348.077000000005</v>
      </c>
      <c r="BJ198" s="1">
        <f t="shared" si="111"/>
        <v>32</v>
      </c>
    </row>
    <row r="199" spans="1:62" x14ac:dyDescent="0.3">
      <c r="A199" s="48">
        <v>38948</v>
      </c>
      <c r="B199" s="53">
        <v>557268</v>
      </c>
      <c r="C199" s="53">
        <v>42300</v>
      </c>
      <c r="D199" s="53">
        <v>0</v>
      </c>
      <c r="E199" s="53">
        <f t="shared" si="146"/>
        <v>599568</v>
      </c>
      <c r="F199" s="53">
        <f t="shared" si="139"/>
        <v>615493.25</v>
      </c>
      <c r="G199" s="53">
        <f t="shared" si="147"/>
        <v>566840.41666666663</v>
      </c>
      <c r="H199" s="59">
        <f t="shared" si="148"/>
        <v>8.35553210176856</v>
      </c>
      <c r="I199" s="59">
        <f t="shared" si="148"/>
        <v>-1.9687690256138257</v>
      </c>
      <c r="J199" s="59">
        <f t="shared" si="141"/>
        <v>8.5831623685972858</v>
      </c>
      <c r="L199" s="53">
        <v>6135</v>
      </c>
      <c r="M199" s="53">
        <v>16700</v>
      </c>
      <c r="N199" s="53">
        <v>19600</v>
      </c>
      <c r="O199" s="53">
        <f t="shared" si="95"/>
        <v>42435</v>
      </c>
      <c r="P199" s="53">
        <f t="shared" si="149"/>
        <v>41137.75</v>
      </c>
      <c r="Q199" s="53">
        <f t="shared" si="150"/>
        <v>74895.583333333328</v>
      </c>
      <c r="R199" s="59">
        <f t="shared" si="151"/>
        <v>-11.233134609350481</v>
      </c>
      <c r="S199" s="59">
        <f t="shared" si="151"/>
        <v>9.1165459230824197E-3</v>
      </c>
      <c r="T199" s="59">
        <f t="shared" si="152"/>
        <v>-45.073196350029541</v>
      </c>
      <c r="V199" s="53">
        <v>114148</v>
      </c>
      <c r="W199" s="53">
        <v>13500</v>
      </c>
      <c r="X199" s="53">
        <v>2800</v>
      </c>
      <c r="Y199" s="53">
        <f t="shared" si="99"/>
        <v>130448</v>
      </c>
      <c r="Z199" s="53">
        <f t="shared" si="153"/>
        <v>126221.75</v>
      </c>
      <c r="AA199" s="53">
        <f t="shared" si="154"/>
        <v>78161.333333333328</v>
      </c>
      <c r="AB199" s="59">
        <f t="shared" si="155"/>
        <v>25.642186371297846</v>
      </c>
      <c r="AC199" s="59">
        <f t="shared" si="155"/>
        <v>42.403806558246316</v>
      </c>
      <c r="AD199" s="59">
        <f t="shared" si="156"/>
        <v>61.48873697139252</v>
      </c>
      <c r="AF199" s="53">
        <v>1624</v>
      </c>
      <c r="AG199" s="53">
        <v>0</v>
      </c>
      <c r="AH199" s="53">
        <v>8400</v>
      </c>
      <c r="AI199" s="53">
        <f t="shared" si="103"/>
        <v>10024</v>
      </c>
      <c r="AJ199" s="53">
        <f t="shared" si="157"/>
        <v>13204.5</v>
      </c>
      <c r="AK199" s="53">
        <f t="shared" si="158"/>
        <v>17120.916666666668</v>
      </c>
      <c r="AL199" s="59">
        <f t="shared" si="159"/>
        <v>568.26666666666665</v>
      </c>
      <c r="AM199" s="59">
        <f t="shared" si="159"/>
        <v>-0.83361496000901036</v>
      </c>
      <c r="AN199" s="59">
        <f t="shared" si="160"/>
        <v>-22.875040763977793</v>
      </c>
      <c r="AP199" s="53">
        <f t="shared" si="135"/>
        <v>679175</v>
      </c>
      <c r="AQ199" s="53">
        <f t="shared" si="135"/>
        <v>72500</v>
      </c>
      <c r="AR199" s="53">
        <f t="shared" si="161"/>
        <v>30800</v>
      </c>
      <c r="AS199" s="53">
        <f t="shared" si="161"/>
        <v>782475</v>
      </c>
      <c r="AT199" s="53">
        <f t="shared" si="162"/>
        <v>796057.25</v>
      </c>
      <c r="AU199" s="53">
        <f t="shared" si="163"/>
        <v>737018.25</v>
      </c>
      <c r="AV199" s="59">
        <f t="shared" si="164"/>
        <v>10.759359287946735</v>
      </c>
      <c r="AW199" s="59">
        <f t="shared" si="164"/>
        <v>3.2579697324144119</v>
      </c>
      <c r="AX199" s="59">
        <f t="shared" si="165"/>
        <v>8.0105207706864689</v>
      </c>
      <c r="AZ199" s="53">
        <f t="shared" si="88"/>
        <v>599.56799999999998</v>
      </c>
      <c r="BA199" s="53">
        <f t="shared" si="89"/>
        <v>42.435000000000002</v>
      </c>
      <c r="BB199" s="53">
        <f t="shared" si="90"/>
        <v>130.44800000000001</v>
      </c>
      <c r="BC199" s="53">
        <f t="shared" si="91"/>
        <v>10.023999999999999</v>
      </c>
      <c r="BD199" s="53">
        <f t="shared" si="92"/>
        <v>782.47500000000002</v>
      </c>
      <c r="BE199" s="60">
        <f t="shared" si="114"/>
        <v>17665.477999999999</v>
      </c>
      <c r="BF199" s="60">
        <f t="shared" si="114"/>
        <v>887.21499999999992</v>
      </c>
      <c r="BG199" s="60">
        <f t="shared" si="115"/>
        <v>4117.9510000000009</v>
      </c>
      <c r="BH199" s="60">
        <f t="shared" si="116"/>
        <v>459.90800000000019</v>
      </c>
      <c r="BI199" s="60">
        <f t="shared" si="117"/>
        <v>23130.552000000003</v>
      </c>
      <c r="BJ199" s="1">
        <f t="shared" si="111"/>
        <v>33</v>
      </c>
    </row>
    <row r="200" spans="1:62" x14ac:dyDescent="0.3">
      <c r="A200" s="48">
        <v>38955</v>
      </c>
      <c r="B200" s="53">
        <v>324905</v>
      </c>
      <c r="C200" s="53">
        <v>17900</v>
      </c>
      <c r="D200" s="53">
        <v>0</v>
      </c>
      <c r="E200" s="53">
        <f t="shared" si="146"/>
        <v>342805</v>
      </c>
      <c r="F200" s="53">
        <f t="shared" si="139"/>
        <v>527772.75</v>
      </c>
      <c r="G200" s="53">
        <f t="shared" si="147"/>
        <v>551952.33333333337</v>
      </c>
      <c r="H200" s="59">
        <f t="shared" si="148"/>
        <v>-40.935303735942618</v>
      </c>
      <c r="I200" s="59">
        <f t="shared" si="148"/>
        <v>-11.271034919289969</v>
      </c>
      <c r="J200" s="59">
        <f t="shared" si="141"/>
        <v>-4.3807375878472605</v>
      </c>
      <c r="L200" s="53">
        <v>10953</v>
      </c>
      <c r="M200" s="53">
        <v>1500</v>
      </c>
      <c r="N200" s="53">
        <v>16400</v>
      </c>
      <c r="O200" s="53">
        <f t="shared" si="95"/>
        <v>28853</v>
      </c>
      <c r="P200" s="53">
        <f t="shared" si="149"/>
        <v>38276</v>
      </c>
      <c r="Q200" s="53">
        <f t="shared" si="150"/>
        <v>77842.083333333328</v>
      </c>
      <c r="R200" s="59">
        <f t="shared" si="151"/>
        <v>-16.125</v>
      </c>
      <c r="S200" s="59">
        <f t="shared" si="151"/>
        <v>-2.682362513030434</v>
      </c>
      <c r="T200" s="59">
        <f t="shared" si="152"/>
        <v>-50.828654166287514</v>
      </c>
      <c r="V200" s="53">
        <v>61517</v>
      </c>
      <c r="W200" s="53">
        <v>10600</v>
      </c>
      <c r="X200" s="53">
        <v>7000</v>
      </c>
      <c r="Y200" s="53">
        <f t="shared" si="99"/>
        <v>79117</v>
      </c>
      <c r="Z200" s="53">
        <f t="shared" si="153"/>
        <v>119213.25</v>
      </c>
      <c r="AA200" s="53">
        <f t="shared" si="154"/>
        <v>68288.5</v>
      </c>
      <c r="AB200" s="59">
        <f t="shared" si="155"/>
        <v>26.944676208202289</v>
      </c>
      <c r="AC200" s="59">
        <f t="shared" si="155"/>
        <v>43.103267181437069</v>
      </c>
      <c r="AD200" s="59">
        <f t="shared" si="156"/>
        <v>74.572951521852147</v>
      </c>
      <c r="AF200" s="53">
        <v>0</v>
      </c>
      <c r="AG200" s="53">
        <v>6300</v>
      </c>
      <c r="AH200" s="53">
        <v>9400</v>
      </c>
      <c r="AI200" s="53">
        <f t="shared" si="103"/>
        <v>15700</v>
      </c>
      <c r="AJ200" s="53">
        <f t="shared" si="157"/>
        <v>13693.5</v>
      </c>
      <c r="AK200" s="53">
        <f t="shared" si="158"/>
        <v>17836.75</v>
      </c>
      <c r="AL200" s="59">
        <f t="shared" si="159"/>
        <v>16.296296296296298</v>
      </c>
      <c r="AM200" s="59">
        <f t="shared" si="159"/>
        <v>17.018458383182367</v>
      </c>
      <c r="AN200" s="59">
        <f t="shared" si="160"/>
        <v>-23.228727206469792</v>
      </c>
      <c r="AP200" s="53">
        <f t="shared" si="135"/>
        <v>397375</v>
      </c>
      <c r="AQ200" s="53">
        <f t="shared" si="135"/>
        <v>36300</v>
      </c>
      <c r="AR200" s="53">
        <f t="shared" si="161"/>
        <v>32800</v>
      </c>
      <c r="AS200" s="53">
        <f t="shared" si="161"/>
        <v>466475</v>
      </c>
      <c r="AT200" s="53">
        <f t="shared" si="162"/>
        <v>698955.5</v>
      </c>
      <c r="AU200" s="53">
        <f t="shared" si="163"/>
        <v>715919.66666666663</v>
      </c>
      <c r="AV200" s="59">
        <f t="shared" si="164"/>
        <v>-32.45493496357583</v>
      </c>
      <c r="AW200" s="59">
        <f t="shared" si="164"/>
        <v>-4.1414819175530031</v>
      </c>
      <c r="AX200" s="59">
        <f t="shared" si="165"/>
        <v>-2.3695628792615886</v>
      </c>
      <c r="AZ200" s="53">
        <f t="shared" si="88"/>
        <v>342.80500000000001</v>
      </c>
      <c r="BA200" s="53">
        <f t="shared" si="89"/>
        <v>28.853000000000002</v>
      </c>
      <c r="BB200" s="53">
        <f t="shared" si="90"/>
        <v>79.117000000000004</v>
      </c>
      <c r="BC200" s="53">
        <f t="shared" si="91"/>
        <v>15.7</v>
      </c>
      <c r="BD200" s="53">
        <f t="shared" si="92"/>
        <v>466.47500000000002</v>
      </c>
      <c r="BE200" s="60">
        <f t="shared" si="114"/>
        <v>18008.282999999999</v>
      </c>
      <c r="BF200" s="60">
        <f t="shared" si="114"/>
        <v>916.06799999999987</v>
      </c>
      <c r="BG200" s="60">
        <f t="shared" si="115"/>
        <v>4197.0680000000011</v>
      </c>
      <c r="BH200" s="60">
        <f t="shared" si="116"/>
        <v>475.60800000000017</v>
      </c>
      <c r="BI200" s="60">
        <f t="shared" si="117"/>
        <v>23597.027000000002</v>
      </c>
      <c r="BJ200" s="1">
        <f t="shared" si="111"/>
        <v>34</v>
      </c>
    </row>
    <row r="201" spans="1:62" x14ac:dyDescent="0.3">
      <c r="A201" s="48">
        <v>38962</v>
      </c>
      <c r="B201" s="53">
        <v>440509</v>
      </c>
      <c r="C201" s="53">
        <v>24150</v>
      </c>
      <c r="D201" s="53">
        <v>0</v>
      </c>
      <c r="E201" s="53">
        <f t="shared" si="146"/>
        <v>464659</v>
      </c>
      <c r="F201" s="53">
        <f t="shared" si="139"/>
        <v>492569</v>
      </c>
      <c r="G201" s="53">
        <f t="shared" si="147"/>
        <v>509318.33333333331</v>
      </c>
      <c r="H201" s="59">
        <f t="shared" si="148"/>
        <v>-0.92262882047651207</v>
      </c>
      <c r="I201" s="59">
        <f t="shared" si="148"/>
        <v>-12.615258520592853</v>
      </c>
      <c r="J201" s="59">
        <f t="shared" si="141"/>
        <v>-3.2885785248911059</v>
      </c>
      <c r="L201" s="53">
        <v>19320</v>
      </c>
      <c r="M201" s="53">
        <v>12000</v>
      </c>
      <c r="N201" s="53">
        <v>22400</v>
      </c>
      <c r="O201" s="53">
        <f t="shared" si="95"/>
        <v>53720</v>
      </c>
      <c r="P201" s="53">
        <f t="shared" si="149"/>
        <v>44457.5</v>
      </c>
      <c r="Q201" s="53">
        <f t="shared" si="150"/>
        <v>85715.25</v>
      </c>
      <c r="R201" s="59">
        <f t="shared" si="151"/>
        <v>32.710788309987905</v>
      </c>
      <c r="S201" s="59">
        <f t="shared" si="151"/>
        <v>0.92336679852216275</v>
      </c>
      <c r="T201" s="59">
        <f t="shared" si="152"/>
        <v>-48.133500164789808</v>
      </c>
      <c r="V201" s="53">
        <v>99704</v>
      </c>
      <c r="W201" s="53">
        <v>9150</v>
      </c>
      <c r="X201" s="53">
        <v>3000</v>
      </c>
      <c r="Y201" s="53">
        <f t="shared" si="99"/>
        <v>111854</v>
      </c>
      <c r="Z201" s="53">
        <f t="shared" si="153"/>
        <v>113216</v>
      </c>
      <c r="AA201" s="53">
        <f t="shared" si="154"/>
        <v>58558.833333333336</v>
      </c>
      <c r="AB201" s="59">
        <f t="shared" si="155"/>
        <v>20.399991388775263</v>
      </c>
      <c r="AC201" s="59">
        <f t="shared" si="155"/>
        <v>36.51625272436236</v>
      </c>
      <c r="AD201" s="59">
        <f t="shared" si="156"/>
        <v>93.337185110131401</v>
      </c>
      <c r="AF201" s="53">
        <v>1500</v>
      </c>
      <c r="AG201" s="53">
        <v>3000</v>
      </c>
      <c r="AH201" s="53">
        <v>0</v>
      </c>
      <c r="AI201" s="53">
        <f t="shared" si="103"/>
        <v>4500</v>
      </c>
      <c r="AJ201" s="53">
        <f t="shared" si="157"/>
        <v>10956</v>
      </c>
      <c r="AK201" s="53">
        <f t="shared" si="158"/>
        <v>19084.5</v>
      </c>
      <c r="AL201" s="59">
        <f t="shared" si="159"/>
        <v>-61.548320943347854</v>
      </c>
      <c r="AM201" s="59">
        <f t="shared" si="159"/>
        <v>-3.7067961591703114</v>
      </c>
      <c r="AN201" s="59">
        <f t="shared" si="160"/>
        <v>-42.592155938064927</v>
      </c>
      <c r="AP201" s="53">
        <f t="shared" si="135"/>
        <v>561033</v>
      </c>
      <c r="AQ201" s="53">
        <f t="shared" si="135"/>
        <v>48300</v>
      </c>
      <c r="AR201" s="53">
        <f t="shared" si="161"/>
        <v>25400</v>
      </c>
      <c r="AS201" s="53">
        <f t="shared" si="161"/>
        <v>634733</v>
      </c>
      <c r="AT201" s="53">
        <f t="shared" si="162"/>
        <v>661198.5</v>
      </c>
      <c r="AU201" s="53">
        <f t="shared" si="163"/>
        <v>672676.91666666663</v>
      </c>
      <c r="AV201" s="59">
        <f t="shared" si="164"/>
        <v>3.3649258227889334</v>
      </c>
      <c r="AW201" s="59">
        <f t="shared" si="164"/>
        <v>-5.8174453921201685</v>
      </c>
      <c r="AX201" s="59">
        <f t="shared" si="165"/>
        <v>-1.7063788547325154</v>
      </c>
      <c r="AZ201" s="53">
        <f t="shared" si="88"/>
        <v>464.65899999999999</v>
      </c>
      <c r="BA201" s="53">
        <f t="shared" si="89"/>
        <v>53.72</v>
      </c>
      <c r="BB201" s="53">
        <f t="shared" si="90"/>
        <v>111.854</v>
      </c>
      <c r="BC201" s="53">
        <f t="shared" si="91"/>
        <v>4.5</v>
      </c>
      <c r="BD201" s="53">
        <f t="shared" si="92"/>
        <v>634.73299999999995</v>
      </c>
      <c r="BE201" s="60">
        <f t="shared" si="114"/>
        <v>18472.941999999999</v>
      </c>
      <c r="BF201" s="60">
        <f t="shared" si="114"/>
        <v>969.7879999999999</v>
      </c>
      <c r="BG201" s="60">
        <f t="shared" si="115"/>
        <v>4308.9220000000014</v>
      </c>
      <c r="BH201" s="60">
        <f t="shared" si="116"/>
        <v>480.10800000000017</v>
      </c>
      <c r="BI201" s="60">
        <f t="shared" si="117"/>
        <v>24231.760000000002</v>
      </c>
      <c r="BJ201" s="1">
        <f t="shared" si="111"/>
        <v>35</v>
      </c>
    </row>
    <row r="202" spans="1:62" x14ac:dyDescent="0.3">
      <c r="A202" s="48">
        <v>38969</v>
      </c>
      <c r="B202" s="53">
        <v>315720</v>
      </c>
      <c r="C202" s="53">
        <v>24200</v>
      </c>
      <c r="D202" s="53">
        <v>2800</v>
      </c>
      <c r="E202" s="53">
        <f t="shared" si="146"/>
        <v>342720</v>
      </c>
      <c r="F202" s="53">
        <f t="shared" si="139"/>
        <v>437438</v>
      </c>
      <c r="G202" s="53">
        <f t="shared" si="147"/>
        <v>429865.33333333331</v>
      </c>
      <c r="H202" s="59">
        <f t="shared" si="148"/>
        <v>-14.131518683510302</v>
      </c>
      <c r="I202" s="59">
        <f t="shared" si="148"/>
        <v>-12.592421637990425</v>
      </c>
      <c r="J202" s="59">
        <f t="shared" si="141"/>
        <v>1.7616369777821994</v>
      </c>
      <c r="L202" s="53">
        <v>22102</v>
      </c>
      <c r="M202" s="53">
        <v>9200</v>
      </c>
      <c r="N202" s="53">
        <v>5600</v>
      </c>
      <c r="O202" s="53">
        <f t="shared" si="95"/>
        <v>36902</v>
      </c>
      <c r="P202" s="53">
        <f t="shared" si="149"/>
        <v>40477.5</v>
      </c>
      <c r="Q202" s="53">
        <f t="shared" si="150"/>
        <v>86231.833333333328</v>
      </c>
      <c r="R202" s="59">
        <f t="shared" si="151"/>
        <v>-34.825150123631218</v>
      </c>
      <c r="S202" s="59">
        <f t="shared" si="151"/>
        <v>-9.7008432606076838</v>
      </c>
      <c r="T202" s="59">
        <f t="shared" si="152"/>
        <v>-53.059678270398983</v>
      </c>
      <c r="V202" s="53">
        <v>104159</v>
      </c>
      <c r="W202" s="53">
        <v>2900</v>
      </c>
      <c r="X202" s="53">
        <v>12600</v>
      </c>
      <c r="Y202" s="53">
        <f t="shared" si="99"/>
        <v>119659</v>
      </c>
      <c r="Z202" s="53">
        <f t="shared" si="153"/>
        <v>110269.5</v>
      </c>
      <c r="AA202" s="53">
        <f t="shared" si="154"/>
        <v>49085.416666666664</v>
      </c>
      <c r="AB202" s="59">
        <f t="shared" si="155"/>
        <v>144.12730796694891</v>
      </c>
      <c r="AC202" s="59">
        <f t="shared" si="155"/>
        <v>43.176462186674279</v>
      </c>
      <c r="AD202" s="59">
        <f t="shared" si="156"/>
        <v>124.64818980518655</v>
      </c>
      <c r="AF202" s="53">
        <v>6200</v>
      </c>
      <c r="AG202" s="53">
        <v>4700</v>
      </c>
      <c r="AH202" s="53">
        <v>2900</v>
      </c>
      <c r="AI202" s="53">
        <f t="shared" si="103"/>
        <v>13800</v>
      </c>
      <c r="AJ202" s="53">
        <f t="shared" si="157"/>
        <v>11006</v>
      </c>
      <c r="AK202" s="53">
        <f t="shared" si="158"/>
        <v>14044.916666666666</v>
      </c>
      <c r="AL202" s="59">
        <f t="shared" si="159"/>
        <v>30.188679245283012</v>
      </c>
      <c r="AM202" s="59">
        <f t="shared" si="159"/>
        <v>18.01731764201271</v>
      </c>
      <c r="AN202" s="59">
        <f t="shared" si="160"/>
        <v>-21.637128498448433</v>
      </c>
      <c r="AP202" s="53">
        <f t="shared" si="135"/>
        <v>448181</v>
      </c>
      <c r="AQ202" s="53">
        <f t="shared" si="135"/>
        <v>41000</v>
      </c>
      <c r="AR202" s="53">
        <f t="shared" si="161"/>
        <v>23900</v>
      </c>
      <c r="AS202" s="53">
        <f t="shared" si="161"/>
        <v>513081</v>
      </c>
      <c r="AT202" s="53">
        <f t="shared" si="162"/>
        <v>599191</v>
      </c>
      <c r="AU202" s="53">
        <f t="shared" si="163"/>
        <v>579227.5</v>
      </c>
      <c r="AV202" s="59">
        <f t="shared" si="164"/>
        <v>-0.4416356040569891</v>
      </c>
      <c r="AW202" s="59">
        <f t="shared" si="164"/>
        <v>-5.1351590973139132</v>
      </c>
      <c r="AX202" s="59">
        <f t="shared" si="165"/>
        <v>3.4465732376311564</v>
      </c>
      <c r="AZ202" s="53">
        <f t="shared" si="88"/>
        <v>342.72</v>
      </c>
      <c r="BA202" s="53">
        <f t="shared" si="89"/>
        <v>36.902000000000001</v>
      </c>
      <c r="BB202" s="53">
        <f t="shared" si="90"/>
        <v>119.65900000000001</v>
      </c>
      <c r="BC202" s="53">
        <f t="shared" si="91"/>
        <v>13.8</v>
      </c>
      <c r="BD202" s="53">
        <f t="shared" si="92"/>
        <v>513.08100000000002</v>
      </c>
      <c r="BE202" s="60">
        <f t="shared" si="114"/>
        <v>18815.662</v>
      </c>
      <c r="BF202" s="60">
        <f t="shared" si="114"/>
        <v>1006.6899999999999</v>
      </c>
      <c r="BG202" s="60">
        <f t="shared" si="115"/>
        <v>4428.581000000001</v>
      </c>
      <c r="BH202" s="60">
        <f t="shared" si="116"/>
        <v>493.90800000000019</v>
      </c>
      <c r="BI202" s="60">
        <f t="shared" si="117"/>
        <v>24744.841</v>
      </c>
      <c r="BJ202" s="1">
        <f t="shared" si="111"/>
        <v>36</v>
      </c>
    </row>
    <row r="203" spans="1:62" x14ac:dyDescent="0.3">
      <c r="A203" s="48">
        <v>38976</v>
      </c>
      <c r="B203" s="53">
        <v>253309</v>
      </c>
      <c r="C203" s="53">
        <v>67570</v>
      </c>
      <c r="D203" s="53">
        <v>1400</v>
      </c>
      <c r="E203" s="53">
        <f t="shared" si="146"/>
        <v>322279</v>
      </c>
      <c r="F203" s="53">
        <f t="shared" si="139"/>
        <v>368115.75</v>
      </c>
      <c r="G203" s="53">
        <f t="shared" si="147"/>
        <v>367170.08333333331</v>
      </c>
      <c r="H203" s="59">
        <f t="shared" si="148"/>
        <v>49.400366223952894</v>
      </c>
      <c r="I203" s="59">
        <f t="shared" si="148"/>
        <v>-11.521909468264857</v>
      </c>
      <c r="J203" s="59">
        <f t="shared" si="141"/>
        <v>0.25755547894357189</v>
      </c>
      <c r="L203" s="53">
        <v>25310</v>
      </c>
      <c r="M203" s="53">
        <v>33057</v>
      </c>
      <c r="N203" s="53">
        <v>25200</v>
      </c>
      <c r="O203" s="53">
        <f t="shared" si="95"/>
        <v>83567</v>
      </c>
      <c r="P203" s="53">
        <f t="shared" si="149"/>
        <v>50760.5</v>
      </c>
      <c r="Q203" s="53">
        <f t="shared" si="150"/>
        <v>83622.416666666672</v>
      </c>
      <c r="R203" s="59">
        <f t="shared" si="151"/>
        <v>29.374700044896507</v>
      </c>
      <c r="S203" s="59">
        <f t="shared" si="151"/>
        <v>3.5442547375721611</v>
      </c>
      <c r="T203" s="59">
        <f t="shared" si="152"/>
        <v>-39.297975323602429</v>
      </c>
      <c r="V203" s="53">
        <v>71660</v>
      </c>
      <c r="W203" s="53">
        <v>37700</v>
      </c>
      <c r="X203" s="53">
        <v>4200</v>
      </c>
      <c r="Y203" s="53">
        <f t="shared" si="99"/>
        <v>113560</v>
      </c>
      <c r="Z203" s="53">
        <f t="shared" si="153"/>
        <v>106047.5</v>
      </c>
      <c r="AA203" s="53">
        <f t="shared" si="154"/>
        <v>42985.166666666664</v>
      </c>
      <c r="AB203" s="59">
        <f t="shared" si="155"/>
        <v>276.47526853202493</v>
      </c>
      <c r="AC203" s="59">
        <f t="shared" si="155"/>
        <v>80.964569868390186</v>
      </c>
      <c r="AD203" s="59">
        <f t="shared" si="156"/>
        <v>146.70719744407955</v>
      </c>
      <c r="AF203" s="53">
        <v>3000</v>
      </c>
      <c r="AG203" s="53">
        <v>0</v>
      </c>
      <c r="AH203" s="53">
        <v>7300</v>
      </c>
      <c r="AI203" s="53">
        <f t="shared" si="103"/>
        <v>10300</v>
      </c>
      <c r="AJ203" s="53">
        <f t="shared" si="157"/>
        <v>11075</v>
      </c>
      <c r="AK203" s="53">
        <f t="shared" si="158"/>
        <v>14797.333333333334</v>
      </c>
      <c r="AL203" s="59">
        <f t="shared" si="159"/>
        <v>-32.679738562091501</v>
      </c>
      <c r="AM203" s="59">
        <f t="shared" si="159"/>
        <v>-13.312330000195683</v>
      </c>
      <c r="AN203" s="59">
        <f t="shared" si="160"/>
        <v>-25.155433411425488</v>
      </c>
      <c r="AP203" s="53">
        <f t="shared" si="135"/>
        <v>353279</v>
      </c>
      <c r="AQ203" s="53">
        <f t="shared" si="135"/>
        <v>138327</v>
      </c>
      <c r="AR203" s="53">
        <f t="shared" si="161"/>
        <v>38100</v>
      </c>
      <c r="AS203" s="53">
        <f t="shared" si="161"/>
        <v>529706</v>
      </c>
      <c r="AT203" s="53">
        <f t="shared" si="162"/>
        <v>535998.75</v>
      </c>
      <c r="AU203" s="53">
        <f t="shared" si="163"/>
        <v>508575</v>
      </c>
      <c r="AV203" s="59">
        <f t="shared" si="164"/>
        <v>62.60022346917475</v>
      </c>
      <c r="AW203" s="59">
        <f t="shared" si="164"/>
        <v>-8.4676569988428874E-2</v>
      </c>
      <c r="AX203" s="59">
        <f t="shared" si="165"/>
        <v>5.3922725261760895</v>
      </c>
      <c r="AZ203" s="53">
        <f t="shared" si="88"/>
        <v>322.279</v>
      </c>
      <c r="BA203" s="53">
        <f t="shared" si="89"/>
        <v>83.566999999999993</v>
      </c>
      <c r="BB203" s="53">
        <f t="shared" si="90"/>
        <v>113.56</v>
      </c>
      <c r="BC203" s="53">
        <f t="shared" si="91"/>
        <v>10.3</v>
      </c>
      <c r="BD203" s="53">
        <f t="shared" si="92"/>
        <v>529.70600000000002</v>
      </c>
      <c r="BE203" s="60">
        <f t="shared" si="114"/>
        <v>19137.940999999999</v>
      </c>
      <c r="BF203" s="60">
        <f t="shared" si="114"/>
        <v>1090.2569999999998</v>
      </c>
      <c r="BG203" s="60">
        <f t="shared" si="115"/>
        <v>4542.1410000000014</v>
      </c>
      <c r="BH203" s="60">
        <f t="shared" si="116"/>
        <v>504.2080000000002</v>
      </c>
      <c r="BI203" s="60">
        <f t="shared" si="117"/>
        <v>25274.546999999999</v>
      </c>
      <c r="BJ203" s="1">
        <f t="shared" si="111"/>
        <v>37</v>
      </c>
    </row>
    <row r="204" spans="1:62" x14ac:dyDescent="0.3">
      <c r="A204" s="48">
        <v>38983</v>
      </c>
      <c r="B204" s="53">
        <v>392455</v>
      </c>
      <c r="C204" s="53">
        <v>43800</v>
      </c>
      <c r="D204" s="53">
        <v>1400</v>
      </c>
      <c r="E204" s="53">
        <f t="shared" si="146"/>
        <v>437655</v>
      </c>
      <c r="F204" s="53">
        <f t="shared" si="139"/>
        <v>391828.25</v>
      </c>
      <c r="G204" s="53">
        <f t="shared" si="147"/>
        <v>338514.75</v>
      </c>
      <c r="H204" s="59">
        <f t="shared" si="148"/>
        <v>36.344094731037742</v>
      </c>
      <c r="I204" s="59">
        <f t="shared" si="148"/>
        <v>11.567137618022571</v>
      </c>
      <c r="J204" s="59">
        <f t="shared" si="141"/>
        <v>15.749239878025989</v>
      </c>
      <c r="L204" s="53">
        <v>18583</v>
      </c>
      <c r="M204" s="53">
        <v>10900</v>
      </c>
      <c r="N204" s="53">
        <v>6200</v>
      </c>
      <c r="O204" s="53">
        <f t="shared" si="95"/>
        <v>35683</v>
      </c>
      <c r="P204" s="53">
        <f t="shared" si="149"/>
        <v>52468</v>
      </c>
      <c r="Q204" s="53">
        <f t="shared" si="150"/>
        <v>75091.333333333328</v>
      </c>
      <c r="R204" s="59">
        <f t="shared" si="151"/>
        <v>167.80996697688383</v>
      </c>
      <c r="S204" s="59">
        <f t="shared" si="151"/>
        <v>19.915893404031635</v>
      </c>
      <c r="T204" s="59">
        <f t="shared" si="152"/>
        <v>-30.127755533261713</v>
      </c>
      <c r="V204" s="53">
        <v>72899</v>
      </c>
      <c r="W204" s="53">
        <v>15500</v>
      </c>
      <c r="X204" s="53">
        <v>5600</v>
      </c>
      <c r="Y204" s="53">
        <f t="shared" si="99"/>
        <v>93999</v>
      </c>
      <c r="Z204" s="53">
        <f t="shared" si="153"/>
        <v>109768</v>
      </c>
      <c r="AA204" s="53">
        <f t="shared" si="154"/>
        <v>45057.916666666664</v>
      </c>
      <c r="AB204" s="59">
        <f t="shared" si="155"/>
        <v>95.395680462302778</v>
      </c>
      <c r="AC204" s="59">
        <f t="shared" si="155"/>
        <v>99.407778807201112</v>
      </c>
      <c r="AD204" s="59">
        <f t="shared" si="156"/>
        <v>143.61534691461918</v>
      </c>
      <c r="AF204" s="53">
        <v>7824</v>
      </c>
      <c r="AG204" s="53">
        <v>0</v>
      </c>
      <c r="AH204" s="53">
        <v>6400</v>
      </c>
      <c r="AI204" s="53">
        <f t="shared" si="103"/>
        <v>14224</v>
      </c>
      <c r="AJ204" s="53">
        <f t="shared" si="157"/>
        <v>10706</v>
      </c>
      <c r="AK204" s="53">
        <f t="shared" si="158"/>
        <v>11490.166666666666</v>
      </c>
      <c r="AL204" s="59">
        <f t="shared" si="159"/>
        <v>230.7906976744186</v>
      </c>
      <c r="AM204" s="59">
        <f t="shared" si="159"/>
        <v>2.1979333221965103</v>
      </c>
      <c r="AN204" s="59">
        <f t="shared" si="160"/>
        <v>-6.8246761723792737</v>
      </c>
      <c r="AP204" s="53">
        <f t="shared" si="135"/>
        <v>491761</v>
      </c>
      <c r="AQ204" s="53">
        <f t="shared" si="135"/>
        <v>70200</v>
      </c>
      <c r="AR204" s="53">
        <f t="shared" si="161"/>
        <v>19600</v>
      </c>
      <c r="AS204" s="53">
        <f t="shared" si="161"/>
        <v>581561</v>
      </c>
      <c r="AT204" s="53">
        <f t="shared" si="162"/>
        <v>564770.25</v>
      </c>
      <c r="AU204" s="53">
        <f t="shared" si="163"/>
        <v>470154.16666666669</v>
      </c>
      <c r="AV204" s="59">
        <f t="shared" si="164"/>
        <v>50.381408963498522</v>
      </c>
      <c r="AW204" s="59">
        <f t="shared" si="164"/>
        <v>22.64796085395535</v>
      </c>
      <c r="AX204" s="59">
        <f t="shared" si="165"/>
        <v>20.124480445244018</v>
      </c>
      <c r="AZ204" s="53">
        <f t="shared" ref="AZ204:AZ267" si="166">+E204/1000</f>
        <v>437.65499999999997</v>
      </c>
      <c r="BA204" s="53">
        <f t="shared" ref="BA204:BA267" si="167">+O204/1000</f>
        <v>35.683</v>
      </c>
      <c r="BB204" s="53">
        <f t="shared" ref="BB204:BB267" si="168">+Y204/1000</f>
        <v>93.998999999999995</v>
      </c>
      <c r="BC204" s="53">
        <f t="shared" ref="BC204:BC267" si="169">+AI204/1000</f>
        <v>14.224</v>
      </c>
      <c r="BD204" s="53">
        <f t="shared" ref="BD204:BD267" si="170">+AS204/1000</f>
        <v>581.56100000000004</v>
      </c>
      <c r="BE204" s="60">
        <f t="shared" si="114"/>
        <v>19575.595999999998</v>
      </c>
      <c r="BF204" s="60">
        <f t="shared" si="114"/>
        <v>1125.9399999999998</v>
      </c>
      <c r="BG204" s="60">
        <f t="shared" si="115"/>
        <v>4636.1400000000012</v>
      </c>
      <c r="BH204" s="60">
        <f t="shared" si="116"/>
        <v>518.43200000000024</v>
      </c>
      <c r="BI204" s="60">
        <f t="shared" si="117"/>
        <v>25856.108</v>
      </c>
      <c r="BJ204" s="1">
        <f t="shared" si="111"/>
        <v>38</v>
      </c>
    </row>
    <row r="205" spans="1:62" x14ac:dyDescent="0.3">
      <c r="A205" s="48">
        <v>38990</v>
      </c>
      <c r="B205" s="53">
        <v>467289</v>
      </c>
      <c r="C205" s="53">
        <v>109247</v>
      </c>
      <c r="D205" s="53">
        <v>0</v>
      </c>
      <c r="E205" s="53">
        <f t="shared" si="146"/>
        <v>576536</v>
      </c>
      <c r="F205" s="53">
        <f t="shared" si="139"/>
        <v>419797.5</v>
      </c>
      <c r="G205" s="53">
        <f t="shared" si="147"/>
        <v>343102.16666666669</v>
      </c>
      <c r="H205" s="59">
        <f t="shared" si="148"/>
        <v>113.0229636608842</v>
      </c>
      <c r="I205" s="59">
        <f t="shared" ref="I205:I217" si="171">((F205/F153)-1)*100</f>
        <v>39.18149982386705</v>
      </c>
      <c r="J205" s="59">
        <f t="shared" ref="J205:J217" si="172">((F205/G205)-1)*100</f>
        <v>22.353497233331375</v>
      </c>
      <c r="L205" s="53">
        <v>29662</v>
      </c>
      <c r="M205" s="53">
        <v>9000</v>
      </c>
      <c r="N205" s="53">
        <v>11200</v>
      </c>
      <c r="O205" s="53">
        <f t="shared" si="95"/>
        <v>49862</v>
      </c>
      <c r="P205" s="53">
        <f t="shared" ref="P205:P217" si="173">AVERAGE(O202,O203,O204,O205)</f>
        <v>51503.5</v>
      </c>
      <c r="Q205" s="53">
        <f t="shared" ref="Q205:Q217" si="174">AVERAGE(P153,P101,P49)</f>
        <v>60248.083333333336</v>
      </c>
      <c r="R205" s="59">
        <f t="shared" ref="R205:S217" si="175">((O205/O153)-1)*100</f>
        <v>113.62409494023393</v>
      </c>
      <c r="S205" s="59">
        <f t="shared" si="175"/>
        <v>30.489365206045171</v>
      </c>
      <c r="T205" s="59">
        <f t="shared" ref="T205:T221" si="176">((P205/Q205)-1)*100</f>
        <v>-14.514292985807298</v>
      </c>
      <c r="V205" s="53">
        <v>105552</v>
      </c>
      <c r="W205" s="53">
        <v>16818</v>
      </c>
      <c r="X205" s="53">
        <v>1400</v>
      </c>
      <c r="Y205" s="53">
        <f t="shared" si="99"/>
        <v>123770</v>
      </c>
      <c r="Z205" s="53">
        <f t="shared" ref="Z205:Z217" si="177">AVERAGE(Y202,Y203,Y204,Y205)</f>
        <v>112747</v>
      </c>
      <c r="AA205" s="53">
        <f t="shared" ref="AA205:AA217" si="178">AVERAGE(Z153,Z101,Z49)</f>
        <v>54753.166666666664</v>
      </c>
      <c r="AB205" s="59">
        <f t="shared" ref="AB205:AC217" si="179">((Y205/Y153)-1)*100</f>
        <v>355.69014395640812</v>
      </c>
      <c r="AC205" s="59">
        <f t="shared" si="179"/>
        <v>192.00178702079032</v>
      </c>
      <c r="AD205" s="59">
        <f t="shared" ref="AD205:AD217" si="180">((Z205/AA205)-1)*100</f>
        <v>105.91868354646157</v>
      </c>
      <c r="AF205" s="53">
        <v>6100</v>
      </c>
      <c r="AG205" s="53">
        <v>0</v>
      </c>
      <c r="AH205" s="53">
        <v>5850</v>
      </c>
      <c r="AI205" s="53">
        <f t="shared" si="103"/>
        <v>11950</v>
      </c>
      <c r="AJ205" s="53">
        <f t="shared" ref="AJ205:AJ217" si="181">AVERAGE(AI202,AI203,AI204,AI205)</f>
        <v>12568.5</v>
      </c>
      <c r="AK205" s="53">
        <f t="shared" ref="AK205:AK217" si="182">AVERAGE(AJ153,AJ101,AJ49)</f>
        <v>11022.75</v>
      </c>
      <c r="AL205" s="59">
        <f t="shared" ref="AL205:AM217" si="183">((AI205/AI153)-1)*100</f>
        <v>-50.340757978723403</v>
      </c>
      <c r="AM205" s="59">
        <f t="shared" si="183"/>
        <v>-7.3529411764705843</v>
      </c>
      <c r="AN205" s="59">
        <f t="shared" ref="AN205:AN217" si="184">((AJ205/AK205)-1)*100</f>
        <v>14.023270055113279</v>
      </c>
      <c r="AP205" s="53">
        <f t="shared" si="135"/>
        <v>608603</v>
      </c>
      <c r="AQ205" s="53">
        <f t="shared" si="135"/>
        <v>135065</v>
      </c>
      <c r="AR205" s="53">
        <f t="shared" si="161"/>
        <v>18450</v>
      </c>
      <c r="AS205" s="53">
        <f t="shared" si="161"/>
        <v>762118</v>
      </c>
      <c r="AT205" s="53">
        <f t="shared" ref="AT205:AT217" si="185">AVERAGE(AS202,AS203,AS204,AS205)</f>
        <v>596616.5</v>
      </c>
      <c r="AU205" s="53">
        <f t="shared" ref="AU205:AU217" si="186">AVERAGE(AT153,AT101,AT49)</f>
        <v>469126.16666666669</v>
      </c>
      <c r="AV205" s="59">
        <f t="shared" ref="AV205:AW217" si="187">((AS205/AS153)-1)*100</f>
        <v>120.76874722995501</v>
      </c>
      <c r="AW205" s="59">
        <f t="shared" si="187"/>
        <v>51.708131391984047</v>
      </c>
      <c r="AX205" s="59">
        <f t="shared" ref="AX205:AX217" si="188">((AT205/AU205)-1)*100</f>
        <v>27.176129236022859</v>
      </c>
      <c r="AZ205" s="53">
        <f t="shared" si="166"/>
        <v>576.53599999999994</v>
      </c>
      <c r="BA205" s="53">
        <f t="shared" si="167"/>
        <v>49.862000000000002</v>
      </c>
      <c r="BB205" s="53">
        <f t="shared" si="168"/>
        <v>123.77</v>
      </c>
      <c r="BC205" s="53">
        <f t="shared" si="169"/>
        <v>11.95</v>
      </c>
      <c r="BD205" s="53">
        <f t="shared" si="170"/>
        <v>762.11800000000005</v>
      </c>
      <c r="BE205" s="60">
        <f t="shared" si="114"/>
        <v>20152.131999999998</v>
      </c>
      <c r="BF205" s="60">
        <f t="shared" si="114"/>
        <v>1175.8019999999999</v>
      </c>
      <c r="BG205" s="60">
        <f t="shared" si="115"/>
        <v>4759.9100000000017</v>
      </c>
      <c r="BH205" s="60">
        <f t="shared" si="116"/>
        <v>530.38200000000029</v>
      </c>
      <c r="BI205" s="60">
        <f t="shared" si="117"/>
        <v>26618.225999999999</v>
      </c>
      <c r="BJ205" s="1">
        <f t="shared" ref="BJ205:BJ268" si="189">1+BJ204</f>
        <v>39</v>
      </c>
    </row>
    <row r="206" spans="1:62" x14ac:dyDescent="0.3">
      <c r="A206" s="48">
        <v>38997</v>
      </c>
      <c r="B206" s="53">
        <v>395506</v>
      </c>
      <c r="C206" s="53">
        <v>109900</v>
      </c>
      <c r="D206" s="53">
        <v>0</v>
      </c>
      <c r="E206" s="53">
        <f t="shared" si="146"/>
        <v>505406</v>
      </c>
      <c r="F206" s="53">
        <f>AVERAGE(E203,E204,E205,E206)</f>
        <v>460469</v>
      </c>
      <c r="G206" s="53">
        <f>AVERAGE(F154,F102,F50)</f>
        <v>371173.75</v>
      </c>
      <c r="H206" s="59">
        <f>((E206/E154)-1)*100</f>
        <v>49.005999675693211</v>
      </c>
      <c r="I206" s="59">
        <f t="shared" si="171"/>
        <v>60.646746989633151</v>
      </c>
      <c r="J206" s="59">
        <f t="shared" si="172"/>
        <v>24.0575337022082</v>
      </c>
      <c r="L206" s="53">
        <v>24495</v>
      </c>
      <c r="M206" s="53">
        <v>16700</v>
      </c>
      <c r="N206" s="53">
        <v>14000</v>
      </c>
      <c r="O206" s="53">
        <f t="shared" si="95"/>
        <v>55195</v>
      </c>
      <c r="P206" s="53">
        <f t="shared" si="173"/>
        <v>56076.75</v>
      </c>
      <c r="Q206" s="53">
        <f t="shared" si="174"/>
        <v>47870.666666666664</v>
      </c>
      <c r="R206" s="59">
        <f t="shared" si="175"/>
        <v>362.23096893057533</v>
      </c>
      <c r="S206" s="59">
        <f t="shared" si="175"/>
        <v>98.152810537195563</v>
      </c>
      <c r="T206" s="59">
        <f t="shared" si="176"/>
        <v>17.142195638247504</v>
      </c>
      <c r="V206" s="53">
        <v>164204</v>
      </c>
      <c r="W206" s="53">
        <v>17629</v>
      </c>
      <c r="X206" s="53">
        <v>15200</v>
      </c>
      <c r="Y206" s="53">
        <f t="shared" si="99"/>
        <v>197033</v>
      </c>
      <c r="Z206" s="53">
        <f t="shared" si="177"/>
        <v>132090.5</v>
      </c>
      <c r="AA206" s="53">
        <f t="shared" si="178"/>
        <v>97092.916666666672</v>
      </c>
      <c r="AB206" s="59">
        <f t="shared" si="179"/>
        <v>113.61601092836931</v>
      </c>
      <c r="AC206" s="59">
        <f t="shared" si="179"/>
        <v>167.29633882905262</v>
      </c>
      <c r="AD206" s="59">
        <f t="shared" si="180"/>
        <v>36.045454740519169</v>
      </c>
      <c r="AF206" s="53">
        <v>4764</v>
      </c>
      <c r="AG206" s="53">
        <v>0</v>
      </c>
      <c r="AH206" s="53">
        <v>11300</v>
      </c>
      <c r="AI206" s="53">
        <f t="shared" si="103"/>
        <v>16064</v>
      </c>
      <c r="AJ206" s="53">
        <f t="shared" si="181"/>
        <v>13134.5</v>
      </c>
      <c r="AK206" s="53">
        <f t="shared" si="182"/>
        <v>11087.416666666666</v>
      </c>
      <c r="AL206" s="59">
        <f t="shared" si="183"/>
        <v>59.761312779711595</v>
      </c>
      <c r="AM206" s="59">
        <f t="shared" si="183"/>
        <v>-2.1984772613041992</v>
      </c>
      <c r="AN206" s="59">
        <f t="shared" si="184"/>
        <v>18.463122608963612</v>
      </c>
      <c r="AP206" s="53">
        <f t="shared" si="135"/>
        <v>588969</v>
      </c>
      <c r="AQ206" s="53">
        <f t="shared" si="135"/>
        <v>144229</v>
      </c>
      <c r="AR206" s="53">
        <f t="shared" si="161"/>
        <v>40500</v>
      </c>
      <c r="AS206" s="53">
        <f t="shared" si="161"/>
        <v>773698</v>
      </c>
      <c r="AT206" s="53">
        <f t="shared" si="185"/>
        <v>661770.75</v>
      </c>
      <c r="AU206" s="53">
        <f t="shared" si="186"/>
        <v>527224.75</v>
      </c>
      <c r="AV206" s="59">
        <f t="shared" si="187"/>
        <v>70.63680753741582</v>
      </c>
      <c r="AW206" s="59">
        <f t="shared" si="187"/>
        <v>75.173000248159497</v>
      </c>
      <c r="AX206" s="59">
        <f t="shared" si="188"/>
        <v>25.519666897276739</v>
      </c>
      <c r="AZ206" s="53">
        <f t="shared" si="166"/>
        <v>505.40600000000001</v>
      </c>
      <c r="BA206" s="53">
        <f t="shared" si="167"/>
        <v>55.195</v>
      </c>
      <c r="BB206" s="53">
        <f t="shared" si="168"/>
        <v>197.03299999999999</v>
      </c>
      <c r="BC206" s="53">
        <f t="shared" si="169"/>
        <v>16.064</v>
      </c>
      <c r="BD206" s="53">
        <f t="shared" si="170"/>
        <v>773.69799999999998</v>
      </c>
      <c r="BE206" s="60">
        <f>BE205+AZ206</f>
        <v>20657.537999999997</v>
      </c>
      <c r="BF206" s="60">
        <f>BF205+BA206</f>
        <v>1230.9969999999998</v>
      </c>
      <c r="BG206" s="60">
        <f t="shared" si="115"/>
        <v>4956.943000000002</v>
      </c>
      <c r="BH206" s="60">
        <f>BH205+BC206</f>
        <v>546.44600000000025</v>
      </c>
      <c r="BI206" s="60">
        <f>BI205+BD206</f>
        <v>27391.923999999999</v>
      </c>
      <c r="BJ206" s="1">
        <f t="shared" si="189"/>
        <v>40</v>
      </c>
    </row>
    <row r="207" spans="1:62" x14ac:dyDescent="0.3">
      <c r="A207" s="48">
        <v>39004</v>
      </c>
      <c r="B207" s="53">
        <v>279509</v>
      </c>
      <c r="C207" s="53">
        <v>86800</v>
      </c>
      <c r="D207" s="53">
        <v>0</v>
      </c>
      <c r="E207" s="53">
        <f t="shared" si="146"/>
        <v>366309</v>
      </c>
      <c r="F207" s="53">
        <f t="shared" si="139"/>
        <v>471476.5</v>
      </c>
      <c r="G207" s="53">
        <f t="shared" si="147"/>
        <v>404628.41666666669</v>
      </c>
      <c r="H207" s="59">
        <f t="shared" si="148"/>
        <v>15.520634259872468</v>
      </c>
      <c r="I207" s="59">
        <f t="shared" si="171"/>
        <v>51.12431355610989</v>
      </c>
      <c r="J207" s="59">
        <f t="shared" si="172"/>
        <v>16.520857305087098</v>
      </c>
      <c r="L207" s="53">
        <v>9483</v>
      </c>
      <c r="M207" s="53">
        <v>6200</v>
      </c>
      <c r="N207" s="53">
        <v>11200</v>
      </c>
      <c r="O207" s="53">
        <f t="shared" si="95"/>
        <v>26883</v>
      </c>
      <c r="P207" s="53">
        <f t="shared" si="173"/>
        <v>41905.75</v>
      </c>
      <c r="Q207" s="53">
        <f t="shared" si="174"/>
        <v>43175.166666666664</v>
      </c>
      <c r="R207" s="59">
        <f t="shared" si="175"/>
        <v>-38.107516979394497</v>
      </c>
      <c r="S207" s="59">
        <f t="shared" si="175"/>
        <v>82.11775187144859</v>
      </c>
      <c r="T207" s="59">
        <f t="shared" si="176"/>
        <v>-2.9401546413640456</v>
      </c>
      <c r="V207" s="53">
        <v>230587</v>
      </c>
      <c r="W207" s="53">
        <v>34500</v>
      </c>
      <c r="X207" s="53">
        <v>10200</v>
      </c>
      <c r="Y207" s="53">
        <f t="shared" si="99"/>
        <v>275287</v>
      </c>
      <c r="Z207" s="53">
        <f t="shared" si="177"/>
        <v>172522.25</v>
      </c>
      <c r="AA207" s="53">
        <f t="shared" si="178"/>
        <v>163592.16666666666</v>
      </c>
      <c r="AB207" s="59">
        <f>((Y207/Y155)-1)*100</f>
        <v>13.426397089422792</v>
      </c>
      <c r="AC207" s="59">
        <f t="shared" si="179"/>
        <v>68.229864994661213</v>
      </c>
      <c r="AD207" s="59">
        <f t="shared" si="180"/>
        <v>5.4587475154169063</v>
      </c>
      <c r="AF207" s="53">
        <v>1640</v>
      </c>
      <c r="AG207" s="53">
        <v>3000</v>
      </c>
      <c r="AH207" s="53">
        <v>10400</v>
      </c>
      <c r="AI207" s="53">
        <f t="shared" si="103"/>
        <v>15040</v>
      </c>
      <c r="AJ207" s="53">
        <f t="shared" si="181"/>
        <v>14319.5</v>
      </c>
      <c r="AK207" s="53">
        <f t="shared" si="182"/>
        <v>11431.25</v>
      </c>
      <c r="AL207" s="59">
        <f t="shared" si="183"/>
        <v>-2.6537216828478982</v>
      </c>
      <c r="AM207" s="59">
        <f t="shared" si="183"/>
        <v>6.3283149863557986</v>
      </c>
      <c r="AN207" s="59">
        <f t="shared" si="184"/>
        <v>25.266265718972125</v>
      </c>
      <c r="AP207" s="53">
        <f t="shared" si="135"/>
        <v>521219</v>
      </c>
      <c r="AQ207" s="53">
        <f t="shared" si="135"/>
        <v>130500</v>
      </c>
      <c r="AR207" s="53">
        <f t="shared" si="161"/>
        <v>31800</v>
      </c>
      <c r="AS207" s="53">
        <f t="shared" si="161"/>
        <v>683519</v>
      </c>
      <c r="AT207" s="53">
        <f t="shared" si="185"/>
        <v>700224</v>
      </c>
      <c r="AU207" s="53">
        <f t="shared" si="186"/>
        <v>622827</v>
      </c>
      <c r="AV207" s="59">
        <f t="shared" si="187"/>
        <v>10.480215943621896</v>
      </c>
      <c r="AW207" s="59">
        <f t="shared" si="187"/>
        <v>55.257470345608972</v>
      </c>
      <c r="AX207" s="59">
        <f t="shared" si="188"/>
        <v>12.426725238308546</v>
      </c>
      <c r="AZ207" s="53">
        <f t="shared" si="166"/>
        <v>366.30900000000003</v>
      </c>
      <c r="BA207" s="53">
        <f t="shared" si="167"/>
        <v>26.882999999999999</v>
      </c>
      <c r="BB207" s="53">
        <f t="shared" si="168"/>
        <v>275.28699999999998</v>
      </c>
      <c r="BC207" s="53">
        <f t="shared" si="169"/>
        <v>15.04</v>
      </c>
      <c r="BD207" s="53">
        <f t="shared" si="170"/>
        <v>683.51900000000001</v>
      </c>
      <c r="BE207" s="60">
        <f t="shared" ref="BE207:BE217" si="190">BE206+AZ207</f>
        <v>21023.846999999998</v>
      </c>
      <c r="BF207" s="60">
        <f t="shared" si="114"/>
        <v>1257.8799999999999</v>
      </c>
      <c r="BG207" s="60">
        <f t="shared" si="115"/>
        <v>5232.2300000000023</v>
      </c>
      <c r="BH207" s="60">
        <f t="shared" si="116"/>
        <v>561.48600000000022</v>
      </c>
      <c r="BI207" s="60">
        <f t="shared" si="117"/>
        <v>28075.442999999999</v>
      </c>
      <c r="BJ207" s="1">
        <f t="shared" si="189"/>
        <v>41</v>
      </c>
    </row>
    <row r="208" spans="1:62" x14ac:dyDescent="0.3">
      <c r="A208" s="48">
        <v>39011</v>
      </c>
      <c r="B208" s="53">
        <v>285966</v>
      </c>
      <c r="C208" s="53">
        <v>111700</v>
      </c>
      <c r="D208" s="53">
        <v>0</v>
      </c>
      <c r="E208" s="53">
        <f t="shared" si="146"/>
        <v>397666</v>
      </c>
      <c r="F208" s="53">
        <f t="shared" si="139"/>
        <v>461479.25</v>
      </c>
      <c r="G208" s="53">
        <f t="shared" si="147"/>
        <v>408753.83333333331</v>
      </c>
      <c r="H208" s="59">
        <f t="shared" si="148"/>
        <v>37.886006338374912</v>
      </c>
      <c r="I208" s="59">
        <f t="shared" si="171"/>
        <v>51.88657199796598</v>
      </c>
      <c r="J208" s="59">
        <f t="shared" si="172"/>
        <v>12.899063535795596</v>
      </c>
      <c r="L208" s="53">
        <v>10676</v>
      </c>
      <c r="M208" s="53">
        <v>4600</v>
      </c>
      <c r="N208" s="53">
        <v>12600</v>
      </c>
      <c r="O208" s="53">
        <f t="shared" si="95"/>
        <v>27876</v>
      </c>
      <c r="P208" s="53">
        <f t="shared" si="173"/>
        <v>39954</v>
      </c>
      <c r="Q208" s="53">
        <f t="shared" si="174"/>
        <v>33750.583333333336</v>
      </c>
      <c r="R208" s="59">
        <f t="shared" si="175"/>
        <v>178.76</v>
      </c>
      <c r="S208" s="59">
        <f t="shared" si="175"/>
        <v>80.141348332337657</v>
      </c>
      <c r="T208" s="59">
        <f t="shared" si="176"/>
        <v>18.380176145103654</v>
      </c>
      <c r="V208" s="53">
        <v>248539</v>
      </c>
      <c r="W208" s="53">
        <v>53800</v>
      </c>
      <c r="X208" s="53">
        <v>12400</v>
      </c>
      <c r="Y208" s="53">
        <f t="shared" si="99"/>
        <v>314739</v>
      </c>
      <c r="Z208" s="53">
        <f t="shared" si="177"/>
        <v>227707.25</v>
      </c>
      <c r="AA208" s="53">
        <f t="shared" si="178"/>
        <v>225261.91666666666</v>
      </c>
      <c r="AB208" s="59">
        <f>((Y208/Y156)-1)*100</f>
        <v>5.0906031192715639</v>
      </c>
      <c r="AC208" s="59">
        <f t="shared" si="179"/>
        <v>37.67231163617457</v>
      </c>
      <c r="AD208" s="59">
        <f t="shared" si="180"/>
        <v>1.0855511528616857</v>
      </c>
      <c r="AF208" s="53">
        <v>1500</v>
      </c>
      <c r="AG208" s="53">
        <v>3000</v>
      </c>
      <c r="AH208" s="53">
        <v>3800</v>
      </c>
      <c r="AI208" s="53">
        <f t="shared" si="103"/>
        <v>8300</v>
      </c>
      <c r="AJ208" s="53">
        <f t="shared" si="181"/>
        <v>12838.5</v>
      </c>
      <c r="AK208" s="53">
        <f t="shared" si="182"/>
        <v>13578.5</v>
      </c>
      <c r="AL208" s="59">
        <f t="shared" si="183"/>
        <v>-56.544502617801044</v>
      </c>
      <c r="AM208" s="59">
        <f t="shared" si="183"/>
        <v>-25.215162591562425</v>
      </c>
      <c r="AN208" s="59">
        <f t="shared" si="184"/>
        <v>-5.4497919505099972</v>
      </c>
      <c r="AP208" s="53">
        <f t="shared" si="135"/>
        <v>546681</v>
      </c>
      <c r="AQ208" s="53">
        <f t="shared" si="135"/>
        <v>173100</v>
      </c>
      <c r="AR208" s="53">
        <f t="shared" si="161"/>
        <v>28800</v>
      </c>
      <c r="AS208" s="53">
        <f t="shared" si="161"/>
        <v>748581</v>
      </c>
      <c r="AT208" s="53">
        <f t="shared" si="185"/>
        <v>741979</v>
      </c>
      <c r="AU208" s="53">
        <f t="shared" si="186"/>
        <v>681344.83333333337</v>
      </c>
      <c r="AV208" s="59">
        <f t="shared" si="187"/>
        <v>21.326915128971869</v>
      </c>
      <c r="AW208" s="59">
        <f t="shared" si="187"/>
        <v>45.893435789341218</v>
      </c>
      <c r="AX208" s="59">
        <f t="shared" si="188"/>
        <v>8.8991893238592468</v>
      </c>
      <c r="AZ208" s="53">
        <f t="shared" si="166"/>
        <v>397.666</v>
      </c>
      <c r="BA208" s="53">
        <f t="shared" si="167"/>
        <v>27.876000000000001</v>
      </c>
      <c r="BB208" s="53">
        <f t="shared" si="168"/>
        <v>314.73899999999998</v>
      </c>
      <c r="BC208" s="53">
        <f t="shared" si="169"/>
        <v>8.3000000000000007</v>
      </c>
      <c r="BD208" s="53">
        <f t="shared" si="170"/>
        <v>748.58100000000002</v>
      </c>
      <c r="BE208" s="60">
        <f t="shared" si="190"/>
        <v>21421.512999999999</v>
      </c>
      <c r="BF208" s="60">
        <f t="shared" si="114"/>
        <v>1285.7559999999999</v>
      </c>
      <c r="BG208" s="60">
        <f t="shared" si="115"/>
        <v>5546.9690000000019</v>
      </c>
      <c r="BH208" s="60">
        <f t="shared" ref="BH208:BI217" si="191">BH207+BC208</f>
        <v>569.78600000000017</v>
      </c>
      <c r="BI208" s="60">
        <f t="shared" si="191"/>
        <v>28824.023999999998</v>
      </c>
      <c r="BJ208" s="1">
        <f t="shared" si="189"/>
        <v>42</v>
      </c>
    </row>
    <row r="209" spans="1:66" x14ac:dyDescent="0.3">
      <c r="A209" s="48">
        <v>39018</v>
      </c>
      <c r="B209" s="53">
        <v>306335</v>
      </c>
      <c r="C209" s="53">
        <v>36300</v>
      </c>
      <c r="D209" s="53">
        <v>0</v>
      </c>
      <c r="E209" s="53">
        <f t="shared" si="146"/>
        <v>342635</v>
      </c>
      <c r="F209" s="53">
        <f t="shared" ref="F209:F217" si="192">AVERAGE(E206,E207,E208,E209)</f>
        <v>403004</v>
      </c>
      <c r="G209" s="53">
        <f>AVERAGE(F157,F105,F53)</f>
        <v>412379.33333333331</v>
      </c>
      <c r="H209" s="59">
        <f>((E209/E157)-1)*100</f>
        <v>24.567367119901107</v>
      </c>
      <c r="I209" s="59">
        <f t="shared" si="171"/>
        <v>32.160516043979825</v>
      </c>
      <c r="J209" s="59">
        <f t="shared" si="172"/>
        <v>-2.2734731291092825</v>
      </c>
      <c r="L209" s="53">
        <v>4600</v>
      </c>
      <c r="M209" s="53">
        <v>3000</v>
      </c>
      <c r="N209" s="53">
        <v>5600</v>
      </c>
      <c r="O209" s="53">
        <f t="shared" si="95"/>
        <v>13200</v>
      </c>
      <c r="P209" s="53">
        <f t="shared" si="173"/>
        <v>30788.5</v>
      </c>
      <c r="Q209" s="53">
        <f t="shared" si="174"/>
        <v>26990.416666666668</v>
      </c>
      <c r="R209" s="59">
        <f t="shared" si="175"/>
        <v>85.91549295774648</v>
      </c>
      <c r="S209" s="59">
        <f t="shared" si="175"/>
        <v>69.923836856338653</v>
      </c>
      <c r="T209" s="59">
        <f t="shared" si="176"/>
        <v>14.071969989348077</v>
      </c>
      <c r="V209" s="53">
        <v>162836</v>
      </c>
      <c r="W209" s="53">
        <v>38100</v>
      </c>
      <c r="X209" s="53">
        <v>29400</v>
      </c>
      <c r="Y209" s="53">
        <f t="shared" si="99"/>
        <v>230336</v>
      </c>
      <c r="Z209" s="53">
        <f t="shared" si="177"/>
        <v>254348.75</v>
      </c>
      <c r="AA209" s="53">
        <f t="shared" si="178"/>
        <v>272637.5</v>
      </c>
      <c r="AB209" s="59">
        <f t="shared" si="179"/>
        <v>-2.5692652595067922</v>
      </c>
      <c r="AC209" s="59">
        <f t="shared" si="179"/>
        <v>16.829019304327652</v>
      </c>
      <c r="AD209" s="59">
        <f t="shared" si="180"/>
        <v>-6.7080830773462941</v>
      </c>
      <c r="AF209" s="53">
        <v>4600</v>
      </c>
      <c r="AG209" s="53">
        <v>0</v>
      </c>
      <c r="AH209" s="53">
        <v>3000</v>
      </c>
      <c r="AI209" s="53">
        <f t="shared" si="103"/>
        <v>7600</v>
      </c>
      <c r="AJ209" s="53">
        <f t="shared" si="181"/>
        <v>11751</v>
      </c>
      <c r="AK209" s="53">
        <f t="shared" si="182"/>
        <v>12816.833333333334</v>
      </c>
      <c r="AL209" s="59">
        <f t="shared" si="183"/>
        <v>-45.714285714285715</v>
      </c>
      <c r="AM209" s="59">
        <f t="shared" si="183"/>
        <v>-19.795239314051706</v>
      </c>
      <c r="AN209" s="59">
        <f t="shared" si="184"/>
        <v>-8.3158866594712713</v>
      </c>
      <c r="AP209" s="53">
        <f t="shared" si="135"/>
        <v>478371</v>
      </c>
      <c r="AQ209" s="53">
        <f t="shared" si="135"/>
        <v>77400</v>
      </c>
      <c r="AR209" s="53">
        <f t="shared" si="161"/>
        <v>38000</v>
      </c>
      <c r="AS209" s="53">
        <f t="shared" si="161"/>
        <v>593771</v>
      </c>
      <c r="AT209" s="53">
        <f t="shared" si="185"/>
        <v>699892.25</v>
      </c>
      <c r="AU209" s="53">
        <f t="shared" si="186"/>
        <v>724824.08333333337</v>
      </c>
      <c r="AV209" s="59">
        <f t="shared" si="187"/>
        <v>11.491634902454129</v>
      </c>
      <c r="AW209" s="59">
        <f t="shared" si="187"/>
        <v>26.012315999321235</v>
      </c>
      <c r="AX209" s="59">
        <f t="shared" si="188"/>
        <v>-3.439708186664614</v>
      </c>
      <c r="AZ209" s="53">
        <f t="shared" si="166"/>
        <v>342.63499999999999</v>
      </c>
      <c r="BA209" s="53">
        <f t="shared" si="167"/>
        <v>13.2</v>
      </c>
      <c r="BB209" s="53">
        <f t="shared" si="168"/>
        <v>230.33600000000001</v>
      </c>
      <c r="BC209" s="53">
        <f t="shared" si="169"/>
        <v>7.6</v>
      </c>
      <c r="BD209" s="53">
        <f t="shared" si="170"/>
        <v>593.77099999999996</v>
      </c>
      <c r="BE209" s="60">
        <f t="shared" si="190"/>
        <v>21764.147999999997</v>
      </c>
      <c r="BF209" s="60">
        <f>BF208+BA209</f>
        <v>1298.9559999999999</v>
      </c>
      <c r="BG209" s="60">
        <f t="shared" si="115"/>
        <v>5777.3050000000021</v>
      </c>
      <c r="BH209" s="60">
        <f t="shared" si="191"/>
        <v>577.38600000000019</v>
      </c>
      <c r="BI209" s="60">
        <f t="shared" si="191"/>
        <v>29417.794999999998</v>
      </c>
      <c r="BJ209" s="1">
        <f t="shared" si="189"/>
        <v>43</v>
      </c>
    </row>
    <row r="210" spans="1:66" x14ac:dyDescent="0.3">
      <c r="A210" s="48">
        <v>39025</v>
      </c>
      <c r="B210" s="53">
        <v>467093</v>
      </c>
      <c r="C210" s="53">
        <v>42800</v>
      </c>
      <c r="D210" s="53">
        <v>0</v>
      </c>
      <c r="E210" s="53">
        <f t="shared" si="146"/>
        <v>509893</v>
      </c>
      <c r="F210" s="53">
        <f t="shared" si="192"/>
        <v>404125.75</v>
      </c>
      <c r="G210" s="53">
        <f t="shared" si="147"/>
        <v>453283.25</v>
      </c>
      <c r="H210" s="59">
        <f t="shared" si="148"/>
        <v>14.107547672277022</v>
      </c>
      <c r="I210" s="59">
        <f t="shared" si="171"/>
        <v>21.778818736350281</v>
      </c>
      <c r="J210" s="59">
        <f t="shared" si="172"/>
        <v>-10.844764283701192</v>
      </c>
      <c r="L210" s="53">
        <v>0</v>
      </c>
      <c r="M210" s="53">
        <v>1600</v>
      </c>
      <c r="N210" s="53">
        <v>8400</v>
      </c>
      <c r="O210" s="53">
        <f t="shared" si="95"/>
        <v>10000</v>
      </c>
      <c r="P210" s="53">
        <f t="shared" si="173"/>
        <v>19489.75</v>
      </c>
      <c r="Q210" s="53">
        <f t="shared" si="174"/>
        <v>27335.916666666668</v>
      </c>
      <c r="R210" s="59">
        <f t="shared" si="175"/>
        <v>-66.854491216440167</v>
      </c>
      <c r="S210" s="59">
        <f t="shared" si="175"/>
        <v>-14.052147070172538</v>
      </c>
      <c r="T210" s="59">
        <f t="shared" si="176"/>
        <v>-28.702775042602681</v>
      </c>
      <c r="V210" s="53">
        <v>149311</v>
      </c>
      <c r="W210" s="53">
        <v>50450</v>
      </c>
      <c r="X210" s="53">
        <v>21000</v>
      </c>
      <c r="Y210" s="53">
        <f t="shared" si="99"/>
        <v>220761</v>
      </c>
      <c r="Z210" s="53">
        <f t="shared" si="177"/>
        <v>260280.75</v>
      </c>
      <c r="AA210" s="53">
        <f t="shared" si="178"/>
        <v>288225.83333333331</v>
      </c>
      <c r="AB210" s="59">
        <f>((Y210/Y158)-1)*100</f>
        <v>22.602089268755932</v>
      </c>
      <c r="AC210" s="59">
        <f t="shared" si="179"/>
        <v>8.6011096658172193</v>
      </c>
      <c r="AD210" s="59">
        <f t="shared" si="180"/>
        <v>-9.6955512315285102</v>
      </c>
      <c r="AF210" s="53">
        <v>6200</v>
      </c>
      <c r="AG210" s="53">
        <v>0</v>
      </c>
      <c r="AH210" s="53">
        <v>10600</v>
      </c>
      <c r="AI210" s="53">
        <f t="shared" si="103"/>
        <v>16800</v>
      </c>
      <c r="AJ210" s="53">
        <f t="shared" si="181"/>
        <v>11935</v>
      </c>
      <c r="AK210" s="53">
        <f t="shared" si="182"/>
        <v>11289.416666666666</v>
      </c>
      <c r="AL210" s="59">
        <f t="shared" si="183"/>
        <v>86.170212765957444</v>
      </c>
      <c r="AM210" s="59">
        <f t="shared" si="183"/>
        <v>-17.080626671761557</v>
      </c>
      <c r="AN210" s="59">
        <f t="shared" si="184"/>
        <v>5.7184826496792684</v>
      </c>
      <c r="AP210" s="53">
        <f t="shared" si="135"/>
        <v>622604</v>
      </c>
      <c r="AQ210" s="53">
        <f t="shared" si="135"/>
        <v>94850</v>
      </c>
      <c r="AR210" s="53">
        <f t="shared" si="161"/>
        <v>40000</v>
      </c>
      <c r="AS210" s="53">
        <f t="shared" si="161"/>
        <v>757454</v>
      </c>
      <c r="AT210" s="53">
        <f t="shared" si="185"/>
        <v>695831.25</v>
      </c>
      <c r="AU210" s="53">
        <f t="shared" si="186"/>
        <v>780134.41666666663</v>
      </c>
      <c r="AV210" s="59">
        <f t="shared" si="187"/>
        <v>13.713050397081572</v>
      </c>
      <c r="AW210" s="59">
        <f t="shared" si="187"/>
        <v>14.335214050539058</v>
      </c>
      <c r="AX210" s="59">
        <f t="shared" si="188"/>
        <v>-10.806236062097419</v>
      </c>
      <c r="AZ210" s="53">
        <f t="shared" si="166"/>
        <v>509.89299999999997</v>
      </c>
      <c r="BA210" s="53">
        <f t="shared" si="167"/>
        <v>10</v>
      </c>
      <c r="BB210" s="53">
        <f t="shared" si="168"/>
        <v>220.761</v>
      </c>
      <c r="BC210" s="53">
        <f t="shared" si="169"/>
        <v>16.8</v>
      </c>
      <c r="BD210" s="53">
        <f t="shared" si="170"/>
        <v>757.45399999999995</v>
      </c>
      <c r="BE210" s="60">
        <f t="shared" si="190"/>
        <v>22274.040999999997</v>
      </c>
      <c r="BF210" s="60">
        <f t="shared" si="114"/>
        <v>1308.9559999999999</v>
      </c>
      <c r="BG210" s="60">
        <f t="shared" si="115"/>
        <v>5998.0660000000025</v>
      </c>
      <c r="BH210" s="60">
        <f t="shared" si="191"/>
        <v>594.18600000000015</v>
      </c>
      <c r="BI210" s="60">
        <f t="shared" si="191"/>
        <v>30175.249</v>
      </c>
      <c r="BJ210" s="1">
        <f t="shared" si="189"/>
        <v>44</v>
      </c>
    </row>
    <row r="211" spans="1:66" x14ac:dyDescent="0.3">
      <c r="A211" s="48">
        <v>39032</v>
      </c>
      <c r="B211" s="53">
        <v>533434</v>
      </c>
      <c r="C211" s="53">
        <v>75931</v>
      </c>
      <c r="D211" s="53">
        <v>0</v>
      </c>
      <c r="E211" s="53">
        <f t="shared" si="146"/>
        <v>609365</v>
      </c>
      <c r="F211" s="53">
        <f t="shared" si="192"/>
        <v>464889.75</v>
      </c>
      <c r="G211" s="53">
        <f t="shared" ref="G211:G217" si="193">AVERAGE(F159,F107,F55)</f>
        <v>500677.83333333331</v>
      </c>
      <c r="H211" s="59">
        <f t="shared" ref="H211:H217" si="194">((E211/E159)-1)*100</f>
        <v>18.30354542736552</v>
      </c>
      <c r="I211" s="59">
        <f t="shared" si="171"/>
        <v>21.906239736305409</v>
      </c>
      <c r="J211" s="59">
        <f t="shared" si="172"/>
        <v>-7.1479264610276649</v>
      </c>
      <c r="L211" s="53">
        <v>16060</v>
      </c>
      <c r="M211" s="53">
        <v>4500</v>
      </c>
      <c r="N211" s="53">
        <v>4200</v>
      </c>
      <c r="O211" s="53">
        <f t="shared" si="95"/>
        <v>24760</v>
      </c>
      <c r="P211" s="53">
        <f t="shared" si="173"/>
        <v>18959</v>
      </c>
      <c r="Q211" s="53">
        <f t="shared" si="174"/>
        <v>21865.666666666668</v>
      </c>
      <c r="R211" s="59">
        <f t="shared" si="175"/>
        <v>224.7639034627492</v>
      </c>
      <c r="S211" s="59">
        <f t="shared" si="175"/>
        <v>38.149888876744264</v>
      </c>
      <c r="T211" s="59">
        <f t="shared" si="176"/>
        <v>-13.293290851715788</v>
      </c>
      <c r="V211" s="53">
        <v>148876</v>
      </c>
      <c r="W211" s="53">
        <v>58624</v>
      </c>
      <c r="X211" s="53">
        <v>9800</v>
      </c>
      <c r="Y211" s="53">
        <f t="shared" si="99"/>
        <v>217300</v>
      </c>
      <c r="Z211" s="53">
        <f t="shared" si="177"/>
        <v>245784</v>
      </c>
      <c r="AA211" s="53">
        <f t="shared" si="178"/>
        <v>273952.66666666669</v>
      </c>
      <c r="AB211" s="59">
        <f t="shared" si="179"/>
        <v>16.43920030436017</v>
      </c>
      <c r="AC211" s="59">
        <f t="shared" si="179"/>
        <v>8.9242366663822903</v>
      </c>
      <c r="AD211" s="59">
        <f t="shared" si="180"/>
        <v>-10.282311542869937</v>
      </c>
      <c r="AF211" s="53">
        <v>6140</v>
      </c>
      <c r="AG211" s="53">
        <v>0</v>
      </c>
      <c r="AH211" s="53">
        <v>4400</v>
      </c>
      <c r="AI211" s="53">
        <f t="shared" si="103"/>
        <v>10540</v>
      </c>
      <c r="AJ211" s="53">
        <f t="shared" si="181"/>
        <v>10810</v>
      </c>
      <c r="AK211" s="53">
        <f t="shared" si="182"/>
        <v>12410.25</v>
      </c>
      <c r="AL211" s="59">
        <f t="shared" si="183"/>
        <v>602.66666666666663</v>
      </c>
      <c r="AM211" s="59">
        <f t="shared" si="183"/>
        <v>-0.88024940399780149</v>
      </c>
      <c r="AN211" s="59">
        <f t="shared" si="184"/>
        <v>-12.894583106706147</v>
      </c>
      <c r="AP211" s="53">
        <f t="shared" si="135"/>
        <v>704510</v>
      </c>
      <c r="AQ211" s="53">
        <f t="shared" si="135"/>
        <v>139055</v>
      </c>
      <c r="AR211" s="53">
        <f t="shared" si="161"/>
        <v>18400</v>
      </c>
      <c r="AS211" s="53">
        <f t="shared" si="161"/>
        <v>861965</v>
      </c>
      <c r="AT211" s="53">
        <f t="shared" si="185"/>
        <v>740442.75</v>
      </c>
      <c r="AU211" s="53">
        <f t="shared" si="186"/>
        <v>808906.41666666663</v>
      </c>
      <c r="AV211" s="59">
        <f t="shared" si="187"/>
        <v>21.261593824692504</v>
      </c>
      <c r="AW211" s="59">
        <f t="shared" si="187"/>
        <v>17.227942462832079</v>
      </c>
      <c r="AX211" s="59">
        <f t="shared" si="188"/>
        <v>-8.4637314349404029</v>
      </c>
      <c r="AZ211" s="53">
        <f t="shared" si="166"/>
        <v>609.36500000000001</v>
      </c>
      <c r="BA211" s="53">
        <f t="shared" si="167"/>
        <v>24.76</v>
      </c>
      <c r="BB211" s="53">
        <f t="shared" si="168"/>
        <v>217.3</v>
      </c>
      <c r="BC211" s="53">
        <f t="shared" si="169"/>
        <v>10.54</v>
      </c>
      <c r="BD211" s="53">
        <f t="shared" si="170"/>
        <v>861.96500000000003</v>
      </c>
      <c r="BE211" s="60">
        <f t="shared" si="190"/>
        <v>22883.405999999999</v>
      </c>
      <c r="BF211" s="60">
        <f>BF210+BA211</f>
        <v>1333.7159999999999</v>
      </c>
      <c r="BG211" s="60">
        <f t="shared" si="115"/>
        <v>6215.3660000000027</v>
      </c>
      <c r="BH211" s="60">
        <f t="shared" si="191"/>
        <v>604.72600000000011</v>
      </c>
      <c r="BI211" s="60">
        <f t="shared" si="191"/>
        <v>31037.214</v>
      </c>
      <c r="BJ211" s="1">
        <f t="shared" si="189"/>
        <v>45</v>
      </c>
    </row>
    <row r="212" spans="1:66" x14ac:dyDescent="0.3">
      <c r="A212" s="48">
        <v>39039</v>
      </c>
      <c r="B212" s="53">
        <v>644021</v>
      </c>
      <c r="C212" s="53">
        <v>63941</v>
      </c>
      <c r="D212" s="53">
        <v>0</v>
      </c>
      <c r="E212" s="53">
        <f t="shared" si="146"/>
        <v>707962</v>
      </c>
      <c r="F212" s="53">
        <f t="shared" si="192"/>
        <v>542463.75</v>
      </c>
      <c r="G212" s="53">
        <f t="shared" si="193"/>
        <v>561051</v>
      </c>
      <c r="H212" s="59">
        <f t="shared" si="194"/>
        <v>16.47119404188253</v>
      </c>
      <c r="I212" s="59">
        <f t="shared" si="171"/>
        <v>17.617389456658074</v>
      </c>
      <c r="J212" s="59">
        <f t="shared" si="172"/>
        <v>-3.3129341182887129</v>
      </c>
      <c r="L212" s="53">
        <v>7100</v>
      </c>
      <c r="M212" s="53">
        <v>0</v>
      </c>
      <c r="N212" s="53">
        <v>1400</v>
      </c>
      <c r="O212" s="53">
        <f t="shared" si="95"/>
        <v>8500</v>
      </c>
      <c r="P212" s="53">
        <f t="shared" si="173"/>
        <v>14115</v>
      </c>
      <c r="Q212" s="53">
        <f t="shared" si="174"/>
        <v>24351.166666666668</v>
      </c>
      <c r="R212" s="59">
        <f t="shared" si="175"/>
        <v>-25.438596491228072</v>
      </c>
      <c r="S212" s="59">
        <f t="shared" si="175"/>
        <v>0.29488044907095556</v>
      </c>
      <c r="T212" s="59">
        <f t="shared" si="176"/>
        <v>-42.035631420808038</v>
      </c>
      <c r="V212" s="53">
        <v>92581</v>
      </c>
      <c r="W212" s="53">
        <v>61416</v>
      </c>
      <c r="X212" s="53">
        <v>29000</v>
      </c>
      <c r="Y212" s="53">
        <f t="shared" si="99"/>
        <v>182997</v>
      </c>
      <c r="Z212" s="53">
        <f t="shared" si="177"/>
        <v>212848.5</v>
      </c>
      <c r="AA212" s="53">
        <f t="shared" si="178"/>
        <v>270160.66666666669</v>
      </c>
      <c r="AB212" s="59">
        <f>((Y212/Y160)-1)*100</f>
        <v>-8.9050506257280286</v>
      </c>
      <c r="AC212" s="59">
        <f t="shared" si="179"/>
        <v>5.8974103833428604</v>
      </c>
      <c r="AD212" s="59">
        <f t="shared" si="180"/>
        <v>-21.214104693256608</v>
      </c>
      <c r="AF212" s="53">
        <v>3100</v>
      </c>
      <c r="AG212" s="53">
        <v>0</v>
      </c>
      <c r="AH212" s="53">
        <v>10300</v>
      </c>
      <c r="AI212" s="53">
        <f t="shared" si="103"/>
        <v>13400</v>
      </c>
      <c r="AJ212" s="53">
        <f t="shared" si="181"/>
        <v>12085</v>
      </c>
      <c r="AK212" s="53">
        <f t="shared" si="182"/>
        <v>10130.25</v>
      </c>
      <c r="AL212" s="59">
        <f t="shared" si="183"/>
        <v>12.227805695142369</v>
      </c>
      <c r="AM212" s="59">
        <f>((AJ212/AJ160)-1)*100</f>
        <v>32.569109258446694</v>
      </c>
      <c r="AN212" s="59">
        <f t="shared" si="184"/>
        <v>19.296167419362796</v>
      </c>
      <c r="AP212" s="53">
        <f t="shared" si="135"/>
        <v>746802</v>
      </c>
      <c r="AQ212" s="53">
        <f t="shared" si="135"/>
        <v>125357</v>
      </c>
      <c r="AR212" s="53">
        <f t="shared" si="161"/>
        <v>40700</v>
      </c>
      <c r="AS212" s="53">
        <f t="shared" si="161"/>
        <v>912859</v>
      </c>
      <c r="AT212" s="53">
        <f t="shared" si="185"/>
        <v>781512.25</v>
      </c>
      <c r="AU212" s="53">
        <f t="shared" si="186"/>
        <v>865693.08333333337</v>
      </c>
      <c r="AV212" s="59">
        <f t="shared" si="187"/>
        <v>9.7095313008897186</v>
      </c>
      <c r="AW212" s="59">
        <f t="shared" si="187"/>
        <v>14.023628710451641</v>
      </c>
      <c r="AX212" s="59">
        <f t="shared" si="188"/>
        <v>-9.7240967906543467</v>
      </c>
      <c r="AZ212" s="53">
        <f t="shared" si="166"/>
        <v>707.96199999999999</v>
      </c>
      <c r="BA212" s="53">
        <f t="shared" si="167"/>
        <v>8.5</v>
      </c>
      <c r="BB212" s="53">
        <f t="shared" si="168"/>
        <v>182.99700000000001</v>
      </c>
      <c r="BC212" s="53">
        <f t="shared" si="169"/>
        <v>13.4</v>
      </c>
      <c r="BD212" s="53">
        <f t="shared" si="170"/>
        <v>912.85900000000004</v>
      </c>
      <c r="BE212" s="60">
        <f t="shared" si="190"/>
        <v>23591.367999999999</v>
      </c>
      <c r="BF212" s="60">
        <f t="shared" si="114"/>
        <v>1342.2159999999999</v>
      </c>
      <c r="BG212" s="60">
        <f t="shared" si="115"/>
        <v>6398.363000000003</v>
      </c>
      <c r="BH212" s="60">
        <f t="shared" si="191"/>
        <v>618.12600000000009</v>
      </c>
      <c r="BI212" s="60">
        <f t="shared" si="191"/>
        <v>31950.073</v>
      </c>
      <c r="BJ212" s="1">
        <f t="shared" si="189"/>
        <v>46</v>
      </c>
    </row>
    <row r="213" spans="1:66" x14ac:dyDescent="0.3">
      <c r="A213" s="48">
        <v>39046</v>
      </c>
      <c r="B213" s="53">
        <v>775078</v>
      </c>
      <c r="C213" s="53">
        <v>90800</v>
      </c>
      <c r="D213" s="53"/>
      <c r="E213" s="53">
        <f t="shared" ref="E213:E270" si="195">SUM(B213:D213)</f>
        <v>865878</v>
      </c>
      <c r="F213" s="53">
        <f t="shared" si="192"/>
        <v>673274.5</v>
      </c>
      <c r="G213" s="53">
        <f t="shared" si="193"/>
        <v>621936.83333333337</v>
      </c>
      <c r="H213" s="59">
        <f t="shared" si="194"/>
        <v>37.022490046271386</v>
      </c>
      <c r="I213" s="59">
        <f t="shared" si="171"/>
        <v>22.318692868166767</v>
      </c>
      <c r="J213" s="59">
        <f t="shared" si="172"/>
        <v>8.2544824353812949</v>
      </c>
      <c r="L213" s="53">
        <v>0</v>
      </c>
      <c r="M213" s="53">
        <v>1451</v>
      </c>
      <c r="N213" s="53">
        <v>11200</v>
      </c>
      <c r="O213" s="53">
        <f t="shared" si="95"/>
        <v>12651</v>
      </c>
      <c r="P213" s="53">
        <f t="shared" si="173"/>
        <v>13977.75</v>
      </c>
      <c r="Q213" s="53">
        <f t="shared" si="174"/>
        <v>25025.75</v>
      </c>
      <c r="R213" s="59">
        <f t="shared" si="175"/>
        <v>-22.765567765567763</v>
      </c>
      <c r="S213" s="59">
        <f t="shared" si="175"/>
        <v>-14.73602342391802</v>
      </c>
      <c r="T213" s="59">
        <f t="shared" si="176"/>
        <v>-44.146529075052698</v>
      </c>
      <c r="V213" s="53">
        <v>65434</v>
      </c>
      <c r="W213" s="53">
        <v>64897</v>
      </c>
      <c r="X213" s="53">
        <v>28000</v>
      </c>
      <c r="Y213" s="53">
        <f t="shared" si="99"/>
        <v>158331</v>
      </c>
      <c r="Z213" s="53">
        <f t="shared" si="177"/>
        <v>194847.25</v>
      </c>
      <c r="AA213" s="53">
        <f t="shared" si="178"/>
        <v>268174.08333333331</v>
      </c>
      <c r="AB213" s="59">
        <f>((Y213/Y161)-1)*100</f>
        <v>-26.464045032534333</v>
      </c>
      <c r="AC213" s="59">
        <f t="shared" si="179"/>
        <v>-0.44604480118944911</v>
      </c>
      <c r="AD213" s="59">
        <f t="shared" si="180"/>
        <v>-27.342997661034229</v>
      </c>
      <c r="AF213" s="53">
        <v>6407</v>
      </c>
      <c r="AG213" s="53">
        <v>4500</v>
      </c>
      <c r="AH213" s="53">
        <v>7750</v>
      </c>
      <c r="AI213" s="53">
        <f t="shared" si="103"/>
        <v>18657</v>
      </c>
      <c r="AJ213" s="53">
        <f t="shared" si="181"/>
        <v>14849.25</v>
      </c>
      <c r="AK213" s="53">
        <f t="shared" si="182"/>
        <v>8353.25</v>
      </c>
      <c r="AL213" s="59">
        <f t="shared" si="183"/>
        <v>84.722772277227733</v>
      </c>
      <c r="AM213" s="59">
        <f>((AJ213/AJ161)-1)*100</f>
        <v>82.400810711214831</v>
      </c>
      <c r="AN213" s="59">
        <f t="shared" si="184"/>
        <v>77.766138927962174</v>
      </c>
      <c r="AP213" s="53">
        <f t="shared" si="135"/>
        <v>846919</v>
      </c>
      <c r="AQ213" s="53">
        <f t="shared" si="135"/>
        <v>161648</v>
      </c>
      <c r="AR213" s="53">
        <f t="shared" si="161"/>
        <v>46950</v>
      </c>
      <c r="AS213" s="53">
        <f t="shared" si="161"/>
        <v>1055517</v>
      </c>
      <c r="AT213" s="53">
        <f t="shared" si="185"/>
        <v>896948.75</v>
      </c>
      <c r="AU213" s="53">
        <f t="shared" si="186"/>
        <v>923489.91666666663</v>
      </c>
      <c r="AV213" s="59">
        <f t="shared" si="187"/>
        <v>20.807929359115953</v>
      </c>
      <c r="AW213" s="59">
        <f t="shared" si="187"/>
        <v>16.383881144117616</v>
      </c>
      <c r="AX213" s="59">
        <f t="shared" si="188"/>
        <v>-2.8740071967939707</v>
      </c>
      <c r="AZ213" s="53">
        <f t="shared" si="166"/>
        <v>865.87800000000004</v>
      </c>
      <c r="BA213" s="53">
        <f t="shared" si="167"/>
        <v>12.651</v>
      </c>
      <c r="BB213" s="53">
        <f t="shared" si="168"/>
        <v>158.33099999999999</v>
      </c>
      <c r="BC213" s="53">
        <f t="shared" si="169"/>
        <v>18.657</v>
      </c>
      <c r="BD213" s="53">
        <f t="shared" si="170"/>
        <v>1055.5170000000001</v>
      </c>
      <c r="BE213" s="60">
        <f t="shared" si="190"/>
        <v>24457.245999999999</v>
      </c>
      <c r="BF213" s="60">
        <f t="shared" si="114"/>
        <v>1354.867</v>
      </c>
      <c r="BG213" s="60">
        <f t="shared" si="115"/>
        <v>6556.6940000000031</v>
      </c>
      <c r="BH213" s="60">
        <f t="shared" si="191"/>
        <v>636.78300000000013</v>
      </c>
      <c r="BI213" s="60">
        <f t="shared" si="191"/>
        <v>33005.590000000004</v>
      </c>
      <c r="BJ213" s="1">
        <f t="shared" si="189"/>
        <v>47</v>
      </c>
    </row>
    <row r="214" spans="1:66" x14ac:dyDescent="0.3">
      <c r="A214" s="48">
        <v>39053</v>
      </c>
      <c r="B214" s="53">
        <v>568317</v>
      </c>
      <c r="C214" s="53">
        <v>73600</v>
      </c>
      <c r="D214" s="53">
        <v>0</v>
      </c>
      <c r="E214" s="53">
        <f t="shared" si="195"/>
        <v>641917</v>
      </c>
      <c r="F214" s="53">
        <f t="shared" si="192"/>
        <v>706280.5</v>
      </c>
      <c r="G214" s="53">
        <f t="shared" si="193"/>
        <v>643985.5</v>
      </c>
      <c r="H214" s="59">
        <f t="shared" si="194"/>
        <v>3.7232074328418463</v>
      </c>
      <c r="I214" s="59">
        <f t="shared" si="171"/>
        <v>19.016247859906432</v>
      </c>
      <c r="J214" s="59">
        <f t="shared" si="172"/>
        <v>9.6733544466451438</v>
      </c>
      <c r="L214" s="53">
        <v>12376</v>
      </c>
      <c r="M214" s="53">
        <v>3000</v>
      </c>
      <c r="N214" s="53">
        <v>9800</v>
      </c>
      <c r="O214" s="53">
        <f t="shared" si="95"/>
        <v>25176</v>
      </c>
      <c r="P214" s="53">
        <f t="shared" si="173"/>
        <v>17771.75</v>
      </c>
      <c r="Q214" s="53">
        <f t="shared" si="174"/>
        <v>26797.083333333332</v>
      </c>
      <c r="R214" s="59">
        <f t="shared" si="175"/>
        <v>9.1145494734104826</v>
      </c>
      <c r="S214" s="59">
        <f t="shared" si="175"/>
        <v>21.564033722660181</v>
      </c>
      <c r="T214" s="59">
        <f t="shared" si="176"/>
        <v>-33.680282369038913</v>
      </c>
      <c r="V214" s="53">
        <v>43278</v>
      </c>
      <c r="W214" s="53">
        <v>79100</v>
      </c>
      <c r="X214" s="53">
        <v>12600</v>
      </c>
      <c r="Y214" s="53">
        <f t="shared" si="99"/>
        <v>134978</v>
      </c>
      <c r="Z214" s="53">
        <f t="shared" si="177"/>
        <v>173401.5</v>
      </c>
      <c r="AA214" s="53">
        <f t="shared" si="178"/>
        <v>268606.5</v>
      </c>
      <c r="AB214" s="59">
        <f t="shared" si="179"/>
        <v>-10.675075607673934</v>
      </c>
      <c r="AC214" s="59">
        <f t="shared" si="179"/>
        <v>-8.0009072496408766</v>
      </c>
      <c r="AD214" s="59">
        <f t="shared" si="180"/>
        <v>-35.444041748803542</v>
      </c>
      <c r="AF214" s="53">
        <v>30000</v>
      </c>
      <c r="AG214" s="53">
        <v>0</v>
      </c>
      <c r="AH214" s="53">
        <v>3200</v>
      </c>
      <c r="AI214" s="53">
        <f t="shared" si="103"/>
        <v>33200</v>
      </c>
      <c r="AJ214" s="53">
        <f t="shared" si="181"/>
        <v>18949.25</v>
      </c>
      <c r="AK214" s="53">
        <f t="shared" si="182"/>
        <v>10936.666666666666</v>
      </c>
      <c r="AL214" s="59">
        <f t="shared" si="183"/>
        <v>204.58715596330273</v>
      </c>
      <c r="AM214" s="59">
        <f t="shared" si="183"/>
        <v>120.08420441347272</v>
      </c>
      <c r="AN214" s="59">
        <f t="shared" si="184"/>
        <v>73.263486741847018</v>
      </c>
      <c r="AP214" s="53">
        <f t="shared" si="135"/>
        <v>653971</v>
      </c>
      <c r="AQ214" s="53">
        <f t="shared" si="135"/>
        <v>155700</v>
      </c>
      <c r="AR214" s="53">
        <f t="shared" si="161"/>
        <v>25600</v>
      </c>
      <c r="AS214" s="53">
        <f t="shared" si="161"/>
        <v>835271</v>
      </c>
      <c r="AT214" s="53">
        <f t="shared" si="185"/>
        <v>916403</v>
      </c>
      <c r="AU214" s="53">
        <f t="shared" si="186"/>
        <v>950325.75</v>
      </c>
      <c r="AV214" s="59">
        <f t="shared" si="187"/>
        <v>3.8949844332470507</v>
      </c>
      <c r="AW214" s="59">
        <f t="shared" si="187"/>
        <v>13.818663268512555</v>
      </c>
      <c r="AX214" s="59">
        <f t="shared" si="188"/>
        <v>-3.569591795234428</v>
      </c>
      <c r="AZ214" s="53">
        <f t="shared" si="166"/>
        <v>641.91700000000003</v>
      </c>
      <c r="BA214" s="53">
        <f t="shared" si="167"/>
        <v>25.175999999999998</v>
      </c>
      <c r="BB214" s="53">
        <f t="shared" si="168"/>
        <v>134.97800000000001</v>
      </c>
      <c r="BC214" s="53">
        <f t="shared" si="169"/>
        <v>33.200000000000003</v>
      </c>
      <c r="BD214" s="53">
        <f t="shared" si="170"/>
        <v>835.27099999999996</v>
      </c>
      <c r="BE214" s="60">
        <f t="shared" si="190"/>
        <v>25099.163</v>
      </c>
      <c r="BF214" s="60">
        <f>BF213+BA214</f>
        <v>1380.0429999999999</v>
      </c>
      <c r="BG214" s="60">
        <f t="shared" si="115"/>
        <v>6691.6720000000032</v>
      </c>
      <c r="BH214" s="60">
        <f t="shared" si="191"/>
        <v>669.98300000000017</v>
      </c>
      <c r="BI214" s="60">
        <f t="shared" si="191"/>
        <v>33840.861000000004</v>
      </c>
      <c r="BJ214" s="1">
        <f t="shared" si="189"/>
        <v>48</v>
      </c>
    </row>
    <row r="215" spans="1:66" x14ac:dyDescent="0.3">
      <c r="A215" s="48">
        <v>39060</v>
      </c>
      <c r="B215" s="53">
        <v>666893</v>
      </c>
      <c r="C215" s="53">
        <v>86100</v>
      </c>
      <c r="D215" s="53">
        <v>0</v>
      </c>
      <c r="E215" s="53">
        <f t="shared" si="195"/>
        <v>752993</v>
      </c>
      <c r="F215" s="53">
        <f t="shared" si="192"/>
        <v>742187.5</v>
      </c>
      <c r="G215" s="53">
        <f t="shared" si="193"/>
        <v>692401.33333333337</v>
      </c>
      <c r="H215" s="59">
        <f t="shared" si="194"/>
        <v>34.893007174654933</v>
      </c>
      <c r="I215" s="59">
        <f t="shared" si="171"/>
        <v>22.835153258964013</v>
      </c>
      <c r="J215" s="59">
        <f t="shared" si="172"/>
        <v>7.1903626220631178</v>
      </c>
      <c r="L215" s="53">
        <v>800</v>
      </c>
      <c r="M215" s="53">
        <v>4500</v>
      </c>
      <c r="N215" s="53">
        <v>2800</v>
      </c>
      <c r="O215" s="53">
        <f t="shared" si="95"/>
        <v>8100</v>
      </c>
      <c r="P215" s="53">
        <f t="shared" si="173"/>
        <v>13606.75</v>
      </c>
      <c r="Q215" s="53">
        <f t="shared" si="174"/>
        <v>30067.75</v>
      </c>
      <c r="R215" s="59">
        <f t="shared" si="175"/>
        <v>-38.026013771996936</v>
      </c>
      <c r="S215" s="59">
        <f t="shared" si="175"/>
        <v>-14.855372870484807</v>
      </c>
      <c r="T215" s="59">
        <f t="shared" si="176"/>
        <v>-54.74636446026058</v>
      </c>
      <c r="V215" s="53">
        <v>135664</v>
      </c>
      <c r="W215" s="53">
        <v>127500</v>
      </c>
      <c r="X215" s="53">
        <v>29400</v>
      </c>
      <c r="Y215" s="53">
        <f t="shared" si="99"/>
        <v>292564</v>
      </c>
      <c r="Z215" s="53">
        <f t="shared" si="177"/>
        <v>192217.5</v>
      </c>
      <c r="AA215" s="53">
        <f t="shared" si="178"/>
        <v>268406.58333333331</v>
      </c>
      <c r="AB215" s="59">
        <f>((Y215/Y163)-1)*100</f>
        <v>69.368639210827965</v>
      </c>
      <c r="AC215" s="59">
        <f t="shared" si="179"/>
        <v>3.8951738004767256</v>
      </c>
      <c r="AD215" s="59">
        <f t="shared" si="180"/>
        <v>-28.385698438221361</v>
      </c>
      <c r="AF215" s="53">
        <v>10600</v>
      </c>
      <c r="AG215" s="53">
        <v>0</v>
      </c>
      <c r="AH215" s="53">
        <v>12000</v>
      </c>
      <c r="AI215" s="53">
        <f t="shared" si="103"/>
        <v>22600</v>
      </c>
      <c r="AJ215" s="53">
        <f t="shared" si="181"/>
        <v>21964.25</v>
      </c>
      <c r="AK215" s="53">
        <f t="shared" si="182"/>
        <v>12037.083333333334</v>
      </c>
      <c r="AL215" s="59">
        <f t="shared" si="183"/>
        <v>-27.749360613810737</v>
      </c>
      <c r="AM215" s="59">
        <f>((AJ215/AJ163)-1)*100</f>
        <v>36.806290875116773</v>
      </c>
      <c r="AN215" s="59">
        <f t="shared" si="184"/>
        <v>82.47152895565786</v>
      </c>
      <c r="AP215" s="53">
        <f t="shared" si="135"/>
        <v>813957</v>
      </c>
      <c r="AQ215" s="53">
        <f t="shared" si="135"/>
        <v>218100</v>
      </c>
      <c r="AR215" s="53">
        <f t="shared" si="161"/>
        <v>44200</v>
      </c>
      <c r="AS215" s="53">
        <f t="shared" si="161"/>
        <v>1076257</v>
      </c>
      <c r="AT215" s="53">
        <f t="shared" si="185"/>
        <v>969976</v>
      </c>
      <c r="AU215" s="53">
        <f t="shared" si="186"/>
        <v>1002912.75</v>
      </c>
      <c r="AV215" s="59">
        <f t="shared" si="187"/>
        <v>38.817597765002844</v>
      </c>
      <c r="AW215" s="59">
        <f t="shared" si="187"/>
        <v>18.108128840892235</v>
      </c>
      <c r="AX215" s="59">
        <f t="shared" si="188"/>
        <v>-3.284109210895958</v>
      </c>
      <c r="AZ215" s="53">
        <f t="shared" si="166"/>
        <v>752.99300000000005</v>
      </c>
      <c r="BA215" s="53">
        <f t="shared" si="167"/>
        <v>8.1</v>
      </c>
      <c r="BB215" s="53">
        <f t="shared" si="168"/>
        <v>292.56400000000002</v>
      </c>
      <c r="BC215" s="53">
        <f t="shared" si="169"/>
        <v>22.6</v>
      </c>
      <c r="BD215" s="53">
        <f t="shared" si="170"/>
        <v>1076.2570000000001</v>
      </c>
      <c r="BE215" s="60">
        <f t="shared" si="190"/>
        <v>25852.155999999999</v>
      </c>
      <c r="BF215" s="60">
        <f t="shared" si="114"/>
        <v>1388.1429999999998</v>
      </c>
      <c r="BG215" s="60">
        <f t="shared" si="115"/>
        <v>6984.2360000000035</v>
      </c>
      <c r="BH215" s="60">
        <f t="shared" si="191"/>
        <v>692.5830000000002</v>
      </c>
      <c r="BI215" s="60">
        <f t="shared" si="191"/>
        <v>34917.118000000002</v>
      </c>
      <c r="BJ215" s="1">
        <f t="shared" si="189"/>
        <v>49</v>
      </c>
      <c r="BK215" s="60"/>
    </row>
    <row r="216" spans="1:66" x14ac:dyDescent="0.3">
      <c r="A216" s="48">
        <v>39067</v>
      </c>
      <c r="B216" s="53">
        <v>615028</v>
      </c>
      <c r="C216" s="53">
        <v>91118</v>
      </c>
      <c r="D216" s="53">
        <v>1400</v>
      </c>
      <c r="E216" s="53">
        <f t="shared" si="195"/>
        <v>707546</v>
      </c>
      <c r="F216" s="53">
        <f t="shared" si="192"/>
        <v>742083.5</v>
      </c>
      <c r="G216" s="53">
        <f t="shared" si="193"/>
        <v>676243</v>
      </c>
      <c r="H216" s="59">
        <f t="shared" si="194"/>
        <v>39.58102768357903</v>
      </c>
      <c r="I216" s="59">
        <f t="shared" si="171"/>
        <v>28.170779573223783</v>
      </c>
      <c r="J216" s="59">
        <f t="shared" si="172"/>
        <v>9.7362190810108107</v>
      </c>
      <c r="L216" s="53">
        <v>17159</v>
      </c>
      <c r="M216" s="53">
        <v>4600</v>
      </c>
      <c r="N216" s="53">
        <v>12600</v>
      </c>
      <c r="O216" s="53">
        <f t="shared" si="95"/>
        <v>34359</v>
      </c>
      <c r="P216" s="53">
        <f t="shared" si="173"/>
        <v>20071.5</v>
      </c>
      <c r="Q216" s="53">
        <f t="shared" si="174"/>
        <v>33425.916666666664</v>
      </c>
      <c r="R216" s="59">
        <f t="shared" si="175"/>
        <v>32.660231660231666</v>
      </c>
      <c r="S216" s="59">
        <f t="shared" si="175"/>
        <v>2.3755785930148043</v>
      </c>
      <c r="T216" s="59">
        <f t="shared" si="176"/>
        <v>-39.95228253525832</v>
      </c>
      <c r="V216" s="53">
        <v>208267</v>
      </c>
      <c r="W216" s="53">
        <v>80924</v>
      </c>
      <c r="X216" s="53">
        <v>27200</v>
      </c>
      <c r="Y216" s="53">
        <f t="shared" si="99"/>
        <v>316391</v>
      </c>
      <c r="Z216" s="53">
        <f t="shared" si="177"/>
        <v>225566</v>
      </c>
      <c r="AA216" s="53">
        <f t="shared" si="178"/>
        <v>242617.08333333334</v>
      </c>
      <c r="AB216" s="59">
        <f>((Y216/Y164)-1)*100</f>
        <v>78.115992613943448</v>
      </c>
      <c r="AC216" s="59">
        <f t="shared" si="179"/>
        <v>25.875640006138489</v>
      </c>
      <c r="AD216" s="59">
        <f t="shared" si="180"/>
        <v>-7.0279813354720559</v>
      </c>
      <c r="AF216" s="53">
        <v>0</v>
      </c>
      <c r="AG216" s="53">
        <v>0</v>
      </c>
      <c r="AH216" s="53">
        <v>6100</v>
      </c>
      <c r="AI216" s="53">
        <f t="shared" si="103"/>
        <v>6100</v>
      </c>
      <c r="AJ216" s="53">
        <f t="shared" si="181"/>
        <v>20139.25</v>
      </c>
      <c r="AK216" s="53">
        <f t="shared" si="182"/>
        <v>22021.916666666668</v>
      </c>
      <c r="AL216" s="59">
        <f t="shared" si="183"/>
        <v>-75.750347843371102</v>
      </c>
      <c r="AM216" s="59">
        <f>((AJ216/AJ164)-1)*100</f>
        <v>4.0317685800994374</v>
      </c>
      <c r="AN216" s="59">
        <f t="shared" si="184"/>
        <v>-8.5490590812940184</v>
      </c>
      <c r="AP216" s="53">
        <f t="shared" si="135"/>
        <v>840454</v>
      </c>
      <c r="AQ216" s="53">
        <f t="shared" si="135"/>
        <v>176642</v>
      </c>
      <c r="AR216" s="53">
        <f t="shared" si="161"/>
        <v>47300</v>
      </c>
      <c r="AS216" s="53">
        <f t="shared" si="161"/>
        <v>1064396</v>
      </c>
      <c r="AT216" s="53">
        <f t="shared" si="185"/>
        <v>1007860.25</v>
      </c>
      <c r="AU216" s="53">
        <f t="shared" si="186"/>
        <v>974307.91666666663</v>
      </c>
      <c r="AV216" s="59">
        <f t="shared" si="187"/>
        <v>44.698842024268814</v>
      </c>
      <c r="AW216" s="59">
        <f t="shared" si="187"/>
        <v>26.434177839651586</v>
      </c>
      <c r="AX216" s="59">
        <f t="shared" si="188"/>
        <v>3.4437094022722992</v>
      </c>
      <c r="AZ216" s="53">
        <f t="shared" si="166"/>
        <v>707.54600000000005</v>
      </c>
      <c r="BA216" s="53">
        <f t="shared" si="167"/>
        <v>34.359000000000002</v>
      </c>
      <c r="BB216" s="53">
        <f t="shared" si="168"/>
        <v>316.39100000000002</v>
      </c>
      <c r="BC216" s="53">
        <f t="shared" si="169"/>
        <v>6.1</v>
      </c>
      <c r="BD216" s="53">
        <f t="shared" si="170"/>
        <v>1064.396</v>
      </c>
      <c r="BE216" s="60">
        <f t="shared" si="190"/>
        <v>26559.701999999997</v>
      </c>
      <c r="BF216" s="60">
        <f t="shared" si="114"/>
        <v>1422.5019999999997</v>
      </c>
      <c r="BG216" s="60">
        <f t="shared" si="115"/>
        <v>7300.6270000000031</v>
      </c>
      <c r="BH216" s="60">
        <f t="shared" si="191"/>
        <v>698.68300000000022</v>
      </c>
      <c r="BI216" s="60">
        <f t="shared" si="191"/>
        <v>35981.514000000003</v>
      </c>
      <c r="BJ216" s="1">
        <f t="shared" si="189"/>
        <v>50</v>
      </c>
    </row>
    <row r="217" spans="1:66" x14ac:dyDescent="0.3">
      <c r="A217" s="48">
        <v>39074</v>
      </c>
      <c r="B217" s="53">
        <v>452711</v>
      </c>
      <c r="C217" s="53">
        <v>71242</v>
      </c>
      <c r="D217" s="53">
        <v>0</v>
      </c>
      <c r="E217" s="53">
        <f t="shared" si="195"/>
        <v>523953</v>
      </c>
      <c r="F217" s="53">
        <f t="shared" si="192"/>
        <v>656602.25</v>
      </c>
      <c r="G217" s="53">
        <f t="shared" si="193"/>
        <v>646252.83333333337</v>
      </c>
      <c r="H217" s="59">
        <f t="shared" si="194"/>
        <v>31.9099709218162</v>
      </c>
      <c r="I217" s="59">
        <f t="shared" si="171"/>
        <v>26.196736309113678</v>
      </c>
      <c r="J217" s="59">
        <f t="shared" si="172"/>
        <v>1.601450103249058</v>
      </c>
      <c r="L217" s="53">
        <v>4824</v>
      </c>
      <c r="M217" s="53">
        <v>3000</v>
      </c>
      <c r="N217" s="53">
        <v>0</v>
      </c>
      <c r="O217" s="53">
        <f t="shared" si="95"/>
        <v>7824</v>
      </c>
      <c r="P217" s="53">
        <f t="shared" si="173"/>
        <v>18864.75</v>
      </c>
      <c r="Q217" s="53">
        <f t="shared" si="174"/>
        <v>35530.916666666664</v>
      </c>
      <c r="R217" s="59">
        <f t="shared" si="175"/>
        <v>-65.380530973451329</v>
      </c>
      <c r="S217" s="59">
        <f t="shared" si="175"/>
        <v>-10.85027704594591</v>
      </c>
      <c r="T217" s="59">
        <f t="shared" si="176"/>
        <v>-46.906098210244132</v>
      </c>
      <c r="V217" s="53">
        <v>168830</v>
      </c>
      <c r="W217" s="53">
        <v>50542</v>
      </c>
      <c r="X217" s="53">
        <v>5600</v>
      </c>
      <c r="Y217" s="53">
        <f t="shared" si="99"/>
        <v>224972</v>
      </c>
      <c r="Z217" s="53">
        <f t="shared" si="177"/>
        <v>242226.25</v>
      </c>
      <c r="AA217" s="53">
        <f t="shared" si="178"/>
        <v>219221.08333333334</v>
      </c>
      <c r="AB217" s="59">
        <f t="shared" si="179"/>
        <v>49.029531392837747</v>
      </c>
      <c r="AC217" s="59">
        <f t="shared" si="179"/>
        <v>48.505526204062612</v>
      </c>
      <c r="AD217" s="59">
        <f t="shared" si="180"/>
        <v>10.494048435882641</v>
      </c>
      <c r="AF217" s="53">
        <v>0</v>
      </c>
      <c r="AG217" s="53">
        <v>0</v>
      </c>
      <c r="AH217" s="53">
        <v>11600</v>
      </c>
      <c r="AI217" s="53">
        <f t="shared" si="103"/>
        <v>11600</v>
      </c>
      <c r="AJ217" s="53">
        <f t="shared" si="181"/>
        <v>18375</v>
      </c>
      <c r="AK217" s="53">
        <f t="shared" si="182"/>
        <v>23942.75</v>
      </c>
      <c r="AL217" s="59">
        <f t="shared" si="183"/>
        <v>-23.178807947019862</v>
      </c>
      <c r="AM217" s="59">
        <f t="shared" si="183"/>
        <v>-10.838842724570874</v>
      </c>
      <c r="AN217" s="59">
        <f t="shared" si="184"/>
        <v>-23.254429837842348</v>
      </c>
      <c r="AP217" s="53">
        <f t="shared" si="135"/>
        <v>626365</v>
      </c>
      <c r="AQ217" s="53">
        <f t="shared" si="135"/>
        <v>124784</v>
      </c>
      <c r="AR217" s="53">
        <f t="shared" si="161"/>
        <v>17200</v>
      </c>
      <c r="AS217" s="53">
        <f t="shared" si="161"/>
        <v>768349</v>
      </c>
      <c r="AT217" s="53">
        <f t="shared" si="185"/>
        <v>936068.25</v>
      </c>
      <c r="AU217" s="53">
        <f t="shared" si="186"/>
        <v>924947.58333333337</v>
      </c>
      <c r="AV217" s="59">
        <f t="shared" si="187"/>
        <v>31.14823772793298</v>
      </c>
      <c r="AW217" s="59">
        <f t="shared" si="187"/>
        <v>29.080947917359733</v>
      </c>
      <c r="AX217" s="59">
        <f t="shared" si="188"/>
        <v>1.2023023647015574</v>
      </c>
      <c r="AZ217" s="53">
        <f t="shared" si="166"/>
        <v>523.95299999999997</v>
      </c>
      <c r="BA217" s="53">
        <f t="shared" si="167"/>
        <v>7.8239999999999998</v>
      </c>
      <c r="BB217" s="53">
        <f t="shared" si="168"/>
        <v>224.97200000000001</v>
      </c>
      <c r="BC217" s="53">
        <f t="shared" si="169"/>
        <v>11.6</v>
      </c>
      <c r="BD217" s="53">
        <f t="shared" si="170"/>
        <v>768.34900000000005</v>
      </c>
      <c r="BE217" s="60">
        <f t="shared" si="190"/>
        <v>27083.654999999999</v>
      </c>
      <c r="BF217" s="60">
        <f>BF216+BA217</f>
        <v>1430.3259999999998</v>
      </c>
      <c r="BG217" s="60">
        <f t="shared" si="115"/>
        <v>7525.5990000000029</v>
      </c>
      <c r="BH217" s="60">
        <f t="shared" si="191"/>
        <v>710.28300000000024</v>
      </c>
      <c r="BI217" s="60">
        <f t="shared" si="191"/>
        <v>36749.863000000005</v>
      </c>
      <c r="BJ217" s="1">
        <f t="shared" si="189"/>
        <v>51</v>
      </c>
    </row>
    <row r="218" spans="1:66" x14ac:dyDescent="0.3">
      <c r="A218" s="48">
        <v>39081</v>
      </c>
      <c r="B218" s="53">
        <v>281119</v>
      </c>
      <c r="C218" s="53">
        <v>73835</v>
      </c>
      <c r="D218" s="53">
        <v>0</v>
      </c>
      <c r="E218" s="53">
        <f t="shared" si="195"/>
        <v>354954</v>
      </c>
      <c r="F218" s="53">
        <f t="shared" ref="F218:F230" si="196">AVERAGE(E215,E216,E217,E218)</f>
        <v>584861.5</v>
      </c>
      <c r="G218" s="53">
        <f t="shared" ref="G218:G230" si="197">AVERAGE(F166,F114,F62)</f>
        <v>577356</v>
      </c>
      <c r="H218" s="59">
        <f t="shared" ref="H218:I230" si="198">((E218/E166)-1)*100</f>
        <v>-24.801386376058744</v>
      </c>
      <c r="I218" s="59">
        <f t="shared" si="198"/>
        <v>20.942291179099538</v>
      </c>
      <c r="J218" s="59">
        <f t="shared" ref="J218:J230" si="199">((F218/G218)-1)*100</f>
        <v>1.299977829969734</v>
      </c>
      <c r="L218" s="53">
        <v>0</v>
      </c>
      <c r="M218" s="53">
        <v>6100</v>
      </c>
      <c r="N218" s="53">
        <v>5600</v>
      </c>
      <c r="O218" s="53">
        <f t="shared" si="95"/>
        <v>11700</v>
      </c>
      <c r="P218" s="53">
        <f t="shared" ref="P218:P230" si="200">AVERAGE(O215,O216,O217,O218)</f>
        <v>15495.75</v>
      </c>
      <c r="Q218" s="53">
        <f t="shared" ref="Q218:Q230" si="201">AVERAGE(P166,P114,P62)</f>
        <v>31188.166666666668</v>
      </c>
      <c r="R218" s="59">
        <f t="shared" ref="R218:S230" si="202">((O218/O166)-1)*100</f>
        <v>-40.909090909090907</v>
      </c>
      <c r="S218" s="59">
        <f t="shared" si="202"/>
        <v>-23.8257343001106</v>
      </c>
      <c r="T218" s="59">
        <f t="shared" si="176"/>
        <v>-50.315290521511905</v>
      </c>
      <c r="V218" s="53">
        <v>91020</v>
      </c>
      <c r="W218" s="53">
        <v>81100</v>
      </c>
      <c r="X218" s="53">
        <v>35100</v>
      </c>
      <c r="Y218" s="53">
        <f t="shared" si="99"/>
        <v>207220</v>
      </c>
      <c r="Z218" s="53">
        <f t="shared" ref="Z218:Z230" si="203">AVERAGE(Y215,Y216,Y217,Y218)</f>
        <v>260286.75</v>
      </c>
      <c r="AA218" s="53">
        <f t="shared" ref="AA218:AA230" si="204">AVERAGE(Z166,Z114,Z62)</f>
        <v>195598.41666666666</v>
      </c>
      <c r="AB218" s="59">
        <f t="shared" ref="AB218:AC230" si="205">((Y218/Y166)-1)*100</f>
        <v>19.693862815884479</v>
      </c>
      <c r="AC218" s="59">
        <f t="shared" si="205"/>
        <v>54.369096141614023</v>
      </c>
      <c r="AD218" s="59">
        <f t="shared" ref="AD218:AD230" si="206">((Z218/AA218)-1)*100</f>
        <v>33.07201276765619</v>
      </c>
      <c r="AF218" s="53">
        <v>0</v>
      </c>
      <c r="AG218" s="53">
        <v>0</v>
      </c>
      <c r="AH218" s="53">
        <v>8600</v>
      </c>
      <c r="AI218" s="53">
        <f t="shared" si="103"/>
        <v>8600</v>
      </c>
      <c r="AJ218" s="53">
        <f t="shared" ref="AJ218:AJ230" si="207">AVERAGE(AI215,AI216,AI217,AI218)</f>
        <v>12225</v>
      </c>
      <c r="AK218" s="53">
        <f t="shared" ref="AK218:AK230" si="208">AVERAGE(AJ166,AJ114,AJ62)</f>
        <v>23642.75</v>
      </c>
      <c r="AL218" s="59">
        <f t="shared" ref="AL218:AM230" si="209">((AI218/AI166)-1)*100</f>
        <v>-59.047619047619051</v>
      </c>
      <c r="AM218" s="59">
        <f t="shared" si="209"/>
        <v>-47.155130491165508</v>
      </c>
      <c r="AN218" s="59">
        <f t="shared" ref="AN218:AN230" si="210">((AJ218/AK218)-1)*100</f>
        <v>-48.292817036935212</v>
      </c>
      <c r="AP218" s="53">
        <f t="shared" si="135"/>
        <v>372139</v>
      </c>
      <c r="AQ218" s="53">
        <f t="shared" si="135"/>
        <v>161035</v>
      </c>
      <c r="AR218" s="53">
        <f t="shared" si="161"/>
        <v>49300</v>
      </c>
      <c r="AS218" s="53">
        <f t="shared" si="161"/>
        <v>582474</v>
      </c>
      <c r="AT218" s="53">
        <f t="shared" ref="AT218:AT230" si="211">AVERAGE(AS215,AS216,AS217,AS218)</f>
        <v>872869</v>
      </c>
      <c r="AU218" s="53">
        <f t="shared" ref="AU218:AU230" si="212">AVERAGE(AT166,AT114,AT62)</f>
        <v>827785.33333333337</v>
      </c>
      <c r="AV218" s="59">
        <f t="shared" ref="AV218:AW230" si="213">((AS218/AS166)-1)*100</f>
        <v>-15.084693132268235</v>
      </c>
      <c r="AW218" s="59">
        <f t="shared" si="213"/>
        <v>25.470486112982794</v>
      </c>
      <c r="AX218" s="59">
        <f t="shared" ref="AX218:AX230" si="214">((AT218/AU218)-1)*100</f>
        <v>5.4462992821004974</v>
      </c>
      <c r="AZ218" s="53">
        <f t="shared" si="166"/>
        <v>354.95400000000001</v>
      </c>
      <c r="BA218" s="53">
        <f t="shared" si="167"/>
        <v>11.7</v>
      </c>
      <c r="BB218" s="53">
        <f t="shared" si="168"/>
        <v>207.22</v>
      </c>
      <c r="BC218" s="53">
        <f t="shared" si="169"/>
        <v>8.6</v>
      </c>
      <c r="BD218" s="53">
        <f t="shared" si="170"/>
        <v>582.47400000000005</v>
      </c>
      <c r="BE218" s="60">
        <f>BE217+AZ218</f>
        <v>27438.609</v>
      </c>
      <c r="BF218" s="60">
        <f>BF217+BA218</f>
        <v>1442.0259999999998</v>
      </c>
      <c r="BG218" s="60">
        <f>BG217+BB218</f>
        <v>7732.8190000000031</v>
      </c>
      <c r="BH218" s="60">
        <f>BH217+BC218</f>
        <v>718.88300000000027</v>
      </c>
      <c r="BI218" s="60">
        <f>BI217+BD218</f>
        <v>37332.337000000007</v>
      </c>
      <c r="BJ218" s="1">
        <f t="shared" si="189"/>
        <v>52</v>
      </c>
    </row>
    <row r="219" spans="1:66" x14ac:dyDescent="0.3">
      <c r="A219" s="48">
        <v>39088</v>
      </c>
      <c r="B219" s="53">
        <v>264371</v>
      </c>
      <c r="C219" s="53">
        <v>30900</v>
      </c>
      <c r="D219" s="53">
        <v>0</v>
      </c>
      <c r="E219" s="53">
        <f t="shared" si="195"/>
        <v>295271</v>
      </c>
      <c r="F219" s="53">
        <f t="shared" si="196"/>
        <v>470431</v>
      </c>
      <c r="G219" s="53">
        <f t="shared" si="197"/>
        <v>494232.25</v>
      </c>
      <c r="H219" s="59">
        <f t="shared" si="198"/>
        <v>-18.227639169290676</v>
      </c>
      <c r="I219" s="59">
        <f t="shared" si="198"/>
        <v>8.3179303981123951</v>
      </c>
      <c r="J219" s="59">
        <f t="shared" si="199"/>
        <v>-4.815802691953019</v>
      </c>
      <c r="L219" s="53">
        <v>1500</v>
      </c>
      <c r="M219" s="53">
        <v>12000</v>
      </c>
      <c r="N219" s="53">
        <v>13000</v>
      </c>
      <c r="O219" s="53">
        <f t="shared" si="95"/>
        <v>26500</v>
      </c>
      <c r="P219" s="53">
        <f t="shared" si="200"/>
        <v>20095.75</v>
      </c>
      <c r="Q219" s="53">
        <f t="shared" si="201"/>
        <v>27814.083333333332</v>
      </c>
      <c r="R219" s="59">
        <f t="shared" si="202"/>
        <v>26.867100727690541</v>
      </c>
      <c r="S219" s="59">
        <f t="shared" si="202"/>
        <v>-9.8724043593308544</v>
      </c>
      <c r="T219" s="59">
        <f>((P219/Q219)-1)*100</f>
        <v>-27.749731101450404</v>
      </c>
      <c r="V219" s="53">
        <v>92901</v>
      </c>
      <c r="W219" s="53">
        <v>40303</v>
      </c>
      <c r="X219" s="53">
        <v>10200</v>
      </c>
      <c r="Y219" s="53">
        <f t="shared" si="99"/>
        <v>143404</v>
      </c>
      <c r="Z219" s="53">
        <f t="shared" si="203"/>
        <v>222996.75</v>
      </c>
      <c r="AA219" s="53">
        <f t="shared" si="204"/>
        <v>178973.58333333334</v>
      </c>
      <c r="AB219" s="59">
        <f t="shared" si="205"/>
        <v>-19.840804029089043</v>
      </c>
      <c r="AC219" s="59">
        <f t="shared" si="205"/>
        <v>31.056222763563479</v>
      </c>
      <c r="AD219" s="59">
        <f t="shared" si="206"/>
        <v>24.597577947956005</v>
      </c>
      <c r="AF219" s="53">
        <v>6000</v>
      </c>
      <c r="AG219" s="53">
        <v>0</v>
      </c>
      <c r="AH219" s="53">
        <v>4800</v>
      </c>
      <c r="AI219" s="53">
        <f t="shared" si="103"/>
        <v>10800</v>
      </c>
      <c r="AJ219" s="53">
        <f t="shared" si="207"/>
        <v>9275</v>
      </c>
      <c r="AK219" s="53">
        <f t="shared" si="208"/>
        <v>24926.583333333332</v>
      </c>
      <c r="AL219" s="59">
        <f t="shared" si="209"/>
        <v>-73.455242589588551</v>
      </c>
      <c r="AM219" s="59">
        <f t="shared" si="209"/>
        <v>-63.606399780265058</v>
      </c>
      <c r="AN219" s="59">
        <f t="shared" si="210"/>
        <v>-62.790728773498174</v>
      </c>
      <c r="AP219" s="53">
        <f t="shared" si="135"/>
        <v>364772</v>
      </c>
      <c r="AQ219" s="53">
        <f t="shared" si="135"/>
        <v>83203</v>
      </c>
      <c r="AR219" s="53">
        <f t="shared" si="161"/>
        <v>28000</v>
      </c>
      <c r="AS219" s="53">
        <f t="shared" si="161"/>
        <v>475975</v>
      </c>
      <c r="AT219" s="53">
        <f t="shared" si="211"/>
        <v>722798.5</v>
      </c>
      <c r="AU219" s="53">
        <f t="shared" si="212"/>
        <v>725946.5</v>
      </c>
      <c r="AV219" s="59">
        <f t="shared" si="213"/>
        <v>-20.876817352159883</v>
      </c>
      <c r="AW219" s="59">
        <f t="shared" si="213"/>
        <v>10.817618934091122</v>
      </c>
      <c r="AX219" s="59">
        <f t="shared" si="214"/>
        <v>-0.43364077104856014</v>
      </c>
      <c r="AZ219" s="53">
        <f t="shared" si="166"/>
        <v>295.27100000000002</v>
      </c>
      <c r="BA219" s="53">
        <f t="shared" si="167"/>
        <v>26.5</v>
      </c>
      <c r="BB219" s="53">
        <f t="shared" si="168"/>
        <v>143.404</v>
      </c>
      <c r="BC219" s="53">
        <f t="shared" si="169"/>
        <v>10.8</v>
      </c>
      <c r="BD219" s="53">
        <f t="shared" si="170"/>
        <v>475.97500000000002</v>
      </c>
      <c r="BE219" s="60">
        <f>AZ219</f>
        <v>295.27100000000002</v>
      </c>
      <c r="BF219" s="60">
        <f>BA219</f>
        <v>26.5</v>
      </c>
      <c r="BG219" s="60">
        <f>BB219</f>
        <v>143.404</v>
      </c>
      <c r="BH219" s="60">
        <f>BC219</f>
        <v>10.8</v>
      </c>
      <c r="BI219" s="60">
        <f>BD219</f>
        <v>475.97500000000002</v>
      </c>
      <c r="BJ219" s="1">
        <v>1</v>
      </c>
      <c r="BN219" s="61"/>
    </row>
    <row r="220" spans="1:66" x14ac:dyDescent="0.3">
      <c r="A220" s="48">
        <v>39095</v>
      </c>
      <c r="B220" s="53">
        <v>360057</v>
      </c>
      <c r="C220" s="53">
        <v>143550</v>
      </c>
      <c r="D220" s="53">
        <v>0</v>
      </c>
      <c r="E220" s="53">
        <f t="shared" si="195"/>
        <v>503607</v>
      </c>
      <c r="F220" s="53">
        <f t="shared" si="196"/>
        <v>419446.25</v>
      </c>
      <c r="G220" s="53">
        <f t="shared" si="197"/>
        <v>457367.91666666669</v>
      </c>
      <c r="H220" s="59">
        <f t="shared" si="198"/>
        <v>25.821538769034746</v>
      </c>
      <c r="I220" s="59">
        <f t="shared" si="198"/>
        <v>2.8955500864421113</v>
      </c>
      <c r="J220" s="59">
        <f t="shared" si="199"/>
        <v>-8.2912826380658231</v>
      </c>
      <c r="L220" s="53">
        <v>6070</v>
      </c>
      <c r="M220" s="53">
        <v>13400</v>
      </c>
      <c r="N220" s="53">
        <v>7000</v>
      </c>
      <c r="O220" s="53">
        <f t="shared" si="95"/>
        <v>26470</v>
      </c>
      <c r="P220" s="53">
        <f t="shared" si="200"/>
        <v>18123.5</v>
      </c>
      <c r="Q220" s="53">
        <f t="shared" si="201"/>
        <v>25118.75</v>
      </c>
      <c r="R220" s="59">
        <f t="shared" si="202"/>
        <v>42.311827956989248</v>
      </c>
      <c r="S220" s="59">
        <f t="shared" si="202"/>
        <v>-11.47176631496678</v>
      </c>
      <c r="T220" s="59">
        <f t="shared" si="176"/>
        <v>-27.848718586713119</v>
      </c>
      <c r="V220" s="53">
        <v>129413</v>
      </c>
      <c r="W220" s="53">
        <v>87050</v>
      </c>
      <c r="X220" s="53">
        <v>26600</v>
      </c>
      <c r="Y220" s="53">
        <f t="shared" si="99"/>
        <v>243063</v>
      </c>
      <c r="Z220" s="53">
        <f t="shared" si="203"/>
        <v>204664.75</v>
      </c>
      <c r="AA220" s="53">
        <f t="shared" si="204"/>
        <v>177090.83333333334</v>
      </c>
      <c r="AB220" s="59">
        <f t="shared" si="205"/>
        <v>110.84028000659245</v>
      </c>
      <c r="AC220" s="59">
        <f t="shared" si="205"/>
        <v>32.412315107599497</v>
      </c>
      <c r="AD220" s="59">
        <f t="shared" si="206"/>
        <v>15.570493484981807</v>
      </c>
      <c r="AF220" s="53">
        <v>0</v>
      </c>
      <c r="AG220" s="53">
        <v>10500</v>
      </c>
      <c r="AH220" s="53">
        <v>1650</v>
      </c>
      <c r="AI220" s="53">
        <f t="shared" si="103"/>
        <v>12150</v>
      </c>
      <c r="AJ220" s="53">
        <f t="shared" si="207"/>
        <v>10787.5</v>
      </c>
      <c r="AK220" s="53">
        <f t="shared" si="208"/>
        <v>18745.333333333332</v>
      </c>
      <c r="AL220" s="59">
        <f t="shared" si="209"/>
        <v>-42.142857142857139</v>
      </c>
      <c r="AM220" s="59">
        <f t="shared" si="209"/>
        <v>-55.873028858936856</v>
      </c>
      <c r="AN220" s="59">
        <f t="shared" si="210"/>
        <v>-42.452343694430603</v>
      </c>
      <c r="AP220" s="53">
        <f t="shared" si="135"/>
        <v>495540</v>
      </c>
      <c r="AQ220" s="53">
        <f t="shared" si="135"/>
        <v>254500</v>
      </c>
      <c r="AR220" s="53">
        <f t="shared" si="161"/>
        <v>35250</v>
      </c>
      <c r="AS220" s="53">
        <f t="shared" si="161"/>
        <v>785290</v>
      </c>
      <c r="AT220" s="53">
        <f t="shared" si="211"/>
        <v>653022</v>
      </c>
      <c r="AU220" s="53">
        <f t="shared" si="212"/>
        <v>678322.83333333337</v>
      </c>
      <c r="AV220" s="59">
        <f t="shared" si="213"/>
        <v>41.458520223800207</v>
      </c>
      <c r="AW220" s="59">
        <f t="shared" si="213"/>
        <v>7.5592853230993517</v>
      </c>
      <c r="AX220" s="59">
        <f t="shared" si="214"/>
        <v>-3.7299103155650881</v>
      </c>
      <c r="AZ220" s="53">
        <f t="shared" si="166"/>
        <v>503.60700000000003</v>
      </c>
      <c r="BA220" s="53">
        <f t="shared" si="167"/>
        <v>26.47</v>
      </c>
      <c r="BB220" s="53">
        <f t="shared" si="168"/>
        <v>243.06299999999999</v>
      </c>
      <c r="BC220" s="53">
        <f t="shared" si="169"/>
        <v>12.15</v>
      </c>
      <c r="BD220" s="53">
        <f t="shared" si="170"/>
        <v>785.29</v>
      </c>
      <c r="BE220" s="60">
        <f t="shared" ref="BE220:BI230" si="215">BE219+AZ220</f>
        <v>798.87800000000004</v>
      </c>
      <c r="BF220" s="60">
        <f t="shared" si="215"/>
        <v>52.97</v>
      </c>
      <c r="BG220" s="60">
        <f t="shared" si="215"/>
        <v>386.46699999999998</v>
      </c>
      <c r="BH220" s="60">
        <f t="shared" si="215"/>
        <v>22.950000000000003</v>
      </c>
      <c r="BI220" s="60">
        <f t="shared" si="215"/>
        <v>1261.2649999999999</v>
      </c>
      <c r="BJ220" s="1">
        <f t="shared" si="189"/>
        <v>2</v>
      </c>
      <c r="BN220" s="61"/>
    </row>
    <row r="221" spans="1:66" x14ac:dyDescent="0.3">
      <c r="A221" s="48">
        <v>39102</v>
      </c>
      <c r="B221" s="53">
        <v>232810</v>
      </c>
      <c r="C221" s="53">
        <v>156022</v>
      </c>
      <c r="D221" s="53">
        <v>0</v>
      </c>
      <c r="E221" s="53">
        <f t="shared" si="195"/>
        <v>388832</v>
      </c>
      <c r="F221" s="53">
        <f t="shared" si="196"/>
        <v>385666</v>
      </c>
      <c r="G221" s="53">
        <f t="shared" si="197"/>
        <v>420011.16666666669</v>
      </c>
      <c r="H221" s="59">
        <f t="shared" si="198"/>
        <v>9.3407195984421385</v>
      </c>
      <c r="I221" s="59">
        <f t="shared" si="198"/>
        <v>-2.9148869621474338</v>
      </c>
      <c r="J221" s="59">
        <f t="shared" si="199"/>
        <v>-8.1772032251523523</v>
      </c>
      <c r="L221" s="53">
        <v>0</v>
      </c>
      <c r="M221" s="53">
        <v>1500</v>
      </c>
      <c r="N221" s="53">
        <v>4200</v>
      </c>
      <c r="O221" s="53">
        <f t="shared" si="95"/>
        <v>5700</v>
      </c>
      <c r="P221" s="53">
        <f t="shared" si="200"/>
        <v>17592.5</v>
      </c>
      <c r="Q221" s="53">
        <f t="shared" si="201"/>
        <v>24789.083333333332</v>
      </c>
      <c r="R221" s="59">
        <f t="shared" si="202"/>
        <v>-69.315245478036175</v>
      </c>
      <c r="S221" s="59">
        <f t="shared" si="202"/>
        <v>-9.6244734408712613</v>
      </c>
      <c r="T221" s="59">
        <f t="shared" si="176"/>
        <v>-29.031260400243386</v>
      </c>
      <c r="V221" s="53">
        <v>103542</v>
      </c>
      <c r="W221" s="53">
        <v>97953</v>
      </c>
      <c r="X221" s="53">
        <v>22400</v>
      </c>
      <c r="Y221" s="53">
        <f t="shared" si="99"/>
        <v>223895</v>
      </c>
      <c r="Z221" s="53">
        <f t="shared" si="203"/>
        <v>204395.5</v>
      </c>
      <c r="AA221" s="53">
        <f t="shared" si="204"/>
        <v>163239.25</v>
      </c>
      <c r="AB221" s="59">
        <f t="shared" si="205"/>
        <v>90.454924377753954</v>
      </c>
      <c r="AC221" s="59">
        <f t="shared" si="205"/>
        <v>39.789866037461643</v>
      </c>
      <c r="AD221" s="59">
        <f t="shared" si="206"/>
        <v>25.212226838827068</v>
      </c>
      <c r="AF221" s="53">
        <v>12992</v>
      </c>
      <c r="AG221" s="53">
        <v>0</v>
      </c>
      <c r="AH221" s="53">
        <v>1400</v>
      </c>
      <c r="AI221" s="53">
        <f t="shared" si="103"/>
        <v>14392</v>
      </c>
      <c r="AJ221" s="53">
        <f t="shared" si="207"/>
        <v>11485.5</v>
      </c>
      <c r="AK221" s="53">
        <f t="shared" si="208"/>
        <v>18511</v>
      </c>
      <c r="AL221" s="59">
        <f t="shared" si="209"/>
        <v>859.4666666666667</v>
      </c>
      <c r="AM221" s="59">
        <f t="shared" si="209"/>
        <v>-45.42798089943696</v>
      </c>
      <c r="AN221" s="59">
        <f t="shared" si="210"/>
        <v>-37.953108962238666</v>
      </c>
      <c r="AP221" s="53">
        <f t="shared" si="135"/>
        <v>349344</v>
      </c>
      <c r="AQ221" s="53">
        <f t="shared" si="135"/>
        <v>255475</v>
      </c>
      <c r="AR221" s="53">
        <f t="shared" si="161"/>
        <v>28000</v>
      </c>
      <c r="AS221" s="53">
        <f t="shared" si="161"/>
        <v>632819</v>
      </c>
      <c r="AT221" s="53">
        <f t="shared" si="211"/>
        <v>619139.5</v>
      </c>
      <c r="AU221" s="53">
        <f t="shared" si="212"/>
        <v>626550.5</v>
      </c>
      <c r="AV221" s="59">
        <f t="shared" si="213"/>
        <v>28.296053311816149</v>
      </c>
      <c r="AW221" s="59">
        <f t="shared" si="213"/>
        <v>6.0217578179850406</v>
      </c>
      <c r="AX221" s="59">
        <f t="shared" si="214"/>
        <v>-1.1828256461370645</v>
      </c>
      <c r="AZ221" s="53">
        <f t="shared" si="166"/>
        <v>388.83199999999999</v>
      </c>
      <c r="BA221" s="53">
        <f t="shared" si="167"/>
        <v>5.7</v>
      </c>
      <c r="BB221" s="53">
        <f t="shared" si="168"/>
        <v>223.89500000000001</v>
      </c>
      <c r="BC221" s="53">
        <f t="shared" si="169"/>
        <v>14.391999999999999</v>
      </c>
      <c r="BD221" s="53">
        <f t="shared" si="170"/>
        <v>632.81899999999996</v>
      </c>
      <c r="BE221" s="60">
        <f t="shared" si="215"/>
        <v>1187.71</v>
      </c>
      <c r="BF221" s="60">
        <f t="shared" si="215"/>
        <v>58.67</v>
      </c>
      <c r="BG221" s="60">
        <f t="shared" si="215"/>
        <v>610.36199999999997</v>
      </c>
      <c r="BH221" s="60">
        <f t="shared" si="215"/>
        <v>37.341999999999999</v>
      </c>
      <c r="BI221" s="60">
        <f t="shared" si="215"/>
        <v>1894.0839999999998</v>
      </c>
      <c r="BJ221" s="1">
        <f t="shared" si="189"/>
        <v>3</v>
      </c>
      <c r="BN221" s="61"/>
    </row>
    <row r="222" spans="1:66" x14ac:dyDescent="0.3">
      <c r="A222" s="48">
        <v>39109</v>
      </c>
      <c r="B222" s="53">
        <v>328880</v>
      </c>
      <c r="C222" s="53">
        <v>131280</v>
      </c>
      <c r="D222" s="53">
        <v>0</v>
      </c>
      <c r="E222" s="53">
        <f t="shared" si="195"/>
        <v>460160</v>
      </c>
      <c r="F222" s="53">
        <f t="shared" si="196"/>
        <v>411967.5</v>
      </c>
      <c r="G222" s="53">
        <f t="shared" si="197"/>
        <v>413852.08333333331</v>
      </c>
      <c r="H222" s="59">
        <f t="shared" si="198"/>
        <v>17.800658430314421</v>
      </c>
      <c r="I222" s="59">
        <f t="shared" si="198"/>
        <v>9.3052796359740952</v>
      </c>
      <c r="J222" s="59">
        <f t="shared" si="199"/>
        <v>-0.45537606532124464</v>
      </c>
      <c r="L222" s="53">
        <v>7630</v>
      </c>
      <c r="M222" s="53">
        <v>1500</v>
      </c>
      <c r="N222" s="53">
        <v>8400</v>
      </c>
      <c r="O222" s="53">
        <f t="shared" si="95"/>
        <v>17530</v>
      </c>
      <c r="P222" s="53">
        <f t="shared" si="200"/>
        <v>19050</v>
      </c>
      <c r="Q222" s="53">
        <f t="shared" si="201"/>
        <v>30991.833333333332</v>
      </c>
      <c r="R222" s="59">
        <f t="shared" si="202"/>
        <v>-47.901806942463146</v>
      </c>
      <c r="S222" s="59">
        <f t="shared" si="202"/>
        <v>-16.913817166782973</v>
      </c>
      <c r="T222" s="59">
        <f t="shared" ref="T222:T230" si="216">((P222/Q222)-1)*100</f>
        <v>-38.532193965076821</v>
      </c>
      <c r="V222" s="53">
        <v>85322</v>
      </c>
      <c r="W222" s="53">
        <v>63600</v>
      </c>
      <c r="X222" s="53">
        <v>12600</v>
      </c>
      <c r="Y222" s="53">
        <f t="shared" si="99"/>
        <v>161522</v>
      </c>
      <c r="Z222" s="53">
        <f t="shared" si="203"/>
        <v>192971</v>
      </c>
      <c r="AA222" s="53">
        <f t="shared" si="204"/>
        <v>169913.58333333334</v>
      </c>
      <c r="AB222" s="59">
        <f t="shared" si="205"/>
        <v>20.363649912440863</v>
      </c>
      <c r="AC222" s="59">
        <f t="shared" si="205"/>
        <v>41.387527819245882</v>
      </c>
      <c r="AD222" s="59">
        <f t="shared" si="206"/>
        <v>13.57008440074685</v>
      </c>
      <c r="AF222" s="53">
        <v>1500</v>
      </c>
      <c r="AG222" s="53">
        <v>0</v>
      </c>
      <c r="AH222" s="53">
        <v>6200</v>
      </c>
      <c r="AI222" s="53">
        <f t="shared" si="103"/>
        <v>7700</v>
      </c>
      <c r="AJ222" s="53">
        <f t="shared" si="207"/>
        <v>11260.5</v>
      </c>
      <c r="AK222" s="53">
        <f t="shared" si="208"/>
        <v>20115.166666666668</v>
      </c>
      <c r="AL222" s="59">
        <f t="shared" si="209"/>
        <v>-34.188034188034187</v>
      </c>
      <c r="AM222" s="59">
        <f t="shared" si="209"/>
        <v>-39.852575915391398</v>
      </c>
      <c r="AN222" s="59">
        <f t="shared" si="210"/>
        <v>-44.019852350216674</v>
      </c>
      <c r="AP222" s="53">
        <f t="shared" si="135"/>
        <v>423332</v>
      </c>
      <c r="AQ222" s="53">
        <f t="shared" si="135"/>
        <v>196380</v>
      </c>
      <c r="AR222" s="53">
        <f t="shared" si="161"/>
        <v>27200</v>
      </c>
      <c r="AS222" s="53">
        <f t="shared" si="161"/>
        <v>646912</v>
      </c>
      <c r="AT222" s="53">
        <f t="shared" si="211"/>
        <v>635249</v>
      </c>
      <c r="AU222" s="53">
        <f t="shared" si="212"/>
        <v>634872.66666666663</v>
      </c>
      <c r="AV222" s="59">
        <f t="shared" si="213"/>
        <v>13.459693529462324</v>
      </c>
      <c r="AW222" s="59">
        <f t="shared" si="213"/>
        <v>14.453195731037717</v>
      </c>
      <c r="AX222" s="59">
        <f t="shared" si="214"/>
        <v>5.927697837573298E-2</v>
      </c>
      <c r="AZ222" s="53">
        <f t="shared" si="166"/>
        <v>460.16</v>
      </c>
      <c r="BA222" s="53">
        <f t="shared" si="167"/>
        <v>17.53</v>
      </c>
      <c r="BB222" s="53">
        <f t="shared" si="168"/>
        <v>161.52199999999999</v>
      </c>
      <c r="BC222" s="53">
        <f t="shared" si="169"/>
        <v>7.7</v>
      </c>
      <c r="BD222" s="53">
        <f t="shared" si="170"/>
        <v>646.91200000000003</v>
      </c>
      <c r="BE222" s="60">
        <f t="shared" si="215"/>
        <v>1647.8700000000001</v>
      </c>
      <c r="BF222" s="60">
        <f t="shared" si="215"/>
        <v>76.2</v>
      </c>
      <c r="BG222" s="60">
        <f t="shared" si="215"/>
        <v>771.88400000000001</v>
      </c>
      <c r="BH222" s="60">
        <f t="shared" si="215"/>
        <v>45.042000000000002</v>
      </c>
      <c r="BI222" s="60">
        <f t="shared" si="215"/>
        <v>2540.9960000000001</v>
      </c>
      <c r="BJ222" s="1">
        <f t="shared" si="189"/>
        <v>4</v>
      </c>
      <c r="BN222" s="61"/>
    </row>
    <row r="223" spans="1:66" x14ac:dyDescent="0.3">
      <c r="A223" s="48">
        <v>39116</v>
      </c>
      <c r="B223" s="53">
        <v>125175</v>
      </c>
      <c r="C223" s="53">
        <v>124791</v>
      </c>
      <c r="D223" s="53">
        <v>0</v>
      </c>
      <c r="E223" s="53">
        <f t="shared" si="195"/>
        <v>249966</v>
      </c>
      <c r="F223" s="53">
        <f t="shared" si="196"/>
        <v>400641.25</v>
      </c>
      <c r="G223" s="53">
        <f t="shared" si="197"/>
        <v>392266.41666666669</v>
      </c>
      <c r="H223" s="59">
        <f t="shared" si="198"/>
        <v>-38.099035204152386</v>
      </c>
      <c r="I223" s="59">
        <f t="shared" si="198"/>
        <v>3.3704828447435053</v>
      </c>
      <c r="J223" s="59">
        <f t="shared" si="199"/>
        <v>2.1349860649554131</v>
      </c>
      <c r="L223" s="53">
        <v>1500</v>
      </c>
      <c r="M223" s="53">
        <v>1500</v>
      </c>
      <c r="N223" s="53">
        <v>2800</v>
      </c>
      <c r="O223" s="53">
        <f t="shared" si="95"/>
        <v>5800</v>
      </c>
      <c r="P223" s="53">
        <f t="shared" si="200"/>
        <v>13875</v>
      </c>
      <c r="Q223" s="53">
        <f t="shared" si="201"/>
        <v>33677.25</v>
      </c>
      <c r="R223" s="59">
        <f t="shared" si="202"/>
        <v>-69.312169312169317</v>
      </c>
      <c r="S223" s="59">
        <f t="shared" si="202"/>
        <v>-38.143640497525745</v>
      </c>
      <c r="T223" s="59">
        <f t="shared" si="216"/>
        <v>-58.800080172816962</v>
      </c>
      <c r="V223" s="53">
        <v>39600</v>
      </c>
      <c r="W223" s="53">
        <v>75810</v>
      </c>
      <c r="X223" s="53">
        <v>23900</v>
      </c>
      <c r="Y223" s="53">
        <f t="shared" si="99"/>
        <v>139310</v>
      </c>
      <c r="Z223" s="53">
        <f t="shared" si="203"/>
        <v>191947.5</v>
      </c>
      <c r="AA223" s="53">
        <f t="shared" si="204"/>
        <v>174204.75</v>
      </c>
      <c r="AB223" s="59">
        <f t="shared" si="205"/>
        <v>-20.347404472346586</v>
      </c>
      <c r="AC223" s="59">
        <f t="shared" si="205"/>
        <v>41.676185063467265</v>
      </c>
      <c r="AD223" s="59">
        <f t="shared" si="206"/>
        <v>10.184997825834262</v>
      </c>
      <c r="AF223" s="53">
        <v>0</v>
      </c>
      <c r="AG223" s="53">
        <v>0</v>
      </c>
      <c r="AH223" s="53">
        <v>18700</v>
      </c>
      <c r="AI223" s="53">
        <f t="shared" si="103"/>
        <v>18700</v>
      </c>
      <c r="AJ223" s="53">
        <f t="shared" si="207"/>
        <v>13235.5</v>
      </c>
      <c r="AK223" s="53">
        <f t="shared" si="208"/>
        <v>20811.25</v>
      </c>
      <c r="AL223" s="59">
        <f t="shared" si="209"/>
        <v>-34.706703910614522</v>
      </c>
      <c r="AM223" s="59">
        <f t="shared" si="209"/>
        <v>-15.751113940165496</v>
      </c>
      <c r="AN223" s="59">
        <f t="shared" si="210"/>
        <v>-36.402186317496543</v>
      </c>
      <c r="AP223" s="53">
        <f t="shared" si="135"/>
        <v>166275</v>
      </c>
      <c r="AQ223" s="53">
        <f t="shared" si="135"/>
        <v>202101</v>
      </c>
      <c r="AR223" s="53">
        <f t="shared" si="161"/>
        <v>45400</v>
      </c>
      <c r="AS223" s="53">
        <f t="shared" si="161"/>
        <v>413776</v>
      </c>
      <c r="AT223" s="53">
        <f t="shared" si="211"/>
        <v>619699.25</v>
      </c>
      <c r="AU223" s="53">
        <f t="shared" si="212"/>
        <v>620959.66666666663</v>
      </c>
      <c r="AV223" s="59">
        <f t="shared" si="213"/>
        <v>-33.928300543071252</v>
      </c>
      <c r="AW223" s="59">
        <f t="shared" si="213"/>
        <v>10.423514873648498</v>
      </c>
      <c r="AX223" s="59">
        <f t="shared" si="214"/>
        <v>-0.20297883007966977</v>
      </c>
      <c r="AZ223" s="53">
        <f t="shared" si="166"/>
        <v>249.96600000000001</v>
      </c>
      <c r="BA223" s="53">
        <f t="shared" si="167"/>
        <v>5.8</v>
      </c>
      <c r="BB223" s="53">
        <f t="shared" si="168"/>
        <v>139.31</v>
      </c>
      <c r="BC223" s="53">
        <f t="shared" si="169"/>
        <v>18.7</v>
      </c>
      <c r="BD223" s="53">
        <f t="shared" si="170"/>
        <v>413.77600000000001</v>
      </c>
      <c r="BE223" s="60">
        <f t="shared" si="215"/>
        <v>1897.8360000000002</v>
      </c>
      <c r="BF223" s="60">
        <f t="shared" si="215"/>
        <v>82</v>
      </c>
      <c r="BG223" s="60">
        <f t="shared" si="215"/>
        <v>911.19399999999996</v>
      </c>
      <c r="BH223" s="60">
        <f t="shared" si="215"/>
        <v>63.742000000000004</v>
      </c>
      <c r="BI223" s="60">
        <f t="shared" si="215"/>
        <v>2954.7719999999999</v>
      </c>
      <c r="BJ223" s="1">
        <f t="shared" si="189"/>
        <v>5</v>
      </c>
      <c r="BM223" s="27"/>
      <c r="BN223" s="62"/>
    </row>
    <row r="224" spans="1:66" x14ac:dyDescent="0.3">
      <c r="A224" s="48">
        <v>39123</v>
      </c>
      <c r="B224" s="53">
        <v>164273</v>
      </c>
      <c r="C224" s="53">
        <v>95220</v>
      </c>
      <c r="D224" s="53">
        <v>0</v>
      </c>
      <c r="E224" s="53">
        <f t="shared" si="195"/>
        <v>259493</v>
      </c>
      <c r="F224" s="53">
        <f t="shared" si="196"/>
        <v>339612.75</v>
      </c>
      <c r="G224" s="53">
        <f t="shared" si="197"/>
        <v>376247.75</v>
      </c>
      <c r="H224" s="59">
        <f t="shared" si="198"/>
        <v>-44.897989518656622</v>
      </c>
      <c r="I224" s="59">
        <f t="shared" si="198"/>
        <v>-16.196161725958657</v>
      </c>
      <c r="J224" s="59">
        <f t="shared" si="199"/>
        <v>-9.7369353039320483</v>
      </c>
      <c r="L224" s="53">
        <v>0</v>
      </c>
      <c r="M224" s="53">
        <v>6000</v>
      </c>
      <c r="N224" s="53">
        <v>8400</v>
      </c>
      <c r="O224" s="53">
        <f t="shared" si="95"/>
        <v>14400</v>
      </c>
      <c r="P224" s="53">
        <f t="shared" si="200"/>
        <v>10857.5</v>
      </c>
      <c r="Q224" s="53">
        <f t="shared" si="201"/>
        <v>34476.666666666664</v>
      </c>
      <c r="R224" s="59">
        <f t="shared" si="202"/>
        <v>-40.248962655601659</v>
      </c>
      <c r="S224" s="59">
        <f t="shared" si="202"/>
        <v>-54.391749978996899</v>
      </c>
      <c r="T224" s="59">
        <f t="shared" si="216"/>
        <v>-68.507686357923234</v>
      </c>
      <c r="V224" s="53">
        <v>52796</v>
      </c>
      <c r="W224" s="53">
        <v>38945</v>
      </c>
      <c r="X224" s="53">
        <v>14650</v>
      </c>
      <c r="Y224" s="53">
        <f t="shared" si="99"/>
        <v>106391</v>
      </c>
      <c r="Z224" s="53">
        <f t="shared" si="203"/>
        <v>157779.5</v>
      </c>
      <c r="AA224" s="53">
        <f t="shared" si="204"/>
        <v>174677.41666666666</v>
      </c>
      <c r="AB224" s="59">
        <f t="shared" si="205"/>
        <v>-40.916209431992357</v>
      </c>
      <c r="AC224" s="59">
        <f t="shared" si="205"/>
        <v>4.0216377295547501</v>
      </c>
      <c r="AD224" s="59">
        <f t="shared" si="206"/>
        <v>-9.673784390178275</v>
      </c>
      <c r="AF224" s="53">
        <v>0</v>
      </c>
      <c r="AG224" s="53">
        <v>1600</v>
      </c>
      <c r="AH224" s="53">
        <v>7250</v>
      </c>
      <c r="AI224" s="53">
        <f t="shared" si="103"/>
        <v>8850</v>
      </c>
      <c r="AJ224" s="53">
        <f t="shared" si="207"/>
        <v>12410.5</v>
      </c>
      <c r="AK224" s="53">
        <f t="shared" si="208"/>
        <v>20250.166666666668</v>
      </c>
      <c r="AL224" s="59">
        <f t="shared" si="209"/>
        <v>-59.403669724770644</v>
      </c>
      <c r="AM224" s="59">
        <f t="shared" si="209"/>
        <v>-21.995600251414203</v>
      </c>
      <c r="AN224" s="59">
        <f t="shared" si="210"/>
        <v>-38.714084657739448</v>
      </c>
      <c r="AP224" s="53">
        <f t="shared" si="135"/>
        <v>217069</v>
      </c>
      <c r="AQ224" s="53">
        <f t="shared" si="135"/>
        <v>141765</v>
      </c>
      <c r="AR224" s="53">
        <f t="shared" si="161"/>
        <v>30300</v>
      </c>
      <c r="AS224" s="53">
        <f t="shared" si="161"/>
        <v>389134</v>
      </c>
      <c r="AT224" s="53">
        <f t="shared" si="211"/>
        <v>520660.25</v>
      </c>
      <c r="AU224" s="53">
        <f t="shared" si="212"/>
        <v>605652</v>
      </c>
      <c r="AV224" s="59">
        <f t="shared" si="213"/>
        <v>-44.16214664944755</v>
      </c>
      <c r="AW224" s="59">
        <f t="shared" si="213"/>
        <v>-12.735007674190291</v>
      </c>
      <c r="AX224" s="59">
        <f t="shared" si="214"/>
        <v>-14.033099865929611</v>
      </c>
      <c r="AZ224" s="53">
        <f t="shared" si="166"/>
        <v>259.49299999999999</v>
      </c>
      <c r="BA224" s="53">
        <f t="shared" si="167"/>
        <v>14.4</v>
      </c>
      <c r="BB224" s="53">
        <f t="shared" si="168"/>
        <v>106.39100000000001</v>
      </c>
      <c r="BC224" s="53">
        <f t="shared" si="169"/>
        <v>8.85</v>
      </c>
      <c r="BD224" s="53">
        <f t="shared" si="170"/>
        <v>389.13400000000001</v>
      </c>
      <c r="BE224" s="60">
        <f t="shared" si="215"/>
        <v>2157.3290000000002</v>
      </c>
      <c r="BF224" s="60">
        <f t="shared" si="215"/>
        <v>96.4</v>
      </c>
      <c r="BG224" s="60">
        <f t="shared" si="215"/>
        <v>1017.5849999999999</v>
      </c>
      <c r="BH224" s="60">
        <f t="shared" si="215"/>
        <v>72.591999999999999</v>
      </c>
      <c r="BI224" s="60">
        <f t="shared" si="215"/>
        <v>3343.9059999999999</v>
      </c>
      <c r="BJ224" s="1">
        <f t="shared" si="189"/>
        <v>6</v>
      </c>
    </row>
    <row r="225" spans="1:62" x14ac:dyDescent="0.3">
      <c r="A225" s="48">
        <v>39130</v>
      </c>
      <c r="B225" s="53">
        <v>22044</v>
      </c>
      <c r="C225" s="53">
        <v>160250</v>
      </c>
      <c r="D225" s="53">
        <v>0</v>
      </c>
      <c r="E225" s="53">
        <f t="shared" si="195"/>
        <v>182294</v>
      </c>
      <c r="F225" s="53">
        <f t="shared" si="196"/>
        <v>287978.25</v>
      </c>
      <c r="G225" s="53">
        <f t="shared" si="197"/>
        <v>373923.33333333331</v>
      </c>
      <c r="H225" s="59">
        <f t="shared" si="198"/>
        <v>-55.311664211137888</v>
      </c>
      <c r="I225" s="59">
        <f t="shared" si="198"/>
        <v>-31.159082936262962</v>
      </c>
      <c r="J225" s="59">
        <f t="shared" si="199"/>
        <v>-22.98468046034392</v>
      </c>
      <c r="L225" s="53">
        <v>0</v>
      </c>
      <c r="M225" s="53">
        <v>7550</v>
      </c>
      <c r="N225" s="53">
        <v>5800</v>
      </c>
      <c r="O225" s="53">
        <f t="shared" si="95"/>
        <v>13350</v>
      </c>
      <c r="P225" s="53">
        <f t="shared" si="200"/>
        <v>12770</v>
      </c>
      <c r="Q225" s="53">
        <f t="shared" si="201"/>
        <v>33581.5</v>
      </c>
      <c r="R225" s="59">
        <f t="shared" si="202"/>
        <v>26.540284360189581</v>
      </c>
      <c r="S225" s="59">
        <f t="shared" si="202"/>
        <v>-41.420674786118951</v>
      </c>
      <c r="T225" s="59">
        <f t="shared" si="216"/>
        <v>-61.97311019460119</v>
      </c>
      <c r="V225" s="53">
        <v>13500</v>
      </c>
      <c r="W225" s="53">
        <v>81900</v>
      </c>
      <c r="X225" s="53">
        <v>28600</v>
      </c>
      <c r="Y225" s="53">
        <f t="shared" si="99"/>
        <v>124000</v>
      </c>
      <c r="Z225" s="53">
        <f t="shared" si="203"/>
        <v>132805.75</v>
      </c>
      <c r="AA225" s="53">
        <f t="shared" si="204"/>
        <v>169541.33333333334</v>
      </c>
      <c r="AB225" s="59">
        <f t="shared" si="205"/>
        <v>29.274395329441205</v>
      </c>
      <c r="AC225" s="59">
        <f t="shared" si="205"/>
        <v>-9.205065973883908</v>
      </c>
      <c r="AD225" s="59">
        <f t="shared" si="206"/>
        <v>-21.667626773412195</v>
      </c>
      <c r="AF225" s="53">
        <v>0</v>
      </c>
      <c r="AG225" s="53">
        <v>0</v>
      </c>
      <c r="AH225" s="53">
        <v>7600</v>
      </c>
      <c r="AI225" s="53">
        <f t="shared" si="103"/>
        <v>7600</v>
      </c>
      <c r="AJ225" s="53">
        <f t="shared" si="207"/>
        <v>10712.5</v>
      </c>
      <c r="AK225" s="53">
        <f t="shared" si="208"/>
        <v>22749.416666666668</v>
      </c>
      <c r="AL225" s="59">
        <f t="shared" si="209"/>
        <v>-72.36363636363636</v>
      </c>
      <c r="AM225" s="59">
        <f t="shared" si="209"/>
        <v>-52.197679607318157</v>
      </c>
      <c r="AN225" s="59">
        <f t="shared" si="210"/>
        <v>-52.910880498767376</v>
      </c>
      <c r="AP225" s="53">
        <f t="shared" si="135"/>
        <v>35544</v>
      </c>
      <c r="AQ225" s="53">
        <f t="shared" si="135"/>
        <v>249700</v>
      </c>
      <c r="AR225" s="53">
        <f t="shared" si="161"/>
        <v>42000</v>
      </c>
      <c r="AS225" s="53">
        <f t="shared" si="161"/>
        <v>327244</v>
      </c>
      <c r="AT225" s="53">
        <f t="shared" si="211"/>
        <v>444266.5</v>
      </c>
      <c r="AU225" s="53">
        <f t="shared" si="212"/>
        <v>599795.58333333337</v>
      </c>
      <c r="AV225" s="59">
        <f t="shared" si="213"/>
        <v>-39.610956406523059</v>
      </c>
      <c r="AW225" s="59">
        <f t="shared" si="213"/>
        <v>-27.026320057982556</v>
      </c>
      <c r="AX225" s="59">
        <f t="shared" si="214"/>
        <v>-25.930348214468069</v>
      </c>
      <c r="AZ225" s="53">
        <f t="shared" si="166"/>
        <v>182.29400000000001</v>
      </c>
      <c r="BA225" s="53">
        <f t="shared" si="167"/>
        <v>13.35</v>
      </c>
      <c r="BB225" s="53">
        <f t="shared" si="168"/>
        <v>124</v>
      </c>
      <c r="BC225" s="53">
        <f t="shared" si="169"/>
        <v>7.6</v>
      </c>
      <c r="BD225" s="53">
        <f t="shared" si="170"/>
        <v>327.24400000000003</v>
      </c>
      <c r="BE225" s="60">
        <f t="shared" si="215"/>
        <v>2339.623</v>
      </c>
      <c r="BF225" s="60">
        <f t="shared" si="215"/>
        <v>109.75</v>
      </c>
      <c r="BG225" s="60">
        <f t="shared" si="215"/>
        <v>1141.585</v>
      </c>
      <c r="BH225" s="60">
        <f t="shared" si="215"/>
        <v>80.191999999999993</v>
      </c>
      <c r="BI225" s="60">
        <f t="shared" si="215"/>
        <v>3671.15</v>
      </c>
      <c r="BJ225" s="1">
        <f t="shared" si="189"/>
        <v>7</v>
      </c>
    </row>
    <row r="226" spans="1:62" x14ac:dyDescent="0.3">
      <c r="A226" s="48">
        <v>39137</v>
      </c>
      <c r="B226" s="53">
        <v>33300</v>
      </c>
      <c r="C226" s="53">
        <v>158110</v>
      </c>
      <c r="D226" s="53">
        <v>0</v>
      </c>
      <c r="E226" s="53">
        <f t="shared" si="195"/>
        <v>191410</v>
      </c>
      <c r="F226" s="53">
        <f t="shared" si="196"/>
        <v>220790.75</v>
      </c>
      <c r="G226" s="53">
        <f t="shared" si="197"/>
        <v>371768.83333333331</v>
      </c>
      <c r="H226" s="59">
        <f t="shared" si="198"/>
        <v>-44.495029751893568</v>
      </c>
      <c r="I226" s="59">
        <f t="shared" si="198"/>
        <v>-45.735759187427774</v>
      </c>
      <c r="J226" s="59">
        <f t="shared" si="199"/>
        <v>-40.610742428202471</v>
      </c>
      <c r="L226" s="53">
        <v>0</v>
      </c>
      <c r="M226" s="53">
        <v>7300</v>
      </c>
      <c r="N226" s="53">
        <v>10400</v>
      </c>
      <c r="O226" s="53">
        <f t="shared" si="95"/>
        <v>17700</v>
      </c>
      <c r="P226" s="53">
        <f t="shared" si="200"/>
        <v>12812.5</v>
      </c>
      <c r="Q226" s="53">
        <f t="shared" si="201"/>
        <v>33180.916666666664</v>
      </c>
      <c r="R226" s="59">
        <f t="shared" si="202"/>
        <v>-15.714285714285714</v>
      </c>
      <c r="S226" s="59">
        <f t="shared" si="202"/>
        <v>-31.254191817572096</v>
      </c>
      <c r="T226" s="59">
        <f t="shared" si="216"/>
        <v>-61.385937197837116</v>
      </c>
      <c r="V226" s="53">
        <v>3127</v>
      </c>
      <c r="W226" s="53">
        <v>62586</v>
      </c>
      <c r="X226" s="53">
        <v>15400</v>
      </c>
      <c r="Y226" s="53">
        <f t="shared" si="99"/>
        <v>81113</v>
      </c>
      <c r="Z226" s="53">
        <f t="shared" si="203"/>
        <v>112703.5</v>
      </c>
      <c r="AA226" s="53">
        <f t="shared" si="204"/>
        <v>159374.41666666666</v>
      </c>
      <c r="AB226" s="59">
        <f t="shared" si="205"/>
        <v>-57.771241149521032</v>
      </c>
      <c r="AC226" s="59">
        <f t="shared" si="205"/>
        <v>-29.885141492927303</v>
      </c>
      <c r="AD226" s="59">
        <f t="shared" si="206"/>
        <v>-29.283819600908334</v>
      </c>
      <c r="AF226" s="53">
        <v>0</v>
      </c>
      <c r="AG226" s="53">
        <v>0</v>
      </c>
      <c r="AH226" s="53">
        <v>0</v>
      </c>
      <c r="AI226" s="53">
        <f t="shared" si="103"/>
        <v>0</v>
      </c>
      <c r="AJ226" s="53">
        <f t="shared" si="207"/>
        <v>8787.5</v>
      </c>
      <c r="AK226" s="53">
        <f t="shared" si="208"/>
        <v>19628.916666666668</v>
      </c>
      <c r="AL226" s="59">
        <f t="shared" si="209"/>
        <v>-100</v>
      </c>
      <c r="AM226" s="59">
        <f t="shared" si="209"/>
        <v>-64.292970337261266</v>
      </c>
      <c r="AN226" s="59">
        <f t="shared" si="210"/>
        <v>-55.23186455357105</v>
      </c>
      <c r="AP226" s="53">
        <f t="shared" si="135"/>
        <v>36427</v>
      </c>
      <c r="AQ226" s="53">
        <f t="shared" si="135"/>
        <v>227996</v>
      </c>
      <c r="AR226" s="53">
        <f t="shared" si="161"/>
        <v>25800</v>
      </c>
      <c r="AS226" s="53">
        <f t="shared" si="161"/>
        <v>290223</v>
      </c>
      <c r="AT226" s="53">
        <f t="shared" si="211"/>
        <v>355094.25</v>
      </c>
      <c r="AU226" s="53">
        <f t="shared" si="212"/>
        <v>583953.08333333337</v>
      </c>
      <c r="AV226" s="59">
        <f t="shared" si="213"/>
        <v>-49.825908663421117</v>
      </c>
      <c r="AW226" s="59">
        <f t="shared" si="213"/>
        <v>-41.870685964841911</v>
      </c>
      <c r="AX226" s="59">
        <f t="shared" si="214"/>
        <v>-39.191304895070765</v>
      </c>
      <c r="AZ226" s="53">
        <f t="shared" si="166"/>
        <v>191.41</v>
      </c>
      <c r="BA226" s="53">
        <f t="shared" si="167"/>
        <v>17.7</v>
      </c>
      <c r="BB226" s="53">
        <f t="shared" si="168"/>
        <v>81.113</v>
      </c>
      <c r="BC226" s="53">
        <v>0</v>
      </c>
      <c r="BD226" s="53">
        <f t="shared" si="170"/>
        <v>290.22300000000001</v>
      </c>
      <c r="BE226" s="60">
        <f t="shared" si="215"/>
        <v>2531.0329999999999</v>
      </c>
      <c r="BF226" s="60">
        <f t="shared" si="215"/>
        <v>127.45</v>
      </c>
      <c r="BG226" s="60">
        <f t="shared" si="215"/>
        <v>1222.6980000000001</v>
      </c>
      <c r="BH226" s="60">
        <f t="shared" si="215"/>
        <v>80.191999999999993</v>
      </c>
      <c r="BI226" s="60">
        <f t="shared" si="215"/>
        <v>3961.373</v>
      </c>
      <c r="BJ226" s="1">
        <f t="shared" si="189"/>
        <v>8</v>
      </c>
    </row>
    <row r="227" spans="1:62" x14ac:dyDescent="0.3">
      <c r="A227" s="48">
        <v>39144</v>
      </c>
      <c r="B227" s="53">
        <v>249243</v>
      </c>
      <c r="C227" s="53">
        <v>178850</v>
      </c>
      <c r="D227" s="53">
        <v>0</v>
      </c>
      <c r="E227" s="53">
        <f t="shared" si="195"/>
        <v>428093</v>
      </c>
      <c r="F227" s="53">
        <f t="shared" si="196"/>
        <v>265322.5</v>
      </c>
      <c r="G227" s="53">
        <f t="shared" si="197"/>
        <v>358202</v>
      </c>
      <c r="H227" s="59">
        <f t="shared" si="198"/>
        <v>44.624547724178477</v>
      </c>
      <c r="I227" s="59">
        <f t="shared" si="198"/>
        <v>-30.164965684242382</v>
      </c>
      <c r="J227" s="59">
        <f t="shared" si="199"/>
        <v>-25.929363878481972</v>
      </c>
      <c r="L227" s="53">
        <v>3224</v>
      </c>
      <c r="M227" s="53">
        <v>3200</v>
      </c>
      <c r="N227" s="53">
        <v>14000</v>
      </c>
      <c r="O227" s="53">
        <f t="shared" si="95"/>
        <v>20424</v>
      </c>
      <c r="P227" s="53">
        <f t="shared" si="200"/>
        <v>16468.5</v>
      </c>
      <c r="Q227" s="53">
        <f t="shared" si="201"/>
        <v>33134.25</v>
      </c>
      <c r="R227" s="59">
        <f t="shared" si="202"/>
        <v>-14.900000000000002</v>
      </c>
      <c r="S227" s="59">
        <f t="shared" si="202"/>
        <v>-17.295668549905841</v>
      </c>
      <c r="T227" s="59">
        <f t="shared" si="216"/>
        <v>-50.297652730935518</v>
      </c>
      <c r="V227" s="53">
        <v>62954</v>
      </c>
      <c r="W227" s="53">
        <v>57300</v>
      </c>
      <c r="X227" s="53">
        <v>37800</v>
      </c>
      <c r="Y227" s="53">
        <f t="shared" si="99"/>
        <v>158054</v>
      </c>
      <c r="Z227" s="53">
        <f t="shared" si="203"/>
        <v>117389.5</v>
      </c>
      <c r="AA227" s="53">
        <f t="shared" si="204"/>
        <v>148815.08333333334</v>
      </c>
      <c r="AB227" s="59">
        <f t="shared" si="205"/>
        <v>-18.385830837550344</v>
      </c>
      <c r="AC227" s="59">
        <f t="shared" si="205"/>
        <v>-29.040633009333138</v>
      </c>
      <c r="AD227" s="59">
        <f t="shared" si="206"/>
        <v>-21.117203061293633</v>
      </c>
      <c r="AF227" s="53">
        <v>0</v>
      </c>
      <c r="AG227" s="53">
        <v>0</v>
      </c>
      <c r="AH227" s="53">
        <v>6300</v>
      </c>
      <c r="AI227" s="53">
        <f t="shared" si="103"/>
        <v>6300</v>
      </c>
      <c r="AJ227" s="53">
        <f t="shared" si="207"/>
        <v>5687.5</v>
      </c>
      <c r="AK227" s="53">
        <f t="shared" si="208"/>
        <v>19844.666666666668</v>
      </c>
      <c r="AL227" s="59">
        <f t="shared" si="209"/>
        <v>-35.38461538461538</v>
      </c>
      <c r="AM227" s="59">
        <f t="shared" si="209"/>
        <v>-71.401634192331869</v>
      </c>
      <c r="AN227" s="59">
        <f t="shared" si="210"/>
        <v>-71.339906607988709</v>
      </c>
      <c r="AP227" s="53">
        <f t="shared" si="135"/>
        <v>315421</v>
      </c>
      <c r="AQ227" s="53">
        <f t="shared" si="135"/>
        <v>239350</v>
      </c>
      <c r="AR227" s="53">
        <f t="shared" si="161"/>
        <v>58100</v>
      </c>
      <c r="AS227" s="53">
        <f t="shared" si="161"/>
        <v>612871</v>
      </c>
      <c r="AT227" s="53">
        <f t="shared" si="211"/>
        <v>404868</v>
      </c>
      <c r="AU227" s="53">
        <f t="shared" si="212"/>
        <v>559996</v>
      </c>
      <c r="AV227" s="59">
        <f t="shared" si="213"/>
        <v>17.091283556197489</v>
      </c>
      <c r="AW227" s="59">
        <f t="shared" si="213"/>
        <v>-30.810659315964283</v>
      </c>
      <c r="AX227" s="59">
        <f t="shared" si="214"/>
        <v>-27.701626440188853</v>
      </c>
      <c r="AZ227" s="53">
        <f t="shared" si="166"/>
        <v>428.09300000000002</v>
      </c>
      <c r="BA227" s="53">
        <f t="shared" si="167"/>
        <v>20.423999999999999</v>
      </c>
      <c r="BB227" s="53">
        <f t="shared" si="168"/>
        <v>158.054</v>
      </c>
      <c r="BC227" s="53">
        <f t="shared" si="169"/>
        <v>6.3</v>
      </c>
      <c r="BD227" s="53">
        <f t="shared" si="170"/>
        <v>612.87099999999998</v>
      </c>
      <c r="BE227" s="60">
        <f t="shared" si="215"/>
        <v>2959.1259999999997</v>
      </c>
      <c r="BF227" s="60">
        <f t="shared" si="215"/>
        <v>147.874</v>
      </c>
      <c r="BG227" s="60">
        <f t="shared" si="215"/>
        <v>1380.7520000000002</v>
      </c>
      <c r="BH227" s="60">
        <f t="shared" si="215"/>
        <v>86.49199999999999</v>
      </c>
      <c r="BI227" s="60">
        <f t="shared" si="215"/>
        <v>4574.2439999999997</v>
      </c>
      <c r="BJ227" s="1">
        <f t="shared" si="189"/>
        <v>9</v>
      </c>
    </row>
    <row r="228" spans="1:62" x14ac:dyDescent="0.3">
      <c r="A228" s="48">
        <v>39151</v>
      </c>
      <c r="B228" s="53">
        <v>309773</v>
      </c>
      <c r="C228" s="53">
        <v>145700</v>
      </c>
      <c r="D228" s="53">
        <v>0</v>
      </c>
      <c r="E228" s="53">
        <f t="shared" si="195"/>
        <v>455473</v>
      </c>
      <c r="F228" s="53">
        <f t="shared" si="196"/>
        <v>314317.5</v>
      </c>
      <c r="G228" s="53">
        <f t="shared" si="197"/>
        <v>357930.16666666669</v>
      </c>
      <c r="H228" s="59">
        <f>((E228/E176)-1)*100</f>
        <v>-1.1581779909290213</v>
      </c>
      <c r="I228" s="59">
        <f>((F228/F176)-1)*100</f>
        <v>-16.714361799378374</v>
      </c>
      <c r="J228" s="59">
        <f>((F228/G228)-1)*100</f>
        <v>-12.184685932684269</v>
      </c>
      <c r="L228" s="53">
        <v>13177</v>
      </c>
      <c r="M228" s="53">
        <v>6100</v>
      </c>
      <c r="N228" s="53">
        <v>14000</v>
      </c>
      <c r="O228" s="53">
        <f t="shared" si="95"/>
        <v>33277</v>
      </c>
      <c r="P228" s="53">
        <f>AVERAGE(O225,O226,O227,O228)</f>
        <v>21187.75</v>
      </c>
      <c r="Q228" s="53">
        <f>AVERAGE(P176,P124,P72)</f>
        <v>37117.416666666664</v>
      </c>
      <c r="R228" s="59">
        <f>((O228/O176)-1)*100</f>
        <v>-41.706227555399842</v>
      </c>
      <c r="S228" s="59">
        <f>((P228/P176)-1)*100</f>
        <v>-24.756070493185955</v>
      </c>
      <c r="T228" s="59">
        <f>((P228/Q228)-1)*100</f>
        <v>-42.916959468713024</v>
      </c>
      <c r="V228" s="53">
        <v>89940</v>
      </c>
      <c r="W228" s="53">
        <v>85678</v>
      </c>
      <c r="X228" s="53">
        <v>19600</v>
      </c>
      <c r="Y228" s="53">
        <f t="shared" si="99"/>
        <v>195218</v>
      </c>
      <c r="Z228" s="53">
        <f>AVERAGE(Y225,Y226,Y227,Y228)</f>
        <v>139596.25</v>
      </c>
      <c r="AA228" s="53">
        <f>AVERAGE(Z176,Z124,Z72)</f>
        <v>131540.41666666666</v>
      </c>
      <c r="AB228" s="59">
        <f>((Y228/Y176)-1)*100</f>
        <v>39.544093154249204</v>
      </c>
      <c r="AC228" s="59">
        <f>((Z228/Z176)-1)*100</f>
        <v>-10.163508736930005</v>
      </c>
      <c r="AD228" s="59">
        <f>((Z228/AA228)-1)*100</f>
        <v>6.1242267110552362</v>
      </c>
      <c r="AF228" s="53">
        <v>0</v>
      </c>
      <c r="AG228" s="53">
        <v>1650</v>
      </c>
      <c r="AH228" s="53">
        <v>2800</v>
      </c>
      <c r="AI228" s="53">
        <f t="shared" si="103"/>
        <v>4450</v>
      </c>
      <c r="AJ228" s="53">
        <f>AVERAGE(AI225,AI226,AI227,AI228)</f>
        <v>4587.5</v>
      </c>
      <c r="AK228" s="53">
        <f>AVERAGE(AJ176,AJ124,AJ72)</f>
        <v>18965.5</v>
      </c>
      <c r="AL228" s="59">
        <f>((AI228/AI176)-1)*100</f>
        <v>-85.11705685618729</v>
      </c>
      <c r="AM228" s="59">
        <f>((AJ228/AJ176)-1)*100</f>
        <v>-79.06446092413006</v>
      </c>
      <c r="AN228" s="59">
        <f>((AJ228/AK228)-1)*100</f>
        <v>-75.811341646674222</v>
      </c>
      <c r="AP228" s="53">
        <f t="shared" si="135"/>
        <v>412890</v>
      </c>
      <c r="AQ228" s="53">
        <f t="shared" si="135"/>
        <v>239128</v>
      </c>
      <c r="AR228" s="53">
        <f t="shared" si="161"/>
        <v>36400</v>
      </c>
      <c r="AS228" s="53">
        <f t="shared" si="161"/>
        <v>688418</v>
      </c>
      <c r="AT228" s="53">
        <f>AVERAGE(AS225,AS226,AS227,AS228)</f>
        <v>479689</v>
      </c>
      <c r="AU228" s="53">
        <f>AVERAGE(AT176,AT124,AT72)</f>
        <v>545553.5</v>
      </c>
      <c r="AV228" s="59">
        <f>((AS228/AS176)-1)*100</f>
        <v>0.10557051703379283</v>
      </c>
      <c r="AW228" s="59">
        <f>((AT228/AT176)-1)*100</f>
        <v>-17.700467095302031</v>
      </c>
      <c r="AX228" s="59">
        <f>((AT228/AU228)-1)*100</f>
        <v>-12.072968095704638</v>
      </c>
      <c r="AZ228" s="53">
        <f t="shared" si="166"/>
        <v>455.47300000000001</v>
      </c>
      <c r="BA228" s="53">
        <f t="shared" si="167"/>
        <v>33.277000000000001</v>
      </c>
      <c r="BB228" s="53">
        <f t="shared" si="168"/>
        <v>195.21799999999999</v>
      </c>
      <c r="BC228" s="53">
        <f t="shared" si="169"/>
        <v>4.45</v>
      </c>
      <c r="BD228" s="53">
        <f t="shared" si="170"/>
        <v>688.41800000000001</v>
      </c>
      <c r="BE228" s="60">
        <f>BE227+AZ228</f>
        <v>3414.5989999999997</v>
      </c>
      <c r="BF228" s="60">
        <f>BF227+BA228</f>
        <v>181.15100000000001</v>
      </c>
      <c r="BG228" s="60">
        <f>BG227+BB228</f>
        <v>1575.9700000000003</v>
      </c>
      <c r="BH228" s="60">
        <f>BH227+BC228</f>
        <v>90.941999999999993</v>
      </c>
      <c r="BI228" s="60">
        <f>BI227+BD228</f>
        <v>5262.6619999999994</v>
      </c>
      <c r="BJ228" s="1">
        <f t="shared" si="189"/>
        <v>10</v>
      </c>
    </row>
    <row r="229" spans="1:62" x14ac:dyDescent="0.3">
      <c r="A229" s="48">
        <v>39158</v>
      </c>
      <c r="B229" s="53">
        <v>385392</v>
      </c>
      <c r="C229" s="53">
        <v>106485</v>
      </c>
      <c r="D229" s="53">
        <v>0</v>
      </c>
      <c r="E229" s="53">
        <f t="shared" si="195"/>
        <v>491877</v>
      </c>
      <c r="F229" s="53">
        <f t="shared" si="196"/>
        <v>391713.25</v>
      </c>
      <c r="G229" s="53">
        <f t="shared" si="197"/>
        <v>356678.66666666669</v>
      </c>
      <c r="H229" s="59">
        <f t="shared" si="198"/>
        <v>56.429525505660848</v>
      </c>
      <c r="I229" s="59">
        <f t="shared" si="198"/>
        <v>10.645255824956479</v>
      </c>
      <c r="J229" s="59">
        <f t="shared" si="199"/>
        <v>9.8224498988819029</v>
      </c>
      <c r="L229" s="53">
        <v>3200</v>
      </c>
      <c r="M229" s="53">
        <v>6000</v>
      </c>
      <c r="N229" s="53">
        <v>26600</v>
      </c>
      <c r="O229" s="53">
        <f t="shared" si="95"/>
        <v>35800</v>
      </c>
      <c r="P229" s="53">
        <f t="shared" si="200"/>
        <v>26800.25</v>
      </c>
      <c r="Q229" s="53">
        <f t="shared" si="201"/>
        <v>40512.333333333336</v>
      </c>
      <c r="R229" s="59">
        <f t="shared" si="202"/>
        <v>27.402135231316716</v>
      </c>
      <c r="S229" s="59">
        <f t="shared" si="202"/>
        <v>-17.654875753735066</v>
      </c>
      <c r="T229" s="59">
        <f t="shared" si="216"/>
        <v>-33.846688662711763</v>
      </c>
      <c r="V229" s="53">
        <v>58109</v>
      </c>
      <c r="W229" s="53">
        <v>44150</v>
      </c>
      <c r="X229" s="53">
        <v>24200</v>
      </c>
      <c r="Y229" s="53">
        <f t="shared" si="99"/>
        <v>126459</v>
      </c>
      <c r="Z229" s="53">
        <f t="shared" si="203"/>
        <v>140211</v>
      </c>
      <c r="AA229" s="53">
        <f t="shared" si="204"/>
        <v>133111.08333333334</v>
      </c>
      <c r="AB229" s="59">
        <f t="shared" si="205"/>
        <v>9.5082222741797118</v>
      </c>
      <c r="AC229" s="59">
        <f t="shared" si="205"/>
        <v>-12.520667086767446</v>
      </c>
      <c r="AD229" s="59">
        <f t="shared" si="206"/>
        <v>5.3338283250893737</v>
      </c>
      <c r="AF229" s="53">
        <v>0</v>
      </c>
      <c r="AG229" s="53">
        <v>0</v>
      </c>
      <c r="AH229" s="53">
        <v>7900</v>
      </c>
      <c r="AI229" s="53">
        <f t="shared" si="103"/>
        <v>7900</v>
      </c>
      <c r="AJ229" s="53">
        <f t="shared" si="207"/>
        <v>4662.5</v>
      </c>
      <c r="AK229" s="53">
        <f t="shared" si="208"/>
        <v>15698.416666666666</v>
      </c>
      <c r="AL229" s="59">
        <f t="shared" si="209"/>
        <v>464.28571428571433</v>
      </c>
      <c r="AM229" s="59">
        <f t="shared" si="209"/>
        <v>-69.699431356620636</v>
      </c>
      <c r="AN229" s="59">
        <f t="shared" si="210"/>
        <v>-70.299552502640921</v>
      </c>
      <c r="AP229" s="53">
        <f t="shared" si="135"/>
        <v>446701</v>
      </c>
      <c r="AQ229" s="53">
        <f t="shared" si="135"/>
        <v>156635</v>
      </c>
      <c r="AR229" s="53">
        <f t="shared" si="161"/>
        <v>58700</v>
      </c>
      <c r="AS229" s="53">
        <f t="shared" si="161"/>
        <v>662036</v>
      </c>
      <c r="AT229" s="53">
        <f t="shared" si="211"/>
        <v>563387</v>
      </c>
      <c r="AU229" s="53">
        <f t="shared" si="212"/>
        <v>546000.5</v>
      </c>
      <c r="AV229" s="59">
        <f t="shared" si="213"/>
        <v>44.102877765177318</v>
      </c>
      <c r="AW229" s="59">
        <f t="shared" si="213"/>
        <v>0.20418363009324647</v>
      </c>
      <c r="AX229" s="59">
        <f t="shared" si="214"/>
        <v>3.1843377432804632</v>
      </c>
      <c r="AZ229" s="53">
        <f t="shared" si="166"/>
        <v>491.87700000000001</v>
      </c>
      <c r="BA229" s="53">
        <f t="shared" si="167"/>
        <v>35.799999999999997</v>
      </c>
      <c r="BB229" s="53">
        <f t="shared" si="168"/>
        <v>126.459</v>
      </c>
      <c r="BC229" s="53">
        <f t="shared" si="169"/>
        <v>7.9</v>
      </c>
      <c r="BD229" s="53">
        <f t="shared" si="170"/>
        <v>662.03599999999994</v>
      </c>
      <c r="BE229" s="60">
        <f t="shared" si="215"/>
        <v>3906.4759999999997</v>
      </c>
      <c r="BF229" s="60">
        <f t="shared" si="215"/>
        <v>216.95100000000002</v>
      </c>
      <c r="BG229" s="60">
        <f t="shared" si="215"/>
        <v>1702.4290000000003</v>
      </c>
      <c r="BH229" s="60">
        <f t="shared" si="215"/>
        <v>98.841999999999999</v>
      </c>
      <c r="BI229" s="60">
        <f t="shared" si="215"/>
        <v>5924.6979999999994</v>
      </c>
      <c r="BJ229" s="1">
        <f t="shared" si="189"/>
        <v>11</v>
      </c>
    </row>
    <row r="230" spans="1:62" x14ac:dyDescent="0.3">
      <c r="A230" s="48">
        <v>39165</v>
      </c>
      <c r="B230" s="53">
        <v>412675</v>
      </c>
      <c r="C230" s="53">
        <v>82915</v>
      </c>
      <c r="D230" s="53">
        <v>0</v>
      </c>
      <c r="E230" s="53">
        <f t="shared" si="195"/>
        <v>495590</v>
      </c>
      <c r="F230" s="53">
        <f t="shared" si="196"/>
        <v>467758.25</v>
      </c>
      <c r="G230" s="53">
        <f t="shared" si="197"/>
        <v>353479.66666666669</v>
      </c>
      <c r="H230" s="59">
        <f t="shared" si="198"/>
        <v>63.891001686563719</v>
      </c>
      <c r="I230" s="59">
        <f t="shared" si="198"/>
        <v>36.209553719561782</v>
      </c>
      <c r="J230" s="59">
        <f t="shared" si="199"/>
        <v>32.32960594621661</v>
      </c>
      <c r="L230" s="53">
        <v>4635</v>
      </c>
      <c r="M230" s="53">
        <v>15539</v>
      </c>
      <c r="N230" s="53">
        <v>32962</v>
      </c>
      <c r="O230" s="53">
        <f t="shared" si="95"/>
        <v>53136</v>
      </c>
      <c r="P230" s="53">
        <f t="shared" si="200"/>
        <v>35659.25</v>
      </c>
      <c r="Q230" s="53">
        <f t="shared" si="201"/>
        <v>38377.083333333336</v>
      </c>
      <c r="R230" s="59">
        <f t="shared" si="202"/>
        <v>112.67160296177705</v>
      </c>
      <c r="S230" s="59">
        <f t="shared" si="202"/>
        <v>6.3106506670641771</v>
      </c>
      <c r="T230" s="59">
        <f t="shared" si="216"/>
        <v>-7.0819173769067989</v>
      </c>
      <c r="V230" s="53">
        <v>57437</v>
      </c>
      <c r="W230" s="53">
        <v>39262</v>
      </c>
      <c r="X230" s="53">
        <v>25704</v>
      </c>
      <c r="Y230" s="53">
        <f t="shared" si="99"/>
        <v>122403</v>
      </c>
      <c r="Z230" s="53">
        <f t="shared" si="203"/>
        <v>150533.5</v>
      </c>
      <c r="AA230" s="53">
        <f t="shared" si="204"/>
        <v>121152.25</v>
      </c>
      <c r="AB230" s="59">
        <f t="shared" si="205"/>
        <v>19.85488514188356</v>
      </c>
      <c r="AC230" s="59">
        <f t="shared" si="205"/>
        <v>9.2480976554987429</v>
      </c>
      <c r="AD230" s="59">
        <f t="shared" si="206"/>
        <v>24.251509980210862</v>
      </c>
      <c r="AF230" s="53">
        <v>0</v>
      </c>
      <c r="AG230" s="53">
        <v>0</v>
      </c>
      <c r="AH230" s="53">
        <v>2800</v>
      </c>
      <c r="AI230" s="53">
        <f t="shared" si="103"/>
        <v>2800</v>
      </c>
      <c r="AJ230" s="53">
        <f t="shared" si="207"/>
        <v>5362.5</v>
      </c>
      <c r="AK230" s="53">
        <f t="shared" si="208"/>
        <v>17335.583333333332</v>
      </c>
      <c r="AL230" s="59">
        <f t="shared" si="209"/>
        <v>-90.98228663446055</v>
      </c>
      <c r="AM230" s="59">
        <f t="shared" si="209"/>
        <v>-70.249653259362006</v>
      </c>
      <c r="AN230" s="59">
        <f t="shared" si="210"/>
        <v>-69.06651540425041</v>
      </c>
      <c r="AP230" s="53">
        <f t="shared" si="135"/>
        <v>474747</v>
      </c>
      <c r="AQ230" s="53">
        <f t="shared" si="135"/>
        <v>137716</v>
      </c>
      <c r="AR230" s="53">
        <f t="shared" si="161"/>
        <v>61466</v>
      </c>
      <c r="AS230" s="53">
        <f t="shared" si="161"/>
        <v>673929</v>
      </c>
      <c r="AT230" s="53">
        <f t="shared" si="211"/>
        <v>659313.5</v>
      </c>
      <c r="AU230" s="53">
        <f t="shared" si="212"/>
        <v>530344.58333333337</v>
      </c>
      <c r="AV230" s="59">
        <f t="shared" si="213"/>
        <v>46.331025228476321</v>
      </c>
      <c r="AW230" s="59">
        <f t="shared" si="213"/>
        <v>23.752284645073484</v>
      </c>
      <c r="AX230" s="59">
        <f t="shared" si="214"/>
        <v>24.317947372266602</v>
      </c>
      <c r="AZ230" s="53">
        <f t="shared" si="166"/>
        <v>495.59</v>
      </c>
      <c r="BA230" s="53">
        <f t="shared" si="167"/>
        <v>53.136000000000003</v>
      </c>
      <c r="BB230" s="53">
        <f t="shared" si="168"/>
        <v>122.40300000000001</v>
      </c>
      <c r="BC230" s="53">
        <f t="shared" si="169"/>
        <v>2.8</v>
      </c>
      <c r="BD230" s="53">
        <f t="shared" si="170"/>
        <v>673.92899999999997</v>
      </c>
      <c r="BE230" s="60">
        <f t="shared" si="215"/>
        <v>4402.0659999999998</v>
      </c>
      <c r="BF230" s="60">
        <f t="shared" si="215"/>
        <v>270.08700000000005</v>
      </c>
      <c r="BG230" s="60">
        <f t="shared" si="215"/>
        <v>1824.8320000000003</v>
      </c>
      <c r="BH230" s="60">
        <f t="shared" si="215"/>
        <v>101.642</v>
      </c>
      <c r="BI230" s="60">
        <f t="shared" si="215"/>
        <v>6598.6269999999995</v>
      </c>
      <c r="BJ230" s="1">
        <f t="shared" si="189"/>
        <v>12</v>
      </c>
    </row>
    <row r="231" spans="1:62" x14ac:dyDescent="0.3">
      <c r="A231" s="48">
        <v>39172</v>
      </c>
      <c r="B231" s="53">
        <v>277247</v>
      </c>
      <c r="C231" s="53">
        <v>53113</v>
      </c>
      <c r="D231" s="53">
        <v>0</v>
      </c>
      <c r="E231" s="53">
        <f t="shared" si="195"/>
        <v>330360</v>
      </c>
      <c r="F231" s="53">
        <f t="shared" ref="F231:F237" si="217">AVERAGE(E228,E229,E230,E231)</f>
        <v>443325</v>
      </c>
      <c r="G231" s="53">
        <f t="shared" ref="G231:G237" si="218">AVERAGE(F179,F127,F75)</f>
        <v>395973.5</v>
      </c>
      <c r="H231" s="59">
        <f t="shared" ref="H231:I233" si="219">((E231/E179)-1)*100</f>
        <v>-38.709060988528819</v>
      </c>
      <c r="I231" s="59">
        <f t="shared" si="219"/>
        <v>9.6902655688361641</v>
      </c>
      <c r="J231" s="59">
        <f t="shared" ref="J231:J236" si="220">((F231/G231)-1)*100</f>
        <v>11.958249731358283</v>
      </c>
      <c r="L231" s="53">
        <v>8800</v>
      </c>
      <c r="M231" s="53">
        <v>3000</v>
      </c>
      <c r="N231" s="53">
        <v>14000</v>
      </c>
      <c r="O231" s="53">
        <f t="shared" si="95"/>
        <v>25800</v>
      </c>
      <c r="P231" s="53">
        <f t="shared" ref="P231:P237" si="221">AVERAGE(O228,O229,O230,O231)</f>
        <v>37003.25</v>
      </c>
      <c r="Q231" s="53">
        <f t="shared" ref="Q231:Q237" si="222">AVERAGE(P179,P127,P75)</f>
        <v>40455.416666666664</v>
      </c>
      <c r="R231" s="59">
        <f t="shared" ref="R231:S233" si="223">((O231/O179)-1)*100</f>
        <v>1.9803154274872448</v>
      </c>
      <c r="S231" s="59">
        <f t="shared" si="223"/>
        <v>9.2596830271132191</v>
      </c>
      <c r="T231" s="59">
        <f t="shared" ref="T231:T236" si="224">((P231/Q231)-1)*100</f>
        <v>-8.5332619241345835</v>
      </c>
      <c r="V231" s="53">
        <v>58246</v>
      </c>
      <c r="W231" s="53">
        <v>27800</v>
      </c>
      <c r="X231" s="53">
        <v>5600</v>
      </c>
      <c r="Y231" s="53">
        <f t="shared" si="99"/>
        <v>91646</v>
      </c>
      <c r="Z231" s="53">
        <f t="shared" ref="Z231:Z237" si="225">AVERAGE(Y228,Y229,Y230,Y231)</f>
        <v>133931.5</v>
      </c>
      <c r="AA231" s="53">
        <f t="shared" ref="AA231:AA237" si="226">AVERAGE(Z179,Z127,Z75)</f>
        <v>114355.5</v>
      </c>
      <c r="AB231" s="59">
        <f t="shared" ref="AB231:AC233" si="227">((Y231/Y179)-1)*100</f>
        <v>-26.251921235384522</v>
      </c>
      <c r="AC231" s="59">
        <f t="shared" si="227"/>
        <v>11.199304233754216</v>
      </c>
      <c r="AD231" s="59">
        <f t="shared" ref="AD231:AD236" si="228">((Z231/AA231)-1)*100</f>
        <v>17.118546987245907</v>
      </c>
      <c r="AF231" s="53">
        <v>0</v>
      </c>
      <c r="AG231" s="53">
        <v>0</v>
      </c>
      <c r="AH231" s="53">
        <v>9600</v>
      </c>
      <c r="AI231" s="53">
        <f t="shared" si="103"/>
        <v>9600</v>
      </c>
      <c r="AJ231" s="53">
        <f t="shared" ref="AJ231:AJ237" si="229">AVERAGE(AI228,AI229,AI230,AI231)</f>
        <v>6187.5</v>
      </c>
      <c r="AK231" s="53">
        <f t="shared" ref="AK231:AK237" si="230">AVERAGE(AJ179,AJ127,AJ75)</f>
        <v>12538.25</v>
      </c>
      <c r="AL231" s="59">
        <f t="shared" ref="AL231:AM233" si="231">((AI231/AI179)-1)*100</f>
        <v>53.846153846153854</v>
      </c>
      <c r="AM231" s="59">
        <f t="shared" si="231"/>
        <v>-63.916022743840209</v>
      </c>
      <c r="AN231" s="59">
        <f t="shared" ref="AN231:AN236" si="232">((AJ231/AK231)-1)*100</f>
        <v>-50.651007915777726</v>
      </c>
      <c r="AP231" s="53">
        <f t="shared" si="135"/>
        <v>344293</v>
      </c>
      <c r="AQ231" s="53">
        <f t="shared" si="135"/>
        <v>83913</v>
      </c>
      <c r="AR231" s="53">
        <f t="shared" si="161"/>
        <v>29200</v>
      </c>
      <c r="AS231" s="53">
        <f t="shared" si="161"/>
        <v>457406</v>
      </c>
      <c r="AT231" s="53">
        <f t="shared" ref="AT231:AT237" si="233">AVERAGE(AS228,AS229,AS230,AS231)</f>
        <v>620447.25</v>
      </c>
      <c r="AU231" s="53">
        <f t="shared" ref="AU231:AU237" si="234">AVERAGE(AT179,AT127,AT75)</f>
        <v>563322.66666666663</v>
      </c>
      <c r="AV231" s="59">
        <f t="shared" ref="AV231:AW236" si="235">((AS231/AS179)-1)*100</f>
        <v>-34.168284612650055</v>
      </c>
      <c r="AW231" s="59">
        <f t="shared" si="235"/>
        <v>7.7879740609336112</v>
      </c>
      <c r="AX231" s="59">
        <f t="shared" ref="AX231:AX236" si="236">((AT231/AU231)-1)*100</f>
        <v>10.140650592200572</v>
      </c>
      <c r="AZ231" s="53">
        <f t="shared" si="166"/>
        <v>330.36</v>
      </c>
      <c r="BA231" s="53">
        <f t="shared" si="167"/>
        <v>25.8</v>
      </c>
      <c r="BB231" s="53">
        <f t="shared" si="168"/>
        <v>91.646000000000001</v>
      </c>
      <c r="BC231" s="53">
        <f t="shared" si="169"/>
        <v>9.6</v>
      </c>
      <c r="BD231" s="53">
        <f t="shared" si="170"/>
        <v>457.40600000000001</v>
      </c>
      <c r="BE231" s="60">
        <f t="shared" ref="BE231:BI232" si="237">BE230+AZ231</f>
        <v>4732.4259999999995</v>
      </c>
      <c r="BF231" s="60">
        <f t="shared" si="237"/>
        <v>295.88700000000006</v>
      </c>
      <c r="BG231" s="60">
        <f t="shared" si="237"/>
        <v>1916.4780000000003</v>
      </c>
      <c r="BH231" s="60">
        <f t="shared" si="237"/>
        <v>111.24199999999999</v>
      </c>
      <c r="BI231" s="60">
        <f t="shared" si="237"/>
        <v>7056.0329999999994</v>
      </c>
      <c r="BJ231" s="1">
        <f t="shared" si="189"/>
        <v>13</v>
      </c>
    </row>
    <row r="232" spans="1:62" x14ac:dyDescent="0.3">
      <c r="A232" s="48">
        <f t="shared" ref="A232:A496" si="238">A231+7</f>
        <v>39179</v>
      </c>
      <c r="B232" s="53">
        <v>357082</v>
      </c>
      <c r="C232" s="53">
        <v>53850</v>
      </c>
      <c r="D232" s="53">
        <v>0</v>
      </c>
      <c r="E232" s="53">
        <f t="shared" si="195"/>
        <v>410932</v>
      </c>
      <c r="F232" s="53">
        <f t="shared" si="217"/>
        <v>432189.75</v>
      </c>
      <c r="G232" s="53">
        <f t="shared" si="218"/>
        <v>416050.66666666669</v>
      </c>
      <c r="H232" s="59">
        <f t="shared" si="219"/>
        <v>-14.868915797433214</v>
      </c>
      <c r="I232" s="59">
        <f t="shared" si="219"/>
        <v>5.5061890539004787</v>
      </c>
      <c r="J232" s="59">
        <f t="shared" si="220"/>
        <v>3.8791148834436795</v>
      </c>
      <c r="L232" s="53">
        <v>21819</v>
      </c>
      <c r="M232" s="53">
        <v>3000</v>
      </c>
      <c r="N232" s="53">
        <v>14262</v>
      </c>
      <c r="O232" s="53">
        <f t="shared" ref="O232:O238" si="239">SUM(L232:N232)</f>
        <v>39081</v>
      </c>
      <c r="P232" s="53">
        <f t="shared" si="221"/>
        <v>38454.25</v>
      </c>
      <c r="Q232" s="53">
        <f t="shared" si="222"/>
        <v>38516</v>
      </c>
      <c r="R232" s="59">
        <f t="shared" si="223"/>
        <v>53.258823529411757</v>
      </c>
      <c r="S232" s="59">
        <f t="shared" si="223"/>
        <v>48.06611220207153</v>
      </c>
      <c r="T232" s="59">
        <f t="shared" si="224"/>
        <v>-0.16032298265655776</v>
      </c>
      <c r="V232" s="53">
        <v>68549</v>
      </c>
      <c r="W232" s="53">
        <v>18300</v>
      </c>
      <c r="X232" s="53">
        <v>25487</v>
      </c>
      <c r="Y232" s="53">
        <f t="shared" ref="Y232:Y238" si="240">SUM(V232:X232)</f>
        <v>112336</v>
      </c>
      <c r="Z232" s="53">
        <f t="shared" si="225"/>
        <v>113211</v>
      </c>
      <c r="AA232" s="53">
        <f t="shared" si="226"/>
        <v>118149.58333333333</v>
      </c>
      <c r="AB232" s="59">
        <f t="shared" si="227"/>
        <v>2.8604915210782789</v>
      </c>
      <c r="AC232" s="59">
        <f t="shared" si="227"/>
        <v>0.3897261276120334</v>
      </c>
      <c r="AD232" s="59">
        <f t="shared" si="228"/>
        <v>-4.1799413878593095</v>
      </c>
      <c r="AF232" s="53">
        <v>0</v>
      </c>
      <c r="AG232" s="53">
        <v>16000</v>
      </c>
      <c r="AH232" s="53">
        <v>0</v>
      </c>
      <c r="AI232" s="53">
        <f t="shared" si="103"/>
        <v>16000</v>
      </c>
      <c r="AJ232" s="53">
        <f t="shared" si="229"/>
        <v>9075</v>
      </c>
      <c r="AK232" s="53">
        <f t="shared" si="230"/>
        <v>11363.25</v>
      </c>
      <c r="AL232" s="59">
        <f t="shared" si="231"/>
        <v>105.12820512820511</v>
      </c>
      <c r="AM232" s="59">
        <f t="shared" si="231"/>
        <v>-21.918692191869216</v>
      </c>
      <c r="AN232" s="59">
        <f t="shared" si="232"/>
        <v>-20.137284667678699</v>
      </c>
      <c r="AP232" s="53">
        <f t="shared" si="135"/>
        <v>447450</v>
      </c>
      <c r="AQ232" s="53">
        <f t="shared" si="135"/>
        <v>91150</v>
      </c>
      <c r="AR232" s="53">
        <f t="shared" si="161"/>
        <v>39749</v>
      </c>
      <c r="AS232" s="53">
        <f t="shared" si="161"/>
        <v>578349</v>
      </c>
      <c r="AT232" s="53">
        <f t="shared" si="233"/>
        <v>592930</v>
      </c>
      <c r="AU232" s="53">
        <f t="shared" si="234"/>
        <v>584079.5</v>
      </c>
      <c r="AV232" s="59">
        <f t="shared" si="235"/>
        <v>-7.4962772925240344</v>
      </c>
      <c r="AW232" s="59">
        <f t="shared" si="235"/>
        <v>5.8804516789747074</v>
      </c>
      <c r="AX232" s="59">
        <f t="shared" si="236"/>
        <v>1.5152902986665273</v>
      </c>
      <c r="AZ232" s="53">
        <f t="shared" si="166"/>
        <v>410.93200000000002</v>
      </c>
      <c r="BA232" s="53">
        <f t="shared" si="167"/>
        <v>39.081000000000003</v>
      </c>
      <c r="BB232" s="53">
        <f t="shared" si="168"/>
        <v>112.336</v>
      </c>
      <c r="BC232" s="53">
        <f t="shared" si="169"/>
        <v>16</v>
      </c>
      <c r="BD232" s="53">
        <f t="shared" si="170"/>
        <v>578.34900000000005</v>
      </c>
      <c r="BE232" s="60">
        <f t="shared" si="237"/>
        <v>5143.3579999999993</v>
      </c>
      <c r="BF232" s="60">
        <f t="shared" si="237"/>
        <v>334.96800000000007</v>
      </c>
      <c r="BG232" s="60">
        <f t="shared" si="237"/>
        <v>2028.8140000000003</v>
      </c>
      <c r="BH232" s="60">
        <f t="shared" si="237"/>
        <v>127.24199999999999</v>
      </c>
      <c r="BI232" s="60">
        <f t="shared" si="237"/>
        <v>7634.3819999999996</v>
      </c>
      <c r="BJ232" s="1">
        <f t="shared" si="189"/>
        <v>14</v>
      </c>
    </row>
    <row r="233" spans="1:62" x14ac:dyDescent="0.3">
      <c r="A233" s="48">
        <f t="shared" si="238"/>
        <v>39186</v>
      </c>
      <c r="B233" s="53">
        <v>364255</v>
      </c>
      <c r="C233" s="53">
        <v>19500</v>
      </c>
      <c r="D233" s="53">
        <v>0</v>
      </c>
      <c r="E233" s="53">
        <f t="shared" si="195"/>
        <v>383755</v>
      </c>
      <c r="F233" s="53">
        <f t="shared" si="217"/>
        <v>405159.25</v>
      </c>
      <c r="G233" s="53">
        <f t="shared" si="218"/>
        <v>481294.5</v>
      </c>
      <c r="H233" s="59">
        <f t="shared" si="219"/>
        <v>-42.098314649124134</v>
      </c>
      <c r="I233" s="59">
        <f t="shared" si="219"/>
        <v>-18.432578309178062</v>
      </c>
      <c r="J233" s="59">
        <f t="shared" si="220"/>
        <v>-15.818848958382025</v>
      </c>
      <c r="L233" s="53">
        <v>7659</v>
      </c>
      <c r="M233" s="53">
        <v>4500</v>
      </c>
      <c r="N233" s="53">
        <v>8000</v>
      </c>
      <c r="O233" s="53">
        <f t="shared" si="239"/>
        <v>20159</v>
      </c>
      <c r="P233" s="53">
        <f t="shared" si="221"/>
        <v>34544</v>
      </c>
      <c r="Q233" s="53">
        <f t="shared" si="222"/>
        <v>35930.166666666664</v>
      </c>
      <c r="R233" s="59">
        <f t="shared" si="223"/>
        <v>30.698910788381738</v>
      </c>
      <c r="S233" s="59">
        <f t="shared" si="223"/>
        <v>51.495482852381372</v>
      </c>
      <c r="T233" s="59">
        <f t="shared" si="224"/>
        <v>-3.8579466650585981</v>
      </c>
      <c r="V233" s="53">
        <v>66693</v>
      </c>
      <c r="W233" s="53">
        <v>25580</v>
      </c>
      <c r="X233" s="53">
        <v>15500</v>
      </c>
      <c r="Y233" s="53">
        <f t="shared" si="240"/>
        <v>107773</v>
      </c>
      <c r="Z233" s="53">
        <f t="shared" si="225"/>
        <v>108539.5</v>
      </c>
      <c r="AA233" s="53">
        <f t="shared" si="226"/>
        <v>115400.91666666667</v>
      </c>
      <c r="AB233" s="59">
        <f t="shared" si="227"/>
        <v>62.607501735115733</v>
      </c>
      <c r="AC233" s="59">
        <f t="shared" si="227"/>
        <v>8.0304067083867281</v>
      </c>
      <c r="AD233" s="59">
        <f t="shared" si="228"/>
        <v>-5.9457211128450034</v>
      </c>
      <c r="AF233" s="53">
        <v>0</v>
      </c>
      <c r="AG233" s="53">
        <v>1600</v>
      </c>
      <c r="AH233" s="53">
        <v>8600</v>
      </c>
      <c r="AI233" s="53">
        <f t="shared" si="103"/>
        <v>10200</v>
      </c>
      <c r="AJ233" s="53">
        <f t="shared" si="229"/>
        <v>9650</v>
      </c>
      <c r="AK233" s="53">
        <f t="shared" si="230"/>
        <v>11565.083333333334</v>
      </c>
      <c r="AL233" s="59">
        <f t="shared" si="231"/>
        <v>92.452830188679243</v>
      </c>
      <c r="AM233" s="59">
        <f t="shared" si="231"/>
        <v>-23.397499503869813</v>
      </c>
      <c r="AN233" s="59">
        <f t="shared" si="232"/>
        <v>-16.559183173489167</v>
      </c>
      <c r="AP233" s="53">
        <f t="shared" si="135"/>
        <v>438607</v>
      </c>
      <c r="AQ233" s="53">
        <f t="shared" si="135"/>
        <v>51180</v>
      </c>
      <c r="AR233" s="53">
        <f t="shared" si="161"/>
        <v>32100</v>
      </c>
      <c r="AS233" s="53">
        <f t="shared" si="161"/>
        <v>521887</v>
      </c>
      <c r="AT233" s="53">
        <f t="shared" si="233"/>
        <v>557892.75</v>
      </c>
      <c r="AU233" s="53">
        <f t="shared" si="234"/>
        <v>644190.66666666663</v>
      </c>
      <c r="AV233" s="59">
        <f t="shared" si="235"/>
        <v>-30.393906414216588</v>
      </c>
      <c r="AW233" s="59">
        <f t="shared" si="235"/>
        <v>-11.807848002115119</v>
      </c>
      <c r="AX233" s="59">
        <f t="shared" si="236"/>
        <v>-13.396331417406437</v>
      </c>
      <c r="AZ233" s="53">
        <f t="shared" si="166"/>
        <v>383.755</v>
      </c>
      <c r="BA233" s="53">
        <f t="shared" si="167"/>
        <v>20.158999999999999</v>
      </c>
      <c r="BB233" s="53">
        <f t="shared" si="168"/>
        <v>107.773</v>
      </c>
      <c r="BC233" s="53">
        <f t="shared" si="169"/>
        <v>10.199999999999999</v>
      </c>
      <c r="BD233" s="53">
        <f t="shared" si="170"/>
        <v>521.88699999999994</v>
      </c>
      <c r="BE233" s="60">
        <f t="shared" ref="BE233:BI234" si="241">BE232+AZ233</f>
        <v>5527.1129999999994</v>
      </c>
      <c r="BF233" s="60">
        <f t="shared" si="241"/>
        <v>355.12700000000007</v>
      </c>
      <c r="BG233" s="60">
        <f t="shared" si="241"/>
        <v>2136.5870000000004</v>
      </c>
      <c r="BH233" s="60">
        <f t="shared" si="241"/>
        <v>137.44199999999998</v>
      </c>
      <c r="BI233" s="60">
        <f t="shared" si="241"/>
        <v>8156.2689999999993</v>
      </c>
      <c r="BJ233" s="1">
        <f t="shared" si="189"/>
        <v>15</v>
      </c>
    </row>
    <row r="234" spans="1:62" x14ac:dyDescent="0.3">
      <c r="A234" s="48">
        <f t="shared" si="238"/>
        <v>39193</v>
      </c>
      <c r="B234" s="53">
        <v>454809</v>
      </c>
      <c r="C234" s="53">
        <v>35500</v>
      </c>
      <c r="D234" s="53">
        <v>0</v>
      </c>
      <c r="E234" s="53">
        <f t="shared" si="195"/>
        <v>490309</v>
      </c>
      <c r="F234" s="53">
        <f t="shared" si="217"/>
        <v>403839</v>
      </c>
      <c r="G234" s="53">
        <f t="shared" si="218"/>
        <v>514344.66666666669</v>
      </c>
      <c r="H234" s="59">
        <f t="shared" ref="H234:I236" si="242">((E234/E182)-1)*100</f>
        <v>-6.9260338461830546</v>
      </c>
      <c r="I234" s="59">
        <f t="shared" si="242"/>
        <v>-26.94904699691083</v>
      </c>
      <c r="J234" s="59">
        <f t="shared" si="220"/>
        <v>-21.484750174007839</v>
      </c>
      <c r="L234" s="53">
        <v>7800</v>
      </c>
      <c r="M234" s="53">
        <v>13500</v>
      </c>
      <c r="N234" s="53">
        <v>6006</v>
      </c>
      <c r="O234" s="53">
        <f t="shared" si="239"/>
        <v>27306</v>
      </c>
      <c r="P234" s="53">
        <f t="shared" si="221"/>
        <v>28086.5</v>
      </c>
      <c r="Q234" s="53">
        <f t="shared" si="222"/>
        <v>36715.416666666664</v>
      </c>
      <c r="R234" s="59">
        <f t="shared" ref="R234:S236" si="243">((O234/O182)-1)*100</f>
        <v>-0.25205479452055091</v>
      </c>
      <c r="S234" s="59">
        <f t="shared" si="243"/>
        <v>20.030342528686518</v>
      </c>
      <c r="T234" s="59">
        <f t="shared" si="224"/>
        <v>-23.502161898385097</v>
      </c>
      <c r="V234" s="53">
        <v>109661</v>
      </c>
      <c r="W234" s="53">
        <v>15750</v>
      </c>
      <c r="X234" s="53">
        <v>12600</v>
      </c>
      <c r="Y234" s="53">
        <f t="shared" si="240"/>
        <v>138011</v>
      </c>
      <c r="Z234" s="53">
        <f t="shared" si="225"/>
        <v>112441.5</v>
      </c>
      <c r="AA234" s="53">
        <f t="shared" si="226"/>
        <v>107944.41666666667</v>
      </c>
      <c r="AB234" s="59">
        <f t="shared" ref="AB234:AC236" si="244">((Y234/Y182)-1)*100</f>
        <v>89.627644957405877</v>
      </c>
      <c r="AC234" s="59">
        <f t="shared" si="244"/>
        <v>20.729910157057386</v>
      </c>
      <c r="AD234" s="59">
        <f t="shared" si="228"/>
        <v>4.1661101817061619</v>
      </c>
      <c r="AF234" s="53">
        <v>0</v>
      </c>
      <c r="AG234" s="53">
        <v>0</v>
      </c>
      <c r="AH234" s="53">
        <v>1400</v>
      </c>
      <c r="AI234" s="53">
        <f t="shared" si="103"/>
        <v>1400</v>
      </c>
      <c r="AJ234" s="53">
        <f t="shared" si="229"/>
        <v>9300</v>
      </c>
      <c r="AK234" s="53">
        <f t="shared" si="230"/>
        <v>10021.666666666666</v>
      </c>
      <c r="AL234" s="59">
        <f t="shared" ref="AL234:AM236" si="245">((AI234/AI182)-1)*100</f>
        <v>-88.8</v>
      </c>
      <c r="AM234" s="59">
        <f t="shared" si="245"/>
        <v>16.834170854271346</v>
      </c>
      <c r="AN234" s="59">
        <f t="shared" si="232"/>
        <v>-7.2010643605521345</v>
      </c>
      <c r="AP234" s="53">
        <f t="shared" si="135"/>
        <v>572270</v>
      </c>
      <c r="AQ234" s="53">
        <f t="shared" si="135"/>
        <v>64750</v>
      </c>
      <c r="AR234" s="53">
        <f t="shared" si="161"/>
        <v>20006</v>
      </c>
      <c r="AS234" s="53">
        <f t="shared" si="161"/>
        <v>657026</v>
      </c>
      <c r="AT234" s="53">
        <f t="shared" si="233"/>
        <v>553667</v>
      </c>
      <c r="AU234" s="53">
        <f t="shared" si="234"/>
        <v>669026.16666666663</v>
      </c>
      <c r="AV234" s="59">
        <f t="shared" si="235"/>
        <v>2.7486120885135579</v>
      </c>
      <c r="AW234" s="59">
        <f t="shared" ref="AW234:AW239" si="246">((AT234/AT182)-1)*100</f>
        <v>-18.255310510288826</v>
      </c>
      <c r="AX234" s="59">
        <f t="shared" si="236"/>
        <v>-17.242848249333541</v>
      </c>
      <c r="AZ234" s="53">
        <f t="shared" si="166"/>
        <v>490.30900000000003</v>
      </c>
      <c r="BA234" s="53">
        <f t="shared" si="167"/>
        <v>27.306000000000001</v>
      </c>
      <c r="BB234" s="53">
        <f t="shared" si="168"/>
        <v>138.011</v>
      </c>
      <c r="BC234" s="53">
        <f t="shared" si="169"/>
        <v>1.4</v>
      </c>
      <c r="BD234" s="53">
        <f t="shared" si="170"/>
        <v>657.02599999999995</v>
      </c>
      <c r="BE234" s="60">
        <f t="shared" si="241"/>
        <v>6017.4219999999996</v>
      </c>
      <c r="BF234" s="60">
        <f t="shared" si="241"/>
        <v>382.43300000000005</v>
      </c>
      <c r="BG234" s="60">
        <f t="shared" si="241"/>
        <v>2274.5980000000004</v>
      </c>
      <c r="BH234" s="60">
        <f t="shared" si="241"/>
        <v>138.84199999999998</v>
      </c>
      <c r="BI234" s="60">
        <f t="shared" si="241"/>
        <v>8813.2950000000001</v>
      </c>
      <c r="BJ234" s="1">
        <f t="shared" si="189"/>
        <v>16</v>
      </c>
    </row>
    <row r="235" spans="1:62" x14ac:dyDescent="0.3">
      <c r="A235" s="48">
        <f t="shared" si="238"/>
        <v>39200</v>
      </c>
      <c r="B235" s="53">
        <v>429187</v>
      </c>
      <c r="C235" s="53">
        <v>25800</v>
      </c>
      <c r="D235" s="53">
        <v>0</v>
      </c>
      <c r="E235" s="53">
        <f t="shared" si="195"/>
        <v>454987</v>
      </c>
      <c r="F235" s="53">
        <f t="shared" si="217"/>
        <v>434995.75</v>
      </c>
      <c r="G235" s="53">
        <f t="shared" si="218"/>
        <v>526097.16666666663</v>
      </c>
      <c r="H235" s="59">
        <f t="shared" si="242"/>
        <v>-22.459451951606503</v>
      </c>
      <c r="I235" s="59">
        <f t="shared" si="242"/>
        <v>-22.976986272505663</v>
      </c>
      <c r="J235" s="59">
        <f t="shared" si="220"/>
        <v>-17.316462136430431</v>
      </c>
      <c r="L235" s="53">
        <v>61648</v>
      </c>
      <c r="M235" s="53">
        <v>18100</v>
      </c>
      <c r="N235" s="53">
        <v>11200</v>
      </c>
      <c r="O235" s="53">
        <f t="shared" si="239"/>
        <v>90948</v>
      </c>
      <c r="P235" s="53">
        <f t="shared" si="221"/>
        <v>44373.5</v>
      </c>
      <c r="Q235" s="53">
        <f t="shared" si="222"/>
        <v>34714.5</v>
      </c>
      <c r="R235" s="59">
        <f t="shared" si="243"/>
        <v>540.47887323943667</v>
      </c>
      <c r="S235" s="59">
        <f t="shared" si="243"/>
        <v>115.14685026485169</v>
      </c>
      <c r="T235" s="59">
        <f t="shared" si="224"/>
        <v>27.824108081637355</v>
      </c>
      <c r="V235" s="53">
        <v>83111</v>
      </c>
      <c r="W235" s="53">
        <v>10500</v>
      </c>
      <c r="X235" s="53">
        <v>14000</v>
      </c>
      <c r="Y235" s="53">
        <f t="shared" si="240"/>
        <v>107611</v>
      </c>
      <c r="Z235" s="53">
        <f t="shared" si="225"/>
        <v>116432.75</v>
      </c>
      <c r="AA235" s="53">
        <f t="shared" si="226"/>
        <v>97502.916666666672</v>
      </c>
      <c r="AB235" s="59">
        <f t="shared" si="244"/>
        <v>39.76725156832439</v>
      </c>
      <c r="AC235" s="59">
        <f t="shared" si="244"/>
        <v>43.185975656622475</v>
      </c>
      <c r="AD235" s="59">
        <f t="shared" si="228"/>
        <v>19.41463289559713</v>
      </c>
      <c r="AF235" s="53">
        <v>1500</v>
      </c>
      <c r="AG235" s="53">
        <v>0</v>
      </c>
      <c r="AH235" s="53">
        <v>7600</v>
      </c>
      <c r="AI235" s="53">
        <f t="shared" si="103"/>
        <v>9100</v>
      </c>
      <c r="AJ235" s="53">
        <f t="shared" si="229"/>
        <v>9175</v>
      </c>
      <c r="AK235" s="53">
        <f t="shared" si="230"/>
        <v>9081.25</v>
      </c>
      <c r="AL235" s="59">
        <f t="shared" si="245"/>
        <v>24.657534246575352</v>
      </c>
      <c r="AM235" s="59">
        <f t="shared" si="245"/>
        <v>11.550151975683898</v>
      </c>
      <c r="AN235" s="59">
        <f t="shared" si="232"/>
        <v>1.0323468685478288</v>
      </c>
      <c r="AP235" s="53">
        <f t="shared" si="135"/>
        <v>575446</v>
      </c>
      <c r="AQ235" s="53">
        <f t="shared" si="135"/>
        <v>54400</v>
      </c>
      <c r="AR235" s="53">
        <f t="shared" si="161"/>
        <v>32800</v>
      </c>
      <c r="AS235" s="53">
        <f t="shared" si="161"/>
        <v>662646</v>
      </c>
      <c r="AT235" s="53">
        <f t="shared" si="233"/>
        <v>604977</v>
      </c>
      <c r="AU235" s="53">
        <f t="shared" si="234"/>
        <v>667395.83333333337</v>
      </c>
      <c r="AV235" s="59">
        <f t="shared" si="235"/>
        <v>-3.3009079685844656</v>
      </c>
      <c r="AW235" s="59">
        <f t="shared" si="246"/>
        <v>-10.36398421308995</v>
      </c>
      <c r="AX235" s="59">
        <f t="shared" si="236"/>
        <v>-9.3525955985640721</v>
      </c>
      <c r="AZ235" s="53">
        <f t="shared" si="166"/>
        <v>454.98700000000002</v>
      </c>
      <c r="BA235" s="53">
        <f t="shared" si="167"/>
        <v>90.947999999999993</v>
      </c>
      <c r="BB235" s="53">
        <f t="shared" si="168"/>
        <v>107.611</v>
      </c>
      <c r="BC235" s="53">
        <f t="shared" si="169"/>
        <v>9.1</v>
      </c>
      <c r="BD235" s="53">
        <f t="shared" si="170"/>
        <v>662.64599999999996</v>
      </c>
      <c r="BE235" s="60">
        <f t="shared" ref="BE235:BI236" si="247">BE234+AZ235</f>
        <v>6472.4089999999997</v>
      </c>
      <c r="BF235" s="60">
        <f t="shared" si="247"/>
        <v>473.38100000000003</v>
      </c>
      <c r="BG235" s="60">
        <f t="shared" si="247"/>
        <v>2382.2090000000003</v>
      </c>
      <c r="BH235" s="60">
        <f t="shared" si="247"/>
        <v>147.94199999999998</v>
      </c>
      <c r="BI235" s="60">
        <f t="shared" si="247"/>
        <v>9475.9410000000007</v>
      </c>
      <c r="BJ235" s="1">
        <f t="shared" si="189"/>
        <v>17</v>
      </c>
    </row>
    <row r="236" spans="1:62" x14ac:dyDescent="0.3">
      <c r="A236" s="48">
        <f t="shared" si="238"/>
        <v>39207</v>
      </c>
      <c r="B236" s="53">
        <v>363340</v>
      </c>
      <c r="C236" s="53">
        <v>34200</v>
      </c>
      <c r="D236" s="53">
        <v>0</v>
      </c>
      <c r="E236" s="53">
        <f t="shared" si="195"/>
        <v>397540</v>
      </c>
      <c r="F236" s="53">
        <f t="shared" si="217"/>
        <v>431647.75</v>
      </c>
      <c r="G236" s="53">
        <f t="shared" si="218"/>
        <v>544993.25</v>
      </c>
      <c r="H236" s="59">
        <f t="shared" si="242"/>
        <v>-22.86917211540327</v>
      </c>
      <c r="I236" s="59">
        <f t="shared" si="242"/>
        <v>-24.660521139322476</v>
      </c>
      <c r="J236" s="59">
        <f t="shared" si="220"/>
        <v>-20.797597034458683</v>
      </c>
      <c r="L236" s="53">
        <v>15600</v>
      </c>
      <c r="M236" s="53">
        <v>1600</v>
      </c>
      <c r="N236" s="53">
        <v>18719</v>
      </c>
      <c r="O236" s="53">
        <f t="shared" si="239"/>
        <v>35919</v>
      </c>
      <c r="P236" s="53">
        <f t="shared" si="221"/>
        <v>43583</v>
      </c>
      <c r="Q236" s="53">
        <f t="shared" si="222"/>
        <v>34791.416666666664</v>
      </c>
      <c r="R236" s="59">
        <f t="shared" si="243"/>
        <v>151.18181818181819</v>
      </c>
      <c r="S236" s="59">
        <f t="shared" si="243"/>
        <v>144.50833812535939</v>
      </c>
      <c r="T236" s="59">
        <f t="shared" si="224"/>
        <v>25.269403133435709</v>
      </c>
      <c r="V236" s="53">
        <v>63949</v>
      </c>
      <c r="W236" s="53">
        <v>8900</v>
      </c>
      <c r="X236" s="53">
        <v>10216</v>
      </c>
      <c r="Y236" s="53">
        <f t="shared" si="240"/>
        <v>83065</v>
      </c>
      <c r="Z236" s="53">
        <f t="shared" si="225"/>
        <v>109115</v>
      </c>
      <c r="AA236" s="53">
        <f t="shared" si="226"/>
        <v>89262.416666666672</v>
      </c>
      <c r="AB236" s="59">
        <f t="shared" si="244"/>
        <v>-26.237878734060317</v>
      </c>
      <c r="AC236" s="59">
        <f t="shared" si="244"/>
        <v>32.798641769837175</v>
      </c>
      <c r="AD236" s="59">
        <f t="shared" si="228"/>
        <v>22.240696672451719</v>
      </c>
      <c r="AF236" s="53">
        <v>6380</v>
      </c>
      <c r="AG236" s="53">
        <v>1600</v>
      </c>
      <c r="AH236" s="53">
        <v>12000</v>
      </c>
      <c r="AI236" s="53">
        <f t="shared" si="103"/>
        <v>19980</v>
      </c>
      <c r="AJ236" s="53">
        <f t="shared" si="229"/>
        <v>10170</v>
      </c>
      <c r="AK236" s="53">
        <f t="shared" si="230"/>
        <v>10709.583333333334</v>
      </c>
      <c r="AL236" s="59">
        <f t="shared" si="245"/>
        <v>-15.338983050847455</v>
      </c>
      <c r="AM236" s="59">
        <f t="shared" si="245"/>
        <v>-16.468172484599584</v>
      </c>
      <c r="AN236" s="59">
        <f t="shared" si="232"/>
        <v>-5.0383223748200701</v>
      </c>
      <c r="AP236" s="53">
        <f t="shared" si="135"/>
        <v>449269</v>
      </c>
      <c r="AQ236" s="53">
        <f t="shared" si="135"/>
        <v>46300</v>
      </c>
      <c r="AR236" s="53">
        <f t="shared" si="161"/>
        <v>40935</v>
      </c>
      <c r="AS236" s="53">
        <f t="shared" si="161"/>
        <v>536504</v>
      </c>
      <c r="AT236" s="53">
        <f t="shared" si="233"/>
        <v>594515.75</v>
      </c>
      <c r="AU236" s="53">
        <f t="shared" si="234"/>
        <v>679756.66666666663</v>
      </c>
      <c r="AV236" s="59">
        <f t="shared" si="235"/>
        <v>-19.434408233997381</v>
      </c>
      <c r="AW236" s="59">
        <f t="shared" si="246"/>
        <v>-13.222364536693409</v>
      </c>
      <c r="AX236" s="59">
        <f t="shared" si="236"/>
        <v>-12.539916244538485</v>
      </c>
      <c r="AZ236" s="53">
        <f t="shared" si="166"/>
        <v>397.54</v>
      </c>
      <c r="BA236" s="53">
        <f t="shared" si="167"/>
        <v>35.918999999999997</v>
      </c>
      <c r="BB236" s="53">
        <f t="shared" si="168"/>
        <v>83.064999999999998</v>
      </c>
      <c r="BC236" s="53">
        <f t="shared" si="169"/>
        <v>19.98</v>
      </c>
      <c r="BD236" s="53">
        <f t="shared" si="170"/>
        <v>536.50400000000002</v>
      </c>
      <c r="BE236" s="60">
        <f t="shared" si="247"/>
        <v>6869.9489999999996</v>
      </c>
      <c r="BF236" s="60">
        <f t="shared" si="247"/>
        <v>509.3</v>
      </c>
      <c r="BG236" s="60">
        <f t="shared" si="247"/>
        <v>2465.2740000000003</v>
      </c>
      <c r="BH236" s="60">
        <f t="shared" si="247"/>
        <v>167.92199999999997</v>
      </c>
      <c r="BI236" s="60">
        <f t="shared" si="247"/>
        <v>10012.445000000002</v>
      </c>
      <c r="BJ236" s="1">
        <f t="shared" si="189"/>
        <v>18</v>
      </c>
    </row>
    <row r="237" spans="1:62" x14ac:dyDescent="0.3">
      <c r="A237" s="48">
        <f t="shared" si="238"/>
        <v>39214</v>
      </c>
      <c r="B237" s="53">
        <v>412388</v>
      </c>
      <c r="C237" s="53">
        <v>13900</v>
      </c>
      <c r="D237" s="53">
        <v>0</v>
      </c>
      <c r="E237" s="53">
        <f t="shared" si="195"/>
        <v>426288</v>
      </c>
      <c r="F237" s="53">
        <f t="shared" si="217"/>
        <v>442281</v>
      </c>
      <c r="G237" s="53">
        <f t="shared" si="218"/>
        <v>530601.91666666663</v>
      </c>
      <c r="H237" s="59">
        <f t="shared" ref="H237:I239" si="248">((E237/E185)-1)*100</f>
        <v>-36.920329154045696</v>
      </c>
      <c r="I237" s="59">
        <f t="shared" si="248"/>
        <v>-23.240790516715116</v>
      </c>
      <c r="J237" s="59">
        <f t="shared" ref="J237:J242" si="249">((F237/G237)-1)*100</f>
        <v>-16.6454198321623</v>
      </c>
      <c r="L237" s="53">
        <v>12796</v>
      </c>
      <c r="M237" s="53">
        <v>6000</v>
      </c>
      <c r="N237" s="53">
        <v>14000</v>
      </c>
      <c r="O237" s="53">
        <f t="shared" si="239"/>
        <v>32796</v>
      </c>
      <c r="P237" s="53">
        <f t="shared" si="221"/>
        <v>46742.25</v>
      </c>
      <c r="Q237" s="53">
        <f t="shared" si="222"/>
        <v>36362.5</v>
      </c>
      <c r="R237" s="59">
        <f t="shared" ref="R237:S239" si="250">((O237/O185)-1)*100</f>
        <v>85.288135593220346</v>
      </c>
      <c r="S237" s="59">
        <f t="shared" si="250"/>
        <v>154.12028542303773</v>
      </c>
      <c r="T237" s="59">
        <f t="shared" ref="T237:T242" si="251">((P237/Q237)-1)*100</f>
        <v>28.545204537641801</v>
      </c>
      <c r="V237" s="53">
        <v>52156</v>
      </c>
      <c r="W237" s="53">
        <v>7500</v>
      </c>
      <c r="X237" s="53">
        <v>8400</v>
      </c>
      <c r="Y237" s="53">
        <f t="shared" si="240"/>
        <v>68056</v>
      </c>
      <c r="Z237" s="53">
        <f t="shared" si="225"/>
        <v>99185.75</v>
      </c>
      <c r="AA237" s="53">
        <f t="shared" si="226"/>
        <v>92322.416666666672</v>
      </c>
      <c r="AB237" s="59">
        <f t="shared" ref="AB237:AC239" si="252">((Y237/Y185)-1)*100</f>
        <v>-55.789993373955745</v>
      </c>
      <c r="AC237" s="59">
        <f t="shared" si="252"/>
        <v>-4.7030790996413829</v>
      </c>
      <c r="AD237" s="59">
        <f t="shared" ref="AD237:AD242" si="253">((Z237/AA237)-1)*100</f>
        <v>7.4340919368625746</v>
      </c>
      <c r="AF237" s="53">
        <v>4605</v>
      </c>
      <c r="AG237" s="53">
        <v>0</v>
      </c>
      <c r="AH237" s="53">
        <v>6000</v>
      </c>
      <c r="AI237" s="53">
        <f t="shared" si="103"/>
        <v>10605</v>
      </c>
      <c r="AJ237" s="53">
        <f t="shared" si="229"/>
        <v>10271.25</v>
      </c>
      <c r="AK237" s="53">
        <f t="shared" si="230"/>
        <v>11264.083333333334</v>
      </c>
      <c r="AL237" s="59">
        <f t="shared" ref="AL237:AM239" si="254">((AI237/AI185)-1)*100</f>
        <v>307.88461538461542</v>
      </c>
      <c r="AM237" s="59">
        <f t="shared" si="254"/>
        <v>-10.684782608695652</v>
      </c>
      <c r="AN237" s="59">
        <f t="shared" ref="AN237:AN242" si="255">((AJ237/AK237)-1)*100</f>
        <v>-8.8141511737158673</v>
      </c>
      <c r="AP237" s="53">
        <f t="shared" si="135"/>
        <v>481945</v>
      </c>
      <c r="AQ237" s="53">
        <f t="shared" si="135"/>
        <v>27400</v>
      </c>
      <c r="AR237" s="53">
        <f t="shared" si="161"/>
        <v>28400</v>
      </c>
      <c r="AS237" s="53">
        <f t="shared" si="161"/>
        <v>537745</v>
      </c>
      <c r="AT237" s="53">
        <f t="shared" si="233"/>
        <v>598480.25</v>
      </c>
      <c r="AU237" s="53">
        <f t="shared" si="234"/>
        <v>670550.91666666663</v>
      </c>
      <c r="AV237" s="59">
        <f t="shared" ref="AV237:AV242" si="256">((AS237/AS185)-1)*100</f>
        <v>-36.738189548381172</v>
      </c>
      <c r="AW237" s="59">
        <f t="shared" si="246"/>
        <v>-15.726858708283153</v>
      </c>
      <c r="AX237" s="59">
        <f t="shared" ref="AX237:AX242" si="257">((AT237/AU237)-1)*100</f>
        <v>-10.747978248233936</v>
      </c>
      <c r="AZ237" s="53">
        <f t="shared" si="166"/>
        <v>426.28800000000001</v>
      </c>
      <c r="BA237" s="53">
        <f t="shared" si="167"/>
        <v>32.795999999999999</v>
      </c>
      <c r="BB237" s="53">
        <f t="shared" si="168"/>
        <v>68.055999999999997</v>
      </c>
      <c r="BC237" s="53">
        <f t="shared" si="169"/>
        <v>10.605</v>
      </c>
      <c r="BD237" s="53">
        <f t="shared" si="170"/>
        <v>537.745</v>
      </c>
      <c r="BE237" s="60">
        <f t="shared" ref="BE237:BI238" si="258">BE236+AZ237</f>
        <v>7296.2369999999992</v>
      </c>
      <c r="BF237" s="60">
        <f t="shared" si="258"/>
        <v>542.096</v>
      </c>
      <c r="BG237" s="60">
        <f t="shared" si="258"/>
        <v>2533.3300000000004</v>
      </c>
      <c r="BH237" s="60">
        <f t="shared" si="258"/>
        <v>178.52699999999996</v>
      </c>
      <c r="BI237" s="60">
        <f t="shared" si="258"/>
        <v>10550.190000000002</v>
      </c>
      <c r="BJ237" s="1">
        <f t="shared" si="189"/>
        <v>19</v>
      </c>
    </row>
    <row r="238" spans="1:62" x14ac:dyDescent="0.3">
      <c r="A238" s="48">
        <f t="shared" si="238"/>
        <v>39221</v>
      </c>
      <c r="B238" s="53">
        <v>585030</v>
      </c>
      <c r="C238" s="53">
        <v>17900</v>
      </c>
      <c r="D238" s="53">
        <v>0</v>
      </c>
      <c r="E238" s="53">
        <f t="shared" si="195"/>
        <v>602930</v>
      </c>
      <c r="F238" s="53">
        <f t="shared" ref="F238:F244" si="259">AVERAGE(E235,E236,E237,E238)</f>
        <v>470436.25</v>
      </c>
      <c r="G238" s="53">
        <f t="shared" ref="G238:G244" si="260">AVERAGE(F186,F134,F82)</f>
        <v>537526.41666666663</v>
      </c>
      <c r="H238" s="59">
        <f t="shared" si="248"/>
        <v>-11.141078073762944</v>
      </c>
      <c r="I238" s="59">
        <f t="shared" si="248"/>
        <v>-23.397344434217615</v>
      </c>
      <c r="J238" s="59">
        <f t="shared" si="249"/>
        <v>-12.48127805191589</v>
      </c>
      <c r="L238" s="53">
        <v>12716</v>
      </c>
      <c r="M238" s="53">
        <v>8300</v>
      </c>
      <c r="N238" s="53">
        <v>5600</v>
      </c>
      <c r="O238" s="53">
        <f t="shared" si="239"/>
        <v>26616</v>
      </c>
      <c r="P238" s="53">
        <f t="shared" ref="P238:P244" si="261">AVERAGE(O235,O236,O237,O238)</f>
        <v>46569.75</v>
      </c>
      <c r="Q238" s="53">
        <f t="shared" ref="Q238:Q244" si="262">AVERAGE(P186,P134,P82)</f>
        <v>35851.833333333336</v>
      </c>
      <c r="R238" s="59">
        <f t="shared" si="250"/>
        <v>194.58771444382955</v>
      </c>
      <c r="S238" s="59">
        <f t="shared" si="250"/>
        <v>237.24812166198967</v>
      </c>
      <c r="T238" s="59">
        <f t="shared" si="251"/>
        <v>29.895030937515976</v>
      </c>
      <c r="V238" s="53">
        <v>86578</v>
      </c>
      <c r="W238" s="53">
        <v>10500</v>
      </c>
      <c r="X238" s="53">
        <v>8400</v>
      </c>
      <c r="Y238" s="53">
        <f t="shared" si="240"/>
        <v>105478</v>
      </c>
      <c r="Z238" s="53">
        <f t="shared" ref="Z238:Z243" si="263">AVERAGE(Y235,Y236,Y237,Y238)</f>
        <v>91052.5</v>
      </c>
      <c r="AA238" s="53">
        <f t="shared" ref="AA238:AA243" si="264">AVERAGE(Z186,Z134,Z82)</f>
        <v>101303.58333333333</v>
      </c>
      <c r="AB238" s="59">
        <f t="shared" si="252"/>
        <v>-36.297092608921474</v>
      </c>
      <c r="AC238" s="59">
        <f t="shared" si="252"/>
        <v>-28.462978348958302</v>
      </c>
      <c r="AD238" s="59">
        <f t="shared" si="253"/>
        <v>-10.119171500185498</v>
      </c>
      <c r="AF238" s="53">
        <v>1624</v>
      </c>
      <c r="AG238" s="53">
        <v>0</v>
      </c>
      <c r="AH238" s="53">
        <v>1600</v>
      </c>
      <c r="AI238" s="53">
        <f t="shared" si="103"/>
        <v>3224</v>
      </c>
      <c r="AJ238" s="53">
        <f t="shared" ref="AJ238:AJ243" si="265">AVERAGE(AI235,AI236,AI237,AI238)</f>
        <v>10727.25</v>
      </c>
      <c r="AK238" s="53">
        <f t="shared" ref="AK238:AK243" si="266">AVERAGE(AJ186,AJ134,AJ82)</f>
        <v>11456.25</v>
      </c>
      <c r="AL238" s="59">
        <f t="shared" si="254"/>
        <v>-42.428571428571423</v>
      </c>
      <c r="AM238" s="59">
        <f t="shared" si="254"/>
        <v>9.7416879795396483</v>
      </c>
      <c r="AN238" s="59">
        <f t="shared" si="255"/>
        <v>-6.3633387888706983</v>
      </c>
      <c r="AP238" s="53">
        <f t="shared" si="135"/>
        <v>685948</v>
      </c>
      <c r="AQ238" s="53">
        <f t="shared" si="135"/>
        <v>36700</v>
      </c>
      <c r="AR238" s="53">
        <f t="shared" si="161"/>
        <v>15600</v>
      </c>
      <c r="AS238" s="53">
        <f t="shared" si="161"/>
        <v>738248</v>
      </c>
      <c r="AT238" s="53">
        <f t="shared" ref="AT238:AT243" si="267">AVERAGE(AS235,AS236,AS237,AS238)</f>
        <v>618785.75</v>
      </c>
      <c r="AU238" s="53">
        <f t="shared" ref="AU238:AU243" si="268">AVERAGE(AT186,AT134,AT82)</f>
        <v>686138.08333333337</v>
      </c>
      <c r="AV238" s="59">
        <f t="shared" si="256"/>
        <v>-14.031054873546999</v>
      </c>
      <c r="AW238" s="59">
        <f t="shared" si="246"/>
        <v>-19.111837192483428</v>
      </c>
      <c r="AX238" s="59">
        <f t="shared" si="257"/>
        <v>-9.8161485230681915</v>
      </c>
      <c r="AZ238" s="53">
        <f t="shared" si="166"/>
        <v>602.92999999999995</v>
      </c>
      <c r="BA238" s="53">
        <f t="shared" si="167"/>
        <v>26.616</v>
      </c>
      <c r="BB238" s="53">
        <f t="shared" si="168"/>
        <v>105.47799999999999</v>
      </c>
      <c r="BC238" s="53">
        <f t="shared" si="169"/>
        <v>3.2240000000000002</v>
      </c>
      <c r="BD238" s="53">
        <f t="shared" si="170"/>
        <v>738.24800000000005</v>
      </c>
      <c r="BE238" s="60">
        <f t="shared" si="258"/>
        <v>7899.1669999999995</v>
      </c>
      <c r="BF238" s="60">
        <f t="shared" si="258"/>
        <v>568.71199999999999</v>
      </c>
      <c r="BG238" s="60">
        <f t="shared" si="258"/>
        <v>2638.8080000000004</v>
      </c>
      <c r="BH238" s="60">
        <f t="shared" si="258"/>
        <v>181.75099999999995</v>
      </c>
      <c r="BI238" s="60">
        <f t="shared" si="258"/>
        <v>11288.438000000002</v>
      </c>
      <c r="BJ238" s="1">
        <f t="shared" si="189"/>
        <v>20</v>
      </c>
    </row>
    <row r="239" spans="1:62" x14ac:dyDescent="0.3">
      <c r="A239" s="48">
        <f t="shared" si="238"/>
        <v>39228</v>
      </c>
      <c r="B239" s="53">
        <v>565793</v>
      </c>
      <c r="C239" s="53">
        <v>28350</v>
      </c>
      <c r="D239" s="53">
        <v>0</v>
      </c>
      <c r="E239" s="53">
        <f t="shared" si="195"/>
        <v>594143</v>
      </c>
      <c r="F239" s="53">
        <f t="shared" si="259"/>
        <v>505225.25</v>
      </c>
      <c r="G239" s="53">
        <f t="shared" si="260"/>
        <v>561553.16666666663</v>
      </c>
      <c r="H239" s="59">
        <f t="shared" si="248"/>
        <v>-10.459950267500561</v>
      </c>
      <c r="I239" s="59">
        <f t="shared" si="248"/>
        <v>-20.225849669874364</v>
      </c>
      <c r="J239" s="59">
        <f t="shared" si="249"/>
        <v>-10.030736181406386</v>
      </c>
      <c r="L239" s="53">
        <v>23342</v>
      </c>
      <c r="M239" s="53">
        <v>1600</v>
      </c>
      <c r="N239" s="53">
        <v>7000</v>
      </c>
      <c r="O239" s="53">
        <f t="shared" ref="O239:O318" si="269">SUM(L239:N239)</f>
        <v>31942</v>
      </c>
      <c r="P239" s="53">
        <f t="shared" si="261"/>
        <v>31818.25</v>
      </c>
      <c r="Q239" s="53">
        <f t="shared" si="262"/>
        <v>34968.75</v>
      </c>
      <c r="R239" s="59">
        <f t="shared" si="250"/>
        <v>239.80851063829789</v>
      </c>
      <c r="S239" s="59">
        <f t="shared" si="250"/>
        <v>152.35055021314565</v>
      </c>
      <c r="T239" s="59">
        <f t="shared" si="251"/>
        <v>-9.0094727435209965</v>
      </c>
      <c r="V239" s="53">
        <v>65847</v>
      </c>
      <c r="W239" s="53">
        <v>15100</v>
      </c>
      <c r="X239" s="53">
        <v>1400</v>
      </c>
      <c r="Y239" s="53">
        <f t="shared" ref="Y239:Y314" si="270">SUM(V239:X239)</f>
        <v>82347</v>
      </c>
      <c r="Z239" s="53">
        <f t="shared" si="263"/>
        <v>84736.5</v>
      </c>
      <c r="AA239" s="53">
        <f t="shared" si="264"/>
        <v>109201.16666666667</v>
      </c>
      <c r="AB239" s="59">
        <f t="shared" si="252"/>
        <v>-32.668579978904511</v>
      </c>
      <c r="AC239" s="59">
        <f t="shared" si="252"/>
        <v>-38.865751971848518</v>
      </c>
      <c r="AD239" s="59">
        <f t="shared" si="253"/>
        <v>-22.403301552028598</v>
      </c>
      <c r="AF239" s="53">
        <v>1500</v>
      </c>
      <c r="AG239" s="53">
        <v>0</v>
      </c>
      <c r="AH239" s="53">
        <v>0</v>
      </c>
      <c r="AI239" s="53">
        <f t="shared" si="103"/>
        <v>1500</v>
      </c>
      <c r="AJ239" s="53">
        <f t="shared" si="265"/>
        <v>8827.25</v>
      </c>
      <c r="AK239" s="53">
        <f t="shared" si="266"/>
        <v>13273.416666666666</v>
      </c>
      <c r="AL239" s="59">
        <f t="shared" si="254"/>
        <v>-67.391304347826093</v>
      </c>
      <c r="AM239" s="59">
        <f t="shared" si="254"/>
        <v>-2.9972527472527433</v>
      </c>
      <c r="AN239" s="59">
        <f t="shared" si="255"/>
        <v>-33.496776137769103</v>
      </c>
      <c r="AP239" s="53">
        <f t="shared" si="135"/>
        <v>656482</v>
      </c>
      <c r="AQ239" s="53">
        <f t="shared" si="135"/>
        <v>45050</v>
      </c>
      <c r="AR239" s="53">
        <f t="shared" si="161"/>
        <v>8400</v>
      </c>
      <c r="AS239" s="53">
        <f t="shared" si="161"/>
        <v>709932</v>
      </c>
      <c r="AT239" s="53">
        <f t="shared" si="267"/>
        <v>630607.25</v>
      </c>
      <c r="AU239" s="53">
        <f t="shared" si="268"/>
        <v>718996.5</v>
      </c>
      <c r="AV239" s="59">
        <f t="shared" si="256"/>
        <v>-11.241968816692104</v>
      </c>
      <c r="AW239" s="59">
        <f t="shared" si="246"/>
        <v>-20.541955343479469</v>
      </c>
      <c r="AX239" s="59">
        <f t="shared" si="257"/>
        <v>-12.293418674499801</v>
      </c>
      <c r="AZ239" s="53">
        <f t="shared" si="166"/>
        <v>594.14300000000003</v>
      </c>
      <c r="BA239" s="53">
        <f t="shared" si="167"/>
        <v>31.942</v>
      </c>
      <c r="BB239" s="53">
        <f t="shared" si="168"/>
        <v>82.346999999999994</v>
      </c>
      <c r="BC239" s="53">
        <f t="shared" si="169"/>
        <v>1.5</v>
      </c>
      <c r="BD239" s="53">
        <f t="shared" si="170"/>
        <v>709.93200000000002</v>
      </c>
      <c r="BE239" s="60">
        <f t="shared" ref="BE239:BI240" si="271">BE238+AZ239</f>
        <v>8493.31</v>
      </c>
      <c r="BF239" s="60">
        <f t="shared" si="271"/>
        <v>600.654</v>
      </c>
      <c r="BG239" s="60">
        <f t="shared" si="271"/>
        <v>2721.1550000000007</v>
      </c>
      <c r="BH239" s="60">
        <f t="shared" si="271"/>
        <v>183.25099999999995</v>
      </c>
      <c r="BI239" s="60">
        <f t="shared" si="271"/>
        <v>11998.370000000003</v>
      </c>
      <c r="BJ239" s="1">
        <f t="shared" si="189"/>
        <v>21</v>
      </c>
    </row>
    <row r="240" spans="1:62" x14ac:dyDescent="0.3">
      <c r="A240" s="48">
        <f t="shared" si="238"/>
        <v>39235</v>
      </c>
      <c r="B240" s="53">
        <v>526381</v>
      </c>
      <c r="C240" s="53">
        <v>11900</v>
      </c>
      <c r="D240" s="53">
        <v>0</v>
      </c>
      <c r="E240" s="53">
        <f t="shared" si="195"/>
        <v>538281</v>
      </c>
      <c r="F240" s="53">
        <f t="shared" si="259"/>
        <v>540410.5</v>
      </c>
      <c r="G240" s="53">
        <f t="shared" si="260"/>
        <v>573122.75</v>
      </c>
      <c r="H240" s="59">
        <f t="shared" ref="H240:I242" si="272">((E240/E188)-1)*100</f>
        <v>-11.876396676625877</v>
      </c>
      <c r="I240" s="59">
        <f t="shared" si="272"/>
        <v>-17.767422821911882</v>
      </c>
      <c r="J240" s="59">
        <f t="shared" si="249"/>
        <v>-5.7077214261691767</v>
      </c>
      <c r="L240" s="53">
        <v>10953</v>
      </c>
      <c r="M240" s="53">
        <v>6000</v>
      </c>
      <c r="N240" s="53">
        <v>5600</v>
      </c>
      <c r="O240" s="53">
        <f t="shared" si="269"/>
        <v>22553</v>
      </c>
      <c r="P240" s="53">
        <f t="shared" si="261"/>
        <v>28476.75</v>
      </c>
      <c r="Q240" s="53">
        <f t="shared" si="262"/>
        <v>33806.916666666664</v>
      </c>
      <c r="R240" s="59">
        <f t="shared" ref="R240:S242" si="273">((O240/O188)-1)*100</f>
        <v>27.123611972267625</v>
      </c>
      <c r="S240" s="59">
        <f t="shared" si="273"/>
        <v>111.42438191402482</v>
      </c>
      <c r="T240" s="59">
        <f t="shared" si="251"/>
        <v>-15.766497486954091</v>
      </c>
      <c r="V240" s="53">
        <v>71089</v>
      </c>
      <c r="W240" s="53">
        <v>4300</v>
      </c>
      <c r="X240" s="53">
        <v>8400</v>
      </c>
      <c r="Y240" s="53">
        <f t="shared" si="270"/>
        <v>83789</v>
      </c>
      <c r="Z240" s="53">
        <f t="shared" si="263"/>
        <v>84917.5</v>
      </c>
      <c r="AA240" s="53">
        <f t="shared" si="264"/>
        <v>111622.83333333333</v>
      </c>
      <c r="AB240" s="59">
        <f t="shared" ref="AB240:AC242" si="274">((Y240/Y188)-1)*100</f>
        <v>-11.739734973771254</v>
      </c>
      <c r="AC240" s="59">
        <f t="shared" si="274"/>
        <v>-36.717397825062271</v>
      </c>
      <c r="AD240" s="59">
        <f t="shared" si="253"/>
        <v>-23.924615184766552</v>
      </c>
      <c r="AF240" s="53">
        <v>6105</v>
      </c>
      <c r="AG240" s="53">
        <v>3000</v>
      </c>
      <c r="AH240" s="53">
        <v>7650</v>
      </c>
      <c r="AI240" s="53">
        <f t="shared" si="103"/>
        <v>16755</v>
      </c>
      <c r="AJ240" s="53">
        <f t="shared" si="265"/>
        <v>8021</v>
      </c>
      <c r="AK240" s="53">
        <f t="shared" si="266"/>
        <v>9832.5833333333339</v>
      </c>
      <c r="AL240" s="59">
        <f t="shared" ref="AL240:AM242" si="275">((AI240/AI188)-1)*100</f>
        <v>85.138121546961315</v>
      </c>
      <c r="AM240" s="59">
        <f t="shared" si="275"/>
        <v>46.837528604118987</v>
      </c>
      <c r="AN240" s="59">
        <f t="shared" si="255"/>
        <v>-18.424286598130369</v>
      </c>
      <c r="AP240" s="53">
        <f t="shared" si="135"/>
        <v>614528</v>
      </c>
      <c r="AQ240" s="53">
        <f t="shared" si="135"/>
        <v>25200</v>
      </c>
      <c r="AR240" s="53">
        <f t="shared" si="161"/>
        <v>21650</v>
      </c>
      <c r="AS240" s="53">
        <f t="shared" si="161"/>
        <v>661378</v>
      </c>
      <c r="AT240" s="53">
        <f t="shared" si="267"/>
        <v>661825.75</v>
      </c>
      <c r="AU240" s="53">
        <f t="shared" si="268"/>
        <v>728385.08333333337</v>
      </c>
      <c r="AV240" s="59">
        <f t="shared" si="256"/>
        <v>-9.7156508088185092</v>
      </c>
      <c r="AW240" s="59">
        <f t="shared" ref="AW240:AW245" si="276">((AT240/AT188)-1)*100</f>
        <v>-18.322611896321394</v>
      </c>
      <c r="AX240" s="59">
        <f t="shared" si="257"/>
        <v>-9.1379319615848882</v>
      </c>
      <c r="AZ240" s="53">
        <f t="shared" si="166"/>
        <v>538.28099999999995</v>
      </c>
      <c r="BA240" s="53">
        <f t="shared" si="167"/>
        <v>22.553000000000001</v>
      </c>
      <c r="BB240" s="53">
        <f t="shared" si="168"/>
        <v>83.789000000000001</v>
      </c>
      <c r="BC240" s="53">
        <f t="shared" si="169"/>
        <v>16.754999999999999</v>
      </c>
      <c r="BD240" s="53">
        <f t="shared" si="170"/>
        <v>661.37800000000004</v>
      </c>
      <c r="BE240" s="60">
        <f t="shared" si="271"/>
        <v>9031.5910000000003</v>
      </c>
      <c r="BF240" s="60">
        <f t="shared" si="271"/>
        <v>623.20699999999999</v>
      </c>
      <c r="BG240" s="60">
        <f t="shared" si="271"/>
        <v>2804.9440000000009</v>
      </c>
      <c r="BH240" s="60">
        <f t="shared" si="271"/>
        <v>200.00599999999994</v>
      </c>
      <c r="BI240" s="60">
        <f t="shared" si="271"/>
        <v>12659.748000000003</v>
      </c>
      <c r="BJ240" s="1">
        <f t="shared" si="189"/>
        <v>22</v>
      </c>
    </row>
    <row r="241" spans="1:62" x14ac:dyDescent="0.3">
      <c r="A241" s="48">
        <f t="shared" si="238"/>
        <v>39242</v>
      </c>
      <c r="B241" s="53">
        <v>588502</v>
      </c>
      <c r="C241" s="53">
        <v>53778</v>
      </c>
      <c r="D241" s="53">
        <v>0</v>
      </c>
      <c r="E241" s="53">
        <f t="shared" si="195"/>
        <v>642280</v>
      </c>
      <c r="F241" s="53">
        <f t="shared" si="259"/>
        <v>594408.5</v>
      </c>
      <c r="G241" s="53">
        <f t="shared" si="260"/>
        <v>587351.25</v>
      </c>
      <c r="H241" s="59">
        <f t="shared" si="272"/>
        <v>26.268772325772961</v>
      </c>
      <c r="I241" s="59">
        <f t="shared" si="272"/>
        <v>-3.4095031567367262</v>
      </c>
      <c r="J241" s="59">
        <f t="shared" si="249"/>
        <v>1.2015382618152159</v>
      </c>
      <c r="L241" s="53">
        <v>3110</v>
      </c>
      <c r="M241" s="53">
        <v>0</v>
      </c>
      <c r="N241" s="53">
        <v>25200</v>
      </c>
      <c r="O241" s="53">
        <f t="shared" si="269"/>
        <v>28310</v>
      </c>
      <c r="P241" s="53">
        <f t="shared" si="261"/>
        <v>27355.25</v>
      </c>
      <c r="Q241" s="53">
        <f t="shared" si="262"/>
        <v>31142.75</v>
      </c>
      <c r="R241" s="59">
        <f t="shared" si="273"/>
        <v>122.91338582677164</v>
      </c>
      <c r="S241" s="59">
        <f t="shared" si="273"/>
        <v>123.87470333087816</v>
      </c>
      <c r="T241" s="59">
        <f t="shared" si="251"/>
        <v>-12.161739088551915</v>
      </c>
      <c r="V241" s="53">
        <v>72265</v>
      </c>
      <c r="W241" s="53">
        <v>16400</v>
      </c>
      <c r="X241" s="53">
        <v>11200</v>
      </c>
      <c r="Y241" s="53">
        <f t="shared" si="270"/>
        <v>99865</v>
      </c>
      <c r="Z241" s="53">
        <f t="shared" si="263"/>
        <v>92869.75</v>
      </c>
      <c r="AA241" s="53">
        <f t="shared" si="264"/>
        <v>109067.41666666667</v>
      </c>
      <c r="AB241" s="59">
        <f t="shared" si="274"/>
        <v>-26.967771187866106</v>
      </c>
      <c r="AC241" s="59">
        <f t="shared" si="274"/>
        <v>-28.500406117554668</v>
      </c>
      <c r="AD241" s="59">
        <f t="shared" si="253"/>
        <v>-14.851059245466679</v>
      </c>
      <c r="AF241" s="53">
        <v>0</v>
      </c>
      <c r="AG241" s="53">
        <v>0</v>
      </c>
      <c r="AH241" s="53">
        <v>7800</v>
      </c>
      <c r="AI241" s="53">
        <f t="shared" si="103"/>
        <v>7800</v>
      </c>
      <c r="AJ241" s="53">
        <f t="shared" si="265"/>
        <v>7319.75</v>
      </c>
      <c r="AK241" s="53">
        <f t="shared" si="266"/>
        <v>9036.75</v>
      </c>
      <c r="AL241" s="59">
        <f t="shared" si="275"/>
        <v>-4.2944785276073594</v>
      </c>
      <c r="AM241" s="59">
        <f t="shared" si="275"/>
        <v>6.8576642335766325</v>
      </c>
      <c r="AN241" s="59">
        <f t="shared" si="255"/>
        <v>-19.000193653691866</v>
      </c>
      <c r="AP241" s="53">
        <f t="shared" si="135"/>
        <v>663877</v>
      </c>
      <c r="AQ241" s="53">
        <f t="shared" si="135"/>
        <v>70178</v>
      </c>
      <c r="AR241" s="53">
        <f t="shared" si="161"/>
        <v>44200</v>
      </c>
      <c r="AS241" s="53">
        <f t="shared" si="161"/>
        <v>778255</v>
      </c>
      <c r="AT241" s="53">
        <f t="shared" si="267"/>
        <v>721953.25</v>
      </c>
      <c r="AU241" s="53">
        <f t="shared" si="268"/>
        <v>736598.16666666663</v>
      </c>
      <c r="AV241" s="59">
        <f t="shared" si="256"/>
        <v>16.810906383770696</v>
      </c>
      <c r="AW241" s="59">
        <f t="shared" si="276"/>
        <v>-5.5464937261868075</v>
      </c>
      <c r="AX241" s="59">
        <f t="shared" si="257"/>
        <v>-1.9881826115505263</v>
      </c>
      <c r="AZ241" s="53">
        <f t="shared" si="166"/>
        <v>642.28</v>
      </c>
      <c r="BA241" s="53">
        <f t="shared" si="167"/>
        <v>28.31</v>
      </c>
      <c r="BB241" s="53">
        <f t="shared" si="168"/>
        <v>99.864999999999995</v>
      </c>
      <c r="BC241" s="53">
        <f t="shared" si="169"/>
        <v>7.8</v>
      </c>
      <c r="BD241" s="53">
        <f t="shared" si="170"/>
        <v>778.255</v>
      </c>
      <c r="BE241" s="60">
        <f t="shared" ref="BE241:BI244" si="277">BE240+AZ241</f>
        <v>9673.871000000001</v>
      </c>
      <c r="BF241" s="60">
        <f t="shared" si="277"/>
        <v>651.51699999999994</v>
      </c>
      <c r="BG241" s="60">
        <f t="shared" si="277"/>
        <v>2904.8090000000007</v>
      </c>
      <c r="BH241" s="60">
        <f t="shared" si="277"/>
        <v>207.80599999999995</v>
      </c>
      <c r="BI241" s="60">
        <f t="shared" si="277"/>
        <v>13438.003000000002</v>
      </c>
      <c r="BJ241" s="1">
        <f t="shared" si="189"/>
        <v>23</v>
      </c>
    </row>
    <row r="242" spans="1:62" x14ac:dyDescent="0.3">
      <c r="A242" s="48">
        <f t="shared" si="238"/>
        <v>39249</v>
      </c>
      <c r="B242" s="53">
        <v>692248</v>
      </c>
      <c r="C242" s="53">
        <v>55400</v>
      </c>
      <c r="D242" s="53">
        <v>0</v>
      </c>
      <c r="E242" s="53">
        <f t="shared" si="195"/>
        <v>747648</v>
      </c>
      <c r="F242" s="53">
        <f t="shared" si="259"/>
        <v>630588</v>
      </c>
      <c r="G242" s="53">
        <f t="shared" si="260"/>
        <v>601939.83333333337</v>
      </c>
      <c r="H242" s="59">
        <f t="shared" si="272"/>
        <v>21.110137382173843</v>
      </c>
      <c r="I242" s="59">
        <f t="shared" si="272"/>
        <v>5.0820187763110924</v>
      </c>
      <c r="J242" s="59">
        <f t="shared" si="249"/>
        <v>4.7593073394101681</v>
      </c>
      <c r="L242" s="53">
        <v>3248</v>
      </c>
      <c r="M242" s="53">
        <v>0</v>
      </c>
      <c r="N242" s="53">
        <v>7000</v>
      </c>
      <c r="O242" s="53">
        <f t="shared" si="269"/>
        <v>10248</v>
      </c>
      <c r="P242" s="53">
        <f t="shared" si="261"/>
        <v>23263.25</v>
      </c>
      <c r="Q242" s="53">
        <f t="shared" si="262"/>
        <v>33485.25</v>
      </c>
      <c r="R242" s="59">
        <f t="shared" si="273"/>
        <v>-72.451612903225808</v>
      </c>
      <c r="S242" s="59">
        <f t="shared" si="273"/>
        <v>20.783738528835304</v>
      </c>
      <c r="T242" s="59">
        <f t="shared" si="251"/>
        <v>-30.526873772780551</v>
      </c>
      <c r="V242" s="53">
        <v>85362</v>
      </c>
      <c r="W242" s="53">
        <v>9000</v>
      </c>
      <c r="X242" s="53">
        <v>4200</v>
      </c>
      <c r="Y242" s="53">
        <f t="shared" si="270"/>
        <v>98562</v>
      </c>
      <c r="Z242" s="53">
        <f t="shared" si="263"/>
        <v>91140.75</v>
      </c>
      <c r="AA242" s="53">
        <f t="shared" si="264"/>
        <v>96943.5</v>
      </c>
      <c r="AB242" s="59">
        <f t="shared" si="274"/>
        <v>2.4318762860884302</v>
      </c>
      <c r="AC242" s="59">
        <f t="shared" si="274"/>
        <v>-19.021630482587661</v>
      </c>
      <c r="AD242" s="59">
        <f t="shared" si="253"/>
        <v>-5.9857030125794903</v>
      </c>
      <c r="AF242" s="53">
        <v>20400</v>
      </c>
      <c r="AG242" s="53">
        <v>0</v>
      </c>
      <c r="AH242" s="53">
        <v>8400</v>
      </c>
      <c r="AI242" s="53">
        <f t="shared" si="103"/>
        <v>28800</v>
      </c>
      <c r="AJ242" s="53">
        <f t="shared" si="265"/>
        <v>13713.75</v>
      </c>
      <c r="AK242" s="53">
        <f t="shared" si="266"/>
        <v>9618.0833333333339</v>
      </c>
      <c r="AL242" s="59">
        <f t="shared" si="275"/>
        <v>52.380952380952372</v>
      </c>
      <c r="AM242" s="59">
        <f t="shared" si="275"/>
        <v>34.778869778869769</v>
      </c>
      <c r="AN242" s="59">
        <f t="shared" si="255"/>
        <v>42.582981709800109</v>
      </c>
      <c r="AP242" s="53">
        <f t="shared" si="135"/>
        <v>801258</v>
      </c>
      <c r="AQ242" s="53">
        <f t="shared" si="135"/>
        <v>64400</v>
      </c>
      <c r="AR242" s="53">
        <f t="shared" si="161"/>
        <v>19600</v>
      </c>
      <c r="AS242" s="53">
        <f t="shared" si="161"/>
        <v>885258</v>
      </c>
      <c r="AT242" s="53">
        <f t="shared" si="267"/>
        <v>758705.75</v>
      </c>
      <c r="AU242" s="53">
        <f t="shared" si="268"/>
        <v>741986.66666666663</v>
      </c>
      <c r="AV242" s="59">
        <f t="shared" si="256"/>
        <v>15.020704189301393</v>
      </c>
      <c r="AW242" s="59">
        <f t="shared" si="276"/>
        <v>2.2409766654628349</v>
      </c>
      <c r="AX242" s="59">
        <f t="shared" si="257"/>
        <v>2.2532862225736361</v>
      </c>
      <c r="AZ242" s="53">
        <f t="shared" si="166"/>
        <v>747.64800000000002</v>
      </c>
      <c r="BA242" s="53">
        <f t="shared" si="167"/>
        <v>10.247999999999999</v>
      </c>
      <c r="BB242" s="53">
        <f t="shared" si="168"/>
        <v>98.561999999999998</v>
      </c>
      <c r="BC242" s="53">
        <f t="shared" si="169"/>
        <v>28.8</v>
      </c>
      <c r="BD242" s="53">
        <f t="shared" si="170"/>
        <v>885.25800000000004</v>
      </c>
      <c r="BE242" s="60">
        <f t="shared" si="277"/>
        <v>10421.519</v>
      </c>
      <c r="BF242" s="60">
        <f t="shared" si="277"/>
        <v>661.76499999999999</v>
      </c>
      <c r="BG242" s="60">
        <f t="shared" si="277"/>
        <v>3003.3710000000005</v>
      </c>
      <c r="BH242" s="60">
        <f t="shared" si="277"/>
        <v>236.60599999999997</v>
      </c>
      <c r="BI242" s="60">
        <f t="shared" si="277"/>
        <v>14323.261000000002</v>
      </c>
      <c r="BJ242" s="1">
        <f t="shared" si="189"/>
        <v>24</v>
      </c>
    </row>
    <row r="243" spans="1:62" x14ac:dyDescent="0.3">
      <c r="A243" s="48">
        <f t="shared" si="238"/>
        <v>39256</v>
      </c>
      <c r="B243" s="53">
        <v>541563</v>
      </c>
      <c r="C243" s="53">
        <v>21280</v>
      </c>
      <c r="D243" s="53">
        <v>0</v>
      </c>
      <c r="E243" s="53">
        <f t="shared" si="195"/>
        <v>562843</v>
      </c>
      <c r="F243" s="53">
        <f t="shared" si="259"/>
        <v>622763</v>
      </c>
      <c r="G243" s="53">
        <f t="shared" si="260"/>
        <v>609546.16666666663</v>
      </c>
      <c r="H243" s="59">
        <f t="shared" ref="H243:I245" si="278">((E243/E191)-1)*100</f>
        <v>-26.480914973601511</v>
      </c>
      <c r="I243" s="59">
        <f t="shared" si="278"/>
        <v>-0.45304706822161256</v>
      </c>
      <c r="J243" s="59">
        <f t="shared" ref="J243:J248" si="279">((F243/G243)-1)*100</f>
        <v>2.1683071859200265</v>
      </c>
      <c r="L243" s="53">
        <v>6475</v>
      </c>
      <c r="M243" s="53">
        <v>0</v>
      </c>
      <c r="N243" s="53">
        <v>9800</v>
      </c>
      <c r="O243" s="53">
        <f t="shared" si="269"/>
        <v>16275</v>
      </c>
      <c r="P243" s="53">
        <f t="shared" si="261"/>
        <v>19346.5</v>
      </c>
      <c r="Q243" s="53">
        <f t="shared" si="262"/>
        <v>30265.583333333332</v>
      </c>
      <c r="R243" s="59">
        <f t="shared" ref="R243:S245" si="280">((O243/O191)-1)*100</f>
        <v>5.6818181818181879</v>
      </c>
      <c r="S243" s="59">
        <f t="shared" si="280"/>
        <v>-6.8098890909309873</v>
      </c>
      <c r="T243" s="59">
        <f t="shared" ref="T243:T248" si="281">((P243/Q243)-1)*100</f>
        <v>-36.077557842103381</v>
      </c>
      <c r="V243" s="53">
        <v>70250</v>
      </c>
      <c r="W243" s="53">
        <v>15950</v>
      </c>
      <c r="X243" s="53">
        <v>5600</v>
      </c>
      <c r="Y243" s="53">
        <f t="shared" si="270"/>
        <v>91800</v>
      </c>
      <c r="Z243" s="53">
        <f t="shared" si="263"/>
        <v>93504</v>
      </c>
      <c r="AA243" s="53">
        <f t="shared" si="264"/>
        <v>91170.583333333328</v>
      </c>
      <c r="AB243" s="59">
        <f t="shared" ref="AB243:AC245" si="282">((Y243/Y191)-1)*100</f>
        <v>31.966706438767734</v>
      </c>
      <c r="AC243" s="59">
        <f t="shared" si="282"/>
        <v>-5.8984551904594174</v>
      </c>
      <c r="AD243" s="59">
        <f t="shared" ref="AD243:AD248" si="283">((Z243/AA243)-1)*100</f>
        <v>2.559396442748807</v>
      </c>
      <c r="AF243" s="53">
        <v>0</v>
      </c>
      <c r="AG243" s="53">
        <v>0</v>
      </c>
      <c r="AH243" s="53">
        <v>4200</v>
      </c>
      <c r="AI243" s="53">
        <f t="shared" si="103"/>
        <v>4200</v>
      </c>
      <c r="AJ243" s="53">
        <f t="shared" si="265"/>
        <v>14388.75</v>
      </c>
      <c r="AK243" s="53">
        <f t="shared" si="266"/>
        <v>7259.25</v>
      </c>
      <c r="AL243" s="59">
        <f t="shared" ref="AL243:AM245" si="284">((AI243/AI191)-1)*100</f>
        <v>16.666666666666675</v>
      </c>
      <c r="AM243" s="59">
        <f t="shared" si="284"/>
        <v>44.97481108312342</v>
      </c>
      <c r="AN243" s="59">
        <f t="shared" ref="AN243:AN248" si="285">((AJ243/AK243)-1)*100</f>
        <v>98.21262527120571</v>
      </c>
      <c r="AP243" s="53">
        <f t="shared" si="135"/>
        <v>618288</v>
      </c>
      <c r="AQ243" s="53">
        <f t="shared" si="135"/>
        <v>37230</v>
      </c>
      <c r="AR243" s="53">
        <f t="shared" si="161"/>
        <v>19600</v>
      </c>
      <c r="AS243" s="53">
        <f t="shared" ref="AS243:AS270" si="286">SUM(AP243:AR243)</f>
        <v>675118</v>
      </c>
      <c r="AT243" s="53">
        <f t="shared" si="267"/>
        <v>750002.25</v>
      </c>
      <c r="AU243" s="53">
        <f t="shared" si="268"/>
        <v>738241.58333333337</v>
      </c>
      <c r="AV243" s="59">
        <f t="shared" ref="AV243:AV248" si="287">((AS243/AS191)-1)*100</f>
        <v>-20.959049894806103</v>
      </c>
      <c r="AW243" s="59">
        <f t="shared" si="276"/>
        <v>-0.74707452879815284</v>
      </c>
      <c r="AX243" s="59">
        <f t="shared" ref="AX243:AX248" si="288">((AT243/AU243)-1)*100</f>
        <v>1.5930647815264543</v>
      </c>
      <c r="AZ243" s="53">
        <f>+E243/1000</f>
        <v>562.84299999999996</v>
      </c>
      <c r="BA243" s="53">
        <f>+O243/1000</f>
        <v>16.274999999999999</v>
      </c>
      <c r="BB243" s="53">
        <f>+Y243/1000</f>
        <v>91.8</v>
      </c>
      <c r="BC243" s="53">
        <f>+AI243/1000</f>
        <v>4.2</v>
      </c>
      <c r="BD243" s="53">
        <f>+AS243/1000</f>
        <v>675.11800000000005</v>
      </c>
      <c r="BE243" s="60">
        <f t="shared" si="277"/>
        <v>10984.362000000001</v>
      </c>
      <c r="BF243" s="60">
        <f t="shared" si="277"/>
        <v>678.04</v>
      </c>
      <c r="BG243" s="60">
        <f t="shared" si="277"/>
        <v>3095.1710000000007</v>
      </c>
      <c r="BH243" s="60">
        <f t="shared" si="277"/>
        <v>240.80599999999995</v>
      </c>
      <c r="BI243" s="60">
        <f t="shared" si="277"/>
        <v>14998.379000000003</v>
      </c>
      <c r="BJ243" s="1">
        <f t="shared" si="189"/>
        <v>25</v>
      </c>
    </row>
    <row r="244" spans="1:62" x14ac:dyDescent="0.3">
      <c r="A244" s="48">
        <f t="shared" si="238"/>
        <v>39263</v>
      </c>
      <c r="B244" s="53">
        <v>561184</v>
      </c>
      <c r="C244" s="53">
        <v>22700</v>
      </c>
      <c r="D244" s="53">
        <v>0</v>
      </c>
      <c r="E244" s="53">
        <f t="shared" si="195"/>
        <v>583884</v>
      </c>
      <c r="F244" s="53">
        <f t="shared" si="259"/>
        <v>634163.75</v>
      </c>
      <c r="G244" s="53">
        <f t="shared" si="260"/>
        <v>633709.16666666663</v>
      </c>
      <c r="H244" s="59">
        <f t="shared" si="278"/>
        <v>-31.694134823258558</v>
      </c>
      <c r="I244" s="59">
        <f t="shared" si="278"/>
        <v>-7.6361468876029903</v>
      </c>
      <c r="J244" s="59">
        <f t="shared" si="279"/>
        <v>7.173374747353467E-2</v>
      </c>
      <c r="L244" s="53">
        <v>9317</v>
      </c>
      <c r="M244" s="53">
        <v>0</v>
      </c>
      <c r="N244" s="53">
        <v>8400</v>
      </c>
      <c r="O244" s="53">
        <f t="shared" si="269"/>
        <v>17717</v>
      </c>
      <c r="P244" s="53">
        <f t="shared" si="261"/>
        <v>18137.5</v>
      </c>
      <c r="Q244" s="53">
        <f t="shared" si="262"/>
        <v>37013.416666666664</v>
      </c>
      <c r="R244" s="59">
        <f t="shared" si="280"/>
        <v>-68.880418745169678</v>
      </c>
      <c r="S244" s="59">
        <f t="shared" si="280"/>
        <v>-40.645657438314032</v>
      </c>
      <c r="T244" s="59">
        <f t="shared" si="281"/>
        <v>-50.997498654767085</v>
      </c>
      <c r="V244" s="53">
        <v>99244</v>
      </c>
      <c r="W244" s="53">
        <v>10500</v>
      </c>
      <c r="X244" s="53">
        <v>0</v>
      </c>
      <c r="Y244" s="53">
        <f t="shared" si="270"/>
        <v>109744</v>
      </c>
      <c r="Z244" s="53">
        <f t="shared" ref="Z244:Z250" si="289">AVERAGE(Y241,Y242,Y243,Y244)</f>
        <v>99992.75</v>
      </c>
      <c r="AA244" s="53">
        <f t="shared" ref="AA244:AA250" si="290">AVERAGE(Z192,Z140,Z88)</f>
        <v>84341.833333333328</v>
      </c>
      <c r="AB244" s="59">
        <f t="shared" si="282"/>
        <v>10.90181494805773</v>
      </c>
      <c r="AC244" s="59">
        <f t="shared" si="282"/>
        <v>-0.37635560249276168</v>
      </c>
      <c r="AD244" s="59">
        <f t="shared" si="283"/>
        <v>18.556528887404646</v>
      </c>
      <c r="AF244" s="53">
        <v>1600</v>
      </c>
      <c r="AG244" s="53">
        <v>1500</v>
      </c>
      <c r="AH244" s="53">
        <v>0</v>
      </c>
      <c r="AI244" s="53">
        <f t="shared" si="103"/>
        <v>3100</v>
      </c>
      <c r="AJ244" s="53">
        <f t="shared" ref="AJ244:AJ250" si="291">AVERAGE(AI241,AI242,AI243,AI244)</f>
        <v>10975</v>
      </c>
      <c r="AK244" s="53">
        <f t="shared" ref="AK244:AK250" si="292">AVERAGE(AJ192,AJ140,AJ88)</f>
        <v>9033</v>
      </c>
      <c r="AL244" s="59">
        <f t="shared" si="284"/>
        <v>-64.367816091954026</v>
      </c>
      <c r="AM244" s="59">
        <f t="shared" si="284"/>
        <v>11.562897077509525</v>
      </c>
      <c r="AN244" s="59">
        <f t="shared" si="285"/>
        <v>21.498948300675291</v>
      </c>
      <c r="AP244" s="53">
        <f t="shared" si="135"/>
        <v>671345</v>
      </c>
      <c r="AQ244" s="53">
        <f t="shared" si="135"/>
        <v>34700</v>
      </c>
      <c r="AR244" s="53">
        <f t="shared" si="161"/>
        <v>8400</v>
      </c>
      <c r="AS244" s="53">
        <f t="shared" si="286"/>
        <v>714445</v>
      </c>
      <c r="AT244" s="53">
        <f t="shared" ref="AT244:AT250" si="293">AVERAGE(AS241,AS242,AS243,AS244)</f>
        <v>763269</v>
      </c>
      <c r="AU244" s="53">
        <f t="shared" ref="AU244:AU250" si="294">AVERAGE(AT192,AT140,AT88)</f>
        <v>764097.41666666663</v>
      </c>
      <c r="AV244" s="59">
        <f t="shared" si="287"/>
        <v>-29.914871159000032</v>
      </c>
      <c r="AW244" s="59">
        <f t="shared" si="276"/>
        <v>-7.7463350250616685</v>
      </c>
      <c r="AX244" s="59">
        <f t="shared" si="288"/>
        <v>-0.10841767667276736</v>
      </c>
      <c r="AZ244" s="53">
        <f t="shared" si="166"/>
        <v>583.88400000000001</v>
      </c>
      <c r="BA244" s="53">
        <f t="shared" si="167"/>
        <v>17.716999999999999</v>
      </c>
      <c r="BB244" s="53">
        <f t="shared" si="168"/>
        <v>109.744</v>
      </c>
      <c r="BC244" s="53">
        <f t="shared" si="169"/>
        <v>3.1</v>
      </c>
      <c r="BD244" s="53">
        <f t="shared" si="170"/>
        <v>714.44500000000005</v>
      </c>
      <c r="BE244" s="60">
        <f t="shared" si="277"/>
        <v>11568.246000000001</v>
      </c>
      <c r="BF244" s="60">
        <f t="shared" si="277"/>
        <v>695.75699999999995</v>
      </c>
      <c r="BG244" s="60">
        <f t="shared" si="277"/>
        <v>3204.9150000000009</v>
      </c>
      <c r="BH244" s="60">
        <f t="shared" si="277"/>
        <v>243.90599999999995</v>
      </c>
      <c r="BI244" s="60">
        <f t="shared" si="277"/>
        <v>15712.824000000002</v>
      </c>
      <c r="BJ244" s="1">
        <f t="shared" si="189"/>
        <v>26</v>
      </c>
    </row>
    <row r="245" spans="1:62" x14ac:dyDescent="0.3">
      <c r="A245" s="48">
        <f t="shared" si="238"/>
        <v>39270</v>
      </c>
      <c r="B245" s="53">
        <v>661904</v>
      </c>
      <c r="C245" s="53">
        <v>31745</v>
      </c>
      <c r="D245" s="53">
        <v>0</v>
      </c>
      <c r="E245" s="53">
        <f t="shared" si="195"/>
        <v>693649</v>
      </c>
      <c r="F245" s="53">
        <f t="shared" ref="F245:F251" si="295">AVERAGE(E242,E243,E244,E245)</f>
        <v>647006</v>
      </c>
      <c r="G245" s="53">
        <f t="shared" ref="G245:G251" si="296">AVERAGE(F193,F141,F89)</f>
        <v>627253.16666666663</v>
      </c>
      <c r="H245" s="59">
        <f t="shared" si="278"/>
        <v>-4.0626646731846687</v>
      </c>
      <c r="I245" s="59">
        <f t="shared" si="278"/>
        <v>-12.588432463031129</v>
      </c>
      <c r="J245" s="59">
        <f t="shared" si="279"/>
        <v>3.1491006156737944</v>
      </c>
      <c r="L245" s="53">
        <v>7600</v>
      </c>
      <c r="M245" s="53">
        <v>0</v>
      </c>
      <c r="N245" s="53">
        <v>13000</v>
      </c>
      <c r="O245" s="53">
        <f t="shared" si="269"/>
        <v>20600</v>
      </c>
      <c r="P245" s="53">
        <f t="shared" ref="P245:P251" si="297">AVERAGE(O242,O243,O244,O245)</f>
        <v>16210</v>
      </c>
      <c r="Q245" s="53">
        <f t="shared" ref="Q245:Q251" si="298">AVERAGE(P193,P141,P89)</f>
        <v>44162.916666666664</v>
      </c>
      <c r="R245" s="59">
        <f t="shared" si="280"/>
        <v>-37.195121951219512</v>
      </c>
      <c r="S245" s="59">
        <f t="shared" si="280"/>
        <v>-54.444538122136976</v>
      </c>
      <c r="T245" s="59">
        <f t="shared" si="281"/>
        <v>-63.29499674500665</v>
      </c>
      <c r="V245" s="53">
        <v>155242</v>
      </c>
      <c r="W245" s="53">
        <v>8900</v>
      </c>
      <c r="X245" s="53">
        <v>1400</v>
      </c>
      <c r="Y245" s="53">
        <f t="shared" si="270"/>
        <v>165542</v>
      </c>
      <c r="Z245" s="53">
        <f t="shared" si="289"/>
        <v>116412</v>
      </c>
      <c r="AA245" s="53">
        <f t="shared" si="290"/>
        <v>79796</v>
      </c>
      <c r="AB245" s="59">
        <f t="shared" si="282"/>
        <v>55.836502617012471</v>
      </c>
      <c r="AC245" s="59">
        <f t="shared" si="282"/>
        <v>25.522078664254956</v>
      </c>
      <c r="AD245" s="59">
        <f t="shared" si="283"/>
        <v>45.887011880294757</v>
      </c>
      <c r="AF245" s="53">
        <v>1500</v>
      </c>
      <c r="AG245" s="53">
        <v>0</v>
      </c>
      <c r="AH245" s="53">
        <v>12600</v>
      </c>
      <c r="AI245" s="53">
        <f t="shared" si="103"/>
        <v>14100</v>
      </c>
      <c r="AJ245" s="53">
        <f t="shared" si="291"/>
        <v>12550</v>
      </c>
      <c r="AK245" s="53">
        <f t="shared" si="292"/>
        <v>9876.0833333333339</v>
      </c>
      <c r="AL245" s="59">
        <f t="shared" si="284"/>
        <v>-24.193548387096776</v>
      </c>
      <c r="AM245" s="59">
        <f t="shared" si="284"/>
        <v>0.80321285140563248</v>
      </c>
      <c r="AN245" s="59">
        <f t="shared" si="285"/>
        <v>27.074666914178191</v>
      </c>
      <c r="AP245" s="53">
        <f t="shared" si="135"/>
        <v>826246</v>
      </c>
      <c r="AQ245" s="53">
        <f t="shared" si="135"/>
        <v>40645</v>
      </c>
      <c r="AR245" s="53">
        <f t="shared" si="161"/>
        <v>27000</v>
      </c>
      <c r="AS245" s="53">
        <f t="shared" si="286"/>
        <v>893891</v>
      </c>
      <c r="AT245" s="53">
        <f t="shared" si="293"/>
        <v>792178</v>
      </c>
      <c r="AU245" s="53">
        <f t="shared" si="294"/>
        <v>761088.16666666663</v>
      </c>
      <c r="AV245" s="59">
        <f t="shared" si="287"/>
        <v>1.5034332556256746</v>
      </c>
      <c r="AW245" s="59">
        <f t="shared" si="276"/>
        <v>-10.07774200551388</v>
      </c>
      <c r="AX245" s="59">
        <f t="shared" si="288"/>
        <v>4.0849187643394069</v>
      </c>
      <c r="AZ245" s="53">
        <f t="shared" si="166"/>
        <v>693.649</v>
      </c>
      <c r="BA245" s="53">
        <f t="shared" si="167"/>
        <v>20.6</v>
      </c>
      <c r="BB245" s="53">
        <f t="shared" si="168"/>
        <v>165.542</v>
      </c>
      <c r="BC245" s="53">
        <f t="shared" si="169"/>
        <v>14.1</v>
      </c>
      <c r="BD245" s="53">
        <f t="shared" si="170"/>
        <v>893.89099999999996</v>
      </c>
      <c r="BE245" s="60">
        <f t="shared" ref="BE245:BI246" si="299">BE244+AZ245</f>
        <v>12261.895</v>
      </c>
      <c r="BF245" s="60">
        <f t="shared" si="299"/>
        <v>716.35699999999997</v>
      </c>
      <c r="BG245" s="60">
        <f t="shared" si="299"/>
        <v>3370.4570000000008</v>
      </c>
      <c r="BH245" s="60">
        <f t="shared" si="299"/>
        <v>258.00599999999997</v>
      </c>
      <c r="BI245" s="60">
        <f t="shared" si="299"/>
        <v>16606.715000000004</v>
      </c>
      <c r="BJ245" s="1">
        <f t="shared" si="189"/>
        <v>27</v>
      </c>
    </row>
    <row r="246" spans="1:62" x14ac:dyDescent="0.3">
      <c r="A246" s="48">
        <f t="shared" si="238"/>
        <v>39277</v>
      </c>
      <c r="B246" s="53">
        <v>720559</v>
      </c>
      <c r="C246" s="53">
        <v>24699</v>
      </c>
      <c r="D246" s="53">
        <v>0</v>
      </c>
      <c r="E246" s="53">
        <f t="shared" si="195"/>
        <v>745258</v>
      </c>
      <c r="F246" s="53">
        <f t="shared" si="295"/>
        <v>646408.5</v>
      </c>
      <c r="G246" s="53">
        <f t="shared" si="296"/>
        <v>644264.41666666663</v>
      </c>
      <c r="H246" s="59">
        <f t="shared" ref="H246:I248" si="300">((E246/E194)-1)*100</f>
        <v>20.275650595118023</v>
      </c>
      <c r="I246" s="59">
        <f t="shared" si="300"/>
        <v>-12.73682682929299</v>
      </c>
      <c r="J246" s="59">
        <f t="shared" si="279"/>
        <v>0.33279555379241987</v>
      </c>
      <c r="L246" s="53">
        <v>14052</v>
      </c>
      <c r="M246" s="53">
        <v>1640</v>
      </c>
      <c r="N246" s="53">
        <v>7000</v>
      </c>
      <c r="O246" s="53">
        <f t="shared" si="269"/>
        <v>22692</v>
      </c>
      <c r="P246" s="53">
        <f t="shared" si="297"/>
        <v>19321</v>
      </c>
      <c r="Q246" s="53">
        <f t="shared" si="298"/>
        <v>49162</v>
      </c>
      <c r="R246" s="59">
        <f t="shared" ref="R246:S248" si="301">((O246/O194)-1)*100</f>
        <v>-29.000969932104748</v>
      </c>
      <c r="S246" s="59">
        <f t="shared" si="301"/>
        <v>-43.626589249633462</v>
      </c>
      <c r="T246" s="59">
        <f t="shared" si="281"/>
        <v>-60.699320613481959</v>
      </c>
      <c r="V246" s="53">
        <v>87696</v>
      </c>
      <c r="W246" s="53">
        <v>9000</v>
      </c>
      <c r="X246" s="53">
        <v>0</v>
      </c>
      <c r="Y246" s="53">
        <f t="shared" si="270"/>
        <v>96696</v>
      </c>
      <c r="Z246" s="53">
        <f t="shared" si="289"/>
        <v>115945.5</v>
      </c>
      <c r="AA246" s="53">
        <f t="shared" si="290"/>
        <v>82605.083333333328</v>
      </c>
      <c r="AB246" s="59">
        <f t="shared" ref="AB246:AC248" si="302">((Y246/Y194)-1)*100</f>
        <v>-27.398319655822267</v>
      </c>
      <c r="AC246" s="59">
        <f t="shared" si="302"/>
        <v>13.69044992572328</v>
      </c>
      <c r="AD246" s="59">
        <f t="shared" si="283"/>
        <v>40.361216672500987</v>
      </c>
      <c r="AF246" s="53">
        <v>4500</v>
      </c>
      <c r="AG246" s="53">
        <v>0</v>
      </c>
      <c r="AH246" s="53">
        <v>2800</v>
      </c>
      <c r="AI246" s="53">
        <f t="shared" si="103"/>
        <v>7300</v>
      </c>
      <c r="AJ246" s="53">
        <f t="shared" si="291"/>
        <v>7175</v>
      </c>
      <c r="AK246" s="53">
        <f t="shared" si="292"/>
        <v>8585.5</v>
      </c>
      <c r="AL246" s="59">
        <f t="shared" ref="AL246:AM248" si="303">((AI246/AI194)-1)*100</f>
        <v>-32.557280118255726</v>
      </c>
      <c r="AM246" s="59">
        <f t="shared" si="303"/>
        <v>-31.214648643466592</v>
      </c>
      <c r="AN246" s="59">
        <f t="shared" si="285"/>
        <v>-16.428862617203421</v>
      </c>
      <c r="AP246" s="53">
        <f t="shared" si="135"/>
        <v>826807</v>
      </c>
      <c r="AQ246" s="53">
        <f t="shared" si="135"/>
        <v>35339</v>
      </c>
      <c r="AR246" s="53">
        <f t="shared" si="161"/>
        <v>9800</v>
      </c>
      <c r="AS246" s="53">
        <f t="shared" si="286"/>
        <v>871946</v>
      </c>
      <c r="AT246" s="53">
        <f t="shared" si="293"/>
        <v>788850</v>
      </c>
      <c r="AU246" s="53">
        <f t="shared" si="294"/>
        <v>784617</v>
      </c>
      <c r="AV246" s="59">
        <f t="shared" si="287"/>
        <v>9.5964414144346968</v>
      </c>
      <c r="AW246" s="59">
        <f t="shared" ref="AW246:AW251" si="304">((AT246/AT194)-1)*100</f>
        <v>-11.110009321701819</v>
      </c>
      <c r="AX246" s="59">
        <f t="shared" si="288"/>
        <v>0.53949888926698719</v>
      </c>
      <c r="AZ246" s="53">
        <f t="shared" si="166"/>
        <v>745.25800000000004</v>
      </c>
      <c r="BA246" s="53">
        <f t="shared" si="167"/>
        <v>22.692</v>
      </c>
      <c r="BB246" s="53">
        <f t="shared" si="168"/>
        <v>96.695999999999998</v>
      </c>
      <c r="BC246" s="53">
        <f t="shared" si="169"/>
        <v>7.3</v>
      </c>
      <c r="BD246" s="53">
        <f t="shared" si="170"/>
        <v>871.94600000000003</v>
      </c>
      <c r="BE246" s="60">
        <f t="shared" si="299"/>
        <v>13007.153</v>
      </c>
      <c r="BF246" s="60">
        <f t="shared" si="299"/>
        <v>739.04899999999998</v>
      </c>
      <c r="BG246" s="60">
        <f t="shared" si="299"/>
        <v>3467.1530000000007</v>
      </c>
      <c r="BH246" s="60">
        <f t="shared" si="299"/>
        <v>265.30599999999998</v>
      </c>
      <c r="BI246" s="60">
        <f t="shared" si="299"/>
        <v>17478.661000000004</v>
      </c>
      <c r="BJ246" s="1">
        <f t="shared" si="189"/>
        <v>28</v>
      </c>
    </row>
    <row r="247" spans="1:62" x14ac:dyDescent="0.3">
      <c r="A247" s="48">
        <f t="shared" si="238"/>
        <v>39284</v>
      </c>
      <c r="B247" s="53">
        <v>565817</v>
      </c>
      <c r="C247" s="53">
        <v>10300</v>
      </c>
      <c r="D247" s="53">
        <v>0</v>
      </c>
      <c r="E247" s="53">
        <f t="shared" si="195"/>
        <v>576117</v>
      </c>
      <c r="F247" s="53">
        <f t="shared" si="295"/>
        <v>649727</v>
      </c>
      <c r="G247" s="53">
        <f t="shared" si="296"/>
        <v>621247.16666666663</v>
      </c>
      <c r="H247" s="59">
        <f t="shared" si="300"/>
        <v>-13.18112977237279</v>
      </c>
      <c r="I247" s="59">
        <f t="shared" si="300"/>
        <v>-9.1621546143519144</v>
      </c>
      <c r="J247" s="59">
        <f t="shared" si="279"/>
        <v>4.5842999149828589</v>
      </c>
      <c r="L247" s="53">
        <v>21600</v>
      </c>
      <c r="M247" s="53">
        <v>4300</v>
      </c>
      <c r="N247" s="53">
        <v>0</v>
      </c>
      <c r="O247" s="53">
        <f t="shared" si="269"/>
        <v>25900</v>
      </c>
      <c r="P247" s="53">
        <f t="shared" si="297"/>
        <v>21727.25</v>
      </c>
      <c r="Q247" s="53">
        <f t="shared" si="298"/>
        <v>62642.916666666664</v>
      </c>
      <c r="R247" s="59">
        <f t="shared" si="301"/>
        <v>-56.297983632835567</v>
      </c>
      <c r="S247" s="59">
        <f t="shared" si="301"/>
        <v>-51.972833475171029</v>
      </c>
      <c r="T247" s="59">
        <f t="shared" si="281"/>
        <v>-65.315711406583603</v>
      </c>
      <c r="V247" s="53">
        <v>96693</v>
      </c>
      <c r="W247" s="53">
        <v>7883</v>
      </c>
      <c r="X247" s="53">
        <v>1400</v>
      </c>
      <c r="Y247" s="53">
        <f t="shared" si="270"/>
        <v>105976</v>
      </c>
      <c r="Z247" s="53">
        <f t="shared" si="289"/>
        <v>119489.5</v>
      </c>
      <c r="AA247" s="53">
        <f t="shared" si="290"/>
        <v>82222.583333333328</v>
      </c>
      <c r="AB247" s="59">
        <f t="shared" si="302"/>
        <v>-20.444411080249225</v>
      </c>
      <c r="AC247" s="59">
        <f t="shared" si="302"/>
        <v>1.3522597390480007</v>
      </c>
      <c r="AD247" s="59">
        <f t="shared" si="283"/>
        <v>45.324429318384759</v>
      </c>
      <c r="AF247" s="53">
        <v>0</v>
      </c>
      <c r="AG247" s="53">
        <v>0</v>
      </c>
      <c r="AH247" s="53">
        <v>9800</v>
      </c>
      <c r="AI247" s="53">
        <f t="shared" si="103"/>
        <v>9800</v>
      </c>
      <c r="AJ247" s="53">
        <f t="shared" si="291"/>
        <v>8575</v>
      </c>
      <c r="AK247" s="53">
        <f t="shared" si="292"/>
        <v>10221.75</v>
      </c>
      <c r="AL247" s="59">
        <f t="shared" si="303"/>
        <v>18.07228915662651</v>
      </c>
      <c r="AM247" s="59">
        <f t="shared" si="303"/>
        <v>-26.115802171290714</v>
      </c>
      <c r="AN247" s="59">
        <f t="shared" si="285"/>
        <v>-16.110255093305938</v>
      </c>
      <c r="AP247" s="53">
        <f t="shared" si="135"/>
        <v>684110</v>
      </c>
      <c r="AQ247" s="53">
        <f t="shared" si="135"/>
        <v>22483</v>
      </c>
      <c r="AR247" s="53">
        <f t="shared" si="161"/>
        <v>11200</v>
      </c>
      <c r="AS247" s="53">
        <f t="shared" si="286"/>
        <v>717793</v>
      </c>
      <c r="AT247" s="53">
        <f t="shared" si="293"/>
        <v>799518.75</v>
      </c>
      <c r="AU247" s="53">
        <f t="shared" si="294"/>
        <v>776334.41666666663</v>
      </c>
      <c r="AV247" s="59">
        <f t="shared" si="287"/>
        <v>-16.956707853209309</v>
      </c>
      <c r="AW247" s="59">
        <f t="shared" si="304"/>
        <v>-10.166533520748855</v>
      </c>
      <c r="AX247" s="59">
        <f t="shared" si="288"/>
        <v>2.9863848408111959</v>
      </c>
      <c r="AZ247" s="53">
        <f t="shared" si="166"/>
        <v>576.11699999999996</v>
      </c>
      <c r="BA247" s="53">
        <f t="shared" si="167"/>
        <v>25.9</v>
      </c>
      <c r="BB247" s="53">
        <f t="shared" si="168"/>
        <v>105.976</v>
      </c>
      <c r="BC247" s="53">
        <f t="shared" si="169"/>
        <v>9.8000000000000007</v>
      </c>
      <c r="BD247" s="53">
        <f t="shared" si="170"/>
        <v>717.79300000000001</v>
      </c>
      <c r="BE247" s="60">
        <f t="shared" ref="BE247:BI248" si="305">BE246+AZ247</f>
        <v>13583.27</v>
      </c>
      <c r="BF247" s="60">
        <f t="shared" si="305"/>
        <v>764.94899999999996</v>
      </c>
      <c r="BG247" s="60">
        <f t="shared" si="305"/>
        <v>3573.1290000000008</v>
      </c>
      <c r="BH247" s="60">
        <f t="shared" si="305"/>
        <v>275.10599999999999</v>
      </c>
      <c r="BI247" s="60">
        <f t="shared" si="305"/>
        <v>18196.454000000005</v>
      </c>
      <c r="BJ247" s="1">
        <f t="shared" si="189"/>
        <v>29</v>
      </c>
    </row>
    <row r="248" spans="1:62" x14ac:dyDescent="0.3">
      <c r="A248" s="48">
        <f t="shared" si="238"/>
        <v>39291</v>
      </c>
      <c r="B248" s="53">
        <v>687126</v>
      </c>
      <c r="C248" s="53">
        <v>20098</v>
      </c>
      <c r="D248" s="53">
        <v>0</v>
      </c>
      <c r="E248" s="53">
        <f t="shared" si="195"/>
        <v>707224</v>
      </c>
      <c r="F248" s="53">
        <f t="shared" si="295"/>
        <v>680562</v>
      </c>
      <c r="G248" s="53">
        <f t="shared" si="296"/>
        <v>603297</v>
      </c>
      <c r="H248" s="59">
        <f t="shared" si="300"/>
        <v>1.9514564926256472</v>
      </c>
      <c r="I248" s="59">
        <f t="shared" si="300"/>
        <v>0.82698746629530362</v>
      </c>
      <c r="J248" s="59">
        <f t="shared" si="279"/>
        <v>12.807124848954988</v>
      </c>
      <c r="L248" s="53">
        <v>3200</v>
      </c>
      <c r="M248" s="53">
        <v>6000</v>
      </c>
      <c r="N248" s="53">
        <v>7490</v>
      </c>
      <c r="O248" s="53">
        <f t="shared" si="269"/>
        <v>16690</v>
      </c>
      <c r="P248" s="53">
        <f t="shared" si="297"/>
        <v>21470.5</v>
      </c>
      <c r="Q248" s="53">
        <f t="shared" si="298"/>
        <v>58481.916666666664</v>
      </c>
      <c r="R248" s="59">
        <f t="shared" si="301"/>
        <v>-58.58560794044665</v>
      </c>
      <c r="S248" s="59">
        <f t="shared" si="301"/>
        <v>-47.73681584168056</v>
      </c>
      <c r="T248" s="59">
        <f t="shared" si="281"/>
        <v>-63.286941974940966</v>
      </c>
      <c r="V248" s="53">
        <v>57235</v>
      </c>
      <c r="W248" s="53">
        <v>3000</v>
      </c>
      <c r="X248" s="53">
        <v>2969</v>
      </c>
      <c r="Y248" s="53">
        <f t="shared" si="270"/>
        <v>63204</v>
      </c>
      <c r="Z248" s="53">
        <f t="shared" si="289"/>
        <v>107854.5</v>
      </c>
      <c r="AA248" s="53">
        <f t="shared" si="290"/>
        <v>81476</v>
      </c>
      <c r="AB248" s="59">
        <f t="shared" si="302"/>
        <v>-41.014082929697338</v>
      </c>
      <c r="AC248" s="59">
        <f t="shared" si="302"/>
        <v>-10.079287000600278</v>
      </c>
      <c r="AD248" s="59">
        <f t="shared" si="283"/>
        <v>32.375791644165155</v>
      </c>
      <c r="AF248" s="53">
        <v>7616</v>
      </c>
      <c r="AG248" s="53">
        <v>0</v>
      </c>
      <c r="AH248" s="53">
        <v>0</v>
      </c>
      <c r="AI248" s="53">
        <f t="shared" si="103"/>
        <v>7616</v>
      </c>
      <c r="AJ248" s="53">
        <f t="shared" si="291"/>
        <v>9704</v>
      </c>
      <c r="AK248" s="53">
        <f t="shared" si="292"/>
        <v>11377</v>
      </c>
      <c r="AL248" s="59">
        <f t="shared" si="303"/>
        <v>-44.586728754365545</v>
      </c>
      <c r="AM248" s="59">
        <f t="shared" si="303"/>
        <v>-24.582264708168179</v>
      </c>
      <c r="AN248" s="59">
        <f t="shared" si="285"/>
        <v>-14.705106794409772</v>
      </c>
      <c r="AP248" s="53">
        <f t="shared" si="135"/>
        <v>755177</v>
      </c>
      <c r="AQ248" s="53">
        <f t="shared" si="135"/>
        <v>29098</v>
      </c>
      <c r="AR248" s="53">
        <f t="shared" si="161"/>
        <v>10459</v>
      </c>
      <c r="AS248" s="53">
        <f t="shared" si="286"/>
        <v>794734</v>
      </c>
      <c r="AT248" s="53">
        <f t="shared" si="293"/>
        <v>819591</v>
      </c>
      <c r="AU248" s="53">
        <f t="shared" si="294"/>
        <v>754631.91666666663</v>
      </c>
      <c r="AV248" s="59">
        <f t="shared" si="287"/>
        <v>-7.0358248272861079</v>
      </c>
      <c r="AW248" s="59">
        <f t="shared" si="304"/>
        <v>-3.4494579574671058</v>
      </c>
      <c r="AX248" s="59">
        <f t="shared" si="288"/>
        <v>8.6080487584289322</v>
      </c>
      <c r="AZ248" s="53">
        <f t="shared" si="166"/>
        <v>707.22400000000005</v>
      </c>
      <c r="BA248" s="53">
        <f t="shared" si="167"/>
        <v>16.690000000000001</v>
      </c>
      <c r="BB248" s="53">
        <f t="shared" si="168"/>
        <v>63.204000000000001</v>
      </c>
      <c r="BC248" s="53">
        <f t="shared" si="169"/>
        <v>7.6159999999999997</v>
      </c>
      <c r="BD248" s="53">
        <f t="shared" si="170"/>
        <v>794.73400000000004</v>
      </c>
      <c r="BE248" s="60">
        <f t="shared" si="305"/>
        <v>14290.494000000001</v>
      </c>
      <c r="BF248" s="60">
        <f t="shared" si="305"/>
        <v>781.63900000000001</v>
      </c>
      <c r="BG248" s="60">
        <f t="shared" si="305"/>
        <v>3636.333000000001</v>
      </c>
      <c r="BH248" s="60">
        <f t="shared" si="305"/>
        <v>282.72199999999998</v>
      </c>
      <c r="BI248" s="60">
        <f t="shared" si="305"/>
        <v>18991.188000000006</v>
      </c>
      <c r="BJ248" s="1">
        <f t="shared" si="189"/>
        <v>30</v>
      </c>
    </row>
    <row r="249" spans="1:62" x14ac:dyDescent="0.3">
      <c r="A249" s="48">
        <f t="shared" si="238"/>
        <v>39298</v>
      </c>
      <c r="B249" s="53">
        <v>731281</v>
      </c>
      <c r="C249" s="53">
        <v>29050</v>
      </c>
      <c r="D249" s="53">
        <v>0</v>
      </c>
      <c r="E249" s="53">
        <f t="shared" si="195"/>
        <v>760331</v>
      </c>
      <c r="F249" s="53">
        <f t="shared" si="295"/>
        <v>697232.5</v>
      </c>
      <c r="G249" s="53">
        <f t="shared" si="296"/>
        <v>594778.33333333337</v>
      </c>
      <c r="H249" s="59">
        <f t="shared" ref="H249:I251" si="306">((E249/E197)-1)*100</f>
        <v>25.57616016542412</v>
      </c>
      <c r="I249" s="59">
        <f t="shared" si="306"/>
        <v>7.9988119445269401</v>
      </c>
      <c r="J249" s="59">
        <f t="shared" ref="J249:J254" si="307">((F249/G249)-1)*100</f>
        <v>17.225605057346293</v>
      </c>
      <c r="L249" s="53">
        <v>10848</v>
      </c>
      <c r="M249" s="53">
        <v>15300</v>
      </c>
      <c r="N249" s="53">
        <v>22500</v>
      </c>
      <c r="O249" s="53">
        <f t="shared" si="269"/>
        <v>48648</v>
      </c>
      <c r="P249" s="53">
        <f t="shared" si="297"/>
        <v>28482.5</v>
      </c>
      <c r="Q249" s="53">
        <f t="shared" si="298"/>
        <v>55695</v>
      </c>
      <c r="R249" s="59">
        <f t="shared" ref="R249:S251" si="308">((O249/O197)-1)*100</f>
        <v>67.786438573497975</v>
      </c>
      <c r="S249" s="59">
        <f t="shared" si="308"/>
        <v>-29.024420632942938</v>
      </c>
      <c r="T249" s="59">
        <f t="shared" ref="T249:T254" si="309">((P249/Q249)-1)*100</f>
        <v>-48.859861747014989</v>
      </c>
      <c r="V249" s="53">
        <v>70771</v>
      </c>
      <c r="W249" s="53">
        <v>10581</v>
      </c>
      <c r="X249" s="53">
        <v>2800</v>
      </c>
      <c r="Y249" s="53">
        <f t="shared" si="270"/>
        <v>84152</v>
      </c>
      <c r="Z249" s="53">
        <f t="shared" si="289"/>
        <v>87507</v>
      </c>
      <c r="AA249" s="53">
        <f t="shared" si="290"/>
        <v>83249.916666666672</v>
      </c>
      <c r="AB249" s="59">
        <f t="shared" ref="AB249:AC251" si="310">((Y249/Y197)-1)*100</f>
        <v>-38.05201593015466</v>
      </c>
      <c r="AC249" s="59">
        <f t="shared" si="310"/>
        <v>-31.28500503542465</v>
      </c>
      <c r="AD249" s="59">
        <f t="shared" ref="AD249:AD254" si="311">((Z249/AA249)-1)*100</f>
        <v>5.1136187323510773</v>
      </c>
      <c r="AF249" s="53">
        <v>0</v>
      </c>
      <c r="AG249" s="53">
        <v>0</v>
      </c>
      <c r="AH249" s="53">
        <v>2800</v>
      </c>
      <c r="AI249" s="53">
        <f t="shared" si="103"/>
        <v>2800</v>
      </c>
      <c r="AJ249" s="53">
        <f t="shared" si="291"/>
        <v>6879</v>
      </c>
      <c r="AK249" s="53">
        <f t="shared" si="292"/>
        <v>11208.916666666666</v>
      </c>
      <c r="AL249" s="59">
        <f t="shared" ref="AL249:AM251" si="312">((AI249/AI197)-1)*100</f>
        <v>-81.877022653721681</v>
      </c>
      <c r="AM249" s="59">
        <f t="shared" si="312"/>
        <v>-43.052278653917796</v>
      </c>
      <c r="AN249" s="59">
        <f t="shared" ref="AN249:AN254" si="313">((AJ249/AK249)-1)*100</f>
        <v>-38.629216323314019</v>
      </c>
      <c r="AP249" s="53">
        <f t="shared" si="135"/>
        <v>812900</v>
      </c>
      <c r="AQ249" s="53">
        <f t="shared" si="135"/>
        <v>54931</v>
      </c>
      <c r="AR249" s="53">
        <f t="shared" si="161"/>
        <v>28100</v>
      </c>
      <c r="AS249" s="53">
        <f t="shared" si="286"/>
        <v>895931</v>
      </c>
      <c r="AT249" s="53">
        <f t="shared" si="293"/>
        <v>820101</v>
      </c>
      <c r="AU249" s="53">
        <f t="shared" si="294"/>
        <v>744932.16666666663</v>
      </c>
      <c r="AV249" s="59">
        <f t="shared" ref="AV249:AV254" si="314">((AS249/AS197)-1)*100</f>
        <v>14.020802763181162</v>
      </c>
      <c r="AW249" s="59">
        <f t="shared" si="304"/>
        <v>-0.6118887475004553</v>
      </c>
      <c r="AX249" s="59">
        <f t="shared" ref="AX249:AX254" si="315">((AT249/AU249)-1)*100</f>
        <v>10.090695058811839</v>
      </c>
      <c r="AZ249" s="53">
        <f t="shared" si="166"/>
        <v>760.33100000000002</v>
      </c>
      <c r="BA249" s="53">
        <f t="shared" si="167"/>
        <v>48.648000000000003</v>
      </c>
      <c r="BB249" s="53">
        <f t="shared" si="168"/>
        <v>84.152000000000001</v>
      </c>
      <c r="BC249" s="53">
        <f t="shared" si="169"/>
        <v>2.8</v>
      </c>
      <c r="BD249" s="53">
        <f t="shared" si="170"/>
        <v>895.93100000000004</v>
      </c>
      <c r="BE249" s="60">
        <f t="shared" ref="BE249:BI250" si="316">BE248+AZ249</f>
        <v>15050.825000000001</v>
      </c>
      <c r="BF249" s="60">
        <f t="shared" si="316"/>
        <v>830.28700000000003</v>
      </c>
      <c r="BG249" s="60">
        <f t="shared" si="316"/>
        <v>3720.485000000001</v>
      </c>
      <c r="BH249" s="60">
        <f t="shared" si="316"/>
        <v>285.52199999999999</v>
      </c>
      <c r="BI249" s="60">
        <f t="shared" si="316"/>
        <v>19887.119000000006</v>
      </c>
      <c r="BJ249" s="1">
        <f t="shared" si="189"/>
        <v>31</v>
      </c>
    </row>
    <row r="250" spans="1:62" x14ac:dyDescent="0.3">
      <c r="A250" s="48">
        <f t="shared" si="238"/>
        <v>39305</v>
      </c>
      <c r="B250" s="53">
        <v>504709</v>
      </c>
      <c r="C250" s="53">
        <v>8775</v>
      </c>
      <c r="D250" s="53">
        <v>0</v>
      </c>
      <c r="E250" s="53">
        <f t="shared" si="195"/>
        <v>513484</v>
      </c>
      <c r="F250" s="53">
        <f t="shared" si="295"/>
        <v>639289</v>
      </c>
      <c r="G250" s="53">
        <f t="shared" si="296"/>
        <v>590520.91666666663</v>
      </c>
      <c r="H250" s="59">
        <f t="shared" si="306"/>
        <v>-8.8345370745183232</v>
      </c>
      <c r="I250" s="59">
        <f t="shared" si="306"/>
        <v>1.2338132771705368</v>
      </c>
      <c r="J250" s="59">
        <f t="shared" si="307"/>
        <v>8.258485340132605</v>
      </c>
      <c r="L250" s="53">
        <v>51221</v>
      </c>
      <c r="M250" s="53">
        <v>21370</v>
      </c>
      <c r="N250" s="53">
        <v>33021</v>
      </c>
      <c r="O250" s="53">
        <f t="shared" si="269"/>
        <v>105612</v>
      </c>
      <c r="P250" s="53">
        <f t="shared" si="297"/>
        <v>49212.5</v>
      </c>
      <c r="Q250" s="53">
        <f t="shared" si="298"/>
        <v>54698.083333333336</v>
      </c>
      <c r="R250" s="59">
        <f t="shared" si="308"/>
        <v>99.939419181401675</v>
      </c>
      <c r="S250" s="59">
        <f t="shared" si="308"/>
        <v>8.5284566740728032</v>
      </c>
      <c r="T250" s="59">
        <f t="shared" si="309"/>
        <v>-10.028840133033301</v>
      </c>
      <c r="V250" s="53">
        <v>62658</v>
      </c>
      <c r="W250" s="53">
        <v>4500</v>
      </c>
      <c r="X250" s="53">
        <v>2891</v>
      </c>
      <c r="Y250" s="53">
        <f t="shared" si="270"/>
        <v>70049</v>
      </c>
      <c r="Z250" s="53">
        <f t="shared" si="289"/>
        <v>80845.25</v>
      </c>
      <c r="AA250" s="53">
        <f t="shared" si="290"/>
        <v>84669.5</v>
      </c>
      <c r="AB250" s="59">
        <f t="shared" si="310"/>
        <v>-46.708509262429153</v>
      </c>
      <c r="AC250" s="59">
        <f t="shared" si="310"/>
        <v>-36.29830847692007</v>
      </c>
      <c r="AD250" s="59">
        <f t="shared" si="311"/>
        <v>-4.5166795599359872</v>
      </c>
      <c r="AF250" s="53">
        <v>19105</v>
      </c>
      <c r="AG250" s="53">
        <v>0</v>
      </c>
      <c r="AH250" s="53">
        <v>7000</v>
      </c>
      <c r="AI250" s="53">
        <f t="shared" si="103"/>
        <v>26105</v>
      </c>
      <c r="AJ250" s="53">
        <f t="shared" si="291"/>
        <v>11580.25</v>
      </c>
      <c r="AK250" s="53">
        <f t="shared" si="292"/>
        <v>15034.25</v>
      </c>
      <c r="AL250" s="59">
        <f t="shared" si="312"/>
        <v>91.948529411764696</v>
      </c>
      <c r="AM250" s="59">
        <f t="shared" si="312"/>
        <v>-9.3416056679844992</v>
      </c>
      <c r="AN250" s="59">
        <f t="shared" si="313"/>
        <v>-22.974208889701853</v>
      </c>
      <c r="AP250" s="53">
        <f t="shared" si="135"/>
        <v>637693</v>
      </c>
      <c r="AQ250" s="53">
        <f t="shared" si="135"/>
        <v>34645</v>
      </c>
      <c r="AR250" s="53">
        <f t="shared" si="161"/>
        <v>42912</v>
      </c>
      <c r="AS250" s="53">
        <f t="shared" si="286"/>
        <v>715250</v>
      </c>
      <c r="AT250" s="53">
        <f t="shared" si="293"/>
        <v>780927</v>
      </c>
      <c r="AU250" s="53">
        <f t="shared" si="294"/>
        <v>744922.75</v>
      </c>
      <c r="AV250" s="59">
        <f t="shared" si="314"/>
        <v>-6.0255337263552917</v>
      </c>
      <c r="AW250" s="59">
        <f t="shared" si="304"/>
        <v>-4.360105005520321</v>
      </c>
      <c r="AX250" s="59">
        <f t="shared" si="315"/>
        <v>4.8332864045298685</v>
      </c>
      <c r="AZ250" s="53">
        <f t="shared" si="166"/>
        <v>513.48400000000004</v>
      </c>
      <c r="BA250" s="53">
        <f t="shared" si="167"/>
        <v>105.61199999999999</v>
      </c>
      <c r="BB250" s="53">
        <f t="shared" si="168"/>
        <v>70.049000000000007</v>
      </c>
      <c r="BC250" s="53">
        <f t="shared" si="169"/>
        <v>26.105</v>
      </c>
      <c r="BD250" s="53">
        <f t="shared" si="170"/>
        <v>715.25</v>
      </c>
      <c r="BE250" s="60">
        <f t="shared" si="316"/>
        <v>15564.309000000001</v>
      </c>
      <c r="BF250" s="60">
        <f t="shared" si="316"/>
        <v>935.899</v>
      </c>
      <c r="BG250" s="60">
        <f t="shared" si="316"/>
        <v>3790.534000000001</v>
      </c>
      <c r="BH250" s="60">
        <f t="shared" si="316"/>
        <v>311.62700000000001</v>
      </c>
      <c r="BI250" s="60">
        <f t="shared" si="316"/>
        <v>20602.369000000006</v>
      </c>
      <c r="BJ250" s="1">
        <f t="shared" si="189"/>
        <v>32</v>
      </c>
    </row>
    <row r="251" spans="1:62" x14ac:dyDescent="0.3">
      <c r="A251" s="48">
        <f t="shared" si="238"/>
        <v>39312</v>
      </c>
      <c r="B251" s="53">
        <v>405951</v>
      </c>
      <c r="C251" s="53">
        <v>23200</v>
      </c>
      <c r="D251" s="53">
        <v>0</v>
      </c>
      <c r="E251" s="53">
        <f t="shared" si="195"/>
        <v>429151</v>
      </c>
      <c r="F251" s="53">
        <f t="shared" si="295"/>
        <v>602547.5</v>
      </c>
      <c r="G251" s="53">
        <f t="shared" si="296"/>
        <v>587480.16666666663</v>
      </c>
      <c r="H251" s="59">
        <f t="shared" si="306"/>
        <v>-28.423298107971075</v>
      </c>
      <c r="I251" s="59">
        <f t="shared" si="306"/>
        <v>-2.1033130745138129</v>
      </c>
      <c r="J251" s="59">
        <f t="shared" si="307"/>
        <v>2.5647390649500057</v>
      </c>
      <c r="L251" s="53">
        <v>52701</v>
      </c>
      <c r="M251" s="53">
        <v>21000</v>
      </c>
      <c r="N251" s="53">
        <v>28721</v>
      </c>
      <c r="O251" s="53">
        <f t="shared" si="269"/>
        <v>102422</v>
      </c>
      <c r="P251" s="53">
        <f t="shared" si="297"/>
        <v>68343</v>
      </c>
      <c r="Q251" s="53">
        <f t="shared" si="298"/>
        <v>53034.833333333336</v>
      </c>
      <c r="R251" s="59">
        <f t="shared" si="308"/>
        <v>141.36208318604923</v>
      </c>
      <c r="S251" s="59">
        <f t="shared" si="308"/>
        <v>66.132080631536724</v>
      </c>
      <c r="T251" s="59">
        <f t="shared" si="309"/>
        <v>28.864362730155335</v>
      </c>
      <c r="V251" s="53">
        <v>124696</v>
      </c>
      <c r="W251" s="53">
        <v>7550</v>
      </c>
      <c r="X251" s="53">
        <v>0</v>
      </c>
      <c r="Y251" s="53">
        <f t="shared" si="270"/>
        <v>132246</v>
      </c>
      <c r="Z251" s="53">
        <f t="shared" ref="Z251:Z256" si="317">AVERAGE(Y248,Y249,Y250,Y251)</f>
        <v>87412.75</v>
      </c>
      <c r="AA251" s="53">
        <f t="shared" ref="AA251:AA256" si="318">AVERAGE(Z199,Z147,Z95)</f>
        <v>83924</v>
      </c>
      <c r="AB251" s="59">
        <f t="shared" si="310"/>
        <v>1.3783269961977096</v>
      </c>
      <c r="AC251" s="59">
        <f t="shared" si="310"/>
        <v>-30.746681930808283</v>
      </c>
      <c r="AD251" s="59">
        <f t="shared" si="311"/>
        <v>4.1570349363710069</v>
      </c>
      <c r="AF251" s="53">
        <v>6268</v>
      </c>
      <c r="AG251" s="53">
        <v>0</v>
      </c>
      <c r="AH251" s="53">
        <v>0</v>
      </c>
      <c r="AI251" s="53">
        <f t="shared" si="103"/>
        <v>6268</v>
      </c>
      <c r="AJ251" s="53">
        <f t="shared" ref="AJ251:AJ256" si="319">AVERAGE(AI248,AI249,AI250,AI251)</f>
        <v>10697.25</v>
      </c>
      <c r="AK251" s="53">
        <f t="shared" ref="AK251:AK256" si="320">AVERAGE(AJ199,AJ147,AJ95)</f>
        <v>14458.333333333334</v>
      </c>
      <c r="AL251" s="59">
        <f t="shared" si="312"/>
        <v>-37.470071827613729</v>
      </c>
      <c r="AM251" s="59">
        <f t="shared" si="312"/>
        <v>-18.987845052822905</v>
      </c>
      <c r="AN251" s="59">
        <f t="shared" si="313"/>
        <v>-26.01325648414986</v>
      </c>
      <c r="AP251" s="53">
        <f t="shared" si="135"/>
        <v>589616</v>
      </c>
      <c r="AQ251" s="53">
        <f t="shared" si="135"/>
        <v>51750</v>
      </c>
      <c r="AR251" s="53">
        <f t="shared" si="161"/>
        <v>28721</v>
      </c>
      <c r="AS251" s="53">
        <f t="shared" si="286"/>
        <v>670087</v>
      </c>
      <c r="AT251" s="53">
        <f t="shared" ref="AT251:AT256" si="321">AVERAGE(AS248,AS249,AS250,AS251)</f>
        <v>769000.5</v>
      </c>
      <c r="AU251" s="53">
        <f t="shared" ref="AU251:AU256" si="322">AVERAGE(AT199,AT147,AT95)</f>
        <v>738897.33333333337</v>
      </c>
      <c r="AV251" s="59">
        <f t="shared" si="314"/>
        <v>-14.363142592415091</v>
      </c>
      <c r="AW251" s="59">
        <f t="shared" si="304"/>
        <v>-3.3988447438924818</v>
      </c>
      <c r="AX251" s="59">
        <f t="shared" si="315"/>
        <v>4.0740662211980583</v>
      </c>
      <c r="AZ251" s="53">
        <f t="shared" si="166"/>
        <v>429.15100000000001</v>
      </c>
      <c r="BA251" s="53">
        <f t="shared" si="167"/>
        <v>102.422</v>
      </c>
      <c r="BB251" s="53">
        <f t="shared" si="168"/>
        <v>132.24600000000001</v>
      </c>
      <c r="BC251" s="53">
        <f t="shared" si="169"/>
        <v>6.2679999999999998</v>
      </c>
      <c r="BD251" s="53">
        <f t="shared" si="170"/>
        <v>670.08699999999999</v>
      </c>
      <c r="BE251" s="60">
        <f t="shared" ref="BE251:BI252" si="323">BE250+AZ251</f>
        <v>15993.460000000001</v>
      </c>
      <c r="BF251" s="60">
        <f t="shared" si="323"/>
        <v>1038.3209999999999</v>
      </c>
      <c r="BG251" s="60">
        <f t="shared" si="323"/>
        <v>3922.7800000000011</v>
      </c>
      <c r="BH251" s="60">
        <f t="shared" si="323"/>
        <v>317.89499999999998</v>
      </c>
      <c r="BI251" s="60">
        <f t="shared" si="323"/>
        <v>21272.456000000006</v>
      </c>
      <c r="BJ251" s="1">
        <f t="shared" si="189"/>
        <v>33</v>
      </c>
    </row>
    <row r="252" spans="1:62" x14ac:dyDescent="0.3">
      <c r="A252" s="48">
        <f t="shared" si="238"/>
        <v>39319</v>
      </c>
      <c r="B252" s="53">
        <v>344148</v>
      </c>
      <c r="C252" s="53">
        <v>10800</v>
      </c>
      <c r="D252" s="53">
        <v>5600</v>
      </c>
      <c r="E252" s="53">
        <f t="shared" si="195"/>
        <v>360548</v>
      </c>
      <c r="F252" s="53">
        <f t="shared" ref="F252:F257" si="324">AVERAGE(E249,E250,E251,E252)</f>
        <v>515878.5</v>
      </c>
      <c r="G252" s="53">
        <f t="shared" ref="G252:G257" si="325">AVERAGE(F200,F148,F96)</f>
        <v>552307.5</v>
      </c>
      <c r="H252" s="59">
        <f t="shared" ref="H252:I254" si="326">((E252/E200)-1)*100</f>
        <v>5.1758288239669881</v>
      </c>
      <c r="I252" s="59">
        <f t="shared" si="326"/>
        <v>-2.253668837582079</v>
      </c>
      <c r="J252" s="59">
        <f t="shared" si="307"/>
        <v>-6.5957822408712508</v>
      </c>
      <c r="L252" s="53">
        <v>27938</v>
      </c>
      <c r="M252" s="53">
        <v>12100</v>
      </c>
      <c r="N252" s="53">
        <v>28000</v>
      </c>
      <c r="O252" s="53">
        <f t="shared" si="269"/>
        <v>68038</v>
      </c>
      <c r="P252" s="53">
        <f t="shared" ref="P252:P257" si="327">AVERAGE(O249,O250,O251,O252)</f>
        <v>81180</v>
      </c>
      <c r="Q252" s="53">
        <f t="shared" ref="Q252:Q257" si="328">AVERAGE(P200,P148,P96)</f>
        <v>54334.25</v>
      </c>
      <c r="R252" s="59">
        <f t="shared" ref="R252:S254" si="329">((O252/O200)-1)*100</f>
        <v>135.80910130662323</v>
      </c>
      <c r="S252" s="59">
        <f t="shared" si="329"/>
        <v>112.09112759954016</v>
      </c>
      <c r="T252" s="59">
        <f t="shared" si="309"/>
        <v>49.408522248857764</v>
      </c>
      <c r="V252" s="53">
        <v>82395</v>
      </c>
      <c r="W252" s="53">
        <v>13700</v>
      </c>
      <c r="X252" s="53">
        <v>0</v>
      </c>
      <c r="Y252" s="53">
        <f t="shared" si="270"/>
        <v>96095</v>
      </c>
      <c r="Z252" s="53">
        <f t="shared" si="317"/>
        <v>95635.5</v>
      </c>
      <c r="AA252" s="53">
        <f t="shared" si="318"/>
        <v>77430.916666666672</v>
      </c>
      <c r="AB252" s="59">
        <f t="shared" ref="AB252:AC254" si="330">((Y252/Y200)-1)*100</f>
        <v>21.45935766017417</v>
      </c>
      <c r="AC252" s="59">
        <f t="shared" si="330"/>
        <v>-19.777793156381527</v>
      </c>
      <c r="AD252" s="59">
        <f t="shared" si="311"/>
        <v>23.510742371425696</v>
      </c>
      <c r="AF252" s="53">
        <v>0</v>
      </c>
      <c r="AG252" s="53">
        <v>0</v>
      </c>
      <c r="AH252" s="53">
        <v>13300</v>
      </c>
      <c r="AI252" s="53">
        <f t="shared" si="103"/>
        <v>13300</v>
      </c>
      <c r="AJ252" s="53">
        <f t="shared" si="319"/>
        <v>12118.25</v>
      </c>
      <c r="AK252" s="53">
        <f t="shared" si="320"/>
        <v>15756.75</v>
      </c>
      <c r="AL252" s="59">
        <f t="shared" ref="AL252:AM254" si="331">((AI252/AI200)-1)*100</f>
        <v>-15.286624203821653</v>
      </c>
      <c r="AM252" s="59">
        <f t="shared" si="331"/>
        <v>-11.503633110599921</v>
      </c>
      <c r="AN252" s="59">
        <f t="shared" si="313"/>
        <v>-23.091690862646164</v>
      </c>
      <c r="AP252" s="53">
        <f t="shared" si="135"/>
        <v>454481</v>
      </c>
      <c r="AQ252" s="53">
        <f t="shared" si="135"/>
        <v>36600</v>
      </c>
      <c r="AR252" s="53">
        <f t="shared" si="161"/>
        <v>46900</v>
      </c>
      <c r="AS252" s="53">
        <f t="shared" si="286"/>
        <v>537981</v>
      </c>
      <c r="AT252" s="53">
        <f t="shared" si="321"/>
        <v>704812.25</v>
      </c>
      <c r="AU252" s="53">
        <f t="shared" si="322"/>
        <v>699829.41666666663</v>
      </c>
      <c r="AV252" s="59">
        <f t="shared" si="314"/>
        <v>15.329010129160192</v>
      </c>
      <c r="AW252" s="59">
        <f t="shared" ref="AW252:AW257" si="332">((AT252/AT200)-1)*100</f>
        <v>0.83792888102318663</v>
      </c>
      <c r="AX252" s="59">
        <f t="shared" si="315"/>
        <v>0.71200684261987224</v>
      </c>
      <c r="AZ252" s="53">
        <f t="shared" si="166"/>
        <v>360.548</v>
      </c>
      <c r="BA252" s="53">
        <f t="shared" si="167"/>
        <v>68.037999999999997</v>
      </c>
      <c r="BB252" s="53">
        <f t="shared" si="168"/>
        <v>96.094999999999999</v>
      </c>
      <c r="BC252" s="53">
        <f t="shared" si="169"/>
        <v>13.3</v>
      </c>
      <c r="BD252" s="53">
        <f t="shared" si="170"/>
        <v>537.98099999999999</v>
      </c>
      <c r="BE252" s="60">
        <f t="shared" si="323"/>
        <v>16354.008000000002</v>
      </c>
      <c r="BF252" s="60">
        <f t="shared" si="323"/>
        <v>1106.3589999999999</v>
      </c>
      <c r="BG252" s="60">
        <f t="shared" si="323"/>
        <v>4018.8750000000009</v>
      </c>
      <c r="BH252" s="60">
        <f t="shared" si="323"/>
        <v>331.19499999999999</v>
      </c>
      <c r="BI252" s="60">
        <f t="shared" si="323"/>
        <v>21810.437000000005</v>
      </c>
      <c r="BJ252" s="1">
        <f t="shared" si="189"/>
        <v>34</v>
      </c>
    </row>
    <row r="253" spans="1:62" x14ac:dyDescent="0.3">
      <c r="A253" s="48">
        <f t="shared" si="238"/>
        <v>39326</v>
      </c>
      <c r="B253" s="53">
        <v>217966</v>
      </c>
      <c r="C253" s="53">
        <v>15368</v>
      </c>
      <c r="D253" s="53">
        <v>9600</v>
      </c>
      <c r="E253" s="53">
        <f t="shared" si="195"/>
        <v>242934</v>
      </c>
      <c r="F253" s="53">
        <f t="shared" si="324"/>
        <v>386529.25</v>
      </c>
      <c r="G253" s="53">
        <f t="shared" si="325"/>
        <v>516124.41666666669</v>
      </c>
      <c r="H253" s="59">
        <f t="shared" si="326"/>
        <v>-47.717788744003663</v>
      </c>
      <c r="I253" s="59">
        <f t="shared" si="326"/>
        <v>-21.527897614344383</v>
      </c>
      <c r="J253" s="59">
        <f t="shared" si="307"/>
        <v>-25.109288086706481</v>
      </c>
      <c r="L253" s="53">
        <v>55819</v>
      </c>
      <c r="M253" s="53">
        <v>16100</v>
      </c>
      <c r="N253" s="53">
        <v>22815</v>
      </c>
      <c r="O253" s="53">
        <f t="shared" si="269"/>
        <v>94734</v>
      </c>
      <c r="P253" s="53">
        <f t="shared" si="327"/>
        <v>92701.5</v>
      </c>
      <c r="Q253" s="53">
        <f t="shared" si="328"/>
        <v>59080</v>
      </c>
      <c r="R253" s="59">
        <f t="shared" si="329"/>
        <v>76.347728965003725</v>
      </c>
      <c r="S253" s="59">
        <f t="shared" si="329"/>
        <v>108.51712309509081</v>
      </c>
      <c r="T253" s="59">
        <f t="shared" si="309"/>
        <v>56.908429248476637</v>
      </c>
      <c r="V253" s="53">
        <v>73050</v>
      </c>
      <c r="W253" s="53">
        <v>12300</v>
      </c>
      <c r="X253" s="53">
        <v>0</v>
      </c>
      <c r="Y253" s="53">
        <f t="shared" si="270"/>
        <v>85350</v>
      </c>
      <c r="Z253" s="53">
        <f t="shared" si="317"/>
        <v>95935</v>
      </c>
      <c r="AA253" s="53">
        <f t="shared" si="318"/>
        <v>74363.5</v>
      </c>
      <c r="AB253" s="59">
        <f t="shared" si="330"/>
        <v>-23.695174066193438</v>
      </c>
      <c r="AC253" s="59">
        <f t="shared" si="330"/>
        <v>-15.263743640474846</v>
      </c>
      <c r="AD253" s="59">
        <f t="shared" si="311"/>
        <v>29.008182777841274</v>
      </c>
      <c r="AF253" s="53">
        <v>7500</v>
      </c>
      <c r="AG253" s="53">
        <v>4500</v>
      </c>
      <c r="AH253" s="53">
        <v>2800</v>
      </c>
      <c r="AI253" s="53">
        <f t="shared" si="103"/>
        <v>14800</v>
      </c>
      <c r="AJ253" s="53">
        <f t="shared" si="319"/>
        <v>15118.25</v>
      </c>
      <c r="AK253" s="53">
        <f t="shared" si="320"/>
        <v>16077.833333333334</v>
      </c>
      <c r="AL253" s="59">
        <f t="shared" si="331"/>
        <v>228.88888888888889</v>
      </c>
      <c r="AM253" s="59">
        <f t="shared" si="331"/>
        <v>37.990598758671055</v>
      </c>
      <c r="AN253" s="59">
        <f t="shared" si="313"/>
        <v>-5.9683622378637331</v>
      </c>
      <c r="AP253" s="53">
        <f t="shared" si="135"/>
        <v>354335</v>
      </c>
      <c r="AQ253" s="53">
        <f t="shared" si="135"/>
        <v>48268</v>
      </c>
      <c r="AR253" s="53">
        <f t="shared" si="161"/>
        <v>35215</v>
      </c>
      <c r="AS253" s="53">
        <f t="shared" si="286"/>
        <v>437818</v>
      </c>
      <c r="AT253" s="53">
        <f t="shared" si="321"/>
        <v>590284</v>
      </c>
      <c r="AU253" s="53">
        <f t="shared" si="322"/>
        <v>665645.75</v>
      </c>
      <c r="AV253" s="59">
        <f t="shared" si="314"/>
        <v>-31.023280655015572</v>
      </c>
      <c r="AW253" s="59">
        <f t="shared" si="332"/>
        <v>-10.725145323227448</v>
      </c>
      <c r="AX253" s="59">
        <f t="shared" si="315"/>
        <v>-11.321600115376684</v>
      </c>
      <c r="AZ253" s="53">
        <f t="shared" si="166"/>
        <v>242.934</v>
      </c>
      <c r="BA253" s="53">
        <f t="shared" si="167"/>
        <v>94.733999999999995</v>
      </c>
      <c r="BB253" s="53">
        <f t="shared" si="168"/>
        <v>85.35</v>
      </c>
      <c r="BC253" s="53">
        <f t="shared" si="169"/>
        <v>14.8</v>
      </c>
      <c r="BD253" s="53">
        <f t="shared" si="170"/>
        <v>437.81799999999998</v>
      </c>
      <c r="BE253" s="60">
        <f t="shared" ref="BE253:BI254" si="333">BE252+AZ253</f>
        <v>16596.942000000003</v>
      </c>
      <c r="BF253" s="60">
        <f t="shared" si="333"/>
        <v>1201.0929999999998</v>
      </c>
      <c r="BG253" s="60">
        <f t="shared" si="333"/>
        <v>4104.2250000000013</v>
      </c>
      <c r="BH253" s="60">
        <f t="shared" si="333"/>
        <v>345.995</v>
      </c>
      <c r="BI253" s="60">
        <f t="shared" si="333"/>
        <v>22248.255000000005</v>
      </c>
      <c r="BJ253" s="1">
        <f t="shared" si="189"/>
        <v>35</v>
      </c>
    </row>
    <row r="254" spans="1:62" x14ac:dyDescent="0.3">
      <c r="A254" s="48">
        <f t="shared" si="238"/>
        <v>39333</v>
      </c>
      <c r="B254" s="53">
        <v>182931</v>
      </c>
      <c r="C254" s="53">
        <v>53650</v>
      </c>
      <c r="D254" s="53">
        <v>16200</v>
      </c>
      <c r="E254" s="53">
        <f t="shared" si="195"/>
        <v>252781</v>
      </c>
      <c r="F254" s="53">
        <f t="shared" si="324"/>
        <v>321353.5</v>
      </c>
      <c r="G254" s="53">
        <f t="shared" si="325"/>
        <v>435974.75</v>
      </c>
      <c r="H254" s="59">
        <f t="shared" si="326"/>
        <v>-26.242705415499536</v>
      </c>
      <c r="I254" s="59">
        <f t="shared" si="326"/>
        <v>-26.537360723119619</v>
      </c>
      <c r="J254" s="59">
        <f t="shared" si="307"/>
        <v>-26.290800097941446</v>
      </c>
      <c r="L254" s="53">
        <v>21735</v>
      </c>
      <c r="M254" s="53">
        <v>26100</v>
      </c>
      <c r="N254" s="53">
        <v>9800</v>
      </c>
      <c r="O254" s="53">
        <f t="shared" si="269"/>
        <v>57635</v>
      </c>
      <c r="P254" s="53">
        <f t="shared" si="327"/>
        <v>80707.25</v>
      </c>
      <c r="Q254" s="53">
        <f t="shared" si="328"/>
        <v>55029.916666666664</v>
      </c>
      <c r="R254" s="59">
        <f t="shared" si="329"/>
        <v>56.183946669557216</v>
      </c>
      <c r="S254" s="59">
        <f t="shared" si="329"/>
        <v>99.387931566919889</v>
      </c>
      <c r="T254" s="59">
        <f t="shared" si="309"/>
        <v>46.660680024047529</v>
      </c>
      <c r="V254" s="53">
        <v>45045</v>
      </c>
      <c r="W254" s="53">
        <v>13500</v>
      </c>
      <c r="X254" s="53">
        <v>4200</v>
      </c>
      <c r="Y254" s="53">
        <f t="shared" si="270"/>
        <v>62745</v>
      </c>
      <c r="Z254" s="53">
        <f t="shared" si="317"/>
        <v>94109</v>
      </c>
      <c r="AA254" s="53">
        <f t="shared" si="318"/>
        <v>68577.75</v>
      </c>
      <c r="AB254" s="59">
        <f t="shared" si="330"/>
        <v>-47.563492925730621</v>
      </c>
      <c r="AC254" s="59">
        <f t="shared" si="330"/>
        <v>-14.655457764839774</v>
      </c>
      <c r="AD254" s="59">
        <f t="shared" si="311"/>
        <v>37.22964080915456</v>
      </c>
      <c r="AF254" s="53">
        <v>1624</v>
      </c>
      <c r="AG254" s="53">
        <v>0</v>
      </c>
      <c r="AH254" s="53">
        <v>7000</v>
      </c>
      <c r="AI254" s="53">
        <f t="shared" si="103"/>
        <v>8624</v>
      </c>
      <c r="AJ254" s="53">
        <f t="shared" si="319"/>
        <v>10748</v>
      </c>
      <c r="AK254" s="53">
        <f t="shared" si="320"/>
        <v>12975.5</v>
      </c>
      <c r="AL254" s="59">
        <f t="shared" si="331"/>
        <v>-37.507246376811601</v>
      </c>
      <c r="AM254" s="59">
        <f t="shared" si="331"/>
        <v>-2.3441759040523369</v>
      </c>
      <c r="AN254" s="59">
        <f t="shared" si="313"/>
        <v>-17.166968517590842</v>
      </c>
      <c r="AP254" s="53">
        <f t="shared" si="135"/>
        <v>251335</v>
      </c>
      <c r="AQ254" s="53">
        <f t="shared" si="135"/>
        <v>93250</v>
      </c>
      <c r="AR254" s="53">
        <f t="shared" si="161"/>
        <v>37200</v>
      </c>
      <c r="AS254" s="53">
        <f t="shared" si="286"/>
        <v>381785</v>
      </c>
      <c r="AT254" s="53">
        <f t="shared" si="321"/>
        <v>506917.75</v>
      </c>
      <c r="AU254" s="53">
        <f t="shared" si="322"/>
        <v>572557.91666666663</v>
      </c>
      <c r="AV254" s="59">
        <f t="shared" si="314"/>
        <v>-25.589721700862043</v>
      </c>
      <c r="AW254" s="59">
        <f t="shared" si="332"/>
        <v>-15.399638846377862</v>
      </c>
      <c r="AX254" s="59">
        <f t="shared" si="315"/>
        <v>-11.464371508268078</v>
      </c>
      <c r="AZ254" s="53">
        <f t="shared" si="166"/>
        <v>252.78100000000001</v>
      </c>
      <c r="BA254" s="53">
        <f t="shared" si="167"/>
        <v>57.634999999999998</v>
      </c>
      <c r="BB254" s="53">
        <f t="shared" si="168"/>
        <v>62.744999999999997</v>
      </c>
      <c r="BC254" s="53">
        <f t="shared" si="169"/>
        <v>8.6240000000000006</v>
      </c>
      <c r="BD254" s="53">
        <f t="shared" si="170"/>
        <v>381.78500000000003</v>
      </c>
      <c r="BE254" s="60">
        <f t="shared" si="333"/>
        <v>16849.723000000002</v>
      </c>
      <c r="BF254" s="60">
        <f t="shared" si="333"/>
        <v>1258.7279999999998</v>
      </c>
      <c r="BG254" s="60">
        <f t="shared" si="333"/>
        <v>4166.9700000000012</v>
      </c>
      <c r="BH254" s="60">
        <f t="shared" si="333"/>
        <v>354.61900000000003</v>
      </c>
      <c r="BI254" s="60">
        <f t="shared" si="333"/>
        <v>22630.040000000005</v>
      </c>
      <c r="BJ254" s="1">
        <f t="shared" si="189"/>
        <v>36</v>
      </c>
    </row>
    <row r="255" spans="1:62" x14ac:dyDescent="0.3">
      <c r="A255" s="48">
        <f t="shared" si="238"/>
        <v>39340</v>
      </c>
      <c r="B255" s="53">
        <v>158587</v>
      </c>
      <c r="C255" s="53">
        <v>63977</v>
      </c>
      <c r="D255" s="53">
        <v>8400</v>
      </c>
      <c r="E255" s="53">
        <f t="shared" si="195"/>
        <v>230964</v>
      </c>
      <c r="F255" s="53">
        <f t="shared" si="324"/>
        <v>271806.75</v>
      </c>
      <c r="G255" s="53">
        <f t="shared" si="325"/>
        <v>366566.83333333331</v>
      </c>
      <c r="H255" s="59">
        <f t="shared" ref="H255:I257" si="334">((E255/E203)-1)*100</f>
        <v>-28.334145259231914</v>
      </c>
      <c r="I255" s="59">
        <f t="shared" si="334"/>
        <v>-26.162694750224624</v>
      </c>
      <c r="J255" s="59">
        <f t="shared" ref="J255:J260" si="335">((F255/G255)-1)*100</f>
        <v>-25.850697530827706</v>
      </c>
      <c r="L255" s="53">
        <v>67490</v>
      </c>
      <c r="M255" s="53">
        <v>15000</v>
      </c>
      <c r="N255" s="53">
        <v>18200</v>
      </c>
      <c r="O255" s="53">
        <f t="shared" si="269"/>
        <v>100690</v>
      </c>
      <c r="P255" s="53">
        <f t="shared" si="327"/>
        <v>80274.25</v>
      </c>
      <c r="Q255" s="53">
        <f t="shared" si="328"/>
        <v>53973.25</v>
      </c>
      <c r="R255" s="59">
        <f t="shared" ref="R255:S257" si="336">((O255/O203)-1)*100</f>
        <v>20.490145631648858</v>
      </c>
      <c r="S255" s="59">
        <f t="shared" si="336"/>
        <v>58.143142798041779</v>
      </c>
      <c r="T255" s="59">
        <f t="shared" ref="T255:T260" si="337">((P255/Q255)-1)*100</f>
        <v>48.729694802517919</v>
      </c>
      <c r="V255" s="53">
        <v>29710</v>
      </c>
      <c r="W255" s="53">
        <v>4500</v>
      </c>
      <c r="X255" s="53">
        <v>7000</v>
      </c>
      <c r="Y255" s="53">
        <f t="shared" si="270"/>
        <v>41210</v>
      </c>
      <c r="Z255" s="53">
        <f t="shared" si="317"/>
        <v>71350</v>
      </c>
      <c r="AA255" s="53">
        <f t="shared" si="318"/>
        <v>61603.416666666664</v>
      </c>
      <c r="AB255" s="59">
        <f t="shared" ref="AB255:AC257" si="338">((Y255/Y203)-1)*100</f>
        <v>-63.710813666784084</v>
      </c>
      <c r="AC255" s="59">
        <f t="shared" si="338"/>
        <v>-32.718828826705014</v>
      </c>
      <c r="AD255" s="59">
        <f t="shared" ref="AD255:AD260" si="339">((Z255/AA255)-1)*100</f>
        <v>15.821497995917433</v>
      </c>
      <c r="AF255" s="53">
        <v>14372</v>
      </c>
      <c r="AG255" s="53">
        <v>1500</v>
      </c>
      <c r="AH255" s="53">
        <v>10600</v>
      </c>
      <c r="AI255" s="53">
        <f t="shared" si="103"/>
        <v>26472</v>
      </c>
      <c r="AJ255" s="53">
        <f t="shared" si="319"/>
        <v>15799</v>
      </c>
      <c r="AK255" s="53">
        <f t="shared" si="320"/>
        <v>14292.166666666666</v>
      </c>
      <c r="AL255" s="59">
        <f t="shared" ref="AL255:AM257" si="340">((AI255/AI203)-1)*100</f>
        <v>157.00970873786409</v>
      </c>
      <c r="AM255" s="59">
        <f t="shared" si="340"/>
        <v>42.654627539503373</v>
      </c>
      <c r="AN255" s="59">
        <f t="shared" ref="AN255:AN260" si="341">((AJ255/AK255)-1)*100</f>
        <v>10.54307137942696</v>
      </c>
      <c r="AP255" s="53">
        <f t="shared" si="135"/>
        <v>270159</v>
      </c>
      <c r="AQ255" s="53">
        <f t="shared" si="135"/>
        <v>84977</v>
      </c>
      <c r="AR255" s="53">
        <f t="shared" si="161"/>
        <v>44200</v>
      </c>
      <c r="AS255" s="53">
        <f t="shared" si="286"/>
        <v>399336</v>
      </c>
      <c r="AT255" s="53">
        <f t="shared" si="321"/>
        <v>439230</v>
      </c>
      <c r="AU255" s="53">
        <f t="shared" si="322"/>
        <v>496435.66666666669</v>
      </c>
      <c r="AV255" s="59">
        <f t="shared" ref="AV255:AV260" si="342">((AS255/AS203)-1)*100</f>
        <v>-24.611765771956517</v>
      </c>
      <c r="AW255" s="59">
        <f t="shared" si="332"/>
        <v>-18.053913371999464</v>
      </c>
      <c r="AX255" s="59">
        <f t="shared" ref="AX255:AX260" si="343">((AT255/AU255)-1)*100</f>
        <v>-11.52327894785965</v>
      </c>
      <c r="AZ255" s="53">
        <f t="shared" si="166"/>
        <v>230.964</v>
      </c>
      <c r="BA255" s="53">
        <f t="shared" si="167"/>
        <v>100.69</v>
      </c>
      <c r="BB255" s="53">
        <f t="shared" si="168"/>
        <v>41.21</v>
      </c>
      <c r="BC255" s="53">
        <f t="shared" si="169"/>
        <v>26.472000000000001</v>
      </c>
      <c r="BD255" s="53">
        <f t="shared" si="170"/>
        <v>399.33600000000001</v>
      </c>
      <c r="BE255" s="60">
        <f t="shared" ref="BE255:BI256" si="344">BE254+AZ255</f>
        <v>17080.687000000002</v>
      </c>
      <c r="BF255" s="60">
        <f t="shared" si="344"/>
        <v>1359.4179999999999</v>
      </c>
      <c r="BG255" s="60">
        <f t="shared" si="344"/>
        <v>4208.1800000000012</v>
      </c>
      <c r="BH255" s="60">
        <f t="shared" si="344"/>
        <v>381.09100000000001</v>
      </c>
      <c r="BI255" s="60">
        <f t="shared" si="344"/>
        <v>23029.376000000004</v>
      </c>
      <c r="BJ255" s="1">
        <f t="shared" si="189"/>
        <v>37</v>
      </c>
    </row>
    <row r="256" spans="1:62" x14ac:dyDescent="0.3">
      <c r="A256" s="48">
        <f t="shared" si="238"/>
        <v>39347</v>
      </c>
      <c r="B256" s="53">
        <v>199179</v>
      </c>
      <c r="C256" s="53">
        <v>103087</v>
      </c>
      <c r="D256" s="53">
        <v>1400</v>
      </c>
      <c r="E256" s="53">
        <f t="shared" si="195"/>
        <v>303666</v>
      </c>
      <c r="F256" s="53">
        <f t="shared" si="324"/>
        <v>257586.25</v>
      </c>
      <c r="G256" s="53">
        <f t="shared" si="325"/>
        <v>346196</v>
      </c>
      <c r="H256" s="59">
        <f t="shared" si="334"/>
        <v>-30.615210611097787</v>
      </c>
      <c r="I256" s="59">
        <f t="shared" si="334"/>
        <v>-34.260418946311297</v>
      </c>
      <c r="J256" s="59">
        <f t="shared" si="335"/>
        <v>-25.595255288911478</v>
      </c>
      <c r="L256" s="53">
        <v>0</v>
      </c>
      <c r="M256" s="53">
        <v>1557</v>
      </c>
      <c r="N256" s="53">
        <v>6000</v>
      </c>
      <c r="O256" s="53">
        <f t="shared" si="269"/>
        <v>7557</v>
      </c>
      <c r="P256" s="53">
        <f t="shared" si="327"/>
        <v>65154</v>
      </c>
      <c r="Q256" s="53">
        <f t="shared" si="328"/>
        <v>51013.583333333336</v>
      </c>
      <c r="R256" s="59">
        <f t="shared" si="336"/>
        <v>-78.821847938794392</v>
      </c>
      <c r="S256" s="59">
        <f t="shared" si="336"/>
        <v>24.178546923839296</v>
      </c>
      <c r="T256" s="59">
        <f t="shared" si="337"/>
        <v>27.718924534805268</v>
      </c>
      <c r="V256" s="53">
        <v>56496</v>
      </c>
      <c r="W256" s="53">
        <v>1600</v>
      </c>
      <c r="X256" s="53">
        <v>2800</v>
      </c>
      <c r="Y256" s="53">
        <f t="shared" si="270"/>
        <v>60896</v>
      </c>
      <c r="Z256" s="53">
        <f t="shared" si="317"/>
        <v>62550.25</v>
      </c>
      <c r="AA256" s="53">
        <f t="shared" si="318"/>
        <v>65348.166666666664</v>
      </c>
      <c r="AB256" s="59">
        <f t="shared" si="338"/>
        <v>-35.216332088639248</v>
      </c>
      <c r="AC256" s="59">
        <f t="shared" si="338"/>
        <v>-43.015951825668687</v>
      </c>
      <c r="AD256" s="59">
        <f t="shared" si="339"/>
        <v>-4.2815534228198171</v>
      </c>
      <c r="AF256" s="53">
        <v>4424</v>
      </c>
      <c r="AG256" s="53">
        <v>3000</v>
      </c>
      <c r="AH256" s="53">
        <v>9300</v>
      </c>
      <c r="AI256" s="53">
        <f t="shared" si="103"/>
        <v>16724</v>
      </c>
      <c r="AJ256" s="53">
        <f t="shared" si="319"/>
        <v>16655</v>
      </c>
      <c r="AK256" s="53">
        <f t="shared" si="320"/>
        <v>11615.333333333334</v>
      </c>
      <c r="AL256" s="59">
        <f t="shared" si="340"/>
        <v>17.575928008998876</v>
      </c>
      <c r="AM256" s="59">
        <f t="shared" si="340"/>
        <v>55.566971791518768</v>
      </c>
      <c r="AN256" s="59">
        <f t="shared" si="341"/>
        <v>43.388050278367672</v>
      </c>
      <c r="AP256" s="53">
        <f t="shared" si="135"/>
        <v>260099</v>
      </c>
      <c r="AQ256" s="53">
        <f t="shared" si="135"/>
        <v>109244</v>
      </c>
      <c r="AR256" s="53">
        <f t="shared" si="161"/>
        <v>19500</v>
      </c>
      <c r="AS256" s="53">
        <f t="shared" si="286"/>
        <v>388843</v>
      </c>
      <c r="AT256" s="53">
        <f t="shared" si="321"/>
        <v>401945.5</v>
      </c>
      <c r="AU256" s="53">
        <f t="shared" si="322"/>
        <v>474173.08333333331</v>
      </c>
      <c r="AV256" s="59">
        <f t="shared" si="342"/>
        <v>-33.138054305567252</v>
      </c>
      <c r="AW256" s="59">
        <f t="shared" si="332"/>
        <v>-28.830263279625655</v>
      </c>
      <c r="AX256" s="59">
        <f t="shared" si="343"/>
        <v>-15.23232462407802</v>
      </c>
      <c r="AZ256" s="53">
        <f t="shared" si="166"/>
        <v>303.666</v>
      </c>
      <c r="BA256" s="53">
        <f t="shared" si="167"/>
        <v>7.5570000000000004</v>
      </c>
      <c r="BB256" s="53">
        <f t="shared" si="168"/>
        <v>60.896000000000001</v>
      </c>
      <c r="BC256" s="53">
        <f t="shared" si="169"/>
        <v>16.724</v>
      </c>
      <c r="BD256" s="53">
        <f t="shared" si="170"/>
        <v>388.84300000000002</v>
      </c>
      <c r="BE256" s="60">
        <f t="shared" si="344"/>
        <v>17384.353000000003</v>
      </c>
      <c r="BF256" s="60">
        <f t="shared" si="344"/>
        <v>1366.9749999999999</v>
      </c>
      <c r="BG256" s="60">
        <f t="shared" si="344"/>
        <v>4269.0760000000009</v>
      </c>
      <c r="BH256" s="60">
        <f t="shared" si="344"/>
        <v>397.815</v>
      </c>
      <c r="BI256" s="60">
        <f t="shared" si="344"/>
        <v>23418.219000000005</v>
      </c>
      <c r="BJ256" s="1">
        <f t="shared" si="189"/>
        <v>38</v>
      </c>
    </row>
    <row r="257" spans="1:65" x14ac:dyDescent="0.3">
      <c r="A257" s="48">
        <f t="shared" si="238"/>
        <v>39354</v>
      </c>
      <c r="B257" s="53">
        <v>241269</v>
      </c>
      <c r="C257" s="53">
        <v>110356</v>
      </c>
      <c r="D257" s="53">
        <v>2800</v>
      </c>
      <c r="E257" s="53">
        <f t="shared" si="195"/>
        <v>354425</v>
      </c>
      <c r="F257" s="53">
        <f t="shared" si="324"/>
        <v>285459</v>
      </c>
      <c r="G257" s="53">
        <f t="shared" si="325"/>
        <v>349674.58333333331</v>
      </c>
      <c r="H257" s="59">
        <f t="shared" si="334"/>
        <v>-38.525087765551504</v>
      </c>
      <c r="I257" s="59">
        <f t="shared" si="334"/>
        <v>-32.000786093294984</v>
      </c>
      <c r="J257" s="59">
        <f t="shared" si="335"/>
        <v>-18.364384028483627</v>
      </c>
      <c r="L257" s="53">
        <v>17000</v>
      </c>
      <c r="M257" s="53">
        <v>0</v>
      </c>
      <c r="N257" s="53">
        <v>23800</v>
      </c>
      <c r="O257" s="53">
        <f t="shared" si="269"/>
        <v>40800</v>
      </c>
      <c r="P257" s="53">
        <f t="shared" si="327"/>
        <v>51670.5</v>
      </c>
      <c r="Q257" s="53">
        <f t="shared" si="328"/>
        <v>47538.416666666664</v>
      </c>
      <c r="R257" s="59">
        <f t="shared" si="336"/>
        <v>-18.174160683486416</v>
      </c>
      <c r="S257" s="59">
        <f t="shared" si="336"/>
        <v>0.32424980826546435</v>
      </c>
      <c r="T257" s="59">
        <f t="shared" si="337"/>
        <v>8.6920928862797009</v>
      </c>
      <c r="V257" s="53">
        <v>68029</v>
      </c>
      <c r="W257" s="53">
        <v>7720</v>
      </c>
      <c r="X257" s="53">
        <v>14000</v>
      </c>
      <c r="Y257" s="53">
        <f t="shared" si="270"/>
        <v>89749</v>
      </c>
      <c r="Z257" s="53">
        <f t="shared" ref="Z257:Z262" si="345">AVERAGE(Y254,Y255,Y256,Y257)</f>
        <v>63650</v>
      </c>
      <c r="AA257" s="53">
        <f t="shared" ref="AA257:AA262" si="346">AVERAGE(Z205,Z153,Z101)</f>
        <v>67973</v>
      </c>
      <c r="AB257" s="59">
        <f t="shared" si="338"/>
        <v>-27.487274783873318</v>
      </c>
      <c r="AC257" s="59">
        <f t="shared" si="338"/>
        <v>-43.546169742875641</v>
      </c>
      <c r="AD257" s="59">
        <f t="shared" si="339"/>
        <v>-6.3598781869271592</v>
      </c>
      <c r="AF257" s="53">
        <v>6400</v>
      </c>
      <c r="AG257" s="53">
        <v>2900</v>
      </c>
      <c r="AH257" s="53">
        <v>10800</v>
      </c>
      <c r="AI257" s="53">
        <f t="shared" si="103"/>
        <v>20100</v>
      </c>
      <c r="AJ257" s="53">
        <f t="shared" ref="AJ257:AJ262" si="347">AVERAGE(AI254,AI255,AI256,AI257)</f>
        <v>17980</v>
      </c>
      <c r="AK257" s="53">
        <f t="shared" ref="AK257:AK262" si="348">AVERAGE(AJ205,AJ153,AJ101)</f>
        <v>13274.583333333334</v>
      </c>
      <c r="AL257" s="59">
        <f t="shared" si="340"/>
        <v>68.200836820083694</v>
      </c>
      <c r="AM257" s="59">
        <f t="shared" si="340"/>
        <v>43.056052830488923</v>
      </c>
      <c r="AN257" s="59">
        <f t="shared" si="341"/>
        <v>35.446812517655914</v>
      </c>
      <c r="AP257" s="53">
        <f t="shared" si="135"/>
        <v>332698</v>
      </c>
      <c r="AQ257" s="53">
        <f t="shared" si="135"/>
        <v>120976</v>
      </c>
      <c r="AR257" s="53">
        <f t="shared" si="161"/>
        <v>51400</v>
      </c>
      <c r="AS257" s="53">
        <f t="shared" si="286"/>
        <v>505074</v>
      </c>
      <c r="AT257" s="53">
        <f t="shared" ref="AT257:AT262" si="349">AVERAGE(AS254,AS255,AS256,AS257)</f>
        <v>418759.5</v>
      </c>
      <c r="AU257" s="53">
        <f t="shared" ref="AU257:AU262" si="350">AVERAGE(AT205,AT153,AT101)</f>
        <v>478460.58333333331</v>
      </c>
      <c r="AV257" s="59">
        <f t="shared" si="342"/>
        <v>-33.727585492010427</v>
      </c>
      <c r="AW257" s="59">
        <f t="shared" si="332"/>
        <v>-29.810942204917236</v>
      </c>
      <c r="AX257" s="59">
        <f t="shared" si="343"/>
        <v>-12.47774329024317</v>
      </c>
      <c r="AZ257" s="53">
        <f t="shared" si="166"/>
        <v>354.42500000000001</v>
      </c>
      <c r="BA257" s="53">
        <f t="shared" si="167"/>
        <v>40.799999999999997</v>
      </c>
      <c r="BB257" s="53">
        <f t="shared" si="168"/>
        <v>89.748999999999995</v>
      </c>
      <c r="BC257" s="53">
        <f t="shared" si="169"/>
        <v>20.100000000000001</v>
      </c>
      <c r="BD257" s="53">
        <f t="shared" si="170"/>
        <v>505.07400000000001</v>
      </c>
      <c r="BE257" s="60">
        <f t="shared" ref="BE257:BI258" si="351">BE256+AZ257</f>
        <v>17738.778000000002</v>
      </c>
      <c r="BF257" s="60">
        <f t="shared" si="351"/>
        <v>1407.7749999999999</v>
      </c>
      <c r="BG257" s="60">
        <f t="shared" si="351"/>
        <v>4358.8250000000007</v>
      </c>
      <c r="BH257" s="60">
        <f t="shared" si="351"/>
        <v>417.91500000000002</v>
      </c>
      <c r="BI257" s="60">
        <f t="shared" si="351"/>
        <v>23923.293000000005</v>
      </c>
      <c r="BJ257" s="1">
        <f t="shared" si="189"/>
        <v>39</v>
      </c>
    </row>
    <row r="258" spans="1:65" x14ac:dyDescent="0.3">
      <c r="A258" s="48">
        <f t="shared" si="238"/>
        <v>39361</v>
      </c>
      <c r="B258" s="53">
        <v>229074</v>
      </c>
      <c r="C258" s="53">
        <v>139305</v>
      </c>
      <c r="D258" s="53">
        <v>0</v>
      </c>
      <c r="E258" s="53">
        <f t="shared" si="195"/>
        <v>368379</v>
      </c>
      <c r="F258" s="53">
        <f t="shared" ref="F258:F264" si="352">AVERAGE(E255,E256,E257,E258)</f>
        <v>314358.5</v>
      </c>
      <c r="G258" s="53">
        <f t="shared" ref="G258:G264" si="353">AVERAGE(F206,F154,F102)</f>
        <v>383475.16666666669</v>
      </c>
      <c r="H258" s="59">
        <f t="shared" ref="H258:I260" si="354">((E258/E206)-1)*100</f>
        <v>-27.112262220867976</v>
      </c>
      <c r="I258" s="59">
        <f t="shared" si="354"/>
        <v>-31.730800553348871</v>
      </c>
      <c r="J258" s="59">
        <f t="shared" si="335"/>
        <v>-18.023765989192697</v>
      </c>
      <c r="L258" s="53">
        <v>6235</v>
      </c>
      <c r="M258" s="53">
        <v>12755</v>
      </c>
      <c r="N258" s="53">
        <v>20000</v>
      </c>
      <c r="O258" s="53">
        <f t="shared" si="269"/>
        <v>38990</v>
      </c>
      <c r="P258" s="53">
        <f t="shared" ref="P258:P264" si="355">AVERAGE(O255,O256,O257,O258)</f>
        <v>47009.25</v>
      </c>
      <c r="Q258" s="53">
        <f t="shared" ref="Q258:Q264" si="356">AVERAGE(P206,P154,P102)</f>
        <v>45042.5</v>
      </c>
      <c r="R258" s="59">
        <f t="shared" ref="R258:S260" si="357">((O258/O206)-1)*100</f>
        <v>-29.359543436905522</v>
      </c>
      <c r="S258" s="59">
        <f t="shared" si="357"/>
        <v>-16.169802993219118</v>
      </c>
      <c r="T258" s="59">
        <f t="shared" si="337"/>
        <v>4.3664317033912381</v>
      </c>
      <c r="V258" s="53">
        <v>128576</v>
      </c>
      <c r="W258" s="53">
        <v>18115</v>
      </c>
      <c r="X258" s="53">
        <v>2800</v>
      </c>
      <c r="Y258" s="53">
        <f t="shared" si="270"/>
        <v>149491</v>
      </c>
      <c r="Z258" s="53">
        <f t="shared" si="345"/>
        <v>85336.5</v>
      </c>
      <c r="AA258" s="53">
        <f t="shared" si="346"/>
        <v>100138.58333333333</v>
      </c>
      <c r="AB258" s="59">
        <f t="shared" ref="AB258:AC260" si="358">((Y258/Y206)-1)*100</f>
        <v>-24.128953018022358</v>
      </c>
      <c r="AC258" s="59">
        <f t="shared" si="358"/>
        <v>-35.395429648612129</v>
      </c>
      <c r="AD258" s="59">
        <f t="shared" si="339"/>
        <v>-14.781598501410119</v>
      </c>
      <c r="AF258" s="53">
        <v>3000</v>
      </c>
      <c r="AG258" s="53">
        <v>0</v>
      </c>
      <c r="AH258" s="53">
        <v>6200</v>
      </c>
      <c r="AI258" s="53">
        <f t="shared" si="103"/>
        <v>9200</v>
      </c>
      <c r="AJ258" s="53">
        <f t="shared" si="347"/>
        <v>18124</v>
      </c>
      <c r="AK258" s="53">
        <f t="shared" si="348"/>
        <v>14948.916666666666</v>
      </c>
      <c r="AL258" s="59">
        <f t="shared" ref="AL258:AM260" si="359">((AI258/AI206)-1)*100</f>
        <v>-42.729083665338642</v>
      </c>
      <c r="AM258" s="59">
        <f t="shared" si="359"/>
        <v>37.987742205641631</v>
      </c>
      <c r="AN258" s="59">
        <f t="shared" si="341"/>
        <v>21.239554705747921</v>
      </c>
      <c r="AP258" s="53">
        <f t="shared" si="135"/>
        <v>366885</v>
      </c>
      <c r="AQ258" s="53">
        <f t="shared" si="135"/>
        <v>170175</v>
      </c>
      <c r="AR258" s="53">
        <f t="shared" si="161"/>
        <v>29000</v>
      </c>
      <c r="AS258" s="53">
        <f t="shared" si="286"/>
        <v>566060</v>
      </c>
      <c r="AT258" s="53">
        <f t="shared" si="349"/>
        <v>464828.25</v>
      </c>
      <c r="AU258" s="53">
        <f t="shared" si="350"/>
        <v>543605.16666666663</v>
      </c>
      <c r="AV258" s="59">
        <f t="shared" si="342"/>
        <v>-26.837086304992386</v>
      </c>
      <c r="AW258" s="59">
        <f t="shared" ref="AW258:AW263" si="360">((AT258/AT206)-1)*100</f>
        <v>-29.759928192655838</v>
      </c>
      <c r="AX258" s="59">
        <f t="shared" si="343"/>
        <v>-14.491568788744026</v>
      </c>
      <c r="AZ258" s="53">
        <f t="shared" si="166"/>
        <v>368.37900000000002</v>
      </c>
      <c r="BA258" s="53">
        <f t="shared" si="167"/>
        <v>38.99</v>
      </c>
      <c r="BB258" s="53">
        <f t="shared" si="168"/>
        <v>149.49100000000001</v>
      </c>
      <c r="BC258" s="53">
        <f t="shared" si="169"/>
        <v>9.1999999999999993</v>
      </c>
      <c r="BD258" s="53">
        <f t="shared" si="170"/>
        <v>566.05999999999995</v>
      </c>
      <c r="BE258" s="60">
        <f t="shared" si="351"/>
        <v>18107.157000000003</v>
      </c>
      <c r="BF258" s="60">
        <f t="shared" si="351"/>
        <v>1446.7649999999999</v>
      </c>
      <c r="BG258" s="60">
        <f t="shared" si="351"/>
        <v>4508.3160000000007</v>
      </c>
      <c r="BH258" s="60">
        <f t="shared" si="351"/>
        <v>427.11500000000001</v>
      </c>
      <c r="BI258" s="60">
        <f t="shared" si="351"/>
        <v>24489.353000000006</v>
      </c>
      <c r="BJ258" s="1">
        <f t="shared" si="189"/>
        <v>40</v>
      </c>
    </row>
    <row r="259" spans="1:65" x14ac:dyDescent="0.3">
      <c r="A259" s="48">
        <f t="shared" si="238"/>
        <v>39368</v>
      </c>
      <c r="B259" s="53">
        <v>381931</v>
      </c>
      <c r="C259" s="53">
        <v>113060</v>
      </c>
      <c r="D259" s="53">
        <v>0</v>
      </c>
      <c r="E259" s="53">
        <f t="shared" si="195"/>
        <v>494991</v>
      </c>
      <c r="F259" s="53">
        <f t="shared" si="352"/>
        <v>380365.25</v>
      </c>
      <c r="G259" s="53">
        <f t="shared" si="353"/>
        <v>415000.25</v>
      </c>
      <c r="H259" s="59">
        <f t="shared" si="354"/>
        <v>35.129358001031918</v>
      </c>
      <c r="I259" s="59">
        <f t="shared" si="354"/>
        <v>-19.324664113693892</v>
      </c>
      <c r="J259" s="59">
        <f t="shared" si="335"/>
        <v>-8.3457781049529505</v>
      </c>
      <c r="L259" s="53">
        <v>7824</v>
      </c>
      <c r="M259" s="53">
        <v>0</v>
      </c>
      <c r="N259" s="53">
        <v>22028</v>
      </c>
      <c r="O259" s="53">
        <f t="shared" si="269"/>
        <v>29852</v>
      </c>
      <c r="P259" s="53">
        <f t="shared" si="355"/>
        <v>29299.75</v>
      </c>
      <c r="Q259" s="53">
        <f t="shared" si="356"/>
        <v>39835.583333333336</v>
      </c>
      <c r="R259" s="59">
        <f t="shared" si="357"/>
        <v>11.044154298255403</v>
      </c>
      <c r="S259" s="59">
        <f t="shared" si="357"/>
        <v>-30.081790685049192</v>
      </c>
      <c r="T259" s="59">
        <f t="shared" si="337"/>
        <v>-26.448296853525012</v>
      </c>
      <c r="V259" s="53">
        <v>128250</v>
      </c>
      <c r="W259" s="53">
        <v>50800</v>
      </c>
      <c r="X259" s="53">
        <v>12600</v>
      </c>
      <c r="Y259" s="53">
        <f t="shared" si="270"/>
        <v>191650</v>
      </c>
      <c r="Z259" s="53">
        <f t="shared" si="345"/>
        <v>122946.5</v>
      </c>
      <c r="AA259" s="53">
        <f t="shared" si="346"/>
        <v>149133.16666666666</v>
      </c>
      <c r="AB259" s="59">
        <f t="shared" si="358"/>
        <v>-30.381747049442943</v>
      </c>
      <c r="AC259" s="59">
        <f t="shared" si="358"/>
        <v>-28.735858708079686</v>
      </c>
      <c r="AD259" s="59">
        <f t="shared" si="339"/>
        <v>-17.559250736757637</v>
      </c>
      <c r="AF259" s="53">
        <v>0</v>
      </c>
      <c r="AG259" s="53">
        <v>8600</v>
      </c>
      <c r="AH259" s="53">
        <v>13043</v>
      </c>
      <c r="AI259" s="53">
        <f t="shared" si="103"/>
        <v>21643</v>
      </c>
      <c r="AJ259" s="53">
        <f t="shared" si="347"/>
        <v>16916.75</v>
      </c>
      <c r="AK259" s="53">
        <f t="shared" si="348"/>
        <v>15687.75</v>
      </c>
      <c r="AL259" s="59">
        <f t="shared" si="359"/>
        <v>43.902925531914882</v>
      </c>
      <c r="AM259" s="59">
        <f t="shared" si="359"/>
        <v>18.137853975348307</v>
      </c>
      <c r="AN259" s="59">
        <f t="shared" si="341"/>
        <v>7.8341381013848466</v>
      </c>
      <c r="AP259" s="53">
        <f t="shared" si="135"/>
        <v>518005</v>
      </c>
      <c r="AQ259" s="53">
        <f t="shared" si="135"/>
        <v>172460</v>
      </c>
      <c r="AR259" s="53">
        <f t="shared" si="161"/>
        <v>47671</v>
      </c>
      <c r="AS259" s="53">
        <f t="shared" si="286"/>
        <v>738136</v>
      </c>
      <c r="AT259" s="53">
        <f t="shared" si="349"/>
        <v>549528.25</v>
      </c>
      <c r="AU259" s="53">
        <f t="shared" si="350"/>
        <v>619656.75</v>
      </c>
      <c r="AV259" s="59">
        <f t="shared" si="342"/>
        <v>7.9905606135308505</v>
      </c>
      <c r="AW259" s="59">
        <f t="shared" si="360"/>
        <v>-21.521077540901203</v>
      </c>
      <c r="AX259" s="59">
        <f t="shared" si="343"/>
        <v>-11.317313980683663</v>
      </c>
      <c r="AZ259" s="53">
        <f t="shared" si="166"/>
        <v>494.99099999999999</v>
      </c>
      <c r="BA259" s="53">
        <f t="shared" si="167"/>
        <v>29.852</v>
      </c>
      <c r="BB259" s="53">
        <f t="shared" si="168"/>
        <v>191.65</v>
      </c>
      <c r="BC259" s="53">
        <f t="shared" si="169"/>
        <v>21.643000000000001</v>
      </c>
      <c r="BD259" s="53">
        <f t="shared" si="170"/>
        <v>738.13599999999997</v>
      </c>
      <c r="BE259" s="60">
        <f t="shared" ref="BE259:BI260" si="361">BE258+AZ259</f>
        <v>18602.148000000001</v>
      </c>
      <c r="BF259" s="60">
        <f t="shared" si="361"/>
        <v>1476.617</v>
      </c>
      <c r="BG259" s="60">
        <f t="shared" si="361"/>
        <v>4699.9660000000003</v>
      </c>
      <c r="BH259" s="60">
        <f t="shared" si="361"/>
        <v>448.75800000000004</v>
      </c>
      <c r="BI259" s="60">
        <f t="shared" si="361"/>
        <v>25227.489000000005</v>
      </c>
      <c r="BJ259" s="1">
        <f t="shared" si="189"/>
        <v>41</v>
      </c>
    </row>
    <row r="260" spans="1:65" x14ac:dyDescent="0.3">
      <c r="A260" s="48">
        <f t="shared" si="238"/>
        <v>39375</v>
      </c>
      <c r="B260" s="53">
        <v>458358</v>
      </c>
      <c r="C260" s="53">
        <v>100500</v>
      </c>
      <c r="D260" s="53">
        <v>0</v>
      </c>
      <c r="E260" s="53">
        <f t="shared" si="195"/>
        <v>558858</v>
      </c>
      <c r="F260" s="53">
        <f t="shared" si="352"/>
        <v>444163.25</v>
      </c>
      <c r="G260" s="53">
        <f t="shared" si="353"/>
        <v>411346.83333333331</v>
      </c>
      <c r="H260" s="59">
        <f t="shared" si="354"/>
        <v>40.534518917885862</v>
      </c>
      <c r="I260" s="59">
        <f t="shared" si="354"/>
        <v>-3.7522813864328652</v>
      </c>
      <c r="J260" s="59">
        <f t="shared" si="335"/>
        <v>7.9777973251283107</v>
      </c>
      <c r="L260" s="53">
        <v>9507</v>
      </c>
      <c r="M260" s="53">
        <v>1500</v>
      </c>
      <c r="N260" s="53">
        <v>7000</v>
      </c>
      <c r="O260" s="53">
        <f t="shared" si="269"/>
        <v>18007</v>
      </c>
      <c r="P260" s="53">
        <f t="shared" si="355"/>
        <v>31912.25</v>
      </c>
      <c r="Q260" s="53">
        <f t="shared" si="356"/>
        <v>35625.416666666664</v>
      </c>
      <c r="R260" s="59">
        <f t="shared" si="357"/>
        <v>-35.40321423446693</v>
      </c>
      <c r="S260" s="59">
        <f t="shared" si="357"/>
        <v>-20.127521649897385</v>
      </c>
      <c r="T260" s="59">
        <f t="shared" si="337"/>
        <v>-10.422802072490377</v>
      </c>
      <c r="V260" s="53">
        <v>114992</v>
      </c>
      <c r="W260" s="53">
        <v>44800</v>
      </c>
      <c r="X260" s="53">
        <v>16800</v>
      </c>
      <c r="Y260" s="53">
        <f t="shared" si="270"/>
        <v>176592</v>
      </c>
      <c r="Z260" s="53">
        <f t="shared" si="345"/>
        <v>151870.5</v>
      </c>
      <c r="AA260" s="53">
        <f t="shared" si="346"/>
        <v>207855.5</v>
      </c>
      <c r="AB260" s="59">
        <f t="shared" si="358"/>
        <v>-43.892558596170161</v>
      </c>
      <c r="AC260" s="59">
        <f t="shared" si="358"/>
        <v>-33.30449513574996</v>
      </c>
      <c r="AD260" s="59">
        <f t="shared" si="339"/>
        <v>-26.934577146142392</v>
      </c>
      <c r="AF260" s="53">
        <v>0</v>
      </c>
      <c r="AG260" s="53">
        <v>1600</v>
      </c>
      <c r="AH260" s="53">
        <v>7800</v>
      </c>
      <c r="AI260" s="53">
        <f t="shared" si="103"/>
        <v>9400</v>
      </c>
      <c r="AJ260" s="53">
        <f t="shared" si="347"/>
        <v>15085.75</v>
      </c>
      <c r="AK260" s="53">
        <f t="shared" si="348"/>
        <v>17080.083333333332</v>
      </c>
      <c r="AL260" s="59">
        <f t="shared" si="359"/>
        <v>13.25301204819278</v>
      </c>
      <c r="AM260" s="59">
        <f t="shared" si="359"/>
        <v>17.5039918993652</v>
      </c>
      <c r="AN260" s="59">
        <f t="shared" si="341"/>
        <v>-11.676367699220824</v>
      </c>
      <c r="AP260" s="53">
        <f t="shared" si="135"/>
        <v>582857</v>
      </c>
      <c r="AQ260" s="53">
        <f t="shared" si="135"/>
        <v>148400</v>
      </c>
      <c r="AR260" s="53">
        <f t="shared" si="161"/>
        <v>31600</v>
      </c>
      <c r="AS260" s="53">
        <f t="shared" si="286"/>
        <v>762857</v>
      </c>
      <c r="AT260" s="53">
        <f t="shared" si="349"/>
        <v>643031.75</v>
      </c>
      <c r="AU260" s="53">
        <f t="shared" si="350"/>
        <v>671907.83333333337</v>
      </c>
      <c r="AV260" s="59">
        <f t="shared" si="342"/>
        <v>1.907074852287205</v>
      </c>
      <c r="AW260" s="59">
        <f t="shared" si="360"/>
        <v>-13.335586317132964</v>
      </c>
      <c r="AX260" s="59">
        <f t="shared" si="343"/>
        <v>-4.2976256416120577</v>
      </c>
      <c r="AZ260" s="53">
        <f t="shared" si="166"/>
        <v>558.85799999999995</v>
      </c>
      <c r="BA260" s="53">
        <f t="shared" si="167"/>
        <v>18.007000000000001</v>
      </c>
      <c r="BB260" s="53">
        <f t="shared" si="168"/>
        <v>176.59200000000001</v>
      </c>
      <c r="BC260" s="53">
        <f t="shared" si="169"/>
        <v>9.4</v>
      </c>
      <c r="BD260" s="53">
        <f t="shared" si="170"/>
        <v>762.85699999999997</v>
      </c>
      <c r="BE260" s="60">
        <f t="shared" si="361"/>
        <v>19161.006000000001</v>
      </c>
      <c r="BF260" s="60">
        <f t="shared" si="361"/>
        <v>1494.624</v>
      </c>
      <c r="BG260" s="60">
        <f t="shared" si="361"/>
        <v>4876.558</v>
      </c>
      <c r="BH260" s="60">
        <f t="shared" si="361"/>
        <v>458.15800000000002</v>
      </c>
      <c r="BI260" s="60">
        <f t="shared" si="361"/>
        <v>25990.346000000005</v>
      </c>
      <c r="BJ260" s="1">
        <f t="shared" si="189"/>
        <v>42</v>
      </c>
    </row>
    <row r="261" spans="1:65" x14ac:dyDescent="0.3">
      <c r="A261" s="48">
        <f t="shared" si="238"/>
        <v>39382</v>
      </c>
      <c r="B261" s="53">
        <v>576269</v>
      </c>
      <c r="C261" s="53">
        <v>76607</v>
      </c>
      <c r="D261" s="53">
        <v>0</v>
      </c>
      <c r="E261" s="53">
        <f t="shared" si="195"/>
        <v>652876</v>
      </c>
      <c r="F261" s="53">
        <f t="shared" si="352"/>
        <v>518776</v>
      </c>
      <c r="G261" s="53">
        <f t="shared" si="353"/>
        <v>394296.66666666669</v>
      </c>
      <c r="H261" s="59">
        <f t="shared" ref="H261:I263" si="362">((E261/E209)-1)*100</f>
        <v>90.545624352445017</v>
      </c>
      <c r="I261" s="59">
        <f t="shared" si="362"/>
        <v>28.7272582902403</v>
      </c>
      <c r="J261" s="59">
        <f t="shared" ref="J261:J266" si="363">((F261/G261)-1)*100</f>
        <v>31.569968467059482</v>
      </c>
      <c r="L261" s="53">
        <v>12100</v>
      </c>
      <c r="M261" s="53">
        <v>1500</v>
      </c>
      <c r="N261" s="53">
        <v>19600</v>
      </c>
      <c r="O261" s="53">
        <f t="shared" si="269"/>
        <v>33200</v>
      </c>
      <c r="P261" s="53">
        <f t="shared" si="355"/>
        <v>30012.25</v>
      </c>
      <c r="Q261" s="53">
        <f t="shared" si="356"/>
        <v>26795.833333333332</v>
      </c>
      <c r="R261" s="59">
        <f t="shared" ref="R261:S263" si="364">((O261/O209)-1)*100</f>
        <v>151.5151515151515</v>
      </c>
      <c r="S261" s="59">
        <f t="shared" si="364"/>
        <v>-2.521233577472104</v>
      </c>
      <c r="T261" s="59">
        <f t="shared" ref="T261:T266" si="365">((P261/Q261)-1)*100</f>
        <v>12.003420929870945</v>
      </c>
      <c r="V261" s="53">
        <v>83623</v>
      </c>
      <c r="W261" s="53">
        <v>27350</v>
      </c>
      <c r="X261" s="53">
        <v>12600</v>
      </c>
      <c r="Y261" s="53">
        <f t="shared" si="270"/>
        <v>123573</v>
      </c>
      <c r="Z261" s="53">
        <f t="shared" si="345"/>
        <v>160326.5</v>
      </c>
      <c r="AA261" s="53">
        <f t="shared" si="346"/>
        <v>238546.25</v>
      </c>
      <c r="AB261" s="59">
        <f t="shared" ref="AB261:AC263" si="366">((Y261/Y209)-1)*100</f>
        <v>-46.350982911919978</v>
      </c>
      <c r="AC261" s="59">
        <f t="shared" si="366"/>
        <v>-36.965878542748889</v>
      </c>
      <c r="AD261" s="59">
        <f t="shared" ref="AD261:AD266" si="367">((Z261/AA261)-1)*100</f>
        <v>-32.79018219737263</v>
      </c>
      <c r="AF261" s="53">
        <v>9400</v>
      </c>
      <c r="AG261" s="53">
        <v>15500</v>
      </c>
      <c r="AH261" s="53">
        <v>4400</v>
      </c>
      <c r="AI261" s="53">
        <f t="shared" si="103"/>
        <v>29300</v>
      </c>
      <c r="AJ261" s="53">
        <f t="shared" si="347"/>
        <v>17385.75</v>
      </c>
      <c r="AK261" s="53">
        <f t="shared" si="348"/>
        <v>15022.583333333334</v>
      </c>
      <c r="AL261" s="59">
        <f t="shared" ref="AL261:AM263" si="368">((AI261/AI209)-1)*100</f>
        <v>285.5263157894737</v>
      </c>
      <c r="AM261" s="59">
        <f t="shared" si="368"/>
        <v>47.951238192494252</v>
      </c>
      <c r="AN261" s="59">
        <f t="shared" ref="AN261:AN266" si="369">((AJ261/AK261)-1)*100</f>
        <v>15.730760909963326</v>
      </c>
      <c r="AP261" s="53">
        <f t="shared" si="135"/>
        <v>681392</v>
      </c>
      <c r="AQ261" s="53">
        <f t="shared" si="135"/>
        <v>120957</v>
      </c>
      <c r="AR261" s="53">
        <f t="shared" si="161"/>
        <v>36600</v>
      </c>
      <c r="AS261" s="53">
        <f t="shared" si="286"/>
        <v>838949</v>
      </c>
      <c r="AT261" s="53">
        <f t="shared" si="349"/>
        <v>726500.5</v>
      </c>
      <c r="AU261" s="53">
        <f t="shared" si="350"/>
        <v>674661.33333333337</v>
      </c>
      <c r="AV261" s="59">
        <f t="shared" ref="AV261:AV266" si="370">((AS261/AS209)-1)*100</f>
        <v>41.29167642070766</v>
      </c>
      <c r="AW261" s="59">
        <f t="shared" si="360"/>
        <v>3.8017637714948371</v>
      </c>
      <c r="AX261" s="59">
        <f t="shared" ref="AX261:AX266" si="371">((AT261/AU261)-1)*100</f>
        <v>7.6837316895785657</v>
      </c>
      <c r="AZ261" s="53">
        <f t="shared" si="166"/>
        <v>652.87599999999998</v>
      </c>
      <c r="BA261" s="53">
        <f t="shared" si="167"/>
        <v>33.200000000000003</v>
      </c>
      <c r="BB261" s="53">
        <f t="shared" si="168"/>
        <v>123.57299999999999</v>
      </c>
      <c r="BC261" s="53">
        <f t="shared" si="169"/>
        <v>29.3</v>
      </c>
      <c r="BD261" s="53">
        <f t="shared" si="170"/>
        <v>838.94899999999996</v>
      </c>
      <c r="BE261" s="60">
        <f t="shared" ref="BE261:BI262" si="372">BE260+AZ261</f>
        <v>19813.882000000001</v>
      </c>
      <c r="BF261" s="60">
        <f t="shared" si="372"/>
        <v>1527.8240000000001</v>
      </c>
      <c r="BG261" s="60">
        <f t="shared" si="372"/>
        <v>5000.1310000000003</v>
      </c>
      <c r="BH261" s="60">
        <f t="shared" si="372"/>
        <v>487.45800000000003</v>
      </c>
      <c r="BI261" s="60">
        <f t="shared" si="372"/>
        <v>26829.295000000006</v>
      </c>
      <c r="BJ261" s="1">
        <f t="shared" si="189"/>
        <v>43</v>
      </c>
    </row>
    <row r="262" spans="1:65" x14ac:dyDescent="0.3">
      <c r="A262" s="48">
        <f t="shared" si="238"/>
        <v>39389</v>
      </c>
      <c r="B262" s="53">
        <v>493971</v>
      </c>
      <c r="C262" s="53">
        <v>51000</v>
      </c>
      <c r="D262" s="53">
        <v>0</v>
      </c>
      <c r="E262" s="53">
        <f t="shared" si="195"/>
        <v>544971</v>
      </c>
      <c r="F262" s="53">
        <f t="shared" si="352"/>
        <v>562924</v>
      </c>
      <c r="G262" s="53">
        <f t="shared" si="353"/>
        <v>402551.5</v>
      </c>
      <c r="H262" s="59">
        <f t="shared" si="362"/>
        <v>6.879482558105332</v>
      </c>
      <c r="I262" s="59">
        <f t="shared" si="362"/>
        <v>39.294266697927569</v>
      </c>
      <c r="J262" s="59">
        <f t="shared" si="363"/>
        <v>39.839001966208045</v>
      </c>
      <c r="L262" s="53">
        <v>12814</v>
      </c>
      <c r="M262" s="53">
        <v>0</v>
      </c>
      <c r="N262" s="53">
        <v>15400</v>
      </c>
      <c r="O262" s="53">
        <f t="shared" si="269"/>
        <v>28214</v>
      </c>
      <c r="P262" s="53">
        <f t="shared" si="355"/>
        <v>27318.25</v>
      </c>
      <c r="Q262" s="53">
        <f t="shared" si="356"/>
        <v>23179</v>
      </c>
      <c r="R262" s="59">
        <f t="shared" si="364"/>
        <v>182.14000000000001</v>
      </c>
      <c r="S262" s="59">
        <f t="shared" si="364"/>
        <v>40.167267409792331</v>
      </c>
      <c r="T262" s="59">
        <f t="shared" si="365"/>
        <v>17.857759178566802</v>
      </c>
      <c r="V262" s="53">
        <v>17175</v>
      </c>
      <c r="W262" s="53">
        <v>10700</v>
      </c>
      <c r="X262" s="53">
        <v>8400</v>
      </c>
      <c r="Y262" s="53">
        <f t="shared" si="270"/>
        <v>36275</v>
      </c>
      <c r="Z262" s="53">
        <f t="shared" si="345"/>
        <v>132022.5</v>
      </c>
      <c r="AA262" s="53">
        <f t="shared" si="346"/>
        <v>249067.66666666666</v>
      </c>
      <c r="AB262" s="59">
        <f t="shared" si="366"/>
        <v>-83.568202716965416</v>
      </c>
      <c r="AC262" s="59">
        <f t="shared" si="366"/>
        <v>-49.276886592650435</v>
      </c>
      <c r="AD262" s="59">
        <f t="shared" si="367"/>
        <v>-46.993320422964032</v>
      </c>
      <c r="AF262" s="53">
        <v>0</v>
      </c>
      <c r="AG262" s="53">
        <v>0</v>
      </c>
      <c r="AH262" s="53">
        <v>1400</v>
      </c>
      <c r="AI262" s="53">
        <f t="shared" si="103"/>
        <v>1400</v>
      </c>
      <c r="AJ262" s="53">
        <f t="shared" si="347"/>
        <v>15435.75</v>
      </c>
      <c r="AK262" s="53">
        <f t="shared" si="348"/>
        <v>12989.833333333334</v>
      </c>
      <c r="AL262" s="59">
        <f t="shared" si="368"/>
        <v>-91.666666666666657</v>
      </c>
      <c r="AM262" s="59">
        <f t="shared" si="368"/>
        <v>29.331797235023039</v>
      </c>
      <c r="AN262" s="59">
        <f t="shared" si="369"/>
        <v>18.829469200271998</v>
      </c>
      <c r="AP262" s="53">
        <f t="shared" si="135"/>
        <v>523960</v>
      </c>
      <c r="AQ262" s="53">
        <f t="shared" si="135"/>
        <v>61700</v>
      </c>
      <c r="AR262" s="53">
        <f t="shared" si="161"/>
        <v>25200</v>
      </c>
      <c r="AS262" s="53">
        <f t="shared" si="286"/>
        <v>610860</v>
      </c>
      <c r="AT262" s="53">
        <f t="shared" si="349"/>
        <v>737700.5</v>
      </c>
      <c r="AU262" s="53">
        <f t="shared" si="350"/>
        <v>687788</v>
      </c>
      <c r="AV262" s="59">
        <f t="shared" si="370"/>
        <v>-19.353518497492917</v>
      </c>
      <c r="AW262" s="59">
        <f t="shared" si="360"/>
        <v>6.0171557399872455</v>
      </c>
      <c r="AX262" s="59">
        <f t="shared" si="371"/>
        <v>7.2569599934863671</v>
      </c>
      <c r="AZ262" s="53">
        <f t="shared" si="166"/>
        <v>544.971</v>
      </c>
      <c r="BA262" s="53">
        <f t="shared" si="167"/>
        <v>28.213999999999999</v>
      </c>
      <c r="BB262" s="53">
        <f t="shared" si="168"/>
        <v>36.274999999999999</v>
      </c>
      <c r="BC262" s="53">
        <f t="shared" si="169"/>
        <v>1.4</v>
      </c>
      <c r="BD262" s="53">
        <f t="shared" si="170"/>
        <v>610.86</v>
      </c>
      <c r="BE262" s="60">
        <f t="shared" si="372"/>
        <v>20358.853000000003</v>
      </c>
      <c r="BF262" s="60">
        <f t="shared" si="372"/>
        <v>1556.038</v>
      </c>
      <c r="BG262" s="60">
        <f t="shared" si="372"/>
        <v>5036.4059999999999</v>
      </c>
      <c r="BH262" s="60">
        <f t="shared" si="372"/>
        <v>488.858</v>
      </c>
      <c r="BI262" s="60">
        <f t="shared" si="372"/>
        <v>27440.155000000006</v>
      </c>
      <c r="BJ262" s="1">
        <f t="shared" si="189"/>
        <v>44</v>
      </c>
    </row>
    <row r="263" spans="1:65" x14ac:dyDescent="0.3">
      <c r="A263" s="48">
        <f t="shared" si="238"/>
        <v>39396</v>
      </c>
      <c r="B263" s="53">
        <v>796660</v>
      </c>
      <c r="C263" s="53">
        <v>50200</v>
      </c>
      <c r="D263" s="53">
        <v>0</v>
      </c>
      <c r="E263" s="53">
        <f t="shared" si="195"/>
        <v>846860</v>
      </c>
      <c r="F263" s="53">
        <f t="shared" si="352"/>
        <v>650891.25</v>
      </c>
      <c r="G263" s="53">
        <f t="shared" si="353"/>
        <v>445784.08333333331</v>
      </c>
      <c r="H263" s="59">
        <f t="shared" si="362"/>
        <v>38.974178037793436</v>
      </c>
      <c r="I263" s="59">
        <f t="shared" si="362"/>
        <v>40.009808777242341</v>
      </c>
      <c r="J263" s="59">
        <f t="shared" si="363"/>
        <v>46.010428441721317</v>
      </c>
      <c r="L263" s="53">
        <v>6400</v>
      </c>
      <c r="M263" s="53">
        <v>0</v>
      </c>
      <c r="N263" s="53">
        <v>11200</v>
      </c>
      <c r="O263" s="53">
        <f t="shared" si="269"/>
        <v>17600</v>
      </c>
      <c r="P263" s="53">
        <f t="shared" si="355"/>
        <v>24255.25</v>
      </c>
      <c r="Q263" s="53">
        <f t="shared" si="356"/>
        <v>19182.583333333332</v>
      </c>
      <c r="R263" s="59">
        <f t="shared" si="364"/>
        <v>-28.917609046849758</v>
      </c>
      <c r="S263" s="59">
        <f t="shared" si="364"/>
        <v>27.935281396698141</v>
      </c>
      <c r="T263" s="59">
        <f t="shared" si="365"/>
        <v>26.444126833803239</v>
      </c>
      <c r="V263" s="53">
        <v>146795</v>
      </c>
      <c r="W263" s="53">
        <v>21100</v>
      </c>
      <c r="X263" s="53">
        <v>28400</v>
      </c>
      <c r="Y263" s="53">
        <f t="shared" si="270"/>
        <v>196295</v>
      </c>
      <c r="Z263" s="53">
        <f t="shared" ref="Z263:Z268" si="373">AVERAGE(Y260,Y261,Y262,Y263)</f>
        <v>133183.75</v>
      </c>
      <c r="AA263" s="53">
        <f t="shared" ref="AA263:AA268" si="374">AVERAGE(Z211,Z159,Z107)</f>
        <v>246250.83333333334</v>
      </c>
      <c r="AB263" s="59">
        <f t="shared" si="366"/>
        <v>-9.6663598711458789</v>
      </c>
      <c r="AC263" s="59">
        <f t="shared" si="366"/>
        <v>-45.812685121895647</v>
      </c>
      <c r="AD263" s="59">
        <f t="shared" si="367"/>
        <v>-45.91541145376835</v>
      </c>
      <c r="AF263" s="53">
        <v>0</v>
      </c>
      <c r="AG263" s="53">
        <v>0</v>
      </c>
      <c r="AH263" s="53">
        <v>11000</v>
      </c>
      <c r="AI263" s="53">
        <f t="shared" si="103"/>
        <v>11000</v>
      </c>
      <c r="AJ263" s="53">
        <f t="shared" ref="AJ263:AJ268" si="375">AVERAGE(AI260,AI261,AI262,AI263)</f>
        <v>12775</v>
      </c>
      <c r="AK263" s="53">
        <f t="shared" ref="AK263:AK268" si="376">AVERAGE(AJ211,AJ159,AJ107)</f>
        <v>13360.666666666666</v>
      </c>
      <c r="AL263" s="59">
        <f t="shared" si="368"/>
        <v>4.3643263757115802</v>
      </c>
      <c r="AM263" s="59">
        <f t="shared" si="368"/>
        <v>18.177613320999075</v>
      </c>
      <c r="AN263" s="59">
        <f t="shared" si="369"/>
        <v>-4.3835137967167315</v>
      </c>
      <c r="AP263" s="53">
        <f t="shared" si="135"/>
        <v>949855</v>
      </c>
      <c r="AQ263" s="53">
        <f t="shared" si="135"/>
        <v>71300</v>
      </c>
      <c r="AR263" s="53">
        <f t="shared" si="161"/>
        <v>50600</v>
      </c>
      <c r="AS263" s="53">
        <f t="shared" si="286"/>
        <v>1071755</v>
      </c>
      <c r="AT263" s="53">
        <f t="shared" ref="AT263:AT268" si="377">AVERAGE(AS260,AS261,AS262,AS263)</f>
        <v>821105.25</v>
      </c>
      <c r="AU263" s="53">
        <f t="shared" ref="AU263:AU268" si="378">AVERAGE(AT211,AT159,AT107)</f>
        <v>724578.16666666663</v>
      </c>
      <c r="AV263" s="59">
        <f t="shared" si="370"/>
        <v>24.338575232173</v>
      </c>
      <c r="AW263" s="59">
        <f t="shared" si="360"/>
        <v>10.893819947592176</v>
      </c>
      <c r="AX263" s="59">
        <f t="shared" si="371"/>
        <v>13.321831622031134</v>
      </c>
      <c r="AZ263" s="53">
        <f t="shared" si="166"/>
        <v>846.86</v>
      </c>
      <c r="BA263" s="53">
        <f t="shared" si="167"/>
        <v>17.600000000000001</v>
      </c>
      <c r="BB263" s="53">
        <f t="shared" si="168"/>
        <v>196.29499999999999</v>
      </c>
      <c r="BC263" s="53">
        <f t="shared" si="169"/>
        <v>11</v>
      </c>
      <c r="BD263" s="53">
        <f t="shared" si="170"/>
        <v>1071.7550000000001</v>
      </c>
      <c r="BE263" s="60">
        <f t="shared" ref="BE263:BI264" si="379">BE262+AZ263</f>
        <v>21205.713000000003</v>
      </c>
      <c r="BF263" s="60">
        <f t="shared" si="379"/>
        <v>1573.6379999999999</v>
      </c>
      <c r="BG263" s="60">
        <f t="shared" si="379"/>
        <v>5232.701</v>
      </c>
      <c r="BH263" s="60">
        <f t="shared" si="379"/>
        <v>499.858</v>
      </c>
      <c r="BI263" s="60">
        <f t="shared" si="379"/>
        <v>28511.910000000007</v>
      </c>
      <c r="BJ263" s="1">
        <f t="shared" si="189"/>
        <v>45</v>
      </c>
      <c r="BL263" s="63"/>
      <c r="BM263" s="63"/>
    </row>
    <row r="264" spans="1:65" x14ac:dyDescent="0.3">
      <c r="A264" s="48">
        <f t="shared" si="238"/>
        <v>39403</v>
      </c>
      <c r="B264" s="53">
        <v>761610</v>
      </c>
      <c r="C264" s="53">
        <v>123374</v>
      </c>
      <c r="D264" s="53">
        <v>0</v>
      </c>
      <c r="E264" s="53">
        <f t="shared" si="195"/>
        <v>884984</v>
      </c>
      <c r="F264" s="53">
        <f t="shared" si="352"/>
        <v>732422.75</v>
      </c>
      <c r="G264" s="53">
        <f t="shared" si="353"/>
        <v>506124.83333333331</v>
      </c>
      <c r="H264" s="59">
        <f t="shared" ref="H264:I266" si="380">((E264/E212)-1)*100</f>
        <v>25.004449391351514</v>
      </c>
      <c r="I264" s="59">
        <f t="shared" si="380"/>
        <v>35.017823771634518</v>
      </c>
      <c r="J264" s="59">
        <f t="shared" si="363"/>
        <v>44.711877735038371</v>
      </c>
      <c r="L264" s="53">
        <v>6000</v>
      </c>
      <c r="M264" s="53">
        <v>6100</v>
      </c>
      <c r="N264" s="53">
        <v>7000</v>
      </c>
      <c r="O264" s="53">
        <f t="shared" si="269"/>
        <v>19100</v>
      </c>
      <c r="P264" s="53">
        <f t="shared" si="355"/>
        <v>24528.5</v>
      </c>
      <c r="Q264" s="53">
        <f t="shared" si="356"/>
        <v>18182.416666666668</v>
      </c>
      <c r="R264" s="59">
        <f t="shared" ref="R264:S266" si="381">((O264/O212)-1)*100</f>
        <v>124.70588235294117</v>
      </c>
      <c r="S264" s="59">
        <f t="shared" si="381"/>
        <v>73.776124690046046</v>
      </c>
      <c r="T264" s="59">
        <f t="shared" si="365"/>
        <v>34.902309465646738</v>
      </c>
      <c r="V264" s="53">
        <v>115217</v>
      </c>
      <c r="W264" s="53">
        <v>32400</v>
      </c>
      <c r="X264" s="53">
        <v>22400</v>
      </c>
      <c r="Y264" s="53">
        <f t="shared" si="270"/>
        <v>170017</v>
      </c>
      <c r="Z264" s="53">
        <f t="shared" si="373"/>
        <v>131540</v>
      </c>
      <c r="AA264" s="53">
        <f t="shared" si="374"/>
        <v>241337.66666666666</v>
      </c>
      <c r="AB264" s="59">
        <f t="shared" ref="AB264:AC266" si="382">((Y264/Y212)-1)*100</f>
        <v>-7.0930124537560761</v>
      </c>
      <c r="AC264" s="59">
        <f t="shared" si="382"/>
        <v>-38.200175242014858</v>
      </c>
      <c r="AD264" s="59">
        <f t="shared" si="367"/>
        <v>-45.495453810912231</v>
      </c>
      <c r="AF264" s="53">
        <v>0</v>
      </c>
      <c r="AG264" s="53">
        <v>0</v>
      </c>
      <c r="AH264" s="53">
        <v>1600</v>
      </c>
      <c r="AI264" s="53">
        <f t="shared" si="103"/>
        <v>1600</v>
      </c>
      <c r="AJ264" s="53">
        <f t="shared" si="375"/>
        <v>10825</v>
      </c>
      <c r="AK264" s="53">
        <f t="shared" si="376"/>
        <v>11658.583333333334</v>
      </c>
      <c r="AL264" s="59">
        <f t="shared" ref="AL264:AM266" si="383">((AI264/AI212)-1)*100</f>
        <v>-88.059701492537314</v>
      </c>
      <c r="AM264" s="59">
        <f t="shared" si="383"/>
        <v>-10.426148117501032</v>
      </c>
      <c r="AN264" s="59">
        <f t="shared" si="369"/>
        <v>-7.1499538966283804</v>
      </c>
      <c r="AP264" s="53">
        <f t="shared" si="135"/>
        <v>882827</v>
      </c>
      <c r="AQ264" s="53">
        <f t="shared" si="135"/>
        <v>161874</v>
      </c>
      <c r="AR264" s="53">
        <f t="shared" si="161"/>
        <v>31000</v>
      </c>
      <c r="AS264" s="53">
        <f t="shared" si="286"/>
        <v>1075701</v>
      </c>
      <c r="AT264" s="53">
        <f t="shared" si="377"/>
        <v>899316.25</v>
      </c>
      <c r="AU264" s="53">
        <f t="shared" si="378"/>
        <v>777303.5</v>
      </c>
      <c r="AV264" s="59">
        <f t="shared" si="370"/>
        <v>17.838680453388744</v>
      </c>
      <c r="AW264" s="59">
        <f t="shared" ref="AW264:AW269" si="384">((AT264/AT212)-1)*100</f>
        <v>15.073852009357491</v>
      </c>
      <c r="AX264" s="59">
        <f t="shared" si="371"/>
        <v>15.696925332254397</v>
      </c>
      <c r="AZ264" s="53">
        <f t="shared" si="166"/>
        <v>884.98400000000004</v>
      </c>
      <c r="BA264" s="53">
        <f t="shared" si="167"/>
        <v>19.100000000000001</v>
      </c>
      <c r="BB264" s="53">
        <f t="shared" si="168"/>
        <v>170.017</v>
      </c>
      <c r="BC264" s="53">
        <f t="shared" si="169"/>
        <v>1.6</v>
      </c>
      <c r="BD264" s="53">
        <f t="shared" si="170"/>
        <v>1075.701</v>
      </c>
      <c r="BE264" s="60">
        <f t="shared" si="379"/>
        <v>22090.697000000004</v>
      </c>
      <c r="BF264" s="60">
        <f t="shared" si="379"/>
        <v>1592.7379999999998</v>
      </c>
      <c r="BG264" s="60">
        <f t="shared" si="379"/>
        <v>5402.7179999999998</v>
      </c>
      <c r="BH264" s="60">
        <f t="shared" si="379"/>
        <v>501.45800000000003</v>
      </c>
      <c r="BI264" s="60">
        <f t="shared" si="379"/>
        <v>29587.611000000008</v>
      </c>
      <c r="BJ264" s="1">
        <f t="shared" si="189"/>
        <v>46</v>
      </c>
    </row>
    <row r="265" spans="1:65" x14ac:dyDescent="0.3">
      <c r="A265" s="48">
        <f t="shared" si="238"/>
        <v>39410</v>
      </c>
      <c r="B265" s="53">
        <v>689760</v>
      </c>
      <c r="C265" s="53">
        <v>116667</v>
      </c>
      <c r="D265" s="53">
        <v>0</v>
      </c>
      <c r="E265" s="53">
        <f t="shared" si="195"/>
        <v>806427</v>
      </c>
      <c r="F265" s="53">
        <f t="shared" ref="F265:F271" si="385">AVERAGE(E262,E263,E264,E265)</f>
        <v>770810.5</v>
      </c>
      <c r="G265" s="53">
        <f t="shared" ref="G265:G271" si="386">AVERAGE(F213,F161,F109)</f>
        <v>587424</v>
      </c>
      <c r="H265" s="59">
        <f t="shared" si="380"/>
        <v>-6.8659788099478263</v>
      </c>
      <c r="I265" s="59">
        <f t="shared" si="380"/>
        <v>14.486810357439639</v>
      </c>
      <c r="J265" s="59">
        <f t="shared" si="363"/>
        <v>31.218761916435156</v>
      </c>
      <c r="L265" s="53">
        <v>9615</v>
      </c>
      <c r="M265" s="53">
        <v>1500</v>
      </c>
      <c r="N265" s="53">
        <v>4200</v>
      </c>
      <c r="O265" s="53">
        <f t="shared" si="269"/>
        <v>15315</v>
      </c>
      <c r="P265" s="53">
        <f t="shared" ref="P265:P271" si="387">AVERAGE(O262,O263,O264,O265)</f>
        <v>20057.25</v>
      </c>
      <c r="Q265" s="53">
        <f t="shared" ref="Q265:Q271" si="388">AVERAGE(P213,P161,P109)</f>
        <v>18079.083333333332</v>
      </c>
      <c r="R265" s="59">
        <f t="shared" si="381"/>
        <v>21.057623903248746</v>
      </c>
      <c r="S265" s="59">
        <f t="shared" si="381"/>
        <v>43.494124590867635</v>
      </c>
      <c r="T265" s="59">
        <f t="shared" si="365"/>
        <v>10.941742068412408</v>
      </c>
      <c r="V265" s="53">
        <v>135327</v>
      </c>
      <c r="W265" s="53">
        <v>27800</v>
      </c>
      <c r="X265" s="53">
        <v>56000</v>
      </c>
      <c r="Y265" s="53">
        <f t="shared" si="270"/>
        <v>219127</v>
      </c>
      <c r="Z265" s="53">
        <f t="shared" si="373"/>
        <v>155428.5</v>
      </c>
      <c r="AA265" s="53">
        <f t="shared" si="374"/>
        <v>247100</v>
      </c>
      <c r="AB265" s="59">
        <f t="shared" si="382"/>
        <v>38.398039550056517</v>
      </c>
      <c r="AC265" s="59">
        <f t="shared" si="382"/>
        <v>-20.230590885937573</v>
      </c>
      <c r="AD265" s="59">
        <f t="shared" si="367"/>
        <v>-37.098947794415217</v>
      </c>
      <c r="AF265" s="53">
        <v>12556</v>
      </c>
      <c r="AG265" s="53">
        <v>0</v>
      </c>
      <c r="AH265" s="53">
        <v>9650</v>
      </c>
      <c r="AI265" s="53">
        <f t="shared" si="103"/>
        <v>22206</v>
      </c>
      <c r="AJ265" s="53">
        <f t="shared" si="375"/>
        <v>9051.5</v>
      </c>
      <c r="AK265" s="53">
        <f t="shared" si="376"/>
        <v>11736.333333333334</v>
      </c>
      <c r="AL265" s="59">
        <f t="shared" si="383"/>
        <v>19.022350860266933</v>
      </c>
      <c r="AM265" s="59">
        <f t="shared" si="383"/>
        <v>-39.044059464282711</v>
      </c>
      <c r="AN265" s="59">
        <f t="shared" si="369"/>
        <v>-22.876253230708066</v>
      </c>
      <c r="AP265" s="53">
        <f t="shared" si="135"/>
        <v>847258</v>
      </c>
      <c r="AQ265" s="53">
        <f t="shared" si="135"/>
        <v>145967</v>
      </c>
      <c r="AR265" s="53">
        <f t="shared" si="161"/>
        <v>69850</v>
      </c>
      <c r="AS265" s="53">
        <f t="shared" si="286"/>
        <v>1063075</v>
      </c>
      <c r="AT265" s="53">
        <f t="shared" si="377"/>
        <v>955347.75</v>
      </c>
      <c r="AU265" s="53">
        <f t="shared" si="378"/>
        <v>864339.41666666663</v>
      </c>
      <c r="AV265" s="59">
        <f t="shared" si="370"/>
        <v>0.71604720719797843</v>
      </c>
      <c r="AW265" s="59">
        <f t="shared" si="384"/>
        <v>6.5108513725003814</v>
      </c>
      <c r="AX265" s="59">
        <f t="shared" si="371"/>
        <v>10.529235573255225</v>
      </c>
      <c r="AZ265" s="53">
        <f t="shared" si="166"/>
        <v>806.42700000000002</v>
      </c>
      <c r="BA265" s="53">
        <f t="shared" si="167"/>
        <v>15.315</v>
      </c>
      <c r="BB265" s="53">
        <f t="shared" si="168"/>
        <v>219.12700000000001</v>
      </c>
      <c r="BC265" s="53">
        <f t="shared" si="169"/>
        <v>22.206</v>
      </c>
      <c r="BD265" s="53">
        <f t="shared" si="170"/>
        <v>1063.075</v>
      </c>
      <c r="BE265" s="60">
        <f t="shared" ref="BE265:BI266" si="389">BE264+AZ265</f>
        <v>22897.124000000003</v>
      </c>
      <c r="BF265" s="60">
        <f t="shared" si="389"/>
        <v>1608.0529999999999</v>
      </c>
      <c r="BG265" s="60">
        <f t="shared" si="389"/>
        <v>5621.8450000000003</v>
      </c>
      <c r="BH265" s="60">
        <f t="shared" si="389"/>
        <v>523.66399999999999</v>
      </c>
      <c r="BI265" s="60">
        <f t="shared" si="389"/>
        <v>30650.686000000009</v>
      </c>
      <c r="BJ265" s="1">
        <f t="shared" si="189"/>
        <v>47</v>
      </c>
    </row>
    <row r="266" spans="1:65" x14ac:dyDescent="0.3">
      <c r="A266" s="48">
        <f t="shared" si="238"/>
        <v>39417</v>
      </c>
      <c r="B266" s="53">
        <v>537473</v>
      </c>
      <c r="C266" s="53">
        <v>44315</v>
      </c>
      <c r="D266" s="53">
        <v>0</v>
      </c>
      <c r="E266" s="53">
        <f t="shared" si="195"/>
        <v>581788</v>
      </c>
      <c r="F266" s="53">
        <f t="shared" si="385"/>
        <v>780014.75</v>
      </c>
      <c r="G266" s="53">
        <f t="shared" si="386"/>
        <v>617364.83333333337</v>
      </c>
      <c r="H266" s="59">
        <f t="shared" si="380"/>
        <v>-9.3670988616908364</v>
      </c>
      <c r="I266" s="59">
        <f t="shared" si="380"/>
        <v>10.439796936203116</v>
      </c>
      <c r="J266" s="59">
        <f t="shared" si="363"/>
        <v>26.345834405317859</v>
      </c>
      <c r="L266" s="53">
        <v>24729</v>
      </c>
      <c r="M266" s="53">
        <v>0</v>
      </c>
      <c r="N266" s="53">
        <v>2800</v>
      </c>
      <c r="O266" s="53">
        <f t="shared" si="269"/>
        <v>27529</v>
      </c>
      <c r="P266" s="53">
        <f t="shared" si="387"/>
        <v>19886</v>
      </c>
      <c r="Q266" s="53">
        <f t="shared" si="388"/>
        <v>19522</v>
      </c>
      <c r="R266" s="59">
        <f t="shared" si="381"/>
        <v>9.3462027327613661</v>
      </c>
      <c r="S266" s="59">
        <f t="shared" si="381"/>
        <v>11.896689971443442</v>
      </c>
      <c r="T266" s="59">
        <f t="shared" si="365"/>
        <v>1.8645630570638172</v>
      </c>
      <c r="V266" s="53">
        <v>173897</v>
      </c>
      <c r="W266" s="53">
        <v>27416</v>
      </c>
      <c r="X266" s="53">
        <v>58800</v>
      </c>
      <c r="Y266" s="53">
        <f t="shared" si="270"/>
        <v>260113</v>
      </c>
      <c r="Z266" s="53">
        <f t="shared" si="373"/>
        <v>211388</v>
      </c>
      <c r="AA266" s="53">
        <f t="shared" si="374"/>
        <v>235527.5</v>
      </c>
      <c r="AB266" s="59">
        <f t="shared" si="382"/>
        <v>92.707700514157864</v>
      </c>
      <c r="AC266" s="59">
        <f t="shared" si="382"/>
        <v>21.90667324100426</v>
      </c>
      <c r="AD266" s="59">
        <f t="shared" si="367"/>
        <v>-10.249121652460968</v>
      </c>
      <c r="AF266" s="53">
        <v>3248</v>
      </c>
      <c r="AG266" s="53">
        <v>1500</v>
      </c>
      <c r="AH266" s="53">
        <v>4400</v>
      </c>
      <c r="AI266" s="53">
        <f t="shared" si="103"/>
        <v>9148</v>
      </c>
      <c r="AJ266" s="53">
        <f t="shared" si="375"/>
        <v>10988.5</v>
      </c>
      <c r="AK266" s="53">
        <f t="shared" si="376"/>
        <v>16244.75</v>
      </c>
      <c r="AL266" s="59">
        <f t="shared" si="383"/>
        <v>-72.445783132530124</v>
      </c>
      <c r="AM266" s="59">
        <f t="shared" si="383"/>
        <v>-42.010897528925952</v>
      </c>
      <c r="AN266" s="59">
        <f t="shared" si="369"/>
        <v>-32.356607519352409</v>
      </c>
      <c r="AP266" s="53">
        <f t="shared" si="135"/>
        <v>739347</v>
      </c>
      <c r="AQ266" s="53">
        <f t="shared" si="135"/>
        <v>73231</v>
      </c>
      <c r="AR266" s="53">
        <f t="shared" si="161"/>
        <v>66000</v>
      </c>
      <c r="AS266" s="53">
        <f t="shared" si="286"/>
        <v>878578</v>
      </c>
      <c r="AT266" s="53">
        <f t="shared" si="377"/>
        <v>1022277.25</v>
      </c>
      <c r="AU266" s="53">
        <f t="shared" si="378"/>
        <v>888659.08333333337</v>
      </c>
      <c r="AV266" s="59">
        <f t="shared" si="370"/>
        <v>5.1847843394539073</v>
      </c>
      <c r="AW266" s="59">
        <f t="shared" si="384"/>
        <v>11.553241314137995</v>
      </c>
      <c r="AX266" s="59">
        <f t="shared" si="371"/>
        <v>15.035931008038418</v>
      </c>
      <c r="AZ266" s="53">
        <f t="shared" si="166"/>
        <v>581.78800000000001</v>
      </c>
      <c r="BA266" s="53">
        <f t="shared" si="167"/>
        <v>27.529</v>
      </c>
      <c r="BB266" s="53">
        <f t="shared" si="168"/>
        <v>260.113</v>
      </c>
      <c r="BC266" s="53">
        <f t="shared" si="169"/>
        <v>9.1479999999999997</v>
      </c>
      <c r="BD266" s="53">
        <f t="shared" si="170"/>
        <v>878.57799999999997</v>
      </c>
      <c r="BE266" s="60">
        <f t="shared" si="389"/>
        <v>23478.912000000004</v>
      </c>
      <c r="BF266" s="60">
        <f t="shared" si="389"/>
        <v>1635.5819999999999</v>
      </c>
      <c r="BG266" s="60">
        <f t="shared" si="389"/>
        <v>5881.9580000000005</v>
      </c>
      <c r="BH266" s="60">
        <f t="shared" si="389"/>
        <v>532.81200000000001</v>
      </c>
      <c r="BI266" s="60">
        <f t="shared" si="389"/>
        <v>31529.26400000001</v>
      </c>
      <c r="BJ266" s="1">
        <f t="shared" si="189"/>
        <v>48</v>
      </c>
    </row>
    <row r="267" spans="1:65" x14ac:dyDescent="0.3">
      <c r="A267" s="48">
        <f t="shared" si="238"/>
        <v>39424</v>
      </c>
      <c r="B267" s="53">
        <v>514823</v>
      </c>
      <c r="C267" s="53">
        <v>120300</v>
      </c>
      <c r="D267" s="53">
        <v>1400</v>
      </c>
      <c r="E267" s="53">
        <f t="shared" si="195"/>
        <v>636523</v>
      </c>
      <c r="F267" s="53">
        <f t="shared" si="385"/>
        <v>727430.5</v>
      </c>
      <c r="G267" s="53">
        <f t="shared" si="386"/>
        <v>649395.08333333337</v>
      </c>
      <c r="H267" s="59">
        <f t="shared" ref="H267:I269" si="390">((E267/E215)-1)*100</f>
        <v>-15.467607268593465</v>
      </c>
      <c r="I267" s="59">
        <f t="shared" si="390"/>
        <v>-1.988311578947366</v>
      </c>
      <c r="J267" s="59">
        <f t="shared" ref="J267:J272" si="391">((F267/G267)-1)*100</f>
        <v>12.016631888574247</v>
      </c>
      <c r="L267" s="53">
        <v>14300</v>
      </c>
      <c r="M267" s="53">
        <v>12000</v>
      </c>
      <c r="N267" s="53">
        <v>1400</v>
      </c>
      <c r="O267" s="53">
        <f t="shared" si="269"/>
        <v>27700</v>
      </c>
      <c r="P267" s="53">
        <f t="shared" si="387"/>
        <v>22411</v>
      </c>
      <c r="Q267" s="53">
        <f t="shared" si="388"/>
        <v>20375</v>
      </c>
      <c r="R267" s="59">
        <f t="shared" ref="R267:S269" si="392">((O267/O215)-1)*100</f>
        <v>241.97530864197532</v>
      </c>
      <c r="S267" s="59">
        <f t="shared" si="392"/>
        <v>64.705017730170681</v>
      </c>
      <c r="T267" s="59">
        <f t="shared" ref="T267:T272" si="393">((P267/Q267)-1)*100</f>
        <v>9.992638036809808</v>
      </c>
      <c r="V267" s="53">
        <v>188498</v>
      </c>
      <c r="W267" s="53">
        <v>50654</v>
      </c>
      <c r="X267" s="53">
        <v>11200</v>
      </c>
      <c r="Y267" s="53">
        <f t="shared" si="270"/>
        <v>250352</v>
      </c>
      <c r="Z267" s="53">
        <f t="shared" si="373"/>
        <v>224902.25</v>
      </c>
      <c r="AA267" s="53">
        <f t="shared" si="374"/>
        <v>236894</v>
      </c>
      <c r="AB267" s="59">
        <f t="shared" ref="AB267:AC269" si="394">((Y267/Y215)-1)*100</f>
        <v>-14.428296030953913</v>
      </c>
      <c r="AC267" s="59">
        <f t="shared" si="394"/>
        <v>17.004044897056716</v>
      </c>
      <c r="AD267" s="59">
        <f t="shared" ref="AD267:AD272" si="395">((Z267/AA267)-1)*100</f>
        <v>-5.0620741766359671</v>
      </c>
      <c r="AF267" s="53">
        <v>0</v>
      </c>
      <c r="AG267" s="53">
        <v>0</v>
      </c>
      <c r="AH267" s="53">
        <v>15600</v>
      </c>
      <c r="AI267" s="53">
        <f t="shared" si="103"/>
        <v>15600</v>
      </c>
      <c r="AJ267" s="53">
        <f t="shared" si="375"/>
        <v>12138.5</v>
      </c>
      <c r="AK267" s="53">
        <f t="shared" si="376"/>
        <v>18725.166666666668</v>
      </c>
      <c r="AL267" s="59">
        <f t="shared" ref="AL267:AM269" si="396">((AI267/AI215)-1)*100</f>
        <v>-30.973451327433633</v>
      </c>
      <c r="AM267" s="59">
        <f t="shared" si="396"/>
        <v>-44.735194691373479</v>
      </c>
      <c r="AN267" s="59">
        <f t="shared" ref="AN267:AN272" si="397">((AJ267/AK267)-1)*100</f>
        <v>-35.175476853788581</v>
      </c>
      <c r="AP267" s="53">
        <f t="shared" si="135"/>
        <v>717621</v>
      </c>
      <c r="AQ267" s="53">
        <f t="shared" si="135"/>
        <v>182954</v>
      </c>
      <c r="AR267" s="53">
        <f t="shared" si="161"/>
        <v>29600</v>
      </c>
      <c r="AS267" s="53">
        <f t="shared" si="286"/>
        <v>930175</v>
      </c>
      <c r="AT267" s="53">
        <f t="shared" si="377"/>
        <v>986882.25</v>
      </c>
      <c r="AU267" s="53">
        <f t="shared" si="378"/>
        <v>925389.25</v>
      </c>
      <c r="AV267" s="59">
        <f t="shared" ref="AV267:AV272" si="398">((AS267/AS215)-1)*100</f>
        <v>-13.573152137454159</v>
      </c>
      <c r="AW267" s="59">
        <f t="shared" si="384"/>
        <v>1.7429554958060756</v>
      </c>
      <c r="AX267" s="59">
        <f t="shared" ref="AX267:AX272" si="399">((AT267/AU267)-1)*100</f>
        <v>6.6450955638397646</v>
      </c>
      <c r="AZ267" s="53">
        <f t="shared" si="166"/>
        <v>636.52300000000002</v>
      </c>
      <c r="BA267" s="53">
        <f t="shared" si="167"/>
        <v>27.7</v>
      </c>
      <c r="BB267" s="53">
        <f t="shared" si="168"/>
        <v>250.352</v>
      </c>
      <c r="BC267" s="53">
        <f t="shared" si="169"/>
        <v>15.6</v>
      </c>
      <c r="BD267" s="53">
        <f t="shared" si="170"/>
        <v>930.17499999999995</v>
      </c>
      <c r="BE267" s="60">
        <f t="shared" ref="BE267:BI268" si="400">BE266+AZ267</f>
        <v>24115.435000000005</v>
      </c>
      <c r="BF267" s="60">
        <f t="shared" si="400"/>
        <v>1663.2819999999999</v>
      </c>
      <c r="BG267" s="60">
        <f t="shared" si="400"/>
        <v>6132.31</v>
      </c>
      <c r="BH267" s="60">
        <f t="shared" si="400"/>
        <v>548.41200000000003</v>
      </c>
      <c r="BI267" s="60">
        <f t="shared" si="400"/>
        <v>32459.439000000009</v>
      </c>
      <c r="BJ267" s="1">
        <f t="shared" si="189"/>
        <v>49</v>
      </c>
    </row>
    <row r="268" spans="1:65" x14ac:dyDescent="0.3">
      <c r="A268" s="48">
        <f t="shared" si="238"/>
        <v>39431</v>
      </c>
      <c r="B268" s="53">
        <v>479188</v>
      </c>
      <c r="C268" s="53">
        <v>79876</v>
      </c>
      <c r="D268" s="53">
        <v>7200</v>
      </c>
      <c r="E268" s="53">
        <f t="shared" si="195"/>
        <v>566264</v>
      </c>
      <c r="F268" s="53">
        <f t="shared" si="385"/>
        <v>647750.5</v>
      </c>
      <c r="G268" s="53">
        <f t="shared" si="386"/>
        <v>651681.75</v>
      </c>
      <c r="H268" s="59">
        <f t="shared" si="390"/>
        <v>-19.967889013576499</v>
      </c>
      <c r="I268" s="59">
        <f t="shared" si="390"/>
        <v>-12.711911799682918</v>
      </c>
      <c r="J268" s="59">
        <f t="shared" si="391"/>
        <v>-0.6032469069449875</v>
      </c>
      <c r="L268" s="53">
        <v>12552</v>
      </c>
      <c r="M268" s="53">
        <v>1500</v>
      </c>
      <c r="N268" s="53">
        <v>7000</v>
      </c>
      <c r="O268" s="53">
        <f t="shared" si="269"/>
        <v>21052</v>
      </c>
      <c r="P268" s="53">
        <f t="shared" si="387"/>
        <v>22899</v>
      </c>
      <c r="Q268" s="53">
        <f t="shared" si="388"/>
        <v>24088.5</v>
      </c>
      <c r="R268" s="59">
        <f t="shared" si="392"/>
        <v>-38.729299455746677</v>
      </c>
      <c r="S268" s="59">
        <f t="shared" si="392"/>
        <v>14.087138479934236</v>
      </c>
      <c r="T268" s="59">
        <f t="shared" si="393"/>
        <v>-4.9380409739087083</v>
      </c>
      <c r="V268" s="53">
        <v>144212</v>
      </c>
      <c r="W268" s="53">
        <v>26000</v>
      </c>
      <c r="X268" s="53">
        <v>28000</v>
      </c>
      <c r="Y268" s="53">
        <f t="shared" si="270"/>
        <v>198212</v>
      </c>
      <c r="Z268" s="53">
        <f t="shared" si="373"/>
        <v>231951</v>
      </c>
      <c r="AA268" s="53">
        <f t="shared" si="374"/>
        <v>229135.58333333334</v>
      </c>
      <c r="AB268" s="59">
        <f t="shared" si="394"/>
        <v>-37.352200283826022</v>
      </c>
      <c r="AC268" s="59">
        <f t="shared" si="394"/>
        <v>2.8306571025775051</v>
      </c>
      <c r="AD268" s="59">
        <f t="shared" si="395"/>
        <v>1.2287121125883482</v>
      </c>
      <c r="AF268" s="53">
        <v>0</v>
      </c>
      <c r="AG268" s="53">
        <v>1600</v>
      </c>
      <c r="AH268" s="53">
        <v>12150</v>
      </c>
      <c r="AI268" s="53">
        <f t="shared" si="103"/>
        <v>13750</v>
      </c>
      <c r="AJ268" s="53">
        <f t="shared" si="375"/>
        <v>15176</v>
      </c>
      <c r="AK268" s="53">
        <f t="shared" si="376"/>
        <v>24555.833333333332</v>
      </c>
      <c r="AL268" s="59">
        <f t="shared" si="396"/>
        <v>125.40983606557377</v>
      </c>
      <c r="AM268" s="59">
        <f t="shared" si="396"/>
        <v>-24.644661543999902</v>
      </c>
      <c r="AN268" s="59">
        <f t="shared" si="397"/>
        <v>-38.197984185699255</v>
      </c>
      <c r="AP268" s="53">
        <f t="shared" si="135"/>
        <v>635952</v>
      </c>
      <c r="AQ268" s="53">
        <f t="shared" si="135"/>
        <v>108976</v>
      </c>
      <c r="AR268" s="53">
        <f t="shared" si="161"/>
        <v>54350</v>
      </c>
      <c r="AS268" s="53">
        <f t="shared" si="286"/>
        <v>799278</v>
      </c>
      <c r="AT268" s="53">
        <f t="shared" si="377"/>
        <v>917776.5</v>
      </c>
      <c r="AU268" s="53">
        <f t="shared" si="378"/>
        <v>929461.66666666663</v>
      </c>
      <c r="AV268" s="59">
        <f t="shared" si="398"/>
        <v>-24.907835053870929</v>
      </c>
      <c r="AW268" s="59">
        <f t="shared" si="384"/>
        <v>-8.9381191489593892</v>
      </c>
      <c r="AX268" s="59">
        <f t="shared" si="399"/>
        <v>-1.2571972665180731</v>
      </c>
      <c r="AZ268" s="53">
        <f t="shared" ref="AZ268:AZ476" si="401">+E268/1000</f>
        <v>566.26400000000001</v>
      </c>
      <c r="BA268" s="53">
        <f t="shared" ref="BA268:BA476" si="402">+O268/1000</f>
        <v>21.052</v>
      </c>
      <c r="BB268" s="53">
        <f t="shared" ref="BB268:BB476" si="403">+Y268/1000</f>
        <v>198.21199999999999</v>
      </c>
      <c r="BC268" s="53">
        <f t="shared" ref="BC268:BC438" si="404">+AI268/1000</f>
        <v>13.75</v>
      </c>
      <c r="BD268" s="53">
        <f t="shared" ref="BD268:BD438" si="405">+AS268/1000</f>
        <v>799.27800000000002</v>
      </c>
      <c r="BE268" s="60">
        <f t="shared" si="400"/>
        <v>24681.699000000004</v>
      </c>
      <c r="BF268" s="60">
        <f t="shared" si="400"/>
        <v>1684.3339999999998</v>
      </c>
      <c r="BG268" s="60">
        <f t="shared" si="400"/>
        <v>6330.5220000000008</v>
      </c>
      <c r="BH268" s="60">
        <f t="shared" si="400"/>
        <v>562.16200000000003</v>
      </c>
      <c r="BI268" s="60">
        <f t="shared" si="400"/>
        <v>33258.717000000011</v>
      </c>
      <c r="BJ268" s="1">
        <f t="shared" si="189"/>
        <v>50</v>
      </c>
    </row>
    <row r="269" spans="1:65" x14ac:dyDescent="0.3">
      <c r="A269" s="48">
        <f t="shared" si="238"/>
        <v>39438</v>
      </c>
      <c r="B269" s="53">
        <v>204500</v>
      </c>
      <c r="C269" s="53">
        <v>2900</v>
      </c>
      <c r="D269" s="53">
        <v>83118</v>
      </c>
      <c r="E269" s="53">
        <f t="shared" si="195"/>
        <v>290518</v>
      </c>
      <c r="F269" s="53">
        <f t="shared" si="385"/>
        <v>518773.25</v>
      </c>
      <c r="G269" s="53">
        <f t="shared" si="386"/>
        <v>603814.5</v>
      </c>
      <c r="H269" s="59">
        <f t="shared" si="390"/>
        <v>-44.552660257694868</v>
      </c>
      <c r="I269" s="59">
        <f t="shared" si="390"/>
        <v>-20.991246983999822</v>
      </c>
      <c r="J269" s="59">
        <f t="shared" si="391"/>
        <v>-14.084002620009951</v>
      </c>
      <c r="L269" s="53">
        <v>4800</v>
      </c>
      <c r="M269" s="53">
        <v>7000</v>
      </c>
      <c r="N269" s="53">
        <v>4700</v>
      </c>
      <c r="O269" s="53">
        <f t="shared" si="269"/>
        <v>16500</v>
      </c>
      <c r="P269" s="53">
        <f t="shared" si="387"/>
        <v>23195.25</v>
      </c>
      <c r="Q269" s="53">
        <f t="shared" si="388"/>
        <v>25625.5</v>
      </c>
      <c r="R269" s="59">
        <f t="shared" si="392"/>
        <v>110.88957055214723</v>
      </c>
      <c r="S269" s="59">
        <f t="shared" si="392"/>
        <v>22.955512264938569</v>
      </c>
      <c r="T269" s="59">
        <f t="shared" si="393"/>
        <v>-9.4837173908801748</v>
      </c>
      <c r="V269" s="53">
        <v>56004</v>
      </c>
      <c r="W269" s="53">
        <v>35200</v>
      </c>
      <c r="X269" s="53">
        <v>14485</v>
      </c>
      <c r="Y269" s="53">
        <f t="shared" si="270"/>
        <v>105689</v>
      </c>
      <c r="Z269" s="53">
        <f t="shared" ref="Z269:Z274" si="406">AVERAGE(Y266,Y267,Y268,Y269)</f>
        <v>203591.5</v>
      </c>
      <c r="AA269" s="53">
        <f t="shared" ref="AA269:AA274" si="407">AVERAGE(Z217,Z165,Z113)</f>
        <v>225021.41666666666</v>
      </c>
      <c r="AB269" s="59">
        <f t="shared" si="394"/>
        <v>-53.021264868516973</v>
      </c>
      <c r="AC269" s="59">
        <f t="shared" si="394"/>
        <v>-15.949860925477733</v>
      </c>
      <c r="AD269" s="59">
        <f t="shared" si="395"/>
        <v>-9.5235009112095597</v>
      </c>
      <c r="AF269" s="53">
        <v>0</v>
      </c>
      <c r="AG269" s="53">
        <v>10800</v>
      </c>
      <c r="AH269" s="53">
        <v>10800</v>
      </c>
      <c r="AI269" s="53">
        <f t="shared" si="103"/>
        <v>21600</v>
      </c>
      <c r="AJ269" s="53">
        <f t="shared" ref="AJ269:AJ274" si="408">AVERAGE(AI266,AI267,AI268,AI269)</f>
        <v>15024.5</v>
      </c>
      <c r="AK269" s="53">
        <f t="shared" ref="AK269:AK274" si="409">AVERAGE(AJ217,AJ165,AJ113)</f>
        <v>25017.75</v>
      </c>
      <c r="AL269" s="59">
        <f t="shared" si="396"/>
        <v>86.206896551724128</v>
      </c>
      <c r="AM269" s="59">
        <f t="shared" si="396"/>
        <v>-18.234013605442179</v>
      </c>
      <c r="AN269" s="59">
        <f t="shared" si="397"/>
        <v>-39.944639306092675</v>
      </c>
      <c r="AP269" s="53">
        <f t="shared" si="135"/>
        <v>265304</v>
      </c>
      <c r="AQ269" s="53">
        <f t="shared" si="135"/>
        <v>55900</v>
      </c>
      <c r="AR269" s="53">
        <f t="shared" si="161"/>
        <v>113103</v>
      </c>
      <c r="AS269" s="53">
        <f t="shared" si="286"/>
        <v>434307</v>
      </c>
      <c r="AT269" s="53">
        <f t="shared" ref="AT269:AT274" si="410">AVERAGE(AS266,AS267,AS268,AS269)</f>
        <v>760584.5</v>
      </c>
      <c r="AU269" s="53">
        <f t="shared" ref="AU269:AU274" si="411">AVERAGE(AT217,AT165,AT113)</f>
        <v>879479.16666666663</v>
      </c>
      <c r="AV269" s="59">
        <f t="shared" si="398"/>
        <v>-43.475295731497013</v>
      </c>
      <c r="AW269" s="59">
        <f t="shared" si="384"/>
        <v>-18.746896927654578</v>
      </c>
      <c r="AX269" s="59">
        <f t="shared" si="399"/>
        <v>-13.518758735046777</v>
      </c>
      <c r="AZ269" s="53">
        <f t="shared" si="401"/>
        <v>290.51799999999997</v>
      </c>
      <c r="BA269" s="53">
        <f t="shared" si="402"/>
        <v>16.5</v>
      </c>
      <c r="BB269" s="53">
        <f t="shared" si="403"/>
        <v>105.68899999999999</v>
      </c>
      <c r="BC269" s="53">
        <f t="shared" si="404"/>
        <v>21.6</v>
      </c>
      <c r="BD269" s="53">
        <f t="shared" si="405"/>
        <v>434.30700000000002</v>
      </c>
      <c r="BE269" s="60">
        <f t="shared" ref="BE269:BI270" si="412">BE268+AZ269</f>
        <v>24972.217000000004</v>
      </c>
      <c r="BF269" s="60">
        <f t="shared" si="412"/>
        <v>1700.8339999999998</v>
      </c>
      <c r="BG269" s="60">
        <f t="shared" si="412"/>
        <v>6436.2110000000011</v>
      </c>
      <c r="BH269" s="60">
        <f t="shared" si="412"/>
        <v>583.76200000000006</v>
      </c>
      <c r="BI269" s="60">
        <f t="shared" si="412"/>
        <v>33693.024000000012</v>
      </c>
      <c r="BJ269" s="1">
        <f t="shared" ref="BJ269:BJ332" si="413">1+BJ268</f>
        <v>51</v>
      </c>
    </row>
    <row r="270" spans="1:65" x14ac:dyDescent="0.3">
      <c r="A270" s="48">
        <f t="shared" si="238"/>
        <v>39445</v>
      </c>
      <c r="B270" s="53">
        <v>428845</v>
      </c>
      <c r="C270" s="53">
        <v>104667</v>
      </c>
      <c r="D270" s="53">
        <v>4200</v>
      </c>
      <c r="E270" s="53">
        <f t="shared" si="195"/>
        <v>537712</v>
      </c>
      <c r="F270" s="53">
        <f t="shared" si="385"/>
        <v>507754.25</v>
      </c>
      <c r="G270" s="53">
        <f t="shared" si="386"/>
        <v>549176.91666666663</v>
      </c>
      <c r="H270" s="59">
        <f t="shared" ref="H270:I272" si="414">((E270/E218)-1)*100</f>
        <v>51.487798418950057</v>
      </c>
      <c r="I270" s="59">
        <f t="shared" si="414"/>
        <v>-13.183847799863724</v>
      </c>
      <c r="J270" s="59">
        <f t="shared" si="391"/>
        <v>-7.5426816768063283</v>
      </c>
      <c r="L270" s="53">
        <v>0</v>
      </c>
      <c r="M270" s="53">
        <v>1500</v>
      </c>
      <c r="N270" s="53">
        <v>8800</v>
      </c>
      <c r="O270" s="53">
        <f t="shared" si="269"/>
        <v>10300</v>
      </c>
      <c r="P270" s="53">
        <f t="shared" si="387"/>
        <v>18888</v>
      </c>
      <c r="Q270" s="53">
        <f t="shared" si="388"/>
        <v>22771.416666666668</v>
      </c>
      <c r="R270" s="59">
        <f t="shared" ref="R270:S272" si="415">((O270/O218)-1)*100</f>
        <v>-11.965811965811968</v>
      </c>
      <c r="S270" s="59">
        <f t="shared" si="415"/>
        <v>21.891486375296452</v>
      </c>
      <c r="T270" s="59">
        <f t="shared" si="393"/>
        <v>-17.053908957501552</v>
      </c>
      <c r="V270" s="53">
        <v>35547</v>
      </c>
      <c r="W270" s="53">
        <v>66124</v>
      </c>
      <c r="X270" s="53">
        <v>28400</v>
      </c>
      <c r="Y270" s="53">
        <f t="shared" si="270"/>
        <v>130071</v>
      </c>
      <c r="Z270" s="53">
        <f t="shared" si="406"/>
        <v>171081</v>
      </c>
      <c r="AA270" s="53">
        <f t="shared" si="407"/>
        <v>230495.41666666666</v>
      </c>
      <c r="AB270" s="59">
        <f t="shared" ref="AB270:AC272" si="416">((Y270/Y218)-1)*100</f>
        <v>-37.230479683428243</v>
      </c>
      <c r="AC270" s="59">
        <f t="shared" si="416"/>
        <v>-34.272105668075689</v>
      </c>
      <c r="AD270" s="59">
        <f t="shared" si="395"/>
        <v>-25.776832149590824</v>
      </c>
      <c r="AF270" s="53">
        <v>18800</v>
      </c>
      <c r="AG270" s="53">
        <v>4800</v>
      </c>
      <c r="AH270" s="53">
        <v>2800</v>
      </c>
      <c r="AI270" s="53">
        <f t="shared" si="103"/>
        <v>26400</v>
      </c>
      <c r="AJ270" s="53">
        <f t="shared" si="408"/>
        <v>19337.5</v>
      </c>
      <c r="AK270" s="53">
        <f t="shared" si="409"/>
        <v>22134.416666666668</v>
      </c>
      <c r="AL270" s="59">
        <f t="shared" ref="AL270:AM272" si="417">((AI270/AI218)-1)*100</f>
        <v>206.97674418604652</v>
      </c>
      <c r="AM270" s="59">
        <f t="shared" si="417"/>
        <v>58.179959100204506</v>
      </c>
      <c r="AN270" s="59">
        <f t="shared" si="397"/>
        <v>-12.63605320522716</v>
      </c>
      <c r="AP270" s="53">
        <f t="shared" si="135"/>
        <v>483192</v>
      </c>
      <c r="AQ270" s="53">
        <f t="shared" si="135"/>
        <v>177091</v>
      </c>
      <c r="AR270" s="53">
        <f t="shared" si="161"/>
        <v>44200</v>
      </c>
      <c r="AS270" s="53">
        <f t="shared" si="286"/>
        <v>704483</v>
      </c>
      <c r="AT270" s="53">
        <f t="shared" si="410"/>
        <v>717060.75</v>
      </c>
      <c r="AU270" s="53">
        <f t="shared" si="411"/>
        <v>824578.16666666663</v>
      </c>
      <c r="AV270" s="59">
        <f t="shared" si="398"/>
        <v>20.946686032337915</v>
      </c>
      <c r="AW270" s="59">
        <f t="shared" ref="AW270:AW275" si="418">((AT270/AT218)-1)*100</f>
        <v>-17.850129859119757</v>
      </c>
      <c r="AX270" s="59">
        <f t="shared" si="399"/>
        <v>-13.039081194849322</v>
      </c>
      <c r="AZ270" s="53">
        <f t="shared" si="401"/>
        <v>537.71199999999999</v>
      </c>
      <c r="BA270" s="53">
        <f t="shared" si="402"/>
        <v>10.3</v>
      </c>
      <c r="BB270" s="53">
        <f t="shared" si="403"/>
        <v>130.071</v>
      </c>
      <c r="BC270" s="53">
        <f t="shared" si="404"/>
        <v>26.4</v>
      </c>
      <c r="BD270" s="53">
        <f t="shared" si="405"/>
        <v>704.48299999999995</v>
      </c>
      <c r="BE270" s="60">
        <f t="shared" si="412"/>
        <v>25509.929000000004</v>
      </c>
      <c r="BF270" s="60">
        <f t="shared" si="412"/>
        <v>1711.1339999999998</v>
      </c>
      <c r="BG270" s="60">
        <f t="shared" si="412"/>
        <v>6566.2820000000011</v>
      </c>
      <c r="BH270" s="60">
        <f t="shared" si="412"/>
        <v>610.16200000000003</v>
      </c>
      <c r="BI270" s="60">
        <f t="shared" si="412"/>
        <v>34397.507000000012</v>
      </c>
      <c r="BJ270" s="1">
        <f t="shared" si="413"/>
        <v>52</v>
      </c>
    </row>
    <row r="271" spans="1:65" x14ac:dyDescent="0.3">
      <c r="A271" s="48">
        <f t="shared" si="238"/>
        <v>39452</v>
      </c>
      <c r="B271" s="53">
        <v>288044</v>
      </c>
      <c r="C271" s="53">
        <v>113100</v>
      </c>
      <c r="D271" s="53">
        <v>4200</v>
      </c>
      <c r="E271" s="53">
        <f t="shared" ref="E271:E280" si="419">SUM(B271:D271)</f>
        <v>405344</v>
      </c>
      <c r="F271" s="53">
        <f t="shared" si="385"/>
        <v>449959.5</v>
      </c>
      <c r="G271" s="53">
        <f t="shared" si="386"/>
        <v>470233.25</v>
      </c>
      <c r="H271" s="59">
        <f t="shared" si="414"/>
        <v>37.278635558520826</v>
      </c>
      <c r="I271" s="59">
        <f t="shared" si="414"/>
        <v>-4.351647744302567</v>
      </c>
      <c r="J271" s="59">
        <f t="shared" si="391"/>
        <v>-4.311424170876899</v>
      </c>
      <c r="L271" s="53">
        <v>4750</v>
      </c>
      <c r="M271" s="53">
        <v>1600</v>
      </c>
      <c r="N271" s="53">
        <v>8400</v>
      </c>
      <c r="O271" s="53">
        <f t="shared" si="269"/>
        <v>14750</v>
      </c>
      <c r="P271" s="53">
        <f t="shared" si="387"/>
        <v>15650.5</v>
      </c>
      <c r="Q271" s="53">
        <f t="shared" si="388"/>
        <v>20856.25</v>
      </c>
      <c r="R271" s="59">
        <f t="shared" si="415"/>
        <v>-44.339622641509436</v>
      </c>
      <c r="S271" s="59">
        <f t="shared" si="415"/>
        <v>-22.120348829976489</v>
      </c>
      <c r="T271" s="59">
        <f t="shared" si="393"/>
        <v>-24.960143841774052</v>
      </c>
      <c r="V271" s="53">
        <v>72211</v>
      </c>
      <c r="W271" s="53">
        <v>40609</v>
      </c>
      <c r="X271" s="53">
        <v>23800</v>
      </c>
      <c r="Y271" s="53">
        <f t="shared" si="270"/>
        <v>136620</v>
      </c>
      <c r="Z271" s="53">
        <f t="shared" si="406"/>
        <v>142648</v>
      </c>
      <c r="AA271" s="53">
        <f t="shared" si="407"/>
        <v>212186.58333333334</v>
      </c>
      <c r="AB271" s="59">
        <f t="shared" si="416"/>
        <v>-4.7306909151767051</v>
      </c>
      <c r="AC271" s="59">
        <f t="shared" si="416"/>
        <v>-36.031354717053055</v>
      </c>
      <c r="AD271" s="59">
        <f t="shared" si="395"/>
        <v>-32.772375256211227</v>
      </c>
      <c r="AF271" s="53">
        <v>1500</v>
      </c>
      <c r="AG271" s="53">
        <v>2900</v>
      </c>
      <c r="AH271" s="53">
        <v>11400</v>
      </c>
      <c r="AI271" s="53">
        <f t="shared" ref="AI271:AI303" si="420">SUM(AF271:AH271)</f>
        <v>15800</v>
      </c>
      <c r="AJ271" s="53">
        <f t="shared" si="408"/>
        <v>19387.5</v>
      </c>
      <c r="AK271" s="53">
        <f t="shared" si="409"/>
        <v>20832.833333333332</v>
      </c>
      <c r="AL271" s="59">
        <f t="shared" si="417"/>
        <v>46.296296296296305</v>
      </c>
      <c r="AM271" s="59">
        <f t="shared" si="417"/>
        <v>109.02964959568733</v>
      </c>
      <c r="AN271" s="59">
        <f t="shared" si="397"/>
        <v>-6.937766506396148</v>
      </c>
      <c r="AP271" s="53">
        <f t="shared" si="135"/>
        <v>366505</v>
      </c>
      <c r="AQ271" s="53">
        <f t="shared" si="135"/>
        <v>158209</v>
      </c>
      <c r="AR271" s="53">
        <f t="shared" si="161"/>
        <v>47800</v>
      </c>
      <c r="AS271" s="53">
        <f t="shared" ref="AS271:AS303" si="421">SUM(E271,O271,Y271,AI271)</f>
        <v>572514</v>
      </c>
      <c r="AT271" s="53">
        <f t="shared" si="410"/>
        <v>627645.5</v>
      </c>
      <c r="AU271" s="53">
        <f t="shared" si="411"/>
        <v>724108.91666666663</v>
      </c>
      <c r="AV271" s="59">
        <f t="shared" si="398"/>
        <v>20.282367771416567</v>
      </c>
      <c r="AW271" s="59">
        <f t="shared" si="418"/>
        <v>-13.16452648974783</v>
      </c>
      <c r="AX271" s="59">
        <f t="shared" si="399"/>
        <v>-13.321672257638028</v>
      </c>
      <c r="AZ271" s="53">
        <f t="shared" si="401"/>
        <v>405.34399999999999</v>
      </c>
      <c r="BA271" s="53">
        <f t="shared" si="402"/>
        <v>14.75</v>
      </c>
      <c r="BB271" s="53">
        <f t="shared" si="403"/>
        <v>136.62</v>
      </c>
      <c r="BC271" s="53">
        <f t="shared" si="404"/>
        <v>15.8</v>
      </c>
      <c r="BD271" s="53">
        <f t="shared" si="405"/>
        <v>572.51400000000001</v>
      </c>
      <c r="BE271" s="60">
        <f>AZ271</f>
        <v>405.34399999999999</v>
      </c>
      <c r="BF271" s="60">
        <f>BA271</f>
        <v>14.75</v>
      </c>
      <c r="BG271" s="60">
        <f>BB271</f>
        <v>136.62</v>
      </c>
      <c r="BH271" s="60">
        <f>BC271</f>
        <v>15.8</v>
      </c>
      <c r="BI271" s="60">
        <f>BD271</f>
        <v>572.51400000000001</v>
      </c>
      <c r="BJ271" s="1">
        <v>1</v>
      </c>
    </row>
    <row r="272" spans="1:65" x14ac:dyDescent="0.3">
      <c r="A272" s="48">
        <f t="shared" si="238"/>
        <v>39459</v>
      </c>
      <c r="B272" s="53">
        <v>188139</v>
      </c>
      <c r="C272" s="53">
        <v>155104</v>
      </c>
      <c r="D272" s="53">
        <v>0</v>
      </c>
      <c r="E272" s="53">
        <f t="shared" si="419"/>
        <v>343243</v>
      </c>
      <c r="F272" s="53">
        <f t="shared" ref="F272:F277" si="422">AVERAGE(E269,E270,E271,E272)</f>
        <v>394204.25</v>
      </c>
      <c r="G272" s="53">
        <f t="shared" ref="G272:G277" si="423">AVERAGE(F220,F168,F116)</f>
        <v>418419.75</v>
      </c>
      <c r="H272" s="59">
        <f t="shared" si="414"/>
        <v>-31.843083992081123</v>
      </c>
      <c r="I272" s="59">
        <f t="shared" si="414"/>
        <v>-6.017934359885202</v>
      </c>
      <c r="J272" s="59">
        <f t="shared" si="391"/>
        <v>-5.7873702185425095</v>
      </c>
      <c r="L272" s="53">
        <v>1600</v>
      </c>
      <c r="M272" s="53">
        <v>1500</v>
      </c>
      <c r="N272" s="53">
        <v>11200</v>
      </c>
      <c r="O272" s="53">
        <f t="shared" si="269"/>
        <v>14300</v>
      </c>
      <c r="P272" s="53">
        <f t="shared" ref="P272:P277" si="424">AVERAGE(O269,O270,O271,O272)</f>
        <v>13962.5</v>
      </c>
      <c r="Q272" s="53">
        <f t="shared" ref="Q272:Q277" si="425">AVERAGE(P220,P168,P116)</f>
        <v>18507.416666666668</v>
      </c>
      <c r="R272" s="59">
        <f t="shared" si="415"/>
        <v>-45.976577257272389</v>
      </c>
      <c r="S272" s="59">
        <f t="shared" si="415"/>
        <v>-22.959141446188646</v>
      </c>
      <c r="T272" s="59">
        <f t="shared" si="393"/>
        <v>-24.557272084614734</v>
      </c>
      <c r="V272" s="53">
        <v>93198</v>
      </c>
      <c r="W272" s="53">
        <v>64214</v>
      </c>
      <c r="X272" s="53">
        <v>19600</v>
      </c>
      <c r="Y272" s="53">
        <f t="shared" si="270"/>
        <v>177012</v>
      </c>
      <c r="Z272" s="53">
        <f t="shared" si="406"/>
        <v>137348</v>
      </c>
      <c r="AA272" s="53">
        <f t="shared" si="407"/>
        <v>197853.66666666666</v>
      </c>
      <c r="AB272" s="59">
        <f t="shared" si="416"/>
        <v>-27.174436257266631</v>
      </c>
      <c r="AC272" s="59">
        <f t="shared" si="416"/>
        <v>-32.891228215899417</v>
      </c>
      <c r="AD272" s="59">
        <f t="shared" si="395"/>
        <v>-30.581018631614942</v>
      </c>
      <c r="AF272" s="53">
        <v>0</v>
      </c>
      <c r="AG272" s="53">
        <v>15000</v>
      </c>
      <c r="AH272" s="53">
        <v>3000</v>
      </c>
      <c r="AI272" s="53">
        <f t="shared" si="420"/>
        <v>18000</v>
      </c>
      <c r="AJ272" s="53">
        <f t="shared" si="408"/>
        <v>20450</v>
      </c>
      <c r="AK272" s="53">
        <f t="shared" si="409"/>
        <v>17448.666666666668</v>
      </c>
      <c r="AL272" s="59">
        <f t="shared" si="417"/>
        <v>48.148148148148138</v>
      </c>
      <c r="AM272" s="59">
        <f t="shared" si="417"/>
        <v>89.571263035921206</v>
      </c>
      <c r="AN272" s="59">
        <f t="shared" si="397"/>
        <v>17.200932258434264</v>
      </c>
      <c r="AP272" s="53">
        <f t="shared" si="135"/>
        <v>282937</v>
      </c>
      <c r="AQ272" s="53">
        <f t="shared" si="135"/>
        <v>235818</v>
      </c>
      <c r="AR272" s="53">
        <f t="shared" si="161"/>
        <v>33800</v>
      </c>
      <c r="AS272" s="53">
        <f t="shared" si="421"/>
        <v>552555</v>
      </c>
      <c r="AT272" s="53">
        <f t="shared" si="410"/>
        <v>565964.75</v>
      </c>
      <c r="AU272" s="53">
        <f t="shared" si="411"/>
        <v>652229.5</v>
      </c>
      <c r="AV272" s="59">
        <f t="shared" si="398"/>
        <v>-29.636822065733682</v>
      </c>
      <c r="AW272" s="59">
        <f t="shared" si="418"/>
        <v>-13.331442125992687</v>
      </c>
      <c r="AX272" s="59">
        <f t="shared" si="399"/>
        <v>-13.226134359148123</v>
      </c>
      <c r="AZ272" s="53">
        <f t="shared" si="401"/>
        <v>343.24299999999999</v>
      </c>
      <c r="BA272" s="53">
        <f t="shared" si="402"/>
        <v>14.3</v>
      </c>
      <c r="BB272" s="53">
        <f t="shared" si="403"/>
        <v>177.012</v>
      </c>
      <c r="BC272" s="53">
        <f t="shared" si="404"/>
        <v>18</v>
      </c>
      <c r="BD272" s="53">
        <f t="shared" si="405"/>
        <v>552.55499999999995</v>
      </c>
      <c r="BE272" s="60">
        <f t="shared" ref="BE272:BI273" si="426">AZ272+BE271</f>
        <v>748.58699999999999</v>
      </c>
      <c r="BF272" s="60">
        <f t="shared" si="426"/>
        <v>29.05</v>
      </c>
      <c r="BG272" s="60">
        <f t="shared" si="426"/>
        <v>313.63200000000001</v>
      </c>
      <c r="BH272" s="60">
        <f t="shared" si="426"/>
        <v>33.799999999999997</v>
      </c>
      <c r="BI272" s="60">
        <f t="shared" si="426"/>
        <v>1125.069</v>
      </c>
      <c r="BJ272" s="1">
        <f t="shared" si="413"/>
        <v>2</v>
      </c>
    </row>
    <row r="273" spans="1:62" x14ac:dyDescent="0.3">
      <c r="A273" s="48">
        <f t="shared" si="238"/>
        <v>39466</v>
      </c>
      <c r="B273" s="53">
        <v>173491</v>
      </c>
      <c r="C273" s="53">
        <v>169947</v>
      </c>
      <c r="D273" s="53">
        <v>0</v>
      </c>
      <c r="E273" s="53">
        <f t="shared" si="419"/>
        <v>343438</v>
      </c>
      <c r="F273" s="53">
        <f t="shared" si="422"/>
        <v>407434.25</v>
      </c>
      <c r="G273" s="53">
        <f t="shared" si="423"/>
        <v>378407.5</v>
      </c>
      <c r="H273" s="59">
        <f t="shared" ref="H273:I275" si="427">((E273/E221)-1)*100</f>
        <v>-11.674450662496916</v>
      </c>
      <c r="I273" s="59">
        <f t="shared" si="427"/>
        <v>5.644326956485668</v>
      </c>
      <c r="J273" s="59">
        <f t="shared" ref="J273:J278" si="428">((F273/G273)-1)*100</f>
        <v>7.6707649821951218</v>
      </c>
      <c r="L273" s="53">
        <v>0</v>
      </c>
      <c r="M273" s="53">
        <v>1600</v>
      </c>
      <c r="N273" s="53">
        <v>5600</v>
      </c>
      <c r="O273" s="53">
        <f t="shared" si="269"/>
        <v>7200</v>
      </c>
      <c r="P273" s="53">
        <f t="shared" si="424"/>
        <v>11637.5</v>
      </c>
      <c r="Q273" s="53">
        <f t="shared" si="425"/>
        <v>15961.916666666666</v>
      </c>
      <c r="R273" s="59">
        <f t="shared" ref="R273:S275" si="429">((O273/O221)-1)*100</f>
        <v>26.315789473684205</v>
      </c>
      <c r="S273" s="59">
        <f t="shared" si="429"/>
        <v>-33.849651840272841</v>
      </c>
      <c r="T273" s="59">
        <f t="shared" ref="T273:T278" si="430">((P273/Q273)-1)*100</f>
        <v>-27.092088982630525</v>
      </c>
      <c r="V273" s="53">
        <v>54037</v>
      </c>
      <c r="W273" s="53">
        <v>47575</v>
      </c>
      <c r="X273" s="53">
        <v>32200</v>
      </c>
      <c r="Y273" s="53">
        <f t="shared" si="270"/>
        <v>133812</v>
      </c>
      <c r="Z273" s="53">
        <f t="shared" si="406"/>
        <v>144378.75</v>
      </c>
      <c r="AA273" s="53">
        <f t="shared" si="407"/>
        <v>181242</v>
      </c>
      <c r="AB273" s="59">
        <f t="shared" ref="AB273:AC275" si="431">((Y273/Y221)-1)*100</f>
        <v>-40.234484914803815</v>
      </c>
      <c r="AC273" s="59">
        <f t="shared" si="431"/>
        <v>-29.36304859940654</v>
      </c>
      <c r="AD273" s="59">
        <f t="shared" ref="AD273:AD278" si="432">((Z273/AA273)-1)*100</f>
        <v>-20.3392425596716</v>
      </c>
      <c r="AF273" s="53">
        <v>0</v>
      </c>
      <c r="AG273" s="53">
        <v>9000</v>
      </c>
      <c r="AH273" s="53">
        <v>4700</v>
      </c>
      <c r="AI273" s="53">
        <f t="shared" si="420"/>
        <v>13700</v>
      </c>
      <c r="AJ273" s="53">
        <f t="shared" si="408"/>
        <v>18475</v>
      </c>
      <c r="AK273" s="53">
        <f t="shared" si="409"/>
        <v>16256.333333333334</v>
      </c>
      <c r="AL273" s="59">
        <f t="shared" ref="AL273:AM275" si="433">((AI273/AI221)-1)*100</f>
        <v>-4.8082267926625955</v>
      </c>
      <c r="AM273" s="59">
        <f t="shared" si="433"/>
        <v>60.854991075704156</v>
      </c>
      <c r="AN273" s="59">
        <f t="shared" ref="AN273:AN278" si="434">((AJ273/AK273)-1)*100</f>
        <v>13.648014107322259</v>
      </c>
      <c r="AP273" s="53">
        <f t="shared" si="135"/>
        <v>227528</v>
      </c>
      <c r="AQ273" s="53">
        <f t="shared" si="135"/>
        <v>228122</v>
      </c>
      <c r="AR273" s="53">
        <f t="shared" si="161"/>
        <v>42500</v>
      </c>
      <c r="AS273" s="53">
        <f t="shared" si="421"/>
        <v>498150</v>
      </c>
      <c r="AT273" s="53">
        <f t="shared" si="410"/>
        <v>581925.5</v>
      </c>
      <c r="AU273" s="53">
        <f t="shared" si="411"/>
        <v>591867.75</v>
      </c>
      <c r="AV273" s="59">
        <f t="shared" ref="AV273:AV278" si="435">((AS273/AS221)-1)*100</f>
        <v>-21.280808572435404</v>
      </c>
      <c r="AW273" s="59">
        <f t="shared" si="418"/>
        <v>-6.0106001959170712</v>
      </c>
      <c r="AX273" s="59">
        <f t="shared" ref="AX273:AX278" si="436">((AT273/AU273)-1)*100</f>
        <v>-1.6798093830927563</v>
      </c>
      <c r="AZ273" s="53">
        <f t="shared" si="401"/>
        <v>343.43799999999999</v>
      </c>
      <c r="BA273" s="53">
        <f t="shared" si="402"/>
        <v>7.2</v>
      </c>
      <c r="BB273" s="53">
        <f t="shared" si="403"/>
        <v>133.81200000000001</v>
      </c>
      <c r="BC273" s="53">
        <f t="shared" si="404"/>
        <v>13.7</v>
      </c>
      <c r="BD273" s="53">
        <f t="shared" si="405"/>
        <v>498.15</v>
      </c>
      <c r="BE273" s="60">
        <f t="shared" si="426"/>
        <v>1092.0250000000001</v>
      </c>
      <c r="BF273" s="60">
        <f t="shared" si="426"/>
        <v>36.25</v>
      </c>
      <c r="BG273" s="60">
        <f t="shared" si="426"/>
        <v>447.44400000000002</v>
      </c>
      <c r="BH273" s="60">
        <f t="shared" si="426"/>
        <v>47.5</v>
      </c>
      <c r="BI273" s="60">
        <f t="shared" si="426"/>
        <v>1623.2190000000001</v>
      </c>
      <c r="BJ273" s="1">
        <f t="shared" si="413"/>
        <v>3</v>
      </c>
    </row>
    <row r="274" spans="1:62" x14ac:dyDescent="0.3">
      <c r="A274" s="48">
        <f t="shared" si="238"/>
        <v>39473</v>
      </c>
      <c r="B274" s="53">
        <v>194360</v>
      </c>
      <c r="C274" s="53">
        <v>216820</v>
      </c>
      <c r="D274" s="53">
        <v>0</v>
      </c>
      <c r="E274" s="53">
        <f t="shared" si="419"/>
        <v>411180</v>
      </c>
      <c r="F274" s="53">
        <f t="shared" si="422"/>
        <v>375801.25</v>
      </c>
      <c r="G274" s="53">
        <f t="shared" si="423"/>
        <v>383004.5</v>
      </c>
      <c r="H274" s="59">
        <f t="shared" si="427"/>
        <v>-10.64412378303199</v>
      </c>
      <c r="I274" s="59">
        <f t="shared" si="427"/>
        <v>-8.778908530405916</v>
      </c>
      <c r="J274" s="59">
        <f t="shared" si="428"/>
        <v>-1.8807220280701697</v>
      </c>
      <c r="L274" s="53">
        <v>0</v>
      </c>
      <c r="M274" s="53">
        <v>0</v>
      </c>
      <c r="N274" s="53">
        <v>7000</v>
      </c>
      <c r="O274" s="53">
        <f t="shared" si="269"/>
        <v>7000</v>
      </c>
      <c r="P274" s="53">
        <f t="shared" si="424"/>
        <v>10812.5</v>
      </c>
      <c r="Q274" s="53">
        <f t="shared" si="425"/>
        <v>20257.25</v>
      </c>
      <c r="R274" s="59">
        <f t="shared" si="429"/>
        <v>-60.068454078722191</v>
      </c>
      <c r="S274" s="59">
        <f t="shared" si="429"/>
        <v>-43.241469816272968</v>
      </c>
      <c r="T274" s="59">
        <f t="shared" si="430"/>
        <v>-46.624048180281129</v>
      </c>
      <c r="V274" s="53">
        <v>39453</v>
      </c>
      <c r="W274" s="53">
        <v>71231</v>
      </c>
      <c r="X274" s="53">
        <v>28100</v>
      </c>
      <c r="Y274" s="53">
        <f t="shared" si="270"/>
        <v>138784</v>
      </c>
      <c r="Z274" s="53">
        <f t="shared" si="406"/>
        <v>146557</v>
      </c>
      <c r="AA274" s="53">
        <f t="shared" si="407"/>
        <v>174341.75</v>
      </c>
      <c r="AB274" s="59">
        <f t="shared" si="431"/>
        <v>-14.077339309815384</v>
      </c>
      <c r="AC274" s="59">
        <f t="shared" si="431"/>
        <v>-24.052318742194423</v>
      </c>
      <c r="AD274" s="59">
        <f t="shared" si="432"/>
        <v>-15.936945682832715</v>
      </c>
      <c r="AF274" s="53">
        <v>6000</v>
      </c>
      <c r="AG274" s="53">
        <v>0</v>
      </c>
      <c r="AH274" s="53">
        <v>7700</v>
      </c>
      <c r="AI274" s="53">
        <f t="shared" si="420"/>
        <v>13700</v>
      </c>
      <c r="AJ274" s="53">
        <f t="shared" si="408"/>
        <v>15300</v>
      </c>
      <c r="AK274" s="53">
        <f t="shared" si="409"/>
        <v>15956.333333333334</v>
      </c>
      <c r="AL274" s="59">
        <f t="shared" si="433"/>
        <v>77.922077922077932</v>
      </c>
      <c r="AM274" s="59">
        <f t="shared" si="433"/>
        <v>35.873185027307855</v>
      </c>
      <c r="AN274" s="59">
        <f t="shared" si="434"/>
        <v>-4.1133092398002891</v>
      </c>
      <c r="AP274" s="53">
        <f t="shared" si="135"/>
        <v>239813</v>
      </c>
      <c r="AQ274" s="53">
        <f t="shared" si="135"/>
        <v>288051</v>
      </c>
      <c r="AR274" s="53">
        <f t="shared" si="161"/>
        <v>42800</v>
      </c>
      <c r="AS274" s="53">
        <f t="shared" si="421"/>
        <v>570664</v>
      </c>
      <c r="AT274" s="53">
        <f t="shared" si="410"/>
        <v>548470.75</v>
      </c>
      <c r="AU274" s="53">
        <f t="shared" si="411"/>
        <v>593559.83333333337</v>
      </c>
      <c r="AV274" s="59">
        <f t="shared" si="435"/>
        <v>-11.786456272259594</v>
      </c>
      <c r="AW274" s="59">
        <f t="shared" si="418"/>
        <v>-13.660509500998819</v>
      </c>
      <c r="AX274" s="59">
        <f t="shared" si="436"/>
        <v>-7.5963838523440135</v>
      </c>
      <c r="AZ274" s="53">
        <f t="shared" si="401"/>
        <v>411.18</v>
      </c>
      <c r="BA274" s="53">
        <f t="shared" si="402"/>
        <v>7</v>
      </c>
      <c r="BB274" s="53">
        <f t="shared" si="403"/>
        <v>138.78399999999999</v>
      </c>
      <c r="BC274" s="53">
        <f t="shared" si="404"/>
        <v>13.7</v>
      </c>
      <c r="BD274" s="53">
        <f t="shared" si="405"/>
        <v>570.66399999999999</v>
      </c>
      <c r="BE274" s="60">
        <f t="shared" ref="BE274:BI275" si="437">AZ274+BE273</f>
        <v>1503.2050000000002</v>
      </c>
      <c r="BF274" s="60">
        <f t="shared" si="437"/>
        <v>43.25</v>
      </c>
      <c r="BG274" s="60">
        <f t="shared" si="437"/>
        <v>586.22800000000007</v>
      </c>
      <c r="BH274" s="60">
        <f t="shared" si="437"/>
        <v>61.2</v>
      </c>
      <c r="BI274" s="60">
        <f t="shared" si="437"/>
        <v>2193.8829999999998</v>
      </c>
      <c r="BJ274" s="1">
        <f t="shared" si="413"/>
        <v>4</v>
      </c>
    </row>
    <row r="275" spans="1:62" x14ac:dyDescent="0.3">
      <c r="A275" s="48">
        <f t="shared" si="238"/>
        <v>39480</v>
      </c>
      <c r="B275" s="53">
        <v>183559</v>
      </c>
      <c r="C275" s="53">
        <v>197649</v>
      </c>
      <c r="D275" s="53">
        <v>0</v>
      </c>
      <c r="E275" s="53">
        <f t="shared" si="419"/>
        <v>381208</v>
      </c>
      <c r="F275" s="53">
        <f t="shared" si="422"/>
        <v>369767.25</v>
      </c>
      <c r="G275" s="53">
        <f t="shared" si="423"/>
        <v>371395.25</v>
      </c>
      <c r="H275" s="59">
        <f t="shared" si="427"/>
        <v>52.503940535912875</v>
      </c>
      <c r="I275" s="59">
        <f t="shared" si="427"/>
        <v>-7.7061460845581964</v>
      </c>
      <c r="J275" s="59">
        <f t="shared" si="428"/>
        <v>-0.43834701709297708</v>
      </c>
      <c r="L275" s="53">
        <v>0</v>
      </c>
      <c r="M275" s="53">
        <v>0</v>
      </c>
      <c r="N275" s="53">
        <v>7000</v>
      </c>
      <c r="O275" s="53">
        <f t="shared" si="269"/>
        <v>7000</v>
      </c>
      <c r="P275" s="53">
        <f t="shared" si="424"/>
        <v>8875</v>
      </c>
      <c r="Q275" s="53">
        <f t="shared" si="425"/>
        <v>19522.916666666668</v>
      </c>
      <c r="R275" s="59">
        <f t="shared" si="429"/>
        <v>20.68965517241379</v>
      </c>
      <c r="S275" s="59">
        <f t="shared" si="429"/>
        <v>-36.036036036036037</v>
      </c>
      <c r="T275" s="59">
        <f t="shared" si="430"/>
        <v>-54.540603991036171</v>
      </c>
      <c r="V275" s="53">
        <v>30872</v>
      </c>
      <c r="W275" s="53">
        <v>80672</v>
      </c>
      <c r="X275" s="53">
        <v>18200</v>
      </c>
      <c r="Y275" s="53">
        <f t="shared" si="270"/>
        <v>129744</v>
      </c>
      <c r="Z275" s="53">
        <f t="shared" ref="Z275:Z281" si="438">AVERAGE(Y272,Y273,Y274,Y275)</f>
        <v>144838</v>
      </c>
      <c r="AA275" s="53">
        <f t="shared" ref="AA275:AA281" si="439">AVERAGE(Z223,Z171,Z119)</f>
        <v>179630</v>
      </c>
      <c r="AB275" s="59">
        <f t="shared" si="431"/>
        <v>-6.8667001650994148</v>
      </c>
      <c r="AC275" s="59">
        <f t="shared" si="431"/>
        <v>-24.542908868310342</v>
      </c>
      <c r="AD275" s="59">
        <f t="shared" si="432"/>
        <v>-19.368702332572507</v>
      </c>
      <c r="AF275" s="53">
        <v>0</v>
      </c>
      <c r="AG275" s="53">
        <v>4700</v>
      </c>
      <c r="AH275" s="53">
        <v>5700</v>
      </c>
      <c r="AI275" s="53">
        <f t="shared" si="420"/>
        <v>10400</v>
      </c>
      <c r="AJ275" s="53">
        <f t="shared" ref="AJ275:AJ281" si="440">AVERAGE(AI272,AI273,AI274,AI275)</f>
        <v>13950</v>
      </c>
      <c r="AK275" s="53">
        <f t="shared" ref="AK275:AK281" si="441">AVERAGE(AJ223,AJ171,AJ119)</f>
        <v>16654.5</v>
      </c>
      <c r="AL275" s="59">
        <f t="shared" si="433"/>
        <v>-44.385026737967912</v>
      </c>
      <c r="AM275" s="59">
        <f t="shared" si="433"/>
        <v>5.3983604699482379</v>
      </c>
      <c r="AN275" s="59">
        <f t="shared" si="434"/>
        <v>-16.238854363685494</v>
      </c>
      <c r="AP275" s="53">
        <f t="shared" si="135"/>
        <v>214431</v>
      </c>
      <c r="AQ275" s="53">
        <f t="shared" si="135"/>
        <v>283021</v>
      </c>
      <c r="AR275" s="53">
        <f t="shared" si="161"/>
        <v>30900</v>
      </c>
      <c r="AS275" s="53">
        <f t="shared" si="421"/>
        <v>528352</v>
      </c>
      <c r="AT275" s="53">
        <f t="shared" ref="AT275:AT281" si="442">AVERAGE(AS272,AS273,AS274,AS275)</f>
        <v>537430.25</v>
      </c>
      <c r="AU275" s="53">
        <f t="shared" ref="AU275:AU281" si="443">AVERAGE(AT223,AT171,AT119)</f>
        <v>587202.66666666663</v>
      </c>
      <c r="AV275" s="59">
        <f t="shared" si="435"/>
        <v>27.690344534240751</v>
      </c>
      <c r="AW275" s="59">
        <f t="shared" si="418"/>
        <v>-13.275633301153745</v>
      </c>
      <c r="AX275" s="59">
        <f t="shared" si="436"/>
        <v>-8.4761905032220479</v>
      </c>
      <c r="AZ275" s="53">
        <f t="shared" si="401"/>
        <v>381.20800000000003</v>
      </c>
      <c r="BA275" s="53">
        <f t="shared" si="402"/>
        <v>7</v>
      </c>
      <c r="BB275" s="53">
        <f t="shared" si="403"/>
        <v>129.744</v>
      </c>
      <c r="BC275" s="53">
        <f t="shared" si="404"/>
        <v>10.4</v>
      </c>
      <c r="BD275" s="53">
        <f t="shared" si="405"/>
        <v>528.35199999999998</v>
      </c>
      <c r="BE275" s="60">
        <f t="shared" si="437"/>
        <v>1884.4130000000002</v>
      </c>
      <c r="BF275" s="60">
        <f t="shared" si="437"/>
        <v>50.25</v>
      </c>
      <c r="BG275" s="60">
        <f t="shared" si="437"/>
        <v>715.97200000000009</v>
      </c>
      <c r="BH275" s="60">
        <f t="shared" si="437"/>
        <v>71.600000000000009</v>
      </c>
      <c r="BI275" s="60">
        <f t="shared" si="437"/>
        <v>2722.2349999999997</v>
      </c>
      <c r="BJ275" s="1">
        <f t="shared" si="413"/>
        <v>5</v>
      </c>
    </row>
    <row r="276" spans="1:62" x14ac:dyDescent="0.3">
      <c r="A276" s="48">
        <f t="shared" si="238"/>
        <v>39487</v>
      </c>
      <c r="B276" s="53">
        <v>246325</v>
      </c>
      <c r="C276" s="53">
        <v>162839</v>
      </c>
      <c r="D276" s="53">
        <v>0</v>
      </c>
      <c r="E276" s="53">
        <f t="shared" si="419"/>
        <v>409164</v>
      </c>
      <c r="F276" s="53">
        <f t="shared" si="422"/>
        <v>386247.5</v>
      </c>
      <c r="G276" s="53">
        <f t="shared" si="423"/>
        <v>358108.91666666669</v>
      </c>
      <c r="H276" s="59">
        <f t="shared" ref="H276:I278" si="444">((E276/E224)-1)*100</f>
        <v>57.678241802283694</v>
      </c>
      <c r="I276" s="59">
        <f t="shared" si="444"/>
        <v>13.731742992570206</v>
      </c>
      <c r="J276" s="59">
        <f t="shared" si="428"/>
        <v>7.8575489254083974</v>
      </c>
      <c r="L276" s="53">
        <v>1600</v>
      </c>
      <c r="M276" s="53">
        <v>12656</v>
      </c>
      <c r="N276" s="53">
        <v>2800</v>
      </c>
      <c r="O276" s="53">
        <f t="shared" si="269"/>
        <v>17056</v>
      </c>
      <c r="P276" s="53">
        <f t="shared" si="424"/>
        <v>9564</v>
      </c>
      <c r="Q276" s="53">
        <f t="shared" si="425"/>
        <v>20237.166666666668</v>
      </c>
      <c r="R276" s="59">
        <f t="shared" ref="R276:S278" si="445">((O276/O224)-1)*100</f>
        <v>18.444444444444443</v>
      </c>
      <c r="S276" s="59">
        <f t="shared" si="445"/>
        <v>-11.913423900529585</v>
      </c>
      <c r="T276" s="59">
        <f t="shared" si="430"/>
        <v>-52.740419854558041</v>
      </c>
      <c r="V276" s="53">
        <v>61311</v>
      </c>
      <c r="W276" s="53">
        <v>97804</v>
      </c>
      <c r="X276" s="53">
        <v>12600</v>
      </c>
      <c r="Y276" s="53">
        <f t="shared" si="270"/>
        <v>171715</v>
      </c>
      <c r="Z276" s="53">
        <f t="shared" si="438"/>
        <v>143513.75</v>
      </c>
      <c r="AA276" s="53">
        <f t="shared" si="439"/>
        <v>177353</v>
      </c>
      <c r="AB276" s="59">
        <f t="shared" ref="AB276:AC278" si="446">((Y276/Y224)-1)*100</f>
        <v>61.399930445244436</v>
      </c>
      <c r="AC276" s="59">
        <f t="shared" si="446"/>
        <v>-9.0415738419756693</v>
      </c>
      <c r="AD276" s="59">
        <f t="shared" si="432"/>
        <v>-19.080167800939375</v>
      </c>
      <c r="AF276" s="53">
        <v>0</v>
      </c>
      <c r="AG276" s="53">
        <v>7500</v>
      </c>
      <c r="AH276" s="53">
        <v>7400</v>
      </c>
      <c r="AI276" s="53">
        <f t="shared" si="420"/>
        <v>14900</v>
      </c>
      <c r="AJ276" s="53">
        <f t="shared" si="440"/>
        <v>13175</v>
      </c>
      <c r="AK276" s="53">
        <f t="shared" si="441"/>
        <v>17446.333333333332</v>
      </c>
      <c r="AL276" s="59">
        <f t="shared" ref="AL276:AM278" si="447">((AI276/AI224)-1)*100</f>
        <v>68.361581920903959</v>
      </c>
      <c r="AM276" s="59">
        <f t="shared" si="447"/>
        <v>6.1601063615486895</v>
      </c>
      <c r="AN276" s="59">
        <f t="shared" si="434"/>
        <v>-24.482699325550726</v>
      </c>
      <c r="AP276" s="53">
        <f t="shared" si="135"/>
        <v>309236</v>
      </c>
      <c r="AQ276" s="53">
        <f t="shared" si="135"/>
        <v>280799</v>
      </c>
      <c r="AR276" s="53">
        <f t="shared" si="161"/>
        <v>22800</v>
      </c>
      <c r="AS276" s="53">
        <f t="shared" si="421"/>
        <v>612835</v>
      </c>
      <c r="AT276" s="53">
        <f t="shared" si="442"/>
        <v>552500.25</v>
      </c>
      <c r="AU276" s="53">
        <f t="shared" si="443"/>
        <v>573145.41666666663</v>
      </c>
      <c r="AV276" s="59">
        <f t="shared" si="435"/>
        <v>57.486881125781863</v>
      </c>
      <c r="AW276" s="59">
        <f t="shared" ref="AW276:AW281" si="448">((AT276/AT224)-1)*100</f>
        <v>6.1153122405637861</v>
      </c>
      <c r="AX276" s="59">
        <f t="shared" si="436"/>
        <v>-3.6020817869810484</v>
      </c>
      <c r="AZ276" s="53">
        <f t="shared" si="401"/>
        <v>409.16399999999999</v>
      </c>
      <c r="BA276" s="53">
        <f t="shared" si="402"/>
        <v>17.056000000000001</v>
      </c>
      <c r="BB276" s="53">
        <f t="shared" si="403"/>
        <v>171.715</v>
      </c>
      <c r="BC276" s="53">
        <f t="shared" si="404"/>
        <v>14.9</v>
      </c>
      <c r="BD276" s="53">
        <f t="shared" si="405"/>
        <v>612.83500000000004</v>
      </c>
      <c r="BE276" s="60">
        <f t="shared" ref="BE276:BI277" si="449">AZ276+BE275</f>
        <v>2293.5770000000002</v>
      </c>
      <c r="BF276" s="60">
        <f t="shared" si="449"/>
        <v>67.305999999999997</v>
      </c>
      <c r="BG276" s="60">
        <f t="shared" si="449"/>
        <v>887.68700000000013</v>
      </c>
      <c r="BH276" s="60">
        <f t="shared" si="449"/>
        <v>86.500000000000014</v>
      </c>
      <c r="BI276" s="60">
        <f t="shared" si="449"/>
        <v>3335.0699999999997</v>
      </c>
      <c r="BJ276" s="1">
        <f t="shared" si="413"/>
        <v>6</v>
      </c>
    </row>
    <row r="277" spans="1:62" x14ac:dyDescent="0.3">
      <c r="A277" s="48">
        <f t="shared" si="238"/>
        <v>39494</v>
      </c>
      <c r="B277" s="53">
        <v>95601</v>
      </c>
      <c r="C277" s="53">
        <v>91168</v>
      </c>
      <c r="D277" s="53">
        <v>0</v>
      </c>
      <c r="E277" s="53">
        <f t="shared" si="419"/>
        <v>186769</v>
      </c>
      <c r="F277" s="53">
        <f t="shared" si="422"/>
        <v>347080.25</v>
      </c>
      <c r="G277" s="53">
        <f t="shared" si="423"/>
        <v>351464.75</v>
      </c>
      <c r="H277" s="59">
        <f t="shared" si="444"/>
        <v>2.4548257210879054</v>
      </c>
      <c r="I277" s="59">
        <f t="shared" si="444"/>
        <v>20.523077697708068</v>
      </c>
      <c r="J277" s="59">
        <f t="shared" si="428"/>
        <v>-1.247493525310861</v>
      </c>
      <c r="L277" s="53">
        <v>17000</v>
      </c>
      <c r="M277" s="53">
        <v>7550</v>
      </c>
      <c r="N277" s="53">
        <v>9800</v>
      </c>
      <c r="O277" s="53">
        <f t="shared" si="269"/>
        <v>34350</v>
      </c>
      <c r="P277" s="53">
        <f t="shared" si="424"/>
        <v>16351.5</v>
      </c>
      <c r="Q277" s="53">
        <f t="shared" si="425"/>
        <v>21129.583333333332</v>
      </c>
      <c r="R277" s="59">
        <f t="shared" si="445"/>
        <v>157.30337078651684</v>
      </c>
      <c r="S277" s="59">
        <f t="shared" si="445"/>
        <v>28.046202036021928</v>
      </c>
      <c r="T277" s="59">
        <f t="shared" si="430"/>
        <v>-22.613239731024827</v>
      </c>
      <c r="V277" s="53">
        <v>57921</v>
      </c>
      <c r="W277" s="53">
        <v>38950</v>
      </c>
      <c r="X277" s="53">
        <v>43000</v>
      </c>
      <c r="Y277" s="53">
        <f t="shared" si="270"/>
        <v>139871</v>
      </c>
      <c r="Z277" s="53">
        <f t="shared" si="438"/>
        <v>145028.5</v>
      </c>
      <c r="AA277" s="53">
        <f t="shared" si="439"/>
        <v>168745.33333333334</v>
      </c>
      <c r="AB277" s="59">
        <f t="shared" si="446"/>
        <v>12.7991935483871</v>
      </c>
      <c r="AC277" s="59">
        <f t="shared" si="446"/>
        <v>9.2034795180178541</v>
      </c>
      <c r="AD277" s="59">
        <f t="shared" si="432"/>
        <v>-14.05480842927015</v>
      </c>
      <c r="AF277" s="53">
        <v>0</v>
      </c>
      <c r="AG277" s="53">
        <v>0</v>
      </c>
      <c r="AH277" s="53">
        <v>11000</v>
      </c>
      <c r="AI277" s="53">
        <f t="shared" si="420"/>
        <v>11000</v>
      </c>
      <c r="AJ277" s="53">
        <f t="shared" si="440"/>
        <v>12500</v>
      </c>
      <c r="AK277" s="53">
        <f t="shared" si="441"/>
        <v>18580.333333333332</v>
      </c>
      <c r="AL277" s="59">
        <f t="shared" si="447"/>
        <v>44.736842105263165</v>
      </c>
      <c r="AM277" s="59">
        <f t="shared" si="447"/>
        <v>16.686114352392067</v>
      </c>
      <c r="AN277" s="59">
        <f t="shared" si="434"/>
        <v>-32.724565400692484</v>
      </c>
      <c r="AP277" s="53">
        <f t="shared" si="135"/>
        <v>170522</v>
      </c>
      <c r="AQ277" s="53">
        <f t="shared" si="135"/>
        <v>137668</v>
      </c>
      <c r="AR277" s="53">
        <f t="shared" si="161"/>
        <v>63800</v>
      </c>
      <c r="AS277" s="53">
        <f t="shared" si="421"/>
        <v>371990</v>
      </c>
      <c r="AT277" s="53">
        <f t="shared" si="442"/>
        <v>520960.25</v>
      </c>
      <c r="AU277" s="53">
        <f t="shared" si="443"/>
        <v>559920</v>
      </c>
      <c r="AV277" s="59">
        <f t="shared" si="435"/>
        <v>13.673589126156639</v>
      </c>
      <c r="AW277" s="59">
        <f t="shared" si="448"/>
        <v>17.263005425797353</v>
      </c>
      <c r="AX277" s="59">
        <f t="shared" si="436"/>
        <v>-6.9580922274610657</v>
      </c>
      <c r="AZ277" s="53">
        <f>+E277/1000</f>
        <v>186.76900000000001</v>
      </c>
      <c r="BA277" s="53">
        <f>+O277/1000</f>
        <v>34.35</v>
      </c>
      <c r="BB277" s="53">
        <f>+Y277/1000</f>
        <v>139.87100000000001</v>
      </c>
      <c r="BC277" s="53">
        <f>+AI277/1000</f>
        <v>11</v>
      </c>
      <c r="BD277" s="53">
        <f>+AS277/1000</f>
        <v>371.99</v>
      </c>
      <c r="BE277" s="60">
        <f t="shared" si="449"/>
        <v>2480.3460000000005</v>
      </c>
      <c r="BF277" s="60">
        <f t="shared" si="449"/>
        <v>101.65600000000001</v>
      </c>
      <c r="BG277" s="60">
        <f t="shared" si="449"/>
        <v>1027.5580000000002</v>
      </c>
      <c r="BH277" s="60">
        <f t="shared" si="449"/>
        <v>97.500000000000014</v>
      </c>
      <c r="BI277" s="60">
        <f t="shared" si="449"/>
        <v>3707.0599999999995</v>
      </c>
      <c r="BJ277" s="1">
        <f t="shared" si="413"/>
        <v>7</v>
      </c>
    </row>
    <row r="278" spans="1:62" x14ac:dyDescent="0.3">
      <c r="A278" s="48">
        <f t="shared" si="238"/>
        <v>39501</v>
      </c>
      <c r="B278" s="53">
        <v>168027</v>
      </c>
      <c r="C278" s="53">
        <v>155950</v>
      </c>
      <c r="D278" s="53">
        <v>0</v>
      </c>
      <c r="E278" s="53">
        <f t="shared" si="419"/>
        <v>323977</v>
      </c>
      <c r="F278" s="53">
        <f t="shared" ref="F278:F284" si="450">AVERAGE(E275,E276,E277,E278)</f>
        <v>325279.5</v>
      </c>
      <c r="G278" s="53">
        <f t="shared" ref="G278:G284" si="451">AVERAGE(F226,F174,F122)</f>
        <v>320586.75</v>
      </c>
      <c r="H278" s="59">
        <f t="shared" si="444"/>
        <v>69.258136983438703</v>
      </c>
      <c r="I278" s="59">
        <f t="shared" si="444"/>
        <v>47.324786024776856</v>
      </c>
      <c r="J278" s="59">
        <f t="shared" si="428"/>
        <v>1.4638003598089977</v>
      </c>
      <c r="L278" s="53">
        <v>1624</v>
      </c>
      <c r="M278" s="53">
        <v>14400</v>
      </c>
      <c r="N278" s="53">
        <v>4200</v>
      </c>
      <c r="O278" s="53">
        <f t="shared" si="269"/>
        <v>20224</v>
      </c>
      <c r="P278" s="53">
        <f t="shared" ref="P278:P284" si="452">AVERAGE(O275,O276,O277,O278)</f>
        <v>19657.5</v>
      </c>
      <c r="Q278" s="53">
        <f t="shared" ref="Q278:Q284" si="453">AVERAGE(P226,P174,P122)</f>
        <v>22732.25</v>
      </c>
      <c r="R278" s="59">
        <f t="shared" si="445"/>
        <v>14.259887005649707</v>
      </c>
      <c r="S278" s="59">
        <f t="shared" si="445"/>
        <v>53.424390243902444</v>
      </c>
      <c r="T278" s="59">
        <f t="shared" si="430"/>
        <v>-13.525937819617507</v>
      </c>
      <c r="V278" s="53">
        <v>89029</v>
      </c>
      <c r="W278" s="53">
        <v>63500</v>
      </c>
      <c r="X278" s="53">
        <v>31000</v>
      </c>
      <c r="Y278" s="53">
        <f t="shared" si="270"/>
        <v>183529</v>
      </c>
      <c r="Z278" s="53">
        <f t="shared" si="438"/>
        <v>156214.75</v>
      </c>
      <c r="AA278" s="53">
        <f t="shared" si="439"/>
        <v>157996.33333333334</v>
      </c>
      <c r="AB278" s="59">
        <f t="shared" si="446"/>
        <v>126.2633609902235</v>
      </c>
      <c r="AC278" s="59">
        <f t="shared" si="446"/>
        <v>38.606831198676161</v>
      </c>
      <c r="AD278" s="59">
        <f t="shared" si="432"/>
        <v>-1.1276105563631234</v>
      </c>
      <c r="AF278" s="53">
        <v>1535</v>
      </c>
      <c r="AG278" s="53">
        <v>4500</v>
      </c>
      <c r="AH278" s="53">
        <v>5850</v>
      </c>
      <c r="AI278" s="53">
        <f t="shared" si="420"/>
        <v>11885</v>
      </c>
      <c r="AJ278" s="53">
        <f t="shared" si="440"/>
        <v>12046.25</v>
      </c>
      <c r="AK278" s="53">
        <f t="shared" si="441"/>
        <v>16547</v>
      </c>
      <c r="AL278" s="59"/>
      <c r="AM278" s="59">
        <f t="shared" si="447"/>
        <v>37.083926031294446</v>
      </c>
      <c r="AN278" s="59">
        <f t="shared" si="434"/>
        <v>-27.19979452468726</v>
      </c>
      <c r="AP278" s="53">
        <f t="shared" si="135"/>
        <v>260215</v>
      </c>
      <c r="AQ278" s="53">
        <f t="shared" si="135"/>
        <v>238350</v>
      </c>
      <c r="AR278" s="53">
        <f t="shared" si="161"/>
        <v>41050</v>
      </c>
      <c r="AS278" s="53">
        <f t="shared" si="421"/>
        <v>539615</v>
      </c>
      <c r="AT278" s="53">
        <f t="shared" si="442"/>
        <v>513198</v>
      </c>
      <c r="AU278" s="53">
        <f t="shared" si="443"/>
        <v>517862.33333333331</v>
      </c>
      <c r="AV278" s="59">
        <f t="shared" si="435"/>
        <v>85.931163277893205</v>
      </c>
      <c r="AW278" s="59">
        <f t="shared" si="448"/>
        <v>44.52444667859308</v>
      </c>
      <c r="AX278" s="59">
        <f t="shared" si="436"/>
        <v>-0.90068982297096811</v>
      </c>
      <c r="AZ278" s="53">
        <f t="shared" si="401"/>
        <v>323.97699999999998</v>
      </c>
      <c r="BA278" s="53">
        <f t="shared" si="402"/>
        <v>20.224</v>
      </c>
      <c r="BB278" s="53">
        <f t="shared" si="403"/>
        <v>183.529</v>
      </c>
      <c r="BC278" s="53">
        <f t="shared" si="404"/>
        <v>11.885</v>
      </c>
      <c r="BD278" s="53">
        <f t="shared" si="405"/>
        <v>539.61500000000001</v>
      </c>
      <c r="BE278" s="60">
        <f t="shared" ref="BE278:BI279" si="454">AZ278+BE277</f>
        <v>2804.3230000000003</v>
      </c>
      <c r="BF278" s="60">
        <f t="shared" si="454"/>
        <v>121.88000000000001</v>
      </c>
      <c r="BG278" s="60">
        <f t="shared" si="454"/>
        <v>1211.0870000000002</v>
      </c>
      <c r="BH278" s="60">
        <f t="shared" si="454"/>
        <v>109.38500000000002</v>
      </c>
      <c r="BI278" s="60">
        <f t="shared" si="454"/>
        <v>4246.6749999999993</v>
      </c>
      <c r="BJ278" s="1">
        <f t="shared" si="413"/>
        <v>8</v>
      </c>
    </row>
    <row r="279" spans="1:62" x14ac:dyDescent="0.3">
      <c r="A279" s="48">
        <f t="shared" si="238"/>
        <v>39508</v>
      </c>
      <c r="B279" s="53">
        <v>163835</v>
      </c>
      <c r="C279" s="53">
        <v>151089</v>
      </c>
      <c r="D279" s="53">
        <v>0</v>
      </c>
      <c r="E279" s="53">
        <f t="shared" si="419"/>
        <v>314924</v>
      </c>
      <c r="F279" s="53">
        <f t="shared" si="450"/>
        <v>308708.5</v>
      </c>
      <c r="G279" s="53">
        <f t="shared" si="451"/>
        <v>322004.83333333331</v>
      </c>
      <c r="H279" s="59">
        <f t="shared" ref="H279:I281" si="455">((E279/E227)-1)*100</f>
        <v>-26.435610953694642</v>
      </c>
      <c r="I279" s="59">
        <f t="shared" si="455"/>
        <v>16.352175183031981</v>
      </c>
      <c r="J279" s="59">
        <f t="shared" ref="J279:J284" si="456">((F279/G279)-1)*100</f>
        <v>-4.1292340849956144</v>
      </c>
      <c r="L279" s="53">
        <v>1535</v>
      </c>
      <c r="M279" s="53">
        <v>11100</v>
      </c>
      <c r="N279" s="53">
        <v>4200</v>
      </c>
      <c r="O279" s="53">
        <f t="shared" si="269"/>
        <v>16835</v>
      </c>
      <c r="P279" s="53">
        <f t="shared" si="452"/>
        <v>22116.25</v>
      </c>
      <c r="Q279" s="53">
        <f t="shared" si="453"/>
        <v>25602.916666666668</v>
      </c>
      <c r="R279" s="59">
        <f t="shared" ref="R279:S281" si="457">((O279/O227)-1)*100</f>
        <v>-17.572463768115941</v>
      </c>
      <c r="S279" s="59">
        <f t="shared" si="457"/>
        <v>34.294258736375504</v>
      </c>
      <c r="T279" s="59">
        <f t="shared" ref="T279:T284" si="458">((P279/Q279)-1)*100</f>
        <v>-13.618240109362546</v>
      </c>
      <c r="V279" s="53">
        <v>36782</v>
      </c>
      <c r="W279" s="53">
        <v>59871</v>
      </c>
      <c r="X279" s="53">
        <v>8400</v>
      </c>
      <c r="Y279" s="53">
        <f t="shared" si="270"/>
        <v>105053</v>
      </c>
      <c r="Z279" s="53">
        <f t="shared" si="438"/>
        <v>150042</v>
      </c>
      <c r="AA279" s="53">
        <f t="shared" si="439"/>
        <v>151653.33333333334</v>
      </c>
      <c r="AB279" s="59">
        <f t="shared" ref="AB279:AC281" si="459">((Y279/Y227)-1)*100</f>
        <v>-33.533475900641548</v>
      </c>
      <c r="AC279" s="59">
        <f t="shared" si="459"/>
        <v>27.815520127438997</v>
      </c>
      <c r="AD279" s="59">
        <f t="shared" ref="AD279:AD284" si="460">((Z279/AA279)-1)*100</f>
        <v>-1.0625109899771501</v>
      </c>
      <c r="AF279" s="53">
        <v>0</v>
      </c>
      <c r="AG279" s="53">
        <v>0</v>
      </c>
      <c r="AH279" s="53">
        <v>16000</v>
      </c>
      <c r="AI279" s="53">
        <f t="shared" si="420"/>
        <v>16000</v>
      </c>
      <c r="AJ279" s="53">
        <f t="shared" si="440"/>
        <v>13446.25</v>
      </c>
      <c r="AK279" s="53">
        <f t="shared" si="441"/>
        <v>13237.5</v>
      </c>
      <c r="AL279" s="59">
        <f t="shared" ref="AL279:AM281" si="461">((AI279/AI227)-1)*100</f>
        <v>153.96825396825395</v>
      </c>
      <c r="AM279" s="59">
        <f t="shared" si="461"/>
        <v>136.41758241758245</v>
      </c>
      <c r="AN279" s="59">
        <f t="shared" ref="AN279:AN284" si="462">((AJ279/AK279)-1)*100</f>
        <v>1.5769593956562744</v>
      </c>
      <c r="AP279" s="53">
        <f t="shared" si="135"/>
        <v>202152</v>
      </c>
      <c r="AQ279" s="53">
        <f t="shared" si="135"/>
        <v>222060</v>
      </c>
      <c r="AR279" s="53">
        <f t="shared" si="161"/>
        <v>28600</v>
      </c>
      <c r="AS279" s="53">
        <f t="shared" si="421"/>
        <v>452812</v>
      </c>
      <c r="AT279" s="53">
        <f t="shared" si="442"/>
        <v>494313</v>
      </c>
      <c r="AU279" s="53">
        <f t="shared" si="443"/>
        <v>512498.58333333331</v>
      </c>
      <c r="AV279" s="59">
        <f t="shared" ref="AV279:AV284" si="463">((AS279/AS227)-1)*100</f>
        <v>-26.116262639282983</v>
      </c>
      <c r="AW279" s="59">
        <f t="shared" si="448"/>
        <v>22.09238566643943</v>
      </c>
      <c r="AX279" s="59">
        <f t="shared" ref="AX279:AX284" si="464">((AT279/AU279)-1)*100</f>
        <v>-3.5484163126954904</v>
      </c>
      <c r="AZ279" s="53">
        <f t="shared" si="401"/>
        <v>314.92399999999998</v>
      </c>
      <c r="BA279" s="53">
        <f t="shared" si="402"/>
        <v>16.835000000000001</v>
      </c>
      <c r="BB279" s="53">
        <f t="shared" si="403"/>
        <v>105.053</v>
      </c>
      <c r="BC279" s="53">
        <f t="shared" si="404"/>
        <v>16</v>
      </c>
      <c r="BD279" s="53">
        <f t="shared" si="405"/>
        <v>452.81200000000001</v>
      </c>
      <c r="BE279" s="60">
        <f t="shared" si="454"/>
        <v>3119.2470000000003</v>
      </c>
      <c r="BF279" s="60">
        <f t="shared" si="454"/>
        <v>138.715</v>
      </c>
      <c r="BG279" s="60">
        <f t="shared" si="454"/>
        <v>1316.1400000000003</v>
      </c>
      <c r="BH279" s="60">
        <f t="shared" si="454"/>
        <v>125.38500000000002</v>
      </c>
      <c r="BI279" s="60">
        <f t="shared" si="454"/>
        <v>4699.4869999999992</v>
      </c>
      <c r="BJ279" s="1">
        <f t="shared" si="413"/>
        <v>9</v>
      </c>
    </row>
    <row r="280" spans="1:62" x14ac:dyDescent="0.3">
      <c r="A280" s="48">
        <f t="shared" si="238"/>
        <v>39515</v>
      </c>
      <c r="B280" s="53">
        <v>262405</v>
      </c>
      <c r="C280" s="53">
        <v>95350</v>
      </c>
      <c r="D280" s="53">
        <v>1400</v>
      </c>
      <c r="E280" s="53">
        <f t="shared" si="419"/>
        <v>359155</v>
      </c>
      <c r="F280" s="53">
        <f t="shared" si="450"/>
        <v>296206.25</v>
      </c>
      <c r="G280" s="53">
        <f t="shared" si="451"/>
        <v>329064.66666666669</v>
      </c>
      <c r="H280" s="59">
        <f t="shared" si="455"/>
        <v>-21.14680782395444</v>
      </c>
      <c r="I280" s="59">
        <f t="shared" si="455"/>
        <v>-5.7620876979487257</v>
      </c>
      <c r="J280" s="59">
        <f t="shared" si="456"/>
        <v>-9.9853980068760571</v>
      </c>
      <c r="L280" s="53">
        <v>0</v>
      </c>
      <c r="M280" s="53">
        <v>3000</v>
      </c>
      <c r="N280" s="53">
        <v>1400</v>
      </c>
      <c r="O280" s="53">
        <f t="shared" si="269"/>
        <v>4400</v>
      </c>
      <c r="P280" s="53">
        <f t="shared" si="452"/>
        <v>18952.25</v>
      </c>
      <c r="Q280" s="53">
        <f t="shared" si="453"/>
        <v>28844.916666666668</v>
      </c>
      <c r="R280" s="59">
        <f t="shared" si="457"/>
        <v>-86.777654235658261</v>
      </c>
      <c r="S280" s="59">
        <f t="shared" si="457"/>
        <v>-10.550907953888444</v>
      </c>
      <c r="T280" s="59">
        <f t="shared" si="458"/>
        <v>-34.296048697199687</v>
      </c>
      <c r="V280" s="53">
        <v>100284</v>
      </c>
      <c r="W280" s="53">
        <v>66000</v>
      </c>
      <c r="X280" s="53">
        <v>11200</v>
      </c>
      <c r="Y280" s="53">
        <f t="shared" si="270"/>
        <v>177484</v>
      </c>
      <c r="Z280" s="53">
        <f t="shared" si="438"/>
        <v>151484.25</v>
      </c>
      <c r="AA280" s="53">
        <f t="shared" si="439"/>
        <v>143005</v>
      </c>
      <c r="AB280" s="59">
        <f t="shared" si="459"/>
        <v>-9.08420330092512</v>
      </c>
      <c r="AC280" s="59">
        <f t="shared" si="459"/>
        <v>8.5159880727455182</v>
      </c>
      <c r="AD280" s="59">
        <f t="shared" si="460"/>
        <v>5.9293381350302488</v>
      </c>
      <c r="AF280" s="53">
        <v>0</v>
      </c>
      <c r="AG280" s="53">
        <v>0</v>
      </c>
      <c r="AH280" s="53">
        <v>8600</v>
      </c>
      <c r="AI280" s="53">
        <f t="shared" si="420"/>
        <v>8600</v>
      </c>
      <c r="AJ280" s="53">
        <f t="shared" si="440"/>
        <v>11871.25</v>
      </c>
      <c r="AK280" s="53">
        <f t="shared" si="441"/>
        <v>10991.666666666666</v>
      </c>
      <c r="AL280" s="59">
        <f t="shared" si="461"/>
        <v>93.258426966292134</v>
      </c>
      <c r="AM280" s="59">
        <f t="shared" si="461"/>
        <v>158.77384196185287</v>
      </c>
      <c r="AN280" s="59">
        <f t="shared" si="462"/>
        <v>8.0022744503411616</v>
      </c>
      <c r="AP280" s="53">
        <f t="shared" si="135"/>
        <v>362689</v>
      </c>
      <c r="AQ280" s="53">
        <f t="shared" si="135"/>
        <v>164350</v>
      </c>
      <c r="AR280" s="53">
        <f t="shared" si="161"/>
        <v>22600</v>
      </c>
      <c r="AS280" s="53">
        <f t="shared" si="421"/>
        <v>549639</v>
      </c>
      <c r="AT280" s="53">
        <f t="shared" si="442"/>
        <v>478514</v>
      </c>
      <c r="AU280" s="53">
        <f t="shared" si="443"/>
        <v>511906.25</v>
      </c>
      <c r="AV280" s="59">
        <f t="shared" si="463"/>
        <v>-20.15911844257413</v>
      </c>
      <c r="AW280" s="59">
        <f t="shared" si="448"/>
        <v>-0.24495037409655307</v>
      </c>
      <c r="AX280" s="59">
        <f t="shared" si="464"/>
        <v>-6.5231182467492825</v>
      </c>
      <c r="AZ280" s="53">
        <f t="shared" si="401"/>
        <v>359.15499999999997</v>
      </c>
      <c r="BA280" s="53">
        <f t="shared" si="402"/>
        <v>4.4000000000000004</v>
      </c>
      <c r="BB280" s="53">
        <f t="shared" si="403"/>
        <v>177.48400000000001</v>
      </c>
      <c r="BC280" s="53">
        <f t="shared" si="404"/>
        <v>8.6</v>
      </c>
      <c r="BD280" s="53">
        <f t="shared" si="405"/>
        <v>549.63900000000001</v>
      </c>
      <c r="BE280" s="60">
        <f t="shared" ref="BE280:BI281" si="465">AZ280+BE279</f>
        <v>3478.402</v>
      </c>
      <c r="BF280" s="60">
        <f t="shared" si="465"/>
        <v>143.11500000000001</v>
      </c>
      <c r="BG280" s="60">
        <f t="shared" si="465"/>
        <v>1493.6240000000003</v>
      </c>
      <c r="BH280" s="60">
        <f t="shared" si="465"/>
        <v>133.98500000000001</v>
      </c>
      <c r="BI280" s="60">
        <f t="shared" si="465"/>
        <v>5249.1259999999993</v>
      </c>
      <c r="BJ280" s="1">
        <f t="shared" si="413"/>
        <v>10</v>
      </c>
    </row>
    <row r="281" spans="1:62" x14ac:dyDescent="0.3">
      <c r="A281" s="48">
        <f t="shared" si="238"/>
        <v>39522</v>
      </c>
      <c r="B281" s="53">
        <v>205534</v>
      </c>
      <c r="C281" s="53">
        <v>159949</v>
      </c>
      <c r="D281" s="53">
        <v>1400</v>
      </c>
      <c r="E281" s="53">
        <f t="shared" ref="E281:E294" si="466">SUM(B281:D281)</f>
        <v>366883</v>
      </c>
      <c r="F281" s="53">
        <f t="shared" si="450"/>
        <v>341234.75</v>
      </c>
      <c r="G281" s="53">
        <f t="shared" si="451"/>
        <v>356668</v>
      </c>
      <c r="H281" s="59">
        <f t="shared" si="455"/>
        <v>-25.411637462211079</v>
      </c>
      <c r="I281" s="59">
        <f t="shared" si="455"/>
        <v>-12.886594977320787</v>
      </c>
      <c r="J281" s="59">
        <f t="shared" si="456"/>
        <v>-4.3270632633149013</v>
      </c>
      <c r="L281" s="53">
        <v>14100</v>
      </c>
      <c r="M281" s="53">
        <v>0</v>
      </c>
      <c r="N281" s="53">
        <v>1400</v>
      </c>
      <c r="O281" s="53">
        <f t="shared" si="269"/>
        <v>15500</v>
      </c>
      <c r="P281" s="53">
        <f t="shared" si="452"/>
        <v>14239.75</v>
      </c>
      <c r="Q281" s="53">
        <f t="shared" si="453"/>
        <v>34681.333333333336</v>
      </c>
      <c r="R281" s="59">
        <f t="shared" si="457"/>
        <v>-56.703910614525135</v>
      </c>
      <c r="S281" s="59">
        <f t="shared" si="457"/>
        <v>-46.867100120334705</v>
      </c>
      <c r="T281" s="59">
        <f t="shared" si="458"/>
        <v>-58.941169120756598</v>
      </c>
      <c r="V281" s="53">
        <v>76401</v>
      </c>
      <c r="W281" s="53">
        <v>45900</v>
      </c>
      <c r="X281" s="53">
        <v>25200</v>
      </c>
      <c r="Y281" s="53">
        <f t="shared" si="270"/>
        <v>147501</v>
      </c>
      <c r="Z281" s="53">
        <f t="shared" si="438"/>
        <v>153391.75</v>
      </c>
      <c r="AA281" s="53">
        <f t="shared" si="439"/>
        <v>148550.83333333334</v>
      </c>
      <c r="AB281" s="59">
        <f t="shared" si="459"/>
        <v>16.639385097146111</v>
      </c>
      <c r="AC281" s="59">
        <f t="shared" si="459"/>
        <v>9.4006533010962059</v>
      </c>
      <c r="AD281" s="59">
        <f t="shared" si="460"/>
        <v>3.2587610301748393</v>
      </c>
      <c r="AF281" s="53">
        <v>0</v>
      </c>
      <c r="AG281" s="53">
        <v>0</v>
      </c>
      <c r="AH281" s="53">
        <v>9900</v>
      </c>
      <c r="AI281" s="53">
        <f t="shared" si="420"/>
        <v>9900</v>
      </c>
      <c r="AJ281" s="53">
        <f t="shared" si="440"/>
        <v>11596.25</v>
      </c>
      <c r="AK281" s="53">
        <f t="shared" si="441"/>
        <v>10610.333333333334</v>
      </c>
      <c r="AL281" s="59">
        <f t="shared" si="461"/>
        <v>25.316455696202532</v>
      </c>
      <c r="AM281" s="59">
        <f t="shared" si="461"/>
        <v>148.71313672922253</v>
      </c>
      <c r="AN281" s="59">
        <f t="shared" si="462"/>
        <v>9.2920423486538173</v>
      </c>
      <c r="AP281" s="53">
        <f t="shared" si="135"/>
        <v>296035</v>
      </c>
      <c r="AQ281" s="53">
        <f t="shared" si="135"/>
        <v>205849</v>
      </c>
      <c r="AR281" s="53">
        <f t="shared" si="161"/>
        <v>37900</v>
      </c>
      <c r="AS281" s="53">
        <f t="shared" si="421"/>
        <v>539784</v>
      </c>
      <c r="AT281" s="53">
        <f t="shared" si="442"/>
        <v>520462.5</v>
      </c>
      <c r="AU281" s="53">
        <f t="shared" si="443"/>
        <v>550510.5</v>
      </c>
      <c r="AV281" s="59">
        <f t="shared" si="463"/>
        <v>-18.466065289500875</v>
      </c>
      <c r="AW281" s="59">
        <f t="shared" si="448"/>
        <v>-7.6190078933308758</v>
      </c>
      <c r="AX281" s="59">
        <f t="shared" si="464"/>
        <v>-5.4582065192217089</v>
      </c>
      <c r="AZ281" s="53">
        <f t="shared" si="401"/>
        <v>366.88299999999998</v>
      </c>
      <c r="BA281" s="53">
        <f t="shared" si="402"/>
        <v>15.5</v>
      </c>
      <c r="BB281" s="53">
        <f t="shared" si="403"/>
        <v>147.501</v>
      </c>
      <c r="BC281" s="53">
        <f t="shared" si="404"/>
        <v>9.9</v>
      </c>
      <c r="BD281" s="53">
        <f t="shared" si="405"/>
        <v>539.78399999999999</v>
      </c>
      <c r="BE281" s="60">
        <f t="shared" si="465"/>
        <v>3845.2849999999999</v>
      </c>
      <c r="BF281" s="60">
        <f t="shared" si="465"/>
        <v>158.61500000000001</v>
      </c>
      <c r="BG281" s="60">
        <f t="shared" si="465"/>
        <v>1641.1250000000002</v>
      </c>
      <c r="BH281" s="60">
        <f t="shared" si="465"/>
        <v>143.88500000000002</v>
      </c>
      <c r="BI281" s="60">
        <f t="shared" si="465"/>
        <v>5788.9099999999989</v>
      </c>
      <c r="BJ281" s="1">
        <f t="shared" si="413"/>
        <v>11</v>
      </c>
    </row>
    <row r="282" spans="1:62" x14ac:dyDescent="0.3">
      <c r="A282" s="48">
        <f t="shared" si="238"/>
        <v>39529</v>
      </c>
      <c r="B282" s="53">
        <v>244174</v>
      </c>
      <c r="C282" s="53">
        <v>108014</v>
      </c>
      <c r="D282" s="53">
        <v>0</v>
      </c>
      <c r="E282" s="53">
        <f t="shared" si="466"/>
        <v>352188</v>
      </c>
      <c r="F282" s="53">
        <f t="shared" si="450"/>
        <v>348287.5</v>
      </c>
      <c r="G282" s="53">
        <f t="shared" si="451"/>
        <v>381190.33333333331</v>
      </c>
      <c r="H282" s="59">
        <f t="shared" ref="H282:I284" si="467">((E282/E230)-1)*100</f>
        <v>-28.935612098710628</v>
      </c>
      <c r="I282" s="59">
        <f t="shared" si="467"/>
        <v>-25.541131556738982</v>
      </c>
      <c r="J282" s="59">
        <f t="shared" si="456"/>
        <v>-8.6316022354536734</v>
      </c>
      <c r="L282" s="53">
        <v>9169</v>
      </c>
      <c r="M282" s="53">
        <v>1500</v>
      </c>
      <c r="N282" s="53">
        <v>5600</v>
      </c>
      <c r="O282" s="53">
        <f t="shared" si="269"/>
        <v>16269</v>
      </c>
      <c r="P282" s="53">
        <f t="shared" si="452"/>
        <v>13251</v>
      </c>
      <c r="Q282" s="53">
        <f t="shared" si="453"/>
        <v>34911.583333333336</v>
      </c>
      <c r="R282" s="59">
        <f t="shared" ref="R282:S284" si="468">((O282/O230)-1)*100</f>
        <v>-69.382339656729911</v>
      </c>
      <c r="S282" s="59">
        <f t="shared" si="468"/>
        <v>-62.839936341902877</v>
      </c>
      <c r="T282" s="59">
        <f t="shared" si="458"/>
        <v>-62.044116207848873</v>
      </c>
      <c r="V282" s="53">
        <v>53671</v>
      </c>
      <c r="W282" s="53">
        <v>20138</v>
      </c>
      <c r="X282" s="53">
        <v>14600</v>
      </c>
      <c r="Y282" s="53">
        <f t="shared" si="270"/>
        <v>88409</v>
      </c>
      <c r="Z282" s="53">
        <f t="shared" ref="Z282:Z288" si="469">AVERAGE(Y279,Y280,Y281,Y282)</f>
        <v>129611.75</v>
      </c>
      <c r="AA282" s="53">
        <f t="shared" ref="AA282:AA288" si="470">AVERAGE(Z230,Z178,Z126)</f>
        <v>143092.5</v>
      </c>
      <c r="AB282" s="59">
        <f t="shared" ref="AB282:AC284" si="471">((Y282/Y230)-1)*100</f>
        <v>-27.772195125936459</v>
      </c>
      <c r="AC282" s="59">
        <f t="shared" si="471"/>
        <v>-13.89840135252286</v>
      </c>
      <c r="AD282" s="59">
        <f t="shared" si="460"/>
        <v>-9.4210038960812028</v>
      </c>
      <c r="AF282" s="53">
        <v>12814</v>
      </c>
      <c r="AG282" s="53">
        <v>0</v>
      </c>
      <c r="AH282" s="53">
        <v>7400</v>
      </c>
      <c r="AI282" s="53">
        <f t="shared" si="420"/>
        <v>20214</v>
      </c>
      <c r="AJ282" s="53">
        <f t="shared" ref="AJ282:AJ288" si="472">AVERAGE(AI279,AI280,AI281,AI282)</f>
        <v>13678.5</v>
      </c>
      <c r="AK282" s="53">
        <f t="shared" ref="AK282:AK288" si="473">AVERAGE(AJ230,AJ178,AJ126)</f>
        <v>12872.833333333334</v>
      </c>
      <c r="AL282" s="59">
        <f t="shared" ref="AL282:AM284" si="474">((AI282/AI230)-1)*100</f>
        <v>621.92857142857144</v>
      </c>
      <c r="AM282" s="59">
        <f t="shared" si="474"/>
        <v>155.07692307692307</v>
      </c>
      <c r="AN282" s="59">
        <f t="shared" si="462"/>
        <v>6.2586584150083446</v>
      </c>
      <c r="AP282" s="53">
        <f t="shared" si="135"/>
        <v>319828</v>
      </c>
      <c r="AQ282" s="53">
        <f t="shared" si="135"/>
        <v>129652</v>
      </c>
      <c r="AR282" s="53">
        <f t="shared" si="161"/>
        <v>27600</v>
      </c>
      <c r="AS282" s="53">
        <f t="shared" si="421"/>
        <v>477080</v>
      </c>
      <c r="AT282" s="53">
        <f t="shared" ref="AT282:AT288" si="475">AVERAGE(AS279,AS280,AS281,AS282)</f>
        <v>504828.75</v>
      </c>
      <c r="AU282" s="53">
        <f t="shared" ref="AU282:AU288" si="476">AVERAGE(AT230,AT178,AT126)</f>
        <v>572067.25</v>
      </c>
      <c r="AV282" s="59">
        <f t="shared" si="463"/>
        <v>-29.209160015372536</v>
      </c>
      <c r="AW282" s="59">
        <f t="shared" ref="AW282:AW287" si="477">((AT282/AT230)-1)*100</f>
        <v>-23.431152251546493</v>
      </c>
      <c r="AX282" s="59">
        <f t="shared" si="464"/>
        <v>-11.753600647476325</v>
      </c>
      <c r="AZ282" s="53">
        <f t="shared" si="401"/>
        <v>352.18799999999999</v>
      </c>
      <c r="BA282" s="53">
        <f t="shared" si="402"/>
        <v>16.268999999999998</v>
      </c>
      <c r="BB282" s="53">
        <f t="shared" si="403"/>
        <v>88.409000000000006</v>
      </c>
      <c r="BC282" s="53">
        <f t="shared" si="404"/>
        <v>20.213999999999999</v>
      </c>
      <c r="BD282" s="53">
        <f t="shared" si="405"/>
        <v>477.08</v>
      </c>
      <c r="BE282" s="60">
        <f t="shared" ref="BE282:BI283" si="478">AZ282+BE281</f>
        <v>4197.473</v>
      </c>
      <c r="BF282" s="60">
        <f t="shared" si="478"/>
        <v>174.88400000000001</v>
      </c>
      <c r="BG282" s="60">
        <f t="shared" si="478"/>
        <v>1729.5340000000003</v>
      </c>
      <c r="BH282" s="60">
        <f t="shared" si="478"/>
        <v>164.09900000000002</v>
      </c>
      <c r="BI282" s="60">
        <f t="shared" si="478"/>
        <v>6265.9899999999989</v>
      </c>
      <c r="BJ282" s="1">
        <f t="shared" si="413"/>
        <v>12</v>
      </c>
    </row>
    <row r="283" spans="1:62" x14ac:dyDescent="0.3">
      <c r="A283" s="48">
        <f t="shared" si="238"/>
        <v>39536</v>
      </c>
      <c r="B283" s="53">
        <v>297988</v>
      </c>
      <c r="C283" s="53">
        <v>91475</v>
      </c>
      <c r="D283" s="53">
        <v>0</v>
      </c>
      <c r="E283" s="53">
        <f t="shared" si="466"/>
        <v>389463</v>
      </c>
      <c r="F283" s="53">
        <f t="shared" si="450"/>
        <v>366922.25</v>
      </c>
      <c r="G283" s="53">
        <f t="shared" si="451"/>
        <v>401890.58333333331</v>
      </c>
      <c r="H283" s="59">
        <f t="shared" si="467"/>
        <v>17.890483109335275</v>
      </c>
      <c r="I283" s="59">
        <f t="shared" si="467"/>
        <v>-17.234026955393901</v>
      </c>
      <c r="J283" s="59">
        <f t="shared" si="456"/>
        <v>-8.7009586149795695</v>
      </c>
      <c r="L283" s="53">
        <v>6383</v>
      </c>
      <c r="M283" s="53">
        <v>0</v>
      </c>
      <c r="N283" s="53">
        <v>0</v>
      </c>
      <c r="O283" s="53">
        <f t="shared" si="269"/>
        <v>6383</v>
      </c>
      <c r="P283" s="53">
        <f t="shared" si="452"/>
        <v>10638</v>
      </c>
      <c r="Q283" s="53">
        <f t="shared" si="453"/>
        <v>35038.5</v>
      </c>
      <c r="R283" s="59">
        <f t="shared" si="468"/>
        <v>-75.259689922480618</v>
      </c>
      <c r="S283" s="59">
        <f t="shared" si="468"/>
        <v>-71.251173883375102</v>
      </c>
      <c r="T283" s="59">
        <f t="shared" si="458"/>
        <v>-69.639111263324622</v>
      </c>
      <c r="V283" s="53">
        <v>104224</v>
      </c>
      <c r="W283" s="53">
        <v>9150</v>
      </c>
      <c r="X283" s="53">
        <v>2800</v>
      </c>
      <c r="Y283" s="53">
        <f t="shared" si="270"/>
        <v>116174</v>
      </c>
      <c r="Z283" s="53">
        <f t="shared" si="469"/>
        <v>132392</v>
      </c>
      <c r="AA283" s="53">
        <f t="shared" si="470"/>
        <v>128725</v>
      </c>
      <c r="AB283" s="59">
        <f t="shared" si="471"/>
        <v>26.763852213953697</v>
      </c>
      <c r="AC283" s="59">
        <f t="shared" si="471"/>
        <v>-1.1494681982954003</v>
      </c>
      <c r="AD283" s="59">
        <f t="shared" si="460"/>
        <v>2.8487084870848722</v>
      </c>
      <c r="AF283" s="53">
        <v>0</v>
      </c>
      <c r="AG283" s="53">
        <v>3200</v>
      </c>
      <c r="AH283" s="53">
        <v>3000</v>
      </c>
      <c r="AI283" s="53">
        <f t="shared" si="420"/>
        <v>6200</v>
      </c>
      <c r="AJ283" s="53">
        <f t="shared" si="472"/>
        <v>11228.5</v>
      </c>
      <c r="AK283" s="53">
        <f t="shared" si="473"/>
        <v>11830.75</v>
      </c>
      <c r="AL283" s="59">
        <f t="shared" si="474"/>
        <v>-35.416666666666664</v>
      </c>
      <c r="AM283" s="59">
        <f t="shared" si="474"/>
        <v>81.470707070707078</v>
      </c>
      <c r="AN283" s="59">
        <f t="shared" si="462"/>
        <v>-5.0905479365213502</v>
      </c>
      <c r="AP283" s="53">
        <f t="shared" si="135"/>
        <v>408595</v>
      </c>
      <c r="AQ283" s="53">
        <f t="shared" si="135"/>
        <v>103825</v>
      </c>
      <c r="AR283" s="53">
        <f t="shared" si="161"/>
        <v>5800</v>
      </c>
      <c r="AS283" s="53">
        <f t="shared" si="421"/>
        <v>518220</v>
      </c>
      <c r="AT283" s="53">
        <f t="shared" si="475"/>
        <v>521180.75</v>
      </c>
      <c r="AU283" s="53">
        <f t="shared" si="476"/>
        <v>577484.83333333337</v>
      </c>
      <c r="AV283" s="59">
        <f t="shared" si="463"/>
        <v>13.295409330004414</v>
      </c>
      <c r="AW283" s="59">
        <f t="shared" si="477"/>
        <v>-15.99918445927514</v>
      </c>
      <c r="AX283" s="59">
        <f t="shared" si="464"/>
        <v>-9.7498808771024024</v>
      </c>
      <c r="AZ283" s="53">
        <f t="shared" si="401"/>
        <v>389.46300000000002</v>
      </c>
      <c r="BA283" s="53">
        <f t="shared" si="402"/>
        <v>6.383</v>
      </c>
      <c r="BB283" s="53">
        <f t="shared" si="403"/>
        <v>116.17400000000001</v>
      </c>
      <c r="BC283" s="53">
        <f t="shared" si="404"/>
        <v>6.2</v>
      </c>
      <c r="BD283" s="53">
        <f t="shared" si="405"/>
        <v>518.22</v>
      </c>
      <c r="BE283" s="60">
        <f t="shared" si="478"/>
        <v>4586.9359999999997</v>
      </c>
      <c r="BF283" s="60">
        <f t="shared" si="478"/>
        <v>181.26700000000002</v>
      </c>
      <c r="BG283" s="60">
        <f t="shared" si="478"/>
        <v>1845.7080000000003</v>
      </c>
      <c r="BH283" s="60">
        <f t="shared" si="478"/>
        <v>170.29900000000001</v>
      </c>
      <c r="BI283" s="60">
        <f t="shared" si="478"/>
        <v>6784.2099999999991</v>
      </c>
      <c r="BJ283" s="1">
        <f t="shared" si="413"/>
        <v>13</v>
      </c>
    </row>
    <row r="284" spans="1:62" x14ac:dyDescent="0.3">
      <c r="A284" s="48">
        <f t="shared" si="238"/>
        <v>39543</v>
      </c>
      <c r="B284" s="53">
        <v>360297</v>
      </c>
      <c r="C284" s="53">
        <v>148028</v>
      </c>
      <c r="D284" s="53">
        <v>0</v>
      </c>
      <c r="E284" s="53">
        <f t="shared" si="466"/>
        <v>508325</v>
      </c>
      <c r="F284" s="53">
        <f t="shared" si="450"/>
        <v>404214.75</v>
      </c>
      <c r="G284" s="53">
        <f t="shared" si="451"/>
        <v>412606.75</v>
      </c>
      <c r="H284" s="59">
        <f t="shared" si="467"/>
        <v>23.70051492704388</v>
      </c>
      <c r="I284" s="59">
        <f t="shared" si="467"/>
        <v>-6.4728513343965233</v>
      </c>
      <c r="J284" s="59">
        <f t="shared" si="456"/>
        <v>-2.0338978943025054</v>
      </c>
      <c r="L284" s="53">
        <v>34779</v>
      </c>
      <c r="M284" s="53">
        <v>4750</v>
      </c>
      <c r="N284" s="53">
        <v>0</v>
      </c>
      <c r="O284" s="53">
        <f t="shared" si="269"/>
        <v>39529</v>
      </c>
      <c r="P284" s="53">
        <f t="shared" si="452"/>
        <v>19420.25</v>
      </c>
      <c r="Q284" s="53">
        <f t="shared" si="453"/>
        <v>32874.333333333336</v>
      </c>
      <c r="R284" s="59">
        <f t="shared" si="468"/>
        <v>1.1463370947519147</v>
      </c>
      <c r="S284" s="59">
        <f t="shared" si="468"/>
        <v>-49.497779829277647</v>
      </c>
      <c r="T284" s="59">
        <f t="shared" si="458"/>
        <v>-40.925798241789444</v>
      </c>
      <c r="V284" s="53">
        <v>129772</v>
      </c>
      <c r="W284" s="53">
        <v>29650</v>
      </c>
      <c r="X284" s="53">
        <v>8800</v>
      </c>
      <c r="Y284" s="53">
        <f t="shared" si="270"/>
        <v>168222</v>
      </c>
      <c r="Z284" s="53">
        <f t="shared" si="469"/>
        <v>130076.5</v>
      </c>
      <c r="AA284" s="53">
        <f t="shared" si="470"/>
        <v>123657.33333333333</v>
      </c>
      <c r="AB284" s="59">
        <f t="shared" si="471"/>
        <v>49.748967383563603</v>
      </c>
      <c r="AC284" s="59">
        <f t="shared" si="471"/>
        <v>14.897403962512467</v>
      </c>
      <c r="AD284" s="59">
        <f t="shared" si="460"/>
        <v>5.1910925891981208</v>
      </c>
      <c r="AF284" s="53">
        <v>1500</v>
      </c>
      <c r="AG284" s="53">
        <v>10700</v>
      </c>
      <c r="AH284" s="53">
        <v>0</v>
      </c>
      <c r="AI284" s="53">
        <f t="shared" si="420"/>
        <v>12200</v>
      </c>
      <c r="AJ284" s="53">
        <f t="shared" si="472"/>
        <v>12128.5</v>
      </c>
      <c r="AK284" s="53">
        <f t="shared" si="473"/>
        <v>12743.25</v>
      </c>
      <c r="AL284" s="59">
        <f t="shared" si="474"/>
        <v>-23.750000000000004</v>
      </c>
      <c r="AM284" s="59">
        <f t="shared" si="474"/>
        <v>33.647382920110203</v>
      </c>
      <c r="AN284" s="59">
        <f t="shared" si="462"/>
        <v>-4.8241225746964105</v>
      </c>
      <c r="AP284" s="53">
        <f t="shared" si="135"/>
        <v>526348</v>
      </c>
      <c r="AQ284" s="53">
        <f t="shared" si="135"/>
        <v>193128</v>
      </c>
      <c r="AR284" s="53">
        <f t="shared" si="161"/>
        <v>8800</v>
      </c>
      <c r="AS284" s="53">
        <f t="shared" si="421"/>
        <v>728276</v>
      </c>
      <c r="AT284" s="53">
        <f t="shared" si="475"/>
        <v>565840</v>
      </c>
      <c r="AU284" s="53">
        <f t="shared" si="476"/>
        <v>581881.66666666663</v>
      </c>
      <c r="AV284" s="59">
        <f t="shared" si="463"/>
        <v>25.92327470091589</v>
      </c>
      <c r="AW284" s="59">
        <f t="shared" si="477"/>
        <v>-4.568836118934783</v>
      </c>
      <c r="AX284" s="59">
        <f t="shared" si="464"/>
        <v>-2.7568606446327748</v>
      </c>
      <c r="AZ284" s="53">
        <f t="shared" si="401"/>
        <v>508.32499999999999</v>
      </c>
      <c r="BA284" s="53">
        <f t="shared" si="402"/>
        <v>39.529000000000003</v>
      </c>
      <c r="BB284" s="53">
        <f t="shared" si="403"/>
        <v>168.22200000000001</v>
      </c>
      <c r="BC284" s="53">
        <f t="shared" si="404"/>
        <v>12.2</v>
      </c>
      <c r="BD284" s="53">
        <f t="shared" si="405"/>
        <v>728.27599999999995</v>
      </c>
      <c r="BE284" s="60">
        <f t="shared" ref="BE284:BI285" si="479">AZ284+BE283</f>
        <v>5095.2609999999995</v>
      </c>
      <c r="BF284" s="60">
        <f t="shared" si="479"/>
        <v>220.79600000000002</v>
      </c>
      <c r="BG284" s="60">
        <f t="shared" si="479"/>
        <v>2013.9300000000003</v>
      </c>
      <c r="BH284" s="60">
        <f t="shared" si="479"/>
        <v>182.499</v>
      </c>
      <c r="BI284" s="60">
        <f t="shared" si="479"/>
        <v>7512.485999999999</v>
      </c>
      <c r="BJ284" s="1">
        <f t="shared" si="413"/>
        <v>14</v>
      </c>
    </row>
    <row r="285" spans="1:62" x14ac:dyDescent="0.3">
      <c r="A285" s="48">
        <f t="shared" si="238"/>
        <v>39550</v>
      </c>
      <c r="B285" s="53">
        <v>334458</v>
      </c>
      <c r="C285" s="53">
        <v>89733</v>
      </c>
      <c r="D285" s="53">
        <v>0</v>
      </c>
      <c r="E285" s="53">
        <f t="shared" si="466"/>
        <v>424191</v>
      </c>
      <c r="F285" s="53">
        <f t="shared" ref="F285:F291" si="480">AVERAGE(E282,E283,E284,E285)</f>
        <v>418541.75</v>
      </c>
      <c r="G285" s="53">
        <f t="shared" ref="G285:G291" si="481">AVERAGE(F233,F181,F129)</f>
        <v>448355</v>
      </c>
      <c r="H285" s="59">
        <f t="shared" ref="H285:I287" si="482">((E285/E233)-1)*100</f>
        <v>10.536931114904036</v>
      </c>
      <c r="I285" s="59">
        <f t="shared" si="482"/>
        <v>3.3030222067002013</v>
      </c>
      <c r="J285" s="59">
        <f t="shared" ref="J285:J290" si="483">((F285/G285)-1)*100</f>
        <v>-6.6494741889797098</v>
      </c>
      <c r="L285" s="53">
        <v>9404</v>
      </c>
      <c r="M285" s="53">
        <v>9200</v>
      </c>
      <c r="N285" s="53">
        <v>0</v>
      </c>
      <c r="O285" s="53">
        <f t="shared" si="269"/>
        <v>18604</v>
      </c>
      <c r="P285" s="53">
        <f t="shared" ref="P285:P291" si="484">AVERAGE(O282,O283,O284,O285)</f>
        <v>20196.25</v>
      </c>
      <c r="Q285" s="53">
        <f t="shared" ref="Q285:Q291" si="485">AVERAGE(P233,P181,P129)</f>
        <v>27595.583333333332</v>
      </c>
      <c r="R285" s="59">
        <f t="shared" ref="R285:S287" si="486">((O285/O233)-1)*100</f>
        <v>-7.7136762736246816</v>
      </c>
      <c r="S285" s="59">
        <f t="shared" si="486"/>
        <v>-41.53470935618342</v>
      </c>
      <c r="T285" s="59">
        <f t="shared" ref="T285:T290" si="487">((P285/Q285)-1)*100</f>
        <v>-26.813469546757172</v>
      </c>
      <c r="V285" s="53">
        <v>89427</v>
      </c>
      <c r="W285" s="53">
        <v>31111</v>
      </c>
      <c r="X285" s="53">
        <v>4200</v>
      </c>
      <c r="Y285" s="53">
        <f t="shared" si="270"/>
        <v>124738</v>
      </c>
      <c r="Z285" s="53">
        <f t="shared" si="469"/>
        <v>124385.75</v>
      </c>
      <c r="AA285" s="53">
        <f t="shared" si="470"/>
        <v>115869.91666666667</v>
      </c>
      <c r="AB285" s="59">
        <f t="shared" ref="AB285:AC287" si="488">((Y285/Y233)-1)*100</f>
        <v>15.741419464986596</v>
      </c>
      <c r="AC285" s="59">
        <f t="shared" si="488"/>
        <v>14.599523675712533</v>
      </c>
      <c r="AD285" s="59">
        <f t="shared" ref="AD285:AD290" si="489">((Z285/AA285)-1)*100</f>
        <v>7.3494773952686776</v>
      </c>
      <c r="AF285" s="53">
        <v>1600</v>
      </c>
      <c r="AG285" s="53">
        <v>0</v>
      </c>
      <c r="AH285" s="53">
        <v>2800</v>
      </c>
      <c r="AI285" s="53">
        <f t="shared" si="420"/>
        <v>4400</v>
      </c>
      <c r="AJ285" s="53">
        <f t="shared" si="472"/>
        <v>10753.5</v>
      </c>
      <c r="AK285" s="53">
        <f t="shared" si="473"/>
        <v>12378.416666666666</v>
      </c>
      <c r="AL285" s="59">
        <f t="shared" ref="AL285:AM287" si="490">((AI285/AI233)-1)*100</f>
        <v>-56.862745098039213</v>
      </c>
      <c r="AM285" s="59">
        <f t="shared" si="490"/>
        <v>11.43523316062176</v>
      </c>
      <c r="AN285" s="59">
        <f t="shared" ref="AN285:AN290" si="491">((AJ285/AK285)-1)*100</f>
        <v>-13.127015436815427</v>
      </c>
      <c r="AP285" s="53">
        <f t="shared" si="135"/>
        <v>434889</v>
      </c>
      <c r="AQ285" s="53">
        <f t="shared" si="135"/>
        <v>130044</v>
      </c>
      <c r="AR285" s="53">
        <f t="shared" si="161"/>
        <v>7000</v>
      </c>
      <c r="AS285" s="53">
        <f t="shared" si="421"/>
        <v>571933</v>
      </c>
      <c r="AT285" s="53">
        <f t="shared" si="475"/>
        <v>573877.25</v>
      </c>
      <c r="AU285" s="53">
        <f t="shared" si="476"/>
        <v>604198.91666666663</v>
      </c>
      <c r="AV285" s="59">
        <f t="shared" ref="AV285:AV290" si="492">((AS285/AS233)-1)*100</f>
        <v>9.5894321950920514</v>
      </c>
      <c r="AW285" s="59">
        <f t="shared" si="477"/>
        <v>2.8651564301561461</v>
      </c>
      <c r="AX285" s="59">
        <f t="shared" ref="AX285:AX290" si="493">((AT285/AU285)-1)*100</f>
        <v>-5.0184907371151333</v>
      </c>
      <c r="AZ285" s="53">
        <f t="shared" si="401"/>
        <v>424.19099999999997</v>
      </c>
      <c r="BA285" s="53">
        <f t="shared" si="402"/>
        <v>18.603999999999999</v>
      </c>
      <c r="BB285" s="53">
        <f t="shared" si="403"/>
        <v>124.738</v>
      </c>
      <c r="BC285" s="53">
        <f t="shared" si="404"/>
        <v>4.4000000000000004</v>
      </c>
      <c r="BD285" s="53">
        <f t="shared" si="405"/>
        <v>571.93299999999999</v>
      </c>
      <c r="BE285" s="60">
        <f t="shared" si="479"/>
        <v>5519.4519999999993</v>
      </c>
      <c r="BF285" s="60">
        <f t="shared" si="479"/>
        <v>239.40000000000003</v>
      </c>
      <c r="BG285" s="60">
        <f t="shared" si="479"/>
        <v>2138.6680000000001</v>
      </c>
      <c r="BH285" s="60">
        <f t="shared" si="479"/>
        <v>186.899</v>
      </c>
      <c r="BI285" s="60">
        <f t="shared" si="479"/>
        <v>8084.418999999999</v>
      </c>
      <c r="BJ285" s="1">
        <f t="shared" si="413"/>
        <v>15</v>
      </c>
    </row>
    <row r="286" spans="1:62" x14ac:dyDescent="0.3">
      <c r="A286" s="48">
        <f t="shared" si="238"/>
        <v>39557</v>
      </c>
      <c r="B286" s="53">
        <v>383164</v>
      </c>
      <c r="C286" s="53">
        <v>77468</v>
      </c>
      <c r="D286" s="53">
        <v>0</v>
      </c>
      <c r="E286" s="53">
        <f t="shared" si="466"/>
        <v>460632</v>
      </c>
      <c r="F286" s="53">
        <f t="shared" si="480"/>
        <v>445652.75</v>
      </c>
      <c r="G286" s="53">
        <f t="shared" si="481"/>
        <v>477273.83333333331</v>
      </c>
      <c r="H286" s="59">
        <f t="shared" si="482"/>
        <v>-6.0527136968727913</v>
      </c>
      <c r="I286" s="59">
        <f t="shared" si="482"/>
        <v>10.354064367235448</v>
      </c>
      <c r="J286" s="59">
        <f t="shared" si="483"/>
        <v>-6.6253544872737269</v>
      </c>
      <c r="L286" s="53">
        <v>1500</v>
      </c>
      <c r="M286" s="53">
        <v>1750</v>
      </c>
      <c r="N286" s="53">
        <v>0</v>
      </c>
      <c r="O286" s="53">
        <f t="shared" si="269"/>
        <v>3250</v>
      </c>
      <c r="P286" s="53">
        <f t="shared" si="484"/>
        <v>16941.5</v>
      </c>
      <c r="Q286" s="53">
        <f t="shared" si="485"/>
        <v>25207.833333333332</v>
      </c>
      <c r="R286" s="59">
        <f t="shared" si="486"/>
        <v>-88.097853951512491</v>
      </c>
      <c r="S286" s="59">
        <f t="shared" si="486"/>
        <v>-39.680985526854542</v>
      </c>
      <c r="T286" s="59">
        <f t="shared" si="487"/>
        <v>-32.792716549749748</v>
      </c>
      <c r="V286" s="53">
        <v>75172</v>
      </c>
      <c r="W286" s="53">
        <v>9250</v>
      </c>
      <c r="X286" s="53">
        <v>0</v>
      </c>
      <c r="Y286" s="53">
        <f t="shared" si="270"/>
        <v>84422</v>
      </c>
      <c r="Z286" s="53">
        <f t="shared" si="469"/>
        <v>123389</v>
      </c>
      <c r="AA286" s="53">
        <f t="shared" si="470"/>
        <v>115430.08333333333</v>
      </c>
      <c r="AB286" s="59">
        <f t="shared" si="488"/>
        <v>-38.829513589496486</v>
      </c>
      <c r="AC286" s="59">
        <f t="shared" si="488"/>
        <v>9.7361739215503071</v>
      </c>
      <c r="AD286" s="59">
        <f t="shared" si="489"/>
        <v>6.895010760482001</v>
      </c>
      <c r="AF286" s="53">
        <v>10500</v>
      </c>
      <c r="AG286" s="53">
        <v>0</v>
      </c>
      <c r="AH286" s="53">
        <v>0</v>
      </c>
      <c r="AI286" s="53">
        <f t="shared" si="420"/>
        <v>10500</v>
      </c>
      <c r="AJ286" s="53">
        <f t="shared" si="472"/>
        <v>8325</v>
      </c>
      <c r="AK286" s="53">
        <f t="shared" si="473"/>
        <v>10315.916666666666</v>
      </c>
      <c r="AL286" s="59">
        <f t="shared" si="490"/>
        <v>650</v>
      </c>
      <c r="AM286" s="59">
        <f t="shared" si="490"/>
        <v>-10.483870967741938</v>
      </c>
      <c r="AN286" s="59">
        <f t="shared" si="491"/>
        <v>-19.299464419868972</v>
      </c>
      <c r="AP286" s="53">
        <f t="shared" si="135"/>
        <v>470336</v>
      </c>
      <c r="AQ286" s="53">
        <f t="shared" si="135"/>
        <v>88468</v>
      </c>
      <c r="AR286" s="53">
        <f t="shared" si="161"/>
        <v>0</v>
      </c>
      <c r="AS286" s="53">
        <f t="shared" si="421"/>
        <v>558804</v>
      </c>
      <c r="AT286" s="53">
        <f t="shared" si="475"/>
        <v>594308.25</v>
      </c>
      <c r="AU286" s="53">
        <f t="shared" si="476"/>
        <v>628227.66666666663</v>
      </c>
      <c r="AV286" s="59">
        <f t="shared" si="492"/>
        <v>-14.949484495286336</v>
      </c>
      <c r="AW286" s="59">
        <f t="shared" si="477"/>
        <v>7.340377880567206</v>
      </c>
      <c r="AX286" s="59">
        <f t="shared" si="493"/>
        <v>-5.3992236360173029</v>
      </c>
      <c r="AZ286" s="53">
        <f t="shared" si="401"/>
        <v>460.63200000000001</v>
      </c>
      <c r="BA286" s="53">
        <f t="shared" si="402"/>
        <v>3.25</v>
      </c>
      <c r="BB286" s="53">
        <f t="shared" si="403"/>
        <v>84.421999999999997</v>
      </c>
      <c r="BC286" s="53">
        <f t="shared" si="404"/>
        <v>10.5</v>
      </c>
      <c r="BD286" s="53">
        <f t="shared" si="405"/>
        <v>558.80399999999997</v>
      </c>
      <c r="BE286" s="60">
        <f t="shared" ref="BE286:BI287" si="494">AZ286+BE285</f>
        <v>5980.0839999999989</v>
      </c>
      <c r="BF286" s="60">
        <f t="shared" si="494"/>
        <v>242.65000000000003</v>
      </c>
      <c r="BG286" s="60">
        <f t="shared" si="494"/>
        <v>2223.09</v>
      </c>
      <c r="BH286" s="60">
        <f t="shared" si="494"/>
        <v>197.399</v>
      </c>
      <c r="BI286" s="60">
        <f t="shared" si="494"/>
        <v>8643.2229999999981</v>
      </c>
      <c r="BJ286" s="1">
        <f t="shared" si="413"/>
        <v>16</v>
      </c>
    </row>
    <row r="287" spans="1:62" x14ac:dyDescent="0.3">
      <c r="A287" s="48">
        <f t="shared" si="238"/>
        <v>39564</v>
      </c>
      <c r="B287" s="53">
        <v>358084</v>
      </c>
      <c r="C287" s="53">
        <v>80450</v>
      </c>
      <c r="D287" s="53">
        <v>0</v>
      </c>
      <c r="E287" s="53">
        <f t="shared" si="466"/>
        <v>438534</v>
      </c>
      <c r="F287" s="53">
        <f t="shared" si="480"/>
        <v>457920.5</v>
      </c>
      <c r="G287" s="53">
        <f t="shared" si="481"/>
        <v>496474.83333333331</v>
      </c>
      <c r="H287" s="59">
        <f t="shared" si="482"/>
        <v>-3.6161472745375178</v>
      </c>
      <c r="I287" s="59">
        <f t="shared" si="482"/>
        <v>5.2701089608346852</v>
      </c>
      <c r="J287" s="59">
        <f t="shared" si="483"/>
        <v>-7.7656168540265025</v>
      </c>
      <c r="L287" s="53">
        <v>9696</v>
      </c>
      <c r="M287" s="53">
        <v>3000</v>
      </c>
      <c r="N287" s="53">
        <v>7000</v>
      </c>
      <c r="O287" s="53">
        <f t="shared" si="269"/>
        <v>19696</v>
      </c>
      <c r="P287" s="53">
        <f t="shared" si="484"/>
        <v>20269.75</v>
      </c>
      <c r="Q287" s="53">
        <f t="shared" si="485"/>
        <v>30169.166666666668</v>
      </c>
      <c r="R287" s="59">
        <f t="shared" si="486"/>
        <v>-78.343668909706636</v>
      </c>
      <c r="S287" s="59">
        <f t="shared" si="486"/>
        <v>-54.320146033105345</v>
      </c>
      <c r="T287" s="59">
        <f t="shared" si="487"/>
        <v>-32.813026544761485</v>
      </c>
      <c r="V287" s="53">
        <v>98700</v>
      </c>
      <c r="W287" s="53">
        <v>13758</v>
      </c>
      <c r="X287" s="53">
        <v>5600</v>
      </c>
      <c r="Y287" s="53">
        <f t="shared" si="270"/>
        <v>118058</v>
      </c>
      <c r="Z287" s="53">
        <f t="shared" si="469"/>
        <v>123860</v>
      </c>
      <c r="AA287" s="53">
        <f t="shared" si="470"/>
        <v>110812.33333333333</v>
      </c>
      <c r="AB287" s="59">
        <f t="shared" si="488"/>
        <v>9.7081153413684405</v>
      </c>
      <c r="AC287" s="59">
        <f t="shared" si="488"/>
        <v>6.3790041891134575</v>
      </c>
      <c r="AD287" s="59">
        <f t="shared" si="489"/>
        <v>11.774561796671247</v>
      </c>
      <c r="AF287" s="53">
        <v>0</v>
      </c>
      <c r="AG287" s="53">
        <v>0</v>
      </c>
      <c r="AH287" s="53">
        <v>0</v>
      </c>
      <c r="AI287" s="53">
        <f t="shared" si="420"/>
        <v>0</v>
      </c>
      <c r="AJ287" s="53">
        <f t="shared" si="472"/>
        <v>6775</v>
      </c>
      <c r="AK287" s="53">
        <f t="shared" si="473"/>
        <v>10228.833333333334</v>
      </c>
      <c r="AL287" s="59">
        <f t="shared" si="490"/>
        <v>-100</v>
      </c>
      <c r="AM287" s="59">
        <f t="shared" si="490"/>
        <v>-26.158038147138964</v>
      </c>
      <c r="AN287" s="59">
        <f t="shared" si="491"/>
        <v>-33.765662424844798</v>
      </c>
      <c r="AP287" s="53">
        <f t="shared" si="135"/>
        <v>466480</v>
      </c>
      <c r="AQ287" s="53">
        <f t="shared" si="135"/>
        <v>97208</v>
      </c>
      <c r="AR287" s="53">
        <f t="shared" si="161"/>
        <v>12600</v>
      </c>
      <c r="AS287" s="53">
        <f t="shared" si="421"/>
        <v>576288</v>
      </c>
      <c r="AT287" s="53">
        <f t="shared" si="475"/>
        <v>608825.25</v>
      </c>
      <c r="AU287" s="53">
        <f t="shared" si="476"/>
        <v>647685.16666666663</v>
      </c>
      <c r="AV287" s="59">
        <f t="shared" si="492"/>
        <v>-13.03229778795918</v>
      </c>
      <c r="AW287" s="59">
        <f t="shared" si="477"/>
        <v>0.63609856242468066</v>
      </c>
      <c r="AX287" s="59">
        <f t="shared" si="493"/>
        <v>-5.9998157541048087</v>
      </c>
      <c r="AZ287" s="53">
        <f t="shared" si="401"/>
        <v>438.53399999999999</v>
      </c>
      <c r="BA287" s="53">
        <f t="shared" si="402"/>
        <v>19.696000000000002</v>
      </c>
      <c r="BB287" s="53">
        <f t="shared" si="403"/>
        <v>118.05800000000001</v>
      </c>
      <c r="BC287" s="53">
        <f t="shared" si="404"/>
        <v>0</v>
      </c>
      <c r="BD287" s="53">
        <f t="shared" si="405"/>
        <v>576.28800000000001</v>
      </c>
      <c r="BE287" s="60">
        <f t="shared" si="494"/>
        <v>6418.6179999999986</v>
      </c>
      <c r="BF287" s="60">
        <f t="shared" si="494"/>
        <v>262.34600000000006</v>
      </c>
      <c r="BG287" s="60">
        <f t="shared" si="494"/>
        <v>2341.1480000000001</v>
      </c>
      <c r="BH287" s="60">
        <f t="shared" si="494"/>
        <v>197.399</v>
      </c>
      <c r="BI287" s="60">
        <f t="shared" si="494"/>
        <v>9219.5109999999986</v>
      </c>
      <c r="BJ287" s="1">
        <f t="shared" si="413"/>
        <v>17</v>
      </c>
    </row>
    <row r="288" spans="1:62" x14ac:dyDescent="0.3">
      <c r="A288" s="48">
        <f t="shared" si="238"/>
        <v>39571</v>
      </c>
      <c r="B288" s="53">
        <v>190610</v>
      </c>
      <c r="C288" s="53">
        <v>25758</v>
      </c>
      <c r="D288" s="53">
        <v>0</v>
      </c>
      <c r="E288" s="53">
        <f t="shared" si="466"/>
        <v>216368</v>
      </c>
      <c r="F288" s="53">
        <f t="shared" si="480"/>
        <v>384931.25</v>
      </c>
      <c r="G288" s="53">
        <f t="shared" si="481"/>
        <v>511244.66666666669</v>
      </c>
      <c r="H288" s="59">
        <f t="shared" ref="H288:I290" si="495">((E288/E236)-1)*100</f>
        <v>-45.573275645218089</v>
      </c>
      <c r="I288" s="59">
        <f t="shared" si="495"/>
        <v>-10.822829494651598</v>
      </c>
      <c r="J288" s="59">
        <f t="shared" si="483"/>
        <v>-24.707038508633183</v>
      </c>
      <c r="L288" s="53">
        <v>1500</v>
      </c>
      <c r="M288" s="53">
        <v>0</v>
      </c>
      <c r="N288" s="53">
        <v>2800</v>
      </c>
      <c r="O288" s="53">
        <f t="shared" si="269"/>
        <v>4300</v>
      </c>
      <c r="P288" s="53">
        <f t="shared" si="484"/>
        <v>11462.5</v>
      </c>
      <c r="Q288" s="53">
        <f t="shared" si="485"/>
        <v>29007</v>
      </c>
      <c r="R288" s="59">
        <f t="shared" ref="R288:S290" si="496">((O288/O236)-1)*100</f>
        <v>-88.028619950444053</v>
      </c>
      <c r="S288" s="59">
        <f t="shared" si="496"/>
        <v>-73.699607645182752</v>
      </c>
      <c r="T288" s="59">
        <f t="shared" si="487"/>
        <v>-60.483676353983526</v>
      </c>
      <c r="V288" s="53">
        <v>53392</v>
      </c>
      <c r="W288" s="53">
        <v>7829</v>
      </c>
      <c r="X288" s="53">
        <v>12600</v>
      </c>
      <c r="Y288" s="53">
        <f t="shared" si="270"/>
        <v>73821</v>
      </c>
      <c r="Z288" s="53">
        <f t="shared" si="469"/>
        <v>100259.75</v>
      </c>
      <c r="AA288" s="53">
        <f t="shared" si="470"/>
        <v>104972.08333333333</v>
      </c>
      <c r="AB288" s="59">
        <f t="shared" ref="AB288:AC290" si="497">((Y288/Y236)-1)*100</f>
        <v>-11.128634202130861</v>
      </c>
      <c r="AC288" s="59">
        <f t="shared" si="497"/>
        <v>-8.115520322595426</v>
      </c>
      <c r="AD288" s="59">
        <f t="shared" si="489"/>
        <v>-4.4891300464806054</v>
      </c>
      <c r="AF288" s="53">
        <v>5600</v>
      </c>
      <c r="AG288" s="53">
        <v>1500</v>
      </c>
      <c r="AH288" s="53">
        <v>7000</v>
      </c>
      <c r="AI288" s="53">
        <f t="shared" si="420"/>
        <v>14100</v>
      </c>
      <c r="AJ288" s="53">
        <f t="shared" si="472"/>
        <v>7250</v>
      </c>
      <c r="AK288" s="53">
        <f t="shared" si="473"/>
        <v>10230.5</v>
      </c>
      <c r="AL288" s="59">
        <f t="shared" ref="AL288:AM290" si="498">((AI288/AI236)-1)*100</f>
        <v>-29.429429429429433</v>
      </c>
      <c r="AM288" s="59">
        <f t="shared" si="498"/>
        <v>-28.711897738446414</v>
      </c>
      <c r="AN288" s="59">
        <f t="shared" si="491"/>
        <v>-29.133473437270908</v>
      </c>
      <c r="AP288" s="53">
        <f t="shared" si="135"/>
        <v>251102</v>
      </c>
      <c r="AQ288" s="53">
        <f t="shared" si="135"/>
        <v>35087</v>
      </c>
      <c r="AR288" s="53">
        <f t="shared" si="161"/>
        <v>22400</v>
      </c>
      <c r="AS288" s="53">
        <f t="shared" si="421"/>
        <v>308589</v>
      </c>
      <c r="AT288" s="53">
        <f t="shared" si="475"/>
        <v>503903.5</v>
      </c>
      <c r="AU288" s="53">
        <f t="shared" si="476"/>
        <v>655454.25</v>
      </c>
      <c r="AV288" s="59">
        <f t="shared" si="492"/>
        <v>-42.481509923504767</v>
      </c>
      <c r="AW288" s="59">
        <f t="shared" ref="AW288:AW293" si="499">((AT288/AT236)-1)*100</f>
        <v>-15.241353992724328</v>
      </c>
      <c r="AX288" s="59">
        <f t="shared" si="493"/>
        <v>-23.121484070017097</v>
      </c>
      <c r="AZ288" s="53">
        <f t="shared" si="401"/>
        <v>216.36799999999999</v>
      </c>
      <c r="BA288" s="53">
        <f t="shared" si="402"/>
        <v>4.3</v>
      </c>
      <c r="BB288" s="53">
        <f t="shared" si="403"/>
        <v>73.820999999999998</v>
      </c>
      <c r="BC288" s="53">
        <f t="shared" si="404"/>
        <v>14.1</v>
      </c>
      <c r="BD288" s="53">
        <f t="shared" si="405"/>
        <v>308.589</v>
      </c>
      <c r="BE288" s="60">
        <f t="shared" ref="BE288:BI289" si="500">AZ288+BE287</f>
        <v>6634.985999999999</v>
      </c>
      <c r="BF288" s="60">
        <f t="shared" si="500"/>
        <v>266.64600000000007</v>
      </c>
      <c r="BG288" s="60">
        <f t="shared" si="500"/>
        <v>2414.9690000000001</v>
      </c>
      <c r="BH288" s="60">
        <f t="shared" si="500"/>
        <v>211.499</v>
      </c>
      <c r="BI288" s="60">
        <f t="shared" si="500"/>
        <v>9528.0999999999985</v>
      </c>
      <c r="BJ288" s="1">
        <f t="shared" si="413"/>
        <v>18</v>
      </c>
    </row>
    <row r="289" spans="1:62" x14ac:dyDescent="0.3">
      <c r="A289" s="48">
        <f t="shared" si="238"/>
        <v>39578</v>
      </c>
      <c r="B289" s="53">
        <v>108000</v>
      </c>
      <c r="C289" s="53">
        <v>37600</v>
      </c>
      <c r="D289" s="53">
        <v>0</v>
      </c>
      <c r="E289" s="53">
        <f t="shared" si="466"/>
        <v>145600</v>
      </c>
      <c r="F289" s="53">
        <f t="shared" si="480"/>
        <v>315283.5</v>
      </c>
      <c r="G289" s="53">
        <f t="shared" si="481"/>
        <v>507604</v>
      </c>
      <c r="H289" s="59">
        <f t="shared" si="495"/>
        <v>-65.844687159854359</v>
      </c>
      <c r="I289" s="59">
        <f t="shared" si="495"/>
        <v>-28.714211101087315</v>
      </c>
      <c r="J289" s="59">
        <f t="shared" si="483"/>
        <v>-37.88790080456419</v>
      </c>
      <c r="L289" s="53">
        <v>10500</v>
      </c>
      <c r="M289" s="53">
        <v>0</v>
      </c>
      <c r="N289" s="53">
        <v>5700</v>
      </c>
      <c r="O289" s="53">
        <f t="shared" si="269"/>
        <v>16200</v>
      </c>
      <c r="P289" s="53">
        <f t="shared" si="484"/>
        <v>10861.5</v>
      </c>
      <c r="Q289" s="53">
        <f t="shared" si="485"/>
        <v>33221.083333333336</v>
      </c>
      <c r="R289" s="59">
        <f t="shared" si="496"/>
        <v>-50.60373216245884</v>
      </c>
      <c r="S289" s="59">
        <f t="shared" si="496"/>
        <v>-76.762992795597128</v>
      </c>
      <c r="T289" s="59">
        <f t="shared" si="487"/>
        <v>-67.305400937657566</v>
      </c>
      <c r="V289" s="53">
        <v>21830</v>
      </c>
      <c r="W289" s="53">
        <v>22200</v>
      </c>
      <c r="X289" s="53">
        <v>12800</v>
      </c>
      <c r="Y289" s="53">
        <f t="shared" si="270"/>
        <v>56830</v>
      </c>
      <c r="Z289" s="53">
        <f t="shared" ref="Z289:Z295" si="501">AVERAGE(Y286,Y287,Y288,Y289)</f>
        <v>83282.75</v>
      </c>
      <c r="AA289" s="53">
        <f t="shared" ref="AA289:AA295" si="502">AVERAGE(Z237,Z185,Z133)</f>
        <v>105938.66666666667</v>
      </c>
      <c r="AB289" s="59">
        <f t="shared" si="497"/>
        <v>-16.495239214764311</v>
      </c>
      <c r="AC289" s="59">
        <f t="shared" si="497"/>
        <v>-16.033553206987893</v>
      </c>
      <c r="AD289" s="59">
        <f t="shared" si="489"/>
        <v>-21.385880509477182</v>
      </c>
      <c r="AF289" s="53">
        <v>1500</v>
      </c>
      <c r="AG289" s="53">
        <v>6000</v>
      </c>
      <c r="AH289" s="53">
        <v>0</v>
      </c>
      <c r="AI289" s="53">
        <f t="shared" si="420"/>
        <v>7500</v>
      </c>
      <c r="AJ289" s="53">
        <f t="shared" ref="AJ289:AJ295" si="503">AVERAGE(AI286,AI287,AI288,AI289)</f>
        <v>8025</v>
      </c>
      <c r="AK289" s="53">
        <f t="shared" ref="AK289:AK295" si="504">AVERAGE(AJ237,AJ185,AJ133)</f>
        <v>10702.083333333334</v>
      </c>
      <c r="AL289" s="59">
        <f t="shared" si="498"/>
        <v>-29.278642149929279</v>
      </c>
      <c r="AM289" s="59">
        <f t="shared" si="498"/>
        <v>-21.86929536327127</v>
      </c>
      <c r="AN289" s="59">
        <f t="shared" si="491"/>
        <v>-25.014599961066775</v>
      </c>
      <c r="AP289" s="53">
        <f t="shared" si="135"/>
        <v>141830</v>
      </c>
      <c r="AQ289" s="53">
        <f t="shared" si="135"/>
        <v>65800</v>
      </c>
      <c r="AR289" s="53">
        <f t="shared" si="161"/>
        <v>18500</v>
      </c>
      <c r="AS289" s="53">
        <f t="shared" si="421"/>
        <v>226130</v>
      </c>
      <c r="AT289" s="53">
        <f t="shared" ref="AT289:AT295" si="505">AVERAGE(AS286,AS287,AS288,AS289)</f>
        <v>417452.75</v>
      </c>
      <c r="AU289" s="53">
        <f t="shared" ref="AU289:AU295" si="506">AVERAGE(AT237,AT185,AT133)</f>
        <v>657465.83333333337</v>
      </c>
      <c r="AV289" s="59">
        <f t="shared" si="492"/>
        <v>-57.948469999721056</v>
      </c>
      <c r="AW289" s="59">
        <f t="shared" si="499"/>
        <v>-30.247865322205701</v>
      </c>
      <c r="AX289" s="59">
        <f t="shared" si="493"/>
        <v>-36.505788006727855</v>
      </c>
      <c r="AZ289" s="53">
        <f t="shared" si="401"/>
        <v>145.6</v>
      </c>
      <c r="BA289" s="53">
        <f t="shared" si="402"/>
        <v>16.2</v>
      </c>
      <c r="BB289" s="53">
        <f t="shared" si="403"/>
        <v>56.83</v>
      </c>
      <c r="BC289" s="53">
        <f t="shared" si="404"/>
        <v>7.5</v>
      </c>
      <c r="BD289" s="53">
        <f t="shared" si="405"/>
        <v>226.13</v>
      </c>
      <c r="BE289" s="60">
        <f t="shared" si="500"/>
        <v>6780.5859999999993</v>
      </c>
      <c r="BF289" s="60">
        <f t="shared" si="500"/>
        <v>282.84600000000006</v>
      </c>
      <c r="BG289" s="60">
        <f t="shared" si="500"/>
        <v>2471.799</v>
      </c>
      <c r="BH289" s="60">
        <f t="shared" si="500"/>
        <v>218.999</v>
      </c>
      <c r="BI289" s="60">
        <f t="shared" si="500"/>
        <v>9754.2299999999977</v>
      </c>
      <c r="BJ289" s="1">
        <f t="shared" si="413"/>
        <v>19</v>
      </c>
    </row>
    <row r="290" spans="1:62" x14ac:dyDescent="0.3">
      <c r="A290" s="48">
        <f t="shared" si="238"/>
        <v>39585</v>
      </c>
      <c r="B290" s="53">
        <v>281468</v>
      </c>
      <c r="C290" s="53">
        <v>79150</v>
      </c>
      <c r="D290" s="53">
        <v>0</v>
      </c>
      <c r="E290" s="53">
        <f t="shared" si="466"/>
        <v>360618</v>
      </c>
      <c r="F290" s="53">
        <f t="shared" si="480"/>
        <v>290280</v>
      </c>
      <c r="G290" s="53">
        <f t="shared" si="481"/>
        <v>525703.58333333337</v>
      </c>
      <c r="H290" s="59">
        <f t="shared" si="495"/>
        <v>-40.189076675567648</v>
      </c>
      <c r="I290" s="59">
        <f t="shared" si="495"/>
        <v>-38.295571397824887</v>
      </c>
      <c r="J290" s="59">
        <f t="shared" si="483"/>
        <v>-44.782571547369145</v>
      </c>
      <c r="L290" s="53">
        <v>17503</v>
      </c>
      <c r="M290" s="53">
        <v>0</v>
      </c>
      <c r="N290" s="53">
        <v>5600</v>
      </c>
      <c r="O290" s="53">
        <f t="shared" si="269"/>
        <v>23103</v>
      </c>
      <c r="P290" s="53">
        <f t="shared" si="484"/>
        <v>15824.75</v>
      </c>
      <c r="Q290" s="53">
        <f t="shared" si="485"/>
        <v>32244.5</v>
      </c>
      <c r="R290" s="59">
        <f t="shared" si="496"/>
        <v>-13.198827772768261</v>
      </c>
      <c r="S290" s="59">
        <f t="shared" si="496"/>
        <v>-66.019250693851689</v>
      </c>
      <c r="T290" s="59">
        <f t="shared" si="487"/>
        <v>-50.922637969266084</v>
      </c>
      <c r="V290" s="53">
        <v>164466</v>
      </c>
      <c r="W290" s="53">
        <v>7500</v>
      </c>
      <c r="X290" s="53">
        <v>5600</v>
      </c>
      <c r="Y290" s="53">
        <f t="shared" si="270"/>
        <v>177566</v>
      </c>
      <c r="Z290" s="53">
        <f t="shared" si="501"/>
        <v>106568.75</v>
      </c>
      <c r="AA290" s="53">
        <f t="shared" si="502"/>
        <v>110350.33333333333</v>
      </c>
      <c r="AB290" s="59">
        <f t="shared" si="497"/>
        <v>68.344109672159121</v>
      </c>
      <c r="AC290" s="59">
        <f t="shared" si="497"/>
        <v>17.040992833804669</v>
      </c>
      <c r="AD290" s="59">
        <f t="shared" si="489"/>
        <v>-3.4268889083555076</v>
      </c>
      <c r="AF290" s="53">
        <v>9600</v>
      </c>
      <c r="AG290" s="53">
        <v>0</v>
      </c>
      <c r="AH290" s="53">
        <v>1400</v>
      </c>
      <c r="AI290" s="53">
        <f t="shared" si="420"/>
        <v>11000</v>
      </c>
      <c r="AJ290" s="53">
        <f t="shared" si="503"/>
        <v>8150</v>
      </c>
      <c r="AK290" s="53">
        <f t="shared" si="504"/>
        <v>10954.083333333334</v>
      </c>
      <c r="AL290" s="59">
        <f t="shared" si="498"/>
        <v>241.19106699751862</v>
      </c>
      <c r="AM290" s="59">
        <f t="shared" si="498"/>
        <v>-24.025262765387211</v>
      </c>
      <c r="AN290" s="59">
        <f t="shared" si="491"/>
        <v>-25.598521099437811</v>
      </c>
      <c r="AP290" s="53">
        <f t="shared" si="135"/>
        <v>473037</v>
      </c>
      <c r="AQ290" s="53">
        <f t="shared" si="135"/>
        <v>86650</v>
      </c>
      <c r="AR290" s="53">
        <f t="shared" si="161"/>
        <v>12600</v>
      </c>
      <c r="AS290" s="53">
        <f t="shared" si="421"/>
        <v>572287</v>
      </c>
      <c r="AT290" s="53">
        <f t="shared" si="505"/>
        <v>420823.5</v>
      </c>
      <c r="AU290" s="53">
        <f t="shared" si="506"/>
        <v>679252.5</v>
      </c>
      <c r="AV290" s="59">
        <f t="shared" si="492"/>
        <v>-22.480385994950204</v>
      </c>
      <c r="AW290" s="59">
        <f t="shared" si="499"/>
        <v>-31.992050560311057</v>
      </c>
      <c r="AX290" s="59">
        <f t="shared" si="493"/>
        <v>-38.046087426987754</v>
      </c>
      <c r="AZ290" s="53">
        <f t="shared" si="401"/>
        <v>360.61799999999999</v>
      </c>
      <c r="BA290" s="53">
        <f t="shared" si="402"/>
        <v>23.103000000000002</v>
      </c>
      <c r="BB290" s="53">
        <f t="shared" si="403"/>
        <v>177.566</v>
      </c>
      <c r="BC290" s="53">
        <f t="shared" si="404"/>
        <v>11</v>
      </c>
      <c r="BD290" s="53">
        <f t="shared" si="405"/>
        <v>572.28700000000003</v>
      </c>
      <c r="BE290" s="60">
        <f t="shared" ref="BE290:BI291" si="507">AZ290+BE289</f>
        <v>7141.2039999999997</v>
      </c>
      <c r="BF290" s="60">
        <f t="shared" si="507"/>
        <v>305.94900000000007</v>
      </c>
      <c r="BG290" s="60">
        <f t="shared" si="507"/>
        <v>2649.3649999999998</v>
      </c>
      <c r="BH290" s="60">
        <f t="shared" si="507"/>
        <v>229.999</v>
      </c>
      <c r="BI290" s="60">
        <f t="shared" si="507"/>
        <v>10326.516999999998</v>
      </c>
      <c r="BJ290" s="1">
        <f t="shared" si="413"/>
        <v>20</v>
      </c>
    </row>
    <row r="291" spans="1:62" x14ac:dyDescent="0.3">
      <c r="A291" s="48">
        <f t="shared" si="238"/>
        <v>39592</v>
      </c>
      <c r="B291" s="53">
        <v>406902</v>
      </c>
      <c r="C291" s="53">
        <v>30200</v>
      </c>
      <c r="D291" s="53">
        <v>0</v>
      </c>
      <c r="E291" s="53">
        <f t="shared" si="466"/>
        <v>437102</v>
      </c>
      <c r="F291" s="53">
        <f t="shared" si="480"/>
        <v>289922</v>
      </c>
      <c r="G291" s="53">
        <f t="shared" si="481"/>
        <v>549394.41666666663</v>
      </c>
      <c r="H291" s="59">
        <f t="shared" ref="H291:I293" si="508">((E291/E239)-1)*100</f>
        <v>-26.431515645223456</v>
      </c>
      <c r="I291" s="59">
        <f t="shared" si="508"/>
        <v>-42.615298819684888</v>
      </c>
      <c r="J291" s="59">
        <f t="shared" ref="J291:J296" si="509">((F291/G291)-1)*100</f>
        <v>-47.228804806747057</v>
      </c>
      <c r="L291" s="53">
        <v>0</v>
      </c>
      <c r="M291" s="53">
        <v>0</v>
      </c>
      <c r="N291" s="53">
        <v>16645</v>
      </c>
      <c r="O291" s="53">
        <f t="shared" si="269"/>
        <v>16645</v>
      </c>
      <c r="P291" s="53">
        <f t="shared" si="484"/>
        <v>15062</v>
      </c>
      <c r="Q291" s="53">
        <f t="shared" si="485"/>
        <v>26710.666666666668</v>
      </c>
      <c r="R291" s="59">
        <f t="shared" ref="R291:S293" si="510">((O291/O239)-1)*100</f>
        <v>-47.889925489950535</v>
      </c>
      <c r="S291" s="59">
        <f t="shared" si="510"/>
        <v>-52.662387152027534</v>
      </c>
      <c r="T291" s="59">
        <f t="shared" ref="T291:T296" si="511">((P291/Q291)-1)*100</f>
        <v>-43.610542604702239</v>
      </c>
      <c r="V291" s="53">
        <v>155348</v>
      </c>
      <c r="W291" s="53">
        <v>3000</v>
      </c>
      <c r="X291" s="53">
        <v>29700</v>
      </c>
      <c r="Y291" s="53">
        <f t="shared" si="270"/>
        <v>188048</v>
      </c>
      <c r="Z291" s="53">
        <f t="shared" si="501"/>
        <v>124066.25</v>
      </c>
      <c r="AA291" s="53">
        <f t="shared" si="502"/>
        <v>116284.41666666667</v>
      </c>
      <c r="AB291" s="59">
        <f t="shared" ref="AB291:AC293" si="512">((Y291/Y239)-1)*100</f>
        <v>128.36047457709449</v>
      </c>
      <c r="AC291" s="59">
        <f t="shared" si="512"/>
        <v>46.414178069663016</v>
      </c>
      <c r="AD291" s="59">
        <f t="shared" ref="AD291:AD296" si="513">((Z291/AA291)-1)*100</f>
        <v>6.6920689430297609</v>
      </c>
      <c r="AF291" s="53">
        <v>4500</v>
      </c>
      <c r="AG291" s="53">
        <v>0</v>
      </c>
      <c r="AH291" s="53">
        <v>12200</v>
      </c>
      <c r="AI291" s="53">
        <f t="shared" si="420"/>
        <v>16700</v>
      </c>
      <c r="AJ291" s="53">
        <f t="shared" si="503"/>
        <v>12325</v>
      </c>
      <c r="AK291" s="53">
        <f t="shared" si="504"/>
        <v>11345.75</v>
      </c>
      <c r="AL291" s="59">
        <f t="shared" ref="AL291:AM293" si="514">((AI291/AI239)-1)*100</f>
        <v>1013.3333333333333</v>
      </c>
      <c r="AM291" s="59">
        <f t="shared" si="514"/>
        <v>39.624458353394317</v>
      </c>
      <c r="AN291" s="59">
        <f t="shared" ref="AN291:AN296" si="515">((AJ291/AK291)-1)*100</f>
        <v>8.6309851706586116</v>
      </c>
      <c r="AP291" s="53">
        <f t="shared" si="135"/>
        <v>566750</v>
      </c>
      <c r="AQ291" s="53">
        <f t="shared" si="135"/>
        <v>33200</v>
      </c>
      <c r="AR291" s="53">
        <f t="shared" si="161"/>
        <v>58545</v>
      </c>
      <c r="AS291" s="53">
        <f t="shared" si="421"/>
        <v>658495</v>
      </c>
      <c r="AT291" s="53">
        <f t="shared" si="505"/>
        <v>441375.25</v>
      </c>
      <c r="AU291" s="53">
        <f t="shared" si="506"/>
        <v>703735.25</v>
      </c>
      <c r="AV291" s="59">
        <f t="shared" ref="AV291:AV296" si="516">((AS291/AS239)-1)*100</f>
        <v>-7.2453418073843645</v>
      </c>
      <c r="AW291" s="59">
        <f t="shared" si="499"/>
        <v>-30.00790111436239</v>
      </c>
      <c r="AX291" s="59">
        <f t="shared" ref="AX291:AX296" si="517">((AT291/AU291)-1)*100</f>
        <v>-37.281065571178942</v>
      </c>
      <c r="AZ291" s="53">
        <f t="shared" si="401"/>
        <v>437.10199999999998</v>
      </c>
      <c r="BA291" s="53">
        <f t="shared" si="402"/>
        <v>16.645</v>
      </c>
      <c r="BB291" s="53">
        <f t="shared" si="403"/>
        <v>188.048</v>
      </c>
      <c r="BC291" s="53">
        <f t="shared" si="404"/>
        <v>16.7</v>
      </c>
      <c r="BD291" s="53">
        <f t="shared" si="405"/>
        <v>658.495</v>
      </c>
      <c r="BE291" s="60">
        <f t="shared" si="507"/>
        <v>7578.3059999999996</v>
      </c>
      <c r="BF291" s="60">
        <f t="shared" si="507"/>
        <v>322.59400000000005</v>
      </c>
      <c r="BG291" s="60">
        <f t="shared" si="507"/>
        <v>2837.4129999999996</v>
      </c>
      <c r="BH291" s="60">
        <f t="shared" si="507"/>
        <v>246.69899999999998</v>
      </c>
      <c r="BI291" s="60">
        <f t="shared" si="507"/>
        <v>10985.011999999999</v>
      </c>
      <c r="BJ291" s="1">
        <f t="shared" si="413"/>
        <v>21</v>
      </c>
    </row>
    <row r="292" spans="1:62" x14ac:dyDescent="0.3">
      <c r="A292" s="48">
        <f t="shared" si="238"/>
        <v>39599</v>
      </c>
      <c r="B292" s="53">
        <v>353417</v>
      </c>
      <c r="C292" s="53">
        <v>9000</v>
      </c>
      <c r="D292" s="53">
        <v>0</v>
      </c>
      <c r="E292" s="53">
        <f t="shared" si="466"/>
        <v>362417</v>
      </c>
      <c r="F292" s="53">
        <f t="shared" ref="F292:F298" si="518">AVERAGE(E289,E290,E291,E292)</f>
        <v>326434.25</v>
      </c>
      <c r="G292" s="53">
        <f t="shared" ref="G292:G298" si="519">AVERAGE(F240,F188,F136)</f>
        <v>564605.91666666663</v>
      </c>
      <c r="H292" s="59">
        <f t="shared" si="508"/>
        <v>-32.671411400365237</v>
      </c>
      <c r="I292" s="59">
        <f t="shared" si="508"/>
        <v>-39.595131848844531</v>
      </c>
      <c r="J292" s="59">
        <f t="shared" si="509"/>
        <v>-42.183700105870301</v>
      </c>
      <c r="L292" s="53">
        <v>8060</v>
      </c>
      <c r="M292" s="53">
        <v>0</v>
      </c>
      <c r="N292" s="53">
        <v>4200</v>
      </c>
      <c r="O292" s="53">
        <f t="shared" si="269"/>
        <v>12260</v>
      </c>
      <c r="P292" s="53">
        <f t="shared" ref="P292:P301" si="520">AVERAGE(O289,O290,O291,O292)</f>
        <v>17052</v>
      </c>
      <c r="Q292" s="53">
        <f t="shared" ref="Q292:Q301" si="521">AVERAGE(P240,P188,P136)</f>
        <v>27764.416666666668</v>
      </c>
      <c r="R292" s="59">
        <f t="shared" si="510"/>
        <v>-45.63916108721677</v>
      </c>
      <c r="S292" s="59">
        <f t="shared" si="510"/>
        <v>-40.119571229160634</v>
      </c>
      <c r="T292" s="59">
        <f t="shared" si="511"/>
        <v>-38.583258547361289</v>
      </c>
      <c r="V292" s="53">
        <v>167338</v>
      </c>
      <c r="W292" s="53">
        <v>7700</v>
      </c>
      <c r="X292" s="53">
        <v>14600</v>
      </c>
      <c r="Y292" s="53">
        <f t="shared" si="270"/>
        <v>189638</v>
      </c>
      <c r="Z292" s="53">
        <f t="shared" si="501"/>
        <v>153020.5</v>
      </c>
      <c r="AA292" s="53">
        <f t="shared" si="502"/>
        <v>116582.41666666667</v>
      </c>
      <c r="AB292" s="59">
        <f t="shared" si="512"/>
        <v>126.32803828664861</v>
      </c>
      <c r="AC292" s="59">
        <f t="shared" si="512"/>
        <v>80.199016692672302</v>
      </c>
      <c r="AD292" s="59">
        <f t="shared" si="513"/>
        <v>31.255213586382723</v>
      </c>
      <c r="AF292" s="53">
        <v>1600</v>
      </c>
      <c r="AG292" s="53">
        <v>0</v>
      </c>
      <c r="AH292" s="53">
        <v>1400</v>
      </c>
      <c r="AI292" s="53">
        <f t="shared" si="420"/>
        <v>3000</v>
      </c>
      <c r="AJ292" s="53">
        <f t="shared" si="503"/>
        <v>9550</v>
      </c>
      <c r="AK292" s="53">
        <f t="shared" si="504"/>
        <v>9344.5</v>
      </c>
      <c r="AL292" s="59">
        <f t="shared" si="514"/>
        <v>-82.094897045658016</v>
      </c>
      <c r="AM292" s="59">
        <f t="shared" si="514"/>
        <v>19.062461039770607</v>
      </c>
      <c r="AN292" s="59">
        <f t="shared" si="515"/>
        <v>2.1991545829097348</v>
      </c>
      <c r="AP292" s="53">
        <f t="shared" si="135"/>
        <v>530415</v>
      </c>
      <c r="AQ292" s="53">
        <f t="shared" si="135"/>
        <v>16700</v>
      </c>
      <c r="AR292" s="53">
        <f t="shared" si="161"/>
        <v>20200</v>
      </c>
      <c r="AS292" s="53">
        <f t="shared" si="421"/>
        <v>567315</v>
      </c>
      <c r="AT292" s="53">
        <f t="shared" si="505"/>
        <v>506056.75</v>
      </c>
      <c r="AU292" s="53">
        <f t="shared" si="506"/>
        <v>718297.25</v>
      </c>
      <c r="AV292" s="59">
        <f t="shared" si="516"/>
        <v>-14.222275310034505</v>
      </c>
      <c r="AW292" s="59">
        <f t="shared" si="499"/>
        <v>-23.536255577846589</v>
      </c>
      <c r="AX292" s="59">
        <f t="shared" si="517"/>
        <v>-29.547725541201775</v>
      </c>
      <c r="AZ292" s="53">
        <f t="shared" si="401"/>
        <v>362.41699999999997</v>
      </c>
      <c r="BA292" s="53">
        <f t="shared" si="402"/>
        <v>12.26</v>
      </c>
      <c r="BB292" s="53">
        <f t="shared" si="403"/>
        <v>189.63800000000001</v>
      </c>
      <c r="BC292" s="53">
        <f t="shared" si="404"/>
        <v>3</v>
      </c>
      <c r="BD292" s="53">
        <f t="shared" si="405"/>
        <v>567.31500000000005</v>
      </c>
      <c r="BE292" s="60">
        <f t="shared" ref="BE292:BI293" si="522">AZ292+BE291</f>
        <v>7940.723</v>
      </c>
      <c r="BF292" s="60">
        <f t="shared" si="522"/>
        <v>334.85400000000004</v>
      </c>
      <c r="BG292" s="60">
        <f t="shared" si="522"/>
        <v>3027.0509999999995</v>
      </c>
      <c r="BH292" s="60">
        <f t="shared" si="522"/>
        <v>249.69899999999998</v>
      </c>
      <c r="BI292" s="60">
        <f t="shared" si="522"/>
        <v>11552.326999999999</v>
      </c>
      <c r="BJ292" s="1">
        <f t="shared" si="413"/>
        <v>22</v>
      </c>
    </row>
    <row r="293" spans="1:62" x14ac:dyDescent="0.3">
      <c r="A293" s="48">
        <f t="shared" si="238"/>
        <v>39606</v>
      </c>
      <c r="B293" s="53">
        <v>326415</v>
      </c>
      <c r="C293" s="53">
        <v>64000</v>
      </c>
      <c r="D293" s="53">
        <v>0</v>
      </c>
      <c r="E293" s="53">
        <f t="shared" si="466"/>
        <v>390415</v>
      </c>
      <c r="F293" s="53">
        <f t="shared" si="518"/>
        <v>387638</v>
      </c>
      <c r="G293" s="53">
        <f t="shared" si="519"/>
        <v>582366.08333333337</v>
      </c>
      <c r="H293" s="59">
        <f t="shared" si="508"/>
        <v>-39.214205642398959</v>
      </c>
      <c r="I293" s="59">
        <f t="shared" si="508"/>
        <v>-34.785925840562506</v>
      </c>
      <c r="J293" s="59">
        <f t="shared" si="509"/>
        <v>-33.437401130703449</v>
      </c>
      <c r="L293" s="53">
        <v>0</v>
      </c>
      <c r="M293" s="53">
        <v>0</v>
      </c>
      <c r="N293" s="53">
        <v>0</v>
      </c>
      <c r="O293" s="53">
        <f t="shared" si="269"/>
        <v>0</v>
      </c>
      <c r="P293" s="53">
        <f t="shared" si="520"/>
        <v>13002</v>
      </c>
      <c r="Q293" s="53">
        <f t="shared" si="521"/>
        <v>25463.416666666668</v>
      </c>
      <c r="R293" s="59">
        <f t="shared" si="510"/>
        <v>-100</v>
      </c>
      <c r="S293" s="59">
        <f t="shared" si="510"/>
        <v>-52.469818407801064</v>
      </c>
      <c r="T293" s="59">
        <f t="shared" si="511"/>
        <v>-48.93850982291589</v>
      </c>
      <c r="V293" s="53">
        <v>179846</v>
      </c>
      <c r="W293" s="53">
        <v>18838</v>
      </c>
      <c r="X293" s="53">
        <v>30100</v>
      </c>
      <c r="Y293" s="53">
        <f t="shared" si="270"/>
        <v>228784</v>
      </c>
      <c r="Z293" s="53">
        <f t="shared" si="501"/>
        <v>196009</v>
      </c>
      <c r="AA293" s="53">
        <f t="shared" si="502"/>
        <v>119471.75</v>
      </c>
      <c r="AB293" s="59">
        <f t="shared" si="512"/>
        <v>129.09327592249537</v>
      </c>
      <c r="AC293" s="59">
        <f t="shared" si="512"/>
        <v>111.05796020771028</v>
      </c>
      <c r="AD293" s="59">
        <f t="shared" si="513"/>
        <v>64.063052562635093</v>
      </c>
      <c r="AF293" s="53">
        <v>3000</v>
      </c>
      <c r="AG293" s="53">
        <v>0</v>
      </c>
      <c r="AH293" s="53">
        <v>11200</v>
      </c>
      <c r="AI293" s="53">
        <f t="shared" si="420"/>
        <v>14200</v>
      </c>
      <c r="AJ293" s="53">
        <f t="shared" si="503"/>
        <v>11225</v>
      </c>
      <c r="AK293" s="53">
        <f t="shared" si="504"/>
        <v>8023.25</v>
      </c>
      <c r="AL293" s="59">
        <f t="shared" si="514"/>
        <v>82.051282051282044</v>
      </c>
      <c r="AM293" s="59">
        <f t="shared" si="514"/>
        <v>53.352231975135766</v>
      </c>
      <c r="AN293" s="59">
        <f t="shared" si="515"/>
        <v>39.905898482535143</v>
      </c>
      <c r="AP293" s="53">
        <f t="shared" si="135"/>
        <v>509261</v>
      </c>
      <c r="AQ293" s="53">
        <f t="shared" si="135"/>
        <v>82838</v>
      </c>
      <c r="AR293" s="53">
        <f t="shared" si="161"/>
        <v>41300</v>
      </c>
      <c r="AS293" s="53">
        <f t="shared" si="421"/>
        <v>633399</v>
      </c>
      <c r="AT293" s="53">
        <f t="shared" si="505"/>
        <v>607874</v>
      </c>
      <c r="AU293" s="53">
        <f t="shared" si="506"/>
        <v>735324.5</v>
      </c>
      <c r="AV293" s="59">
        <f t="shared" si="516"/>
        <v>-18.612922499694829</v>
      </c>
      <c r="AW293" s="59">
        <f t="shared" si="499"/>
        <v>-15.80147329484285</v>
      </c>
      <c r="AX293" s="59">
        <f t="shared" si="517"/>
        <v>-17.332551818958841</v>
      </c>
      <c r="AZ293" s="53">
        <f t="shared" si="401"/>
        <v>390.41500000000002</v>
      </c>
      <c r="BA293" s="53">
        <f t="shared" si="402"/>
        <v>0</v>
      </c>
      <c r="BB293" s="53">
        <f t="shared" si="403"/>
        <v>228.78399999999999</v>
      </c>
      <c r="BC293" s="53">
        <f t="shared" si="404"/>
        <v>14.2</v>
      </c>
      <c r="BD293" s="53">
        <f t="shared" si="405"/>
        <v>633.399</v>
      </c>
      <c r="BE293" s="60">
        <f t="shared" si="522"/>
        <v>8331.1380000000008</v>
      </c>
      <c r="BF293" s="60">
        <f t="shared" si="522"/>
        <v>334.85400000000004</v>
      </c>
      <c r="BG293" s="60">
        <f t="shared" si="522"/>
        <v>3255.8349999999996</v>
      </c>
      <c r="BH293" s="60">
        <f t="shared" si="522"/>
        <v>263.899</v>
      </c>
      <c r="BI293" s="60">
        <f t="shared" si="522"/>
        <v>12185.725999999999</v>
      </c>
      <c r="BJ293" s="1">
        <f t="shared" si="413"/>
        <v>23</v>
      </c>
    </row>
    <row r="294" spans="1:62" x14ac:dyDescent="0.3">
      <c r="A294" s="48">
        <f t="shared" si="238"/>
        <v>39613</v>
      </c>
      <c r="B294" s="53">
        <v>311850</v>
      </c>
      <c r="C294" s="53">
        <v>26600</v>
      </c>
      <c r="D294" s="53">
        <v>0</v>
      </c>
      <c r="E294" s="53">
        <f t="shared" si="466"/>
        <v>338450</v>
      </c>
      <c r="F294" s="53">
        <f t="shared" si="518"/>
        <v>382096</v>
      </c>
      <c r="G294" s="53">
        <f t="shared" si="519"/>
        <v>589659.16666666663</v>
      </c>
      <c r="H294" s="59">
        <f t="shared" ref="H294:I296" si="523">((E294/E242)-1)*100</f>
        <v>-54.73137091251499</v>
      </c>
      <c r="I294" s="59">
        <f t="shared" si="523"/>
        <v>-39.40639530089377</v>
      </c>
      <c r="J294" s="59">
        <f t="shared" si="509"/>
        <v>-35.200532511012717</v>
      </c>
      <c r="L294" s="53">
        <v>1500</v>
      </c>
      <c r="M294" s="53">
        <v>0</v>
      </c>
      <c r="N294" s="53">
        <v>27200</v>
      </c>
      <c r="O294" s="53">
        <f t="shared" si="269"/>
        <v>28700</v>
      </c>
      <c r="P294" s="53">
        <f t="shared" si="520"/>
        <v>14401.25</v>
      </c>
      <c r="Q294" s="53">
        <f t="shared" si="521"/>
        <v>26646.666666666668</v>
      </c>
      <c r="R294" s="59">
        <f t="shared" ref="R294:S296" si="524">((O294/O242)-1)*100</f>
        <v>180.05464480874318</v>
      </c>
      <c r="S294" s="59">
        <f t="shared" si="524"/>
        <v>-38.09441930942581</v>
      </c>
      <c r="T294" s="59">
        <f t="shared" si="511"/>
        <v>-45.954778583937959</v>
      </c>
      <c r="V294" s="53">
        <v>75388</v>
      </c>
      <c r="W294" s="53">
        <v>6277</v>
      </c>
      <c r="X294" s="53">
        <v>33057</v>
      </c>
      <c r="Y294" s="53">
        <f t="shared" si="270"/>
        <v>114722</v>
      </c>
      <c r="Z294" s="53">
        <f t="shared" si="501"/>
        <v>180298</v>
      </c>
      <c r="AA294" s="53">
        <f t="shared" si="502"/>
        <v>109859.25</v>
      </c>
      <c r="AB294" s="59">
        <f t="shared" ref="AB294:AC296" si="525">((Y294/Y242)-1)*100</f>
        <v>16.395771189708007</v>
      </c>
      <c r="AC294" s="59">
        <f t="shared" si="525"/>
        <v>97.823695767261086</v>
      </c>
      <c r="AD294" s="59">
        <f t="shared" si="513"/>
        <v>64.117268231851199</v>
      </c>
      <c r="AF294" s="53">
        <v>4500</v>
      </c>
      <c r="AG294" s="53">
        <v>1500</v>
      </c>
      <c r="AH294" s="53">
        <v>8400</v>
      </c>
      <c r="AI294" s="53">
        <f t="shared" si="420"/>
        <v>14400</v>
      </c>
      <c r="AJ294" s="53">
        <f t="shared" si="503"/>
        <v>12075</v>
      </c>
      <c r="AK294" s="53">
        <f t="shared" si="504"/>
        <v>10597.166666666666</v>
      </c>
      <c r="AL294" s="59">
        <f t="shared" ref="AL294:AM296" si="526">((AI294/AI242)-1)*100</f>
        <v>-50</v>
      </c>
      <c r="AM294" s="59">
        <f t="shared" si="526"/>
        <v>-11.949685534591193</v>
      </c>
      <c r="AN294" s="59">
        <f t="shared" si="515"/>
        <v>13.945551483887208</v>
      </c>
      <c r="AP294" s="53">
        <f t="shared" si="135"/>
        <v>393238</v>
      </c>
      <c r="AQ294" s="53">
        <f t="shared" si="135"/>
        <v>34377</v>
      </c>
      <c r="AR294" s="53">
        <f t="shared" si="161"/>
        <v>68657</v>
      </c>
      <c r="AS294" s="53">
        <f t="shared" si="421"/>
        <v>496272</v>
      </c>
      <c r="AT294" s="53">
        <f t="shared" si="505"/>
        <v>588870.25</v>
      </c>
      <c r="AU294" s="53">
        <f t="shared" si="506"/>
        <v>736762.25</v>
      </c>
      <c r="AV294" s="59">
        <f t="shared" si="516"/>
        <v>-43.940410592166359</v>
      </c>
      <c r="AW294" s="59">
        <f t="shared" ref="AW294:AW299" si="527">((AT294/AT242)-1)*100</f>
        <v>-22.384896911615606</v>
      </c>
      <c r="AX294" s="59">
        <f t="shared" si="517"/>
        <v>-20.073232579437938</v>
      </c>
      <c r="AZ294" s="53">
        <f t="shared" si="401"/>
        <v>338.45</v>
      </c>
      <c r="BA294" s="53">
        <f t="shared" si="402"/>
        <v>28.7</v>
      </c>
      <c r="BB294" s="53">
        <f t="shared" si="403"/>
        <v>114.72199999999999</v>
      </c>
      <c r="BC294" s="53">
        <f t="shared" si="404"/>
        <v>14.4</v>
      </c>
      <c r="BD294" s="53">
        <f t="shared" ref="BD294:BD299" si="528">+AS294/1000</f>
        <v>496.27199999999999</v>
      </c>
      <c r="BE294" s="60">
        <f t="shared" ref="BE294:BI295" si="529">AZ294+BE293</f>
        <v>8669.5880000000016</v>
      </c>
      <c r="BF294" s="60">
        <f t="shared" si="529"/>
        <v>363.55400000000003</v>
      </c>
      <c r="BG294" s="60">
        <f t="shared" si="529"/>
        <v>3370.5569999999998</v>
      </c>
      <c r="BH294" s="60">
        <f t="shared" si="529"/>
        <v>278.29899999999998</v>
      </c>
      <c r="BI294" s="60">
        <f t="shared" si="529"/>
        <v>12681.998</v>
      </c>
      <c r="BJ294" s="1">
        <f t="shared" si="413"/>
        <v>24</v>
      </c>
    </row>
    <row r="295" spans="1:62" x14ac:dyDescent="0.3">
      <c r="A295" s="48">
        <f t="shared" si="238"/>
        <v>39620</v>
      </c>
      <c r="B295" s="53">
        <v>196973</v>
      </c>
      <c r="C295" s="53">
        <v>36300</v>
      </c>
      <c r="D295" s="53">
        <v>0</v>
      </c>
      <c r="E295" s="53">
        <f t="shared" ref="E295:E306" si="530">SUM(B295:D295)</f>
        <v>233273</v>
      </c>
      <c r="F295" s="53">
        <f t="shared" si="518"/>
        <v>331138.75</v>
      </c>
      <c r="G295" s="53">
        <f t="shared" si="519"/>
        <v>601315.66666666663</v>
      </c>
      <c r="H295" s="59">
        <f t="shared" si="523"/>
        <v>-58.554516978979933</v>
      </c>
      <c r="I295" s="59">
        <f t="shared" si="523"/>
        <v>-46.827484934076047</v>
      </c>
      <c r="J295" s="59">
        <f t="shared" si="509"/>
        <v>-44.930962495017866</v>
      </c>
      <c r="L295" s="53">
        <v>0</v>
      </c>
      <c r="M295" s="53">
        <v>30900</v>
      </c>
      <c r="N295" s="53">
        <v>18200</v>
      </c>
      <c r="O295" s="53">
        <f t="shared" si="269"/>
        <v>49100</v>
      </c>
      <c r="P295" s="53">
        <f t="shared" si="520"/>
        <v>22515</v>
      </c>
      <c r="Q295" s="53">
        <f t="shared" si="521"/>
        <v>25296.333333333332</v>
      </c>
      <c r="R295" s="59">
        <f t="shared" si="524"/>
        <v>201.68970814132106</v>
      </c>
      <c r="S295" s="59">
        <f t="shared" si="524"/>
        <v>16.377639366293639</v>
      </c>
      <c r="T295" s="59">
        <f t="shared" si="511"/>
        <v>-10.995005863827423</v>
      </c>
      <c r="V295" s="53">
        <v>14101</v>
      </c>
      <c r="W295" s="53">
        <v>10819</v>
      </c>
      <c r="X295" s="53">
        <v>1400</v>
      </c>
      <c r="Y295" s="53">
        <f t="shared" si="270"/>
        <v>26320</v>
      </c>
      <c r="Z295" s="53">
        <f t="shared" si="501"/>
        <v>139866</v>
      </c>
      <c r="AA295" s="53">
        <f t="shared" si="502"/>
        <v>104100.41666666667</v>
      </c>
      <c r="AB295" s="59">
        <f t="shared" si="525"/>
        <v>-71.3289760348584</v>
      </c>
      <c r="AC295" s="59">
        <f t="shared" si="525"/>
        <v>49.582905544147835</v>
      </c>
      <c r="AD295" s="59">
        <f t="shared" si="513"/>
        <v>34.356810931752577</v>
      </c>
      <c r="AF295" s="53">
        <v>0</v>
      </c>
      <c r="AG295" s="53">
        <v>0</v>
      </c>
      <c r="AH295" s="53">
        <v>1400</v>
      </c>
      <c r="AI295" s="53">
        <f t="shared" si="420"/>
        <v>1400</v>
      </c>
      <c r="AJ295" s="53">
        <f t="shared" si="503"/>
        <v>8250</v>
      </c>
      <c r="AK295" s="53">
        <f t="shared" si="504"/>
        <v>9630.5</v>
      </c>
      <c r="AL295" s="59">
        <f t="shared" si="526"/>
        <v>-66.666666666666671</v>
      </c>
      <c r="AM295" s="59">
        <f t="shared" si="526"/>
        <v>-42.663539223351577</v>
      </c>
      <c r="AN295" s="59">
        <f t="shared" si="515"/>
        <v>-14.334665905197031</v>
      </c>
      <c r="AP295" s="53">
        <f t="shared" si="135"/>
        <v>211074</v>
      </c>
      <c r="AQ295" s="53">
        <f t="shared" si="135"/>
        <v>78019</v>
      </c>
      <c r="AR295" s="53">
        <f t="shared" si="161"/>
        <v>21000</v>
      </c>
      <c r="AS295" s="53">
        <f t="shared" si="421"/>
        <v>310093</v>
      </c>
      <c r="AT295" s="53">
        <f t="shared" si="505"/>
        <v>501769.75</v>
      </c>
      <c r="AU295" s="53">
        <f t="shared" si="506"/>
        <v>740342.91666666663</v>
      </c>
      <c r="AV295" s="59">
        <f t="shared" si="516"/>
        <v>-54.068325833409858</v>
      </c>
      <c r="AW295" s="59">
        <f t="shared" si="527"/>
        <v>-33.097567373964544</v>
      </c>
      <c r="AX295" s="59">
        <f t="shared" si="517"/>
        <v>-32.224684169441744</v>
      </c>
      <c r="AZ295" s="53">
        <f t="shared" si="401"/>
        <v>233.273</v>
      </c>
      <c r="BA295" s="53">
        <f t="shared" si="402"/>
        <v>49.1</v>
      </c>
      <c r="BB295" s="53">
        <f t="shared" si="403"/>
        <v>26.32</v>
      </c>
      <c r="BC295" s="53">
        <f t="shared" si="404"/>
        <v>1.4</v>
      </c>
      <c r="BD295" s="53">
        <f t="shared" si="528"/>
        <v>310.09300000000002</v>
      </c>
      <c r="BE295" s="60">
        <f t="shared" si="529"/>
        <v>8902.8610000000008</v>
      </c>
      <c r="BF295" s="60">
        <f t="shared" si="529"/>
        <v>412.65400000000005</v>
      </c>
      <c r="BG295" s="60">
        <f t="shared" si="529"/>
        <v>3396.877</v>
      </c>
      <c r="BH295" s="60">
        <f t="shared" si="529"/>
        <v>279.69899999999996</v>
      </c>
      <c r="BI295" s="60">
        <f t="shared" si="529"/>
        <v>12992.091</v>
      </c>
      <c r="BJ295" s="1">
        <f t="shared" si="413"/>
        <v>25</v>
      </c>
    </row>
    <row r="296" spans="1:62" x14ac:dyDescent="0.3">
      <c r="A296" s="48">
        <f t="shared" si="238"/>
        <v>39627</v>
      </c>
      <c r="B296" s="53">
        <v>101277</v>
      </c>
      <c r="C296" s="53">
        <v>10700</v>
      </c>
      <c r="D296" s="53">
        <v>0</v>
      </c>
      <c r="E296" s="53">
        <f t="shared" si="530"/>
        <v>111977</v>
      </c>
      <c r="F296" s="53">
        <f t="shared" si="518"/>
        <v>268528.75</v>
      </c>
      <c r="G296" s="53">
        <f t="shared" si="519"/>
        <v>631332.5</v>
      </c>
      <c r="H296" s="59">
        <f t="shared" si="523"/>
        <v>-80.822046844921246</v>
      </c>
      <c r="I296" s="59">
        <f t="shared" si="523"/>
        <v>-57.656244148297667</v>
      </c>
      <c r="J296" s="59">
        <f t="shared" si="509"/>
        <v>-57.466350932353393</v>
      </c>
      <c r="L296" s="53">
        <v>0</v>
      </c>
      <c r="M296" s="53">
        <v>21000</v>
      </c>
      <c r="N296" s="53">
        <v>18200</v>
      </c>
      <c r="O296" s="53">
        <f t="shared" si="269"/>
        <v>39200</v>
      </c>
      <c r="P296" s="53">
        <f t="shared" si="520"/>
        <v>29250</v>
      </c>
      <c r="Q296" s="53">
        <f t="shared" si="521"/>
        <v>28440.583333333332</v>
      </c>
      <c r="R296" s="59">
        <f t="shared" si="524"/>
        <v>121.25642038719873</v>
      </c>
      <c r="S296" s="59">
        <f t="shared" si="524"/>
        <v>61.268090971743618</v>
      </c>
      <c r="T296" s="59">
        <f t="shared" si="511"/>
        <v>2.84599178990117</v>
      </c>
      <c r="V296" s="53">
        <v>9383</v>
      </c>
      <c r="W296" s="53">
        <v>7450</v>
      </c>
      <c r="X296" s="53">
        <v>7000</v>
      </c>
      <c r="Y296" s="53">
        <f t="shared" si="270"/>
        <v>23833</v>
      </c>
      <c r="Z296" s="53">
        <f t="shared" ref="Z296:Z301" si="531">AVERAGE(Y293,Y294,Y295,Y296)</f>
        <v>98414.75</v>
      </c>
      <c r="AA296" s="53">
        <f t="shared" ref="AA296:AA301" si="532">AVERAGE(Z244,Z192,Z140)</f>
        <v>102468.75</v>
      </c>
      <c r="AB296" s="59">
        <f t="shared" si="525"/>
        <v>-78.283095203382416</v>
      </c>
      <c r="AC296" s="59">
        <f t="shared" si="525"/>
        <v>-1.578114413294962</v>
      </c>
      <c r="AD296" s="59">
        <f t="shared" si="513"/>
        <v>-3.9563281488258606</v>
      </c>
      <c r="AF296" s="53">
        <v>0</v>
      </c>
      <c r="AG296" s="53">
        <v>3000</v>
      </c>
      <c r="AH296" s="53">
        <v>2800</v>
      </c>
      <c r="AI296" s="53">
        <f t="shared" si="420"/>
        <v>5800</v>
      </c>
      <c r="AJ296" s="53">
        <f t="shared" ref="AJ296:AJ301" si="533">AVERAGE(AI293,AI294,AI295,AI296)</f>
        <v>8950</v>
      </c>
      <c r="AK296" s="53">
        <f t="shared" ref="AK296:AK301" si="534">AVERAGE(AJ244,AJ192,AJ140)</f>
        <v>10391.333333333334</v>
      </c>
      <c r="AL296" s="59">
        <f t="shared" si="526"/>
        <v>87.09677419354837</v>
      </c>
      <c r="AM296" s="59">
        <f t="shared" si="526"/>
        <v>-18.451025056947611</v>
      </c>
      <c r="AN296" s="59">
        <f t="shared" si="515"/>
        <v>-13.870533136588193</v>
      </c>
      <c r="AP296" s="53">
        <f t="shared" si="135"/>
        <v>110660</v>
      </c>
      <c r="AQ296" s="53">
        <f t="shared" si="135"/>
        <v>42150</v>
      </c>
      <c r="AR296" s="53">
        <f t="shared" si="161"/>
        <v>28000</v>
      </c>
      <c r="AS296" s="53">
        <f t="shared" si="421"/>
        <v>180810</v>
      </c>
      <c r="AT296" s="53">
        <f t="shared" ref="AT296:AT301" si="535">AVERAGE(AS293,AS294,AS295,AS296)</f>
        <v>405143.5</v>
      </c>
      <c r="AU296" s="53">
        <f t="shared" ref="AU296:AU301" si="536">AVERAGE(AT244,AT192,AT140)</f>
        <v>772633.16666666663</v>
      </c>
      <c r="AV296" s="59">
        <f t="shared" si="516"/>
        <v>-74.692243629670585</v>
      </c>
      <c r="AW296" s="59">
        <f t="shared" si="527"/>
        <v>-46.919958756349331</v>
      </c>
      <c r="AX296" s="59">
        <f t="shared" si="517"/>
        <v>-47.563278735769174</v>
      </c>
      <c r="AZ296" s="53">
        <f t="shared" si="401"/>
        <v>111.977</v>
      </c>
      <c r="BA296" s="53">
        <f t="shared" si="402"/>
        <v>39.200000000000003</v>
      </c>
      <c r="BB296" s="53">
        <f t="shared" si="403"/>
        <v>23.832999999999998</v>
      </c>
      <c r="BC296" s="53">
        <f t="shared" si="404"/>
        <v>5.8</v>
      </c>
      <c r="BD296" s="53">
        <f t="shared" si="528"/>
        <v>180.81</v>
      </c>
      <c r="BE296" s="60">
        <f t="shared" ref="BE296:BI297" si="537">AZ296+BE295</f>
        <v>9014.8380000000016</v>
      </c>
      <c r="BF296" s="60">
        <f t="shared" si="537"/>
        <v>451.85400000000004</v>
      </c>
      <c r="BG296" s="60">
        <f t="shared" si="537"/>
        <v>3420.71</v>
      </c>
      <c r="BH296" s="60">
        <f t="shared" si="537"/>
        <v>285.49899999999997</v>
      </c>
      <c r="BI296" s="60">
        <f t="shared" si="537"/>
        <v>13172.901</v>
      </c>
      <c r="BJ296" s="1">
        <f t="shared" si="413"/>
        <v>26</v>
      </c>
    </row>
    <row r="297" spans="1:62" x14ac:dyDescent="0.3">
      <c r="A297" s="48">
        <f>A296+7</f>
        <v>39634</v>
      </c>
      <c r="B297" s="53">
        <v>93065</v>
      </c>
      <c r="C297" s="53">
        <v>88300</v>
      </c>
      <c r="D297" s="53">
        <v>2800</v>
      </c>
      <c r="E297" s="53">
        <f t="shared" si="530"/>
        <v>184165</v>
      </c>
      <c r="F297" s="53">
        <f t="shared" si="518"/>
        <v>216966.25</v>
      </c>
      <c r="G297" s="53">
        <f t="shared" si="519"/>
        <v>640400.75</v>
      </c>
      <c r="H297" s="59">
        <f t="shared" ref="H297:I299" si="538">((E297/E245)-1)*100</f>
        <v>-73.449828371409737</v>
      </c>
      <c r="I297" s="59">
        <f t="shared" si="538"/>
        <v>-66.46611468827183</v>
      </c>
      <c r="J297" s="59">
        <f t="shared" ref="J297:J302" si="539">((F297/G297)-1)*100</f>
        <v>-66.120237991601357</v>
      </c>
      <c r="L297" s="53">
        <v>1600</v>
      </c>
      <c r="M297" s="53">
        <v>37330</v>
      </c>
      <c r="N297" s="53">
        <v>19600</v>
      </c>
      <c r="O297" s="53">
        <f t="shared" si="269"/>
        <v>58530</v>
      </c>
      <c r="P297" s="53">
        <f t="shared" si="520"/>
        <v>43882.5</v>
      </c>
      <c r="Q297" s="53">
        <f t="shared" si="521"/>
        <v>31987.666666666668</v>
      </c>
      <c r="R297" s="59">
        <f t="shared" ref="R297:S299" si="540">((O297/O245)-1)*100</f>
        <v>184.12621359223303</v>
      </c>
      <c r="S297" s="59">
        <f t="shared" si="540"/>
        <v>170.71252313386799</v>
      </c>
      <c r="T297" s="59">
        <f t="shared" ref="T297:T302" si="541">((P297/Q297)-1)*100</f>
        <v>37.185686149870257</v>
      </c>
      <c r="V297" s="53">
        <v>12707</v>
      </c>
      <c r="W297" s="53">
        <v>21400</v>
      </c>
      <c r="X297" s="53">
        <v>7000</v>
      </c>
      <c r="Y297" s="53">
        <f t="shared" si="270"/>
        <v>41107</v>
      </c>
      <c r="Z297" s="53">
        <f t="shared" si="531"/>
        <v>51495.5</v>
      </c>
      <c r="AA297" s="53">
        <f t="shared" si="532"/>
        <v>102387.41666666667</v>
      </c>
      <c r="AB297" s="59">
        <f t="shared" ref="AB297:AC299" si="542">((Y297/Y245)-1)*100</f>
        <v>-75.168235251476972</v>
      </c>
      <c r="AC297" s="59">
        <f t="shared" si="542"/>
        <v>-55.764440092086723</v>
      </c>
      <c r="AD297" s="59">
        <f t="shared" ref="AD297:AD302" si="543">((Z297/AA297)-1)*100</f>
        <v>-49.705245354857254</v>
      </c>
      <c r="AF297" s="53">
        <v>0</v>
      </c>
      <c r="AG297" s="53">
        <v>4500</v>
      </c>
      <c r="AH297" s="53">
        <v>0</v>
      </c>
      <c r="AI297" s="53">
        <f t="shared" si="420"/>
        <v>4500</v>
      </c>
      <c r="AJ297" s="53">
        <f t="shared" si="533"/>
        <v>6525</v>
      </c>
      <c r="AK297" s="53">
        <f t="shared" si="534"/>
        <v>12790.75</v>
      </c>
      <c r="AL297" s="59">
        <f t="shared" ref="AL297:AM299" si="544">((AI297/AI245)-1)*100</f>
        <v>-68.085106382978722</v>
      </c>
      <c r="AM297" s="59">
        <f t="shared" si="544"/>
        <v>-48.007968127490045</v>
      </c>
      <c r="AN297" s="59">
        <f t="shared" ref="AN297:AN302" si="545">((AJ297/AK297)-1)*100</f>
        <v>-48.986572327658664</v>
      </c>
      <c r="AP297" s="53">
        <f t="shared" si="135"/>
        <v>107372</v>
      </c>
      <c r="AQ297" s="53">
        <f t="shared" si="135"/>
        <v>151530</v>
      </c>
      <c r="AR297" s="53">
        <f t="shared" si="161"/>
        <v>29400</v>
      </c>
      <c r="AS297" s="53">
        <f t="shared" si="421"/>
        <v>288302</v>
      </c>
      <c r="AT297" s="53">
        <f t="shared" si="535"/>
        <v>318869.25</v>
      </c>
      <c r="AU297" s="53">
        <f t="shared" si="536"/>
        <v>787566.58333333337</v>
      </c>
      <c r="AV297" s="59">
        <f t="shared" ref="AV297:AV302" si="546">((AS297/AS245)-1)*100</f>
        <v>-67.747521789569419</v>
      </c>
      <c r="AW297" s="59">
        <f t="shared" si="527"/>
        <v>-59.747777645933112</v>
      </c>
      <c r="AX297" s="59">
        <f t="shared" ref="AX297:AX302" si="547">((AT297/AU297)-1)*100</f>
        <v>-59.512089930174163</v>
      </c>
      <c r="AZ297" s="53">
        <f t="shared" si="401"/>
        <v>184.16499999999999</v>
      </c>
      <c r="BA297" s="53">
        <f t="shared" si="402"/>
        <v>58.53</v>
      </c>
      <c r="BB297" s="53">
        <f t="shared" si="403"/>
        <v>41.106999999999999</v>
      </c>
      <c r="BC297" s="53">
        <f t="shared" si="404"/>
        <v>4.5</v>
      </c>
      <c r="BD297" s="53">
        <f t="shared" si="528"/>
        <v>288.30200000000002</v>
      </c>
      <c r="BE297" s="60">
        <f t="shared" si="537"/>
        <v>9199.0030000000024</v>
      </c>
      <c r="BF297" s="60">
        <f t="shared" si="537"/>
        <v>510.38400000000001</v>
      </c>
      <c r="BG297" s="60">
        <f t="shared" si="537"/>
        <v>3461.817</v>
      </c>
      <c r="BH297" s="60">
        <f t="shared" si="537"/>
        <v>289.99899999999997</v>
      </c>
      <c r="BI297" s="60">
        <f t="shared" si="537"/>
        <v>13461.203</v>
      </c>
      <c r="BJ297" s="1">
        <f t="shared" si="413"/>
        <v>27</v>
      </c>
    </row>
    <row r="298" spans="1:62" x14ac:dyDescent="0.3">
      <c r="A298" s="48">
        <f t="shared" si="238"/>
        <v>39641</v>
      </c>
      <c r="B298" s="53">
        <v>491036</v>
      </c>
      <c r="C298" s="53">
        <v>30500</v>
      </c>
      <c r="D298" s="53">
        <v>5600</v>
      </c>
      <c r="E298" s="53">
        <f t="shared" si="530"/>
        <v>527136</v>
      </c>
      <c r="F298" s="53">
        <f t="shared" si="518"/>
        <v>264137.75</v>
      </c>
      <c r="G298" s="53">
        <f t="shared" si="519"/>
        <v>663683.25</v>
      </c>
      <c r="H298" s="59">
        <f t="shared" si="538"/>
        <v>-29.267985046789168</v>
      </c>
      <c r="I298" s="59">
        <f t="shared" si="538"/>
        <v>-59.137642837307979</v>
      </c>
      <c r="J298" s="59">
        <f t="shared" si="539"/>
        <v>-60.201233043021652</v>
      </c>
      <c r="L298" s="53">
        <v>1500</v>
      </c>
      <c r="M298" s="53">
        <v>40500</v>
      </c>
      <c r="N298" s="53">
        <v>19685</v>
      </c>
      <c r="O298" s="53">
        <f t="shared" si="269"/>
        <v>61685</v>
      </c>
      <c r="P298" s="53">
        <f t="shared" si="520"/>
        <v>52128.75</v>
      </c>
      <c r="Q298" s="53">
        <f t="shared" si="521"/>
        <v>33930.666666666664</v>
      </c>
      <c r="R298" s="59">
        <f t="shared" si="540"/>
        <v>171.83588930019388</v>
      </c>
      <c r="S298" s="59">
        <f t="shared" si="540"/>
        <v>169.80358159515552</v>
      </c>
      <c r="T298" s="59">
        <f t="shared" si="541"/>
        <v>53.63314405847219</v>
      </c>
      <c r="V298" s="53">
        <v>118564</v>
      </c>
      <c r="W298" s="53">
        <v>6100</v>
      </c>
      <c r="X298" s="53">
        <v>8706</v>
      </c>
      <c r="Y298" s="53">
        <f t="shared" si="270"/>
        <v>133370</v>
      </c>
      <c r="Z298" s="53">
        <f t="shared" si="531"/>
        <v>56157.5</v>
      </c>
      <c r="AA298" s="53">
        <f t="shared" si="532"/>
        <v>104923.75</v>
      </c>
      <c r="AB298" s="59">
        <f t="shared" si="542"/>
        <v>37.927111772979231</v>
      </c>
      <c r="AC298" s="59">
        <f t="shared" si="542"/>
        <v>-51.565606254662754</v>
      </c>
      <c r="AD298" s="59">
        <f t="shared" si="543"/>
        <v>-46.477799354293005</v>
      </c>
      <c r="AF298" s="53">
        <v>1624</v>
      </c>
      <c r="AG298" s="53">
        <v>0</v>
      </c>
      <c r="AH298" s="53">
        <v>0</v>
      </c>
      <c r="AI298" s="53">
        <f t="shared" si="420"/>
        <v>1624</v>
      </c>
      <c r="AJ298" s="53">
        <f t="shared" si="533"/>
        <v>3331</v>
      </c>
      <c r="AK298" s="53">
        <f t="shared" si="534"/>
        <v>10591.833333333334</v>
      </c>
      <c r="AL298" s="59">
        <f t="shared" si="544"/>
        <v>-77.753424657534239</v>
      </c>
      <c r="AM298" s="59">
        <f t="shared" si="544"/>
        <v>-53.57491289198606</v>
      </c>
      <c r="AN298" s="59">
        <f t="shared" si="545"/>
        <v>-68.551242309326369</v>
      </c>
      <c r="AP298" s="53">
        <f t="shared" si="135"/>
        <v>612724</v>
      </c>
      <c r="AQ298" s="53">
        <f t="shared" si="135"/>
        <v>77100</v>
      </c>
      <c r="AR298" s="53">
        <f t="shared" si="161"/>
        <v>33991</v>
      </c>
      <c r="AS298" s="53">
        <f t="shared" si="421"/>
        <v>723815</v>
      </c>
      <c r="AT298" s="53">
        <f t="shared" si="535"/>
        <v>375755</v>
      </c>
      <c r="AU298" s="53">
        <f t="shared" si="536"/>
        <v>813129.5</v>
      </c>
      <c r="AV298" s="59">
        <f t="shared" si="546"/>
        <v>-16.988552043360482</v>
      </c>
      <c r="AW298" s="59">
        <f t="shared" si="527"/>
        <v>-52.366736388413514</v>
      </c>
      <c r="AX298" s="59">
        <f t="shared" si="547"/>
        <v>-53.789033604118409</v>
      </c>
      <c r="AZ298" s="53">
        <f t="shared" si="401"/>
        <v>527.13599999999997</v>
      </c>
      <c r="BA298" s="53">
        <f t="shared" si="402"/>
        <v>61.685000000000002</v>
      </c>
      <c r="BB298" s="53">
        <f t="shared" si="403"/>
        <v>133.37</v>
      </c>
      <c r="BC298" s="53">
        <f t="shared" si="404"/>
        <v>1.6240000000000001</v>
      </c>
      <c r="BD298" s="53">
        <f t="shared" si="528"/>
        <v>723.81500000000005</v>
      </c>
      <c r="BE298" s="60">
        <f t="shared" ref="BE298:BI299" si="548">AZ298+BE297</f>
        <v>9726.1390000000029</v>
      </c>
      <c r="BF298" s="60">
        <f t="shared" si="548"/>
        <v>572.06899999999996</v>
      </c>
      <c r="BG298" s="60">
        <f t="shared" si="548"/>
        <v>3595.1869999999999</v>
      </c>
      <c r="BH298" s="60">
        <f t="shared" si="548"/>
        <v>291.62299999999999</v>
      </c>
      <c r="BI298" s="60">
        <f t="shared" si="548"/>
        <v>14185.018</v>
      </c>
      <c r="BJ298" s="1">
        <f t="shared" si="413"/>
        <v>28</v>
      </c>
    </row>
    <row r="299" spans="1:62" x14ac:dyDescent="0.3">
      <c r="A299" s="48">
        <f t="shared" si="238"/>
        <v>39648</v>
      </c>
      <c r="B299" s="53">
        <v>446612</v>
      </c>
      <c r="C299" s="53">
        <v>28900</v>
      </c>
      <c r="D299" s="53">
        <v>0</v>
      </c>
      <c r="E299" s="53">
        <f t="shared" si="530"/>
        <v>475512</v>
      </c>
      <c r="F299" s="53">
        <f t="shared" ref="F299:F305" si="549">AVERAGE(E296,E297,E298,E299)</f>
        <v>324697.5</v>
      </c>
      <c r="G299" s="53">
        <f t="shared" ref="G299:G305" si="550">AVERAGE(F247,F195,F143)</f>
        <v>647440.91666666663</v>
      </c>
      <c r="H299" s="59">
        <f t="shared" si="538"/>
        <v>-17.462598742963664</v>
      </c>
      <c r="I299" s="59">
        <f t="shared" si="538"/>
        <v>-50.025549192199193</v>
      </c>
      <c r="J299" s="59">
        <f t="shared" si="539"/>
        <v>-49.849091763971764</v>
      </c>
      <c r="L299" s="53">
        <v>1600</v>
      </c>
      <c r="M299" s="53">
        <v>24016</v>
      </c>
      <c r="N299" s="53">
        <v>24200</v>
      </c>
      <c r="O299" s="53">
        <f t="shared" si="269"/>
        <v>49816</v>
      </c>
      <c r="P299" s="53">
        <f t="shared" si="520"/>
        <v>52307.75</v>
      </c>
      <c r="Q299" s="53">
        <f t="shared" si="521"/>
        <v>39137.083333333336</v>
      </c>
      <c r="R299" s="59">
        <f t="shared" si="540"/>
        <v>92.339768339768341</v>
      </c>
      <c r="S299" s="59">
        <f t="shared" si="540"/>
        <v>140.74721835483092</v>
      </c>
      <c r="T299" s="59">
        <f t="shared" si="541"/>
        <v>33.652652535425688</v>
      </c>
      <c r="V299" s="53">
        <v>136944</v>
      </c>
      <c r="W299" s="53">
        <v>9000</v>
      </c>
      <c r="X299" s="53">
        <v>11200</v>
      </c>
      <c r="Y299" s="53">
        <f t="shared" si="270"/>
        <v>157144</v>
      </c>
      <c r="Z299" s="53">
        <f t="shared" si="531"/>
        <v>88863.5</v>
      </c>
      <c r="AA299" s="53">
        <f t="shared" si="532"/>
        <v>108692.25</v>
      </c>
      <c r="AB299" s="59">
        <f t="shared" si="542"/>
        <v>48.282630029440618</v>
      </c>
      <c r="AC299" s="59">
        <f t="shared" si="542"/>
        <v>-25.630703953067002</v>
      </c>
      <c r="AD299" s="59">
        <f t="shared" si="543"/>
        <v>-18.243021006557502</v>
      </c>
      <c r="AF299" s="53">
        <v>0</v>
      </c>
      <c r="AG299" s="53">
        <v>0</v>
      </c>
      <c r="AH299" s="53">
        <v>1600</v>
      </c>
      <c r="AI299" s="53">
        <f t="shared" si="420"/>
        <v>1600</v>
      </c>
      <c r="AJ299" s="53">
        <f t="shared" si="533"/>
        <v>3381</v>
      </c>
      <c r="AK299" s="53">
        <f t="shared" si="534"/>
        <v>11936.416666666666</v>
      </c>
      <c r="AL299" s="59">
        <f t="shared" si="544"/>
        <v>-83.673469387755105</v>
      </c>
      <c r="AM299" s="59">
        <f t="shared" si="544"/>
        <v>-60.571428571428562</v>
      </c>
      <c r="AN299" s="59">
        <f t="shared" si="545"/>
        <v>-71.674916397299583</v>
      </c>
      <c r="AP299" s="53">
        <f t="shared" si="135"/>
        <v>585156</v>
      </c>
      <c r="AQ299" s="53">
        <f t="shared" si="135"/>
        <v>61916</v>
      </c>
      <c r="AR299" s="53">
        <f t="shared" si="161"/>
        <v>37000</v>
      </c>
      <c r="AS299" s="53">
        <f t="shared" si="421"/>
        <v>684072</v>
      </c>
      <c r="AT299" s="53">
        <f t="shared" si="535"/>
        <v>469249.75</v>
      </c>
      <c r="AU299" s="53">
        <f t="shared" si="536"/>
        <v>807206.66666666663</v>
      </c>
      <c r="AV299" s="59">
        <f t="shared" si="546"/>
        <v>-4.6978725064189764</v>
      </c>
      <c r="AW299" s="59">
        <f t="shared" si="527"/>
        <v>-41.308474629269163</v>
      </c>
      <c r="AX299" s="59">
        <f t="shared" si="547"/>
        <v>-41.867458560798141</v>
      </c>
      <c r="AZ299" s="53">
        <f t="shared" si="401"/>
        <v>475.512</v>
      </c>
      <c r="BA299" s="53">
        <f t="shared" si="402"/>
        <v>49.816000000000003</v>
      </c>
      <c r="BB299" s="53">
        <f t="shared" si="403"/>
        <v>157.14400000000001</v>
      </c>
      <c r="BC299" s="53">
        <f t="shared" si="404"/>
        <v>1.6</v>
      </c>
      <c r="BD299" s="53">
        <f t="shared" si="528"/>
        <v>684.072</v>
      </c>
      <c r="BE299" s="60">
        <f t="shared" si="548"/>
        <v>10201.651000000003</v>
      </c>
      <c r="BF299" s="60">
        <f t="shared" si="548"/>
        <v>621.88499999999999</v>
      </c>
      <c r="BG299" s="60">
        <f t="shared" si="548"/>
        <v>3752.3310000000001</v>
      </c>
      <c r="BH299" s="60">
        <f t="shared" si="548"/>
        <v>293.22300000000001</v>
      </c>
      <c r="BI299" s="60">
        <f t="shared" si="548"/>
        <v>14869.09</v>
      </c>
      <c r="BJ299" s="1">
        <f t="shared" si="413"/>
        <v>29</v>
      </c>
    </row>
    <row r="300" spans="1:62" x14ac:dyDescent="0.3">
      <c r="A300" s="48">
        <f t="shared" si="238"/>
        <v>39655</v>
      </c>
      <c r="B300" s="53">
        <v>594712</v>
      </c>
      <c r="C300" s="53">
        <v>15687</v>
      </c>
      <c r="D300" s="53">
        <v>1400</v>
      </c>
      <c r="E300" s="53">
        <f t="shared" si="530"/>
        <v>611799</v>
      </c>
      <c r="F300" s="53">
        <f t="shared" si="549"/>
        <v>449653</v>
      </c>
      <c r="G300" s="53">
        <f t="shared" si="550"/>
        <v>654638.58333333337</v>
      </c>
      <c r="H300" s="59">
        <f t="shared" ref="H300:I302" si="551">((E300/E248)-1)*100</f>
        <v>-13.492896168682055</v>
      </c>
      <c r="I300" s="59">
        <f t="shared" si="551"/>
        <v>-33.929164425871562</v>
      </c>
      <c r="J300" s="59">
        <f t="shared" si="539"/>
        <v>-31.312786711955443</v>
      </c>
      <c r="L300" s="53">
        <v>1450</v>
      </c>
      <c r="M300" s="53">
        <v>24100</v>
      </c>
      <c r="N300" s="53">
        <v>59468</v>
      </c>
      <c r="O300" s="53">
        <f t="shared" si="269"/>
        <v>85018</v>
      </c>
      <c r="P300" s="53">
        <f t="shared" si="520"/>
        <v>63762.25</v>
      </c>
      <c r="Q300" s="53">
        <f t="shared" si="521"/>
        <v>36973.583333333336</v>
      </c>
      <c r="R300" s="59">
        <f t="shared" ref="R300:S302" si="552">((O300/O248)-1)*100</f>
        <v>409.39484721390056</v>
      </c>
      <c r="S300" s="59">
        <f t="shared" si="552"/>
        <v>196.9760834633567</v>
      </c>
      <c r="T300" s="59">
        <f t="shared" si="541"/>
        <v>72.453531012006309</v>
      </c>
      <c r="V300" s="53">
        <v>114198</v>
      </c>
      <c r="W300" s="53">
        <v>14000</v>
      </c>
      <c r="X300" s="53">
        <v>9120</v>
      </c>
      <c r="Y300" s="53">
        <f t="shared" si="270"/>
        <v>137318</v>
      </c>
      <c r="Z300" s="53">
        <f t="shared" si="531"/>
        <v>117234.75</v>
      </c>
      <c r="AA300" s="53">
        <f t="shared" si="532"/>
        <v>104986</v>
      </c>
      <c r="AB300" s="59">
        <f t="shared" ref="AB300:AC302" si="553">((Y300/Y248)-1)*100</f>
        <v>117.26156572368835</v>
      </c>
      <c r="AC300" s="59">
        <f t="shared" si="553"/>
        <v>8.6971336383739217</v>
      </c>
      <c r="AD300" s="59">
        <f t="shared" si="543"/>
        <v>11.667031794715488</v>
      </c>
      <c r="AF300" s="53">
        <v>0</v>
      </c>
      <c r="AG300" s="53">
        <v>0</v>
      </c>
      <c r="AH300" s="53">
        <v>0</v>
      </c>
      <c r="AI300" s="53">
        <f t="shared" si="420"/>
        <v>0</v>
      </c>
      <c r="AJ300" s="53">
        <f t="shared" si="533"/>
        <v>1931</v>
      </c>
      <c r="AK300" s="53">
        <f t="shared" si="534"/>
        <v>12343</v>
      </c>
      <c r="AL300" s="59">
        <f t="shared" ref="AL300:AM302" si="554">((AI300/AI248)-1)*100</f>
        <v>-100</v>
      </c>
      <c r="AM300" s="59">
        <f t="shared" si="554"/>
        <v>-80.100989282769987</v>
      </c>
      <c r="AN300" s="59">
        <f t="shared" si="545"/>
        <v>-84.355505144616387</v>
      </c>
      <c r="AP300" s="53">
        <f t="shared" si="135"/>
        <v>710360</v>
      </c>
      <c r="AQ300" s="53">
        <f t="shared" si="135"/>
        <v>53787</v>
      </c>
      <c r="AR300" s="53">
        <f t="shared" si="161"/>
        <v>69988</v>
      </c>
      <c r="AS300" s="53">
        <f t="shared" si="421"/>
        <v>834135</v>
      </c>
      <c r="AT300" s="53">
        <f t="shared" si="535"/>
        <v>632581</v>
      </c>
      <c r="AU300" s="53">
        <f t="shared" si="536"/>
        <v>808941.16666666663</v>
      </c>
      <c r="AV300" s="59">
        <f t="shared" si="546"/>
        <v>4.9577594515900936</v>
      </c>
      <c r="AW300" s="59">
        <f t="shared" ref="AW300:AW305" si="555">((AT300/AT248)-1)*100</f>
        <v>-22.81747847401936</v>
      </c>
      <c r="AX300" s="59">
        <f t="shared" si="547"/>
        <v>-21.801358854486118</v>
      </c>
      <c r="AZ300" s="53">
        <f t="shared" si="401"/>
        <v>611.79899999999998</v>
      </c>
      <c r="BA300" s="53">
        <f t="shared" si="402"/>
        <v>85.018000000000001</v>
      </c>
      <c r="BB300" s="53">
        <f t="shared" si="403"/>
        <v>137.31800000000001</v>
      </c>
      <c r="BC300" s="53">
        <f>+AI300/1000</f>
        <v>0</v>
      </c>
      <c r="BD300" s="53">
        <f t="shared" ref="BD300:BD305" si="556">+AS300/1000</f>
        <v>834.13499999999999</v>
      </c>
      <c r="BE300" s="60">
        <f t="shared" ref="BE300:BI301" si="557">AZ300+BE299</f>
        <v>10813.450000000004</v>
      </c>
      <c r="BF300" s="60">
        <f t="shared" si="557"/>
        <v>706.90300000000002</v>
      </c>
      <c r="BG300" s="60">
        <f t="shared" si="557"/>
        <v>3889.6490000000003</v>
      </c>
      <c r="BH300" s="60">
        <f t="shared" si="557"/>
        <v>293.22300000000001</v>
      </c>
      <c r="BI300" s="60">
        <f t="shared" si="557"/>
        <v>15703.225</v>
      </c>
      <c r="BJ300" s="1">
        <f t="shared" si="413"/>
        <v>30</v>
      </c>
    </row>
    <row r="301" spans="1:62" x14ac:dyDescent="0.3">
      <c r="A301" s="48">
        <f t="shared" si="238"/>
        <v>39662</v>
      </c>
      <c r="B301" s="53">
        <v>510966</v>
      </c>
      <c r="C301" s="53">
        <v>1500</v>
      </c>
      <c r="D301" s="53">
        <v>0</v>
      </c>
      <c r="E301" s="53">
        <f t="shared" si="530"/>
        <v>512466</v>
      </c>
      <c r="F301" s="53">
        <f t="shared" si="549"/>
        <v>531728.25</v>
      </c>
      <c r="G301" s="53">
        <f t="shared" si="550"/>
        <v>657683.08333333337</v>
      </c>
      <c r="H301" s="59">
        <f t="shared" si="551"/>
        <v>-32.599617798037961</v>
      </c>
      <c r="I301" s="59">
        <f t="shared" si="551"/>
        <v>-23.73731144202257</v>
      </c>
      <c r="J301" s="59">
        <f t="shared" si="539"/>
        <v>-19.151295893906351</v>
      </c>
      <c r="L301" s="53">
        <v>8048</v>
      </c>
      <c r="M301" s="53">
        <v>3100</v>
      </c>
      <c r="N301" s="53">
        <v>41400</v>
      </c>
      <c r="O301" s="53">
        <f t="shared" si="269"/>
        <v>52548</v>
      </c>
      <c r="P301" s="53">
        <f t="shared" si="520"/>
        <v>62266.75</v>
      </c>
      <c r="Q301" s="53">
        <f t="shared" si="521"/>
        <v>35564.666666666664</v>
      </c>
      <c r="R301" s="59">
        <f t="shared" si="552"/>
        <v>8.0167735569807608</v>
      </c>
      <c r="S301" s="59">
        <f t="shared" si="552"/>
        <v>118.61406126568946</v>
      </c>
      <c r="T301" s="59">
        <f t="shared" si="541"/>
        <v>75.080370030179779</v>
      </c>
      <c r="V301" s="53">
        <v>144092</v>
      </c>
      <c r="W301" s="53">
        <v>3000</v>
      </c>
      <c r="X301" s="53">
        <v>1400</v>
      </c>
      <c r="Y301" s="53">
        <f t="shared" si="270"/>
        <v>148492</v>
      </c>
      <c r="Z301" s="53">
        <f t="shared" si="531"/>
        <v>144081</v>
      </c>
      <c r="AA301" s="53">
        <f t="shared" si="532"/>
        <v>100465.33333333333</v>
      </c>
      <c r="AB301" s="59">
        <f t="shared" si="553"/>
        <v>76.45688753683811</v>
      </c>
      <c r="AC301" s="59">
        <f t="shared" si="553"/>
        <v>64.650827933765314</v>
      </c>
      <c r="AD301" s="59">
        <f t="shared" si="543"/>
        <v>43.41364848903104</v>
      </c>
      <c r="AF301" s="53">
        <v>1500</v>
      </c>
      <c r="AG301" s="53">
        <v>0</v>
      </c>
      <c r="AH301" s="53">
        <v>9200</v>
      </c>
      <c r="AI301" s="53">
        <f t="shared" si="420"/>
        <v>10700</v>
      </c>
      <c r="AJ301" s="53">
        <f t="shared" si="533"/>
        <v>3481</v>
      </c>
      <c r="AK301" s="53">
        <f t="shared" si="534"/>
        <v>11218.583333333334</v>
      </c>
      <c r="AL301" s="59">
        <f t="shared" si="554"/>
        <v>282.14285714285717</v>
      </c>
      <c r="AM301" s="59">
        <f t="shared" si="554"/>
        <v>-49.396714638755633</v>
      </c>
      <c r="AN301" s="59">
        <f t="shared" si="545"/>
        <v>-68.971126776256654</v>
      </c>
      <c r="AP301" s="53">
        <f t="shared" si="135"/>
        <v>664606</v>
      </c>
      <c r="AQ301" s="53">
        <f t="shared" si="135"/>
        <v>7600</v>
      </c>
      <c r="AR301" s="53">
        <f t="shared" si="161"/>
        <v>52000</v>
      </c>
      <c r="AS301" s="53">
        <f t="shared" si="421"/>
        <v>724206</v>
      </c>
      <c r="AT301" s="53">
        <f t="shared" si="535"/>
        <v>741557</v>
      </c>
      <c r="AU301" s="53">
        <f t="shared" si="536"/>
        <v>804931.66666666663</v>
      </c>
      <c r="AV301" s="59">
        <f t="shared" si="546"/>
        <v>-19.167212653653021</v>
      </c>
      <c r="AW301" s="59">
        <f t="shared" si="555"/>
        <v>-9.5773569353043158</v>
      </c>
      <c r="AX301" s="59">
        <f t="shared" si="547"/>
        <v>-7.873297733347961</v>
      </c>
      <c r="AZ301" s="53">
        <f t="shared" si="401"/>
        <v>512.46600000000001</v>
      </c>
      <c r="BA301" s="53">
        <f t="shared" si="402"/>
        <v>52.548000000000002</v>
      </c>
      <c r="BB301" s="53">
        <f t="shared" si="403"/>
        <v>148.49199999999999</v>
      </c>
      <c r="BC301" s="53">
        <f t="shared" si="404"/>
        <v>10.7</v>
      </c>
      <c r="BD301" s="53">
        <f t="shared" si="556"/>
        <v>724.20600000000002</v>
      </c>
      <c r="BE301" s="60">
        <f t="shared" si="557"/>
        <v>11325.916000000005</v>
      </c>
      <c r="BF301" s="60">
        <f t="shared" si="557"/>
        <v>759.45100000000002</v>
      </c>
      <c r="BG301" s="60">
        <f t="shared" si="557"/>
        <v>4038.1410000000005</v>
      </c>
      <c r="BH301" s="60">
        <f t="shared" si="557"/>
        <v>303.923</v>
      </c>
      <c r="BI301" s="60">
        <f t="shared" si="557"/>
        <v>16427.431</v>
      </c>
      <c r="BJ301" s="1">
        <f t="shared" si="413"/>
        <v>31</v>
      </c>
    </row>
    <row r="302" spans="1:62" x14ac:dyDescent="0.3">
      <c r="A302" s="48">
        <f t="shared" si="238"/>
        <v>39669</v>
      </c>
      <c r="B302" s="53">
        <v>404208</v>
      </c>
      <c r="C302" s="53">
        <v>25600</v>
      </c>
      <c r="D302" s="53">
        <v>2800</v>
      </c>
      <c r="E302" s="53">
        <f t="shared" si="530"/>
        <v>432608</v>
      </c>
      <c r="F302" s="53">
        <f t="shared" si="549"/>
        <v>508096.25</v>
      </c>
      <c r="G302" s="53">
        <f t="shared" si="550"/>
        <v>626137.33333333337</v>
      </c>
      <c r="H302" s="59">
        <f t="shared" si="551"/>
        <v>-15.750442078039429</v>
      </c>
      <c r="I302" s="59">
        <f t="shared" si="551"/>
        <v>-20.521665475238894</v>
      </c>
      <c r="J302" s="59">
        <f t="shared" si="539"/>
        <v>-18.852267234238283</v>
      </c>
      <c r="L302" s="53">
        <v>6383</v>
      </c>
      <c r="M302" s="53">
        <v>30600</v>
      </c>
      <c r="N302" s="53">
        <v>52664</v>
      </c>
      <c r="O302" s="53">
        <f t="shared" si="269"/>
        <v>89647</v>
      </c>
      <c r="P302" s="53">
        <f t="shared" ref="P302:P308" si="558">AVERAGE(O299,O300,O301,O302)</f>
        <v>69257.25</v>
      </c>
      <c r="Q302" s="53">
        <f t="shared" ref="Q302:Q308" si="559">AVERAGE(P250,P198,P146)</f>
        <v>43878.916666666664</v>
      </c>
      <c r="R302" s="59">
        <f t="shared" si="552"/>
        <v>-15.11665341059728</v>
      </c>
      <c r="S302" s="59">
        <f t="shared" si="552"/>
        <v>40.731013462026922</v>
      </c>
      <c r="T302" s="59">
        <f t="shared" si="541"/>
        <v>57.837192121501026</v>
      </c>
      <c r="V302" s="53">
        <v>86123</v>
      </c>
      <c r="W302" s="53">
        <v>18500</v>
      </c>
      <c r="X302" s="53">
        <v>4440</v>
      </c>
      <c r="Y302" s="53">
        <f t="shared" si="270"/>
        <v>109063</v>
      </c>
      <c r="Z302" s="53">
        <f t="shared" ref="Z302:Z308" si="560">AVERAGE(Y299,Y300,Y301,Y302)</f>
        <v>138004.25</v>
      </c>
      <c r="AA302" s="53">
        <f t="shared" ref="AA302:AA308" si="561">AVERAGE(Z250,Z198,Z146)</f>
        <v>97413.25</v>
      </c>
      <c r="AB302" s="59">
        <f t="shared" si="553"/>
        <v>55.695299004982225</v>
      </c>
      <c r="AC302" s="59">
        <f t="shared" si="553"/>
        <v>70.701741908151689</v>
      </c>
      <c r="AD302" s="59">
        <f t="shared" si="543"/>
        <v>41.668869481307723</v>
      </c>
      <c r="AF302" s="53">
        <v>1535</v>
      </c>
      <c r="AG302" s="53">
        <v>0</v>
      </c>
      <c r="AH302" s="53">
        <v>4800</v>
      </c>
      <c r="AI302" s="53">
        <f t="shared" si="420"/>
        <v>6335</v>
      </c>
      <c r="AJ302" s="53">
        <f t="shared" ref="AJ302:AJ308" si="562">AVERAGE(AI299,AI300,AI301,AI302)</f>
        <v>4658.75</v>
      </c>
      <c r="AK302" s="53">
        <f t="shared" ref="AK302:AK308" si="563">AVERAGE(AJ250,AJ198,AJ146)</f>
        <v>13559.333333333334</v>
      </c>
      <c r="AL302" s="59">
        <f t="shared" si="554"/>
        <v>-75.73261827236162</v>
      </c>
      <c r="AM302" s="59">
        <f t="shared" si="554"/>
        <v>-59.769866799076013</v>
      </c>
      <c r="AN302" s="59">
        <f t="shared" si="545"/>
        <v>-65.641747381877181</v>
      </c>
      <c r="AP302" s="53">
        <f t="shared" si="135"/>
        <v>498249</v>
      </c>
      <c r="AQ302" s="53">
        <f t="shared" si="135"/>
        <v>74700</v>
      </c>
      <c r="AR302" s="53">
        <f t="shared" si="161"/>
        <v>64704</v>
      </c>
      <c r="AS302" s="53">
        <f t="shared" si="421"/>
        <v>637653</v>
      </c>
      <c r="AT302" s="53">
        <f t="shared" ref="AT302:AT308" si="564">AVERAGE(AS299,AS300,AS301,AS302)</f>
        <v>720016.5</v>
      </c>
      <c r="AU302" s="53">
        <f t="shared" ref="AU302:AU308" si="565">AVERAGE(AT250,AT198,AT146)</f>
        <v>780988.83333333337</v>
      </c>
      <c r="AV302" s="59">
        <f t="shared" si="546"/>
        <v>-10.848933939182103</v>
      </c>
      <c r="AW302" s="59">
        <f t="shared" si="555"/>
        <v>-7.7997687363863699</v>
      </c>
      <c r="AX302" s="59">
        <f t="shared" si="547"/>
        <v>-7.8070685176249928</v>
      </c>
      <c r="AZ302" s="53">
        <f t="shared" si="401"/>
        <v>432.608</v>
      </c>
      <c r="BA302" s="53">
        <f t="shared" si="402"/>
        <v>89.647000000000006</v>
      </c>
      <c r="BB302" s="53">
        <f t="shared" si="403"/>
        <v>109.063</v>
      </c>
      <c r="BC302" s="53">
        <f t="shared" si="404"/>
        <v>6.335</v>
      </c>
      <c r="BD302" s="53">
        <f t="shared" si="556"/>
        <v>637.65300000000002</v>
      </c>
      <c r="BE302" s="60">
        <f t="shared" ref="BE302:BI303" si="566">AZ302+BE301</f>
        <v>11758.524000000005</v>
      </c>
      <c r="BF302" s="60">
        <f t="shared" si="566"/>
        <v>849.09800000000007</v>
      </c>
      <c r="BG302" s="60">
        <f t="shared" si="566"/>
        <v>4147.2040000000006</v>
      </c>
      <c r="BH302" s="60">
        <f t="shared" si="566"/>
        <v>310.25799999999998</v>
      </c>
      <c r="BI302" s="60">
        <f t="shared" si="566"/>
        <v>17065.083999999999</v>
      </c>
      <c r="BJ302" s="1">
        <f t="shared" si="413"/>
        <v>32</v>
      </c>
    </row>
    <row r="303" spans="1:62" x14ac:dyDescent="0.3">
      <c r="A303" s="48">
        <f t="shared" si="238"/>
        <v>39676</v>
      </c>
      <c r="B303" s="53">
        <v>397605</v>
      </c>
      <c r="C303" s="53">
        <v>35100</v>
      </c>
      <c r="D303" s="53">
        <v>0</v>
      </c>
      <c r="E303" s="53">
        <f t="shared" si="530"/>
        <v>432705</v>
      </c>
      <c r="F303" s="53">
        <f t="shared" si="549"/>
        <v>497394.5</v>
      </c>
      <c r="G303" s="53">
        <f t="shared" si="550"/>
        <v>615298.33333333337</v>
      </c>
      <c r="H303" s="59">
        <f t="shared" ref="H303:I305" si="567">((E303/E251)-1)*100</f>
        <v>0.82814673623037294</v>
      </c>
      <c r="I303" s="59">
        <f t="shared" si="567"/>
        <v>-17.451404246138267</v>
      </c>
      <c r="J303" s="59">
        <f t="shared" ref="J303:J308" si="568">((F303/G303)-1)*100</f>
        <v>-19.162059597106019</v>
      </c>
      <c r="L303" s="53">
        <v>3100</v>
      </c>
      <c r="M303" s="53">
        <v>12100</v>
      </c>
      <c r="N303" s="53">
        <v>21000</v>
      </c>
      <c r="O303" s="53">
        <f t="shared" si="269"/>
        <v>36200</v>
      </c>
      <c r="P303" s="53">
        <f t="shared" si="558"/>
        <v>65853.25</v>
      </c>
      <c r="Q303" s="53">
        <f t="shared" si="559"/>
        <v>50204.916666666664</v>
      </c>
      <c r="R303" s="59">
        <f t="shared" ref="R303:S305" si="569">((O303/O251)-1)*100</f>
        <v>-64.656030930854698</v>
      </c>
      <c r="S303" s="59">
        <f t="shared" si="569"/>
        <v>-3.6430212311429067</v>
      </c>
      <c r="T303" s="59">
        <f t="shared" ref="T303:T308" si="570">((P303/Q303)-1)*100</f>
        <v>31.168926018202072</v>
      </c>
      <c r="V303" s="53">
        <v>73696</v>
      </c>
      <c r="W303" s="53">
        <v>0</v>
      </c>
      <c r="X303" s="53">
        <v>2800</v>
      </c>
      <c r="Y303" s="53">
        <f t="shared" si="270"/>
        <v>76496</v>
      </c>
      <c r="Z303" s="53">
        <f t="shared" si="560"/>
        <v>117842.25</v>
      </c>
      <c r="AA303" s="53">
        <f t="shared" si="561"/>
        <v>100757</v>
      </c>
      <c r="AB303" s="59">
        <f t="shared" ref="AB303:AC305" si="571">((Y303/Y251)-1)*100</f>
        <v>-42.156284500098309</v>
      </c>
      <c r="AC303" s="59">
        <f t="shared" si="571"/>
        <v>34.811283251013151</v>
      </c>
      <c r="AD303" s="59">
        <f t="shared" ref="AD303:AD308" si="572">((Z303/AA303)-1)*100</f>
        <v>16.956886370177759</v>
      </c>
      <c r="AF303" s="53">
        <v>7900</v>
      </c>
      <c r="AG303" s="53">
        <v>0</v>
      </c>
      <c r="AH303" s="53">
        <v>0</v>
      </c>
      <c r="AI303" s="53">
        <f t="shared" si="420"/>
        <v>7900</v>
      </c>
      <c r="AJ303" s="53">
        <f t="shared" si="562"/>
        <v>6233.75</v>
      </c>
      <c r="AK303" s="53">
        <f t="shared" si="563"/>
        <v>12405.75</v>
      </c>
      <c r="AL303" s="59">
        <f t="shared" ref="AL303:AM305" si="573">((AI303/AI251)-1)*100</f>
        <v>26.037013401403964</v>
      </c>
      <c r="AM303" s="59">
        <f t="shared" si="573"/>
        <v>-41.72567716001776</v>
      </c>
      <c r="AN303" s="59">
        <f t="shared" ref="AN303:AN308" si="574">((AJ303/AK303)-1)*100</f>
        <v>-49.751123470971123</v>
      </c>
      <c r="AP303" s="53">
        <f t="shared" si="135"/>
        <v>482301</v>
      </c>
      <c r="AQ303" s="53">
        <f t="shared" si="135"/>
        <v>47200</v>
      </c>
      <c r="AR303" s="53">
        <f t="shared" si="161"/>
        <v>23800</v>
      </c>
      <c r="AS303" s="53">
        <f t="shared" si="421"/>
        <v>553301</v>
      </c>
      <c r="AT303" s="53">
        <f t="shared" si="564"/>
        <v>687323.75</v>
      </c>
      <c r="AU303" s="53">
        <f t="shared" si="565"/>
        <v>778666</v>
      </c>
      <c r="AV303" s="59">
        <f t="shared" ref="AV303:AV308" si="575">((AS303/AS251)-1)*100</f>
        <v>-17.428483167111143</v>
      </c>
      <c r="AW303" s="59">
        <f t="shared" si="555"/>
        <v>-10.621156943330989</v>
      </c>
      <c r="AX303" s="59">
        <f t="shared" ref="AX303:AX308" si="576">((AT303/AU303)-1)*100</f>
        <v>-11.730607217985634</v>
      </c>
      <c r="AZ303" s="53">
        <f t="shared" si="401"/>
        <v>432.70499999999998</v>
      </c>
      <c r="BA303" s="53">
        <f t="shared" si="402"/>
        <v>36.200000000000003</v>
      </c>
      <c r="BB303" s="53">
        <f t="shared" si="403"/>
        <v>76.495999999999995</v>
      </c>
      <c r="BC303" s="53">
        <f t="shared" si="404"/>
        <v>7.9</v>
      </c>
      <c r="BD303" s="53">
        <f t="shared" si="556"/>
        <v>553.30100000000004</v>
      </c>
      <c r="BE303" s="60">
        <f t="shared" si="566"/>
        <v>12191.229000000005</v>
      </c>
      <c r="BF303" s="60">
        <f t="shared" si="566"/>
        <v>885.29800000000012</v>
      </c>
      <c r="BG303" s="60">
        <f t="shared" si="566"/>
        <v>4223.7000000000007</v>
      </c>
      <c r="BH303" s="60">
        <f t="shared" si="566"/>
        <v>318.15799999999996</v>
      </c>
      <c r="BI303" s="60">
        <f t="shared" si="566"/>
        <v>17618.384999999998</v>
      </c>
      <c r="BJ303" s="1">
        <f t="shared" si="413"/>
        <v>33</v>
      </c>
    </row>
    <row r="304" spans="1:62" x14ac:dyDescent="0.3">
      <c r="A304" s="48">
        <f t="shared" si="238"/>
        <v>39683</v>
      </c>
      <c r="B304" s="53">
        <v>431975</v>
      </c>
      <c r="C304" s="53">
        <v>22919</v>
      </c>
      <c r="D304" s="53">
        <v>1400</v>
      </c>
      <c r="E304" s="53">
        <f t="shared" si="530"/>
        <v>456294</v>
      </c>
      <c r="F304" s="53">
        <f t="shared" si="549"/>
        <v>458518.25</v>
      </c>
      <c r="G304" s="53">
        <f t="shared" si="550"/>
        <v>546155.25</v>
      </c>
      <c r="H304" s="59">
        <f t="shared" si="567"/>
        <v>26.55568745354293</v>
      </c>
      <c r="I304" s="59">
        <f t="shared" si="567"/>
        <v>-11.118945643208622</v>
      </c>
      <c r="J304" s="59">
        <f t="shared" si="568"/>
        <v>-16.046170022168603</v>
      </c>
      <c r="L304" s="53">
        <v>15324</v>
      </c>
      <c r="M304" s="53">
        <v>19444</v>
      </c>
      <c r="N304" s="53">
        <v>30800</v>
      </c>
      <c r="O304" s="53">
        <f t="shared" si="269"/>
        <v>65568</v>
      </c>
      <c r="P304" s="53">
        <f t="shared" si="558"/>
        <v>60990.75</v>
      </c>
      <c r="Q304" s="53">
        <f t="shared" si="559"/>
        <v>52929</v>
      </c>
      <c r="R304" s="59">
        <f t="shared" si="569"/>
        <v>-3.6303242305770311</v>
      </c>
      <c r="S304" s="59">
        <f t="shared" si="569"/>
        <v>-24.869733924611971</v>
      </c>
      <c r="T304" s="59">
        <f t="shared" si="570"/>
        <v>15.231253188233286</v>
      </c>
      <c r="V304" s="53">
        <v>111547</v>
      </c>
      <c r="W304" s="53">
        <v>3000</v>
      </c>
      <c r="X304" s="53">
        <v>0</v>
      </c>
      <c r="Y304" s="53">
        <f t="shared" si="270"/>
        <v>114547</v>
      </c>
      <c r="Z304" s="53">
        <f t="shared" si="560"/>
        <v>112149.5</v>
      </c>
      <c r="AA304" s="53">
        <f t="shared" si="561"/>
        <v>99384.833333333328</v>
      </c>
      <c r="AB304" s="59">
        <f t="shared" si="571"/>
        <v>19.201831520890789</v>
      </c>
      <c r="AC304" s="59">
        <f t="shared" si="571"/>
        <v>17.267646428366046</v>
      </c>
      <c r="AD304" s="59">
        <f t="shared" si="572"/>
        <v>12.84367668440356</v>
      </c>
      <c r="AF304" s="53">
        <v>0</v>
      </c>
      <c r="AG304" s="53">
        <v>0</v>
      </c>
      <c r="AH304" s="53">
        <v>1400</v>
      </c>
      <c r="AI304" s="53">
        <f t="shared" ref="AI304:AI363" si="577">SUM(AF304:AH304)</f>
        <v>1400</v>
      </c>
      <c r="AJ304" s="53">
        <f t="shared" si="562"/>
        <v>6583.75</v>
      </c>
      <c r="AK304" s="53">
        <f t="shared" si="563"/>
        <v>12504.583333333334</v>
      </c>
      <c r="AL304" s="59">
        <f t="shared" si="573"/>
        <v>-89.473684210526315</v>
      </c>
      <c r="AM304" s="59">
        <f t="shared" si="573"/>
        <v>-45.670785798279454</v>
      </c>
      <c r="AN304" s="59">
        <f t="shared" si="574"/>
        <v>-47.349305254739924</v>
      </c>
      <c r="AP304" s="53">
        <f t="shared" si="135"/>
        <v>558846</v>
      </c>
      <c r="AQ304" s="53">
        <f t="shared" si="135"/>
        <v>45363</v>
      </c>
      <c r="AR304" s="53">
        <f t="shared" ref="AR304:AS321" si="578">SUM(D304,N304,X304,AH304)</f>
        <v>33600</v>
      </c>
      <c r="AS304" s="53">
        <f t="shared" si="578"/>
        <v>637809</v>
      </c>
      <c r="AT304" s="53">
        <f t="shared" si="564"/>
        <v>638242.25</v>
      </c>
      <c r="AU304" s="53">
        <f t="shared" si="565"/>
        <v>710973.66666666663</v>
      </c>
      <c r="AV304" s="59">
        <f t="shared" si="575"/>
        <v>18.556045659605068</v>
      </c>
      <c r="AW304" s="59">
        <f t="shared" si="555"/>
        <v>-9.4450685271148416</v>
      </c>
      <c r="AX304" s="59">
        <f t="shared" si="576"/>
        <v>-10.229832703602238</v>
      </c>
      <c r="AZ304" s="53">
        <f t="shared" si="401"/>
        <v>456.29399999999998</v>
      </c>
      <c r="BA304" s="53">
        <f t="shared" si="402"/>
        <v>65.567999999999998</v>
      </c>
      <c r="BB304" s="53">
        <f t="shared" si="403"/>
        <v>114.547</v>
      </c>
      <c r="BC304" s="53">
        <f>+AI304/1000</f>
        <v>1.4</v>
      </c>
      <c r="BD304" s="53">
        <f t="shared" si="556"/>
        <v>637.80899999999997</v>
      </c>
      <c r="BE304" s="60">
        <f t="shared" ref="BE304:BI305" si="579">AZ304+BE303</f>
        <v>12647.523000000005</v>
      </c>
      <c r="BF304" s="60">
        <f t="shared" si="579"/>
        <v>950.8660000000001</v>
      </c>
      <c r="BG304" s="60">
        <f t="shared" si="579"/>
        <v>4338.2470000000003</v>
      </c>
      <c r="BH304" s="60">
        <f t="shared" si="579"/>
        <v>319.55799999999994</v>
      </c>
      <c r="BI304" s="60">
        <f t="shared" si="579"/>
        <v>18256.194</v>
      </c>
      <c r="BJ304" s="1">
        <f t="shared" si="413"/>
        <v>34</v>
      </c>
    </row>
    <row r="305" spans="1:62" x14ac:dyDescent="0.3">
      <c r="A305" s="48">
        <f t="shared" si="238"/>
        <v>39690</v>
      </c>
      <c r="B305" s="53">
        <v>258046</v>
      </c>
      <c r="C305" s="53">
        <v>30200</v>
      </c>
      <c r="D305" s="53">
        <v>0</v>
      </c>
      <c r="E305" s="53">
        <f t="shared" si="530"/>
        <v>288246</v>
      </c>
      <c r="F305" s="53">
        <f t="shared" si="549"/>
        <v>402463.25</v>
      </c>
      <c r="G305" s="53">
        <f t="shared" si="550"/>
        <v>480925.58333333331</v>
      </c>
      <c r="H305" s="59">
        <f t="shared" si="567"/>
        <v>18.65197955000124</v>
      </c>
      <c r="I305" s="59">
        <f t="shared" si="567"/>
        <v>4.12232709426259</v>
      </c>
      <c r="J305" s="59">
        <f t="shared" si="568"/>
        <v>-16.314859523484838</v>
      </c>
      <c r="L305" s="53">
        <v>16800</v>
      </c>
      <c r="M305" s="53">
        <v>7900</v>
      </c>
      <c r="N305" s="53">
        <v>50000</v>
      </c>
      <c r="O305" s="53">
        <f t="shared" si="269"/>
        <v>74700</v>
      </c>
      <c r="P305" s="53">
        <f t="shared" si="558"/>
        <v>66528.75</v>
      </c>
      <c r="Q305" s="53">
        <f t="shared" si="559"/>
        <v>60403.25</v>
      </c>
      <c r="R305" s="59">
        <f t="shared" si="569"/>
        <v>-21.14763442903287</v>
      </c>
      <c r="S305" s="59">
        <f t="shared" si="569"/>
        <v>-28.233361919710031</v>
      </c>
      <c r="T305" s="59">
        <f t="shared" si="570"/>
        <v>10.141010624428315</v>
      </c>
      <c r="V305" s="53">
        <v>29577</v>
      </c>
      <c r="W305" s="53">
        <v>1500</v>
      </c>
      <c r="X305" s="53">
        <v>7000</v>
      </c>
      <c r="Y305" s="53">
        <f t="shared" si="270"/>
        <v>38077</v>
      </c>
      <c r="Z305" s="53">
        <f t="shared" si="560"/>
        <v>84545.75</v>
      </c>
      <c r="AA305" s="53">
        <f t="shared" si="561"/>
        <v>97361.083333333328</v>
      </c>
      <c r="AB305" s="59">
        <f t="shared" si="571"/>
        <v>-55.387229056824836</v>
      </c>
      <c r="AC305" s="59">
        <f t="shared" si="571"/>
        <v>-11.871840308542247</v>
      </c>
      <c r="AD305" s="59">
        <f t="shared" si="572"/>
        <v>-13.162685638426709</v>
      </c>
      <c r="AF305" s="53">
        <v>19200</v>
      </c>
      <c r="AG305" s="53">
        <v>9000</v>
      </c>
      <c r="AH305" s="53">
        <v>4800</v>
      </c>
      <c r="AI305" s="53">
        <f t="shared" si="577"/>
        <v>33000</v>
      </c>
      <c r="AJ305" s="53">
        <f t="shared" si="562"/>
        <v>12158.75</v>
      </c>
      <c r="AK305" s="53">
        <f t="shared" si="563"/>
        <v>12484</v>
      </c>
      <c r="AL305" s="59">
        <f t="shared" si="573"/>
        <v>122.97297297297298</v>
      </c>
      <c r="AM305" s="59">
        <f t="shared" si="573"/>
        <v>-19.575678401931441</v>
      </c>
      <c r="AN305" s="59">
        <f t="shared" si="574"/>
        <v>-2.6053348285805855</v>
      </c>
      <c r="AP305" s="53">
        <f t="shared" si="135"/>
        <v>323623</v>
      </c>
      <c r="AQ305" s="53">
        <f t="shared" si="135"/>
        <v>48600</v>
      </c>
      <c r="AR305" s="53">
        <f t="shared" si="578"/>
        <v>61800</v>
      </c>
      <c r="AS305" s="53">
        <f t="shared" si="578"/>
        <v>434023</v>
      </c>
      <c r="AT305" s="53">
        <f t="shared" si="564"/>
        <v>565696.5</v>
      </c>
      <c r="AU305" s="53">
        <f t="shared" si="565"/>
        <v>651173.91666666663</v>
      </c>
      <c r="AV305" s="59">
        <f t="shared" si="575"/>
        <v>-0.86679853272364493</v>
      </c>
      <c r="AW305" s="59">
        <f t="shared" si="555"/>
        <v>-4.1653678568282393</v>
      </c>
      <c r="AX305" s="59">
        <f t="shared" si="576"/>
        <v>-13.126664701839118</v>
      </c>
      <c r="AZ305" s="53">
        <f t="shared" si="401"/>
        <v>288.24599999999998</v>
      </c>
      <c r="BA305" s="53">
        <f t="shared" si="402"/>
        <v>74.7</v>
      </c>
      <c r="BB305" s="53">
        <f t="shared" si="403"/>
        <v>38.076999999999998</v>
      </c>
      <c r="BC305" s="53">
        <f>+AI305/1000</f>
        <v>33</v>
      </c>
      <c r="BD305" s="53">
        <f t="shared" si="556"/>
        <v>434.02300000000002</v>
      </c>
      <c r="BE305" s="60">
        <f t="shared" si="579"/>
        <v>12935.769000000004</v>
      </c>
      <c r="BF305" s="60">
        <f t="shared" si="579"/>
        <v>1025.566</v>
      </c>
      <c r="BG305" s="60">
        <f t="shared" si="579"/>
        <v>4376.3240000000005</v>
      </c>
      <c r="BH305" s="60">
        <f t="shared" si="579"/>
        <v>352.55799999999994</v>
      </c>
      <c r="BI305" s="60">
        <f t="shared" si="579"/>
        <v>18690.217000000001</v>
      </c>
      <c r="BJ305" s="1">
        <f t="shared" si="413"/>
        <v>35</v>
      </c>
    </row>
    <row r="306" spans="1:62" x14ac:dyDescent="0.3">
      <c r="A306" s="48">
        <f t="shared" si="238"/>
        <v>39697</v>
      </c>
      <c r="B306" s="53">
        <v>434313</v>
      </c>
      <c r="C306" s="53">
        <v>26600</v>
      </c>
      <c r="D306" s="53">
        <v>0</v>
      </c>
      <c r="E306" s="53">
        <f t="shared" si="530"/>
        <v>460913</v>
      </c>
      <c r="F306" s="53">
        <f t="shared" ref="F306:F312" si="580">AVERAGE(E303,E304,E305,E306)</f>
        <v>409539.5</v>
      </c>
      <c r="G306" s="53">
        <f t="shared" ref="G306:G312" si="581">AVERAGE(F254,F202,F150)</f>
        <v>419749.75</v>
      </c>
      <c r="H306" s="59">
        <f t="shared" ref="H306:I308" si="582">((E306/E254)-1)*100</f>
        <v>82.336884496856968</v>
      </c>
      <c r="I306" s="59">
        <f t="shared" si="582"/>
        <v>27.442053688539247</v>
      </c>
      <c r="J306" s="59">
        <f t="shared" si="568"/>
        <v>-2.4324612462544692</v>
      </c>
      <c r="L306" s="53">
        <v>38708</v>
      </c>
      <c r="M306" s="53">
        <v>19400</v>
      </c>
      <c r="N306" s="53">
        <v>8400</v>
      </c>
      <c r="O306" s="53">
        <f t="shared" si="269"/>
        <v>66508</v>
      </c>
      <c r="P306" s="53">
        <f t="shared" si="558"/>
        <v>60744</v>
      </c>
      <c r="Q306" s="53">
        <f t="shared" si="559"/>
        <v>55336.916666666664</v>
      </c>
      <c r="R306" s="59">
        <f t="shared" ref="R306:S308" si="583">((O306/O254)-1)*100</f>
        <v>15.395159191463526</v>
      </c>
      <c r="S306" s="59">
        <f t="shared" si="583"/>
        <v>-24.735386226144495</v>
      </c>
      <c r="T306" s="59">
        <f t="shared" si="570"/>
        <v>9.7712045756073174</v>
      </c>
      <c r="V306" s="53">
        <v>71672</v>
      </c>
      <c r="W306" s="53">
        <v>6000</v>
      </c>
      <c r="X306" s="53">
        <v>1400</v>
      </c>
      <c r="Y306" s="53">
        <f t="shared" si="270"/>
        <v>79072</v>
      </c>
      <c r="Z306" s="53">
        <f t="shared" si="560"/>
        <v>77048</v>
      </c>
      <c r="AA306" s="53">
        <f t="shared" si="561"/>
        <v>93798.333333333328</v>
      </c>
      <c r="AB306" s="59">
        <f t="shared" ref="AB306:AC308" si="584">((Y306/Y254)-1)*100</f>
        <v>26.021196908120171</v>
      </c>
      <c r="AC306" s="59">
        <f t="shared" si="584"/>
        <v>-18.128978099862923</v>
      </c>
      <c r="AD306" s="59">
        <f t="shared" si="572"/>
        <v>-17.857815526217593</v>
      </c>
      <c r="AF306" s="53">
        <v>0</v>
      </c>
      <c r="AG306" s="53">
        <v>0</v>
      </c>
      <c r="AH306" s="53">
        <v>2800</v>
      </c>
      <c r="AI306" s="53">
        <f t="shared" si="577"/>
        <v>2800</v>
      </c>
      <c r="AJ306" s="53">
        <f t="shared" si="562"/>
        <v>11275</v>
      </c>
      <c r="AK306" s="53">
        <f t="shared" si="563"/>
        <v>10359.916666666666</v>
      </c>
      <c r="AL306" s="59">
        <f t="shared" ref="AL306:AM308" si="585">((AI306/AI254)-1)*100</f>
        <v>-67.532467532467535</v>
      </c>
      <c r="AM306" s="59">
        <f t="shared" si="585"/>
        <v>4.9032378116858899</v>
      </c>
      <c r="AN306" s="59">
        <f t="shared" si="574"/>
        <v>8.8329217577361554</v>
      </c>
      <c r="AP306" s="53">
        <f t="shared" si="135"/>
        <v>544693</v>
      </c>
      <c r="AQ306" s="53">
        <f t="shared" si="135"/>
        <v>52000</v>
      </c>
      <c r="AR306" s="53">
        <f t="shared" si="578"/>
        <v>12600</v>
      </c>
      <c r="AS306" s="53">
        <f t="shared" si="578"/>
        <v>609293</v>
      </c>
      <c r="AT306" s="53">
        <f t="shared" si="564"/>
        <v>558606.5</v>
      </c>
      <c r="AU306" s="53">
        <f t="shared" si="565"/>
        <v>579244.91666666663</v>
      </c>
      <c r="AV306" s="59">
        <f t="shared" si="575"/>
        <v>59.590607278965905</v>
      </c>
      <c r="AW306" s="59">
        <f t="shared" ref="AW306:AW311" si="586">((AT306/AT254)-1)*100</f>
        <v>10.196673918007404</v>
      </c>
      <c r="AX306" s="59">
        <f t="shared" si="576"/>
        <v>-3.5629862382621891</v>
      </c>
      <c r="AZ306" s="53">
        <f t="shared" si="401"/>
        <v>460.91300000000001</v>
      </c>
      <c r="BA306" s="53">
        <f t="shared" si="402"/>
        <v>66.507999999999996</v>
      </c>
      <c r="BB306" s="53">
        <f t="shared" si="403"/>
        <v>79.072000000000003</v>
      </c>
      <c r="BC306" s="53">
        <f t="shared" si="404"/>
        <v>2.8</v>
      </c>
      <c r="BD306" s="53">
        <f t="shared" si="405"/>
        <v>609.29300000000001</v>
      </c>
      <c r="BE306" s="60">
        <f t="shared" ref="BE306:BI307" si="587">AZ306+BE305</f>
        <v>13396.682000000004</v>
      </c>
      <c r="BF306" s="60">
        <f t="shared" si="587"/>
        <v>1092.0740000000001</v>
      </c>
      <c r="BG306" s="60">
        <f t="shared" si="587"/>
        <v>4455.3960000000006</v>
      </c>
      <c r="BH306" s="60">
        <f t="shared" si="587"/>
        <v>355.35799999999995</v>
      </c>
      <c r="BI306" s="60">
        <f t="shared" si="587"/>
        <v>19299.510000000002</v>
      </c>
      <c r="BJ306" s="1">
        <f t="shared" si="413"/>
        <v>36</v>
      </c>
    </row>
    <row r="307" spans="1:62" x14ac:dyDescent="0.3">
      <c r="A307" s="48">
        <f t="shared" si="238"/>
        <v>39704</v>
      </c>
      <c r="B307" s="53">
        <v>357298</v>
      </c>
      <c r="C307" s="53">
        <v>28600</v>
      </c>
      <c r="D307" s="53">
        <v>3400</v>
      </c>
      <c r="E307" s="53">
        <f t="shared" ref="E307:E376" si="588">SUM(B307:D307)</f>
        <v>389298</v>
      </c>
      <c r="F307" s="53">
        <f t="shared" si="580"/>
        <v>398687.75</v>
      </c>
      <c r="G307" s="53">
        <f t="shared" si="581"/>
        <v>351991.83333333331</v>
      </c>
      <c r="H307" s="59">
        <f t="shared" si="582"/>
        <v>68.553540811555052</v>
      </c>
      <c r="I307" s="59">
        <f t="shared" si="582"/>
        <v>46.680592001486353</v>
      </c>
      <c r="J307" s="59">
        <f t="shared" si="568"/>
        <v>13.266193202399123</v>
      </c>
      <c r="L307" s="53">
        <v>30010</v>
      </c>
      <c r="M307" s="53">
        <v>24100</v>
      </c>
      <c r="N307" s="53">
        <v>14000</v>
      </c>
      <c r="O307" s="53">
        <f t="shared" si="269"/>
        <v>68110</v>
      </c>
      <c r="P307" s="53">
        <f t="shared" si="558"/>
        <v>68721.5</v>
      </c>
      <c r="Q307" s="53">
        <f t="shared" si="559"/>
        <v>60019.25</v>
      </c>
      <c r="R307" s="59">
        <f t="shared" si="583"/>
        <v>-32.356738504320191</v>
      </c>
      <c r="S307" s="59">
        <f t="shared" si="583"/>
        <v>-14.391601291821477</v>
      </c>
      <c r="T307" s="59">
        <f t="shared" si="570"/>
        <v>14.499098205992244</v>
      </c>
      <c r="V307" s="53">
        <v>34109</v>
      </c>
      <c r="W307" s="53">
        <v>13600</v>
      </c>
      <c r="X307" s="53">
        <v>0</v>
      </c>
      <c r="Y307" s="53">
        <f t="shared" si="270"/>
        <v>47709</v>
      </c>
      <c r="Z307" s="53">
        <f t="shared" si="560"/>
        <v>69851.25</v>
      </c>
      <c r="AA307" s="53">
        <f t="shared" si="561"/>
        <v>78666.25</v>
      </c>
      <c r="AB307" s="59">
        <f t="shared" si="584"/>
        <v>15.770444066974033</v>
      </c>
      <c r="AC307" s="59">
        <f t="shared" si="584"/>
        <v>-2.1005606166783486</v>
      </c>
      <c r="AD307" s="59">
        <f t="shared" si="572"/>
        <v>-11.20556782610077</v>
      </c>
      <c r="AF307" s="53">
        <v>6000</v>
      </c>
      <c r="AG307" s="53">
        <v>0</v>
      </c>
      <c r="AH307" s="53">
        <v>3400</v>
      </c>
      <c r="AI307" s="53">
        <f t="shared" si="577"/>
        <v>9400</v>
      </c>
      <c r="AJ307" s="53">
        <f t="shared" si="562"/>
        <v>11650</v>
      </c>
      <c r="AK307" s="53">
        <f t="shared" si="563"/>
        <v>13216.583333333334</v>
      </c>
      <c r="AL307" s="59">
        <f t="shared" si="585"/>
        <v>-64.490782713810816</v>
      </c>
      <c r="AM307" s="59">
        <f t="shared" si="585"/>
        <v>-26.261155769352495</v>
      </c>
      <c r="AN307" s="59">
        <f t="shared" si="574"/>
        <v>-11.853164269636007</v>
      </c>
      <c r="AP307" s="53">
        <f t="shared" si="135"/>
        <v>427417</v>
      </c>
      <c r="AQ307" s="53">
        <f t="shared" si="135"/>
        <v>66300</v>
      </c>
      <c r="AR307" s="53">
        <f t="shared" si="578"/>
        <v>20800</v>
      </c>
      <c r="AS307" s="53">
        <f t="shared" si="578"/>
        <v>514517</v>
      </c>
      <c r="AT307" s="53">
        <f t="shared" si="564"/>
        <v>548910.5</v>
      </c>
      <c r="AU307" s="53">
        <f t="shared" si="565"/>
        <v>503893.91666666669</v>
      </c>
      <c r="AV307" s="59">
        <f t="shared" si="575"/>
        <v>28.843129595127913</v>
      </c>
      <c r="AW307" s="59">
        <f t="shared" si="586"/>
        <v>24.97108576372289</v>
      </c>
      <c r="AX307" s="59">
        <f t="shared" si="576"/>
        <v>8.9337421715913301</v>
      </c>
      <c r="AZ307" s="53">
        <f t="shared" si="401"/>
        <v>389.298</v>
      </c>
      <c r="BA307" s="53">
        <f t="shared" si="402"/>
        <v>68.11</v>
      </c>
      <c r="BB307" s="53">
        <f t="shared" si="403"/>
        <v>47.709000000000003</v>
      </c>
      <c r="BC307" s="53">
        <f t="shared" si="404"/>
        <v>9.4</v>
      </c>
      <c r="BD307" s="53">
        <f t="shared" si="405"/>
        <v>514.51700000000005</v>
      </c>
      <c r="BE307" s="60">
        <f t="shared" si="587"/>
        <v>13785.980000000005</v>
      </c>
      <c r="BF307" s="60">
        <f t="shared" si="587"/>
        <v>1160.184</v>
      </c>
      <c r="BG307" s="60">
        <f t="shared" si="587"/>
        <v>4503.1050000000005</v>
      </c>
      <c r="BH307" s="60">
        <f t="shared" si="587"/>
        <v>364.75799999999992</v>
      </c>
      <c r="BI307" s="60">
        <f t="shared" si="587"/>
        <v>19814.027000000002</v>
      </c>
      <c r="BJ307" s="1">
        <f t="shared" si="413"/>
        <v>37</v>
      </c>
    </row>
    <row r="308" spans="1:62" x14ac:dyDescent="0.3">
      <c r="A308" s="48">
        <f t="shared" si="238"/>
        <v>39711</v>
      </c>
      <c r="B308" s="53">
        <v>273234</v>
      </c>
      <c r="C308" s="53">
        <v>52000</v>
      </c>
      <c r="D308" s="53">
        <v>0</v>
      </c>
      <c r="E308" s="53">
        <f t="shared" si="588"/>
        <v>325234</v>
      </c>
      <c r="F308" s="53">
        <f t="shared" si="580"/>
        <v>365922.75</v>
      </c>
      <c r="G308" s="53">
        <f t="shared" si="581"/>
        <v>333539.5</v>
      </c>
      <c r="H308" s="59">
        <f t="shared" si="582"/>
        <v>7.1025402909775881</v>
      </c>
      <c r="I308" s="59">
        <f t="shared" si="582"/>
        <v>42.058339682339408</v>
      </c>
      <c r="J308" s="59">
        <f t="shared" si="568"/>
        <v>9.7089700020537286</v>
      </c>
      <c r="L308" s="53">
        <v>20399</v>
      </c>
      <c r="M308" s="53">
        <v>31974</v>
      </c>
      <c r="N308" s="53">
        <v>25200</v>
      </c>
      <c r="O308" s="53">
        <f t="shared" si="269"/>
        <v>77573</v>
      </c>
      <c r="P308" s="53">
        <f t="shared" si="558"/>
        <v>71722.75</v>
      </c>
      <c r="Q308" s="53">
        <f t="shared" si="559"/>
        <v>53792</v>
      </c>
      <c r="R308" s="59">
        <f t="shared" si="583"/>
        <v>926.50522694190818</v>
      </c>
      <c r="S308" s="59">
        <f t="shared" si="583"/>
        <v>10.081882923535002</v>
      </c>
      <c r="T308" s="59">
        <f t="shared" si="570"/>
        <v>33.333488251041054</v>
      </c>
      <c r="V308" s="53">
        <v>21953</v>
      </c>
      <c r="W308" s="53">
        <v>3000</v>
      </c>
      <c r="X308" s="53">
        <v>0</v>
      </c>
      <c r="Y308" s="53">
        <f t="shared" si="270"/>
        <v>24953</v>
      </c>
      <c r="Z308" s="53">
        <f t="shared" si="560"/>
        <v>47452.75</v>
      </c>
      <c r="AA308" s="53">
        <f t="shared" si="561"/>
        <v>75788.416666666672</v>
      </c>
      <c r="AB308" s="59">
        <f t="shared" si="584"/>
        <v>-59.023581187598531</v>
      </c>
      <c r="AC308" s="59">
        <f t="shared" si="584"/>
        <v>-24.136594178280657</v>
      </c>
      <c r="AD308" s="59">
        <f t="shared" si="572"/>
        <v>-37.387859402437272</v>
      </c>
      <c r="AF308" s="53">
        <v>0</v>
      </c>
      <c r="AG308" s="53">
        <v>0</v>
      </c>
      <c r="AH308" s="53">
        <v>0</v>
      </c>
      <c r="AI308" s="53">
        <f t="shared" si="577"/>
        <v>0</v>
      </c>
      <c r="AJ308" s="53">
        <f t="shared" si="562"/>
        <v>11300</v>
      </c>
      <c r="AK308" s="53">
        <f t="shared" si="563"/>
        <v>12612.25</v>
      </c>
      <c r="AL308" s="59">
        <f t="shared" si="585"/>
        <v>-100</v>
      </c>
      <c r="AM308" s="59">
        <f t="shared" si="585"/>
        <v>-32.152506754728307</v>
      </c>
      <c r="AN308" s="59">
        <f t="shared" si="574"/>
        <v>-10.404566988443776</v>
      </c>
      <c r="AP308" s="53">
        <f t="shared" si="135"/>
        <v>315586</v>
      </c>
      <c r="AQ308" s="53">
        <f t="shared" si="135"/>
        <v>86974</v>
      </c>
      <c r="AR308" s="53">
        <f t="shared" si="578"/>
        <v>25200</v>
      </c>
      <c r="AS308" s="53">
        <f t="shared" si="578"/>
        <v>427760</v>
      </c>
      <c r="AT308" s="53">
        <f t="shared" si="564"/>
        <v>496398.25</v>
      </c>
      <c r="AU308" s="53">
        <f t="shared" si="565"/>
        <v>475732.16666666669</v>
      </c>
      <c r="AV308" s="59">
        <f t="shared" si="575"/>
        <v>10.008409563757104</v>
      </c>
      <c r="AW308" s="59">
        <f t="shared" si="586"/>
        <v>23.498894750656497</v>
      </c>
      <c r="AX308" s="59">
        <f t="shared" si="576"/>
        <v>4.3440584390446624</v>
      </c>
      <c r="AZ308" s="53">
        <f t="shared" si="401"/>
        <v>325.23399999999998</v>
      </c>
      <c r="BA308" s="53">
        <f t="shared" si="402"/>
        <v>77.572999999999993</v>
      </c>
      <c r="BB308" s="53">
        <f t="shared" si="403"/>
        <v>24.952999999999999</v>
      </c>
      <c r="BC308" s="53">
        <f t="shared" si="404"/>
        <v>0</v>
      </c>
      <c r="BD308" s="53">
        <f t="shared" si="405"/>
        <v>427.76</v>
      </c>
      <c r="BE308" s="60">
        <f t="shared" ref="BE308:BI309" si="589">AZ308+BE307</f>
        <v>14111.214000000005</v>
      </c>
      <c r="BF308" s="60">
        <f t="shared" si="589"/>
        <v>1237.7570000000001</v>
      </c>
      <c r="BG308" s="60">
        <f t="shared" si="589"/>
        <v>4528.0580000000009</v>
      </c>
      <c r="BH308" s="60">
        <f t="shared" si="589"/>
        <v>364.75799999999992</v>
      </c>
      <c r="BI308" s="60">
        <f t="shared" si="589"/>
        <v>20241.787</v>
      </c>
      <c r="BJ308" s="1">
        <f t="shared" si="413"/>
        <v>38</v>
      </c>
    </row>
    <row r="309" spans="1:62" x14ac:dyDescent="0.3">
      <c r="A309" s="48">
        <f t="shared" si="238"/>
        <v>39718</v>
      </c>
      <c r="B309" s="53">
        <v>135282</v>
      </c>
      <c r="C309" s="53">
        <v>79689</v>
      </c>
      <c r="D309" s="53">
        <v>10600</v>
      </c>
      <c r="E309" s="53">
        <f t="shared" si="588"/>
        <v>225571</v>
      </c>
      <c r="F309" s="53">
        <f t="shared" si="580"/>
        <v>350254</v>
      </c>
      <c r="G309" s="53">
        <f t="shared" si="581"/>
        <v>335625.08333333331</v>
      </c>
      <c r="H309" s="59">
        <f t="shared" ref="H309:I311" si="590">((E309/E257)-1)*100</f>
        <v>-36.355787543203775</v>
      </c>
      <c r="I309" s="59">
        <f t="shared" si="590"/>
        <v>22.698531137571408</v>
      </c>
      <c r="J309" s="59">
        <f t="shared" ref="J309:J314" si="591">((F309/G309)-1)*100</f>
        <v>4.3587077942376817</v>
      </c>
      <c r="L309" s="53">
        <v>10846</v>
      </c>
      <c r="M309" s="53">
        <v>4500</v>
      </c>
      <c r="N309" s="53">
        <v>26600</v>
      </c>
      <c r="O309" s="53">
        <f t="shared" si="269"/>
        <v>41946</v>
      </c>
      <c r="P309" s="53">
        <f t="shared" ref="P309:P315" si="592">AVERAGE(O306,O307,O308,O309)</f>
        <v>63534.25</v>
      </c>
      <c r="Q309" s="53">
        <f t="shared" ref="Q309:Q315" si="593">AVERAGE(P257,P205,P153)</f>
        <v>47547.833333333336</v>
      </c>
      <c r="R309" s="59">
        <f t="shared" ref="R309:S311" si="594">((O309/O257)-1)*100</f>
        <v>2.8088235294117636</v>
      </c>
      <c r="S309" s="59">
        <f t="shared" si="594"/>
        <v>22.960393261145139</v>
      </c>
      <c r="T309" s="59">
        <f t="shared" ref="T309:T314" si="595">((P309/Q309)-1)*100</f>
        <v>33.621756336601379</v>
      </c>
      <c r="V309" s="53">
        <v>21303</v>
      </c>
      <c r="W309" s="53">
        <v>6115</v>
      </c>
      <c r="X309" s="53">
        <v>0</v>
      </c>
      <c r="Y309" s="53">
        <f t="shared" si="270"/>
        <v>27418</v>
      </c>
      <c r="Z309" s="53">
        <f t="shared" ref="Z309:Z315" si="596">AVERAGE(Y306,Y307,Y308,Y309)</f>
        <v>44788</v>
      </c>
      <c r="AA309" s="53">
        <f t="shared" ref="AA309:AA315" si="597">AVERAGE(Z257,Z205,Z153)</f>
        <v>71669.583333333328</v>
      </c>
      <c r="AB309" s="59">
        <f t="shared" ref="AB309:AC311" si="598">((Y309/Y257)-1)*100</f>
        <v>-69.450355992824427</v>
      </c>
      <c r="AC309" s="59">
        <f t="shared" si="598"/>
        <v>-29.63393558523174</v>
      </c>
      <c r="AD309" s="59">
        <f t="shared" ref="AD309:AD314" si="599">((Z309/AA309)-1)*100</f>
        <v>-37.507659571994154</v>
      </c>
      <c r="AF309" s="53">
        <v>1535</v>
      </c>
      <c r="AG309" s="53">
        <v>0</v>
      </c>
      <c r="AH309" s="53">
        <v>3600</v>
      </c>
      <c r="AI309" s="53">
        <f t="shared" si="577"/>
        <v>5135</v>
      </c>
      <c r="AJ309" s="53">
        <f t="shared" ref="AJ309:AJ315" si="600">AVERAGE(AI306,AI307,AI308,AI309)</f>
        <v>4333.75</v>
      </c>
      <c r="AK309" s="53">
        <f t="shared" ref="AK309:AK315" si="601">AVERAGE(AJ257,AJ205,AJ153)</f>
        <v>14704.833333333334</v>
      </c>
      <c r="AL309" s="59">
        <f t="shared" ref="AL309:AM311" si="602">((AI309/AI257)-1)*100</f>
        <v>-74.452736318407958</v>
      </c>
      <c r="AM309" s="59">
        <f t="shared" si="602"/>
        <v>-75.896829810900996</v>
      </c>
      <c r="AN309" s="59">
        <f t="shared" ref="AN309:AN314" si="603">((AJ309/AK309)-1)*100</f>
        <v>-70.528397692368713</v>
      </c>
      <c r="AP309" s="53">
        <f t="shared" si="135"/>
        <v>168966</v>
      </c>
      <c r="AQ309" s="53">
        <f t="shared" si="135"/>
        <v>90304</v>
      </c>
      <c r="AR309" s="53">
        <f t="shared" si="578"/>
        <v>40800</v>
      </c>
      <c r="AS309" s="53">
        <f t="shared" si="578"/>
        <v>300070</v>
      </c>
      <c r="AT309" s="53">
        <f t="shared" ref="AT309:AT315" si="604">AVERAGE(AS306,AS307,AS308,AS309)</f>
        <v>462910</v>
      </c>
      <c r="AU309" s="53">
        <f t="shared" ref="AU309:AU315" si="605">AVERAGE(AT257,AT205,AT153)</f>
        <v>469547.33333333331</v>
      </c>
      <c r="AV309" s="59">
        <f t="shared" ref="AV309:AV314" si="606">((AS309/AS257)-1)*100</f>
        <v>-40.588903804195034</v>
      </c>
      <c r="AW309" s="59">
        <f t="shared" si="586"/>
        <v>10.543163796881029</v>
      </c>
      <c r="AX309" s="59">
        <f t="shared" ref="AX309:AX314" si="607">((AT309/AU309)-1)*100</f>
        <v>-1.4135600102794021</v>
      </c>
      <c r="AZ309" s="53">
        <f t="shared" si="401"/>
        <v>225.571</v>
      </c>
      <c r="BA309" s="53">
        <f t="shared" si="402"/>
        <v>41.945999999999998</v>
      </c>
      <c r="BB309" s="53">
        <f t="shared" si="403"/>
        <v>27.417999999999999</v>
      </c>
      <c r="BC309" s="53">
        <f t="shared" si="404"/>
        <v>5.1349999999999998</v>
      </c>
      <c r="BD309" s="53">
        <f t="shared" si="405"/>
        <v>300.07</v>
      </c>
      <c r="BE309" s="60">
        <f t="shared" si="589"/>
        <v>14336.785000000005</v>
      </c>
      <c r="BF309" s="60">
        <f t="shared" si="589"/>
        <v>1279.703</v>
      </c>
      <c r="BG309" s="60">
        <f t="shared" si="589"/>
        <v>4555.4760000000006</v>
      </c>
      <c r="BH309" s="60">
        <f t="shared" si="589"/>
        <v>369.89299999999992</v>
      </c>
      <c r="BI309" s="60">
        <f t="shared" si="589"/>
        <v>20541.857</v>
      </c>
      <c r="BJ309" s="1">
        <f t="shared" si="413"/>
        <v>39</v>
      </c>
    </row>
    <row r="310" spans="1:62" x14ac:dyDescent="0.3">
      <c r="A310" s="48">
        <f t="shared" si="238"/>
        <v>39725</v>
      </c>
      <c r="B310" s="53">
        <v>212722</v>
      </c>
      <c r="C310" s="53">
        <v>118638</v>
      </c>
      <c r="D310" s="53">
        <v>27200</v>
      </c>
      <c r="E310" s="53">
        <f t="shared" si="588"/>
        <v>358560</v>
      </c>
      <c r="F310" s="53">
        <f t="shared" si="580"/>
        <v>324665.75</v>
      </c>
      <c r="G310" s="53">
        <f t="shared" si="581"/>
        <v>353820.66666666669</v>
      </c>
      <c r="H310" s="59">
        <f t="shared" si="590"/>
        <v>-2.6654613862353682</v>
      </c>
      <c r="I310" s="59">
        <f t="shared" si="590"/>
        <v>3.2788202005035627</v>
      </c>
      <c r="J310" s="59">
        <f t="shared" si="591"/>
        <v>-8.2400264917632526</v>
      </c>
      <c r="L310" s="53">
        <v>7859</v>
      </c>
      <c r="M310" s="53">
        <v>5020</v>
      </c>
      <c r="N310" s="53">
        <v>32200</v>
      </c>
      <c r="O310" s="53">
        <f t="shared" si="269"/>
        <v>45079</v>
      </c>
      <c r="P310" s="53">
        <f t="shared" si="592"/>
        <v>58177</v>
      </c>
      <c r="Q310" s="53">
        <f t="shared" si="593"/>
        <v>43795.25</v>
      </c>
      <c r="R310" s="59">
        <f t="shared" si="594"/>
        <v>15.616824826878695</v>
      </c>
      <c r="S310" s="59">
        <f t="shared" si="594"/>
        <v>23.756494732419675</v>
      </c>
      <c r="T310" s="59">
        <f t="shared" si="595"/>
        <v>32.838606926550248</v>
      </c>
      <c r="V310" s="53">
        <v>65203</v>
      </c>
      <c r="W310" s="53">
        <v>18000</v>
      </c>
      <c r="X310" s="53">
        <v>4200</v>
      </c>
      <c r="Y310" s="53">
        <f t="shared" si="270"/>
        <v>87403</v>
      </c>
      <c r="Z310" s="53">
        <f t="shared" si="596"/>
        <v>46870.75</v>
      </c>
      <c r="AA310" s="53">
        <f t="shared" si="597"/>
        <v>88948.083333333328</v>
      </c>
      <c r="AB310" s="59">
        <f t="shared" si="598"/>
        <v>-41.532935093082521</v>
      </c>
      <c r="AC310" s="59">
        <f t="shared" si="598"/>
        <v>-45.075378062142221</v>
      </c>
      <c r="AD310" s="59">
        <f t="shared" si="599"/>
        <v>-47.305497495261747</v>
      </c>
      <c r="AF310" s="53">
        <v>4500</v>
      </c>
      <c r="AG310" s="53">
        <v>1500</v>
      </c>
      <c r="AH310" s="53">
        <v>4500</v>
      </c>
      <c r="AI310" s="53">
        <f t="shared" si="577"/>
        <v>10500</v>
      </c>
      <c r="AJ310" s="53">
        <f t="shared" si="600"/>
        <v>6258.75</v>
      </c>
      <c r="AK310" s="53">
        <f t="shared" si="601"/>
        <v>14896.083333333334</v>
      </c>
      <c r="AL310" s="59">
        <f t="shared" si="602"/>
        <v>14.130434782608692</v>
      </c>
      <c r="AM310" s="59">
        <f t="shared" si="602"/>
        <v>-65.467060251600088</v>
      </c>
      <c r="AN310" s="59">
        <f t="shared" si="603"/>
        <v>-57.983921948163108</v>
      </c>
      <c r="AP310" s="53">
        <f t="shared" si="135"/>
        <v>290284</v>
      </c>
      <c r="AQ310" s="53">
        <f t="shared" si="135"/>
        <v>143158</v>
      </c>
      <c r="AR310" s="53">
        <f t="shared" si="578"/>
        <v>68100</v>
      </c>
      <c r="AS310" s="53">
        <f t="shared" si="578"/>
        <v>501542</v>
      </c>
      <c r="AT310" s="53">
        <f t="shared" si="604"/>
        <v>435972.25</v>
      </c>
      <c r="AU310" s="53">
        <f t="shared" si="605"/>
        <v>501460.08333333331</v>
      </c>
      <c r="AV310" s="59">
        <f t="shared" si="606"/>
        <v>-11.397731689220226</v>
      </c>
      <c r="AW310" s="59">
        <f t="shared" si="586"/>
        <v>-6.2078843099574899</v>
      </c>
      <c r="AX310" s="59">
        <f t="shared" si="607"/>
        <v>-13.059430951715822</v>
      </c>
      <c r="AZ310" s="53">
        <f t="shared" si="401"/>
        <v>358.56</v>
      </c>
      <c r="BA310" s="53">
        <f t="shared" si="402"/>
        <v>45.079000000000001</v>
      </c>
      <c r="BB310" s="53">
        <f t="shared" si="403"/>
        <v>87.403000000000006</v>
      </c>
      <c r="BC310" s="53">
        <f t="shared" si="404"/>
        <v>10.5</v>
      </c>
      <c r="BD310" s="53">
        <f t="shared" si="405"/>
        <v>501.54199999999997</v>
      </c>
      <c r="BE310" s="60">
        <f t="shared" ref="BE310:BI311" si="608">AZ310+BE309</f>
        <v>14695.345000000005</v>
      </c>
      <c r="BF310" s="60">
        <f t="shared" si="608"/>
        <v>1324.7819999999999</v>
      </c>
      <c r="BG310" s="60">
        <f t="shared" si="608"/>
        <v>4642.8790000000008</v>
      </c>
      <c r="BH310" s="60">
        <f t="shared" si="608"/>
        <v>380.39299999999992</v>
      </c>
      <c r="BI310" s="60">
        <f t="shared" si="608"/>
        <v>21043.399000000001</v>
      </c>
      <c r="BJ310" s="1">
        <f t="shared" si="413"/>
        <v>40</v>
      </c>
    </row>
    <row r="311" spans="1:62" x14ac:dyDescent="0.3">
      <c r="A311" s="48">
        <f t="shared" si="238"/>
        <v>39732</v>
      </c>
      <c r="B311" s="53">
        <v>84568</v>
      </c>
      <c r="C311" s="53">
        <v>109267</v>
      </c>
      <c r="D311" s="53">
        <v>6050</v>
      </c>
      <c r="E311" s="53">
        <f t="shared" si="588"/>
        <v>199885</v>
      </c>
      <c r="F311" s="53">
        <f t="shared" si="580"/>
        <v>277312.5</v>
      </c>
      <c r="G311" s="53">
        <f t="shared" si="581"/>
        <v>387940.33333333331</v>
      </c>
      <c r="H311" s="59">
        <f t="shared" si="590"/>
        <v>-59.618457709332098</v>
      </c>
      <c r="I311" s="59">
        <f t="shared" si="590"/>
        <v>-27.093103273761209</v>
      </c>
      <c r="J311" s="59">
        <f t="shared" si="591"/>
        <v>-28.516713480853152</v>
      </c>
      <c r="L311" s="53">
        <v>3135</v>
      </c>
      <c r="M311" s="53">
        <v>16816</v>
      </c>
      <c r="N311" s="53">
        <v>8400</v>
      </c>
      <c r="O311" s="53">
        <f t="shared" si="269"/>
        <v>28351</v>
      </c>
      <c r="P311" s="53">
        <f t="shared" si="592"/>
        <v>48237.25</v>
      </c>
      <c r="Q311" s="53">
        <f t="shared" si="593"/>
        <v>31405.25</v>
      </c>
      <c r="R311" s="59">
        <f t="shared" si="594"/>
        <v>-5.0281388181696363</v>
      </c>
      <c r="S311" s="59">
        <f t="shared" si="594"/>
        <v>64.633657283765217</v>
      </c>
      <c r="T311" s="59">
        <f t="shared" si="595"/>
        <v>53.596134404279553</v>
      </c>
      <c r="V311" s="53">
        <v>90741</v>
      </c>
      <c r="W311" s="53">
        <v>29154</v>
      </c>
      <c r="X311" s="53">
        <v>4200</v>
      </c>
      <c r="Y311" s="53">
        <f t="shared" si="270"/>
        <v>124095</v>
      </c>
      <c r="Z311" s="53">
        <f t="shared" si="596"/>
        <v>65967.25</v>
      </c>
      <c r="AA311" s="53">
        <f t="shared" si="597"/>
        <v>132673.41666666666</v>
      </c>
      <c r="AB311" s="59">
        <f t="shared" si="598"/>
        <v>-35.249152100182627</v>
      </c>
      <c r="AC311" s="59">
        <f t="shared" si="598"/>
        <v>-46.344751578938805</v>
      </c>
      <c r="AD311" s="59">
        <f t="shared" si="599"/>
        <v>-50.278472012416444</v>
      </c>
      <c r="AF311" s="53">
        <v>1500</v>
      </c>
      <c r="AG311" s="53">
        <v>0</v>
      </c>
      <c r="AH311" s="53">
        <v>3200</v>
      </c>
      <c r="AI311" s="53">
        <f t="shared" si="577"/>
        <v>4700</v>
      </c>
      <c r="AJ311" s="53">
        <f t="shared" si="600"/>
        <v>5083.75</v>
      </c>
      <c r="AK311" s="53">
        <f t="shared" si="601"/>
        <v>14901.166666666666</v>
      </c>
      <c r="AL311" s="59">
        <f t="shared" si="602"/>
        <v>-78.283971722958924</v>
      </c>
      <c r="AM311" s="59">
        <f t="shared" si="602"/>
        <v>-69.948423899389653</v>
      </c>
      <c r="AN311" s="59">
        <f t="shared" si="603"/>
        <v>-65.883543794110082</v>
      </c>
      <c r="AP311" s="53">
        <f t="shared" si="135"/>
        <v>179944</v>
      </c>
      <c r="AQ311" s="53">
        <f t="shared" si="135"/>
        <v>155237</v>
      </c>
      <c r="AR311" s="53">
        <f t="shared" si="578"/>
        <v>21850</v>
      </c>
      <c r="AS311" s="53">
        <f t="shared" si="578"/>
        <v>357031</v>
      </c>
      <c r="AT311" s="53">
        <f t="shared" si="604"/>
        <v>396600.75</v>
      </c>
      <c r="AU311" s="53">
        <f t="shared" si="605"/>
        <v>566920.16666666663</v>
      </c>
      <c r="AV311" s="59">
        <f t="shared" si="606"/>
        <v>-51.63072929649821</v>
      </c>
      <c r="AW311" s="59">
        <f t="shared" si="586"/>
        <v>-27.828869580408288</v>
      </c>
      <c r="AX311" s="59">
        <f t="shared" si="607"/>
        <v>-30.042927854921363</v>
      </c>
      <c r="AZ311" s="53">
        <f t="shared" si="401"/>
        <v>199.88499999999999</v>
      </c>
      <c r="BA311" s="53">
        <f t="shared" si="402"/>
        <v>28.350999999999999</v>
      </c>
      <c r="BB311" s="53">
        <f t="shared" si="403"/>
        <v>124.095</v>
      </c>
      <c r="BC311" s="53">
        <f t="shared" si="404"/>
        <v>4.7</v>
      </c>
      <c r="BD311" s="53">
        <f t="shared" si="405"/>
        <v>357.03100000000001</v>
      </c>
      <c r="BE311" s="60">
        <f t="shared" si="608"/>
        <v>14895.230000000005</v>
      </c>
      <c r="BF311" s="60">
        <f t="shared" si="608"/>
        <v>1353.1329999999998</v>
      </c>
      <c r="BG311" s="60">
        <f t="shared" si="608"/>
        <v>4766.9740000000011</v>
      </c>
      <c r="BH311" s="60">
        <f t="shared" si="608"/>
        <v>385.0929999999999</v>
      </c>
      <c r="BI311" s="60">
        <f t="shared" si="608"/>
        <v>21400.43</v>
      </c>
      <c r="BJ311" s="1">
        <f t="shared" si="413"/>
        <v>41</v>
      </c>
    </row>
    <row r="312" spans="1:62" x14ac:dyDescent="0.3">
      <c r="A312" s="48">
        <f t="shared" si="238"/>
        <v>39739</v>
      </c>
      <c r="B312" s="53">
        <v>118981</v>
      </c>
      <c r="C312" s="53">
        <v>79325</v>
      </c>
      <c r="D312" s="53">
        <v>8400</v>
      </c>
      <c r="E312" s="53">
        <f t="shared" si="588"/>
        <v>206706</v>
      </c>
      <c r="F312" s="53">
        <f t="shared" si="580"/>
        <v>247680.5</v>
      </c>
      <c r="G312" s="53">
        <f t="shared" si="581"/>
        <v>403158</v>
      </c>
      <c r="H312" s="59">
        <f t="shared" ref="H312:I314" si="609">((E312/E260)-1)*100</f>
        <v>-63.012786790204309</v>
      </c>
      <c r="I312" s="59">
        <f t="shared" si="609"/>
        <v>-44.236606698100303</v>
      </c>
      <c r="J312" s="59">
        <f t="shared" si="591"/>
        <v>-38.56490507443732</v>
      </c>
      <c r="L312" s="53">
        <v>6496</v>
      </c>
      <c r="M312" s="53">
        <v>4500</v>
      </c>
      <c r="N312" s="53">
        <v>26600</v>
      </c>
      <c r="O312" s="53">
        <f t="shared" si="269"/>
        <v>37596</v>
      </c>
      <c r="P312" s="53">
        <f t="shared" si="592"/>
        <v>38243</v>
      </c>
      <c r="Q312" s="53">
        <f t="shared" si="593"/>
        <v>31348.5</v>
      </c>
      <c r="R312" s="59">
        <f t="shared" ref="R312:S314" si="610">((O312/O260)-1)*100</f>
        <v>108.78547231632143</v>
      </c>
      <c r="S312" s="59">
        <f t="shared" si="610"/>
        <v>19.83799324710731</v>
      </c>
      <c r="T312" s="59">
        <f t="shared" si="595"/>
        <v>21.993077818715399</v>
      </c>
      <c r="V312" s="53">
        <v>173999</v>
      </c>
      <c r="W312" s="53">
        <v>38400</v>
      </c>
      <c r="X312" s="53">
        <v>8500</v>
      </c>
      <c r="Y312" s="53">
        <f t="shared" si="270"/>
        <v>220899</v>
      </c>
      <c r="Z312" s="53">
        <f t="shared" si="596"/>
        <v>114953.75</v>
      </c>
      <c r="AA312" s="53">
        <f t="shared" si="597"/>
        <v>181658.58333333334</v>
      </c>
      <c r="AB312" s="59">
        <f t="shared" ref="AB312:AC314" si="611">((Y312/Y260)-1)*100</f>
        <v>25.090038053818976</v>
      </c>
      <c r="AC312" s="59">
        <f t="shared" si="611"/>
        <v>-24.308045341261142</v>
      </c>
      <c r="AD312" s="59">
        <f t="shared" si="599"/>
        <v>-36.719890747432338</v>
      </c>
      <c r="AF312" s="53">
        <v>3035</v>
      </c>
      <c r="AG312" s="53">
        <v>1500</v>
      </c>
      <c r="AH312" s="53">
        <v>4800</v>
      </c>
      <c r="AI312" s="53">
        <f t="shared" si="577"/>
        <v>9335</v>
      </c>
      <c r="AJ312" s="53">
        <f t="shared" si="600"/>
        <v>7417.5</v>
      </c>
      <c r="AK312" s="53">
        <f t="shared" si="601"/>
        <v>15030.5</v>
      </c>
      <c r="AL312" s="59">
        <f t="shared" ref="AL312:AM314" si="612">((AI312/AI260)-1)*100</f>
        <v>-0.69148936170212449</v>
      </c>
      <c r="AM312" s="59">
        <f t="shared" si="612"/>
        <v>-50.831082312778619</v>
      </c>
      <c r="AN312" s="59">
        <f t="shared" si="603"/>
        <v>-50.650344299923489</v>
      </c>
      <c r="AP312" s="53">
        <f t="shared" si="135"/>
        <v>302511</v>
      </c>
      <c r="AQ312" s="53">
        <f t="shared" si="135"/>
        <v>123725</v>
      </c>
      <c r="AR312" s="53">
        <f t="shared" si="578"/>
        <v>48300</v>
      </c>
      <c r="AS312" s="53">
        <f t="shared" si="578"/>
        <v>474536</v>
      </c>
      <c r="AT312" s="53">
        <f t="shared" si="604"/>
        <v>408294.75</v>
      </c>
      <c r="AU312" s="53">
        <f t="shared" si="605"/>
        <v>631195.58333333337</v>
      </c>
      <c r="AV312" s="59">
        <f t="shared" si="606"/>
        <v>-37.794894718145081</v>
      </c>
      <c r="AW312" s="59">
        <f t="shared" ref="AW312:AW317" si="613">((AT312/AT260)-1)*100</f>
        <v>-36.504729354343702</v>
      </c>
      <c r="AX312" s="59">
        <f t="shared" si="607"/>
        <v>-35.31406733808209</v>
      </c>
      <c r="AZ312" s="53">
        <f t="shared" si="401"/>
        <v>206.70599999999999</v>
      </c>
      <c r="BA312" s="53">
        <f t="shared" si="402"/>
        <v>37.595999999999997</v>
      </c>
      <c r="BB312" s="53">
        <f t="shared" si="403"/>
        <v>220.899</v>
      </c>
      <c r="BC312" s="53">
        <f t="shared" si="404"/>
        <v>9.3350000000000009</v>
      </c>
      <c r="BD312" s="53">
        <f t="shared" si="405"/>
        <v>474.536</v>
      </c>
      <c r="BE312" s="60">
        <f t="shared" ref="BE312:BI313" si="614">AZ312+BE311</f>
        <v>15101.936000000005</v>
      </c>
      <c r="BF312" s="60">
        <f t="shared" si="614"/>
        <v>1390.7289999999998</v>
      </c>
      <c r="BG312" s="60">
        <f t="shared" si="614"/>
        <v>4987.8730000000014</v>
      </c>
      <c r="BH312" s="60">
        <f t="shared" si="614"/>
        <v>394.42799999999988</v>
      </c>
      <c r="BI312" s="60">
        <f t="shared" si="614"/>
        <v>21874.966</v>
      </c>
      <c r="BJ312" s="1">
        <f t="shared" si="413"/>
        <v>42</v>
      </c>
    </row>
    <row r="313" spans="1:62" x14ac:dyDescent="0.3">
      <c r="A313" s="48">
        <f t="shared" si="238"/>
        <v>39746</v>
      </c>
      <c r="B313" s="53">
        <v>208330</v>
      </c>
      <c r="C313" s="53">
        <v>52900</v>
      </c>
      <c r="D313" s="53">
        <v>1400</v>
      </c>
      <c r="E313" s="53">
        <f t="shared" si="588"/>
        <v>262630</v>
      </c>
      <c r="F313" s="53">
        <f t="shared" ref="F313:F319" si="615">AVERAGE(E310,E311,E312,E313)</f>
        <v>256945.25</v>
      </c>
      <c r="G313" s="53">
        <f t="shared" ref="G313:G319" si="616">AVERAGE(F261,F209,F157)</f>
        <v>408905.08333333331</v>
      </c>
      <c r="H313" s="59">
        <f t="shared" si="609"/>
        <v>-59.773371972625732</v>
      </c>
      <c r="I313" s="59">
        <f t="shared" si="609"/>
        <v>-50.470867966135671</v>
      </c>
      <c r="J313" s="59">
        <f t="shared" si="591"/>
        <v>-37.162617812079858</v>
      </c>
      <c r="L313" s="53">
        <v>8050</v>
      </c>
      <c r="M313" s="53">
        <v>3000</v>
      </c>
      <c r="N313" s="53">
        <v>14000</v>
      </c>
      <c r="O313" s="53">
        <f t="shared" si="269"/>
        <v>25050</v>
      </c>
      <c r="P313" s="53">
        <f t="shared" si="592"/>
        <v>34019</v>
      </c>
      <c r="Q313" s="53">
        <f t="shared" si="593"/>
        <v>26306.583333333332</v>
      </c>
      <c r="R313" s="59">
        <f t="shared" si="610"/>
        <v>-24.548192771084342</v>
      </c>
      <c r="S313" s="59">
        <f t="shared" si="610"/>
        <v>13.350381927379651</v>
      </c>
      <c r="T313" s="59">
        <f t="shared" si="595"/>
        <v>29.317439550936243</v>
      </c>
      <c r="V313" s="53">
        <v>165125</v>
      </c>
      <c r="W313" s="53">
        <v>89900</v>
      </c>
      <c r="X313" s="53">
        <v>15700</v>
      </c>
      <c r="Y313" s="53">
        <f t="shared" si="270"/>
        <v>270725</v>
      </c>
      <c r="Z313" s="53">
        <f t="shared" si="596"/>
        <v>175780.5</v>
      </c>
      <c r="AA313" s="53">
        <f t="shared" si="597"/>
        <v>210795.16666666666</v>
      </c>
      <c r="AB313" s="59">
        <f t="shared" si="611"/>
        <v>119.08102902737654</v>
      </c>
      <c r="AC313" s="59">
        <f t="shared" si="611"/>
        <v>9.6390802518610421</v>
      </c>
      <c r="AD313" s="59">
        <f t="shared" si="599"/>
        <v>-16.610754041640739</v>
      </c>
      <c r="AF313" s="53">
        <v>3070</v>
      </c>
      <c r="AG313" s="53">
        <v>0</v>
      </c>
      <c r="AH313" s="53">
        <v>1400</v>
      </c>
      <c r="AI313" s="53">
        <f t="shared" si="577"/>
        <v>4470</v>
      </c>
      <c r="AJ313" s="53">
        <f t="shared" si="600"/>
        <v>7251.25</v>
      </c>
      <c r="AK313" s="53">
        <f t="shared" si="601"/>
        <v>14596</v>
      </c>
      <c r="AL313" s="59">
        <f t="shared" si="612"/>
        <v>-84.744027303754265</v>
      </c>
      <c r="AM313" s="59">
        <f t="shared" si="612"/>
        <v>-58.291992004946579</v>
      </c>
      <c r="AN313" s="59">
        <f t="shared" si="603"/>
        <v>-50.320293231022198</v>
      </c>
      <c r="AP313" s="53">
        <f t="shared" si="135"/>
        <v>384575</v>
      </c>
      <c r="AQ313" s="53">
        <f t="shared" si="135"/>
        <v>145800</v>
      </c>
      <c r="AR313" s="53">
        <f t="shared" si="578"/>
        <v>32500</v>
      </c>
      <c r="AS313" s="53">
        <f t="shared" si="578"/>
        <v>562875</v>
      </c>
      <c r="AT313" s="53">
        <f t="shared" si="604"/>
        <v>473996</v>
      </c>
      <c r="AU313" s="53">
        <f t="shared" si="605"/>
        <v>660602.83333333337</v>
      </c>
      <c r="AV313" s="59">
        <f t="shared" si="606"/>
        <v>-32.907125462930409</v>
      </c>
      <c r="AW313" s="59">
        <f t="shared" si="613"/>
        <v>-34.75627339554481</v>
      </c>
      <c r="AX313" s="59">
        <f t="shared" si="607"/>
        <v>-28.247961394857278</v>
      </c>
      <c r="AZ313" s="53">
        <f t="shared" si="401"/>
        <v>262.63</v>
      </c>
      <c r="BA313" s="53">
        <f t="shared" si="402"/>
        <v>25.05</v>
      </c>
      <c r="BB313" s="53">
        <f t="shared" si="403"/>
        <v>270.72500000000002</v>
      </c>
      <c r="BC313" s="53">
        <f t="shared" si="404"/>
        <v>4.47</v>
      </c>
      <c r="BD313" s="53">
        <f t="shared" si="405"/>
        <v>562.875</v>
      </c>
      <c r="BE313" s="60">
        <f t="shared" si="614"/>
        <v>15364.566000000004</v>
      </c>
      <c r="BF313" s="60">
        <f t="shared" si="614"/>
        <v>1415.7789999999998</v>
      </c>
      <c r="BG313" s="60">
        <f t="shared" si="614"/>
        <v>5258.5980000000018</v>
      </c>
      <c r="BH313" s="60">
        <f t="shared" si="614"/>
        <v>398.89799999999991</v>
      </c>
      <c r="BI313" s="60">
        <f t="shared" si="614"/>
        <v>22437.841</v>
      </c>
      <c r="BJ313" s="1">
        <f t="shared" si="413"/>
        <v>43</v>
      </c>
    </row>
    <row r="314" spans="1:62" x14ac:dyDescent="0.3">
      <c r="A314" s="48">
        <f t="shared" si="238"/>
        <v>39753</v>
      </c>
      <c r="B314" s="53">
        <v>162082</v>
      </c>
      <c r="C314" s="53">
        <v>41080</v>
      </c>
      <c r="D314" s="53">
        <v>0</v>
      </c>
      <c r="E314" s="53">
        <f t="shared" si="588"/>
        <v>203162</v>
      </c>
      <c r="F314" s="53">
        <f t="shared" si="615"/>
        <v>218095.75</v>
      </c>
      <c r="G314" s="53">
        <f t="shared" si="616"/>
        <v>432967.33333333331</v>
      </c>
      <c r="H314" s="59">
        <f t="shared" si="609"/>
        <v>-62.720585132052896</v>
      </c>
      <c r="I314" s="59">
        <f t="shared" si="609"/>
        <v>-61.256626116491745</v>
      </c>
      <c r="J314" s="59">
        <f t="shared" si="591"/>
        <v>-49.627666290451465</v>
      </c>
      <c r="L314" s="53">
        <v>3135</v>
      </c>
      <c r="M314" s="53">
        <v>3200</v>
      </c>
      <c r="N314" s="53">
        <v>12000</v>
      </c>
      <c r="O314" s="53">
        <f t="shared" si="269"/>
        <v>18335</v>
      </c>
      <c r="P314" s="53">
        <f t="shared" si="592"/>
        <v>27333</v>
      </c>
      <c r="Q314" s="53">
        <f t="shared" si="593"/>
        <v>23161.416666666668</v>
      </c>
      <c r="R314" s="59">
        <f t="shared" si="610"/>
        <v>-35.014531792727013</v>
      </c>
      <c r="S314" s="59">
        <f t="shared" si="610"/>
        <v>5.3993209667524411E-2</v>
      </c>
      <c r="T314" s="59">
        <f t="shared" si="595"/>
        <v>18.010916142866897</v>
      </c>
      <c r="V314" s="53">
        <v>173885</v>
      </c>
      <c r="W314" s="53">
        <v>59716</v>
      </c>
      <c r="X314" s="53">
        <v>29400</v>
      </c>
      <c r="Y314" s="53">
        <f t="shared" si="270"/>
        <v>263001</v>
      </c>
      <c r="Z314" s="53">
        <f t="shared" si="596"/>
        <v>219680</v>
      </c>
      <c r="AA314" s="53">
        <f t="shared" si="597"/>
        <v>210656.66666666666</v>
      </c>
      <c r="AB314" s="59">
        <f t="shared" si="611"/>
        <v>625.01998621640246</v>
      </c>
      <c r="AC314" s="59">
        <f t="shared" si="611"/>
        <v>66.3958794902384</v>
      </c>
      <c r="AD314" s="59">
        <f t="shared" si="599"/>
        <v>4.2834311755304944</v>
      </c>
      <c r="AF314" s="53">
        <v>13210</v>
      </c>
      <c r="AG314" s="53">
        <v>0</v>
      </c>
      <c r="AH314" s="53">
        <v>0</v>
      </c>
      <c r="AI314" s="53">
        <f t="shared" si="577"/>
        <v>13210</v>
      </c>
      <c r="AJ314" s="53">
        <f t="shared" si="600"/>
        <v>7928.75</v>
      </c>
      <c r="AK314" s="53">
        <f t="shared" si="601"/>
        <v>13921.416666666666</v>
      </c>
      <c r="AL314" s="59">
        <f t="shared" si="612"/>
        <v>843.57142857142856</v>
      </c>
      <c r="AM314" s="59">
        <f t="shared" si="612"/>
        <v>-48.633853230325705</v>
      </c>
      <c r="AN314" s="59">
        <f t="shared" si="603"/>
        <v>-43.046385365474059</v>
      </c>
      <c r="AP314" s="53">
        <f t="shared" si="135"/>
        <v>352312</v>
      </c>
      <c r="AQ314" s="53">
        <f t="shared" ref="AQ314:AQ321" si="617">SUM(C314,M314,W314,AG314)</f>
        <v>103996</v>
      </c>
      <c r="AR314" s="53">
        <f t="shared" si="578"/>
        <v>41400</v>
      </c>
      <c r="AS314" s="53">
        <f t="shared" si="578"/>
        <v>497708</v>
      </c>
      <c r="AT314" s="53">
        <f t="shared" si="604"/>
        <v>473037.5</v>
      </c>
      <c r="AU314" s="53">
        <f t="shared" si="605"/>
        <v>680706.83333333337</v>
      </c>
      <c r="AV314" s="59">
        <f t="shared" si="606"/>
        <v>-18.523393248862263</v>
      </c>
      <c r="AW314" s="59">
        <f t="shared" si="613"/>
        <v>-35.876754861898561</v>
      </c>
      <c r="AX314" s="59">
        <f t="shared" si="607"/>
        <v>-30.507896081548569</v>
      </c>
      <c r="AZ314" s="53">
        <f t="shared" ref="AZ314:AZ344" si="618">+E314/1000</f>
        <v>203.16200000000001</v>
      </c>
      <c r="BA314" s="53">
        <f t="shared" ref="BA314:BA344" si="619">+O314/1000</f>
        <v>18.335000000000001</v>
      </c>
      <c r="BB314" s="53">
        <f t="shared" ref="BB314:BB344" si="620">+Y314/1000</f>
        <v>263.00099999999998</v>
      </c>
      <c r="BC314" s="53">
        <f t="shared" ref="BC314:BC344" si="621">+AI314/1000</f>
        <v>13.21</v>
      </c>
      <c r="BD314" s="53">
        <f t="shared" ref="BD314:BD344" si="622">+AS314/1000</f>
        <v>497.70800000000003</v>
      </c>
      <c r="BE314" s="60">
        <f t="shared" ref="BE314:BI315" si="623">AZ314+BE313</f>
        <v>15567.728000000005</v>
      </c>
      <c r="BF314" s="60">
        <f t="shared" si="623"/>
        <v>1434.1139999999998</v>
      </c>
      <c r="BG314" s="60">
        <f t="shared" si="623"/>
        <v>5521.599000000002</v>
      </c>
      <c r="BH314" s="60">
        <f t="shared" si="623"/>
        <v>412.10799999999989</v>
      </c>
      <c r="BI314" s="60">
        <f t="shared" si="623"/>
        <v>22935.548999999999</v>
      </c>
      <c r="BJ314" s="1">
        <f t="shared" si="413"/>
        <v>44</v>
      </c>
    </row>
    <row r="315" spans="1:62" x14ac:dyDescent="0.3">
      <c r="A315" s="48">
        <f t="shared" si="238"/>
        <v>39760</v>
      </c>
      <c r="B315" s="53">
        <v>356158</v>
      </c>
      <c r="C315" s="53">
        <v>36300</v>
      </c>
      <c r="D315" s="53">
        <v>0</v>
      </c>
      <c r="E315" s="53">
        <f t="shared" si="588"/>
        <v>392458</v>
      </c>
      <c r="F315" s="53">
        <f t="shared" si="615"/>
        <v>266239</v>
      </c>
      <c r="G315" s="53">
        <f t="shared" si="616"/>
        <v>499043.75</v>
      </c>
      <c r="H315" s="59">
        <f t="shared" ref="H315:I317" si="624">((E315/E263)-1)*100</f>
        <v>-53.657275110407852</v>
      </c>
      <c r="I315" s="59">
        <f t="shared" si="624"/>
        <v>-59.096239195103642</v>
      </c>
      <c r="J315" s="59">
        <f t="shared" ref="J315:J320" si="625">((F315/G315)-1)*100</f>
        <v>-46.650168447155181</v>
      </c>
      <c r="L315" s="53">
        <v>17370</v>
      </c>
      <c r="M315" s="53">
        <v>0</v>
      </c>
      <c r="N315" s="53">
        <v>7000</v>
      </c>
      <c r="O315" s="53">
        <f t="shared" si="269"/>
        <v>24370</v>
      </c>
      <c r="P315" s="53">
        <f t="shared" si="592"/>
        <v>26337.75</v>
      </c>
      <c r="Q315" s="53">
        <f t="shared" si="593"/>
        <v>18979.25</v>
      </c>
      <c r="R315" s="59">
        <f t="shared" ref="R315:S317" si="626">((O315/O263)-1)*100</f>
        <v>38.465909090909101</v>
      </c>
      <c r="S315" s="59">
        <f t="shared" si="626"/>
        <v>8.5857700910112236</v>
      </c>
      <c r="T315" s="59">
        <f t="shared" ref="T315:T320" si="627">((P315/Q315)-1)*100</f>
        <v>38.771289697959624</v>
      </c>
      <c r="V315" s="53">
        <v>158406</v>
      </c>
      <c r="W315" s="53">
        <v>105500</v>
      </c>
      <c r="X315" s="53">
        <v>39600</v>
      </c>
      <c r="Y315" s="53">
        <f t="shared" ref="Y315:Y376" si="628">SUM(V315:X315)</f>
        <v>303506</v>
      </c>
      <c r="Z315" s="53">
        <f t="shared" si="596"/>
        <v>264532.75</v>
      </c>
      <c r="AA315" s="53">
        <f t="shared" si="597"/>
        <v>201538.16666666666</v>
      </c>
      <c r="AB315" s="59">
        <f t="shared" ref="AB315:AC317" si="629">((Y315/Y263)-1)*100</f>
        <v>54.617285208487232</v>
      </c>
      <c r="AC315" s="59">
        <f t="shared" si="629"/>
        <v>98.622391996020539</v>
      </c>
      <c r="AD315" s="59">
        <f t="shared" ref="AD315:AD320" si="630">((Z315/AA315)-1)*100</f>
        <v>31.256900057805439</v>
      </c>
      <c r="AF315" s="53">
        <v>0</v>
      </c>
      <c r="AG315" s="53">
        <v>0</v>
      </c>
      <c r="AH315" s="53">
        <v>2800</v>
      </c>
      <c r="AI315" s="53">
        <f t="shared" si="577"/>
        <v>2800</v>
      </c>
      <c r="AJ315" s="53">
        <f t="shared" si="600"/>
        <v>7453.75</v>
      </c>
      <c r="AK315" s="53">
        <f t="shared" si="601"/>
        <v>11497</v>
      </c>
      <c r="AL315" s="59">
        <f t="shared" ref="AL315:AM317" si="631">((AI315/AI263)-1)*100</f>
        <v>-74.545454545454547</v>
      </c>
      <c r="AM315" s="59">
        <f t="shared" si="631"/>
        <v>-41.653620352250485</v>
      </c>
      <c r="AN315" s="59">
        <f t="shared" ref="AN315:AN320" si="632">((AJ315/AK315)-1)*100</f>
        <v>-35.167869879098902</v>
      </c>
      <c r="AP315" s="53">
        <f t="shared" ref="AP315:AP321" si="633">SUM(B315,L315,V315,AF315)</f>
        <v>531934</v>
      </c>
      <c r="AQ315" s="53">
        <f t="shared" si="617"/>
        <v>141800</v>
      </c>
      <c r="AR315" s="53">
        <f t="shared" si="578"/>
        <v>49400</v>
      </c>
      <c r="AS315" s="53">
        <f t="shared" si="578"/>
        <v>723134</v>
      </c>
      <c r="AT315" s="53">
        <f t="shared" si="604"/>
        <v>564563.25</v>
      </c>
      <c r="AU315" s="53">
        <f t="shared" si="605"/>
        <v>731058.16666666663</v>
      </c>
      <c r="AV315" s="59">
        <f t="shared" ref="AV315:AV320" si="634">((AS315/AS263)-1)*100</f>
        <v>-32.52804978749807</v>
      </c>
      <c r="AW315" s="59">
        <f t="shared" si="613"/>
        <v>-31.243497712382183</v>
      </c>
      <c r="AX315" s="59">
        <f t="shared" ref="AX315:AX320" si="635">((AT315/AU315)-1)*100</f>
        <v>-22.774510190593588</v>
      </c>
      <c r="AZ315" s="53">
        <f t="shared" si="618"/>
        <v>392.45800000000003</v>
      </c>
      <c r="BA315" s="53">
        <f t="shared" si="619"/>
        <v>24.37</v>
      </c>
      <c r="BB315" s="53">
        <f t="shared" si="620"/>
        <v>303.50599999999997</v>
      </c>
      <c r="BC315" s="53">
        <f t="shared" si="621"/>
        <v>2.8</v>
      </c>
      <c r="BD315" s="53">
        <f t="shared" si="622"/>
        <v>723.13400000000001</v>
      </c>
      <c r="BE315" s="60">
        <f t="shared" si="623"/>
        <v>15960.186000000005</v>
      </c>
      <c r="BF315" s="60">
        <f t="shared" si="623"/>
        <v>1458.4839999999997</v>
      </c>
      <c r="BG315" s="60">
        <f t="shared" si="623"/>
        <v>5825.1050000000023</v>
      </c>
      <c r="BH315" s="60">
        <f t="shared" si="623"/>
        <v>414.9079999999999</v>
      </c>
      <c r="BI315" s="60">
        <f t="shared" si="623"/>
        <v>23658.682999999997</v>
      </c>
      <c r="BJ315" s="1">
        <f t="shared" si="413"/>
        <v>45</v>
      </c>
    </row>
    <row r="316" spans="1:62" x14ac:dyDescent="0.3">
      <c r="A316" s="48">
        <f t="shared" si="238"/>
        <v>39767</v>
      </c>
      <c r="B316" s="53">
        <v>386380</v>
      </c>
      <c r="C316" s="53">
        <v>18310</v>
      </c>
      <c r="D316" s="53">
        <v>0</v>
      </c>
      <c r="E316" s="53">
        <f t="shared" si="588"/>
        <v>404690</v>
      </c>
      <c r="F316" s="53">
        <f t="shared" si="615"/>
        <v>315735</v>
      </c>
      <c r="G316" s="53">
        <f t="shared" si="616"/>
        <v>578699</v>
      </c>
      <c r="H316" s="59">
        <f t="shared" si="624"/>
        <v>-54.271489654050242</v>
      </c>
      <c r="I316" s="59">
        <f t="shared" si="624"/>
        <v>-56.891699500049661</v>
      </c>
      <c r="J316" s="59">
        <f t="shared" si="625"/>
        <v>-45.440548540778536</v>
      </c>
      <c r="L316" s="53">
        <v>4887</v>
      </c>
      <c r="M316" s="53">
        <v>0</v>
      </c>
      <c r="N316" s="53">
        <v>1400</v>
      </c>
      <c r="O316" s="53">
        <f t="shared" si="269"/>
        <v>6287</v>
      </c>
      <c r="P316" s="53">
        <f t="shared" ref="P316:P322" si="636">AVERAGE(O313,O314,O315,O316)</f>
        <v>18510.5</v>
      </c>
      <c r="Q316" s="53">
        <f t="shared" ref="Q316:Q322" si="637">AVERAGE(P264,P212,P160)</f>
        <v>17572.333333333332</v>
      </c>
      <c r="R316" s="59">
        <f t="shared" si="626"/>
        <v>-67.083769633507856</v>
      </c>
      <c r="S316" s="59">
        <f t="shared" si="626"/>
        <v>-24.534724911837248</v>
      </c>
      <c r="T316" s="59">
        <f t="shared" si="627"/>
        <v>5.3388849896617963</v>
      </c>
      <c r="V316" s="53">
        <v>64678</v>
      </c>
      <c r="W316" s="53">
        <v>34176</v>
      </c>
      <c r="X316" s="53">
        <v>51800</v>
      </c>
      <c r="Y316" s="53">
        <f t="shared" si="628"/>
        <v>150654</v>
      </c>
      <c r="Z316" s="53">
        <f t="shared" ref="Z316:Z322" si="638">AVERAGE(Y313,Y314,Y315,Y316)</f>
        <v>246971.5</v>
      </c>
      <c r="AA316" s="53">
        <f t="shared" ref="AA316:AA322" si="639">AVERAGE(Z264,Z212,Z160)</f>
        <v>181794.5</v>
      </c>
      <c r="AB316" s="59">
        <f t="shared" si="629"/>
        <v>-11.388861113888616</v>
      </c>
      <c r="AC316" s="59">
        <f t="shared" si="629"/>
        <v>87.75391515888704</v>
      </c>
      <c r="AD316" s="59">
        <f t="shared" si="630"/>
        <v>35.852019725569264</v>
      </c>
      <c r="AF316" s="53">
        <v>3159</v>
      </c>
      <c r="AG316" s="53">
        <v>0</v>
      </c>
      <c r="AH316" s="53">
        <v>4200</v>
      </c>
      <c r="AI316" s="53">
        <f t="shared" si="577"/>
        <v>7359</v>
      </c>
      <c r="AJ316" s="53">
        <f t="shared" ref="AJ316:AJ322" si="640">AVERAGE(AI313,AI314,AI315,AI316)</f>
        <v>6959.75</v>
      </c>
      <c r="AK316" s="53">
        <f t="shared" ref="AK316:AK322" si="641">AVERAGE(AJ264,AJ212,AJ160)</f>
        <v>10675.333333333334</v>
      </c>
      <c r="AL316" s="59">
        <f t="shared" si="631"/>
        <v>359.9375</v>
      </c>
      <c r="AM316" s="59">
        <f t="shared" si="631"/>
        <v>-35.706697459584291</v>
      </c>
      <c r="AN316" s="59">
        <f t="shared" si="632"/>
        <v>-34.805314432023984</v>
      </c>
      <c r="AP316" s="53">
        <f t="shared" si="633"/>
        <v>459104</v>
      </c>
      <c r="AQ316" s="53">
        <f t="shared" si="617"/>
        <v>52486</v>
      </c>
      <c r="AR316" s="53">
        <f t="shared" si="578"/>
        <v>57400</v>
      </c>
      <c r="AS316" s="53">
        <f t="shared" si="578"/>
        <v>568990</v>
      </c>
      <c r="AT316" s="53">
        <f t="shared" ref="AT316:AT322" si="642">AVERAGE(AS313,AS314,AS315,AS316)</f>
        <v>588176.75</v>
      </c>
      <c r="AU316" s="53">
        <f t="shared" ref="AU316:AU322" si="643">AVERAGE(AT264,AT212,AT160)</f>
        <v>788741.16666666663</v>
      </c>
      <c r="AV316" s="59">
        <f t="shared" si="634"/>
        <v>-47.105190010978895</v>
      </c>
      <c r="AW316" s="59">
        <f t="shared" si="613"/>
        <v>-34.59733992352524</v>
      </c>
      <c r="AX316" s="59">
        <f t="shared" si="635"/>
        <v>-25.428420011888143</v>
      </c>
      <c r="AZ316" s="53">
        <f t="shared" si="618"/>
        <v>404.69</v>
      </c>
      <c r="BA316" s="53">
        <f t="shared" si="619"/>
        <v>6.2869999999999999</v>
      </c>
      <c r="BB316" s="53">
        <f t="shared" si="620"/>
        <v>150.654</v>
      </c>
      <c r="BC316" s="53">
        <f t="shared" si="621"/>
        <v>7.359</v>
      </c>
      <c r="BD316" s="53">
        <f t="shared" si="622"/>
        <v>568.99</v>
      </c>
      <c r="BE316" s="60">
        <f t="shared" ref="BE316:BI317" si="644">AZ316+BE315</f>
        <v>16364.876000000006</v>
      </c>
      <c r="BF316" s="60">
        <f t="shared" si="644"/>
        <v>1464.7709999999997</v>
      </c>
      <c r="BG316" s="60">
        <f t="shared" si="644"/>
        <v>5975.7590000000018</v>
      </c>
      <c r="BH316" s="60">
        <f t="shared" si="644"/>
        <v>422.26699999999988</v>
      </c>
      <c r="BI316" s="60">
        <f t="shared" si="644"/>
        <v>24227.672999999999</v>
      </c>
      <c r="BJ316" s="1">
        <f t="shared" si="413"/>
        <v>46</v>
      </c>
    </row>
    <row r="317" spans="1:62" x14ac:dyDescent="0.3">
      <c r="A317" s="48">
        <f t="shared" si="238"/>
        <v>39774</v>
      </c>
      <c r="B317" s="53">
        <v>435968</v>
      </c>
      <c r="C317" s="53">
        <v>34900</v>
      </c>
      <c r="D317" s="53">
        <v>0</v>
      </c>
      <c r="E317" s="53">
        <f t="shared" si="588"/>
        <v>470868</v>
      </c>
      <c r="F317" s="53">
        <f t="shared" si="615"/>
        <v>367794.5</v>
      </c>
      <c r="G317" s="53">
        <f t="shared" si="616"/>
        <v>664837.16666666663</v>
      </c>
      <c r="H317" s="59">
        <f t="shared" si="624"/>
        <v>-41.610585955083344</v>
      </c>
      <c r="I317" s="59">
        <f t="shared" si="624"/>
        <v>-52.284705514520113</v>
      </c>
      <c r="J317" s="59">
        <f t="shared" si="625"/>
        <v>-44.679010374219452</v>
      </c>
      <c r="L317" s="53">
        <v>1535</v>
      </c>
      <c r="M317" s="53">
        <v>1500</v>
      </c>
      <c r="N317" s="53">
        <v>0</v>
      </c>
      <c r="O317" s="53">
        <f t="shared" si="269"/>
        <v>3035</v>
      </c>
      <c r="P317" s="53">
        <f t="shared" si="636"/>
        <v>13006.75</v>
      </c>
      <c r="Q317" s="53">
        <f t="shared" si="637"/>
        <v>16809.5</v>
      </c>
      <c r="R317" s="59">
        <f t="shared" si="626"/>
        <v>-80.182827293503095</v>
      </c>
      <c r="S317" s="59">
        <f t="shared" si="626"/>
        <v>-35.151877749940795</v>
      </c>
      <c r="T317" s="59">
        <f t="shared" si="627"/>
        <v>-22.622624111365596</v>
      </c>
      <c r="V317" s="53">
        <v>58611</v>
      </c>
      <c r="W317" s="53">
        <v>64577</v>
      </c>
      <c r="X317" s="53">
        <v>15400</v>
      </c>
      <c r="Y317" s="53">
        <f t="shared" si="628"/>
        <v>138588</v>
      </c>
      <c r="Z317" s="53">
        <f t="shared" si="638"/>
        <v>213937.25</v>
      </c>
      <c r="AA317" s="53">
        <f t="shared" si="639"/>
        <v>181998.66666666666</v>
      </c>
      <c r="AB317" s="59">
        <f t="shared" si="629"/>
        <v>-36.754484842123517</v>
      </c>
      <c r="AC317" s="59">
        <f t="shared" si="629"/>
        <v>37.643514542056323</v>
      </c>
      <c r="AD317" s="59">
        <f t="shared" si="630"/>
        <v>17.548800723814839</v>
      </c>
      <c r="AF317" s="53">
        <v>6400</v>
      </c>
      <c r="AG317" s="53">
        <v>0</v>
      </c>
      <c r="AH317" s="53">
        <v>0</v>
      </c>
      <c r="AI317" s="53">
        <f t="shared" si="577"/>
        <v>6400</v>
      </c>
      <c r="AJ317" s="53">
        <f t="shared" si="640"/>
        <v>7442.25</v>
      </c>
      <c r="AK317" s="53">
        <f t="shared" si="641"/>
        <v>10680.583333333334</v>
      </c>
      <c r="AL317" s="59">
        <f t="shared" si="631"/>
        <v>-71.17896064126812</v>
      </c>
      <c r="AM317" s="59">
        <f t="shared" si="631"/>
        <v>-17.778821189858029</v>
      </c>
      <c r="AN317" s="59">
        <f t="shared" si="632"/>
        <v>-30.319817113609592</v>
      </c>
      <c r="AP317" s="53">
        <f t="shared" si="633"/>
        <v>502514</v>
      </c>
      <c r="AQ317" s="53">
        <f t="shared" si="617"/>
        <v>100977</v>
      </c>
      <c r="AR317" s="53">
        <f t="shared" si="578"/>
        <v>15400</v>
      </c>
      <c r="AS317" s="53">
        <f t="shared" si="578"/>
        <v>618891</v>
      </c>
      <c r="AT317" s="53">
        <f t="shared" si="642"/>
        <v>602180.75</v>
      </c>
      <c r="AU317" s="53">
        <f t="shared" si="643"/>
        <v>874325.91666666663</v>
      </c>
      <c r="AV317" s="59">
        <f t="shared" si="634"/>
        <v>-41.782940996637116</v>
      </c>
      <c r="AW317" s="59">
        <f t="shared" si="613"/>
        <v>-36.967376539066535</v>
      </c>
      <c r="AX317" s="59">
        <f t="shared" si="635"/>
        <v>-31.126283858107449</v>
      </c>
      <c r="AZ317" s="53">
        <f t="shared" si="618"/>
        <v>470.86799999999999</v>
      </c>
      <c r="BA317" s="53">
        <f t="shared" si="619"/>
        <v>3.0350000000000001</v>
      </c>
      <c r="BB317" s="53">
        <f t="shared" si="620"/>
        <v>138.58799999999999</v>
      </c>
      <c r="BC317" s="53">
        <f t="shared" si="621"/>
        <v>6.4</v>
      </c>
      <c r="BD317" s="53">
        <f t="shared" si="622"/>
        <v>618.89099999999996</v>
      </c>
      <c r="BE317" s="60">
        <f t="shared" si="644"/>
        <v>16835.744000000006</v>
      </c>
      <c r="BF317" s="60">
        <f t="shared" si="644"/>
        <v>1467.8059999999998</v>
      </c>
      <c r="BG317" s="60">
        <f t="shared" si="644"/>
        <v>6114.3470000000016</v>
      </c>
      <c r="BH317" s="60">
        <f t="shared" si="644"/>
        <v>428.66699999999986</v>
      </c>
      <c r="BI317" s="60">
        <f t="shared" si="644"/>
        <v>24846.563999999998</v>
      </c>
      <c r="BJ317" s="1">
        <f t="shared" si="413"/>
        <v>47</v>
      </c>
    </row>
    <row r="318" spans="1:62" x14ac:dyDescent="0.3">
      <c r="A318" s="48">
        <f t="shared" si="238"/>
        <v>39781</v>
      </c>
      <c r="B318" s="53">
        <v>551383</v>
      </c>
      <c r="C318" s="53">
        <v>20700</v>
      </c>
      <c r="D318" s="53">
        <v>0</v>
      </c>
      <c r="E318" s="53">
        <f t="shared" si="588"/>
        <v>572083</v>
      </c>
      <c r="F318" s="53">
        <f t="shared" si="615"/>
        <v>460024.75</v>
      </c>
      <c r="G318" s="53">
        <f t="shared" si="616"/>
        <v>693242.41666666663</v>
      </c>
      <c r="H318" s="59">
        <f t="shared" ref="H318:I320" si="645">((E318/E266)-1)*100</f>
        <v>-1.6681334094206135</v>
      </c>
      <c r="I318" s="59">
        <f t="shared" si="645"/>
        <v>-41.023583207881643</v>
      </c>
      <c r="J318" s="59">
        <f t="shared" si="625"/>
        <v>-33.641574874782251</v>
      </c>
      <c r="L318" s="53">
        <v>1500</v>
      </c>
      <c r="M318" s="53">
        <v>0</v>
      </c>
      <c r="N318" s="53">
        <v>0</v>
      </c>
      <c r="O318" s="53">
        <f t="shared" si="269"/>
        <v>1500</v>
      </c>
      <c r="P318" s="53">
        <f t="shared" si="636"/>
        <v>8798</v>
      </c>
      <c r="Q318" s="53">
        <f t="shared" si="637"/>
        <v>17425.666666666668</v>
      </c>
      <c r="R318" s="59">
        <f t="shared" ref="R318:S320" si="646">((O318/O266)-1)*100</f>
        <v>-94.551200552145005</v>
      </c>
      <c r="S318" s="59">
        <f t="shared" si="646"/>
        <v>-55.757819571557874</v>
      </c>
      <c r="T318" s="59">
        <f t="shared" si="627"/>
        <v>-49.511257340704326</v>
      </c>
      <c r="V318" s="53">
        <v>89934</v>
      </c>
      <c r="W318" s="53">
        <v>51855</v>
      </c>
      <c r="X318" s="53">
        <v>16200</v>
      </c>
      <c r="Y318" s="53">
        <f t="shared" si="628"/>
        <v>157989</v>
      </c>
      <c r="Z318" s="53">
        <f t="shared" si="638"/>
        <v>187684.25</v>
      </c>
      <c r="AA318" s="53">
        <f t="shared" si="639"/>
        <v>191090.41666666666</v>
      </c>
      <c r="AB318" s="59">
        <f t="shared" ref="AB318:AC320" si="647">((Y318/Y266)-1)*100</f>
        <v>-39.261397930899264</v>
      </c>
      <c r="AC318" s="59">
        <f t="shared" si="647"/>
        <v>-11.213384865744501</v>
      </c>
      <c r="AD318" s="59">
        <f t="shared" si="630"/>
        <v>-1.7824895282992026</v>
      </c>
      <c r="AF318" s="53">
        <v>0</v>
      </c>
      <c r="AG318" s="53">
        <v>1500</v>
      </c>
      <c r="AH318" s="53">
        <v>0</v>
      </c>
      <c r="AI318" s="53">
        <f t="shared" si="577"/>
        <v>1500</v>
      </c>
      <c r="AJ318" s="53">
        <f t="shared" si="640"/>
        <v>4514.75</v>
      </c>
      <c r="AK318" s="53">
        <f t="shared" si="641"/>
        <v>12849.25</v>
      </c>
      <c r="AL318" s="59">
        <f t="shared" ref="AL318:AM320" si="648">((AI318/AI266)-1)*100</f>
        <v>-83.602973327503278</v>
      </c>
      <c r="AM318" s="59">
        <f t="shared" si="648"/>
        <v>-58.913864494698998</v>
      </c>
      <c r="AN318" s="59">
        <f t="shared" si="632"/>
        <v>-64.863707998521321</v>
      </c>
      <c r="AP318" s="53">
        <f t="shared" si="633"/>
        <v>642817</v>
      </c>
      <c r="AQ318" s="53">
        <f t="shared" si="617"/>
        <v>74055</v>
      </c>
      <c r="AR318" s="53">
        <f t="shared" si="578"/>
        <v>16200</v>
      </c>
      <c r="AS318" s="53">
        <f t="shared" si="578"/>
        <v>733072</v>
      </c>
      <c r="AT318" s="53">
        <f t="shared" si="642"/>
        <v>661021.75</v>
      </c>
      <c r="AU318" s="53">
        <f t="shared" si="643"/>
        <v>914607.75</v>
      </c>
      <c r="AV318" s="59">
        <f t="shared" si="634"/>
        <v>-16.561534661691958</v>
      </c>
      <c r="AW318" s="59">
        <f t="shared" ref="AW318:AW323" si="649">((AT318/AT266)-1)*100</f>
        <v>-35.338309641538046</v>
      </c>
      <c r="AX318" s="59">
        <f t="shared" si="635"/>
        <v>-27.726202844880767</v>
      </c>
      <c r="AZ318" s="53">
        <f t="shared" si="618"/>
        <v>572.08299999999997</v>
      </c>
      <c r="BA318" s="53">
        <f t="shared" si="619"/>
        <v>1.5</v>
      </c>
      <c r="BB318" s="53">
        <f t="shared" si="620"/>
        <v>157.989</v>
      </c>
      <c r="BC318" s="53">
        <f t="shared" si="621"/>
        <v>1.5</v>
      </c>
      <c r="BD318" s="53">
        <f t="shared" si="622"/>
        <v>733.072</v>
      </c>
      <c r="BE318" s="60">
        <f t="shared" ref="BE318:BI319" si="650">AZ318+BE317</f>
        <v>17407.827000000005</v>
      </c>
      <c r="BF318" s="60">
        <f t="shared" si="650"/>
        <v>1469.3059999999998</v>
      </c>
      <c r="BG318" s="60">
        <f t="shared" si="650"/>
        <v>6272.3360000000011</v>
      </c>
      <c r="BH318" s="60">
        <f t="shared" si="650"/>
        <v>430.16699999999986</v>
      </c>
      <c r="BI318" s="60">
        <f t="shared" si="650"/>
        <v>25579.635999999999</v>
      </c>
      <c r="BJ318" s="1">
        <f t="shared" si="413"/>
        <v>48</v>
      </c>
    </row>
    <row r="319" spans="1:62" x14ac:dyDescent="0.3">
      <c r="A319" s="48">
        <f t="shared" si="238"/>
        <v>39788</v>
      </c>
      <c r="B319" s="53">
        <v>416148</v>
      </c>
      <c r="C319" s="53">
        <v>44226</v>
      </c>
      <c r="D319" s="53">
        <v>0</v>
      </c>
      <c r="E319" s="53">
        <f t="shared" si="588"/>
        <v>460374</v>
      </c>
      <c r="F319" s="53">
        <f t="shared" si="615"/>
        <v>477003.75</v>
      </c>
      <c r="G319" s="53">
        <f t="shared" si="616"/>
        <v>691277.41666666663</v>
      </c>
      <c r="H319" s="59">
        <f t="shared" si="645"/>
        <v>-27.673626876012335</v>
      </c>
      <c r="I319" s="59">
        <f t="shared" si="645"/>
        <v>-34.426209789113869</v>
      </c>
      <c r="J319" s="59">
        <f t="shared" si="625"/>
        <v>-30.996769386723532</v>
      </c>
      <c r="L319" s="53">
        <v>18000</v>
      </c>
      <c r="M319" s="53">
        <v>7500</v>
      </c>
      <c r="N319" s="53">
        <v>2800</v>
      </c>
      <c r="O319" s="53">
        <f t="shared" ref="O319:O361" si="651">SUM(L319:N319)</f>
        <v>28300</v>
      </c>
      <c r="P319" s="53">
        <f t="shared" si="636"/>
        <v>9780.5</v>
      </c>
      <c r="Q319" s="53">
        <f t="shared" si="637"/>
        <v>17332.833333333332</v>
      </c>
      <c r="R319" s="59">
        <f t="shared" si="646"/>
        <v>2.1660649819494671</v>
      </c>
      <c r="S319" s="59">
        <f t="shared" si="646"/>
        <v>-56.358484672705366</v>
      </c>
      <c r="T319" s="59">
        <f t="shared" si="627"/>
        <v>-43.572410742617571</v>
      </c>
      <c r="V319" s="53">
        <v>152117</v>
      </c>
      <c r="W319" s="53">
        <v>35254</v>
      </c>
      <c r="X319" s="53">
        <v>37800</v>
      </c>
      <c r="Y319" s="53">
        <f t="shared" si="628"/>
        <v>225171</v>
      </c>
      <c r="Z319" s="53">
        <f t="shared" si="638"/>
        <v>168100.5</v>
      </c>
      <c r="AA319" s="53">
        <f t="shared" si="639"/>
        <v>200710.25</v>
      </c>
      <c r="AB319" s="59">
        <f t="shared" si="647"/>
        <v>-10.058238000894736</v>
      </c>
      <c r="AC319" s="59">
        <f t="shared" si="647"/>
        <v>-25.256194635669495</v>
      </c>
      <c r="AD319" s="59">
        <f t="shared" si="630"/>
        <v>-16.247177211926143</v>
      </c>
      <c r="AF319" s="53">
        <v>0</v>
      </c>
      <c r="AG319" s="53">
        <v>3000</v>
      </c>
      <c r="AH319" s="53">
        <v>1400</v>
      </c>
      <c r="AI319" s="53">
        <f t="shared" si="577"/>
        <v>4400</v>
      </c>
      <c r="AJ319" s="53">
        <f t="shared" si="640"/>
        <v>4914.75</v>
      </c>
      <c r="AK319" s="53">
        <f t="shared" si="641"/>
        <v>16719.25</v>
      </c>
      <c r="AL319" s="59">
        <f t="shared" si="648"/>
        <v>-71.794871794871796</v>
      </c>
      <c r="AM319" s="59">
        <f t="shared" si="648"/>
        <v>-59.511059850887669</v>
      </c>
      <c r="AN319" s="59">
        <f t="shared" si="632"/>
        <v>-70.604243611406019</v>
      </c>
      <c r="AP319" s="53">
        <f t="shared" si="633"/>
        <v>586265</v>
      </c>
      <c r="AQ319" s="53">
        <f t="shared" si="617"/>
        <v>89980</v>
      </c>
      <c r="AR319" s="53">
        <f t="shared" si="578"/>
        <v>42000</v>
      </c>
      <c r="AS319" s="53">
        <f t="shared" si="578"/>
        <v>718245</v>
      </c>
      <c r="AT319" s="53">
        <f t="shared" si="642"/>
        <v>659799.5</v>
      </c>
      <c r="AU319" s="53">
        <f t="shared" si="643"/>
        <v>926039.75</v>
      </c>
      <c r="AV319" s="59">
        <f t="shared" si="634"/>
        <v>-22.783884752869088</v>
      </c>
      <c r="AW319" s="59">
        <f t="shared" si="649"/>
        <v>-33.143037074585138</v>
      </c>
      <c r="AX319" s="59">
        <f t="shared" si="635"/>
        <v>-28.750412711765339</v>
      </c>
      <c r="AZ319" s="53">
        <f t="shared" si="618"/>
        <v>460.37400000000002</v>
      </c>
      <c r="BA319" s="53">
        <f t="shared" si="619"/>
        <v>28.3</v>
      </c>
      <c r="BB319" s="53">
        <f t="shared" si="620"/>
        <v>225.17099999999999</v>
      </c>
      <c r="BC319" s="53">
        <f t="shared" si="621"/>
        <v>4.4000000000000004</v>
      </c>
      <c r="BD319" s="53">
        <f t="shared" si="622"/>
        <v>718.245</v>
      </c>
      <c r="BE319" s="60">
        <f t="shared" si="650"/>
        <v>17868.201000000005</v>
      </c>
      <c r="BF319" s="60">
        <f t="shared" si="650"/>
        <v>1497.6059999999998</v>
      </c>
      <c r="BG319" s="60">
        <f t="shared" si="650"/>
        <v>6497.5070000000014</v>
      </c>
      <c r="BH319" s="60">
        <f t="shared" si="650"/>
        <v>434.56699999999984</v>
      </c>
      <c r="BI319" s="60">
        <f t="shared" si="650"/>
        <v>26297.880999999998</v>
      </c>
      <c r="BJ319" s="1">
        <f t="shared" si="413"/>
        <v>49</v>
      </c>
    </row>
    <row r="320" spans="1:62" x14ac:dyDescent="0.3">
      <c r="A320" s="48">
        <f t="shared" si="238"/>
        <v>39795</v>
      </c>
      <c r="B320" s="53">
        <v>359801</v>
      </c>
      <c r="C320" s="53">
        <v>41300</v>
      </c>
      <c r="D320" s="53">
        <v>0</v>
      </c>
      <c r="E320" s="53">
        <f t="shared" si="588"/>
        <v>401101</v>
      </c>
      <c r="F320" s="53">
        <f t="shared" ref="F320:F325" si="652">AVERAGE(E317,E318,E319,E320)</f>
        <v>476106.5</v>
      </c>
      <c r="G320" s="53">
        <f t="shared" ref="G320:G325" si="653">AVERAGE(F268,F216,F164)</f>
        <v>656271.41666666663</v>
      </c>
      <c r="H320" s="59">
        <f t="shared" si="645"/>
        <v>-29.16713758953421</v>
      </c>
      <c r="I320" s="59">
        <f t="shared" si="645"/>
        <v>-26.498474335411547</v>
      </c>
      <c r="J320" s="59">
        <f t="shared" si="625"/>
        <v>-27.452805667167425</v>
      </c>
      <c r="L320" s="53">
        <v>3000</v>
      </c>
      <c r="M320" s="53">
        <v>9000</v>
      </c>
      <c r="N320" s="53">
        <v>1400</v>
      </c>
      <c r="O320" s="53">
        <f t="shared" si="651"/>
        <v>13400</v>
      </c>
      <c r="P320" s="53">
        <f t="shared" si="636"/>
        <v>11558.75</v>
      </c>
      <c r="Q320" s="53">
        <f t="shared" si="637"/>
        <v>20858.75</v>
      </c>
      <c r="R320" s="59">
        <f t="shared" si="646"/>
        <v>-36.348090442713278</v>
      </c>
      <c r="S320" s="59">
        <f t="shared" si="646"/>
        <v>-49.5229049303463</v>
      </c>
      <c r="T320" s="59">
        <f t="shared" si="627"/>
        <v>-44.585605561215317</v>
      </c>
      <c r="V320" s="53">
        <v>113844</v>
      </c>
      <c r="W320" s="53">
        <v>48900</v>
      </c>
      <c r="X320" s="53">
        <v>36400</v>
      </c>
      <c r="Y320" s="53">
        <f t="shared" si="628"/>
        <v>199144</v>
      </c>
      <c r="Z320" s="53">
        <f t="shared" si="638"/>
        <v>180223</v>
      </c>
      <c r="AA320" s="53">
        <f t="shared" si="639"/>
        <v>212238.16666666666</v>
      </c>
      <c r="AB320" s="59">
        <f t="shared" si="647"/>
        <v>0.47020362036607199</v>
      </c>
      <c r="AC320" s="59">
        <f t="shared" si="647"/>
        <v>-22.301261904453963</v>
      </c>
      <c r="AD320" s="59">
        <f t="shared" si="630"/>
        <v>-15.084547312806595</v>
      </c>
      <c r="AF320" s="53">
        <v>0</v>
      </c>
      <c r="AG320" s="53">
        <v>1500</v>
      </c>
      <c r="AH320" s="53">
        <v>4200</v>
      </c>
      <c r="AI320" s="53">
        <f t="shared" si="577"/>
        <v>5700</v>
      </c>
      <c r="AJ320" s="53">
        <f t="shared" si="640"/>
        <v>4500</v>
      </c>
      <c r="AK320" s="53">
        <f t="shared" si="641"/>
        <v>18224.666666666668</v>
      </c>
      <c r="AL320" s="59">
        <f t="shared" si="648"/>
        <v>-58.545454545454547</v>
      </c>
      <c r="AM320" s="59">
        <f t="shared" si="648"/>
        <v>-70.347917764891932</v>
      </c>
      <c r="AN320" s="59">
        <f t="shared" si="632"/>
        <v>-75.308190364707173</v>
      </c>
      <c r="AP320" s="53">
        <f t="shared" si="633"/>
        <v>476645</v>
      </c>
      <c r="AQ320" s="53">
        <f t="shared" si="617"/>
        <v>100700</v>
      </c>
      <c r="AR320" s="53">
        <f t="shared" si="578"/>
        <v>42000</v>
      </c>
      <c r="AS320" s="53">
        <f t="shared" si="578"/>
        <v>619345</v>
      </c>
      <c r="AT320" s="53">
        <f t="shared" si="642"/>
        <v>672388.25</v>
      </c>
      <c r="AU320" s="53">
        <f t="shared" si="643"/>
        <v>907593</v>
      </c>
      <c r="AV320" s="59">
        <f t="shared" si="634"/>
        <v>-22.511942027679975</v>
      </c>
      <c r="AW320" s="59">
        <f t="shared" si="649"/>
        <v>-26.737255747995292</v>
      </c>
      <c r="AX320" s="59">
        <f t="shared" si="635"/>
        <v>-25.915223012958457</v>
      </c>
      <c r="AZ320" s="53">
        <f t="shared" si="618"/>
        <v>401.101</v>
      </c>
      <c r="BA320" s="53">
        <f t="shared" si="619"/>
        <v>13.4</v>
      </c>
      <c r="BB320" s="53">
        <f t="shared" si="620"/>
        <v>199.14400000000001</v>
      </c>
      <c r="BC320" s="53">
        <f t="shared" si="621"/>
        <v>5.7</v>
      </c>
      <c r="BD320" s="53">
        <f t="shared" si="622"/>
        <v>619.34500000000003</v>
      </c>
      <c r="BE320" s="60">
        <f t="shared" ref="BE320:BI321" si="654">AZ320+BE319</f>
        <v>18269.302000000003</v>
      </c>
      <c r="BF320" s="60">
        <f t="shared" si="654"/>
        <v>1511.0059999999999</v>
      </c>
      <c r="BG320" s="60">
        <f t="shared" si="654"/>
        <v>6696.6510000000017</v>
      </c>
      <c r="BH320" s="60">
        <f t="shared" si="654"/>
        <v>440.26699999999983</v>
      </c>
      <c r="BI320" s="60">
        <f t="shared" si="654"/>
        <v>26917.225999999999</v>
      </c>
      <c r="BJ320" s="1">
        <f t="shared" si="413"/>
        <v>50</v>
      </c>
    </row>
    <row r="321" spans="1:62" x14ac:dyDescent="0.3">
      <c r="A321" s="48">
        <f t="shared" si="238"/>
        <v>39802</v>
      </c>
      <c r="B321" s="53">
        <v>253660</v>
      </c>
      <c r="C321" s="53">
        <v>112650</v>
      </c>
      <c r="D321" s="53">
        <v>0</v>
      </c>
      <c r="E321" s="53">
        <f t="shared" si="588"/>
        <v>366310</v>
      </c>
      <c r="F321" s="53">
        <f t="shared" si="652"/>
        <v>449967</v>
      </c>
      <c r="G321" s="53">
        <f t="shared" si="653"/>
        <v>565225.33333333337</v>
      </c>
      <c r="H321" s="59">
        <f t="shared" ref="H321:I323" si="655">((E321/E269)-1)*100</f>
        <v>26.088572825091738</v>
      </c>
      <c r="I321" s="59">
        <f t="shared" si="655"/>
        <v>-13.263260971917889</v>
      </c>
      <c r="J321" s="59">
        <f t="shared" ref="J321:J326" si="656">((F321/G321)-1)*100</f>
        <v>-20.391572446623062</v>
      </c>
      <c r="L321" s="53">
        <v>3100</v>
      </c>
      <c r="M321" s="53">
        <v>21000</v>
      </c>
      <c r="N321" s="53">
        <v>0</v>
      </c>
      <c r="O321" s="53">
        <f t="shared" si="651"/>
        <v>24100</v>
      </c>
      <c r="P321" s="53">
        <f t="shared" si="636"/>
        <v>16825</v>
      </c>
      <c r="Q321" s="53">
        <f t="shared" si="637"/>
        <v>21073.583333333332</v>
      </c>
      <c r="R321" s="59">
        <f t="shared" ref="R321:S323" si="657">((O321/O269)-1)*100</f>
        <v>46.060606060606069</v>
      </c>
      <c r="S321" s="59">
        <f t="shared" si="657"/>
        <v>-27.463597072676514</v>
      </c>
      <c r="T321" s="59">
        <f t="shared" ref="T321:T326" si="658">((P321/Q321)-1)*100</f>
        <v>-20.160706729989752</v>
      </c>
      <c r="V321" s="53">
        <v>89780</v>
      </c>
      <c r="W321" s="53">
        <v>59200</v>
      </c>
      <c r="X321" s="53">
        <v>19600</v>
      </c>
      <c r="Y321" s="53">
        <f t="shared" si="628"/>
        <v>168580</v>
      </c>
      <c r="Z321" s="53">
        <f t="shared" si="638"/>
        <v>187721</v>
      </c>
      <c r="AA321" s="53">
        <f t="shared" si="639"/>
        <v>202975.66666666666</v>
      </c>
      <c r="AB321" s="59">
        <f t="shared" ref="AB321:AC323" si="659">((Y321/Y269)-1)*100</f>
        <v>59.505719611312436</v>
      </c>
      <c r="AC321" s="59">
        <f t="shared" si="659"/>
        <v>-7.7952665017940292</v>
      </c>
      <c r="AD321" s="59">
        <f t="shared" ref="AD321:AD326" si="660">((Z321/AA321)-1)*100</f>
        <v>-7.5155149960504204</v>
      </c>
      <c r="AF321" s="53">
        <v>0</v>
      </c>
      <c r="AG321" s="53">
        <v>0</v>
      </c>
      <c r="AH321" s="53">
        <v>7600</v>
      </c>
      <c r="AI321" s="53">
        <f t="shared" si="577"/>
        <v>7600</v>
      </c>
      <c r="AJ321" s="53">
        <f t="shared" si="640"/>
        <v>4800</v>
      </c>
      <c r="AK321" s="53">
        <f t="shared" si="641"/>
        <v>18002.75</v>
      </c>
      <c r="AL321" s="59">
        <f t="shared" ref="AL321:AM323" si="661">((AI321/AI269)-1)*100</f>
        <v>-64.81481481481481</v>
      </c>
      <c r="AM321" s="59">
        <f t="shared" si="661"/>
        <v>-68.05218143698626</v>
      </c>
      <c r="AN321" s="59">
        <f t="shared" ref="AN321:AN326" si="662">((AJ321/AK321)-1)*100</f>
        <v>-73.337406785074506</v>
      </c>
      <c r="AP321" s="53">
        <f t="shared" si="633"/>
        <v>346540</v>
      </c>
      <c r="AQ321" s="53">
        <f t="shared" si="617"/>
        <v>192850</v>
      </c>
      <c r="AR321" s="53">
        <f t="shared" si="578"/>
        <v>27200</v>
      </c>
      <c r="AS321" s="53">
        <f t="shared" si="578"/>
        <v>566590</v>
      </c>
      <c r="AT321" s="53">
        <f t="shared" si="642"/>
        <v>659313</v>
      </c>
      <c r="AU321" s="53">
        <f t="shared" si="643"/>
        <v>807277.33333333337</v>
      </c>
      <c r="AV321" s="59">
        <f t="shared" ref="AV321:AV326" si="663">((AS321/AS269)-1)*100</f>
        <v>30.458408453006736</v>
      </c>
      <c r="AW321" s="59">
        <f t="shared" si="649"/>
        <v>-13.314957115218629</v>
      </c>
      <c r="AX321" s="59">
        <f t="shared" ref="AX321:AX326" si="664">((AT321/AU321)-1)*100</f>
        <v>-18.328810586366028</v>
      </c>
      <c r="AZ321" s="53">
        <f t="shared" si="618"/>
        <v>366.31</v>
      </c>
      <c r="BA321" s="53">
        <f t="shared" si="619"/>
        <v>24.1</v>
      </c>
      <c r="BB321" s="53">
        <f t="shared" si="620"/>
        <v>168.58</v>
      </c>
      <c r="BC321" s="53">
        <f t="shared" si="621"/>
        <v>7.6</v>
      </c>
      <c r="BD321" s="53">
        <f t="shared" si="622"/>
        <v>566.59</v>
      </c>
      <c r="BE321" s="60">
        <f t="shared" si="654"/>
        <v>18635.612000000005</v>
      </c>
      <c r="BF321" s="60">
        <f t="shared" si="654"/>
        <v>1535.1059999999998</v>
      </c>
      <c r="BG321" s="60">
        <f t="shared" si="654"/>
        <v>6865.2310000000016</v>
      </c>
      <c r="BH321" s="60">
        <f t="shared" si="654"/>
        <v>447.86699999999985</v>
      </c>
      <c r="BI321" s="60">
        <f t="shared" si="654"/>
        <v>27483.815999999999</v>
      </c>
      <c r="BJ321" s="1">
        <f t="shared" si="413"/>
        <v>51</v>
      </c>
    </row>
    <row r="322" spans="1:62" x14ac:dyDescent="0.3">
      <c r="A322" s="48">
        <f t="shared" si="238"/>
        <v>39809</v>
      </c>
      <c r="B322" s="53">
        <v>112100</v>
      </c>
      <c r="C322" s="53">
        <v>35000</v>
      </c>
      <c r="D322" s="53">
        <v>0</v>
      </c>
      <c r="E322" s="53">
        <f t="shared" si="588"/>
        <v>147100</v>
      </c>
      <c r="F322" s="53">
        <f t="shared" si="652"/>
        <v>343721.25</v>
      </c>
      <c r="G322" s="53">
        <f t="shared" si="653"/>
        <v>525401</v>
      </c>
      <c r="H322" s="59">
        <f t="shared" si="655"/>
        <v>-72.643348112000481</v>
      </c>
      <c r="I322" s="59">
        <f t="shared" si="655"/>
        <v>-32.305588776460269</v>
      </c>
      <c r="J322" s="59">
        <f t="shared" si="656"/>
        <v>-34.579254702598583</v>
      </c>
      <c r="L322" s="53">
        <v>0</v>
      </c>
      <c r="M322" s="53">
        <v>4500</v>
      </c>
      <c r="N322" s="53">
        <v>2800</v>
      </c>
      <c r="O322" s="53">
        <f t="shared" si="651"/>
        <v>7300</v>
      </c>
      <c r="P322" s="53">
        <f t="shared" si="636"/>
        <v>18275</v>
      </c>
      <c r="Q322" s="53">
        <f t="shared" si="637"/>
        <v>18242.083333333332</v>
      </c>
      <c r="R322" s="59">
        <f t="shared" si="657"/>
        <v>-29.126213592233007</v>
      </c>
      <c r="S322" s="59">
        <f t="shared" si="657"/>
        <v>-3.245446844557387</v>
      </c>
      <c r="T322" s="59">
        <f t="shared" si="658"/>
        <v>0.18044357141226985</v>
      </c>
      <c r="V322" s="53">
        <v>75424</v>
      </c>
      <c r="W322" s="53">
        <v>72500</v>
      </c>
      <c r="X322" s="53">
        <v>48400</v>
      </c>
      <c r="Y322" s="53">
        <f t="shared" si="628"/>
        <v>196324</v>
      </c>
      <c r="Z322" s="53">
        <f t="shared" si="638"/>
        <v>197304.75</v>
      </c>
      <c r="AA322" s="53">
        <f t="shared" si="639"/>
        <v>199993.66666666666</v>
      </c>
      <c r="AB322" s="59">
        <f t="shared" si="659"/>
        <v>50.936027246657602</v>
      </c>
      <c r="AC322" s="59">
        <f t="shared" si="659"/>
        <v>15.328265558419707</v>
      </c>
      <c r="AD322" s="59">
        <f t="shared" si="660"/>
        <v>-1.3445009091954563</v>
      </c>
      <c r="AF322" s="53">
        <v>0</v>
      </c>
      <c r="AG322" s="53">
        <v>1800</v>
      </c>
      <c r="AH322" s="53">
        <v>3200</v>
      </c>
      <c r="AI322" s="53">
        <f t="shared" si="577"/>
        <v>5000</v>
      </c>
      <c r="AJ322" s="53">
        <f t="shared" si="640"/>
        <v>5675</v>
      </c>
      <c r="AK322" s="53">
        <f t="shared" si="641"/>
        <v>18232.083333333332</v>
      </c>
      <c r="AL322" s="59">
        <f t="shared" si="661"/>
        <v>-81.060606060606062</v>
      </c>
      <c r="AM322" s="59">
        <f t="shared" si="661"/>
        <v>-70.652876535229467</v>
      </c>
      <c r="AN322" s="59">
        <f t="shared" si="662"/>
        <v>-68.873551660305779</v>
      </c>
      <c r="AP322" s="53">
        <f t="shared" ref="AP322:AS376" si="665">SUM(B322,L322,V322,AF322)</f>
        <v>187524</v>
      </c>
      <c r="AQ322" s="53">
        <f t="shared" si="665"/>
        <v>113800</v>
      </c>
      <c r="AR322" s="53">
        <f t="shared" si="665"/>
        <v>54400</v>
      </c>
      <c r="AS322" s="53">
        <f t="shared" si="665"/>
        <v>355724</v>
      </c>
      <c r="AT322" s="53">
        <f t="shared" si="642"/>
        <v>564976</v>
      </c>
      <c r="AU322" s="53">
        <f t="shared" si="643"/>
        <v>761868.83333333337</v>
      </c>
      <c r="AV322" s="59">
        <f t="shared" si="663"/>
        <v>-49.505665857089518</v>
      </c>
      <c r="AW322" s="59">
        <f t="shared" si="649"/>
        <v>-21.209465167351581</v>
      </c>
      <c r="AX322" s="59">
        <f t="shared" si="664"/>
        <v>-25.843403052975223</v>
      </c>
      <c r="AZ322" s="53">
        <f t="shared" si="618"/>
        <v>147.1</v>
      </c>
      <c r="BA322" s="53">
        <f t="shared" si="619"/>
        <v>7.3</v>
      </c>
      <c r="BB322" s="53">
        <f t="shared" si="620"/>
        <v>196.32400000000001</v>
      </c>
      <c r="BC322" s="53">
        <f t="shared" si="621"/>
        <v>5</v>
      </c>
      <c r="BD322" s="53">
        <f t="shared" si="622"/>
        <v>355.72399999999999</v>
      </c>
      <c r="BE322" s="60">
        <f>AZ322+BE321</f>
        <v>18782.712000000003</v>
      </c>
      <c r="BF322" s="60">
        <f>BA322+BF321</f>
        <v>1542.4059999999997</v>
      </c>
      <c r="BG322" s="60">
        <f>BB322+BG321</f>
        <v>7061.5550000000012</v>
      </c>
      <c r="BH322" s="60">
        <f>BC322+BH321</f>
        <v>452.86699999999985</v>
      </c>
      <c r="BI322" s="60">
        <f>BD322+BI321</f>
        <v>27839.539999999997</v>
      </c>
      <c r="BJ322" s="1">
        <f t="shared" si="413"/>
        <v>52</v>
      </c>
    </row>
    <row r="323" spans="1:62" x14ac:dyDescent="0.3">
      <c r="A323" s="48">
        <f t="shared" si="238"/>
        <v>39816</v>
      </c>
      <c r="B323" s="53">
        <v>170351</v>
      </c>
      <c r="C323" s="53">
        <v>90950</v>
      </c>
      <c r="D323" s="53">
        <v>0</v>
      </c>
      <c r="E323" s="53">
        <f t="shared" si="588"/>
        <v>261301</v>
      </c>
      <c r="F323" s="53">
        <f t="shared" si="652"/>
        <v>293953</v>
      </c>
      <c r="G323" s="53">
        <f t="shared" si="653"/>
        <v>451565.41666666669</v>
      </c>
      <c r="H323" s="59">
        <f t="shared" si="655"/>
        <v>-35.535989184495143</v>
      </c>
      <c r="I323" s="59">
        <f t="shared" si="655"/>
        <v>-34.671231521948087</v>
      </c>
      <c r="J323" s="59">
        <f t="shared" si="656"/>
        <v>-34.903562329931894</v>
      </c>
      <c r="L323" s="53">
        <v>4600</v>
      </c>
      <c r="M323" s="53">
        <v>1500</v>
      </c>
      <c r="N323" s="53">
        <v>1400</v>
      </c>
      <c r="O323" s="53">
        <f t="shared" si="651"/>
        <v>7500</v>
      </c>
      <c r="P323" s="53">
        <f t="shared" ref="P323:P329" si="666">AVERAGE(O320,O321,O322,O323)</f>
        <v>13075</v>
      </c>
      <c r="Q323" s="53">
        <f t="shared" ref="Q323:Q329" si="667">AVERAGE(P271,P219,P167)</f>
        <v>19347.75</v>
      </c>
      <c r="R323" s="59">
        <f t="shared" si="657"/>
        <v>-49.152542372881356</v>
      </c>
      <c r="S323" s="59">
        <f t="shared" si="657"/>
        <v>-16.456343247819561</v>
      </c>
      <c r="T323" s="59">
        <f t="shared" si="658"/>
        <v>-32.421082554819037</v>
      </c>
      <c r="V323" s="53">
        <v>80900</v>
      </c>
      <c r="W323" s="53">
        <v>68600</v>
      </c>
      <c r="X323" s="53">
        <v>40600</v>
      </c>
      <c r="Y323" s="53">
        <f t="shared" si="628"/>
        <v>190100</v>
      </c>
      <c r="Z323" s="53">
        <f t="shared" ref="Z323:Z329" si="668">AVERAGE(Y320,Y321,Y322,Y323)</f>
        <v>188537</v>
      </c>
      <c r="AA323" s="53">
        <f t="shared" ref="AA323:AA329" si="669">AVERAGE(Z271,Z219,Z167)</f>
        <v>178599.41666666666</v>
      </c>
      <c r="AB323" s="59">
        <f t="shared" si="659"/>
        <v>39.145073927682631</v>
      </c>
      <c r="AC323" s="59">
        <f t="shared" si="659"/>
        <v>32.169395995737759</v>
      </c>
      <c r="AD323" s="59">
        <f t="shared" si="660"/>
        <v>5.5641745750382832</v>
      </c>
      <c r="AF323" s="53">
        <v>0</v>
      </c>
      <c r="AG323" s="53">
        <v>0</v>
      </c>
      <c r="AH323" s="53">
        <v>6400</v>
      </c>
      <c r="AI323" s="53">
        <f t="shared" si="577"/>
        <v>6400</v>
      </c>
      <c r="AJ323" s="53">
        <f t="shared" ref="AJ323:AJ329" si="670">AVERAGE(AI320,AI321,AI322,AI323)</f>
        <v>6175</v>
      </c>
      <c r="AK323" s="53">
        <f t="shared" ref="AK323:AK329" si="671">AVERAGE(AJ271,AJ219,AJ167)</f>
        <v>18049.25</v>
      </c>
      <c r="AL323" s="59">
        <f t="shared" si="661"/>
        <v>-59.493670886075954</v>
      </c>
      <c r="AM323" s="59">
        <f t="shared" si="661"/>
        <v>-68.149580915538351</v>
      </c>
      <c r="AN323" s="59">
        <f t="shared" si="662"/>
        <v>-65.788052135130272</v>
      </c>
      <c r="AP323" s="53">
        <f t="shared" si="665"/>
        <v>255851</v>
      </c>
      <c r="AQ323" s="53">
        <f t="shared" si="665"/>
        <v>161050</v>
      </c>
      <c r="AR323" s="53">
        <f t="shared" si="665"/>
        <v>48400</v>
      </c>
      <c r="AS323" s="53">
        <f t="shared" si="665"/>
        <v>465301</v>
      </c>
      <c r="AT323" s="53">
        <f t="shared" ref="AT323:AT329" si="672">AVERAGE(AS320,AS321,AS322,AS323)</f>
        <v>501740</v>
      </c>
      <c r="AU323" s="53">
        <f t="shared" ref="AU323:AU329" si="673">AVERAGE(AT271,AT219,AT167)</f>
        <v>667561.83333333337</v>
      </c>
      <c r="AV323" s="59">
        <f t="shared" si="663"/>
        <v>-18.726703626461539</v>
      </c>
      <c r="AW323" s="59">
        <f t="shared" si="649"/>
        <v>-20.059970158313888</v>
      </c>
      <c r="AX323" s="59">
        <f t="shared" si="664"/>
        <v>-24.83992119581433</v>
      </c>
      <c r="AZ323" s="53">
        <f t="shared" si="618"/>
        <v>261.30099999999999</v>
      </c>
      <c r="BA323" s="53">
        <f t="shared" si="619"/>
        <v>7.5</v>
      </c>
      <c r="BB323" s="53">
        <f t="shared" si="620"/>
        <v>190.1</v>
      </c>
      <c r="BC323" s="53">
        <f t="shared" si="621"/>
        <v>6.4</v>
      </c>
      <c r="BD323" s="53">
        <f t="shared" si="622"/>
        <v>465.30099999999999</v>
      </c>
      <c r="BE323" s="60">
        <f>AZ323</f>
        <v>261.30099999999999</v>
      </c>
      <c r="BF323" s="60">
        <f>BA323</f>
        <v>7.5</v>
      </c>
      <c r="BG323" s="60">
        <f>BB323</f>
        <v>190.1</v>
      </c>
      <c r="BH323" s="60">
        <f>BC323</f>
        <v>6.4</v>
      </c>
      <c r="BI323" s="60">
        <f>BD323</f>
        <v>465.30099999999999</v>
      </c>
      <c r="BJ323" s="1">
        <v>1</v>
      </c>
    </row>
    <row r="324" spans="1:62" x14ac:dyDescent="0.3">
      <c r="A324" s="48">
        <f t="shared" si="238"/>
        <v>39823</v>
      </c>
      <c r="B324" s="53">
        <v>82300</v>
      </c>
      <c r="C324" s="53">
        <v>86050</v>
      </c>
      <c r="D324" s="53">
        <v>0</v>
      </c>
      <c r="E324" s="53">
        <f t="shared" si="588"/>
        <v>168350</v>
      </c>
      <c r="F324" s="53">
        <f t="shared" si="652"/>
        <v>235765.25</v>
      </c>
      <c r="G324" s="53">
        <f t="shared" si="653"/>
        <v>407097.75</v>
      </c>
      <c r="H324" s="59">
        <f t="shared" ref="H324:I326" si="674">((E324/E272)-1)*100</f>
        <v>-50.953114848664072</v>
      </c>
      <c r="I324" s="59">
        <f t="shared" si="674"/>
        <v>-40.192108532569094</v>
      </c>
      <c r="J324" s="59">
        <f t="shared" si="656"/>
        <v>-42.086329388948975</v>
      </c>
      <c r="L324" s="53">
        <v>0</v>
      </c>
      <c r="M324" s="53">
        <v>1500</v>
      </c>
      <c r="N324" s="53">
        <v>0</v>
      </c>
      <c r="O324" s="53">
        <f t="shared" si="651"/>
        <v>1500</v>
      </c>
      <c r="P324" s="53">
        <f t="shared" si="666"/>
        <v>10100</v>
      </c>
      <c r="Q324" s="53">
        <f t="shared" si="667"/>
        <v>17519.333333333332</v>
      </c>
      <c r="R324" s="59">
        <f t="shared" ref="R324:S326" si="675">((O324/O272)-1)*100</f>
        <v>-89.510489510489506</v>
      </c>
      <c r="S324" s="59">
        <f t="shared" si="675"/>
        <v>-27.663384064458374</v>
      </c>
      <c r="T324" s="59">
        <f t="shared" si="658"/>
        <v>-42.349404467445481</v>
      </c>
      <c r="V324" s="53">
        <v>48200</v>
      </c>
      <c r="W324" s="53">
        <v>72050</v>
      </c>
      <c r="X324" s="53">
        <v>15400</v>
      </c>
      <c r="Y324" s="53">
        <f t="shared" si="628"/>
        <v>135650</v>
      </c>
      <c r="Z324" s="53">
        <f t="shared" si="668"/>
        <v>172663.5</v>
      </c>
      <c r="AA324" s="53">
        <f t="shared" si="669"/>
        <v>165526.33333333334</v>
      </c>
      <c r="AB324" s="59">
        <f t="shared" ref="AB324:AC326" si="676">((Y324/Y272)-1)*100</f>
        <v>-23.366777393623028</v>
      </c>
      <c r="AC324" s="59">
        <f t="shared" si="676"/>
        <v>25.712423915892479</v>
      </c>
      <c r="AD324" s="59">
        <f t="shared" si="660"/>
        <v>4.3118013448011139</v>
      </c>
      <c r="AF324" s="53">
        <v>0</v>
      </c>
      <c r="AG324" s="53">
        <v>1600</v>
      </c>
      <c r="AH324" s="53">
        <v>0</v>
      </c>
      <c r="AI324" s="53">
        <f t="shared" si="577"/>
        <v>1600</v>
      </c>
      <c r="AJ324" s="53">
        <f t="shared" si="670"/>
        <v>5150</v>
      </c>
      <c r="AK324" s="53">
        <f t="shared" si="671"/>
        <v>18561.333333333332</v>
      </c>
      <c r="AL324" s="59">
        <f t="shared" ref="AL324:AM326" si="677">((AI324/AI272)-1)*100</f>
        <v>-91.111111111111114</v>
      </c>
      <c r="AM324" s="59">
        <f t="shared" si="677"/>
        <v>-74.816625916870422</v>
      </c>
      <c r="AN324" s="59">
        <f t="shared" si="662"/>
        <v>-72.254148408878677</v>
      </c>
      <c r="AP324" s="53">
        <f t="shared" si="665"/>
        <v>130500</v>
      </c>
      <c r="AQ324" s="53">
        <f t="shared" si="665"/>
        <v>161200</v>
      </c>
      <c r="AR324" s="53">
        <f t="shared" si="665"/>
        <v>15400</v>
      </c>
      <c r="AS324" s="53">
        <f t="shared" si="665"/>
        <v>307100</v>
      </c>
      <c r="AT324" s="53">
        <f t="shared" si="672"/>
        <v>423678.75</v>
      </c>
      <c r="AU324" s="53">
        <f t="shared" si="673"/>
        <v>608704.75</v>
      </c>
      <c r="AV324" s="59">
        <f t="shared" si="663"/>
        <v>-44.42182226203726</v>
      </c>
      <c r="AW324" s="59">
        <f t="shared" ref="AW324:AW329" si="678">((AT324/AT272)-1)*100</f>
        <v>-25.140434982920755</v>
      </c>
      <c r="AX324" s="59">
        <f t="shared" si="664"/>
        <v>-30.396674249708088</v>
      </c>
      <c r="AZ324" s="53">
        <f t="shared" si="618"/>
        <v>168.35</v>
      </c>
      <c r="BA324" s="53">
        <f t="shared" si="619"/>
        <v>1.5</v>
      </c>
      <c r="BB324" s="53">
        <f t="shared" si="620"/>
        <v>135.65</v>
      </c>
      <c r="BC324" s="53">
        <f t="shared" si="621"/>
        <v>1.6</v>
      </c>
      <c r="BD324" s="53">
        <f t="shared" si="622"/>
        <v>307.10000000000002</v>
      </c>
      <c r="BE324" s="60">
        <f t="shared" ref="BE324:BI325" si="679">AZ324+BE323</f>
        <v>429.65099999999995</v>
      </c>
      <c r="BF324" s="60">
        <f t="shared" si="679"/>
        <v>9</v>
      </c>
      <c r="BG324" s="60">
        <f t="shared" si="679"/>
        <v>325.75</v>
      </c>
      <c r="BH324" s="60">
        <f t="shared" si="679"/>
        <v>8</v>
      </c>
      <c r="BI324" s="60">
        <f t="shared" si="679"/>
        <v>772.40100000000007</v>
      </c>
      <c r="BJ324" s="1">
        <f t="shared" si="413"/>
        <v>2</v>
      </c>
    </row>
    <row r="325" spans="1:62" x14ac:dyDescent="0.3">
      <c r="A325" s="48">
        <f t="shared" si="238"/>
        <v>39830</v>
      </c>
      <c r="B325" s="53">
        <v>241767</v>
      </c>
      <c r="C325" s="53">
        <v>158336</v>
      </c>
      <c r="D325" s="53">
        <v>0</v>
      </c>
      <c r="E325" s="53">
        <f t="shared" si="588"/>
        <v>400103</v>
      </c>
      <c r="F325" s="53">
        <f t="shared" si="652"/>
        <v>244213.5</v>
      </c>
      <c r="G325" s="53">
        <f t="shared" si="653"/>
        <v>396781.83333333331</v>
      </c>
      <c r="H325" s="59">
        <f t="shared" si="674"/>
        <v>16.49933903644909</v>
      </c>
      <c r="I325" s="59">
        <f t="shared" si="674"/>
        <v>-40.060635550398629</v>
      </c>
      <c r="J325" s="59">
        <f t="shared" si="656"/>
        <v>-38.451441199214841</v>
      </c>
      <c r="L325" s="53">
        <v>0</v>
      </c>
      <c r="M325" s="53">
        <v>3100</v>
      </c>
      <c r="N325" s="53">
        <v>7000</v>
      </c>
      <c r="O325" s="53">
        <f t="shared" si="651"/>
        <v>10100</v>
      </c>
      <c r="P325" s="53">
        <f t="shared" si="666"/>
        <v>6600</v>
      </c>
      <c r="Q325" s="53">
        <f t="shared" si="667"/>
        <v>16232</v>
      </c>
      <c r="R325" s="59">
        <f t="shared" si="675"/>
        <v>40.277777777777771</v>
      </c>
      <c r="S325" s="59">
        <f t="shared" si="675"/>
        <v>-43.286788399570355</v>
      </c>
      <c r="T325" s="59">
        <f t="shared" si="658"/>
        <v>-59.339576145884678</v>
      </c>
      <c r="V325" s="53">
        <v>108119</v>
      </c>
      <c r="W325" s="53">
        <v>85506</v>
      </c>
      <c r="X325" s="53">
        <v>35000</v>
      </c>
      <c r="Y325" s="53">
        <f t="shared" si="628"/>
        <v>228625</v>
      </c>
      <c r="Z325" s="53">
        <f t="shared" si="668"/>
        <v>187674.75</v>
      </c>
      <c r="AA325" s="53">
        <f t="shared" si="669"/>
        <v>164996.83333333334</v>
      </c>
      <c r="AB325" s="59">
        <f t="shared" si="676"/>
        <v>70.855379188712519</v>
      </c>
      <c r="AC325" s="59">
        <f t="shared" si="676"/>
        <v>29.987792524869494</v>
      </c>
      <c r="AD325" s="59">
        <f t="shared" si="660"/>
        <v>13.744455701675085</v>
      </c>
      <c r="AF325" s="53">
        <v>0</v>
      </c>
      <c r="AG325" s="53">
        <v>0</v>
      </c>
      <c r="AH325" s="53">
        <v>0</v>
      </c>
      <c r="AI325" s="53">
        <f t="shared" si="577"/>
        <v>0</v>
      </c>
      <c r="AJ325" s="53">
        <f t="shared" si="670"/>
        <v>3250</v>
      </c>
      <c r="AK325" s="53">
        <f t="shared" si="671"/>
        <v>17002.333333333332</v>
      </c>
      <c r="AL325" s="59">
        <f t="shared" si="677"/>
        <v>-100</v>
      </c>
      <c r="AM325" s="59">
        <f t="shared" si="677"/>
        <v>-82.408660351826796</v>
      </c>
      <c r="AN325" s="59">
        <f t="shared" si="662"/>
        <v>-80.884976571843083</v>
      </c>
      <c r="AP325" s="53">
        <f t="shared" si="665"/>
        <v>349886</v>
      </c>
      <c r="AQ325" s="53">
        <f t="shared" si="665"/>
        <v>246942</v>
      </c>
      <c r="AR325" s="53">
        <f t="shared" si="665"/>
        <v>42000</v>
      </c>
      <c r="AS325" s="53">
        <f t="shared" si="665"/>
        <v>638828</v>
      </c>
      <c r="AT325" s="53">
        <f t="shared" si="672"/>
        <v>441738.25</v>
      </c>
      <c r="AU325" s="53">
        <f t="shared" si="673"/>
        <v>595013</v>
      </c>
      <c r="AV325" s="59">
        <f t="shared" si="663"/>
        <v>28.2400883268092</v>
      </c>
      <c r="AW325" s="59">
        <f t="shared" si="678"/>
        <v>-24.09024007368641</v>
      </c>
      <c r="AX325" s="59">
        <f t="shared" si="664"/>
        <v>-25.759899363543315</v>
      </c>
      <c r="AZ325" s="53">
        <f t="shared" si="618"/>
        <v>400.10300000000001</v>
      </c>
      <c r="BA325" s="53">
        <f t="shared" si="619"/>
        <v>10.1</v>
      </c>
      <c r="BB325" s="53">
        <f t="shared" si="620"/>
        <v>228.625</v>
      </c>
      <c r="BC325" s="53">
        <f t="shared" si="621"/>
        <v>0</v>
      </c>
      <c r="BD325" s="53">
        <f t="shared" si="622"/>
        <v>638.82799999999997</v>
      </c>
      <c r="BE325" s="60">
        <f t="shared" si="679"/>
        <v>829.75399999999991</v>
      </c>
      <c r="BF325" s="60">
        <f t="shared" si="679"/>
        <v>19.100000000000001</v>
      </c>
      <c r="BG325" s="60">
        <f t="shared" si="679"/>
        <v>554.375</v>
      </c>
      <c r="BH325" s="60">
        <f t="shared" si="679"/>
        <v>8</v>
      </c>
      <c r="BI325" s="60">
        <f t="shared" si="679"/>
        <v>1411.229</v>
      </c>
      <c r="BJ325" s="1">
        <f t="shared" si="413"/>
        <v>3</v>
      </c>
    </row>
    <row r="326" spans="1:62" x14ac:dyDescent="0.3">
      <c r="A326" s="48">
        <f t="shared" si="238"/>
        <v>39837</v>
      </c>
      <c r="B326" s="53">
        <v>227200</v>
      </c>
      <c r="C326" s="53">
        <v>136450</v>
      </c>
      <c r="D326" s="53">
        <v>0</v>
      </c>
      <c r="E326" s="53">
        <f t="shared" si="588"/>
        <v>363650</v>
      </c>
      <c r="F326" s="53">
        <f t="shared" ref="F326:F332" si="680">AVERAGE(E323,E324,E325,E326)</f>
        <v>298351</v>
      </c>
      <c r="G326" s="53">
        <f t="shared" ref="G326:G332" si="681">AVERAGE(F274,F222,F170)</f>
        <v>388221.66666666669</v>
      </c>
      <c r="H326" s="59">
        <f t="shared" si="674"/>
        <v>-11.559414368403132</v>
      </c>
      <c r="I326" s="59">
        <f t="shared" si="674"/>
        <v>-20.609364657515105</v>
      </c>
      <c r="J326" s="59">
        <f t="shared" si="656"/>
        <v>-23.149317614936493</v>
      </c>
      <c r="L326" s="53">
        <v>0</v>
      </c>
      <c r="M326" s="53">
        <v>17916</v>
      </c>
      <c r="N326" s="53">
        <v>1400</v>
      </c>
      <c r="O326" s="53">
        <f t="shared" si="651"/>
        <v>19316</v>
      </c>
      <c r="P326" s="53">
        <f t="shared" si="666"/>
        <v>9604</v>
      </c>
      <c r="Q326" s="53">
        <f t="shared" si="667"/>
        <v>17596.833333333332</v>
      </c>
      <c r="R326" s="59">
        <f t="shared" si="675"/>
        <v>175.94285714285712</v>
      </c>
      <c r="S326" s="59">
        <f t="shared" si="675"/>
        <v>-11.176878612716767</v>
      </c>
      <c r="T326" s="59">
        <f t="shared" si="658"/>
        <v>-45.421998276205002</v>
      </c>
      <c r="V326" s="53">
        <v>113120</v>
      </c>
      <c r="W326" s="53">
        <v>120500</v>
      </c>
      <c r="X326" s="53">
        <v>61600</v>
      </c>
      <c r="Y326" s="53">
        <f t="shared" si="628"/>
        <v>295220</v>
      </c>
      <c r="Z326" s="53">
        <f t="shared" si="668"/>
        <v>212398.75</v>
      </c>
      <c r="AA326" s="53">
        <f t="shared" si="669"/>
        <v>158670.58333333334</v>
      </c>
      <c r="AB326" s="59">
        <f t="shared" si="676"/>
        <v>112.71904542310351</v>
      </c>
      <c r="AC326" s="59">
        <f t="shared" si="676"/>
        <v>44.925694439706042</v>
      </c>
      <c r="AD326" s="59">
        <f t="shared" si="660"/>
        <v>33.861454050241392</v>
      </c>
      <c r="AF326" s="53">
        <v>0</v>
      </c>
      <c r="AG326" s="53">
        <v>0</v>
      </c>
      <c r="AH326" s="53">
        <v>3200</v>
      </c>
      <c r="AI326" s="53">
        <f t="shared" si="577"/>
        <v>3200</v>
      </c>
      <c r="AJ326" s="53">
        <f t="shared" si="670"/>
        <v>2800</v>
      </c>
      <c r="AK326" s="53">
        <f t="shared" si="671"/>
        <v>15094</v>
      </c>
      <c r="AL326" s="59">
        <f t="shared" si="677"/>
        <v>-76.642335766423358</v>
      </c>
      <c r="AM326" s="59">
        <f t="shared" si="677"/>
        <v>-81.699346405228752</v>
      </c>
      <c r="AN326" s="59">
        <f t="shared" si="662"/>
        <v>-81.449582615608847</v>
      </c>
      <c r="AP326" s="53">
        <f t="shared" si="665"/>
        <v>340320</v>
      </c>
      <c r="AQ326" s="53">
        <f t="shared" si="665"/>
        <v>274866</v>
      </c>
      <c r="AR326" s="53">
        <f t="shared" si="665"/>
        <v>66200</v>
      </c>
      <c r="AS326" s="53">
        <f t="shared" si="665"/>
        <v>681386</v>
      </c>
      <c r="AT326" s="53">
        <f t="shared" si="672"/>
        <v>523153.75</v>
      </c>
      <c r="AU326" s="53">
        <f t="shared" si="673"/>
        <v>579583.08333333337</v>
      </c>
      <c r="AV326" s="59">
        <f t="shared" si="663"/>
        <v>19.402310291169588</v>
      </c>
      <c r="AW326" s="59">
        <f t="shared" si="678"/>
        <v>-4.6159252795158201</v>
      </c>
      <c r="AX326" s="59">
        <f t="shared" si="664"/>
        <v>-9.7361939911692286</v>
      </c>
      <c r="AZ326" s="53">
        <f t="shared" si="618"/>
        <v>363.65</v>
      </c>
      <c r="BA326" s="53">
        <f t="shared" si="619"/>
        <v>19.315999999999999</v>
      </c>
      <c r="BB326" s="53">
        <f t="shared" si="620"/>
        <v>295.22000000000003</v>
      </c>
      <c r="BC326" s="53">
        <f t="shared" si="621"/>
        <v>3.2</v>
      </c>
      <c r="BD326" s="53">
        <f t="shared" si="622"/>
        <v>681.38599999999997</v>
      </c>
      <c r="BE326" s="60">
        <f t="shared" ref="BE326:BI327" si="682">AZ326+BE325</f>
        <v>1193.404</v>
      </c>
      <c r="BF326" s="60">
        <f t="shared" si="682"/>
        <v>38.415999999999997</v>
      </c>
      <c r="BG326" s="60">
        <f t="shared" si="682"/>
        <v>849.59500000000003</v>
      </c>
      <c r="BH326" s="60">
        <f t="shared" si="682"/>
        <v>11.2</v>
      </c>
      <c r="BI326" s="60">
        <f t="shared" si="682"/>
        <v>2092.6149999999998</v>
      </c>
      <c r="BJ326" s="1">
        <f t="shared" si="413"/>
        <v>4</v>
      </c>
    </row>
    <row r="327" spans="1:62" x14ac:dyDescent="0.3">
      <c r="A327" s="48">
        <f t="shared" si="238"/>
        <v>39844</v>
      </c>
      <c r="B327" s="53">
        <v>84475</v>
      </c>
      <c r="C327" s="53">
        <v>41200</v>
      </c>
      <c r="D327" s="53">
        <v>0</v>
      </c>
      <c r="E327" s="53">
        <f t="shared" si="588"/>
        <v>125675</v>
      </c>
      <c r="F327" s="53">
        <f t="shared" si="680"/>
        <v>264444.5</v>
      </c>
      <c r="G327" s="53">
        <f t="shared" si="681"/>
        <v>385995.5</v>
      </c>
      <c r="H327" s="59">
        <f t="shared" ref="H327:I329" si="683">((E327/E275)-1)*100</f>
        <v>-67.032433736962503</v>
      </c>
      <c r="I327" s="59">
        <f t="shared" si="683"/>
        <v>-28.483525785477216</v>
      </c>
      <c r="J327" s="59">
        <f t="shared" ref="J327:J332" si="684">((F327/G327)-1)*100</f>
        <v>-31.490263487527702</v>
      </c>
      <c r="L327" s="53">
        <v>0</v>
      </c>
      <c r="M327" s="53">
        <v>0</v>
      </c>
      <c r="N327" s="53">
        <v>2800</v>
      </c>
      <c r="O327" s="53">
        <f t="shared" si="651"/>
        <v>2800</v>
      </c>
      <c r="P327" s="53">
        <f t="shared" si="666"/>
        <v>8429</v>
      </c>
      <c r="Q327" s="53">
        <f t="shared" si="667"/>
        <v>15060.333333333334</v>
      </c>
      <c r="R327" s="59">
        <f t="shared" ref="R327:S329" si="685">((O327/O275)-1)*100</f>
        <v>-60</v>
      </c>
      <c r="S327" s="59">
        <f t="shared" si="685"/>
        <v>-5.0253521126760514</v>
      </c>
      <c r="T327" s="59">
        <f t="shared" ref="T327:T332" si="686">((P327/Q327)-1)*100</f>
        <v>-44.031783271729275</v>
      </c>
      <c r="V327" s="53">
        <v>49600</v>
      </c>
      <c r="W327" s="53">
        <v>21400</v>
      </c>
      <c r="X327" s="53">
        <v>35000</v>
      </c>
      <c r="Y327" s="53">
        <f t="shared" si="628"/>
        <v>106000</v>
      </c>
      <c r="Z327" s="53">
        <f t="shared" si="668"/>
        <v>191373.75</v>
      </c>
      <c r="AA327" s="53">
        <f t="shared" si="669"/>
        <v>157422.91666666666</v>
      </c>
      <c r="AB327" s="59">
        <f t="shared" ref="AB327:AC329" si="687">((Y327/Y275)-1)*100</f>
        <v>-18.300653594771244</v>
      </c>
      <c r="AC327" s="59">
        <f t="shared" si="687"/>
        <v>32.129517115674069</v>
      </c>
      <c r="AD327" s="59">
        <f t="shared" ref="AD327:AD332" si="688">((Z327/AA327)-1)*100</f>
        <v>21.566639757553308</v>
      </c>
      <c r="AF327" s="53">
        <v>0</v>
      </c>
      <c r="AG327" s="53">
        <v>0</v>
      </c>
      <c r="AH327" s="53">
        <v>0</v>
      </c>
      <c r="AI327" s="53">
        <f t="shared" si="577"/>
        <v>0</v>
      </c>
      <c r="AJ327" s="53">
        <f t="shared" si="670"/>
        <v>1200</v>
      </c>
      <c r="AK327" s="53">
        <f t="shared" si="671"/>
        <v>14298.5</v>
      </c>
      <c r="AL327" s="59">
        <f t="shared" ref="AL327:AM329" si="689">((AI327/AI275)-1)*100</f>
        <v>-100</v>
      </c>
      <c r="AM327" s="59">
        <f t="shared" si="689"/>
        <v>-91.397849462365585</v>
      </c>
      <c r="AN327" s="59">
        <f t="shared" ref="AN327:AN332" si="690">((AJ327/AK327)-1)*100</f>
        <v>-91.607511277406715</v>
      </c>
      <c r="AP327" s="53">
        <f t="shared" si="665"/>
        <v>134075</v>
      </c>
      <c r="AQ327" s="53">
        <f t="shared" si="665"/>
        <v>62600</v>
      </c>
      <c r="AR327" s="53">
        <f t="shared" si="665"/>
        <v>37800</v>
      </c>
      <c r="AS327" s="53">
        <f t="shared" si="665"/>
        <v>234475</v>
      </c>
      <c r="AT327" s="53">
        <f t="shared" si="672"/>
        <v>465447.25</v>
      </c>
      <c r="AU327" s="53">
        <f t="shared" si="673"/>
        <v>572777.25</v>
      </c>
      <c r="AV327" s="59">
        <f t="shared" ref="AV327:AV332" si="691">((AS327/AS275)-1)*100</f>
        <v>-55.621441766095337</v>
      </c>
      <c r="AW327" s="59">
        <f t="shared" si="678"/>
        <v>-13.393924141783975</v>
      </c>
      <c r="AX327" s="59">
        <f t="shared" ref="AX327:AX332" si="692">((AT327/AU327)-1)*100</f>
        <v>-18.738523570899513</v>
      </c>
      <c r="AZ327" s="53">
        <f t="shared" si="618"/>
        <v>125.675</v>
      </c>
      <c r="BA327" s="53">
        <f t="shared" si="619"/>
        <v>2.8</v>
      </c>
      <c r="BB327" s="53">
        <f t="shared" si="620"/>
        <v>106</v>
      </c>
      <c r="BC327" s="53">
        <f t="shared" si="621"/>
        <v>0</v>
      </c>
      <c r="BD327" s="53">
        <f t="shared" si="622"/>
        <v>234.47499999999999</v>
      </c>
      <c r="BE327" s="60">
        <f t="shared" si="682"/>
        <v>1319.079</v>
      </c>
      <c r="BF327" s="60">
        <f t="shared" si="682"/>
        <v>41.215999999999994</v>
      </c>
      <c r="BG327" s="60">
        <f t="shared" si="682"/>
        <v>955.59500000000003</v>
      </c>
      <c r="BH327" s="60">
        <f t="shared" si="682"/>
        <v>11.2</v>
      </c>
      <c r="BI327" s="60">
        <f t="shared" si="682"/>
        <v>2327.0899999999997</v>
      </c>
      <c r="BJ327" s="1">
        <f t="shared" si="413"/>
        <v>5</v>
      </c>
    </row>
    <row r="328" spans="1:62" x14ac:dyDescent="0.3">
      <c r="A328" s="48">
        <f t="shared" si="238"/>
        <v>39851</v>
      </c>
      <c r="B328" s="53">
        <v>126200</v>
      </c>
      <c r="C328" s="53">
        <v>115940</v>
      </c>
      <c r="D328" s="53">
        <v>0</v>
      </c>
      <c r="E328" s="53">
        <f t="shared" si="588"/>
        <v>242140</v>
      </c>
      <c r="F328" s="53">
        <f t="shared" si="680"/>
        <v>282892</v>
      </c>
      <c r="G328" s="53">
        <f t="shared" si="681"/>
        <v>377035.83333333331</v>
      </c>
      <c r="H328" s="59">
        <f t="shared" si="683"/>
        <v>-40.820795573413108</v>
      </c>
      <c r="I328" s="59">
        <f t="shared" si="683"/>
        <v>-26.758878698244004</v>
      </c>
      <c r="J328" s="59">
        <f t="shared" si="684"/>
        <v>-24.969465766958486</v>
      </c>
      <c r="L328" s="53">
        <v>0</v>
      </c>
      <c r="M328" s="53">
        <v>3000</v>
      </c>
      <c r="N328" s="53">
        <v>2800</v>
      </c>
      <c r="O328" s="53">
        <f t="shared" si="651"/>
        <v>5800</v>
      </c>
      <c r="P328" s="53">
        <f t="shared" si="666"/>
        <v>9504</v>
      </c>
      <c r="Q328" s="53">
        <f t="shared" si="667"/>
        <v>14742.5</v>
      </c>
      <c r="R328" s="59">
        <f t="shared" si="685"/>
        <v>-65.994371482176362</v>
      </c>
      <c r="S328" s="59">
        <f t="shared" si="685"/>
        <v>-0.6273525721455453</v>
      </c>
      <c r="T328" s="59">
        <f t="shared" si="686"/>
        <v>-35.533322028149904</v>
      </c>
      <c r="V328" s="53">
        <v>46800</v>
      </c>
      <c r="W328" s="53">
        <v>76000</v>
      </c>
      <c r="X328" s="53">
        <v>46400</v>
      </c>
      <c r="Y328" s="53">
        <f t="shared" si="628"/>
        <v>169200</v>
      </c>
      <c r="Z328" s="53">
        <f t="shared" si="668"/>
        <v>199761.25</v>
      </c>
      <c r="AA328" s="53">
        <f t="shared" si="669"/>
        <v>150990.91666666666</v>
      </c>
      <c r="AB328" s="59">
        <f t="shared" si="687"/>
        <v>-1.4646361703986255</v>
      </c>
      <c r="AC328" s="59">
        <f t="shared" si="687"/>
        <v>39.19310867425596</v>
      </c>
      <c r="AD328" s="59">
        <f t="shared" si="688"/>
        <v>32.300176997402176</v>
      </c>
      <c r="AF328" s="53">
        <v>0</v>
      </c>
      <c r="AG328" s="53">
        <v>0</v>
      </c>
      <c r="AH328" s="53">
        <v>4800</v>
      </c>
      <c r="AI328" s="53">
        <f t="shared" si="577"/>
        <v>4800</v>
      </c>
      <c r="AJ328" s="53">
        <f t="shared" si="670"/>
        <v>2000</v>
      </c>
      <c r="AK328" s="53">
        <f t="shared" si="671"/>
        <v>13831.833333333334</v>
      </c>
      <c r="AL328" s="59">
        <f t="shared" si="689"/>
        <v>-67.785234899328856</v>
      </c>
      <c r="AM328" s="59">
        <f t="shared" si="689"/>
        <v>-84.819734345351037</v>
      </c>
      <c r="AN328" s="59">
        <f t="shared" si="690"/>
        <v>-85.540600788037253</v>
      </c>
      <c r="AP328" s="53">
        <f t="shared" si="665"/>
        <v>173000</v>
      </c>
      <c r="AQ328" s="53">
        <f t="shared" si="665"/>
        <v>194940</v>
      </c>
      <c r="AR328" s="53">
        <f t="shared" si="665"/>
        <v>54000</v>
      </c>
      <c r="AS328" s="53">
        <f t="shared" si="665"/>
        <v>421940</v>
      </c>
      <c r="AT328" s="53">
        <f t="shared" si="672"/>
        <v>494157.25</v>
      </c>
      <c r="AU328" s="53">
        <f t="shared" si="673"/>
        <v>556601.08333333337</v>
      </c>
      <c r="AV328" s="59">
        <f t="shared" si="691"/>
        <v>-31.149493746277546</v>
      </c>
      <c r="AW328" s="59">
        <f t="shared" si="678"/>
        <v>-10.559814226328401</v>
      </c>
      <c r="AX328" s="59">
        <f t="shared" si="692"/>
        <v>-11.218776822958043</v>
      </c>
      <c r="AZ328" s="53">
        <f t="shared" si="618"/>
        <v>242.14</v>
      </c>
      <c r="BA328" s="53">
        <f t="shared" si="619"/>
        <v>5.8</v>
      </c>
      <c r="BB328" s="53">
        <f t="shared" si="620"/>
        <v>169.2</v>
      </c>
      <c r="BC328" s="53">
        <f t="shared" si="621"/>
        <v>4.8</v>
      </c>
      <c r="BD328" s="53">
        <f t="shared" si="622"/>
        <v>421.94</v>
      </c>
      <c r="BE328" s="60">
        <f t="shared" ref="BE328:BI329" si="693">AZ328+BE327</f>
        <v>1561.2190000000001</v>
      </c>
      <c r="BF328" s="60">
        <f t="shared" si="693"/>
        <v>47.015999999999991</v>
      </c>
      <c r="BG328" s="60">
        <f t="shared" si="693"/>
        <v>1124.7950000000001</v>
      </c>
      <c r="BH328" s="60">
        <f t="shared" si="693"/>
        <v>16</v>
      </c>
      <c r="BI328" s="60">
        <f t="shared" si="693"/>
        <v>2749.0299999999997</v>
      </c>
      <c r="BJ328" s="1">
        <f t="shared" si="413"/>
        <v>6</v>
      </c>
    </row>
    <row r="329" spans="1:62" x14ac:dyDescent="0.3">
      <c r="A329" s="48">
        <f t="shared" si="238"/>
        <v>39858</v>
      </c>
      <c r="B329" s="53">
        <v>184065</v>
      </c>
      <c r="C329" s="53">
        <v>149000</v>
      </c>
      <c r="D329" s="53">
        <v>0</v>
      </c>
      <c r="E329" s="53">
        <f t="shared" si="588"/>
        <v>333065</v>
      </c>
      <c r="F329" s="53">
        <f t="shared" si="680"/>
        <v>266132.5</v>
      </c>
      <c r="G329" s="53">
        <f t="shared" si="681"/>
        <v>351127.58333333331</v>
      </c>
      <c r="H329" s="59">
        <f t="shared" si="683"/>
        <v>78.329915564146077</v>
      </c>
      <c r="I329" s="59">
        <f t="shared" si="683"/>
        <v>-23.322488098933892</v>
      </c>
      <c r="J329" s="59">
        <f t="shared" si="684"/>
        <v>-24.206324814033643</v>
      </c>
      <c r="L329" s="53">
        <v>1500</v>
      </c>
      <c r="M329" s="53">
        <v>3749</v>
      </c>
      <c r="N329" s="53">
        <v>8400</v>
      </c>
      <c r="O329" s="53">
        <f t="shared" si="651"/>
        <v>13649</v>
      </c>
      <c r="P329" s="53">
        <f t="shared" si="666"/>
        <v>10391.25</v>
      </c>
      <c r="Q329" s="53">
        <f t="shared" si="667"/>
        <v>16973.666666666668</v>
      </c>
      <c r="R329" s="59">
        <f t="shared" si="685"/>
        <v>-60.26491994177583</v>
      </c>
      <c r="S329" s="59">
        <f t="shared" si="685"/>
        <v>-36.450784331712683</v>
      </c>
      <c r="T329" s="59">
        <f t="shared" si="686"/>
        <v>-38.780169281828726</v>
      </c>
      <c r="V329" s="53">
        <v>46900</v>
      </c>
      <c r="W329" s="53">
        <v>64608</v>
      </c>
      <c r="X329" s="53">
        <v>46700</v>
      </c>
      <c r="Y329" s="53">
        <f t="shared" si="628"/>
        <v>158208</v>
      </c>
      <c r="Z329" s="53">
        <f t="shared" si="668"/>
        <v>182157</v>
      </c>
      <c r="AA329" s="53">
        <f t="shared" si="669"/>
        <v>141368.08333333334</v>
      </c>
      <c r="AB329" s="59">
        <f t="shared" si="687"/>
        <v>13.109937013390915</v>
      </c>
      <c r="AC329" s="59">
        <f t="shared" si="687"/>
        <v>25.600830181653954</v>
      </c>
      <c r="AD329" s="59">
        <f t="shared" si="688"/>
        <v>28.852988386699717</v>
      </c>
      <c r="AF329" s="53">
        <v>0</v>
      </c>
      <c r="AG329" s="53">
        <v>1500</v>
      </c>
      <c r="AH329" s="53">
        <v>4800</v>
      </c>
      <c r="AI329" s="53">
        <f t="shared" si="577"/>
        <v>6300</v>
      </c>
      <c r="AJ329" s="53">
        <f t="shared" si="670"/>
        <v>3575</v>
      </c>
      <c r="AK329" s="53">
        <f t="shared" si="671"/>
        <v>15207.5</v>
      </c>
      <c r="AL329" s="59">
        <f t="shared" si="689"/>
        <v>-42.727272727272727</v>
      </c>
      <c r="AM329" s="59">
        <f t="shared" si="689"/>
        <v>-71.399999999999991</v>
      </c>
      <c r="AN329" s="59">
        <f t="shared" si="690"/>
        <v>-76.491862567811935</v>
      </c>
      <c r="AP329" s="53">
        <f t="shared" si="665"/>
        <v>232465</v>
      </c>
      <c r="AQ329" s="53">
        <f t="shared" si="665"/>
        <v>218857</v>
      </c>
      <c r="AR329" s="53">
        <f t="shared" si="665"/>
        <v>59900</v>
      </c>
      <c r="AS329" s="53">
        <f t="shared" si="665"/>
        <v>511222</v>
      </c>
      <c r="AT329" s="53">
        <f t="shared" si="672"/>
        <v>462255.75</v>
      </c>
      <c r="AU329" s="53">
        <f t="shared" si="673"/>
        <v>524676.83333333337</v>
      </c>
      <c r="AV329" s="59">
        <f t="shared" si="691"/>
        <v>37.428963144170545</v>
      </c>
      <c r="AW329" s="59">
        <f t="shared" si="678"/>
        <v>-11.268518087512437</v>
      </c>
      <c r="AX329" s="59">
        <f t="shared" si="692"/>
        <v>-11.897053456079798</v>
      </c>
      <c r="AZ329" s="53">
        <f t="shared" si="618"/>
        <v>333.065</v>
      </c>
      <c r="BA329" s="53">
        <f t="shared" si="619"/>
        <v>13.648999999999999</v>
      </c>
      <c r="BB329" s="53">
        <f t="shared" si="620"/>
        <v>158.208</v>
      </c>
      <c r="BC329" s="53">
        <f t="shared" si="621"/>
        <v>6.3</v>
      </c>
      <c r="BD329" s="53">
        <f t="shared" si="622"/>
        <v>511.22199999999998</v>
      </c>
      <c r="BE329" s="60">
        <f t="shared" si="693"/>
        <v>1894.2840000000001</v>
      </c>
      <c r="BF329" s="60">
        <f t="shared" si="693"/>
        <v>60.664999999999992</v>
      </c>
      <c r="BG329" s="60">
        <f t="shared" si="693"/>
        <v>1283.0030000000002</v>
      </c>
      <c r="BH329" s="60">
        <f t="shared" si="693"/>
        <v>22.3</v>
      </c>
      <c r="BI329" s="60">
        <f t="shared" si="693"/>
        <v>3260.2519999999995</v>
      </c>
      <c r="BJ329" s="1">
        <f t="shared" si="413"/>
        <v>7</v>
      </c>
    </row>
    <row r="330" spans="1:62" x14ac:dyDescent="0.3">
      <c r="A330" s="48">
        <f t="shared" si="238"/>
        <v>39865</v>
      </c>
      <c r="B330" s="53">
        <v>333580</v>
      </c>
      <c r="C330" s="53">
        <v>80150</v>
      </c>
      <c r="D330" s="53">
        <v>0</v>
      </c>
      <c r="E330" s="53">
        <f t="shared" si="588"/>
        <v>413730</v>
      </c>
      <c r="F330" s="53">
        <f t="shared" si="680"/>
        <v>278652.5</v>
      </c>
      <c r="G330" s="53">
        <f t="shared" si="681"/>
        <v>317650.33333333331</v>
      </c>
      <c r="H330" s="59">
        <f t="shared" ref="H330:I332" si="694">((E330/E278)-1)*100</f>
        <v>27.703509817054915</v>
      </c>
      <c r="I330" s="59">
        <f t="shared" si="694"/>
        <v>-14.334441610983784</v>
      </c>
      <c r="J330" s="59">
        <f t="shared" si="684"/>
        <v>-12.276969120133142</v>
      </c>
      <c r="L330" s="53">
        <v>8000</v>
      </c>
      <c r="M330" s="53">
        <v>1500</v>
      </c>
      <c r="N330" s="53">
        <v>7000</v>
      </c>
      <c r="O330" s="53">
        <f t="shared" si="651"/>
        <v>16500</v>
      </c>
      <c r="P330" s="53">
        <f t="shared" ref="P330:P336" si="695">AVERAGE(O327,O328,O329,O330)</f>
        <v>9687.25</v>
      </c>
      <c r="Q330" s="53">
        <f t="shared" ref="Q330:Q336" si="696">AVERAGE(P278,P226,P174)</f>
        <v>17035.833333333332</v>
      </c>
      <c r="R330" s="59">
        <f t="shared" ref="R330:S332" si="697">((O330/O278)-1)*100</f>
        <v>-18.413765822784811</v>
      </c>
      <c r="S330" s="59">
        <f t="shared" si="697"/>
        <v>-50.719827038026196</v>
      </c>
      <c r="T330" s="59">
        <f t="shared" si="686"/>
        <v>-43.136036785207644</v>
      </c>
      <c r="V330" s="53">
        <v>42020</v>
      </c>
      <c r="W330" s="53">
        <v>18350</v>
      </c>
      <c r="X330" s="53">
        <v>28000</v>
      </c>
      <c r="Y330" s="53">
        <f t="shared" si="628"/>
        <v>88370</v>
      </c>
      <c r="Z330" s="53">
        <f t="shared" ref="Z330:Z336" si="698">AVERAGE(Y327,Y328,Y329,Y330)</f>
        <v>130444.5</v>
      </c>
      <c r="AA330" s="53">
        <f t="shared" ref="AA330:AA336" si="699">AVERAGE(Z278,Z226,Z174)</f>
        <v>143219.83333333334</v>
      </c>
      <c r="AB330" s="59">
        <f t="shared" ref="AB330:AC332" si="700">((Y330/Y278)-1)*100</f>
        <v>-51.849571457371859</v>
      </c>
      <c r="AC330" s="59">
        <f t="shared" si="700"/>
        <v>-16.496681651380552</v>
      </c>
      <c r="AD330" s="59">
        <f t="shared" si="688"/>
        <v>-8.9200867198328098</v>
      </c>
      <c r="AF330" s="53">
        <v>0</v>
      </c>
      <c r="AG330" s="53">
        <v>3000</v>
      </c>
      <c r="AH330" s="53">
        <v>10400</v>
      </c>
      <c r="AI330" s="53">
        <f t="shared" si="577"/>
        <v>13400</v>
      </c>
      <c r="AJ330" s="53">
        <f t="shared" ref="AJ330:AJ336" si="701">AVERAGE(AI327,AI328,AI329,AI330)</f>
        <v>6125</v>
      </c>
      <c r="AK330" s="53">
        <f t="shared" ref="AK330:AK336" si="702">AVERAGE(AJ278,AJ226,AJ174)</f>
        <v>15147.916666666666</v>
      </c>
      <c r="AL330" s="59">
        <f t="shared" ref="AL330:AM332" si="703">((AI330/AI278)-1)*100</f>
        <v>12.747160286074877</v>
      </c>
      <c r="AM330" s="59">
        <f t="shared" si="703"/>
        <v>-49.154301131057387</v>
      </c>
      <c r="AN330" s="59">
        <f t="shared" si="690"/>
        <v>-59.565396781735672</v>
      </c>
      <c r="AP330" s="53">
        <f t="shared" si="665"/>
        <v>383600</v>
      </c>
      <c r="AQ330" s="53">
        <f t="shared" si="665"/>
        <v>103000</v>
      </c>
      <c r="AR330" s="53">
        <f t="shared" si="665"/>
        <v>45400</v>
      </c>
      <c r="AS330" s="53">
        <f t="shared" si="665"/>
        <v>532000</v>
      </c>
      <c r="AT330" s="53">
        <f t="shared" ref="AT330:AT336" si="704">AVERAGE(AS327,AS328,AS329,AS330)</f>
        <v>424909.25</v>
      </c>
      <c r="AU330" s="53">
        <f t="shared" ref="AU330:AU336" si="705">AVERAGE(AT278,AT226,AT174)</f>
        <v>493053.91666666669</v>
      </c>
      <c r="AV330" s="59">
        <f t="shared" si="691"/>
        <v>-1.4111913123245223</v>
      </c>
      <c r="AW330" s="59">
        <f t="shared" ref="AW330:AW335" si="706">((AT330/AT278)-1)*100</f>
        <v>-17.203642648646333</v>
      </c>
      <c r="AX330" s="59">
        <f t="shared" si="692"/>
        <v>-13.82093608085796</v>
      </c>
      <c r="AZ330" s="53">
        <f t="shared" si="618"/>
        <v>413.73</v>
      </c>
      <c r="BA330" s="53">
        <f t="shared" si="619"/>
        <v>16.5</v>
      </c>
      <c r="BB330" s="53">
        <f t="shared" si="620"/>
        <v>88.37</v>
      </c>
      <c r="BC330" s="53">
        <f t="shared" si="621"/>
        <v>13.4</v>
      </c>
      <c r="BD330" s="53">
        <f t="shared" si="622"/>
        <v>532</v>
      </c>
      <c r="BE330" s="60">
        <f t="shared" ref="BE330:BI331" si="707">AZ330+BE329</f>
        <v>2308.0140000000001</v>
      </c>
      <c r="BF330" s="60">
        <f t="shared" si="707"/>
        <v>77.164999999999992</v>
      </c>
      <c r="BG330" s="60">
        <f t="shared" si="707"/>
        <v>1371.373</v>
      </c>
      <c r="BH330" s="60">
        <f t="shared" si="707"/>
        <v>35.700000000000003</v>
      </c>
      <c r="BI330" s="60">
        <f t="shared" si="707"/>
        <v>3792.2519999999995</v>
      </c>
      <c r="BJ330" s="1">
        <f t="shared" si="413"/>
        <v>8</v>
      </c>
    </row>
    <row r="331" spans="1:62" x14ac:dyDescent="0.3">
      <c r="A331" s="48">
        <f t="shared" si="238"/>
        <v>39872</v>
      </c>
      <c r="B331" s="53">
        <v>362170</v>
      </c>
      <c r="C331" s="53">
        <v>193726</v>
      </c>
      <c r="D331" s="53">
        <v>0</v>
      </c>
      <c r="E331" s="53">
        <f t="shared" si="588"/>
        <v>555896</v>
      </c>
      <c r="F331" s="53">
        <f t="shared" si="680"/>
        <v>386207.75</v>
      </c>
      <c r="G331" s="53">
        <f t="shared" si="681"/>
        <v>317986.16666666669</v>
      </c>
      <c r="H331" s="59">
        <f t="shared" si="694"/>
        <v>76.517508986295098</v>
      </c>
      <c r="I331" s="59">
        <f t="shared" si="694"/>
        <v>25.104346009261171</v>
      </c>
      <c r="J331" s="59">
        <f t="shared" si="684"/>
        <v>21.454261375101737</v>
      </c>
      <c r="L331" s="53">
        <v>1600</v>
      </c>
      <c r="M331" s="53">
        <v>10500</v>
      </c>
      <c r="N331" s="53">
        <v>9800</v>
      </c>
      <c r="O331" s="53">
        <f t="shared" si="651"/>
        <v>21900</v>
      </c>
      <c r="P331" s="53">
        <f t="shared" si="695"/>
        <v>14462.25</v>
      </c>
      <c r="Q331" s="53">
        <f t="shared" si="696"/>
        <v>19499.083333333332</v>
      </c>
      <c r="R331" s="59">
        <f t="shared" si="697"/>
        <v>30.08613008613008</v>
      </c>
      <c r="S331" s="59">
        <f t="shared" si="697"/>
        <v>-34.608037076810035</v>
      </c>
      <c r="T331" s="59">
        <f t="shared" si="686"/>
        <v>-25.83112881374765</v>
      </c>
      <c r="V331" s="53">
        <v>224715</v>
      </c>
      <c r="W331" s="53">
        <v>73861</v>
      </c>
      <c r="X331" s="53">
        <v>43400</v>
      </c>
      <c r="Y331" s="53">
        <f t="shared" si="628"/>
        <v>341976</v>
      </c>
      <c r="Z331" s="53">
        <f t="shared" si="698"/>
        <v>189438.5</v>
      </c>
      <c r="AA331" s="53">
        <f t="shared" si="699"/>
        <v>144287.83333333334</v>
      </c>
      <c r="AB331" s="59">
        <f t="shared" si="700"/>
        <v>225.52711488486764</v>
      </c>
      <c r="AC331" s="59">
        <f t="shared" si="700"/>
        <v>26.256981378547351</v>
      </c>
      <c r="AD331" s="59">
        <f t="shared" si="688"/>
        <v>31.292081683948858</v>
      </c>
      <c r="AF331" s="53">
        <v>0</v>
      </c>
      <c r="AG331" s="53">
        <v>1650</v>
      </c>
      <c r="AH331" s="53">
        <v>5800</v>
      </c>
      <c r="AI331" s="53">
        <f t="shared" si="577"/>
        <v>7450</v>
      </c>
      <c r="AJ331" s="53">
        <f t="shared" si="701"/>
        <v>7987.5</v>
      </c>
      <c r="AK331" s="53">
        <f t="shared" si="702"/>
        <v>13007.083333333334</v>
      </c>
      <c r="AL331" s="59">
        <f t="shared" si="703"/>
        <v>-53.437500000000007</v>
      </c>
      <c r="AM331" s="59">
        <f t="shared" si="703"/>
        <v>-40.59682067490936</v>
      </c>
      <c r="AN331" s="59">
        <f t="shared" si="690"/>
        <v>-38.591152256783168</v>
      </c>
      <c r="AP331" s="53">
        <f t="shared" si="665"/>
        <v>588485</v>
      </c>
      <c r="AQ331" s="53">
        <f t="shared" si="665"/>
        <v>279737</v>
      </c>
      <c r="AR331" s="53">
        <f t="shared" si="665"/>
        <v>59000</v>
      </c>
      <c r="AS331" s="53">
        <f t="shared" si="665"/>
        <v>927222</v>
      </c>
      <c r="AT331" s="53">
        <f t="shared" si="704"/>
        <v>598096</v>
      </c>
      <c r="AU331" s="53">
        <f t="shared" si="705"/>
        <v>494780.16666666669</v>
      </c>
      <c r="AV331" s="59">
        <f t="shared" si="691"/>
        <v>104.76974991828838</v>
      </c>
      <c r="AW331" s="59">
        <f t="shared" si="706"/>
        <v>20.995401698923555</v>
      </c>
      <c r="AX331" s="59">
        <f t="shared" si="692"/>
        <v>20.881159006306159</v>
      </c>
      <c r="AZ331" s="53">
        <f t="shared" si="618"/>
        <v>555.89599999999996</v>
      </c>
      <c r="BA331" s="53">
        <f t="shared" si="619"/>
        <v>21.9</v>
      </c>
      <c r="BB331" s="53">
        <f t="shared" si="620"/>
        <v>341.976</v>
      </c>
      <c r="BC331" s="53">
        <f t="shared" si="621"/>
        <v>7.45</v>
      </c>
      <c r="BD331" s="53">
        <f t="shared" si="622"/>
        <v>927.22199999999998</v>
      </c>
      <c r="BE331" s="60">
        <f t="shared" si="707"/>
        <v>2863.91</v>
      </c>
      <c r="BF331" s="60">
        <f t="shared" si="707"/>
        <v>99.064999999999998</v>
      </c>
      <c r="BG331" s="60">
        <f t="shared" si="707"/>
        <v>1713.3490000000002</v>
      </c>
      <c r="BH331" s="60">
        <f t="shared" si="707"/>
        <v>43.150000000000006</v>
      </c>
      <c r="BI331" s="60">
        <f t="shared" si="707"/>
        <v>4719.4739999999993</v>
      </c>
      <c r="BJ331" s="1">
        <f t="shared" si="413"/>
        <v>9</v>
      </c>
    </row>
    <row r="332" spans="1:62" x14ac:dyDescent="0.3">
      <c r="A332" s="48">
        <f t="shared" si="238"/>
        <v>39879</v>
      </c>
      <c r="B332" s="53">
        <v>380760</v>
      </c>
      <c r="C332" s="53">
        <v>111040</v>
      </c>
      <c r="D332" s="53">
        <v>0</v>
      </c>
      <c r="E332" s="53">
        <f t="shared" si="588"/>
        <v>491800</v>
      </c>
      <c r="F332" s="53">
        <f t="shared" si="680"/>
        <v>448622.75</v>
      </c>
      <c r="G332" s="53">
        <f t="shared" si="681"/>
        <v>329306.91666666669</v>
      </c>
      <c r="H332" s="59">
        <f t="shared" si="694"/>
        <v>36.932522170093684</v>
      </c>
      <c r="I332" s="59">
        <f t="shared" si="694"/>
        <v>51.456206612790908</v>
      </c>
      <c r="J332" s="59">
        <f t="shared" si="684"/>
        <v>36.232410342631226</v>
      </c>
      <c r="L332" s="53">
        <v>4800</v>
      </c>
      <c r="M332" s="53">
        <v>13918</v>
      </c>
      <c r="N332" s="53">
        <v>9800</v>
      </c>
      <c r="O332" s="53">
        <f t="shared" si="651"/>
        <v>28518</v>
      </c>
      <c r="P332" s="53">
        <f t="shared" si="695"/>
        <v>20141.75</v>
      </c>
      <c r="Q332" s="53">
        <f t="shared" si="696"/>
        <v>22766.25</v>
      </c>
      <c r="R332" s="59">
        <f t="shared" si="697"/>
        <v>548.13636363636363</v>
      </c>
      <c r="S332" s="59">
        <f t="shared" si="697"/>
        <v>6.2762996477990773</v>
      </c>
      <c r="T332" s="59">
        <f t="shared" si="686"/>
        <v>-11.528029429528363</v>
      </c>
      <c r="V332" s="53">
        <v>104140</v>
      </c>
      <c r="W332" s="53">
        <v>66630</v>
      </c>
      <c r="X332" s="53">
        <v>25200</v>
      </c>
      <c r="Y332" s="53">
        <f t="shared" si="628"/>
        <v>195970</v>
      </c>
      <c r="Z332" s="53">
        <f t="shared" si="698"/>
        <v>196131</v>
      </c>
      <c r="AA332" s="53">
        <f t="shared" si="699"/>
        <v>148823.25</v>
      </c>
      <c r="AB332" s="59">
        <f t="shared" si="700"/>
        <v>10.415586757116134</v>
      </c>
      <c r="AC332" s="59">
        <f t="shared" si="700"/>
        <v>29.47286599101886</v>
      </c>
      <c r="AD332" s="59">
        <f t="shared" si="688"/>
        <v>31.787875886328255</v>
      </c>
      <c r="AF332" s="53">
        <v>9500</v>
      </c>
      <c r="AG332" s="53">
        <v>0</v>
      </c>
      <c r="AH332" s="53">
        <v>6200</v>
      </c>
      <c r="AI332" s="53">
        <f t="shared" si="577"/>
        <v>15700</v>
      </c>
      <c r="AJ332" s="53">
        <f t="shared" si="701"/>
        <v>10712.5</v>
      </c>
      <c r="AK332" s="53">
        <f t="shared" si="702"/>
        <v>12790.416666666666</v>
      </c>
      <c r="AL332" s="59">
        <f t="shared" si="703"/>
        <v>82.558139534883708</v>
      </c>
      <c r="AM332" s="59">
        <f t="shared" si="703"/>
        <v>-9.7609771506791621</v>
      </c>
      <c r="AN332" s="59">
        <f t="shared" si="690"/>
        <v>-16.245887220249532</v>
      </c>
      <c r="AP332" s="53">
        <f t="shared" si="665"/>
        <v>499200</v>
      </c>
      <c r="AQ332" s="53">
        <f t="shared" si="665"/>
        <v>191588</v>
      </c>
      <c r="AR332" s="53">
        <f t="shared" si="665"/>
        <v>41200</v>
      </c>
      <c r="AS332" s="53">
        <f t="shared" si="665"/>
        <v>731988</v>
      </c>
      <c r="AT332" s="53">
        <f t="shared" si="704"/>
        <v>675608</v>
      </c>
      <c r="AU332" s="53">
        <f t="shared" si="705"/>
        <v>513686.83333333331</v>
      </c>
      <c r="AV332" s="59">
        <f t="shared" si="691"/>
        <v>33.176139247760794</v>
      </c>
      <c r="AW332" s="59">
        <f t="shared" si="706"/>
        <v>41.188763547148042</v>
      </c>
      <c r="AX332" s="59">
        <f t="shared" si="692"/>
        <v>31.52137764870362</v>
      </c>
      <c r="AZ332" s="53">
        <f t="shared" si="618"/>
        <v>491.8</v>
      </c>
      <c r="BA332" s="53">
        <f t="shared" si="619"/>
        <v>28.518000000000001</v>
      </c>
      <c r="BB332" s="53">
        <f t="shared" si="620"/>
        <v>195.97</v>
      </c>
      <c r="BC332" s="53">
        <f t="shared" si="621"/>
        <v>15.7</v>
      </c>
      <c r="BD332" s="53">
        <f t="shared" si="622"/>
        <v>731.98800000000006</v>
      </c>
      <c r="BE332" s="60">
        <f t="shared" ref="BE332:BI333" si="708">AZ332+BE331</f>
        <v>3355.71</v>
      </c>
      <c r="BF332" s="60">
        <f t="shared" si="708"/>
        <v>127.583</v>
      </c>
      <c r="BG332" s="60">
        <f t="shared" si="708"/>
        <v>1909.3190000000002</v>
      </c>
      <c r="BH332" s="60">
        <f t="shared" si="708"/>
        <v>58.850000000000009</v>
      </c>
      <c r="BI332" s="60">
        <f t="shared" si="708"/>
        <v>5451.4619999999995</v>
      </c>
      <c r="BJ332" s="1">
        <f t="shared" si="413"/>
        <v>10</v>
      </c>
    </row>
    <row r="333" spans="1:62" x14ac:dyDescent="0.3">
      <c r="A333" s="48">
        <f t="shared" si="238"/>
        <v>39886</v>
      </c>
      <c r="B333" s="53">
        <v>461804</v>
      </c>
      <c r="C333" s="53">
        <v>98991</v>
      </c>
      <c r="D333" s="53">
        <v>0</v>
      </c>
      <c r="E333" s="53">
        <f t="shared" si="588"/>
        <v>560795</v>
      </c>
      <c r="F333" s="53">
        <f t="shared" ref="F333:F339" si="709">AVERAGE(E330,E331,E332,E333)</f>
        <v>505555.25</v>
      </c>
      <c r="G333" s="53">
        <f t="shared" ref="G333:G339" si="710">AVERAGE(F281,F229,F177)</f>
        <v>362324.75</v>
      </c>
      <c r="H333" s="59">
        <f t="shared" ref="H333:I335" si="711">((E333/E281)-1)*100</f>
        <v>52.853907103899608</v>
      </c>
      <c r="I333" s="59">
        <f t="shared" si="711"/>
        <v>48.154679439887047</v>
      </c>
      <c r="J333" s="59">
        <f t="shared" ref="J333:J338" si="712">((F333/G333)-1)*100</f>
        <v>39.530973249826282</v>
      </c>
      <c r="L333" s="53">
        <v>16500</v>
      </c>
      <c r="M333" s="53">
        <v>21218</v>
      </c>
      <c r="N333" s="53">
        <v>2800</v>
      </c>
      <c r="O333" s="53">
        <f t="shared" si="651"/>
        <v>40518</v>
      </c>
      <c r="P333" s="53">
        <f t="shared" si="695"/>
        <v>26859</v>
      </c>
      <c r="Q333" s="53">
        <f t="shared" si="696"/>
        <v>24528.75</v>
      </c>
      <c r="R333" s="59">
        <f t="shared" ref="R333:S335" si="713">((O333/O281)-1)*100</f>
        <v>161.40645161290323</v>
      </c>
      <c r="S333" s="59">
        <f t="shared" si="713"/>
        <v>88.619884478308947</v>
      </c>
      <c r="T333" s="59">
        <f t="shared" ref="T333:T338" si="714">((P333/Q333)-1)*100</f>
        <v>9.500076440911176</v>
      </c>
      <c r="V333" s="53">
        <v>71200</v>
      </c>
      <c r="W333" s="53">
        <v>39263</v>
      </c>
      <c r="X333" s="53">
        <v>22400</v>
      </c>
      <c r="Y333" s="53">
        <f t="shared" si="628"/>
        <v>132863</v>
      </c>
      <c r="Z333" s="53">
        <f t="shared" si="698"/>
        <v>189794.75</v>
      </c>
      <c r="AA333" s="53">
        <f t="shared" si="699"/>
        <v>151293.91666666666</v>
      </c>
      <c r="AB333" s="59">
        <f t="shared" ref="AB333:AC335" si="715">((Y333/Y281)-1)*100</f>
        <v>-9.9240005152507411</v>
      </c>
      <c r="AC333" s="59">
        <f t="shared" si="715"/>
        <v>23.732045563076241</v>
      </c>
      <c r="AD333" s="59">
        <f t="shared" ref="AD333:AD338" si="716">((Z333/AA333)-1)*100</f>
        <v>25.447707470062419</v>
      </c>
      <c r="AF333" s="53">
        <v>0</v>
      </c>
      <c r="AG333" s="53">
        <v>0</v>
      </c>
      <c r="AH333" s="53">
        <v>1400</v>
      </c>
      <c r="AI333" s="53">
        <f t="shared" si="577"/>
        <v>1400</v>
      </c>
      <c r="AJ333" s="53">
        <f t="shared" si="701"/>
        <v>9487.5</v>
      </c>
      <c r="AK333" s="53">
        <f t="shared" si="702"/>
        <v>10548.75</v>
      </c>
      <c r="AL333" s="59">
        <f t="shared" ref="AL333:AM335" si="717">((AI333/AI281)-1)*100</f>
        <v>-85.858585858585855</v>
      </c>
      <c r="AM333" s="59">
        <f t="shared" si="717"/>
        <v>-18.184758003664982</v>
      </c>
      <c r="AN333" s="59">
        <f t="shared" ref="AN333:AN338" si="718">((AJ333/AK333)-1)*100</f>
        <v>-10.06043370067543</v>
      </c>
      <c r="AP333" s="53">
        <f t="shared" si="665"/>
        <v>549504</v>
      </c>
      <c r="AQ333" s="53">
        <f t="shared" si="665"/>
        <v>159472</v>
      </c>
      <c r="AR333" s="53">
        <f t="shared" si="665"/>
        <v>26600</v>
      </c>
      <c r="AS333" s="53">
        <f t="shared" si="665"/>
        <v>735576</v>
      </c>
      <c r="AT333" s="53">
        <f t="shared" si="704"/>
        <v>731696.5</v>
      </c>
      <c r="AU333" s="53">
        <f t="shared" si="705"/>
        <v>548696.16666666663</v>
      </c>
      <c r="AV333" s="59">
        <f t="shared" ref="AV333:AV338" si="719">((AS333/AS281)-1)*100</f>
        <v>36.27228669245477</v>
      </c>
      <c r="AW333" s="59">
        <f t="shared" si="706"/>
        <v>40.585825107476523</v>
      </c>
      <c r="AX333" s="59">
        <f t="shared" ref="AX333:AX338" si="720">((AT333/AU333)-1)*100</f>
        <v>33.351851981227028</v>
      </c>
      <c r="AZ333" s="53">
        <f t="shared" si="618"/>
        <v>560.79499999999996</v>
      </c>
      <c r="BA333" s="53">
        <f t="shared" si="619"/>
        <v>40.518000000000001</v>
      </c>
      <c r="BB333" s="53">
        <f t="shared" si="620"/>
        <v>132.863</v>
      </c>
      <c r="BC333" s="53">
        <f t="shared" si="621"/>
        <v>1.4</v>
      </c>
      <c r="BD333" s="53">
        <f t="shared" si="622"/>
        <v>735.57600000000002</v>
      </c>
      <c r="BE333" s="60">
        <f t="shared" si="708"/>
        <v>3916.5050000000001</v>
      </c>
      <c r="BF333" s="60">
        <f t="shared" si="708"/>
        <v>168.101</v>
      </c>
      <c r="BG333" s="60">
        <f t="shared" si="708"/>
        <v>2042.1820000000002</v>
      </c>
      <c r="BH333" s="60">
        <f t="shared" si="708"/>
        <v>60.250000000000007</v>
      </c>
      <c r="BI333" s="60">
        <f t="shared" si="708"/>
        <v>6187.0379999999996</v>
      </c>
      <c r="BJ333" s="1">
        <f t="shared" ref="BJ333:BJ374" si="721">1+BJ332</f>
        <v>11</v>
      </c>
    </row>
    <row r="334" spans="1:62" x14ac:dyDescent="0.3">
      <c r="A334" s="48">
        <f t="shared" si="238"/>
        <v>39893</v>
      </c>
      <c r="B334" s="53">
        <v>333368</v>
      </c>
      <c r="C334" s="53">
        <v>69000</v>
      </c>
      <c r="D334" s="53">
        <v>0</v>
      </c>
      <c r="E334" s="53">
        <f t="shared" si="588"/>
        <v>402368</v>
      </c>
      <c r="F334" s="53">
        <f t="shared" si="709"/>
        <v>502714.75</v>
      </c>
      <c r="G334" s="53">
        <f t="shared" si="710"/>
        <v>386485.5</v>
      </c>
      <c r="H334" s="59">
        <f t="shared" si="711"/>
        <v>14.248072052426553</v>
      </c>
      <c r="I334" s="59">
        <f t="shared" si="711"/>
        <v>44.339015899221181</v>
      </c>
      <c r="J334" s="59">
        <f t="shared" si="712"/>
        <v>30.073379208275597</v>
      </c>
      <c r="L334" s="53">
        <v>3124</v>
      </c>
      <c r="M334" s="53">
        <v>20800</v>
      </c>
      <c r="N334" s="53">
        <v>23800</v>
      </c>
      <c r="O334" s="53">
        <f t="shared" si="651"/>
        <v>47724</v>
      </c>
      <c r="P334" s="53">
        <f t="shared" si="695"/>
        <v>34665</v>
      </c>
      <c r="Q334" s="53">
        <f t="shared" si="696"/>
        <v>27484.25</v>
      </c>
      <c r="R334" s="59">
        <f t="shared" si="713"/>
        <v>193.34316798819842</v>
      </c>
      <c r="S334" s="59">
        <f t="shared" si="713"/>
        <v>161.60289789449851</v>
      </c>
      <c r="T334" s="59">
        <f t="shared" si="714"/>
        <v>26.126781702247648</v>
      </c>
      <c r="V334" s="53">
        <v>101090</v>
      </c>
      <c r="W334" s="53">
        <v>22900</v>
      </c>
      <c r="X334" s="53">
        <v>9800</v>
      </c>
      <c r="Y334" s="53">
        <f t="shared" si="628"/>
        <v>133790</v>
      </c>
      <c r="Z334" s="53">
        <f t="shared" si="698"/>
        <v>201149.75</v>
      </c>
      <c r="AA334" s="53">
        <f t="shared" si="699"/>
        <v>139311.91666666666</v>
      </c>
      <c r="AB334" s="59">
        <f t="shared" si="715"/>
        <v>51.33074686966259</v>
      </c>
      <c r="AC334" s="59">
        <f t="shared" si="715"/>
        <v>55.194069982081096</v>
      </c>
      <c r="AD334" s="59">
        <f t="shared" si="716"/>
        <v>44.38804289893843</v>
      </c>
      <c r="AF334" s="53">
        <v>0</v>
      </c>
      <c r="AG334" s="53">
        <v>0</v>
      </c>
      <c r="AH334" s="53">
        <v>2800</v>
      </c>
      <c r="AI334" s="53">
        <f t="shared" si="577"/>
        <v>2800</v>
      </c>
      <c r="AJ334" s="53">
        <f t="shared" si="701"/>
        <v>6837.5</v>
      </c>
      <c r="AK334" s="53">
        <f t="shared" si="702"/>
        <v>12355.333333333334</v>
      </c>
      <c r="AL334" s="59">
        <f t="shared" si="717"/>
        <v>-86.148214109033347</v>
      </c>
      <c r="AM334" s="59">
        <f t="shared" si="717"/>
        <v>-50.012793800489817</v>
      </c>
      <c r="AN334" s="59">
        <f t="shared" si="718"/>
        <v>-44.65952625047214</v>
      </c>
      <c r="AP334" s="53">
        <f t="shared" si="665"/>
        <v>437582</v>
      </c>
      <c r="AQ334" s="53">
        <f t="shared" si="665"/>
        <v>112700</v>
      </c>
      <c r="AR334" s="53">
        <f t="shared" si="665"/>
        <v>36400</v>
      </c>
      <c r="AS334" s="53">
        <f t="shared" si="665"/>
        <v>586682</v>
      </c>
      <c r="AT334" s="53">
        <f t="shared" si="704"/>
        <v>745367</v>
      </c>
      <c r="AU334" s="53">
        <f t="shared" si="705"/>
        <v>565637</v>
      </c>
      <c r="AV334" s="59">
        <f t="shared" si="719"/>
        <v>22.97350549174142</v>
      </c>
      <c r="AW334" s="59">
        <f t="shared" si="706"/>
        <v>47.647494323570115</v>
      </c>
      <c r="AX334" s="59">
        <f t="shared" si="720"/>
        <v>31.774795496051354</v>
      </c>
      <c r="AZ334" s="53">
        <f t="shared" si="618"/>
        <v>402.36799999999999</v>
      </c>
      <c r="BA334" s="53">
        <f t="shared" si="619"/>
        <v>47.723999999999997</v>
      </c>
      <c r="BB334" s="53">
        <f t="shared" si="620"/>
        <v>133.79</v>
      </c>
      <c r="BC334" s="53">
        <f t="shared" si="621"/>
        <v>2.8</v>
      </c>
      <c r="BD334" s="53">
        <f t="shared" si="622"/>
        <v>586.68200000000002</v>
      </c>
      <c r="BE334" s="60">
        <f t="shared" ref="BE334:BI335" si="722">AZ334+BE333</f>
        <v>4318.8730000000005</v>
      </c>
      <c r="BF334" s="60">
        <f t="shared" si="722"/>
        <v>215.82499999999999</v>
      </c>
      <c r="BG334" s="60">
        <f t="shared" si="722"/>
        <v>2175.9720000000002</v>
      </c>
      <c r="BH334" s="60">
        <f t="shared" si="722"/>
        <v>63.050000000000004</v>
      </c>
      <c r="BI334" s="60">
        <f t="shared" si="722"/>
        <v>6773.7199999999993</v>
      </c>
      <c r="BJ334" s="1">
        <f t="shared" si="721"/>
        <v>12</v>
      </c>
    </row>
    <row r="335" spans="1:62" x14ac:dyDescent="0.3">
      <c r="A335" s="48">
        <f t="shared" si="238"/>
        <v>39900</v>
      </c>
      <c r="B335" s="53">
        <v>328955</v>
      </c>
      <c r="C335" s="53">
        <v>76000</v>
      </c>
      <c r="D335" s="53">
        <v>0</v>
      </c>
      <c r="E335" s="53">
        <f t="shared" si="588"/>
        <v>404955</v>
      </c>
      <c r="F335" s="53">
        <f t="shared" si="709"/>
        <v>464979.5</v>
      </c>
      <c r="G335" s="53">
        <f t="shared" si="710"/>
        <v>404802.66666666669</v>
      </c>
      <c r="H335" s="59">
        <f t="shared" si="711"/>
        <v>3.977784795988315</v>
      </c>
      <c r="I335" s="59">
        <f t="shared" si="711"/>
        <v>26.724258340833785</v>
      </c>
      <c r="J335" s="59">
        <f t="shared" si="712"/>
        <v>14.865720581550846</v>
      </c>
      <c r="L335" s="53">
        <v>12300</v>
      </c>
      <c r="M335" s="53">
        <v>8194</v>
      </c>
      <c r="N335" s="53">
        <v>5600</v>
      </c>
      <c r="O335" s="53">
        <f t="shared" si="651"/>
        <v>26094</v>
      </c>
      <c r="P335" s="53">
        <f t="shared" si="695"/>
        <v>35713.5</v>
      </c>
      <c r="Q335" s="53">
        <f t="shared" si="696"/>
        <v>27169.5</v>
      </c>
      <c r="R335" s="59">
        <f t="shared" si="713"/>
        <v>308.80463731787557</v>
      </c>
      <c r="S335" s="59">
        <f t="shared" si="713"/>
        <v>235.71630005640159</v>
      </c>
      <c r="T335" s="59">
        <f t="shared" si="714"/>
        <v>31.447026997184334</v>
      </c>
      <c r="V335" s="53">
        <v>77140</v>
      </c>
      <c r="W335" s="53">
        <v>48600</v>
      </c>
      <c r="X335" s="53">
        <v>23600</v>
      </c>
      <c r="Y335" s="53">
        <f t="shared" si="628"/>
        <v>149340</v>
      </c>
      <c r="Z335" s="53">
        <f t="shared" si="698"/>
        <v>152990.75</v>
      </c>
      <c r="AA335" s="53">
        <f t="shared" si="699"/>
        <v>128922.08333333333</v>
      </c>
      <c r="AB335" s="59">
        <f t="shared" si="715"/>
        <v>28.548556475631372</v>
      </c>
      <c r="AC335" s="59">
        <f t="shared" si="715"/>
        <v>15.558908393256399</v>
      </c>
      <c r="AD335" s="59">
        <f t="shared" si="716"/>
        <v>18.669157404504656</v>
      </c>
      <c r="AF335" s="53">
        <v>1600</v>
      </c>
      <c r="AG335" s="53">
        <v>7200</v>
      </c>
      <c r="AH335" s="53">
        <v>4200</v>
      </c>
      <c r="AI335" s="53">
        <f t="shared" si="577"/>
        <v>13000</v>
      </c>
      <c r="AJ335" s="53">
        <f t="shared" si="701"/>
        <v>8225</v>
      </c>
      <c r="AK335" s="53">
        <f t="shared" si="702"/>
        <v>11521.166666666666</v>
      </c>
      <c r="AL335" s="59">
        <f t="shared" si="717"/>
        <v>109.6774193548387</v>
      </c>
      <c r="AM335" s="59">
        <f t="shared" si="717"/>
        <v>-26.74889789375251</v>
      </c>
      <c r="AN335" s="59">
        <f t="shared" si="718"/>
        <v>-28.609660479986111</v>
      </c>
      <c r="AP335" s="53">
        <f t="shared" si="665"/>
        <v>419995</v>
      </c>
      <c r="AQ335" s="53">
        <f t="shared" si="665"/>
        <v>139994</v>
      </c>
      <c r="AR335" s="53">
        <f t="shared" si="665"/>
        <v>33400</v>
      </c>
      <c r="AS335" s="53">
        <f t="shared" si="665"/>
        <v>593389</v>
      </c>
      <c r="AT335" s="53">
        <f t="shared" si="704"/>
        <v>661908.75</v>
      </c>
      <c r="AU335" s="53">
        <f t="shared" si="705"/>
        <v>572415.41666666663</v>
      </c>
      <c r="AV335" s="59">
        <f t="shared" si="719"/>
        <v>14.505229439234313</v>
      </c>
      <c r="AW335" s="59">
        <f t="shared" si="706"/>
        <v>27.001764742845925</v>
      </c>
      <c r="AX335" s="59">
        <f t="shared" si="720"/>
        <v>15.63433316567151</v>
      </c>
      <c r="AZ335" s="53">
        <f t="shared" si="618"/>
        <v>404.95499999999998</v>
      </c>
      <c r="BA335" s="53">
        <f t="shared" si="619"/>
        <v>26.094000000000001</v>
      </c>
      <c r="BB335" s="53">
        <f t="shared" si="620"/>
        <v>149.34</v>
      </c>
      <c r="BC335" s="53">
        <f t="shared" si="621"/>
        <v>13</v>
      </c>
      <c r="BD335" s="53">
        <f t="shared" si="622"/>
        <v>593.38900000000001</v>
      </c>
      <c r="BE335" s="60">
        <f t="shared" si="722"/>
        <v>4723.8280000000004</v>
      </c>
      <c r="BF335" s="60">
        <f t="shared" si="722"/>
        <v>241.91899999999998</v>
      </c>
      <c r="BG335" s="60">
        <f t="shared" si="722"/>
        <v>2325.3120000000004</v>
      </c>
      <c r="BH335" s="60">
        <f t="shared" si="722"/>
        <v>76.050000000000011</v>
      </c>
      <c r="BI335" s="60">
        <f t="shared" si="722"/>
        <v>7367.1089999999995</v>
      </c>
      <c r="BJ335" s="1">
        <f t="shared" si="721"/>
        <v>13</v>
      </c>
    </row>
    <row r="336" spans="1:62" x14ac:dyDescent="0.3">
      <c r="A336" s="48">
        <f t="shared" si="238"/>
        <v>39907</v>
      </c>
      <c r="B336" s="53">
        <v>360792</v>
      </c>
      <c r="C336" s="53">
        <v>71100</v>
      </c>
      <c r="D336" s="53">
        <v>0</v>
      </c>
      <c r="E336" s="53">
        <f t="shared" si="588"/>
        <v>431892</v>
      </c>
      <c r="F336" s="53">
        <f t="shared" si="709"/>
        <v>450002.5</v>
      </c>
      <c r="G336" s="53">
        <f t="shared" si="710"/>
        <v>415346.33333333331</v>
      </c>
      <c r="H336" s="59">
        <f t="shared" ref="H336" si="723">((E336/E284)-1)*100</f>
        <v>-15.036246495844196</v>
      </c>
      <c r="I336" s="59">
        <f t="shared" ref="I336" si="724">((F336/F284)-1)*100</f>
        <v>11.327580203344878</v>
      </c>
      <c r="J336" s="59">
        <f t="shared" si="712"/>
        <v>8.3439202143753111</v>
      </c>
      <c r="L336" s="53">
        <v>9450</v>
      </c>
      <c r="M336" s="53">
        <v>10526</v>
      </c>
      <c r="N336" s="53">
        <v>5600</v>
      </c>
      <c r="O336" s="53">
        <f t="shared" si="651"/>
        <v>25576</v>
      </c>
      <c r="P336" s="53">
        <f t="shared" si="695"/>
        <v>34978</v>
      </c>
      <c r="Q336" s="53">
        <f t="shared" si="696"/>
        <v>27948.5</v>
      </c>
      <c r="R336" s="59">
        <f t="shared" ref="R336" si="725">((O336/O284)-1)*100</f>
        <v>-35.298135546054802</v>
      </c>
      <c r="S336" s="59">
        <f t="shared" ref="S336" si="726">((P336/P284)-1)*100</f>
        <v>80.110966645640502</v>
      </c>
      <c r="T336" s="59">
        <f t="shared" si="714"/>
        <v>25.151618154820476</v>
      </c>
      <c r="V336" s="53">
        <v>191012</v>
      </c>
      <c r="W336" s="53">
        <v>41050</v>
      </c>
      <c r="X336" s="53">
        <v>9800</v>
      </c>
      <c r="Y336" s="53">
        <f t="shared" si="628"/>
        <v>241862</v>
      </c>
      <c r="Z336" s="53">
        <f t="shared" si="698"/>
        <v>164463.75</v>
      </c>
      <c r="AA336" s="53">
        <f t="shared" si="699"/>
        <v>118686.33333333333</v>
      </c>
      <c r="AB336" s="59">
        <f t="shared" ref="AB336" si="727">((Y336/Y284)-1)*100</f>
        <v>43.77548715388</v>
      </c>
      <c r="AC336" s="59">
        <f t="shared" ref="AC336" si="728">((Z336/Z284)-1)*100</f>
        <v>26.436174097550278</v>
      </c>
      <c r="AD336" s="59">
        <f t="shared" si="716"/>
        <v>38.570082486329518</v>
      </c>
      <c r="AF336" s="53">
        <v>0</v>
      </c>
      <c r="AG336" s="53">
        <v>15000</v>
      </c>
      <c r="AH336" s="53">
        <v>2800</v>
      </c>
      <c r="AI336" s="53">
        <f t="shared" si="577"/>
        <v>17800</v>
      </c>
      <c r="AJ336" s="53">
        <f t="shared" si="701"/>
        <v>8750</v>
      </c>
      <c r="AK336" s="53">
        <f t="shared" si="702"/>
        <v>10942</v>
      </c>
      <c r="AL336" s="59">
        <f t="shared" ref="AL336" si="729">((AI336/AI284)-1)*100</f>
        <v>45.9016393442623</v>
      </c>
      <c r="AM336" s="59">
        <f t="shared" ref="AM336" si="730">((AJ336/AJ284)-1)*100</f>
        <v>-27.855876654161683</v>
      </c>
      <c r="AN336" s="59">
        <f t="shared" si="718"/>
        <v>-20.032900749405957</v>
      </c>
      <c r="AP336" s="53">
        <f t="shared" si="665"/>
        <v>561254</v>
      </c>
      <c r="AQ336" s="53">
        <f t="shared" si="665"/>
        <v>137676</v>
      </c>
      <c r="AR336" s="53">
        <f t="shared" si="665"/>
        <v>18200</v>
      </c>
      <c r="AS336" s="53">
        <f t="shared" si="665"/>
        <v>717130</v>
      </c>
      <c r="AT336" s="53">
        <f t="shared" si="704"/>
        <v>658194.25</v>
      </c>
      <c r="AU336" s="53">
        <f t="shared" si="705"/>
        <v>572923.16666666663</v>
      </c>
      <c r="AV336" s="59">
        <f t="shared" si="719"/>
        <v>-1.5304637252909647</v>
      </c>
      <c r="AW336" s="59">
        <f t="shared" ref="AW336" si="731">((AT336/AT284)-1)*100</f>
        <v>16.321619185635505</v>
      </c>
      <c r="AX336" s="59">
        <f t="shared" si="720"/>
        <v>14.883511139800888</v>
      </c>
      <c r="AZ336" s="53">
        <f t="shared" si="618"/>
        <v>431.892</v>
      </c>
      <c r="BA336" s="53">
        <f t="shared" si="619"/>
        <v>25.576000000000001</v>
      </c>
      <c r="BB336" s="53">
        <f t="shared" si="620"/>
        <v>241.86199999999999</v>
      </c>
      <c r="BC336" s="53">
        <f t="shared" si="621"/>
        <v>17.8</v>
      </c>
      <c r="BD336" s="53">
        <f t="shared" si="622"/>
        <v>717.13</v>
      </c>
      <c r="BE336" s="60">
        <f t="shared" ref="BE336" si="732">AZ336+BE335</f>
        <v>5155.72</v>
      </c>
      <c r="BF336" s="60">
        <f t="shared" ref="BF336" si="733">BA336+BF335</f>
        <v>267.495</v>
      </c>
      <c r="BG336" s="60">
        <f t="shared" ref="BG336" si="734">BB336+BG335</f>
        <v>2567.1740000000004</v>
      </c>
      <c r="BH336" s="60">
        <f t="shared" ref="BH336" si="735">BC336+BH335</f>
        <v>93.850000000000009</v>
      </c>
      <c r="BI336" s="60">
        <f t="shared" ref="BI336" si="736">BD336+BI335</f>
        <v>8084.2389999999996</v>
      </c>
      <c r="BJ336" s="1">
        <f t="shared" si="721"/>
        <v>14</v>
      </c>
    </row>
    <row r="337" spans="1:62" x14ac:dyDescent="0.3">
      <c r="A337" s="48">
        <f t="shared" si="238"/>
        <v>39914</v>
      </c>
      <c r="B337" s="53">
        <v>379523</v>
      </c>
      <c r="C337" s="53">
        <v>68600</v>
      </c>
      <c r="D337" s="53">
        <v>0</v>
      </c>
      <c r="E337" s="53">
        <f t="shared" si="588"/>
        <v>448123</v>
      </c>
      <c r="F337" s="53">
        <f t="shared" si="709"/>
        <v>421834.5</v>
      </c>
      <c r="G337" s="53">
        <f t="shared" si="710"/>
        <v>440139.33333333331</v>
      </c>
      <c r="H337" s="59">
        <f t="shared" ref="H337" si="737">((E337/E285)-1)*100</f>
        <v>5.641798152247457</v>
      </c>
      <c r="I337" s="59">
        <f t="shared" ref="I337" si="738">((F337/F285)-1)*100</f>
        <v>0.78671960443612576</v>
      </c>
      <c r="J337" s="59">
        <f t="shared" si="712"/>
        <v>-4.1588724176737983</v>
      </c>
      <c r="L337" s="53">
        <v>19600</v>
      </c>
      <c r="M337" s="53">
        <v>6000</v>
      </c>
      <c r="N337" s="53">
        <v>11200</v>
      </c>
      <c r="O337" s="53">
        <f t="shared" si="651"/>
        <v>36800</v>
      </c>
      <c r="P337" s="53">
        <f t="shared" ref="P337" si="739">AVERAGE(O334,O335,O336,O337)</f>
        <v>34048.5</v>
      </c>
      <c r="Q337" s="53">
        <f t="shared" ref="Q337" si="740">AVERAGE(P285,P233,P181)</f>
        <v>25847.416666666668</v>
      </c>
      <c r="R337" s="59">
        <f t="shared" ref="R337" si="741">((O337/O285)-1)*100</f>
        <v>97.806923242313488</v>
      </c>
      <c r="S337" s="59">
        <f t="shared" ref="S337" si="742">((P337/P285)-1)*100</f>
        <v>68.588228012626089</v>
      </c>
      <c r="T337" s="59">
        <f t="shared" si="714"/>
        <v>31.728831701427286</v>
      </c>
      <c r="V337" s="53">
        <v>109038</v>
      </c>
      <c r="W337" s="53">
        <v>37750</v>
      </c>
      <c r="X337" s="53">
        <v>18200</v>
      </c>
      <c r="Y337" s="53">
        <f t="shared" si="628"/>
        <v>164988</v>
      </c>
      <c r="Z337" s="53">
        <f t="shared" ref="Z337" si="743">AVERAGE(Y334,Y335,Y336,Y337)</f>
        <v>172495</v>
      </c>
      <c r="AA337" s="53">
        <f t="shared" ref="AA337" si="744">AVERAGE(Z285,Z233,Z181)</f>
        <v>111132.16666666667</v>
      </c>
      <c r="AB337" s="59">
        <f t="shared" ref="AB337" si="745">((Y337/Y285)-1)*100</f>
        <v>32.267632958681403</v>
      </c>
      <c r="AC337" s="59">
        <f t="shared" ref="AC337" si="746">((Z337/Z285)-1)*100</f>
        <v>38.677461043568087</v>
      </c>
      <c r="AD337" s="59">
        <f t="shared" si="716"/>
        <v>55.216086551598465</v>
      </c>
      <c r="AF337" s="53">
        <v>0</v>
      </c>
      <c r="AG337" s="53">
        <v>0</v>
      </c>
      <c r="AH337" s="53">
        <v>12600</v>
      </c>
      <c r="AI337" s="53">
        <f t="shared" si="577"/>
        <v>12600</v>
      </c>
      <c r="AJ337" s="53">
        <f t="shared" ref="AJ337" si="747">AVERAGE(AI334,AI335,AI336,AI337)</f>
        <v>11550</v>
      </c>
      <c r="AK337" s="53">
        <f t="shared" ref="AK337" si="748">AVERAGE(AJ285,AJ233,AJ181)</f>
        <v>11000.333333333334</v>
      </c>
      <c r="AL337" s="59">
        <f t="shared" ref="AL337" si="749">((AI337/AI285)-1)*100</f>
        <v>186.36363636363637</v>
      </c>
      <c r="AM337" s="59">
        <f t="shared" ref="AM337" si="750">((AJ337/AJ285)-1)*100</f>
        <v>7.4068907797461225</v>
      </c>
      <c r="AN337" s="59">
        <f t="shared" si="718"/>
        <v>4.9968182782339943</v>
      </c>
      <c r="AP337" s="53">
        <f t="shared" si="665"/>
        <v>508161</v>
      </c>
      <c r="AQ337" s="53">
        <f t="shared" si="665"/>
        <v>112350</v>
      </c>
      <c r="AR337" s="53">
        <f t="shared" si="665"/>
        <v>42000</v>
      </c>
      <c r="AS337" s="53">
        <f t="shared" si="665"/>
        <v>662511</v>
      </c>
      <c r="AT337" s="53">
        <f t="shared" ref="AT337" si="751">AVERAGE(AS334,AS335,AS336,AS337)</f>
        <v>639928</v>
      </c>
      <c r="AU337" s="53">
        <f t="shared" ref="AU337" si="752">AVERAGE(AT285,AT233,AT181)</f>
        <v>588119.25</v>
      </c>
      <c r="AV337" s="59">
        <f t="shared" si="719"/>
        <v>15.837169738413426</v>
      </c>
      <c r="AW337" s="59">
        <f t="shared" ref="AW337" si="753">((AT337/AT285)-1)*100</f>
        <v>11.509560624680626</v>
      </c>
      <c r="AX337" s="59">
        <f t="shared" si="720"/>
        <v>8.8092253399289397</v>
      </c>
      <c r="AZ337" s="53">
        <f t="shared" si="618"/>
        <v>448.12299999999999</v>
      </c>
      <c r="BA337" s="53">
        <f t="shared" si="619"/>
        <v>36.799999999999997</v>
      </c>
      <c r="BB337" s="53">
        <f t="shared" si="620"/>
        <v>164.988</v>
      </c>
      <c r="BC337" s="53">
        <f t="shared" si="621"/>
        <v>12.6</v>
      </c>
      <c r="BD337" s="53">
        <f t="shared" si="622"/>
        <v>662.51099999999997</v>
      </c>
      <c r="BE337" s="60">
        <f t="shared" ref="BE337" si="754">AZ337+BE336</f>
        <v>5603.8429999999998</v>
      </c>
      <c r="BF337" s="60">
        <f t="shared" ref="BF337" si="755">BA337+BF336</f>
        <v>304.29500000000002</v>
      </c>
      <c r="BG337" s="60">
        <f t="shared" ref="BG337" si="756">BB337+BG336</f>
        <v>2732.1620000000003</v>
      </c>
      <c r="BH337" s="60">
        <f t="shared" ref="BH337" si="757">BC337+BH336</f>
        <v>106.45</v>
      </c>
      <c r="BI337" s="60">
        <f t="shared" ref="BI337" si="758">BD337+BI336</f>
        <v>8746.75</v>
      </c>
      <c r="BJ337" s="1">
        <f t="shared" si="721"/>
        <v>15</v>
      </c>
    </row>
    <row r="338" spans="1:62" x14ac:dyDescent="0.3">
      <c r="A338" s="48">
        <f t="shared" si="238"/>
        <v>39921</v>
      </c>
      <c r="B338" s="53">
        <v>511163</v>
      </c>
      <c r="C338" s="53">
        <v>50100</v>
      </c>
      <c r="D338" s="53">
        <v>0</v>
      </c>
      <c r="E338" s="53">
        <f t="shared" si="588"/>
        <v>561263</v>
      </c>
      <c r="F338" s="53">
        <f t="shared" si="709"/>
        <v>461558.25</v>
      </c>
      <c r="G338" s="53">
        <f t="shared" si="710"/>
        <v>467436.66666666669</v>
      </c>
      <c r="H338" s="59">
        <f t="shared" ref="H338" si="759">((E338/E286)-1)*100</f>
        <v>21.846289445804889</v>
      </c>
      <c r="I338" s="59">
        <f t="shared" ref="I338" si="760">((F338/F286)-1)*100</f>
        <v>3.5690344107603966</v>
      </c>
      <c r="J338" s="59">
        <f t="shared" si="712"/>
        <v>-1.2575856978842115</v>
      </c>
      <c r="L338" s="53">
        <v>22476</v>
      </c>
      <c r="M338" s="53">
        <v>4700</v>
      </c>
      <c r="N338" s="53">
        <v>14000</v>
      </c>
      <c r="O338" s="53">
        <f t="shared" si="651"/>
        <v>41176</v>
      </c>
      <c r="P338" s="53">
        <f t="shared" ref="P338" si="761">AVERAGE(O335,O336,O337,O338)</f>
        <v>32411.5</v>
      </c>
      <c r="Q338" s="53">
        <f t="shared" ref="Q338" si="762">AVERAGE(P286,P234,P182)</f>
        <v>22809.166666666668</v>
      </c>
      <c r="R338" s="59">
        <f t="shared" ref="R338" si="763">((O338/O286)-1)*100</f>
        <v>1166.9538461538461</v>
      </c>
      <c r="S338" s="59">
        <f t="shared" ref="S338" si="764">((P338/P286)-1)*100</f>
        <v>91.314228374110911</v>
      </c>
      <c r="T338" s="59">
        <f t="shared" si="714"/>
        <v>42.098571480764299</v>
      </c>
      <c r="V338" s="53">
        <v>108056</v>
      </c>
      <c r="W338" s="53">
        <v>47750</v>
      </c>
      <c r="X338" s="53">
        <v>21000</v>
      </c>
      <c r="Y338" s="53">
        <f t="shared" si="628"/>
        <v>176806</v>
      </c>
      <c r="Z338" s="53">
        <f t="shared" ref="Z338" si="765">AVERAGE(Y335,Y336,Y337,Y338)</f>
        <v>183249</v>
      </c>
      <c r="AA338" s="53">
        <f t="shared" ref="AA338" si="766">AVERAGE(Z286,Z234,Z182)</f>
        <v>109655.08333333333</v>
      </c>
      <c r="AB338" s="59">
        <f t="shared" ref="AB338" si="767">((Y338/Y286)-1)*100</f>
        <v>109.43119092179762</v>
      </c>
      <c r="AC338" s="59">
        <f t="shared" ref="AC338" si="768">((Z338/Z286)-1)*100</f>
        <v>48.513238619325882</v>
      </c>
      <c r="AD338" s="59">
        <f t="shared" si="716"/>
        <v>67.114003682759815</v>
      </c>
      <c r="AF338" s="53">
        <v>1624</v>
      </c>
      <c r="AG338" s="53">
        <v>15000</v>
      </c>
      <c r="AH338" s="53">
        <v>2800</v>
      </c>
      <c r="AI338" s="53">
        <f t="shared" si="577"/>
        <v>19424</v>
      </c>
      <c r="AJ338" s="53">
        <f t="shared" ref="AJ338" si="769">AVERAGE(AI335,AI336,AI337,AI338)</f>
        <v>15706</v>
      </c>
      <c r="AK338" s="53">
        <f t="shared" ref="AK338" si="770">AVERAGE(AJ286,AJ234,AJ182)</f>
        <v>8528.3333333333339</v>
      </c>
      <c r="AL338" s="59">
        <f t="shared" ref="AL338" si="771">((AI338/AI286)-1)*100</f>
        <v>84.990476190476187</v>
      </c>
      <c r="AM338" s="59">
        <f t="shared" ref="AM338" si="772">((AJ338/AJ286)-1)*100</f>
        <v>88.660660660660653</v>
      </c>
      <c r="AN338" s="59">
        <f t="shared" si="718"/>
        <v>84.162595270666387</v>
      </c>
      <c r="AP338" s="53">
        <f t="shared" si="665"/>
        <v>643319</v>
      </c>
      <c r="AQ338" s="53">
        <f t="shared" si="665"/>
        <v>117550</v>
      </c>
      <c r="AR338" s="53">
        <f t="shared" si="665"/>
        <v>37800</v>
      </c>
      <c r="AS338" s="53">
        <f t="shared" si="665"/>
        <v>798669</v>
      </c>
      <c r="AT338" s="53">
        <f t="shared" ref="AT338" si="773">AVERAGE(AS335,AS336,AS337,AS338)</f>
        <v>692924.75</v>
      </c>
      <c r="AU338" s="53">
        <f t="shared" ref="AU338" si="774">AVERAGE(AT286,AT234,AT182)</f>
        <v>608429.25</v>
      </c>
      <c r="AV338" s="59">
        <f t="shared" si="719"/>
        <v>42.92471063199261</v>
      </c>
      <c r="AW338" s="59">
        <f t="shared" ref="AW338" si="775">((AT338/AT286)-1)*100</f>
        <v>16.593493359716938</v>
      </c>
      <c r="AX338" s="59">
        <f t="shared" si="720"/>
        <v>13.887481576534988</v>
      </c>
      <c r="AZ338" s="53">
        <f t="shared" si="618"/>
        <v>561.26300000000003</v>
      </c>
      <c r="BA338" s="53">
        <f t="shared" si="619"/>
        <v>41.176000000000002</v>
      </c>
      <c r="BB338" s="53">
        <f t="shared" si="620"/>
        <v>176.80600000000001</v>
      </c>
      <c r="BC338" s="53">
        <f t="shared" si="621"/>
        <v>19.423999999999999</v>
      </c>
      <c r="BD338" s="53">
        <f t="shared" si="622"/>
        <v>798.66899999999998</v>
      </c>
      <c r="BE338" s="60">
        <f t="shared" ref="BE338" si="776">AZ338+BE337</f>
        <v>6165.1059999999998</v>
      </c>
      <c r="BF338" s="60">
        <f t="shared" ref="BF338" si="777">BA338+BF337</f>
        <v>345.471</v>
      </c>
      <c r="BG338" s="60">
        <f t="shared" ref="BG338" si="778">BB338+BG337</f>
        <v>2908.9680000000003</v>
      </c>
      <c r="BH338" s="60">
        <f t="shared" ref="BH338" si="779">BC338+BH337</f>
        <v>125.874</v>
      </c>
      <c r="BI338" s="60">
        <f t="shared" ref="BI338" si="780">BD338+BI337</f>
        <v>9545.4189999999999</v>
      </c>
      <c r="BJ338" s="1">
        <f t="shared" si="721"/>
        <v>16</v>
      </c>
    </row>
    <row r="339" spans="1:62" x14ac:dyDescent="0.3">
      <c r="A339" s="48">
        <f t="shared" si="238"/>
        <v>39928</v>
      </c>
      <c r="B339" s="53">
        <v>424070</v>
      </c>
      <c r="C339" s="53">
        <v>98360</v>
      </c>
      <c r="D339" s="53">
        <v>0</v>
      </c>
      <c r="E339" s="53">
        <f t="shared" si="588"/>
        <v>522430</v>
      </c>
      <c r="F339" s="53">
        <f t="shared" si="709"/>
        <v>490927</v>
      </c>
      <c r="G339" s="53">
        <f t="shared" si="710"/>
        <v>485892.33333333331</v>
      </c>
      <c r="H339" s="59">
        <f t="shared" ref="H339" si="781">((E339/E287)-1)*100</f>
        <v>19.131013786844342</v>
      </c>
      <c r="I339" s="59">
        <f t="shared" ref="I339" si="782">((F339/F287)-1)*100</f>
        <v>7.2079105434240232</v>
      </c>
      <c r="J339" s="59">
        <f t="shared" ref="J339" si="783">((F339/G339)-1)*100</f>
        <v>1.0361691924891447</v>
      </c>
      <c r="L339" s="53">
        <v>15240</v>
      </c>
      <c r="M339" s="53">
        <v>6200</v>
      </c>
      <c r="N339" s="53">
        <v>17000</v>
      </c>
      <c r="O339" s="53">
        <f t="shared" si="651"/>
        <v>38440</v>
      </c>
      <c r="P339" s="53">
        <f t="shared" ref="P339" si="784">AVERAGE(O336,O337,O338,O339)</f>
        <v>35498</v>
      </c>
      <c r="Q339" s="53">
        <f t="shared" ref="Q339" si="785">AVERAGE(P287,P235,P183)</f>
        <v>28422.666666666668</v>
      </c>
      <c r="R339" s="59">
        <f t="shared" ref="R339" si="786">((O339/O287)-1)*100</f>
        <v>95.166531275385864</v>
      </c>
      <c r="S339" s="59">
        <f t="shared" ref="S339" si="787">((P339/P287)-1)*100</f>
        <v>75.127961617681521</v>
      </c>
      <c r="T339" s="59">
        <f t="shared" ref="T339" si="788">((P339/Q339)-1)*100</f>
        <v>24.893277665712809</v>
      </c>
      <c r="V339" s="53">
        <v>148895</v>
      </c>
      <c r="W339" s="53">
        <v>42591</v>
      </c>
      <c r="X339" s="53">
        <v>10000</v>
      </c>
      <c r="Y339" s="53">
        <f t="shared" si="628"/>
        <v>201486</v>
      </c>
      <c r="Z339" s="53">
        <f t="shared" ref="Z339" si="789">AVERAGE(Y336,Y337,Y338,Y339)</f>
        <v>196285.5</v>
      </c>
      <c r="AA339" s="53">
        <f t="shared" ref="AA339" si="790">AVERAGE(Z287,Z235,Z183)</f>
        <v>107202.83333333333</v>
      </c>
      <c r="AB339" s="59">
        <f t="shared" ref="AB339" si="791">((Y339/Y287)-1)*100</f>
        <v>70.666960307645382</v>
      </c>
      <c r="AC339" s="59">
        <f t="shared" ref="AC339" si="792">((Z339/Z287)-1)*100</f>
        <v>58.473679961246575</v>
      </c>
      <c r="AD339" s="59">
        <f t="shared" ref="AD339" si="793">((Z339/AA339)-1)*100</f>
        <v>83.097306196820057</v>
      </c>
      <c r="AF339" s="53">
        <v>4734</v>
      </c>
      <c r="AG339" s="53">
        <v>0</v>
      </c>
      <c r="AH339" s="53">
        <v>4200</v>
      </c>
      <c r="AI339" s="53">
        <f t="shared" si="577"/>
        <v>8934</v>
      </c>
      <c r="AJ339" s="53">
        <f t="shared" ref="AJ339" si="794">AVERAGE(AI336,AI337,AI338,AI339)</f>
        <v>14689.5</v>
      </c>
      <c r="AK339" s="53">
        <f t="shared" ref="AK339" si="795">AVERAGE(AJ287,AJ235,AJ183)</f>
        <v>8058.333333333333</v>
      </c>
      <c r="AL339" s="59"/>
      <c r="AM339" s="59">
        <f t="shared" ref="AM339" si="796">((AJ339/AJ287)-1)*100</f>
        <v>116.81918819188191</v>
      </c>
      <c r="AN339" s="59">
        <f t="shared" ref="AN339" si="797">((AJ339/AK339)-1)*100</f>
        <v>82.289555325749745</v>
      </c>
      <c r="AP339" s="53">
        <f t="shared" si="665"/>
        <v>592939</v>
      </c>
      <c r="AQ339" s="53">
        <f t="shared" si="665"/>
        <v>147151</v>
      </c>
      <c r="AR339" s="53">
        <f t="shared" si="665"/>
        <v>31200</v>
      </c>
      <c r="AS339" s="53">
        <f t="shared" si="665"/>
        <v>771290</v>
      </c>
      <c r="AT339" s="53">
        <f t="shared" ref="AT339" si="798">AVERAGE(AS336,AS337,AS338,AS339)</f>
        <v>737400</v>
      </c>
      <c r="AU339" s="53">
        <f t="shared" ref="AU339" si="799">AVERAGE(AT287,AT235,AT183)</f>
        <v>629576.16666666663</v>
      </c>
      <c r="AV339" s="59">
        <f t="shared" ref="AV339" si="800">((AS339/AS287)-1)*100</f>
        <v>33.837595091343211</v>
      </c>
      <c r="AW339" s="59">
        <f t="shared" ref="AW339" si="801">((AT339/AT287)-1)*100</f>
        <v>21.118498288301947</v>
      </c>
      <c r="AX339" s="59">
        <f t="shared" ref="AX339" si="802">((AT339/AU339)-1)*100</f>
        <v>17.126415998911448</v>
      </c>
      <c r="AZ339" s="53">
        <f t="shared" si="618"/>
        <v>522.42999999999995</v>
      </c>
      <c r="BA339" s="53">
        <f t="shared" si="619"/>
        <v>38.44</v>
      </c>
      <c r="BB339" s="53">
        <f t="shared" si="620"/>
        <v>201.48599999999999</v>
      </c>
      <c r="BC339" s="53">
        <f t="shared" si="621"/>
        <v>8.9339999999999993</v>
      </c>
      <c r="BD339" s="53">
        <f t="shared" si="622"/>
        <v>771.29</v>
      </c>
      <c r="BE339" s="60">
        <f t="shared" ref="BE339" si="803">AZ339+BE338</f>
        <v>6687.5360000000001</v>
      </c>
      <c r="BF339" s="60">
        <f t="shared" ref="BF339" si="804">BA339+BF338</f>
        <v>383.911</v>
      </c>
      <c r="BG339" s="60">
        <f t="shared" ref="BG339" si="805">BB339+BG338</f>
        <v>3110.4540000000002</v>
      </c>
      <c r="BH339" s="60">
        <f t="shared" ref="BH339" si="806">BC339+BH338</f>
        <v>134.80799999999999</v>
      </c>
      <c r="BI339" s="60">
        <f t="shared" ref="BI339" si="807">BD339+BI338</f>
        <v>10316.708999999999</v>
      </c>
      <c r="BJ339" s="1">
        <f t="shared" si="721"/>
        <v>17</v>
      </c>
    </row>
    <row r="340" spans="1:62" x14ac:dyDescent="0.3">
      <c r="A340" s="48">
        <f t="shared" si="238"/>
        <v>39935</v>
      </c>
      <c r="B340" s="53">
        <v>332750</v>
      </c>
      <c r="C340" s="53">
        <v>47700</v>
      </c>
      <c r="D340" s="53">
        <v>0</v>
      </c>
      <c r="E340" s="53">
        <f t="shared" si="588"/>
        <v>380450</v>
      </c>
      <c r="F340" s="53">
        <f t="shared" ref="F340" si="808">AVERAGE(E337,E338,E339,E340)</f>
        <v>478066.5</v>
      </c>
      <c r="G340" s="53">
        <f t="shared" ref="G340" si="809">AVERAGE(F288,F236,F184)</f>
        <v>463172</v>
      </c>
      <c r="H340" s="59">
        <f t="shared" ref="H340" si="810">((E340/E288)-1)*100</f>
        <v>75.834689048288098</v>
      </c>
      <c r="I340" s="59">
        <f t="shared" ref="I340" si="811">((F340/F288)-1)*100</f>
        <v>24.195294614298014</v>
      </c>
      <c r="J340" s="59">
        <f t="shared" ref="J340" si="812">((F340/G340)-1)*100</f>
        <v>3.2157600200357628</v>
      </c>
      <c r="L340" s="53">
        <v>12300</v>
      </c>
      <c r="M340" s="53">
        <v>4800</v>
      </c>
      <c r="N340" s="53">
        <v>11200</v>
      </c>
      <c r="O340" s="53">
        <f t="shared" si="651"/>
        <v>28300</v>
      </c>
      <c r="P340" s="53">
        <f t="shared" ref="P340" si="813">AVERAGE(O337,O338,O339,O340)</f>
        <v>36179</v>
      </c>
      <c r="Q340" s="53">
        <f t="shared" ref="Q340" si="814">AVERAGE(P288,P236,P184)</f>
        <v>24290.083333333332</v>
      </c>
      <c r="R340" s="59">
        <f t="shared" ref="R340" si="815">((O340/O288)-1)*100</f>
        <v>558.1395348837209</v>
      </c>
      <c r="S340" s="59">
        <f t="shared" ref="S340" si="816">((P340/P288)-1)*100</f>
        <v>215.62922573609598</v>
      </c>
      <c r="T340" s="59">
        <f t="shared" ref="T340" si="817">((P340/Q340)-1)*100</f>
        <v>48.945557343360299</v>
      </c>
      <c r="V340" s="53">
        <v>109700</v>
      </c>
      <c r="W340" s="53">
        <v>28800</v>
      </c>
      <c r="X340" s="53">
        <v>23800</v>
      </c>
      <c r="Y340" s="53">
        <f t="shared" si="628"/>
        <v>162300</v>
      </c>
      <c r="Z340" s="53">
        <f t="shared" ref="Z340" si="818">AVERAGE(Y337,Y338,Y339,Y340)</f>
        <v>176395</v>
      </c>
      <c r="AA340" s="53">
        <f t="shared" ref="AA340" si="819">AVERAGE(Z288,Z236,Z184)</f>
        <v>97180.166666666672</v>
      </c>
      <c r="AB340" s="59">
        <f t="shared" ref="AB340" si="820">((Y340/Y288)-1)*100</f>
        <v>119.85613849717561</v>
      </c>
      <c r="AC340" s="59">
        <f t="shared" ref="AC340" si="821">((Z340/Z288)-1)*100</f>
        <v>75.93800104229264</v>
      </c>
      <c r="AD340" s="59">
        <f t="shared" ref="AD340" si="822">((Z340/AA340)-1)*100</f>
        <v>81.513374642631106</v>
      </c>
      <c r="AF340" s="53">
        <v>6000</v>
      </c>
      <c r="AG340" s="53">
        <v>0</v>
      </c>
      <c r="AH340" s="53">
        <v>7000</v>
      </c>
      <c r="AI340" s="53">
        <f t="shared" si="577"/>
        <v>13000</v>
      </c>
      <c r="AJ340" s="53">
        <f t="shared" ref="AJ340" si="823">AVERAGE(AI337,AI338,AI339,AI340)</f>
        <v>13489.5</v>
      </c>
      <c r="AK340" s="53">
        <f t="shared" ref="AK340" si="824">AVERAGE(AJ288,AJ236,AJ184)</f>
        <v>9865</v>
      </c>
      <c r="AL340" s="59">
        <f t="shared" ref="AL340" si="825">((AI340/AI288)-1)*100</f>
        <v>-7.8014184397163122</v>
      </c>
      <c r="AM340" s="59">
        <f t="shared" ref="AM340" si="826">((AJ340/AJ288)-1)*100</f>
        <v>86.062068965517241</v>
      </c>
      <c r="AN340" s="59">
        <f t="shared" ref="AN340" si="827">((AJ340/AK340)-1)*100</f>
        <v>36.741003547896597</v>
      </c>
      <c r="AP340" s="53">
        <f t="shared" si="665"/>
        <v>460750</v>
      </c>
      <c r="AQ340" s="53">
        <f t="shared" si="665"/>
        <v>81300</v>
      </c>
      <c r="AR340" s="53">
        <f t="shared" si="665"/>
        <v>42000</v>
      </c>
      <c r="AS340" s="53">
        <f t="shared" si="665"/>
        <v>584050</v>
      </c>
      <c r="AT340" s="53">
        <f t="shared" ref="AT340" si="828">AVERAGE(AS337,AS338,AS339,AS340)</f>
        <v>704130</v>
      </c>
      <c r="AU340" s="53">
        <f t="shared" ref="AU340" si="829">AVERAGE(AT288,AT236,AT184)</f>
        <v>594507.25</v>
      </c>
      <c r="AV340" s="59">
        <f t="shared" ref="AV340" si="830">((AS340/AS288)-1)*100</f>
        <v>89.264685390600434</v>
      </c>
      <c r="AW340" s="59">
        <f t="shared" ref="AW340" si="831">((AT340/AT288)-1)*100</f>
        <v>39.735088166682701</v>
      </c>
      <c r="AX340" s="59">
        <f t="shared" ref="AX340" si="832">((AT340/AU340)-1)*100</f>
        <v>18.439262094785214</v>
      </c>
      <c r="AZ340" s="53">
        <f t="shared" si="618"/>
        <v>380.45</v>
      </c>
      <c r="BA340" s="53">
        <f t="shared" si="619"/>
        <v>28.3</v>
      </c>
      <c r="BB340" s="53">
        <f t="shared" si="620"/>
        <v>162.30000000000001</v>
      </c>
      <c r="BC340" s="53">
        <f t="shared" si="621"/>
        <v>13</v>
      </c>
      <c r="BD340" s="53">
        <f t="shared" si="622"/>
        <v>584.04999999999995</v>
      </c>
      <c r="BE340" s="60">
        <f t="shared" ref="BE340" si="833">AZ340+BE339</f>
        <v>7067.9859999999999</v>
      </c>
      <c r="BF340" s="60">
        <f t="shared" ref="BF340" si="834">BA340+BF339</f>
        <v>412.21100000000001</v>
      </c>
      <c r="BG340" s="60">
        <f t="shared" ref="BG340" si="835">BB340+BG339</f>
        <v>3272.7540000000004</v>
      </c>
      <c r="BH340" s="60">
        <f t="shared" ref="BH340" si="836">BC340+BH339</f>
        <v>147.80799999999999</v>
      </c>
      <c r="BI340" s="60">
        <f t="shared" ref="BI340" si="837">BD340+BI339</f>
        <v>10900.758999999998</v>
      </c>
      <c r="BJ340" s="1">
        <f t="shared" si="721"/>
        <v>18</v>
      </c>
    </row>
    <row r="341" spans="1:62" x14ac:dyDescent="0.3">
      <c r="A341" s="48">
        <f t="shared" si="238"/>
        <v>39942</v>
      </c>
      <c r="B341" s="53">
        <v>384712</v>
      </c>
      <c r="C341" s="53">
        <v>60721</v>
      </c>
      <c r="D341" s="53">
        <v>0</v>
      </c>
      <c r="E341" s="53">
        <f t="shared" si="588"/>
        <v>445433</v>
      </c>
      <c r="F341" s="53">
        <f t="shared" ref="F341" si="838">AVERAGE(E338,E339,E340,E341)</f>
        <v>477394</v>
      </c>
      <c r="G341" s="53">
        <f t="shared" ref="G341" si="839">AVERAGE(F289,F237,F185)</f>
        <v>444585.75</v>
      </c>
      <c r="H341" s="59">
        <f t="shared" ref="H341" si="840">((E341/E289)-1)*100</f>
        <v>205.92925824175822</v>
      </c>
      <c r="I341" s="59">
        <f t="shared" ref="I341" si="841">((F341/F289)-1)*100</f>
        <v>51.417375156010394</v>
      </c>
      <c r="J341" s="59">
        <f t="shared" ref="J341" si="842">((F341/G341)-1)*100</f>
        <v>7.379510027030789</v>
      </c>
      <c r="L341" s="53">
        <v>14200</v>
      </c>
      <c r="M341" s="53">
        <v>13977</v>
      </c>
      <c r="N341" s="53">
        <v>0</v>
      </c>
      <c r="O341" s="53">
        <f t="shared" si="651"/>
        <v>28177</v>
      </c>
      <c r="P341" s="53">
        <f t="shared" ref="P341" si="843">AVERAGE(O338,O339,O340,O341)</f>
        <v>34023.25</v>
      </c>
      <c r="Q341" s="53">
        <f t="shared" ref="Q341" si="844">AVERAGE(P289,P237,P185)</f>
        <v>25332.5</v>
      </c>
      <c r="R341" s="59">
        <f t="shared" ref="R341" si="845">((O341/O289)-1)*100</f>
        <v>73.932098765432102</v>
      </c>
      <c r="S341" s="59">
        <f t="shared" ref="S341" si="846">((P341/P289)-1)*100</f>
        <v>213.24632877595175</v>
      </c>
      <c r="T341" s="59">
        <f t="shared" ref="T341" si="847">((P341/Q341)-1)*100</f>
        <v>34.306720615809724</v>
      </c>
      <c r="V341" s="53">
        <v>100743</v>
      </c>
      <c r="W341" s="53">
        <v>27750</v>
      </c>
      <c r="X341" s="53">
        <v>0</v>
      </c>
      <c r="Y341" s="53">
        <f t="shared" si="628"/>
        <v>128493</v>
      </c>
      <c r="Z341" s="53">
        <f t="shared" ref="Z341" si="848">AVERAGE(Y338,Y339,Y340,Y341)</f>
        <v>167271.25</v>
      </c>
      <c r="AA341" s="53">
        <f t="shared" ref="AA341" si="849">AVERAGE(Z289,Z237,Z185)</f>
        <v>95516.416666666672</v>
      </c>
      <c r="AB341" s="59">
        <f t="shared" ref="AB341" si="850">((Y341/Y289)-1)*100</f>
        <v>126.10065106457857</v>
      </c>
      <c r="AC341" s="59">
        <f t="shared" ref="AC341" si="851">((Z341/Z289)-1)*100</f>
        <v>100.847414380529</v>
      </c>
      <c r="AD341" s="59">
        <f t="shared" ref="AD341" si="852">((Z341/AA341)-1)*100</f>
        <v>75.123037313829983</v>
      </c>
      <c r="AF341" s="53">
        <v>6100</v>
      </c>
      <c r="AG341" s="53">
        <v>0</v>
      </c>
      <c r="AH341" s="53">
        <v>4200</v>
      </c>
      <c r="AI341" s="53">
        <f t="shared" si="577"/>
        <v>10300</v>
      </c>
      <c r="AJ341" s="53">
        <f t="shared" ref="AJ341" si="853">AVERAGE(AI338,AI339,AI340,AI341)</f>
        <v>12914.5</v>
      </c>
      <c r="AK341" s="53">
        <f t="shared" ref="AK341" si="854">AVERAGE(AJ289,AJ237,AJ185)</f>
        <v>9932.0833333333339</v>
      </c>
      <c r="AL341" s="59">
        <f t="shared" ref="AL341" si="855">((AI341/AI289)-1)*100</f>
        <v>37.333333333333329</v>
      </c>
      <c r="AM341" s="59">
        <f t="shared" ref="AM341" si="856">((AJ341/AJ289)-1)*100</f>
        <v>60.928348909657323</v>
      </c>
      <c r="AN341" s="59">
        <f t="shared" ref="AN341" si="857">((AJ341/AK341)-1)*100</f>
        <v>30.028107563871288</v>
      </c>
      <c r="AP341" s="53">
        <f t="shared" si="665"/>
        <v>505755</v>
      </c>
      <c r="AQ341" s="53">
        <f t="shared" si="665"/>
        <v>102448</v>
      </c>
      <c r="AR341" s="53">
        <f t="shared" si="665"/>
        <v>4200</v>
      </c>
      <c r="AS341" s="53">
        <f t="shared" si="665"/>
        <v>612403</v>
      </c>
      <c r="AT341" s="53">
        <f t="shared" ref="AT341" si="858">AVERAGE(AS338,AS339,AS340,AS341)</f>
        <v>691603</v>
      </c>
      <c r="AU341" s="53">
        <f t="shared" ref="AU341" si="859">AVERAGE(AT289,AT237,AT185)</f>
        <v>575366.75</v>
      </c>
      <c r="AV341" s="59">
        <f t="shared" ref="AV341" si="860">((AS341/AS289)-1)*100</f>
        <v>170.81899792154954</v>
      </c>
      <c r="AW341" s="59">
        <f t="shared" ref="AW341" si="861">((AT341/AT289)-1)*100</f>
        <v>65.672162897477619</v>
      </c>
      <c r="AX341" s="59">
        <f t="shared" ref="AX341" si="862">((AT341/AU341)-1)*100</f>
        <v>20.202114564319196</v>
      </c>
      <c r="AZ341" s="53">
        <f t="shared" si="618"/>
        <v>445.43299999999999</v>
      </c>
      <c r="BA341" s="53">
        <f t="shared" si="619"/>
        <v>28.177</v>
      </c>
      <c r="BB341" s="53">
        <f t="shared" si="620"/>
        <v>128.49299999999999</v>
      </c>
      <c r="BC341" s="53">
        <f t="shared" si="621"/>
        <v>10.3</v>
      </c>
      <c r="BD341" s="53">
        <f t="shared" si="622"/>
        <v>612.40300000000002</v>
      </c>
      <c r="BE341" s="60">
        <f t="shared" ref="BE341" si="863">AZ341+BE340</f>
        <v>7513.4189999999999</v>
      </c>
      <c r="BF341" s="60">
        <f t="shared" ref="BF341" si="864">BA341+BF340</f>
        <v>440.38800000000003</v>
      </c>
      <c r="BG341" s="60">
        <f t="shared" ref="BG341" si="865">BB341+BG340</f>
        <v>3401.2470000000003</v>
      </c>
      <c r="BH341" s="60">
        <f t="shared" ref="BH341" si="866">BC341+BH340</f>
        <v>158.108</v>
      </c>
      <c r="BI341" s="60">
        <f t="shared" ref="BI341" si="867">BD341+BI340</f>
        <v>11513.161999999998</v>
      </c>
      <c r="BJ341" s="1">
        <f t="shared" si="721"/>
        <v>19</v>
      </c>
    </row>
    <row r="342" spans="1:62" x14ac:dyDescent="0.3">
      <c r="A342" s="48">
        <f t="shared" si="238"/>
        <v>39949</v>
      </c>
      <c r="B342" s="53">
        <v>517848</v>
      </c>
      <c r="C342" s="53">
        <v>89100</v>
      </c>
      <c r="D342" s="53">
        <v>0</v>
      </c>
      <c r="E342" s="53">
        <f t="shared" si="588"/>
        <v>606948</v>
      </c>
      <c r="F342" s="53">
        <f t="shared" ref="F342" si="868">AVERAGE(E339,E340,E341,E342)</f>
        <v>488815.25</v>
      </c>
      <c r="G342" s="53">
        <f t="shared" ref="G342" si="869">AVERAGE(F290,F238,F186)</f>
        <v>458280.5</v>
      </c>
      <c r="H342" s="59">
        <f t="shared" ref="H342" si="870">((E342/E290)-1)*100</f>
        <v>68.307738382443461</v>
      </c>
      <c r="I342" s="59">
        <f t="shared" ref="I342" si="871">((F342/F290)-1)*100</f>
        <v>68.394395066832033</v>
      </c>
      <c r="J342" s="59">
        <f t="shared" ref="J342" si="872">((F342/G342)-1)*100</f>
        <v>6.6628953228426768</v>
      </c>
      <c r="L342" s="53">
        <v>15340</v>
      </c>
      <c r="M342" s="53">
        <v>1500</v>
      </c>
      <c r="N342" s="53">
        <v>0</v>
      </c>
      <c r="O342" s="53">
        <f t="shared" si="651"/>
        <v>16840</v>
      </c>
      <c r="P342" s="53">
        <f t="shared" ref="P342" si="873">AVERAGE(O339,O340,O341,O342)</f>
        <v>27939.25</v>
      </c>
      <c r="Q342" s="53">
        <f t="shared" ref="Q342" si="874">AVERAGE(P290,P238,P186)</f>
        <v>25401.083333333332</v>
      </c>
      <c r="R342" s="59">
        <f t="shared" ref="R342" si="875">((O342/O290)-1)*100</f>
        <v>-27.109033458858157</v>
      </c>
      <c r="S342" s="59">
        <f t="shared" ref="S342" si="876">((P342/P290)-1)*100</f>
        <v>76.554131976808463</v>
      </c>
      <c r="T342" s="59">
        <f t="shared" ref="T342" si="877">((P342/Q342)-1)*100</f>
        <v>9.9923559690695551</v>
      </c>
      <c r="V342" s="53">
        <v>114203</v>
      </c>
      <c r="W342" s="53">
        <v>33200</v>
      </c>
      <c r="X342" s="53">
        <v>0</v>
      </c>
      <c r="Y342" s="53">
        <f t="shared" si="628"/>
        <v>147403</v>
      </c>
      <c r="Z342" s="53">
        <f t="shared" ref="Z342" si="878">AVERAGE(Y339,Y340,Y341,Y342)</f>
        <v>159920.5</v>
      </c>
      <c r="AA342" s="53">
        <f t="shared" ref="AA342" si="879">AVERAGE(Z290,Z238,Z186)</f>
        <v>108300.5</v>
      </c>
      <c r="AB342" s="59">
        <f t="shared" ref="AB342" si="880">((Y342/Y290)-1)*100</f>
        <v>-16.98692317222892</v>
      </c>
      <c r="AC342" s="59">
        <f t="shared" ref="AC342" si="881">((Z342/Z290)-1)*100</f>
        <v>50.063222098410655</v>
      </c>
      <c r="AD342" s="59">
        <f t="shared" ref="AD342" si="882">((Z342/AA342)-1)*100</f>
        <v>47.663676529655909</v>
      </c>
      <c r="AF342" s="53">
        <v>0</v>
      </c>
      <c r="AG342" s="53">
        <v>1750</v>
      </c>
      <c r="AH342" s="53">
        <v>3200</v>
      </c>
      <c r="AI342" s="53">
        <f t="shared" si="577"/>
        <v>4950</v>
      </c>
      <c r="AJ342" s="53">
        <f t="shared" ref="AJ342" si="883">AVERAGE(AI339,AI340,AI341,AI342)</f>
        <v>9296</v>
      </c>
      <c r="AK342" s="53">
        <f t="shared" ref="AK342" si="884">AVERAGE(AJ290,AJ238,AJ186)</f>
        <v>9550.75</v>
      </c>
      <c r="AL342" s="59">
        <f t="shared" ref="AL342" si="885">((AI342/AI290)-1)*100</f>
        <v>-55.000000000000007</v>
      </c>
      <c r="AM342" s="59">
        <f t="shared" ref="AM342" si="886">((AJ342/AJ290)-1)*100</f>
        <v>14.061349693251524</v>
      </c>
      <c r="AN342" s="59">
        <f t="shared" ref="AN342" si="887">((AJ342/AK342)-1)*100</f>
        <v>-2.6673297908541227</v>
      </c>
      <c r="AP342" s="53">
        <f t="shared" si="665"/>
        <v>647391</v>
      </c>
      <c r="AQ342" s="53">
        <f t="shared" si="665"/>
        <v>125550</v>
      </c>
      <c r="AR342" s="53">
        <f t="shared" si="665"/>
        <v>3200</v>
      </c>
      <c r="AS342" s="53">
        <f t="shared" si="665"/>
        <v>776141</v>
      </c>
      <c r="AT342" s="53">
        <f t="shared" ref="AT342" si="888">AVERAGE(AS339,AS340,AS341,AS342)</f>
        <v>685971</v>
      </c>
      <c r="AU342" s="53">
        <f t="shared" ref="AU342" si="889">AVERAGE(AT290,AT238,AT186)</f>
        <v>601532.83333333337</v>
      </c>
      <c r="AV342" s="59">
        <f t="shared" ref="AV342" si="890">((AS342/AS290)-1)*100</f>
        <v>35.620938445220673</v>
      </c>
      <c r="AW342" s="59">
        <f t="shared" ref="AW342" si="891">((AT342/AT290)-1)*100</f>
        <v>63.006818773191142</v>
      </c>
      <c r="AX342" s="59">
        <f t="shared" ref="AX342" si="892">((AT342/AU342)-1)*100</f>
        <v>14.03716671603128</v>
      </c>
      <c r="AZ342" s="53">
        <f t="shared" si="618"/>
        <v>606.94799999999998</v>
      </c>
      <c r="BA342" s="53">
        <f t="shared" si="619"/>
        <v>16.84</v>
      </c>
      <c r="BB342" s="53">
        <f t="shared" si="620"/>
        <v>147.40299999999999</v>
      </c>
      <c r="BC342" s="53">
        <f t="shared" si="621"/>
        <v>4.95</v>
      </c>
      <c r="BD342" s="53">
        <f t="shared" si="622"/>
        <v>776.14099999999996</v>
      </c>
      <c r="BE342" s="60">
        <f t="shared" ref="BE342" si="893">AZ342+BE341</f>
        <v>8120.3670000000002</v>
      </c>
      <c r="BF342" s="60">
        <f t="shared" ref="BF342" si="894">BA342+BF341</f>
        <v>457.22800000000001</v>
      </c>
      <c r="BG342" s="60">
        <f t="shared" ref="BG342" si="895">BB342+BG341</f>
        <v>3548.65</v>
      </c>
      <c r="BH342" s="60">
        <f t="shared" ref="BH342" si="896">BC342+BH341</f>
        <v>163.05799999999999</v>
      </c>
      <c r="BI342" s="60">
        <f t="shared" ref="BI342" si="897">BD342+BI341</f>
        <v>12289.302999999998</v>
      </c>
      <c r="BJ342" s="1">
        <f t="shared" si="721"/>
        <v>20</v>
      </c>
    </row>
    <row r="343" spans="1:62" x14ac:dyDescent="0.3">
      <c r="A343" s="48">
        <f t="shared" si="238"/>
        <v>39956</v>
      </c>
      <c r="B343" s="53">
        <v>422595</v>
      </c>
      <c r="C343" s="53">
        <v>47520</v>
      </c>
      <c r="D343" s="53">
        <v>0</v>
      </c>
      <c r="E343" s="53">
        <f t="shared" si="588"/>
        <v>470115</v>
      </c>
      <c r="F343" s="53">
        <f t="shared" ref="F343" si="898">AVERAGE(E340,E341,E342,E343)</f>
        <v>475736.5</v>
      </c>
      <c r="G343" s="53">
        <f t="shared" ref="G343" si="899">AVERAGE(F291,F239,F187)</f>
        <v>476155.58333333331</v>
      </c>
      <c r="H343" s="59">
        <f t="shared" ref="H343" si="900">((E343/E291)-1)*100</f>
        <v>7.5526993699411182</v>
      </c>
      <c r="I343" s="59">
        <f t="shared" ref="I343" si="901">((F343/F291)-1)*100</f>
        <v>64.091203841033106</v>
      </c>
      <c r="J343" s="59">
        <f t="shared" ref="J343" si="902">((F343/G343)-1)*100</f>
        <v>-8.8013949222121024E-2</v>
      </c>
      <c r="L343" s="53">
        <v>8280</v>
      </c>
      <c r="M343" s="53">
        <v>3200</v>
      </c>
      <c r="N343" s="53">
        <v>1400</v>
      </c>
      <c r="O343" s="53">
        <f t="shared" si="651"/>
        <v>12880</v>
      </c>
      <c r="P343" s="53">
        <f t="shared" ref="P343" si="903">AVERAGE(O340,O341,O342,O343)</f>
        <v>21549.25</v>
      </c>
      <c r="Q343" s="53">
        <f t="shared" ref="Q343" si="904">AVERAGE(P291,P239,P187)</f>
        <v>19829.666666666668</v>
      </c>
      <c r="R343" s="59">
        <f t="shared" ref="R343" si="905">((O343/O291)-1)*100</f>
        <v>-22.619405226794832</v>
      </c>
      <c r="S343" s="59">
        <f t="shared" ref="S343" si="906">((P343/P291)-1)*100</f>
        <v>43.070309387863489</v>
      </c>
      <c r="T343" s="59">
        <f t="shared" ref="T343" si="907">((P343/Q343)-1)*100</f>
        <v>8.6717712518280532</v>
      </c>
      <c r="V343" s="53">
        <v>196385</v>
      </c>
      <c r="W343" s="53">
        <v>15539</v>
      </c>
      <c r="X343" s="53">
        <v>7000</v>
      </c>
      <c r="Y343" s="53">
        <f t="shared" si="628"/>
        <v>218924</v>
      </c>
      <c r="Z343" s="53">
        <f t="shared" ref="Z343" si="908">AVERAGE(Y340,Y341,Y342,Y343)</f>
        <v>164280</v>
      </c>
      <c r="AA343" s="53">
        <f t="shared" ref="AA343" si="909">AVERAGE(Z291,Z239,Z187)</f>
        <v>115803.33333333333</v>
      </c>
      <c r="AB343" s="59">
        <f t="shared" ref="AB343" si="910">((Y343/Y291)-1)*100</f>
        <v>16.419212116055483</v>
      </c>
      <c r="AC343" s="59">
        <f t="shared" ref="AC343" si="911">((Z343/Z291)-1)*100</f>
        <v>32.413126051605488</v>
      </c>
      <c r="AD343" s="59">
        <f t="shared" ref="AD343" si="912">((Z343/AA343)-1)*100</f>
        <v>41.861201462249234</v>
      </c>
      <c r="AF343" s="53">
        <v>0</v>
      </c>
      <c r="AG343" s="53">
        <v>0</v>
      </c>
      <c r="AH343" s="53">
        <v>1400</v>
      </c>
      <c r="AI343" s="53">
        <f t="shared" si="577"/>
        <v>1400</v>
      </c>
      <c r="AJ343" s="53">
        <f t="shared" ref="AJ343" si="913">AVERAGE(AI340,AI341,AI342,AI343)</f>
        <v>7412.5</v>
      </c>
      <c r="AK343" s="53">
        <f t="shared" ref="AK343" si="914">AVERAGE(AJ291,AJ239,AJ187)</f>
        <v>10084.083333333334</v>
      </c>
      <c r="AL343" s="59">
        <f t="shared" ref="AL343" si="915">((AI343/AI291)-1)*100</f>
        <v>-91.616766467065872</v>
      </c>
      <c r="AM343" s="59">
        <f t="shared" ref="AM343" si="916">((AJ343/AJ291)-1)*100</f>
        <v>-39.858012170385393</v>
      </c>
      <c r="AN343" s="59">
        <f t="shared" ref="AN343" si="917">((AJ343/AK343)-1)*100</f>
        <v>-26.493070763331662</v>
      </c>
      <c r="AP343" s="53">
        <f t="shared" si="665"/>
        <v>627260</v>
      </c>
      <c r="AQ343" s="53">
        <f t="shared" si="665"/>
        <v>66259</v>
      </c>
      <c r="AR343" s="53">
        <f t="shared" si="665"/>
        <v>9800</v>
      </c>
      <c r="AS343" s="53">
        <f t="shared" si="665"/>
        <v>703319</v>
      </c>
      <c r="AT343" s="53">
        <f t="shared" ref="AT343" si="918">AVERAGE(AS340,AS341,AS342,AS343)</f>
        <v>668978.25</v>
      </c>
      <c r="AU343" s="53">
        <f t="shared" ref="AU343" si="919">AVERAGE(AT291,AT239,AT187)</f>
        <v>621872.66666666663</v>
      </c>
      <c r="AV343" s="59">
        <f t="shared" ref="AV343" si="920">((AS343/AS291)-1)*100</f>
        <v>6.8070372592047068</v>
      </c>
      <c r="AW343" s="59">
        <f t="shared" ref="AW343" si="921">((AT343/AT291)-1)*100</f>
        <v>51.566779061580824</v>
      </c>
      <c r="AX343" s="59">
        <f t="shared" ref="AX343" si="922">((AT343/AU343)-1)*100</f>
        <v>7.5747955905228315</v>
      </c>
      <c r="AZ343" s="53">
        <f t="shared" si="618"/>
        <v>470.11500000000001</v>
      </c>
      <c r="BA343" s="53">
        <f t="shared" si="619"/>
        <v>12.88</v>
      </c>
      <c r="BB343" s="53">
        <f t="shared" si="620"/>
        <v>218.92400000000001</v>
      </c>
      <c r="BC343" s="53">
        <f t="shared" si="621"/>
        <v>1.4</v>
      </c>
      <c r="BD343" s="53">
        <f t="shared" si="622"/>
        <v>703.31899999999996</v>
      </c>
      <c r="BE343" s="60">
        <f t="shared" ref="BE343" si="923">AZ343+BE342</f>
        <v>8590.482</v>
      </c>
      <c r="BF343" s="60">
        <f t="shared" ref="BF343" si="924">BA343+BF342</f>
        <v>470.108</v>
      </c>
      <c r="BG343" s="60">
        <f t="shared" ref="BG343" si="925">BB343+BG342</f>
        <v>3767.5740000000001</v>
      </c>
      <c r="BH343" s="60">
        <f t="shared" ref="BH343" si="926">BC343+BH342</f>
        <v>164.458</v>
      </c>
      <c r="BI343" s="60">
        <f t="shared" ref="BI343" si="927">BD343+BI342</f>
        <v>12992.621999999998</v>
      </c>
      <c r="BJ343" s="1">
        <f t="shared" si="721"/>
        <v>21</v>
      </c>
    </row>
    <row r="344" spans="1:62" x14ac:dyDescent="0.3">
      <c r="A344" s="48">
        <f t="shared" si="238"/>
        <v>39963</v>
      </c>
      <c r="B344" s="53">
        <v>427720</v>
      </c>
      <c r="C344" s="53">
        <v>48968</v>
      </c>
      <c r="D344" s="53">
        <v>0</v>
      </c>
      <c r="E344" s="53">
        <f t="shared" si="588"/>
        <v>476688</v>
      </c>
      <c r="F344" s="53">
        <f t="shared" ref="F344" si="928">AVERAGE(E341,E342,E343,E344)</f>
        <v>499796</v>
      </c>
      <c r="G344" s="53">
        <f t="shared" ref="G344" si="929">AVERAGE(F292,F240,F188)</f>
        <v>508006</v>
      </c>
      <c r="H344" s="59">
        <f t="shared" ref="H344" si="930">((E344/E292)-1)*100</f>
        <v>31.530253823634101</v>
      </c>
      <c r="I344" s="59">
        <f t="shared" ref="I344" si="931">((F344/F292)-1)*100</f>
        <v>53.107708520169062</v>
      </c>
      <c r="J344" s="59">
        <f t="shared" ref="J344" si="932">((F344/G344)-1)*100</f>
        <v>-1.616122644220741</v>
      </c>
      <c r="L344" s="53">
        <v>10600</v>
      </c>
      <c r="M344" s="53">
        <v>3000</v>
      </c>
      <c r="N344" s="53">
        <v>8400</v>
      </c>
      <c r="O344" s="53">
        <f t="shared" si="651"/>
        <v>22000</v>
      </c>
      <c r="P344" s="53">
        <f t="shared" ref="P344" si="933">AVERAGE(O341,O342,O343,O344)</f>
        <v>19974.25</v>
      </c>
      <c r="Q344" s="53">
        <f t="shared" ref="Q344" si="934">AVERAGE(P292,P240,P188)</f>
        <v>19665.916666666668</v>
      </c>
      <c r="R344" s="59">
        <f t="shared" ref="R344" si="935">((O344/O292)-1)*100</f>
        <v>79.445350734094617</v>
      </c>
      <c r="S344" s="59">
        <f t="shared" ref="S344" si="936">((P344/P292)-1)*100</f>
        <v>17.137285948862303</v>
      </c>
      <c r="T344" s="59">
        <f t="shared" ref="T344" si="937">((P344/Q344)-1)*100</f>
        <v>1.5678564013034357</v>
      </c>
      <c r="V344" s="53">
        <v>159923</v>
      </c>
      <c r="W344" s="53">
        <v>43504</v>
      </c>
      <c r="X344" s="53">
        <v>12600</v>
      </c>
      <c r="Y344" s="53">
        <f t="shared" si="628"/>
        <v>216027</v>
      </c>
      <c r="Z344" s="53">
        <f t="shared" ref="Z344" si="938">AVERAGE(Y341,Y342,Y343,Y344)</f>
        <v>177711.75</v>
      </c>
      <c r="AA344" s="53">
        <f t="shared" ref="AA344" si="939">AVERAGE(Z292,Z240,Z188)</f>
        <v>124041.91666666667</v>
      </c>
      <c r="AB344" s="59">
        <f t="shared" ref="AB344" si="940">((Y344/Y292)-1)*100</f>
        <v>13.915459981649247</v>
      </c>
      <c r="AC344" s="59">
        <f t="shared" ref="AC344" si="941">((Z344/Z292)-1)*100</f>
        <v>16.135909894425904</v>
      </c>
      <c r="AD344" s="59">
        <f t="shared" ref="AD344" si="942">((Z344/AA344)-1)*100</f>
        <v>43.267497613373962</v>
      </c>
      <c r="AF344" s="53">
        <v>6400</v>
      </c>
      <c r="AG344" s="53">
        <v>1500</v>
      </c>
      <c r="AH344" s="53">
        <v>5600</v>
      </c>
      <c r="AI344" s="53">
        <f t="shared" si="577"/>
        <v>13500</v>
      </c>
      <c r="AJ344" s="53">
        <f t="shared" ref="AJ344" si="943">AVERAGE(AI341,AI342,AI343,AI344)</f>
        <v>7537.5</v>
      </c>
      <c r="AK344" s="53">
        <f t="shared" ref="AK344" si="944">AVERAGE(AJ292,AJ240,AJ188)</f>
        <v>7677.833333333333</v>
      </c>
      <c r="AL344" s="59">
        <f t="shared" ref="AL344" si="945">((AI344/AI292)-1)*100</f>
        <v>350</v>
      </c>
      <c r="AM344" s="59">
        <f t="shared" ref="AM344" si="946">((AJ344/AJ292)-1)*100</f>
        <v>-21.073298429319376</v>
      </c>
      <c r="AN344" s="59">
        <f t="shared" ref="AN344" si="947">((AJ344/AK344)-1)*100</f>
        <v>-1.8277725920941235</v>
      </c>
      <c r="AP344" s="53">
        <f t="shared" si="665"/>
        <v>604643</v>
      </c>
      <c r="AQ344" s="53">
        <f t="shared" si="665"/>
        <v>96972</v>
      </c>
      <c r="AR344" s="53">
        <f t="shared" si="665"/>
        <v>26600</v>
      </c>
      <c r="AS344" s="53">
        <f t="shared" si="665"/>
        <v>728215</v>
      </c>
      <c r="AT344" s="53">
        <f t="shared" ref="AT344" si="948">AVERAGE(AS341,AS342,AS343,AS344)</f>
        <v>705019.5</v>
      </c>
      <c r="AU344" s="53">
        <f t="shared" ref="AU344" si="949">AVERAGE(AT292,AT240,AT188)</f>
        <v>659391.66666666663</v>
      </c>
      <c r="AV344" s="59">
        <f t="shared" ref="AV344" si="950">((AS344/AS292)-1)*100</f>
        <v>28.361668561557508</v>
      </c>
      <c r="AW344" s="59">
        <f t="shared" ref="AW344" si="951">((AT344/AT292)-1)*100</f>
        <v>39.316292095698756</v>
      </c>
      <c r="AX344" s="59">
        <f t="shared" ref="AX344" si="952">((AT344/AU344)-1)*100</f>
        <v>6.9196860742856581</v>
      </c>
      <c r="AZ344" s="53">
        <f t="shared" si="618"/>
        <v>476.68799999999999</v>
      </c>
      <c r="BA344" s="53">
        <f t="shared" si="619"/>
        <v>22</v>
      </c>
      <c r="BB344" s="53">
        <f t="shared" si="620"/>
        <v>216.02699999999999</v>
      </c>
      <c r="BC344" s="53">
        <f t="shared" si="621"/>
        <v>13.5</v>
      </c>
      <c r="BD344" s="53">
        <f t="shared" si="622"/>
        <v>728.21500000000003</v>
      </c>
      <c r="BE344" s="60">
        <f t="shared" ref="BE344" si="953">AZ344+BE343</f>
        <v>9067.17</v>
      </c>
      <c r="BF344" s="60">
        <f t="shared" ref="BF344" si="954">BA344+BF343</f>
        <v>492.108</v>
      </c>
      <c r="BG344" s="60">
        <f t="shared" ref="BG344" si="955">BB344+BG343</f>
        <v>3983.6010000000001</v>
      </c>
      <c r="BH344" s="60">
        <f t="shared" ref="BH344" si="956">BC344+BH343</f>
        <v>177.958</v>
      </c>
      <c r="BI344" s="60">
        <f t="shared" ref="BI344" si="957">BD344+BI343</f>
        <v>13720.836999999998</v>
      </c>
      <c r="BJ344" s="1">
        <f t="shared" si="721"/>
        <v>22</v>
      </c>
    </row>
    <row r="345" spans="1:62" x14ac:dyDescent="0.3">
      <c r="A345" s="48">
        <f t="shared" si="238"/>
        <v>39970</v>
      </c>
      <c r="B345" s="53">
        <v>500117</v>
      </c>
      <c r="C345" s="53">
        <v>54650</v>
      </c>
      <c r="D345" s="53">
        <v>0</v>
      </c>
      <c r="E345" s="53">
        <f t="shared" si="588"/>
        <v>554767</v>
      </c>
      <c r="F345" s="53">
        <f t="shared" ref="F345" si="958">AVERAGE(E342,E343,E344,E345)</f>
        <v>527129.5</v>
      </c>
      <c r="G345" s="53">
        <f t="shared" ref="G345" si="959">AVERAGE(F293,F241,F189)</f>
        <v>532478.91666666663</v>
      </c>
      <c r="H345" s="59">
        <f t="shared" ref="H345" si="960">((E345/E293)-1)*100</f>
        <v>42.096743209149246</v>
      </c>
      <c r="I345" s="59">
        <f t="shared" ref="I345" si="961">((F345/F293)-1)*100</f>
        <v>35.984991151538281</v>
      </c>
      <c r="J345" s="59">
        <f t="shared" ref="J345" si="962">((F345/G345)-1)*100</f>
        <v>-1.0046250657498534</v>
      </c>
      <c r="L345" s="53">
        <v>13723</v>
      </c>
      <c r="M345" s="53">
        <v>0</v>
      </c>
      <c r="N345" s="53">
        <v>8400</v>
      </c>
      <c r="O345" s="53">
        <f t="shared" si="651"/>
        <v>22123</v>
      </c>
      <c r="P345" s="53">
        <f t="shared" ref="P345" si="963">AVERAGE(O342,O343,O344,O345)</f>
        <v>18460.75</v>
      </c>
      <c r="Q345" s="53">
        <f t="shared" ref="Q345" si="964">AVERAGE(P293,P241,P189)</f>
        <v>17525.416666666668</v>
      </c>
      <c r="R345" s="53">
        <v>0</v>
      </c>
      <c r="S345" s="59">
        <f t="shared" ref="S345" si="965">((P345/P293)-1)*100</f>
        <v>41.983925549915391</v>
      </c>
      <c r="T345" s="59">
        <f t="shared" ref="T345" si="966">((P345/Q345)-1)*100</f>
        <v>5.3370105323220951</v>
      </c>
      <c r="V345" s="53">
        <v>164128</v>
      </c>
      <c r="W345" s="53">
        <v>47219</v>
      </c>
      <c r="X345" s="53">
        <v>4200</v>
      </c>
      <c r="Y345" s="53">
        <f t="shared" si="628"/>
        <v>215547</v>
      </c>
      <c r="Z345" s="53">
        <f t="shared" ref="Z345" si="967">AVERAGE(Y342,Y343,Y344,Y345)</f>
        <v>199475.25</v>
      </c>
      <c r="AA345" s="53">
        <f t="shared" ref="AA345" si="968">AVERAGE(Z293,Z241,Z189)</f>
        <v>139589.08333333334</v>
      </c>
      <c r="AB345" s="59">
        <f t="shared" ref="AB345" si="969">((Y345/Y293)-1)*100</f>
        <v>-5.7858066997692141</v>
      </c>
      <c r="AC345" s="59">
        <f t="shared" ref="AC345" si="970">((Z345/Z293)-1)*100</f>
        <v>1.7684136952895058</v>
      </c>
      <c r="AD345" s="59">
        <f t="shared" ref="AD345" si="971">((Z345/AA345)-1)*100</f>
        <v>42.901755091879792</v>
      </c>
      <c r="AF345" s="53">
        <v>1600</v>
      </c>
      <c r="AG345" s="53">
        <v>0</v>
      </c>
      <c r="AH345" s="53">
        <v>12600</v>
      </c>
      <c r="AI345" s="53">
        <f t="shared" si="577"/>
        <v>14200</v>
      </c>
      <c r="AJ345" s="53">
        <f t="shared" ref="AJ345" si="972">AVERAGE(AI342,AI343,AI344,AI345)</f>
        <v>8512.5</v>
      </c>
      <c r="AK345" s="53">
        <f t="shared" ref="AK345" si="973">AVERAGE(AJ293,AJ241,AJ189)</f>
        <v>8464.9166666666661</v>
      </c>
      <c r="AL345" s="59">
        <f t="shared" ref="AL345" si="974">((AI345/AI293)-1)*100</f>
        <v>0</v>
      </c>
      <c r="AM345" s="59">
        <f t="shared" ref="AM345" si="975">((AJ345/AJ293)-1)*100</f>
        <v>-24.164810690423167</v>
      </c>
      <c r="AN345" s="59">
        <f t="shared" ref="AN345" si="976">((AJ345/AK345)-1)*100</f>
        <v>0.56212406107563062</v>
      </c>
      <c r="AP345" s="53">
        <f t="shared" si="665"/>
        <v>679568</v>
      </c>
      <c r="AQ345" s="53">
        <f t="shared" si="665"/>
        <v>101869</v>
      </c>
      <c r="AR345" s="53">
        <f t="shared" si="665"/>
        <v>25200</v>
      </c>
      <c r="AS345" s="53">
        <f t="shared" si="665"/>
        <v>806637</v>
      </c>
      <c r="AT345" s="53">
        <f t="shared" ref="AT345" si="977">AVERAGE(AS342,AS343,AS344,AS345)</f>
        <v>753578</v>
      </c>
      <c r="AU345" s="53">
        <f t="shared" ref="AU345" si="978">AVERAGE(AT293,AT241,AT189)</f>
        <v>698058.33333333337</v>
      </c>
      <c r="AV345" s="59">
        <f t="shared" ref="AV345" si="979">((AS345/AS293)-1)*100</f>
        <v>27.350532602672239</v>
      </c>
      <c r="AW345" s="59">
        <f t="shared" ref="AW345" si="980">((AT345/AT293)-1)*100</f>
        <v>23.969441035477757</v>
      </c>
      <c r="AX345" s="59">
        <f t="shared" ref="AX345" si="981">((AT345/AU345)-1)*100</f>
        <v>7.9534422863418719</v>
      </c>
      <c r="AZ345" s="53">
        <f t="shared" si="401"/>
        <v>554.76700000000005</v>
      </c>
      <c r="BA345" s="53">
        <f t="shared" si="402"/>
        <v>22.123000000000001</v>
      </c>
      <c r="BB345" s="53">
        <f t="shared" si="403"/>
        <v>215.547</v>
      </c>
      <c r="BC345" s="53">
        <f t="shared" si="404"/>
        <v>14.2</v>
      </c>
      <c r="BD345" s="53">
        <f t="shared" ref="BD345:BD363" si="982">+AS345/1000</f>
        <v>806.63699999999994</v>
      </c>
      <c r="BE345" s="60">
        <f t="shared" ref="BE345" si="983">AZ345+BE344</f>
        <v>9621.9369999999999</v>
      </c>
      <c r="BF345" s="60">
        <f t="shared" ref="BF345" si="984">BA345+BF344</f>
        <v>514.23099999999999</v>
      </c>
      <c r="BG345" s="60">
        <f t="shared" ref="BG345" si="985">BB345+BG344</f>
        <v>4199.1480000000001</v>
      </c>
      <c r="BH345" s="60">
        <f t="shared" ref="BH345" si="986">BC345+BH344</f>
        <v>192.15799999999999</v>
      </c>
      <c r="BI345" s="60">
        <f t="shared" ref="BI345" si="987">BD345+BI344</f>
        <v>14527.473999999998</v>
      </c>
      <c r="BJ345" s="1">
        <f t="shared" si="721"/>
        <v>23</v>
      </c>
    </row>
    <row r="346" spans="1:62" x14ac:dyDescent="0.3">
      <c r="A346" s="48">
        <f t="shared" si="238"/>
        <v>39977</v>
      </c>
      <c r="B346" s="53">
        <v>525188</v>
      </c>
      <c r="C346" s="53">
        <v>45179</v>
      </c>
      <c r="D346" s="53">
        <v>0</v>
      </c>
      <c r="E346" s="53">
        <f t="shared" si="588"/>
        <v>570367</v>
      </c>
      <c r="F346" s="53">
        <f t="shared" ref="F346" si="988">AVERAGE(E343,E344,E345,E346)</f>
        <v>517984.25</v>
      </c>
      <c r="G346" s="53">
        <f t="shared" ref="G346" si="989">AVERAGE(F294,F242,F190)</f>
        <v>537591.75</v>
      </c>
      <c r="H346" s="59">
        <f t="shared" ref="H346" si="990">((E346/E294)-1)*100</f>
        <v>68.523267838676333</v>
      </c>
      <c r="I346" s="59">
        <f t="shared" ref="I346" si="991">((F346/F294)-1)*100</f>
        <v>35.563902788827932</v>
      </c>
      <c r="J346" s="59">
        <f t="shared" ref="J346" si="992">((F346/G346)-1)*100</f>
        <v>-3.6472843937802257</v>
      </c>
      <c r="L346" s="53">
        <v>41600</v>
      </c>
      <c r="M346" s="53">
        <v>8500</v>
      </c>
      <c r="N346" s="53">
        <v>18200</v>
      </c>
      <c r="O346" s="53">
        <f t="shared" si="651"/>
        <v>68300</v>
      </c>
      <c r="P346" s="53">
        <f t="shared" ref="P346" si="993">AVERAGE(O343,O344,O345,O346)</f>
        <v>31325.75</v>
      </c>
      <c r="Q346" s="53">
        <f t="shared" ref="Q346" si="994">AVERAGE(P294,P242,P190)</f>
        <v>18974.916666666668</v>
      </c>
      <c r="R346" s="59">
        <f t="shared" ref="R346" si="995">((O346/O294)-1)*100</f>
        <v>137.97909407665509</v>
      </c>
      <c r="S346" s="59">
        <f t="shared" ref="S346" si="996">((P346/P294)-1)*100</f>
        <v>117.52104852009376</v>
      </c>
      <c r="T346" s="59">
        <f t="shared" ref="T346" si="997">((P346/Q346)-1)*100</f>
        <v>65.090316602180948</v>
      </c>
      <c r="V346" s="53">
        <v>129836</v>
      </c>
      <c r="W346" s="53">
        <v>41400</v>
      </c>
      <c r="X346" s="53">
        <v>18200</v>
      </c>
      <c r="Y346" s="53">
        <f t="shared" si="628"/>
        <v>189436</v>
      </c>
      <c r="Z346" s="53">
        <f t="shared" ref="Z346" si="998">AVERAGE(Y343,Y344,Y345,Y346)</f>
        <v>209983.5</v>
      </c>
      <c r="AA346" s="53">
        <f t="shared" ref="AA346" si="999">AVERAGE(Z294,Z242,Z190)</f>
        <v>127996.08333333333</v>
      </c>
      <c r="AB346" s="59">
        <f t="shared" ref="AB346" si="1000">((Y346/Y294)-1)*100</f>
        <v>65.126130994926854</v>
      </c>
      <c r="AC346" s="59">
        <f t="shared" ref="AC346" si="1001">((Z346/Z294)-1)*100</f>
        <v>16.46468624166657</v>
      </c>
      <c r="AD346" s="59">
        <f t="shared" ref="AD346" si="1002">((Z346/AA346)-1)*100</f>
        <v>64.054629275765592</v>
      </c>
      <c r="AF346" s="53">
        <v>1500</v>
      </c>
      <c r="AG346" s="53">
        <v>0</v>
      </c>
      <c r="AH346" s="53">
        <v>5600</v>
      </c>
      <c r="AI346" s="53">
        <f t="shared" si="577"/>
        <v>7100</v>
      </c>
      <c r="AJ346" s="53">
        <f t="shared" ref="AJ346" si="1003">AVERAGE(AI343,AI344,AI345,AI346)</f>
        <v>9050</v>
      </c>
      <c r="AK346" s="53">
        <f t="shared" ref="AK346" si="1004">AVERAGE(AJ294,AJ242,AJ190)</f>
        <v>11987.916666666666</v>
      </c>
      <c r="AL346" s="59">
        <f t="shared" ref="AL346" si="1005">((AI346/AI294)-1)*100</f>
        <v>-50.694444444444443</v>
      </c>
      <c r="AM346" s="59">
        <f t="shared" ref="AM346" si="1006">((AJ346/AJ294)-1)*100</f>
        <v>-25.051759834368525</v>
      </c>
      <c r="AN346" s="59">
        <f t="shared" ref="AN346" si="1007">((AJ346/AK346)-1)*100</f>
        <v>-24.50731639498105</v>
      </c>
      <c r="AP346" s="53">
        <f t="shared" si="665"/>
        <v>698124</v>
      </c>
      <c r="AQ346" s="53">
        <f t="shared" si="665"/>
        <v>95079</v>
      </c>
      <c r="AR346" s="53">
        <f t="shared" si="665"/>
        <v>42000</v>
      </c>
      <c r="AS346" s="53">
        <f t="shared" si="665"/>
        <v>835203</v>
      </c>
      <c r="AT346" s="53">
        <f t="shared" ref="AT346" si="1008">AVERAGE(AS343,AS344,AS345,AS346)</f>
        <v>768343.5</v>
      </c>
      <c r="AU346" s="53">
        <f t="shared" ref="AU346" si="1009">AVERAGE(AT294,AT242,AT190)</f>
        <v>696550.66666666663</v>
      </c>
      <c r="AV346" s="59">
        <f t="shared" ref="AV346" si="1010">((AS346/AS294)-1)*100</f>
        <v>68.295410581294135</v>
      </c>
      <c r="AW346" s="59">
        <f t="shared" ref="AW346" si="1011">((AT346/AT294)-1)*100</f>
        <v>30.477554265986441</v>
      </c>
      <c r="AX346" s="59">
        <f t="shared" ref="AX346" si="1012">((AT346/AU346)-1)*100</f>
        <v>10.306907561641854</v>
      </c>
      <c r="AZ346" s="53">
        <f t="shared" si="401"/>
        <v>570.36699999999996</v>
      </c>
      <c r="BA346" s="53">
        <f t="shared" si="402"/>
        <v>68.3</v>
      </c>
      <c r="BB346" s="53">
        <f t="shared" si="403"/>
        <v>189.43600000000001</v>
      </c>
      <c r="BC346" s="53">
        <f t="shared" si="404"/>
        <v>7.1</v>
      </c>
      <c r="BD346" s="53">
        <f t="shared" si="982"/>
        <v>835.20299999999997</v>
      </c>
      <c r="BE346" s="60">
        <f t="shared" ref="BE346" si="1013">AZ346+BE345</f>
        <v>10192.304</v>
      </c>
      <c r="BF346" s="60">
        <f t="shared" ref="BF346" si="1014">BA346+BF345</f>
        <v>582.53099999999995</v>
      </c>
      <c r="BG346" s="60">
        <f t="shared" ref="BG346" si="1015">BB346+BG345</f>
        <v>4388.5839999999998</v>
      </c>
      <c r="BH346" s="60">
        <f t="shared" ref="BH346" si="1016">BC346+BH345</f>
        <v>199.25799999999998</v>
      </c>
      <c r="BI346" s="60">
        <f t="shared" ref="BI346" si="1017">BD346+BI345</f>
        <v>15362.676999999998</v>
      </c>
      <c r="BJ346" s="1">
        <f t="shared" si="721"/>
        <v>24</v>
      </c>
    </row>
    <row r="347" spans="1:62" x14ac:dyDescent="0.3">
      <c r="A347" s="48">
        <f t="shared" si="238"/>
        <v>39984</v>
      </c>
      <c r="B347" s="53">
        <v>781553</v>
      </c>
      <c r="C347" s="53">
        <v>32850</v>
      </c>
      <c r="D347" s="53">
        <v>0</v>
      </c>
      <c r="E347" s="53">
        <f t="shared" si="588"/>
        <v>814403</v>
      </c>
      <c r="F347" s="53">
        <f t="shared" ref="F347" si="1018">AVERAGE(E344,E345,E346,E347)</f>
        <v>604056.25</v>
      </c>
      <c r="G347" s="53">
        <f t="shared" ref="G347" si="1019">AVERAGE(F295,F243,F191)</f>
        <v>526499.66666666663</v>
      </c>
      <c r="H347" s="59">
        <f t="shared" ref="H347" si="1020">((E347/E295)-1)*100</f>
        <v>249.12012963351953</v>
      </c>
      <c r="I347" s="59">
        <f t="shared" ref="I347" si="1021">((F347/F295)-1)*100</f>
        <v>82.417868642676211</v>
      </c>
      <c r="J347" s="59">
        <f t="shared" ref="J347" si="1022">((F347/G347)-1)*100</f>
        <v>14.730604451158257</v>
      </c>
      <c r="L347" s="53">
        <v>21225</v>
      </c>
      <c r="M347" s="53">
        <v>4200</v>
      </c>
      <c r="N347" s="53">
        <v>18600</v>
      </c>
      <c r="O347" s="53">
        <f t="shared" si="651"/>
        <v>44025</v>
      </c>
      <c r="P347" s="53">
        <f t="shared" ref="P347" si="1023">AVERAGE(O344,O345,O346,O347)</f>
        <v>39112</v>
      </c>
      <c r="Q347" s="53">
        <f t="shared" ref="Q347" si="1024">AVERAGE(P295,P243,P191)</f>
        <v>20873.916666666668</v>
      </c>
      <c r="R347" s="59">
        <f t="shared" ref="R347" si="1025">((O347/O295)-1)*100</f>
        <v>-10.336048879837067</v>
      </c>
      <c r="S347" s="59">
        <f t="shared" ref="S347" si="1026">((P347/P295)-1)*100</f>
        <v>73.715300910504112</v>
      </c>
      <c r="T347" s="59">
        <f t="shared" ref="T347" si="1027">((P347/Q347)-1)*100</f>
        <v>87.372598178747779</v>
      </c>
      <c r="V347" s="53">
        <v>139501</v>
      </c>
      <c r="W347" s="53">
        <v>19874</v>
      </c>
      <c r="X347" s="53">
        <v>21200</v>
      </c>
      <c r="Y347" s="53">
        <f t="shared" si="628"/>
        <v>180575</v>
      </c>
      <c r="Z347" s="53">
        <f t="shared" ref="Z347" si="1028">AVERAGE(Y344,Y345,Y346,Y347)</f>
        <v>200396.25</v>
      </c>
      <c r="AA347" s="53">
        <f t="shared" ref="AA347" si="1029">AVERAGE(Z295,Z243,Z191)</f>
        <v>110911.66666666667</v>
      </c>
      <c r="AB347" s="59">
        <f t="shared" ref="AB347" si="1030">((Y347/Y295)-1)*100</f>
        <v>586.07522796352589</v>
      </c>
      <c r="AC347" s="59">
        <f t="shared" ref="AC347" si="1031">((Z347/Z295)-1)*100</f>
        <v>43.277315430483455</v>
      </c>
      <c r="AD347" s="59">
        <f t="shared" ref="AD347" si="1032">((Z347/AA347)-1)*100</f>
        <v>80.680947300404227</v>
      </c>
      <c r="AF347" s="53">
        <v>10600</v>
      </c>
      <c r="AG347" s="53">
        <v>0</v>
      </c>
      <c r="AH347" s="53">
        <v>12600</v>
      </c>
      <c r="AI347" s="53">
        <f t="shared" si="577"/>
        <v>23200</v>
      </c>
      <c r="AJ347" s="53">
        <f t="shared" ref="AJ347" si="1033">AVERAGE(AI344,AI345,AI346,AI347)</f>
        <v>14500</v>
      </c>
      <c r="AK347" s="53">
        <f t="shared" ref="AK347" si="1034">AVERAGE(AJ295,AJ243,AJ191)</f>
        <v>10854.583333333334</v>
      </c>
      <c r="AL347" s="59">
        <f t="shared" ref="AL347" si="1035">((AI347/AI295)-1)*100</f>
        <v>1557.1428571428573</v>
      </c>
      <c r="AM347" s="59">
        <f t="shared" ref="AM347" si="1036">((AJ347/AJ295)-1)*100</f>
        <v>75.757575757575751</v>
      </c>
      <c r="AN347" s="59">
        <f t="shared" ref="AN347" si="1037">((AJ347/AK347)-1)*100</f>
        <v>33.584123450155467</v>
      </c>
      <c r="AP347" s="53">
        <f t="shared" si="665"/>
        <v>952879</v>
      </c>
      <c r="AQ347" s="53">
        <f t="shared" si="665"/>
        <v>56924</v>
      </c>
      <c r="AR347" s="53">
        <f t="shared" si="665"/>
        <v>52400</v>
      </c>
      <c r="AS347" s="53">
        <f t="shared" si="665"/>
        <v>1062203</v>
      </c>
      <c r="AT347" s="53">
        <f t="shared" ref="AT347" si="1038">AVERAGE(AS344,AS345,AS346,AS347)</f>
        <v>858064.5</v>
      </c>
      <c r="AU347" s="53">
        <f t="shared" ref="AU347" si="1039">AVERAGE(AT295,AT243,AT191)</f>
        <v>669139.83333333337</v>
      </c>
      <c r="AV347" s="59">
        <f t="shared" ref="AV347" si="1040">((AS347/AS295)-1)*100</f>
        <v>242.54336602245132</v>
      </c>
      <c r="AW347" s="59">
        <f t="shared" ref="AW347" si="1041">((AT347/AT295)-1)*100</f>
        <v>71.007618534198215</v>
      </c>
      <c r="AX347" s="59">
        <f t="shared" ref="AX347" si="1042">((AT347/AU347)-1)*100</f>
        <v>28.233959070338809</v>
      </c>
      <c r="AZ347" s="53">
        <f t="shared" si="401"/>
        <v>814.40300000000002</v>
      </c>
      <c r="BA347" s="53">
        <f t="shared" si="402"/>
        <v>44.024999999999999</v>
      </c>
      <c r="BB347" s="53">
        <f t="shared" si="403"/>
        <v>180.57499999999999</v>
      </c>
      <c r="BC347" s="53">
        <f t="shared" si="404"/>
        <v>23.2</v>
      </c>
      <c r="BD347" s="53">
        <f t="shared" si="982"/>
        <v>1062.203</v>
      </c>
      <c r="BE347" s="60">
        <f t="shared" ref="BE347" si="1043">AZ347+BE346</f>
        <v>11006.707</v>
      </c>
      <c r="BF347" s="60">
        <f t="shared" ref="BF347" si="1044">BA347+BF346</f>
        <v>626.55599999999993</v>
      </c>
      <c r="BG347" s="60">
        <f t="shared" ref="BG347" si="1045">BB347+BG346</f>
        <v>4569.1589999999997</v>
      </c>
      <c r="BH347" s="60">
        <f t="shared" ref="BH347" si="1046">BC347+BH346</f>
        <v>222.45799999999997</v>
      </c>
      <c r="BI347" s="60">
        <f t="shared" ref="BI347" si="1047">BD347+BI346</f>
        <v>16424.879999999997</v>
      </c>
      <c r="BJ347" s="1">
        <f t="shared" si="721"/>
        <v>25</v>
      </c>
    </row>
    <row r="348" spans="1:62" x14ac:dyDescent="0.3">
      <c r="A348" s="48">
        <f t="shared" si="238"/>
        <v>39991</v>
      </c>
      <c r="B348" s="53">
        <v>588583</v>
      </c>
      <c r="C348" s="53">
        <v>42208</v>
      </c>
      <c r="D348" s="53">
        <v>0</v>
      </c>
      <c r="E348" s="53">
        <f t="shared" si="588"/>
        <v>630791</v>
      </c>
      <c r="F348" s="53">
        <f t="shared" ref="F348" si="1048">AVERAGE(E345,E346,E347,E348)</f>
        <v>642582</v>
      </c>
      <c r="G348" s="53">
        <f t="shared" ref="G348" si="1049">AVERAGE(F296,F244,F192)</f>
        <v>529761.83333333337</v>
      </c>
      <c r="H348" s="59">
        <f t="shared" ref="H348" si="1050">((E348/E296)-1)*100</f>
        <v>463.32193218250177</v>
      </c>
      <c r="I348" s="59">
        <f t="shared" ref="I348" si="1051">((F348/F296)-1)*100</f>
        <v>139.29728194839473</v>
      </c>
      <c r="J348" s="59">
        <f t="shared" ref="J348" si="1052">((F348/G348)-1)*100</f>
        <v>21.296393882659849</v>
      </c>
      <c r="L348" s="53">
        <v>1500</v>
      </c>
      <c r="M348" s="53">
        <v>14000</v>
      </c>
      <c r="N348" s="53">
        <v>22500</v>
      </c>
      <c r="O348" s="53">
        <f t="shared" si="651"/>
        <v>38000</v>
      </c>
      <c r="P348" s="53">
        <f t="shared" ref="P348" si="1053">AVERAGE(O345,O346,O347,O348)</f>
        <v>43112</v>
      </c>
      <c r="Q348" s="53">
        <f t="shared" ref="Q348" si="1054">AVERAGE(P296,P244,P192)</f>
        <v>25981.833333333332</v>
      </c>
      <c r="R348" s="59">
        <f t="shared" ref="R348" si="1055">((O348/O296)-1)*100</f>
        <v>-3.0612244897959218</v>
      </c>
      <c r="S348" s="59">
        <f t="shared" ref="S348" si="1056">((P348/P296)-1)*100</f>
        <v>47.391452991453001</v>
      </c>
      <c r="T348" s="59">
        <f t="shared" ref="T348" si="1057">((P348/Q348)-1)*100</f>
        <v>65.93132380958491</v>
      </c>
      <c r="V348" s="53">
        <v>153642</v>
      </c>
      <c r="W348" s="53">
        <v>19950</v>
      </c>
      <c r="X348" s="53">
        <v>7000</v>
      </c>
      <c r="Y348" s="53">
        <f t="shared" si="628"/>
        <v>180592</v>
      </c>
      <c r="Z348" s="53">
        <f t="shared" ref="Z348" si="1058">AVERAGE(Y345,Y346,Y347,Y348)</f>
        <v>191537.5</v>
      </c>
      <c r="AA348" s="53">
        <f t="shared" ref="AA348" si="1059">AVERAGE(Z296,Z244,Z192)</f>
        <v>99592.666666666672</v>
      </c>
      <c r="AB348" s="59">
        <f t="shared" ref="AB348" si="1060">((Y348/Y296)-1)*100</f>
        <v>657.73926908068643</v>
      </c>
      <c r="AC348" s="59">
        <f t="shared" ref="AC348" si="1061">((Z348/Z296)-1)*100</f>
        <v>94.622757259455526</v>
      </c>
      <c r="AD348" s="59">
        <f t="shared" ref="AD348" si="1062">((Z348/AA348)-1)*100</f>
        <v>92.320887080039356</v>
      </c>
      <c r="AF348" s="53">
        <v>3100</v>
      </c>
      <c r="AG348" s="53">
        <v>0</v>
      </c>
      <c r="AH348" s="53">
        <v>8400</v>
      </c>
      <c r="AI348" s="53">
        <f t="shared" si="577"/>
        <v>11500</v>
      </c>
      <c r="AJ348" s="53">
        <f t="shared" ref="AJ348" si="1063">AVERAGE(AI345,AI346,AI347,AI348)</f>
        <v>14000</v>
      </c>
      <c r="AK348" s="53">
        <f t="shared" ref="AK348" si="1064">AVERAGE(AJ296,AJ244,AJ192)</f>
        <v>9920.8333333333339</v>
      </c>
      <c r="AL348" s="59">
        <f t="shared" ref="AL348" si="1065">((AI348/AI296)-1)*100</f>
        <v>98.275862068965523</v>
      </c>
      <c r="AM348" s="59">
        <f t="shared" ref="AM348" si="1066">((AJ348/AJ296)-1)*100</f>
        <v>56.424581005586582</v>
      </c>
      <c r="AN348" s="59">
        <f t="shared" ref="AN348" si="1067">((AJ348/AK348)-1)*100</f>
        <v>41.11717765644687</v>
      </c>
      <c r="AP348" s="53">
        <f t="shared" si="665"/>
        <v>746825</v>
      </c>
      <c r="AQ348" s="53">
        <f t="shared" si="665"/>
        <v>76158</v>
      </c>
      <c r="AR348" s="53">
        <f t="shared" si="665"/>
        <v>37900</v>
      </c>
      <c r="AS348" s="53">
        <f t="shared" si="665"/>
        <v>860883</v>
      </c>
      <c r="AT348" s="53">
        <f t="shared" ref="AT348" si="1068">AVERAGE(AS345,AS346,AS347,AS348)</f>
        <v>891231.5</v>
      </c>
      <c r="AU348" s="53">
        <f t="shared" ref="AU348" si="1069">AVERAGE(AT296,AT244,AT192)</f>
        <v>665257.16666666663</v>
      </c>
      <c r="AV348" s="59">
        <f t="shared" ref="AV348" si="1070">((AS348/AS296)-1)*100</f>
        <v>376.1257673801228</v>
      </c>
      <c r="AW348" s="59">
        <f t="shared" ref="AW348" si="1071">((AT348/AT296)-1)*100</f>
        <v>119.97921724031113</v>
      </c>
      <c r="AX348" s="59">
        <f t="shared" ref="AX348" si="1072">((AT348/AU348)-1)*100</f>
        <v>33.9679667737514</v>
      </c>
      <c r="AZ348" s="53">
        <f t="shared" si="401"/>
        <v>630.79100000000005</v>
      </c>
      <c r="BA348" s="53">
        <f t="shared" si="402"/>
        <v>38</v>
      </c>
      <c r="BB348" s="53">
        <f t="shared" si="403"/>
        <v>180.59200000000001</v>
      </c>
      <c r="BC348" s="53">
        <f t="shared" si="404"/>
        <v>11.5</v>
      </c>
      <c r="BD348" s="53">
        <f t="shared" si="982"/>
        <v>860.88300000000004</v>
      </c>
      <c r="BE348" s="60">
        <f t="shared" ref="BE348" si="1073">AZ348+BE347</f>
        <v>11637.498</v>
      </c>
      <c r="BF348" s="60">
        <f t="shared" ref="BF348" si="1074">BA348+BF347</f>
        <v>664.55599999999993</v>
      </c>
      <c r="BG348" s="60">
        <f t="shared" ref="BG348" si="1075">BB348+BG347</f>
        <v>4749.7509999999993</v>
      </c>
      <c r="BH348" s="60">
        <f t="shared" ref="BH348" si="1076">BC348+BH347</f>
        <v>233.95799999999997</v>
      </c>
      <c r="BI348" s="60">
        <f t="shared" ref="BI348" si="1077">BD348+BI347</f>
        <v>17285.762999999999</v>
      </c>
      <c r="BJ348" s="1">
        <f t="shared" si="721"/>
        <v>26</v>
      </c>
    </row>
    <row r="349" spans="1:62" x14ac:dyDescent="0.3">
      <c r="A349" s="48">
        <f t="shared" si="238"/>
        <v>39998</v>
      </c>
      <c r="B349" s="53">
        <v>670889</v>
      </c>
      <c r="C349" s="53">
        <v>27280</v>
      </c>
      <c r="D349" s="53">
        <v>0</v>
      </c>
      <c r="E349" s="53">
        <f t="shared" si="588"/>
        <v>698169</v>
      </c>
      <c r="F349" s="53">
        <f t="shared" ref="F349" si="1078">AVERAGE(E346,E347,E348,E349)</f>
        <v>678432.5</v>
      </c>
      <c r="G349" s="53">
        <f t="shared" ref="G349" si="1079">AVERAGE(F297,F245,F193)</f>
        <v>534718.58333333337</v>
      </c>
      <c r="H349" s="59">
        <f t="shared" ref="H349" si="1080">((E349/E297)-1)*100</f>
        <v>279.09972035946026</v>
      </c>
      <c r="I349" s="59">
        <f t="shared" ref="I349" si="1081">((F349/F297)-1)*100</f>
        <v>212.69033778295011</v>
      </c>
      <c r="J349" s="59">
        <f t="shared" ref="J349" si="1082">((F349/G349)-1)*100</f>
        <v>26.876551731339049</v>
      </c>
      <c r="L349" s="53">
        <v>27455</v>
      </c>
      <c r="M349" s="53">
        <v>40686</v>
      </c>
      <c r="N349" s="53">
        <v>23800</v>
      </c>
      <c r="O349" s="53">
        <f t="shared" si="651"/>
        <v>91941</v>
      </c>
      <c r="P349" s="53">
        <f t="shared" ref="P349" si="1083">AVERAGE(O346,O347,O348,O349)</f>
        <v>60566.5</v>
      </c>
      <c r="Q349" s="53">
        <f t="shared" ref="Q349" si="1084">AVERAGE(P297,P245,P193)</f>
        <v>31891.833333333332</v>
      </c>
      <c r="R349" s="59">
        <f t="shared" ref="R349" si="1085">((O349/O297)-1)*100</f>
        <v>57.083546899026146</v>
      </c>
      <c r="S349" s="59">
        <f t="shared" ref="S349" si="1086">((P349/P297)-1)*100</f>
        <v>38.019711730188568</v>
      </c>
      <c r="T349" s="59">
        <f t="shared" ref="T349" si="1087">((P349/Q349)-1)*100</f>
        <v>89.912255488604714</v>
      </c>
      <c r="V349" s="53">
        <v>123193</v>
      </c>
      <c r="W349" s="53">
        <v>2800</v>
      </c>
      <c r="X349" s="53">
        <v>27266</v>
      </c>
      <c r="Y349" s="53">
        <f t="shared" si="628"/>
        <v>153259</v>
      </c>
      <c r="Z349" s="53">
        <f t="shared" ref="Z349" si="1088">AVERAGE(Y346,Y347,Y348,Y349)</f>
        <v>175965.5</v>
      </c>
      <c r="AA349" s="53">
        <f t="shared" ref="AA349" si="1089">AVERAGE(Z297,Z245,Z193)</f>
        <v>86883.25</v>
      </c>
      <c r="AB349" s="59">
        <f t="shared" ref="AB349" si="1090">((Y349/Y297)-1)*100</f>
        <v>272.82944510667284</v>
      </c>
      <c r="AC349" s="59">
        <f t="shared" ref="AC349" si="1091">((Z349/Z297)-1)*100</f>
        <v>241.71044071812102</v>
      </c>
      <c r="AD349" s="59">
        <f t="shared" ref="AD349" si="1092">((Z349/AA349)-1)*100</f>
        <v>102.53098266927169</v>
      </c>
      <c r="AF349" s="53">
        <v>3000</v>
      </c>
      <c r="AG349" s="53">
        <v>0</v>
      </c>
      <c r="AH349" s="53">
        <v>7200</v>
      </c>
      <c r="AI349" s="53">
        <f t="shared" si="577"/>
        <v>10200</v>
      </c>
      <c r="AJ349" s="53">
        <f t="shared" ref="AJ349" si="1093">AVERAGE(AI346,AI347,AI348,AI349)</f>
        <v>13000</v>
      </c>
      <c r="AK349" s="53">
        <f t="shared" ref="AK349" si="1094">AVERAGE(AJ297,AJ245,AJ193)</f>
        <v>10508.333333333334</v>
      </c>
      <c r="AL349" s="59">
        <f t="shared" ref="AL349" si="1095">((AI349/AI297)-1)*100</f>
        <v>126.66666666666666</v>
      </c>
      <c r="AM349" s="59">
        <f t="shared" ref="AM349" si="1096">((AJ349/AJ297)-1)*100</f>
        <v>99.233716475095775</v>
      </c>
      <c r="AN349" s="59">
        <f t="shared" ref="AN349" si="1097">((AJ349/AK349)-1)*100</f>
        <v>23.71134020618555</v>
      </c>
      <c r="AP349" s="53">
        <f t="shared" si="665"/>
        <v>824537</v>
      </c>
      <c r="AQ349" s="53">
        <f t="shared" si="665"/>
        <v>70766</v>
      </c>
      <c r="AR349" s="53">
        <f t="shared" si="665"/>
        <v>58266</v>
      </c>
      <c r="AS349" s="53">
        <f t="shared" si="665"/>
        <v>953569</v>
      </c>
      <c r="AT349" s="53">
        <f t="shared" ref="AT349" si="1098">AVERAGE(AS346,AS347,AS348,AS349)</f>
        <v>927964.5</v>
      </c>
      <c r="AU349" s="53">
        <f t="shared" ref="AU349" si="1099">AVERAGE(AT297,AT245,AT193)</f>
        <v>664002</v>
      </c>
      <c r="AV349" s="59">
        <f t="shared" ref="AV349" si="1100">((AS349/AS297)-1)*100</f>
        <v>230.75351541092326</v>
      </c>
      <c r="AW349" s="59">
        <f t="shared" ref="AW349" si="1101">((AT349/AT297)-1)*100</f>
        <v>191.01724296086874</v>
      </c>
      <c r="AX349" s="59">
        <f t="shared" ref="AX349" si="1102">((AT349/AU349)-1)*100</f>
        <v>39.753268815455378</v>
      </c>
      <c r="AZ349" s="53">
        <f t="shared" si="401"/>
        <v>698.16899999999998</v>
      </c>
      <c r="BA349" s="53">
        <f t="shared" si="402"/>
        <v>91.941000000000003</v>
      </c>
      <c r="BB349" s="53">
        <f t="shared" si="403"/>
        <v>153.25899999999999</v>
      </c>
      <c r="BC349" s="53">
        <f t="shared" si="404"/>
        <v>10.199999999999999</v>
      </c>
      <c r="BD349" s="53">
        <f t="shared" si="982"/>
        <v>953.56899999999996</v>
      </c>
      <c r="BE349" s="60">
        <f t="shared" ref="BE349" si="1103">AZ349+BE348</f>
        <v>12335.666999999999</v>
      </c>
      <c r="BF349" s="60">
        <f t="shared" ref="BF349" si="1104">BA349+BF348</f>
        <v>756.49699999999996</v>
      </c>
      <c r="BG349" s="60">
        <f t="shared" ref="BG349" si="1105">BB349+BG348</f>
        <v>4903.0099999999993</v>
      </c>
      <c r="BH349" s="60">
        <f t="shared" ref="BH349" si="1106">BC349+BH348</f>
        <v>244.15799999999996</v>
      </c>
      <c r="BI349" s="60">
        <f t="shared" ref="BI349" si="1107">BD349+BI348</f>
        <v>18239.331999999999</v>
      </c>
      <c r="BJ349" s="1">
        <f t="shared" si="721"/>
        <v>27</v>
      </c>
    </row>
    <row r="350" spans="1:62" x14ac:dyDescent="0.3">
      <c r="A350" s="48">
        <f t="shared" si="238"/>
        <v>40005</v>
      </c>
      <c r="B350" s="53">
        <v>524238</v>
      </c>
      <c r="C350" s="53">
        <v>11150</v>
      </c>
      <c r="D350" s="53">
        <v>0</v>
      </c>
      <c r="E350" s="53">
        <f t="shared" si="588"/>
        <v>535388</v>
      </c>
      <c r="F350" s="53">
        <f t="shared" ref="F350" si="1108">AVERAGE(E347,E348,E349,E350)</f>
        <v>669687.75</v>
      </c>
      <c r="G350" s="53">
        <f t="shared" ref="G350" si="1109">AVERAGE(F298,F246,F194)</f>
        <v>550434.58333333337</v>
      </c>
      <c r="H350" s="59">
        <f t="shared" ref="H350" si="1110">((E350/E298)-1)*100</f>
        <v>1.5654404176531189</v>
      </c>
      <c r="I350" s="59">
        <f t="shared" ref="I350" si="1111">((F350/F298)-1)*100</f>
        <v>153.53731149750462</v>
      </c>
      <c r="J350" s="59">
        <f t="shared" ref="J350" si="1112">((F350/G350)-1)*100</f>
        <v>21.665275089455815</v>
      </c>
      <c r="L350" s="53">
        <v>15448</v>
      </c>
      <c r="M350" s="53">
        <v>9150</v>
      </c>
      <c r="N350" s="53">
        <v>9800</v>
      </c>
      <c r="O350" s="53">
        <f t="shared" si="651"/>
        <v>34398</v>
      </c>
      <c r="P350" s="53">
        <f t="shared" ref="P350" si="1113">AVERAGE(O347,O348,O349,O350)</f>
        <v>52091</v>
      </c>
      <c r="Q350" s="53">
        <f t="shared" ref="Q350" si="1114">AVERAGE(P298,P246,P194)</f>
        <v>35241</v>
      </c>
      <c r="R350" s="59">
        <f t="shared" ref="R350" si="1115">((O350/O298)-1)*100</f>
        <v>-44.236037934668069</v>
      </c>
      <c r="S350" s="59">
        <f t="shared" ref="S350" si="1116">((P350/P298)-1)*100</f>
        <v>-7.2416852504619822E-2</v>
      </c>
      <c r="T350" s="59">
        <f t="shared" ref="T350" si="1117">((P350/Q350)-1)*100</f>
        <v>47.813626174058619</v>
      </c>
      <c r="V350" s="53">
        <v>101885</v>
      </c>
      <c r="W350" s="53">
        <v>12300</v>
      </c>
      <c r="X350" s="53">
        <v>2800</v>
      </c>
      <c r="Y350" s="53">
        <f t="shared" si="628"/>
        <v>116985</v>
      </c>
      <c r="Z350" s="53">
        <f t="shared" ref="Z350" si="1118">AVERAGE(Y347,Y348,Y349,Y350)</f>
        <v>157852.75</v>
      </c>
      <c r="AA350" s="53">
        <f t="shared" ref="AA350" si="1119">AVERAGE(Z298,Z246,Z194)</f>
        <v>91362.166666666672</v>
      </c>
      <c r="AB350" s="59">
        <f t="shared" ref="AB350" si="1120">((Y350/Y298)-1)*100</f>
        <v>-12.285371522831223</v>
      </c>
      <c r="AC350" s="59">
        <f t="shared" ref="AC350" si="1121">((Z350/Z298)-1)*100</f>
        <v>181.08934692605615</v>
      </c>
      <c r="AD350" s="59">
        <f t="shared" ref="AD350" si="1122">((Z350/AA350)-1)*100</f>
        <v>72.77693355929604</v>
      </c>
      <c r="AF350" s="53">
        <v>0</v>
      </c>
      <c r="AG350" s="53">
        <v>0</v>
      </c>
      <c r="AH350" s="53">
        <v>0</v>
      </c>
      <c r="AI350" s="53">
        <f t="shared" si="577"/>
        <v>0</v>
      </c>
      <c r="AJ350" s="53">
        <f t="shared" ref="AJ350" si="1123">AVERAGE(AI347,AI348,AI349,AI350)</f>
        <v>11225</v>
      </c>
      <c r="AK350" s="53">
        <f t="shared" ref="AK350" si="1124">AVERAGE(AJ298,AJ246,AJ194)</f>
        <v>6979</v>
      </c>
      <c r="AL350" s="59">
        <f t="shared" ref="AL350" si="1125">((AI350/AI298)-1)*100</f>
        <v>-100</v>
      </c>
      <c r="AM350" s="59">
        <f t="shared" ref="AM350" si="1126">((AJ350/AJ298)-1)*100</f>
        <v>236.98589012308616</v>
      </c>
      <c r="AN350" s="59">
        <f t="shared" ref="AN350" si="1127">((AJ350/AK350)-1)*100</f>
        <v>60.839661842670864</v>
      </c>
      <c r="AP350" s="53">
        <f t="shared" si="665"/>
        <v>641571</v>
      </c>
      <c r="AQ350" s="53">
        <f t="shared" si="665"/>
        <v>32600</v>
      </c>
      <c r="AR350" s="53">
        <f t="shared" si="665"/>
        <v>12600</v>
      </c>
      <c r="AS350" s="53">
        <f t="shared" si="665"/>
        <v>686771</v>
      </c>
      <c r="AT350" s="53">
        <f t="shared" ref="AT350" si="1128">AVERAGE(AS347,AS348,AS349,AS350)</f>
        <v>890856.5</v>
      </c>
      <c r="AU350" s="53">
        <f t="shared" ref="AU350" si="1129">AVERAGE(AT298,AT246,AT194)</f>
        <v>684016.75</v>
      </c>
      <c r="AV350" s="59">
        <f t="shared" ref="AV350" si="1130">((AS350/AS298)-1)*100</f>
        <v>-5.1178823318113071</v>
      </c>
      <c r="AW350" s="59">
        <f t="shared" ref="AW350" si="1131">((AT350/AT298)-1)*100</f>
        <v>137.08440340115234</v>
      </c>
      <c r="AX350" s="59">
        <f t="shared" ref="AX350" si="1132">((AT350/AU350)-1)*100</f>
        <v>30.23898903060487</v>
      </c>
      <c r="AZ350" s="53">
        <f t="shared" si="401"/>
        <v>535.38800000000003</v>
      </c>
      <c r="BA350" s="53">
        <f t="shared" si="402"/>
        <v>34.398000000000003</v>
      </c>
      <c r="BB350" s="53">
        <f t="shared" si="403"/>
        <v>116.985</v>
      </c>
      <c r="BC350" s="53">
        <f t="shared" si="404"/>
        <v>0</v>
      </c>
      <c r="BD350" s="53">
        <f t="shared" si="982"/>
        <v>686.77099999999996</v>
      </c>
      <c r="BE350" s="60">
        <f t="shared" ref="BE350" si="1133">AZ350+BE349</f>
        <v>12871.055</v>
      </c>
      <c r="BF350" s="60">
        <f t="shared" ref="BF350" si="1134">BA350+BF349</f>
        <v>790.89499999999998</v>
      </c>
      <c r="BG350" s="60">
        <f t="shared" ref="BG350" si="1135">BB350+BG349</f>
        <v>5019.994999999999</v>
      </c>
      <c r="BH350" s="60">
        <f t="shared" ref="BH350" si="1136">BC350+BH349</f>
        <v>244.15799999999996</v>
      </c>
      <c r="BI350" s="60">
        <f t="shared" ref="BI350" si="1137">BD350+BI349</f>
        <v>18926.102999999999</v>
      </c>
      <c r="BJ350" s="1">
        <f t="shared" si="721"/>
        <v>28</v>
      </c>
    </row>
    <row r="351" spans="1:62" x14ac:dyDescent="0.3">
      <c r="A351" s="48">
        <f t="shared" si="238"/>
        <v>40012</v>
      </c>
      <c r="B351" s="53">
        <v>522708</v>
      </c>
      <c r="C351" s="53">
        <v>23150</v>
      </c>
      <c r="D351" s="53">
        <v>0</v>
      </c>
      <c r="E351" s="53">
        <f t="shared" si="588"/>
        <v>545858</v>
      </c>
      <c r="F351" s="53">
        <f t="shared" ref="F351" si="1138">AVERAGE(E348,E349,E350,E351)</f>
        <v>602551.5</v>
      </c>
      <c r="G351" s="53">
        <f t="shared" ref="G351" si="1139">AVERAGE(F299,F247,F195)</f>
        <v>563228.25</v>
      </c>
      <c r="H351" s="59">
        <f t="shared" ref="H351" si="1140">((E351/E299)-1)*100</f>
        <v>14.793738118070632</v>
      </c>
      <c r="I351" s="59">
        <f t="shared" ref="I351" si="1141">((F351/F299)-1)*100</f>
        <v>85.573187351303901</v>
      </c>
      <c r="J351" s="59">
        <f t="shared" ref="J351" si="1142">((F351/G351)-1)*100</f>
        <v>6.9817609468274977</v>
      </c>
      <c r="L351" s="53">
        <v>4700</v>
      </c>
      <c r="M351" s="53">
        <v>11500</v>
      </c>
      <c r="N351" s="53">
        <v>12600</v>
      </c>
      <c r="O351" s="53">
        <f t="shared" si="651"/>
        <v>28800</v>
      </c>
      <c r="P351" s="53">
        <f t="shared" ref="P351" si="1143">AVERAGE(O348,O349,O350,O351)</f>
        <v>48284.75</v>
      </c>
      <c r="Q351" s="53">
        <f t="shared" ref="Q351" si="1144">AVERAGE(P299,P247,P195)</f>
        <v>39758.166666666664</v>
      </c>
      <c r="R351" s="59">
        <f t="shared" ref="R351" si="1145">((O351/O299)-1)*100</f>
        <v>-42.187249076601894</v>
      </c>
      <c r="S351" s="59">
        <f t="shared" ref="S351" si="1146">((P351/P299)-1)*100</f>
        <v>-7.6910209290210307</v>
      </c>
      <c r="T351" s="59">
        <f t="shared" ref="T351" si="1147">((P351/Q351)-1)*100</f>
        <v>21.446117988337843</v>
      </c>
      <c r="V351" s="53">
        <v>89117</v>
      </c>
      <c r="W351" s="53">
        <v>24900</v>
      </c>
      <c r="X351" s="53">
        <v>2800</v>
      </c>
      <c r="Y351" s="53">
        <f t="shared" si="628"/>
        <v>116817</v>
      </c>
      <c r="Z351" s="53">
        <f t="shared" ref="Z351" si="1148">AVERAGE(Y348,Y349,Y350,Y351)</f>
        <v>141913.25</v>
      </c>
      <c r="AA351" s="53">
        <f t="shared" ref="AA351" si="1149">AVERAGE(Z299,Z247,Z195)</f>
        <v>108749.41666666667</v>
      </c>
      <c r="AB351" s="59">
        <f t="shared" ref="AB351" si="1150">((Y351/Y299)-1)*100</f>
        <v>-25.662449727638347</v>
      </c>
      <c r="AC351" s="59">
        <f t="shared" ref="AC351" si="1151">((Z351/Z299)-1)*100</f>
        <v>59.698019996961627</v>
      </c>
      <c r="AD351" s="59">
        <f t="shared" ref="AD351" si="1152">((Z351/AA351)-1)*100</f>
        <v>30.495642505362099</v>
      </c>
      <c r="AF351" s="53">
        <v>0</v>
      </c>
      <c r="AG351" s="53">
        <v>0</v>
      </c>
      <c r="AH351" s="53">
        <v>0</v>
      </c>
      <c r="AI351" s="53">
        <f t="shared" si="577"/>
        <v>0</v>
      </c>
      <c r="AJ351" s="53">
        <f t="shared" ref="AJ351" si="1153">AVERAGE(AI348,AI349,AI350,AI351)</f>
        <v>5425</v>
      </c>
      <c r="AK351" s="53">
        <f t="shared" ref="AK351" si="1154">AVERAGE(AJ299,AJ247,AJ195)</f>
        <v>7854</v>
      </c>
      <c r="AL351" s="59">
        <f t="shared" ref="AL351" si="1155">((AI351/AI299)-1)*100</f>
        <v>-100</v>
      </c>
      <c r="AM351" s="59">
        <f t="shared" ref="AM351" si="1156">((AJ351/AJ299)-1)*100</f>
        <v>60.455486542443062</v>
      </c>
      <c r="AN351" s="59">
        <f t="shared" ref="AN351" si="1157">((AJ351/AK351)-1)*100</f>
        <v>-30.926916221033874</v>
      </c>
      <c r="AP351" s="53">
        <f t="shared" si="665"/>
        <v>616525</v>
      </c>
      <c r="AQ351" s="53">
        <f t="shared" si="665"/>
        <v>59550</v>
      </c>
      <c r="AR351" s="53">
        <f t="shared" si="665"/>
        <v>15400</v>
      </c>
      <c r="AS351" s="53">
        <f t="shared" si="665"/>
        <v>691475</v>
      </c>
      <c r="AT351" s="53">
        <f t="shared" ref="AT351" si="1158">AVERAGE(AS348,AS349,AS350,AS351)</f>
        <v>798174.5</v>
      </c>
      <c r="AU351" s="53">
        <f t="shared" ref="AU351" si="1159">AVERAGE(AT299,AT247,AT195)</f>
        <v>719589.83333333337</v>
      </c>
      <c r="AV351" s="59">
        <f t="shared" ref="AV351" si="1160">((AS351/AS299)-1)*100</f>
        <v>1.0821960261492958</v>
      </c>
      <c r="AW351" s="59">
        <f t="shared" ref="AW351" si="1161">((AT351/AT299)-1)*100</f>
        <v>70.095881777241217</v>
      </c>
      <c r="AX351" s="59">
        <f t="shared" ref="AX351" si="1162">((AT351/AU351)-1)*100</f>
        <v>10.920758330150582</v>
      </c>
      <c r="AZ351" s="53">
        <f t="shared" si="401"/>
        <v>545.85799999999995</v>
      </c>
      <c r="BA351" s="53">
        <f t="shared" si="402"/>
        <v>28.8</v>
      </c>
      <c r="BB351" s="53">
        <f t="shared" si="403"/>
        <v>116.81699999999999</v>
      </c>
      <c r="BC351" s="53">
        <f t="shared" si="404"/>
        <v>0</v>
      </c>
      <c r="BD351" s="53">
        <f t="shared" si="982"/>
        <v>691.47500000000002</v>
      </c>
      <c r="BE351" s="60">
        <f t="shared" ref="BE351" si="1163">AZ351+BE350</f>
        <v>13416.913</v>
      </c>
      <c r="BF351" s="60">
        <f t="shared" ref="BF351" si="1164">BA351+BF350</f>
        <v>819.69499999999994</v>
      </c>
      <c r="BG351" s="60">
        <f t="shared" ref="BG351" si="1165">BB351+BG350</f>
        <v>5136.811999999999</v>
      </c>
      <c r="BH351" s="60">
        <f t="shared" ref="BH351" si="1166">BC351+BH350</f>
        <v>244.15799999999996</v>
      </c>
      <c r="BI351" s="60">
        <f t="shared" ref="BI351" si="1167">BD351+BI350</f>
        <v>19617.577999999998</v>
      </c>
      <c r="BJ351" s="1">
        <f t="shared" si="721"/>
        <v>29</v>
      </c>
    </row>
    <row r="352" spans="1:62" x14ac:dyDescent="0.3">
      <c r="A352" s="48">
        <f t="shared" si="238"/>
        <v>40019</v>
      </c>
      <c r="B352" s="53">
        <v>704135</v>
      </c>
      <c r="C352" s="53">
        <v>11250</v>
      </c>
      <c r="D352" s="53">
        <v>0</v>
      </c>
      <c r="E352" s="53">
        <f t="shared" si="588"/>
        <v>715385</v>
      </c>
      <c r="F352" s="53">
        <f t="shared" ref="F352" si="1168">AVERAGE(E349,E350,E351,E352)</f>
        <v>623700</v>
      </c>
      <c r="G352" s="53">
        <f t="shared" ref="G352" si="1169">AVERAGE(F300,F248,F196)</f>
        <v>601731.66666666663</v>
      </c>
      <c r="H352" s="59">
        <f t="shared" ref="H352" si="1170">((E352/E300)-1)*100</f>
        <v>16.931377789110471</v>
      </c>
      <c r="I352" s="59">
        <f t="shared" ref="I352" si="1171">((F352/F300)-1)*100</f>
        <v>38.706958476869936</v>
      </c>
      <c r="J352" s="59">
        <f t="shared" ref="J352" si="1172">((F352/G352)-1)*100</f>
        <v>3.6508521240087743</v>
      </c>
      <c r="L352" s="53">
        <v>7600</v>
      </c>
      <c r="M352" s="53">
        <v>9850</v>
      </c>
      <c r="N352" s="53">
        <v>18200</v>
      </c>
      <c r="O352" s="53">
        <f t="shared" si="651"/>
        <v>35650</v>
      </c>
      <c r="P352" s="53">
        <f t="shared" ref="P352" si="1173">AVERAGE(O349,O350,O351,O352)</f>
        <v>47697.25</v>
      </c>
      <c r="Q352" s="53">
        <f t="shared" ref="Q352" si="1174">AVERAGE(P300,P248,P196)</f>
        <v>42104.75</v>
      </c>
      <c r="R352" s="59">
        <f t="shared" ref="R352" si="1175">((O352/O300)-1)*100</f>
        <v>-58.067703309887321</v>
      </c>
      <c r="S352" s="59">
        <f t="shared" ref="S352" si="1176">((P352/P300)-1)*100</f>
        <v>-25.195158577371402</v>
      </c>
      <c r="T352" s="59">
        <f t="shared" ref="T352" si="1177">((P352/Q352)-1)*100</f>
        <v>13.282349378633063</v>
      </c>
      <c r="V352" s="53">
        <v>95274</v>
      </c>
      <c r="W352" s="53">
        <v>13500</v>
      </c>
      <c r="X352" s="53">
        <v>2800</v>
      </c>
      <c r="Y352" s="53">
        <f t="shared" si="628"/>
        <v>111574</v>
      </c>
      <c r="Z352" s="53">
        <f t="shared" ref="Z352" si="1178">AVERAGE(Y349,Y350,Y351,Y352)</f>
        <v>124658.75</v>
      </c>
      <c r="AA352" s="53">
        <f t="shared" ref="AA352" si="1179">AVERAGE(Z300,Z248,Z196)</f>
        <v>115011.08333333333</v>
      </c>
      <c r="AB352" s="59">
        <f t="shared" ref="AB352" si="1180">((Y352/Y300)-1)*100</f>
        <v>-18.747724260475685</v>
      </c>
      <c r="AC352" s="59">
        <f t="shared" ref="AC352" si="1181">((Z352/Z300)-1)*100</f>
        <v>6.3325933650218991</v>
      </c>
      <c r="AD352" s="59">
        <f t="shared" ref="AD352" si="1182">((Z352/AA352)-1)*100</f>
        <v>8.3884669086240251</v>
      </c>
      <c r="AF352" s="53">
        <v>0</v>
      </c>
      <c r="AG352" s="53">
        <v>3500</v>
      </c>
      <c r="AH352" s="53">
        <v>7200</v>
      </c>
      <c r="AI352" s="53">
        <f t="shared" si="577"/>
        <v>10700</v>
      </c>
      <c r="AJ352" s="53">
        <f t="shared" ref="AJ352" si="1183">AVERAGE(AI349,AI350,AI351,AI352)</f>
        <v>5225</v>
      </c>
      <c r="AK352" s="53">
        <f t="shared" ref="AK352" si="1184">AVERAGE(AJ300,AJ248,AJ196)</f>
        <v>8167.333333333333</v>
      </c>
      <c r="AL352" s="59"/>
      <c r="AM352" s="59">
        <f t="shared" ref="AM352" si="1185">((AJ352/AJ300)-1)*100</f>
        <v>170.58518902123251</v>
      </c>
      <c r="AN352" s="59">
        <f t="shared" ref="AN352" si="1186">((AJ352/AK352)-1)*100</f>
        <v>-36.025630560770551</v>
      </c>
      <c r="AP352" s="53">
        <f t="shared" si="665"/>
        <v>807009</v>
      </c>
      <c r="AQ352" s="53">
        <f t="shared" si="665"/>
        <v>38100</v>
      </c>
      <c r="AR352" s="53">
        <f t="shared" si="665"/>
        <v>28200</v>
      </c>
      <c r="AS352" s="53">
        <f t="shared" si="665"/>
        <v>873309</v>
      </c>
      <c r="AT352" s="53">
        <f t="shared" ref="AT352" si="1187">AVERAGE(AS349,AS350,AS351,AS352)</f>
        <v>801281</v>
      </c>
      <c r="AU352" s="53">
        <f t="shared" ref="AU352" si="1188">AVERAGE(AT300,AT248,AT196)</f>
        <v>767014.83333333337</v>
      </c>
      <c r="AV352" s="59">
        <f t="shared" ref="AV352" si="1189">((AS352/AS300)-1)*100</f>
        <v>4.6963620996601341</v>
      </c>
      <c r="AW352" s="59">
        <f t="shared" ref="AW352" si="1190">((AT352/AT300)-1)*100</f>
        <v>26.668521501594267</v>
      </c>
      <c r="AX352" s="59">
        <f t="shared" ref="AX352" si="1191">((AT352/AU352)-1)*100</f>
        <v>4.4674711853682103</v>
      </c>
      <c r="AZ352" s="53">
        <f t="shared" si="401"/>
        <v>715.38499999999999</v>
      </c>
      <c r="BA352" s="53">
        <f t="shared" si="402"/>
        <v>35.65</v>
      </c>
      <c r="BB352" s="53">
        <f t="shared" si="403"/>
        <v>111.574</v>
      </c>
      <c r="BC352" s="53">
        <f t="shared" si="404"/>
        <v>10.7</v>
      </c>
      <c r="BD352" s="53">
        <f t="shared" si="982"/>
        <v>873.30899999999997</v>
      </c>
      <c r="BE352" s="60">
        <f t="shared" ref="BE352" si="1192">AZ352+BE351</f>
        <v>14132.298000000001</v>
      </c>
      <c r="BF352" s="60">
        <f t="shared" ref="BF352" si="1193">BA352+BF351</f>
        <v>855.34499999999991</v>
      </c>
      <c r="BG352" s="60">
        <f t="shared" ref="BG352" si="1194">BB352+BG351</f>
        <v>5248.3859999999986</v>
      </c>
      <c r="BH352" s="60">
        <f t="shared" ref="BH352" si="1195">BC352+BH351</f>
        <v>254.85799999999995</v>
      </c>
      <c r="BI352" s="60">
        <f t="shared" ref="BI352" si="1196">BD352+BI351</f>
        <v>20490.886999999999</v>
      </c>
      <c r="BJ352" s="1">
        <f t="shared" si="721"/>
        <v>30</v>
      </c>
    </row>
    <row r="353" spans="1:62" x14ac:dyDescent="0.3">
      <c r="A353" s="48">
        <f t="shared" si="238"/>
        <v>40026</v>
      </c>
      <c r="B353" s="53">
        <v>831496</v>
      </c>
      <c r="C353" s="53">
        <v>33950</v>
      </c>
      <c r="D353" s="53">
        <v>0</v>
      </c>
      <c r="E353" s="53">
        <f t="shared" si="588"/>
        <v>865446</v>
      </c>
      <c r="F353" s="53">
        <f t="shared" ref="F353" si="1197">AVERAGE(E350,E351,E352,E353)</f>
        <v>665519.25</v>
      </c>
      <c r="G353" s="53">
        <f t="shared" ref="G353" si="1198">AVERAGE(F301,F249,F197)</f>
        <v>624851.16666666663</v>
      </c>
      <c r="H353" s="59">
        <f t="shared" ref="H353" si="1199">((E353/E301)-1)*100</f>
        <v>68.878715856271427</v>
      </c>
      <c r="I353" s="59">
        <f t="shared" ref="I353" si="1200">((F353/F301)-1)*100</f>
        <v>25.161536931693963</v>
      </c>
      <c r="J353" s="59">
        <f t="shared" ref="J353" si="1201">((F353/G353)-1)*100</f>
        <v>6.5084432106098822</v>
      </c>
      <c r="L353" s="53">
        <v>4500</v>
      </c>
      <c r="M353" s="53">
        <v>14850</v>
      </c>
      <c r="N353" s="53">
        <v>7000</v>
      </c>
      <c r="O353" s="53">
        <f t="shared" si="651"/>
        <v>26350</v>
      </c>
      <c r="P353" s="53">
        <f t="shared" ref="P353" si="1202">AVERAGE(O350,O351,O352,O353)</f>
        <v>31299.5</v>
      </c>
      <c r="Q353" s="53">
        <f t="shared" ref="Q353" si="1203">AVERAGE(P301,P249,P197)</f>
        <v>43626.416666666664</v>
      </c>
      <c r="R353" s="59">
        <f t="shared" ref="R353" si="1204">((O353/O301)-1)*100</f>
        <v>-49.855370328080994</v>
      </c>
      <c r="S353" s="59">
        <f t="shared" ref="S353" si="1205">((P353/P301)-1)*100</f>
        <v>-49.733204318516698</v>
      </c>
      <c r="T353" s="59">
        <f t="shared" ref="T353" si="1206">((P353/Q353)-1)*100</f>
        <v>-28.255624936726022</v>
      </c>
      <c r="V353" s="53">
        <v>150350</v>
      </c>
      <c r="W353" s="53">
        <v>22600</v>
      </c>
      <c r="X353" s="53">
        <v>1400</v>
      </c>
      <c r="Y353" s="53">
        <f t="shared" si="628"/>
        <v>174350</v>
      </c>
      <c r="Z353" s="53">
        <f t="shared" ref="Z353" si="1207">AVERAGE(Y350,Y351,Y352,Y353)</f>
        <v>129931.5</v>
      </c>
      <c r="AA353" s="53">
        <f t="shared" ref="AA353" si="1208">AVERAGE(Z301,Z249,Z197)</f>
        <v>119645.25</v>
      </c>
      <c r="AB353" s="59">
        <f t="shared" ref="AB353" si="1209">((Y353/Y301)-1)*100</f>
        <v>17.413732726342168</v>
      </c>
      <c r="AC353" s="59">
        <f t="shared" ref="AC353" si="1210">((Z353/Z301)-1)*100</f>
        <v>-9.8205176255023225</v>
      </c>
      <c r="AD353" s="59">
        <f t="shared" ref="AD353" si="1211">((Z353/AA353)-1)*100</f>
        <v>8.5972907407523493</v>
      </c>
      <c r="AF353" s="53">
        <v>3100</v>
      </c>
      <c r="AG353" s="53">
        <v>4850</v>
      </c>
      <c r="AH353" s="53">
        <v>0</v>
      </c>
      <c r="AI353" s="53">
        <f t="shared" si="577"/>
        <v>7950</v>
      </c>
      <c r="AJ353" s="53">
        <f t="shared" ref="AJ353" si="1212">AVERAGE(AI350,AI351,AI352,AI353)</f>
        <v>4662.5</v>
      </c>
      <c r="AK353" s="53">
        <f t="shared" ref="AK353" si="1213">AVERAGE(AJ301,AJ249,AJ197)</f>
        <v>7479.833333333333</v>
      </c>
      <c r="AL353" s="59">
        <f t="shared" ref="AL353" si="1214">((AI353/AI301)-1)*100</f>
        <v>-25.700934579439249</v>
      </c>
      <c r="AM353" s="59">
        <f t="shared" ref="AM353" si="1215">((AJ353/AJ301)-1)*100</f>
        <v>33.941396150531467</v>
      </c>
      <c r="AN353" s="59">
        <f t="shared" ref="AN353" si="1216">((AJ353/AK353)-1)*100</f>
        <v>-37.665723389558593</v>
      </c>
      <c r="AP353" s="53">
        <f t="shared" si="665"/>
        <v>989446</v>
      </c>
      <c r="AQ353" s="53">
        <f t="shared" si="665"/>
        <v>76250</v>
      </c>
      <c r="AR353" s="53">
        <f t="shared" si="665"/>
        <v>8400</v>
      </c>
      <c r="AS353" s="53">
        <f t="shared" si="665"/>
        <v>1074096</v>
      </c>
      <c r="AT353" s="53">
        <f t="shared" ref="AT353" si="1217">AVERAGE(AS350,AS351,AS352,AS353)</f>
        <v>831412.75</v>
      </c>
      <c r="AU353" s="53">
        <f t="shared" ref="AU353" si="1218">AVERAGE(AT301,AT249,AT197)</f>
        <v>795602.66666666663</v>
      </c>
      <c r="AV353" s="59">
        <f t="shared" ref="AV353" si="1219">((AS353/AS301)-1)*100</f>
        <v>48.313601378613271</v>
      </c>
      <c r="AW353" s="59">
        <f t="shared" ref="AW353" si="1220">((AT353/AT301)-1)*100</f>
        <v>12.117173730407771</v>
      </c>
      <c r="AX353" s="59">
        <f t="shared" ref="AX353" si="1221">((AT353/AU353)-1)*100</f>
        <v>4.5010009183813704</v>
      </c>
      <c r="AZ353" s="53">
        <f t="shared" si="401"/>
        <v>865.44600000000003</v>
      </c>
      <c r="BA353" s="53">
        <f t="shared" si="402"/>
        <v>26.35</v>
      </c>
      <c r="BB353" s="53">
        <f t="shared" si="403"/>
        <v>174.35</v>
      </c>
      <c r="BC353" s="53">
        <f t="shared" si="404"/>
        <v>7.95</v>
      </c>
      <c r="BD353" s="53">
        <f t="shared" si="982"/>
        <v>1074.096</v>
      </c>
      <c r="BE353" s="60">
        <f t="shared" ref="BE353" si="1222">AZ353+BE352</f>
        <v>14997.744000000001</v>
      </c>
      <c r="BF353" s="60">
        <f t="shared" ref="BF353" si="1223">BA353+BF352</f>
        <v>881.69499999999994</v>
      </c>
      <c r="BG353" s="60">
        <f t="shared" ref="BG353" si="1224">BB353+BG352</f>
        <v>5422.735999999999</v>
      </c>
      <c r="BH353" s="60">
        <f t="shared" ref="BH353" si="1225">BC353+BH352</f>
        <v>262.80799999999994</v>
      </c>
      <c r="BI353" s="60">
        <f t="shared" ref="BI353" si="1226">BD353+BI352</f>
        <v>21564.983</v>
      </c>
      <c r="BJ353" s="1">
        <f t="shared" si="721"/>
        <v>31</v>
      </c>
    </row>
    <row r="354" spans="1:62" x14ac:dyDescent="0.3">
      <c r="A354" s="48">
        <f t="shared" si="238"/>
        <v>40033</v>
      </c>
      <c r="B354" s="53">
        <v>580392</v>
      </c>
      <c r="C354" s="53">
        <v>32600</v>
      </c>
      <c r="D354" s="53">
        <v>0</v>
      </c>
      <c r="E354" s="53">
        <f t="shared" si="588"/>
        <v>612992</v>
      </c>
      <c r="F354" s="53">
        <f t="shared" ref="F354" si="1227">AVERAGE(E351,E352,E353,E354)</f>
        <v>684920.25</v>
      </c>
      <c r="G354" s="53">
        <f t="shared" ref="G354" si="1228">AVERAGE(F302,F250,F198)</f>
        <v>592960.91666666663</v>
      </c>
      <c r="H354" s="59">
        <f t="shared" ref="H354" si="1229">((E354/E302)-1)*100</f>
        <v>41.696871070345431</v>
      </c>
      <c r="I354" s="59">
        <f t="shared" ref="I354" si="1230">((F354/F302)-1)*100</f>
        <v>34.801280269240323</v>
      </c>
      <c r="J354" s="59">
        <f t="shared" ref="J354" si="1231">((F354/G354)-1)*100</f>
        <v>15.50849824138214</v>
      </c>
      <c r="L354" s="53">
        <v>3000</v>
      </c>
      <c r="M354" s="53">
        <v>41450</v>
      </c>
      <c r="N354" s="53">
        <v>19600</v>
      </c>
      <c r="O354" s="53">
        <f t="shared" si="651"/>
        <v>64050</v>
      </c>
      <c r="P354" s="53">
        <f t="shared" ref="P354" si="1232">AVERAGE(O351,O352,O353,O354)</f>
        <v>38712.5</v>
      </c>
      <c r="Q354" s="53">
        <f t="shared" ref="Q354" si="1233">AVERAGE(P302,P250,P198)</f>
        <v>54605</v>
      </c>
      <c r="R354" s="59">
        <f t="shared" ref="R354" si="1234">((O354/O302)-1)*100</f>
        <v>-28.553102725133016</v>
      </c>
      <c r="S354" s="59">
        <f t="shared" ref="S354" si="1235">((P354/P302)-1)*100</f>
        <v>-44.103324922661521</v>
      </c>
      <c r="T354" s="59">
        <f t="shared" ref="T354" si="1236">((P354/Q354)-1)*100</f>
        <v>-29.104477611940293</v>
      </c>
      <c r="V354" s="53">
        <v>101144</v>
      </c>
      <c r="W354" s="53">
        <v>14400</v>
      </c>
      <c r="X354" s="53">
        <v>1400</v>
      </c>
      <c r="Y354" s="53">
        <f t="shared" si="628"/>
        <v>116944</v>
      </c>
      <c r="Z354" s="53">
        <f t="shared" ref="Z354" si="1237">AVERAGE(Y351,Y352,Y353,Y354)</f>
        <v>129921.25</v>
      </c>
      <c r="AA354" s="53">
        <f t="shared" ref="AA354" si="1238">AVERAGE(Z302,Z250,Z198)</f>
        <v>115253.91666666667</v>
      </c>
      <c r="AB354" s="59">
        <f t="shared" ref="AB354" si="1239">((Y354/Y302)-1)*100</f>
        <v>7.2260986769115076</v>
      </c>
      <c r="AC354" s="59">
        <f t="shared" ref="AC354" si="1240">((Z354/Z302)-1)*100</f>
        <v>-5.8570659961559191</v>
      </c>
      <c r="AD354" s="59">
        <f t="shared" ref="AD354" si="1241">((Z354/AA354)-1)*100</f>
        <v>12.726104029725672</v>
      </c>
      <c r="AF354" s="53">
        <v>6400</v>
      </c>
      <c r="AG354" s="53">
        <v>0</v>
      </c>
      <c r="AH354" s="53">
        <v>1400</v>
      </c>
      <c r="AI354" s="53">
        <f t="shared" si="577"/>
        <v>7800</v>
      </c>
      <c r="AJ354" s="53">
        <f t="shared" ref="AJ354" si="1242">AVERAGE(AI351,AI352,AI353,AI354)</f>
        <v>6612.5</v>
      </c>
      <c r="AK354" s="53">
        <f t="shared" ref="AK354" si="1243">AVERAGE(AJ302,AJ250,AJ198)</f>
        <v>9670.8333333333339</v>
      </c>
      <c r="AL354" s="59">
        <f t="shared" ref="AL354" si="1244">((AI354/AI302)-1)*100</f>
        <v>23.125493291239142</v>
      </c>
      <c r="AM354" s="59">
        <f t="shared" ref="AM354" si="1245">((AJ354/AJ302)-1)*100</f>
        <v>41.937214918164734</v>
      </c>
      <c r="AN354" s="59">
        <f t="shared" ref="AN354" si="1246">((AJ354/AK354)-1)*100</f>
        <v>-31.624299870745375</v>
      </c>
      <c r="AP354" s="53">
        <f t="shared" si="665"/>
        <v>690936</v>
      </c>
      <c r="AQ354" s="53">
        <f t="shared" si="665"/>
        <v>88450</v>
      </c>
      <c r="AR354" s="53">
        <f t="shared" si="665"/>
        <v>22400</v>
      </c>
      <c r="AS354" s="53">
        <f t="shared" si="665"/>
        <v>801786</v>
      </c>
      <c r="AT354" s="53">
        <f t="shared" ref="AT354" si="1247">AVERAGE(AS351,AS352,AS353,AS354)</f>
        <v>860166.5</v>
      </c>
      <c r="AU354" s="53">
        <f t="shared" ref="AU354" si="1248">AVERAGE(AT302,AT250,AT198)</f>
        <v>772490.66666666663</v>
      </c>
      <c r="AV354" s="59">
        <f t="shared" ref="AV354" si="1249">((AS354/AS302)-1)*100</f>
        <v>25.740175299104685</v>
      </c>
      <c r="AW354" s="59">
        <f t="shared" ref="AW354" si="1250">((AT354/AT302)-1)*100</f>
        <v>19.464831708717778</v>
      </c>
      <c r="AX354" s="59">
        <f t="shared" ref="AX354" si="1251">((AT354/AU354)-1)*100</f>
        <v>11.34975956559563</v>
      </c>
      <c r="AZ354" s="53">
        <f t="shared" si="401"/>
        <v>612.99199999999996</v>
      </c>
      <c r="BA354" s="53">
        <f t="shared" si="402"/>
        <v>64.05</v>
      </c>
      <c r="BB354" s="53">
        <f t="shared" si="403"/>
        <v>116.944</v>
      </c>
      <c r="BC354" s="53">
        <f t="shared" si="404"/>
        <v>7.8</v>
      </c>
      <c r="BD354" s="53">
        <f t="shared" si="982"/>
        <v>801.78599999999994</v>
      </c>
      <c r="BE354" s="60">
        <f t="shared" ref="BE354" si="1252">AZ354+BE353</f>
        <v>15610.736000000001</v>
      </c>
      <c r="BF354" s="60">
        <f t="shared" ref="BF354" si="1253">BA354+BF353</f>
        <v>945.74499999999989</v>
      </c>
      <c r="BG354" s="60">
        <f t="shared" ref="BG354" si="1254">BB354+BG353</f>
        <v>5539.6799999999994</v>
      </c>
      <c r="BH354" s="60">
        <f t="shared" ref="BH354" si="1255">BC354+BH353</f>
        <v>270.60799999999995</v>
      </c>
      <c r="BI354" s="60">
        <f t="shared" ref="BI354" si="1256">BD354+BI353</f>
        <v>22366.769</v>
      </c>
      <c r="BJ354" s="1">
        <f t="shared" si="721"/>
        <v>32</v>
      </c>
    </row>
    <row r="355" spans="1:62" x14ac:dyDescent="0.3">
      <c r="A355" s="48">
        <f t="shared" si="238"/>
        <v>40040</v>
      </c>
      <c r="B355" s="53">
        <v>641093</v>
      </c>
      <c r="C355" s="53">
        <v>19450</v>
      </c>
      <c r="D355" s="53">
        <v>0</v>
      </c>
      <c r="E355" s="53">
        <f t="shared" si="588"/>
        <v>660543</v>
      </c>
      <c r="F355" s="53">
        <f t="shared" ref="F355" si="1257">AVERAGE(E352,E353,E354,E355)</f>
        <v>713591.5</v>
      </c>
      <c r="G355" s="53">
        <f t="shared" ref="G355" si="1258">AVERAGE(F303,F251,F199)</f>
        <v>571811.75</v>
      </c>
      <c r="H355" s="59">
        <f t="shared" ref="H355" si="1259">((E355/E303)-1)*100</f>
        <v>52.654348805768358</v>
      </c>
      <c r="I355" s="59">
        <f t="shared" ref="I355" si="1260">((F355/F303)-1)*100</f>
        <v>43.465900809116299</v>
      </c>
      <c r="J355" s="59">
        <f t="shared" ref="J355" si="1261">((F355/G355)-1)*100</f>
        <v>24.794829766964387</v>
      </c>
      <c r="L355" s="53">
        <v>6120</v>
      </c>
      <c r="M355" s="53">
        <v>13250</v>
      </c>
      <c r="N355" s="53">
        <v>10200</v>
      </c>
      <c r="O355" s="53">
        <f t="shared" si="651"/>
        <v>29570</v>
      </c>
      <c r="P355" s="53">
        <f t="shared" ref="P355" si="1262">AVERAGE(O352,O353,O354,O355)</f>
        <v>38905</v>
      </c>
      <c r="Q355" s="53">
        <f t="shared" ref="Q355" si="1263">AVERAGE(P303,P251,P199)</f>
        <v>58444.666666666664</v>
      </c>
      <c r="R355" s="59">
        <f t="shared" ref="R355" si="1264">((O355/O303)-1)*100</f>
        <v>-18.31491712707183</v>
      </c>
      <c r="S355" s="59">
        <f t="shared" ref="S355" si="1265">((P355/P303)-1)*100</f>
        <v>-40.921670532585708</v>
      </c>
      <c r="T355" s="59">
        <f t="shared" ref="T355" si="1266">((P355/Q355)-1)*100</f>
        <v>-33.432762613069912</v>
      </c>
      <c r="V355" s="53">
        <v>155712</v>
      </c>
      <c r="W355" s="53">
        <v>15300</v>
      </c>
      <c r="X355" s="53">
        <v>2800</v>
      </c>
      <c r="Y355" s="53">
        <f t="shared" si="628"/>
        <v>173812</v>
      </c>
      <c r="Z355" s="53">
        <f t="shared" ref="Z355" si="1267">AVERAGE(Y352,Y353,Y354,Y355)</f>
        <v>144170</v>
      </c>
      <c r="AA355" s="53">
        <f t="shared" ref="AA355" si="1268">AVERAGE(Z303,Z251,Z199)</f>
        <v>110492.25</v>
      </c>
      <c r="AB355" s="59">
        <f t="shared" ref="AB355" si="1269">((Y355/Y303)-1)*100</f>
        <v>127.21710939134074</v>
      </c>
      <c r="AC355" s="59">
        <f t="shared" ref="AC355" si="1270">((Z355/Z303)-1)*100</f>
        <v>22.341520125421898</v>
      </c>
      <c r="AD355" s="59">
        <f t="shared" ref="AD355" si="1271">((Z355/AA355)-1)*100</f>
        <v>30.479739529243012</v>
      </c>
      <c r="AF355" s="53">
        <v>0</v>
      </c>
      <c r="AG355" s="53">
        <v>0</v>
      </c>
      <c r="AH355" s="53">
        <v>0</v>
      </c>
      <c r="AI355" s="53">
        <f t="shared" si="577"/>
        <v>0</v>
      </c>
      <c r="AJ355" s="53">
        <f t="shared" ref="AJ355" si="1272">AVERAGE(AI352,AI353,AI354,AI355)</f>
        <v>6612.5</v>
      </c>
      <c r="AK355" s="53">
        <f t="shared" ref="AK355" si="1273">AVERAGE(AJ303,AJ251,AJ199)</f>
        <v>10045.166666666666</v>
      </c>
      <c r="AL355" s="59">
        <f t="shared" ref="AL355" si="1274">((AI355/AI303)-1)*100</f>
        <v>-100</v>
      </c>
      <c r="AM355" s="59">
        <f t="shared" ref="AM355" si="1275">((AJ355/AJ303)-1)*100</f>
        <v>6.0757970723882115</v>
      </c>
      <c r="AN355" s="59">
        <f t="shared" ref="AN355" si="1276">((AJ355/AK355)-1)*100</f>
        <v>-34.172321680410143</v>
      </c>
      <c r="AP355" s="53">
        <f t="shared" si="665"/>
        <v>802925</v>
      </c>
      <c r="AQ355" s="53">
        <f t="shared" si="665"/>
        <v>48000</v>
      </c>
      <c r="AR355" s="53">
        <f t="shared" si="665"/>
        <v>13000</v>
      </c>
      <c r="AS355" s="53">
        <f t="shared" si="665"/>
        <v>863925</v>
      </c>
      <c r="AT355" s="53">
        <f t="shared" ref="AT355" si="1277">AVERAGE(AS352,AS353,AS354,AS355)</f>
        <v>903279</v>
      </c>
      <c r="AU355" s="53">
        <f t="shared" ref="AU355" si="1278">AVERAGE(AT303,AT251,AT199)</f>
        <v>750793.83333333337</v>
      </c>
      <c r="AV355" s="59">
        <f t="shared" ref="AV355" si="1279">((AS355/AS303)-1)*100</f>
        <v>56.140147948404206</v>
      </c>
      <c r="AW355" s="59">
        <f t="shared" ref="AW355" si="1280">((AT355/AT303)-1)*100</f>
        <v>31.419727602894554</v>
      </c>
      <c r="AX355" s="59">
        <f t="shared" ref="AX355" si="1281">((AT355/AU355)-1)*100</f>
        <v>20.309858698448725</v>
      </c>
      <c r="AZ355" s="53">
        <f t="shared" si="401"/>
        <v>660.54300000000001</v>
      </c>
      <c r="BA355" s="53">
        <f t="shared" si="402"/>
        <v>29.57</v>
      </c>
      <c r="BB355" s="53">
        <f t="shared" si="403"/>
        <v>173.81200000000001</v>
      </c>
      <c r="BC355" s="53">
        <f t="shared" si="404"/>
        <v>0</v>
      </c>
      <c r="BD355" s="53">
        <f t="shared" si="982"/>
        <v>863.92499999999995</v>
      </c>
      <c r="BE355" s="60">
        <f t="shared" ref="BE355" si="1282">AZ355+BE354</f>
        <v>16271.279</v>
      </c>
      <c r="BF355" s="60">
        <f t="shared" ref="BF355" si="1283">BA355+BF354</f>
        <v>975.31499999999994</v>
      </c>
      <c r="BG355" s="60">
        <f t="shared" ref="BG355" si="1284">BB355+BG354</f>
        <v>5713.4919999999993</v>
      </c>
      <c r="BH355" s="60">
        <f t="shared" ref="BH355" si="1285">BC355+BH354</f>
        <v>270.60799999999995</v>
      </c>
      <c r="BI355" s="60">
        <f t="shared" ref="BI355" si="1286">BD355+BI354</f>
        <v>23230.694</v>
      </c>
      <c r="BJ355" s="1">
        <f t="shared" si="721"/>
        <v>33</v>
      </c>
    </row>
    <row r="356" spans="1:62" x14ac:dyDescent="0.3">
      <c r="A356" s="48">
        <f t="shared" si="238"/>
        <v>40047</v>
      </c>
      <c r="B356" s="53">
        <v>532378</v>
      </c>
      <c r="C356" s="53">
        <v>40010</v>
      </c>
      <c r="D356" s="53">
        <v>0</v>
      </c>
      <c r="E356" s="53">
        <f t="shared" si="588"/>
        <v>572388</v>
      </c>
      <c r="F356" s="53">
        <f t="shared" ref="F356" si="1287">AVERAGE(E353,E354,E355,E356)</f>
        <v>677842.25</v>
      </c>
      <c r="G356" s="53">
        <f t="shared" ref="G356" si="1288">AVERAGE(F304,F252,F200)</f>
        <v>500723.16666666669</v>
      </c>
      <c r="H356" s="59">
        <f t="shared" ref="H356" si="1289">((E356/E304)-1)*100</f>
        <v>25.44280661152678</v>
      </c>
      <c r="I356" s="59">
        <f t="shared" ref="I356" si="1290">((F356/F304)-1)*100</f>
        <v>47.833210564683085</v>
      </c>
      <c r="J356" s="59">
        <f t="shared" ref="J356" si="1291">((F356/G356)-1)*100</f>
        <v>35.37265601518336</v>
      </c>
      <c r="L356" s="53">
        <v>7700</v>
      </c>
      <c r="M356" s="53">
        <v>4750</v>
      </c>
      <c r="N356" s="53">
        <v>9800</v>
      </c>
      <c r="O356" s="53">
        <f t="shared" si="651"/>
        <v>22250</v>
      </c>
      <c r="P356" s="53">
        <f t="shared" ref="P356" si="1292">AVERAGE(O353,O354,O355,O356)</f>
        <v>35555</v>
      </c>
      <c r="Q356" s="53">
        <f t="shared" ref="Q356" si="1293">AVERAGE(P304,P252,P200)</f>
        <v>60148.916666666664</v>
      </c>
      <c r="R356" s="59">
        <f t="shared" ref="R356" si="1294">((O356/O304)-1)*100</f>
        <v>-66.065763787213271</v>
      </c>
      <c r="S356" s="59">
        <f t="shared" ref="S356" si="1295">((P356/P304)-1)*100</f>
        <v>-41.704274828560074</v>
      </c>
      <c r="T356" s="59">
        <f t="shared" ref="T356" si="1296">((P356/Q356)-1)*100</f>
        <v>-40.888378427430808</v>
      </c>
      <c r="V356" s="53">
        <v>92818</v>
      </c>
      <c r="W356" s="53">
        <v>22100</v>
      </c>
      <c r="X356" s="53">
        <v>2800</v>
      </c>
      <c r="Y356" s="53">
        <f t="shared" si="628"/>
        <v>117718</v>
      </c>
      <c r="Z356" s="53">
        <f t="shared" ref="Z356" si="1297">AVERAGE(Y353,Y354,Y355,Y356)</f>
        <v>145706</v>
      </c>
      <c r="AA356" s="53">
        <f t="shared" ref="AA356" si="1298">AVERAGE(Z304,Z252,Z200)</f>
        <v>108999.41666666667</v>
      </c>
      <c r="AB356" s="59">
        <f t="shared" ref="AB356" si="1299">((Y356/Y304)-1)*100</f>
        <v>2.7682959833081666</v>
      </c>
      <c r="AC356" s="59">
        <f t="shared" ref="AC356" si="1300">((Z356/Z304)-1)*100</f>
        <v>29.921221227022855</v>
      </c>
      <c r="AD356" s="59">
        <f t="shared" ref="AD356" si="1301">((Z356/AA356)-1)*100</f>
        <v>33.675944748939777</v>
      </c>
      <c r="AF356" s="53">
        <v>7841</v>
      </c>
      <c r="AG356" s="53">
        <v>0</v>
      </c>
      <c r="AH356" s="53">
        <v>0</v>
      </c>
      <c r="AI356" s="53">
        <f t="shared" si="577"/>
        <v>7841</v>
      </c>
      <c r="AJ356" s="53">
        <f t="shared" ref="AJ356" si="1302">AVERAGE(AI353,AI354,AI355,AI356)</f>
        <v>5897.75</v>
      </c>
      <c r="AK356" s="53">
        <f t="shared" ref="AK356" si="1303">AVERAGE(AJ304,AJ252,AJ200)</f>
        <v>10798.5</v>
      </c>
      <c r="AL356" s="59">
        <f t="shared" ref="AL356" si="1304">((AI356/AI304)-1)*100</f>
        <v>460.07142857142861</v>
      </c>
      <c r="AM356" s="59">
        <f t="shared" ref="AM356" si="1305">((AJ356/AJ304)-1)*100</f>
        <v>-10.419593696601481</v>
      </c>
      <c r="AN356" s="59">
        <f t="shared" ref="AN356" si="1306">((AJ356/AK356)-1)*100</f>
        <v>-45.383618095105803</v>
      </c>
      <c r="AP356" s="53">
        <f t="shared" si="665"/>
        <v>640737</v>
      </c>
      <c r="AQ356" s="53">
        <f t="shared" si="665"/>
        <v>66860</v>
      </c>
      <c r="AR356" s="53">
        <f t="shared" si="665"/>
        <v>12600</v>
      </c>
      <c r="AS356" s="53">
        <f t="shared" si="665"/>
        <v>720197</v>
      </c>
      <c r="AT356" s="53">
        <f t="shared" ref="AT356" si="1307">AVERAGE(AS353,AS354,AS355,AS356)</f>
        <v>865001</v>
      </c>
      <c r="AU356" s="53">
        <f t="shared" ref="AU356" si="1308">AVERAGE(AT304,AT252,AT200)</f>
        <v>680670</v>
      </c>
      <c r="AV356" s="59">
        <f t="shared" ref="AV356" si="1309">((AS356/AS304)-1)*100</f>
        <v>12.917346729193223</v>
      </c>
      <c r="AW356" s="59">
        <f t="shared" ref="AW356" si="1310">((AT356/AT304)-1)*100</f>
        <v>35.528633524339703</v>
      </c>
      <c r="AX356" s="59">
        <f t="shared" ref="AX356" si="1311">((AT356/AU356)-1)*100</f>
        <v>27.080817429885261</v>
      </c>
      <c r="AZ356" s="53">
        <f t="shared" si="401"/>
        <v>572.38800000000003</v>
      </c>
      <c r="BA356" s="53">
        <f t="shared" si="402"/>
        <v>22.25</v>
      </c>
      <c r="BB356" s="53">
        <f t="shared" si="403"/>
        <v>117.718</v>
      </c>
      <c r="BC356" s="53">
        <f t="shared" si="404"/>
        <v>7.8410000000000002</v>
      </c>
      <c r="BD356" s="53">
        <f t="shared" si="982"/>
        <v>720.197</v>
      </c>
      <c r="BE356" s="60">
        <f t="shared" ref="BE356" si="1312">AZ356+BE355</f>
        <v>16843.667000000001</v>
      </c>
      <c r="BF356" s="60">
        <f t="shared" ref="BF356" si="1313">BA356+BF355</f>
        <v>997.56499999999994</v>
      </c>
      <c r="BG356" s="60">
        <f t="shared" ref="BG356" si="1314">BB356+BG355</f>
        <v>5831.2099999999991</v>
      </c>
      <c r="BH356" s="60">
        <f t="shared" ref="BH356" si="1315">BC356+BH355</f>
        <v>278.44899999999996</v>
      </c>
      <c r="BI356" s="60">
        <f t="shared" ref="BI356" si="1316">BD356+BI355</f>
        <v>23950.891</v>
      </c>
      <c r="BJ356" s="1">
        <f t="shared" si="721"/>
        <v>34</v>
      </c>
    </row>
    <row r="357" spans="1:62" x14ac:dyDescent="0.3">
      <c r="A357" s="48">
        <f t="shared" si="238"/>
        <v>40054</v>
      </c>
      <c r="B357" s="53">
        <v>483383</v>
      </c>
      <c r="C357" s="53">
        <v>34500</v>
      </c>
      <c r="D357" s="53">
        <v>0</v>
      </c>
      <c r="E357" s="53">
        <f t="shared" si="588"/>
        <v>517883</v>
      </c>
      <c r="F357" s="53">
        <f t="shared" ref="F357" si="1317">AVERAGE(E354,E355,E356,E357)</f>
        <v>590951.5</v>
      </c>
      <c r="G357" s="53">
        <f t="shared" ref="G357" si="1318">AVERAGE(F305,F253,F201)</f>
        <v>427187.16666666669</v>
      </c>
      <c r="H357" s="59">
        <f t="shared" ref="H357" si="1319">((E357/E305)-1)*100</f>
        <v>79.667020531074144</v>
      </c>
      <c r="I357" s="59">
        <f t="shared" ref="I357" si="1320">((F357/F305)-1)*100</f>
        <v>46.833654998313513</v>
      </c>
      <c r="J357" s="59">
        <f t="shared" ref="J357" si="1321">((F357/G357)-1)*100</f>
        <v>38.335499310801694</v>
      </c>
      <c r="L357" s="53">
        <v>10833</v>
      </c>
      <c r="M357" s="53">
        <v>17550</v>
      </c>
      <c r="N357" s="53">
        <v>21000</v>
      </c>
      <c r="O357" s="53">
        <f t="shared" si="651"/>
        <v>49383</v>
      </c>
      <c r="P357" s="53">
        <f t="shared" ref="P357" si="1322">AVERAGE(O354,O355,O356,O357)</f>
        <v>41313.25</v>
      </c>
      <c r="Q357" s="53">
        <f t="shared" ref="Q357" si="1323">AVERAGE(P305,P253,P201)</f>
        <v>67895.916666666672</v>
      </c>
      <c r="R357" s="59">
        <f t="shared" ref="R357" si="1324">((O357/O305)-1)*100</f>
        <v>-33.891566265060234</v>
      </c>
      <c r="S357" s="59">
        <f t="shared" ref="S357" si="1325">((P357/P305)-1)*100</f>
        <v>-37.901659057174527</v>
      </c>
      <c r="T357" s="59">
        <f t="shared" ref="T357" si="1326">((P357/Q357)-1)*100</f>
        <v>-39.152084501890769</v>
      </c>
      <c r="V357" s="53">
        <v>108435</v>
      </c>
      <c r="W357" s="53">
        <v>13550</v>
      </c>
      <c r="X357" s="53">
        <v>8400</v>
      </c>
      <c r="Y357" s="53">
        <f t="shared" si="628"/>
        <v>130385</v>
      </c>
      <c r="Z357" s="53">
        <f t="shared" ref="Z357" si="1327">AVERAGE(Y354,Y355,Y356,Y357)</f>
        <v>134714.75</v>
      </c>
      <c r="AA357" s="53">
        <f t="shared" ref="AA357" si="1328">AVERAGE(Z305,Z253,Z201)</f>
        <v>97898.916666666672</v>
      </c>
      <c r="AB357" s="59">
        <f t="shared" ref="AB357" si="1329">((Y357/Y305)-1)*100</f>
        <v>242.42456075846312</v>
      </c>
      <c r="AC357" s="59">
        <f t="shared" ref="AC357" si="1330">((Z357/Z305)-1)*100</f>
        <v>59.339470050239072</v>
      </c>
      <c r="AD357" s="59">
        <f t="shared" ref="AD357" si="1331">((Z357/AA357)-1)*100</f>
        <v>37.605966017669587</v>
      </c>
      <c r="AF357" s="53">
        <v>0</v>
      </c>
      <c r="AG357" s="53">
        <v>0</v>
      </c>
      <c r="AH357" s="53">
        <v>1400</v>
      </c>
      <c r="AI357" s="53">
        <f t="shared" si="577"/>
        <v>1400</v>
      </c>
      <c r="AJ357" s="53">
        <f t="shared" ref="AJ357" si="1332">AVERAGE(AI354,AI355,AI356,AI357)</f>
        <v>4260.25</v>
      </c>
      <c r="AK357" s="53">
        <f t="shared" ref="AK357" si="1333">AVERAGE(AJ305,AJ253,AJ201)</f>
        <v>12744.333333333334</v>
      </c>
      <c r="AL357" s="59">
        <f t="shared" ref="AL357" si="1334">((AI357/AI305)-1)*100</f>
        <v>-95.757575757575751</v>
      </c>
      <c r="AM357" s="59">
        <f t="shared" ref="AM357" si="1335">((AJ357/AJ305)-1)*100</f>
        <v>-64.961447517220108</v>
      </c>
      <c r="AN357" s="59">
        <f t="shared" ref="AN357" si="1336">((AJ357/AK357)-1)*100</f>
        <v>-66.571417361964791</v>
      </c>
      <c r="AP357" s="53">
        <f t="shared" si="665"/>
        <v>602651</v>
      </c>
      <c r="AQ357" s="53">
        <f t="shared" si="665"/>
        <v>65600</v>
      </c>
      <c r="AR357" s="53">
        <f t="shared" si="665"/>
        <v>30800</v>
      </c>
      <c r="AS357" s="53">
        <f t="shared" si="665"/>
        <v>699051</v>
      </c>
      <c r="AT357" s="53">
        <f t="shared" ref="AT357" si="1337">AVERAGE(AS354,AS355,AS356,AS357)</f>
        <v>771239.75</v>
      </c>
      <c r="AU357" s="53">
        <f t="shared" ref="AU357" si="1338">AVERAGE(AT305,AT253,AT201)</f>
        <v>605726.33333333337</v>
      </c>
      <c r="AV357" s="59">
        <f t="shared" ref="AV357" si="1339">((AS357/AS305)-1)*100</f>
        <v>61.063123382862194</v>
      </c>
      <c r="AW357" s="59">
        <f t="shared" ref="AW357" si="1340">((AT357/AT305)-1)*100</f>
        <v>36.334545113855214</v>
      </c>
      <c r="AX357" s="59">
        <f t="shared" ref="AX357" si="1341">((AT357/AU357)-1)*100</f>
        <v>27.3247847350206</v>
      </c>
      <c r="AZ357" s="53">
        <f t="shared" si="401"/>
        <v>517.88300000000004</v>
      </c>
      <c r="BA357" s="53">
        <f t="shared" si="402"/>
        <v>49.383000000000003</v>
      </c>
      <c r="BB357" s="53">
        <f t="shared" si="403"/>
        <v>130.38499999999999</v>
      </c>
      <c r="BC357" s="53">
        <f t="shared" si="404"/>
        <v>1.4</v>
      </c>
      <c r="BD357" s="53">
        <f t="shared" si="982"/>
        <v>699.05100000000004</v>
      </c>
      <c r="BE357" s="60">
        <f t="shared" ref="BE357" si="1342">AZ357+BE356</f>
        <v>17361.550000000003</v>
      </c>
      <c r="BF357" s="60">
        <f t="shared" ref="BF357" si="1343">BA357+BF356</f>
        <v>1046.9479999999999</v>
      </c>
      <c r="BG357" s="60">
        <f t="shared" ref="BG357" si="1344">BB357+BG356</f>
        <v>5961.5949999999993</v>
      </c>
      <c r="BH357" s="60">
        <f t="shared" ref="BH357" si="1345">BC357+BH356</f>
        <v>279.84899999999993</v>
      </c>
      <c r="BI357" s="60">
        <f t="shared" ref="BI357" si="1346">BD357+BI356</f>
        <v>24649.941999999999</v>
      </c>
      <c r="BJ357" s="1">
        <f t="shared" si="721"/>
        <v>35</v>
      </c>
    </row>
    <row r="358" spans="1:62" x14ac:dyDescent="0.3">
      <c r="A358" s="48">
        <f t="shared" si="238"/>
        <v>40061</v>
      </c>
      <c r="B358" s="53">
        <v>273160</v>
      </c>
      <c r="C358" s="53">
        <v>23669</v>
      </c>
      <c r="D358" s="53">
        <v>0</v>
      </c>
      <c r="E358" s="53">
        <f t="shared" si="588"/>
        <v>296829</v>
      </c>
      <c r="F358" s="53">
        <f t="shared" ref="F358" si="1347">AVERAGE(E355,E356,E357,E358)</f>
        <v>511910.75</v>
      </c>
      <c r="G358" s="53">
        <f t="shared" ref="G358" si="1348">AVERAGE(F306,F254,F202)</f>
        <v>389443.66666666669</v>
      </c>
      <c r="H358" s="59">
        <f t="shared" ref="H358" si="1349">((E358/E306)-1)*100</f>
        <v>-35.599776964416272</v>
      </c>
      <c r="I358" s="59">
        <f t="shared" ref="I358" si="1350">((F358/F306)-1)*100</f>
        <v>24.996673092583265</v>
      </c>
      <c r="J358" s="59">
        <f t="shared" ref="J358" si="1351">((F358/G358)-1)*100</f>
        <v>31.446674786511686</v>
      </c>
      <c r="L358" s="53">
        <v>6600</v>
      </c>
      <c r="M358" s="53">
        <v>16708</v>
      </c>
      <c r="N358" s="53">
        <v>1400</v>
      </c>
      <c r="O358" s="53">
        <f t="shared" si="651"/>
        <v>24708</v>
      </c>
      <c r="P358" s="53">
        <f t="shared" ref="P358" si="1352">AVERAGE(O355,O356,O357,O358)</f>
        <v>31477.75</v>
      </c>
      <c r="Q358" s="53">
        <f t="shared" ref="Q358" si="1353">AVERAGE(P306,P254,P202)</f>
        <v>60642.916666666664</v>
      </c>
      <c r="R358" s="59">
        <f t="shared" ref="R358" si="1354">((O358/O306)-1)*100</f>
        <v>-62.849582005172309</v>
      </c>
      <c r="S358" s="59">
        <f t="shared" ref="S358" si="1355">((P358/P306)-1)*100</f>
        <v>-48.179655603845653</v>
      </c>
      <c r="T358" s="59">
        <f t="shared" ref="T358" si="1356">((P358/Q358)-1)*100</f>
        <v>-48.093278275148919</v>
      </c>
      <c r="V358" s="53">
        <v>35320</v>
      </c>
      <c r="W358" s="53">
        <v>21742</v>
      </c>
      <c r="X358" s="53">
        <v>0</v>
      </c>
      <c r="Y358" s="53">
        <f t="shared" si="628"/>
        <v>57062</v>
      </c>
      <c r="Z358" s="53">
        <f t="shared" ref="Z358" si="1357">AVERAGE(Y355,Y356,Y357,Y358)</f>
        <v>119744.25</v>
      </c>
      <c r="AA358" s="53">
        <f t="shared" ref="AA358" si="1358">AVERAGE(Z306,Z254,Z202)</f>
        <v>93808.833333333328</v>
      </c>
      <c r="AB358" s="59">
        <f t="shared" ref="AB358" si="1359">((Y358/Y306)-1)*100</f>
        <v>-27.835390530149738</v>
      </c>
      <c r="AC358" s="59">
        <f t="shared" ref="AC358" si="1360">((Z358/Z306)-1)*100</f>
        <v>55.415130827536089</v>
      </c>
      <c r="AD358" s="59">
        <f t="shared" ref="AD358" si="1361">((Z358/AA358)-1)*100</f>
        <v>27.647094356785871</v>
      </c>
      <c r="AF358" s="53">
        <v>0</v>
      </c>
      <c r="AG358" s="53">
        <v>0</v>
      </c>
      <c r="AH358" s="53">
        <v>1400</v>
      </c>
      <c r="AI358" s="53">
        <f t="shared" si="577"/>
        <v>1400</v>
      </c>
      <c r="AJ358" s="53">
        <f t="shared" ref="AJ358" si="1362">AVERAGE(AI355,AI356,AI357,AI358)</f>
        <v>2660.25</v>
      </c>
      <c r="AK358" s="53">
        <f t="shared" ref="AK358" si="1363">AVERAGE(AJ306,AJ254,AJ202)</f>
        <v>11009.666666666666</v>
      </c>
      <c r="AL358" s="59">
        <f t="shared" ref="AL358" si="1364">((AI358/AI306)-1)*100</f>
        <v>-50</v>
      </c>
      <c r="AM358" s="59">
        <f t="shared" ref="AM358" si="1365">((AJ358/AJ306)-1)*100</f>
        <v>-76.405764966740577</v>
      </c>
      <c r="AN358" s="59">
        <f t="shared" ref="AN358" si="1366">((AJ358/AK358)-1)*100</f>
        <v>-75.837143116655056</v>
      </c>
      <c r="AP358" s="53">
        <f t="shared" si="665"/>
        <v>315080</v>
      </c>
      <c r="AQ358" s="53">
        <f t="shared" si="665"/>
        <v>62119</v>
      </c>
      <c r="AR358" s="53">
        <f t="shared" si="665"/>
        <v>2800</v>
      </c>
      <c r="AS358" s="53">
        <f t="shared" si="665"/>
        <v>379999</v>
      </c>
      <c r="AT358" s="53">
        <f t="shared" ref="AT358" si="1367">AVERAGE(AS355,AS356,AS357,AS358)</f>
        <v>665793</v>
      </c>
      <c r="AU358" s="53">
        <f t="shared" ref="AU358" si="1368">AVERAGE(AT306,AT254,AT202)</f>
        <v>554905.08333333337</v>
      </c>
      <c r="AV358" s="59">
        <f t="shared" ref="AV358" si="1369">((AS358/AS306)-1)*100</f>
        <v>-37.632797356936642</v>
      </c>
      <c r="AW358" s="59">
        <f t="shared" ref="AW358" si="1370">((AT358/AT306)-1)*100</f>
        <v>19.188194193945108</v>
      </c>
      <c r="AX358" s="59">
        <f t="shared" ref="AX358" si="1371">((AT358/AU358)-1)*100</f>
        <v>19.983222355895403</v>
      </c>
      <c r="AZ358" s="53">
        <f t="shared" si="401"/>
        <v>296.82900000000001</v>
      </c>
      <c r="BA358" s="53">
        <f t="shared" si="402"/>
        <v>24.707999999999998</v>
      </c>
      <c r="BB358" s="53">
        <f t="shared" si="403"/>
        <v>57.061999999999998</v>
      </c>
      <c r="BC358" s="53">
        <f t="shared" si="404"/>
        <v>1.4</v>
      </c>
      <c r="BD358" s="53">
        <f t="shared" si="982"/>
        <v>379.99900000000002</v>
      </c>
      <c r="BE358" s="60">
        <f t="shared" ref="BE358" si="1372">AZ358+BE357</f>
        <v>17658.379000000004</v>
      </c>
      <c r="BF358" s="60">
        <f t="shared" ref="BF358" si="1373">BA358+BF357</f>
        <v>1071.6559999999999</v>
      </c>
      <c r="BG358" s="60">
        <f t="shared" ref="BG358" si="1374">BB358+BG357</f>
        <v>6018.6569999999992</v>
      </c>
      <c r="BH358" s="60">
        <f t="shared" ref="BH358" si="1375">BC358+BH357</f>
        <v>281.24899999999991</v>
      </c>
      <c r="BI358" s="60">
        <f t="shared" ref="BI358" si="1376">BD358+BI357</f>
        <v>25029.940999999999</v>
      </c>
      <c r="BJ358" s="1">
        <f t="shared" si="721"/>
        <v>36</v>
      </c>
    </row>
    <row r="359" spans="1:62" x14ac:dyDescent="0.3">
      <c r="A359" s="48">
        <f t="shared" si="238"/>
        <v>40068</v>
      </c>
      <c r="B359" s="53">
        <v>204932</v>
      </c>
      <c r="C359" s="53">
        <v>15000</v>
      </c>
      <c r="D359" s="53">
        <v>4400</v>
      </c>
      <c r="E359" s="53">
        <f t="shared" si="588"/>
        <v>224332</v>
      </c>
      <c r="F359" s="53">
        <f t="shared" ref="F359" si="1377">AVERAGE(E356,E357,E358,E359)</f>
        <v>402858</v>
      </c>
      <c r="G359" s="53">
        <f t="shared" ref="G359" si="1378">AVERAGE(F307,F255,F203)</f>
        <v>346203.41666666669</v>
      </c>
      <c r="H359" s="59">
        <f t="shared" ref="H359" si="1379">((E359/E307)-1)*100</f>
        <v>-42.375249808629889</v>
      </c>
      <c r="I359" s="59">
        <f t="shared" ref="I359" si="1380">((F359/F307)-1)*100</f>
        <v>1.045994014112539</v>
      </c>
      <c r="J359" s="59">
        <f t="shared" ref="J359" si="1381">((F359/G359)-1)*100</f>
        <v>16.364536167441045</v>
      </c>
      <c r="L359" s="53">
        <v>16841</v>
      </c>
      <c r="M359" s="53">
        <v>27150</v>
      </c>
      <c r="N359" s="53">
        <v>0</v>
      </c>
      <c r="O359" s="53">
        <f t="shared" si="651"/>
        <v>43991</v>
      </c>
      <c r="P359" s="53">
        <f t="shared" ref="P359" si="1382">AVERAGE(O356,O357,O358,O359)</f>
        <v>35083</v>
      </c>
      <c r="Q359" s="53">
        <f t="shared" ref="Q359" si="1383">AVERAGE(P307,P255,P203)</f>
        <v>66585.416666666672</v>
      </c>
      <c r="R359" s="59">
        <f t="shared" ref="R359" si="1384">((O359/O307)-1)*100</f>
        <v>-35.411833798267509</v>
      </c>
      <c r="S359" s="59">
        <f t="shared" ref="S359" si="1385">((P359/P307)-1)*100</f>
        <v>-48.949018866002639</v>
      </c>
      <c r="T359" s="59">
        <f t="shared" ref="T359" si="1386">((P359/Q359)-1)*100</f>
        <v>-47.311285629360789</v>
      </c>
      <c r="V359" s="53">
        <v>33017</v>
      </c>
      <c r="W359" s="53">
        <v>6388</v>
      </c>
      <c r="X359" s="53">
        <v>2900</v>
      </c>
      <c r="Y359" s="53">
        <f t="shared" si="628"/>
        <v>42305</v>
      </c>
      <c r="Z359" s="53">
        <f t="shared" ref="Z359" si="1387">AVERAGE(Y356,Y357,Y358,Y359)</f>
        <v>86867.5</v>
      </c>
      <c r="AA359" s="53">
        <f t="shared" ref="AA359" si="1388">AVERAGE(Z307,Z255,Z203)</f>
        <v>82416.25</v>
      </c>
      <c r="AB359" s="59">
        <f t="shared" ref="AB359" si="1389">((Y359/Y307)-1)*100</f>
        <v>-11.327003290783711</v>
      </c>
      <c r="AC359" s="59">
        <f t="shared" ref="AC359" si="1390">((Z359/Z307)-1)*100</f>
        <v>24.360695048406434</v>
      </c>
      <c r="AD359" s="59">
        <f t="shared" ref="AD359" si="1391">((Z359/AA359)-1)*100</f>
        <v>5.4009373151532536</v>
      </c>
      <c r="AF359" s="53">
        <v>0</v>
      </c>
      <c r="AG359" s="53">
        <v>0</v>
      </c>
      <c r="AH359" s="53">
        <v>1400</v>
      </c>
      <c r="AI359" s="53">
        <f t="shared" si="577"/>
        <v>1400</v>
      </c>
      <c r="AJ359" s="53">
        <f t="shared" ref="AJ359" si="1392">AVERAGE(AI356,AI357,AI358,AI359)</f>
        <v>3010.25</v>
      </c>
      <c r="AK359" s="53">
        <f t="shared" ref="AK359" si="1393">AVERAGE(AJ307,AJ255,AJ203)</f>
        <v>12841.333333333334</v>
      </c>
      <c r="AL359" s="59">
        <f t="shared" ref="AL359" si="1394">((AI359/AI307)-1)*100</f>
        <v>-85.106382978723403</v>
      </c>
      <c r="AM359" s="59">
        <f t="shared" ref="AM359" si="1395">((AJ359/AJ307)-1)*100</f>
        <v>-74.16094420600858</v>
      </c>
      <c r="AN359" s="59">
        <f t="shared" ref="AN359" si="1396">((AJ359/AK359)-1)*100</f>
        <v>-76.55811961374728</v>
      </c>
      <c r="AP359" s="53">
        <f t="shared" si="665"/>
        <v>254790</v>
      </c>
      <c r="AQ359" s="53">
        <f t="shared" si="665"/>
        <v>48538</v>
      </c>
      <c r="AR359" s="53">
        <f t="shared" si="665"/>
        <v>8700</v>
      </c>
      <c r="AS359" s="53">
        <f t="shared" si="665"/>
        <v>312028</v>
      </c>
      <c r="AT359" s="53">
        <f t="shared" ref="AT359" si="1397">AVERAGE(AS356,AS357,AS358,AS359)</f>
        <v>527818.75</v>
      </c>
      <c r="AU359" s="53">
        <f t="shared" ref="AU359" si="1398">AVERAGE(AT307,AT255,AT203)</f>
        <v>508046.41666666669</v>
      </c>
      <c r="AV359" s="59">
        <f t="shared" ref="AV359" si="1399">((AS359/AS307)-1)*100</f>
        <v>-39.355162220101569</v>
      </c>
      <c r="AW359" s="59">
        <f t="shared" ref="AW359" si="1400">((AT359/AT307)-1)*100</f>
        <v>-3.8424752304792809</v>
      </c>
      <c r="AX359" s="59">
        <f t="shared" ref="AX359" si="1401">((AT359/AU359)-1)*100</f>
        <v>3.8918359985808282</v>
      </c>
      <c r="AZ359" s="53">
        <f t="shared" si="401"/>
        <v>224.33199999999999</v>
      </c>
      <c r="BA359" s="53">
        <f t="shared" si="402"/>
        <v>43.991</v>
      </c>
      <c r="BB359" s="53">
        <f t="shared" si="403"/>
        <v>42.305</v>
      </c>
      <c r="BC359" s="53">
        <f t="shared" si="404"/>
        <v>1.4</v>
      </c>
      <c r="BD359" s="53">
        <f t="shared" si="982"/>
        <v>312.02800000000002</v>
      </c>
      <c r="BE359" s="60">
        <f t="shared" ref="BE359" si="1402">AZ359+BE358</f>
        <v>17882.711000000003</v>
      </c>
      <c r="BF359" s="60">
        <f t="shared" ref="BF359" si="1403">BA359+BF358</f>
        <v>1115.6469999999999</v>
      </c>
      <c r="BG359" s="60">
        <f t="shared" ref="BG359" si="1404">BB359+BG358</f>
        <v>6060.9619999999995</v>
      </c>
      <c r="BH359" s="60">
        <f t="shared" ref="BH359" si="1405">BC359+BH358</f>
        <v>282.64899999999989</v>
      </c>
      <c r="BI359" s="60">
        <f t="shared" ref="BI359" si="1406">BD359+BI358</f>
        <v>25341.968999999997</v>
      </c>
      <c r="BJ359" s="1">
        <f t="shared" si="721"/>
        <v>37</v>
      </c>
    </row>
    <row r="360" spans="1:62" x14ac:dyDescent="0.3">
      <c r="A360" s="48">
        <f t="shared" si="238"/>
        <v>40075</v>
      </c>
      <c r="B360" s="53">
        <v>152116</v>
      </c>
      <c r="C360" s="53">
        <v>9600</v>
      </c>
      <c r="D360" s="53">
        <v>0</v>
      </c>
      <c r="E360" s="53">
        <f t="shared" si="588"/>
        <v>161716</v>
      </c>
      <c r="F360" s="53">
        <f t="shared" ref="F360" si="1407">AVERAGE(E357,E358,E359,E360)</f>
        <v>300190</v>
      </c>
      <c r="G360" s="53">
        <f t="shared" ref="G360" si="1408">AVERAGE(F308,F256,F204)</f>
        <v>338445.75</v>
      </c>
      <c r="H360" s="59">
        <f t="shared" ref="H360" si="1409">((E360/E308)-1)*100</f>
        <v>-50.277031306689949</v>
      </c>
      <c r="I360" s="59">
        <f t="shared" ref="I360" si="1410">((F360/F308)-1)*100</f>
        <v>-17.963559248502591</v>
      </c>
      <c r="J360" s="59">
        <f t="shared" ref="J360" si="1411">((F360/G360)-1)*100</f>
        <v>-11.303362503444047</v>
      </c>
      <c r="L360" s="53">
        <v>7921</v>
      </c>
      <c r="M360" s="53">
        <v>13250</v>
      </c>
      <c r="N360" s="53">
        <v>22400</v>
      </c>
      <c r="O360" s="53">
        <f t="shared" si="651"/>
        <v>43571</v>
      </c>
      <c r="P360" s="53">
        <f t="shared" ref="P360" si="1412">AVERAGE(O357,O358,O359,O360)</f>
        <v>40413.25</v>
      </c>
      <c r="Q360" s="53">
        <f t="shared" ref="Q360" si="1413">AVERAGE(P308,P256,P204)</f>
        <v>63114.916666666664</v>
      </c>
      <c r="R360" s="59">
        <f t="shared" ref="R360" si="1414">((O360/O308)-1)*100</f>
        <v>-43.832261224910731</v>
      </c>
      <c r="S360" s="59">
        <f t="shared" ref="S360" si="1415">((P360/P308)-1)*100</f>
        <v>-43.653513006681976</v>
      </c>
      <c r="T360" s="59">
        <f t="shared" ref="T360" si="1416">((P360/Q360)-1)*100</f>
        <v>-35.968781812012217</v>
      </c>
      <c r="V360" s="53">
        <v>23216</v>
      </c>
      <c r="W360" s="53">
        <v>6100</v>
      </c>
      <c r="X360" s="53">
        <v>9800</v>
      </c>
      <c r="Y360" s="53">
        <f t="shared" si="628"/>
        <v>39116</v>
      </c>
      <c r="Z360" s="53">
        <f t="shared" ref="Z360" si="1417">AVERAGE(Y357,Y358,Y359,Y360)</f>
        <v>67217</v>
      </c>
      <c r="AA360" s="53">
        <f t="shared" ref="AA360" si="1418">AVERAGE(Z308,Z256,Z204)</f>
        <v>73257</v>
      </c>
      <c r="AB360" s="59">
        <f t="shared" ref="AB360" si="1419">((Y360/Y308)-1)*100</f>
        <v>56.758706367971776</v>
      </c>
      <c r="AC360" s="59">
        <f t="shared" ref="AC360" si="1420">((Z360/Z308)-1)*100</f>
        <v>41.650378534436896</v>
      </c>
      <c r="AD360" s="59">
        <f t="shared" ref="AD360" si="1421">((Z360/AA360)-1)*100</f>
        <v>-8.2449458754794804</v>
      </c>
      <c r="AF360" s="53">
        <v>0</v>
      </c>
      <c r="AG360" s="53">
        <v>0</v>
      </c>
      <c r="AH360" s="53">
        <v>0</v>
      </c>
      <c r="AI360" s="53">
        <f t="shared" si="577"/>
        <v>0</v>
      </c>
      <c r="AJ360" s="53">
        <f t="shared" ref="AJ360" si="1422">AVERAGE(AI357,AI358,AI359,AI360)</f>
        <v>1050</v>
      </c>
      <c r="AK360" s="53">
        <f t="shared" ref="AK360" si="1423">AVERAGE(AJ308,AJ256,AJ204)</f>
        <v>12887</v>
      </c>
      <c r="AL360" s="59"/>
      <c r="AM360" s="59">
        <f t="shared" ref="AM360" si="1424">((AJ360/AJ308)-1)*100</f>
        <v>-90.707964601769902</v>
      </c>
      <c r="AN360" s="59">
        <f t="shared" ref="AN360" si="1425">((AJ360/AK360)-1)*100</f>
        <v>-91.852254209668658</v>
      </c>
      <c r="AP360" s="53">
        <f t="shared" si="665"/>
        <v>183253</v>
      </c>
      <c r="AQ360" s="53">
        <f t="shared" si="665"/>
        <v>28950</v>
      </c>
      <c r="AR360" s="53">
        <f t="shared" si="665"/>
        <v>32200</v>
      </c>
      <c r="AS360" s="53">
        <f t="shared" si="665"/>
        <v>244403</v>
      </c>
      <c r="AT360" s="53">
        <f t="shared" ref="AT360" si="1426">AVERAGE(AS357,AS358,AS359,AS360)</f>
        <v>408870.25</v>
      </c>
      <c r="AU360" s="53">
        <f t="shared" ref="AU360" si="1427">AVERAGE(AT308,AT256,AT204)</f>
        <v>487704.66666666669</v>
      </c>
      <c r="AV360" s="59">
        <f t="shared" ref="AV360" si="1428">((AS360/AS308)-1)*100</f>
        <v>-42.86445670469422</v>
      </c>
      <c r="AW360" s="59">
        <f t="shared" ref="AW360" si="1429">((AT360/AT308)-1)*100</f>
        <v>-17.632616553341997</v>
      </c>
      <c r="AX360" s="59">
        <f t="shared" ref="AX360" si="1430">((AT360/AU360)-1)*100</f>
        <v>-16.164376118333912</v>
      </c>
      <c r="AZ360" s="53">
        <f t="shared" si="401"/>
        <v>161.71600000000001</v>
      </c>
      <c r="BA360" s="53">
        <f t="shared" si="402"/>
        <v>43.570999999999998</v>
      </c>
      <c r="BB360" s="53">
        <f t="shared" si="403"/>
        <v>39.116</v>
      </c>
      <c r="BC360" s="53">
        <f t="shared" si="404"/>
        <v>0</v>
      </c>
      <c r="BD360" s="53">
        <f t="shared" si="982"/>
        <v>244.40299999999999</v>
      </c>
      <c r="BE360" s="60">
        <f t="shared" ref="BE360" si="1431">AZ360+BE359</f>
        <v>18044.427000000003</v>
      </c>
      <c r="BF360" s="60">
        <f t="shared" ref="BF360" si="1432">BA360+BF359</f>
        <v>1159.2179999999998</v>
      </c>
      <c r="BG360" s="60">
        <f t="shared" ref="BG360" si="1433">BB360+BG359</f>
        <v>6100.0779999999995</v>
      </c>
      <c r="BH360" s="60">
        <f t="shared" ref="BH360" si="1434">BC360+BH359</f>
        <v>282.64899999999989</v>
      </c>
      <c r="BI360" s="60">
        <f t="shared" ref="BI360" si="1435">BD360+BI359</f>
        <v>25586.371999999996</v>
      </c>
      <c r="BJ360" s="1">
        <f t="shared" si="721"/>
        <v>38</v>
      </c>
    </row>
    <row r="361" spans="1:62" x14ac:dyDescent="0.3">
      <c r="A361" s="48">
        <f t="shared" si="238"/>
        <v>40082</v>
      </c>
      <c r="B361" s="53">
        <v>148789</v>
      </c>
      <c r="C361" s="53">
        <v>110950</v>
      </c>
      <c r="D361" s="53">
        <v>0</v>
      </c>
      <c r="E361" s="53">
        <f t="shared" si="588"/>
        <v>259739</v>
      </c>
      <c r="F361" s="53">
        <f t="shared" ref="F361" si="1436">AVERAGE(E358,E359,E360,E361)</f>
        <v>235654</v>
      </c>
      <c r="G361" s="53">
        <f t="shared" ref="G361" si="1437">AVERAGE(F309,F257,F205)</f>
        <v>351836.83333333331</v>
      </c>
      <c r="H361" s="59">
        <f t="shared" ref="H361" si="1438">((E361/E309)-1)*100</f>
        <v>15.147337202033938</v>
      </c>
      <c r="I361" s="59">
        <f t="shared" ref="I361" si="1439">((F361/F309)-1)*100</f>
        <v>-32.719112415561277</v>
      </c>
      <c r="J361" s="59">
        <f t="shared" ref="J361" si="1440">((F361/G361)-1)*100</f>
        <v>-33.021793719721401</v>
      </c>
      <c r="L361" s="53">
        <v>26577</v>
      </c>
      <c r="M361" s="53">
        <v>23250</v>
      </c>
      <c r="N361" s="53">
        <v>5600</v>
      </c>
      <c r="O361" s="53">
        <f t="shared" si="651"/>
        <v>55427</v>
      </c>
      <c r="P361" s="53">
        <f t="shared" ref="P361" si="1441">AVERAGE(O358,O359,O360,O361)</f>
        <v>41924.25</v>
      </c>
      <c r="Q361" s="53">
        <f t="shared" ref="Q361" si="1442">AVERAGE(P309,P257,P205)</f>
        <v>55569.416666666664</v>
      </c>
      <c r="R361" s="59">
        <f t="shared" ref="R361" si="1443">((O361/O309)-1)*100</f>
        <v>32.138940542602398</v>
      </c>
      <c r="S361" s="59">
        <f t="shared" ref="S361" si="1444">((P361/P309)-1)*100</f>
        <v>-34.01315038738948</v>
      </c>
      <c r="T361" s="59">
        <f t="shared" ref="T361" si="1445">((P361/Q361)-1)*100</f>
        <v>-24.555173484215686</v>
      </c>
      <c r="V361" s="53">
        <v>10800</v>
      </c>
      <c r="W361" s="53">
        <v>4950</v>
      </c>
      <c r="X361" s="53">
        <v>0</v>
      </c>
      <c r="Y361" s="53">
        <f t="shared" si="628"/>
        <v>15750</v>
      </c>
      <c r="Z361" s="53">
        <f t="shared" ref="Z361" si="1446">AVERAGE(Y358,Y359,Y360,Y361)</f>
        <v>38558.25</v>
      </c>
      <c r="AA361" s="53">
        <f t="shared" ref="AA361" si="1447">AVERAGE(Z309,Z257,Z205)</f>
        <v>73728.333333333328</v>
      </c>
      <c r="AB361" s="59">
        <f t="shared" ref="AB361" si="1448">((Y361/Y309)-1)*100</f>
        <v>-42.555985119264719</v>
      </c>
      <c r="AC361" s="59">
        <f t="shared" ref="AC361" si="1449">((Z361/Z309)-1)*100</f>
        <v>-13.909417701169957</v>
      </c>
      <c r="AD361" s="59">
        <f t="shared" ref="AD361" si="1450">((Z361/AA361)-1)*100</f>
        <v>-47.702262811673478</v>
      </c>
      <c r="AF361" s="53">
        <v>1520</v>
      </c>
      <c r="AG361" s="53">
        <v>3500</v>
      </c>
      <c r="AH361" s="53">
        <v>1400</v>
      </c>
      <c r="AI361" s="53">
        <f t="shared" si="577"/>
        <v>6420</v>
      </c>
      <c r="AJ361" s="53">
        <f t="shared" ref="AJ361" si="1451">AVERAGE(AI358,AI359,AI360,AI361)</f>
        <v>2305</v>
      </c>
      <c r="AK361" s="53">
        <f t="shared" ref="AK361" si="1452">AVERAGE(AJ309,AJ257,AJ205)</f>
        <v>11627.416666666666</v>
      </c>
      <c r="AL361" s="59">
        <f t="shared" ref="AL361" si="1453">((AI361/AI309)-1)*100</f>
        <v>25.024342745861738</v>
      </c>
      <c r="AM361" s="59">
        <f t="shared" ref="AM361" si="1454">((AJ361/AJ309)-1)*100</f>
        <v>-46.812806460917223</v>
      </c>
      <c r="AN361" s="59">
        <f t="shared" ref="AN361" si="1455">((AJ361/AK361)-1)*100</f>
        <v>-80.176164094919329</v>
      </c>
      <c r="AP361" s="53">
        <f t="shared" si="665"/>
        <v>187686</v>
      </c>
      <c r="AQ361" s="53">
        <f t="shared" si="665"/>
        <v>142650</v>
      </c>
      <c r="AR361" s="53">
        <f t="shared" si="665"/>
        <v>7000</v>
      </c>
      <c r="AS361" s="53">
        <f t="shared" si="665"/>
        <v>337336</v>
      </c>
      <c r="AT361" s="53">
        <f t="shared" ref="AT361" si="1456">AVERAGE(AS358,AS359,AS360,AS361)</f>
        <v>318441.5</v>
      </c>
      <c r="AU361" s="53">
        <f t="shared" ref="AU361" si="1457">AVERAGE(AT309,AT257,AT205)</f>
        <v>492762</v>
      </c>
      <c r="AV361" s="59">
        <f t="shared" ref="AV361" si="1458">((AS361/AS309)-1)*100</f>
        <v>12.419102209484457</v>
      </c>
      <c r="AW361" s="59">
        <f t="shared" ref="AW361" si="1459">((AT361/AT309)-1)*100</f>
        <v>-31.208766282862754</v>
      </c>
      <c r="AX361" s="59">
        <f t="shared" ref="AX361" si="1460">((AT361/AU361)-1)*100</f>
        <v>-35.3762059574399</v>
      </c>
      <c r="AZ361" s="53">
        <f t="shared" si="401"/>
        <v>259.73899999999998</v>
      </c>
      <c r="BA361" s="53">
        <f t="shared" si="402"/>
        <v>55.427</v>
      </c>
      <c r="BB361" s="53">
        <f t="shared" si="403"/>
        <v>15.75</v>
      </c>
      <c r="BC361" s="53">
        <f t="shared" si="404"/>
        <v>6.42</v>
      </c>
      <c r="BD361" s="53">
        <f t="shared" si="982"/>
        <v>337.33600000000001</v>
      </c>
      <c r="BE361" s="60">
        <f t="shared" ref="BE361" si="1461">AZ361+BE360</f>
        <v>18304.166000000005</v>
      </c>
      <c r="BF361" s="60">
        <f t="shared" ref="BF361" si="1462">BA361+BF360</f>
        <v>1214.6449999999998</v>
      </c>
      <c r="BG361" s="60">
        <f t="shared" ref="BG361" si="1463">BB361+BG360</f>
        <v>6115.8279999999995</v>
      </c>
      <c r="BH361" s="60">
        <f t="shared" ref="BH361" si="1464">BC361+BH360</f>
        <v>289.0689999999999</v>
      </c>
      <c r="BI361" s="60">
        <f t="shared" ref="BI361" si="1465">BD361+BI360</f>
        <v>25923.707999999995</v>
      </c>
      <c r="BJ361" s="1">
        <f t="shared" si="721"/>
        <v>39</v>
      </c>
    </row>
    <row r="362" spans="1:62" x14ac:dyDescent="0.3">
      <c r="A362" s="48">
        <f t="shared" si="238"/>
        <v>40089</v>
      </c>
      <c r="B362" s="53">
        <v>220790</v>
      </c>
      <c r="C362" s="53">
        <v>77168</v>
      </c>
      <c r="D362" s="53">
        <v>0</v>
      </c>
      <c r="E362" s="53">
        <f t="shared" si="588"/>
        <v>297958</v>
      </c>
      <c r="F362" s="53">
        <f t="shared" ref="F362" si="1466">AVERAGE(E359,E360,E361,E362)</f>
        <v>235936.25</v>
      </c>
      <c r="G362" s="53">
        <f t="shared" ref="G362" si="1467">AVERAGE(F310,F258,F206)</f>
        <v>366497.75</v>
      </c>
      <c r="H362" s="59">
        <f t="shared" ref="H362" si="1468">((E362/E310)-1)*100</f>
        <v>-16.901494868362342</v>
      </c>
      <c r="I362" s="59">
        <f t="shared" ref="I362" si="1469">((F362/F310)-1)*100</f>
        <v>-27.329491946717511</v>
      </c>
      <c r="J362" s="59">
        <f t="shared" ref="J362" si="1470">((F362/G362)-1)*100</f>
        <v>-35.624093190203766</v>
      </c>
      <c r="L362" s="53">
        <v>17500</v>
      </c>
      <c r="M362" s="53">
        <v>3250</v>
      </c>
      <c r="N362" s="53">
        <v>2800</v>
      </c>
      <c r="O362" s="53">
        <f t="shared" ref="O362:O376" si="1471">SUM(L362:N362)</f>
        <v>23550</v>
      </c>
      <c r="P362" s="53">
        <f t="shared" ref="P362" si="1472">AVERAGE(O359,O360,O361,O362)</f>
        <v>41634.75</v>
      </c>
      <c r="Q362" s="53">
        <f t="shared" ref="Q362" si="1473">AVERAGE(P310,P258,P206)</f>
        <v>53754.333333333336</v>
      </c>
      <c r="R362" s="59">
        <f t="shared" ref="R362" si="1474">((O362/O310)-1)*100</f>
        <v>-47.758379733356989</v>
      </c>
      <c r="S362" s="59">
        <f t="shared" ref="S362" si="1475">((P362/P310)-1)*100</f>
        <v>-28.434346906853225</v>
      </c>
      <c r="T362" s="59">
        <f t="shared" ref="T362" si="1476">((P362/Q362)-1)*100</f>
        <v>-22.546244333790145</v>
      </c>
      <c r="V362" s="53">
        <v>3000</v>
      </c>
      <c r="W362" s="53">
        <v>9250</v>
      </c>
      <c r="X362" s="53">
        <v>2800</v>
      </c>
      <c r="Y362" s="53">
        <f t="shared" si="628"/>
        <v>15050</v>
      </c>
      <c r="Z362" s="53">
        <f t="shared" ref="Z362" si="1477">AVERAGE(Y359,Y360,Y361,Y362)</f>
        <v>28055.25</v>
      </c>
      <c r="AA362" s="53">
        <f t="shared" ref="AA362" si="1478">AVERAGE(Z310,Z258,Z206)</f>
        <v>88099.25</v>
      </c>
      <c r="AB362" s="59">
        <f t="shared" ref="AB362" si="1479">((Y362/Y310)-1)*100</f>
        <v>-82.780911410363487</v>
      </c>
      <c r="AC362" s="59">
        <f t="shared" ref="AC362" si="1480">((Z362/Z310)-1)*100</f>
        <v>-40.143372999151929</v>
      </c>
      <c r="AD362" s="59">
        <f t="shared" ref="AD362" si="1481">((Z362/AA362)-1)*100</f>
        <v>-68.154950240779584</v>
      </c>
      <c r="AF362" s="53">
        <v>18000</v>
      </c>
      <c r="AG362" s="53">
        <v>0</v>
      </c>
      <c r="AH362" s="53">
        <v>4500</v>
      </c>
      <c r="AI362" s="53">
        <f t="shared" si="577"/>
        <v>22500</v>
      </c>
      <c r="AJ362" s="53">
        <f t="shared" ref="AJ362" si="1482">AVERAGE(AI359,AI360,AI361,AI362)</f>
        <v>7580</v>
      </c>
      <c r="AK362" s="53">
        <f t="shared" ref="AK362" si="1483">AVERAGE(AJ310,AJ258,AJ206)</f>
        <v>12505.75</v>
      </c>
      <c r="AL362" s="59">
        <f t="shared" ref="AL362" si="1484">((AI362/AI310)-1)*100</f>
        <v>114.28571428571428</v>
      </c>
      <c r="AM362" s="59">
        <f t="shared" ref="AM362" si="1485">((AJ362/AJ310)-1)*100</f>
        <v>21.110445376472931</v>
      </c>
      <c r="AN362" s="59">
        <f t="shared" ref="AN362" si="1486">((AJ362/AK362)-1)*100</f>
        <v>-39.387881574475735</v>
      </c>
      <c r="AP362" s="53">
        <f t="shared" si="665"/>
        <v>259290</v>
      </c>
      <c r="AQ362" s="53">
        <f t="shared" si="665"/>
        <v>89668</v>
      </c>
      <c r="AR362" s="53">
        <f t="shared" si="665"/>
        <v>10100</v>
      </c>
      <c r="AS362" s="53">
        <f t="shared" si="665"/>
        <v>359058</v>
      </c>
      <c r="AT362" s="53">
        <f t="shared" ref="AT362" si="1487">AVERAGE(AS359,AS360,AS361,AS362)</f>
        <v>313206.25</v>
      </c>
      <c r="AU362" s="53">
        <f t="shared" ref="AU362" si="1488">AVERAGE(AT310,AT258,AT206)</f>
        <v>520857.08333333331</v>
      </c>
      <c r="AV362" s="59">
        <f t="shared" ref="AV362" si="1489">((AS362/AS310)-1)*100</f>
        <v>-28.409186070159631</v>
      </c>
      <c r="AW362" s="59">
        <f t="shared" ref="AW362" si="1490">((AT362/AT310)-1)*100</f>
        <v>-28.159131687853989</v>
      </c>
      <c r="AX362" s="59">
        <f t="shared" ref="AX362" si="1491">((AT362/AU362)-1)*100</f>
        <v>-39.867142058322138</v>
      </c>
      <c r="AZ362" s="53">
        <f t="shared" si="401"/>
        <v>297.95800000000003</v>
      </c>
      <c r="BA362" s="53">
        <f t="shared" si="402"/>
        <v>23.55</v>
      </c>
      <c r="BB362" s="53">
        <f t="shared" si="403"/>
        <v>15.05</v>
      </c>
      <c r="BC362" s="53">
        <f t="shared" si="404"/>
        <v>22.5</v>
      </c>
      <c r="BD362" s="53">
        <f t="shared" si="982"/>
        <v>359.05799999999999</v>
      </c>
      <c r="BE362" s="60">
        <f t="shared" ref="BE362" si="1492">AZ362+BE361</f>
        <v>18602.124000000003</v>
      </c>
      <c r="BF362" s="60">
        <f t="shared" ref="BF362" si="1493">BA362+BF361</f>
        <v>1238.1949999999997</v>
      </c>
      <c r="BG362" s="60">
        <f t="shared" ref="BG362" si="1494">BB362+BG361</f>
        <v>6130.8779999999997</v>
      </c>
      <c r="BH362" s="60">
        <f t="shared" ref="BH362" si="1495">BC362+BH361</f>
        <v>311.5689999999999</v>
      </c>
      <c r="BI362" s="60">
        <f t="shared" ref="BI362" si="1496">BD362+BI361</f>
        <v>26282.765999999996</v>
      </c>
      <c r="BJ362" s="1">
        <f t="shared" si="721"/>
        <v>40</v>
      </c>
    </row>
    <row r="363" spans="1:62" x14ac:dyDescent="0.3">
      <c r="A363" s="48">
        <f t="shared" si="238"/>
        <v>40096</v>
      </c>
      <c r="B363" s="53">
        <v>250918</v>
      </c>
      <c r="C363" s="53">
        <v>68351</v>
      </c>
      <c r="D363" s="53">
        <v>2800</v>
      </c>
      <c r="E363" s="53">
        <f t="shared" si="588"/>
        <v>322069</v>
      </c>
      <c r="F363" s="53">
        <f t="shared" ref="F363" si="1497">AVERAGE(E360,E361,E362,E363)</f>
        <v>260370.5</v>
      </c>
      <c r="G363" s="53">
        <f t="shared" ref="G363" si="1498">AVERAGE(F311,F259,F207)</f>
        <v>376384.75</v>
      </c>
      <c r="H363" s="59">
        <f t="shared" ref="H363" si="1499">((E363/E311)-1)*100</f>
        <v>61.127148110163354</v>
      </c>
      <c r="I363" s="59">
        <f t="shared" ref="I363" si="1500">((F363/F311)-1)*100</f>
        <v>-6.1093531665539764</v>
      </c>
      <c r="J363" s="59">
        <f t="shared" ref="J363" si="1501">((F363/G363)-1)*100</f>
        <v>-30.823313112446769</v>
      </c>
      <c r="L363" s="53">
        <v>18713</v>
      </c>
      <c r="M363" s="53">
        <v>26804</v>
      </c>
      <c r="N363" s="53">
        <v>4200</v>
      </c>
      <c r="O363" s="53">
        <f t="shared" si="1471"/>
        <v>49717</v>
      </c>
      <c r="P363" s="53">
        <f t="shared" ref="P363" si="1502">AVERAGE(O360,O361,O362,O363)</f>
        <v>43066.25</v>
      </c>
      <c r="Q363" s="53">
        <f t="shared" ref="Q363" si="1503">AVERAGE(P311,P259,P207)</f>
        <v>39814.25</v>
      </c>
      <c r="R363" s="59">
        <f t="shared" ref="R363" si="1504">((O363/O311)-1)*100</f>
        <v>75.362421078621566</v>
      </c>
      <c r="S363" s="59">
        <f t="shared" ref="S363" si="1505">((P363/P311)-1)*100</f>
        <v>-10.719931173522534</v>
      </c>
      <c r="T363" s="59">
        <f t="shared" ref="T363" si="1506">((P363/Q363)-1)*100</f>
        <v>8.1679298241207565</v>
      </c>
      <c r="V363" s="53">
        <v>45020</v>
      </c>
      <c r="W363" s="53">
        <v>48902</v>
      </c>
      <c r="X363" s="53">
        <v>12600</v>
      </c>
      <c r="Y363" s="53">
        <f t="shared" si="628"/>
        <v>106522</v>
      </c>
      <c r="Z363" s="53">
        <f t="shared" ref="Z363" si="1507">AVERAGE(Y360,Y361,Y362,Y363)</f>
        <v>44109.5</v>
      </c>
      <c r="AA363" s="53">
        <f t="shared" ref="AA363" si="1508">AVERAGE(Z311,Z259,Z207)</f>
        <v>120478.66666666667</v>
      </c>
      <c r="AB363" s="59">
        <f t="shared" ref="AB363" si="1509">((Y363/Y311)-1)*100</f>
        <v>-14.1609250977074</v>
      </c>
      <c r="AC363" s="59">
        <f t="shared" ref="AC363" si="1510">((Z363/Z311)-1)*100</f>
        <v>-33.13424464412266</v>
      </c>
      <c r="AD363" s="59">
        <f t="shared" ref="AD363" si="1511">((Z363/AA363)-1)*100</f>
        <v>-63.388124038557315</v>
      </c>
      <c r="AF363" s="53">
        <v>6111</v>
      </c>
      <c r="AG363" s="53">
        <v>0</v>
      </c>
      <c r="AH363" s="53">
        <v>11500</v>
      </c>
      <c r="AI363" s="53">
        <f t="shared" si="577"/>
        <v>17611</v>
      </c>
      <c r="AJ363" s="53">
        <f t="shared" ref="AJ363" si="1512">AVERAGE(AI360,AI361,AI362,AI363)</f>
        <v>11632.75</v>
      </c>
      <c r="AK363" s="53">
        <f t="shared" ref="AK363" si="1513">AVERAGE(AJ311,AJ259,AJ207)</f>
        <v>12106.666666666666</v>
      </c>
      <c r="AL363" s="59">
        <f t="shared" ref="AL363" si="1514">((AI363/AI311)-1)*100</f>
        <v>274.70212765957444</v>
      </c>
      <c r="AM363" s="59">
        <f t="shared" ref="AM363" si="1515">((AJ363/AJ311)-1)*100</f>
        <v>128.82222768625522</v>
      </c>
      <c r="AN363" s="59">
        <f t="shared" ref="AN363" si="1516">((AJ363/AK363)-1)*100</f>
        <v>-3.9145099118942706</v>
      </c>
      <c r="AP363" s="53">
        <f t="shared" si="665"/>
        <v>320762</v>
      </c>
      <c r="AQ363" s="53">
        <f t="shared" si="665"/>
        <v>144057</v>
      </c>
      <c r="AR363" s="53">
        <f t="shared" si="665"/>
        <v>31100</v>
      </c>
      <c r="AS363" s="53">
        <f t="shared" si="665"/>
        <v>495919</v>
      </c>
      <c r="AT363" s="53">
        <f t="shared" ref="AT363" si="1517">AVERAGE(AS360,AS361,AS362,AS363)</f>
        <v>359179</v>
      </c>
      <c r="AU363" s="53">
        <f t="shared" ref="AU363" si="1518">AVERAGE(AT311,AT259,AT207)</f>
        <v>548784.33333333337</v>
      </c>
      <c r="AV363" s="59">
        <f t="shared" ref="AV363" si="1519">((AS363/AS311)-1)*100</f>
        <v>38.900823737994749</v>
      </c>
      <c r="AW363" s="59">
        <f t="shared" ref="AW363" si="1520">((AT363/AT311)-1)*100</f>
        <v>-9.435622600310257</v>
      </c>
      <c r="AX363" s="59">
        <f t="shared" ref="AX363" si="1521">((AT363/AU363)-1)*100</f>
        <v>-34.550063078817253</v>
      </c>
      <c r="AZ363" s="53">
        <f t="shared" si="401"/>
        <v>322.06900000000002</v>
      </c>
      <c r="BA363" s="53">
        <f t="shared" si="402"/>
        <v>49.716999999999999</v>
      </c>
      <c r="BB363" s="53">
        <f t="shared" si="403"/>
        <v>106.52200000000001</v>
      </c>
      <c r="BC363" s="53">
        <f t="shared" si="404"/>
        <v>17.611000000000001</v>
      </c>
      <c r="BD363" s="53">
        <f t="shared" si="982"/>
        <v>495.91899999999998</v>
      </c>
      <c r="BE363" s="60">
        <f t="shared" ref="BE363" si="1522">AZ363+BE362</f>
        <v>18924.193000000003</v>
      </c>
      <c r="BF363" s="60">
        <f t="shared" ref="BF363" si="1523">BA363+BF362</f>
        <v>1287.9119999999998</v>
      </c>
      <c r="BG363" s="60">
        <f t="shared" ref="BG363" si="1524">BB363+BG362</f>
        <v>6237.4</v>
      </c>
      <c r="BH363" s="60">
        <f t="shared" ref="BH363" si="1525">BC363+BH362</f>
        <v>329.17999999999989</v>
      </c>
      <c r="BI363" s="60">
        <f t="shared" ref="BI363" si="1526">BD363+BI362</f>
        <v>26778.684999999998</v>
      </c>
      <c r="BJ363" s="1">
        <f t="shared" si="721"/>
        <v>41</v>
      </c>
    </row>
    <row r="364" spans="1:62" x14ac:dyDescent="0.3">
      <c r="A364" s="48">
        <f t="shared" si="238"/>
        <v>40103</v>
      </c>
      <c r="B364" s="53">
        <v>174163</v>
      </c>
      <c r="C364" s="53">
        <v>108912</v>
      </c>
      <c r="D364" s="53">
        <v>2800</v>
      </c>
      <c r="E364" s="53">
        <f t="shared" si="588"/>
        <v>285875</v>
      </c>
      <c r="F364" s="53">
        <f t="shared" ref="F364" si="1527">AVERAGE(E361,E362,E363,E364)</f>
        <v>291410.25</v>
      </c>
      <c r="G364" s="53">
        <f t="shared" ref="G364" si="1528">AVERAGE(F312,F260,F208)</f>
        <v>384441</v>
      </c>
      <c r="H364" s="59">
        <f t="shared" ref="H364" si="1529">((E364/E312)-1)*100</f>
        <v>38.300291234894004</v>
      </c>
      <c r="I364" s="59">
        <f t="shared" ref="I364" si="1530">((F364/F312)-1)*100</f>
        <v>17.6557096743587</v>
      </c>
      <c r="J364" s="59">
        <f t="shared" ref="J364" si="1531">((F364/G364)-1)*100</f>
        <v>-24.19896681155236</v>
      </c>
      <c r="L364" s="53">
        <v>3282</v>
      </c>
      <c r="M364" s="53">
        <v>10358</v>
      </c>
      <c r="N364" s="53">
        <v>0</v>
      </c>
      <c r="O364" s="53">
        <f t="shared" si="1471"/>
        <v>13640</v>
      </c>
      <c r="P364" s="53">
        <f t="shared" ref="P364" si="1532">AVERAGE(O361,O362,O363,O364)</f>
        <v>35583.5</v>
      </c>
      <c r="Q364" s="53">
        <f t="shared" ref="Q364" si="1533">AVERAGE(P312,P260,P208)</f>
        <v>36703.083333333336</v>
      </c>
      <c r="R364" s="59">
        <f t="shared" ref="R364" si="1534">((O364/O312)-1)*100</f>
        <v>-63.719544632407697</v>
      </c>
      <c r="S364" s="59">
        <f t="shared" ref="S364" si="1535">((P364/P312)-1)*100</f>
        <v>-6.9542138430562446</v>
      </c>
      <c r="T364" s="59">
        <f t="shared" ref="T364" si="1536">((P364/Q364)-1)*100</f>
        <v>-3.0503795094417696</v>
      </c>
      <c r="V364" s="53">
        <v>75177</v>
      </c>
      <c r="W364" s="53">
        <v>70155</v>
      </c>
      <c r="X364" s="53">
        <v>1400</v>
      </c>
      <c r="Y364" s="53">
        <f t="shared" si="628"/>
        <v>146732</v>
      </c>
      <c r="Z364" s="53">
        <f t="shared" ref="Z364" si="1537">AVERAGE(Y361,Y362,Y363,Y364)</f>
        <v>71013.5</v>
      </c>
      <c r="AA364" s="53">
        <f t="shared" ref="AA364" si="1538">AVERAGE(Z312,Z260,Z208)</f>
        <v>164843.83333333334</v>
      </c>
      <c r="AB364" s="59">
        <f t="shared" ref="AB364" si="1539">((Y364/Y312)-1)*100</f>
        <v>-33.575072770813804</v>
      </c>
      <c r="AC364" s="59">
        <f t="shared" ref="AC364" si="1540">((Z364/Z312)-1)*100</f>
        <v>-38.224285854093495</v>
      </c>
      <c r="AD364" s="59">
        <f t="shared" ref="AD364" si="1541">((Z364/AA364)-1)*100</f>
        <v>-56.920742156970796</v>
      </c>
      <c r="AF364" s="53">
        <v>0</v>
      </c>
      <c r="AG364" s="53">
        <v>0</v>
      </c>
      <c r="AH364" s="53">
        <v>8400</v>
      </c>
      <c r="AI364" s="53">
        <f t="shared" ref="AI364:AI376" si="1542">SUM(AF364:AH364)</f>
        <v>8400</v>
      </c>
      <c r="AJ364" s="53">
        <f t="shared" ref="AJ364" si="1543">AVERAGE(AI361,AI362,AI363,AI364)</f>
        <v>13732.75</v>
      </c>
      <c r="AK364" s="53">
        <f t="shared" ref="AK364" si="1544">AVERAGE(AJ312,AJ260,AJ208)</f>
        <v>11780.583333333334</v>
      </c>
      <c r="AL364" s="59">
        <f t="shared" ref="AL364" si="1545">((AI364/AI312)-1)*100</f>
        <v>-10.016068559185864</v>
      </c>
      <c r="AM364" s="59">
        <f t="shared" ref="AM364" si="1546">((AJ364/AJ312)-1)*100</f>
        <v>85.13987192450287</v>
      </c>
      <c r="AN364" s="59">
        <f t="shared" ref="AN364" si="1547">((AJ364/AK364)-1)*100</f>
        <v>16.571052650194162</v>
      </c>
      <c r="AP364" s="53">
        <f t="shared" si="665"/>
        <v>252622</v>
      </c>
      <c r="AQ364" s="53">
        <f t="shared" si="665"/>
        <v>189425</v>
      </c>
      <c r="AR364" s="53">
        <f t="shared" ref="AR364:AR376" si="1548">SUM(D364,N364,X364,AH364)</f>
        <v>12600</v>
      </c>
      <c r="AS364" s="53">
        <f t="shared" ref="AS364:AS376" si="1549">SUM(E364,O364,Y364,AI364)</f>
        <v>454647</v>
      </c>
      <c r="AT364" s="53">
        <f t="shared" ref="AT364" si="1550">AVERAGE(AS361,AS362,AS363,AS364)</f>
        <v>411740</v>
      </c>
      <c r="AU364" s="53">
        <f t="shared" ref="AU364" si="1551">AVERAGE(AT312,AT260,AT208)</f>
        <v>597768.5</v>
      </c>
      <c r="AV364" s="59">
        <f t="shared" ref="AV364" si="1552">((AS364/AS312)-1)*100</f>
        <v>-4.1912520862484648</v>
      </c>
      <c r="AW364" s="59">
        <f t="shared" ref="AW364" si="1553">((AT364/AT312)-1)*100</f>
        <v>0.84381442573042698</v>
      </c>
      <c r="AX364" s="59">
        <f t="shared" ref="AX364" si="1554">((AT364/AU364)-1)*100</f>
        <v>-31.120492297603509</v>
      </c>
      <c r="AZ364" s="53">
        <f t="shared" si="401"/>
        <v>285.875</v>
      </c>
      <c r="BA364" s="53">
        <f t="shared" si="402"/>
        <v>13.64</v>
      </c>
      <c r="BB364" s="53">
        <f t="shared" si="403"/>
        <v>146.732</v>
      </c>
      <c r="BC364" s="53">
        <f t="shared" ref="BC364:BC376" si="1555">+AI364/1000</f>
        <v>8.4</v>
      </c>
      <c r="BD364" s="53">
        <f t="shared" ref="BD364:BD376" si="1556">+AS364/1000</f>
        <v>454.64699999999999</v>
      </c>
      <c r="BE364" s="60">
        <f t="shared" ref="BE364" si="1557">AZ364+BE363</f>
        <v>19210.068000000003</v>
      </c>
      <c r="BF364" s="60">
        <f t="shared" ref="BF364" si="1558">BA364+BF363</f>
        <v>1301.5519999999999</v>
      </c>
      <c r="BG364" s="60">
        <f t="shared" ref="BG364" si="1559">BB364+BG363</f>
        <v>6384.1319999999996</v>
      </c>
      <c r="BH364" s="60">
        <f t="shared" ref="BH364" si="1560">BC364+BH363</f>
        <v>337.57999999999987</v>
      </c>
      <c r="BI364" s="60">
        <f t="shared" ref="BI364" si="1561">BD364+BI363</f>
        <v>27233.331999999999</v>
      </c>
      <c r="BJ364" s="1">
        <f t="shared" si="721"/>
        <v>42</v>
      </c>
    </row>
    <row r="365" spans="1:62" x14ac:dyDescent="0.3">
      <c r="A365" s="48">
        <f t="shared" si="238"/>
        <v>40110</v>
      </c>
      <c r="B365" s="53">
        <v>191720</v>
      </c>
      <c r="C365" s="53">
        <v>127788</v>
      </c>
      <c r="D365" s="53">
        <v>0</v>
      </c>
      <c r="E365" s="53">
        <f t="shared" si="588"/>
        <v>319508</v>
      </c>
      <c r="F365" s="53">
        <f t="shared" ref="F365" si="1562">AVERAGE(E362,E363,E364,E365)</f>
        <v>306352.5</v>
      </c>
      <c r="G365" s="53">
        <f t="shared" ref="G365" si="1563">AVERAGE(F313,F261,F209)</f>
        <v>392908.41666666669</v>
      </c>
      <c r="H365" s="59">
        <f t="shared" ref="H365" si="1564">((E365/E313)-1)*100</f>
        <v>21.65708411072611</v>
      </c>
      <c r="I365" s="59">
        <f t="shared" ref="I365" si="1565">((F365/F313)-1)*100</f>
        <v>19.228707282971769</v>
      </c>
      <c r="J365" s="59">
        <f t="shared" ref="J365" si="1566">((F365/G365)-1)*100</f>
        <v>-22.029539962769107</v>
      </c>
      <c r="L365" s="53">
        <v>18580</v>
      </c>
      <c r="M365" s="53">
        <v>1750</v>
      </c>
      <c r="N365" s="53">
        <v>8400</v>
      </c>
      <c r="O365" s="53">
        <f t="shared" si="1471"/>
        <v>28730</v>
      </c>
      <c r="P365" s="53">
        <f t="shared" ref="P365" si="1567">AVERAGE(O362,O363,O364,O365)</f>
        <v>28909.25</v>
      </c>
      <c r="Q365" s="53">
        <f t="shared" ref="Q365" si="1568">AVERAGE(P313,P261,P209)</f>
        <v>31606.583333333332</v>
      </c>
      <c r="R365" s="59">
        <f t="shared" ref="R365" si="1569">((O365/O313)-1)*100</f>
        <v>14.690618762475061</v>
      </c>
      <c r="S365" s="59">
        <f t="shared" ref="S365" si="1570">((P365/P313)-1)*100</f>
        <v>-15.020282783150595</v>
      </c>
      <c r="T365" s="59">
        <f t="shared" ref="T365" si="1571">((P365/Q365)-1)*100</f>
        <v>-8.5340870441020904</v>
      </c>
      <c r="V365" s="53">
        <v>147570</v>
      </c>
      <c r="W365" s="53">
        <v>92050</v>
      </c>
      <c r="X365" s="53">
        <v>12600</v>
      </c>
      <c r="Y365" s="53">
        <f t="shared" si="628"/>
        <v>252220</v>
      </c>
      <c r="Z365" s="53">
        <f t="shared" ref="Z365" si="1572">AVERAGE(Y362,Y363,Y364,Y365)</f>
        <v>130131</v>
      </c>
      <c r="AA365" s="53">
        <f t="shared" ref="AA365" si="1573">AVERAGE(Z313,Z261,Z209)</f>
        <v>196818.58333333334</v>
      </c>
      <c r="AB365" s="59">
        <f t="shared" ref="AB365" si="1574">((Y365/Y313)-1)*100</f>
        <v>-6.8353495244251494</v>
      </c>
      <c r="AC365" s="59">
        <f t="shared" ref="AC365" si="1575">((Z365/Z313)-1)*100</f>
        <v>-25.969604136977654</v>
      </c>
      <c r="AD365" s="59">
        <f t="shared" ref="AD365" si="1576">((Z365/AA365)-1)*100</f>
        <v>-33.882767675647166</v>
      </c>
      <c r="AF365" s="53">
        <v>1500</v>
      </c>
      <c r="AG365" s="53">
        <v>0</v>
      </c>
      <c r="AH365" s="53">
        <v>2800</v>
      </c>
      <c r="AI365" s="53">
        <f t="shared" si="1542"/>
        <v>4300</v>
      </c>
      <c r="AJ365" s="53">
        <f t="shared" ref="AJ365" si="1577">AVERAGE(AI362,AI363,AI364,AI365)</f>
        <v>13202.75</v>
      </c>
      <c r="AK365" s="53">
        <f t="shared" ref="AK365" si="1578">AVERAGE(AJ313,AJ261,AJ209)</f>
        <v>12129.333333333334</v>
      </c>
      <c r="AL365" s="59">
        <f t="shared" ref="AL365" si="1579">((AI365/AI313)-1)*100</f>
        <v>-3.8031319910514561</v>
      </c>
      <c r="AM365" s="59">
        <f t="shared" ref="AM365" si="1580">((AJ365/AJ313)-1)*100</f>
        <v>82.075504223409766</v>
      </c>
      <c r="AN365" s="59">
        <f t="shared" ref="AN365" si="1581">((AJ365/AK365)-1)*100</f>
        <v>8.8497581620314403</v>
      </c>
      <c r="AP365" s="53">
        <f t="shared" si="665"/>
        <v>359370</v>
      </c>
      <c r="AQ365" s="53">
        <f t="shared" si="665"/>
        <v>221588</v>
      </c>
      <c r="AR365" s="53">
        <f t="shared" si="1548"/>
        <v>23800</v>
      </c>
      <c r="AS365" s="53">
        <f t="shared" si="1549"/>
        <v>604758</v>
      </c>
      <c r="AT365" s="53">
        <f t="shared" ref="AT365" si="1582">AVERAGE(AS362,AS363,AS364,AS365)</f>
        <v>478595.5</v>
      </c>
      <c r="AU365" s="53">
        <f t="shared" ref="AU365" si="1583">AVERAGE(AT313,AT261,AT209)</f>
        <v>633462.91666666663</v>
      </c>
      <c r="AV365" s="59">
        <f t="shared" ref="AV365" si="1584">((AS365/AS313)-1)*100</f>
        <v>7.4409060626249079</v>
      </c>
      <c r="AW365" s="59">
        <f t="shared" ref="AW365" si="1585">((AT365/AT313)-1)*100</f>
        <v>0.97036683853872763</v>
      </c>
      <c r="AX365" s="59">
        <f t="shared" ref="AX365" si="1586">((AT365/AU365)-1)*100</f>
        <v>-24.447747862115055</v>
      </c>
      <c r="AZ365" s="53">
        <f t="shared" si="401"/>
        <v>319.50799999999998</v>
      </c>
      <c r="BA365" s="53">
        <f t="shared" si="402"/>
        <v>28.73</v>
      </c>
      <c r="BB365" s="53">
        <f t="shared" si="403"/>
        <v>252.22</v>
      </c>
      <c r="BC365" s="53">
        <f t="shared" si="1555"/>
        <v>4.3</v>
      </c>
      <c r="BD365" s="53">
        <f t="shared" si="1556"/>
        <v>604.75800000000004</v>
      </c>
      <c r="BE365" s="60">
        <f t="shared" ref="BE365" si="1587">AZ365+BE364</f>
        <v>19529.576000000005</v>
      </c>
      <c r="BF365" s="60">
        <f t="shared" ref="BF365" si="1588">BA365+BF364</f>
        <v>1330.2819999999999</v>
      </c>
      <c r="BG365" s="60">
        <f t="shared" ref="BG365" si="1589">BB365+BG364</f>
        <v>6636.3519999999999</v>
      </c>
      <c r="BH365" s="60">
        <f t="shared" ref="BH365" si="1590">BC365+BH364</f>
        <v>341.87999999999988</v>
      </c>
      <c r="BI365" s="60">
        <f t="shared" ref="BI365" si="1591">BD365+BI364</f>
        <v>27838.09</v>
      </c>
      <c r="BJ365" s="1">
        <f t="shared" si="721"/>
        <v>43</v>
      </c>
    </row>
    <row r="366" spans="1:62" x14ac:dyDescent="0.3">
      <c r="A366" s="48">
        <f t="shared" si="238"/>
        <v>40117</v>
      </c>
      <c r="B366" s="53">
        <v>174168</v>
      </c>
      <c r="C366" s="53">
        <v>65100</v>
      </c>
      <c r="D366" s="53">
        <v>0</v>
      </c>
      <c r="E366" s="53">
        <f t="shared" si="588"/>
        <v>239268</v>
      </c>
      <c r="F366" s="53">
        <f t="shared" ref="F366" si="1592">AVERAGE(E363,E364,E365,E366)</f>
        <v>291680</v>
      </c>
      <c r="G366" s="53">
        <f t="shared" ref="G366" si="1593">AVERAGE(F314,F262,F210)</f>
        <v>395048.5</v>
      </c>
      <c r="H366" s="59">
        <f t="shared" ref="H366" si="1594">((E366/E314)-1)*100</f>
        <v>17.772024295882094</v>
      </c>
      <c r="I366" s="59">
        <f t="shared" ref="I366" si="1595">((F366/F314)-1)*100</f>
        <v>33.739424083229494</v>
      </c>
      <c r="J366" s="59">
        <f t="shared" ref="J366" si="1596">((F366/G366)-1)*100</f>
        <v>-26.166027715584285</v>
      </c>
      <c r="L366" s="53">
        <v>4700</v>
      </c>
      <c r="M366" s="53">
        <v>1626</v>
      </c>
      <c r="N366" s="53">
        <v>4200</v>
      </c>
      <c r="O366" s="53">
        <f t="shared" si="1471"/>
        <v>10526</v>
      </c>
      <c r="P366" s="53">
        <f t="shared" ref="P366" si="1597">AVERAGE(O363,O364,O365,O366)</f>
        <v>25653.25</v>
      </c>
      <c r="Q366" s="53">
        <f t="shared" ref="Q366" si="1598">AVERAGE(P314,P262,P210)</f>
        <v>24713.666666666668</v>
      </c>
      <c r="R366" s="59">
        <f t="shared" ref="R366" si="1599">((O366/O314)-1)*100</f>
        <v>-42.590673575129536</v>
      </c>
      <c r="S366" s="59">
        <f t="shared" ref="S366" si="1600">((P366/P314)-1)*100</f>
        <v>-6.1455017744118878</v>
      </c>
      <c r="T366" s="59">
        <f t="shared" ref="T366" si="1601">((P366/Q366)-1)*100</f>
        <v>3.8018775036754215</v>
      </c>
      <c r="V366" s="53">
        <v>308031</v>
      </c>
      <c r="W366" s="53">
        <v>194001</v>
      </c>
      <c r="X366" s="53">
        <v>12600</v>
      </c>
      <c r="Y366" s="53">
        <f t="shared" si="628"/>
        <v>514632</v>
      </c>
      <c r="Z366" s="53">
        <f t="shared" ref="Z366" si="1602">AVERAGE(Y363,Y364,Y365,Y366)</f>
        <v>255026.5</v>
      </c>
      <c r="AA366" s="53">
        <f t="shared" ref="AA366" si="1603">AVERAGE(Z314,Z262,Z210)</f>
        <v>203994.41666666666</v>
      </c>
      <c r="AB366" s="59">
        <f t="shared" ref="AB366" si="1604">((Y366/Y314)-1)*100</f>
        <v>95.676822521587383</v>
      </c>
      <c r="AC366" s="59">
        <f t="shared" ref="AC366" si="1605">((Z366/Z314)-1)*100</f>
        <v>16.089994537509099</v>
      </c>
      <c r="AD366" s="59">
        <f t="shared" ref="AD366" si="1606">((Z366/AA366)-1)*100</f>
        <v>25.016411805388472</v>
      </c>
      <c r="AF366" s="53">
        <v>0</v>
      </c>
      <c r="AG366" s="53">
        <v>5000</v>
      </c>
      <c r="AH366" s="53">
        <v>2800</v>
      </c>
      <c r="AI366" s="53">
        <f t="shared" si="1542"/>
        <v>7800</v>
      </c>
      <c r="AJ366" s="53">
        <f t="shared" ref="AJ366" si="1607">AVERAGE(AI363,AI364,AI365,AI366)</f>
        <v>9527.75</v>
      </c>
      <c r="AK366" s="53">
        <f t="shared" ref="AK366" si="1608">AVERAGE(AJ314,AJ262,AJ210)</f>
        <v>11766.5</v>
      </c>
      <c r="AL366" s="59">
        <f t="shared" ref="AL366" si="1609">((AI366/AI314)-1)*100</f>
        <v>-40.953822861468581</v>
      </c>
      <c r="AM366" s="59">
        <f t="shared" ref="AM366" si="1610">((AJ366/AJ314)-1)*100</f>
        <v>20.167113353302856</v>
      </c>
      <c r="AN366" s="59">
        <f t="shared" ref="AN366" si="1611">((AJ366/AK366)-1)*100</f>
        <v>-19.026473462796922</v>
      </c>
      <c r="AP366" s="53">
        <f t="shared" si="665"/>
        <v>486899</v>
      </c>
      <c r="AQ366" s="53">
        <f t="shared" si="665"/>
        <v>265727</v>
      </c>
      <c r="AR366" s="53">
        <f t="shared" si="1548"/>
        <v>19600</v>
      </c>
      <c r="AS366" s="53">
        <f t="shared" si="1549"/>
        <v>772226</v>
      </c>
      <c r="AT366" s="53">
        <f t="shared" ref="AT366" si="1612">AVERAGE(AS363,AS364,AS365,AS366)</f>
        <v>581887.5</v>
      </c>
      <c r="AU366" s="53">
        <f t="shared" ref="AU366" si="1613">AVERAGE(AT314,AT262,AT210)</f>
        <v>635523.08333333337</v>
      </c>
      <c r="AV366" s="59">
        <f t="shared" ref="AV366" si="1614">((AS366/AS314)-1)*100</f>
        <v>55.156437107701706</v>
      </c>
      <c r="AW366" s="59">
        <f t="shared" ref="AW366" si="1615">((AT366/AT314)-1)*100</f>
        <v>23.010860661152655</v>
      </c>
      <c r="AX366" s="59">
        <f t="shared" ref="AX366" si="1616">((AT366/AU366)-1)*100</f>
        <v>-8.4395964111977584</v>
      </c>
      <c r="AZ366" s="53">
        <f t="shared" si="401"/>
        <v>239.268</v>
      </c>
      <c r="BA366" s="53">
        <f t="shared" si="402"/>
        <v>10.526</v>
      </c>
      <c r="BB366" s="53">
        <f t="shared" si="403"/>
        <v>514.63199999999995</v>
      </c>
      <c r="BC366" s="53">
        <f t="shared" si="1555"/>
        <v>7.8</v>
      </c>
      <c r="BD366" s="53">
        <f t="shared" si="1556"/>
        <v>772.226</v>
      </c>
      <c r="BE366" s="60">
        <f t="shared" ref="BE366" si="1617">AZ366+BE365</f>
        <v>19768.844000000005</v>
      </c>
      <c r="BF366" s="60">
        <f t="shared" ref="BF366" si="1618">BA366+BF365</f>
        <v>1340.808</v>
      </c>
      <c r="BG366" s="60">
        <f t="shared" ref="BG366" si="1619">BB366+BG365</f>
        <v>7150.9839999999995</v>
      </c>
      <c r="BH366" s="60">
        <f t="shared" ref="BH366" si="1620">BC366+BH365</f>
        <v>349.67999999999989</v>
      </c>
      <c r="BI366" s="60">
        <f t="shared" ref="BI366" si="1621">BD366+BI365</f>
        <v>28610.315999999999</v>
      </c>
      <c r="BJ366" s="1">
        <f t="shared" si="721"/>
        <v>44</v>
      </c>
    </row>
    <row r="367" spans="1:62" x14ac:dyDescent="0.3">
      <c r="A367" s="48">
        <f t="shared" si="238"/>
        <v>40124</v>
      </c>
      <c r="B367" s="53">
        <v>151920</v>
      </c>
      <c r="C367" s="53">
        <v>105350</v>
      </c>
      <c r="D367" s="53">
        <v>1400</v>
      </c>
      <c r="E367" s="53">
        <f t="shared" si="588"/>
        <v>258670</v>
      </c>
      <c r="F367" s="53">
        <f t="shared" ref="F367" si="1622">AVERAGE(E364,E365,E366,E367)</f>
        <v>275830.25</v>
      </c>
      <c r="G367" s="53">
        <f t="shared" ref="G367" si="1623">AVERAGE(F315,F263,F211)</f>
        <v>460673.33333333331</v>
      </c>
      <c r="H367" s="59">
        <f t="shared" ref="H367" si="1624">((E367/E315)-1)*100</f>
        <v>-34.08976247139821</v>
      </c>
      <c r="I367" s="59">
        <f t="shared" ref="I367" si="1625">((F367/F315)-1)*100</f>
        <v>3.6024962533663274</v>
      </c>
      <c r="J367" s="59">
        <f t="shared" ref="J367" si="1626">((F367/G367)-1)*100</f>
        <v>-40.124545954472438</v>
      </c>
      <c r="L367" s="53">
        <v>4500</v>
      </c>
      <c r="M367" s="53">
        <v>27650</v>
      </c>
      <c r="N367" s="53">
        <v>1400</v>
      </c>
      <c r="O367" s="53">
        <f t="shared" si="1471"/>
        <v>33550</v>
      </c>
      <c r="P367" s="53">
        <f t="shared" ref="P367" si="1627">AVERAGE(O364,O365,O366,O367)</f>
        <v>21611.5</v>
      </c>
      <c r="Q367" s="53">
        <f t="shared" ref="Q367" si="1628">AVERAGE(P315,P263,P211)</f>
        <v>23184</v>
      </c>
      <c r="R367" s="59">
        <f t="shared" ref="R367" si="1629">((O367/O315)-1)*100</f>
        <v>37.669265490357006</v>
      </c>
      <c r="S367" s="59">
        <f t="shared" ref="S367" si="1630">((P367/P315)-1)*100</f>
        <v>-17.944775085191409</v>
      </c>
      <c r="T367" s="59">
        <f t="shared" ref="T367" si="1631">((P367/Q367)-1)*100</f>
        <v>-6.7826949620427897</v>
      </c>
      <c r="V367" s="53">
        <v>241120</v>
      </c>
      <c r="W367" s="53">
        <v>139855</v>
      </c>
      <c r="X367" s="53">
        <v>8400</v>
      </c>
      <c r="Y367" s="53">
        <f t="shared" si="628"/>
        <v>389375</v>
      </c>
      <c r="Z367" s="53">
        <f t="shared" ref="Z367" si="1632">AVERAGE(Y364,Y365,Y366,Y367)</f>
        <v>325739.75</v>
      </c>
      <c r="AA367" s="53">
        <f t="shared" ref="AA367" si="1633">AVERAGE(Z315,Z263,Z211)</f>
        <v>214500.16666666666</v>
      </c>
      <c r="AB367" s="59">
        <f t="shared" ref="AB367" si="1634">((Y367/Y315)-1)*100</f>
        <v>28.292356658517459</v>
      </c>
      <c r="AC367" s="59">
        <f t="shared" ref="AC367" si="1635">((Z367/Z315)-1)*100</f>
        <v>23.137777836581662</v>
      </c>
      <c r="AD367" s="59">
        <f t="shared" ref="AD367" si="1636">((Z367/AA367)-1)*100</f>
        <v>51.859905314758905</v>
      </c>
      <c r="AF367" s="53">
        <v>9200</v>
      </c>
      <c r="AG367" s="53">
        <v>0</v>
      </c>
      <c r="AH367" s="53">
        <v>9800</v>
      </c>
      <c r="AI367" s="53">
        <f t="shared" si="1542"/>
        <v>19000</v>
      </c>
      <c r="AJ367" s="53">
        <f t="shared" ref="AJ367" si="1637">AVERAGE(AI364,AI365,AI366,AI367)</f>
        <v>9875</v>
      </c>
      <c r="AK367" s="53">
        <f t="shared" ref="AK367" si="1638">AVERAGE(AJ315,AJ263,AJ211)</f>
        <v>10346.25</v>
      </c>
      <c r="AL367" s="59">
        <f t="shared" ref="AL367" si="1639">((AI367/AI315)-1)*100</f>
        <v>578.57142857142856</v>
      </c>
      <c r="AM367" s="59">
        <f t="shared" ref="AM367" si="1640">((AJ367/AJ315)-1)*100</f>
        <v>32.483649169880934</v>
      </c>
      <c r="AN367" s="59">
        <f t="shared" ref="AN367" si="1641">((AJ367/AK367)-1)*100</f>
        <v>-4.5547903829890046</v>
      </c>
      <c r="AP367" s="53">
        <f t="shared" si="665"/>
        <v>406740</v>
      </c>
      <c r="AQ367" s="53">
        <f t="shared" si="665"/>
        <v>272855</v>
      </c>
      <c r="AR367" s="53">
        <f t="shared" si="1548"/>
        <v>21000</v>
      </c>
      <c r="AS367" s="53">
        <f t="shared" si="1549"/>
        <v>700595</v>
      </c>
      <c r="AT367" s="53">
        <f t="shared" ref="AT367" si="1642">AVERAGE(AS364,AS365,AS366,AS367)</f>
        <v>633056.5</v>
      </c>
      <c r="AU367" s="53">
        <f t="shared" ref="AU367" si="1643">AVERAGE(AT315,AT263,AT211)</f>
        <v>708703.75</v>
      </c>
      <c r="AV367" s="59">
        <f t="shared" ref="AV367" si="1644">((AS367/AS315)-1)*100</f>
        <v>-3.1168497125014127</v>
      </c>
      <c r="AW367" s="59">
        <f t="shared" ref="AW367" si="1645">((AT367/AT315)-1)*100</f>
        <v>12.132077318174716</v>
      </c>
      <c r="AX367" s="59">
        <f t="shared" ref="AX367" si="1646">((AT367/AU367)-1)*100</f>
        <v>-10.674029874965385</v>
      </c>
      <c r="AZ367" s="53">
        <f t="shared" si="401"/>
        <v>258.67</v>
      </c>
      <c r="BA367" s="53">
        <f t="shared" si="402"/>
        <v>33.549999999999997</v>
      </c>
      <c r="BB367" s="53">
        <f t="shared" si="403"/>
        <v>389.375</v>
      </c>
      <c r="BC367" s="53">
        <f t="shared" si="1555"/>
        <v>19</v>
      </c>
      <c r="BD367" s="53">
        <f t="shared" si="1556"/>
        <v>700.59500000000003</v>
      </c>
      <c r="BE367" s="60">
        <f t="shared" ref="BE367" si="1647">AZ367+BE366</f>
        <v>20027.514000000003</v>
      </c>
      <c r="BF367" s="60">
        <f t="shared" ref="BF367" si="1648">BA367+BF366</f>
        <v>1374.3579999999999</v>
      </c>
      <c r="BG367" s="60">
        <f t="shared" ref="BG367" si="1649">BB367+BG366</f>
        <v>7540.3589999999995</v>
      </c>
      <c r="BH367" s="60">
        <f t="shared" ref="BH367" si="1650">BC367+BH366</f>
        <v>368.67999999999989</v>
      </c>
      <c r="BI367" s="60">
        <f t="shared" ref="BI367" si="1651">BD367+BI366</f>
        <v>29310.911</v>
      </c>
      <c r="BJ367" s="1">
        <f t="shared" si="721"/>
        <v>45</v>
      </c>
    </row>
    <row r="368" spans="1:62" x14ac:dyDescent="0.3">
      <c r="A368" s="48">
        <f t="shared" si="238"/>
        <v>40131</v>
      </c>
      <c r="B368" s="53">
        <v>322262</v>
      </c>
      <c r="C368" s="53">
        <v>108030</v>
      </c>
      <c r="D368" s="53">
        <v>0</v>
      </c>
      <c r="E368" s="53">
        <f t="shared" si="588"/>
        <v>430292</v>
      </c>
      <c r="F368" s="53">
        <f t="shared" ref="F368" si="1652">AVERAGE(E365,E366,E367,E368)</f>
        <v>311934.5</v>
      </c>
      <c r="G368" s="53">
        <f t="shared" ref="G368" si="1653">AVERAGE(F316,F264,F212)</f>
        <v>530207.16666666663</v>
      </c>
      <c r="H368" s="59">
        <f t="shared" ref="H368" si="1654">((E368/E316)-1)*100</f>
        <v>6.3263238528256105</v>
      </c>
      <c r="I368" s="59">
        <f t="shared" ref="I368" si="1655">((F368/F316)-1)*100</f>
        <v>-1.2036993047967459</v>
      </c>
      <c r="J368" s="59">
        <f t="shared" ref="J368" si="1656">((F368/G368)-1)*100</f>
        <v>-41.167430466644639</v>
      </c>
      <c r="L368" s="53">
        <v>9400</v>
      </c>
      <c r="M368" s="53">
        <v>27500</v>
      </c>
      <c r="N368" s="53">
        <v>1400</v>
      </c>
      <c r="O368" s="53">
        <f t="shared" si="1471"/>
        <v>38300</v>
      </c>
      <c r="P368" s="53">
        <f t="shared" ref="P368" si="1657">AVERAGE(O365,O366,O367,O368)</f>
        <v>27776.5</v>
      </c>
      <c r="Q368" s="53">
        <f t="shared" ref="Q368" si="1658">AVERAGE(P316,P264,P212)</f>
        <v>19051.333333333332</v>
      </c>
      <c r="R368" s="59">
        <f t="shared" ref="R368" si="1659">((O368/O316)-1)*100</f>
        <v>509.19357404167329</v>
      </c>
      <c r="S368" s="59">
        <f t="shared" ref="S368" si="1660">((P368/P316)-1)*100</f>
        <v>50.058075146538464</v>
      </c>
      <c r="T368" s="59">
        <f t="shared" ref="T368" si="1661">((P368/Q368)-1)*100</f>
        <v>45.798194352101348</v>
      </c>
      <c r="V368" s="53">
        <v>440319</v>
      </c>
      <c r="W368" s="53">
        <v>231650</v>
      </c>
      <c r="X368" s="53">
        <v>21000</v>
      </c>
      <c r="Y368" s="53">
        <f t="shared" si="628"/>
        <v>692969</v>
      </c>
      <c r="Z368" s="53">
        <f t="shared" ref="Z368" si="1662">AVERAGE(Y365,Y366,Y367,Y368)</f>
        <v>462299</v>
      </c>
      <c r="AA368" s="53">
        <f t="shared" ref="AA368" si="1663">AVERAGE(Z316,Z264,Z212)</f>
        <v>197120</v>
      </c>
      <c r="AB368" s="59">
        <f t="shared" ref="AB368" si="1664">((Y368/Y316)-1)*100</f>
        <v>359.97384735884879</v>
      </c>
      <c r="AC368" s="59">
        <f t="shared" ref="AC368" si="1665">((Z368/Z316)-1)*100</f>
        <v>87.187185565945867</v>
      </c>
      <c r="AD368" s="59">
        <f t="shared" ref="AD368" si="1666">((Z368/AA368)-1)*100</f>
        <v>134.52668425324674</v>
      </c>
      <c r="AF368" s="53">
        <v>1500</v>
      </c>
      <c r="AG368" s="53">
        <v>3500</v>
      </c>
      <c r="AH368" s="53">
        <v>5700</v>
      </c>
      <c r="AI368" s="53">
        <f t="shared" si="1542"/>
        <v>10700</v>
      </c>
      <c r="AJ368" s="53">
        <f t="shared" ref="AJ368" si="1667">AVERAGE(AI365,AI366,AI367,AI368)</f>
        <v>10450</v>
      </c>
      <c r="AK368" s="53">
        <f t="shared" ref="AK368" si="1668">AVERAGE(AJ316,AJ264,AJ212)</f>
        <v>9956.5833333333339</v>
      </c>
      <c r="AL368" s="59">
        <f t="shared" ref="AL368" si="1669">((AI368/AI316)-1)*100</f>
        <v>45.400190243239578</v>
      </c>
      <c r="AM368" s="59">
        <f t="shared" ref="AM368" si="1670">((AJ368/AJ316)-1)*100</f>
        <v>50.149071446531849</v>
      </c>
      <c r="AN368" s="59">
        <f t="shared" ref="AN368" si="1671">((AJ368/AK368)-1)*100</f>
        <v>4.9556825885720412</v>
      </c>
      <c r="AP368" s="53">
        <f t="shared" si="665"/>
        <v>773481</v>
      </c>
      <c r="AQ368" s="53">
        <f t="shared" si="665"/>
        <v>370680</v>
      </c>
      <c r="AR368" s="53">
        <f t="shared" si="1548"/>
        <v>28100</v>
      </c>
      <c r="AS368" s="53">
        <f t="shared" si="1549"/>
        <v>1172261</v>
      </c>
      <c r="AT368" s="53">
        <f t="shared" ref="AT368" si="1672">AVERAGE(AS365,AS366,AS367,AS368)</f>
        <v>812460</v>
      </c>
      <c r="AU368" s="53">
        <f t="shared" ref="AU368" si="1673">AVERAGE(AT316,AT264,AT212)</f>
        <v>756335.08333333337</v>
      </c>
      <c r="AV368" s="59">
        <f t="shared" ref="AV368" si="1674">((AS368/AS316)-1)*100</f>
        <v>106.02488620186645</v>
      </c>
      <c r="AW368" s="59">
        <f t="shared" ref="AW368" si="1675">((AT368/AT316)-1)*100</f>
        <v>38.131947582083114</v>
      </c>
      <c r="AX368" s="59">
        <f t="shared" ref="AX368" si="1676">((AT368/AU368)-1)*100</f>
        <v>7.4206417107232303</v>
      </c>
      <c r="AZ368" s="53">
        <f t="shared" si="401"/>
        <v>430.29199999999997</v>
      </c>
      <c r="BA368" s="53">
        <f t="shared" si="402"/>
        <v>38.299999999999997</v>
      </c>
      <c r="BB368" s="53">
        <f t="shared" si="403"/>
        <v>692.96900000000005</v>
      </c>
      <c r="BC368" s="53">
        <f t="shared" si="1555"/>
        <v>10.7</v>
      </c>
      <c r="BD368" s="53">
        <f t="shared" si="1556"/>
        <v>1172.261</v>
      </c>
      <c r="BE368" s="60">
        <f t="shared" ref="BE368" si="1677">AZ368+BE367</f>
        <v>20457.806000000004</v>
      </c>
      <c r="BF368" s="60">
        <f t="shared" ref="BF368" si="1678">BA368+BF367</f>
        <v>1412.6579999999999</v>
      </c>
      <c r="BG368" s="60">
        <f t="shared" ref="BG368" si="1679">BB368+BG367</f>
        <v>8233.3279999999995</v>
      </c>
      <c r="BH368" s="60">
        <f t="shared" ref="BH368" si="1680">BC368+BH367</f>
        <v>379.37999999999988</v>
      </c>
      <c r="BI368" s="60">
        <f t="shared" ref="BI368" si="1681">BD368+BI367</f>
        <v>30483.171999999999</v>
      </c>
      <c r="BJ368" s="1">
        <f t="shared" si="721"/>
        <v>46</v>
      </c>
    </row>
    <row r="369" spans="1:62" x14ac:dyDescent="0.3">
      <c r="A369" s="48">
        <f t="shared" si="238"/>
        <v>40138</v>
      </c>
      <c r="B369" s="53">
        <v>217860</v>
      </c>
      <c r="C369" s="53">
        <v>117318</v>
      </c>
      <c r="D369" s="53">
        <v>1400</v>
      </c>
      <c r="E369" s="53">
        <f t="shared" si="588"/>
        <v>336578</v>
      </c>
      <c r="F369" s="53">
        <f t="shared" ref="F369" si="1682">AVERAGE(E366,E367,E368,E369)</f>
        <v>316202</v>
      </c>
      <c r="G369" s="53">
        <f t="shared" ref="G369" si="1683">AVERAGE(F317,F265,F213)</f>
        <v>603959.83333333337</v>
      </c>
      <c r="H369" s="59">
        <f t="shared" ref="H369" si="1684">((E369/E317)-1)*100</f>
        <v>-28.519670056151615</v>
      </c>
      <c r="I369" s="59">
        <f t="shared" ref="I369" si="1685">((F369/F317)-1)*100</f>
        <v>-14.02753439760518</v>
      </c>
      <c r="J369" s="59">
        <f t="shared" ref="J369" si="1686">((F369/G369)-1)*100</f>
        <v>-47.645193844292635</v>
      </c>
      <c r="L369" s="53">
        <v>3000</v>
      </c>
      <c r="M369" s="53">
        <v>15250</v>
      </c>
      <c r="N369" s="53">
        <v>7000</v>
      </c>
      <c r="O369" s="53">
        <f t="shared" si="1471"/>
        <v>25250</v>
      </c>
      <c r="P369" s="53">
        <f t="shared" ref="P369" si="1687">AVERAGE(O366,O367,O368,O369)</f>
        <v>26906.5</v>
      </c>
      <c r="Q369" s="53">
        <f t="shared" ref="Q369" si="1688">AVERAGE(P317,P265,P213)</f>
        <v>15680.583333333334</v>
      </c>
      <c r="R369" s="59">
        <f t="shared" ref="R369" si="1689">((O369/O317)-1)*100</f>
        <v>731.96046128500814</v>
      </c>
      <c r="S369" s="59">
        <f t="shared" ref="S369" si="1690">((P369/P317)-1)*100</f>
        <v>106.86566590424205</v>
      </c>
      <c r="T369" s="59">
        <f t="shared" ref="T369" si="1691">((P369/Q369)-1)*100</f>
        <v>71.591192929684794</v>
      </c>
      <c r="V369" s="53">
        <v>391634</v>
      </c>
      <c r="W369" s="53">
        <v>128294</v>
      </c>
      <c r="X369" s="53">
        <v>84200</v>
      </c>
      <c r="Y369" s="53">
        <f t="shared" si="628"/>
        <v>604128</v>
      </c>
      <c r="Z369" s="53">
        <f t="shared" ref="Z369" si="1692">AVERAGE(Y366,Y367,Y368,Y369)</f>
        <v>550276</v>
      </c>
      <c r="AA369" s="53">
        <f t="shared" ref="AA369" si="1693">AVERAGE(Z317,Z265,Z213)</f>
        <v>188071</v>
      </c>
      <c r="AB369" s="59">
        <f t="shared" ref="AB369" si="1694">((Y369/Y317)-1)*100</f>
        <v>335.9165295696597</v>
      </c>
      <c r="AC369" s="59">
        <f t="shared" ref="AC369" si="1695">((Z369/Z317)-1)*100</f>
        <v>157.21373907535971</v>
      </c>
      <c r="AD369" s="59">
        <f t="shared" ref="AD369" si="1696">((Z369/AA369)-1)*100</f>
        <v>192.589500773644</v>
      </c>
      <c r="AF369" s="53">
        <v>10600</v>
      </c>
      <c r="AG369" s="53">
        <v>1750</v>
      </c>
      <c r="AH369" s="53">
        <v>1400</v>
      </c>
      <c r="AI369" s="53">
        <f t="shared" si="1542"/>
        <v>13750</v>
      </c>
      <c r="AJ369" s="53">
        <f t="shared" ref="AJ369" si="1697">AVERAGE(AI366,AI367,AI368,AI369)</f>
        <v>12812.5</v>
      </c>
      <c r="AK369" s="53">
        <f t="shared" ref="AK369" si="1698">AVERAGE(AJ317,AJ265,AJ213)</f>
        <v>10447.666666666666</v>
      </c>
      <c r="AL369" s="59">
        <f t="shared" ref="AL369" si="1699">((AI369/AI317)-1)*100</f>
        <v>114.84375</v>
      </c>
      <c r="AM369" s="59">
        <f t="shared" ref="AM369" si="1700">((AJ369/AJ317)-1)*100</f>
        <v>72.158957304578593</v>
      </c>
      <c r="AN369" s="59">
        <f t="shared" ref="AN369" si="1701">((AJ369/AK369)-1)*100</f>
        <v>22.635038126535445</v>
      </c>
      <c r="AP369" s="53">
        <f t="shared" si="665"/>
        <v>623094</v>
      </c>
      <c r="AQ369" s="53">
        <f t="shared" si="665"/>
        <v>262612</v>
      </c>
      <c r="AR369" s="53">
        <f t="shared" si="1548"/>
        <v>94000</v>
      </c>
      <c r="AS369" s="53">
        <f t="shared" si="1549"/>
        <v>979706</v>
      </c>
      <c r="AT369" s="53">
        <f t="shared" ref="AT369" si="1702">AVERAGE(AS366,AS367,AS368,AS369)</f>
        <v>906197</v>
      </c>
      <c r="AU369" s="53">
        <f t="shared" ref="AU369" si="1703">AVERAGE(AT317,AT265,AT213)</f>
        <v>818159.08333333337</v>
      </c>
      <c r="AV369" s="59">
        <f t="shared" ref="AV369" si="1704">((AS369/AS317)-1)*100</f>
        <v>58.300249963240702</v>
      </c>
      <c r="AW369" s="59">
        <f t="shared" ref="AW369" si="1705">((AT369/AT317)-1)*100</f>
        <v>50.485879862483138</v>
      </c>
      <c r="AX369" s="59">
        <f t="shared" ref="AX369" si="1706">((AT369/AU369)-1)*100</f>
        <v>10.760488816916091</v>
      </c>
      <c r="AZ369" s="53">
        <f t="shared" si="401"/>
        <v>336.57799999999997</v>
      </c>
      <c r="BA369" s="53">
        <f t="shared" si="402"/>
        <v>25.25</v>
      </c>
      <c r="BB369" s="53">
        <f t="shared" si="403"/>
        <v>604.12800000000004</v>
      </c>
      <c r="BC369" s="53">
        <f t="shared" si="1555"/>
        <v>13.75</v>
      </c>
      <c r="BD369" s="53">
        <f t="shared" si="1556"/>
        <v>979.70600000000002</v>
      </c>
      <c r="BE369" s="60">
        <f t="shared" ref="BE369" si="1707">AZ369+BE368</f>
        <v>20794.384000000005</v>
      </c>
      <c r="BF369" s="60">
        <f t="shared" ref="BF369" si="1708">BA369+BF368</f>
        <v>1437.9079999999999</v>
      </c>
      <c r="BG369" s="60">
        <f t="shared" ref="BG369" si="1709">BB369+BG368</f>
        <v>8837.4560000000001</v>
      </c>
      <c r="BH369" s="60">
        <f t="shared" ref="BH369" si="1710">BC369+BH368</f>
        <v>393.12999999999988</v>
      </c>
      <c r="BI369" s="60">
        <f t="shared" ref="BI369" si="1711">BD369+BI368</f>
        <v>31462.877999999997</v>
      </c>
      <c r="BJ369" s="1">
        <f t="shared" si="721"/>
        <v>47</v>
      </c>
    </row>
    <row r="370" spans="1:62" x14ac:dyDescent="0.3">
      <c r="A370" s="48">
        <f t="shared" si="238"/>
        <v>40145</v>
      </c>
      <c r="B370" s="53">
        <v>389292</v>
      </c>
      <c r="C370" s="53">
        <v>123350</v>
      </c>
      <c r="D370" s="53">
        <v>0</v>
      </c>
      <c r="E370" s="53">
        <f t="shared" si="588"/>
        <v>512642</v>
      </c>
      <c r="F370" s="53">
        <f t="shared" ref="F370" si="1712">AVERAGE(E367,E368,E369,E370)</f>
        <v>384545.5</v>
      </c>
      <c r="G370" s="53">
        <f t="shared" ref="G370" si="1713">AVERAGE(F318,F266,F214)</f>
        <v>648773.33333333337</v>
      </c>
      <c r="H370" s="59">
        <f t="shared" ref="H370" si="1714">((E370/E318)-1)*100</f>
        <v>-10.390275536941317</v>
      </c>
      <c r="I370" s="59">
        <f t="shared" ref="I370" si="1715">((F370/F318)-1)*100</f>
        <v>-16.407649805798496</v>
      </c>
      <c r="J370" s="59">
        <f t="shared" ref="J370" si="1716">((F370/G370)-1)*100</f>
        <v>-40.727295614287485</v>
      </c>
      <c r="L370" s="53">
        <v>0</v>
      </c>
      <c r="M370" s="53">
        <v>1500</v>
      </c>
      <c r="N370" s="53">
        <v>1400</v>
      </c>
      <c r="O370" s="53">
        <f t="shared" si="1471"/>
        <v>2900</v>
      </c>
      <c r="P370" s="53">
        <f t="shared" ref="P370" si="1717">AVERAGE(O367,O368,O369,O370)</f>
        <v>25000</v>
      </c>
      <c r="Q370" s="53">
        <f t="shared" ref="Q370" si="1718">AVERAGE(P318,P266,P214)</f>
        <v>15485.25</v>
      </c>
      <c r="R370" s="59">
        <f t="shared" ref="R370" si="1719">((O370/O318)-1)*100</f>
        <v>93.333333333333329</v>
      </c>
      <c r="S370" s="59">
        <f t="shared" ref="S370" si="1720">((P370/P318)-1)*100</f>
        <v>184.15548988406454</v>
      </c>
      <c r="T370" s="59">
        <f t="shared" ref="T370" si="1721">((P370/Q370)-1)*100</f>
        <v>61.443954731115099</v>
      </c>
      <c r="V370" s="53">
        <v>273152</v>
      </c>
      <c r="W370" s="53">
        <v>104350</v>
      </c>
      <c r="X370" s="53">
        <v>67403</v>
      </c>
      <c r="Y370" s="53">
        <f t="shared" si="628"/>
        <v>444905</v>
      </c>
      <c r="Z370" s="53">
        <f t="shared" ref="Z370" si="1722">AVERAGE(Y367,Y368,Y369,Y370)</f>
        <v>532844.25</v>
      </c>
      <c r="AA370" s="53">
        <f t="shared" ref="AA370" si="1723">AVERAGE(Z318,Z266,Z214)</f>
        <v>190824.58333333334</v>
      </c>
      <c r="AB370" s="59">
        <f t="shared" ref="AB370" si="1724">((Y370/Y318)-1)*100</f>
        <v>181.60504845274036</v>
      </c>
      <c r="AC370" s="59">
        <f t="shared" ref="AC370" si="1725">((Z370/Z318)-1)*100</f>
        <v>183.90461639695394</v>
      </c>
      <c r="AD370" s="59">
        <f t="shared" ref="AD370" si="1726">((Z370/AA370)-1)*100</f>
        <v>179.23249755993174</v>
      </c>
      <c r="AF370" s="53">
        <v>4500</v>
      </c>
      <c r="AG370" s="53">
        <v>0</v>
      </c>
      <c r="AH370" s="53">
        <v>1400</v>
      </c>
      <c r="AI370" s="53">
        <f t="shared" si="1542"/>
        <v>5900</v>
      </c>
      <c r="AJ370" s="53">
        <f t="shared" ref="AJ370:AJ375" si="1727">AVERAGE(AI367,AI368,AI369,AI370)</f>
        <v>12337.5</v>
      </c>
      <c r="AK370" s="53">
        <f t="shared" ref="AK370:AK375" si="1728">AVERAGE(AJ318,AJ266,AJ214)</f>
        <v>11484.166666666666</v>
      </c>
      <c r="AL370" s="59">
        <f t="shared" ref="AL370:AM372" si="1729">((AI370/AI318)-1)*100</f>
        <v>293.33333333333331</v>
      </c>
      <c r="AM370" s="59">
        <f t="shared" si="1729"/>
        <v>173.27094523506284</v>
      </c>
      <c r="AN370" s="59">
        <f t="shared" ref="AN370" si="1730">((AJ370/AK370)-1)*100</f>
        <v>7.4305202815470706</v>
      </c>
      <c r="AP370" s="53">
        <f t="shared" si="665"/>
        <v>666944</v>
      </c>
      <c r="AQ370" s="53">
        <f t="shared" si="665"/>
        <v>229200</v>
      </c>
      <c r="AR370" s="53">
        <f t="shared" si="1548"/>
        <v>70203</v>
      </c>
      <c r="AS370" s="53">
        <f t="shared" si="1549"/>
        <v>966347</v>
      </c>
      <c r="AT370" s="53">
        <f t="shared" ref="AT370" si="1731">AVERAGE(AS367,AS368,AS369,AS370)</f>
        <v>954727.25</v>
      </c>
      <c r="AU370" s="53">
        <f t="shared" ref="AU370" si="1732">AVERAGE(AT318,AT266,AT214)</f>
        <v>866567.33333333337</v>
      </c>
      <c r="AV370" s="59">
        <f t="shared" ref="AV370" si="1733">((AS370/AS318)-1)*100</f>
        <v>31.821567322172982</v>
      </c>
      <c r="AW370" s="59">
        <f t="shared" ref="AW370" si="1734">((AT370/AT318)-1)*100</f>
        <v>44.432047810832252</v>
      </c>
      <c r="AX370" s="59">
        <f t="shared" ref="AX370" si="1735">((AT370/AU370)-1)*100</f>
        <v>10.17346411242519</v>
      </c>
      <c r="AZ370" s="53">
        <f t="shared" si="401"/>
        <v>512.64200000000005</v>
      </c>
      <c r="BA370" s="53">
        <f t="shared" si="402"/>
        <v>2.9</v>
      </c>
      <c r="BB370" s="53">
        <f t="shared" si="403"/>
        <v>444.90499999999997</v>
      </c>
      <c r="BC370" s="53">
        <f t="shared" si="1555"/>
        <v>5.9</v>
      </c>
      <c r="BD370" s="53">
        <f t="shared" si="1556"/>
        <v>966.34699999999998</v>
      </c>
      <c r="BE370" s="60">
        <f t="shared" ref="BE370" si="1736">AZ370+BE369</f>
        <v>21307.026000000005</v>
      </c>
      <c r="BF370" s="60">
        <f t="shared" ref="BF370" si="1737">BA370+BF369</f>
        <v>1440.808</v>
      </c>
      <c r="BG370" s="60">
        <f t="shared" ref="BG370" si="1738">BB370+BG369</f>
        <v>9282.3610000000008</v>
      </c>
      <c r="BH370" s="60">
        <f t="shared" ref="BH370" si="1739">BC370+BH369</f>
        <v>399.02999999999986</v>
      </c>
      <c r="BI370" s="60">
        <f t="shared" ref="BI370" si="1740">BD370+BI369</f>
        <v>32429.224999999999</v>
      </c>
      <c r="BJ370" s="1">
        <f t="shared" si="721"/>
        <v>48</v>
      </c>
    </row>
    <row r="371" spans="1:62" x14ac:dyDescent="0.3">
      <c r="A371" s="48">
        <f t="shared" si="238"/>
        <v>40152</v>
      </c>
      <c r="B371" s="53">
        <v>523210</v>
      </c>
      <c r="C371" s="53">
        <v>92937</v>
      </c>
      <c r="D371" s="53">
        <v>0</v>
      </c>
      <c r="E371" s="53">
        <f t="shared" si="588"/>
        <v>616147</v>
      </c>
      <c r="F371" s="53">
        <f t="shared" ref="F371" si="1741">AVERAGE(E368,E369,E370,E371)</f>
        <v>473914.75</v>
      </c>
      <c r="G371" s="53">
        <f t="shared" ref="G371" si="1742">AVERAGE(F319,F267,F215)</f>
        <v>648873.91666666663</v>
      </c>
      <c r="H371" s="59">
        <f t="shared" ref="H371" si="1743">((E371/E319)-1)*100</f>
        <v>33.836185362335833</v>
      </c>
      <c r="I371" s="59">
        <f t="shared" ref="I371" si="1744">((F371/F319)-1)*100</f>
        <v>-0.64758400746325329</v>
      </c>
      <c r="J371" s="59">
        <f t="shared" ref="J371" si="1745">((F371/G371)-1)*100</f>
        <v>-26.96350741997</v>
      </c>
      <c r="L371" s="53">
        <v>9500</v>
      </c>
      <c r="M371" s="53">
        <v>1750</v>
      </c>
      <c r="N371" s="53">
        <v>0</v>
      </c>
      <c r="O371" s="53">
        <f t="shared" si="1471"/>
        <v>11250</v>
      </c>
      <c r="P371" s="53">
        <f t="shared" ref="P371" si="1746">AVERAGE(O368,O369,O370,O371)</f>
        <v>19425</v>
      </c>
      <c r="Q371" s="53">
        <f t="shared" ref="Q371" si="1747">AVERAGE(P319,P267,P215)</f>
        <v>15266.083333333334</v>
      </c>
      <c r="R371" s="59">
        <f t="shared" ref="R371" si="1748">((O371/O319)-1)*100</f>
        <v>-60.247349823321564</v>
      </c>
      <c r="S371" s="59">
        <f t="shared" ref="S371" si="1749">((P371/P319)-1)*100</f>
        <v>98.609478043044831</v>
      </c>
      <c r="T371" s="59">
        <f t="shared" ref="T371" si="1750">((P371/Q371)-1)*100</f>
        <v>27.242853165786897</v>
      </c>
      <c r="V371" s="53">
        <v>227854</v>
      </c>
      <c r="W371" s="53">
        <v>86300</v>
      </c>
      <c r="X371" s="53">
        <v>51800</v>
      </c>
      <c r="Y371" s="53">
        <f t="shared" si="628"/>
        <v>365954</v>
      </c>
      <c r="Z371" s="53">
        <f t="shared" ref="Z371" si="1751">AVERAGE(Y368,Y369,Y370,Y371)</f>
        <v>526989</v>
      </c>
      <c r="AA371" s="53">
        <f t="shared" ref="AA371" si="1752">AVERAGE(Z319,Z267,Z215)</f>
        <v>195073.41666666666</v>
      </c>
      <c r="AB371" s="59">
        <f t="shared" ref="AB371" si="1753">((Y371/Y319)-1)*100</f>
        <v>62.522704966447719</v>
      </c>
      <c r="AC371" s="59">
        <f t="shared" ref="AC371" si="1754">((Z371/Z319)-1)*100</f>
        <v>213.49639055208044</v>
      </c>
      <c r="AD371" s="59">
        <f t="shared" ref="AD371" si="1755">((Z371/AA371)-1)*100</f>
        <v>170.14905926443933</v>
      </c>
      <c r="AF371" s="53">
        <v>3280</v>
      </c>
      <c r="AG371" s="53">
        <v>0</v>
      </c>
      <c r="AH371" s="53">
        <v>5850</v>
      </c>
      <c r="AI371" s="53">
        <f t="shared" si="1542"/>
        <v>9130</v>
      </c>
      <c r="AJ371" s="53">
        <f t="shared" si="1727"/>
        <v>9870</v>
      </c>
      <c r="AK371" s="53">
        <f t="shared" si="1728"/>
        <v>13005.833333333334</v>
      </c>
      <c r="AL371" s="59">
        <f t="shared" si="1729"/>
        <v>107.50000000000001</v>
      </c>
      <c r="AM371" s="59">
        <f t="shared" si="1729"/>
        <v>100.82405005341064</v>
      </c>
      <c r="AN371" s="59">
        <f t="shared" ref="AN371" si="1756">((AJ371/AK371)-1)*100</f>
        <v>-24.11097584417249</v>
      </c>
      <c r="AP371" s="53">
        <f t="shared" si="665"/>
        <v>763844</v>
      </c>
      <c r="AQ371" s="53">
        <f t="shared" si="665"/>
        <v>180987</v>
      </c>
      <c r="AR371" s="53">
        <f t="shared" si="1548"/>
        <v>57650</v>
      </c>
      <c r="AS371" s="53">
        <f t="shared" si="1549"/>
        <v>1002481</v>
      </c>
      <c r="AT371" s="53">
        <f t="shared" ref="AT371" si="1757">AVERAGE(AS368,AS369,AS370,AS371)</f>
        <v>1030198.75</v>
      </c>
      <c r="AU371" s="53">
        <f t="shared" ref="AU371" si="1758">AVERAGE(AT319,AT267,AT215)</f>
        <v>872219.25</v>
      </c>
      <c r="AV371" s="59">
        <f t="shared" ref="AV371" si="1759">((AS371/AS319)-1)*100</f>
        <v>39.573683074716847</v>
      </c>
      <c r="AW371" s="59">
        <f t="shared" ref="AW371" si="1760">((AT371/AT319)-1)*100</f>
        <v>56.138152575138363</v>
      </c>
      <c r="AX371" s="59">
        <f t="shared" ref="AX371" si="1761">((AT371/AU371)-1)*100</f>
        <v>18.112361083523432</v>
      </c>
      <c r="AZ371" s="53">
        <f t="shared" si="401"/>
        <v>616.14700000000005</v>
      </c>
      <c r="BA371" s="53">
        <f t="shared" si="402"/>
        <v>11.25</v>
      </c>
      <c r="BB371" s="53">
        <f t="shared" si="403"/>
        <v>365.95400000000001</v>
      </c>
      <c r="BC371" s="53">
        <f t="shared" si="1555"/>
        <v>9.1300000000000008</v>
      </c>
      <c r="BD371" s="53">
        <f t="shared" si="1556"/>
        <v>1002.481</v>
      </c>
      <c r="BE371" s="60">
        <f t="shared" ref="BE371" si="1762">AZ371+BE370</f>
        <v>21923.173000000006</v>
      </c>
      <c r="BF371" s="60">
        <f t="shared" ref="BF371" si="1763">BA371+BF370</f>
        <v>1452.058</v>
      </c>
      <c r="BG371" s="60">
        <f t="shared" ref="BG371" si="1764">BB371+BG370</f>
        <v>9648.3150000000005</v>
      </c>
      <c r="BH371" s="60">
        <f t="shared" ref="BH371" si="1765">BC371+BH370</f>
        <v>408.15999999999985</v>
      </c>
      <c r="BI371" s="60">
        <f t="shared" ref="BI371" si="1766">BD371+BI370</f>
        <v>33431.705999999998</v>
      </c>
      <c r="BJ371" s="1">
        <f t="shared" si="721"/>
        <v>49</v>
      </c>
    </row>
    <row r="372" spans="1:62" x14ac:dyDescent="0.3">
      <c r="A372" s="48">
        <f t="shared" si="238"/>
        <v>40159</v>
      </c>
      <c r="B372" s="53">
        <v>511315</v>
      </c>
      <c r="C372" s="53">
        <v>115545</v>
      </c>
      <c r="D372" s="53">
        <v>0</v>
      </c>
      <c r="E372" s="53">
        <f t="shared" si="588"/>
        <v>626860</v>
      </c>
      <c r="F372" s="53">
        <f t="shared" ref="F372" si="1767">AVERAGE(E369,E370,E371,E372)</f>
        <v>523056.75</v>
      </c>
      <c r="G372" s="53">
        <f t="shared" ref="G372" si="1768">AVERAGE(F320,F268,F216)</f>
        <v>621980.16666666663</v>
      </c>
      <c r="H372" s="59">
        <f t="shared" ref="H372" si="1769">((E372/E320)-1)*100</f>
        <v>56.284826016389886</v>
      </c>
      <c r="I372" s="59">
        <f t="shared" ref="I372" si="1770">((F372/F320)-1)*100</f>
        <v>9.8612915387628508</v>
      </c>
      <c r="J372" s="59">
        <f t="shared" ref="J372" si="1771">((F372/G372)-1)*100</f>
        <v>-15.904593420851299</v>
      </c>
      <c r="L372" s="53">
        <v>0</v>
      </c>
      <c r="M372" s="53">
        <v>1800</v>
      </c>
      <c r="N372" s="53">
        <v>2800</v>
      </c>
      <c r="O372" s="53">
        <f t="shared" si="1471"/>
        <v>4600</v>
      </c>
      <c r="P372" s="53">
        <f t="shared" ref="P372" si="1772">AVERAGE(O369,O370,O371,O372)</f>
        <v>11000</v>
      </c>
      <c r="Q372" s="53">
        <f t="shared" ref="Q372" si="1773">AVERAGE(P320,P268,P216)</f>
        <v>18176.416666666668</v>
      </c>
      <c r="R372" s="59">
        <f t="shared" ref="R372" si="1774">((O372/O320)-1)*100</f>
        <v>-65.671641791044777</v>
      </c>
      <c r="S372" s="59">
        <f t="shared" ref="S372" si="1775">((P372/P320)-1)*100</f>
        <v>-4.8340002162863609</v>
      </c>
      <c r="T372" s="59">
        <f t="shared" ref="T372" si="1776">((P372/Q372)-1)*100</f>
        <v>-39.482021117106882</v>
      </c>
      <c r="V372" s="53">
        <v>208993</v>
      </c>
      <c r="W372" s="53">
        <v>62169</v>
      </c>
      <c r="X372" s="53">
        <v>54600</v>
      </c>
      <c r="Y372" s="53">
        <f t="shared" si="628"/>
        <v>325762</v>
      </c>
      <c r="Z372" s="53">
        <f t="shared" ref="Z372" si="1777">AVERAGE(Y369,Y370,Y371,Y372)</f>
        <v>435187.25</v>
      </c>
      <c r="AA372" s="53">
        <f t="shared" ref="AA372" si="1778">AVERAGE(Z320,Z268,Z216)</f>
        <v>212580</v>
      </c>
      <c r="AB372" s="59">
        <f t="shared" ref="AB372" si="1779">((Y372/Y320)-1)*100</f>
        <v>63.581127224520941</v>
      </c>
      <c r="AC372" s="59">
        <f t="shared" ref="AC372" si="1780">((Z372/Z320)-1)*100</f>
        <v>141.47153803898505</v>
      </c>
      <c r="AD372" s="59">
        <f t="shared" ref="AD372" si="1781">((Z372/AA372)-1)*100</f>
        <v>104.71693009690468</v>
      </c>
      <c r="AF372" s="53">
        <v>3000</v>
      </c>
      <c r="AG372" s="53">
        <v>0</v>
      </c>
      <c r="AH372" s="53">
        <v>5900</v>
      </c>
      <c r="AI372" s="53">
        <f t="shared" si="1542"/>
        <v>8900</v>
      </c>
      <c r="AJ372" s="53">
        <f t="shared" si="1727"/>
        <v>9420</v>
      </c>
      <c r="AK372" s="53">
        <f t="shared" si="1728"/>
        <v>13271.75</v>
      </c>
      <c r="AL372" s="59">
        <f t="shared" si="1729"/>
        <v>56.140350877192979</v>
      </c>
      <c r="AM372" s="59">
        <f t="shared" si="1729"/>
        <v>109.33333333333333</v>
      </c>
      <c r="AN372" s="59">
        <f t="shared" ref="AN372" si="1782">((AJ372/AK372)-1)*100</f>
        <v>-29.022171153012977</v>
      </c>
      <c r="AP372" s="53">
        <f t="shared" si="665"/>
        <v>723308</v>
      </c>
      <c r="AQ372" s="53">
        <f t="shared" si="665"/>
        <v>179514</v>
      </c>
      <c r="AR372" s="53">
        <f t="shared" si="1548"/>
        <v>63300</v>
      </c>
      <c r="AS372" s="53">
        <f t="shared" si="1549"/>
        <v>966122</v>
      </c>
      <c r="AT372" s="53">
        <f t="shared" ref="AT372" si="1783">AVERAGE(AS369,AS370,AS371,AS372)</f>
        <v>978664</v>
      </c>
      <c r="AU372" s="53">
        <f t="shared" ref="AU372" si="1784">AVERAGE(AT320,AT268,AT216)</f>
        <v>866008.33333333337</v>
      </c>
      <c r="AV372" s="59">
        <f t="shared" ref="AV372" si="1785">((AS372/AS320)-1)*100</f>
        <v>55.990925897520768</v>
      </c>
      <c r="AW372" s="59">
        <f t="shared" ref="AW372" si="1786">((AT372/AT320)-1)*100</f>
        <v>45.550431614472743</v>
      </c>
      <c r="AX372" s="59">
        <f t="shared" ref="AX372" si="1787">((AT372/AU372)-1)*100</f>
        <v>13.008612311274902</v>
      </c>
      <c r="AZ372" s="53">
        <f t="shared" si="401"/>
        <v>626.86</v>
      </c>
      <c r="BA372" s="53">
        <f t="shared" si="402"/>
        <v>4.5999999999999996</v>
      </c>
      <c r="BB372" s="53">
        <f t="shared" si="403"/>
        <v>325.762</v>
      </c>
      <c r="BC372" s="53">
        <f t="shared" si="1555"/>
        <v>8.9</v>
      </c>
      <c r="BD372" s="53">
        <f t="shared" si="1556"/>
        <v>966.12199999999996</v>
      </c>
      <c r="BE372" s="60">
        <f t="shared" ref="BE372" si="1788">AZ372+BE371</f>
        <v>22550.033000000007</v>
      </c>
      <c r="BF372" s="60">
        <f t="shared" ref="BF372" si="1789">BA372+BF371</f>
        <v>1456.6579999999999</v>
      </c>
      <c r="BG372" s="60">
        <f t="shared" ref="BG372" si="1790">BB372+BG371</f>
        <v>9974.0770000000011</v>
      </c>
      <c r="BH372" s="60">
        <f t="shared" ref="BH372" si="1791">BC372+BH371</f>
        <v>417.05999999999983</v>
      </c>
      <c r="BI372" s="60">
        <f t="shared" ref="BI372" si="1792">BD372+BI371</f>
        <v>34397.828000000001</v>
      </c>
      <c r="BJ372" s="1">
        <f t="shared" si="721"/>
        <v>50</v>
      </c>
    </row>
    <row r="373" spans="1:62" x14ac:dyDescent="0.3">
      <c r="A373" s="48">
        <f t="shared" si="238"/>
        <v>40166</v>
      </c>
      <c r="B373" s="53">
        <v>443976</v>
      </c>
      <c r="C373" s="53">
        <v>90640</v>
      </c>
      <c r="D373" s="53">
        <v>0</v>
      </c>
      <c r="E373" s="53">
        <f t="shared" si="588"/>
        <v>534616</v>
      </c>
      <c r="F373" s="53">
        <f t="shared" ref="F373" si="1793">AVERAGE(E370,E371,E372,E373)</f>
        <v>572566.25</v>
      </c>
      <c r="G373" s="53">
        <f t="shared" ref="G373" si="1794">AVERAGE(F321,F269,F217)</f>
        <v>541780.83333333337</v>
      </c>
      <c r="H373" s="59">
        <f t="shared" ref="H373" si="1795">((E373/E321)-1)*100</f>
        <v>45.946329611531226</v>
      </c>
      <c r="I373" s="59">
        <f t="shared" ref="I373" si="1796">((F373/F321)-1)*100</f>
        <v>27.246275838005896</v>
      </c>
      <c r="J373" s="59">
        <f t="shared" ref="J373" si="1797">((F373/G373)-1)*100</f>
        <v>5.6822638920719815</v>
      </c>
      <c r="L373" s="53">
        <v>15100</v>
      </c>
      <c r="M373" s="53">
        <v>3100</v>
      </c>
      <c r="N373" s="53">
        <v>0</v>
      </c>
      <c r="O373" s="53">
        <f t="shared" si="1471"/>
        <v>18200</v>
      </c>
      <c r="P373" s="53">
        <f t="shared" ref="P373" si="1798">AVERAGE(O370,O371,O372,O373)</f>
        <v>9237.5</v>
      </c>
      <c r="Q373" s="53">
        <f t="shared" ref="Q373" si="1799">AVERAGE(P321,P269,P217)</f>
        <v>19628.333333333332</v>
      </c>
      <c r="R373" s="59">
        <f t="shared" ref="R373" si="1800">((O373/O321)-1)*100</f>
        <v>-24.481327800829877</v>
      </c>
      <c r="S373" s="59">
        <f t="shared" ref="S373" si="1801">((P373/P321)-1)*100</f>
        <v>-45.096582466567604</v>
      </c>
      <c r="T373" s="59">
        <f t="shared" ref="T373" si="1802">((P373/Q373)-1)*100</f>
        <v>-52.937929863292851</v>
      </c>
      <c r="V373" s="53">
        <v>123960</v>
      </c>
      <c r="W373" s="53">
        <v>93512</v>
      </c>
      <c r="X373" s="53">
        <v>49000</v>
      </c>
      <c r="Y373" s="53">
        <f t="shared" si="628"/>
        <v>266472</v>
      </c>
      <c r="Z373" s="53">
        <f t="shared" ref="Z373" si="1803">AVERAGE(Y370,Y371,Y372,Y373)</f>
        <v>350773.25</v>
      </c>
      <c r="AA373" s="53">
        <f t="shared" ref="AA373" si="1804">AVERAGE(Z321,Z269,Z217)</f>
        <v>211179.58333333334</v>
      </c>
      <c r="AB373" s="59">
        <f t="shared" ref="AB373" si="1805">((Y373/Y321)-1)*100</f>
        <v>58.068572784434693</v>
      </c>
      <c r="AC373" s="59">
        <f t="shared" ref="AC373" si="1806">((Z373/Z321)-1)*100</f>
        <v>86.858822401329633</v>
      </c>
      <c r="AD373" s="59">
        <f t="shared" ref="AD373" si="1807">((Z373/AA373)-1)*100</f>
        <v>66.101876167795567</v>
      </c>
      <c r="AF373" s="53">
        <v>0</v>
      </c>
      <c r="AG373" s="53">
        <v>0</v>
      </c>
      <c r="AH373" s="53">
        <v>9600</v>
      </c>
      <c r="AI373" s="53">
        <f t="shared" si="1542"/>
        <v>9600</v>
      </c>
      <c r="AJ373" s="53">
        <f t="shared" si="1727"/>
        <v>8382.5</v>
      </c>
      <c r="AK373" s="53">
        <f t="shared" si="1728"/>
        <v>12733.166666666666</v>
      </c>
      <c r="AL373" s="59">
        <f t="shared" ref="AL373" si="1808">((AI373/AI321)-1)*100</f>
        <v>26.315789473684205</v>
      </c>
      <c r="AM373" s="59">
        <f t="shared" ref="AM373" si="1809">((AJ373/AJ321)-1)*100</f>
        <v>74.635416666666671</v>
      </c>
      <c r="AN373" s="59">
        <f t="shared" ref="AN373" si="1810">((AJ373/AK373)-1)*100</f>
        <v>-34.167986491969785</v>
      </c>
      <c r="AP373" s="53">
        <f t="shared" si="665"/>
        <v>583036</v>
      </c>
      <c r="AQ373" s="53">
        <f t="shared" si="665"/>
        <v>187252</v>
      </c>
      <c r="AR373" s="53">
        <f t="shared" si="1548"/>
        <v>58600</v>
      </c>
      <c r="AS373" s="53">
        <f t="shared" si="1549"/>
        <v>828888</v>
      </c>
      <c r="AT373" s="53">
        <f t="shared" ref="AT373" si="1811">AVERAGE(AS370,AS371,AS372,AS373)</f>
        <v>940959.5</v>
      </c>
      <c r="AU373" s="53">
        <f t="shared" ref="AU373" si="1812">AVERAGE(AT321,AT269,AT217)</f>
        <v>785321.91666666663</v>
      </c>
      <c r="AV373" s="59">
        <f t="shared" ref="AV373" si="1813">((AS373/AS321)-1)*100</f>
        <v>46.294145678532985</v>
      </c>
      <c r="AW373" s="59">
        <f t="shared" ref="AW373" si="1814">((AT373/AT321)-1)*100</f>
        <v>42.718177860894599</v>
      </c>
      <c r="AX373" s="59">
        <f t="shared" ref="AX373" si="1815">((AT373/AU373)-1)*100</f>
        <v>19.818316543863169</v>
      </c>
      <c r="AZ373" s="53">
        <f t="shared" si="401"/>
        <v>534.61599999999999</v>
      </c>
      <c r="BA373" s="53">
        <f t="shared" si="402"/>
        <v>18.2</v>
      </c>
      <c r="BB373" s="53">
        <f t="shared" si="403"/>
        <v>266.47199999999998</v>
      </c>
      <c r="BC373" s="53">
        <f t="shared" si="1555"/>
        <v>9.6</v>
      </c>
      <c r="BD373" s="53">
        <f t="shared" si="1556"/>
        <v>828.88800000000003</v>
      </c>
      <c r="BE373" s="60">
        <f t="shared" ref="BE373" si="1816">AZ373+BE372</f>
        <v>23084.649000000005</v>
      </c>
      <c r="BF373" s="60">
        <f t="shared" ref="BF373" si="1817">BA373+BF372</f>
        <v>1474.8579999999999</v>
      </c>
      <c r="BG373" s="60">
        <f t="shared" ref="BG373" si="1818">BB373+BG372</f>
        <v>10240.549000000001</v>
      </c>
      <c r="BH373" s="60">
        <f t="shared" ref="BH373" si="1819">BC373+BH372</f>
        <v>426.65999999999985</v>
      </c>
      <c r="BI373" s="60">
        <f t="shared" ref="BI373" si="1820">BD373+BI372</f>
        <v>35226.716</v>
      </c>
      <c r="BJ373" s="1">
        <f t="shared" si="721"/>
        <v>51</v>
      </c>
    </row>
    <row r="374" spans="1:62" x14ac:dyDescent="0.3">
      <c r="A374" s="48">
        <f t="shared" si="238"/>
        <v>40173</v>
      </c>
      <c r="B374" s="53">
        <v>270400</v>
      </c>
      <c r="C374" s="53">
        <v>68910</v>
      </c>
      <c r="D374" s="53">
        <v>0</v>
      </c>
      <c r="E374" s="53">
        <f t="shared" si="588"/>
        <v>339310</v>
      </c>
      <c r="F374" s="53">
        <f t="shared" ref="F374" si="1821">AVERAGE(E371,E372,E373,E374)</f>
        <v>529233.25</v>
      </c>
      <c r="G374" s="53">
        <f t="shared" ref="G374" si="1822">AVERAGE(F322,F270,F218)</f>
        <v>478779</v>
      </c>
      <c r="H374" s="59">
        <f t="shared" ref="H374" si="1823">((E374/E322)-1)*100</f>
        <v>130.66621346023112</v>
      </c>
      <c r="I374" s="59">
        <f t="shared" ref="I374" si="1824">((F374/F322)-1)*100</f>
        <v>53.971641264542129</v>
      </c>
      <c r="J374" s="59">
        <f t="shared" ref="J374" si="1825">((F374/G374)-1)*100</f>
        <v>10.538108396567104</v>
      </c>
      <c r="L374" s="53">
        <v>15200</v>
      </c>
      <c r="M374" s="53">
        <v>10550</v>
      </c>
      <c r="N374" s="53">
        <v>0</v>
      </c>
      <c r="O374" s="53">
        <f t="shared" si="1471"/>
        <v>25750</v>
      </c>
      <c r="P374" s="53">
        <f t="shared" ref="P374" si="1826">AVERAGE(O371,O372,O373,O374)</f>
        <v>14950</v>
      </c>
      <c r="Q374" s="53">
        <f t="shared" ref="Q374" si="1827">AVERAGE(P322,P270,P218)</f>
        <v>17552.916666666668</v>
      </c>
      <c r="R374" s="59">
        <f t="shared" ref="R374" si="1828">((O374/O322)-1)*100</f>
        <v>252.73972602739727</v>
      </c>
      <c r="S374" s="59">
        <f t="shared" ref="S374" si="1829">((P374/P322)-1)*100</f>
        <v>-18.194254445964432</v>
      </c>
      <c r="T374" s="59">
        <f t="shared" ref="T374" si="1830">((P374/Q374)-1)*100</f>
        <v>-14.82896954447267</v>
      </c>
      <c r="V374" s="53">
        <v>108660</v>
      </c>
      <c r="W374" s="53">
        <v>86300</v>
      </c>
      <c r="X374" s="53">
        <v>29400</v>
      </c>
      <c r="Y374" s="53">
        <f t="shared" si="628"/>
        <v>224360</v>
      </c>
      <c r="Z374" s="53">
        <f t="shared" ref="Z374" si="1831">AVERAGE(Y371,Y372,Y373,Y374)</f>
        <v>295637</v>
      </c>
      <c r="AA374" s="53">
        <f t="shared" ref="AA374" si="1832">AVERAGE(Z322,Z270,Z218)</f>
        <v>209557.5</v>
      </c>
      <c r="AB374" s="59">
        <f t="shared" ref="AB374" si="1833">((Y374/Y322)-1)*100</f>
        <v>14.280475132943504</v>
      </c>
      <c r="AC374" s="59">
        <f t="shared" ref="AC374" si="1834">((Z374/Z322)-1)*100</f>
        <v>49.837750991803297</v>
      </c>
      <c r="AD374" s="59">
        <f t="shared" ref="AD374" si="1835">((Z374/AA374)-1)*100</f>
        <v>41.076792765708703</v>
      </c>
      <c r="AF374" s="53">
        <v>0</v>
      </c>
      <c r="AG374" s="53">
        <v>0</v>
      </c>
      <c r="AH374" s="53">
        <v>3200</v>
      </c>
      <c r="AI374" s="53">
        <f t="shared" si="1542"/>
        <v>3200</v>
      </c>
      <c r="AJ374" s="53">
        <f t="shared" si="1727"/>
        <v>7707.5</v>
      </c>
      <c r="AK374" s="53">
        <f t="shared" si="1728"/>
        <v>12412.5</v>
      </c>
      <c r="AL374" s="59">
        <f t="shared" ref="AL374" si="1836">((AI374/AI322)-1)*100</f>
        <v>-36</v>
      </c>
      <c r="AM374" s="59">
        <f t="shared" ref="AM374" si="1837">((AJ374/AJ322)-1)*100</f>
        <v>35.814977973568276</v>
      </c>
      <c r="AN374" s="59">
        <f t="shared" ref="AN374" si="1838">((AJ374/AK374)-1)*100</f>
        <v>-37.905337361530712</v>
      </c>
      <c r="AP374" s="53">
        <f t="shared" si="665"/>
        <v>394260</v>
      </c>
      <c r="AQ374" s="53">
        <f t="shared" si="665"/>
        <v>165760</v>
      </c>
      <c r="AR374" s="53">
        <f t="shared" si="1548"/>
        <v>32600</v>
      </c>
      <c r="AS374" s="53">
        <f t="shared" si="1549"/>
        <v>592620</v>
      </c>
      <c r="AT374" s="53">
        <f t="shared" ref="AT374" si="1839">AVERAGE(AS371,AS372,AS373,AS374)</f>
        <v>847527.75</v>
      </c>
      <c r="AU374" s="53">
        <f t="shared" ref="AU374" si="1840">AVERAGE(AT322,AT270,AT218)</f>
        <v>718301.91666666663</v>
      </c>
      <c r="AV374" s="59">
        <f t="shared" ref="AV374" si="1841">((AS374/AS322)-1)*100</f>
        <v>66.595450405370443</v>
      </c>
      <c r="AW374" s="59">
        <f t="shared" ref="AW374" si="1842">((AT374/AT322)-1)*100</f>
        <v>50.011283665146841</v>
      </c>
      <c r="AX374" s="59">
        <f t="shared" ref="AX374" si="1843">((AT374/AU374)-1)*100</f>
        <v>17.990461995843667</v>
      </c>
      <c r="AZ374" s="53">
        <f t="shared" si="401"/>
        <v>339.31</v>
      </c>
      <c r="BA374" s="53">
        <f t="shared" si="402"/>
        <v>25.75</v>
      </c>
      <c r="BB374" s="53">
        <f t="shared" si="403"/>
        <v>224.36</v>
      </c>
      <c r="BC374" s="53">
        <f t="shared" si="1555"/>
        <v>3.2</v>
      </c>
      <c r="BD374" s="53">
        <f t="shared" si="1556"/>
        <v>592.62</v>
      </c>
      <c r="BE374" s="60">
        <f>AZ374+BE373</f>
        <v>23423.959000000006</v>
      </c>
      <c r="BF374" s="60">
        <f t="shared" ref="BF374" si="1844">BA374+BF373</f>
        <v>1500.6079999999999</v>
      </c>
      <c r="BG374" s="60">
        <f t="shared" ref="BG374" si="1845">BB374+BG373</f>
        <v>10464.909000000001</v>
      </c>
      <c r="BH374" s="60">
        <f t="shared" ref="BH374" si="1846">BC374+BH373</f>
        <v>429.85999999999984</v>
      </c>
      <c r="BI374" s="60">
        <f t="shared" ref="BI374" si="1847">BD374+BI373</f>
        <v>35819.336000000003</v>
      </c>
      <c r="BJ374" s="1">
        <f t="shared" si="721"/>
        <v>52</v>
      </c>
    </row>
    <row r="375" spans="1:62" x14ac:dyDescent="0.3">
      <c r="A375" s="48">
        <f t="shared" si="238"/>
        <v>40180</v>
      </c>
      <c r="B375" s="53">
        <v>104300</v>
      </c>
      <c r="C375" s="53">
        <v>31463</v>
      </c>
      <c r="D375" s="53">
        <v>0</v>
      </c>
      <c r="E375" s="53">
        <f t="shared" si="588"/>
        <v>135763</v>
      </c>
      <c r="F375" s="53">
        <f t="shared" ref="F375" si="1848">AVERAGE(E372,E373,E374,E375)</f>
        <v>409137.25</v>
      </c>
      <c r="G375" s="53">
        <f t="shared" ref="G375" si="1849">AVERAGE(F323,F271,F219)</f>
        <v>404781.16666666669</v>
      </c>
      <c r="H375" s="59">
        <f t="shared" ref="H375" si="1850">((E375/E323)-1)*100</f>
        <v>-48.043444150615578</v>
      </c>
      <c r="I375" s="59">
        <f t="shared" ref="I375" si="1851">((F375/F323)-1)*100</f>
        <v>39.18458052817968</v>
      </c>
      <c r="J375" s="59">
        <f t="shared" ref="J375" si="1852">((F375/G375)-1)*100</f>
        <v>1.0761576110877913</v>
      </c>
      <c r="L375" s="53">
        <v>0</v>
      </c>
      <c r="M375" s="53">
        <v>9827</v>
      </c>
      <c r="N375" s="53">
        <v>2800</v>
      </c>
      <c r="O375" s="53">
        <f t="shared" si="1471"/>
        <v>12627</v>
      </c>
      <c r="P375" s="53">
        <f t="shared" ref="P375" si="1853">AVERAGE(O372,O373,O374,O375)</f>
        <v>15294.25</v>
      </c>
      <c r="Q375" s="53">
        <f t="shared" ref="Q375" si="1854">AVERAGE(P323,P271,P219)</f>
        <v>16273.75</v>
      </c>
      <c r="R375" s="59">
        <f t="shared" ref="R375" si="1855">((O375/O323)-1)*100</f>
        <v>68.36</v>
      </c>
      <c r="S375" s="59">
        <f t="shared" ref="S375" si="1856">((P375/P323)-1)*100</f>
        <v>16.973231357552578</v>
      </c>
      <c r="T375" s="59">
        <f t="shared" ref="T375" si="1857">((P375/Q375)-1)*100</f>
        <v>-6.0188954604808327</v>
      </c>
      <c r="V375" s="53">
        <v>57800</v>
      </c>
      <c r="W375" s="53">
        <v>35207</v>
      </c>
      <c r="X375" s="53">
        <v>58800</v>
      </c>
      <c r="Y375" s="53">
        <f t="shared" si="628"/>
        <v>151807</v>
      </c>
      <c r="Z375" s="53">
        <f t="shared" ref="Z375" si="1858">AVERAGE(Y372,Y373,Y374,Y375)</f>
        <v>242100.25</v>
      </c>
      <c r="AA375" s="53">
        <f t="shared" ref="AA375" si="1859">AVERAGE(Z323,Z271,Z219)</f>
        <v>184727.25</v>
      </c>
      <c r="AB375" s="59">
        <f t="shared" ref="AB375" si="1860">((Y375/Y323)-1)*100</f>
        <v>-20.1436086270384</v>
      </c>
      <c r="AC375" s="59">
        <f t="shared" ref="AC375" si="1861">((Z375/Z323)-1)*100</f>
        <v>28.409940754334695</v>
      </c>
      <c r="AD375" s="59">
        <f t="shared" ref="AD375" si="1862">((Z375/AA375)-1)*100</f>
        <v>31.058222325076557</v>
      </c>
      <c r="AF375" s="53">
        <v>0</v>
      </c>
      <c r="AG375" s="53">
        <v>0</v>
      </c>
      <c r="AH375" s="53">
        <v>7000</v>
      </c>
      <c r="AI375" s="53">
        <f t="shared" si="1542"/>
        <v>7000</v>
      </c>
      <c r="AJ375" s="53">
        <f t="shared" si="1727"/>
        <v>7175</v>
      </c>
      <c r="AK375" s="53">
        <f t="shared" si="1728"/>
        <v>11612.5</v>
      </c>
      <c r="AL375" s="59">
        <f t="shared" ref="AL375" si="1863">((AI375/AI323)-1)*100</f>
        <v>9.375</v>
      </c>
      <c r="AM375" s="59">
        <f t="shared" ref="AM375" si="1864">((AJ375/AJ323)-1)*100</f>
        <v>16.194331983805665</v>
      </c>
      <c r="AN375" s="59">
        <f t="shared" ref="AN375" si="1865">((AJ375/AK375)-1)*100</f>
        <v>-38.213132400430574</v>
      </c>
      <c r="AP375" s="53">
        <f t="shared" si="665"/>
        <v>162100</v>
      </c>
      <c r="AQ375" s="53">
        <f t="shared" si="665"/>
        <v>76497</v>
      </c>
      <c r="AR375" s="53">
        <f t="shared" si="1548"/>
        <v>68600</v>
      </c>
      <c r="AS375" s="53">
        <f t="shared" si="1549"/>
        <v>307197</v>
      </c>
      <c r="AT375" s="53">
        <f t="shared" ref="AT375" si="1866">AVERAGE(AS372,AS373,AS374,AS375)</f>
        <v>673706.75</v>
      </c>
      <c r="AU375" s="53">
        <f t="shared" ref="AU375" si="1867">AVERAGE(AT323,AT271,AT219)</f>
        <v>617394.66666666663</v>
      </c>
      <c r="AV375" s="59">
        <f t="shared" ref="AV375" si="1868">((AS375/AS323)-1)*100</f>
        <v>-33.978865293648632</v>
      </c>
      <c r="AW375" s="59">
        <f t="shared" ref="AW375" si="1869">((AT375/AT323)-1)*100</f>
        <v>34.274076214772585</v>
      </c>
      <c r="AX375" s="59">
        <f t="shared" ref="AX375" si="1870">((AT375/AU375)-1)*100</f>
        <v>9.1209215715069458</v>
      </c>
      <c r="AZ375" s="53">
        <f t="shared" si="401"/>
        <v>135.76300000000001</v>
      </c>
      <c r="BA375" s="53">
        <f t="shared" si="402"/>
        <v>12.627000000000001</v>
      </c>
      <c r="BB375" s="53">
        <f t="shared" si="403"/>
        <v>151.80699999999999</v>
      </c>
      <c r="BC375" s="53">
        <f t="shared" si="1555"/>
        <v>7</v>
      </c>
      <c r="BD375" s="53">
        <f t="shared" si="1556"/>
        <v>307.197</v>
      </c>
      <c r="BE375" s="60">
        <f>AZ375+BE374</f>
        <v>23559.722000000005</v>
      </c>
      <c r="BF375" s="60">
        <f t="shared" ref="BF375" si="1871">BA375+BF374</f>
        <v>1513.2349999999999</v>
      </c>
      <c r="BG375" s="60">
        <f t="shared" ref="BG375" si="1872">BB375+BG374</f>
        <v>10616.716000000002</v>
      </c>
      <c r="BH375" s="60">
        <f t="shared" ref="BH375" si="1873">BC375+BH374</f>
        <v>436.85999999999984</v>
      </c>
      <c r="BI375" s="60">
        <f t="shared" ref="BI375" si="1874">BD375+BI374</f>
        <v>36126.533000000003</v>
      </c>
      <c r="BJ375" s="1">
        <v>53</v>
      </c>
    </row>
    <row r="376" spans="1:62" x14ac:dyDescent="0.3">
      <c r="A376" s="48">
        <f t="shared" si="238"/>
        <v>40187</v>
      </c>
      <c r="B376" s="53">
        <v>92800</v>
      </c>
      <c r="C376" s="53">
        <v>34142</v>
      </c>
      <c r="D376" s="53">
        <v>0</v>
      </c>
      <c r="E376" s="53">
        <f t="shared" si="588"/>
        <v>126942</v>
      </c>
      <c r="F376" s="53">
        <f t="shared" ref="F376" si="1875">AVERAGE(E373,E374,E375,E376)</f>
        <v>284157.75</v>
      </c>
      <c r="G376" s="53">
        <f t="shared" ref="G376" si="1876">AVERAGE(F324,F272,F220)</f>
        <v>349805.25</v>
      </c>
      <c r="H376" s="59">
        <f t="shared" ref="H376" si="1877">((E376/E324)-1)*100</f>
        <v>-24.596376596376601</v>
      </c>
      <c r="I376" s="59">
        <f t="shared" ref="I376" si="1878">((F376/F324)-1)*100</f>
        <v>20.525713607073136</v>
      </c>
      <c r="J376" s="59">
        <f t="shared" ref="J376" si="1879">((F376/G376)-1)*100</f>
        <v>-18.766870994646311</v>
      </c>
      <c r="L376" s="53">
        <v>1500</v>
      </c>
      <c r="M376" s="53">
        <v>4904</v>
      </c>
      <c r="N376" s="53">
        <v>1400</v>
      </c>
      <c r="O376" s="53">
        <f t="shared" si="1471"/>
        <v>7804</v>
      </c>
      <c r="P376" s="53">
        <f t="shared" ref="P376" si="1880">AVERAGE(O373,O374,O375,O376)</f>
        <v>16095.25</v>
      </c>
      <c r="Q376" s="53">
        <f t="shared" ref="Q376" si="1881">AVERAGE(P324,P272,P220)</f>
        <v>14062</v>
      </c>
      <c r="R376" s="59">
        <f t="shared" ref="R376" si="1882">((O376/O324)-1)*100</f>
        <v>420.26666666666665</v>
      </c>
      <c r="S376" s="59">
        <f t="shared" ref="S376" si="1883">((P376/P324)-1)*100</f>
        <v>59.35891089108911</v>
      </c>
      <c r="T376" s="59">
        <f t="shared" ref="T376" si="1884">((P376/Q376)-1)*100</f>
        <v>14.45918077087185</v>
      </c>
      <c r="V376" s="53">
        <v>38900</v>
      </c>
      <c r="W376" s="53">
        <v>71014</v>
      </c>
      <c r="X376" s="53">
        <v>36400</v>
      </c>
      <c r="Y376" s="53">
        <f t="shared" si="628"/>
        <v>146314</v>
      </c>
      <c r="Z376" s="53">
        <f t="shared" ref="Z376" si="1885">AVERAGE(Y373,Y374,Y375,Y376)</f>
        <v>197238.25</v>
      </c>
      <c r="AA376" s="53">
        <f t="shared" ref="AA376" si="1886">AVERAGE(Z324,Z272,Z220)</f>
        <v>171558.75</v>
      </c>
      <c r="AB376" s="59">
        <f t="shared" ref="AB376" si="1887">((Y376/Y324)-1)*100</f>
        <v>7.8614080353851756</v>
      </c>
      <c r="AC376" s="59">
        <f t="shared" ref="AC376" si="1888">((Z376/Z324)-1)*100</f>
        <v>14.232741720166686</v>
      </c>
      <c r="AD376" s="59">
        <f t="shared" ref="AD376" si="1889">((Z376/AA376)-1)*100</f>
        <v>14.968341748817826</v>
      </c>
      <c r="AF376" s="53">
        <v>4500</v>
      </c>
      <c r="AG376" s="53">
        <v>8450</v>
      </c>
      <c r="AH376" s="53">
        <v>1400</v>
      </c>
      <c r="AI376" s="53">
        <f t="shared" si="1542"/>
        <v>14350</v>
      </c>
      <c r="AJ376" s="53">
        <f t="shared" ref="AJ376" si="1890">AVERAGE(AI373,AI374,AI375,AI376)</f>
        <v>8537.5</v>
      </c>
      <c r="AK376" s="53">
        <f t="shared" ref="AK376" si="1891">AVERAGE(AJ324,AJ272,AJ220)</f>
        <v>12129.166666666666</v>
      </c>
      <c r="AL376" s="59">
        <f t="shared" ref="AL376" si="1892">((AI376/AI324)-1)*100</f>
        <v>796.875</v>
      </c>
      <c r="AM376" s="59">
        <f t="shared" ref="AM376" si="1893">((AJ376/AJ324)-1)*100</f>
        <v>65.77669902912622</v>
      </c>
      <c r="AN376" s="59">
        <f t="shared" ref="AN376" si="1894">((AJ376/AK376)-1)*100</f>
        <v>-29.611817244933015</v>
      </c>
      <c r="AP376" s="53">
        <f t="shared" si="665"/>
        <v>137700</v>
      </c>
      <c r="AQ376" s="53">
        <f t="shared" si="665"/>
        <v>118510</v>
      </c>
      <c r="AR376" s="53">
        <f t="shared" si="1548"/>
        <v>39200</v>
      </c>
      <c r="AS376" s="53">
        <f t="shared" si="1549"/>
        <v>295410</v>
      </c>
      <c r="AT376" s="53">
        <f t="shared" ref="AT376" si="1895">AVERAGE(AS373,AS374,AS375,AS376)</f>
        <v>506028.75</v>
      </c>
      <c r="AU376" s="53">
        <f t="shared" ref="AU376" si="1896">AVERAGE(AT324,AT272,AT220)</f>
        <v>547555.16666666663</v>
      </c>
      <c r="AV376" s="59">
        <f t="shared" ref="AV376" si="1897">((AS376/AS324)-1)*100</f>
        <v>-3.8065776619993441</v>
      </c>
      <c r="AW376" s="59">
        <f t="shared" ref="AW376" si="1898">((AT376/AT324)-1)*100</f>
        <v>19.436896469317855</v>
      </c>
      <c r="AX376" s="59">
        <f t="shared" ref="AX376" si="1899">((AT376/AU376)-1)*100</f>
        <v>-7.5839694691341553</v>
      </c>
      <c r="AZ376" s="53">
        <f t="shared" si="401"/>
        <v>126.94199999999999</v>
      </c>
      <c r="BA376" s="53">
        <f t="shared" si="402"/>
        <v>7.8040000000000003</v>
      </c>
      <c r="BB376" s="53">
        <f t="shared" si="403"/>
        <v>146.31399999999999</v>
      </c>
      <c r="BC376" s="53">
        <f t="shared" si="1555"/>
        <v>14.35</v>
      </c>
      <c r="BD376" s="53">
        <f t="shared" si="1556"/>
        <v>295.41000000000003</v>
      </c>
      <c r="BE376" s="60">
        <f>AZ376</f>
        <v>126.94199999999999</v>
      </c>
      <c r="BF376" s="60">
        <f t="shared" ref="BF376" si="1900">BA376</f>
        <v>7.8040000000000003</v>
      </c>
      <c r="BG376" s="60">
        <f t="shared" ref="BG376" si="1901">BB376</f>
        <v>146.31399999999999</v>
      </c>
      <c r="BH376" s="60">
        <f t="shared" ref="BH376" si="1902">BC376</f>
        <v>14.35</v>
      </c>
      <c r="BI376" s="60">
        <f t="shared" ref="BI376" si="1903">BD376</f>
        <v>295.41000000000003</v>
      </c>
      <c r="BJ376" s="1">
        <v>1</v>
      </c>
    </row>
    <row r="377" spans="1:62" x14ac:dyDescent="0.3">
      <c r="A377" s="48">
        <f t="shared" si="238"/>
        <v>40194</v>
      </c>
      <c r="B377" s="53">
        <v>66800</v>
      </c>
      <c r="C377" s="53">
        <v>106000</v>
      </c>
      <c r="D377" s="53">
        <v>0</v>
      </c>
      <c r="E377" s="53">
        <f t="shared" ref="E377:E405" si="1904">SUM(B377:D377)</f>
        <v>172800</v>
      </c>
      <c r="F377" s="53">
        <f t="shared" ref="F377" si="1905">AVERAGE(E374,E375,E376,E377)</f>
        <v>193703.75</v>
      </c>
      <c r="G377" s="53">
        <f t="shared" ref="G377" si="1906">AVERAGE(F325,F273,F221)</f>
        <v>345771.25</v>
      </c>
      <c r="H377" s="59">
        <f t="shared" ref="H377" si="1907">((E377/E325)-1)*100</f>
        <v>-56.811121136307399</v>
      </c>
      <c r="I377" s="59">
        <f t="shared" ref="I377" si="1908">((F377/F325)-1)*100</f>
        <v>-20.682619920684154</v>
      </c>
      <c r="J377" s="59">
        <f t="shared" ref="J377" si="1909">((F377/G377)-1)*100</f>
        <v>-43.979220366065718</v>
      </c>
      <c r="L377" s="53">
        <v>13900</v>
      </c>
      <c r="M377" s="53">
        <v>24000</v>
      </c>
      <c r="N377" s="53">
        <v>2800</v>
      </c>
      <c r="O377" s="53">
        <f t="shared" ref="O377:O382" si="1910">SUM(L377:N377)</f>
        <v>40700</v>
      </c>
      <c r="P377" s="53">
        <f t="shared" ref="P377" si="1911">AVERAGE(O374,O375,O376,O377)</f>
        <v>21720.25</v>
      </c>
      <c r="Q377" s="53">
        <f t="shared" ref="Q377" si="1912">AVERAGE(P325,P273,P221)</f>
        <v>11943.333333333334</v>
      </c>
      <c r="R377" s="59">
        <f t="shared" ref="R377" si="1913">((O377/O325)-1)*100</f>
        <v>302.97029702970298</v>
      </c>
      <c r="S377" s="59">
        <f t="shared" ref="S377" si="1914">((P377/P325)-1)*100</f>
        <v>229.09469696969697</v>
      </c>
      <c r="T377" s="59">
        <f t="shared" ref="T377" si="1915">((P377/Q377)-1)*100</f>
        <v>81.860870778677082</v>
      </c>
      <c r="V377" s="53">
        <v>47548</v>
      </c>
      <c r="W377" s="53">
        <v>160926</v>
      </c>
      <c r="X377" s="53">
        <v>40600</v>
      </c>
      <c r="Y377" s="53">
        <f t="shared" ref="Y377:Y476" si="1916">SUM(V377:X377)</f>
        <v>249074</v>
      </c>
      <c r="Z377" s="53">
        <f t="shared" ref="Z377" si="1917">AVERAGE(Y374,Y375,Y376,Y377)</f>
        <v>192888.75</v>
      </c>
      <c r="AA377" s="53">
        <f t="shared" ref="AA377" si="1918">AVERAGE(Z325,Z273,Z221)</f>
        <v>178816.33333333334</v>
      </c>
      <c r="AB377" s="59">
        <f t="shared" ref="AB377" si="1919">((Y377/Y325)-1)*100</f>
        <v>8.9443411700382605</v>
      </c>
      <c r="AC377" s="59">
        <f t="shared" ref="AC377" si="1920">((Z377/Z325)-1)*100</f>
        <v>2.7782107076204987</v>
      </c>
      <c r="AD377" s="59">
        <f t="shared" ref="AD377" si="1921">((Z377/AA377)-1)*100</f>
        <v>7.8697602195175964</v>
      </c>
      <c r="AF377" s="53">
        <v>0</v>
      </c>
      <c r="AG377" s="53">
        <v>0</v>
      </c>
      <c r="AH377" s="53">
        <v>1400</v>
      </c>
      <c r="AI377" s="53">
        <f t="shared" ref="AI377:AI404" si="1922">SUM(AF377:AH377)</f>
        <v>1400</v>
      </c>
      <c r="AJ377" s="53">
        <f t="shared" ref="AJ377" si="1923">AVERAGE(AI374,AI375,AI376,AI377)</f>
        <v>6487.5</v>
      </c>
      <c r="AK377" s="53">
        <f t="shared" ref="AK377" si="1924">AVERAGE(AJ325,AJ273,AJ221)</f>
        <v>11070.166666666666</v>
      </c>
      <c r="AL377" s="59"/>
      <c r="AM377" s="59">
        <f t="shared" ref="AM377" si="1925">((AJ377/AJ325)-1)*100</f>
        <v>99.615384615384613</v>
      </c>
      <c r="AN377" s="59">
        <f t="shared" ref="AN377" si="1926">((AJ377/AK377)-1)*100</f>
        <v>-41.396546273016064</v>
      </c>
      <c r="AP377" s="53">
        <f t="shared" ref="AP377:AP475" si="1927">SUM(B377,L377,V377,AF377)</f>
        <v>128248</v>
      </c>
      <c r="AQ377" s="53">
        <f t="shared" ref="AQ377:AQ475" si="1928">SUM(C377,M377,W377,AG377)</f>
        <v>290926</v>
      </c>
      <c r="AR377" s="53">
        <f t="shared" ref="AR377:AR404" si="1929">SUM(D377,N377,X377,AH377)</f>
        <v>44800</v>
      </c>
      <c r="AS377" s="53">
        <f t="shared" ref="AS377:AS404" si="1930">SUM(E377,O377,Y377,AI377)</f>
        <v>463974</v>
      </c>
      <c r="AT377" s="53">
        <f t="shared" ref="AT377" si="1931">AVERAGE(AS374,AS375,AS376,AS377)</f>
        <v>414800.25</v>
      </c>
      <c r="AU377" s="53">
        <f t="shared" ref="AU377" si="1932">AVERAGE(AT325,AT273,AT221)</f>
        <v>547601.08333333337</v>
      </c>
      <c r="AV377" s="59">
        <f t="shared" ref="AV377" si="1933">((AS377/AS325)-1)*100</f>
        <v>-27.371060755007605</v>
      </c>
      <c r="AW377" s="59">
        <f t="shared" ref="AW377" si="1934">((AT377/AT325)-1)*100</f>
        <v>-6.0981814456864463</v>
      </c>
      <c r="AX377" s="59">
        <f t="shared" ref="AX377" si="1935">((AT377/AU377)-1)*100</f>
        <v>-24.251382507308783</v>
      </c>
      <c r="AZ377" s="53">
        <f t="shared" ref="AZ377:AZ404" si="1936">+E377/1000</f>
        <v>172.8</v>
      </c>
      <c r="BA377" s="53">
        <f t="shared" ref="BA377:BA404" si="1937">+O377/1000</f>
        <v>40.700000000000003</v>
      </c>
      <c r="BB377" s="53">
        <f t="shared" ref="BB377:BB404" si="1938">+Y377/1000</f>
        <v>249.07400000000001</v>
      </c>
      <c r="BC377" s="53">
        <f t="shared" ref="BC377:BC404" si="1939">+AI377/1000</f>
        <v>1.4</v>
      </c>
      <c r="BD377" s="53">
        <f t="shared" ref="BD377:BD404" si="1940">+AS377/1000</f>
        <v>463.97399999999999</v>
      </c>
      <c r="BE377" s="60">
        <f t="shared" ref="BE377:BI378" si="1941">AZ377+BE376</f>
        <v>299.74200000000002</v>
      </c>
      <c r="BF377" s="60">
        <f t="shared" si="1941"/>
        <v>48.504000000000005</v>
      </c>
      <c r="BG377" s="60">
        <f t="shared" si="1941"/>
        <v>395.38800000000003</v>
      </c>
      <c r="BH377" s="60">
        <f t="shared" si="1941"/>
        <v>15.75</v>
      </c>
      <c r="BI377" s="60">
        <f t="shared" si="1941"/>
        <v>759.38400000000001</v>
      </c>
      <c r="BJ377" s="1">
        <v>2</v>
      </c>
    </row>
    <row r="378" spans="1:62" x14ac:dyDescent="0.3">
      <c r="A378" s="48">
        <f t="shared" si="238"/>
        <v>40201</v>
      </c>
      <c r="B378" s="53">
        <v>163978</v>
      </c>
      <c r="C378" s="53">
        <v>123950</v>
      </c>
      <c r="D378" s="53">
        <v>0</v>
      </c>
      <c r="E378" s="53">
        <f t="shared" si="1904"/>
        <v>287928</v>
      </c>
      <c r="F378" s="53">
        <f t="shared" ref="F378" si="1942">AVERAGE(E375,E376,E377,E378)</f>
        <v>180858.25</v>
      </c>
      <c r="G378" s="53">
        <f t="shared" ref="G378" si="1943">AVERAGE(F326,F274,F222)</f>
        <v>362039.91666666669</v>
      </c>
      <c r="H378" s="59">
        <f t="shared" ref="H378" si="1944">((E378/E326)-1)*100</f>
        <v>-20.822769146157015</v>
      </c>
      <c r="I378" s="59">
        <f t="shared" ref="I378" si="1945">((F378/F326)-1)*100</f>
        <v>-39.380712650535777</v>
      </c>
      <c r="J378" s="59">
        <f t="shared" ref="J378" si="1946">((F378/G378)-1)*100</f>
        <v>-50.044665885138365</v>
      </c>
      <c r="L378" s="53">
        <v>4800</v>
      </c>
      <c r="M378" s="53">
        <v>21500</v>
      </c>
      <c r="N378" s="53">
        <v>1400</v>
      </c>
      <c r="O378" s="53">
        <f t="shared" si="1910"/>
        <v>27700</v>
      </c>
      <c r="P378" s="53">
        <f t="shared" ref="P378" si="1947">AVERAGE(O375,O376,O377,O378)</f>
        <v>22207.75</v>
      </c>
      <c r="Q378" s="53">
        <f t="shared" ref="Q378" si="1948">AVERAGE(P326,P274,P222)</f>
        <v>13155.5</v>
      </c>
      <c r="R378" s="59">
        <f t="shared" ref="R378" si="1949">((O378/O326)-1)*100</f>
        <v>43.404431559329048</v>
      </c>
      <c r="S378" s="59">
        <f t="shared" ref="S378" si="1950">((P378/P326)-1)*100</f>
        <v>131.23438150770514</v>
      </c>
      <c r="T378" s="59">
        <f t="shared" ref="T378" si="1951">((P378/Q378)-1)*100</f>
        <v>68.809623351449957</v>
      </c>
      <c r="V378" s="53">
        <v>143188</v>
      </c>
      <c r="W378" s="53">
        <v>139400</v>
      </c>
      <c r="X378" s="53">
        <v>33600</v>
      </c>
      <c r="Y378" s="53">
        <f t="shared" si="1916"/>
        <v>316188</v>
      </c>
      <c r="Z378" s="53">
        <f t="shared" ref="Z378" si="1952">AVERAGE(Y375,Y376,Y377,Y378)</f>
        <v>215845.75</v>
      </c>
      <c r="AA378" s="53">
        <f t="shared" ref="AA378" si="1953">AVERAGE(Z326,Z274,Z222)</f>
        <v>183975.58333333334</v>
      </c>
      <c r="AB378" s="59">
        <f t="shared" ref="AB378" si="1954">((Y378/Y326)-1)*100</f>
        <v>7.1024998306347786</v>
      </c>
      <c r="AC378" s="59">
        <f t="shared" ref="AC378" si="1955">((Z378/Z326)-1)*100</f>
        <v>1.6228909068438435</v>
      </c>
      <c r="AD378" s="59">
        <f t="shared" ref="AD378" si="1956">((Z378/AA378)-1)*100</f>
        <v>17.32304150867845</v>
      </c>
      <c r="AF378" s="53">
        <v>12400</v>
      </c>
      <c r="AG378" s="53">
        <v>0</v>
      </c>
      <c r="AH378" s="53">
        <v>1400</v>
      </c>
      <c r="AI378" s="53">
        <f t="shared" si="1922"/>
        <v>13800</v>
      </c>
      <c r="AJ378" s="53">
        <f t="shared" ref="AJ378" si="1957">AVERAGE(AI375,AI376,AI377,AI378)</f>
        <v>9137.5</v>
      </c>
      <c r="AK378" s="53">
        <f t="shared" ref="AK378" si="1958">AVERAGE(AJ326,AJ274,AJ222)</f>
        <v>9786.8333333333339</v>
      </c>
      <c r="AL378" s="59">
        <f t="shared" ref="AL378" si="1959">((AI378/AI326)-1)*100</f>
        <v>331.25</v>
      </c>
      <c r="AM378" s="59">
        <f t="shared" ref="AM378" si="1960">((AJ378/AJ326)-1)*100</f>
        <v>226.33928571428572</v>
      </c>
      <c r="AN378" s="59">
        <f t="shared" ref="AN378" si="1961">((AJ378/AK378)-1)*100</f>
        <v>-6.6347643943393431</v>
      </c>
      <c r="AP378" s="53">
        <f t="shared" si="1927"/>
        <v>324366</v>
      </c>
      <c r="AQ378" s="53">
        <f t="shared" si="1928"/>
        <v>284850</v>
      </c>
      <c r="AR378" s="53">
        <f t="shared" si="1929"/>
        <v>36400</v>
      </c>
      <c r="AS378" s="53">
        <f t="shared" si="1930"/>
        <v>645616</v>
      </c>
      <c r="AT378" s="53">
        <f t="shared" ref="AT378" si="1962">AVERAGE(AS375,AS376,AS377,AS378)</f>
        <v>428049.25</v>
      </c>
      <c r="AU378" s="53">
        <f t="shared" ref="AU378" si="1963">AVERAGE(AT326,AT274,AT222)</f>
        <v>568957.83333333337</v>
      </c>
      <c r="AV378" s="59">
        <f t="shared" ref="AV378" si="1964">((AS378/AS326)-1)*100</f>
        <v>-5.24959420944956</v>
      </c>
      <c r="AW378" s="59">
        <f t="shared" ref="AW378" si="1965">((AT378/AT326)-1)*100</f>
        <v>-18.179072595771316</v>
      </c>
      <c r="AX378" s="59">
        <f t="shared" ref="AX378" si="1966">((AT378/AU378)-1)*100</f>
        <v>-24.766085477336198</v>
      </c>
      <c r="AZ378" s="53">
        <f t="shared" si="1936"/>
        <v>287.928</v>
      </c>
      <c r="BA378" s="53">
        <f t="shared" si="1937"/>
        <v>27.7</v>
      </c>
      <c r="BB378" s="53">
        <f t="shared" si="1938"/>
        <v>316.18799999999999</v>
      </c>
      <c r="BC378" s="53">
        <f t="shared" si="1939"/>
        <v>13.8</v>
      </c>
      <c r="BD378" s="53">
        <f t="shared" si="1940"/>
        <v>645.61599999999999</v>
      </c>
      <c r="BE378" s="60">
        <f t="shared" si="1941"/>
        <v>587.67000000000007</v>
      </c>
      <c r="BF378" s="60">
        <f t="shared" si="1941"/>
        <v>76.204000000000008</v>
      </c>
      <c r="BG378" s="60">
        <f t="shared" si="1941"/>
        <v>711.57600000000002</v>
      </c>
      <c r="BH378" s="60">
        <f t="shared" si="1941"/>
        <v>29.55</v>
      </c>
      <c r="BI378" s="60">
        <f t="shared" si="1941"/>
        <v>1405</v>
      </c>
      <c r="BJ378" s="1">
        <v>3</v>
      </c>
    </row>
    <row r="379" spans="1:62" x14ac:dyDescent="0.3">
      <c r="A379" s="48">
        <f t="shared" si="238"/>
        <v>40208</v>
      </c>
      <c r="B379" s="53">
        <v>195170</v>
      </c>
      <c r="C379" s="53">
        <v>154600</v>
      </c>
      <c r="D379" s="53">
        <v>0</v>
      </c>
      <c r="E379" s="53">
        <f t="shared" si="1904"/>
        <v>349770</v>
      </c>
      <c r="F379" s="53">
        <f t="shared" ref="F379" si="1967">AVERAGE(E376,E377,E378,E379)</f>
        <v>234360</v>
      </c>
      <c r="G379" s="53">
        <f t="shared" ref="G379" si="1968">AVERAGE(F327,F275,F223)</f>
        <v>344951</v>
      </c>
      <c r="H379" s="59">
        <f t="shared" ref="H379" si="1969">((E379/E327)-1)*100</f>
        <v>178.31310921026454</v>
      </c>
      <c r="I379" s="59">
        <f t="shared" ref="I379" si="1970">((F379/F327)-1)*100</f>
        <v>-11.376489206619912</v>
      </c>
      <c r="J379" s="59">
        <f t="shared" ref="J379" si="1971">((F379/G379)-1)*100</f>
        <v>-32.059915756150872</v>
      </c>
      <c r="L379" s="53">
        <v>6400</v>
      </c>
      <c r="M379" s="53">
        <v>10950</v>
      </c>
      <c r="N379" s="53">
        <v>0</v>
      </c>
      <c r="O379" s="53">
        <f t="shared" si="1910"/>
        <v>17350</v>
      </c>
      <c r="P379" s="53">
        <f t="shared" ref="P379" si="1972">AVERAGE(O376,O377,O378,O379)</f>
        <v>23388.5</v>
      </c>
      <c r="Q379" s="53">
        <f t="shared" ref="Q379" si="1973">AVERAGE(P327,P275,P223)</f>
        <v>10393</v>
      </c>
      <c r="R379" s="59">
        <f t="shared" ref="R379" si="1974">((O379/O327)-1)*100</f>
        <v>519.64285714285711</v>
      </c>
      <c r="S379" s="59">
        <f t="shared" ref="S379" si="1975">((P379/P327)-1)*100</f>
        <v>177.47656898801756</v>
      </c>
      <c r="T379" s="59">
        <f t="shared" ref="T379" si="1976">((P379/Q379)-1)*100</f>
        <v>125.04089290868853</v>
      </c>
      <c r="V379" s="53">
        <v>107348</v>
      </c>
      <c r="W379" s="53">
        <v>126850</v>
      </c>
      <c r="X379" s="53">
        <v>35000</v>
      </c>
      <c r="Y379" s="53">
        <f t="shared" si="1916"/>
        <v>269198</v>
      </c>
      <c r="Z379" s="53">
        <f t="shared" ref="Z379" si="1977">AVERAGE(Y376,Y377,Y378,Y379)</f>
        <v>245193.5</v>
      </c>
      <c r="AA379" s="53">
        <f t="shared" ref="AA379" si="1978">AVERAGE(Z327,Z275,Z223)</f>
        <v>176053.08333333334</v>
      </c>
      <c r="AB379" s="59">
        <f t="shared" ref="AB379" si="1979">((Y379/Y327)-1)*100</f>
        <v>153.96037735849055</v>
      </c>
      <c r="AC379" s="59">
        <f t="shared" ref="AC379" si="1980">((Z379/Z327)-1)*100</f>
        <v>28.122848614295325</v>
      </c>
      <c r="AD379" s="59">
        <f t="shared" ref="AD379" si="1981">((Z379/AA379)-1)*100</f>
        <v>39.272482683963219</v>
      </c>
      <c r="AF379" s="53">
        <v>0</v>
      </c>
      <c r="AG379" s="53">
        <v>0</v>
      </c>
      <c r="AH379" s="53">
        <v>7100</v>
      </c>
      <c r="AI379" s="53">
        <f t="shared" si="1922"/>
        <v>7100</v>
      </c>
      <c r="AJ379" s="53">
        <f t="shared" ref="AJ379" si="1982">AVERAGE(AI376,AI377,AI378,AI379)</f>
        <v>9162.5</v>
      </c>
      <c r="AK379" s="53">
        <f t="shared" ref="AK379" si="1983">AVERAGE(AJ327,AJ275,AJ223)</f>
        <v>9461.8333333333339</v>
      </c>
      <c r="AL379" s="59"/>
      <c r="AM379" s="59">
        <f t="shared" ref="AM379" si="1984">((AJ379/AJ327)-1)*100</f>
        <v>663.54166666666674</v>
      </c>
      <c r="AN379" s="59">
        <f t="shared" ref="AN379" si="1985">((AJ379/AK379)-1)*100</f>
        <v>-3.1635870426802493</v>
      </c>
      <c r="AP379" s="53">
        <f t="shared" si="1927"/>
        <v>308918</v>
      </c>
      <c r="AQ379" s="53">
        <f t="shared" si="1928"/>
        <v>292400</v>
      </c>
      <c r="AR379" s="53">
        <f t="shared" si="1929"/>
        <v>42100</v>
      </c>
      <c r="AS379" s="53">
        <f t="shared" si="1930"/>
        <v>643418</v>
      </c>
      <c r="AT379" s="53">
        <f t="shared" ref="AT379" si="1986">AVERAGE(AS376,AS377,AS378,AS379)</f>
        <v>512104.5</v>
      </c>
      <c r="AU379" s="53">
        <f t="shared" ref="AU379" si="1987">AVERAGE(AT327,AT275,AT223)</f>
        <v>540858.91666666663</v>
      </c>
      <c r="AV379" s="59">
        <f t="shared" ref="AV379" si="1988">((AS379/AS327)-1)*100</f>
        <v>174.40793261541739</v>
      </c>
      <c r="AW379" s="59">
        <f t="shared" ref="AW379" si="1989">((AT379/AT327)-1)*100</f>
        <v>10.024175671894087</v>
      </c>
      <c r="AX379" s="59">
        <f t="shared" ref="AX379" si="1990">((AT379/AU379)-1)*100</f>
        <v>-5.3164357248432044</v>
      </c>
      <c r="AZ379" s="53">
        <f t="shared" si="1936"/>
        <v>349.77</v>
      </c>
      <c r="BA379" s="53">
        <f t="shared" si="1937"/>
        <v>17.350000000000001</v>
      </c>
      <c r="BB379" s="53">
        <f t="shared" si="1938"/>
        <v>269.19799999999998</v>
      </c>
      <c r="BC379" s="53">
        <f t="shared" si="1939"/>
        <v>7.1</v>
      </c>
      <c r="BD379" s="53">
        <f t="shared" si="1940"/>
        <v>643.41800000000001</v>
      </c>
      <c r="BE379" s="60">
        <f t="shared" ref="BE379" si="1991">AZ379+BE378</f>
        <v>937.44</v>
      </c>
      <c r="BF379" s="60">
        <f t="shared" ref="BF379" si="1992">BA379+BF378</f>
        <v>93.554000000000002</v>
      </c>
      <c r="BG379" s="60">
        <f t="shared" ref="BG379" si="1993">BB379+BG378</f>
        <v>980.774</v>
      </c>
      <c r="BH379" s="60">
        <f t="shared" ref="BH379" si="1994">BC379+BH378</f>
        <v>36.65</v>
      </c>
      <c r="BI379" s="60">
        <f t="shared" ref="BI379" si="1995">BD379+BI378</f>
        <v>2048.4180000000001</v>
      </c>
      <c r="BJ379" s="1">
        <v>4</v>
      </c>
    </row>
    <row r="380" spans="1:62" x14ac:dyDescent="0.3">
      <c r="A380" s="48">
        <f t="shared" si="238"/>
        <v>40215</v>
      </c>
      <c r="B380" s="53">
        <v>160300</v>
      </c>
      <c r="C380" s="53">
        <v>156312</v>
      </c>
      <c r="D380" s="53">
        <v>0</v>
      </c>
      <c r="E380" s="53">
        <f t="shared" si="1904"/>
        <v>316612</v>
      </c>
      <c r="F380" s="53">
        <f t="shared" ref="F380" si="1996">AVERAGE(E377,E378,E379,E380)</f>
        <v>281777.5</v>
      </c>
      <c r="G380" s="53">
        <f t="shared" ref="G380" si="1997">AVERAGE(F328,F276,F224)</f>
        <v>336250.75</v>
      </c>
      <c r="H380" s="59">
        <f t="shared" ref="H380" si="1998">((E380/E328)-1)*100</f>
        <v>30.755761129924842</v>
      </c>
      <c r="I380" s="59">
        <f t="shared" ref="I380" si="1999">((F380/F328)-1)*100</f>
        <v>-0.39396660209549683</v>
      </c>
      <c r="J380" s="59">
        <f t="shared" ref="J380" si="2000">((F380/G380)-1)*100</f>
        <v>-16.200186914081229</v>
      </c>
      <c r="L380" s="53">
        <v>39000</v>
      </c>
      <c r="M380" s="53">
        <v>3000</v>
      </c>
      <c r="N380" s="53">
        <v>0</v>
      </c>
      <c r="O380" s="53">
        <f t="shared" si="1910"/>
        <v>42000</v>
      </c>
      <c r="P380" s="53">
        <f t="shared" ref="P380" si="2001">AVERAGE(O377,O378,O379,O380)</f>
        <v>31937.5</v>
      </c>
      <c r="Q380" s="53">
        <f t="shared" ref="Q380" si="2002">AVERAGE(P328,P276,P224)</f>
        <v>9975.1666666666661</v>
      </c>
      <c r="R380" s="59">
        <f t="shared" ref="R380" si="2003">((O380/O328)-1)*100</f>
        <v>624.13793103448279</v>
      </c>
      <c r="S380" s="59">
        <f t="shared" ref="S380" si="2004">((P380/P328)-1)*100</f>
        <v>236.04271885521885</v>
      </c>
      <c r="T380" s="59">
        <f t="shared" ref="T380" si="2005">((P380/Q380)-1)*100</f>
        <v>220.17008905448532</v>
      </c>
      <c r="V380" s="53">
        <v>103000</v>
      </c>
      <c r="W380" s="53">
        <v>151269</v>
      </c>
      <c r="X380" s="53">
        <v>58800</v>
      </c>
      <c r="Y380" s="53">
        <f t="shared" si="1916"/>
        <v>313069</v>
      </c>
      <c r="Z380" s="53">
        <f t="shared" ref="Z380" si="2006">AVERAGE(Y377,Y378,Y379,Y380)</f>
        <v>286882.25</v>
      </c>
      <c r="AA380" s="53">
        <f t="shared" ref="AA380" si="2007">AVERAGE(Z328,Z276,Z224)</f>
        <v>167018.16666666666</v>
      </c>
      <c r="AB380" s="59">
        <f t="shared" ref="AB380" si="2008">((Y380/Y328)-1)*100</f>
        <v>85.02895981087471</v>
      </c>
      <c r="AC380" s="59">
        <f t="shared" ref="AC380" si="2009">((Z380/Z328)-1)*100</f>
        <v>43.61256249648018</v>
      </c>
      <c r="AD380" s="59">
        <f t="shared" ref="AD380" si="2010">((Z380/AA380)-1)*100</f>
        <v>71.767093200440286</v>
      </c>
      <c r="AF380" s="53">
        <v>7500</v>
      </c>
      <c r="AG380" s="53">
        <v>0</v>
      </c>
      <c r="AH380" s="53">
        <v>12600</v>
      </c>
      <c r="AI380" s="53">
        <f t="shared" si="1922"/>
        <v>20100</v>
      </c>
      <c r="AJ380" s="53">
        <f t="shared" ref="AJ380" si="2011">AVERAGE(AI377,AI378,AI379,AI380)</f>
        <v>10600</v>
      </c>
      <c r="AK380" s="53">
        <f t="shared" ref="AK380" si="2012">AVERAGE(AJ328,AJ276,AJ224)</f>
        <v>9195.1666666666661</v>
      </c>
      <c r="AL380" s="59">
        <f t="shared" ref="AL380" si="2013">((AI380/AI328)-1)*100</f>
        <v>318.75</v>
      </c>
      <c r="AM380" s="59">
        <f t="shared" ref="AM380" si="2014">((AJ380/AJ328)-1)*100</f>
        <v>430</v>
      </c>
      <c r="AN380" s="59">
        <f t="shared" ref="AN380" si="2015">((AJ380/AK380)-1)*100</f>
        <v>15.277953997571192</v>
      </c>
      <c r="AP380" s="53">
        <f t="shared" si="1927"/>
        <v>309800</v>
      </c>
      <c r="AQ380" s="53">
        <f t="shared" si="1928"/>
        <v>310581</v>
      </c>
      <c r="AR380" s="53">
        <f t="shared" si="1929"/>
        <v>71400</v>
      </c>
      <c r="AS380" s="53">
        <f t="shared" si="1930"/>
        <v>691781</v>
      </c>
      <c r="AT380" s="53">
        <f t="shared" ref="AT380" si="2016">AVERAGE(AS377,AS378,AS379,AS380)</f>
        <v>611197.25</v>
      </c>
      <c r="AU380" s="53">
        <f t="shared" ref="AU380" si="2017">AVERAGE(AT328,AT276,AT224)</f>
        <v>522439.25</v>
      </c>
      <c r="AV380" s="59">
        <f t="shared" ref="AV380" si="2018">((AS380/AS328)-1)*100</f>
        <v>63.952457695406942</v>
      </c>
      <c r="AW380" s="59">
        <f t="shared" ref="AW380" si="2019">((AT380/AT328)-1)*100</f>
        <v>23.684768360678721</v>
      </c>
      <c r="AX380" s="59">
        <f t="shared" ref="AX380" si="2020">((AT380/AU380)-1)*100</f>
        <v>16.989152327280156</v>
      </c>
      <c r="AZ380" s="53">
        <f t="shared" si="1936"/>
        <v>316.61200000000002</v>
      </c>
      <c r="BA380" s="53">
        <f t="shared" si="1937"/>
        <v>42</v>
      </c>
      <c r="BB380" s="53">
        <f t="shared" si="1938"/>
        <v>313.06900000000002</v>
      </c>
      <c r="BC380" s="53">
        <f t="shared" si="1939"/>
        <v>20.100000000000001</v>
      </c>
      <c r="BD380" s="53">
        <f t="shared" si="1940"/>
        <v>691.78099999999995</v>
      </c>
      <c r="BE380" s="60">
        <f t="shared" ref="BE380" si="2021">AZ380+BE379</f>
        <v>1254.0520000000001</v>
      </c>
      <c r="BF380" s="60">
        <f t="shared" ref="BF380" si="2022">BA380+BF379</f>
        <v>135.554</v>
      </c>
      <c r="BG380" s="60">
        <f t="shared" ref="BG380" si="2023">BB380+BG379</f>
        <v>1293.8430000000001</v>
      </c>
      <c r="BH380" s="60">
        <f t="shared" ref="BH380" si="2024">BC380+BH379</f>
        <v>56.75</v>
      </c>
      <c r="BI380" s="60">
        <f t="shared" ref="BI380" si="2025">BD380+BI379</f>
        <v>2740.1990000000001</v>
      </c>
      <c r="BJ380" s="1">
        <v>5</v>
      </c>
    </row>
    <row r="381" spans="1:62" x14ac:dyDescent="0.3">
      <c r="A381" s="48">
        <f t="shared" si="238"/>
        <v>40222</v>
      </c>
      <c r="B381" s="53">
        <v>191200</v>
      </c>
      <c r="C381" s="53">
        <v>172300</v>
      </c>
      <c r="D381" s="53">
        <v>0</v>
      </c>
      <c r="E381" s="53">
        <f t="shared" si="1904"/>
        <v>363500</v>
      </c>
      <c r="F381" s="53">
        <f t="shared" ref="F381" si="2026">AVERAGE(E378,E379,E380,E381)</f>
        <v>329452.5</v>
      </c>
      <c r="G381" s="53">
        <f t="shared" ref="G381" si="2027">AVERAGE(F329,F277,F225)</f>
        <v>300397</v>
      </c>
      <c r="H381" s="59">
        <f t="shared" ref="H381" si="2028">((E381/E329)-1)*100</f>
        <v>9.1378559740591179</v>
      </c>
      <c r="I381" s="59">
        <f t="shared" ref="I381" si="2029">((F381/F329)-1)*100</f>
        <v>23.792659671404294</v>
      </c>
      <c r="J381" s="59">
        <f t="shared" ref="J381" si="2030">((F381/G381)-1)*100</f>
        <v>9.6723669011341542</v>
      </c>
      <c r="L381" s="53">
        <v>15600</v>
      </c>
      <c r="M381" s="53">
        <v>3350</v>
      </c>
      <c r="N381" s="53">
        <v>4200</v>
      </c>
      <c r="O381" s="53">
        <f t="shared" si="1910"/>
        <v>23150</v>
      </c>
      <c r="P381" s="53">
        <f t="shared" ref="P381" si="2031">AVERAGE(O378,O379,O380,O381)</f>
        <v>27550</v>
      </c>
      <c r="Q381" s="53">
        <f t="shared" ref="Q381" si="2032">AVERAGE(P329,P277,P225)</f>
        <v>13170.916666666666</v>
      </c>
      <c r="R381" s="59">
        <f t="shared" ref="R381" si="2033">((O381/O329)-1)*100</f>
        <v>69.609495201113631</v>
      </c>
      <c r="S381" s="59">
        <f t="shared" ref="S381" si="2034">((P381/P329)-1)*100</f>
        <v>165.12690965956932</v>
      </c>
      <c r="T381" s="59">
        <f t="shared" ref="T381" si="2035">((P381/Q381)-1)*100</f>
        <v>109.1729884657484</v>
      </c>
      <c r="V381" s="53">
        <v>133600</v>
      </c>
      <c r="W381" s="53">
        <v>102743</v>
      </c>
      <c r="X381" s="53">
        <v>46200</v>
      </c>
      <c r="Y381" s="53">
        <f t="shared" si="1916"/>
        <v>282543</v>
      </c>
      <c r="Z381" s="53">
        <f t="shared" ref="Z381" si="2036">AVERAGE(Y378,Y379,Y380,Y381)</f>
        <v>295249.5</v>
      </c>
      <c r="AA381" s="53">
        <f t="shared" ref="AA381" si="2037">AVERAGE(Z329,Z277,Z225)</f>
        <v>153330.41666666666</v>
      </c>
      <c r="AB381" s="59">
        <f t="shared" ref="AB381" si="2038">((Y381/Y329)-1)*100</f>
        <v>78.589578276699029</v>
      </c>
      <c r="AC381" s="59">
        <f t="shared" ref="AC381" si="2039">((Z381/Z329)-1)*100</f>
        <v>62.085179268433265</v>
      </c>
      <c r="AD381" s="59">
        <f t="shared" ref="AD381" si="2040">((Z381/AA381)-1)*100</f>
        <v>92.557684521172973</v>
      </c>
      <c r="AF381" s="53">
        <v>0</v>
      </c>
      <c r="AG381" s="53">
        <v>0</v>
      </c>
      <c r="AH381" s="53">
        <v>7000</v>
      </c>
      <c r="AI381" s="53">
        <f t="shared" si="1922"/>
        <v>7000</v>
      </c>
      <c r="AJ381" s="53">
        <f t="shared" ref="AJ381" si="2041">AVERAGE(AI378,AI379,AI380,AI381)</f>
        <v>12000</v>
      </c>
      <c r="AK381" s="53">
        <f t="shared" ref="AK381" si="2042">AVERAGE(AJ329,AJ277,AJ225)</f>
        <v>8929.1666666666661</v>
      </c>
      <c r="AL381" s="59">
        <f t="shared" ref="AL381" si="2043">((AI381/AI329)-1)*100</f>
        <v>11.111111111111116</v>
      </c>
      <c r="AM381" s="59">
        <f t="shared" ref="AM381" si="2044">((AJ381/AJ329)-1)*100</f>
        <v>235.66433566433568</v>
      </c>
      <c r="AN381" s="59">
        <f t="shared" ref="AN381" si="2045">((AJ381/AK381)-1)*100</f>
        <v>34.391040597293518</v>
      </c>
      <c r="AP381" s="53">
        <f t="shared" si="1927"/>
        <v>340400</v>
      </c>
      <c r="AQ381" s="53">
        <f t="shared" si="1928"/>
        <v>278393</v>
      </c>
      <c r="AR381" s="53">
        <f t="shared" si="1929"/>
        <v>57400</v>
      </c>
      <c r="AS381" s="53">
        <f t="shared" si="1930"/>
        <v>676193</v>
      </c>
      <c r="AT381" s="53">
        <f t="shared" ref="AT381" si="2046">AVERAGE(AS378,AS379,AS380,AS381)</f>
        <v>664252</v>
      </c>
      <c r="AU381" s="53">
        <f t="shared" ref="AU381" si="2047">AVERAGE(AT329,AT277,AT225)</f>
        <v>475827.5</v>
      </c>
      <c r="AV381" s="59">
        <f t="shared" ref="AV381" si="2048">((AS381/AS329)-1)*100</f>
        <v>32.269933610055901</v>
      </c>
      <c r="AW381" s="59">
        <f t="shared" ref="AW381" si="2049">((AT381/AT329)-1)*100</f>
        <v>43.697942102396766</v>
      </c>
      <c r="AX381" s="59">
        <f t="shared" ref="AX381" si="2050">((AT381/AU381)-1)*100</f>
        <v>39.599329588979202</v>
      </c>
      <c r="AZ381" s="53">
        <f t="shared" si="1936"/>
        <v>363.5</v>
      </c>
      <c r="BA381" s="53">
        <f t="shared" si="1937"/>
        <v>23.15</v>
      </c>
      <c r="BB381" s="53">
        <f t="shared" si="1938"/>
        <v>282.54300000000001</v>
      </c>
      <c r="BC381" s="53">
        <f t="shared" si="1939"/>
        <v>7</v>
      </c>
      <c r="BD381" s="53">
        <f t="shared" si="1940"/>
        <v>676.19299999999998</v>
      </c>
      <c r="BE381" s="60">
        <f t="shared" ref="BE381" si="2051">AZ381+BE380</f>
        <v>1617.5520000000001</v>
      </c>
      <c r="BF381" s="60">
        <f t="shared" ref="BF381" si="2052">BA381+BF380</f>
        <v>158.70400000000001</v>
      </c>
      <c r="BG381" s="60">
        <f t="shared" ref="BG381" si="2053">BB381+BG380</f>
        <v>1576.386</v>
      </c>
      <c r="BH381" s="60">
        <f t="shared" ref="BH381" si="2054">BC381+BH380</f>
        <v>63.75</v>
      </c>
      <c r="BI381" s="60">
        <f t="shared" ref="BI381" si="2055">BD381+BI380</f>
        <v>3416.3919999999998</v>
      </c>
      <c r="BJ381" s="1">
        <v>6</v>
      </c>
    </row>
    <row r="382" spans="1:62" x14ac:dyDescent="0.3">
      <c r="A382" s="48">
        <f t="shared" si="238"/>
        <v>40229</v>
      </c>
      <c r="B382" s="53">
        <v>154772</v>
      </c>
      <c r="C382" s="53">
        <v>164350</v>
      </c>
      <c r="D382" s="53">
        <v>0</v>
      </c>
      <c r="E382" s="53">
        <f t="shared" si="1904"/>
        <v>319122</v>
      </c>
      <c r="F382" s="53">
        <f t="shared" ref="F382" si="2056">AVERAGE(E379,E380,E381,E382)</f>
        <v>337251</v>
      </c>
      <c r="G382" s="53">
        <f t="shared" ref="G382" si="2057">AVERAGE(F330,F278,F226)</f>
        <v>274907.58333333331</v>
      </c>
      <c r="H382" s="59">
        <f t="shared" ref="H382" si="2058">((E382/E330)-1)*100</f>
        <v>-22.867087230802696</v>
      </c>
      <c r="I382" s="59">
        <f t="shared" ref="I382" si="2059">((F382/F330)-1)*100</f>
        <v>21.029238926620074</v>
      </c>
      <c r="J382" s="59">
        <f t="shared" ref="J382" si="2060">((F382/G382)-1)*100</f>
        <v>22.677954500466988</v>
      </c>
      <c r="L382" s="53">
        <v>3572</v>
      </c>
      <c r="M382" s="53">
        <v>0</v>
      </c>
      <c r="N382" s="53">
        <v>4200</v>
      </c>
      <c r="O382" s="53">
        <f t="shared" si="1910"/>
        <v>7772</v>
      </c>
      <c r="P382" s="53">
        <f t="shared" ref="P382" si="2061">AVERAGE(O379,O380,O381,O382)</f>
        <v>22568</v>
      </c>
      <c r="Q382" s="53">
        <f t="shared" ref="Q382" si="2062">AVERAGE(P330,P278,P226)</f>
        <v>14052.416666666666</v>
      </c>
      <c r="R382" s="59">
        <f t="shared" ref="R382" si="2063">((O382/O330)-1)*100</f>
        <v>-52.896969696969698</v>
      </c>
      <c r="S382" s="59">
        <f t="shared" ref="S382" si="2064">((P382/P330)-1)*100</f>
        <v>132.96601202611683</v>
      </c>
      <c r="T382" s="59">
        <f t="shared" ref="T382" si="2065">((P382/Q382)-1)*100</f>
        <v>60.598710779284715</v>
      </c>
      <c r="V382" s="53">
        <v>91438</v>
      </c>
      <c r="W382" s="53">
        <v>84250</v>
      </c>
      <c r="X382" s="53">
        <v>37800</v>
      </c>
      <c r="Y382" s="53">
        <f t="shared" si="1916"/>
        <v>213488</v>
      </c>
      <c r="Z382" s="53">
        <f t="shared" ref="Z382" si="2066">AVERAGE(Y379,Y380,Y381,Y382)</f>
        <v>269574.5</v>
      </c>
      <c r="AA382" s="53">
        <f t="shared" ref="AA382" si="2067">AVERAGE(Z330,Z278,Z226)</f>
        <v>133120.91666666666</v>
      </c>
      <c r="AB382" s="59">
        <f t="shared" ref="AB382" si="2068">((Y382/Y330)-1)*100</f>
        <v>141.58424804798008</v>
      </c>
      <c r="AC382" s="59">
        <f t="shared" ref="AC382" si="2069">((Z382/Z330)-1)*100</f>
        <v>106.65838728348072</v>
      </c>
      <c r="AD382" s="59">
        <f t="shared" ref="AD382" si="2070">((Z382/AA382)-1)*100</f>
        <v>102.50348836990932</v>
      </c>
      <c r="AF382" s="53">
        <v>0</v>
      </c>
      <c r="AG382" s="53">
        <v>0</v>
      </c>
      <c r="AH382" s="53">
        <v>8400</v>
      </c>
      <c r="AI382" s="53">
        <f t="shared" si="1922"/>
        <v>8400</v>
      </c>
      <c r="AJ382" s="53">
        <f t="shared" ref="AJ382" si="2071">AVERAGE(AI379,AI380,AI381,AI382)</f>
        <v>10650</v>
      </c>
      <c r="AK382" s="53">
        <f t="shared" ref="AK382" si="2072">AVERAGE(AJ330,AJ278,AJ226)</f>
        <v>8986.25</v>
      </c>
      <c r="AL382" s="59">
        <f t="shared" ref="AL382" si="2073">((AI382/AI330)-1)*100</f>
        <v>-37.31343283582089</v>
      </c>
      <c r="AM382" s="59">
        <f t="shared" ref="AM382" si="2074">((AJ382/AJ330)-1)*100</f>
        <v>73.877551020408163</v>
      </c>
      <c r="AN382" s="59">
        <f t="shared" ref="AN382" si="2075">((AJ382/AK382)-1)*100</f>
        <v>18.514396995409644</v>
      </c>
      <c r="AP382" s="53">
        <f t="shared" si="1927"/>
        <v>249782</v>
      </c>
      <c r="AQ382" s="53">
        <f t="shared" si="1928"/>
        <v>248600</v>
      </c>
      <c r="AR382" s="53">
        <f t="shared" si="1929"/>
        <v>50400</v>
      </c>
      <c r="AS382" s="53">
        <f t="shared" si="1930"/>
        <v>548782</v>
      </c>
      <c r="AT382" s="53">
        <f t="shared" ref="AT382" si="2076">AVERAGE(AS379,AS380,AS381,AS382)</f>
        <v>640043.5</v>
      </c>
      <c r="AU382" s="53">
        <f t="shared" ref="AU382" si="2077">AVERAGE(AT330,AT278,AT226)</f>
        <v>431067.16666666669</v>
      </c>
      <c r="AV382" s="59">
        <f t="shared" ref="AV382" si="2078">((AS382/AS330)-1)*100</f>
        <v>3.154511278195482</v>
      </c>
      <c r="AW382" s="59">
        <f t="shared" ref="AW382" si="2079">((AT382/AT330)-1)*100</f>
        <v>50.630634659047779</v>
      </c>
      <c r="AX382" s="59">
        <f t="shared" ref="AX382" si="2080">((AT382/AU382)-1)*100</f>
        <v>48.4788333449969</v>
      </c>
      <c r="AZ382" s="53">
        <f t="shared" si="1936"/>
        <v>319.12200000000001</v>
      </c>
      <c r="BA382" s="53">
        <f t="shared" si="1937"/>
        <v>7.7720000000000002</v>
      </c>
      <c r="BB382" s="53">
        <f t="shared" si="1938"/>
        <v>213.488</v>
      </c>
      <c r="BC382" s="53">
        <f t="shared" si="1939"/>
        <v>8.4</v>
      </c>
      <c r="BD382" s="53">
        <f t="shared" si="1940"/>
        <v>548.78200000000004</v>
      </c>
      <c r="BE382" s="60">
        <f t="shared" ref="BE382" si="2081">AZ382+BE381</f>
        <v>1936.6740000000002</v>
      </c>
      <c r="BF382" s="60">
        <f t="shared" ref="BF382" si="2082">BA382+BF381</f>
        <v>166.476</v>
      </c>
      <c r="BG382" s="60">
        <f t="shared" ref="BG382" si="2083">BB382+BG381</f>
        <v>1789.874</v>
      </c>
      <c r="BH382" s="60">
        <f t="shared" ref="BH382" si="2084">BC382+BH381</f>
        <v>72.150000000000006</v>
      </c>
      <c r="BI382" s="60">
        <f t="shared" ref="BI382" si="2085">BD382+BI381</f>
        <v>3965.174</v>
      </c>
      <c r="BJ382" s="1">
        <v>7</v>
      </c>
    </row>
    <row r="383" spans="1:62" x14ac:dyDescent="0.3">
      <c r="A383" s="48">
        <f t="shared" si="238"/>
        <v>40236</v>
      </c>
      <c r="B383" s="53">
        <v>250454</v>
      </c>
      <c r="C383" s="53">
        <v>131500</v>
      </c>
      <c r="D383" s="53">
        <v>0</v>
      </c>
      <c r="E383" s="53">
        <f t="shared" si="1904"/>
        <v>381954</v>
      </c>
      <c r="F383" s="53">
        <f t="shared" ref="F383" si="2086">AVERAGE(E380,E381,E382,E383)</f>
        <v>345297</v>
      </c>
      <c r="G383" s="53">
        <f t="shared" ref="G383" si="2087">AVERAGE(F331,F279,F227)</f>
        <v>320079.58333333331</v>
      </c>
      <c r="H383" s="59">
        <f t="shared" ref="H383" si="2088">((E383/E331)-1)*100</f>
        <v>-31.29038525191763</v>
      </c>
      <c r="I383" s="59">
        <f t="shared" ref="I383" si="2089">((F383/F331)-1)*100</f>
        <v>-10.592938645068617</v>
      </c>
      <c r="J383" s="59">
        <f t="shared" ref="J383" si="2090">((F383/G383)-1)*100</f>
        <v>7.8784833459387027</v>
      </c>
      <c r="L383" s="53">
        <v>3100</v>
      </c>
      <c r="M383" s="53">
        <v>1500</v>
      </c>
      <c r="N383" s="53">
        <v>1400</v>
      </c>
      <c r="O383" s="53">
        <f t="shared" ref="O383:O392" si="2091">SUM(L383:N383)</f>
        <v>6000</v>
      </c>
      <c r="P383" s="53">
        <f t="shared" ref="P383" si="2092">AVERAGE(O380,O381,O382,O383)</f>
        <v>19730.5</v>
      </c>
      <c r="Q383" s="53">
        <f t="shared" ref="Q383" si="2093">AVERAGE(P331,P279,P227)</f>
        <v>17682.333333333332</v>
      </c>
      <c r="R383" s="59">
        <f t="shared" ref="R383" si="2094">((O383/O331)-1)*100</f>
        <v>-72.602739726027394</v>
      </c>
      <c r="S383" s="59">
        <f t="shared" ref="S383" si="2095">((P383/P331)-1)*100</f>
        <v>36.427595982644469</v>
      </c>
      <c r="T383" s="59">
        <f t="shared" ref="T383" si="2096">((P383/Q383)-1)*100</f>
        <v>11.583124399117771</v>
      </c>
      <c r="V383" s="53">
        <v>120724</v>
      </c>
      <c r="W383" s="53">
        <v>33400</v>
      </c>
      <c r="X383" s="53">
        <v>40800</v>
      </c>
      <c r="Y383" s="53">
        <f t="shared" si="1916"/>
        <v>194924</v>
      </c>
      <c r="Z383" s="53">
        <f t="shared" ref="Z383" si="2097">AVERAGE(Y380,Y381,Y382,Y383)</f>
        <v>251006</v>
      </c>
      <c r="AA383" s="53">
        <f t="shared" ref="AA383" si="2098">AVERAGE(Z331,Z279,Z227)</f>
        <v>152290</v>
      </c>
      <c r="AB383" s="59">
        <f t="shared" ref="AB383" si="2099">((Y383/Y331)-1)*100</f>
        <v>-43.000678410180825</v>
      </c>
      <c r="AC383" s="59">
        <f t="shared" ref="AC383" si="2100">((Z383/Z331)-1)*100</f>
        <v>32.499993401552473</v>
      </c>
      <c r="AD383" s="59">
        <f t="shared" ref="AD383" si="2101">((Z383/AA383)-1)*100</f>
        <v>64.821065073215564</v>
      </c>
      <c r="AF383" s="53">
        <v>0</v>
      </c>
      <c r="AG383" s="53">
        <v>1600</v>
      </c>
      <c r="AH383" s="53">
        <v>1400</v>
      </c>
      <c r="AI383" s="53">
        <f t="shared" si="1922"/>
        <v>3000</v>
      </c>
      <c r="AJ383" s="53">
        <f t="shared" ref="AJ383" si="2102">AVERAGE(AI380,AI381,AI382,AI383)</f>
        <v>9625</v>
      </c>
      <c r="AK383" s="53">
        <f t="shared" ref="AK383" si="2103">AVERAGE(AJ331,AJ279,AJ227)</f>
        <v>9040.4166666666661</v>
      </c>
      <c r="AL383" s="59">
        <f t="shared" ref="AL383" si="2104">((AI383/AI331)-1)*100</f>
        <v>-59.731543624161077</v>
      </c>
      <c r="AM383" s="59">
        <f t="shared" ref="AM383" si="2105">((AJ383/AJ331)-1)*100</f>
        <v>20.500782472613466</v>
      </c>
      <c r="AN383" s="59">
        <f t="shared" ref="AN383" si="2106">((AJ383/AK383)-1)*100</f>
        <v>6.4663317509333185</v>
      </c>
      <c r="AP383" s="53">
        <f t="shared" si="1927"/>
        <v>374278</v>
      </c>
      <c r="AQ383" s="53">
        <f t="shared" si="1928"/>
        <v>168000</v>
      </c>
      <c r="AR383" s="53">
        <f t="shared" si="1929"/>
        <v>43600</v>
      </c>
      <c r="AS383" s="53">
        <f t="shared" si="1930"/>
        <v>585878</v>
      </c>
      <c r="AT383" s="53">
        <f t="shared" ref="AT383" si="2107">AVERAGE(AS380,AS381,AS382,AS383)</f>
        <v>625658.5</v>
      </c>
      <c r="AU383" s="53">
        <f t="shared" ref="AU383" si="2108">AVERAGE(AT331,AT279,AT227)</f>
        <v>499092.33333333331</v>
      </c>
      <c r="AV383" s="59">
        <f t="shared" ref="AV383" si="2109">((AS383/AS331)-1)*100</f>
        <v>-36.813621764798512</v>
      </c>
      <c r="AW383" s="59">
        <f t="shared" ref="AW383" si="2110">((AT383/AT331)-1)*100</f>
        <v>4.6083739065300611</v>
      </c>
      <c r="AX383" s="59">
        <f t="shared" ref="AX383" si="2111">((AT383/AU383)-1)*100</f>
        <v>25.359268859402782</v>
      </c>
      <c r="AZ383" s="53">
        <f t="shared" si="1936"/>
        <v>381.95400000000001</v>
      </c>
      <c r="BA383" s="53">
        <f t="shared" si="1937"/>
        <v>6</v>
      </c>
      <c r="BB383" s="53">
        <f t="shared" si="1938"/>
        <v>194.92400000000001</v>
      </c>
      <c r="BC383" s="53">
        <f t="shared" si="1939"/>
        <v>3</v>
      </c>
      <c r="BD383" s="53">
        <f t="shared" si="1940"/>
        <v>585.87800000000004</v>
      </c>
      <c r="BE383" s="60">
        <f t="shared" ref="BE383" si="2112">AZ383+BE382</f>
        <v>2318.6280000000002</v>
      </c>
      <c r="BF383" s="60">
        <f t="shared" ref="BF383" si="2113">BA383+BF382</f>
        <v>172.476</v>
      </c>
      <c r="BG383" s="60">
        <f t="shared" ref="BG383" si="2114">BB383+BG382</f>
        <v>1984.798</v>
      </c>
      <c r="BH383" s="60">
        <f t="shared" ref="BH383" si="2115">BC383+BH382</f>
        <v>75.150000000000006</v>
      </c>
      <c r="BI383" s="60">
        <f t="shared" ref="BI383" si="2116">BD383+BI382</f>
        <v>4551.0519999999997</v>
      </c>
      <c r="BJ383" s="1">
        <v>8</v>
      </c>
    </row>
    <row r="384" spans="1:62" x14ac:dyDescent="0.3">
      <c r="A384" s="48">
        <f t="shared" si="238"/>
        <v>40243</v>
      </c>
      <c r="B384" s="53">
        <v>399777</v>
      </c>
      <c r="C384" s="53">
        <v>133100</v>
      </c>
      <c r="D384" s="53">
        <v>0</v>
      </c>
      <c r="E384" s="53">
        <f t="shared" si="1904"/>
        <v>532877</v>
      </c>
      <c r="F384" s="53">
        <f t="shared" ref="F384" si="2117">AVERAGE(E381,E382,E383,E384)</f>
        <v>399363.25</v>
      </c>
      <c r="G384" s="53">
        <f t="shared" ref="G384" si="2118">AVERAGE(F332,F280,F228)</f>
        <v>353048.83333333331</v>
      </c>
      <c r="H384" s="59">
        <f t="shared" ref="H384" si="2119">((E384/E332)-1)*100</f>
        <v>8.3523790158601017</v>
      </c>
      <c r="I384" s="59">
        <f t="shared" ref="I384" si="2120">((F384/F332)-1)*100</f>
        <v>-10.980160948146301</v>
      </c>
      <c r="J384" s="59">
        <f t="shared" ref="J384" si="2121">((F384/G384)-1)*100</f>
        <v>13.118416574099999</v>
      </c>
      <c r="L384" s="53">
        <v>6300</v>
      </c>
      <c r="M384" s="53">
        <v>0</v>
      </c>
      <c r="N384" s="53">
        <v>2800</v>
      </c>
      <c r="O384" s="53">
        <f t="shared" si="2091"/>
        <v>9100</v>
      </c>
      <c r="P384" s="53">
        <f t="shared" ref="P384" si="2122">AVERAGE(O381,O382,O383,O384)</f>
        <v>11505.5</v>
      </c>
      <c r="Q384" s="53">
        <f t="shared" ref="Q384" si="2123">AVERAGE(P332,P280,P228)</f>
        <v>20093.916666666668</v>
      </c>
      <c r="R384" s="59">
        <f t="shared" ref="R384" si="2124">((O384/O332)-1)*100</f>
        <v>-68.090328915071183</v>
      </c>
      <c r="S384" s="59">
        <f t="shared" ref="S384" si="2125">((P384/P332)-1)*100</f>
        <v>-42.87735673414673</v>
      </c>
      <c r="T384" s="59">
        <f t="shared" ref="T384" si="2126">((P384/Q384)-1)*100</f>
        <v>-42.741376950735507</v>
      </c>
      <c r="V384" s="53">
        <v>115322</v>
      </c>
      <c r="W384" s="53">
        <v>48550</v>
      </c>
      <c r="X384" s="53">
        <v>42000</v>
      </c>
      <c r="Y384" s="53">
        <f t="shared" si="1916"/>
        <v>205872</v>
      </c>
      <c r="Z384" s="53">
        <f t="shared" ref="Z384" si="2127">AVERAGE(Y381,Y382,Y383,Y384)</f>
        <v>224206.75</v>
      </c>
      <c r="AA384" s="53">
        <f t="shared" ref="AA384" si="2128">AVERAGE(Z332,Z280,Z228)</f>
        <v>162403.83333333334</v>
      </c>
      <c r="AB384" s="59">
        <f t="shared" ref="AB384" si="2129">((Y384/Y332)-1)*100</f>
        <v>5.052814206256051</v>
      </c>
      <c r="AC384" s="59">
        <f t="shared" ref="AC384" si="2130">((Z384/Z332)-1)*100</f>
        <v>14.314794703539979</v>
      </c>
      <c r="AD384" s="59">
        <f t="shared" ref="AD384" si="2131">((Z384/AA384)-1)*100</f>
        <v>38.055084906657569</v>
      </c>
      <c r="AF384" s="53">
        <v>0</v>
      </c>
      <c r="AG384" s="53">
        <v>0</v>
      </c>
      <c r="AH384" s="53">
        <v>7000</v>
      </c>
      <c r="AI384" s="53">
        <f t="shared" si="1922"/>
        <v>7000</v>
      </c>
      <c r="AJ384" s="53">
        <f t="shared" ref="AJ384" si="2132">AVERAGE(AI381,AI382,AI383,AI384)</f>
        <v>6350</v>
      </c>
      <c r="AK384" s="53">
        <f t="shared" ref="AK384" si="2133">AVERAGE(AJ332,AJ280,AJ228)</f>
        <v>9057.0833333333339</v>
      </c>
      <c r="AL384" s="59">
        <f t="shared" ref="AL384" si="2134">((AI384/AI332)-1)*100</f>
        <v>-55.414012738853501</v>
      </c>
      <c r="AM384" s="59">
        <f t="shared" ref="AM384" si="2135">((AJ384/AJ332)-1)*100</f>
        <v>-40.72345390898483</v>
      </c>
      <c r="AN384" s="59">
        <f t="shared" ref="AN384" si="2136">((AJ384/AK384)-1)*100</f>
        <v>-29.889129134655199</v>
      </c>
      <c r="AP384" s="53">
        <f t="shared" si="1927"/>
        <v>521399</v>
      </c>
      <c r="AQ384" s="53">
        <f t="shared" si="1928"/>
        <v>181650</v>
      </c>
      <c r="AR384" s="53">
        <f t="shared" si="1929"/>
        <v>51800</v>
      </c>
      <c r="AS384" s="53">
        <f t="shared" si="1930"/>
        <v>754849</v>
      </c>
      <c r="AT384" s="53">
        <f t="shared" ref="AT384" si="2137">AVERAGE(AS381,AS382,AS383,AS384)</f>
        <v>641425.5</v>
      </c>
      <c r="AU384" s="53">
        <f t="shared" ref="AU384" si="2138">AVERAGE(AT332,AT280,AT228)</f>
        <v>544603.66666666663</v>
      </c>
      <c r="AV384" s="59">
        <f t="shared" ref="AV384" si="2139">((AS384/AS332)-1)*100</f>
        <v>3.1231386306879383</v>
      </c>
      <c r="AW384" s="59">
        <f t="shared" ref="AW384" si="2140">((AT384/AT332)-1)*100</f>
        <v>-5.0595167611988012</v>
      </c>
      <c r="AX384" s="59">
        <f t="shared" ref="AX384" si="2141">((AT384/AU384)-1)*100</f>
        <v>17.778402765068925</v>
      </c>
      <c r="AZ384" s="53">
        <f t="shared" si="1936"/>
        <v>532.87699999999995</v>
      </c>
      <c r="BA384" s="53">
        <f t="shared" si="1937"/>
        <v>9.1</v>
      </c>
      <c r="BB384" s="53">
        <f t="shared" si="1938"/>
        <v>205.87200000000001</v>
      </c>
      <c r="BC384" s="53">
        <f t="shared" si="1939"/>
        <v>7</v>
      </c>
      <c r="BD384" s="53">
        <f t="shared" si="1940"/>
        <v>754.84900000000005</v>
      </c>
      <c r="BE384" s="60">
        <f t="shared" ref="BE384" si="2142">AZ384+BE383</f>
        <v>2851.5050000000001</v>
      </c>
      <c r="BF384" s="60">
        <f t="shared" ref="BF384" si="2143">BA384+BF383</f>
        <v>181.57599999999999</v>
      </c>
      <c r="BG384" s="60">
        <f t="shared" ref="BG384" si="2144">BB384+BG383</f>
        <v>2190.67</v>
      </c>
      <c r="BH384" s="60">
        <f t="shared" ref="BH384" si="2145">BC384+BH383</f>
        <v>82.15</v>
      </c>
      <c r="BI384" s="60">
        <f t="shared" ref="BI384" si="2146">BD384+BI383</f>
        <v>5305.9009999999998</v>
      </c>
      <c r="BJ384" s="1">
        <v>9</v>
      </c>
    </row>
    <row r="385" spans="1:62" x14ac:dyDescent="0.3">
      <c r="A385" s="48">
        <f t="shared" si="238"/>
        <v>40250</v>
      </c>
      <c r="B385" s="53">
        <v>390850</v>
      </c>
      <c r="C385" s="53">
        <v>279350</v>
      </c>
      <c r="D385" s="53">
        <v>0</v>
      </c>
      <c r="E385" s="53">
        <f t="shared" si="1904"/>
        <v>670200</v>
      </c>
      <c r="F385" s="53">
        <f t="shared" ref="F385" si="2147">AVERAGE(E382,E383,E384,E385)</f>
        <v>476038.25</v>
      </c>
      <c r="G385" s="53">
        <f t="shared" ref="G385" si="2148">AVERAGE(F333,F281,F229)</f>
        <v>412834.41666666669</v>
      </c>
      <c r="H385" s="59">
        <f t="shared" ref="H385" si="2149">((E385/E333)-1)*100</f>
        <v>19.508911456057909</v>
      </c>
      <c r="I385" s="59">
        <f t="shared" ref="I385" si="2150">((F385/F333)-1)*100</f>
        <v>-5.8385310013099438</v>
      </c>
      <c r="J385" s="59">
        <f t="shared" ref="J385" si="2151">((F385/G385)-1)*100</f>
        <v>15.309729708016494</v>
      </c>
      <c r="L385" s="53">
        <v>3200</v>
      </c>
      <c r="M385" s="53">
        <v>5000</v>
      </c>
      <c r="N385" s="53">
        <v>5600</v>
      </c>
      <c r="O385" s="53">
        <f t="shared" si="2091"/>
        <v>13800</v>
      </c>
      <c r="P385" s="53">
        <f t="shared" ref="P385" si="2152">AVERAGE(O382,O383,O384,O385)</f>
        <v>9168</v>
      </c>
      <c r="Q385" s="53">
        <f t="shared" ref="Q385" si="2153">AVERAGE(P333,P281,P229)</f>
        <v>22633</v>
      </c>
      <c r="R385" s="59">
        <f t="shared" ref="R385" si="2154">((O385/O333)-1)*100</f>
        <v>-65.941063231156519</v>
      </c>
      <c r="S385" s="59">
        <f t="shared" ref="S385" si="2155">((P385/P333)-1)*100</f>
        <v>-65.866190103875795</v>
      </c>
      <c r="T385" s="59">
        <f t="shared" ref="T385" si="2156">((P385/Q385)-1)*100</f>
        <v>-59.492776034993142</v>
      </c>
      <c r="V385" s="53">
        <v>68900</v>
      </c>
      <c r="W385" s="53">
        <v>86050</v>
      </c>
      <c r="X385" s="53">
        <v>33600</v>
      </c>
      <c r="Y385" s="53">
        <f t="shared" si="1916"/>
        <v>188550</v>
      </c>
      <c r="Z385" s="53">
        <f t="shared" ref="Z385" si="2157">AVERAGE(Y382,Y383,Y384,Y385)</f>
        <v>200708.5</v>
      </c>
      <c r="AA385" s="53">
        <f t="shared" ref="AA385" si="2158">AVERAGE(Z333,Z281,Z229)</f>
        <v>161132.5</v>
      </c>
      <c r="AB385" s="59">
        <f t="shared" ref="AB385" si="2159">((Y385/Y333)-1)*100</f>
        <v>41.913098454799311</v>
      </c>
      <c r="AC385" s="59">
        <f t="shared" ref="AC385" si="2160">((Z385/Z333)-1)*100</f>
        <v>5.7502907746394438</v>
      </c>
      <c r="AD385" s="59">
        <f t="shared" ref="AD385" si="2161">((Z385/AA385)-1)*100</f>
        <v>24.561153088296894</v>
      </c>
      <c r="AF385" s="53">
        <v>0</v>
      </c>
      <c r="AG385" s="53">
        <v>0</v>
      </c>
      <c r="AH385" s="53">
        <v>4600</v>
      </c>
      <c r="AI385" s="53">
        <f t="shared" si="1922"/>
        <v>4600</v>
      </c>
      <c r="AJ385" s="53">
        <f t="shared" ref="AJ385" si="2162">AVERAGE(AI382,AI383,AI384,AI385)</f>
        <v>5750</v>
      </c>
      <c r="AK385" s="53">
        <f t="shared" ref="AK385" si="2163">AVERAGE(AJ333,AJ281,AJ229)</f>
        <v>8582.0833333333339</v>
      </c>
      <c r="AL385" s="59">
        <f t="shared" ref="AL385" si="2164">((AI385/AI333)-1)*100</f>
        <v>228.57142857142856</v>
      </c>
      <c r="AM385" s="59">
        <f t="shared" ref="AM385" si="2165">((AJ385/AJ333)-1)*100</f>
        <v>-39.393939393939391</v>
      </c>
      <c r="AN385" s="59">
        <f t="shared" ref="AN385" si="2166">((AJ385/AK385)-1)*100</f>
        <v>-32.999951449240186</v>
      </c>
      <c r="AP385" s="53">
        <f t="shared" si="1927"/>
        <v>462950</v>
      </c>
      <c r="AQ385" s="53">
        <f t="shared" si="1928"/>
        <v>370400</v>
      </c>
      <c r="AR385" s="53">
        <f t="shared" si="1929"/>
        <v>43800</v>
      </c>
      <c r="AS385" s="53">
        <f t="shared" si="1930"/>
        <v>877150</v>
      </c>
      <c r="AT385" s="53">
        <f t="shared" ref="AT385" si="2167">AVERAGE(AS382,AS383,AS384,AS385)</f>
        <v>691664.75</v>
      </c>
      <c r="AU385" s="53">
        <f t="shared" ref="AU385" si="2168">AVERAGE(AT333,AT281,AT229)</f>
        <v>605182</v>
      </c>
      <c r="AV385" s="59">
        <f t="shared" ref="AV385" si="2169">((AS385/AS333)-1)*100</f>
        <v>19.246685590611978</v>
      </c>
      <c r="AW385" s="59">
        <f t="shared" ref="AW385" si="2170">((AT385/AT333)-1)*100</f>
        <v>-5.4710867142319213</v>
      </c>
      <c r="AX385" s="59">
        <f t="shared" ref="AX385" si="2171">((AT385/AU385)-1)*100</f>
        <v>14.290370500114014</v>
      </c>
      <c r="AZ385" s="53">
        <f t="shared" si="1936"/>
        <v>670.2</v>
      </c>
      <c r="BA385" s="53">
        <f t="shared" si="1937"/>
        <v>13.8</v>
      </c>
      <c r="BB385" s="53">
        <f t="shared" si="1938"/>
        <v>188.55</v>
      </c>
      <c r="BC385" s="53">
        <f t="shared" si="1939"/>
        <v>4.5999999999999996</v>
      </c>
      <c r="BD385" s="53">
        <f t="shared" si="1940"/>
        <v>877.15</v>
      </c>
      <c r="BE385" s="60">
        <f t="shared" ref="BE385" si="2172">AZ385+BE384</f>
        <v>3521.7049999999999</v>
      </c>
      <c r="BF385" s="60">
        <f t="shared" ref="BF385" si="2173">BA385+BF384</f>
        <v>195.376</v>
      </c>
      <c r="BG385" s="60">
        <f t="shared" ref="BG385" si="2174">BB385+BG384</f>
        <v>2379.2200000000003</v>
      </c>
      <c r="BH385" s="60">
        <f t="shared" ref="BH385" si="2175">BC385+BH384</f>
        <v>86.75</v>
      </c>
      <c r="BI385" s="60">
        <f t="shared" ref="BI385" si="2176">BD385+BI384</f>
        <v>6183.0509999999995</v>
      </c>
      <c r="BJ385" s="1">
        <v>10</v>
      </c>
    </row>
    <row r="386" spans="1:62" x14ac:dyDescent="0.3">
      <c r="A386" s="48">
        <f t="shared" si="238"/>
        <v>40257</v>
      </c>
      <c r="B386" s="53">
        <v>129778</v>
      </c>
      <c r="C386" s="53">
        <v>180669</v>
      </c>
      <c r="D386" s="53">
        <v>0</v>
      </c>
      <c r="E386" s="53">
        <f t="shared" si="1904"/>
        <v>310447</v>
      </c>
      <c r="F386" s="53">
        <f t="shared" ref="F386" si="2177">AVERAGE(E383,E384,E385,E386)</f>
        <v>473869.5</v>
      </c>
      <c r="G386" s="53">
        <f t="shared" ref="G386" si="2178">AVERAGE(F334,F282,F230)</f>
        <v>439586.83333333331</v>
      </c>
      <c r="H386" s="59">
        <f t="shared" ref="H386" si="2179">((E386/E334)-1)*100</f>
        <v>-22.84500755527279</v>
      </c>
      <c r="I386" s="59">
        <f t="shared" ref="I386" si="2180">((F386/F334)-1)*100</f>
        <v>-5.7378960931621759</v>
      </c>
      <c r="J386" s="59">
        <f t="shared" ref="J386" si="2181">((F386/G386)-1)*100</f>
        <v>7.7988383789171722</v>
      </c>
      <c r="L386" s="53">
        <v>1500</v>
      </c>
      <c r="M386" s="53">
        <v>7600</v>
      </c>
      <c r="N386" s="53">
        <v>8400</v>
      </c>
      <c r="O386" s="53">
        <f t="shared" si="2091"/>
        <v>17500</v>
      </c>
      <c r="P386" s="53">
        <f t="shared" ref="P386" si="2182">AVERAGE(O383,O384,O385,O386)</f>
        <v>11600</v>
      </c>
      <c r="Q386" s="53">
        <f t="shared" ref="Q386" si="2183">AVERAGE(P334,P282,P230)</f>
        <v>27858.416666666668</v>
      </c>
      <c r="R386" s="59">
        <f t="shared" ref="R386" si="2184">((O386/O334)-1)*100</f>
        <v>-63.330818875199071</v>
      </c>
      <c r="S386" s="59">
        <f t="shared" ref="S386" si="2185">((P386/P334)-1)*100</f>
        <v>-66.536852733304485</v>
      </c>
      <c r="T386" s="59">
        <f t="shared" ref="T386" si="2186">((P386/Q386)-1)*100</f>
        <v>-58.360878370091626</v>
      </c>
      <c r="V386" s="53">
        <v>57878</v>
      </c>
      <c r="W386" s="53">
        <v>57952</v>
      </c>
      <c r="X386" s="53">
        <v>12600</v>
      </c>
      <c r="Y386" s="53">
        <f t="shared" si="1916"/>
        <v>128430</v>
      </c>
      <c r="Z386" s="53">
        <f t="shared" ref="Z386" si="2187">AVERAGE(Y383,Y384,Y385,Y386)</f>
        <v>179444</v>
      </c>
      <c r="AA386" s="53">
        <f t="shared" ref="AA386" si="2188">AVERAGE(Z334,Z282,Z230)</f>
        <v>160431.66666666666</v>
      </c>
      <c r="AB386" s="59">
        <f t="shared" ref="AB386" si="2189">((Y386/Y334)-1)*100</f>
        <v>-4.0062784961506832</v>
      </c>
      <c r="AC386" s="59">
        <f t="shared" ref="AC386" si="2190">((Z386/Z334)-1)*100</f>
        <v>-10.790841151927854</v>
      </c>
      <c r="AD386" s="59">
        <f t="shared" ref="AD386" si="2191">((Z386/AA386)-1)*100</f>
        <v>11.850736035072051</v>
      </c>
      <c r="AF386" s="53">
        <v>0</v>
      </c>
      <c r="AG386" s="53">
        <v>1600</v>
      </c>
      <c r="AH386" s="53">
        <v>10800</v>
      </c>
      <c r="AI386" s="53">
        <f t="shared" si="1922"/>
        <v>12400</v>
      </c>
      <c r="AJ386" s="53">
        <f t="shared" ref="AJ386" si="2192">AVERAGE(AI383,AI384,AI385,AI386)</f>
        <v>6750</v>
      </c>
      <c r="AK386" s="53">
        <f t="shared" ref="AK386" si="2193">AVERAGE(AJ334,AJ282,AJ230)</f>
        <v>8626.1666666666661</v>
      </c>
      <c r="AL386" s="59">
        <f t="shared" ref="AL386" si="2194">((AI386/AI334)-1)*100</f>
        <v>342.85714285714289</v>
      </c>
      <c r="AM386" s="59">
        <f t="shared" ref="AM386" si="2195">((AJ386/AJ334)-1)*100</f>
        <v>-1.2797074954296161</v>
      </c>
      <c r="AN386" s="59">
        <f t="shared" ref="AN386" si="2196">((AJ386/AK386)-1)*100</f>
        <v>-21.749715014394177</v>
      </c>
      <c r="AP386" s="53">
        <f t="shared" si="1927"/>
        <v>189156</v>
      </c>
      <c r="AQ386" s="53">
        <f t="shared" si="1928"/>
        <v>247821</v>
      </c>
      <c r="AR386" s="53">
        <f t="shared" si="1929"/>
        <v>31800</v>
      </c>
      <c r="AS386" s="53">
        <f t="shared" si="1930"/>
        <v>468777</v>
      </c>
      <c r="AT386" s="53">
        <f t="shared" ref="AT386" si="2197">AVERAGE(AS383,AS384,AS385,AS386)</f>
        <v>671663.5</v>
      </c>
      <c r="AU386" s="53">
        <f t="shared" ref="AU386" si="2198">AVERAGE(AT334,AT282,AT230)</f>
        <v>636503.08333333337</v>
      </c>
      <c r="AV386" s="59">
        <f t="shared" ref="AV386" si="2199">((AS386/AS334)-1)*100</f>
        <v>-20.096917921463419</v>
      </c>
      <c r="AW386" s="59">
        <f t="shared" ref="AW386" si="2200">((AT386/AT334)-1)*100</f>
        <v>-9.8882161405052784</v>
      </c>
      <c r="AX386" s="59">
        <f t="shared" ref="AX386" si="2201">((AT386/AU386)-1)*100</f>
        <v>5.5239978544225465</v>
      </c>
      <c r="AZ386" s="53">
        <f t="shared" si="1936"/>
        <v>310.447</v>
      </c>
      <c r="BA386" s="53">
        <f t="shared" si="1937"/>
        <v>17.5</v>
      </c>
      <c r="BB386" s="53">
        <f t="shared" si="1938"/>
        <v>128.43</v>
      </c>
      <c r="BC386" s="53">
        <f t="shared" si="1939"/>
        <v>12.4</v>
      </c>
      <c r="BD386" s="53">
        <f t="shared" si="1940"/>
        <v>468.77699999999999</v>
      </c>
      <c r="BE386" s="60">
        <f t="shared" ref="BE386" si="2202">AZ386+BE385</f>
        <v>3832.152</v>
      </c>
      <c r="BF386" s="60">
        <f t="shared" ref="BF386" si="2203">BA386+BF385</f>
        <v>212.876</v>
      </c>
      <c r="BG386" s="60">
        <f t="shared" ref="BG386" si="2204">BB386+BG385</f>
        <v>2507.65</v>
      </c>
      <c r="BH386" s="60">
        <f t="shared" ref="BH386" si="2205">BC386+BH385</f>
        <v>99.15</v>
      </c>
      <c r="BI386" s="60">
        <f t="shared" ref="BI386" si="2206">BD386+BI385</f>
        <v>6651.8279999999995</v>
      </c>
      <c r="BJ386" s="1">
        <v>11</v>
      </c>
    </row>
    <row r="387" spans="1:62" x14ac:dyDescent="0.3">
      <c r="A387" s="48">
        <f t="shared" si="238"/>
        <v>40264</v>
      </c>
      <c r="B387" s="53">
        <v>162626</v>
      </c>
      <c r="C387" s="53">
        <v>180060</v>
      </c>
      <c r="D387" s="53">
        <v>0</v>
      </c>
      <c r="E387" s="53">
        <f t="shared" si="1904"/>
        <v>342686</v>
      </c>
      <c r="F387" s="53">
        <f t="shared" ref="F387" si="2207">AVERAGE(E384,E385,E386,E387)</f>
        <v>464052.5</v>
      </c>
      <c r="G387" s="53">
        <f t="shared" ref="G387" si="2208">AVERAGE(F335,F283,F231)</f>
        <v>425075.58333333331</v>
      </c>
      <c r="H387" s="59">
        <f t="shared" ref="H387" si="2209">((E387/E335)-1)*100</f>
        <v>-15.376770258423777</v>
      </c>
      <c r="I387" s="59">
        <f t="shared" ref="I387" si="2210">((F387/F335)-1)*100</f>
        <v>-0.19936362785886175</v>
      </c>
      <c r="J387" s="59">
        <f t="shared" ref="J387" si="2211">((F387/G387)-1)*100</f>
        <v>9.1694084993119809</v>
      </c>
      <c r="L387" s="53">
        <v>4800</v>
      </c>
      <c r="M387" s="53">
        <v>5250</v>
      </c>
      <c r="N387" s="53">
        <v>8400</v>
      </c>
      <c r="O387" s="53">
        <f t="shared" si="2091"/>
        <v>18450</v>
      </c>
      <c r="P387" s="53">
        <f t="shared" ref="P387" si="2212">AVERAGE(O384,O385,O386,O387)</f>
        <v>14712.5</v>
      </c>
      <c r="Q387" s="53">
        <f t="shared" ref="Q387" si="2213">AVERAGE(P335,P283,P231)</f>
        <v>27784.916666666668</v>
      </c>
      <c r="R387" s="59">
        <f t="shared" ref="R387" si="2214">((O387/O335)-1)*100</f>
        <v>-29.294090595539203</v>
      </c>
      <c r="S387" s="59">
        <f t="shared" ref="S387" si="2215">((P387/P335)-1)*100</f>
        <v>-58.804093690061187</v>
      </c>
      <c r="T387" s="59">
        <f t="shared" ref="T387" si="2216">((P387/Q387)-1)*100</f>
        <v>-47.048608507613544</v>
      </c>
      <c r="V387" s="53">
        <v>65700</v>
      </c>
      <c r="W387" s="53">
        <v>67300</v>
      </c>
      <c r="X387" s="53">
        <v>23800</v>
      </c>
      <c r="Y387" s="53">
        <f t="shared" si="1916"/>
        <v>156800</v>
      </c>
      <c r="Z387" s="53">
        <f t="shared" ref="Z387" si="2217">AVERAGE(Y384,Y385,Y386,Y387)</f>
        <v>169913</v>
      </c>
      <c r="AA387" s="53">
        <f t="shared" ref="AA387" si="2218">AVERAGE(Z335,Z283,Z231)</f>
        <v>139771.41666666666</v>
      </c>
      <c r="AB387" s="59">
        <f t="shared" ref="AB387" si="2219">((Y387/Y335)-1)*100</f>
        <v>4.9953127092540406</v>
      </c>
      <c r="AC387" s="59">
        <f t="shared" ref="AC387" si="2220">((Z387/Z335)-1)*100</f>
        <v>11.060962835988452</v>
      </c>
      <c r="AD387" s="59">
        <f t="shared" ref="AD387" si="2221">((Z387/AA387)-1)*100</f>
        <v>21.564912234678424</v>
      </c>
      <c r="AF387" s="53">
        <v>0</v>
      </c>
      <c r="AG387" s="53">
        <v>0</v>
      </c>
      <c r="AH387" s="53">
        <v>14200</v>
      </c>
      <c r="AI387" s="53">
        <f t="shared" si="1922"/>
        <v>14200</v>
      </c>
      <c r="AJ387" s="53">
        <f t="shared" ref="AJ387" si="2222">AVERAGE(AI384,AI385,AI386,AI387)</f>
        <v>9550</v>
      </c>
      <c r="AK387" s="53">
        <f t="shared" ref="AK387" si="2223">AVERAGE(AJ335,AJ283,AJ231)</f>
        <v>8547</v>
      </c>
      <c r="AL387" s="59">
        <f t="shared" ref="AL387" si="2224">((AI387/AI335)-1)*100</f>
        <v>9.2307692307692193</v>
      </c>
      <c r="AM387" s="59">
        <f t="shared" ref="AM387" si="2225">((AJ387/AJ335)-1)*100</f>
        <v>16.109422492401215</v>
      </c>
      <c r="AN387" s="59">
        <f t="shared" ref="AN387" si="2226">((AJ387/AK387)-1)*100</f>
        <v>11.735111735111726</v>
      </c>
      <c r="AP387" s="53">
        <f t="shared" si="1927"/>
        <v>233126</v>
      </c>
      <c r="AQ387" s="53">
        <f t="shared" si="1928"/>
        <v>252610</v>
      </c>
      <c r="AR387" s="53">
        <f t="shared" si="1929"/>
        <v>46400</v>
      </c>
      <c r="AS387" s="53">
        <f t="shared" si="1930"/>
        <v>532136</v>
      </c>
      <c r="AT387" s="53">
        <f t="shared" ref="AT387" si="2227">AVERAGE(AS384,AS385,AS386,AS387)</f>
        <v>658228</v>
      </c>
      <c r="AU387" s="53">
        <f t="shared" ref="AU387" si="2228">AVERAGE(AT335,AT283,AT231)</f>
        <v>601178.91666666663</v>
      </c>
      <c r="AV387" s="59">
        <f t="shared" ref="AV387" si="2229">((AS387/AS335)-1)*100</f>
        <v>-10.322570859924941</v>
      </c>
      <c r="AW387" s="59">
        <f t="shared" ref="AW387" si="2230">((AT387/AT335)-1)*100</f>
        <v>-0.55608118188495981</v>
      </c>
      <c r="AX387" s="59">
        <f t="shared" ref="AX387" si="2231">((AT387/AU387)-1)*100</f>
        <v>9.4895349373945503</v>
      </c>
      <c r="AZ387" s="53">
        <f t="shared" si="1936"/>
        <v>342.68599999999998</v>
      </c>
      <c r="BA387" s="53">
        <f t="shared" si="1937"/>
        <v>18.45</v>
      </c>
      <c r="BB387" s="53">
        <f t="shared" si="1938"/>
        <v>156.80000000000001</v>
      </c>
      <c r="BC387" s="53">
        <f t="shared" si="1939"/>
        <v>14.2</v>
      </c>
      <c r="BD387" s="53">
        <f t="shared" si="1940"/>
        <v>532.13599999999997</v>
      </c>
      <c r="BE387" s="60">
        <f t="shared" ref="BE387" si="2232">AZ387+BE386</f>
        <v>4174.8379999999997</v>
      </c>
      <c r="BF387" s="60">
        <f t="shared" ref="BF387" si="2233">BA387+BF386</f>
        <v>231.32599999999999</v>
      </c>
      <c r="BG387" s="60">
        <f t="shared" ref="BG387" si="2234">BB387+BG386</f>
        <v>2664.4500000000003</v>
      </c>
      <c r="BH387" s="60">
        <f t="shared" ref="BH387" si="2235">BC387+BH386</f>
        <v>113.35000000000001</v>
      </c>
      <c r="BI387" s="60">
        <f t="shared" ref="BI387" si="2236">BD387+BI386</f>
        <v>7183.9639999999999</v>
      </c>
      <c r="BJ387" s="1">
        <v>12</v>
      </c>
    </row>
    <row r="388" spans="1:62" x14ac:dyDescent="0.3">
      <c r="A388" s="48">
        <f t="shared" si="238"/>
        <v>40271</v>
      </c>
      <c r="B388" s="53">
        <v>260470</v>
      </c>
      <c r="C388" s="53">
        <v>100682</v>
      </c>
      <c r="D388" s="53">
        <v>2800</v>
      </c>
      <c r="E388" s="53">
        <f t="shared" si="1904"/>
        <v>363952</v>
      </c>
      <c r="F388" s="53">
        <f t="shared" ref="F388" si="2237">AVERAGE(E385,E386,E387,E388)</f>
        <v>421821.25</v>
      </c>
      <c r="G388" s="53">
        <f t="shared" ref="G388" si="2238">AVERAGE(F336,F284,F232)</f>
        <v>428802.33333333331</v>
      </c>
      <c r="H388" s="59">
        <f t="shared" ref="H388" si="2239">((E388/E336)-1)*100</f>
        <v>-15.730784547988852</v>
      </c>
      <c r="I388" s="59">
        <f t="shared" ref="I388" si="2240">((F388/F336)-1)*100</f>
        <v>-6.2624652085266241</v>
      </c>
      <c r="J388" s="59">
        <f t="shared" ref="J388" si="2241">((F388/G388)-1)*100</f>
        <v>-1.6280422914365267</v>
      </c>
      <c r="L388" s="53">
        <v>0</v>
      </c>
      <c r="M388" s="53">
        <v>8350</v>
      </c>
      <c r="N388" s="53">
        <v>10200</v>
      </c>
      <c r="O388" s="53">
        <f t="shared" si="2091"/>
        <v>18550</v>
      </c>
      <c r="P388" s="53">
        <f t="shared" ref="P388" si="2242">AVERAGE(O385,O386,O387,O388)</f>
        <v>17075</v>
      </c>
      <c r="Q388" s="53">
        <f t="shared" ref="Q388" si="2243">AVERAGE(P336,P284,P232)</f>
        <v>30950.833333333332</v>
      </c>
      <c r="R388" s="59">
        <f t="shared" ref="R388" si="2244">((O388/O336)-1)*100</f>
        <v>-27.471066624960905</v>
      </c>
      <c r="S388" s="59">
        <f t="shared" ref="S388" si="2245">((P388/P336)-1)*100</f>
        <v>-51.183601120704438</v>
      </c>
      <c r="T388" s="59">
        <f t="shared" ref="T388" si="2246">((P388/Q388)-1)*100</f>
        <v>-44.831856977464255</v>
      </c>
      <c r="V388" s="53">
        <v>74150</v>
      </c>
      <c r="W388" s="53">
        <v>51679</v>
      </c>
      <c r="X388" s="53">
        <v>18600</v>
      </c>
      <c r="Y388" s="53">
        <f t="shared" si="1916"/>
        <v>144429</v>
      </c>
      <c r="Z388" s="53">
        <f t="shared" ref="Z388" si="2247">AVERAGE(Y385,Y386,Y387,Y388)</f>
        <v>154552.25</v>
      </c>
      <c r="AA388" s="53">
        <f t="shared" ref="AA388" si="2248">AVERAGE(Z336,Z284,Z232)</f>
        <v>135917.08333333334</v>
      </c>
      <c r="AB388" s="59">
        <f t="shared" ref="AB388" si="2249">((Y388/Y336)-1)*100</f>
        <v>-40.284542425019218</v>
      </c>
      <c r="AC388" s="59">
        <f t="shared" ref="AC388" si="2250">((Z388/Z336)-1)*100</f>
        <v>-6.0265560039826411</v>
      </c>
      <c r="AD388" s="59">
        <f t="shared" ref="AD388" si="2251">((Z388/AA388)-1)*100</f>
        <v>13.710687582196247</v>
      </c>
      <c r="AF388" s="53">
        <v>0</v>
      </c>
      <c r="AG388" s="53">
        <v>0</v>
      </c>
      <c r="AH388" s="53">
        <v>5600</v>
      </c>
      <c r="AI388" s="53">
        <f t="shared" si="1922"/>
        <v>5600</v>
      </c>
      <c r="AJ388" s="53">
        <f t="shared" ref="AJ388" si="2252">AVERAGE(AI385,AI386,AI387,AI388)</f>
        <v>9200</v>
      </c>
      <c r="AK388" s="53">
        <f t="shared" ref="AK388" si="2253">AVERAGE(AJ336,AJ284,AJ232)</f>
        <v>9984.5</v>
      </c>
      <c r="AL388" s="59">
        <f t="shared" ref="AL388" si="2254">((AI388/AI336)-1)*100</f>
        <v>-68.539325842696627</v>
      </c>
      <c r="AM388" s="59">
        <f t="shared" ref="AM388" si="2255">((AJ388/AJ336)-1)*100</f>
        <v>5.1428571428571379</v>
      </c>
      <c r="AN388" s="59">
        <f t="shared" ref="AN388" si="2256">((AJ388/AK388)-1)*100</f>
        <v>-7.8571786268716526</v>
      </c>
      <c r="AP388" s="53">
        <f t="shared" si="1927"/>
        <v>334620</v>
      </c>
      <c r="AQ388" s="53">
        <f t="shared" si="1928"/>
        <v>160711</v>
      </c>
      <c r="AR388" s="53">
        <f t="shared" si="1929"/>
        <v>37200</v>
      </c>
      <c r="AS388" s="53">
        <f t="shared" si="1930"/>
        <v>532531</v>
      </c>
      <c r="AT388" s="53">
        <f t="shared" ref="AT388" si="2257">AVERAGE(AS385,AS386,AS387,AS388)</f>
        <v>602648.5</v>
      </c>
      <c r="AU388" s="53">
        <f t="shared" ref="AU388" si="2258">AVERAGE(AT336,AT284,AT232)</f>
        <v>605654.75</v>
      </c>
      <c r="AV388" s="59">
        <f t="shared" ref="AV388" si="2259">((AS388/AS336)-1)*100</f>
        <v>-25.741357912791262</v>
      </c>
      <c r="AW388" s="59">
        <f t="shared" ref="AW388" si="2260">((AT388/AT336)-1)*100</f>
        <v>-8.4391120098663901</v>
      </c>
      <c r="AX388" s="59">
        <f t="shared" ref="AX388" si="2261">((AT388/AU388)-1)*100</f>
        <v>-0.49636364612016814</v>
      </c>
      <c r="AZ388" s="53">
        <f t="shared" si="1936"/>
        <v>363.952</v>
      </c>
      <c r="BA388" s="53">
        <f t="shared" si="1937"/>
        <v>18.55</v>
      </c>
      <c r="BB388" s="53">
        <f t="shared" si="1938"/>
        <v>144.429</v>
      </c>
      <c r="BC388" s="53">
        <f t="shared" si="1939"/>
        <v>5.6</v>
      </c>
      <c r="BD388" s="53">
        <f t="shared" si="1940"/>
        <v>532.53099999999995</v>
      </c>
      <c r="BE388" s="60">
        <f t="shared" ref="BE388" si="2262">AZ388+BE387</f>
        <v>4538.79</v>
      </c>
      <c r="BF388" s="60">
        <f t="shared" ref="BF388" si="2263">BA388+BF387</f>
        <v>249.876</v>
      </c>
      <c r="BG388" s="60">
        <f t="shared" ref="BG388" si="2264">BB388+BG387</f>
        <v>2808.8790000000004</v>
      </c>
      <c r="BH388" s="60">
        <f t="shared" ref="BH388" si="2265">BC388+BH387</f>
        <v>118.95</v>
      </c>
      <c r="BI388" s="60">
        <f t="shared" ref="BI388" si="2266">BD388+BI387</f>
        <v>7716.4949999999999</v>
      </c>
      <c r="BJ388" s="1">
        <v>13</v>
      </c>
    </row>
    <row r="389" spans="1:62" x14ac:dyDescent="0.3">
      <c r="A389" s="48">
        <f t="shared" si="238"/>
        <v>40278</v>
      </c>
      <c r="B389" s="53">
        <v>189150</v>
      </c>
      <c r="C389" s="53">
        <v>157135</v>
      </c>
      <c r="D389" s="53">
        <v>0</v>
      </c>
      <c r="E389" s="53">
        <f t="shared" si="1904"/>
        <v>346285</v>
      </c>
      <c r="F389" s="53">
        <f t="shared" ref="F389" si="2267">AVERAGE(E386,E387,E388,E389)</f>
        <v>340842.5</v>
      </c>
      <c r="G389" s="53">
        <f t="shared" ref="G389" si="2268">AVERAGE(F337,F285,F233)</f>
        <v>415178.5</v>
      </c>
      <c r="H389" s="59">
        <f t="shared" ref="H389" si="2269">((E389/E337)-1)*100</f>
        <v>-22.725457073169643</v>
      </c>
      <c r="I389" s="59">
        <f t="shared" ref="I389" si="2270">((F389/F337)-1)*100</f>
        <v>-19.199946898605969</v>
      </c>
      <c r="J389" s="59">
        <f t="shared" ref="J389" si="2271">((F389/G389)-1)*100</f>
        <v>-17.904588026595793</v>
      </c>
      <c r="L389" s="53">
        <v>0</v>
      </c>
      <c r="M389" s="53">
        <v>1881</v>
      </c>
      <c r="N389" s="53">
        <v>16800</v>
      </c>
      <c r="O389" s="53">
        <f t="shared" si="2091"/>
        <v>18681</v>
      </c>
      <c r="P389" s="53">
        <f t="shared" ref="P389" si="2272">AVERAGE(O386,O387,O388,O389)</f>
        <v>18295.25</v>
      </c>
      <c r="Q389" s="53">
        <f t="shared" ref="Q389" si="2273">AVERAGE(P337,P285,P233)</f>
        <v>29596.25</v>
      </c>
      <c r="R389" s="59">
        <f t="shared" ref="R389" si="2274">((O389/O337)-1)*100</f>
        <v>-49.236413043478258</v>
      </c>
      <c r="S389" s="59">
        <f t="shared" ref="S389" si="2275">((P389/P337)-1)*100</f>
        <v>-46.26708959278676</v>
      </c>
      <c r="T389" s="59">
        <f t="shared" ref="T389" si="2276">((P389/Q389)-1)*100</f>
        <v>-38.183891540313383</v>
      </c>
      <c r="V389" s="53">
        <v>41500</v>
      </c>
      <c r="W389" s="53">
        <v>37219</v>
      </c>
      <c r="X389" s="53">
        <v>15400</v>
      </c>
      <c r="Y389" s="53">
        <f t="shared" si="1916"/>
        <v>94119</v>
      </c>
      <c r="Z389" s="53">
        <f t="shared" ref="Z389" si="2277">AVERAGE(Y386,Y387,Y388,Y389)</f>
        <v>130944.5</v>
      </c>
      <c r="AA389" s="53">
        <f t="shared" ref="AA389" si="2278">AVERAGE(Z337,Z285,Z233)</f>
        <v>135140.08333333334</v>
      </c>
      <c r="AB389" s="59">
        <f t="shared" ref="AB389" si="2279">((Y389/Y337)-1)*100</f>
        <v>-42.954033020583317</v>
      </c>
      <c r="AC389" s="59">
        <f t="shared" ref="AC389" si="2280">((Z389/Z337)-1)*100</f>
        <v>-24.087944578103716</v>
      </c>
      <c r="AD389" s="59">
        <f t="shared" ref="AD389" si="2281">((Z389/AA389)-1)*100</f>
        <v>-3.1046179859047562</v>
      </c>
      <c r="AF389" s="53">
        <v>0</v>
      </c>
      <c r="AG389" s="53">
        <v>0</v>
      </c>
      <c r="AH389" s="53">
        <v>2800</v>
      </c>
      <c r="AI389" s="53">
        <f t="shared" si="1922"/>
        <v>2800</v>
      </c>
      <c r="AJ389" s="53">
        <f t="shared" ref="AJ389" si="2282">AVERAGE(AI386,AI387,AI388,AI389)</f>
        <v>8750</v>
      </c>
      <c r="AK389" s="53">
        <f t="shared" ref="AK389" si="2283">AVERAGE(AJ337,AJ285,AJ233)</f>
        <v>10651.166666666666</v>
      </c>
      <c r="AL389" s="59">
        <f t="shared" ref="AL389" si="2284">((AI389/AI337)-1)*100</f>
        <v>-77.777777777777786</v>
      </c>
      <c r="AM389" s="59">
        <f t="shared" ref="AM389" si="2285">((AJ389/AJ337)-1)*100</f>
        <v>-24.242424242424242</v>
      </c>
      <c r="AN389" s="59">
        <f t="shared" ref="AN389" si="2286">((AJ389/AK389)-1)*100</f>
        <v>-17.849374872862121</v>
      </c>
      <c r="AP389" s="53">
        <f t="shared" si="1927"/>
        <v>230650</v>
      </c>
      <c r="AQ389" s="53">
        <f t="shared" si="1928"/>
        <v>196235</v>
      </c>
      <c r="AR389" s="53">
        <f t="shared" si="1929"/>
        <v>35000</v>
      </c>
      <c r="AS389" s="53">
        <f t="shared" si="1930"/>
        <v>461885</v>
      </c>
      <c r="AT389" s="53">
        <f t="shared" ref="AT389" si="2287">AVERAGE(AS386,AS387,AS388,AS389)</f>
        <v>498832.25</v>
      </c>
      <c r="AU389" s="53">
        <f t="shared" ref="AU389" si="2288">AVERAGE(AT337,AT285,AT233)</f>
        <v>590566</v>
      </c>
      <c r="AV389" s="59">
        <f t="shared" ref="AV389" si="2289">((AS389/AS337)-1)*100</f>
        <v>-30.282667004774254</v>
      </c>
      <c r="AW389" s="59">
        <f t="shared" ref="AW389" si="2290">((AT389/AT337)-1)*100</f>
        <v>-22.048691415284217</v>
      </c>
      <c r="AX389" s="59">
        <f t="shared" ref="AX389" si="2291">((AT389/AU389)-1)*100</f>
        <v>-15.533191887104913</v>
      </c>
      <c r="AZ389" s="53">
        <f t="shared" si="1936"/>
        <v>346.28500000000003</v>
      </c>
      <c r="BA389" s="53">
        <f t="shared" si="1937"/>
        <v>18.681000000000001</v>
      </c>
      <c r="BB389" s="53">
        <f t="shared" si="1938"/>
        <v>94.119</v>
      </c>
      <c r="BC389" s="53">
        <f t="shared" si="1939"/>
        <v>2.8</v>
      </c>
      <c r="BD389" s="53">
        <f t="shared" si="1940"/>
        <v>461.88499999999999</v>
      </c>
      <c r="BE389" s="60">
        <f t="shared" ref="BE389" si="2292">AZ389+BE388</f>
        <v>4885.0749999999998</v>
      </c>
      <c r="BF389" s="60">
        <f t="shared" ref="BF389" si="2293">BA389+BF388</f>
        <v>268.55700000000002</v>
      </c>
      <c r="BG389" s="60">
        <f t="shared" ref="BG389" si="2294">BB389+BG388</f>
        <v>2902.9980000000005</v>
      </c>
      <c r="BH389" s="60">
        <f t="shared" ref="BH389" si="2295">BC389+BH388</f>
        <v>121.75</v>
      </c>
      <c r="BI389" s="60">
        <f t="shared" ref="BI389" si="2296">BD389+BI388</f>
        <v>8178.38</v>
      </c>
      <c r="BJ389" s="1">
        <v>14</v>
      </c>
    </row>
    <row r="390" spans="1:62" x14ac:dyDescent="0.3">
      <c r="A390" s="48">
        <f t="shared" si="238"/>
        <v>40285</v>
      </c>
      <c r="B390" s="53">
        <v>284616</v>
      </c>
      <c r="C390" s="53">
        <v>101200</v>
      </c>
      <c r="D390" s="53">
        <v>0</v>
      </c>
      <c r="E390" s="53">
        <f t="shared" si="1904"/>
        <v>385816</v>
      </c>
      <c r="F390" s="53">
        <f t="shared" ref="F390" si="2297">AVERAGE(E387,E388,E389,E390)</f>
        <v>359684.75</v>
      </c>
      <c r="G390" s="53">
        <f t="shared" ref="G390" si="2298">AVERAGE(F338,F286,F234)</f>
        <v>437016.66666666669</v>
      </c>
      <c r="H390" s="59">
        <f t="shared" ref="H390" si="2299">((E390/E338)-1)*100</f>
        <v>-31.259320496808098</v>
      </c>
      <c r="I390" s="59">
        <f t="shared" ref="I390" si="2300">((F390/F338)-1)*100</f>
        <v>-22.071645344872504</v>
      </c>
      <c r="J390" s="59">
        <f t="shared" ref="J390" si="2301">((F390/G390)-1)*100</f>
        <v>-17.695415888028688</v>
      </c>
      <c r="L390" s="53">
        <v>4800</v>
      </c>
      <c r="M390" s="53">
        <v>1500</v>
      </c>
      <c r="N390" s="53">
        <v>5600</v>
      </c>
      <c r="O390" s="53">
        <f t="shared" si="2091"/>
        <v>11900</v>
      </c>
      <c r="P390" s="53">
        <f t="shared" ref="P390" si="2302">AVERAGE(O387,O388,O389,O390)</f>
        <v>16895.25</v>
      </c>
      <c r="Q390" s="53">
        <f t="shared" ref="Q390" si="2303">AVERAGE(P338,P286,P234)</f>
        <v>25813.166666666668</v>
      </c>
      <c r="R390" s="59">
        <f t="shared" ref="R390" si="2304">((O390/O338)-1)*100</f>
        <v>-71.09966971051098</v>
      </c>
      <c r="S390" s="59">
        <f t="shared" ref="S390" si="2305">((P390/P338)-1)*100</f>
        <v>-47.872668651558861</v>
      </c>
      <c r="T390" s="59">
        <f t="shared" ref="T390" si="2306">((P390/Q390)-1)*100</f>
        <v>-34.547937422116625</v>
      </c>
      <c r="V390" s="53">
        <v>64640</v>
      </c>
      <c r="W390" s="53">
        <v>30950</v>
      </c>
      <c r="X390" s="53">
        <v>5700</v>
      </c>
      <c r="Y390" s="53">
        <f t="shared" si="1916"/>
        <v>101290</v>
      </c>
      <c r="Z390" s="53">
        <f t="shared" ref="Z390" si="2307">AVERAGE(Y387,Y388,Y389,Y390)</f>
        <v>124159.5</v>
      </c>
      <c r="AA390" s="53">
        <f t="shared" ref="AA390" si="2308">AVERAGE(Z338,Z286,Z234)</f>
        <v>139693.16666666666</v>
      </c>
      <c r="AB390" s="59">
        <f t="shared" ref="AB390" si="2309">((Y390/Y338)-1)*100</f>
        <v>-42.711220207459021</v>
      </c>
      <c r="AC390" s="59">
        <f t="shared" ref="AC390" si="2310">((Z390/Z338)-1)*100</f>
        <v>-32.245469279504931</v>
      </c>
      <c r="AD390" s="59">
        <f t="shared" ref="AD390" si="2311">((Z390/AA390)-1)*100</f>
        <v>-11.119847188898524</v>
      </c>
      <c r="AF390" s="53">
        <v>0</v>
      </c>
      <c r="AG390" s="53">
        <v>0</v>
      </c>
      <c r="AH390" s="53">
        <v>4300</v>
      </c>
      <c r="AI390" s="53">
        <f t="shared" si="1922"/>
        <v>4300</v>
      </c>
      <c r="AJ390" s="53">
        <f t="shared" ref="AJ390" si="2312">AVERAGE(AI387,AI388,AI389,AI390)</f>
        <v>6725</v>
      </c>
      <c r="AK390" s="53">
        <f t="shared" ref="AK390" si="2313">AVERAGE(AJ338,AJ286,AJ234)</f>
        <v>11110.333333333334</v>
      </c>
      <c r="AL390" s="59">
        <f t="shared" ref="AL390" si="2314">((AI390/AI338)-1)*100</f>
        <v>-77.862438220757824</v>
      </c>
      <c r="AM390" s="59">
        <f t="shared" ref="AM390" si="2315">((AJ390/AJ338)-1)*100</f>
        <v>-57.18196867439196</v>
      </c>
      <c r="AN390" s="59">
        <f t="shared" ref="AN390" si="2316">((AJ390/AK390)-1)*100</f>
        <v>-39.470762953406748</v>
      </c>
      <c r="AP390" s="53">
        <f t="shared" si="1927"/>
        <v>354056</v>
      </c>
      <c r="AQ390" s="53">
        <f t="shared" si="1928"/>
        <v>133650</v>
      </c>
      <c r="AR390" s="53">
        <f t="shared" si="1929"/>
        <v>15600</v>
      </c>
      <c r="AS390" s="53">
        <f t="shared" si="1930"/>
        <v>503306</v>
      </c>
      <c r="AT390" s="53">
        <f t="shared" ref="AT390" si="2317">AVERAGE(AS387,AS388,AS389,AS390)</f>
        <v>507464.5</v>
      </c>
      <c r="AU390" s="53">
        <f t="shared" ref="AU390" si="2318">AVERAGE(AT338,AT286,AT234)</f>
        <v>613633.33333333337</v>
      </c>
      <c r="AV390" s="59">
        <f t="shared" ref="AV390" si="2319">((AS390/AS338)-1)*100</f>
        <v>-36.98190364218469</v>
      </c>
      <c r="AW390" s="59">
        <f t="shared" ref="AW390" si="2320">((AT390/AT338)-1)*100</f>
        <v>-26.764847120845371</v>
      </c>
      <c r="AX390" s="59">
        <f t="shared" ref="AX390" si="2321">((AT390/AU390)-1)*100</f>
        <v>-17.301673094681959</v>
      </c>
      <c r="AZ390" s="53">
        <f t="shared" si="1936"/>
        <v>385.81599999999997</v>
      </c>
      <c r="BA390" s="53">
        <f t="shared" si="1937"/>
        <v>11.9</v>
      </c>
      <c r="BB390" s="53">
        <f t="shared" si="1938"/>
        <v>101.29</v>
      </c>
      <c r="BC390" s="53">
        <f t="shared" si="1939"/>
        <v>4.3</v>
      </c>
      <c r="BD390" s="53">
        <f t="shared" si="1940"/>
        <v>503.30599999999998</v>
      </c>
      <c r="BE390" s="60">
        <f t="shared" ref="BE390" si="2322">AZ390+BE389</f>
        <v>5270.8909999999996</v>
      </c>
      <c r="BF390" s="60">
        <f t="shared" ref="BF390" si="2323">BA390+BF389</f>
        <v>280.45699999999999</v>
      </c>
      <c r="BG390" s="60">
        <f t="shared" ref="BG390" si="2324">BB390+BG389</f>
        <v>3004.2880000000005</v>
      </c>
      <c r="BH390" s="60">
        <f t="shared" ref="BH390" si="2325">BC390+BH389</f>
        <v>126.05</v>
      </c>
      <c r="BI390" s="60">
        <f t="shared" ref="BI390" si="2326">BD390+BI389</f>
        <v>8681.6859999999997</v>
      </c>
      <c r="BJ390" s="1">
        <v>15</v>
      </c>
    </row>
    <row r="391" spans="1:62" x14ac:dyDescent="0.3">
      <c r="A391" s="48">
        <f t="shared" si="238"/>
        <v>40292</v>
      </c>
      <c r="B391" s="53">
        <v>417579</v>
      </c>
      <c r="C391" s="53">
        <v>63350</v>
      </c>
      <c r="D391" s="53">
        <v>0</v>
      </c>
      <c r="E391" s="53">
        <f t="shared" si="1904"/>
        <v>480929</v>
      </c>
      <c r="F391" s="53">
        <f t="shared" ref="F391" si="2327">AVERAGE(E388,E389,E390,E391)</f>
        <v>394245.5</v>
      </c>
      <c r="G391" s="53">
        <f t="shared" ref="G391" si="2328">AVERAGE(F339,F287,F235)</f>
        <v>461281.08333333331</v>
      </c>
      <c r="H391" s="59">
        <f t="shared" ref="H391" si="2329">((E391/E339)-1)*100</f>
        <v>-7.943839366039473</v>
      </c>
      <c r="I391" s="59">
        <f t="shared" ref="I391" si="2330">((F391/F339)-1)*100</f>
        <v>-19.693661175694142</v>
      </c>
      <c r="J391" s="59">
        <f t="shared" ref="J391" si="2331">((F391/G391)-1)*100</f>
        <v>-14.532480466989306</v>
      </c>
      <c r="L391" s="53">
        <v>23875</v>
      </c>
      <c r="M391" s="53">
        <v>1750</v>
      </c>
      <c r="N391" s="53">
        <v>15400</v>
      </c>
      <c r="O391" s="53">
        <f t="shared" si="2091"/>
        <v>41025</v>
      </c>
      <c r="P391" s="53">
        <f t="shared" ref="P391" si="2332">AVERAGE(O388,O389,O390,O391)</f>
        <v>22539</v>
      </c>
      <c r="Q391" s="53">
        <f t="shared" ref="Q391" si="2333">AVERAGE(P339,P287,P235)</f>
        <v>33380.416666666664</v>
      </c>
      <c r="R391" s="59">
        <f t="shared" ref="R391" si="2334">((O391/O339)-1)*100</f>
        <v>6.724765868886573</v>
      </c>
      <c r="S391" s="59">
        <f t="shared" ref="S391" si="2335">((P391/P339)-1)*100</f>
        <v>-36.506282044058821</v>
      </c>
      <c r="T391" s="59">
        <f t="shared" ref="T391" si="2336">((P391/Q391)-1)*100</f>
        <v>-32.47837429630647</v>
      </c>
      <c r="V391" s="53">
        <v>55500</v>
      </c>
      <c r="W391" s="53">
        <v>20750</v>
      </c>
      <c r="X391" s="53">
        <v>0</v>
      </c>
      <c r="Y391" s="53">
        <f t="shared" si="1916"/>
        <v>76250</v>
      </c>
      <c r="Z391" s="53">
        <f t="shared" ref="Z391" si="2337">AVERAGE(Y388,Y389,Y390,Y391)</f>
        <v>104022</v>
      </c>
      <c r="AA391" s="53">
        <f t="shared" ref="AA391" si="2338">AVERAGE(Z339,Z287,Z235)</f>
        <v>145526.08333333334</v>
      </c>
      <c r="AB391" s="59">
        <f t="shared" ref="AB391" si="2339">((Y391/Y339)-1)*100</f>
        <v>-62.156179585678409</v>
      </c>
      <c r="AC391" s="59">
        <f t="shared" ref="AC391" si="2340">((Z391/Z339)-1)*100</f>
        <v>-47.004745638368604</v>
      </c>
      <c r="AD391" s="59">
        <f t="shared" ref="AD391" si="2341">((Z391/AA391)-1)*100</f>
        <v>-28.520030487089088</v>
      </c>
      <c r="AF391" s="53">
        <v>0</v>
      </c>
      <c r="AG391" s="53">
        <v>3500</v>
      </c>
      <c r="AH391" s="53">
        <v>7800</v>
      </c>
      <c r="AI391" s="53">
        <f t="shared" si="1922"/>
        <v>11300</v>
      </c>
      <c r="AJ391" s="53">
        <f t="shared" ref="AJ391" si="2342">AVERAGE(AI388,AI389,AI390,AI391)</f>
        <v>6000</v>
      </c>
      <c r="AK391" s="53">
        <f t="shared" ref="AK391" si="2343">AVERAGE(AJ339,AJ287,AJ235)</f>
        <v>10213.166666666666</v>
      </c>
      <c r="AL391" s="59">
        <f t="shared" ref="AL391" si="2344">((AI391/AI339)-1)*100</f>
        <v>26.48309827624804</v>
      </c>
      <c r="AM391" s="59">
        <f t="shared" ref="AM391" si="2345">((AJ391/AJ339)-1)*100</f>
        <v>-59.154498110895538</v>
      </c>
      <c r="AN391" s="59">
        <f t="shared" ref="AN391" si="2346">((AJ391/AK391)-1)*100</f>
        <v>-41.252305031087324</v>
      </c>
      <c r="AP391" s="53">
        <f t="shared" si="1927"/>
        <v>496954</v>
      </c>
      <c r="AQ391" s="53">
        <f t="shared" si="1928"/>
        <v>89350</v>
      </c>
      <c r="AR391" s="53">
        <f t="shared" si="1929"/>
        <v>23200</v>
      </c>
      <c r="AS391" s="53">
        <f t="shared" si="1930"/>
        <v>609504</v>
      </c>
      <c r="AT391" s="53">
        <f t="shared" ref="AT391" si="2347">AVERAGE(AS388,AS389,AS390,AS391)</f>
        <v>526806.5</v>
      </c>
      <c r="AU391" s="53">
        <f t="shared" ref="AU391" si="2348">AVERAGE(AT339,AT287,AT235)</f>
        <v>650400.75</v>
      </c>
      <c r="AV391" s="59">
        <f t="shared" ref="AV391" si="2349">((AS391/AS339)-1)*100</f>
        <v>-20.976027175251854</v>
      </c>
      <c r="AW391" s="59">
        <f t="shared" ref="AW391" si="2350">((AT391/AT339)-1)*100</f>
        <v>-28.558923243829671</v>
      </c>
      <c r="AX391" s="59">
        <f t="shared" ref="AX391" si="2351">((AT391/AU391)-1)*100</f>
        <v>-19.00278405275516</v>
      </c>
      <c r="AZ391" s="53">
        <f t="shared" si="1936"/>
        <v>480.92899999999997</v>
      </c>
      <c r="BA391" s="53">
        <f t="shared" si="1937"/>
        <v>41.024999999999999</v>
      </c>
      <c r="BB391" s="53">
        <f t="shared" si="1938"/>
        <v>76.25</v>
      </c>
      <c r="BC391" s="53">
        <f t="shared" si="1939"/>
        <v>11.3</v>
      </c>
      <c r="BD391" s="53">
        <f t="shared" si="1940"/>
        <v>609.50400000000002</v>
      </c>
      <c r="BE391" s="60">
        <f t="shared" ref="BE391" si="2352">AZ391+BE390</f>
        <v>5751.82</v>
      </c>
      <c r="BF391" s="60">
        <f t="shared" ref="BF391" si="2353">BA391+BF390</f>
        <v>321.48199999999997</v>
      </c>
      <c r="BG391" s="60">
        <f t="shared" ref="BG391" si="2354">BB391+BG390</f>
        <v>3080.5380000000005</v>
      </c>
      <c r="BH391" s="60">
        <f t="shared" ref="BH391" si="2355">BC391+BH390</f>
        <v>137.35</v>
      </c>
      <c r="BI391" s="60">
        <f t="shared" ref="BI391" si="2356">BD391+BI390</f>
        <v>9291.19</v>
      </c>
      <c r="BJ391" s="1">
        <v>16</v>
      </c>
    </row>
    <row r="392" spans="1:62" x14ac:dyDescent="0.3">
      <c r="A392" s="48">
        <f t="shared" si="238"/>
        <v>40299</v>
      </c>
      <c r="B392" s="53">
        <v>336380</v>
      </c>
      <c r="C392" s="53">
        <v>62100</v>
      </c>
      <c r="D392" s="53">
        <v>2800</v>
      </c>
      <c r="E392" s="53">
        <f t="shared" si="1904"/>
        <v>401280</v>
      </c>
      <c r="F392" s="53">
        <f t="shared" ref="F392" si="2357">AVERAGE(E389,E390,E391,E392)</f>
        <v>403577.5</v>
      </c>
      <c r="G392" s="53">
        <f t="shared" ref="G392" si="2358">AVERAGE(F340,F288,F236)</f>
        <v>431548.5</v>
      </c>
      <c r="H392" s="59">
        <f t="shared" ref="H392" si="2359">((E392/E340)-1)*100</f>
        <v>5.4750952819030196</v>
      </c>
      <c r="I392" s="59">
        <f t="shared" ref="I392" si="2360">((F392/F340)-1)*100</f>
        <v>-15.5813051113182</v>
      </c>
      <c r="J392" s="59">
        <f t="shared" ref="J392" si="2361">((F392/G392)-1)*100</f>
        <v>-6.481542630781945</v>
      </c>
      <c r="L392" s="53">
        <v>7900</v>
      </c>
      <c r="M392" s="53">
        <v>3250</v>
      </c>
      <c r="N392" s="53">
        <v>5600</v>
      </c>
      <c r="O392" s="53">
        <f t="shared" si="2091"/>
        <v>16750</v>
      </c>
      <c r="P392" s="53">
        <f t="shared" ref="P392" si="2362">AVERAGE(O389,O390,O391,O392)</f>
        <v>22089</v>
      </c>
      <c r="Q392" s="53">
        <f t="shared" ref="Q392" si="2363">AVERAGE(P340,P288,P236)</f>
        <v>30408.166666666668</v>
      </c>
      <c r="R392" s="59">
        <f t="shared" ref="R392" si="2364">((O392/O340)-1)*100</f>
        <v>-40.812720848056536</v>
      </c>
      <c r="S392" s="59">
        <f t="shared" ref="S392" si="2365">((P392/P340)-1)*100</f>
        <v>-38.94524447884131</v>
      </c>
      <c r="T392" s="59">
        <f t="shared" ref="T392" si="2366">((P392/Q392)-1)*100</f>
        <v>-27.358330273117424</v>
      </c>
      <c r="V392" s="53">
        <v>59300</v>
      </c>
      <c r="W392" s="53">
        <v>28200</v>
      </c>
      <c r="X392" s="53">
        <v>5600</v>
      </c>
      <c r="Y392" s="53">
        <f t="shared" si="1916"/>
        <v>93100</v>
      </c>
      <c r="Z392" s="53">
        <f t="shared" ref="Z392" si="2367">AVERAGE(Y389,Y390,Y391,Y392)</f>
        <v>91189.75</v>
      </c>
      <c r="AA392" s="53">
        <f t="shared" ref="AA392" si="2368">AVERAGE(Z340,Z288,Z236)</f>
        <v>128589.91666666667</v>
      </c>
      <c r="AB392" s="59">
        <f t="shared" ref="AB392" si="2369">((Y392/Y340)-1)*100</f>
        <v>-42.63709180529883</v>
      </c>
      <c r="AC392" s="59">
        <f t="shared" ref="AC392" si="2370">((Z392/Z340)-1)*100</f>
        <v>-48.303665069871592</v>
      </c>
      <c r="AD392" s="59">
        <f t="shared" ref="AD392" si="2371">((Z392/AA392)-1)*100</f>
        <v>-29.084836226790721</v>
      </c>
      <c r="AF392" s="53">
        <v>0</v>
      </c>
      <c r="AG392" s="53">
        <v>0</v>
      </c>
      <c r="AH392" s="53">
        <v>4200</v>
      </c>
      <c r="AI392" s="53">
        <f t="shared" si="1922"/>
        <v>4200</v>
      </c>
      <c r="AJ392" s="53">
        <f t="shared" ref="AJ392" si="2372">AVERAGE(AI389,AI390,AI391,AI392)</f>
        <v>5650</v>
      </c>
      <c r="AK392" s="53">
        <f t="shared" ref="AK392" si="2373">AVERAGE(AJ340,AJ288,AJ236)</f>
        <v>10303.166666666666</v>
      </c>
      <c r="AL392" s="59">
        <f t="shared" ref="AL392" si="2374">((AI392/AI340)-1)*100</f>
        <v>-67.692307692307693</v>
      </c>
      <c r="AM392" s="59">
        <f t="shared" ref="AM392" si="2375">((AJ392/AJ340)-1)*100</f>
        <v>-58.115571370325071</v>
      </c>
      <c r="AN392" s="59">
        <f t="shared" ref="AN392" si="2376">((AJ392/AK392)-1)*100</f>
        <v>-45.162490496449301</v>
      </c>
      <c r="AP392" s="53">
        <f t="shared" si="1927"/>
        <v>403580</v>
      </c>
      <c r="AQ392" s="53">
        <f t="shared" si="1928"/>
        <v>93550</v>
      </c>
      <c r="AR392" s="53">
        <f t="shared" si="1929"/>
        <v>18200</v>
      </c>
      <c r="AS392" s="53">
        <f t="shared" si="1930"/>
        <v>515330</v>
      </c>
      <c r="AT392" s="53">
        <f t="shared" ref="AT392" si="2377">AVERAGE(AS389,AS390,AS391,AS392)</f>
        <v>522506.25</v>
      </c>
      <c r="AU392" s="53">
        <f t="shared" ref="AU392" si="2378">AVERAGE(AT340,AT288,AT236)</f>
        <v>600849.75</v>
      </c>
      <c r="AV392" s="59">
        <f t="shared" ref="AV392" si="2379">((AS392/AS340)-1)*100</f>
        <v>-11.766115914733334</v>
      </c>
      <c r="AW392" s="59">
        <f t="shared" ref="AW392" si="2380">((AT392/AT340)-1)*100</f>
        <v>-25.794065016403223</v>
      </c>
      <c r="AX392" s="59">
        <f t="shared" ref="AX392" si="2381">((AT392/AU392)-1)*100</f>
        <v>-13.038783822411515</v>
      </c>
      <c r="AZ392" s="53">
        <f t="shared" si="1936"/>
        <v>401.28</v>
      </c>
      <c r="BA392" s="53">
        <f t="shared" si="1937"/>
        <v>16.75</v>
      </c>
      <c r="BB392" s="53">
        <f t="shared" si="1938"/>
        <v>93.1</v>
      </c>
      <c r="BC392" s="53">
        <f t="shared" si="1939"/>
        <v>4.2</v>
      </c>
      <c r="BD392" s="53">
        <f t="shared" si="1940"/>
        <v>515.33000000000004</v>
      </c>
      <c r="BE392" s="60">
        <f t="shared" ref="BE392" si="2382">AZ392+BE391</f>
        <v>6153.0999999999995</v>
      </c>
      <c r="BF392" s="60">
        <f t="shared" ref="BF392" si="2383">BA392+BF391</f>
        <v>338.23199999999997</v>
      </c>
      <c r="BG392" s="60">
        <f t="shared" ref="BG392" si="2384">BB392+BG391</f>
        <v>3173.6380000000004</v>
      </c>
      <c r="BH392" s="60">
        <f t="shared" ref="BH392" si="2385">BC392+BH391</f>
        <v>141.54999999999998</v>
      </c>
      <c r="BI392" s="60">
        <f t="shared" ref="BI392" si="2386">BD392+BI391</f>
        <v>9806.52</v>
      </c>
      <c r="BJ392" s="1">
        <v>17</v>
      </c>
    </row>
    <row r="393" spans="1:62" x14ac:dyDescent="0.3">
      <c r="A393" s="48">
        <f t="shared" si="238"/>
        <v>40306</v>
      </c>
      <c r="B393" s="53">
        <v>525167</v>
      </c>
      <c r="C393" s="53">
        <v>118476</v>
      </c>
      <c r="D393" s="53">
        <v>0</v>
      </c>
      <c r="E393" s="53">
        <f t="shared" si="1904"/>
        <v>643643</v>
      </c>
      <c r="F393" s="53">
        <f t="shared" ref="F393" si="2387">AVERAGE(E390,E391,E392,E393)</f>
        <v>477917</v>
      </c>
      <c r="G393" s="53">
        <f t="shared" ref="G393" si="2388">AVERAGE(F341,F289,F237)</f>
        <v>411652.83333333331</v>
      </c>
      <c r="H393" s="59">
        <f t="shared" ref="H393" si="2389">((E393/E341)-1)*100</f>
        <v>44.498274712470788</v>
      </c>
      <c r="I393" s="59">
        <f t="shared" ref="I393" si="2390">((F393/F341)-1)*100</f>
        <v>0.10955311545599589</v>
      </c>
      <c r="J393" s="59">
        <f t="shared" ref="J393" si="2391">((F393/G393)-1)*100</f>
        <v>16.097099619137012</v>
      </c>
      <c r="L393" s="53">
        <v>7744</v>
      </c>
      <c r="M393" s="53">
        <v>6976</v>
      </c>
      <c r="N393" s="53">
        <v>14000</v>
      </c>
      <c r="O393" s="53">
        <f t="shared" ref="O393:O399" si="2392">SUM(L393:N393)</f>
        <v>28720</v>
      </c>
      <c r="P393" s="53">
        <f t="shared" ref="P393" si="2393">AVERAGE(O390,O391,O392,O393)</f>
        <v>24598.75</v>
      </c>
      <c r="Q393" s="53">
        <f t="shared" ref="Q393" si="2394">AVERAGE(P341,P289,P237)</f>
        <v>30542.333333333332</v>
      </c>
      <c r="R393" s="59">
        <f t="shared" ref="R393" si="2395">((O393/O341)-1)*100</f>
        <v>1.9271036661106633</v>
      </c>
      <c r="S393" s="59">
        <f t="shared" ref="S393" si="2396">((P393/P341)-1)*100</f>
        <v>-27.700175615204301</v>
      </c>
      <c r="T393" s="59">
        <f t="shared" ref="T393" si="2397">((P393/Q393)-1)*100</f>
        <v>-19.46014820958888</v>
      </c>
      <c r="V393" s="53">
        <v>127907</v>
      </c>
      <c r="W393" s="53">
        <v>31528</v>
      </c>
      <c r="X393" s="53">
        <v>9800</v>
      </c>
      <c r="Y393" s="53">
        <f t="shared" si="1916"/>
        <v>169235</v>
      </c>
      <c r="Z393" s="53">
        <f t="shared" ref="Z393" si="2398">AVERAGE(Y390,Y391,Y392,Y393)</f>
        <v>109968.75</v>
      </c>
      <c r="AA393" s="53">
        <f t="shared" ref="AA393" si="2399">AVERAGE(Z341,Z289,Z237)</f>
        <v>116579.91666666667</v>
      </c>
      <c r="AB393" s="59">
        <f t="shared" ref="AB393" si="2400">((Y393/Y341)-1)*100</f>
        <v>31.70756383616229</v>
      </c>
      <c r="AC393" s="59">
        <f t="shared" ref="AC393" si="2401">((Z393/Z341)-1)*100</f>
        <v>-34.257231891314255</v>
      </c>
      <c r="AD393" s="59">
        <f t="shared" ref="AD393" si="2402">((Z393/AA393)-1)*100</f>
        <v>-5.6709310280001146</v>
      </c>
      <c r="AF393" s="53">
        <v>10600</v>
      </c>
      <c r="AG393" s="53">
        <v>0</v>
      </c>
      <c r="AH393" s="53">
        <v>2800</v>
      </c>
      <c r="AI393" s="53">
        <f t="shared" si="1922"/>
        <v>13400</v>
      </c>
      <c r="AJ393" s="53">
        <f t="shared" ref="AJ393" si="2403">AVERAGE(AI390,AI391,AI392,AI393)</f>
        <v>8300</v>
      </c>
      <c r="AK393" s="53">
        <f t="shared" ref="AK393" si="2404">AVERAGE(AJ341,AJ289,AJ237)</f>
        <v>10403.583333333334</v>
      </c>
      <c r="AL393" s="59">
        <f t="shared" ref="AL393" si="2405">((AI393/AI341)-1)*100</f>
        <v>30.097087378640786</v>
      </c>
      <c r="AM393" s="59">
        <f t="shared" ref="AM393" si="2406">((AJ393/AJ341)-1)*100</f>
        <v>-35.731154903403151</v>
      </c>
      <c r="AN393" s="59">
        <f t="shared" ref="AN393" si="2407">((AJ393/AK393)-1)*100</f>
        <v>-20.219796063856212</v>
      </c>
      <c r="AP393" s="53">
        <f t="shared" si="1927"/>
        <v>671418</v>
      </c>
      <c r="AQ393" s="53">
        <f t="shared" si="1928"/>
        <v>156980</v>
      </c>
      <c r="AR393" s="53">
        <f t="shared" si="1929"/>
        <v>26600</v>
      </c>
      <c r="AS393" s="53">
        <f t="shared" si="1930"/>
        <v>854998</v>
      </c>
      <c r="AT393" s="53">
        <f t="shared" ref="AT393" si="2408">AVERAGE(AS390,AS391,AS392,AS393)</f>
        <v>620784.5</v>
      </c>
      <c r="AU393" s="53">
        <f t="shared" ref="AU393" si="2409">AVERAGE(AT341,AT289,AT237)</f>
        <v>569178.66666666663</v>
      </c>
      <c r="AV393" s="59">
        <f t="shared" ref="AV393" si="2410">((AS393/AS341)-1)*100</f>
        <v>39.613620442747674</v>
      </c>
      <c r="AW393" s="59">
        <f t="shared" ref="AW393" si="2411">((AT393/AT341)-1)*100</f>
        <v>-10.239761828679173</v>
      </c>
      <c r="AX393" s="59">
        <f t="shared" ref="AX393" si="2412">((AT393/AU393)-1)*100</f>
        <v>9.066719530364221</v>
      </c>
      <c r="AZ393" s="53">
        <f t="shared" si="1936"/>
        <v>643.64300000000003</v>
      </c>
      <c r="BA393" s="53">
        <f t="shared" si="1937"/>
        <v>28.72</v>
      </c>
      <c r="BB393" s="53">
        <f t="shared" si="1938"/>
        <v>169.23500000000001</v>
      </c>
      <c r="BC393" s="53">
        <f t="shared" si="1939"/>
        <v>13.4</v>
      </c>
      <c r="BD393" s="53">
        <f t="shared" si="1940"/>
        <v>854.99800000000005</v>
      </c>
      <c r="BE393" s="60">
        <f t="shared" ref="BE393" si="2413">AZ393+BE392</f>
        <v>6796.7429999999995</v>
      </c>
      <c r="BF393" s="60">
        <f t="shared" ref="BF393" si="2414">BA393+BF392</f>
        <v>366.952</v>
      </c>
      <c r="BG393" s="60">
        <f t="shared" ref="BG393" si="2415">BB393+BG392</f>
        <v>3342.8730000000005</v>
      </c>
      <c r="BH393" s="60">
        <f t="shared" ref="BH393" si="2416">BC393+BH392</f>
        <v>154.94999999999999</v>
      </c>
      <c r="BI393" s="60">
        <f t="shared" ref="BI393" si="2417">BD393+BI392</f>
        <v>10661.518</v>
      </c>
      <c r="BJ393" s="1">
        <v>18</v>
      </c>
    </row>
    <row r="394" spans="1:62" x14ac:dyDescent="0.3">
      <c r="A394" s="48">
        <f t="shared" si="238"/>
        <v>40313</v>
      </c>
      <c r="B394" s="53">
        <v>559400</v>
      </c>
      <c r="C394" s="53">
        <v>92200</v>
      </c>
      <c r="D394" s="53">
        <v>0</v>
      </c>
      <c r="E394" s="53">
        <f t="shared" si="1904"/>
        <v>651600</v>
      </c>
      <c r="F394" s="53">
        <f t="shared" ref="F394" si="2418">AVERAGE(E391,E392,E393,E394)</f>
        <v>544363</v>
      </c>
      <c r="G394" s="53">
        <f t="shared" ref="G394" si="2419">AVERAGE(F342,F290,F238)</f>
        <v>416510.5</v>
      </c>
      <c r="H394" s="59">
        <f t="shared" ref="H394" si="2420">((E394/E342)-1)*100</f>
        <v>7.3568081614899361</v>
      </c>
      <c r="I394" s="59">
        <f t="shared" ref="I394" si="2421">((F394/F342)-1)*100</f>
        <v>11.363751437787585</v>
      </c>
      <c r="J394" s="59">
        <f t="shared" ref="J394" si="2422">((F394/G394)-1)*100</f>
        <v>30.696104900116559</v>
      </c>
      <c r="L394" s="53">
        <v>17200</v>
      </c>
      <c r="M394" s="53">
        <v>1500</v>
      </c>
      <c r="N394" s="53">
        <v>14000</v>
      </c>
      <c r="O394" s="53">
        <f t="shared" si="2392"/>
        <v>32700</v>
      </c>
      <c r="P394" s="53">
        <f t="shared" ref="P394" si="2423">AVERAGE(O391,O392,O393,O394)</f>
        <v>29798.75</v>
      </c>
      <c r="Q394" s="53">
        <f t="shared" ref="Q394" si="2424">AVERAGE(P342,P290,P238)</f>
        <v>30111.25</v>
      </c>
      <c r="R394" s="59">
        <f t="shared" ref="R394" si="2425">((O394/O342)-1)*100</f>
        <v>94.180522565320658</v>
      </c>
      <c r="S394" s="59">
        <f t="shared" ref="S394" si="2426">((P394/P342)-1)*100</f>
        <v>6.6555115115831676</v>
      </c>
      <c r="T394" s="59">
        <f t="shared" ref="T394" si="2427">((P394/Q394)-1)*100</f>
        <v>-1.0378180912449686</v>
      </c>
      <c r="V394" s="53">
        <v>96320</v>
      </c>
      <c r="W394" s="53">
        <v>15050</v>
      </c>
      <c r="X394" s="53">
        <v>2800</v>
      </c>
      <c r="Y394" s="53">
        <f t="shared" si="1916"/>
        <v>114170</v>
      </c>
      <c r="Z394" s="53">
        <f t="shared" ref="Z394" si="2428">AVERAGE(Y391,Y392,Y393,Y394)</f>
        <v>113188.75</v>
      </c>
      <c r="AA394" s="53">
        <f t="shared" ref="AA394" si="2429">AVERAGE(Z342,Z290,Z238)</f>
        <v>119180.58333333333</v>
      </c>
      <c r="AB394" s="59">
        <f t="shared" ref="AB394" si="2430">((Y394/Y342)-1)*100</f>
        <v>-22.545674104326231</v>
      </c>
      <c r="AC394" s="59">
        <f t="shared" ref="AC394" si="2431">((Z394/Z342)-1)*100</f>
        <v>-29.221863363358668</v>
      </c>
      <c r="AD394" s="59">
        <f t="shared" ref="AD394" si="2432">((Z394/AA394)-1)*100</f>
        <v>-5.0275247575982345</v>
      </c>
      <c r="AF394" s="53">
        <v>3000</v>
      </c>
      <c r="AG394" s="53">
        <v>0</v>
      </c>
      <c r="AH394" s="53">
        <v>5600</v>
      </c>
      <c r="AI394" s="53">
        <f t="shared" si="1922"/>
        <v>8600</v>
      </c>
      <c r="AJ394" s="53">
        <f t="shared" ref="AJ394" si="2433">AVERAGE(AI391,AI392,AI393,AI394)</f>
        <v>9375</v>
      </c>
      <c r="AK394" s="53">
        <f t="shared" ref="AK394" si="2434">AVERAGE(AJ342,AJ290,AJ238)</f>
        <v>9391.0833333333339</v>
      </c>
      <c r="AL394" s="59">
        <f t="shared" ref="AL394" si="2435">((AI394/AI342)-1)*100</f>
        <v>73.737373737373744</v>
      </c>
      <c r="AM394" s="59">
        <f t="shared" ref="AM394" si="2436">((AJ394/AJ342)-1)*100</f>
        <v>0.84982788296041889</v>
      </c>
      <c r="AN394" s="59">
        <f t="shared" ref="AN394" si="2437">((AJ394/AK394)-1)*100</f>
        <v>-0.17126174651487247</v>
      </c>
      <c r="AP394" s="53">
        <f t="shared" si="1927"/>
        <v>675920</v>
      </c>
      <c r="AQ394" s="53">
        <f t="shared" si="1928"/>
        <v>108750</v>
      </c>
      <c r="AR394" s="53">
        <f t="shared" si="1929"/>
        <v>22400</v>
      </c>
      <c r="AS394" s="53">
        <f t="shared" si="1930"/>
        <v>807070</v>
      </c>
      <c r="AT394" s="53">
        <f t="shared" ref="AT394" si="2438">AVERAGE(AS391,AS392,AS393,AS394)</f>
        <v>696725.5</v>
      </c>
      <c r="AU394" s="53">
        <f t="shared" ref="AU394" si="2439">AVERAGE(AT342,AT290,AT238)</f>
        <v>575193.41666666663</v>
      </c>
      <c r="AV394" s="59">
        <f t="shared" ref="AV394" si="2440">((AS394/AS342)-1)*100</f>
        <v>3.9849718028038827</v>
      </c>
      <c r="AW394" s="59">
        <f t="shared" ref="AW394" si="2441">((AT394/AT342)-1)*100</f>
        <v>1.5677776465768956</v>
      </c>
      <c r="AX394" s="59">
        <f t="shared" ref="AX394" si="2442">((AT394/AU394)-1)*100</f>
        <v>21.128907218311067</v>
      </c>
      <c r="AZ394" s="53">
        <f t="shared" si="1936"/>
        <v>651.6</v>
      </c>
      <c r="BA394" s="53">
        <f t="shared" si="1937"/>
        <v>32.700000000000003</v>
      </c>
      <c r="BB394" s="53">
        <f t="shared" si="1938"/>
        <v>114.17</v>
      </c>
      <c r="BC394" s="53">
        <f t="shared" si="1939"/>
        <v>8.6</v>
      </c>
      <c r="BD394" s="53">
        <f t="shared" si="1940"/>
        <v>807.07</v>
      </c>
      <c r="BE394" s="60">
        <f t="shared" ref="BE394" si="2443">AZ394+BE393</f>
        <v>7448.3429999999998</v>
      </c>
      <c r="BF394" s="60">
        <f t="shared" ref="BF394" si="2444">BA394+BF393</f>
        <v>399.65199999999999</v>
      </c>
      <c r="BG394" s="60">
        <f t="shared" ref="BG394" si="2445">BB394+BG393</f>
        <v>3457.0430000000006</v>
      </c>
      <c r="BH394" s="60">
        <f t="shared" ref="BH394" si="2446">BC394+BH393</f>
        <v>163.54999999999998</v>
      </c>
      <c r="BI394" s="60">
        <f t="shared" ref="BI394" si="2447">BD394+BI393</f>
        <v>11468.588</v>
      </c>
      <c r="BJ394" s="1">
        <v>19</v>
      </c>
    </row>
    <row r="395" spans="1:62" x14ac:dyDescent="0.3">
      <c r="A395" s="48">
        <f t="shared" si="238"/>
        <v>40320</v>
      </c>
      <c r="B395" s="53">
        <v>537098</v>
      </c>
      <c r="C395" s="53">
        <v>70950</v>
      </c>
      <c r="D395" s="53">
        <v>0</v>
      </c>
      <c r="E395" s="53">
        <f t="shared" si="1904"/>
        <v>608048</v>
      </c>
      <c r="F395" s="53">
        <f t="shared" ref="F395:F396" si="2448">AVERAGE(E392,E393,E394,E395)</f>
        <v>576142.75</v>
      </c>
      <c r="G395" s="53">
        <f t="shared" ref="G395:G396" si="2449">AVERAGE(F343,F291,F239)</f>
        <v>423627.91666666669</v>
      </c>
      <c r="H395" s="59">
        <f t="shared" ref="H395" si="2450">((E395/E343)-1)*100</f>
        <v>29.340267806813223</v>
      </c>
      <c r="I395" s="59">
        <f t="shared" ref="I395" si="2451">((F395/F343)-1)*100</f>
        <v>21.105433364898431</v>
      </c>
      <c r="J395" s="59">
        <f t="shared" ref="J395" si="2452">((F395/G395)-1)*100</f>
        <v>36.002073360368314</v>
      </c>
      <c r="L395" s="53">
        <v>6240</v>
      </c>
      <c r="M395" s="53">
        <v>7000</v>
      </c>
      <c r="N395" s="53">
        <v>7000</v>
      </c>
      <c r="O395" s="53">
        <f t="shared" si="2392"/>
        <v>20240</v>
      </c>
      <c r="P395" s="53">
        <f t="shared" ref="P395" si="2453">AVERAGE(O392,O393,O394,O395)</f>
        <v>24602.5</v>
      </c>
      <c r="Q395" s="53">
        <f t="shared" ref="Q395" si="2454">AVERAGE(P343,P291,P239)</f>
        <v>22809.833333333332</v>
      </c>
      <c r="R395" s="59">
        <f t="shared" ref="R395" si="2455">((O395/O343)-1)*100</f>
        <v>57.142857142857139</v>
      </c>
      <c r="S395" s="59">
        <f t="shared" ref="S395" si="2456">((P395/P343)-1)*100</f>
        <v>14.168706567513944</v>
      </c>
      <c r="T395" s="59">
        <f t="shared" ref="T395" si="2457">((P395/Q395)-1)*100</f>
        <v>7.8591835392630482</v>
      </c>
      <c r="V395" s="53">
        <v>95965</v>
      </c>
      <c r="W395" s="53">
        <v>17500</v>
      </c>
      <c r="X395" s="53">
        <v>9800</v>
      </c>
      <c r="Y395" s="53">
        <f t="shared" si="1916"/>
        <v>123265</v>
      </c>
      <c r="Z395" s="53">
        <f t="shared" ref="Z395" si="2458">AVERAGE(Y392,Y393,Y394,Y395)</f>
        <v>124942.5</v>
      </c>
      <c r="AA395" s="53">
        <f t="shared" ref="AA395" si="2459">AVERAGE(Z343,Z291,Z239)</f>
        <v>124360.91666666667</v>
      </c>
      <c r="AB395" s="59">
        <f t="shared" ref="AB395" si="2460">((Y395/Y343)-1)*100</f>
        <v>-43.695072262520327</v>
      </c>
      <c r="AC395" s="59">
        <f t="shared" ref="AC395" si="2461">((Z395/Z343)-1)*100</f>
        <v>-23.945398100803505</v>
      </c>
      <c r="AD395" s="59">
        <f t="shared" ref="AD395" si="2462">((Z395/AA395)-1)*100</f>
        <v>0.46765764431617729</v>
      </c>
      <c r="AF395" s="53">
        <v>0</v>
      </c>
      <c r="AG395" s="53">
        <v>0</v>
      </c>
      <c r="AH395" s="53">
        <v>13000</v>
      </c>
      <c r="AI395" s="53">
        <f t="shared" si="1922"/>
        <v>13000</v>
      </c>
      <c r="AJ395" s="53">
        <f t="shared" ref="AJ395" si="2463">AVERAGE(AI392,AI393,AI394,AI395)</f>
        <v>9800</v>
      </c>
      <c r="AK395" s="53">
        <f t="shared" ref="AK395" si="2464">AVERAGE(AJ343,AJ291,AJ239)</f>
        <v>9521.5833333333339</v>
      </c>
      <c r="AL395" s="59">
        <f t="shared" ref="AL395" si="2465">((AI395/AI343)-1)*100</f>
        <v>828.57142857142867</v>
      </c>
      <c r="AM395" s="59">
        <f t="shared" ref="AM395" si="2466">((AJ395/AJ343)-1)*100</f>
        <v>32.209106239460361</v>
      </c>
      <c r="AN395" s="59">
        <f t="shared" ref="AN395" si="2467">((AJ395/AK395)-1)*100</f>
        <v>2.9240584986740537</v>
      </c>
      <c r="AP395" s="53">
        <f t="shared" si="1927"/>
        <v>639303</v>
      </c>
      <c r="AQ395" s="53">
        <f t="shared" si="1928"/>
        <v>95450</v>
      </c>
      <c r="AR395" s="53">
        <f t="shared" si="1929"/>
        <v>29800</v>
      </c>
      <c r="AS395" s="53">
        <f t="shared" si="1930"/>
        <v>764553</v>
      </c>
      <c r="AT395" s="53">
        <f t="shared" ref="AT395" si="2468">AVERAGE(AS392,AS393,AS394,AS395)</f>
        <v>735487.75</v>
      </c>
      <c r="AU395" s="53">
        <f t="shared" ref="AU395" si="2469">AVERAGE(AT343,AT291,AT239)</f>
        <v>580320.25</v>
      </c>
      <c r="AV395" s="59">
        <f t="shared" ref="AV395" si="2470">((AS395/AS343)-1)*100</f>
        <v>8.7064333538550809</v>
      </c>
      <c r="AW395" s="59">
        <f t="shared" ref="AW395" si="2471">((AT395/AT343)-1)*100</f>
        <v>9.9419525223727323</v>
      </c>
      <c r="AX395" s="59">
        <f t="shared" ref="AX395" si="2472">((AT395/AU395)-1)*100</f>
        <v>26.73825357636581</v>
      </c>
      <c r="AZ395" s="53">
        <f t="shared" si="1936"/>
        <v>608.048</v>
      </c>
      <c r="BA395" s="53">
        <f t="shared" si="1937"/>
        <v>20.239999999999998</v>
      </c>
      <c r="BB395" s="53">
        <f t="shared" si="1938"/>
        <v>123.265</v>
      </c>
      <c r="BC395" s="53">
        <f t="shared" si="1939"/>
        <v>13</v>
      </c>
      <c r="BD395" s="53">
        <f t="shared" si="1940"/>
        <v>764.553</v>
      </c>
      <c r="BE395" s="60">
        <f t="shared" ref="BE395:BE396" si="2473">AZ395+BE394</f>
        <v>8056.3909999999996</v>
      </c>
      <c r="BF395" s="60">
        <f t="shared" ref="BF395" si="2474">BA395+BF394</f>
        <v>419.892</v>
      </c>
      <c r="BG395" s="60">
        <f t="shared" ref="BG395" si="2475">BB395+BG394</f>
        <v>3580.3080000000004</v>
      </c>
      <c r="BH395" s="60">
        <f t="shared" ref="BH395" si="2476">BC395+BH394</f>
        <v>176.54999999999998</v>
      </c>
      <c r="BI395" s="60">
        <f t="shared" ref="BI395" si="2477">BD395+BI394</f>
        <v>12233.141</v>
      </c>
      <c r="BJ395" s="1">
        <v>20</v>
      </c>
    </row>
    <row r="396" spans="1:62" x14ac:dyDescent="0.3">
      <c r="A396" s="48">
        <f t="shared" si="238"/>
        <v>40327</v>
      </c>
      <c r="B396" s="64">
        <v>708018</v>
      </c>
      <c r="C396" s="64">
        <v>77550</v>
      </c>
      <c r="D396" s="53">
        <v>0</v>
      </c>
      <c r="E396" s="53">
        <f t="shared" si="1904"/>
        <v>785568</v>
      </c>
      <c r="F396" s="53">
        <f t="shared" si="2448"/>
        <v>672214.75</v>
      </c>
      <c r="G396" s="53">
        <f t="shared" si="2449"/>
        <v>455546.91666666669</v>
      </c>
      <c r="H396" s="59">
        <f t="shared" ref="H396" si="2478">((E396/E344)-1)*100</f>
        <v>64.79709998993053</v>
      </c>
      <c r="I396" s="59">
        <f t="shared" ref="I396" si="2479">((F396/F344)-1)*100</f>
        <v>34.497825112645963</v>
      </c>
      <c r="J396" s="59">
        <f t="shared" ref="J396" si="2480">((F396/G396)-1)*100</f>
        <v>47.562133647778303</v>
      </c>
      <c r="L396" s="53">
        <v>9540</v>
      </c>
      <c r="M396" s="53">
        <v>3350</v>
      </c>
      <c r="N396" s="53">
        <v>2800</v>
      </c>
      <c r="O396" s="53">
        <f t="shared" si="2392"/>
        <v>15690</v>
      </c>
      <c r="P396" s="53">
        <f t="shared" ref="P396" si="2481">AVERAGE(O393,O394,O395,O396)</f>
        <v>24337.5</v>
      </c>
      <c r="Q396" s="53">
        <f t="shared" ref="Q396" si="2482">AVERAGE(P344,P292,P240)</f>
        <v>21834.333333333332</v>
      </c>
      <c r="R396" s="59">
        <f t="shared" ref="R396" si="2483">((O396/O344)-1)*100</f>
        <v>-28.681818181818187</v>
      </c>
      <c r="S396" s="59">
        <f t="shared" ref="S396" si="2484">((P396/P344)-1)*100</f>
        <v>21.844374632339147</v>
      </c>
      <c r="T396" s="59">
        <f t="shared" ref="T396" si="2485">((P396/Q396)-1)*100</f>
        <v>11.464360410973541</v>
      </c>
      <c r="V396" s="64">
        <v>52781</v>
      </c>
      <c r="W396" s="64">
        <v>25250</v>
      </c>
      <c r="X396" s="64">
        <v>9800</v>
      </c>
      <c r="Y396" s="64">
        <f t="shared" si="1916"/>
        <v>87831</v>
      </c>
      <c r="Z396" s="53">
        <f t="shared" ref="Z396" si="2486">AVERAGE(Y393,Y394,Y395,Y396)</f>
        <v>123625.25</v>
      </c>
      <c r="AA396" s="53">
        <f t="shared" ref="AA396" si="2487">AVERAGE(Z344,Z292,Z240)</f>
        <v>138549.91666666666</v>
      </c>
      <c r="AB396" s="59">
        <f t="shared" ref="AB396" si="2488">((Y396/Y344)-1)*100</f>
        <v>-59.342582177227854</v>
      </c>
      <c r="AC396" s="59">
        <f t="shared" ref="AC396" si="2489">((Z396/Z344)-1)*100</f>
        <v>-30.434959984356691</v>
      </c>
      <c r="AD396" s="59">
        <f t="shared" ref="AD396" si="2490">((Z396/AA396)-1)*100</f>
        <v>-10.772050265878896</v>
      </c>
      <c r="AF396" s="64">
        <v>1500</v>
      </c>
      <c r="AG396" s="53">
        <v>0</v>
      </c>
      <c r="AH396" s="64">
        <v>11200</v>
      </c>
      <c r="AI396" s="53">
        <f t="shared" si="1922"/>
        <v>12700</v>
      </c>
      <c r="AJ396" s="53">
        <f t="shared" ref="AJ396" si="2491">AVERAGE(AI393,AI394,AI395,AI396)</f>
        <v>11925</v>
      </c>
      <c r="AK396" s="53">
        <f t="shared" ref="AK396" si="2492">AVERAGE(AJ344,AJ292,AJ240)</f>
        <v>8369.5</v>
      </c>
      <c r="AL396" s="59">
        <f t="shared" ref="AL396" si="2493">((AI396/AI344)-1)*100</f>
        <v>-5.9259259259259238</v>
      </c>
      <c r="AM396" s="59">
        <f t="shared" ref="AM396" si="2494">((AJ396/AJ344)-1)*100</f>
        <v>58.208955223880587</v>
      </c>
      <c r="AN396" s="59">
        <f t="shared" ref="AN396" si="2495">((AJ396/AK396)-1)*100</f>
        <v>42.481629726984885</v>
      </c>
      <c r="AP396" s="60">
        <f t="shared" si="1927"/>
        <v>771839</v>
      </c>
      <c r="AQ396" s="53">
        <f t="shared" si="1928"/>
        <v>106150</v>
      </c>
      <c r="AR396" s="60">
        <f t="shared" si="1929"/>
        <v>23800</v>
      </c>
      <c r="AS396" s="53">
        <f t="shared" si="1930"/>
        <v>901789</v>
      </c>
      <c r="AT396" s="53">
        <f t="shared" ref="AT396" si="2496">AVERAGE(AS393,AS394,AS395,AS396)</f>
        <v>832102.5</v>
      </c>
      <c r="AU396" s="53">
        <f t="shared" ref="AU396" si="2497">AVERAGE(AT344,AT292,AT240)</f>
        <v>624300.66666666663</v>
      </c>
      <c r="AV396" s="59">
        <f t="shared" ref="AV396" si="2498">((AS396/AS344)-1)*100</f>
        <v>23.835543074504105</v>
      </c>
      <c r="AW396" s="59">
        <f t="shared" ref="AW396" si="2499">((AT396/AT344)-1)*100</f>
        <v>18.02545887028657</v>
      </c>
      <c r="AX396" s="59">
        <f t="shared" ref="AX396" si="2500">((AT396/AU396)-1)*100</f>
        <v>33.285537630906489</v>
      </c>
      <c r="AZ396" s="53">
        <f t="shared" si="1936"/>
        <v>785.56799999999998</v>
      </c>
      <c r="BA396" s="53">
        <f t="shared" si="1937"/>
        <v>15.69</v>
      </c>
      <c r="BB396" s="53">
        <f t="shared" si="1938"/>
        <v>87.831000000000003</v>
      </c>
      <c r="BC396" s="53">
        <f t="shared" si="1939"/>
        <v>12.7</v>
      </c>
      <c r="BD396" s="53">
        <f t="shared" si="1940"/>
        <v>901.78899999999999</v>
      </c>
      <c r="BE396" s="60">
        <f t="shared" si="2473"/>
        <v>8841.9589999999989</v>
      </c>
      <c r="BF396" s="60">
        <f t="shared" ref="BF396" si="2501">BA396+BF395</f>
        <v>435.58199999999999</v>
      </c>
      <c r="BG396" s="60">
        <f t="shared" ref="BG396" si="2502">BB396+BG395</f>
        <v>3668.1390000000006</v>
      </c>
      <c r="BH396" s="60">
        <f t="shared" ref="BH396" si="2503">BC396+BH395</f>
        <v>189.24999999999997</v>
      </c>
      <c r="BI396" s="60">
        <f t="shared" ref="BI396" si="2504">BD396+BI395</f>
        <v>13134.93</v>
      </c>
      <c r="BJ396" s="1">
        <v>21</v>
      </c>
    </row>
    <row r="397" spans="1:62" x14ac:dyDescent="0.3">
      <c r="A397" s="48">
        <f t="shared" si="238"/>
        <v>40334</v>
      </c>
      <c r="B397" s="64">
        <v>540796</v>
      </c>
      <c r="C397" s="64">
        <v>106500</v>
      </c>
      <c r="D397" s="53">
        <v>0</v>
      </c>
      <c r="E397" s="53">
        <f t="shared" si="1904"/>
        <v>647296</v>
      </c>
      <c r="F397" s="53">
        <f t="shared" ref="F397" si="2505">AVERAGE(E394,E395,E396,E397)</f>
        <v>673128</v>
      </c>
      <c r="G397" s="53">
        <f t="shared" ref="G397" si="2506">AVERAGE(F345,F293,F241)</f>
        <v>503058.66666666669</v>
      </c>
      <c r="H397" s="59">
        <f t="shared" ref="H397" si="2507">((E397/E345)-1)*100</f>
        <v>16.678894022175083</v>
      </c>
      <c r="I397" s="59">
        <f t="shared" ref="I397" si="2508">((F397/F345)-1)*100</f>
        <v>27.696894216696279</v>
      </c>
      <c r="J397" s="59">
        <f t="shared" ref="J397" si="2509">((F397/G397)-1)*100</f>
        <v>33.807057626148307</v>
      </c>
      <c r="L397" s="53">
        <v>6300</v>
      </c>
      <c r="M397" s="53">
        <v>1600</v>
      </c>
      <c r="N397" s="53">
        <v>8400</v>
      </c>
      <c r="O397" s="53">
        <f t="shared" si="2392"/>
        <v>16300</v>
      </c>
      <c r="P397" s="53">
        <f t="shared" ref="P397" si="2510">AVERAGE(O394,O395,O396,O397)</f>
        <v>21232.5</v>
      </c>
      <c r="Q397" s="53">
        <f t="shared" ref="Q397" si="2511">AVERAGE(P345,P293,P241)</f>
        <v>19606</v>
      </c>
      <c r="R397" s="59">
        <f t="shared" ref="R397" si="2512">((O397/O345)-1)*100</f>
        <v>-26.321023369344122</v>
      </c>
      <c r="S397" s="59">
        <f t="shared" ref="S397" si="2513">((P397/P345)-1)*100</f>
        <v>15.014287068510225</v>
      </c>
      <c r="T397" s="59">
        <f t="shared" ref="T397" si="2514">((P397/Q397)-1)*100</f>
        <v>8.2959298174028362</v>
      </c>
      <c r="V397" s="64">
        <v>66693</v>
      </c>
      <c r="W397" s="64">
        <v>37350</v>
      </c>
      <c r="X397" s="64">
        <v>7000</v>
      </c>
      <c r="Y397" s="64">
        <f t="shared" si="1916"/>
        <v>111043</v>
      </c>
      <c r="Z397" s="53">
        <f t="shared" ref="Z397" si="2515">AVERAGE(Y394,Y395,Y396,Y397)</f>
        <v>109077.25</v>
      </c>
      <c r="AA397" s="53">
        <f t="shared" ref="AA397" si="2516">AVERAGE(Z345,Z293,Z241)</f>
        <v>162784.66666666666</v>
      </c>
      <c r="AB397" s="59">
        <f t="shared" ref="AB397" si="2517">((Y397/Y345)-1)*100</f>
        <v>-48.483161445067665</v>
      </c>
      <c r="AC397" s="59">
        <f t="shared" ref="AC397" si="2518">((Z397/Z345)-1)*100</f>
        <v>-45.317902847596379</v>
      </c>
      <c r="AD397" s="59">
        <f t="shared" ref="AD397" si="2519">((Z397/AA397)-1)*100</f>
        <v>-32.992921118696685</v>
      </c>
      <c r="AF397" s="53">
        <v>0</v>
      </c>
      <c r="AG397" s="53">
        <v>0</v>
      </c>
      <c r="AH397" s="64">
        <v>11800</v>
      </c>
      <c r="AI397" s="53">
        <f t="shared" si="1922"/>
        <v>11800</v>
      </c>
      <c r="AJ397" s="53">
        <f t="shared" ref="AJ397" si="2520">AVERAGE(AI394,AI395,AI396,AI397)</f>
        <v>11525</v>
      </c>
      <c r="AK397" s="53">
        <f t="shared" ref="AK397" si="2521">AVERAGE(AJ345,AJ293,AJ241)</f>
        <v>9019.0833333333339</v>
      </c>
      <c r="AL397" s="59">
        <f t="shared" ref="AL397" si="2522">((AI397/AI345)-1)*100</f>
        <v>-16.901408450704224</v>
      </c>
      <c r="AM397" s="59">
        <f t="shared" ref="AM397" si="2523">((AJ397/AJ345)-1)*100</f>
        <v>35.389133627019099</v>
      </c>
      <c r="AN397" s="59">
        <f t="shared" ref="AN397" si="2524">((AJ397/AK397)-1)*100</f>
        <v>27.78460486560903</v>
      </c>
      <c r="AP397" s="60">
        <f t="shared" si="1927"/>
        <v>613789</v>
      </c>
      <c r="AQ397" s="53">
        <f t="shared" si="1928"/>
        <v>145450</v>
      </c>
      <c r="AR397" s="60">
        <f t="shared" si="1929"/>
        <v>27200</v>
      </c>
      <c r="AS397" s="53">
        <f t="shared" si="1930"/>
        <v>786439</v>
      </c>
      <c r="AT397" s="53">
        <f t="shared" ref="AT397" si="2525">AVERAGE(AS394,AS395,AS396,AS397)</f>
        <v>814962.75</v>
      </c>
      <c r="AU397" s="53">
        <f t="shared" ref="AU397" si="2526">AVERAGE(AT345,AT293,AT241)</f>
        <v>694468.41666666663</v>
      </c>
      <c r="AV397" s="59">
        <f t="shared" ref="AV397" si="2527">((AS397/AS345)-1)*100</f>
        <v>-2.5039763859084019</v>
      </c>
      <c r="AW397" s="59">
        <f t="shared" ref="AW397" si="2528">((AT397/AT345)-1)*100</f>
        <v>8.1457725676705053</v>
      </c>
      <c r="AX397" s="59">
        <f t="shared" ref="AX397" si="2529">((AT397/AU397)-1)*100</f>
        <v>17.350585057803801</v>
      </c>
      <c r="AZ397" s="53">
        <f t="shared" si="1936"/>
        <v>647.29600000000005</v>
      </c>
      <c r="BA397" s="53">
        <f t="shared" si="1937"/>
        <v>16.3</v>
      </c>
      <c r="BB397" s="53">
        <f t="shared" si="1938"/>
        <v>111.04300000000001</v>
      </c>
      <c r="BC397" s="53">
        <f t="shared" si="1939"/>
        <v>11.8</v>
      </c>
      <c r="BD397" s="53">
        <f t="shared" si="1940"/>
        <v>786.43899999999996</v>
      </c>
      <c r="BE397" s="60">
        <f t="shared" ref="BE397" si="2530">AZ397+BE396</f>
        <v>9489.2549999999992</v>
      </c>
      <c r="BF397" s="60">
        <f t="shared" ref="BF397" si="2531">BA397+BF396</f>
        <v>451.88200000000001</v>
      </c>
      <c r="BG397" s="60">
        <f t="shared" ref="BG397" si="2532">BB397+BG396</f>
        <v>3779.1820000000007</v>
      </c>
      <c r="BH397" s="60">
        <f t="shared" ref="BH397" si="2533">BC397+BH396</f>
        <v>201.04999999999998</v>
      </c>
      <c r="BI397" s="60">
        <f t="shared" ref="BI397" si="2534">BD397+BI396</f>
        <v>13921.369000000001</v>
      </c>
      <c r="BJ397" s="1">
        <v>22</v>
      </c>
    </row>
    <row r="398" spans="1:62" x14ac:dyDescent="0.3">
      <c r="A398" s="48">
        <f t="shared" si="238"/>
        <v>40341</v>
      </c>
      <c r="B398" s="64">
        <v>577303</v>
      </c>
      <c r="C398" s="64">
        <v>27500</v>
      </c>
      <c r="D398" s="53">
        <v>0</v>
      </c>
      <c r="E398" s="53">
        <f t="shared" si="1904"/>
        <v>604803</v>
      </c>
      <c r="F398" s="53">
        <f t="shared" ref="F398" si="2535">AVERAGE(E395,E396,E397,E398)</f>
        <v>661428.75</v>
      </c>
      <c r="G398" s="53">
        <f t="shared" ref="G398" si="2536">AVERAGE(F346,F294,F242)</f>
        <v>510222.75</v>
      </c>
      <c r="H398" s="59">
        <f t="shared" ref="H398" si="2537">((E398/E346)-1)*100</f>
        <v>6.0375161957125778</v>
      </c>
      <c r="I398" s="59">
        <f t="shared" ref="I398" si="2538">((F398/F346)-1)*100</f>
        <v>27.692830428724434</v>
      </c>
      <c r="J398" s="59">
        <f t="shared" ref="J398" si="2539">((F398/G398)-1)*100</f>
        <v>29.63529164467873</v>
      </c>
      <c r="L398" s="53">
        <v>13700</v>
      </c>
      <c r="M398" s="53">
        <v>3500</v>
      </c>
      <c r="N398" s="53">
        <v>11200</v>
      </c>
      <c r="O398" s="53">
        <f t="shared" si="2392"/>
        <v>28400</v>
      </c>
      <c r="P398" s="53">
        <f t="shared" ref="P398" si="2540">AVERAGE(O395,O396,O397,O398)</f>
        <v>20157.5</v>
      </c>
      <c r="Q398" s="53">
        <f t="shared" ref="Q398" si="2541">AVERAGE(P346,P294,P242)</f>
        <v>22996.75</v>
      </c>
      <c r="R398" s="59">
        <f t="shared" ref="R398" si="2542">((O398/O346)-1)*100</f>
        <v>-58.418740849194727</v>
      </c>
      <c r="S398" s="59">
        <f t="shared" ref="S398" si="2543">((P398/P346)-1)*100</f>
        <v>-35.651979601446094</v>
      </c>
      <c r="T398" s="59">
        <f t="shared" ref="T398" si="2544">((P398/Q398)-1)*100</f>
        <v>-12.346309804646305</v>
      </c>
      <c r="V398" s="64">
        <v>93720</v>
      </c>
      <c r="W398" s="64">
        <v>11726</v>
      </c>
      <c r="X398" s="64">
        <v>11200</v>
      </c>
      <c r="Y398" s="64">
        <f t="shared" si="1916"/>
        <v>116646</v>
      </c>
      <c r="Z398" s="53">
        <f t="shared" ref="Z398" si="2545">AVERAGE(Y395,Y396,Y397,Y398)</f>
        <v>109696.25</v>
      </c>
      <c r="AA398" s="53">
        <f t="shared" ref="AA398" si="2546">AVERAGE(Z346,Z294,Z242)</f>
        <v>160474.08333333334</v>
      </c>
      <c r="AB398" s="59">
        <f t="shared" ref="AB398" si="2547">((Y398/Y346)-1)*100</f>
        <v>-38.424586667792816</v>
      </c>
      <c r="AC398" s="59">
        <f t="shared" ref="AC398" si="2548">((Z398/Z346)-1)*100</f>
        <v>-47.759585872223298</v>
      </c>
      <c r="AD398" s="59">
        <f t="shared" ref="AD398" si="2549">((Z398/AA398)-1)*100</f>
        <v>-31.642388776173103</v>
      </c>
      <c r="AF398" s="64">
        <v>4920</v>
      </c>
      <c r="AG398" s="53">
        <v>5250</v>
      </c>
      <c r="AH398" s="64">
        <v>1400</v>
      </c>
      <c r="AI398" s="53">
        <f t="shared" si="1922"/>
        <v>11570</v>
      </c>
      <c r="AJ398" s="53">
        <f t="shared" ref="AJ398" si="2550">AVERAGE(AI395,AI396,AI397,AI398)</f>
        <v>12267.5</v>
      </c>
      <c r="AK398" s="53">
        <f t="shared" ref="AK398" si="2551">AVERAGE(AJ346,AJ294,AJ242)</f>
        <v>11612.916666666666</v>
      </c>
      <c r="AL398" s="59">
        <f t="shared" ref="AL398" si="2552">((AI398/AI346)-1)*100</f>
        <v>62.957746478873247</v>
      </c>
      <c r="AM398" s="59">
        <f t="shared" ref="AM398" si="2553">((AJ398/AJ346)-1)*100</f>
        <v>35.552486187845304</v>
      </c>
      <c r="AN398" s="59">
        <f t="shared" ref="AN398" si="2554">((AJ398/AK398)-1)*100</f>
        <v>5.6366832908758324</v>
      </c>
      <c r="AP398" s="60">
        <f t="shared" si="1927"/>
        <v>689643</v>
      </c>
      <c r="AQ398" s="53">
        <f t="shared" si="1928"/>
        <v>47976</v>
      </c>
      <c r="AR398" s="60">
        <f t="shared" si="1929"/>
        <v>23800</v>
      </c>
      <c r="AS398" s="53">
        <f t="shared" si="1930"/>
        <v>761419</v>
      </c>
      <c r="AT398" s="53">
        <f t="shared" ref="AT398" si="2555">AVERAGE(AS395,AS396,AS397,AS398)</f>
        <v>803550</v>
      </c>
      <c r="AU398" s="53">
        <f t="shared" ref="AU398" si="2556">AVERAGE(AT346,AT294,AT242)</f>
        <v>705306.5</v>
      </c>
      <c r="AV398" s="59">
        <f t="shared" ref="AV398" si="2557">((AS398/AS346)-1)*100</f>
        <v>-8.8342594554856717</v>
      </c>
      <c r="AW398" s="59">
        <f t="shared" ref="AW398" si="2558">((AT398/AT346)-1)*100</f>
        <v>4.5821302581462664</v>
      </c>
      <c r="AX398" s="59">
        <f t="shared" ref="AX398" si="2559">((AT398/AU398)-1)*100</f>
        <v>13.929192485819986</v>
      </c>
      <c r="AZ398" s="53">
        <f t="shared" si="1936"/>
        <v>604.803</v>
      </c>
      <c r="BA398" s="53">
        <f t="shared" si="1937"/>
        <v>28.4</v>
      </c>
      <c r="BB398" s="53">
        <f t="shared" si="1938"/>
        <v>116.646</v>
      </c>
      <c r="BC398" s="53">
        <f t="shared" si="1939"/>
        <v>11.57</v>
      </c>
      <c r="BD398" s="53">
        <f t="shared" si="1940"/>
        <v>761.41899999999998</v>
      </c>
      <c r="BE398" s="60">
        <f t="shared" ref="BE398" si="2560">AZ398+BE397</f>
        <v>10094.057999999999</v>
      </c>
      <c r="BF398" s="60">
        <f t="shared" ref="BF398" si="2561">BA398+BF397</f>
        <v>480.28199999999998</v>
      </c>
      <c r="BG398" s="60">
        <f t="shared" ref="BG398" si="2562">BB398+BG397</f>
        <v>3895.8280000000009</v>
      </c>
      <c r="BH398" s="60">
        <f t="shared" ref="BH398" si="2563">BC398+BH397</f>
        <v>212.61999999999998</v>
      </c>
      <c r="BI398" s="60">
        <f t="shared" ref="BI398" si="2564">BD398+BI397</f>
        <v>14682.788</v>
      </c>
      <c r="BJ398" s="1">
        <v>23</v>
      </c>
    </row>
    <row r="399" spans="1:62" x14ac:dyDescent="0.3">
      <c r="A399" s="48">
        <f t="shared" si="238"/>
        <v>40348</v>
      </c>
      <c r="B399" s="64">
        <v>580624</v>
      </c>
      <c r="C399" s="64">
        <v>46900</v>
      </c>
      <c r="D399" s="53">
        <v>0</v>
      </c>
      <c r="E399" s="53">
        <f t="shared" si="1904"/>
        <v>627524</v>
      </c>
      <c r="F399" s="53">
        <f t="shared" ref="F399" si="2565">AVERAGE(E396,E397,E398,E399)</f>
        <v>666297.75</v>
      </c>
      <c r="G399" s="53">
        <f t="shared" ref="G399" si="2566">AVERAGE(F347,F295,F243)</f>
        <v>519319.33333333331</v>
      </c>
      <c r="H399" s="59">
        <f t="shared" ref="H399" si="2567">((E399/E347)-1)*100</f>
        <v>-22.946747494790664</v>
      </c>
      <c r="I399" s="59">
        <f t="shared" ref="I399" si="2568">((F399/F347)-1)*100</f>
        <v>10.303924510341545</v>
      </c>
      <c r="J399" s="59">
        <f t="shared" ref="J399" si="2569">((F399/G399)-1)*100</f>
        <v>28.302126886604139</v>
      </c>
      <c r="L399" s="53">
        <v>13873</v>
      </c>
      <c r="M399" s="53">
        <v>5250</v>
      </c>
      <c r="N399" s="53">
        <v>16800</v>
      </c>
      <c r="O399" s="53">
        <f t="shared" si="2392"/>
        <v>35923</v>
      </c>
      <c r="P399" s="53">
        <f t="shared" ref="P399" si="2570">AVERAGE(O396,O397,O398,O399)</f>
        <v>24078.25</v>
      </c>
      <c r="Q399" s="53">
        <f t="shared" ref="Q399" si="2571">AVERAGE(P347,P295,P243)</f>
        <v>26991.166666666668</v>
      </c>
      <c r="R399" s="59">
        <f t="shared" ref="R399" si="2572">((O399/O347)-1)*100</f>
        <v>-18.403180011357179</v>
      </c>
      <c r="S399" s="59">
        <f t="shared" ref="S399" si="2573">((P399/P347)-1)*100</f>
        <v>-38.437691757005524</v>
      </c>
      <c r="T399" s="59">
        <f t="shared" ref="T399" si="2574">((P399/Q399)-1)*100</f>
        <v>-10.792110999277549</v>
      </c>
      <c r="V399" s="64">
        <v>101745</v>
      </c>
      <c r="W399" s="64">
        <v>30000</v>
      </c>
      <c r="X399" s="64">
        <v>4200</v>
      </c>
      <c r="Y399" s="64">
        <f t="shared" si="1916"/>
        <v>135945</v>
      </c>
      <c r="Z399" s="53">
        <f t="shared" ref="Z399" si="2575">AVERAGE(Y396,Y397,Y398,Y399)</f>
        <v>112866.25</v>
      </c>
      <c r="AA399" s="53">
        <f t="shared" ref="AA399" si="2576">AVERAGE(Z347,Z295,Z243)</f>
        <v>144588.75</v>
      </c>
      <c r="AB399" s="59">
        <f t="shared" ref="AB399" si="2577">((Y399/Y347)-1)*100</f>
        <v>-24.715492177765476</v>
      </c>
      <c r="AC399" s="59">
        <f t="shared" ref="AC399" si="2578">((Z399/Z347)-1)*100</f>
        <v>-43.678462047069246</v>
      </c>
      <c r="AD399" s="59">
        <f t="shared" ref="AD399" si="2579">((Z399/AA399)-1)*100</f>
        <v>-21.939812053150742</v>
      </c>
      <c r="AF399" s="53">
        <v>0</v>
      </c>
      <c r="AG399" s="53">
        <v>1750</v>
      </c>
      <c r="AH399" s="64">
        <v>15500</v>
      </c>
      <c r="AI399" s="53">
        <f t="shared" si="1922"/>
        <v>17250</v>
      </c>
      <c r="AJ399" s="53">
        <f t="shared" ref="AJ399" si="2580">AVERAGE(AI396,AI397,AI398,AI399)</f>
        <v>13330</v>
      </c>
      <c r="AK399" s="53">
        <f t="shared" ref="AK399" si="2581">AVERAGE(AJ347,AJ295,AJ243)</f>
        <v>12379.583333333334</v>
      </c>
      <c r="AL399" s="59">
        <f t="shared" ref="AL399" si="2582">((AI399/AI347)-1)*100</f>
        <v>-25.646551724137932</v>
      </c>
      <c r="AM399" s="59">
        <f t="shared" ref="AM399" si="2583">((AJ399/AJ347)-1)*100</f>
        <v>-8.0689655172413772</v>
      </c>
      <c r="AN399" s="59">
        <f t="shared" ref="AN399" si="2584">((AJ399/AK399)-1)*100</f>
        <v>7.67729123893508</v>
      </c>
      <c r="AP399" s="60">
        <f t="shared" si="1927"/>
        <v>696242</v>
      </c>
      <c r="AQ399" s="53">
        <f t="shared" si="1928"/>
        <v>83900</v>
      </c>
      <c r="AR399" s="60">
        <f t="shared" si="1929"/>
        <v>36500</v>
      </c>
      <c r="AS399" s="53">
        <f t="shared" si="1930"/>
        <v>816642</v>
      </c>
      <c r="AT399" s="53">
        <f t="shared" ref="AT399" si="2585">AVERAGE(AS396,AS397,AS398,AS399)</f>
        <v>816572.25</v>
      </c>
      <c r="AU399" s="53">
        <f t="shared" ref="AU399" si="2586">AVERAGE(AT347,AT295,AT243)</f>
        <v>703278.83333333337</v>
      </c>
      <c r="AV399" s="59">
        <f t="shared" ref="AV399" si="2587">((AS399/AS347)-1)*100</f>
        <v>-23.11808571431261</v>
      </c>
      <c r="AW399" s="59">
        <f t="shared" ref="AW399" si="2588">((AT399/AT347)-1)*100</f>
        <v>-4.8355630608188598</v>
      </c>
      <c r="AX399" s="59">
        <f t="shared" ref="AX399" si="2589">((AT399/AU399)-1)*100</f>
        <v>16.10931700157807</v>
      </c>
      <c r="AZ399" s="53">
        <f t="shared" si="1936"/>
        <v>627.524</v>
      </c>
      <c r="BA399" s="53">
        <f t="shared" si="1937"/>
        <v>35.923000000000002</v>
      </c>
      <c r="BB399" s="53">
        <f t="shared" si="1938"/>
        <v>135.94499999999999</v>
      </c>
      <c r="BC399" s="53">
        <f t="shared" si="1939"/>
        <v>17.25</v>
      </c>
      <c r="BD399" s="53">
        <f t="shared" si="1940"/>
        <v>816.64200000000005</v>
      </c>
      <c r="BE399" s="60">
        <f t="shared" ref="BE399" si="2590">AZ399+BE398</f>
        <v>10721.581999999999</v>
      </c>
      <c r="BF399" s="60">
        <f t="shared" ref="BF399" si="2591">BA399+BF398</f>
        <v>516.20499999999993</v>
      </c>
      <c r="BG399" s="60">
        <f t="shared" ref="BG399" si="2592">BB399+BG398</f>
        <v>4031.773000000001</v>
      </c>
      <c r="BH399" s="60">
        <f t="shared" ref="BH399" si="2593">BC399+BH398</f>
        <v>229.86999999999998</v>
      </c>
      <c r="BI399" s="60">
        <f t="shared" ref="BI399" si="2594">BD399+BI398</f>
        <v>15499.43</v>
      </c>
      <c r="BJ399" s="1">
        <v>24</v>
      </c>
    </row>
    <row r="400" spans="1:62" x14ac:dyDescent="0.3">
      <c r="A400" s="48">
        <f t="shared" si="238"/>
        <v>40355</v>
      </c>
      <c r="B400" s="64">
        <v>542616</v>
      </c>
      <c r="C400" s="64">
        <v>29750</v>
      </c>
      <c r="D400" s="53">
        <v>0</v>
      </c>
      <c r="E400" s="53">
        <f t="shared" si="1904"/>
        <v>572366</v>
      </c>
      <c r="F400" s="53">
        <f t="shared" ref="F400" si="2595">AVERAGE(E397,E398,E399,E400)</f>
        <v>612997.25</v>
      </c>
      <c r="G400" s="53">
        <f t="shared" ref="G400" si="2596">AVERAGE(F348,F296,F244)</f>
        <v>515091.5</v>
      </c>
      <c r="H400" s="59">
        <f t="shared" ref="H400" si="2597">((E400/E348)-1)*100</f>
        <v>-9.2621803418247879</v>
      </c>
      <c r="I400" s="59">
        <f t="shared" ref="I400" si="2598">((F400/F348)-1)*100</f>
        <v>-4.6040427525202983</v>
      </c>
      <c r="J400" s="59">
        <f t="shared" ref="J400" si="2599">((F400/G400)-1)*100</f>
        <v>19.007448191243693</v>
      </c>
      <c r="L400" s="53">
        <v>6000</v>
      </c>
      <c r="M400" s="53">
        <v>6500</v>
      </c>
      <c r="N400" s="53">
        <v>29000</v>
      </c>
      <c r="O400" s="53">
        <f t="shared" ref="O400:O476" si="2600">SUM(L400:N400)</f>
        <v>41500</v>
      </c>
      <c r="P400" s="53">
        <f t="shared" ref="P400" si="2601">AVERAGE(O397,O398,O399,O400)</f>
        <v>30530.75</v>
      </c>
      <c r="Q400" s="53">
        <f t="shared" ref="Q400" si="2602">AVERAGE(P348,P296,P244)</f>
        <v>30166.5</v>
      </c>
      <c r="R400" s="59">
        <f t="shared" ref="R400" si="2603">((O400/O348)-1)*100</f>
        <v>9.210526315789469</v>
      </c>
      <c r="S400" s="59">
        <f t="shared" ref="S400" si="2604">((P400/P348)-1)*100</f>
        <v>-29.182710150306178</v>
      </c>
      <c r="T400" s="59">
        <f t="shared" ref="T400" si="2605">((P400/Q400)-1)*100</f>
        <v>1.2074652346145465</v>
      </c>
      <c r="V400" s="64">
        <v>44800</v>
      </c>
      <c r="W400" s="64">
        <v>10150</v>
      </c>
      <c r="X400" s="64">
        <v>15400</v>
      </c>
      <c r="Y400" s="64">
        <f t="shared" si="1916"/>
        <v>70350</v>
      </c>
      <c r="Z400" s="53">
        <f t="shared" ref="Z400" si="2606">AVERAGE(Y397,Y398,Y399,Y400)</f>
        <v>108496</v>
      </c>
      <c r="AA400" s="53">
        <f t="shared" ref="AA400" si="2607">AVERAGE(Z348,Z296,Z244)</f>
        <v>129981.66666666667</v>
      </c>
      <c r="AB400" s="59">
        <f t="shared" ref="AB400" si="2608">((Y400/Y348)-1)*100</f>
        <v>-61.044786037033759</v>
      </c>
      <c r="AC400" s="59">
        <f t="shared" ref="AC400" si="2609">((Z400/Z348)-1)*100</f>
        <v>-43.355217646674937</v>
      </c>
      <c r="AD400" s="59">
        <f t="shared" ref="AD400" si="2610">((Z400/AA400)-1)*100</f>
        <v>-16.52976701842568</v>
      </c>
      <c r="AF400" s="64">
        <v>1600</v>
      </c>
      <c r="AG400" s="53">
        <v>0</v>
      </c>
      <c r="AH400" s="64">
        <v>2800</v>
      </c>
      <c r="AI400" s="53">
        <f t="shared" si="1922"/>
        <v>4400</v>
      </c>
      <c r="AJ400" s="53">
        <f t="shared" ref="AJ400" si="2611">AVERAGE(AI397,AI398,AI399,AI400)</f>
        <v>11255</v>
      </c>
      <c r="AK400" s="53">
        <f t="shared" ref="AK400" si="2612">AVERAGE(AJ348,AJ296,AJ244)</f>
        <v>11308.333333333334</v>
      </c>
      <c r="AL400" s="59">
        <f t="shared" ref="AL400" si="2613">((AI400/AI348)-1)*100</f>
        <v>-61.739130434782609</v>
      </c>
      <c r="AM400" s="59">
        <f t="shared" ref="AM400" si="2614">((AJ400/AJ348)-1)*100</f>
        <v>-19.607142857142858</v>
      </c>
      <c r="AN400" s="59">
        <f t="shared" ref="AN400" si="2615">((AJ400/AK400)-1)*100</f>
        <v>-0.4716285924834196</v>
      </c>
      <c r="AP400" s="60">
        <f t="shared" si="1927"/>
        <v>595016</v>
      </c>
      <c r="AQ400" s="53">
        <f t="shared" si="1928"/>
        <v>46400</v>
      </c>
      <c r="AR400" s="60">
        <f t="shared" si="1929"/>
        <v>47200</v>
      </c>
      <c r="AS400" s="53">
        <f t="shared" si="1930"/>
        <v>688616</v>
      </c>
      <c r="AT400" s="53">
        <f t="shared" ref="AT400" si="2616">AVERAGE(AS397,AS398,AS399,AS400)</f>
        <v>763279</v>
      </c>
      <c r="AU400" s="53">
        <f t="shared" ref="AU400" si="2617">AVERAGE(AT348,AT296,AT244)</f>
        <v>686548</v>
      </c>
      <c r="AV400" s="59">
        <f t="shared" ref="AV400" si="2618">((AS400/AS348)-1)*100</f>
        <v>-20.010500846224165</v>
      </c>
      <c r="AW400" s="59">
        <f t="shared" ref="AW400" si="2619">((AT400/AT348)-1)*100</f>
        <v>-14.356819748853134</v>
      </c>
      <c r="AX400" s="59">
        <f t="shared" ref="AX400" si="2620">((AT400/AU400)-1)*100</f>
        <v>11.176348922435132</v>
      </c>
      <c r="AZ400" s="53">
        <f t="shared" si="1936"/>
        <v>572.36599999999999</v>
      </c>
      <c r="BA400" s="53">
        <f t="shared" si="1937"/>
        <v>41.5</v>
      </c>
      <c r="BB400" s="53">
        <f t="shared" si="1938"/>
        <v>70.349999999999994</v>
      </c>
      <c r="BC400" s="53">
        <f t="shared" si="1939"/>
        <v>4.4000000000000004</v>
      </c>
      <c r="BD400" s="53">
        <f t="shared" si="1940"/>
        <v>688.61599999999999</v>
      </c>
      <c r="BE400" s="60">
        <f t="shared" ref="BE400" si="2621">AZ400+BE399</f>
        <v>11293.947999999999</v>
      </c>
      <c r="BF400" s="60">
        <f t="shared" ref="BF400" si="2622">BA400+BF399</f>
        <v>557.70499999999993</v>
      </c>
      <c r="BG400" s="60">
        <f t="shared" ref="BG400" si="2623">BB400+BG399</f>
        <v>4102.1230000000014</v>
      </c>
      <c r="BH400" s="60">
        <f t="shared" ref="BH400" si="2624">BC400+BH399</f>
        <v>234.26999999999998</v>
      </c>
      <c r="BI400" s="60">
        <f t="shared" ref="BI400" si="2625">BD400+BI399</f>
        <v>16188.046</v>
      </c>
      <c r="BJ400" s="1">
        <v>25</v>
      </c>
    </row>
    <row r="401" spans="1:62" x14ac:dyDescent="0.3">
      <c r="A401" s="48">
        <f t="shared" si="238"/>
        <v>40362</v>
      </c>
      <c r="B401" s="64">
        <v>550025</v>
      </c>
      <c r="C401" s="64">
        <v>43550</v>
      </c>
      <c r="D401" s="53">
        <v>0</v>
      </c>
      <c r="E401" s="53">
        <f t="shared" si="1904"/>
        <v>593575</v>
      </c>
      <c r="F401" s="53">
        <f t="shared" ref="F401" si="2626">AVERAGE(E398,E399,E400,E401)</f>
        <v>599567</v>
      </c>
      <c r="G401" s="53">
        <f t="shared" ref="G401" si="2627">AVERAGE(F349,F297,F245)</f>
        <v>514134.91666666669</v>
      </c>
      <c r="H401" s="59">
        <f t="shared" ref="H401" si="2628">((E401/E349)-1)*100</f>
        <v>-14.9811865035543</v>
      </c>
      <c r="I401" s="59">
        <f t="shared" ref="I401" si="2629">((F401/F349)-1)*100</f>
        <v>-11.624664207566704</v>
      </c>
      <c r="J401" s="59">
        <f t="shared" ref="J401" si="2630">((F401/G401)-1)*100</f>
        <v>16.616666280365109</v>
      </c>
      <c r="L401" s="53">
        <v>0</v>
      </c>
      <c r="M401" s="53">
        <v>5250</v>
      </c>
      <c r="N401" s="53">
        <v>19600</v>
      </c>
      <c r="O401" s="53">
        <f t="shared" si="2600"/>
        <v>24850</v>
      </c>
      <c r="P401" s="53">
        <f t="shared" ref="P401" si="2631">AVERAGE(O398,O399,O400,O401)</f>
        <v>32668.25</v>
      </c>
      <c r="Q401" s="53">
        <f t="shared" ref="Q401" si="2632">AVERAGE(P349,P297,P245)</f>
        <v>40219.666666666664</v>
      </c>
      <c r="R401" s="59">
        <f t="shared" ref="R401" si="2633">((O401/O349)-1)*100</f>
        <v>-72.97179713076865</v>
      </c>
      <c r="S401" s="59">
        <f t="shared" ref="S401" si="2634">((P401/P349)-1)*100</f>
        <v>-46.062179587725893</v>
      </c>
      <c r="T401" s="59">
        <f t="shared" ref="T401" si="2635">((P401/Q401)-1)*100</f>
        <v>-18.775433245758698</v>
      </c>
      <c r="V401" s="64">
        <v>132040</v>
      </c>
      <c r="W401" s="64">
        <v>12100</v>
      </c>
      <c r="X401" s="64">
        <v>11200</v>
      </c>
      <c r="Y401" s="64">
        <f t="shared" si="1916"/>
        <v>155340</v>
      </c>
      <c r="Z401" s="53">
        <f t="shared" ref="Z401" si="2636">AVERAGE(Y398,Y399,Y400,Y401)</f>
        <v>119570.25</v>
      </c>
      <c r="AA401" s="53">
        <f t="shared" ref="AA401" si="2637">AVERAGE(Z349,Z297,Z245)</f>
        <v>114624.33333333333</v>
      </c>
      <c r="AB401" s="59">
        <f t="shared" ref="AB401" si="2638">((Y401/Y349)-1)*100</f>
        <v>1.357832166463302</v>
      </c>
      <c r="AC401" s="59">
        <f t="shared" ref="AC401" si="2639">((Z401/Z349)-1)*100</f>
        <v>-32.049038021657651</v>
      </c>
      <c r="AD401" s="59">
        <f t="shared" ref="AD401" si="2640">((Z401/AA401)-1)*100</f>
        <v>4.3148924166770852</v>
      </c>
      <c r="AF401" s="64">
        <v>1500</v>
      </c>
      <c r="AG401" s="53">
        <v>0</v>
      </c>
      <c r="AH401" s="64">
        <v>11500</v>
      </c>
      <c r="AI401" s="53">
        <f t="shared" si="1922"/>
        <v>13000</v>
      </c>
      <c r="AJ401" s="53">
        <f t="shared" ref="AJ401" si="2641">AVERAGE(AI398,AI399,AI400,AI401)</f>
        <v>11555</v>
      </c>
      <c r="AK401" s="53">
        <f t="shared" ref="AK401" si="2642">AVERAGE(AJ349,AJ297,AJ245)</f>
        <v>10691.666666666666</v>
      </c>
      <c r="AL401" s="59">
        <f t="shared" ref="AL401" si="2643">((AI401/AI349)-1)*100</f>
        <v>27.450980392156854</v>
      </c>
      <c r="AM401" s="59">
        <f t="shared" ref="AM401" si="2644">((AJ401/AJ349)-1)*100</f>
        <v>-11.115384615384617</v>
      </c>
      <c r="AN401" s="59">
        <f t="shared" ref="AN401" si="2645">((AJ401/AK401)-1)*100</f>
        <v>8.0748246297739801</v>
      </c>
      <c r="AP401" s="60">
        <f t="shared" si="1927"/>
        <v>683565</v>
      </c>
      <c r="AQ401" s="53">
        <f t="shared" si="1928"/>
        <v>60900</v>
      </c>
      <c r="AR401" s="60">
        <f t="shared" si="1929"/>
        <v>42300</v>
      </c>
      <c r="AS401" s="53">
        <f t="shared" si="1930"/>
        <v>786765</v>
      </c>
      <c r="AT401" s="53">
        <f t="shared" ref="AT401" si="2646">AVERAGE(AS398,AS399,AS400,AS401)</f>
        <v>763360.5</v>
      </c>
      <c r="AU401" s="53">
        <f t="shared" ref="AU401" si="2647">AVERAGE(AT349,AT297,AT245)</f>
        <v>679670.58333333337</v>
      </c>
      <c r="AV401" s="59">
        <f t="shared" ref="AV401" si="2648">((AS401/AS349)-1)*100</f>
        <v>-17.492598857555141</v>
      </c>
      <c r="AW401" s="59">
        <f t="shared" ref="AW401" si="2649">((AT401/AT349)-1)*100</f>
        <v>-17.738178561787656</v>
      </c>
      <c r="AX401" s="59">
        <f t="shared" ref="AX401" si="2650">((AT401/AU401)-1)*100</f>
        <v>12.313305698213849</v>
      </c>
      <c r="AZ401" s="53">
        <f t="shared" si="1936"/>
        <v>593.57500000000005</v>
      </c>
      <c r="BA401" s="53">
        <f t="shared" si="1937"/>
        <v>24.85</v>
      </c>
      <c r="BB401" s="53">
        <f t="shared" si="1938"/>
        <v>155.34</v>
      </c>
      <c r="BC401" s="53">
        <f t="shared" si="1939"/>
        <v>13</v>
      </c>
      <c r="BD401" s="53">
        <f t="shared" si="1940"/>
        <v>786.76499999999999</v>
      </c>
      <c r="BE401" s="60">
        <f t="shared" ref="BE401" si="2651">AZ401+BE400</f>
        <v>11887.522999999999</v>
      </c>
      <c r="BF401" s="60">
        <f t="shared" ref="BF401" si="2652">BA401+BF400</f>
        <v>582.55499999999995</v>
      </c>
      <c r="BG401" s="60">
        <f t="shared" ref="BG401" si="2653">BB401+BG400</f>
        <v>4257.4630000000016</v>
      </c>
      <c r="BH401" s="60">
        <f t="shared" ref="BH401" si="2654">BC401+BH400</f>
        <v>247.26999999999998</v>
      </c>
      <c r="BI401" s="60">
        <f t="shared" ref="BI401" si="2655">BD401+BI400</f>
        <v>16974.811000000002</v>
      </c>
      <c r="BJ401" s="1">
        <v>26</v>
      </c>
    </row>
    <row r="402" spans="1:62" x14ac:dyDescent="0.3">
      <c r="A402" s="48">
        <f t="shared" si="238"/>
        <v>40369</v>
      </c>
      <c r="B402" s="64">
        <v>474502</v>
      </c>
      <c r="C402" s="64">
        <v>35618</v>
      </c>
      <c r="D402" s="53">
        <v>1400</v>
      </c>
      <c r="E402" s="53">
        <f t="shared" si="1904"/>
        <v>511520</v>
      </c>
      <c r="F402" s="53">
        <f t="shared" ref="F402" si="2656">AVERAGE(E399,E400,E401,E402)</f>
        <v>576246.25</v>
      </c>
      <c r="G402" s="53">
        <f t="shared" ref="G402" si="2657">AVERAGE(F350,F298,F246)</f>
        <v>526744.66666666663</v>
      </c>
      <c r="H402" s="59">
        <f t="shared" ref="H402" si="2658">((E402/E350)-1)*100</f>
        <v>-4.4580752650414279</v>
      </c>
      <c r="I402" s="59">
        <f t="shared" ref="I402" si="2659">((F402/F350)-1)*100</f>
        <v>-13.952995257864576</v>
      </c>
      <c r="J402" s="59">
        <f t="shared" ref="J402" si="2660">((F402/G402)-1)*100</f>
        <v>9.3976430073014594</v>
      </c>
      <c r="L402" s="53">
        <v>7740</v>
      </c>
      <c r="M402" s="53">
        <v>6000</v>
      </c>
      <c r="N402" s="53">
        <v>16800</v>
      </c>
      <c r="O402" s="53">
        <f t="shared" si="2600"/>
        <v>30540</v>
      </c>
      <c r="P402" s="53">
        <f t="shared" ref="P402" si="2661">AVERAGE(O399,O400,O401,O402)</f>
        <v>33203.25</v>
      </c>
      <c r="Q402" s="53">
        <f t="shared" ref="Q402" si="2662">AVERAGE(P350,P298,P246)</f>
        <v>41180.25</v>
      </c>
      <c r="R402" s="59">
        <f t="shared" ref="R402" si="2663">((O402/O350)-1)*100</f>
        <v>-11.2157683586255</v>
      </c>
      <c r="S402" s="59">
        <f t="shared" ref="S402" si="2664">((P402/P350)-1)*100</f>
        <v>-36.259142654201305</v>
      </c>
      <c r="T402" s="59">
        <f t="shared" ref="T402" si="2665">((P402/Q402)-1)*100</f>
        <v>-19.370936310488641</v>
      </c>
      <c r="V402" s="64">
        <v>108486</v>
      </c>
      <c r="W402" s="64">
        <v>16400</v>
      </c>
      <c r="X402" s="64">
        <v>11800</v>
      </c>
      <c r="Y402" s="64">
        <f t="shared" si="1916"/>
        <v>136686</v>
      </c>
      <c r="Z402" s="53">
        <f t="shared" ref="Z402" si="2666">AVERAGE(Y399,Y400,Y401,Y402)</f>
        <v>124580.25</v>
      </c>
      <c r="AA402" s="53">
        <f t="shared" ref="AA402" si="2667">AVERAGE(Z350,Z298,Z246)</f>
        <v>109985.25</v>
      </c>
      <c r="AB402" s="59">
        <f t="shared" ref="AB402" si="2668">((Y402/Y350)-1)*100</f>
        <v>16.840620592383647</v>
      </c>
      <c r="AC402" s="59">
        <f t="shared" ref="AC402" si="2669">((Z402/Z350)-1)*100</f>
        <v>-21.078188374925368</v>
      </c>
      <c r="AD402" s="59">
        <f t="shared" ref="AD402" si="2670">((Z402/AA402)-1)*100</f>
        <v>13.269961199342628</v>
      </c>
      <c r="AF402" s="53">
        <v>0</v>
      </c>
      <c r="AG402" s="53">
        <v>0</v>
      </c>
      <c r="AH402" s="53">
        <v>0</v>
      </c>
      <c r="AI402" s="53">
        <f t="shared" si="1922"/>
        <v>0</v>
      </c>
      <c r="AJ402" s="53">
        <f t="shared" ref="AJ402" si="2671">AVERAGE(AI399,AI400,AI401,AI402)</f>
        <v>8662.5</v>
      </c>
      <c r="AK402" s="53">
        <f t="shared" ref="AK402" si="2672">AVERAGE(AJ350,AJ298,AJ246)</f>
        <v>7243.666666666667</v>
      </c>
      <c r="AL402" s="59"/>
      <c r="AM402" s="59">
        <f t="shared" ref="AM402" si="2673">((AJ402/AJ350)-1)*100</f>
        <v>-22.828507795100229</v>
      </c>
      <c r="AN402" s="59">
        <f t="shared" ref="AN402" si="2674">((AJ402/AK402)-1)*100</f>
        <v>19.587225622382775</v>
      </c>
      <c r="AP402" s="60">
        <f t="shared" si="1927"/>
        <v>590728</v>
      </c>
      <c r="AQ402" s="53">
        <f t="shared" si="1928"/>
        <v>58018</v>
      </c>
      <c r="AR402" s="60">
        <f t="shared" si="1929"/>
        <v>30000</v>
      </c>
      <c r="AS402" s="53">
        <f t="shared" si="1930"/>
        <v>678746</v>
      </c>
      <c r="AT402" s="53">
        <f t="shared" ref="AT402" si="2675">AVERAGE(AS399,AS400,AS401,AS402)</f>
        <v>742692.25</v>
      </c>
      <c r="AU402" s="53">
        <f t="shared" ref="AU402" si="2676">AVERAGE(AT350,AT298,AT246)</f>
        <v>685153.83333333337</v>
      </c>
      <c r="AV402" s="59">
        <f t="shared" ref="AV402" si="2677">((AS402/AS350)-1)*100</f>
        <v>-1.1685117746672469</v>
      </c>
      <c r="AW402" s="59">
        <f t="shared" ref="AW402" si="2678">((AT402/AT350)-1)*100</f>
        <v>-16.6316628996926</v>
      </c>
      <c r="AX402" s="59">
        <f t="shared" ref="AX402" si="2679">((AT402/AU402)-1)*100</f>
        <v>8.3978829085341609</v>
      </c>
      <c r="AZ402" s="53">
        <f t="shared" si="1936"/>
        <v>511.52</v>
      </c>
      <c r="BA402" s="53">
        <f t="shared" si="1937"/>
        <v>30.54</v>
      </c>
      <c r="BB402" s="53">
        <f t="shared" si="1938"/>
        <v>136.68600000000001</v>
      </c>
      <c r="BC402" s="53">
        <f t="shared" si="1939"/>
        <v>0</v>
      </c>
      <c r="BD402" s="53">
        <f t="shared" si="1940"/>
        <v>678.74599999999998</v>
      </c>
      <c r="BE402" s="60">
        <f t="shared" ref="BE402" si="2680">AZ402+BE401</f>
        <v>12399.043</v>
      </c>
      <c r="BF402" s="60">
        <f t="shared" ref="BF402" si="2681">BA402+BF401</f>
        <v>613.09499999999991</v>
      </c>
      <c r="BG402" s="60">
        <f t="shared" ref="BG402" si="2682">BB402+BG401</f>
        <v>4394.1490000000013</v>
      </c>
      <c r="BH402" s="60">
        <f t="shared" ref="BH402" si="2683">BC402+BH401</f>
        <v>247.26999999999998</v>
      </c>
      <c r="BI402" s="60">
        <f t="shared" ref="BI402" si="2684">BD402+BI401</f>
        <v>17653.557000000001</v>
      </c>
      <c r="BJ402" s="1">
        <v>27</v>
      </c>
    </row>
    <row r="403" spans="1:62" x14ac:dyDescent="0.3">
      <c r="A403" s="48">
        <f t="shared" si="238"/>
        <v>40376</v>
      </c>
      <c r="B403" s="64">
        <v>599164</v>
      </c>
      <c r="C403" s="64">
        <v>37250</v>
      </c>
      <c r="D403" s="53">
        <v>0</v>
      </c>
      <c r="E403" s="53">
        <f t="shared" si="1904"/>
        <v>636414</v>
      </c>
      <c r="F403" s="53">
        <f t="shared" ref="F403" si="2685">AVERAGE(E400,E401,E402,E403)</f>
        <v>578468.75</v>
      </c>
      <c r="G403" s="53">
        <f t="shared" ref="G403" si="2686">AVERAGE(F351,F299,F247)</f>
        <v>525658.66666666663</v>
      </c>
      <c r="H403" s="59">
        <f t="shared" ref="H403" si="2687">((E403/E351)-1)*100</f>
        <v>16.589662512961254</v>
      </c>
      <c r="I403" s="59">
        <f t="shared" ref="I403" si="2688">((F403/F351)-1)*100</f>
        <v>-3.9967952946760588</v>
      </c>
      <c r="J403" s="59">
        <f t="shared" ref="J403" si="2689">((F403/G403)-1)*100</f>
        <v>10.046459172492161</v>
      </c>
      <c r="L403" s="53">
        <v>10700</v>
      </c>
      <c r="M403" s="53">
        <v>18750</v>
      </c>
      <c r="N403" s="53">
        <v>18200</v>
      </c>
      <c r="O403" s="53">
        <f t="shared" si="2600"/>
        <v>47650</v>
      </c>
      <c r="P403" s="53">
        <f t="shared" ref="P403" si="2690">AVERAGE(O400,O401,O402,O403)</f>
        <v>36135</v>
      </c>
      <c r="Q403" s="53">
        <f t="shared" ref="Q403" si="2691">AVERAGE(P351,P299,P247)</f>
        <v>40773.25</v>
      </c>
      <c r="R403" s="59">
        <f t="shared" ref="R403" si="2692">((O403/O351)-1)*100</f>
        <v>65.451388888888886</v>
      </c>
      <c r="S403" s="59">
        <f t="shared" ref="S403" si="2693">((P403/P351)-1)*100</f>
        <v>-25.162706651686094</v>
      </c>
      <c r="T403" s="59">
        <f t="shared" ref="T403" si="2694">((P403/Q403)-1)*100</f>
        <v>-11.375718148541015</v>
      </c>
      <c r="V403" s="64">
        <v>81702</v>
      </c>
      <c r="W403" s="64">
        <v>8750</v>
      </c>
      <c r="X403" s="64">
        <v>7000</v>
      </c>
      <c r="Y403" s="64">
        <f t="shared" si="1916"/>
        <v>97452</v>
      </c>
      <c r="Z403" s="53">
        <f t="shared" ref="Z403" si="2695">AVERAGE(Y400,Y401,Y402,Y403)</f>
        <v>114957</v>
      </c>
      <c r="AA403" s="53">
        <f t="shared" ref="AA403" si="2696">AVERAGE(Z351,Z299,Z247)</f>
        <v>116755.41666666667</v>
      </c>
      <c r="AB403" s="59">
        <f t="shared" ref="AB403" si="2697">((Y403/Y351)-1)*100</f>
        <v>-16.577210508744443</v>
      </c>
      <c r="AC403" s="59">
        <f t="shared" ref="AC403" si="2698">((Z403/Z351)-1)*100</f>
        <v>-18.994878913702561</v>
      </c>
      <c r="AD403" s="59">
        <f t="shared" ref="AD403" si="2699">((Z403/AA403)-1)*100</f>
        <v>-1.5403282502953197</v>
      </c>
      <c r="AF403" s="64">
        <v>9400</v>
      </c>
      <c r="AG403" s="53">
        <v>0</v>
      </c>
      <c r="AH403" s="53">
        <v>0</v>
      </c>
      <c r="AI403" s="53">
        <f t="shared" si="1922"/>
        <v>9400</v>
      </c>
      <c r="AJ403" s="53">
        <f t="shared" ref="AJ403" si="2700">AVERAGE(AI400,AI401,AI402,AI403)</f>
        <v>6700</v>
      </c>
      <c r="AK403" s="53">
        <f t="shared" ref="AK403" si="2701">AVERAGE(AJ351,AJ299,AJ247)</f>
        <v>5793.666666666667</v>
      </c>
      <c r="AL403" s="59"/>
      <c r="AM403" s="59">
        <f t="shared" ref="AM403" si="2702">((AJ403/AJ351)-1)*100</f>
        <v>23.502304147465438</v>
      </c>
      <c r="AN403" s="59">
        <f t="shared" ref="AN403" si="2703">((AJ403/AK403)-1)*100</f>
        <v>15.64351878488004</v>
      </c>
      <c r="AP403" s="60">
        <f t="shared" si="1927"/>
        <v>700966</v>
      </c>
      <c r="AQ403" s="53">
        <f t="shared" si="1928"/>
        <v>64750</v>
      </c>
      <c r="AR403" s="60">
        <f t="shared" si="1929"/>
        <v>25200</v>
      </c>
      <c r="AS403" s="53">
        <f t="shared" si="1930"/>
        <v>790916</v>
      </c>
      <c r="AT403" s="53">
        <f t="shared" ref="AT403" si="2704">AVERAGE(AS400,AS401,AS402,AS403)</f>
        <v>736260.75</v>
      </c>
      <c r="AU403" s="53">
        <f t="shared" ref="AU403" si="2705">AVERAGE(AT351,AT299,AT247)</f>
        <v>688981</v>
      </c>
      <c r="AV403" s="59">
        <f t="shared" ref="AV403" si="2706">((AS403/AS351)-1)*100</f>
        <v>14.380997143786821</v>
      </c>
      <c r="AW403" s="59">
        <f t="shared" ref="AW403" si="2707">((AT403/AT351)-1)*100</f>
        <v>-7.7569190697021728</v>
      </c>
      <c r="AX403" s="59">
        <f t="shared" ref="AX403" si="2708">((AT403/AU403)-1)*100</f>
        <v>6.8622719639583662</v>
      </c>
      <c r="AZ403" s="53">
        <f t="shared" si="1936"/>
        <v>636.41399999999999</v>
      </c>
      <c r="BA403" s="53">
        <f t="shared" si="1937"/>
        <v>47.65</v>
      </c>
      <c r="BB403" s="53">
        <f t="shared" si="1938"/>
        <v>97.451999999999998</v>
      </c>
      <c r="BC403" s="53">
        <f t="shared" si="1939"/>
        <v>9.4</v>
      </c>
      <c r="BD403" s="53">
        <f t="shared" si="1940"/>
        <v>790.91600000000005</v>
      </c>
      <c r="BE403" s="60">
        <f t="shared" ref="BE403" si="2709">AZ403+BE402</f>
        <v>13035.457</v>
      </c>
      <c r="BF403" s="60">
        <f t="shared" ref="BF403" si="2710">BA403+BF402</f>
        <v>660.74499999999989</v>
      </c>
      <c r="BG403" s="60">
        <f t="shared" ref="BG403" si="2711">BB403+BG402</f>
        <v>4491.6010000000015</v>
      </c>
      <c r="BH403" s="60">
        <f t="shared" ref="BH403" si="2712">BC403+BH402</f>
        <v>256.66999999999996</v>
      </c>
      <c r="BI403" s="60">
        <f t="shared" ref="BI403" si="2713">BD403+BI402</f>
        <v>18444.473000000002</v>
      </c>
      <c r="BJ403" s="1">
        <v>28</v>
      </c>
    </row>
    <row r="404" spans="1:62" x14ac:dyDescent="0.3">
      <c r="A404" s="48">
        <f t="shared" si="238"/>
        <v>40383</v>
      </c>
      <c r="B404" s="64">
        <v>671393</v>
      </c>
      <c r="C404" s="64">
        <v>67450</v>
      </c>
      <c r="D404" s="53">
        <v>0</v>
      </c>
      <c r="E404" s="53">
        <f t="shared" si="1904"/>
        <v>738843</v>
      </c>
      <c r="F404" s="53">
        <f t="shared" ref="F404" si="2714">AVERAGE(E401,E402,E403,E404)</f>
        <v>620088</v>
      </c>
      <c r="G404" s="53">
        <f t="shared" ref="G404" si="2715">AVERAGE(F352,F300,F248)</f>
        <v>584638.33333333337</v>
      </c>
      <c r="H404" s="59">
        <f t="shared" ref="H404" si="2716">((E404/E352)-1)*100</f>
        <v>3.2790735058744636</v>
      </c>
      <c r="I404" s="59">
        <f t="shared" ref="I404" si="2717">((F404/F352)-1)*100</f>
        <v>-0.57912457912457915</v>
      </c>
      <c r="J404" s="59">
        <f t="shared" ref="J404" si="2718">((F404/G404)-1)*100</f>
        <v>6.0635207521459122</v>
      </c>
      <c r="L404" s="53">
        <v>7800</v>
      </c>
      <c r="M404" s="53">
        <v>11700</v>
      </c>
      <c r="N404" s="53">
        <v>8400</v>
      </c>
      <c r="O404" s="53">
        <f t="shared" si="2600"/>
        <v>27900</v>
      </c>
      <c r="P404" s="53">
        <f t="shared" ref="P404" si="2719">AVERAGE(O401,O402,O403,O404)</f>
        <v>32735</v>
      </c>
      <c r="Q404" s="53">
        <f t="shared" ref="Q404" si="2720">AVERAGE(P352,P300,P248)</f>
        <v>44310</v>
      </c>
      <c r="R404" s="59">
        <f t="shared" ref="R404" si="2721">((O404/O352)-1)*100</f>
        <v>-21.739130434782606</v>
      </c>
      <c r="S404" s="59">
        <f t="shared" ref="S404" si="2722">((P404/P352)-1)*100</f>
        <v>-31.369208916656621</v>
      </c>
      <c r="T404" s="59">
        <f t="shared" ref="T404" si="2723">((P404/Q404)-1)*100</f>
        <v>-26.122771383434895</v>
      </c>
      <c r="V404" s="64">
        <v>71900</v>
      </c>
      <c r="W404" s="64">
        <v>15000</v>
      </c>
      <c r="X404" s="64">
        <v>8400</v>
      </c>
      <c r="Y404" s="64">
        <f t="shared" si="1916"/>
        <v>95300</v>
      </c>
      <c r="Z404" s="53">
        <f t="shared" ref="Z404" si="2724">AVERAGE(Y401,Y402,Y403,Y404)</f>
        <v>121194.5</v>
      </c>
      <c r="AA404" s="53">
        <f t="shared" ref="AA404" si="2725">AVERAGE(Z352,Z300,Z248)</f>
        <v>116582.66666666667</v>
      </c>
      <c r="AB404" s="59">
        <f t="shared" ref="AB404" si="2726">((Y404/Y352)-1)*100</f>
        <v>-14.585835409683256</v>
      </c>
      <c r="AC404" s="59">
        <f t="shared" ref="AC404" si="2727">((Z404/Z352)-1)*100</f>
        <v>-2.7789866335094837</v>
      </c>
      <c r="AD404" s="59">
        <f t="shared" ref="AD404" si="2728">((Z404/AA404)-1)*100</f>
        <v>3.9558482107117099</v>
      </c>
      <c r="AF404" s="64">
        <v>9200</v>
      </c>
      <c r="AG404" s="53">
        <v>0</v>
      </c>
      <c r="AH404" s="53">
        <v>0</v>
      </c>
      <c r="AI404" s="53">
        <f t="shared" si="1922"/>
        <v>9200</v>
      </c>
      <c r="AJ404" s="53">
        <f t="shared" ref="AJ404" si="2729">AVERAGE(AI401,AI402,AI403,AI404)</f>
        <v>7900</v>
      </c>
      <c r="AK404" s="53">
        <f t="shared" ref="AK404" si="2730">AVERAGE(AJ352,AJ300,AJ248)</f>
        <v>5620</v>
      </c>
      <c r="AL404" s="59">
        <f t="shared" ref="AL404" si="2731">((AI404/AI352)-1)*100</f>
        <v>-14.018691588785048</v>
      </c>
      <c r="AM404" s="59">
        <f t="shared" ref="AM404" si="2732">((AJ404/AJ352)-1)*100</f>
        <v>51.196172248803819</v>
      </c>
      <c r="AN404" s="59">
        <f t="shared" ref="AN404" si="2733">((AJ404/AK404)-1)*100</f>
        <v>40.569395017793596</v>
      </c>
      <c r="AP404" s="60">
        <f t="shared" si="1927"/>
        <v>760293</v>
      </c>
      <c r="AQ404" s="53">
        <f t="shared" si="1928"/>
        <v>94150</v>
      </c>
      <c r="AR404" s="60">
        <f t="shared" si="1929"/>
        <v>16800</v>
      </c>
      <c r="AS404" s="53">
        <f t="shared" si="1930"/>
        <v>871243</v>
      </c>
      <c r="AT404" s="53">
        <f t="shared" ref="AT404" si="2734">AVERAGE(AS401,AS402,AS403,AS404)</f>
        <v>781917.5</v>
      </c>
      <c r="AU404" s="53">
        <f t="shared" ref="AU404" si="2735">AVERAGE(AT352,AT300,AT248)</f>
        <v>751151</v>
      </c>
      <c r="AV404" s="59">
        <f t="shared" ref="AV404" si="2736">((AS404/AS352)-1)*100</f>
        <v>-0.23657147699153169</v>
      </c>
      <c r="AW404" s="59">
        <f t="shared" ref="AW404" si="2737">((AT404/AT352)-1)*100</f>
        <v>-2.4165679705371756</v>
      </c>
      <c r="AX404" s="59">
        <f t="shared" ref="AX404" si="2738">((AT404/AU404)-1)*100</f>
        <v>4.0959141371042618</v>
      </c>
      <c r="AZ404" s="53">
        <f t="shared" si="1936"/>
        <v>738.84299999999996</v>
      </c>
      <c r="BA404" s="53">
        <f t="shared" si="1937"/>
        <v>27.9</v>
      </c>
      <c r="BB404" s="53">
        <f t="shared" si="1938"/>
        <v>95.3</v>
      </c>
      <c r="BC404" s="53">
        <f t="shared" si="1939"/>
        <v>9.1999999999999993</v>
      </c>
      <c r="BD404" s="53">
        <f t="shared" si="1940"/>
        <v>871.24300000000005</v>
      </c>
      <c r="BE404" s="60">
        <f t="shared" ref="BE404" si="2739">AZ404+BE403</f>
        <v>13774.300000000001</v>
      </c>
      <c r="BF404" s="60">
        <f t="shared" ref="BF404" si="2740">BA404+BF403</f>
        <v>688.64499999999987</v>
      </c>
      <c r="BG404" s="60">
        <f t="shared" ref="BG404" si="2741">BB404+BG403</f>
        <v>4586.9010000000017</v>
      </c>
      <c r="BH404" s="60">
        <f t="shared" ref="BH404" si="2742">BC404+BH403</f>
        <v>265.86999999999995</v>
      </c>
      <c r="BI404" s="60">
        <f t="shared" ref="BI404" si="2743">BD404+BI403</f>
        <v>19315.716</v>
      </c>
      <c r="BJ404" s="1">
        <v>29</v>
      </c>
    </row>
    <row r="405" spans="1:62" x14ac:dyDescent="0.3">
      <c r="A405" s="48">
        <f t="shared" si="238"/>
        <v>40390</v>
      </c>
      <c r="B405" s="64">
        <v>546419</v>
      </c>
      <c r="C405" s="64">
        <v>89500</v>
      </c>
      <c r="D405" s="53">
        <v>0</v>
      </c>
      <c r="E405" s="53">
        <f t="shared" si="1904"/>
        <v>635919</v>
      </c>
      <c r="F405" s="53">
        <f t="shared" ref="F405" si="2744">AVERAGE(E402,E403,E404,E405)</f>
        <v>630674</v>
      </c>
      <c r="G405" s="53">
        <f t="shared" ref="G405" si="2745">AVERAGE(F353,F301,F249)</f>
        <v>631493.33333333337</v>
      </c>
      <c r="H405" s="59">
        <f t="shared" ref="H405" si="2746">((E405/E353)-1)*100</f>
        <v>-26.521238760130615</v>
      </c>
      <c r="I405" s="59">
        <f t="shared" ref="I405" si="2747">((F405/F353)-1)*100</f>
        <v>-5.2357989644927656</v>
      </c>
      <c r="J405" s="59">
        <f t="shared" ref="J405" si="2748">((F405/G405)-1)*100</f>
        <v>-0.12974536548288063</v>
      </c>
      <c r="L405" s="53">
        <v>3200</v>
      </c>
      <c r="M405" s="53">
        <v>15300</v>
      </c>
      <c r="N405" s="53">
        <v>22800</v>
      </c>
      <c r="O405" s="53">
        <f t="shared" si="2600"/>
        <v>41300</v>
      </c>
      <c r="P405" s="53">
        <f t="shared" ref="P405" si="2749">AVERAGE(O402,O403,O404,O405)</f>
        <v>36847.5</v>
      </c>
      <c r="Q405" s="53">
        <f t="shared" ref="Q405" si="2750">AVERAGE(P353,P301,P249)</f>
        <v>40682.916666666664</v>
      </c>
      <c r="R405" s="59">
        <f t="shared" ref="R405" si="2751">((O405/O353)-1)*100</f>
        <v>56.736242884250473</v>
      </c>
      <c r="S405" s="59">
        <f t="shared" ref="S405" si="2752">((P405/P353)-1)*100</f>
        <v>17.725522771929271</v>
      </c>
      <c r="T405" s="59">
        <f t="shared" ref="T405" si="2753">((P405/Q405)-1)*100</f>
        <v>-9.4275852886653855</v>
      </c>
      <c r="V405" s="64">
        <v>103072</v>
      </c>
      <c r="W405" s="64">
        <v>23600</v>
      </c>
      <c r="X405" s="64">
        <v>9300</v>
      </c>
      <c r="Y405" s="64">
        <f t="shared" si="1916"/>
        <v>135972</v>
      </c>
      <c r="Z405" s="53">
        <f t="shared" ref="Z405" si="2754">AVERAGE(Y402,Y403,Y404,Y405)</f>
        <v>116352.5</v>
      </c>
      <c r="AA405" s="53">
        <f t="shared" ref="AA405" si="2755">AVERAGE(Z353,Z301,Z249)</f>
        <v>120506.5</v>
      </c>
      <c r="AB405" s="59">
        <f t="shared" ref="AB405" si="2756">((Y405/Y353)-1)*100</f>
        <v>-22.012044737596792</v>
      </c>
      <c r="AC405" s="59">
        <f t="shared" ref="AC405" si="2757">((Z405/Z353)-1)*100</f>
        <v>-10.450891431254162</v>
      </c>
      <c r="AD405" s="59">
        <f t="shared" ref="AD405" si="2758">((Z405/AA405)-1)*100</f>
        <v>-3.4471169604959107</v>
      </c>
      <c r="AF405" s="53">
        <v>0</v>
      </c>
      <c r="AG405" s="53">
        <v>0</v>
      </c>
      <c r="AH405" s="53">
        <v>0</v>
      </c>
      <c r="AI405" s="53">
        <f t="shared" ref="AI405:AI462" si="2759">SUM(AF405:AH405)</f>
        <v>0</v>
      </c>
      <c r="AJ405" s="53">
        <f t="shared" ref="AJ405" si="2760">AVERAGE(AI402,AI403,AI404,AI405)</f>
        <v>4650</v>
      </c>
      <c r="AK405" s="53">
        <f t="shared" ref="AK405" si="2761">AVERAGE(AJ353,AJ301,AJ249)</f>
        <v>5007.5</v>
      </c>
      <c r="AL405" s="59">
        <f t="shared" ref="AL405" si="2762">((AI405/AI353)-1)*100</f>
        <v>-100</v>
      </c>
      <c r="AM405" s="59">
        <f t="shared" ref="AM405" si="2763">((AJ405/AJ353)-1)*100</f>
        <v>-0.26809651474530849</v>
      </c>
      <c r="AN405" s="59">
        <f t="shared" ref="AN405" si="2764">((AJ405/AK405)-1)*100</f>
        <v>-7.1392910634048956</v>
      </c>
      <c r="AP405" s="60">
        <f t="shared" si="1927"/>
        <v>652691</v>
      </c>
      <c r="AQ405" s="53">
        <f t="shared" si="1928"/>
        <v>128400</v>
      </c>
      <c r="AR405" s="60">
        <f t="shared" ref="AR405:AR438" si="2765">SUM(D405,N405,X405,AH405)</f>
        <v>32100</v>
      </c>
      <c r="AS405" s="53">
        <f t="shared" ref="AS405:AS438" si="2766">SUM(E405,O405,Y405,AI405)</f>
        <v>813191</v>
      </c>
      <c r="AT405" s="53">
        <f t="shared" ref="AT405" si="2767">AVERAGE(AS402,AS403,AS404,AS405)</f>
        <v>788524</v>
      </c>
      <c r="AU405" s="53">
        <f t="shared" ref="AU405" si="2768">AVERAGE(AT353,AT301,AT249)</f>
        <v>797690.25</v>
      </c>
      <c r="AV405" s="59">
        <f t="shared" ref="AV405" si="2769">((AS405/AS353)-1)*100</f>
        <v>-24.290659307920336</v>
      </c>
      <c r="AW405" s="59">
        <f t="shared" ref="AW405" si="2770">((AT405/AT353)-1)*100</f>
        <v>-5.1585388845672657</v>
      </c>
      <c r="AX405" s="59">
        <f t="shared" ref="AX405" si="2771">((AT405/AU405)-1)*100</f>
        <v>-1.1490989140208296</v>
      </c>
      <c r="AZ405" s="53">
        <f t="shared" si="401"/>
        <v>635.91899999999998</v>
      </c>
      <c r="BA405" s="53">
        <f t="shared" si="402"/>
        <v>41.3</v>
      </c>
      <c r="BB405" s="53">
        <f t="shared" si="403"/>
        <v>135.97200000000001</v>
      </c>
      <c r="BC405" s="53">
        <f t="shared" si="404"/>
        <v>0</v>
      </c>
      <c r="BD405" s="53">
        <f t="shared" si="405"/>
        <v>813.19100000000003</v>
      </c>
      <c r="BE405" s="60">
        <f t="shared" ref="BE405" si="2772">AZ405+BE404</f>
        <v>14410.219000000001</v>
      </c>
      <c r="BF405" s="60">
        <f t="shared" ref="BF405" si="2773">BA405+BF404</f>
        <v>729.94499999999982</v>
      </c>
      <c r="BG405" s="60">
        <f t="shared" ref="BG405" si="2774">BB405+BG404</f>
        <v>4722.8730000000014</v>
      </c>
      <c r="BH405" s="60">
        <f t="shared" ref="BH405" si="2775">BC405+BH404</f>
        <v>265.86999999999995</v>
      </c>
      <c r="BI405" s="60">
        <f t="shared" ref="BI405" si="2776">BD405+BI404</f>
        <v>20128.906999999999</v>
      </c>
      <c r="BJ405" s="1">
        <v>30</v>
      </c>
    </row>
    <row r="406" spans="1:62" x14ac:dyDescent="0.3">
      <c r="A406" s="48">
        <f t="shared" si="238"/>
        <v>40397</v>
      </c>
      <c r="B406" s="64">
        <v>531341</v>
      </c>
      <c r="C406" s="64">
        <v>28250</v>
      </c>
      <c r="D406" s="53">
        <v>1400</v>
      </c>
      <c r="E406" s="53">
        <f t="shared" ref="E406:E412" si="2777">SUM(B406:D406)</f>
        <v>560991</v>
      </c>
      <c r="F406" s="53">
        <f t="shared" ref="F406" si="2778">AVERAGE(E403,E404,E405,E406)</f>
        <v>643041.75</v>
      </c>
      <c r="G406" s="53">
        <f t="shared" ref="G406" si="2779">AVERAGE(F354,F302,F250)</f>
        <v>610768.5</v>
      </c>
      <c r="H406" s="59">
        <f t="shared" ref="H406" si="2780">((E406/E354)-1)*100</f>
        <v>-8.4831449676341606</v>
      </c>
      <c r="I406" s="59">
        <f t="shared" ref="I406" si="2781">((F406/F354)-1)*100</f>
        <v>-6.1143614895310838</v>
      </c>
      <c r="J406" s="59">
        <f t="shared" ref="J406" si="2782">((F406/G406)-1)*100</f>
        <v>5.2840396975285975</v>
      </c>
      <c r="L406" s="53">
        <v>7600</v>
      </c>
      <c r="M406" s="53">
        <v>11460</v>
      </c>
      <c r="N406" s="53">
        <v>15400</v>
      </c>
      <c r="O406" s="53">
        <f t="shared" si="2600"/>
        <v>34460</v>
      </c>
      <c r="P406" s="53">
        <f t="shared" ref="P406" si="2783">AVERAGE(O403,O404,O405,O406)</f>
        <v>37827.5</v>
      </c>
      <c r="Q406" s="53">
        <f t="shared" ref="Q406" si="2784">AVERAGE(P354,P302,P250)</f>
        <v>52394.083333333336</v>
      </c>
      <c r="R406" s="59">
        <f t="shared" ref="R406" si="2785">((O406/O354)-1)*100</f>
        <v>-46.198282591725217</v>
      </c>
      <c r="S406" s="59">
        <f t="shared" ref="S406" si="2786">((P406/P354)-1)*100</f>
        <v>-2.2860833064255681</v>
      </c>
      <c r="T406" s="59">
        <f t="shared" ref="T406" si="2787">((P406/Q406)-1)*100</f>
        <v>-27.801962371705457</v>
      </c>
      <c r="V406" s="64">
        <v>94962</v>
      </c>
      <c r="W406" s="64">
        <v>16750</v>
      </c>
      <c r="X406" s="64">
        <v>11200</v>
      </c>
      <c r="Y406" s="64">
        <f t="shared" si="1916"/>
        <v>122912</v>
      </c>
      <c r="Z406" s="53">
        <f t="shared" ref="Z406" si="2788">AVERAGE(Y403,Y404,Y405,Y406)</f>
        <v>112909</v>
      </c>
      <c r="AA406" s="53">
        <f t="shared" ref="AA406" si="2789">AVERAGE(Z354,Z302,Z250)</f>
        <v>116256.91666666667</v>
      </c>
      <c r="AB406" s="59">
        <f t="shared" ref="AB406" si="2790">((Y406/Y354)-1)*100</f>
        <v>5.1032973046928554</v>
      </c>
      <c r="AC406" s="59">
        <f t="shared" ref="AC406" si="2791">((Z406/Z354)-1)*100</f>
        <v>-13.094278264718051</v>
      </c>
      <c r="AD406" s="59">
        <f t="shared" ref="AD406" si="2792">((Z406/AA406)-1)*100</f>
        <v>-2.8797569750330321</v>
      </c>
      <c r="AF406" s="53">
        <v>0</v>
      </c>
      <c r="AG406" s="53">
        <v>3250</v>
      </c>
      <c r="AH406" s="64">
        <v>4400</v>
      </c>
      <c r="AI406" s="53">
        <f t="shared" si="2759"/>
        <v>7650</v>
      </c>
      <c r="AJ406" s="53">
        <f t="shared" ref="AJ406" si="2793">AVERAGE(AI403,AI404,AI405,AI406)</f>
        <v>6562.5</v>
      </c>
      <c r="AK406" s="53">
        <f t="shared" ref="AK406" si="2794">AVERAGE(AJ354,AJ302,AJ250)</f>
        <v>7617.166666666667</v>
      </c>
      <c r="AL406" s="59">
        <f t="shared" ref="AL406" si="2795">((AI406/AI354)-1)*100</f>
        <v>-1.9230769230769273</v>
      </c>
      <c r="AM406" s="59">
        <f t="shared" ref="AM406" si="2796">((AJ406/AJ354)-1)*100</f>
        <v>-0.75614366729678251</v>
      </c>
      <c r="AN406" s="59">
        <f t="shared" ref="AN406" si="2797">((AJ406/AK406)-1)*100</f>
        <v>-13.845918211058361</v>
      </c>
      <c r="AP406" s="60">
        <f t="shared" si="1927"/>
        <v>633903</v>
      </c>
      <c r="AQ406" s="53">
        <f t="shared" si="1928"/>
        <v>59710</v>
      </c>
      <c r="AR406" s="60">
        <f t="shared" si="2765"/>
        <v>32400</v>
      </c>
      <c r="AS406" s="53">
        <f t="shared" si="2766"/>
        <v>726013</v>
      </c>
      <c r="AT406" s="53">
        <f t="shared" ref="AT406" si="2798">AVERAGE(AS403,AS404,AS405,AS406)</f>
        <v>800340.75</v>
      </c>
      <c r="AU406" s="53">
        <f t="shared" ref="AU406" si="2799">AVERAGE(AT354,AT302,AT250)</f>
        <v>787036.66666666663</v>
      </c>
      <c r="AV406" s="59">
        <f t="shared" ref="AV406" si="2800">((AS406/AS354)-1)*100</f>
        <v>-9.4505266991441577</v>
      </c>
      <c r="AW406" s="59">
        <f t="shared" ref="AW406" si="2801">((AT406/AT354)-1)*100</f>
        <v>-6.9551360114582517</v>
      </c>
      <c r="AX406" s="59">
        <f t="shared" ref="AX406" si="2802">((AT406/AU406)-1)*100</f>
        <v>1.6904019719538699</v>
      </c>
      <c r="AZ406" s="53">
        <f t="shared" si="401"/>
        <v>560.99099999999999</v>
      </c>
      <c r="BA406" s="53">
        <f t="shared" si="402"/>
        <v>34.46</v>
      </c>
      <c r="BB406" s="53">
        <f t="shared" si="403"/>
        <v>122.91200000000001</v>
      </c>
      <c r="BC406" s="53">
        <f t="shared" si="404"/>
        <v>7.65</v>
      </c>
      <c r="BD406" s="53">
        <f t="shared" si="405"/>
        <v>726.01300000000003</v>
      </c>
      <c r="BE406" s="60">
        <f t="shared" ref="BE406" si="2803">AZ406+BE405</f>
        <v>14971.210000000001</v>
      </c>
      <c r="BF406" s="60">
        <f t="shared" ref="BF406" si="2804">BA406+BF405</f>
        <v>764.40499999999986</v>
      </c>
      <c r="BG406" s="60">
        <f t="shared" ref="BG406" si="2805">BB406+BG405</f>
        <v>4845.7850000000017</v>
      </c>
      <c r="BH406" s="60">
        <f t="shared" ref="BH406" si="2806">BC406+BH405</f>
        <v>273.51999999999992</v>
      </c>
      <c r="BI406" s="60">
        <f t="shared" ref="BI406" si="2807">BD406+BI405</f>
        <v>20854.919999999998</v>
      </c>
      <c r="BJ406" s="1">
        <v>31</v>
      </c>
    </row>
    <row r="407" spans="1:62" x14ac:dyDescent="0.3">
      <c r="A407" s="48">
        <f t="shared" si="238"/>
        <v>40404</v>
      </c>
      <c r="B407" s="64">
        <v>520481</v>
      </c>
      <c r="C407" s="64">
        <v>12250</v>
      </c>
      <c r="D407" s="53">
        <v>0</v>
      </c>
      <c r="E407" s="53">
        <f t="shared" si="2777"/>
        <v>532731</v>
      </c>
      <c r="F407" s="53">
        <f t="shared" ref="F407" si="2808">AVERAGE(E404,E405,E406,E407)</f>
        <v>617121</v>
      </c>
      <c r="G407" s="53">
        <f t="shared" ref="G407" si="2809">AVERAGE(F355,F303,F251)</f>
        <v>604511.16666666663</v>
      </c>
      <c r="H407" s="59">
        <f t="shared" ref="H407" si="2810">((E407/E355)-1)*100</f>
        <v>-19.349535155167796</v>
      </c>
      <c r="I407" s="59">
        <f t="shared" ref="I407" si="2811">((F407/F355)-1)*100</f>
        <v>-13.519009124968562</v>
      </c>
      <c r="J407" s="59">
        <f t="shared" ref="J407" si="2812">((F407/G407)-1)*100</f>
        <v>2.0859554014304171</v>
      </c>
      <c r="L407" s="53">
        <v>4500</v>
      </c>
      <c r="M407" s="53">
        <v>14068</v>
      </c>
      <c r="N407" s="53">
        <v>18200</v>
      </c>
      <c r="O407" s="53">
        <f t="shared" si="2600"/>
        <v>36768</v>
      </c>
      <c r="P407" s="53">
        <f t="shared" ref="P407" si="2813">AVERAGE(O404,O405,O406,O407)</f>
        <v>35107</v>
      </c>
      <c r="Q407" s="53">
        <f t="shared" ref="Q407" si="2814">AVERAGE(P355,P303,P251)</f>
        <v>57700.416666666664</v>
      </c>
      <c r="R407" s="59">
        <f t="shared" ref="R407" si="2815">((O407/O355)-1)*100</f>
        <v>24.342238755495437</v>
      </c>
      <c r="S407" s="59">
        <f t="shared" ref="S407" si="2816">((P407/P355)-1)*100</f>
        <v>-9.7622413571520354</v>
      </c>
      <c r="T407" s="59">
        <f t="shared" ref="T407" si="2817">((P407/Q407)-1)*100</f>
        <v>-39.156418570056537</v>
      </c>
      <c r="V407" s="64">
        <v>91617</v>
      </c>
      <c r="W407" s="64">
        <v>5250</v>
      </c>
      <c r="X407" s="64">
        <v>4200</v>
      </c>
      <c r="Y407" s="64">
        <f t="shared" si="1916"/>
        <v>101067</v>
      </c>
      <c r="Z407" s="53">
        <f t="shared" ref="Z407" si="2818">AVERAGE(Y404,Y405,Y406,Y407)</f>
        <v>113812.75</v>
      </c>
      <c r="AA407" s="53">
        <f t="shared" ref="AA407" si="2819">AVERAGE(Z355,Z303,Z251)</f>
        <v>116475</v>
      </c>
      <c r="AB407" s="59">
        <f t="shared" ref="AB407" si="2820">((Y407/Y355)-1)*100</f>
        <v>-41.852691413711362</v>
      </c>
      <c r="AC407" s="59">
        <f t="shared" ref="AC407" si="2821">((Z407/Z355)-1)*100</f>
        <v>-21.056565166123331</v>
      </c>
      <c r="AD407" s="59">
        <f t="shared" ref="AD407" si="2822">((Z407/AA407)-1)*100</f>
        <v>-2.2856836230950806</v>
      </c>
      <c r="AF407" s="64">
        <v>9300</v>
      </c>
      <c r="AG407" s="53">
        <v>0</v>
      </c>
      <c r="AH407" s="64">
        <v>2900</v>
      </c>
      <c r="AI407" s="53">
        <f t="shared" si="2759"/>
        <v>12200</v>
      </c>
      <c r="AJ407" s="53">
        <f t="shared" ref="AJ407" si="2823">AVERAGE(AI404,AI405,AI406,AI407)</f>
        <v>7262.5</v>
      </c>
      <c r="AK407" s="53">
        <f t="shared" ref="AK407" si="2824">AVERAGE(AJ355,AJ303,AJ251)</f>
        <v>7847.833333333333</v>
      </c>
      <c r="AL407" s="59"/>
      <c r="AM407" s="59">
        <f t="shared" ref="AM407" si="2825">((AJ407/AJ355)-1)*100</f>
        <v>9.8298676748582281</v>
      </c>
      <c r="AN407" s="59">
        <f t="shared" ref="AN407" si="2826">((AJ407/AK407)-1)*100</f>
        <v>-7.4585342026461614</v>
      </c>
      <c r="AP407" s="60">
        <f t="shared" si="1927"/>
        <v>625898</v>
      </c>
      <c r="AQ407" s="53">
        <f t="shared" si="1928"/>
        <v>31568</v>
      </c>
      <c r="AR407" s="60">
        <f t="shared" si="2765"/>
        <v>25300</v>
      </c>
      <c r="AS407" s="53">
        <f t="shared" si="2766"/>
        <v>682766</v>
      </c>
      <c r="AT407" s="53">
        <f t="shared" ref="AT407" si="2827">AVERAGE(AS404,AS405,AS406,AS407)</f>
        <v>773303.25</v>
      </c>
      <c r="AU407" s="53">
        <f t="shared" ref="AU407" si="2828">AVERAGE(AT355,AT303,AT251)</f>
        <v>786534.41666666663</v>
      </c>
      <c r="AV407" s="59">
        <f t="shared" ref="AV407" si="2829">((AS407/AS355)-1)*100</f>
        <v>-20.969297103336515</v>
      </c>
      <c r="AW407" s="59">
        <f t="shared" ref="AW407" si="2830">((AT407/AT355)-1)*100</f>
        <v>-14.389324892973265</v>
      </c>
      <c r="AX407" s="59">
        <f t="shared" ref="AX407" si="2831">((AT407/AU407)-1)*100</f>
        <v>-1.6822107699673627</v>
      </c>
      <c r="AZ407" s="53">
        <f t="shared" si="401"/>
        <v>532.73099999999999</v>
      </c>
      <c r="BA407" s="53">
        <f t="shared" si="402"/>
        <v>36.768000000000001</v>
      </c>
      <c r="BB407" s="53">
        <f t="shared" si="403"/>
        <v>101.06699999999999</v>
      </c>
      <c r="BC407" s="53">
        <f t="shared" si="404"/>
        <v>12.2</v>
      </c>
      <c r="BD407" s="53">
        <f t="shared" si="405"/>
        <v>682.76599999999996</v>
      </c>
      <c r="BE407" s="60">
        <f t="shared" ref="BE407" si="2832">AZ407+BE406</f>
        <v>15503.941000000001</v>
      </c>
      <c r="BF407" s="60">
        <f t="shared" ref="BF407" si="2833">BA407+BF406</f>
        <v>801.17299999999989</v>
      </c>
      <c r="BG407" s="60">
        <f t="shared" ref="BG407" si="2834">BB407+BG406</f>
        <v>4946.8520000000017</v>
      </c>
      <c r="BH407" s="60">
        <f t="shared" ref="BH407" si="2835">BC407+BH406</f>
        <v>285.71999999999991</v>
      </c>
      <c r="BI407" s="60">
        <f t="shared" ref="BI407" si="2836">BD407+BI406</f>
        <v>21537.685999999998</v>
      </c>
      <c r="BJ407" s="1">
        <v>32</v>
      </c>
    </row>
    <row r="408" spans="1:62" x14ac:dyDescent="0.3">
      <c r="A408" s="48">
        <f t="shared" si="238"/>
        <v>40411</v>
      </c>
      <c r="B408" s="64">
        <v>231330</v>
      </c>
      <c r="C408" s="64">
        <v>15400</v>
      </c>
      <c r="D408" s="53">
        <v>0</v>
      </c>
      <c r="E408" s="53">
        <f t="shared" si="2777"/>
        <v>246730</v>
      </c>
      <c r="F408" s="53">
        <f t="shared" ref="F408" si="2837">AVERAGE(E405,E406,E407,E408)</f>
        <v>494092.75</v>
      </c>
      <c r="G408" s="53">
        <f t="shared" ref="G408" si="2838">AVERAGE(F356,F304,F252)</f>
        <v>550746.33333333337</v>
      </c>
      <c r="H408" s="59">
        <f t="shared" ref="H408" si="2839">((E408/E356)-1)*100</f>
        <v>-56.894623926427521</v>
      </c>
      <c r="I408" s="59">
        <f t="shared" ref="I408" si="2840">((F408/F356)-1)*100</f>
        <v>-27.108003373941358</v>
      </c>
      <c r="J408" s="59">
        <f t="shared" ref="J408" si="2841">((F408/G408)-1)*100</f>
        <v>-10.286692784760564</v>
      </c>
      <c r="L408" s="53">
        <v>9411</v>
      </c>
      <c r="M408" s="53">
        <v>3304</v>
      </c>
      <c r="N408" s="53">
        <v>22400</v>
      </c>
      <c r="O408" s="53">
        <f t="shared" si="2600"/>
        <v>35115</v>
      </c>
      <c r="P408" s="53">
        <f t="shared" ref="P408" si="2842">AVERAGE(O405,O406,O407,O408)</f>
        <v>36910.75</v>
      </c>
      <c r="Q408" s="53">
        <f t="shared" ref="Q408" si="2843">AVERAGE(P356,P304,P252)</f>
        <v>59241.916666666664</v>
      </c>
      <c r="R408" s="59">
        <f t="shared" ref="R408" si="2844">((O408/O356)-1)*100</f>
        <v>57.820224719101134</v>
      </c>
      <c r="S408" s="59">
        <f t="shared" ref="S408" si="2845">((P408/P356)-1)*100</f>
        <v>3.813106454788362</v>
      </c>
      <c r="T408" s="59">
        <f t="shared" ref="T408" si="2846">((P408/Q408)-1)*100</f>
        <v>-37.694875390876106</v>
      </c>
      <c r="V408" s="64">
        <v>95405</v>
      </c>
      <c r="W408" s="64">
        <v>8660</v>
      </c>
      <c r="X408" s="64">
        <v>18200</v>
      </c>
      <c r="Y408" s="64">
        <f t="shared" si="1916"/>
        <v>122265</v>
      </c>
      <c r="Z408" s="53">
        <f t="shared" ref="Z408" si="2847">AVERAGE(Y405,Y406,Y407,Y408)</f>
        <v>120554</v>
      </c>
      <c r="AA408" s="53">
        <f t="shared" ref="AA408" si="2848">AVERAGE(Z356,Z304,Z252)</f>
        <v>117830.33333333333</v>
      </c>
      <c r="AB408" s="59">
        <f t="shared" ref="AB408" si="2849">((Y408/Y356)-1)*100</f>
        <v>3.8626208396336903</v>
      </c>
      <c r="AC408" s="59">
        <f t="shared" ref="AC408" si="2850">((Z408/Z356)-1)*100</f>
        <v>-17.262158044280952</v>
      </c>
      <c r="AD408" s="59">
        <f t="shared" ref="AD408" si="2851">((Z408/AA408)-1)*100</f>
        <v>2.3115157104424133</v>
      </c>
      <c r="AF408" s="64">
        <v>4841</v>
      </c>
      <c r="AG408" s="53">
        <v>0</v>
      </c>
      <c r="AH408" s="64">
        <v>1400</v>
      </c>
      <c r="AI408" s="53">
        <f t="shared" si="2759"/>
        <v>6241</v>
      </c>
      <c r="AJ408" s="53">
        <f t="shared" ref="AJ408" si="2852">AVERAGE(AI405,AI406,AI407,AI408)</f>
        <v>6522.75</v>
      </c>
      <c r="AK408" s="53">
        <f t="shared" ref="AK408" si="2853">AVERAGE(AJ356,AJ304,AJ252)</f>
        <v>8199.9166666666661</v>
      </c>
      <c r="AL408" s="59">
        <f t="shared" ref="AL408" si="2854">((AI408/AI356)-1)*100</f>
        <v>-20.405560515240406</v>
      </c>
      <c r="AM408" s="59">
        <f t="shared" ref="AM408" si="2855">((AJ408/AJ356)-1)*100</f>
        <v>10.597261667585101</v>
      </c>
      <c r="AN408" s="59">
        <f t="shared" ref="AN408" si="2856">((AJ408/AK408)-1)*100</f>
        <v>-20.453459892885085</v>
      </c>
      <c r="AP408" s="60">
        <f t="shared" si="1927"/>
        <v>340987</v>
      </c>
      <c r="AQ408" s="53">
        <f t="shared" si="1928"/>
        <v>27364</v>
      </c>
      <c r="AR408" s="60">
        <f t="shared" si="2765"/>
        <v>42000</v>
      </c>
      <c r="AS408" s="53">
        <f t="shared" si="2766"/>
        <v>410351</v>
      </c>
      <c r="AT408" s="53">
        <f t="shared" ref="AT408" si="2857">AVERAGE(AS405,AS406,AS407,AS408)</f>
        <v>658080.25</v>
      </c>
      <c r="AU408" s="53">
        <f t="shared" ref="AU408" si="2858">AVERAGE(AT356,AT304,AT252)</f>
        <v>736018.5</v>
      </c>
      <c r="AV408" s="59">
        <f t="shared" ref="AV408" si="2859">((AS408/AS356)-1)*100</f>
        <v>-43.022395261296566</v>
      </c>
      <c r="AW408" s="59">
        <f t="shared" ref="AW408" si="2860">((AT408/AT356)-1)*100</f>
        <v>-23.921446333588058</v>
      </c>
      <c r="AX408" s="59">
        <f t="shared" ref="AX408" si="2861">((AT408/AU408)-1)*100</f>
        <v>-10.589169973309097</v>
      </c>
      <c r="AZ408" s="53">
        <f t="shared" si="401"/>
        <v>246.73</v>
      </c>
      <c r="BA408" s="53">
        <f t="shared" si="402"/>
        <v>35.115000000000002</v>
      </c>
      <c r="BB408" s="53">
        <f t="shared" si="403"/>
        <v>122.265</v>
      </c>
      <c r="BC408" s="53">
        <f t="shared" si="404"/>
        <v>6.2409999999999997</v>
      </c>
      <c r="BD408" s="53">
        <f t="shared" si="405"/>
        <v>410.351</v>
      </c>
      <c r="BE408" s="60">
        <f t="shared" ref="BE408" si="2862">AZ408+BE407</f>
        <v>15750.671</v>
      </c>
      <c r="BF408" s="60">
        <f t="shared" ref="BF408" si="2863">BA408+BF407</f>
        <v>836.2879999999999</v>
      </c>
      <c r="BG408" s="60">
        <f t="shared" ref="BG408" si="2864">BB408+BG407</f>
        <v>5069.117000000002</v>
      </c>
      <c r="BH408" s="60">
        <f t="shared" ref="BH408" si="2865">BC408+BH407</f>
        <v>291.9609999999999</v>
      </c>
      <c r="BI408" s="60">
        <f t="shared" ref="BI408" si="2866">BD408+BI407</f>
        <v>21948.036999999997</v>
      </c>
      <c r="BJ408" s="1">
        <v>33</v>
      </c>
    </row>
    <row r="409" spans="1:62" x14ac:dyDescent="0.3">
      <c r="A409" s="48">
        <f t="shared" si="238"/>
        <v>40418</v>
      </c>
      <c r="B409" s="64">
        <v>236538</v>
      </c>
      <c r="C409" s="64">
        <v>34400</v>
      </c>
      <c r="D409" s="53">
        <v>4300</v>
      </c>
      <c r="E409" s="53">
        <f t="shared" si="2777"/>
        <v>275238</v>
      </c>
      <c r="F409" s="53">
        <f t="shared" ref="F409" si="2867">AVERAGE(E406,E407,E408,E409)</f>
        <v>403922.5</v>
      </c>
      <c r="G409" s="53">
        <f t="shared" ref="G409" si="2868">AVERAGE(F357,F305,F253)</f>
        <v>459981.33333333331</v>
      </c>
      <c r="H409" s="59">
        <f t="shared" ref="H409" si="2869">((E409/E357)-1)*100</f>
        <v>-46.85324677581616</v>
      </c>
      <c r="I409" s="59">
        <f t="shared" ref="I409" si="2870">((F409/F357)-1)*100</f>
        <v>-31.648790129139194</v>
      </c>
      <c r="J409" s="59">
        <f t="shared" ref="J409" si="2871">((F409/G409)-1)*100</f>
        <v>-12.187197451490784</v>
      </c>
      <c r="L409" s="53">
        <v>7700</v>
      </c>
      <c r="M409" s="53">
        <v>8074</v>
      </c>
      <c r="N409" s="53">
        <v>22600</v>
      </c>
      <c r="O409" s="53">
        <f t="shared" si="2600"/>
        <v>38374</v>
      </c>
      <c r="P409" s="53">
        <f t="shared" ref="P409" si="2872">AVERAGE(O406,O407,O408,O409)</f>
        <v>36179.25</v>
      </c>
      <c r="Q409" s="53">
        <f t="shared" ref="Q409" si="2873">AVERAGE(P357,P305,P253)</f>
        <v>66847.833333333328</v>
      </c>
      <c r="R409" s="59">
        <f t="shared" ref="R409" si="2874">((O409/O357)-1)*100</f>
        <v>-22.293096814693314</v>
      </c>
      <c r="S409" s="59">
        <f t="shared" ref="S409" si="2875">((P409/P357)-1)*100</f>
        <v>-12.427005863736207</v>
      </c>
      <c r="T409" s="59">
        <f t="shared" ref="T409" si="2876">((P409/Q409)-1)*100</f>
        <v>-45.8782009888129</v>
      </c>
      <c r="V409" s="64">
        <v>31710</v>
      </c>
      <c r="W409" s="64">
        <v>18800</v>
      </c>
      <c r="X409" s="64">
        <v>5700</v>
      </c>
      <c r="Y409" s="64">
        <f t="shared" si="1916"/>
        <v>56210</v>
      </c>
      <c r="Z409" s="53">
        <f t="shared" ref="Z409" si="2877">AVERAGE(Y406,Y407,Y408,Y409)</f>
        <v>100613.5</v>
      </c>
      <c r="AA409" s="53">
        <f t="shared" ref="AA409" si="2878">AVERAGE(Z357,Z305,Z253)</f>
        <v>105065.16666666667</v>
      </c>
      <c r="AB409" s="59">
        <f t="shared" ref="AB409" si="2879">((Y409/Y357)-1)*100</f>
        <v>-56.889212716186677</v>
      </c>
      <c r="AC409" s="59">
        <f t="shared" ref="AC409" si="2880">((Z409/Z357)-1)*100</f>
        <v>-25.313672036655234</v>
      </c>
      <c r="AD409" s="59">
        <f t="shared" ref="AD409" si="2881">((Z409/AA409)-1)*100</f>
        <v>-4.2370528767066817</v>
      </c>
      <c r="AF409" s="64">
        <v>7800</v>
      </c>
      <c r="AG409" s="53">
        <v>0</v>
      </c>
      <c r="AH409" s="64">
        <v>1400</v>
      </c>
      <c r="AI409" s="53">
        <f t="shared" si="2759"/>
        <v>9200</v>
      </c>
      <c r="AJ409" s="53">
        <f t="shared" ref="AJ409" si="2882">AVERAGE(AI406,AI407,AI408,AI409)</f>
        <v>8822.75</v>
      </c>
      <c r="AK409" s="53">
        <f t="shared" ref="AK409" si="2883">AVERAGE(AJ357,AJ305,AJ253)</f>
        <v>10512.416666666666</v>
      </c>
      <c r="AL409" s="59">
        <f t="shared" ref="AL409" si="2884">((AI409/AI357)-1)*100</f>
        <v>557.14285714285711</v>
      </c>
      <c r="AM409" s="59">
        <f t="shared" ref="AM409" si="2885">((AJ409/AJ357)-1)*100</f>
        <v>107.09465406959686</v>
      </c>
      <c r="AN409" s="59">
        <f t="shared" ref="AN409" si="2886">((AJ409/AK409)-1)*100</f>
        <v>-16.073056464973956</v>
      </c>
      <c r="AP409" s="60">
        <f t="shared" si="1927"/>
        <v>283748</v>
      </c>
      <c r="AQ409" s="53">
        <f t="shared" si="1928"/>
        <v>61274</v>
      </c>
      <c r="AR409" s="60">
        <f t="shared" si="2765"/>
        <v>34000</v>
      </c>
      <c r="AS409" s="53">
        <f t="shared" si="2766"/>
        <v>379022</v>
      </c>
      <c r="AT409" s="53">
        <f t="shared" ref="AT409" si="2887">AVERAGE(AS406,AS407,AS408,AS409)</f>
        <v>549538</v>
      </c>
      <c r="AU409" s="53">
        <f t="shared" ref="AU409" si="2888">AVERAGE(AT357,AT305,AT253)</f>
        <v>642406.75</v>
      </c>
      <c r="AV409" s="59">
        <f t="shared" ref="AV409" si="2889">((AS409/AS357)-1)*100</f>
        <v>-45.78049384093579</v>
      </c>
      <c r="AW409" s="59">
        <f t="shared" ref="AW409" si="2890">((AT409/AT357)-1)*100</f>
        <v>-28.746151893752881</v>
      </c>
      <c r="AX409" s="59">
        <f t="shared" ref="AX409" si="2891">((AT409/AU409)-1)*100</f>
        <v>-14.456378299262884</v>
      </c>
      <c r="AZ409" s="53">
        <f t="shared" si="401"/>
        <v>275.238</v>
      </c>
      <c r="BA409" s="53">
        <f t="shared" si="402"/>
        <v>38.374000000000002</v>
      </c>
      <c r="BB409" s="53">
        <f t="shared" si="403"/>
        <v>56.21</v>
      </c>
      <c r="BC409" s="53">
        <f t="shared" si="404"/>
        <v>9.1999999999999993</v>
      </c>
      <c r="BD409" s="53">
        <f t="shared" si="405"/>
        <v>379.02199999999999</v>
      </c>
      <c r="BE409" s="60">
        <f t="shared" ref="BE409" si="2892">AZ409+BE408</f>
        <v>16025.909</v>
      </c>
      <c r="BF409" s="60">
        <f t="shared" ref="BF409" si="2893">BA409+BF408</f>
        <v>874.66199999999992</v>
      </c>
      <c r="BG409" s="60">
        <f t="shared" ref="BG409" si="2894">BB409+BG408</f>
        <v>5125.327000000002</v>
      </c>
      <c r="BH409" s="60">
        <f t="shared" ref="BH409" si="2895">BC409+BH408</f>
        <v>301.16099999999989</v>
      </c>
      <c r="BI409" s="60">
        <f t="shared" ref="BI409" si="2896">BD409+BI408</f>
        <v>22327.058999999997</v>
      </c>
      <c r="BJ409" s="1">
        <v>34</v>
      </c>
    </row>
    <row r="410" spans="1:62" x14ac:dyDescent="0.3">
      <c r="A410" s="48">
        <f t="shared" si="238"/>
        <v>40425</v>
      </c>
      <c r="B410" s="64">
        <v>312128</v>
      </c>
      <c r="C410" s="64">
        <v>98000</v>
      </c>
      <c r="D410" s="53">
        <v>8600</v>
      </c>
      <c r="E410" s="53">
        <f t="shared" si="2777"/>
        <v>418728</v>
      </c>
      <c r="F410" s="53">
        <f t="shared" ref="F410" si="2897">AVERAGE(E407,E408,E409,E410)</f>
        <v>368356.75</v>
      </c>
      <c r="G410" s="53">
        <f t="shared" ref="G410" si="2898">AVERAGE(F358,F306,F254)</f>
        <v>414267.91666666669</v>
      </c>
      <c r="H410" s="59">
        <f t="shared" ref="H410" si="2899">((E410/E358)-1)*100</f>
        <v>41.067079025297403</v>
      </c>
      <c r="I410" s="59">
        <f t="shared" ref="I410" si="2900">((F410/F358)-1)*100</f>
        <v>-28.042778941446333</v>
      </c>
      <c r="J410" s="59">
        <f t="shared" ref="J410" si="2901">((F410/G410)-1)*100</f>
        <v>-11.082481847998938</v>
      </c>
      <c r="L410" s="53">
        <v>12481</v>
      </c>
      <c r="M410" s="53">
        <v>3252</v>
      </c>
      <c r="N410" s="53">
        <v>2800</v>
      </c>
      <c r="O410" s="53">
        <f t="shared" si="2600"/>
        <v>18533</v>
      </c>
      <c r="P410" s="53">
        <f t="shared" ref="P410" si="2902">AVERAGE(O407,O408,O409,O410)</f>
        <v>32197.5</v>
      </c>
      <c r="Q410" s="53">
        <f t="shared" ref="Q410" si="2903">AVERAGE(P358,P306,P254)</f>
        <v>57643</v>
      </c>
      <c r="R410" s="59">
        <f t="shared" ref="R410" si="2904">((O410/O358)-1)*100</f>
        <v>-24.99190545572284</v>
      </c>
      <c r="S410" s="59">
        <f t="shared" ref="S410" si="2905">((P410/P358)-1)*100</f>
        <v>2.2865357276171228</v>
      </c>
      <c r="T410" s="59">
        <f t="shared" ref="T410" si="2906">((P410/Q410)-1)*100</f>
        <v>-44.143261107159582</v>
      </c>
      <c r="V410" s="64">
        <v>41500</v>
      </c>
      <c r="W410" s="64">
        <v>6800</v>
      </c>
      <c r="X410" s="64">
        <v>8400</v>
      </c>
      <c r="Y410" s="64">
        <f t="shared" si="1916"/>
        <v>56700</v>
      </c>
      <c r="Z410" s="53">
        <f t="shared" ref="Z410" si="2907">AVERAGE(Y407,Y408,Y409,Y410)</f>
        <v>84060.5</v>
      </c>
      <c r="AA410" s="53">
        <f t="shared" ref="AA410" si="2908">AVERAGE(Z358,Z306,Z254)</f>
        <v>96967.083333333328</v>
      </c>
      <c r="AB410" s="59">
        <f t="shared" ref="AB410" si="2909">((Y410/Y358)-1)*100</f>
        <v>-0.63439767270687675</v>
      </c>
      <c r="AC410" s="59">
        <f t="shared" ref="AC410" si="2910">((Z410/Z358)-1)*100</f>
        <v>-29.799969518369362</v>
      </c>
      <c r="AD410" s="59">
        <f t="shared" ref="AD410" si="2911">((Z410/AA410)-1)*100</f>
        <v>-13.310272815946988</v>
      </c>
      <c r="AF410" s="53">
        <v>0</v>
      </c>
      <c r="AG410" s="53">
        <v>0</v>
      </c>
      <c r="AH410" s="64">
        <v>3000</v>
      </c>
      <c r="AI410" s="53">
        <f t="shared" si="2759"/>
        <v>3000</v>
      </c>
      <c r="AJ410" s="53">
        <f t="shared" ref="AJ410" si="2912">AVERAGE(AI407,AI408,AI409,AI410)</f>
        <v>7660.25</v>
      </c>
      <c r="AK410" s="53">
        <f t="shared" ref="AK410" si="2913">AVERAGE(AJ358,AJ306,AJ254)</f>
        <v>8227.75</v>
      </c>
      <c r="AL410" s="59">
        <f t="shared" ref="AL410" si="2914">((AI410/AI358)-1)*100</f>
        <v>114.28571428571428</v>
      </c>
      <c r="AM410" s="59">
        <f t="shared" ref="AM410" si="2915">((AJ410/AJ358)-1)*100</f>
        <v>187.95226012592803</v>
      </c>
      <c r="AN410" s="59">
        <f t="shared" ref="AN410" si="2916">((AJ410/AK410)-1)*100</f>
        <v>-6.8973899304183961</v>
      </c>
      <c r="AP410" s="60">
        <f t="shared" si="1927"/>
        <v>366109</v>
      </c>
      <c r="AQ410" s="53">
        <f t="shared" si="1928"/>
        <v>108052</v>
      </c>
      <c r="AR410" s="60">
        <f t="shared" si="2765"/>
        <v>22800</v>
      </c>
      <c r="AS410" s="53">
        <f t="shared" si="2766"/>
        <v>496961</v>
      </c>
      <c r="AT410" s="53">
        <f t="shared" ref="AT410" si="2917">AVERAGE(AS407,AS408,AS409,AS410)</f>
        <v>492275</v>
      </c>
      <c r="AU410" s="53">
        <f t="shared" ref="AU410" si="2918">AVERAGE(AT358,AT306,AT254)</f>
        <v>577105.75</v>
      </c>
      <c r="AV410" s="59">
        <f t="shared" ref="AV410" si="2919">((AS410/AS358)-1)*100</f>
        <v>30.779554683038633</v>
      </c>
      <c r="AW410" s="59">
        <f t="shared" ref="AW410" si="2920">((AT410/AT358)-1)*100</f>
        <v>-26.061854059745293</v>
      </c>
      <c r="AX410" s="59">
        <f t="shared" ref="AX410" si="2921">((AT410/AU410)-1)*100</f>
        <v>-14.699342364895863</v>
      </c>
      <c r="AZ410" s="53">
        <f t="shared" si="401"/>
        <v>418.72800000000001</v>
      </c>
      <c r="BA410" s="53">
        <f t="shared" si="402"/>
        <v>18.533000000000001</v>
      </c>
      <c r="BB410" s="53">
        <f t="shared" si="403"/>
        <v>56.7</v>
      </c>
      <c r="BC410" s="53">
        <f t="shared" si="404"/>
        <v>3</v>
      </c>
      <c r="BD410" s="53">
        <f t="shared" si="405"/>
        <v>496.96100000000001</v>
      </c>
      <c r="BE410" s="60">
        <f t="shared" ref="BE410" si="2922">AZ410+BE409</f>
        <v>16444.636999999999</v>
      </c>
      <c r="BF410" s="60">
        <f t="shared" ref="BF410" si="2923">BA410+BF409</f>
        <v>893.19499999999994</v>
      </c>
      <c r="BG410" s="60">
        <f t="shared" ref="BG410" si="2924">BB410+BG409</f>
        <v>5182.0270000000019</v>
      </c>
      <c r="BH410" s="60">
        <f t="shared" ref="BH410" si="2925">BC410+BH409</f>
        <v>304.16099999999989</v>
      </c>
      <c r="BI410" s="60">
        <f t="shared" ref="BI410" si="2926">BD410+BI409</f>
        <v>22824.019999999997</v>
      </c>
      <c r="BJ410" s="1">
        <v>35</v>
      </c>
    </row>
    <row r="411" spans="1:62" x14ac:dyDescent="0.3">
      <c r="A411" s="48">
        <f t="shared" si="238"/>
        <v>40432</v>
      </c>
      <c r="B411" s="64">
        <v>294441</v>
      </c>
      <c r="C411" s="64">
        <v>92000</v>
      </c>
      <c r="D411" s="53">
        <v>2800</v>
      </c>
      <c r="E411" s="53">
        <f t="shared" si="2777"/>
        <v>389241</v>
      </c>
      <c r="F411" s="53">
        <f t="shared" ref="F411" si="2927">AVERAGE(E408,E409,E410,E411)</f>
        <v>332484.25</v>
      </c>
      <c r="G411" s="53">
        <f t="shared" ref="G411" si="2928">AVERAGE(F359,F307,F255)</f>
        <v>357784.16666666669</v>
      </c>
      <c r="H411" s="59">
        <f t="shared" ref="H411" si="2929">((E411/E359)-1)*100</f>
        <v>73.511135281636157</v>
      </c>
      <c r="I411" s="59">
        <f t="shared" ref="I411" si="2930">((F411/F359)-1)*100</f>
        <v>-17.46862418023224</v>
      </c>
      <c r="J411" s="59">
        <f t="shared" ref="J411" si="2931">((F411/G411)-1)*100</f>
        <v>-7.071279006663711</v>
      </c>
      <c r="L411" s="53">
        <v>10800</v>
      </c>
      <c r="M411" s="53">
        <v>8500</v>
      </c>
      <c r="N411" s="53">
        <v>18200</v>
      </c>
      <c r="O411" s="53">
        <f t="shared" si="2600"/>
        <v>37500</v>
      </c>
      <c r="P411" s="53">
        <f t="shared" ref="P411" si="2932">AVERAGE(O408,O409,O410,O411)</f>
        <v>32380.5</v>
      </c>
      <c r="Q411" s="53">
        <f t="shared" ref="Q411" si="2933">AVERAGE(P359,P307,P255)</f>
        <v>61359.583333333336</v>
      </c>
      <c r="R411" s="59">
        <f t="shared" ref="R411" si="2934">((O411/O359)-1)*100</f>
        <v>-14.755290854947599</v>
      </c>
      <c r="S411" s="59">
        <f t="shared" ref="S411" si="2935">((P411/P359)-1)*100</f>
        <v>-7.7031610751646102</v>
      </c>
      <c r="T411" s="59">
        <f t="shared" ref="T411" si="2936">((P411/Q411)-1)*100</f>
        <v>-47.2282922390553</v>
      </c>
      <c r="V411" s="64">
        <v>29527</v>
      </c>
      <c r="W411" s="64">
        <v>17250</v>
      </c>
      <c r="X411" s="64">
        <v>2800</v>
      </c>
      <c r="Y411" s="64">
        <f t="shared" si="1916"/>
        <v>49577</v>
      </c>
      <c r="Z411" s="53">
        <f t="shared" ref="Z411" si="2937">AVERAGE(Y408,Y409,Y410,Y411)</f>
        <v>71188</v>
      </c>
      <c r="AA411" s="53">
        <f t="shared" ref="AA411" si="2938">AVERAGE(Z359,Z307,Z255)</f>
        <v>76022.916666666672</v>
      </c>
      <c r="AB411" s="59">
        <f t="shared" ref="AB411" si="2939">((Y411/Y359)-1)*100</f>
        <v>17.189457510932506</v>
      </c>
      <c r="AC411" s="59">
        <f t="shared" ref="AC411" si="2940">((Z411/Z359)-1)*100</f>
        <v>-18.049903588799033</v>
      </c>
      <c r="AD411" s="59">
        <f t="shared" ref="AD411" si="2941">((Z411/AA411)-1)*100</f>
        <v>-6.3598147488421848</v>
      </c>
      <c r="AF411" s="64">
        <v>6400</v>
      </c>
      <c r="AG411" s="53">
        <v>0</v>
      </c>
      <c r="AH411" s="64">
        <v>12600</v>
      </c>
      <c r="AI411" s="53">
        <f t="shared" si="2759"/>
        <v>19000</v>
      </c>
      <c r="AJ411" s="53">
        <f t="shared" ref="AJ411" si="2942">AVERAGE(AI408,AI409,AI410,AI411)</f>
        <v>9360.25</v>
      </c>
      <c r="AK411" s="53">
        <f t="shared" ref="AK411" si="2943">AVERAGE(AJ359,AJ307,AJ255)</f>
        <v>10153.083333333334</v>
      </c>
      <c r="AL411" s="59">
        <f t="shared" ref="AL411" si="2944">((AI411/AI359)-1)*100</f>
        <v>1257.1428571428571</v>
      </c>
      <c r="AM411" s="59">
        <f t="shared" ref="AM411" si="2945">((AJ411/AJ359)-1)*100</f>
        <v>210.94593472302964</v>
      </c>
      <c r="AN411" s="59">
        <f t="shared" ref="AN411" si="2946">((AJ411/AK411)-1)*100</f>
        <v>-7.8087937161945948</v>
      </c>
      <c r="AP411" s="60">
        <f t="shared" si="1927"/>
        <v>341168</v>
      </c>
      <c r="AQ411" s="53">
        <f t="shared" si="1928"/>
        <v>117750</v>
      </c>
      <c r="AR411" s="60">
        <f t="shared" si="2765"/>
        <v>36400</v>
      </c>
      <c r="AS411" s="53">
        <f t="shared" si="2766"/>
        <v>495318</v>
      </c>
      <c r="AT411" s="53">
        <f t="shared" ref="AT411" si="2947">AVERAGE(AS408,AS409,AS410,AS411)</f>
        <v>445413</v>
      </c>
      <c r="AU411" s="53">
        <f t="shared" ref="AU411" si="2948">AVERAGE(AT359,AT307,AT255)</f>
        <v>505319.75</v>
      </c>
      <c r="AV411" s="59">
        <f t="shared" ref="AV411" si="2949">((AS411/AS359)-1)*100</f>
        <v>58.741523196636194</v>
      </c>
      <c r="AW411" s="59">
        <f t="shared" ref="AW411" si="2950">((AT411/AT359)-1)*100</f>
        <v>-15.612509028904331</v>
      </c>
      <c r="AX411" s="59">
        <f t="shared" ref="AX411" si="2951">((AT411/AU411)-1)*100</f>
        <v>-11.855216424847836</v>
      </c>
      <c r="AZ411" s="53">
        <f t="shared" si="401"/>
        <v>389.24099999999999</v>
      </c>
      <c r="BA411" s="53">
        <f t="shared" si="402"/>
        <v>37.5</v>
      </c>
      <c r="BB411" s="53">
        <f t="shared" si="403"/>
        <v>49.576999999999998</v>
      </c>
      <c r="BC411" s="53">
        <f t="shared" si="404"/>
        <v>19</v>
      </c>
      <c r="BD411" s="53">
        <f t="shared" si="405"/>
        <v>495.31799999999998</v>
      </c>
      <c r="BE411" s="60">
        <f t="shared" ref="BE411" si="2952">AZ411+BE410</f>
        <v>16833.877999999997</v>
      </c>
      <c r="BF411" s="60">
        <f t="shared" ref="BF411" si="2953">BA411+BF410</f>
        <v>930.69499999999994</v>
      </c>
      <c r="BG411" s="60">
        <f t="shared" ref="BG411" si="2954">BB411+BG410</f>
        <v>5231.6040000000021</v>
      </c>
      <c r="BH411" s="60">
        <f t="shared" ref="BH411" si="2955">BC411+BH410</f>
        <v>323.16099999999989</v>
      </c>
      <c r="BI411" s="60">
        <f t="shared" ref="BI411" si="2956">BD411+BI410</f>
        <v>23319.337999999996</v>
      </c>
      <c r="BJ411" s="1">
        <v>36</v>
      </c>
    </row>
    <row r="412" spans="1:62" x14ac:dyDescent="0.3">
      <c r="A412" s="48">
        <f t="shared" si="238"/>
        <v>40439</v>
      </c>
      <c r="B412" s="64">
        <v>199682</v>
      </c>
      <c r="C412" s="64">
        <v>153084</v>
      </c>
      <c r="D412" s="53">
        <v>14400</v>
      </c>
      <c r="E412" s="53">
        <f t="shared" si="2777"/>
        <v>367166</v>
      </c>
      <c r="F412" s="53">
        <f t="shared" ref="F412" si="2957">AVERAGE(E409,E410,E411,E412)</f>
        <v>362593.25</v>
      </c>
      <c r="G412" s="53">
        <f t="shared" ref="G412" si="2958">AVERAGE(F360,F308,F256)</f>
        <v>307899.66666666669</v>
      </c>
      <c r="H412" s="59">
        <f t="shared" ref="H412" si="2959">((E412/E360)-1)*100</f>
        <v>127.04370625046377</v>
      </c>
      <c r="I412" s="59">
        <f t="shared" ref="I412" si="2960">((F412/F360)-1)*100</f>
        <v>20.787917652153642</v>
      </c>
      <c r="J412" s="59">
        <f t="shared" ref="J412" si="2961">((F412/G412)-1)*100</f>
        <v>17.763443502699474</v>
      </c>
      <c r="L412" s="53">
        <v>14061</v>
      </c>
      <c r="M412" s="53">
        <v>1500</v>
      </c>
      <c r="N412" s="53">
        <v>15400</v>
      </c>
      <c r="O412" s="53">
        <f t="shared" si="2600"/>
        <v>30961</v>
      </c>
      <c r="P412" s="53">
        <f t="shared" ref="P412" si="2962">AVERAGE(O409,O410,O411,O412)</f>
        <v>31342</v>
      </c>
      <c r="Q412" s="53">
        <f t="shared" ref="Q412" si="2963">AVERAGE(P360,P308,P256)</f>
        <v>59096.666666666664</v>
      </c>
      <c r="R412" s="59">
        <f t="shared" ref="R412" si="2964">((O412/O360)-1)*100</f>
        <v>-28.941268274769914</v>
      </c>
      <c r="S412" s="59">
        <f t="shared" ref="S412" si="2965">((P412/P360)-1)*100</f>
        <v>-22.446227413039043</v>
      </c>
      <c r="T412" s="59">
        <f t="shared" ref="T412" si="2966">((P412/Q412)-1)*100</f>
        <v>-46.964859834169999</v>
      </c>
      <c r="V412" s="64">
        <v>25140</v>
      </c>
      <c r="W412" s="64">
        <v>10250</v>
      </c>
      <c r="X412" s="64">
        <v>13000</v>
      </c>
      <c r="Y412" s="64">
        <f t="shared" si="1916"/>
        <v>48390</v>
      </c>
      <c r="Z412" s="53">
        <f t="shared" ref="Z412" si="2967">AVERAGE(Y409,Y410,Y411,Y412)</f>
        <v>52719.25</v>
      </c>
      <c r="AA412" s="53">
        <f t="shared" ref="AA412" si="2968">AVERAGE(Z360,Z308,Z256)</f>
        <v>59073.333333333336</v>
      </c>
      <c r="AB412" s="59">
        <f t="shared" ref="AB412" si="2969">((Y412/Y360)-1)*100</f>
        <v>23.708968197157176</v>
      </c>
      <c r="AC412" s="59">
        <f t="shared" ref="AC412" si="2970">((Z412/Z360)-1)*100</f>
        <v>-21.568576401803121</v>
      </c>
      <c r="AD412" s="59">
        <f t="shared" ref="AD412" si="2971">((Z412/AA412)-1)*100</f>
        <v>-10.756263401421961</v>
      </c>
      <c r="AF412" s="64">
        <v>1550</v>
      </c>
      <c r="AG412" s="53">
        <v>0</v>
      </c>
      <c r="AH412" s="64">
        <v>11600</v>
      </c>
      <c r="AI412" s="53">
        <f t="shared" si="2759"/>
        <v>13150</v>
      </c>
      <c r="AJ412" s="53">
        <f t="shared" ref="AJ412" si="2972">AVERAGE(AI409,AI410,AI411,AI412)</f>
        <v>11087.5</v>
      </c>
      <c r="AK412" s="53">
        <f t="shared" ref="AK412" si="2973">AVERAGE(AJ360,AJ308,AJ256)</f>
        <v>9668.3333333333339</v>
      </c>
      <c r="AL412" s="59"/>
      <c r="AM412" s="59">
        <f t="shared" ref="AM412" si="2974">((AJ412/AJ360)-1)*100</f>
        <v>955.95238095238096</v>
      </c>
      <c r="AN412" s="59">
        <f t="shared" ref="AN412" si="2975">((AJ412/AK412)-1)*100</f>
        <v>14.678503706257541</v>
      </c>
      <c r="AP412" s="60">
        <f t="shared" si="1927"/>
        <v>240433</v>
      </c>
      <c r="AQ412" s="53">
        <f t="shared" si="1928"/>
        <v>164834</v>
      </c>
      <c r="AR412" s="60">
        <f t="shared" si="2765"/>
        <v>54400</v>
      </c>
      <c r="AS412" s="53">
        <f t="shared" si="2766"/>
        <v>459667</v>
      </c>
      <c r="AT412" s="53">
        <f t="shared" ref="AT412" si="2976">AVERAGE(AS409,AS410,AS411,AS412)</f>
        <v>457742</v>
      </c>
      <c r="AU412" s="53">
        <f t="shared" ref="AU412" si="2977">AVERAGE(AT360,AT308,AT256)</f>
        <v>435738</v>
      </c>
      <c r="AV412" s="59">
        <f t="shared" ref="AV412" si="2978">((AS412/AS360)-1)*100</f>
        <v>88.07747859068833</v>
      </c>
      <c r="AW412" s="59">
        <f t="shared" ref="AW412" si="2979">((AT412/AT360)-1)*100</f>
        <v>11.952875025756949</v>
      </c>
      <c r="AX412" s="59">
        <f t="shared" ref="AX412" si="2980">((AT412/AU412)-1)*100</f>
        <v>5.0498235178019879</v>
      </c>
      <c r="AZ412" s="53">
        <f t="shared" si="401"/>
        <v>367.166</v>
      </c>
      <c r="BA412" s="53">
        <f t="shared" si="402"/>
        <v>30.960999999999999</v>
      </c>
      <c r="BB412" s="53">
        <f t="shared" si="403"/>
        <v>48.39</v>
      </c>
      <c r="BC412" s="53">
        <f t="shared" si="404"/>
        <v>13.15</v>
      </c>
      <c r="BD412" s="53">
        <f t="shared" si="405"/>
        <v>459.66699999999997</v>
      </c>
      <c r="BE412" s="60">
        <f t="shared" ref="BE412" si="2981">AZ412+BE411</f>
        <v>17201.043999999998</v>
      </c>
      <c r="BF412" s="60">
        <f t="shared" ref="BF412" si="2982">BA412+BF411</f>
        <v>961.65599999999995</v>
      </c>
      <c r="BG412" s="60">
        <f t="shared" ref="BG412" si="2983">BB412+BG411</f>
        <v>5279.9940000000024</v>
      </c>
      <c r="BH412" s="60">
        <f t="shared" ref="BH412" si="2984">BC412+BH411</f>
        <v>336.31099999999986</v>
      </c>
      <c r="BI412" s="60">
        <f t="shared" ref="BI412" si="2985">BD412+BI411</f>
        <v>23779.004999999997</v>
      </c>
      <c r="BJ412" s="1">
        <v>37</v>
      </c>
    </row>
    <row r="413" spans="1:62" x14ac:dyDescent="0.3">
      <c r="A413" s="48">
        <f t="shared" si="238"/>
        <v>40446</v>
      </c>
      <c r="B413" s="64">
        <v>297644</v>
      </c>
      <c r="C413" s="64">
        <v>174050</v>
      </c>
      <c r="D413" s="53">
        <v>5600</v>
      </c>
      <c r="E413" s="53">
        <f t="shared" ref="E413:E476" si="2986">SUM(B413:D413)</f>
        <v>477294</v>
      </c>
      <c r="F413" s="53">
        <f t="shared" ref="F413" si="2987">AVERAGE(E410,E411,E412,E413)</f>
        <v>413107.25</v>
      </c>
      <c r="G413" s="53">
        <f t="shared" ref="G413" si="2988">AVERAGE(F361,F309,F257)</f>
        <v>290455.66666666669</v>
      </c>
      <c r="H413" s="59">
        <f t="shared" ref="H413" si="2989">((E413/E361)-1)*100</f>
        <v>83.759081231543959</v>
      </c>
      <c r="I413" s="59">
        <f t="shared" ref="I413" si="2990">((F413/F361)-1)*100</f>
        <v>75.302456143328783</v>
      </c>
      <c r="J413" s="59">
        <f t="shared" ref="J413" si="2991">((F413/G413)-1)*100</f>
        <v>42.227299174744971</v>
      </c>
      <c r="L413" s="53">
        <v>12511</v>
      </c>
      <c r="M413" s="53">
        <v>3500</v>
      </c>
      <c r="N413" s="53">
        <v>12600</v>
      </c>
      <c r="O413" s="53">
        <f t="shared" si="2600"/>
        <v>28611</v>
      </c>
      <c r="P413" s="53">
        <f t="shared" ref="P413" si="2992">AVERAGE(O410,O411,O412,O413)</f>
        <v>28901.25</v>
      </c>
      <c r="Q413" s="53">
        <f t="shared" ref="Q413" si="2993">AVERAGE(P361,P309,P257)</f>
        <v>52376.333333333336</v>
      </c>
      <c r="R413" s="59">
        <f t="shared" ref="R413" si="2994">((O413/O361)-1)*100</f>
        <v>-48.38075306258682</v>
      </c>
      <c r="S413" s="59">
        <f t="shared" ref="S413" si="2995">((P413/P361)-1)*100</f>
        <v>-31.063167498524123</v>
      </c>
      <c r="T413" s="59">
        <f t="shared" ref="T413" si="2996">((P413/Q413)-1)*100</f>
        <v>-44.820020492716182</v>
      </c>
      <c r="V413" s="64">
        <v>20684</v>
      </c>
      <c r="W413" s="64">
        <v>50000</v>
      </c>
      <c r="X413" s="64">
        <v>15200</v>
      </c>
      <c r="Y413" s="64">
        <f t="shared" si="1916"/>
        <v>85884</v>
      </c>
      <c r="Z413" s="53">
        <f t="shared" ref="Z413" si="2997">AVERAGE(Y410,Y411,Y412,Y413)</f>
        <v>60137.75</v>
      </c>
      <c r="AA413" s="53">
        <f t="shared" ref="AA413" si="2998">AVERAGE(Z361,Z309,Z257)</f>
        <v>48998.75</v>
      </c>
      <c r="AB413" s="59">
        <f t="shared" ref="AB413" si="2999">((Y413/Y361)-1)*100</f>
        <v>445.29523809523806</v>
      </c>
      <c r="AC413" s="59">
        <f t="shared" ref="AC413" si="3000">((Z413/Z361)-1)*100</f>
        <v>55.965973559484674</v>
      </c>
      <c r="AD413" s="59">
        <f t="shared" ref="AD413" si="3001">((Z413/AA413)-1)*100</f>
        <v>22.733232990637518</v>
      </c>
      <c r="AF413" s="53">
        <v>0</v>
      </c>
      <c r="AG413" s="53">
        <v>0</v>
      </c>
      <c r="AH413" s="64">
        <v>1600</v>
      </c>
      <c r="AI413" s="53">
        <f t="shared" si="2759"/>
        <v>1600</v>
      </c>
      <c r="AJ413" s="53">
        <f t="shared" ref="AJ413" si="3002">AVERAGE(AI410,AI411,AI412,AI413)</f>
        <v>9187.5</v>
      </c>
      <c r="AK413" s="53">
        <f t="shared" ref="AK413" si="3003">AVERAGE(AJ361,AJ309,AJ257)</f>
        <v>8206.25</v>
      </c>
      <c r="AL413" s="59">
        <f t="shared" ref="AL413" si="3004">((AI413/AI361)-1)*100</f>
        <v>-75.077881619937699</v>
      </c>
      <c r="AM413" s="59">
        <f t="shared" ref="AM413" si="3005">((AJ413/AJ361)-1)*100</f>
        <v>298.59002169197396</v>
      </c>
      <c r="AN413" s="59">
        <f t="shared" ref="AN413" si="3006">((AJ413/AK413)-1)*100</f>
        <v>11.957349581111965</v>
      </c>
      <c r="AP413" s="60">
        <f t="shared" si="1927"/>
        <v>330839</v>
      </c>
      <c r="AQ413" s="53">
        <f t="shared" si="1928"/>
        <v>227550</v>
      </c>
      <c r="AR413" s="60">
        <f t="shared" si="2765"/>
        <v>35000</v>
      </c>
      <c r="AS413" s="53">
        <f t="shared" si="2766"/>
        <v>593389</v>
      </c>
      <c r="AT413" s="53">
        <f t="shared" ref="AT413" si="3007">AVERAGE(AS410,AS411,AS412,AS413)</f>
        <v>511333.75</v>
      </c>
      <c r="AU413" s="53">
        <f t="shared" ref="AU413" si="3008">AVERAGE(AT361,AT309,AT257)</f>
        <v>400037</v>
      </c>
      <c r="AV413" s="59">
        <f t="shared" ref="AV413" si="3009">((AS413/AS361)-1)*100</f>
        <v>75.904439490596914</v>
      </c>
      <c r="AW413" s="59">
        <f t="shared" ref="AW413" si="3010">((AT413/AT361)-1)*100</f>
        <v>60.573841663225437</v>
      </c>
      <c r="AX413" s="59">
        <f t="shared" ref="AX413" si="3011">((AT413/AU413)-1)*100</f>
        <v>27.82161400070493</v>
      </c>
      <c r="AZ413" s="53">
        <f t="shared" si="401"/>
        <v>477.29399999999998</v>
      </c>
      <c r="BA413" s="53">
        <f t="shared" si="402"/>
        <v>28.611000000000001</v>
      </c>
      <c r="BB413" s="53">
        <f t="shared" si="403"/>
        <v>85.884</v>
      </c>
      <c r="BC413" s="53">
        <f t="shared" si="404"/>
        <v>1.6</v>
      </c>
      <c r="BD413" s="53">
        <f t="shared" si="405"/>
        <v>593.38900000000001</v>
      </c>
      <c r="BE413" s="60">
        <f t="shared" ref="BE413" si="3012">AZ413+BE412</f>
        <v>17678.338</v>
      </c>
      <c r="BF413" s="60">
        <f t="shared" ref="BF413" si="3013">BA413+BF412</f>
        <v>990.26699999999994</v>
      </c>
      <c r="BG413" s="60">
        <f t="shared" ref="BG413" si="3014">BB413+BG412</f>
        <v>5365.8780000000024</v>
      </c>
      <c r="BH413" s="60">
        <f t="shared" ref="BH413" si="3015">BC413+BH412</f>
        <v>337.91099999999989</v>
      </c>
      <c r="BI413" s="60">
        <f t="shared" ref="BI413" si="3016">BD413+BI412</f>
        <v>24372.393999999997</v>
      </c>
      <c r="BJ413" s="1">
        <v>38</v>
      </c>
    </row>
    <row r="414" spans="1:62" x14ac:dyDescent="0.3">
      <c r="A414" s="48">
        <f t="shared" si="238"/>
        <v>40453</v>
      </c>
      <c r="B414" s="64">
        <v>238322</v>
      </c>
      <c r="C414" s="64">
        <v>96642</v>
      </c>
      <c r="D414" s="53">
        <v>7000</v>
      </c>
      <c r="E414" s="53">
        <f t="shared" si="2986"/>
        <v>341964</v>
      </c>
      <c r="F414" s="53">
        <f t="shared" ref="F414" si="3017">AVERAGE(E411,E412,E413,E414)</f>
        <v>393916.25</v>
      </c>
      <c r="G414" s="53">
        <f t="shared" ref="G414" si="3018">AVERAGE(F362,F310,F258)</f>
        <v>291653.5</v>
      </c>
      <c r="H414" s="59">
        <f t="shared" ref="H414" si="3019">((E414/E362)-1)*100</f>
        <v>14.769195658448497</v>
      </c>
      <c r="I414" s="59">
        <f t="shared" ref="I414" si="3020">((F414/F362)-1)*100</f>
        <v>66.958765344452161</v>
      </c>
      <c r="J414" s="59">
        <f t="shared" ref="J414" si="3021">((F414/G414)-1)*100</f>
        <v>35.063097134099188</v>
      </c>
      <c r="L414" s="53">
        <v>3280</v>
      </c>
      <c r="M414" s="53">
        <v>3350</v>
      </c>
      <c r="N414" s="53">
        <v>4200</v>
      </c>
      <c r="O414" s="53">
        <f t="shared" si="2600"/>
        <v>10830</v>
      </c>
      <c r="P414" s="53">
        <f t="shared" ref="P414" si="3022">AVERAGE(O411,O412,O413,O414)</f>
        <v>26975.5</v>
      </c>
      <c r="Q414" s="53">
        <f t="shared" ref="Q414" si="3023">AVERAGE(P362,P310,P258)</f>
        <v>48940.333333333336</v>
      </c>
      <c r="R414" s="59">
        <f t="shared" ref="R414" si="3024">((O414/O362)-1)*100</f>
        <v>-54.012738853503187</v>
      </c>
      <c r="S414" s="59">
        <f t="shared" ref="S414" si="3025">((P414/P362)-1)*100</f>
        <v>-35.209170224391883</v>
      </c>
      <c r="T414" s="59">
        <f t="shared" ref="T414" si="3026">((P414/Q414)-1)*100</f>
        <v>-44.880841296544773</v>
      </c>
      <c r="V414" s="64">
        <v>18500</v>
      </c>
      <c r="W414" s="64">
        <v>117650</v>
      </c>
      <c r="X414" s="64">
        <v>10000</v>
      </c>
      <c r="Y414" s="64">
        <f t="shared" si="1916"/>
        <v>146150</v>
      </c>
      <c r="Z414" s="53">
        <f t="shared" ref="Z414" si="3027">AVERAGE(Y411,Y412,Y413,Y414)</f>
        <v>82500.25</v>
      </c>
      <c r="AA414" s="53">
        <f t="shared" ref="AA414" si="3028">AVERAGE(Z362,Z310,Z258)</f>
        <v>53420.833333333336</v>
      </c>
      <c r="AB414" s="59">
        <f t="shared" ref="AB414" si="3029">((Y414/Y362)-1)*100</f>
        <v>871.09634551495014</v>
      </c>
      <c r="AC414" s="59">
        <f t="shared" ref="AC414" si="3030">((Z414/Z362)-1)*100</f>
        <v>194.0634997014819</v>
      </c>
      <c r="AD414" s="59">
        <f t="shared" ref="AD414" si="3031">((Z414/AA414)-1)*100</f>
        <v>54.434599485219557</v>
      </c>
      <c r="AF414" s="64">
        <v>3000</v>
      </c>
      <c r="AG414" s="53">
        <v>0</v>
      </c>
      <c r="AH414" s="64">
        <v>10000</v>
      </c>
      <c r="AI414" s="53">
        <f t="shared" si="2759"/>
        <v>13000</v>
      </c>
      <c r="AJ414" s="53">
        <f t="shared" ref="AJ414" si="3032">AVERAGE(AI411,AI412,AI413,AI414)</f>
        <v>11687.5</v>
      </c>
      <c r="AK414" s="53">
        <f t="shared" ref="AK414" si="3033">AVERAGE(AJ362,AJ310,AJ258)</f>
        <v>10654.25</v>
      </c>
      <c r="AL414" s="59">
        <f t="shared" ref="AL414" si="3034">((AI414/AI362)-1)*100</f>
        <v>-42.222222222222229</v>
      </c>
      <c r="AM414" s="59">
        <f t="shared" ref="AM414" si="3035">((AJ414/AJ362)-1)*100</f>
        <v>54.188654353562015</v>
      </c>
      <c r="AN414" s="59">
        <f t="shared" ref="AN414" si="3036">((AJ414/AK414)-1)*100</f>
        <v>9.6980078372480563</v>
      </c>
      <c r="AP414" s="60">
        <f t="shared" si="1927"/>
        <v>263102</v>
      </c>
      <c r="AQ414" s="53">
        <f t="shared" si="1928"/>
        <v>217642</v>
      </c>
      <c r="AR414" s="60">
        <f t="shared" si="2765"/>
        <v>31200</v>
      </c>
      <c r="AS414" s="53">
        <f t="shared" si="2766"/>
        <v>511944</v>
      </c>
      <c r="AT414" s="53">
        <f t="shared" ref="AT414" si="3037">AVERAGE(AS411,AS412,AS413,AS414)</f>
        <v>515079.5</v>
      </c>
      <c r="AU414" s="53">
        <f t="shared" ref="AU414" si="3038">AVERAGE(AT362,AT310,AT258)</f>
        <v>404668.91666666669</v>
      </c>
      <c r="AV414" s="59">
        <f t="shared" ref="AV414" si="3039">((AS414/AS362)-1)*100</f>
        <v>42.579750346740639</v>
      </c>
      <c r="AW414" s="59">
        <f t="shared" ref="AW414" si="3040">((AT414/AT362)-1)*100</f>
        <v>64.453774469698487</v>
      </c>
      <c r="AX414" s="59">
        <f t="shared" ref="AX414" si="3041">((AT414/AU414)-1)*100</f>
        <v>27.284176961948514</v>
      </c>
      <c r="AZ414" s="53">
        <f t="shared" si="401"/>
        <v>341.964</v>
      </c>
      <c r="BA414" s="53">
        <f t="shared" si="402"/>
        <v>10.83</v>
      </c>
      <c r="BB414" s="53">
        <f t="shared" si="403"/>
        <v>146.15</v>
      </c>
      <c r="BC414" s="53">
        <f t="shared" si="404"/>
        <v>13</v>
      </c>
      <c r="BD414" s="53">
        <f t="shared" si="405"/>
        <v>511.94400000000002</v>
      </c>
      <c r="BE414" s="60">
        <f t="shared" ref="BE414" si="3042">AZ414+BE413</f>
        <v>18020.302</v>
      </c>
      <c r="BF414" s="60">
        <f t="shared" ref="BF414" si="3043">BA414+BF413</f>
        <v>1001.097</v>
      </c>
      <c r="BG414" s="60">
        <f t="shared" ref="BG414" si="3044">BB414+BG413</f>
        <v>5512.0280000000021</v>
      </c>
      <c r="BH414" s="60">
        <f t="shared" ref="BH414" si="3045">BC414+BH413</f>
        <v>350.91099999999989</v>
      </c>
      <c r="BI414" s="60">
        <f t="shared" ref="BI414" si="3046">BD414+BI413</f>
        <v>24884.337999999996</v>
      </c>
      <c r="BJ414" s="1">
        <v>39</v>
      </c>
    </row>
    <row r="415" spans="1:62" x14ac:dyDescent="0.3">
      <c r="A415" s="48">
        <f t="shared" si="238"/>
        <v>40460</v>
      </c>
      <c r="B415" s="64">
        <v>231992</v>
      </c>
      <c r="C415" s="64">
        <v>69800</v>
      </c>
      <c r="D415" s="53">
        <v>0</v>
      </c>
      <c r="E415" s="53">
        <f t="shared" si="2986"/>
        <v>301792</v>
      </c>
      <c r="F415" s="53">
        <f t="shared" ref="F415" si="3047">AVERAGE(E412,E413,E414,E415)</f>
        <v>372054</v>
      </c>
      <c r="G415" s="53">
        <f t="shared" ref="G415" si="3048">AVERAGE(F363,F311,F259)</f>
        <v>306016.08333333331</v>
      </c>
      <c r="H415" s="59">
        <f t="shared" ref="H415" si="3049">((E415/E363)-1)*100</f>
        <v>-6.295855856974752</v>
      </c>
      <c r="I415" s="59">
        <f t="shared" ref="I415" si="3050">((F415/F363)-1)*100</f>
        <v>42.894068260421214</v>
      </c>
      <c r="J415" s="59">
        <f t="shared" ref="J415" si="3051">((F415/G415)-1)*100</f>
        <v>21.579884281681274</v>
      </c>
      <c r="L415" s="53">
        <v>14500</v>
      </c>
      <c r="M415" s="53">
        <v>0</v>
      </c>
      <c r="N415" s="53">
        <v>12600</v>
      </c>
      <c r="O415" s="53">
        <f t="shared" si="2600"/>
        <v>27100</v>
      </c>
      <c r="P415" s="53">
        <f t="shared" ref="P415" si="3052">AVERAGE(O412,O413,O414,O415)</f>
        <v>24375.5</v>
      </c>
      <c r="Q415" s="53">
        <f t="shared" ref="Q415" si="3053">AVERAGE(P363,P311,P259)</f>
        <v>40201.083333333336</v>
      </c>
      <c r="R415" s="59">
        <f t="shared" ref="R415" si="3054">((O415/O363)-1)*100</f>
        <v>-45.491481786913937</v>
      </c>
      <c r="S415" s="59">
        <f t="shared" ref="S415" si="3055">((P415/P363)-1)*100</f>
        <v>-43.399994194990278</v>
      </c>
      <c r="T415" s="59">
        <f t="shared" ref="T415" si="3056">((P415/Q415)-1)*100</f>
        <v>-39.366061859858668</v>
      </c>
      <c r="V415" s="64">
        <v>113700</v>
      </c>
      <c r="W415" s="64">
        <v>106100</v>
      </c>
      <c r="X415" s="64">
        <v>43900</v>
      </c>
      <c r="Y415" s="64">
        <f t="shared" si="1916"/>
        <v>263700</v>
      </c>
      <c r="Z415" s="53">
        <f t="shared" ref="Z415" si="3057">AVERAGE(Y412,Y413,Y414,Y415)</f>
        <v>136031</v>
      </c>
      <c r="AA415" s="53">
        <f t="shared" ref="AA415" si="3058">AVERAGE(Z363,Z311,Z259)</f>
        <v>77674.416666666672</v>
      </c>
      <c r="AB415" s="59">
        <f t="shared" ref="AB415" si="3059">((Y415/Y363)-1)*100</f>
        <v>147.55449578490828</v>
      </c>
      <c r="AC415" s="59">
        <f t="shared" ref="AC415" si="3060">((Z415/Z363)-1)*100</f>
        <v>208.39388340380191</v>
      </c>
      <c r="AD415" s="59">
        <f t="shared" ref="AD415" si="3061">((Z415/AA415)-1)*100</f>
        <v>75.129734908426514</v>
      </c>
      <c r="AF415" s="64">
        <v>4800</v>
      </c>
      <c r="AG415" s="53">
        <v>0</v>
      </c>
      <c r="AH415" s="64">
        <v>7100</v>
      </c>
      <c r="AI415" s="53">
        <f t="shared" si="2759"/>
        <v>11900</v>
      </c>
      <c r="AJ415" s="53">
        <f t="shared" ref="AJ415" si="3062">AVERAGE(AI412,AI413,AI414,AI415)</f>
        <v>9912.5</v>
      </c>
      <c r="AK415" s="53">
        <f t="shared" ref="AK415" si="3063">AVERAGE(AJ363,AJ311,AJ259)</f>
        <v>11211.083333333334</v>
      </c>
      <c r="AL415" s="59">
        <f t="shared" ref="AL415" si="3064">((AI415/AI363)-1)*100</f>
        <v>-32.428595764011128</v>
      </c>
      <c r="AM415" s="59">
        <f t="shared" ref="AM415" si="3065">((AJ415/AJ363)-1)*100</f>
        <v>-14.787990801831041</v>
      </c>
      <c r="AN415" s="59">
        <f t="shared" ref="AN415" si="3066">((AJ415/AK415)-1)*100</f>
        <v>-11.583031672526445</v>
      </c>
      <c r="AP415" s="60">
        <f t="shared" si="1927"/>
        <v>364992</v>
      </c>
      <c r="AQ415" s="53">
        <f t="shared" si="1928"/>
        <v>175900</v>
      </c>
      <c r="AR415" s="60">
        <f t="shared" si="2765"/>
        <v>63600</v>
      </c>
      <c r="AS415" s="53">
        <f t="shared" si="2766"/>
        <v>604492</v>
      </c>
      <c r="AT415" s="53">
        <f t="shared" ref="AT415" si="3067">AVERAGE(AS412,AS413,AS414,AS415)</f>
        <v>542373</v>
      </c>
      <c r="AU415" s="53">
        <f t="shared" ref="AU415" si="3068">AVERAGE(AT363,AT311,AT259)</f>
        <v>435102.66666666669</v>
      </c>
      <c r="AV415" s="59">
        <f t="shared" ref="AV415" si="3069">((AS415/AS363)-1)*100</f>
        <v>21.893293057938902</v>
      </c>
      <c r="AW415" s="59">
        <f t="shared" ref="AW415" si="3070">((AT415/AT363)-1)*100</f>
        <v>51.003538625587794</v>
      </c>
      <c r="AX415" s="59">
        <f t="shared" ref="AX415" si="3071">((AT415/AU415)-1)*100</f>
        <v>24.654028014843998</v>
      </c>
      <c r="AZ415" s="53">
        <f t="shared" si="401"/>
        <v>301.79199999999997</v>
      </c>
      <c r="BA415" s="53">
        <f t="shared" si="402"/>
        <v>27.1</v>
      </c>
      <c r="BB415" s="53">
        <f t="shared" si="403"/>
        <v>263.7</v>
      </c>
      <c r="BC415" s="53">
        <f t="shared" si="404"/>
        <v>11.9</v>
      </c>
      <c r="BD415" s="53">
        <f t="shared" si="405"/>
        <v>604.49199999999996</v>
      </c>
      <c r="BE415" s="60">
        <f t="shared" ref="BE415" si="3072">AZ415+BE414</f>
        <v>18322.094000000001</v>
      </c>
      <c r="BF415" s="60">
        <f t="shared" ref="BF415" si="3073">BA415+BF414</f>
        <v>1028.1969999999999</v>
      </c>
      <c r="BG415" s="60">
        <f t="shared" ref="BG415" si="3074">BB415+BG414</f>
        <v>5775.7280000000019</v>
      </c>
      <c r="BH415" s="60">
        <f t="shared" ref="BH415" si="3075">BC415+BH414</f>
        <v>362.81099999999986</v>
      </c>
      <c r="BI415" s="60">
        <f t="shared" ref="BI415" si="3076">BD415+BI414</f>
        <v>25488.829999999994</v>
      </c>
      <c r="BJ415" s="1">
        <v>40</v>
      </c>
    </row>
    <row r="416" spans="1:62" x14ac:dyDescent="0.3">
      <c r="A416" s="48">
        <f t="shared" si="238"/>
        <v>40467</v>
      </c>
      <c r="B416" s="64">
        <v>191135</v>
      </c>
      <c r="C416" s="64">
        <v>96365</v>
      </c>
      <c r="D416" s="53">
        <v>0</v>
      </c>
      <c r="E416" s="53">
        <f t="shared" si="2986"/>
        <v>287500</v>
      </c>
      <c r="F416" s="53">
        <f t="shared" ref="F416" si="3077">AVERAGE(E413,E414,E415,E416)</f>
        <v>352137.5</v>
      </c>
      <c r="G416" s="53">
        <f t="shared" ref="G416" si="3078">AVERAGE(F364,F312,F260)</f>
        <v>327751.33333333331</v>
      </c>
      <c r="H416" s="59">
        <f t="shared" ref="H416" si="3079">((E416/E364)-1)*100</f>
        <v>0.56843025797987945</v>
      </c>
      <c r="I416" s="59">
        <f t="shared" ref="I416" si="3080">((F416/F364)-1)*100</f>
        <v>20.839091967423929</v>
      </c>
      <c r="J416" s="59">
        <f t="shared" ref="J416" si="3081">((F416/G416)-1)*100</f>
        <v>7.4404477378174905</v>
      </c>
      <c r="L416" s="53">
        <v>9533</v>
      </c>
      <c r="M416" s="53">
        <v>0</v>
      </c>
      <c r="N416" s="53">
        <v>4200</v>
      </c>
      <c r="O416" s="53">
        <f t="shared" si="2600"/>
        <v>13733</v>
      </c>
      <c r="P416" s="53">
        <f t="shared" ref="P416" si="3082">AVERAGE(O413,O414,O415,O416)</f>
        <v>20068.5</v>
      </c>
      <c r="Q416" s="53">
        <f t="shared" ref="Q416" si="3083">AVERAGE(P364,P312,P260)</f>
        <v>35246.25</v>
      </c>
      <c r="R416" s="59">
        <f t="shared" ref="R416" si="3084">((O416/O364)-1)*100</f>
        <v>0.68181818181818343</v>
      </c>
      <c r="S416" s="59">
        <f t="shared" ref="S416" si="3085">((P416/P364)-1)*100</f>
        <v>-43.601669313024296</v>
      </c>
      <c r="T416" s="59">
        <f t="shared" ref="T416" si="3086">((P416/Q416)-1)*100</f>
        <v>-43.062027875305887</v>
      </c>
      <c r="V416" s="64">
        <v>464591</v>
      </c>
      <c r="W416" s="64">
        <v>213146</v>
      </c>
      <c r="X416" s="64">
        <v>31400</v>
      </c>
      <c r="Y416" s="64">
        <f t="shared" si="1916"/>
        <v>709137</v>
      </c>
      <c r="Z416" s="53">
        <f t="shared" ref="Z416" si="3087">AVERAGE(Y413,Y414,Y415,Y416)</f>
        <v>301217.75</v>
      </c>
      <c r="AA416" s="53">
        <f t="shared" ref="AA416" si="3088">AVERAGE(Z364,Z312,Z260)</f>
        <v>112612.58333333333</v>
      </c>
      <c r="AB416" s="59">
        <f t="shared" ref="AB416" si="3089">((Y416/Y364)-1)*100</f>
        <v>383.28721751219905</v>
      </c>
      <c r="AC416" s="59">
        <f t="shared" ref="AC416" si="3090">((Z416/Z364)-1)*100</f>
        <v>324.16970012744059</v>
      </c>
      <c r="AD416" s="59">
        <f t="shared" ref="AD416" si="3091">((Z416/AA416)-1)*100</f>
        <v>167.4814315451722</v>
      </c>
      <c r="AF416" s="53">
        <v>0</v>
      </c>
      <c r="AG416" s="53">
        <v>0</v>
      </c>
      <c r="AH416" s="64">
        <v>1500</v>
      </c>
      <c r="AI416" s="53">
        <f t="shared" si="2759"/>
        <v>1500</v>
      </c>
      <c r="AJ416" s="53">
        <f t="shared" ref="AJ416" si="3092">AVERAGE(AI413,AI414,AI415,AI416)</f>
        <v>7000</v>
      </c>
      <c r="AK416" s="53">
        <f t="shared" ref="AK416" si="3093">AVERAGE(AJ364,AJ312,AJ260)</f>
        <v>12078.666666666666</v>
      </c>
      <c r="AL416" s="59">
        <f t="shared" ref="AL416" si="3094">((AI416/AI364)-1)*100</f>
        <v>-82.142857142857139</v>
      </c>
      <c r="AM416" s="59">
        <f t="shared" ref="AM416" si="3095">((AJ416/AJ364)-1)*100</f>
        <v>-49.026961096648527</v>
      </c>
      <c r="AN416" s="59">
        <f t="shared" ref="AN416" si="3096">((AJ416/AK416)-1)*100</f>
        <v>-42.046583508113478</v>
      </c>
      <c r="AP416" s="60">
        <f t="shared" si="1927"/>
        <v>665259</v>
      </c>
      <c r="AQ416" s="53">
        <f t="shared" si="1928"/>
        <v>309511</v>
      </c>
      <c r="AR416" s="60">
        <f t="shared" si="2765"/>
        <v>37100</v>
      </c>
      <c r="AS416" s="53">
        <f t="shared" si="2766"/>
        <v>1011870</v>
      </c>
      <c r="AT416" s="53">
        <f t="shared" ref="AT416" si="3097">AVERAGE(AS413,AS414,AS415,AS416)</f>
        <v>680423.75</v>
      </c>
      <c r="AU416" s="53">
        <f t="shared" ref="AU416" si="3098">AVERAGE(AT364,AT312,AT260)</f>
        <v>487688.83333333331</v>
      </c>
      <c r="AV416" s="59">
        <f t="shared" ref="AV416" si="3099">((AS416/AS364)-1)*100</f>
        <v>122.5616797207504</v>
      </c>
      <c r="AW416" s="59">
        <f t="shared" ref="AW416" si="3100">((AT416/AT364)-1)*100</f>
        <v>65.255683198134747</v>
      </c>
      <c r="AX416" s="59">
        <f t="shared" ref="AX416" si="3101">((AT416/AU416)-1)*100</f>
        <v>39.520059409466349</v>
      </c>
      <c r="AZ416" s="53">
        <f t="shared" si="401"/>
        <v>287.5</v>
      </c>
      <c r="BA416" s="53">
        <f t="shared" si="402"/>
        <v>13.733000000000001</v>
      </c>
      <c r="BB416" s="53">
        <f t="shared" si="403"/>
        <v>709.13699999999994</v>
      </c>
      <c r="BC416" s="53">
        <f t="shared" si="404"/>
        <v>1.5</v>
      </c>
      <c r="BD416" s="53">
        <f t="shared" si="405"/>
        <v>1011.87</v>
      </c>
      <c r="BE416" s="60">
        <f t="shared" ref="BE416" si="3102">AZ416+BE415</f>
        <v>18609.594000000001</v>
      </c>
      <c r="BF416" s="60">
        <f t="shared" ref="BF416" si="3103">BA416+BF415</f>
        <v>1041.9299999999998</v>
      </c>
      <c r="BG416" s="60">
        <f t="shared" ref="BG416" si="3104">BB416+BG415</f>
        <v>6484.8650000000016</v>
      </c>
      <c r="BH416" s="60">
        <f t="shared" ref="BH416" si="3105">BC416+BH415</f>
        <v>364.31099999999986</v>
      </c>
      <c r="BI416" s="60">
        <f t="shared" ref="BI416" si="3106">BD416+BI415</f>
        <v>26500.699999999993</v>
      </c>
      <c r="BJ416" s="1">
        <v>41</v>
      </c>
    </row>
    <row r="417" spans="1:62" x14ac:dyDescent="0.3">
      <c r="A417" s="48">
        <f t="shared" si="238"/>
        <v>40474</v>
      </c>
      <c r="B417" s="64">
        <v>209791</v>
      </c>
      <c r="C417" s="64">
        <v>43100</v>
      </c>
      <c r="D417" s="53">
        <v>1400</v>
      </c>
      <c r="E417" s="53">
        <f t="shared" si="2986"/>
        <v>254291</v>
      </c>
      <c r="F417" s="53">
        <f t="shared" ref="F417" si="3107">AVERAGE(E414,E415,E416,E417)</f>
        <v>296386.75</v>
      </c>
      <c r="G417" s="53">
        <f t="shared" ref="G417" si="3108">AVERAGE(F365,F313,F261)</f>
        <v>360691.25</v>
      </c>
      <c r="H417" s="59">
        <f t="shared" ref="H417" si="3109">((E417/E365)-1)*100</f>
        <v>-20.411695481803271</v>
      </c>
      <c r="I417" s="59">
        <f t="shared" ref="I417" si="3110">((F417/F365)-1)*100</f>
        <v>-3.25303367852392</v>
      </c>
      <c r="J417" s="59">
        <f t="shared" ref="J417" si="3111">((F417/G417)-1)*100</f>
        <v>-17.828128628016348</v>
      </c>
      <c r="L417" s="53">
        <v>7722</v>
      </c>
      <c r="M417" s="53">
        <v>0</v>
      </c>
      <c r="N417" s="53">
        <v>7000</v>
      </c>
      <c r="O417" s="53">
        <f t="shared" si="2600"/>
        <v>14722</v>
      </c>
      <c r="P417" s="53">
        <f t="shared" ref="P417" si="3112">AVERAGE(O414,O415,O416,O417)</f>
        <v>16596.25</v>
      </c>
      <c r="Q417" s="53">
        <f t="shared" ref="Q417" si="3113">AVERAGE(P365,P313,P261)</f>
        <v>30980.166666666668</v>
      </c>
      <c r="R417" s="59">
        <f t="shared" ref="R417" si="3114">((O417/O365)-1)*100</f>
        <v>-48.757396449704139</v>
      </c>
      <c r="S417" s="59">
        <f t="shared" ref="S417" si="3115">((P417/P365)-1)*100</f>
        <v>-42.591903975371203</v>
      </c>
      <c r="T417" s="59">
        <f t="shared" ref="T417" si="3116">((P417/Q417)-1)*100</f>
        <v>-46.429436037034442</v>
      </c>
      <c r="V417" s="64">
        <v>313809</v>
      </c>
      <c r="W417" s="64">
        <v>129350</v>
      </c>
      <c r="X417" s="64">
        <v>39600</v>
      </c>
      <c r="Y417" s="64">
        <f t="shared" si="1916"/>
        <v>482759</v>
      </c>
      <c r="Z417" s="53">
        <f t="shared" ref="Z417" si="3117">AVERAGE(Y414,Y415,Y416,Y417)</f>
        <v>400436.5</v>
      </c>
      <c r="AA417" s="53">
        <f t="shared" ref="AA417" si="3118">AVERAGE(Z365,Z313,Z261)</f>
        <v>155412.66666666666</v>
      </c>
      <c r="AB417" s="59">
        <f t="shared" ref="AB417" si="3119">((Y417/Y365)-1)*100</f>
        <v>91.403933074300213</v>
      </c>
      <c r="AC417" s="59">
        <f t="shared" ref="AC417" si="3120">((Z417/Z365)-1)*100</f>
        <v>207.71799186973126</v>
      </c>
      <c r="AD417" s="59">
        <f t="shared" ref="AD417" si="3121">((Z417/AA417)-1)*100</f>
        <v>157.66014353184428</v>
      </c>
      <c r="AF417" s="64">
        <v>13700</v>
      </c>
      <c r="AG417" s="53">
        <v>0</v>
      </c>
      <c r="AH417" s="64">
        <v>4400</v>
      </c>
      <c r="AI417" s="53">
        <f t="shared" si="2759"/>
        <v>18100</v>
      </c>
      <c r="AJ417" s="53">
        <f t="shared" ref="AJ417" si="3122">AVERAGE(AI414,AI415,AI416,AI417)</f>
        <v>11125</v>
      </c>
      <c r="AK417" s="53">
        <f t="shared" ref="AK417" si="3123">AVERAGE(AJ365,AJ313,AJ261)</f>
        <v>12613.25</v>
      </c>
      <c r="AL417" s="59">
        <f t="shared" ref="AL417" si="3124">((AI417/AI365)-1)*100</f>
        <v>320.93023255813955</v>
      </c>
      <c r="AM417" s="59">
        <f t="shared" ref="AM417" si="3125">((AJ417/AJ365)-1)*100</f>
        <v>-15.737251708924283</v>
      </c>
      <c r="AN417" s="59">
        <f t="shared" ref="AN417" si="3126">((AJ417/AK417)-1)*100</f>
        <v>-11.799100152617292</v>
      </c>
      <c r="AP417" s="60">
        <f t="shared" si="1927"/>
        <v>545022</v>
      </c>
      <c r="AQ417" s="53">
        <f t="shared" si="1928"/>
        <v>172450</v>
      </c>
      <c r="AR417" s="60">
        <f t="shared" si="2765"/>
        <v>52400</v>
      </c>
      <c r="AS417" s="53">
        <f t="shared" si="2766"/>
        <v>769872</v>
      </c>
      <c r="AT417" s="53">
        <f t="shared" ref="AT417" si="3127">AVERAGE(AS414,AS415,AS416,AS417)</f>
        <v>724544.5</v>
      </c>
      <c r="AU417" s="53">
        <f t="shared" ref="AU417" si="3128">AVERAGE(AT365,AT313,AT261)</f>
        <v>559697.33333333337</v>
      </c>
      <c r="AV417" s="59">
        <f t="shared" ref="AV417" si="3129">((AS417/AS365)-1)*100</f>
        <v>27.30249124443165</v>
      </c>
      <c r="AW417" s="59">
        <f t="shared" ref="AW417" si="3130">((AT417/AT365)-1)*100</f>
        <v>51.38974353081047</v>
      </c>
      <c r="AX417" s="59">
        <f t="shared" ref="AX417" si="3131">((AT417/AU417)-1)*100</f>
        <v>29.452912645644179</v>
      </c>
      <c r="AZ417" s="53">
        <f t="shared" si="401"/>
        <v>254.291</v>
      </c>
      <c r="BA417" s="53">
        <f t="shared" si="402"/>
        <v>14.722</v>
      </c>
      <c r="BB417" s="53">
        <f t="shared" si="403"/>
        <v>482.75900000000001</v>
      </c>
      <c r="BC417" s="53">
        <f t="shared" si="404"/>
        <v>18.100000000000001</v>
      </c>
      <c r="BD417" s="53">
        <f t="shared" si="405"/>
        <v>769.87199999999996</v>
      </c>
      <c r="BE417" s="60">
        <f t="shared" ref="BE417" si="3132">AZ417+BE416</f>
        <v>18863.885000000002</v>
      </c>
      <c r="BF417" s="60">
        <f t="shared" ref="BF417" si="3133">BA417+BF416</f>
        <v>1056.6519999999998</v>
      </c>
      <c r="BG417" s="60">
        <f t="shared" ref="BG417" si="3134">BB417+BG416</f>
        <v>6967.6240000000016</v>
      </c>
      <c r="BH417" s="60">
        <f t="shared" ref="BH417" si="3135">BC417+BH416</f>
        <v>382.41099999999989</v>
      </c>
      <c r="BI417" s="60">
        <f t="shared" ref="BI417" si="3136">BD417+BI416</f>
        <v>27270.571999999993</v>
      </c>
      <c r="BJ417" s="1">
        <v>42</v>
      </c>
    </row>
    <row r="418" spans="1:62" x14ac:dyDescent="0.3">
      <c r="A418" s="48">
        <f t="shared" si="238"/>
        <v>40481</v>
      </c>
      <c r="B418" s="64">
        <v>286968</v>
      </c>
      <c r="C418" s="64">
        <v>53200</v>
      </c>
      <c r="D418" s="53">
        <v>0</v>
      </c>
      <c r="E418" s="53">
        <f t="shared" si="2986"/>
        <v>340168</v>
      </c>
      <c r="F418" s="53">
        <f t="shared" ref="F418" si="3137">AVERAGE(E415,E416,E417,E418)</f>
        <v>295937.75</v>
      </c>
      <c r="G418" s="53">
        <f t="shared" ref="G418" si="3138">AVERAGE(F366,F314,F262)</f>
        <v>357566.58333333331</v>
      </c>
      <c r="H418" s="59">
        <f t="shared" ref="H418" si="3139">((E418/E366)-1)*100</f>
        <v>42.17028603908588</v>
      </c>
      <c r="I418" s="59">
        <f t="shared" ref="I418" si="3140">((F418/F366)-1)*100</f>
        <v>1.4597332693362608</v>
      </c>
      <c r="J418" s="59">
        <f t="shared" ref="J418" si="3141">((F418/G418)-1)*100</f>
        <v>-17.235624414007734</v>
      </c>
      <c r="L418" s="53">
        <v>13740</v>
      </c>
      <c r="M418" s="53">
        <v>0</v>
      </c>
      <c r="N418" s="53">
        <v>2800</v>
      </c>
      <c r="O418" s="53">
        <f t="shared" si="2600"/>
        <v>16540</v>
      </c>
      <c r="P418" s="53">
        <f t="shared" ref="P418" si="3142">AVERAGE(O415,O416,O417,O418)</f>
        <v>18023.75</v>
      </c>
      <c r="Q418" s="53">
        <f t="shared" ref="Q418" si="3143">AVERAGE(P366,P314,P262)</f>
        <v>26768.166666666668</v>
      </c>
      <c r="R418" s="59">
        <f t="shared" ref="R418" si="3144">((O418/O366)-1)*100</f>
        <v>57.134714041421255</v>
      </c>
      <c r="S418" s="59">
        <f t="shared" ref="S418" si="3145">((P418/P366)-1)*100</f>
        <v>-29.740871039731807</v>
      </c>
      <c r="T418" s="59">
        <f t="shared" ref="T418" si="3146">((P418/Q418)-1)*100</f>
        <v>-32.66722288290196</v>
      </c>
      <c r="V418" s="64">
        <v>198268</v>
      </c>
      <c r="W418" s="64">
        <v>112150</v>
      </c>
      <c r="X418" s="64">
        <v>41100</v>
      </c>
      <c r="Y418" s="64">
        <f t="shared" si="1916"/>
        <v>351518</v>
      </c>
      <c r="Z418" s="53">
        <f t="shared" ref="Z418" si="3147">AVERAGE(Y415,Y416,Y417,Y418)</f>
        <v>451778.5</v>
      </c>
      <c r="AA418" s="53">
        <f t="shared" ref="AA418" si="3148">AVERAGE(Z366,Z314,Z262)</f>
        <v>202243</v>
      </c>
      <c r="AB418" s="59">
        <f t="shared" ref="AB418" si="3149">((Y418/Y366)-1)*100</f>
        <v>-31.695269629560542</v>
      </c>
      <c r="AC418" s="59">
        <f t="shared" ref="AC418" si="3150">((Z418/Z366)-1)*100</f>
        <v>77.149629548301846</v>
      </c>
      <c r="AD418" s="59">
        <f t="shared" ref="AD418" si="3151">((Z418/AA418)-1)*100</f>
        <v>123.38399845730135</v>
      </c>
      <c r="AF418" s="53">
        <v>0</v>
      </c>
      <c r="AG418" s="53">
        <v>0</v>
      </c>
      <c r="AH418" s="64">
        <v>4500</v>
      </c>
      <c r="AI418" s="53">
        <f t="shared" si="2759"/>
        <v>4500</v>
      </c>
      <c r="AJ418" s="53">
        <f t="shared" ref="AJ418" si="3152">AVERAGE(AI415,AI416,AI417,AI418)</f>
        <v>9000</v>
      </c>
      <c r="AK418" s="53">
        <f t="shared" ref="AK418" si="3153">AVERAGE(AJ366,AJ314,AJ262)</f>
        <v>10964.083333333334</v>
      </c>
      <c r="AL418" s="59">
        <f t="shared" ref="AL418" si="3154">((AI418/AI366)-1)*100</f>
        <v>-42.307692307692314</v>
      </c>
      <c r="AM418" s="59">
        <f t="shared" ref="AM418" si="3155">((AJ418/AJ366)-1)*100</f>
        <v>-5.5390832043242133</v>
      </c>
      <c r="AN418" s="59">
        <f t="shared" ref="AN418" si="3156">((AJ418/AK418)-1)*100</f>
        <v>-17.913794282847782</v>
      </c>
      <c r="AP418" s="60">
        <f t="shared" si="1927"/>
        <v>498976</v>
      </c>
      <c r="AQ418" s="53">
        <f t="shared" si="1928"/>
        <v>165350</v>
      </c>
      <c r="AR418" s="60">
        <f t="shared" si="2765"/>
        <v>48400</v>
      </c>
      <c r="AS418" s="53">
        <f t="shared" si="2766"/>
        <v>712726</v>
      </c>
      <c r="AT418" s="53">
        <f t="shared" ref="AT418" si="3157">AVERAGE(AS415,AS416,AS417,AS418)</f>
        <v>774740</v>
      </c>
      <c r="AU418" s="53">
        <f t="shared" ref="AU418" si="3158">AVERAGE(AT366,AT314,AT262)</f>
        <v>597541.83333333337</v>
      </c>
      <c r="AV418" s="59">
        <f t="shared" ref="AV418" si="3159">((AS418/AS366)-1)*100</f>
        <v>-7.7049982777062649</v>
      </c>
      <c r="AW418" s="59">
        <f t="shared" ref="AW418" si="3160">((AT418/AT366)-1)*100</f>
        <v>33.142574810422978</v>
      </c>
      <c r="AX418" s="59">
        <f t="shared" ref="AX418" si="3161">((AT418/AU418)-1)*100</f>
        <v>29.654520701618935</v>
      </c>
      <c r="AZ418" s="53">
        <f t="shared" si="401"/>
        <v>340.16800000000001</v>
      </c>
      <c r="BA418" s="53">
        <f t="shared" si="402"/>
        <v>16.54</v>
      </c>
      <c r="BB418" s="53">
        <f t="shared" si="403"/>
        <v>351.51799999999997</v>
      </c>
      <c r="BC418" s="53">
        <f t="shared" si="404"/>
        <v>4.5</v>
      </c>
      <c r="BD418" s="53">
        <f t="shared" si="405"/>
        <v>712.726</v>
      </c>
      <c r="BE418" s="60">
        <f t="shared" ref="BE418" si="3162">AZ418+BE417</f>
        <v>19204.053000000004</v>
      </c>
      <c r="BF418" s="60">
        <f t="shared" ref="BF418" si="3163">BA418+BF417</f>
        <v>1073.1919999999998</v>
      </c>
      <c r="BG418" s="60">
        <f t="shared" ref="BG418" si="3164">BB418+BG417</f>
        <v>7319.1420000000016</v>
      </c>
      <c r="BH418" s="60">
        <f t="shared" ref="BH418" si="3165">BC418+BH417</f>
        <v>386.91099999999989</v>
      </c>
      <c r="BI418" s="60">
        <f t="shared" ref="BI418" si="3166">BD418+BI417</f>
        <v>27983.297999999992</v>
      </c>
      <c r="BJ418" s="1">
        <v>43</v>
      </c>
    </row>
    <row r="419" spans="1:62" x14ac:dyDescent="0.3">
      <c r="A419" s="48">
        <f t="shared" si="238"/>
        <v>40488</v>
      </c>
      <c r="B419" s="64">
        <v>237921</v>
      </c>
      <c r="C419" s="64">
        <v>51850</v>
      </c>
      <c r="D419" s="53">
        <v>0</v>
      </c>
      <c r="E419" s="53">
        <f t="shared" si="2986"/>
        <v>289771</v>
      </c>
      <c r="F419" s="53">
        <f t="shared" ref="F419" si="3167">AVERAGE(E416,E417,E418,E419)</f>
        <v>292932.5</v>
      </c>
      <c r="G419" s="53">
        <f t="shared" ref="G419" si="3168">AVERAGE(F367,F315,F263)</f>
        <v>397653.5</v>
      </c>
      <c r="H419" s="59">
        <f t="shared" ref="H419" si="3169">((E419/E367)-1)*100</f>
        <v>12.023427533150354</v>
      </c>
      <c r="I419" s="59">
        <f t="shared" ref="I419" si="3170">((F419/F367)-1)*100</f>
        <v>6.2002807886372135</v>
      </c>
      <c r="J419" s="59">
        <f t="shared" ref="J419" si="3171">((F419/G419)-1)*100</f>
        <v>-26.334736145915983</v>
      </c>
      <c r="L419" s="53">
        <v>8200</v>
      </c>
      <c r="M419" s="53">
        <v>3518</v>
      </c>
      <c r="N419" s="53">
        <v>1400</v>
      </c>
      <c r="O419" s="53">
        <f t="shared" si="2600"/>
        <v>13118</v>
      </c>
      <c r="P419" s="53">
        <f t="shared" ref="P419" si="3172">AVERAGE(O416,O417,O418,O419)</f>
        <v>14528.25</v>
      </c>
      <c r="Q419" s="53">
        <f t="shared" ref="Q419" si="3173">AVERAGE(P367,P315,P263)</f>
        <v>24068.166666666668</v>
      </c>
      <c r="R419" s="59">
        <f t="shared" ref="R419" si="3174">((O419/O367)-1)*100</f>
        <v>-60.900149031296571</v>
      </c>
      <c r="S419" s="59">
        <f t="shared" ref="S419" si="3175">((P419/P367)-1)*100</f>
        <v>-32.775374222057692</v>
      </c>
      <c r="T419" s="59">
        <f t="shared" ref="T419" si="3176">((P419/Q419)-1)*100</f>
        <v>-39.637072481632032</v>
      </c>
      <c r="V419" s="64">
        <v>133097</v>
      </c>
      <c r="W419" s="64">
        <v>79080</v>
      </c>
      <c r="X419" s="64">
        <v>28000</v>
      </c>
      <c r="Y419" s="64">
        <f t="shared" si="1916"/>
        <v>240177</v>
      </c>
      <c r="Z419" s="53">
        <f t="shared" ref="Z419" si="3177">AVERAGE(Y416,Y417,Y418,Y419)</f>
        <v>445897.75</v>
      </c>
      <c r="AA419" s="53">
        <f t="shared" ref="AA419" si="3178">AVERAGE(Z367,Z315,Z263)</f>
        <v>241152.08333333334</v>
      </c>
      <c r="AB419" s="59">
        <f t="shared" ref="AB419" si="3179">((Y419/Y367)-1)*100</f>
        <v>-38.317303370786519</v>
      </c>
      <c r="AC419" s="59">
        <f t="shared" ref="AC419" si="3180">((Z419/Z367)-1)*100</f>
        <v>36.887730158815437</v>
      </c>
      <c r="AD419" s="59">
        <f t="shared" ref="AD419" si="3181">((Z419/AA419)-1)*100</f>
        <v>84.903129940476703</v>
      </c>
      <c r="AF419" s="53">
        <v>0</v>
      </c>
      <c r="AG419" s="53">
        <v>0</v>
      </c>
      <c r="AH419" s="53">
        <v>0</v>
      </c>
      <c r="AI419" s="53">
        <f t="shared" si="2759"/>
        <v>0</v>
      </c>
      <c r="AJ419" s="53">
        <f t="shared" ref="AJ419" si="3182">AVERAGE(AI416,AI417,AI418,AI419)</f>
        <v>6025</v>
      </c>
      <c r="AK419" s="53">
        <f t="shared" ref="AK419" si="3183">AVERAGE(AJ367,AJ315,AJ263)</f>
        <v>10034.583333333334</v>
      </c>
      <c r="AL419" s="59">
        <f t="shared" ref="AL419" si="3184">((AI419/AI367)-1)*100</f>
        <v>-100</v>
      </c>
      <c r="AM419" s="59">
        <f t="shared" ref="AM419" si="3185">((AJ419/AJ367)-1)*100</f>
        <v>-38.987341772151893</v>
      </c>
      <c r="AN419" s="59">
        <f t="shared" ref="AN419" si="3186">((AJ419/AK419)-1)*100</f>
        <v>-39.957646472615536</v>
      </c>
      <c r="AP419" s="60">
        <f t="shared" si="1927"/>
        <v>379218</v>
      </c>
      <c r="AQ419" s="53">
        <f t="shared" si="1928"/>
        <v>134448</v>
      </c>
      <c r="AR419" s="60">
        <f t="shared" si="2765"/>
        <v>29400</v>
      </c>
      <c r="AS419" s="53">
        <f t="shared" si="2766"/>
        <v>543066</v>
      </c>
      <c r="AT419" s="53">
        <f t="shared" ref="AT419" si="3187">AVERAGE(AS416,AS417,AS418,AS419)</f>
        <v>759383.5</v>
      </c>
      <c r="AU419" s="53">
        <f t="shared" ref="AU419" si="3188">AVERAGE(AT367,AT315,AT263)</f>
        <v>672908.33333333337</v>
      </c>
      <c r="AV419" s="59">
        <f t="shared" ref="AV419" si="3189">((AS419/AS367)-1)*100</f>
        <v>-22.48503058114888</v>
      </c>
      <c r="AW419" s="59">
        <f t="shared" ref="AW419" si="3190">((AT419/AT367)-1)*100</f>
        <v>19.955090896310203</v>
      </c>
      <c r="AX419" s="59">
        <f t="shared" ref="AX419" si="3191">((AT419/AU419)-1)*100</f>
        <v>12.850957906599447</v>
      </c>
      <c r="AZ419" s="53">
        <f t="shared" si="401"/>
        <v>289.77100000000002</v>
      </c>
      <c r="BA419" s="53">
        <f t="shared" si="402"/>
        <v>13.118</v>
      </c>
      <c r="BB419" s="53">
        <f t="shared" si="403"/>
        <v>240.17699999999999</v>
      </c>
      <c r="BC419" s="53">
        <f t="shared" si="404"/>
        <v>0</v>
      </c>
      <c r="BD419" s="53">
        <f t="shared" si="405"/>
        <v>543.06600000000003</v>
      </c>
      <c r="BE419" s="60">
        <f t="shared" ref="BE419" si="3192">AZ419+BE418</f>
        <v>19493.824000000004</v>
      </c>
      <c r="BF419" s="60">
        <f t="shared" ref="BF419" si="3193">BA419+BF418</f>
        <v>1086.3099999999997</v>
      </c>
      <c r="BG419" s="60">
        <f t="shared" ref="BG419" si="3194">BB419+BG418</f>
        <v>7559.3190000000013</v>
      </c>
      <c r="BH419" s="60">
        <f t="shared" ref="BH419" si="3195">BC419+BH418</f>
        <v>386.91099999999989</v>
      </c>
      <c r="BI419" s="60">
        <f t="shared" ref="BI419" si="3196">BD419+BI418</f>
        <v>28526.36399999999</v>
      </c>
      <c r="BJ419" s="1">
        <v>44</v>
      </c>
    </row>
    <row r="420" spans="1:62" x14ac:dyDescent="0.3">
      <c r="A420" s="48">
        <f t="shared" si="238"/>
        <v>40495</v>
      </c>
      <c r="B420" s="64">
        <v>406986</v>
      </c>
      <c r="C420" s="64">
        <v>59536</v>
      </c>
      <c r="D420" s="53">
        <v>0</v>
      </c>
      <c r="E420" s="53">
        <f t="shared" si="2986"/>
        <v>466522</v>
      </c>
      <c r="F420" s="53">
        <f t="shared" ref="F420" si="3197">AVERAGE(E417,E418,E419,E420)</f>
        <v>337688</v>
      </c>
      <c r="G420" s="53">
        <f t="shared" ref="G420" si="3198">AVERAGE(F368,F316,F264)</f>
        <v>453364.08333333331</v>
      </c>
      <c r="H420" s="59">
        <f t="shared" ref="H420" si="3199">((E420/E368)-1)*100</f>
        <v>8.4198637204502944</v>
      </c>
      <c r="I420" s="59">
        <f t="shared" ref="I420" si="3200">((F420/F368)-1)*100</f>
        <v>8.2560601664772637</v>
      </c>
      <c r="J420" s="59">
        <f t="shared" ref="J420" si="3201">((F420/G420)-1)*100</f>
        <v>-25.515052379719094</v>
      </c>
      <c r="L420" s="53">
        <v>1600</v>
      </c>
      <c r="M420" s="53">
        <v>0</v>
      </c>
      <c r="N420" s="53">
        <v>0</v>
      </c>
      <c r="O420" s="53">
        <f t="shared" si="2600"/>
        <v>1600</v>
      </c>
      <c r="P420" s="53">
        <f t="shared" ref="P420" si="3202">AVERAGE(O417,O418,O419,O420)</f>
        <v>11495</v>
      </c>
      <c r="Q420" s="53">
        <f t="shared" ref="Q420" si="3203">AVERAGE(P368,P316,P264)</f>
        <v>23605.166666666668</v>
      </c>
      <c r="R420" s="59">
        <f t="shared" ref="R420" si="3204">((O420/O368)-1)*100</f>
        <v>-95.822454308093995</v>
      </c>
      <c r="S420" s="59">
        <f t="shared" ref="S420" si="3205">((P420/P368)-1)*100</f>
        <v>-58.616096340431653</v>
      </c>
      <c r="T420" s="59">
        <f t="shared" ref="T420" si="3206">((P420/Q420)-1)*100</f>
        <v>-51.303033940309682</v>
      </c>
      <c r="V420" s="64">
        <v>284146</v>
      </c>
      <c r="W420" s="64">
        <v>48394</v>
      </c>
      <c r="X420" s="64">
        <v>84000</v>
      </c>
      <c r="Y420" s="64">
        <f t="shared" si="1916"/>
        <v>416540</v>
      </c>
      <c r="Z420" s="53">
        <f t="shared" ref="Z420" si="3207">AVERAGE(Y417,Y418,Y419,Y420)</f>
        <v>372748.5</v>
      </c>
      <c r="AA420" s="53">
        <f t="shared" ref="AA420" si="3208">AVERAGE(Z368,Z316,Z264)</f>
        <v>280270.16666666669</v>
      </c>
      <c r="AB420" s="59">
        <f t="shared" ref="AB420" si="3209">((Y420/Y368)-1)*100</f>
        <v>-39.890529013563381</v>
      </c>
      <c r="AC420" s="59">
        <f t="shared" ref="AC420" si="3210">((Z420/Z368)-1)*100</f>
        <v>-19.370688666858459</v>
      </c>
      <c r="AD420" s="59">
        <f t="shared" ref="AD420" si="3211">((Z420/AA420)-1)*100</f>
        <v>32.99613884460291</v>
      </c>
      <c r="AF420" s="64">
        <v>1600</v>
      </c>
      <c r="AG420" s="53">
        <v>6350</v>
      </c>
      <c r="AH420" s="64">
        <v>5600</v>
      </c>
      <c r="AI420" s="53">
        <f t="shared" si="2759"/>
        <v>13550</v>
      </c>
      <c r="AJ420" s="53">
        <f t="shared" ref="AJ420" si="3212">AVERAGE(AI417,AI418,AI419,AI420)</f>
        <v>9037.5</v>
      </c>
      <c r="AK420" s="53">
        <f t="shared" ref="AK420" si="3213">AVERAGE(AJ368,AJ316,AJ264)</f>
        <v>9411.5833333333339</v>
      </c>
      <c r="AL420" s="59">
        <f t="shared" ref="AL420" si="3214">((AI420/AI368)-1)*100</f>
        <v>26.635514018691598</v>
      </c>
      <c r="AM420" s="59">
        <f t="shared" ref="AM420" si="3215">((AJ420/AJ368)-1)*100</f>
        <v>-13.516746411483249</v>
      </c>
      <c r="AN420" s="59">
        <f t="shared" ref="AN420" si="3216">((AJ420/AK420)-1)*100</f>
        <v>-3.9747120126794155</v>
      </c>
      <c r="AP420" s="60">
        <f t="shared" si="1927"/>
        <v>694332</v>
      </c>
      <c r="AQ420" s="53">
        <f t="shared" si="1928"/>
        <v>114280</v>
      </c>
      <c r="AR420" s="60">
        <f t="shared" si="2765"/>
        <v>89600</v>
      </c>
      <c r="AS420" s="53">
        <f t="shared" si="2766"/>
        <v>898212</v>
      </c>
      <c r="AT420" s="53">
        <f t="shared" ref="AT420" si="3217">AVERAGE(AS417,AS418,AS419,AS420)</f>
        <v>730969</v>
      </c>
      <c r="AU420" s="53">
        <f t="shared" ref="AU420" si="3218">AVERAGE(AT368,AT316,AT264)</f>
        <v>766651</v>
      </c>
      <c r="AV420" s="59">
        <f t="shared" ref="AV420" si="3219">((AS420/AS368)-1)*100</f>
        <v>-23.377814326331769</v>
      </c>
      <c r="AW420" s="59">
        <f t="shared" ref="AW420" si="3220">((AT420/AT368)-1)*100</f>
        <v>-10.030155330723979</v>
      </c>
      <c r="AX420" s="59">
        <f t="shared" ref="AX420" si="3221">((AT420/AU420)-1)*100</f>
        <v>-4.6542690220191414</v>
      </c>
      <c r="AZ420" s="53">
        <f t="shared" si="401"/>
        <v>466.52199999999999</v>
      </c>
      <c r="BA420" s="53">
        <f t="shared" si="402"/>
        <v>1.6</v>
      </c>
      <c r="BB420" s="53">
        <f t="shared" si="403"/>
        <v>416.54</v>
      </c>
      <c r="BC420" s="53">
        <f t="shared" si="404"/>
        <v>13.55</v>
      </c>
      <c r="BD420" s="53">
        <f t="shared" si="405"/>
        <v>898.21199999999999</v>
      </c>
      <c r="BE420" s="60">
        <f t="shared" ref="BE420" si="3222">AZ420+BE419</f>
        <v>19960.346000000005</v>
      </c>
      <c r="BF420" s="60">
        <f t="shared" ref="BF420" si="3223">BA420+BF419</f>
        <v>1087.9099999999996</v>
      </c>
      <c r="BG420" s="60">
        <f t="shared" ref="BG420" si="3224">BB420+BG419</f>
        <v>7975.8590000000013</v>
      </c>
      <c r="BH420" s="60">
        <f t="shared" ref="BH420" si="3225">BC420+BH419</f>
        <v>400.4609999999999</v>
      </c>
      <c r="BI420" s="60">
        <f t="shared" ref="BI420" si="3226">BD420+BI419</f>
        <v>29424.57599999999</v>
      </c>
      <c r="BJ420" s="1">
        <v>45</v>
      </c>
    </row>
    <row r="421" spans="1:62" x14ac:dyDescent="0.3">
      <c r="A421" s="48">
        <f t="shared" si="238"/>
        <v>40502</v>
      </c>
      <c r="B421" s="64">
        <v>377254</v>
      </c>
      <c r="C421" s="64">
        <v>36900</v>
      </c>
      <c r="D421" s="53">
        <v>0</v>
      </c>
      <c r="E421" s="53">
        <f t="shared" si="2986"/>
        <v>414154</v>
      </c>
      <c r="F421" s="53">
        <f t="shared" ref="F421" si="3227">AVERAGE(E418,E419,E420,E421)</f>
        <v>377653.75</v>
      </c>
      <c r="G421" s="53">
        <f t="shared" ref="G421" si="3228">AVERAGE(F369,F317,F265)</f>
        <v>484935.66666666669</v>
      </c>
      <c r="H421" s="59">
        <f t="shared" ref="H421" si="3229">((E421/E369)-1)*100</f>
        <v>23.048446422523149</v>
      </c>
      <c r="I421" s="59">
        <f t="shared" ref="I421" si="3230">((F421/F369)-1)*100</f>
        <v>19.434333116172574</v>
      </c>
      <c r="J421" s="59">
        <f t="shared" ref="J421" si="3231">((F421/G421)-1)*100</f>
        <v>-22.122917335426628</v>
      </c>
      <c r="L421" s="53">
        <v>4500</v>
      </c>
      <c r="M421" s="53">
        <v>1500</v>
      </c>
      <c r="N421" s="53">
        <v>1400</v>
      </c>
      <c r="O421" s="53">
        <f t="shared" si="2600"/>
        <v>7400</v>
      </c>
      <c r="P421" s="53">
        <f t="shared" ref="P421" si="3232">AVERAGE(O418,O419,O420,O421)</f>
        <v>9664.5</v>
      </c>
      <c r="Q421" s="53">
        <f t="shared" ref="Q421" si="3233">AVERAGE(P369,P317,P265)</f>
        <v>19990.166666666668</v>
      </c>
      <c r="R421" s="59">
        <f t="shared" ref="R421" si="3234">((O421/O369)-1)*100</f>
        <v>-70.693069306930695</v>
      </c>
      <c r="S421" s="59">
        <f t="shared" ref="S421" si="3235">((P421/P369)-1)*100</f>
        <v>-64.081169977514733</v>
      </c>
      <c r="T421" s="59">
        <f t="shared" ref="T421" si="3236">((P421/Q421)-1)*100</f>
        <v>-51.653729750460656</v>
      </c>
      <c r="V421" s="64">
        <v>135863</v>
      </c>
      <c r="W421" s="64">
        <v>15600</v>
      </c>
      <c r="X421" s="64">
        <v>29400</v>
      </c>
      <c r="Y421" s="64">
        <f t="shared" si="1916"/>
        <v>180863</v>
      </c>
      <c r="Z421" s="53">
        <f t="shared" ref="Z421" si="3237">AVERAGE(Y418,Y419,Y420,Y421)</f>
        <v>297274.5</v>
      </c>
      <c r="AA421" s="53">
        <f t="shared" ref="AA421" si="3238">AVERAGE(Z369,Z317,Z265)</f>
        <v>306547.25</v>
      </c>
      <c r="AB421" s="59">
        <f t="shared" ref="AB421" si="3239">((Y421/Y369)-1)*100</f>
        <v>-70.06213914931935</v>
      </c>
      <c r="AC421" s="59">
        <f t="shared" ref="AC421" si="3240">((Z421/Z369)-1)*100</f>
        <v>-45.977200532096617</v>
      </c>
      <c r="AD421" s="59">
        <f t="shared" ref="AD421" si="3241">((Z421/AA421)-1)*100</f>
        <v>-3.0249007290067076</v>
      </c>
      <c r="AF421" s="64">
        <v>12000</v>
      </c>
      <c r="AG421" s="53">
        <v>4650</v>
      </c>
      <c r="AH421" s="64">
        <v>14300</v>
      </c>
      <c r="AI421" s="53">
        <f t="shared" si="2759"/>
        <v>30950</v>
      </c>
      <c r="AJ421" s="53">
        <f t="shared" ref="AJ421" si="3242">AVERAGE(AI418,AI419,AI420,AI421)</f>
        <v>12250</v>
      </c>
      <c r="AK421" s="53">
        <f t="shared" ref="AK421" si="3243">AVERAGE(AJ369,AJ317,AJ265)</f>
        <v>9768.75</v>
      </c>
      <c r="AL421" s="59">
        <f t="shared" ref="AL421" si="3244">((AI421/AI369)-1)*100</f>
        <v>125.09090909090909</v>
      </c>
      <c r="AM421" s="59">
        <f t="shared" ref="AM421" si="3245">((AJ421/AJ369)-1)*100</f>
        <v>-4.3902439024390283</v>
      </c>
      <c r="AN421" s="59">
        <f t="shared" ref="AN421" si="3246">((AJ421/AK421)-1)*100</f>
        <v>25.399872040946892</v>
      </c>
      <c r="AP421" s="60">
        <f t="shared" si="1927"/>
        <v>529617</v>
      </c>
      <c r="AQ421" s="53">
        <f t="shared" si="1928"/>
        <v>58650</v>
      </c>
      <c r="AR421" s="60">
        <f t="shared" si="2765"/>
        <v>45100</v>
      </c>
      <c r="AS421" s="53">
        <f t="shared" si="2766"/>
        <v>633367</v>
      </c>
      <c r="AT421" s="53">
        <f t="shared" ref="AT421" si="3247">AVERAGE(AS418,AS419,AS420,AS421)</f>
        <v>696842.75</v>
      </c>
      <c r="AU421" s="53">
        <f t="shared" ref="AU421" si="3248">AVERAGE(AT369,AT317,AT265)</f>
        <v>821241.83333333337</v>
      </c>
      <c r="AV421" s="59">
        <f t="shared" ref="AV421" si="3249">((AS421/AS369)-1)*100</f>
        <v>-35.351319681618776</v>
      </c>
      <c r="AW421" s="59">
        <f t="shared" ref="AW421" si="3250">((AT421/AT369)-1)*100</f>
        <v>-23.10250971918909</v>
      </c>
      <c r="AX421" s="59">
        <f t="shared" ref="AX421" si="3251">((AT421/AU421)-1)*100</f>
        <v>-15.147679804426273</v>
      </c>
      <c r="AZ421" s="53">
        <f t="shared" si="401"/>
        <v>414.154</v>
      </c>
      <c r="BA421" s="53">
        <f t="shared" si="402"/>
        <v>7.4</v>
      </c>
      <c r="BB421" s="53">
        <f t="shared" si="403"/>
        <v>180.863</v>
      </c>
      <c r="BC421" s="53">
        <f t="shared" si="404"/>
        <v>30.95</v>
      </c>
      <c r="BD421" s="53">
        <f t="shared" si="405"/>
        <v>633.36699999999996</v>
      </c>
      <c r="BE421" s="60">
        <f t="shared" ref="BE421" si="3252">AZ421+BE420</f>
        <v>20374.500000000004</v>
      </c>
      <c r="BF421" s="60">
        <f t="shared" ref="BF421" si="3253">BA421+BF420</f>
        <v>1095.3099999999997</v>
      </c>
      <c r="BG421" s="60">
        <f t="shared" ref="BG421" si="3254">BB421+BG420</f>
        <v>8156.7220000000016</v>
      </c>
      <c r="BH421" s="60">
        <f t="shared" ref="BH421" si="3255">BC421+BH420</f>
        <v>431.41099999999989</v>
      </c>
      <c r="BI421" s="60">
        <f t="shared" ref="BI421" si="3256">BD421+BI420</f>
        <v>30057.942999999988</v>
      </c>
      <c r="BJ421" s="1">
        <v>46</v>
      </c>
    </row>
    <row r="422" spans="1:62" x14ac:dyDescent="0.3">
      <c r="A422" s="48">
        <f t="shared" si="238"/>
        <v>40509</v>
      </c>
      <c r="B422" s="64">
        <v>378620</v>
      </c>
      <c r="C422" s="64">
        <v>63600</v>
      </c>
      <c r="D422" s="53">
        <v>0</v>
      </c>
      <c r="E422" s="53">
        <f t="shared" si="2986"/>
        <v>442220</v>
      </c>
      <c r="F422" s="53">
        <f t="shared" ref="F422" si="3257">AVERAGE(E419,E420,E421,E422)</f>
        <v>403166.75</v>
      </c>
      <c r="G422" s="53">
        <f t="shared" ref="G422" si="3258">AVERAGE(F370,F318,F266)</f>
        <v>541528.33333333337</v>
      </c>
      <c r="H422" s="59">
        <f t="shared" ref="H422" si="3259">((E422/E370)-1)*100</f>
        <v>-13.737071874719586</v>
      </c>
      <c r="I422" s="59">
        <f t="shared" ref="I422" si="3260">((F422/F370)-1)*100</f>
        <v>4.8424048649639673</v>
      </c>
      <c r="J422" s="59">
        <f t="shared" ref="J422" si="3261">((F422/G422)-1)*100</f>
        <v>-25.550202051600877</v>
      </c>
      <c r="L422" s="53">
        <v>9200</v>
      </c>
      <c r="M422" s="53">
        <v>1750</v>
      </c>
      <c r="N422" s="53">
        <v>4200</v>
      </c>
      <c r="O422" s="53">
        <f t="shared" si="2600"/>
        <v>15150</v>
      </c>
      <c r="P422" s="53">
        <f t="shared" ref="P422" si="3262">AVERAGE(O419,O420,O421,O422)</f>
        <v>9317</v>
      </c>
      <c r="Q422" s="53">
        <f t="shared" ref="Q422" si="3263">AVERAGE(P370,P318,P266)</f>
        <v>17894.666666666668</v>
      </c>
      <c r="R422" s="59">
        <f t="shared" ref="R422" si="3264">((O422/O370)-1)*100</f>
        <v>422.41379310344831</v>
      </c>
      <c r="S422" s="59">
        <f t="shared" ref="S422" si="3265">((P422/P370)-1)*100</f>
        <v>-62.731999999999999</v>
      </c>
      <c r="T422" s="59">
        <f t="shared" ref="T422" si="3266">((P422/Q422)-1)*100</f>
        <v>-47.934207585127787</v>
      </c>
      <c r="V422" s="64">
        <v>188468</v>
      </c>
      <c r="W422" s="64">
        <v>83750</v>
      </c>
      <c r="X422" s="64">
        <v>78400</v>
      </c>
      <c r="Y422" s="64">
        <f t="shared" si="1916"/>
        <v>350618</v>
      </c>
      <c r="Z422" s="53">
        <f t="shared" ref="Z422" si="3267">AVERAGE(Y419,Y420,Y421,Y422)</f>
        <v>297049.5</v>
      </c>
      <c r="AA422" s="53">
        <f t="shared" ref="AA422" si="3268">AVERAGE(Z370,Z318,Z266)</f>
        <v>310638.83333333331</v>
      </c>
      <c r="AB422" s="59">
        <f t="shared" ref="AB422" si="3269">((Y422/Y370)-1)*100</f>
        <v>-21.192614153583346</v>
      </c>
      <c r="AC422" s="59">
        <f t="shared" ref="AC422" si="3270">((Z422/Z370)-1)*100</f>
        <v>-44.252096180075142</v>
      </c>
      <c r="AD422" s="59">
        <f t="shared" ref="AD422" si="3271">((Z422/AA422)-1)*100</f>
        <v>-4.3746408610642611</v>
      </c>
      <c r="AF422" s="64">
        <v>1600</v>
      </c>
      <c r="AG422" s="53">
        <v>0</v>
      </c>
      <c r="AH422" s="64">
        <v>1400</v>
      </c>
      <c r="AI422" s="53">
        <f t="shared" si="2759"/>
        <v>3000</v>
      </c>
      <c r="AJ422" s="53">
        <f t="shared" ref="AJ422" si="3272">AVERAGE(AI419,AI420,AI421,AI422)</f>
        <v>11875</v>
      </c>
      <c r="AK422" s="53">
        <f t="shared" ref="AK422" si="3273">AVERAGE(AJ370,AJ318,AJ266)</f>
        <v>9280.25</v>
      </c>
      <c r="AL422" s="59">
        <f t="shared" ref="AL422" si="3274">((AI422/AI370)-1)*100</f>
        <v>-49.152542372881356</v>
      </c>
      <c r="AM422" s="59">
        <f t="shared" ref="AM422" si="3275">((AJ422/AJ370)-1)*100</f>
        <v>-3.7487335359675744</v>
      </c>
      <c r="AN422" s="59">
        <f t="shared" ref="AN422" si="3276">((AJ422/AK422)-1)*100</f>
        <v>27.959914872982949</v>
      </c>
      <c r="AP422" s="60">
        <f t="shared" si="1927"/>
        <v>577888</v>
      </c>
      <c r="AQ422" s="53">
        <f t="shared" si="1928"/>
        <v>149100</v>
      </c>
      <c r="AR422" s="60">
        <f t="shared" si="2765"/>
        <v>84000</v>
      </c>
      <c r="AS422" s="53">
        <f t="shared" si="2766"/>
        <v>810988</v>
      </c>
      <c r="AT422" s="53">
        <f t="shared" ref="AT422" si="3277">AVERAGE(AS419,AS420,AS421,AS422)</f>
        <v>721408.25</v>
      </c>
      <c r="AU422" s="53">
        <f t="shared" ref="AU422" si="3278">AVERAGE(AT370,AT318,AT266)</f>
        <v>879342.08333333337</v>
      </c>
      <c r="AV422" s="59">
        <f t="shared" ref="AV422" si="3279">((AS422/AS370)-1)*100</f>
        <v>-16.076937166462979</v>
      </c>
      <c r="AW422" s="59">
        <f t="shared" ref="AW422" si="3280">((AT422/AT370)-1)*100</f>
        <v>-24.438288526906504</v>
      </c>
      <c r="AX422" s="59">
        <f t="shared" ref="AX422" si="3281">((AT422/AU422)-1)*100</f>
        <v>-17.960454335888432</v>
      </c>
      <c r="AZ422" s="53">
        <f t="shared" si="401"/>
        <v>442.22</v>
      </c>
      <c r="BA422" s="53">
        <f t="shared" si="402"/>
        <v>15.15</v>
      </c>
      <c r="BB422" s="53">
        <f t="shared" si="403"/>
        <v>350.61799999999999</v>
      </c>
      <c r="BC422" s="53">
        <f t="shared" si="404"/>
        <v>3</v>
      </c>
      <c r="BD422" s="53">
        <f t="shared" si="405"/>
        <v>810.98800000000006</v>
      </c>
      <c r="BE422" s="60">
        <f t="shared" ref="BE422" si="3282">AZ422+BE421</f>
        <v>20816.720000000005</v>
      </c>
      <c r="BF422" s="60">
        <f t="shared" ref="BF422" si="3283">BA422+BF421</f>
        <v>1110.4599999999998</v>
      </c>
      <c r="BG422" s="60">
        <f t="shared" ref="BG422" si="3284">BB422+BG421</f>
        <v>8507.340000000002</v>
      </c>
      <c r="BH422" s="60">
        <f t="shared" ref="BH422" si="3285">BC422+BH421</f>
        <v>434.41099999999989</v>
      </c>
      <c r="BI422" s="60">
        <f t="shared" ref="BI422" si="3286">BD422+BI421</f>
        <v>30868.93099999999</v>
      </c>
      <c r="BJ422" s="1">
        <v>47</v>
      </c>
    </row>
    <row r="423" spans="1:62" x14ac:dyDescent="0.3">
      <c r="A423" s="48">
        <f t="shared" si="238"/>
        <v>40516</v>
      </c>
      <c r="B423" s="64">
        <v>486208</v>
      </c>
      <c r="C423" s="64">
        <v>30750</v>
      </c>
      <c r="D423" s="53">
        <v>0</v>
      </c>
      <c r="E423" s="53">
        <f t="shared" si="2986"/>
        <v>516958</v>
      </c>
      <c r="F423" s="53">
        <f t="shared" ref="F423" si="3287">AVERAGE(E420,E421,E422,E423)</f>
        <v>459963.5</v>
      </c>
      <c r="G423" s="53">
        <f t="shared" ref="G423" si="3288">AVERAGE(F371,F319,F267)</f>
        <v>559449.66666666663</v>
      </c>
      <c r="H423" s="59">
        <f t="shared" ref="H423" si="3289">((E423/E371)-1)*100</f>
        <v>-16.098268757293312</v>
      </c>
      <c r="I423" s="59">
        <f t="shared" ref="I423" si="3290">((F423/F371)-1)*100</f>
        <v>-2.9438311426263852</v>
      </c>
      <c r="J423" s="59">
        <f t="shared" ref="J423" si="3291">((F423/G423)-1)*100</f>
        <v>-17.782862801479304</v>
      </c>
      <c r="L423" s="53">
        <v>4500</v>
      </c>
      <c r="M423" s="53">
        <v>1750</v>
      </c>
      <c r="N423" s="53">
        <v>2800</v>
      </c>
      <c r="O423" s="53">
        <f t="shared" si="2600"/>
        <v>9050</v>
      </c>
      <c r="P423" s="53">
        <f t="shared" ref="P423" si="3292">AVERAGE(O420,O421,O422,O423)</f>
        <v>8300</v>
      </c>
      <c r="Q423" s="53">
        <f t="shared" ref="Q423" si="3293">AVERAGE(P371,P319,P267)</f>
        <v>17205.5</v>
      </c>
      <c r="R423" s="59">
        <f t="shared" ref="R423" si="3294">((O423/O371)-1)*100</f>
        <v>-19.555555555555561</v>
      </c>
      <c r="S423" s="59">
        <f t="shared" ref="S423" si="3295">((P423/P371)-1)*100</f>
        <v>-57.27155727155727</v>
      </c>
      <c r="T423" s="59">
        <f t="shared" ref="T423" si="3296">((P423/Q423)-1)*100</f>
        <v>-51.759611752056031</v>
      </c>
      <c r="V423" s="64">
        <v>439374</v>
      </c>
      <c r="W423" s="64">
        <v>75150</v>
      </c>
      <c r="X423" s="64">
        <v>61600</v>
      </c>
      <c r="Y423" s="64">
        <f t="shared" si="1916"/>
        <v>576124</v>
      </c>
      <c r="Z423" s="53">
        <f t="shared" ref="Z423" si="3297">AVERAGE(Y420,Y421,Y422,Y423)</f>
        <v>381036.25</v>
      </c>
      <c r="AA423" s="53">
        <f t="shared" ref="AA423" si="3298">AVERAGE(Z371,Z319,Z267)</f>
        <v>306663.91666666669</v>
      </c>
      <c r="AB423" s="59">
        <f t="shared" ref="AB423" si="3299">((Y423/Y371)-1)*100</f>
        <v>57.430715335807236</v>
      </c>
      <c r="AC423" s="59">
        <f t="shared" ref="AC423" si="3300">((Z423/Z371)-1)*100</f>
        <v>-27.695597061798249</v>
      </c>
      <c r="AD423" s="59">
        <f t="shared" ref="AD423" si="3301">((Z423/AA423)-1)*100</f>
        <v>24.252065303846472</v>
      </c>
      <c r="AF423" s="64">
        <v>1500</v>
      </c>
      <c r="AG423" s="53">
        <v>0</v>
      </c>
      <c r="AH423" s="64">
        <v>11050</v>
      </c>
      <c r="AI423" s="53">
        <f t="shared" si="2759"/>
        <v>12550</v>
      </c>
      <c r="AJ423" s="53">
        <f t="shared" ref="AJ423" si="3302">AVERAGE(AI420,AI421,AI422,AI423)</f>
        <v>15012.5</v>
      </c>
      <c r="AK423" s="53">
        <f t="shared" ref="AK423" si="3303">AVERAGE(AJ371,AJ319,AJ267)</f>
        <v>8974.4166666666661</v>
      </c>
      <c r="AL423" s="59">
        <f t="shared" ref="AL423" si="3304">((AI423/AI371)-1)*100</f>
        <v>37.458926615553125</v>
      </c>
      <c r="AM423" s="59">
        <f t="shared" ref="AM423" si="3305">((AJ423/AJ371)-1)*100</f>
        <v>52.102330293819655</v>
      </c>
      <c r="AN423" s="59">
        <f t="shared" ref="AN423" si="3306">((AJ423/AK423)-1)*100</f>
        <v>67.281067478851938</v>
      </c>
      <c r="AP423" s="60">
        <f t="shared" si="1927"/>
        <v>931582</v>
      </c>
      <c r="AQ423" s="53">
        <f t="shared" si="1928"/>
        <v>107650</v>
      </c>
      <c r="AR423" s="60">
        <f t="shared" si="2765"/>
        <v>75450</v>
      </c>
      <c r="AS423" s="53">
        <f t="shared" si="2766"/>
        <v>1114682</v>
      </c>
      <c r="AT423" s="53">
        <f t="shared" ref="AT423" si="3307">AVERAGE(AS420,AS421,AS422,AS423)</f>
        <v>864312.25</v>
      </c>
      <c r="AU423" s="53">
        <f t="shared" ref="AU423" si="3308">AVERAGE(AT371,AT319,AT267)</f>
        <v>892293.5</v>
      </c>
      <c r="AV423" s="59">
        <f t="shared" ref="AV423" si="3309">((AS423/AS371)-1)*100</f>
        <v>11.192331824742819</v>
      </c>
      <c r="AW423" s="59">
        <f t="shared" ref="AW423" si="3310">((AT423/AT371)-1)*100</f>
        <v>-16.102378303215758</v>
      </c>
      <c r="AX423" s="59">
        <f t="shared" ref="AX423" si="3311">((AT423/AU423)-1)*100</f>
        <v>-3.1358796180853021</v>
      </c>
      <c r="AZ423" s="53">
        <f t="shared" si="401"/>
        <v>516.95799999999997</v>
      </c>
      <c r="BA423" s="53">
        <f t="shared" si="402"/>
        <v>9.0500000000000007</v>
      </c>
      <c r="BB423" s="53">
        <f t="shared" si="403"/>
        <v>576.12400000000002</v>
      </c>
      <c r="BC423" s="53">
        <f t="shared" si="404"/>
        <v>12.55</v>
      </c>
      <c r="BD423" s="53">
        <f t="shared" si="405"/>
        <v>1114.682</v>
      </c>
      <c r="BE423" s="60">
        <f t="shared" ref="BE423" si="3312">AZ423+BE422</f>
        <v>21333.678000000004</v>
      </c>
      <c r="BF423" s="60">
        <f t="shared" ref="BF423" si="3313">BA423+BF422</f>
        <v>1119.5099999999998</v>
      </c>
      <c r="BG423" s="60">
        <f t="shared" ref="BG423" si="3314">BB423+BG422</f>
        <v>9083.4640000000018</v>
      </c>
      <c r="BH423" s="60">
        <f t="shared" ref="BH423" si="3315">BC423+BH422</f>
        <v>446.9609999999999</v>
      </c>
      <c r="BI423" s="60">
        <f t="shared" ref="BI423" si="3316">BD423+BI422</f>
        <v>31983.61299999999</v>
      </c>
      <c r="BJ423" s="1">
        <v>48</v>
      </c>
    </row>
    <row r="424" spans="1:62" x14ac:dyDescent="0.3">
      <c r="A424" s="48">
        <f t="shared" si="238"/>
        <v>40523</v>
      </c>
      <c r="B424" s="64">
        <v>273932</v>
      </c>
      <c r="C424" s="64">
        <v>25900</v>
      </c>
      <c r="D424" s="53">
        <v>0</v>
      </c>
      <c r="E424" s="53">
        <f t="shared" si="2986"/>
        <v>299832</v>
      </c>
      <c r="F424" s="53">
        <f t="shared" ref="F424" si="3317">AVERAGE(E421,E422,E423,E424)</f>
        <v>418291</v>
      </c>
      <c r="G424" s="53">
        <f t="shared" ref="G424" si="3318">AVERAGE(F372,F320,F268)</f>
        <v>548971.25</v>
      </c>
      <c r="H424" s="59">
        <f t="shared" ref="H424" si="3319">((E424/E372)-1)*100</f>
        <v>-52.169224388220648</v>
      </c>
      <c r="I424" s="59">
        <f t="shared" ref="I424" si="3320">((F424/F372)-1)*100</f>
        <v>-20.029518785485511</v>
      </c>
      <c r="J424" s="59">
        <f t="shared" ref="J424" si="3321">((F424/G424)-1)*100</f>
        <v>-23.804570822242511</v>
      </c>
      <c r="L424" s="53">
        <v>22000</v>
      </c>
      <c r="M424" s="53">
        <v>6950</v>
      </c>
      <c r="N424" s="53">
        <v>0</v>
      </c>
      <c r="O424" s="53">
        <f t="shared" si="2600"/>
        <v>28950</v>
      </c>
      <c r="P424" s="53">
        <f t="shared" ref="P424" si="3322">AVERAGE(O421,O422,O423,O424)</f>
        <v>15137.5</v>
      </c>
      <c r="Q424" s="53">
        <f t="shared" ref="Q424" si="3323">AVERAGE(P372,P320,P268)</f>
        <v>15152.583333333334</v>
      </c>
      <c r="R424" s="59">
        <f t="shared" ref="R424" si="3324">((O424/O372)-1)*100</f>
        <v>529.3478260869565</v>
      </c>
      <c r="S424" s="59">
        <f t="shared" ref="S424" si="3325">((P424/P372)-1)*100</f>
        <v>37.613636363636374</v>
      </c>
      <c r="T424" s="59">
        <f t="shared" ref="T424" si="3326">((P424/Q424)-1)*100</f>
        <v>-9.9542982219757992E-2</v>
      </c>
      <c r="V424" s="64">
        <v>286200</v>
      </c>
      <c r="W424" s="64">
        <v>62850</v>
      </c>
      <c r="X424" s="64">
        <v>36400</v>
      </c>
      <c r="Y424" s="64">
        <f t="shared" si="1916"/>
        <v>385450</v>
      </c>
      <c r="Z424" s="53">
        <f t="shared" ref="Z424" si="3327">AVERAGE(Y421,Y422,Y423,Y424)</f>
        <v>373263.75</v>
      </c>
      <c r="AA424" s="53">
        <f t="shared" ref="AA424" si="3328">AVERAGE(Z372,Z320,Z268)</f>
        <v>282453.75</v>
      </c>
      <c r="AB424" s="59">
        <f t="shared" ref="AB424" si="3329">((Y424/Y372)-1)*100</f>
        <v>18.322579060786715</v>
      </c>
      <c r="AC424" s="59">
        <f t="shared" ref="AC424" si="3330">((Z424/Z372)-1)*100</f>
        <v>-14.229162274400275</v>
      </c>
      <c r="AD424" s="59">
        <f t="shared" ref="AD424" si="3331">((Z424/AA424)-1)*100</f>
        <v>32.150396303819662</v>
      </c>
      <c r="AF424" s="53">
        <v>0</v>
      </c>
      <c r="AG424" s="53">
        <v>0</v>
      </c>
      <c r="AH424" s="64">
        <v>3000</v>
      </c>
      <c r="AI424" s="53">
        <f t="shared" si="2759"/>
        <v>3000</v>
      </c>
      <c r="AJ424" s="53">
        <f t="shared" ref="AJ424" si="3332">AVERAGE(AI421,AI422,AI423,AI424)</f>
        <v>12375</v>
      </c>
      <c r="AK424" s="53">
        <f t="shared" ref="AK424" si="3333">AVERAGE(AJ372,AJ320,AJ268)</f>
        <v>9698.6666666666661</v>
      </c>
      <c r="AL424" s="59">
        <f t="shared" ref="AL424" si="3334">((AI424/AI372)-1)*100</f>
        <v>-66.292134831460686</v>
      </c>
      <c r="AM424" s="59">
        <f t="shared" ref="AM424" si="3335">((AJ424/AJ372)-1)*100</f>
        <v>31.369426751592357</v>
      </c>
      <c r="AN424" s="59">
        <f t="shared" ref="AN424" si="3336">((AJ424/AK424)-1)*100</f>
        <v>27.594858399780044</v>
      </c>
      <c r="AP424" s="60">
        <f t="shared" si="1927"/>
        <v>582132</v>
      </c>
      <c r="AQ424" s="53">
        <f t="shared" si="1928"/>
        <v>95700</v>
      </c>
      <c r="AR424" s="60">
        <f t="shared" si="2765"/>
        <v>39400</v>
      </c>
      <c r="AS424" s="53">
        <f t="shared" si="2766"/>
        <v>717232</v>
      </c>
      <c r="AT424" s="53">
        <f t="shared" ref="AT424" si="3337">AVERAGE(AS421,AS422,AS423,AS424)</f>
        <v>819067.25</v>
      </c>
      <c r="AU424" s="53">
        <f t="shared" ref="AU424" si="3338">AVERAGE(AT372,AT320,AT268)</f>
        <v>856276.25</v>
      </c>
      <c r="AV424" s="59">
        <f t="shared" ref="AV424" si="3339">((AS424/AS372)-1)*100</f>
        <v>-25.761756796760661</v>
      </c>
      <c r="AW424" s="59">
        <f t="shared" ref="AW424" si="3340">((AT424/AT372)-1)*100</f>
        <v>-16.307614257804516</v>
      </c>
      <c r="AX424" s="59">
        <f t="shared" ref="AX424" si="3341">((AT424/AU424)-1)*100</f>
        <v>-4.3454434243621716</v>
      </c>
      <c r="AZ424" s="53">
        <f t="shared" si="401"/>
        <v>299.83199999999999</v>
      </c>
      <c r="BA424" s="53">
        <f t="shared" si="402"/>
        <v>28.95</v>
      </c>
      <c r="BB424" s="53">
        <f t="shared" si="403"/>
        <v>385.45</v>
      </c>
      <c r="BC424" s="53">
        <f t="shared" si="404"/>
        <v>3</v>
      </c>
      <c r="BD424" s="53">
        <f t="shared" si="405"/>
        <v>717.23199999999997</v>
      </c>
      <c r="BE424" s="60">
        <f t="shared" ref="BE424" si="3342">AZ424+BE423</f>
        <v>21633.510000000002</v>
      </c>
      <c r="BF424" s="60">
        <f t="shared" ref="BF424" si="3343">BA424+BF423</f>
        <v>1148.4599999999998</v>
      </c>
      <c r="BG424" s="60">
        <f t="shared" ref="BG424" si="3344">BB424+BG423</f>
        <v>9468.9140000000025</v>
      </c>
      <c r="BH424" s="60">
        <f t="shared" ref="BH424" si="3345">BC424+BH423</f>
        <v>449.9609999999999</v>
      </c>
      <c r="BI424" s="60">
        <f t="shared" ref="BI424" si="3346">BD424+BI423</f>
        <v>32700.84499999999</v>
      </c>
      <c r="BJ424" s="1">
        <v>49</v>
      </c>
    </row>
    <row r="425" spans="1:62" x14ac:dyDescent="0.3">
      <c r="A425" s="48">
        <f t="shared" si="238"/>
        <v>40530</v>
      </c>
      <c r="B425" s="64">
        <v>278144</v>
      </c>
      <c r="C425" s="64">
        <v>70950</v>
      </c>
      <c r="D425" s="53">
        <v>0</v>
      </c>
      <c r="E425" s="53">
        <f t="shared" si="2986"/>
        <v>349094</v>
      </c>
      <c r="F425" s="53">
        <f t="shared" ref="F425" si="3347">AVERAGE(E422,E423,E424,E425)</f>
        <v>402026</v>
      </c>
      <c r="G425" s="53">
        <f t="shared" ref="G425" si="3348">AVERAGE(F373,F321,F269)</f>
        <v>513768.83333333331</v>
      </c>
      <c r="H425" s="59">
        <f t="shared" ref="H425" si="3349">((E425/E373)-1)*100</f>
        <v>-34.701916889879833</v>
      </c>
      <c r="I425" s="59">
        <f t="shared" ref="I425" si="3350">((F425/F373)-1)*100</f>
        <v>-29.785243192381671</v>
      </c>
      <c r="J425" s="59">
        <f t="shared" ref="J425" si="3351">((F425/G425)-1)*100</f>
        <v>-21.749632535774033</v>
      </c>
      <c r="L425" s="53">
        <v>0</v>
      </c>
      <c r="M425" s="53">
        <v>13700</v>
      </c>
      <c r="N425" s="53">
        <v>2800</v>
      </c>
      <c r="O425" s="53">
        <f t="shared" si="2600"/>
        <v>16500</v>
      </c>
      <c r="P425" s="53">
        <f t="shared" ref="P425" si="3352">AVERAGE(O422,O423,O424,O425)</f>
        <v>17412.5</v>
      </c>
      <c r="Q425" s="53">
        <f t="shared" ref="Q425" si="3353">AVERAGE(P373,P321,P269)</f>
        <v>16419.25</v>
      </c>
      <c r="R425" s="59">
        <f t="shared" ref="R425" si="3354">((O425/O373)-1)*100</f>
        <v>-9.3406593406593412</v>
      </c>
      <c r="S425" s="59">
        <f t="shared" ref="S425" si="3355">((P425/P373)-1)*100</f>
        <v>88.497970230040607</v>
      </c>
      <c r="T425" s="59">
        <f t="shared" ref="T425" si="3356">((P425/Q425)-1)*100</f>
        <v>6.0493018865051651</v>
      </c>
      <c r="V425" s="64">
        <v>157210</v>
      </c>
      <c r="W425" s="64">
        <v>119100</v>
      </c>
      <c r="X425" s="64">
        <v>59000</v>
      </c>
      <c r="Y425" s="64">
        <f t="shared" si="1916"/>
        <v>335310</v>
      </c>
      <c r="Z425" s="53">
        <f t="shared" ref="Z425" si="3357">AVERAGE(Y422,Y423,Y424,Y425)</f>
        <v>411875.5</v>
      </c>
      <c r="AA425" s="53">
        <f t="shared" ref="AA425" si="3358">AVERAGE(Z373,Z321,Z269)</f>
        <v>247361.91666666666</v>
      </c>
      <c r="AB425" s="59">
        <f t="shared" ref="AB425" si="3359">((Y425/Y373)-1)*100</f>
        <v>25.833108168963335</v>
      </c>
      <c r="AC425" s="59">
        <f t="shared" ref="AC425" si="3360">((Z425/Z373)-1)*100</f>
        <v>17.419301500328199</v>
      </c>
      <c r="AD425" s="59">
        <f t="shared" ref="AD425" si="3361">((Z425/AA425)-1)*100</f>
        <v>66.50723989781504</v>
      </c>
      <c r="AF425" s="53">
        <v>1600</v>
      </c>
      <c r="AG425" s="53">
        <v>0</v>
      </c>
      <c r="AH425" s="64">
        <v>9400</v>
      </c>
      <c r="AI425" s="53">
        <f t="shared" si="2759"/>
        <v>11000</v>
      </c>
      <c r="AJ425" s="53">
        <f t="shared" ref="AJ425" si="3362">AVERAGE(AI422,AI423,AI424,AI425)</f>
        <v>7387.5</v>
      </c>
      <c r="AK425" s="53">
        <f t="shared" ref="AK425" si="3363">AVERAGE(AJ373,AJ321,AJ269)</f>
        <v>9402.3333333333339</v>
      </c>
      <c r="AL425" s="59">
        <f t="shared" ref="AL425" si="3364">((AI425/AI373)-1)*100</f>
        <v>14.583333333333325</v>
      </c>
      <c r="AM425" s="59">
        <f t="shared" ref="AM425" si="3365">((AJ425/AJ373)-1)*100</f>
        <v>-11.869967193558006</v>
      </c>
      <c r="AN425" s="59">
        <f t="shared" ref="AN425" si="3366">((AJ425/AK425)-1)*100</f>
        <v>-21.429077888467408</v>
      </c>
      <c r="AP425" s="60">
        <f t="shared" si="1927"/>
        <v>436954</v>
      </c>
      <c r="AQ425" s="53">
        <f t="shared" si="1928"/>
        <v>203750</v>
      </c>
      <c r="AR425" s="60">
        <f t="shared" si="2765"/>
        <v>71200</v>
      </c>
      <c r="AS425" s="53">
        <f t="shared" si="2766"/>
        <v>711904</v>
      </c>
      <c r="AT425" s="53">
        <f t="shared" ref="AT425" si="3367">AVERAGE(AS422,AS423,AS424,AS425)</f>
        <v>838701.5</v>
      </c>
      <c r="AU425" s="53">
        <f t="shared" ref="AU425" si="3368">AVERAGE(AT373,AT321,AT269)</f>
        <v>786952.33333333337</v>
      </c>
      <c r="AV425" s="59">
        <f t="shared" ref="AV425" si="3369">((AS425/AS373)-1)*100</f>
        <v>-14.113366341411627</v>
      </c>
      <c r="AW425" s="59">
        <f t="shared" ref="AW425" si="3370">((AT425/AT373)-1)*100</f>
        <v>-10.867417779404953</v>
      </c>
      <c r="AX425" s="59">
        <f t="shared" ref="AX425" si="3371">((AT425/AU425)-1)*100</f>
        <v>6.5758959564259811</v>
      </c>
      <c r="AZ425" s="53">
        <f t="shared" si="401"/>
        <v>349.09399999999999</v>
      </c>
      <c r="BA425" s="53">
        <f t="shared" si="402"/>
        <v>16.5</v>
      </c>
      <c r="BB425" s="53">
        <f t="shared" si="403"/>
        <v>335.31</v>
      </c>
      <c r="BC425" s="53">
        <f t="shared" si="404"/>
        <v>11</v>
      </c>
      <c r="BD425" s="53">
        <f t="shared" si="405"/>
        <v>711.904</v>
      </c>
      <c r="BE425" s="60">
        <f t="shared" ref="BE425" si="3372">AZ425+BE424</f>
        <v>21982.604000000003</v>
      </c>
      <c r="BF425" s="60">
        <f t="shared" ref="BF425" si="3373">BA425+BF424</f>
        <v>1164.9599999999998</v>
      </c>
      <c r="BG425" s="60">
        <f t="shared" ref="BG425" si="3374">BB425+BG424</f>
        <v>9804.224000000002</v>
      </c>
      <c r="BH425" s="60">
        <f t="shared" ref="BH425" si="3375">BC425+BH424</f>
        <v>460.9609999999999</v>
      </c>
      <c r="BI425" s="60">
        <f t="shared" ref="BI425" si="3376">BD425+BI424</f>
        <v>33412.748999999989</v>
      </c>
      <c r="BJ425" s="1">
        <v>50</v>
      </c>
    </row>
    <row r="426" spans="1:62" x14ac:dyDescent="0.3">
      <c r="A426" s="48">
        <f t="shared" si="238"/>
        <v>40537</v>
      </c>
      <c r="B426" s="64">
        <v>345400</v>
      </c>
      <c r="C426" s="64">
        <v>86750</v>
      </c>
      <c r="D426" s="53">
        <v>0</v>
      </c>
      <c r="E426" s="53">
        <f t="shared" si="2986"/>
        <v>432150</v>
      </c>
      <c r="F426" s="53">
        <f t="shared" ref="F426" si="3377">AVERAGE(E423,E424,E425,E426)</f>
        <v>399508.5</v>
      </c>
      <c r="G426" s="53">
        <f t="shared" ref="G426" si="3378">AVERAGE(F374,F322,F270)</f>
        <v>460236.25</v>
      </c>
      <c r="H426" s="59">
        <f t="shared" ref="H426" si="3379">((E426/E374)-1)*100</f>
        <v>27.361409920132029</v>
      </c>
      <c r="I426" s="59">
        <f t="shared" ref="I426" si="3380">((F426/F374)-1)*100</f>
        <v>-24.511829141498577</v>
      </c>
      <c r="J426" s="59">
        <f t="shared" ref="J426" si="3381">((F426/G426)-1)*100</f>
        <v>-13.194908049941745</v>
      </c>
      <c r="L426" s="53">
        <v>8000</v>
      </c>
      <c r="M426" s="53">
        <v>13200</v>
      </c>
      <c r="N426" s="53">
        <v>8400</v>
      </c>
      <c r="O426" s="53">
        <f t="shared" si="2600"/>
        <v>29600</v>
      </c>
      <c r="P426" s="53">
        <f t="shared" ref="P426" si="3382">AVERAGE(O423,O424,O425,O426)</f>
        <v>21025</v>
      </c>
      <c r="Q426" s="53">
        <f t="shared" ref="Q426" si="3383">AVERAGE(P374,P322,P270)</f>
        <v>17371</v>
      </c>
      <c r="R426" s="59">
        <f t="shared" ref="R426" si="3384">((O426/O374)-1)*100</f>
        <v>14.9514563106796</v>
      </c>
      <c r="S426" s="59">
        <f t="shared" ref="S426" si="3385">((P426/P374)-1)*100</f>
        <v>40.635451505016732</v>
      </c>
      <c r="T426" s="59">
        <f t="shared" ref="T426" si="3386">((P426/Q426)-1)*100</f>
        <v>21.035058430717868</v>
      </c>
      <c r="V426" s="64">
        <v>198400</v>
      </c>
      <c r="W426" s="64">
        <v>93050</v>
      </c>
      <c r="X426" s="64">
        <v>97300</v>
      </c>
      <c r="Y426" s="64">
        <f t="shared" si="1916"/>
        <v>388750</v>
      </c>
      <c r="Z426" s="53">
        <f t="shared" ref="Z426" si="3387">AVERAGE(Y423,Y424,Y425,Y426)</f>
        <v>421408.5</v>
      </c>
      <c r="AA426" s="53">
        <f t="shared" ref="AA426" si="3388">AVERAGE(Z374,Z322,Z270)</f>
        <v>221340.91666666666</v>
      </c>
      <c r="AB426" s="59">
        <f t="shared" ref="AB426" si="3389">((Y426/Y374)-1)*100</f>
        <v>73.270636477090406</v>
      </c>
      <c r="AC426" s="59">
        <f t="shared" ref="AC426" si="3390">((Z426/Z374)-1)*100</f>
        <v>42.5425437276119</v>
      </c>
      <c r="AD426" s="59">
        <f t="shared" ref="AD426" si="3391">((Z426/AA426)-1)*100</f>
        <v>90.388883513403727</v>
      </c>
      <c r="AF426" s="53">
        <v>0</v>
      </c>
      <c r="AG426" s="53">
        <v>3500</v>
      </c>
      <c r="AH426" s="64">
        <v>5800</v>
      </c>
      <c r="AI426" s="53">
        <f t="shared" si="2759"/>
        <v>9300</v>
      </c>
      <c r="AJ426" s="53">
        <f t="shared" ref="AJ426" si="3392">AVERAGE(AI423,AI424,AI425,AI426)</f>
        <v>8962.5</v>
      </c>
      <c r="AK426" s="53">
        <f t="shared" ref="AK426" si="3393">AVERAGE(AJ374,AJ322,AJ270)</f>
        <v>10906.666666666666</v>
      </c>
      <c r="AL426" s="59">
        <f t="shared" ref="AL426" si="3394">((AI426/AI374)-1)*100</f>
        <v>190.625</v>
      </c>
      <c r="AM426" s="59">
        <f t="shared" ref="AM426" si="3395">((AJ426/AJ374)-1)*100</f>
        <v>16.282841388258195</v>
      </c>
      <c r="AN426" s="59">
        <f t="shared" ref="AN426" si="3396">((AJ426/AK426)-1)*100</f>
        <v>-17.825488997555006</v>
      </c>
      <c r="AP426" s="60">
        <f t="shared" si="1927"/>
        <v>551800</v>
      </c>
      <c r="AQ426" s="53">
        <f t="shared" si="1928"/>
        <v>196500</v>
      </c>
      <c r="AR426" s="60">
        <f t="shared" si="2765"/>
        <v>111500</v>
      </c>
      <c r="AS426" s="53">
        <f t="shared" si="2766"/>
        <v>859800</v>
      </c>
      <c r="AT426" s="53">
        <f t="shared" ref="AT426" si="3397">AVERAGE(AS423,AS424,AS425,AS426)</f>
        <v>850904.5</v>
      </c>
      <c r="AU426" s="53">
        <f t="shared" ref="AU426" si="3398">AVERAGE(AT374,AT322,AT270)</f>
        <v>709854.83333333337</v>
      </c>
      <c r="AV426" s="59">
        <f t="shared" ref="AV426" si="3399">((AS426/AS374)-1)*100</f>
        <v>45.084539840032399</v>
      </c>
      <c r="AW426" s="59">
        <f t="shared" ref="AW426" si="3400">((AT426/AT374)-1)*100</f>
        <v>0.39842353244481377</v>
      </c>
      <c r="AX426" s="59">
        <f t="shared" ref="AX426" si="3401">((AT426/AU426)-1)*100</f>
        <v>19.870212900337126</v>
      </c>
      <c r="AZ426" s="53">
        <f t="shared" si="401"/>
        <v>432.15</v>
      </c>
      <c r="BA426" s="53">
        <f t="shared" si="402"/>
        <v>29.6</v>
      </c>
      <c r="BB426" s="53">
        <f t="shared" si="403"/>
        <v>388.75</v>
      </c>
      <c r="BC426" s="53">
        <f t="shared" si="404"/>
        <v>9.3000000000000007</v>
      </c>
      <c r="BD426" s="53">
        <f t="shared" si="405"/>
        <v>859.8</v>
      </c>
      <c r="BE426" s="60">
        <f t="shared" ref="BE426" si="3402">AZ426+BE425</f>
        <v>22414.754000000004</v>
      </c>
      <c r="BF426" s="60">
        <f t="shared" ref="BF426" si="3403">BA426+BF425</f>
        <v>1194.5599999999997</v>
      </c>
      <c r="BG426" s="60">
        <f t="shared" ref="BG426" si="3404">BB426+BG425</f>
        <v>10192.974000000002</v>
      </c>
      <c r="BH426" s="60">
        <f t="shared" ref="BH426" si="3405">BC426+BH425</f>
        <v>470.26099999999991</v>
      </c>
      <c r="BI426" s="60">
        <f t="shared" ref="BI426" si="3406">BD426+BI425</f>
        <v>34272.548999999992</v>
      </c>
      <c r="BJ426" s="1">
        <v>51</v>
      </c>
    </row>
    <row r="427" spans="1:62" x14ac:dyDescent="0.3">
      <c r="A427" s="48">
        <f t="shared" si="238"/>
        <v>40544</v>
      </c>
      <c r="B427" s="64">
        <v>284700</v>
      </c>
      <c r="C427" s="64">
        <v>68300</v>
      </c>
      <c r="D427" s="53">
        <v>0</v>
      </c>
      <c r="E427" s="53">
        <f t="shared" si="2986"/>
        <v>353000</v>
      </c>
      <c r="F427" s="53">
        <f t="shared" ref="F427" si="3407">AVERAGE(E424,E425,E426,E427)</f>
        <v>358519</v>
      </c>
      <c r="G427" s="53">
        <f t="shared" ref="G427" si="3408">AVERAGE(F375,F323,F271)</f>
        <v>384349.91666666669</v>
      </c>
      <c r="H427" s="59">
        <f t="shared" ref="H427" si="3409">((E427/E375)-1)*100</f>
        <v>160.01193255894464</v>
      </c>
      <c r="I427" s="59">
        <f t="shared" ref="I427" si="3410">((F427/F375)-1)*100</f>
        <v>-12.37194853316338</v>
      </c>
      <c r="J427" s="59">
        <f t="shared" ref="J427" si="3411">((F427/G427)-1)*100</f>
        <v>-6.7206770566491265</v>
      </c>
      <c r="L427" s="53">
        <v>3000</v>
      </c>
      <c r="M427" s="53">
        <v>15500</v>
      </c>
      <c r="N427" s="53">
        <v>7000</v>
      </c>
      <c r="O427" s="53">
        <f t="shared" si="2600"/>
        <v>25500</v>
      </c>
      <c r="P427" s="53">
        <f t="shared" ref="P427" si="3412">AVERAGE(O424,O425,O426,O427)</f>
        <v>25137.5</v>
      </c>
      <c r="Q427" s="53">
        <f t="shared" ref="Q427" si="3413">AVERAGE(P375,P323,P271)</f>
        <v>14673.25</v>
      </c>
      <c r="R427" s="59">
        <f t="shared" ref="R427" si="3414">((O427/O375)-1)*100</f>
        <v>101.94820622475649</v>
      </c>
      <c r="S427" s="59">
        <f t="shared" ref="S427" si="3415">((P427/P375)-1)*100</f>
        <v>64.359154584239178</v>
      </c>
      <c r="T427" s="59">
        <f t="shared" ref="T427" si="3416">((P427/Q427)-1)*100</f>
        <v>71.31514831410901</v>
      </c>
      <c r="V427" s="64">
        <v>67100</v>
      </c>
      <c r="W427" s="64">
        <v>77700</v>
      </c>
      <c r="X427" s="64">
        <v>35000</v>
      </c>
      <c r="Y427" s="64">
        <f t="shared" si="1916"/>
        <v>179800</v>
      </c>
      <c r="Z427" s="53">
        <f t="shared" ref="Z427" si="3417">AVERAGE(Y424,Y425,Y426,Y427)</f>
        <v>322327.5</v>
      </c>
      <c r="AA427" s="53">
        <f t="shared" ref="AA427" si="3418">AVERAGE(Z375,Z323,Z271)</f>
        <v>191095.08333333334</v>
      </c>
      <c r="AB427" s="59">
        <f t="shared" ref="AB427" si="3419">((Y427/Y375)-1)*100</f>
        <v>18.439861139473159</v>
      </c>
      <c r="AC427" s="59">
        <f t="shared" ref="AC427" si="3420">((Z427/Z375)-1)*100</f>
        <v>33.138028564613208</v>
      </c>
      <c r="AD427" s="59">
        <f t="shared" ref="AD427" si="3421">((Z427/AA427)-1)*100</f>
        <v>68.673884423155826</v>
      </c>
      <c r="AF427" s="53">
        <v>3000</v>
      </c>
      <c r="AG427" s="53">
        <v>3250</v>
      </c>
      <c r="AH427" s="64">
        <v>4200</v>
      </c>
      <c r="AI427" s="53">
        <f t="shared" si="2759"/>
        <v>10450</v>
      </c>
      <c r="AJ427" s="53">
        <f t="shared" ref="AJ427" si="3422">AVERAGE(AI424,AI425,AI426,AI427)</f>
        <v>8437.5</v>
      </c>
      <c r="AK427" s="53">
        <f t="shared" ref="AK427" si="3423">AVERAGE(AJ375,AJ323,AJ271)</f>
        <v>10912.5</v>
      </c>
      <c r="AL427" s="59">
        <f t="shared" ref="AL427" si="3424">((AI427/AI375)-1)*100</f>
        <v>49.285714285714292</v>
      </c>
      <c r="AM427" s="59">
        <f t="shared" ref="AM427" si="3425">((AJ427/AJ375)-1)*100</f>
        <v>17.595818815331011</v>
      </c>
      <c r="AN427" s="59">
        <f t="shared" ref="AN427" si="3426">((AJ427/AK427)-1)*100</f>
        <v>-22.680412371134018</v>
      </c>
      <c r="AP427" s="60">
        <f t="shared" si="1927"/>
        <v>357800</v>
      </c>
      <c r="AQ427" s="53">
        <f t="shared" si="1928"/>
        <v>164750</v>
      </c>
      <c r="AR427" s="60">
        <f t="shared" si="2765"/>
        <v>46200</v>
      </c>
      <c r="AS427" s="53">
        <f t="shared" si="2766"/>
        <v>568750</v>
      </c>
      <c r="AT427" s="53">
        <f t="shared" ref="AT427" si="3427">AVERAGE(AS424,AS425,AS426,AS427)</f>
        <v>714421.5</v>
      </c>
      <c r="AU427" s="53">
        <f t="shared" ref="AU427" si="3428">AVERAGE(AT375,AT323,AT271)</f>
        <v>601030.75</v>
      </c>
      <c r="AV427" s="59">
        <f t="shared" ref="AV427" si="3429">((AS427/AS375)-1)*100</f>
        <v>85.141781983548029</v>
      </c>
      <c r="AW427" s="59">
        <f t="shared" ref="AW427" si="3430">((AT427/AT375)-1)*100</f>
        <v>6.0433935091195101</v>
      </c>
      <c r="AX427" s="59">
        <f t="shared" ref="AX427" si="3431">((AT427/AU427)-1)*100</f>
        <v>18.866048034979912</v>
      </c>
      <c r="AZ427" s="53">
        <f t="shared" si="401"/>
        <v>353</v>
      </c>
      <c r="BA427" s="53">
        <f t="shared" si="402"/>
        <v>25.5</v>
      </c>
      <c r="BB427" s="53">
        <f t="shared" si="403"/>
        <v>179.8</v>
      </c>
      <c r="BC427" s="53">
        <f t="shared" si="404"/>
        <v>10.45</v>
      </c>
      <c r="BD427" s="53">
        <f t="shared" si="405"/>
        <v>568.75</v>
      </c>
      <c r="BE427" s="60">
        <f t="shared" ref="BE427" si="3432">AZ427+BE426</f>
        <v>22767.754000000004</v>
      </c>
      <c r="BF427" s="60">
        <f t="shared" ref="BF427" si="3433">BA427+BF426</f>
        <v>1220.0599999999997</v>
      </c>
      <c r="BG427" s="60">
        <f t="shared" ref="BG427" si="3434">BB427+BG426</f>
        <v>10372.774000000001</v>
      </c>
      <c r="BH427" s="60">
        <f t="shared" ref="BH427" si="3435">BC427+BH426</f>
        <v>480.7109999999999</v>
      </c>
      <c r="BI427" s="60">
        <f t="shared" ref="BI427" si="3436">BD427+BI426</f>
        <v>34841.298999999992</v>
      </c>
      <c r="BJ427" s="1">
        <v>52</v>
      </c>
    </row>
    <row r="428" spans="1:62" x14ac:dyDescent="0.3">
      <c r="A428" s="48">
        <f t="shared" si="238"/>
        <v>40551</v>
      </c>
      <c r="B428" s="64">
        <v>179613</v>
      </c>
      <c r="C428" s="64">
        <v>96557</v>
      </c>
      <c r="D428" s="53">
        <v>0</v>
      </c>
      <c r="E428" s="53">
        <f t="shared" si="2986"/>
        <v>276170</v>
      </c>
      <c r="F428" s="53">
        <f t="shared" ref="F428" si="3437">AVERAGE(E425,E426,E427,E428)</f>
        <v>352603.5</v>
      </c>
      <c r="G428" s="53">
        <f t="shared" ref="G428" si="3438">AVERAGE(F376,F324,F272)</f>
        <v>304709.08333333331</v>
      </c>
      <c r="H428" s="59">
        <f t="shared" ref="H428" si="3439">((E428/E376)-1)*100</f>
        <v>117.55604921932851</v>
      </c>
      <c r="I428" s="59">
        <f t="shared" ref="I428" si="3440">((F428/F376)-1)*100</f>
        <v>24.087236754936292</v>
      </c>
      <c r="J428" s="59">
        <f t="shared" ref="J428" si="3441">((F428/G428)-1)*100</f>
        <v>15.71807973124093</v>
      </c>
      <c r="L428" s="53">
        <v>4700</v>
      </c>
      <c r="M428" s="53">
        <v>7000</v>
      </c>
      <c r="N428" s="53">
        <v>7000</v>
      </c>
      <c r="O428" s="53">
        <f t="shared" si="2600"/>
        <v>18700</v>
      </c>
      <c r="P428" s="53">
        <f t="shared" ref="P428" si="3442">AVERAGE(O425,O426,O427,O428)</f>
        <v>22575</v>
      </c>
      <c r="Q428" s="53">
        <f t="shared" ref="Q428" si="3443">AVERAGE(P376,P324,P272)</f>
        <v>13385.916666666666</v>
      </c>
      <c r="R428" s="59">
        <f t="shared" ref="R428" si="3444">((O428/O376)-1)*100</f>
        <v>139.6207073295746</v>
      </c>
      <c r="S428" s="59">
        <f t="shared" ref="S428" si="3445">((P428/P376)-1)*100</f>
        <v>40.258771997949715</v>
      </c>
      <c r="T428" s="59">
        <f t="shared" ref="T428" si="3446">((P428/Q428)-1)*100</f>
        <v>68.647396828756598</v>
      </c>
      <c r="V428" s="64">
        <v>136900</v>
      </c>
      <c r="W428" s="64">
        <v>98650</v>
      </c>
      <c r="X428" s="64">
        <v>32200</v>
      </c>
      <c r="Y428" s="64">
        <f t="shared" si="1916"/>
        <v>267750</v>
      </c>
      <c r="Z428" s="53">
        <f t="shared" ref="Z428" si="3447">AVERAGE(Y425,Y426,Y427,Y428)</f>
        <v>292902.5</v>
      </c>
      <c r="AA428" s="53">
        <f t="shared" ref="AA428" si="3448">AVERAGE(Z376,Z324,Z272)</f>
        <v>169083.25</v>
      </c>
      <c r="AB428" s="59">
        <f t="shared" ref="AB428" si="3449">((Y428/Y376)-1)*100</f>
        <v>82.996842407425135</v>
      </c>
      <c r="AC428" s="59">
        <f t="shared" ref="AC428" si="3450">((Z428/Z376)-1)*100</f>
        <v>48.501875270136495</v>
      </c>
      <c r="AD428" s="59">
        <f t="shared" ref="AD428" si="3451">((Z428/AA428)-1)*100</f>
        <v>73.229755164985292</v>
      </c>
      <c r="AF428" s="53">
        <v>0</v>
      </c>
      <c r="AG428" s="53">
        <v>3500</v>
      </c>
      <c r="AH428" s="64">
        <v>1400</v>
      </c>
      <c r="AI428" s="53">
        <f t="shared" si="2759"/>
        <v>4900</v>
      </c>
      <c r="AJ428" s="53">
        <f t="shared" ref="AJ428" si="3452">AVERAGE(AI425,AI426,AI427,AI428)</f>
        <v>8912.5</v>
      </c>
      <c r="AK428" s="53">
        <f t="shared" ref="AK428" si="3453">AVERAGE(AJ376,AJ324,AJ272)</f>
        <v>11379.166666666666</v>
      </c>
      <c r="AL428" s="59">
        <f t="shared" ref="AL428" si="3454">((AI428/AI376)-1)*100</f>
        <v>-65.853658536585357</v>
      </c>
      <c r="AM428" s="59">
        <f t="shared" ref="AM428" si="3455">((AJ428/AJ376)-1)*100</f>
        <v>4.3923865300146359</v>
      </c>
      <c r="AN428" s="59">
        <f t="shared" ref="AN428" si="3456">((AJ428/AK428)-1)*100</f>
        <v>-21.677041376785056</v>
      </c>
      <c r="AP428" s="60">
        <f t="shared" si="1927"/>
        <v>321213</v>
      </c>
      <c r="AQ428" s="53">
        <f t="shared" si="1928"/>
        <v>205707</v>
      </c>
      <c r="AR428" s="60">
        <f t="shared" si="2765"/>
        <v>40600</v>
      </c>
      <c r="AS428" s="53">
        <f t="shared" si="2766"/>
        <v>567520</v>
      </c>
      <c r="AT428" s="53">
        <f t="shared" ref="AT428" si="3457">AVERAGE(AS425,AS426,AS427,AS428)</f>
        <v>676993.5</v>
      </c>
      <c r="AU428" s="53">
        <f t="shared" ref="AU428" si="3458">AVERAGE(AT376,AT324,AT272)</f>
        <v>498557.41666666669</v>
      </c>
      <c r="AV428" s="59">
        <f t="shared" ref="AV428" si="3459">((AS428/AS376)-1)*100</f>
        <v>92.112656985207011</v>
      </c>
      <c r="AW428" s="59">
        <f t="shared" ref="AW428" si="3460">((AT428/AT376)-1)*100</f>
        <v>33.785580364752008</v>
      </c>
      <c r="AX428" s="59">
        <f t="shared" ref="AX428" si="3461">((AT428/AU428)-1)*100</f>
        <v>35.790478161241545</v>
      </c>
      <c r="AZ428" s="53">
        <f t="shared" si="401"/>
        <v>276.17</v>
      </c>
      <c r="BA428" s="53">
        <f t="shared" si="402"/>
        <v>18.7</v>
      </c>
      <c r="BB428" s="53">
        <f t="shared" si="403"/>
        <v>267.75</v>
      </c>
      <c r="BC428" s="53">
        <f t="shared" si="404"/>
        <v>4.9000000000000004</v>
      </c>
      <c r="BD428" s="53">
        <f t="shared" si="405"/>
        <v>567.52</v>
      </c>
      <c r="BE428" s="60">
        <f>AZ428</f>
        <v>276.17</v>
      </c>
      <c r="BF428" s="60">
        <f>BA428</f>
        <v>18.7</v>
      </c>
      <c r="BG428" s="60">
        <f t="shared" ref="BG428:BI428" si="3462">BB428</f>
        <v>267.75</v>
      </c>
      <c r="BH428" s="60">
        <f t="shared" si="3462"/>
        <v>4.9000000000000004</v>
      </c>
      <c r="BI428" s="60">
        <f t="shared" si="3462"/>
        <v>567.52</v>
      </c>
      <c r="BJ428" s="1">
        <v>1</v>
      </c>
    </row>
    <row r="429" spans="1:62" x14ac:dyDescent="0.3">
      <c r="A429" s="48">
        <f t="shared" si="238"/>
        <v>40558</v>
      </c>
      <c r="B429" s="64">
        <v>122796</v>
      </c>
      <c r="C429" s="64">
        <v>144400</v>
      </c>
      <c r="D429" s="53">
        <v>0</v>
      </c>
      <c r="E429" s="53">
        <f t="shared" si="2986"/>
        <v>267196</v>
      </c>
      <c r="F429" s="53">
        <f t="shared" ref="F429" si="3463">AVERAGE(E426,E427,E428,E429)</f>
        <v>332129</v>
      </c>
      <c r="G429" s="53">
        <f t="shared" ref="G429" si="3464">AVERAGE(F377,F325,F273)</f>
        <v>281783.83333333331</v>
      </c>
      <c r="H429" s="59">
        <f t="shared" ref="H429" si="3465">((E429/E377)-1)*100</f>
        <v>54.627314814814824</v>
      </c>
      <c r="I429" s="59">
        <f t="shared" ref="I429" si="3466">((F429/F377)-1)*100</f>
        <v>71.462349076876407</v>
      </c>
      <c r="J429" s="59">
        <f t="shared" ref="J429" si="3467">((F429/G429)-1)*100</f>
        <v>17.866591589415769</v>
      </c>
      <c r="L429" s="53">
        <v>3100</v>
      </c>
      <c r="M429" s="53">
        <v>12000</v>
      </c>
      <c r="N429" s="53">
        <v>2900</v>
      </c>
      <c r="O429" s="53">
        <f t="shared" si="2600"/>
        <v>18000</v>
      </c>
      <c r="P429" s="53">
        <f t="shared" ref="P429" si="3468">AVERAGE(O426,O427,O428,O429)</f>
        <v>22950</v>
      </c>
      <c r="Q429" s="53">
        <f t="shared" ref="Q429" si="3469">AVERAGE(P377,P325,P273)</f>
        <v>13319.25</v>
      </c>
      <c r="R429" s="59">
        <f t="shared" ref="R429" si="3470">((O429/O377)-1)*100</f>
        <v>-55.773955773955777</v>
      </c>
      <c r="S429" s="59">
        <f t="shared" ref="S429" si="3471">((P429/P377)-1)*100</f>
        <v>5.661767244852145</v>
      </c>
      <c r="T429" s="59">
        <f t="shared" ref="T429" si="3472">((P429/Q429)-1)*100</f>
        <v>72.306999267976792</v>
      </c>
      <c r="V429" s="64">
        <v>81400</v>
      </c>
      <c r="W429" s="64">
        <v>138300</v>
      </c>
      <c r="X429" s="64">
        <v>30980</v>
      </c>
      <c r="Y429" s="64">
        <f t="shared" si="1916"/>
        <v>250680</v>
      </c>
      <c r="Z429" s="53">
        <f t="shared" ref="Z429" si="3473">AVERAGE(Y426,Y427,Y428,Y429)</f>
        <v>271745</v>
      </c>
      <c r="AA429" s="53">
        <f t="shared" ref="AA429" si="3474">AVERAGE(Z377,Z325,Z273)</f>
        <v>174980.75</v>
      </c>
      <c r="AB429" s="59">
        <f t="shared" ref="AB429" si="3475">((Y429/Y377)-1)*100</f>
        <v>0.64478829584782016</v>
      </c>
      <c r="AC429" s="59">
        <f t="shared" ref="AC429" si="3476">((Z429/Z377)-1)*100</f>
        <v>40.881725865298016</v>
      </c>
      <c r="AD429" s="59">
        <f t="shared" ref="AD429" si="3477">((Z429/AA429)-1)*100</f>
        <v>55.299940136272127</v>
      </c>
      <c r="AF429" s="53">
        <v>3200</v>
      </c>
      <c r="AG429" s="53">
        <v>0</v>
      </c>
      <c r="AH429" s="53">
        <v>0</v>
      </c>
      <c r="AI429" s="53">
        <f t="shared" si="2759"/>
        <v>3200</v>
      </c>
      <c r="AJ429" s="53">
        <f t="shared" ref="AJ429" si="3478">AVERAGE(AI426,AI427,AI428,AI429)</f>
        <v>6962.5</v>
      </c>
      <c r="AK429" s="53">
        <f t="shared" ref="AK429" si="3479">AVERAGE(AJ377,AJ325,AJ273)</f>
        <v>9404.1666666666661</v>
      </c>
      <c r="AL429" s="59">
        <f t="shared" ref="AL429" si="3480">((AI429/AI377)-1)*100</f>
        <v>128.57142857142856</v>
      </c>
      <c r="AM429" s="59">
        <f t="shared" ref="AM429" si="3481">((AJ429/AJ377)-1)*100</f>
        <v>7.3217726396917149</v>
      </c>
      <c r="AN429" s="59">
        <f t="shared" ref="AN429" si="3482">((AJ429/AK429)-1)*100</f>
        <v>-25.963668586619406</v>
      </c>
      <c r="AP429" s="60">
        <f t="shared" si="1927"/>
        <v>210496</v>
      </c>
      <c r="AQ429" s="53">
        <f t="shared" si="1928"/>
        <v>294700</v>
      </c>
      <c r="AR429" s="60">
        <f t="shared" si="2765"/>
        <v>33880</v>
      </c>
      <c r="AS429" s="53">
        <f t="shared" si="2766"/>
        <v>539076</v>
      </c>
      <c r="AT429" s="53">
        <f t="shared" ref="AT429" si="3483">AVERAGE(AS426,AS427,AS428,AS429)</f>
        <v>633786.5</v>
      </c>
      <c r="AU429" s="53">
        <f t="shared" ref="AU429" si="3484">AVERAGE(AT377,AT325,AT273)</f>
        <v>479488</v>
      </c>
      <c r="AV429" s="59">
        <f t="shared" ref="AV429" si="3485">((AS429/AS377)-1)*100</f>
        <v>16.186682874471426</v>
      </c>
      <c r="AW429" s="59">
        <f t="shared" ref="AW429" si="3486">((AT429/AT377)-1)*100</f>
        <v>52.793181778458418</v>
      </c>
      <c r="AX429" s="59">
        <f t="shared" ref="AX429" si="3487">((AT429/AU429)-1)*100</f>
        <v>32.179846002402556</v>
      </c>
      <c r="AZ429" s="53">
        <f t="shared" si="401"/>
        <v>267.19600000000003</v>
      </c>
      <c r="BA429" s="53">
        <f t="shared" si="402"/>
        <v>18</v>
      </c>
      <c r="BB429" s="53">
        <f t="shared" si="403"/>
        <v>250.68</v>
      </c>
      <c r="BC429" s="53">
        <f t="shared" si="404"/>
        <v>3.2</v>
      </c>
      <c r="BD429" s="53">
        <f t="shared" si="405"/>
        <v>539.07600000000002</v>
      </c>
      <c r="BE429" s="60">
        <f t="shared" ref="BE429:BE434" si="3488">+AZ429+BE428</f>
        <v>543.36599999999999</v>
      </c>
      <c r="BF429" s="60">
        <f t="shared" ref="BF429:BH429" si="3489">+BA429+BF428</f>
        <v>36.700000000000003</v>
      </c>
      <c r="BG429" s="60">
        <f t="shared" si="3489"/>
        <v>518.43000000000006</v>
      </c>
      <c r="BH429" s="60">
        <f t="shared" si="3489"/>
        <v>8.1000000000000014</v>
      </c>
      <c r="BI429" s="60">
        <f t="shared" ref="BI429:BI434" si="3490">+BD429+BI428</f>
        <v>1106.596</v>
      </c>
      <c r="BJ429" s="1">
        <f t="shared" ref="BJ429" si="3491">1+BJ428</f>
        <v>2</v>
      </c>
    </row>
    <row r="430" spans="1:62" x14ac:dyDescent="0.3">
      <c r="A430" s="48">
        <f t="shared" si="238"/>
        <v>40565</v>
      </c>
      <c r="B430" s="64">
        <v>147500</v>
      </c>
      <c r="C430" s="64">
        <v>153850</v>
      </c>
      <c r="D430" s="53">
        <v>0</v>
      </c>
      <c r="E430" s="53">
        <f t="shared" si="2986"/>
        <v>301350</v>
      </c>
      <c r="F430" s="53">
        <f t="shared" ref="F430" si="3492">AVERAGE(E427,E428,E429,E430)</f>
        <v>299429</v>
      </c>
      <c r="G430" s="53">
        <f t="shared" ref="G430" si="3493">AVERAGE(F378,F326,F274)</f>
        <v>285003.5</v>
      </c>
      <c r="H430" s="59">
        <f t="shared" ref="H430" si="3494">((E430/E378)-1)*100</f>
        <v>4.6615820621822124</v>
      </c>
      <c r="I430" s="59">
        <f t="shared" ref="I430" si="3495">((F430/F378)-1)*100</f>
        <v>65.560044952331452</v>
      </c>
      <c r="J430" s="59">
        <f t="shared" ref="J430" si="3496">((F430/G430)-1)*100</f>
        <v>5.0615167883903078</v>
      </c>
      <c r="L430" s="53">
        <v>3200</v>
      </c>
      <c r="M430" s="53">
        <v>3300</v>
      </c>
      <c r="N430" s="53">
        <v>12600</v>
      </c>
      <c r="O430" s="53">
        <f t="shared" si="2600"/>
        <v>19100</v>
      </c>
      <c r="P430" s="53">
        <f t="shared" ref="P430" si="3497">AVERAGE(O427,O428,O429,O430)</f>
        <v>20325</v>
      </c>
      <c r="Q430" s="53">
        <f t="shared" ref="Q430" si="3498">AVERAGE(P378,P326,P274)</f>
        <v>14208.083333333334</v>
      </c>
      <c r="R430" s="59">
        <f t="shared" ref="R430" si="3499">((O430/O378)-1)*100</f>
        <v>-31.046931407942235</v>
      </c>
      <c r="S430" s="59">
        <f t="shared" ref="S430" si="3500">((P430/P378)-1)*100</f>
        <v>-8.4778962299197342</v>
      </c>
      <c r="T430" s="59">
        <f t="shared" ref="T430" si="3501">((P430/Q430)-1)*100</f>
        <v>43.052370422939987</v>
      </c>
      <c r="V430" s="64">
        <v>96800</v>
      </c>
      <c r="W430" s="64">
        <v>127700</v>
      </c>
      <c r="X430" s="64">
        <v>29400</v>
      </c>
      <c r="Y430" s="64">
        <f t="shared" si="1916"/>
        <v>253900</v>
      </c>
      <c r="Z430" s="53">
        <f t="shared" ref="Z430" si="3502">AVERAGE(Y427,Y428,Y429,Y430)</f>
        <v>238032.5</v>
      </c>
      <c r="AA430" s="53">
        <f t="shared" ref="AA430" si="3503">AVERAGE(Z378,Z326,Z274)</f>
        <v>191600.5</v>
      </c>
      <c r="AB430" s="59">
        <f t="shared" ref="AB430" si="3504">((Y430/Y378)-1)*100</f>
        <v>-19.699672346831633</v>
      </c>
      <c r="AC430" s="59">
        <f t="shared" ref="AC430" si="3505">((Z430/Z378)-1)*100</f>
        <v>10.278983950344166</v>
      </c>
      <c r="AD430" s="59">
        <f t="shared" ref="AD430" si="3506">((Z430/AA430)-1)*100</f>
        <v>24.233757218796391</v>
      </c>
      <c r="AF430" s="53">
        <v>0</v>
      </c>
      <c r="AG430" s="53">
        <v>0</v>
      </c>
      <c r="AH430" s="64">
        <v>1400</v>
      </c>
      <c r="AI430" s="53">
        <f t="shared" si="2759"/>
        <v>1400</v>
      </c>
      <c r="AJ430" s="53">
        <f t="shared" ref="AJ430" si="3507">AVERAGE(AI427,AI428,AI429,AI430)</f>
        <v>4987.5</v>
      </c>
      <c r="AK430" s="53">
        <f t="shared" ref="AK430" si="3508">AVERAGE(AJ378,AJ326,AJ274)</f>
        <v>9079.1666666666661</v>
      </c>
      <c r="AL430" s="59">
        <f t="shared" ref="AL430" si="3509">((AI430/AI378)-1)*100</f>
        <v>-89.85507246376811</v>
      </c>
      <c r="AM430" s="59">
        <f t="shared" ref="AM430" si="3510">((AJ430/AJ378)-1)*100</f>
        <v>-45.41723666210671</v>
      </c>
      <c r="AN430" s="59">
        <f t="shared" ref="AN430" si="3511">((AJ430/AK430)-1)*100</f>
        <v>-45.06654428636989</v>
      </c>
      <c r="AP430" s="60">
        <f t="shared" si="1927"/>
        <v>247500</v>
      </c>
      <c r="AQ430" s="53">
        <f t="shared" si="1928"/>
        <v>284850</v>
      </c>
      <c r="AR430" s="60">
        <f t="shared" si="2765"/>
        <v>43400</v>
      </c>
      <c r="AS430" s="53">
        <f t="shared" si="2766"/>
        <v>575750</v>
      </c>
      <c r="AT430" s="53">
        <f t="shared" ref="AT430" si="3512">AVERAGE(AS427,AS428,AS429,AS430)</f>
        <v>562774</v>
      </c>
      <c r="AU430" s="53">
        <f t="shared" ref="AU430" si="3513">AVERAGE(AT378,AT326,AT274)</f>
        <v>499891.25</v>
      </c>
      <c r="AV430" s="59">
        <f t="shared" ref="AV430" si="3514">((AS430/AS378)-1)*100</f>
        <v>-10.821602934251938</v>
      </c>
      <c r="AW430" s="59">
        <f t="shared" ref="AW430" si="3515">((AT430/AT378)-1)*100</f>
        <v>31.474123596759007</v>
      </c>
      <c r="AX430" s="59">
        <f t="shared" ref="AX430" si="3516">((AT430/AU430)-1)*100</f>
        <v>12.579285994703838</v>
      </c>
      <c r="AZ430" s="53">
        <f t="shared" si="401"/>
        <v>301.35000000000002</v>
      </c>
      <c r="BA430" s="53">
        <f t="shared" si="402"/>
        <v>19.100000000000001</v>
      </c>
      <c r="BB430" s="53">
        <f t="shared" si="403"/>
        <v>253.9</v>
      </c>
      <c r="BC430" s="53">
        <f t="shared" si="404"/>
        <v>1.4</v>
      </c>
      <c r="BD430" s="53">
        <f t="shared" si="405"/>
        <v>575.75</v>
      </c>
      <c r="BE430" s="60">
        <f t="shared" si="3488"/>
        <v>844.71600000000001</v>
      </c>
      <c r="BF430" s="60">
        <f t="shared" ref="BF430" si="3517">+BA430+BF429</f>
        <v>55.800000000000004</v>
      </c>
      <c r="BG430" s="60">
        <f t="shared" ref="BG430" si="3518">+BB430+BG429</f>
        <v>772.33</v>
      </c>
      <c r="BH430" s="60">
        <f t="shared" ref="BH430" si="3519">+BC430+BH429</f>
        <v>9.5000000000000018</v>
      </c>
      <c r="BI430" s="60">
        <f t="shared" si="3490"/>
        <v>1682.346</v>
      </c>
      <c r="BJ430" s="1">
        <v>3</v>
      </c>
    </row>
    <row r="431" spans="1:62" x14ac:dyDescent="0.3">
      <c r="A431" s="48">
        <f t="shared" si="238"/>
        <v>40572</v>
      </c>
      <c r="B431" s="64">
        <v>193600</v>
      </c>
      <c r="C431" s="64">
        <v>147800</v>
      </c>
      <c r="D431" s="53">
        <v>0</v>
      </c>
      <c r="E431" s="53">
        <f t="shared" si="2986"/>
        <v>341400</v>
      </c>
      <c r="F431" s="53">
        <f t="shared" ref="F431" si="3520">AVERAGE(E428,E429,E430,E431)</f>
        <v>296529</v>
      </c>
      <c r="G431" s="53">
        <f t="shared" ref="G431" si="3521">AVERAGE(F379,F327,F275)</f>
        <v>289523.91666666669</v>
      </c>
      <c r="H431" s="59">
        <f t="shared" ref="H431" si="3522">((E431/E379)-1)*100</f>
        <v>-2.3930011150184449</v>
      </c>
      <c r="I431" s="59">
        <f t="shared" ref="I431" si="3523">((F431/F379)-1)*100</f>
        <v>26.527137736815163</v>
      </c>
      <c r="J431" s="59">
        <f t="shared" ref="J431" si="3524">((F431/G431)-1)*100</f>
        <v>2.4195180190928367</v>
      </c>
      <c r="L431" s="53">
        <v>3200</v>
      </c>
      <c r="M431" s="53">
        <v>5100</v>
      </c>
      <c r="N431" s="53">
        <v>12700</v>
      </c>
      <c r="O431" s="53">
        <f t="shared" si="2600"/>
        <v>21000</v>
      </c>
      <c r="P431" s="53">
        <f t="shared" ref="P431" si="3525">AVERAGE(O428,O429,O430,O431)</f>
        <v>19200</v>
      </c>
      <c r="Q431" s="53">
        <f t="shared" ref="Q431" si="3526">AVERAGE(P379,P327,P275)</f>
        <v>13564.166666666666</v>
      </c>
      <c r="R431" s="59">
        <f t="shared" ref="R431" si="3527">((O431/O379)-1)*100</f>
        <v>21.037463976945237</v>
      </c>
      <c r="S431" s="59">
        <f t="shared" ref="S431" si="3528">((P431/P379)-1)*100</f>
        <v>-17.90837377343566</v>
      </c>
      <c r="T431" s="59">
        <f t="shared" ref="T431" si="3529">((P431/Q431)-1)*100</f>
        <v>41.549425569822461</v>
      </c>
      <c r="V431" s="64">
        <v>79900</v>
      </c>
      <c r="W431" s="64">
        <v>104250</v>
      </c>
      <c r="X431" s="64">
        <v>32218</v>
      </c>
      <c r="Y431" s="64">
        <f t="shared" si="1916"/>
        <v>216368</v>
      </c>
      <c r="Z431" s="53">
        <f t="shared" ref="Z431" si="3530">AVERAGE(Y428,Y429,Y430,Y431)</f>
        <v>247174.5</v>
      </c>
      <c r="AA431" s="53">
        <f t="shared" ref="AA431" si="3531">AVERAGE(Z379,Z327,Z275)</f>
        <v>193801.75</v>
      </c>
      <c r="AB431" s="59">
        <f t="shared" ref="AB431" si="3532">((Y431/Y379)-1)*100</f>
        <v>-19.624960066568097</v>
      </c>
      <c r="AC431" s="59">
        <f t="shared" ref="AC431" si="3533">((Z431/Z379)-1)*100</f>
        <v>0.80793332612814073</v>
      </c>
      <c r="AD431" s="59">
        <f t="shared" ref="AD431" si="3534">((Z431/AA431)-1)*100</f>
        <v>27.539869996013966</v>
      </c>
      <c r="AF431" s="53">
        <v>0</v>
      </c>
      <c r="AG431" s="53">
        <v>3200</v>
      </c>
      <c r="AH431" s="64">
        <v>1400</v>
      </c>
      <c r="AI431" s="53">
        <f t="shared" si="2759"/>
        <v>4600</v>
      </c>
      <c r="AJ431" s="53">
        <f t="shared" ref="AJ431" si="3535">AVERAGE(AI428,AI429,AI430,AI431)</f>
        <v>3525</v>
      </c>
      <c r="AK431" s="53">
        <f t="shared" ref="AK431" si="3536">AVERAGE(AJ379,AJ327,AJ275)</f>
        <v>8104.166666666667</v>
      </c>
      <c r="AL431" s="59">
        <f t="shared" ref="AL431" si="3537">((AI431/AI379)-1)*100</f>
        <v>-35.2112676056338</v>
      </c>
      <c r="AM431" s="59">
        <f t="shared" ref="AM431" si="3538">((AJ431/AJ379)-1)*100</f>
        <v>-61.527967257844473</v>
      </c>
      <c r="AN431" s="59">
        <f t="shared" ref="AN431" si="3539">((AJ431/AK431)-1)*100</f>
        <v>-56.503856041131108</v>
      </c>
      <c r="AP431" s="60">
        <f t="shared" si="1927"/>
        <v>276700</v>
      </c>
      <c r="AQ431" s="53">
        <f t="shared" si="1928"/>
        <v>260350</v>
      </c>
      <c r="AR431" s="60">
        <f t="shared" si="2765"/>
        <v>46318</v>
      </c>
      <c r="AS431" s="53">
        <f t="shared" si="2766"/>
        <v>583368</v>
      </c>
      <c r="AT431" s="53">
        <f t="shared" ref="AT431" si="3540">AVERAGE(AS428,AS429,AS430,AS431)</f>
        <v>566428.5</v>
      </c>
      <c r="AU431" s="53">
        <f t="shared" ref="AU431" si="3541">AVERAGE(AT379,AT327,AT275)</f>
        <v>504994</v>
      </c>
      <c r="AV431" s="59">
        <f t="shared" ref="AV431" si="3542">((AS431/AS379)-1)*100</f>
        <v>-9.33296861449322</v>
      </c>
      <c r="AW431" s="59">
        <f t="shared" ref="AW431" si="3543">((AT431/AT379)-1)*100</f>
        <v>10.607991142432848</v>
      </c>
      <c r="AX431" s="59">
        <f t="shared" ref="AX431" si="3544">((AT431/AU431)-1)*100</f>
        <v>12.165392064064129</v>
      </c>
      <c r="AZ431" s="53">
        <f t="shared" si="401"/>
        <v>341.4</v>
      </c>
      <c r="BA431" s="53">
        <f t="shared" si="402"/>
        <v>21</v>
      </c>
      <c r="BB431" s="53">
        <f t="shared" si="403"/>
        <v>216.36799999999999</v>
      </c>
      <c r="BC431" s="53">
        <f t="shared" si="404"/>
        <v>4.5999999999999996</v>
      </c>
      <c r="BD431" s="53">
        <f t="shared" si="405"/>
        <v>583.36800000000005</v>
      </c>
      <c r="BE431" s="60">
        <f t="shared" si="3488"/>
        <v>1186.116</v>
      </c>
      <c r="BF431" s="60">
        <f t="shared" ref="BF431" si="3545">+BA431+BF430</f>
        <v>76.800000000000011</v>
      </c>
      <c r="BG431" s="60">
        <f t="shared" ref="BG431" si="3546">+BB431+BG430</f>
        <v>988.69800000000009</v>
      </c>
      <c r="BH431" s="60">
        <f t="shared" ref="BH431" si="3547">+BC431+BH430</f>
        <v>14.100000000000001</v>
      </c>
      <c r="BI431" s="60">
        <f t="shared" si="3490"/>
        <v>2265.7139999999999</v>
      </c>
      <c r="BJ431" s="1">
        <v>4</v>
      </c>
    </row>
    <row r="432" spans="1:62" x14ac:dyDescent="0.3">
      <c r="A432" s="48">
        <f t="shared" si="238"/>
        <v>40579</v>
      </c>
      <c r="B432" s="64">
        <v>95300</v>
      </c>
      <c r="C432" s="64">
        <v>169726</v>
      </c>
      <c r="D432" s="53">
        <v>0</v>
      </c>
      <c r="E432" s="53">
        <f t="shared" si="2986"/>
        <v>265026</v>
      </c>
      <c r="F432" s="53">
        <f t="shared" ref="F432" si="3548">AVERAGE(E429,E430,E431,E432)</f>
        <v>293743</v>
      </c>
      <c r="G432" s="53">
        <f t="shared" ref="G432" si="3549">AVERAGE(F380,F328,F276)</f>
        <v>316972.33333333331</v>
      </c>
      <c r="H432" s="59">
        <f t="shared" ref="H432" si="3550">((E432/E380)-1)*100</f>
        <v>-16.293128497972287</v>
      </c>
      <c r="I432" s="59">
        <f t="shared" ref="I432" si="3551">((F432/F380)-1)*100</f>
        <v>4.2464355741675508</v>
      </c>
      <c r="J432" s="59">
        <f t="shared" ref="J432" si="3552">((F432/G432)-1)*100</f>
        <v>-7.3285050114783923</v>
      </c>
      <c r="L432" s="53">
        <v>0</v>
      </c>
      <c r="M432" s="53">
        <v>5300</v>
      </c>
      <c r="N432" s="53">
        <v>9800</v>
      </c>
      <c r="O432" s="53">
        <f t="shared" si="2600"/>
        <v>15100</v>
      </c>
      <c r="P432" s="53">
        <f t="shared" ref="P432" si="3553">AVERAGE(O429,O430,O431,O432)</f>
        <v>18300</v>
      </c>
      <c r="Q432" s="53">
        <f t="shared" ref="Q432" si="3554">AVERAGE(P380,P328,P276)</f>
        <v>17001.833333333332</v>
      </c>
      <c r="R432" s="59">
        <f t="shared" ref="R432" si="3555">((O432/O380)-1)*100</f>
        <v>-64.047619047619037</v>
      </c>
      <c r="S432" s="59">
        <f t="shared" ref="S432" si="3556">((P432/P380)-1)*100</f>
        <v>-42.700587084148736</v>
      </c>
      <c r="T432" s="59">
        <f t="shared" ref="T432" si="3557">((P432/Q432)-1)*100</f>
        <v>7.6354510788052332</v>
      </c>
      <c r="V432" s="64">
        <v>61400</v>
      </c>
      <c r="W432" s="64">
        <v>82768</v>
      </c>
      <c r="X432" s="64">
        <v>30800</v>
      </c>
      <c r="Y432" s="64">
        <f t="shared" si="1916"/>
        <v>174968</v>
      </c>
      <c r="Z432" s="53">
        <f t="shared" ref="Z432" si="3558">AVERAGE(Y429,Y430,Y431,Y432)</f>
        <v>223979</v>
      </c>
      <c r="AA432" s="53">
        <f t="shared" ref="AA432" si="3559">AVERAGE(Z380,Z328,Z276)</f>
        <v>210052.41666666666</v>
      </c>
      <c r="AB432" s="59">
        <f t="shared" ref="AB432" si="3560">((Y432/Y380)-1)*100</f>
        <v>-44.112000868818058</v>
      </c>
      <c r="AC432" s="59">
        <f t="shared" ref="AC432" si="3561">((Z432/Z380)-1)*100</f>
        <v>-21.926504689641835</v>
      </c>
      <c r="AD432" s="59">
        <f t="shared" ref="AD432" si="3562">((Z432/AA432)-1)*100</f>
        <v>6.6300514673123256</v>
      </c>
      <c r="AF432" s="53">
        <v>0</v>
      </c>
      <c r="AG432" s="53">
        <v>0</v>
      </c>
      <c r="AH432" s="64">
        <v>7300</v>
      </c>
      <c r="AI432" s="53">
        <f t="shared" si="2759"/>
        <v>7300</v>
      </c>
      <c r="AJ432" s="53">
        <f t="shared" ref="AJ432" si="3563">AVERAGE(AI429,AI430,AI431,AI432)</f>
        <v>4125</v>
      </c>
      <c r="AK432" s="53">
        <f t="shared" ref="AK432" si="3564">AVERAGE(AJ380,AJ328,AJ276)</f>
        <v>8591.6666666666661</v>
      </c>
      <c r="AL432" s="59">
        <f t="shared" ref="AL432" si="3565">((AI432/AI380)-1)*100</f>
        <v>-63.681592039800996</v>
      </c>
      <c r="AM432" s="59">
        <f t="shared" ref="AM432" si="3566">((AJ432/AJ380)-1)*100</f>
        <v>-61.084905660377366</v>
      </c>
      <c r="AN432" s="59">
        <f t="shared" ref="AN432" si="3567">((AJ432/AK432)-1)*100</f>
        <v>-51.988360814742961</v>
      </c>
      <c r="AP432" s="60">
        <f t="shared" si="1927"/>
        <v>156700</v>
      </c>
      <c r="AQ432" s="53">
        <f t="shared" si="1928"/>
        <v>257794</v>
      </c>
      <c r="AR432" s="60">
        <f t="shared" si="2765"/>
        <v>47900</v>
      </c>
      <c r="AS432" s="53">
        <f t="shared" si="2766"/>
        <v>462394</v>
      </c>
      <c r="AT432" s="53">
        <f t="shared" ref="AT432" si="3568">AVERAGE(AS429,AS430,AS431,AS432)</f>
        <v>540147</v>
      </c>
      <c r="AU432" s="53">
        <f t="shared" ref="AU432" si="3569">AVERAGE(AT380,AT328,AT276)</f>
        <v>552618.25</v>
      </c>
      <c r="AV432" s="59">
        <f t="shared" ref="AV432" si="3570">((AS432/AS380)-1)*100</f>
        <v>-33.158904335331563</v>
      </c>
      <c r="AW432" s="59">
        <f t="shared" ref="AW432" si="3571">((AT432/AT380)-1)*100</f>
        <v>-11.62476598184956</v>
      </c>
      <c r="AX432" s="59">
        <f t="shared" ref="AX432" si="3572">((AT432/AU432)-1)*100</f>
        <v>-2.256756811777394</v>
      </c>
      <c r="AZ432" s="53">
        <f t="shared" si="401"/>
        <v>265.02600000000001</v>
      </c>
      <c r="BA432" s="53">
        <f t="shared" si="402"/>
        <v>15.1</v>
      </c>
      <c r="BB432" s="53">
        <f t="shared" si="403"/>
        <v>174.96799999999999</v>
      </c>
      <c r="BC432" s="53">
        <f t="shared" si="404"/>
        <v>7.3</v>
      </c>
      <c r="BD432" s="53">
        <f t="shared" si="405"/>
        <v>462.39400000000001</v>
      </c>
      <c r="BE432" s="60">
        <f t="shared" si="3488"/>
        <v>1451.1420000000001</v>
      </c>
      <c r="BF432" s="60">
        <f t="shared" ref="BF432" si="3573">+BA432+BF431</f>
        <v>91.9</v>
      </c>
      <c r="BG432" s="60">
        <f t="shared" ref="BG432" si="3574">+BB432+BG431</f>
        <v>1163.6660000000002</v>
      </c>
      <c r="BH432" s="60">
        <f t="shared" ref="BH432" si="3575">+BC432+BH431</f>
        <v>21.400000000000002</v>
      </c>
      <c r="BI432" s="60">
        <f t="shared" si="3490"/>
        <v>2728.1080000000002</v>
      </c>
      <c r="BJ432" s="1">
        <v>5</v>
      </c>
    </row>
    <row r="433" spans="1:65" x14ac:dyDescent="0.3">
      <c r="A433" s="48">
        <f t="shared" si="238"/>
        <v>40586</v>
      </c>
      <c r="B433" s="64">
        <v>71800</v>
      </c>
      <c r="C433" s="64">
        <v>161318</v>
      </c>
      <c r="D433" s="53">
        <v>0</v>
      </c>
      <c r="E433" s="53">
        <f t="shared" si="2986"/>
        <v>233118</v>
      </c>
      <c r="F433" s="53">
        <f t="shared" ref="F433" si="3576">AVERAGE(E430,E431,E432,E433)</f>
        <v>285223.5</v>
      </c>
      <c r="G433" s="53">
        <f t="shared" ref="G433" si="3577">AVERAGE(F381,F329,F277)</f>
        <v>314221.75</v>
      </c>
      <c r="H433" s="59">
        <f t="shared" ref="H433" si="3578">((E433/E381)-1)*100</f>
        <v>-35.868500687757908</v>
      </c>
      <c r="I433" s="59">
        <f t="shared" ref="I433" si="3579">((F433/F381)-1)*100</f>
        <v>-13.425000569126055</v>
      </c>
      <c r="J433" s="59">
        <f t="shared" ref="J433" si="3580">((F433/G433)-1)*100</f>
        <v>-9.2285941377387104</v>
      </c>
      <c r="L433" s="53">
        <v>0</v>
      </c>
      <c r="M433" s="53">
        <v>10050</v>
      </c>
      <c r="N433" s="53">
        <v>5600</v>
      </c>
      <c r="O433" s="53">
        <f t="shared" si="2600"/>
        <v>15650</v>
      </c>
      <c r="P433" s="53">
        <f t="shared" ref="P433" si="3581">AVERAGE(O430,O431,O432,O433)</f>
        <v>17712.5</v>
      </c>
      <c r="Q433" s="53">
        <f t="shared" ref="Q433" si="3582">AVERAGE(P381,P329,P277)</f>
        <v>18097.583333333332</v>
      </c>
      <c r="R433" s="59">
        <f t="shared" ref="R433" si="3583">((O433/O381)-1)*100</f>
        <v>-32.397408207343418</v>
      </c>
      <c r="S433" s="59">
        <f t="shared" ref="S433" si="3584">((P433/P381)-1)*100</f>
        <v>-35.707803992740473</v>
      </c>
      <c r="T433" s="59">
        <f t="shared" ref="T433" si="3585">((P433/Q433)-1)*100</f>
        <v>-2.1278163290678664</v>
      </c>
      <c r="V433" s="64">
        <v>93700</v>
      </c>
      <c r="W433" s="64">
        <v>107726</v>
      </c>
      <c r="X433" s="64">
        <v>28000</v>
      </c>
      <c r="Y433" s="64">
        <f t="shared" si="1916"/>
        <v>229426</v>
      </c>
      <c r="Z433" s="53">
        <f t="shared" ref="Z433" si="3586">AVERAGE(Y430,Y431,Y432,Y433)</f>
        <v>218665.5</v>
      </c>
      <c r="AA433" s="53">
        <f t="shared" ref="AA433" si="3587">AVERAGE(Z381,Z329,Z277)</f>
        <v>207478.33333333334</v>
      </c>
      <c r="AB433" s="59">
        <f t="shared" ref="AB433" si="3588">((Y433/Y381)-1)*100</f>
        <v>-18.799616341583402</v>
      </c>
      <c r="AC433" s="59">
        <f t="shared" ref="AC433" si="3589">((Z433/Z381)-1)*100</f>
        <v>-25.938739947061716</v>
      </c>
      <c r="AD433" s="59">
        <f t="shared" ref="AD433" si="3590">((Z433/AA433)-1)*100</f>
        <v>5.3919686392956745</v>
      </c>
      <c r="AF433" s="53">
        <v>0</v>
      </c>
      <c r="AG433" s="53">
        <v>0</v>
      </c>
      <c r="AH433" s="64">
        <v>1500</v>
      </c>
      <c r="AI433" s="53">
        <f t="shared" si="2759"/>
        <v>1500</v>
      </c>
      <c r="AJ433" s="53">
        <f t="shared" ref="AJ433" si="3591">AVERAGE(AI430,AI431,AI432,AI433)</f>
        <v>3700</v>
      </c>
      <c r="AK433" s="53">
        <f t="shared" ref="AK433" si="3592">AVERAGE(AJ381,AJ329,AJ277)</f>
        <v>9358.3333333333339</v>
      </c>
      <c r="AL433" s="59">
        <f t="shared" ref="AL433" si="3593">((AI433/AI381)-1)*100</f>
        <v>-78.571428571428569</v>
      </c>
      <c r="AM433" s="59">
        <f t="shared" ref="AM433" si="3594">((AJ433/AJ381)-1)*100</f>
        <v>-69.166666666666671</v>
      </c>
      <c r="AN433" s="59">
        <f t="shared" ref="AN433" si="3595">((AJ433/AK433)-1)*100</f>
        <v>-60.463045414069462</v>
      </c>
      <c r="AP433" s="60">
        <f t="shared" si="1927"/>
        <v>165500</v>
      </c>
      <c r="AQ433" s="53">
        <f t="shared" si="1928"/>
        <v>279094</v>
      </c>
      <c r="AR433" s="60">
        <f t="shared" si="2765"/>
        <v>35100</v>
      </c>
      <c r="AS433" s="53">
        <f t="shared" si="2766"/>
        <v>479694</v>
      </c>
      <c r="AT433" s="53">
        <f t="shared" ref="AT433" si="3596">AVERAGE(AS430,AS431,AS432,AS433)</f>
        <v>525301.5</v>
      </c>
      <c r="AU433" s="53">
        <f t="shared" ref="AU433" si="3597">AVERAGE(AT381,AT329,AT277)</f>
        <v>549156</v>
      </c>
      <c r="AV433" s="59">
        <f t="shared" ref="AV433" si="3598">((AS433/AS381)-1)*100</f>
        <v>-29.05960280570784</v>
      </c>
      <c r="AW433" s="59">
        <f t="shared" ref="AW433" si="3599">((AT433/AT381)-1)*100</f>
        <v>-20.918341231942094</v>
      </c>
      <c r="AX433" s="59">
        <f t="shared" ref="AX433" si="3600">((AT433/AU433)-1)*100</f>
        <v>-4.3438476498481311</v>
      </c>
      <c r="AZ433" s="53">
        <f t="shared" si="401"/>
        <v>233.11799999999999</v>
      </c>
      <c r="BA433" s="53">
        <f t="shared" si="402"/>
        <v>15.65</v>
      </c>
      <c r="BB433" s="53">
        <f t="shared" si="403"/>
        <v>229.42599999999999</v>
      </c>
      <c r="BC433" s="53">
        <f t="shared" si="404"/>
        <v>1.5</v>
      </c>
      <c r="BD433" s="53">
        <f t="shared" si="405"/>
        <v>479.69400000000002</v>
      </c>
      <c r="BE433" s="60">
        <f t="shared" si="3488"/>
        <v>1684.26</v>
      </c>
      <c r="BF433" s="60">
        <f t="shared" ref="BF433" si="3601">+BA433+BF432</f>
        <v>107.55000000000001</v>
      </c>
      <c r="BG433" s="60">
        <f t="shared" ref="BG433" si="3602">+BB433+BG432</f>
        <v>1393.0920000000001</v>
      </c>
      <c r="BH433" s="60">
        <f t="shared" ref="BH433" si="3603">+BC433+BH432</f>
        <v>22.900000000000002</v>
      </c>
      <c r="BI433" s="60">
        <f t="shared" si="3490"/>
        <v>3207.8020000000001</v>
      </c>
      <c r="BJ433" s="1">
        <v>6</v>
      </c>
    </row>
    <row r="434" spans="1:65" x14ac:dyDescent="0.3">
      <c r="A434" s="48">
        <f t="shared" si="238"/>
        <v>40593</v>
      </c>
      <c r="B434" s="64">
        <v>187725</v>
      </c>
      <c r="C434" s="64">
        <v>182225</v>
      </c>
      <c r="D434" s="53">
        <v>0</v>
      </c>
      <c r="E434" s="53">
        <f t="shared" si="2986"/>
        <v>369950</v>
      </c>
      <c r="F434" s="53">
        <f t="shared" ref="F434" si="3604">AVERAGE(E431,E432,E433,E434)</f>
        <v>302373.5</v>
      </c>
      <c r="G434" s="53">
        <f t="shared" ref="G434" si="3605">AVERAGE(F382,F330,F278)</f>
        <v>313727.66666666669</v>
      </c>
      <c r="H434" s="59">
        <f t="shared" ref="H434" si="3606">((E434/E382)-1)*100</f>
        <v>15.927450943526299</v>
      </c>
      <c r="I434" s="59">
        <f t="shared" ref="I434" si="3607">((F434/F382)-1)*100</f>
        <v>-10.341703953435278</v>
      </c>
      <c r="J434" s="59">
        <f t="shared" ref="J434" si="3608">((F434/G434)-1)*100</f>
        <v>-3.6191155173861067</v>
      </c>
      <c r="L434" s="53">
        <v>6400</v>
      </c>
      <c r="M434" s="53">
        <v>8550</v>
      </c>
      <c r="N434" s="53">
        <v>4253</v>
      </c>
      <c r="O434" s="53">
        <f t="shared" si="2600"/>
        <v>19203</v>
      </c>
      <c r="P434" s="53">
        <f t="shared" ref="P434" si="3609">AVERAGE(O431,O432,O433,O434)</f>
        <v>17738.25</v>
      </c>
      <c r="Q434" s="53">
        <f t="shared" ref="Q434" si="3610">AVERAGE(P382,P330,P278)</f>
        <v>17304.25</v>
      </c>
      <c r="R434" s="59">
        <f t="shared" ref="R434" si="3611">((O434/O382)-1)*100</f>
        <v>147.07925887802369</v>
      </c>
      <c r="S434" s="59">
        <f t="shared" ref="S434" si="3612">((P434/P382)-1)*100</f>
        <v>-21.400877348457993</v>
      </c>
      <c r="T434" s="59">
        <f t="shared" ref="T434" si="3613">((P434/Q434)-1)*100</f>
        <v>2.5080543797044053</v>
      </c>
      <c r="V434" s="64">
        <v>137000</v>
      </c>
      <c r="W434" s="64">
        <v>102527</v>
      </c>
      <c r="X434" s="64">
        <v>42804</v>
      </c>
      <c r="Y434" s="64">
        <f t="shared" si="1916"/>
        <v>282331</v>
      </c>
      <c r="Z434" s="53">
        <f t="shared" ref="Z434" si="3614">AVERAGE(Y431,Y432,Y433,Y434)</f>
        <v>225773.25</v>
      </c>
      <c r="AA434" s="53">
        <f t="shared" ref="AA434" si="3615">AVERAGE(Z382,Z330,Z278)</f>
        <v>185411.25</v>
      </c>
      <c r="AB434" s="59">
        <f t="shared" ref="AB434" si="3616">((Y434/Y382)-1)*100</f>
        <v>32.246777336431087</v>
      </c>
      <c r="AC434" s="59">
        <f t="shared" ref="AC434" si="3617">((Z434/Z382)-1)*100</f>
        <v>-16.248291288679006</v>
      </c>
      <c r="AD434" s="59">
        <f t="shared" ref="AD434" si="3618">((Z434/AA434)-1)*100</f>
        <v>21.768905608478441</v>
      </c>
      <c r="AF434" s="53">
        <v>0</v>
      </c>
      <c r="AG434" s="53">
        <v>4800</v>
      </c>
      <c r="AH434" s="64">
        <v>8400</v>
      </c>
      <c r="AI434" s="53">
        <f t="shared" si="2759"/>
        <v>13200</v>
      </c>
      <c r="AJ434" s="53">
        <f t="shared" ref="AJ434" si="3619">AVERAGE(AI431,AI432,AI433,AI434)</f>
        <v>6650</v>
      </c>
      <c r="AK434" s="53">
        <f t="shared" ref="AK434" si="3620">AVERAGE(AJ382,AJ330,AJ278)</f>
        <v>9607.0833333333339</v>
      </c>
      <c r="AL434" s="59">
        <f t="shared" ref="AL434" si="3621">((AI434/AI382)-1)*100</f>
        <v>57.142857142857139</v>
      </c>
      <c r="AM434" s="59">
        <f t="shared" ref="AM434" si="3622">((AJ434/AJ382)-1)*100</f>
        <v>-37.558685446009385</v>
      </c>
      <c r="AN434" s="59">
        <f t="shared" ref="AN434" si="3623">((AJ434/AK434)-1)*100</f>
        <v>-30.78024027410331</v>
      </c>
      <c r="AP434" s="60">
        <f t="shared" si="1927"/>
        <v>331125</v>
      </c>
      <c r="AQ434" s="53">
        <f t="shared" si="1928"/>
        <v>298102</v>
      </c>
      <c r="AR434" s="60">
        <f t="shared" si="2765"/>
        <v>55457</v>
      </c>
      <c r="AS434" s="53">
        <f t="shared" si="2766"/>
        <v>684684</v>
      </c>
      <c r="AT434" s="53">
        <f t="shared" ref="AT434" si="3624">AVERAGE(AS431,AS432,AS433,AS434)</f>
        <v>552535</v>
      </c>
      <c r="AU434" s="53">
        <f t="shared" ref="AU434" si="3625">AVERAGE(AT382,AT330,AT278)</f>
        <v>526050.25</v>
      </c>
      <c r="AV434" s="59">
        <f t="shared" ref="AV434" si="3626">((AS434/AS382)-1)*100</f>
        <v>24.764296205050449</v>
      </c>
      <c r="AW434" s="59">
        <f t="shared" ref="AW434" si="3627">((AT434/AT382)-1)*100</f>
        <v>-13.672273837637594</v>
      </c>
      <c r="AX434" s="59">
        <f t="shared" ref="AX434" si="3628">((AT434/AU434)-1)*100</f>
        <v>5.0346426030593028</v>
      </c>
      <c r="AZ434" s="53">
        <f t="shared" si="401"/>
        <v>369.95</v>
      </c>
      <c r="BA434" s="53">
        <f t="shared" si="402"/>
        <v>19.202999999999999</v>
      </c>
      <c r="BB434" s="53">
        <f t="shared" si="403"/>
        <v>282.33100000000002</v>
      </c>
      <c r="BC434" s="53">
        <f t="shared" si="404"/>
        <v>13.2</v>
      </c>
      <c r="BD434" s="53">
        <f t="shared" si="405"/>
        <v>684.68399999999997</v>
      </c>
      <c r="BE434" s="60">
        <f t="shared" si="3488"/>
        <v>2054.21</v>
      </c>
      <c r="BF434" s="60">
        <f t="shared" ref="BF434" si="3629">+BA434+BF433</f>
        <v>126.75300000000001</v>
      </c>
      <c r="BG434" s="60">
        <f t="shared" ref="BG434" si="3630">+BB434+BG433</f>
        <v>1675.4230000000002</v>
      </c>
      <c r="BH434" s="60">
        <f t="shared" ref="BH434" si="3631">+BC434+BH433</f>
        <v>36.1</v>
      </c>
      <c r="BI434" s="60">
        <f t="shared" si="3490"/>
        <v>3892.4859999999999</v>
      </c>
      <c r="BJ434" s="1">
        <v>7</v>
      </c>
    </row>
    <row r="435" spans="1:65" x14ac:dyDescent="0.3">
      <c r="A435" s="48">
        <f t="shared" si="238"/>
        <v>40600</v>
      </c>
      <c r="B435" s="64">
        <v>213378</v>
      </c>
      <c r="C435" s="64">
        <v>121750</v>
      </c>
      <c r="D435" s="53">
        <v>0</v>
      </c>
      <c r="E435" s="53">
        <f t="shared" si="2986"/>
        <v>335128</v>
      </c>
      <c r="F435" s="53">
        <f t="shared" ref="F435" si="3632">AVERAGE(E432,E433,E434,E435)</f>
        <v>300805.5</v>
      </c>
      <c r="G435" s="53">
        <f t="shared" ref="G435" si="3633">AVERAGE(F383,F331,F279)</f>
        <v>346737.75</v>
      </c>
      <c r="H435" s="59">
        <f t="shared" ref="H435" si="3634">((E435/E383)-1)*100</f>
        <v>-12.259591469129793</v>
      </c>
      <c r="I435" s="59">
        <f t="shared" ref="I435" si="3635">((F435/F383)-1)*100</f>
        <v>-12.884994656773729</v>
      </c>
      <c r="J435" s="59">
        <f t="shared" ref="J435" si="3636">((F435/G435)-1)*100</f>
        <v>-13.246971234023409</v>
      </c>
      <c r="L435" s="53">
        <v>7600</v>
      </c>
      <c r="M435" s="53">
        <v>0</v>
      </c>
      <c r="N435" s="53">
        <v>2800</v>
      </c>
      <c r="O435" s="53">
        <f t="shared" si="2600"/>
        <v>10400</v>
      </c>
      <c r="P435" s="53">
        <f t="shared" ref="P435" si="3637">AVERAGE(O432,O433,O434,O435)</f>
        <v>15088.25</v>
      </c>
      <c r="Q435" s="53">
        <f t="shared" ref="Q435" si="3638">AVERAGE(P383,P331,P279)</f>
        <v>18769.666666666668</v>
      </c>
      <c r="R435" s="59">
        <f t="shared" ref="R435" si="3639">((O435/O383)-1)*100</f>
        <v>73.333333333333343</v>
      </c>
      <c r="S435" s="59">
        <f t="shared" ref="S435" si="3640">((P435/P383)-1)*100</f>
        <v>-23.528293758394359</v>
      </c>
      <c r="T435" s="59">
        <f t="shared" ref="T435" si="3641">((P435/Q435)-1)*100</f>
        <v>-19.613649682999167</v>
      </c>
      <c r="V435" s="64">
        <v>113600</v>
      </c>
      <c r="W435" s="64">
        <v>74700</v>
      </c>
      <c r="X435" s="64">
        <v>37800</v>
      </c>
      <c r="Y435" s="64">
        <f t="shared" si="1916"/>
        <v>226100</v>
      </c>
      <c r="Z435" s="53">
        <f t="shared" ref="Z435" si="3642">AVERAGE(Y432,Y433,Y434,Y435)</f>
        <v>228206.25</v>
      </c>
      <c r="AA435" s="53">
        <f t="shared" ref="AA435" si="3643">AVERAGE(Z383,Z331,Z279)</f>
        <v>196828.83333333334</v>
      </c>
      <c r="AB435" s="59">
        <f t="shared" ref="AB435" si="3644">((Y435/Y383)-1)*100</f>
        <v>15.993925837762401</v>
      </c>
      <c r="AC435" s="59">
        <f t="shared" ref="AC435" si="3645">((Z435/Z383)-1)*100</f>
        <v>-9.0833486052126275</v>
      </c>
      <c r="AD435" s="59">
        <f t="shared" ref="AD435" si="3646">((Z435/AA435)-1)*100</f>
        <v>15.941473683140938</v>
      </c>
      <c r="AF435" s="53">
        <v>3100</v>
      </c>
      <c r="AG435" s="53">
        <v>0</v>
      </c>
      <c r="AH435" s="64">
        <v>4200</v>
      </c>
      <c r="AI435" s="53">
        <f t="shared" si="2759"/>
        <v>7300</v>
      </c>
      <c r="AJ435" s="53">
        <f t="shared" ref="AJ435" si="3647">AVERAGE(AI432,AI433,AI434,AI435)</f>
        <v>7325</v>
      </c>
      <c r="AK435" s="53">
        <f t="shared" ref="AK435" si="3648">AVERAGE(AJ383,AJ331,AJ279)</f>
        <v>10352.916666666666</v>
      </c>
      <c r="AL435" s="59">
        <f t="shared" ref="AL435" si="3649">((AI435/AI383)-1)*100</f>
        <v>143.33333333333331</v>
      </c>
      <c r="AM435" s="59">
        <f t="shared" ref="AM435" si="3650">((AJ435/AJ383)-1)*100</f>
        <v>-23.896103896103892</v>
      </c>
      <c r="AN435" s="59">
        <f t="shared" ref="AN435" si="3651">((AJ435/AK435)-1)*100</f>
        <v>-29.246991588521752</v>
      </c>
      <c r="AP435" s="60">
        <f t="shared" si="1927"/>
        <v>337678</v>
      </c>
      <c r="AQ435" s="53">
        <f t="shared" si="1928"/>
        <v>196450</v>
      </c>
      <c r="AR435" s="60">
        <f t="shared" si="2765"/>
        <v>44800</v>
      </c>
      <c r="AS435" s="53">
        <f t="shared" si="2766"/>
        <v>578928</v>
      </c>
      <c r="AT435" s="53">
        <f t="shared" ref="AT435" si="3652">AVERAGE(AS432,AS433,AS434,AS435)</f>
        <v>551425</v>
      </c>
      <c r="AU435" s="53">
        <f t="shared" ref="AU435" si="3653">AVERAGE(AT383,AT331,AT279)</f>
        <v>572689.16666666663</v>
      </c>
      <c r="AV435" s="59">
        <f t="shared" ref="AV435" si="3654">((AS435/AS383)-1)*100</f>
        <v>-1.1862537934518746</v>
      </c>
      <c r="AW435" s="59">
        <f t="shared" ref="AW435" si="3655">((AT435/AT383)-1)*100</f>
        <v>-11.864859184363352</v>
      </c>
      <c r="AX435" s="59">
        <f t="shared" ref="AX435" si="3656">((AT435/AU435)-1)*100</f>
        <v>-3.7130380500184024</v>
      </c>
      <c r="AZ435" s="53">
        <f t="shared" si="401"/>
        <v>335.12799999999999</v>
      </c>
      <c r="BA435" s="53">
        <f t="shared" si="402"/>
        <v>10.4</v>
      </c>
      <c r="BB435" s="53">
        <f t="shared" si="403"/>
        <v>226.1</v>
      </c>
      <c r="BC435" s="53">
        <f t="shared" si="404"/>
        <v>7.3</v>
      </c>
      <c r="BD435" s="53">
        <f t="shared" si="405"/>
        <v>578.928</v>
      </c>
      <c r="BE435" s="60">
        <f t="shared" ref="BE435" si="3657">+AZ435+BE434</f>
        <v>2389.3380000000002</v>
      </c>
      <c r="BF435" s="60">
        <f t="shared" ref="BF435" si="3658">+BA435+BF434</f>
        <v>137.15300000000002</v>
      </c>
      <c r="BG435" s="60">
        <f t="shared" ref="BG435" si="3659">+BB435+BG434</f>
        <v>1901.5230000000001</v>
      </c>
      <c r="BH435" s="60">
        <f t="shared" ref="BH435" si="3660">+BC435+BH434</f>
        <v>43.4</v>
      </c>
      <c r="BI435" s="60">
        <f t="shared" ref="BI435" si="3661">+BD435+BI434</f>
        <v>4471.4139999999998</v>
      </c>
      <c r="BJ435" s="1">
        <v>8</v>
      </c>
    </row>
    <row r="436" spans="1:65" x14ac:dyDescent="0.3">
      <c r="A436" s="48">
        <f t="shared" si="238"/>
        <v>40607</v>
      </c>
      <c r="B436" s="64">
        <v>150800</v>
      </c>
      <c r="C436" s="64">
        <v>85870</v>
      </c>
      <c r="D436" s="53">
        <v>0</v>
      </c>
      <c r="E436" s="53">
        <f t="shared" si="2986"/>
        <v>236670</v>
      </c>
      <c r="F436" s="53">
        <f t="shared" ref="F436" si="3662">AVERAGE(E433,E434,E435,E436)</f>
        <v>293716.5</v>
      </c>
      <c r="G436" s="53">
        <f t="shared" ref="G436" si="3663">AVERAGE(F384,F332,F280)</f>
        <v>381397.41666666669</v>
      </c>
      <c r="H436" s="59">
        <f t="shared" ref="H436" si="3664">((E436/E384)-1)*100</f>
        <v>-55.586373590903712</v>
      </c>
      <c r="I436" s="59">
        <f t="shared" ref="I436" si="3665">((F436/F384)-1)*100</f>
        <v>-26.453798640711177</v>
      </c>
      <c r="J436" s="59">
        <f t="shared" ref="J436" si="3666">((F436/G436)-1)*100</f>
        <v>-22.989383995565436</v>
      </c>
      <c r="L436" s="53">
        <v>12800</v>
      </c>
      <c r="M436" s="53">
        <v>0</v>
      </c>
      <c r="N436" s="53">
        <v>8400</v>
      </c>
      <c r="O436" s="53">
        <f t="shared" si="2600"/>
        <v>21200</v>
      </c>
      <c r="P436" s="53">
        <f t="shared" ref="P436" si="3667">AVERAGE(O433,O434,O435,O436)</f>
        <v>16613.25</v>
      </c>
      <c r="Q436" s="53">
        <f t="shared" ref="Q436" si="3668">AVERAGE(P384,P332,P280)</f>
        <v>16866.5</v>
      </c>
      <c r="R436" s="59">
        <f t="shared" ref="R436" si="3669">((O436/O384)-1)*100</f>
        <v>132.96703296703299</v>
      </c>
      <c r="S436" s="59">
        <f t="shared" ref="S436" si="3670">((P436/P384)-1)*100</f>
        <v>44.393985485202727</v>
      </c>
      <c r="T436" s="59">
        <f t="shared" ref="T436" si="3671">((P436/Q436)-1)*100</f>
        <v>-1.5014970503661074</v>
      </c>
      <c r="V436" s="64">
        <v>57800</v>
      </c>
      <c r="W436" s="64">
        <v>40900</v>
      </c>
      <c r="X436" s="64">
        <v>44800</v>
      </c>
      <c r="Y436" s="64">
        <f t="shared" si="1916"/>
        <v>143500</v>
      </c>
      <c r="Z436" s="53">
        <f t="shared" ref="Z436" si="3672">AVERAGE(Y433,Y434,Y435,Y436)</f>
        <v>220339.25</v>
      </c>
      <c r="AA436" s="53">
        <f t="shared" ref="AA436" si="3673">AVERAGE(Z384,Z332,Z280)</f>
        <v>190607.33333333334</v>
      </c>
      <c r="AB436" s="59">
        <f t="shared" ref="AB436" si="3674">((Y436/Y384)-1)*100</f>
        <v>-30.296494909458303</v>
      </c>
      <c r="AC436" s="59">
        <f t="shared" ref="AC436" si="3675">((Z436/Z384)-1)*100</f>
        <v>-1.7249703677520878</v>
      </c>
      <c r="AD436" s="59">
        <f t="shared" ref="AD436" si="3676">((Z436/AA436)-1)*100</f>
        <v>15.598516671271835</v>
      </c>
      <c r="AF436" s="53">
        <v>0</v>
      </c>
      <c r="AG436" s="53">
        <v>1750</v>
      </c>
      <c r="AH436" s="64">
        <v>8400</v>
      </c>
      <c r="AI436" s="53">
        <f t="shared" si="2759"/>
        <v>10150</v>
      </c>
      <c r="AJ436" s="53">
        <f t="shared" ref="AJ436" si="3677">AVERAGE(AI433,AI434,AI435,AI436)</f>
        <v>8037.5</v>
      </c>
      <c r="AK436" s="53">
        <f t="shared" ref="AK436" si="3678">AVERAGE(AJ384,AJ332,AJ280)</f>
        <v>9644.5833333333339</v>
      </c>
      <c r="AL436" s="59">
        <f t="shared" ref="AL436" si="3679">((AI436/AI384)-1)*100</f>
        <v>44.999999999999993</v>
      </c>
      <c r="AM436" s="59">
        <f t="shared" ref="AM436" si="3680">((AJ436/AJ384)-1)*100</f>
        <v>26.574803149606296</v>
      </c>
      <c r="AN436" s="59">
        <f t="shared" ref="AN436" si="3681">((AJ436/AK436)-1)*100</f>
        <v>-16.663066488097812</v>
      </c>
      <c r="AP436" s="60">
        <f t="shared" si="1927"/>
        <v>221400</v>
      </c>
      <c r="AQ436" s="53">
        <f t="shared" si="1928"/>
        <v>128520</v>
      </c>
      <c r="AR436" s="60">
        <f t="shared" si="2765"/>
        <v>61600</v>
      </c>
      <c r="AS436" s="53">
        <f t="shared" si="2766"/>
        <v>411520</v>
      </c>
      <c r="AT436" s="53">
        <f t="shared" ref="AT436" si="3682">AVERAGE(AS433,AS434,AS435,AS436)</f>
        <v>538706.5</v>
      </c>
      <c r="AU436" s="53">
        <f t="shared" ref="AU436" si="3683">AVERAGE(AT384,AT332,AT280)</f>
        <v>598515.83333333337</v>
      </c>
      <c r="AV436" s="59">
        <f t="shared" ref="AV436" si="3684">((AS436/AS384)-1)*100</f>
        <v>-45.483136362371809</v>
      </c>
      <c r="AW436" s="59">
        <f t="shared" ref="AW436" si="3685">((AT436/AT384)-1)*100</f>
        <v>-16.014174678119286</v>
      </c>
      <c r="AX436" s="59">
        <f t="shared" ref="AX436" si="3686">((AT436/AU436)-1)*100</f>
        <v>-9.9929408717953745</v>
      </c>
      <c r="AZ436" s="53">
        <f t="shared" si="401"/>
        <v>236.67</v>
      </c>
      <c r="BA436" s="53">
        <f t="shared" si="402"/>
        <v>21.2</v>
      </c>
      <c r="BB436" s="53">
        <f t="shared" si="403"/>
        <v>143.5</v>
      </c>
      <c r="BC436" s="53">
        <f t="shared" si="404"/>
        <v>10.15</v>
      </c>
      <c r="BD436" s="53">
        <f t="shared" si="405"/>
        <v>411.52</v>
      </c>
      <c r="BE436" s="60">
        <f t="shared" ref="BE436" si="3687">+AZ436+BE435</f>
        <v>2626.0080000000003</v>
      </c>
      <c r="BF436" s="60">
        <f t="shared" ref="BF436" si="3688">+BA436+BF435</f>
        <v>158.35300000000001</v>
      </c>
      <c r="BG436" s="60">
        <f t="shared" ref="BG436" si="3689">+BB436+BG435</f>
        <v>2045.0230000000001</v>
      </c>
      <c r="BH436" s="60">
        <f t="shared" ref="BH436" si="3690">+BC436+BH435</f>
        <v>53.55</v>
      </c>
      <c r="BI436" s="60">
        <f t="shared" ref="BI436" si="3691">+BD436+BI435</f>
        <v>4882.9339999999993</v>
      </c>
      <c r="BJ436" s="1">
        <v>9</v>
      </c>
    </row>
    <row r="437" spans="1:65" x14ac:dyDescent="0.3">
      <c r="A437" s="48">
        <f t="shared" si="238"/>
        <v>40614</v>
      </c>
      <c r="B437" s="64">
        <v>263020</v>
      </c>
      <c r="C437" s="64">
        <v>105050</v>
      </c>
      <c r="D437" s="53">
        <v>2800</v>
      </c>
      <c r="E437" s="53">
        <f t="shared" si="2986"/>
        <v>370870</v>
      </c>
      <c r="F437" s="53">
        <f t="shared" ref="F437" si="3692">AVERAGE(E434,E435,E436,E437)</f>
        <v>328154.5</v>
      </c>
      <c r="G437" s="53">
        <f t="shared" ref="G437" si="3693">AVERAGE(F385,F333,F281)</f>
        <v>440942.75</v>
      </c>
      <c r="H437" s="59">
        <f t="shared" ref="H437" si="3694">((E437/E385)-1)*100</f>
        <v>-44.662787227693222</v>
      </c>
      <c r="I437" s="59">
        <f t="shared" ref="I437" si="3695">((F437/F385)-1)*100</f>
        <v>-31.065518369584801</v>
      </c>
      <c r="J437" s="59">
        <f t="shared" ref="J437" si="3696">((F437/G437)-1)*100</f>
        <v>-25.578887508639159</v>
      </c>
      <c r="L437" s="53">
        <v>7600</v>
      </c>
      <c r="M437" s="53">
        <v>0</v>
      </c>
      <c r="N437" s="53">
        <v>16800</v>
      </c>
      <c r="O437" s="53">
        <f t="shared" si="2600"/>
        <v>24400</v>
      </c>
      <c r="P437" s="53">
        <f t="shared" ref="P437" si="3697">AVERAGE(O434,O435,O436,O437)</f>
        <v>18800.75</v>
      </c>
      <c r="Q437" s="53">
        <f t="shared" ref="Q437" si="3698">AVERAGE(P385,P333,P281)</f>
        <v>16755.583333333332</v>
      </c>
      <c r="R437" s="59">
        <f t="shared" ref="R437" si="3699">((O437/O385)-1)*100</f>
        <v>76.811594202898561</v>
      </c>
      <c r="S437" s="59">
        <f t="shared" ref="S437" si="3700">((P437/P385)-1)*100</f>
        <v>105.06926265270505</v>
      </c>
      <c r="T437" s="59">
        <f t="shared" ref="T437" si="3701">((P437/Q437)-1)*100</f>
        <v>12.205881621549054</v>
      </c>
      <c r="V437" s="64">
        <v>76800</v>
      </c>
      <c r="W437" s="64">
        <v>38018</v>
      </c>
      <c r="X437" s="64">
        <v>39504</v>
      </c>
      <c r="Y437" s="64">
        <f t="shared" si="1916"/>
        <v>154322</v>
      </c>
      <c r="Z437" s="53">
        <f t="shared" ref="Z437" si="3702">AVERAGE(Y434,Y435,Y436,Y437)</f>
        <v>201563.25</v>
      </c>
      <c r="AA437" s="53">
        <f t="shared" ref="AA437" si="3703">AVERAGE(Z385,Z333,Z281)</f>
        <v>181298.33333333334</v>
      </c>
      <c r="AB437" s="59">
        <f t="shared" ref="AB437" si="3704">((Y437/Y385)-1)*100</f>
        <v>-18.153274993370459</v>
      </c>
      <c r="AC437" s="59">
        <f t="shared" ref="AC437" si="3705">((Z437/Z385)-1)*100</f>
        <v>0.42586636838997105</v>
      </c>
      <c r="AD437" s="59">
        <f t="shared" ref="AD437" si="3706">((Z437/AA437)-1)*100</f>
        <v>11.177662968036106</v>
      </c>
      <c r="AF437" s="53">
        <v>0</v>
      </c>
      <c r="AG437" s="53">
        <v>0</v>
      </c>
      <c r="AH437" s="64">
        <v>16900</v>
      </c>
      <c r="AI437" s="53">
        <f t="shared" si="2759"/>
        <v>16900</v>
      </c>
      <c r="AJ437" s="53">
        <f t="shared" ref="AJ437" si="3707">AVERAGE(AI434,AI435,AI436,AI437)</f>
        <v>11887.5</v>
      </c>
      <c r="AK437" s="53">
        <f t="shared" ref="AK437" si="3708">AVERAGE(AJ385,AJ333,AJ281)</f>
        <v>8944.5833333333339</v>
      </c>
      <c r="AL437" s="59">
        <f t="shared" ref="AL437" si="3709">((AI437/AI385)-1)*100</f>
        <v>267.39130434782606</v>
      </c>
      <c r="AM437" s="59">
        <f t="shared" ref="AM437" si="3710">((AJ437/AJ385)-1)*100</f>
        <v>106.73913043478262</v>
      </c>
      <c r="AN437" s="59">
        <f t="shared" ref="AN437" si="3711">((AJ437/AK437)-1)*100</f>
        <v>32.901663017655004</v>
      </c>
      <c r="AP437" s="60">
        <f t="shared" si="1927"/>
        <v>347420</v>
      </c>
      <c r="AQ437" s="53">
        <f t="shared" si="1928"/>
        <v>143068</v>
      </c>
      <c r="AR437" s="60">
        <f t="shared" si="2765"/>
        <v>76004</v>
      </c>
      <c r="AS437" s="53">
        <f t="shared" si="2766"/>
        <v>566492</v>
      </c>
      <c r="AT437" s="53">
        <f t="shared" ref="AT437" si="3712">AVERAGE(AS434,AS435,AS436,AS437)</f>
        <v>560406</v>
      </c>
      <c r="AU437" s="53">
        <f t="shared" ref="AU437" si="3713">AVERAGE(AT385,AT333,AT281)</f>
        <v>647941.25</v>
      </c>
      <c r="AV437" s="59">
        <f t="shared" ref="AV437" si="3714">((AS437/AS385)-1)*100</f>
        <v>-35.416747420623608</v>
      </c>
      <c r="AW437" s="59">
        <f t="shared" ref="AW437" si="3715">((AT437/AT385)-1)*100</f>
        <v>-18.977221262179398</v>
      </c>
      <c r="AX437" s="59">
        <f t="shared" ref="AX437" si="3716">((AT437/AU437)-1)*100</f>
        <v>-13.509751076968779</v>
      </c>
      <c r="AZ437" s="53">
        <f t="shared" si="401"/>
        <v>370.87</v>
      </c>
      <c r="BA437" s="53">
        <f t="shared" si="402"/>
        <v>24.4</v>
      </c>
      <c r="BB437" s="53">
        <f t="shared" si="403"/>
        <v>154.322</v>
      </c>
      <c r="BC437" s="53">
        <f t="shared" si="404"/>
        <v>16.899999999999999</v>
      </c>
      <c r="BD437" s="53">
        <f t="shared" si="405"/>
        <v>566.49199999999996</v>
      </c>
      <c r="BE437" s="60">
        <f t="shared" ref="BE437" si="3717">+AZ437+BE436</f>
        <v>2996.8780000000002</v>
      </c>
      <c r="BF437" s="60">
        <f t="shared" ref="BF437" si="3718">+BA437+BF436</f>
        <v>182.75300000000001</v>
      </c>
      <c r="BG437" s="60">
        <f t="shared" ref="BG437" si="3719">+BB437+BG436</f>
        <v>2199.3450000000003</v>
      </c>
      <c r="BH437" s="60">
        <f t="shared" ref="BH437" si="3720">+BC437+BH436</f>
        <v>70.449999999999989</v>
      </c>
      <c r="BI437" s="60">
        <f t="shared" ref="BI437" si="3721">+BD437+BI436</f>
        <v>5449.4259999999995</v>
      </c>
      <c r="BJ437" s="1">
        <v>10</v>
      </c>
    </row>
    <row r="438" spans="1:65" x14ac:dyDescent="0.3">
      <c r="A438" s="48">
        <f t="shared" si="238"/>
        <v>40621</v>
      </c>
      <c r="B438" s="64">
        <v>300500</v>
      </c>
      <c r="C438" s="64">
        <v>100918</v>
      </c>
      <c r="D438" s="53">
        <v>2800</v>
      </c>
      <c r="E438" s="53">
        <f t="shared" si="2986"/>
        <v>404218</v>
      </c>
      <c r="F438" s="53">
        <f t="shared" ref="F438" si="3722">AVERAGE(E435,E436,E437,E438)</f>
        <v>336721.5</v>
      </c>
      <c r="G438" s="53">
        <f t="shared" ref="G438" si="3723">AVERAGE(F386,F334,F282)</f>
        <v>441623.91666666669</v>
      </c>
      <c r="H438" s="59">
        <f t="shared" ref="H438" si="3724">((E438/E386)-1)*100</f>
        <v>30.205155791487748</v>
      </c>
      <c r="I438" s="59">
        <f t="shared" ref="I438" si="3725">((F438/F386)-1)*100</f>
        <v>-28.942145464099291</v>
      </c>
      <c r="J438" s="59">
        <f t="shared" ref="J438" si="3726">((F438/G438)-1)*100</f>
        <v>-23.753789753612008</v>
      </c>
      <c r="L438" s="53">
        <v>11748</v>
      </c>
      <c r="M438" s="53">
        <v>0</v>
      </c>
      <c r="N438" s="53">
        <v>8400</v>
      </c>
      <c r="O438" s="53">
        <f t="shared" si="2600"/>
        <v>20148</v>
      </c>
      <c r="P438" s="53">
        <f t="shared" ref="P438" si="3727">AVERAGE(O435,O436,O437,O438)</f>
        <v>19037</v>
      </c>
      <c r="Q438" s="53">
        <f t="shared" ref="Q438" si="3728">AVERAGE(P386,P334,P282)</f>
        <v>19838.666666666668</v>
      </c>
      <c r="R438" s="59">
        <f t="shared" ref="R438" si="3729">((O438/O386)-1)*100</f>
        <v>15.131428571428573</v>
      </c>
      <c r="S438" s="59">
        <f t="shared" ref="S438" si="3730">((P438/P386)-1)*100</f>
        <v>64.112068965517238</v>
      </c>
      <c r="T438" s="59">
        <f t="shared" ref="T438" si="3731">((P438/Q438)-1)*100</f>
        <v>-4.0409301700383153</v>
      </c>
      <c r="V438" s="64">
        <v>117348</v>
      </c>
      <c r="W438" s="64">
        <v>32027</v>
      </c>
      <c r="X438" s="64">
        <v>33600</v>
      </c>
      <c r="Y438" s="64">
        <f t="shared" si="1916"/>
        <v>182975</v>
      </c>
      <c r="Z438" s="53">
        <f t="shared" ref="Z438" si="3732">AVERAGE(Y435,Y436,Y437,Y438)</f>
        <v>176724.25</v>
      </c>
      <c r="AA438" s="53">
        <f t="shared" ref="AA438" si="3733">AVERAGE(Z386,Z334,Z282)</f>
        <v>170068.5</v>
      </c>
      <c r="AB438" s="59">
        <f t="shared" ref="AB438" si="3734">((Y438/Y386)-1)*100</f>
        <v>42.470606556100599</v>
      </c>
      <c r="AC438" s="59">
        <f t="shared" ref="AC438" si="3735">((Z438/Z386)-1)*100</f>
        <v>-1.5156539087403331</v>
      </c>
      <c r="AD438" s="59">
        <f t="shared" ref="AD438" si="3736">((Z438/AA438)-1)*100</f>
        <v>3.9135701202750672</v>
      </c>
      <c r="AF438" s="53">
        <v>0</v>
      </c>
      <c r="AG438" s="53">
        <v>0</v>
      </c>
      <c r="AH438" s="64">
        <v>5700</v>
      </c>
      <c r="AI438" s="53">
        <f t="shared" si="2759"/>
        <v>5700</v>
      </c>
      <c r="AJ438" s="53">
        <f t="shared" ref="AJ438" si="3737">AVERAGE(AI435,AI436,AI437,AI438)</f>
        <v>10012.5</v>
      </c>
      <c r="AK438" s="53">
        <f t="shared" ref="AK438" si="3738">AVERAGE(AJ386,AJ334,AJ282)</f>
        <v>9088.6666666666661</v>
      </c>
      <c r="AL438" s="59">
        <f t="shared" ref="AL438" si="3739">((AI438/AI386)-1)*100</f>
        <v>-54.032258064516128</v>
      </c>
      <c r="AM438" s="59">
        <f t="shared" ref="AM438" si="3740">((AJ438/AJ386)-1)*100</f>
        <v>48.333333333333343</v>
      </c>
      <c r="AN438" s="59">
        <f t="shared" ref="AN438" si="3741">((AJ438/AK438)-1)*100</f>
        <v>10.164673952908387</v>
      </c>
      <c r="AP438" s="60">
        <f t="shared" si="1927"/>
        <v>429596</v>
      </c>
      <c r="AQ438" s="53">
        <f t="shared" si="1928"/>
        <v>132945</v>
      </c>
      <c r="AR438" s="60">
        <f t="shared" si="2765"/>
        <v>50500</v>
      </c>
      <c r="AS438" s="53">
        <f t="shared" si="2766"/>
        <v>613041</v>
      </c>
      <c r="AT438" s="53">
        <f t="shared" ref="AT438" si="3742">AVERAGE(AS435,AS436,AS437,AS438)</f>
        <v>542495.25</v>
      </c>
      <c r="AU438" s="53">
        <f t="shared" ref="AU438" si="3743">AVERAGE(AT386,AT334,AT282)</f>
        <v>640619.75</v>
      </c>
      <c r="AV438" s="59">
        <f t="shared" ref="AV438" si="3744">((AS438/AS386)-1)*100</f>
        <v>30.774547386070573</v>
      </c>
      <c r="AW438" s="59">
        <f t="shared" ref="AW438" si="3745">((AT438/AT386)-1)*100</f>
        <v>-19.231095630475682</v>
      </c>
      <c r="AX438" s="59">
        <f t="shared" ref="AX438" si="3746">((AT438/AU438)-1)*100</f>
        <v>-15.317120647622872</v>
      </c>
      <c r="AZ438" s="53">
        <f t="shared" si="401"/>
        <v>404.21800000000002</v>
      </c>
      <c r="BA438" s="53">
        <f t="shared" si="402"/>
        <v>20.148</v>
      </c>
      <c r="BB438" s="53">
        <f t="shared" si="403"/>
        <v>182.97499999999999</v>
      </c>
      <c r="BC438" s="53">
        <f t="shared" si="404"/>
        <v>5.7</v>
      </c>
      <c r="BD438" s="53">
        <f t="shared" si="405"/>
        <v>613.04100000000005</v>
      </c>
      <c r="BE438" s="60">
        <f t="shared" ref="BE438" si="3747">+AZ438+BE437</f>
        <v>3401.096</v>
      </c>
      <c r="BF438" s="60">
        <f t="shared" ref="BF438" si="3748">+BA438+BF437</f>
        <v>202.90100000000001</v>
      </c>
      <c r="BG438" s="60">
        <f t="shared" ref="BG438" si="3749">+BB438+BG437</f>
        <v>2382.3200000000002</v>
      </c>
      <c r="BH438" s="60">
        <f t="shared" ref="BH438" si="3750">+BC438+BH437</f>
        <v>76.149999999999991</v>
      </c>
      <c r="BI438" s="60">
        <f t="shared" ref="BI438" si="3751">+BD438+BI437</f>
        <v>6062.4669999999996</v>
      </c>
      <c r="BJ438" s="1">
        <v>11</v>
      </c>
    </row>
    <row r="439" spans="1:65" x14ac:dyDescent="0.3">
      <c r="A439" s="48">
        <f t="shared" si="238"/>
        <v>40628</v>
      </c>
      <c r="B439" s="64">
        <v>333775</v>
      </c>
      <c r="C439" s="64">
        <v>109950</v>
      </c>
      <c r="D439" s="53">
        <v>0</v>
      </c>
      <c r="E439" s="53">
        <f t="shared" si="2986"/>
        <v>443725</v>
      </c>
      <c r="F439" s="53">
        <f t="shared" ref="F439" si="3752">AVERAGE(E436,E437,E438,E439)</f>
        <v>363870.75</v>
      </c>
      <c r="G439" s="53">
        <f t="shared" ref="G439" si="3753">AVERAGE(F387,F335,F283)</f>
        <v>431984.75</v>
      </c>
      <c r="H439" s="59">
        <f t="shared" ref="H439" si="3754">((E439/E387)-1)*100</f>
        <v>29.484425975966346</v>
      </c>
      <c r="I439" s="59">
        <f t="shared" ref="I439" si="3755">((F439/F387)-1)*100</f>
        <v>-21.588451737680547</v>
      </c>
      <c r="J439" s="59">
        <f t="shared" ref="J439" si="3756">((F439/G439)-1)*100</f>
        <v>-15.767686243553737</v>
      </c>
      <c r="L439" s="53">
        <v>3000</v>
      </c>
      <c r="M439" s="53">
        <v>3200</v>
      </c>
      <c r="N439" s="53">
        <v>19600</v>
      </c>
      <c r="O439" s="53">
        <f t="shared" si="2600"/>
        <v>25800</v>
      </c>
      <c r="P439" s="53">
        <f t="shared" ref="P439" si="3757">AVERAGE(O436,O437,O438,O439)</f>
        <v>22887</v>
      </c>
      <c r="Q439" s="53">
        <f t="shared" ref="Q439" si="3758">AVERAGE(P387,P335,P283)</f>
        <v>20354.666666666668</v>
      </c>
      <c r="R439" s="59">
        <f t="shared" ref="R439" si="3759">((O439/O387)-1)*100</f>
        <v>39.837398373983746</v>
      </c>
      <c r="S439" s="59">
        <f t="shared" ref="S439" si="3760">((P439/P387)-1)*100</f>
        <v>55.561597281223449</v>
      </c>
      <c r="T439" s="59">
        <f t="shared" ref="T439" si="3761">((P439/Q439)-1)*100</f>
        <v>12.441045460500444</v>
      </c>
      <c r="V439" s="64">
        <v>112844</v>
      </c>
      <c r="W439" s="64">
        <v>31150</v>
      </c>
      <c r="X439" s="64">
        <v>37900</v>
      </c>
      <c r="Y439" s="64">
        <f t="shared" si="1916"/>
        <v>181894</v>
      </c>
      <c r="Z439" s="53">
        <f t="shared" ref="Z439" si="3762">AVERAGE(Y436,Y437,Y438,Y439)</f>
        <v>165672.75</v>
      </c>
      <c r="AA439" s="53">
        <f t="shared" ref="AA439" si="3763">AVERAGE(Z387,Z335,Z283)</f>
        <v>151765.25</v>
      </c>
      <c r="AB439" s="59">
        <f t="shared" ref="AB439" si="3764">((Y439/Y387)-1)*100</f>
        <v>16.003826530612251</v>
      </c>
      <c r="AC439" s="59">
        <f t="shared" ref="AC439" si="3765">((Z439/Z387)-1)*100</f>
        <v>-2.495541836116133</v>
      </c>
      <c r="AD439" s="59">
        <f t="shared" ref="AD439" si="3766">((Z439/AA439)-1)*100</f>
        <v>9.1638237343528939</v>
      </c>
      <c r="AF439" s="53">
        <v>3100</v>
      </c>
      <c r="AG439" s="53">
        <v>0</v>
      </c>
      <c r="AH439" s="64">
        <v>2800</v>
      </c>
      <c r="AI439" s="53">
        <f t="shared" si="2759"/>
        <v>5900</v>
      </c>
      <c r="AJ439" s="53">
        <f t="shared" ref="AJ439" si="3767">AVERAGE(AI436,AI437,AI438,AI439)</f>
        <v>9662.5</v>
      </c>
      <c r="AK439" s="53">
        <f t="shared" ref="AK439" si="3768">AVERAGE(AJ387,AJ335,AJ283)</f>
        <v>9667.8333333333339</v>
      </c>
      <c r="AL439" s="59">
        <f t="shared" ref="AL439" si="3769">((AI439/AI387)-1)*100</f>
        <v>-58.450704225352112</v>
      </c>
      <c r="AM439" s="59">
        <f t="shared" ref="AM439" si="3770">((AJ439/AJ387)-1)*100</f>
        <v>1.1780104712041828</v>
      </c>
      <c r="AN439" s="59">
        <f t="shared" ref="AN439" si="3771">((AJ439/AK439)-1)*100</f>
        <v>-5.5165755857056187E-2</v>
      </c>
      <c r="AP439" s="60">
        <f t="shared" si="1927"/>
        <v>452719</v>
      </c>
      <c r="AQ439" s="53">
        <f t="shared" si="1928"/>
        <v>144300</v>
      </c>
      <c r="AR439" s="60">
        <f t="shared" ref="AR439:AR462" si="3772">SUM(D439,N439,X439,AH439)</f>
        <v>60300</v>
      </c>
      <c r="AS439" s="53">
        <f t="shared" ref="AS439:AS462" si="3773">SUM(E439,O439,Y439,AI439)</f>
        <v>657319</v>
      </c>
      <c r="AT439" s="53">
        <f t="shared" ref="AT439" si="3774">AVERAGE(AS436,AS437,AS438,AS439)</f>
        <v>562093</v>
      </c>
      <c r="AU439" s="53">
        <f t="shared" ref="AU439" si="3775">AVERAGE(AT387,AT335,AT283)</f>
        <v>613772.5</v>
      </c>
      <c r="AV439" s="59">
        <f t="shared" ref="AV439" si="3776">((AS439/AS387)-1)*100</f>
        <v>23.524625283762045</v>
      </c>
      <c r="AW439" s="59">
        <f t="shared" ref="AW439" si="3777">((AT439/AT387)-1)*100</f>
        <v>-14.605121629587314</v>
      </c>
      <c r="AX439" s="59">
        <f t="shared" ref="AX439" si="3778">((AT439/AU439)-1)*100</f>
        <v>-8.4199764570748954</v>
      </c>
      <c r="AZ439" s="53">
        <f t="shared" si="401"/>
        <v>443.72500000000002</v>
      </c>
      <c r="BA439" s="53">
        <f t="shared" si="402"/>
        <v>25.8</v>
      </c>
      <c r="BB439" s="53">
        <f t="shared" si="403"/>
        <v>181.89400000000001</v>
      </c>
      <c r="BC439" s="53">
        <f t="shared" ref="BC439:BC462" si="3779">+AI439/1000</f>
        <v>5.9</v>
      </c>
      <c r="BD439" s="53">
        <f t="shared" ref="BD439:BD462" si="3780">+AS439/1000</f>
        <v>657.31899999999996</v>
      </c>
      <c r="BE439" s="60">
        <f t="shared" ref="BE439" si="3781">+AZ439+BE438</f>
        <v>3844.8209999999999</v>
      </c>
      <c r="BF439" s="60">
        <f t="shared" ref="BF439" si="3782">+BA439+BF438</f>
        <v>228.70100000000002</v>
      </c>
      <c r="BG439" s="60">
        <f t="shared" ref="BG439" si="3783">+BB439+BG438</f>
        <v>2564.2139999999999</v>
      </c>
      <c r="BH439" s="60">
        <f t="shared" ref="BH439" si="3784">+BC439+BH438</f>
        <v>82.05</v>
      </c>
      <c r="BI439" s="60">
        <f t="shared" ref="BI439" si="3785">+BD439+BI438</f>
        <v>6719.7860000000001</v>
      </c>
      <c r="BJ439" s="1">
        <v>12</v>
      </c>
    </row>
    <row r="440" spans="1:65" x14ac:dyDescent="0.3">
      <c r="A440" s="48">
        <f t="shared" si="238"/>
        <v>40635</v>
      </c>
      <c r="B440" s="64">
        <v>326260</v>
      </c>
      <c r="C440" s="64">
        <v>132687</v>
      </c>
      <c r="D440" s="53">
        <v>1400</v>
      </c>
      <c r="E440" s="53">
        <f t="shared" si="2986"/>
        <v>460347</v>
      </c>
      <c r="F440" s="53">
        <f t="shared" ref="F440" si="3786">AVERAGE(E437,E438,E439,E440)</f>
        <v>419790</v>
      </c>
      <c r="G440" s="53">
        <f t="shared" ref="G440" si="3787">AVERAGE(F388,F336,F284)</f>
        <v>425346.16666666669</v>
      </c>
      <c r="H440" s="59">
        <f t="shared" ref="H440" si="3788">((E440/E388)-1)*100</f>
        <v>26.485635468413427</v>
      </c>
      <c r="I440" s="59">
        <f t="shared" ref="I440" si="3789">((F440/F388)-1)*100</f>
        <v>-0.4815428336054639</v>
      </c>
      <c r="J440" s="59">
        <f t="shared" ref="J440" si="3790">((F440/G440)-1)*100</f>
        <v>-1.3062693641296863</v>
      </c>
      <c r="L440" s="53">
        <v>6400</v>
      </c>
      <c r="M440" s="53">
        <v>13683</v>
      </c>
      <c r="N440" s="53">
        <v>27600</v>
      </c>
      <c r="O440" s="53">
        <f t="shared" si="2600"/>
        <v>47683</v>
      </c>
      <c r="P440" s="53">
        <f t="shared" ref="P440" si="3791">AVERAGE(O437,O438,O439,O440)</f>
        <v>29507.75</v>
      </c>
      <c r="Q440" s="53">
        <f t="shared" ref="Q440" si="3792">AVERAGE(P388,P336,P284)</f>
        <v>23824.416666666668</v>
      </c>
      <c r="R440" s="59">
        <f t="shared" ref="R440" si="3793">((O440/O388)-1)*100</f>
        <v>157.05121293800536</v>
      </c>
      <c r="S440" s="59">
        <f t="shared" ref="S440" si="3794">((P440/P388)-1)*100</f>
        <v>72.812591508052705</v>
      </c>
      <c r="T440" s="59">
        <f t="shared" ref="T440" si="3795">((P440/Q440)-1)*100</f>
        <v>23.855078648305472</v>
      </c>
      <c r="V440" s="64">
        <v>98420</v>
      </c>
      <c r="W440" s="64">
        <v>38159</v>
      </c>
      <c r="X440" s="64">
        <v>32800</v>
      </c>
      <c r="Y440" s="64">
        <f t="shared" si="1916"/>
        <v>169379</v>
      </c>
      <c r="Z440" s="53">
        <f t="shared" ref="Z440" si="3796">AVERAGE(Y437,Y438,Y439,Y440)</f>
        <v>172142.5</v>
      </c>
      <c r="AA440" s="53">
        <f t="shared" ref="AA440" si="3797">AVERAGE(Z388,Z336,Z284)</f>
        <v>149697.5</v>
      </c>
      <c r="AB440" s="59">
        <f t="shared" ref="AB440" si="3798">((Y440/Y388)-1)*100</f>
        <v>17.274924011105796</v>
      </c>
      <c r="AC440" s="59">
        <f t="shared" ref="AC440" si="3799">((Z440/Z388)-1)*100</f>
        <v>11.381426022591068</v>
      </c>
      <c r="AD440" s="59">
        <f t="shared" ref="AD440" si="3800">((Z440/AA440)-1)*100</f>
        <v>14.993570366906606</v>
      </c>
      <c r="AF440" s="53">
        <v>0</v>
      </c>
      <c r="AG440" s="53">
        <v>1750</v>
      </c>
      <c r="AH440" s="64">
        <v>11400</v>
      </c>
      <c r="AI440" s="53">
        <f t="shared" si="2759"/>
        <v>13150</v>
      </c>
      <c r="AJ440" s="53">
        <f t="shared" ref="AJ440" si="3801">AVERAGE(AI437,AI438,AI439,AI440)</f>
        <v>10412.5</v>
      </c>
      <c r="AK440" s="53">
        <f t="shared" ref="AK440" si="3802">AVERAGE(AJ388,AJ336,AJ284)</f>
        <v>10026.166666666666</v>
      </c>
      <c r="AL440" s="59">
        <f t="shared" ref="AL440" si="3803">((AI440/AI388)-1)*100</f>
        <v>134.82142857142856</v>
      </c>
      <c r="AM440" s="59">
        <f t="shared" ref="AM440" si="3804">((AJ440/AJ388)-1)*100</f>
        <v>13.179347826086962</v>
      </c>
      <c r="AN440" s="59">
        <f t="shared" ref="AN440" si="3805">((AJ440/AK440)-1)*100</f>
        <v>3.8532506607709793</v>
      </c>
      <c r="AP440" s="60">
        <f t="shared" si="1927"/>
        <v>431080</v>
      </c>
      <c r="AQ440" s="53">
        <f t="shared" si="1928"/>
        <v>186279</v>
      </c>
      <c r="AR440" s="60">
        <f t="shared" si="3772"/>
        <v>73200</v>
      </c>
      <c r="AS440" s="53">
        <f t="shared" si="3773"/>
        <v>690559</v>
      </c>
      <c r="AT440" s="53">
        <f t="shared" ref="AT440" si="3806">AVERAGE(AS437,AS438,AS439,AS440)</f>
        <v>631852.75</v>
      </c>
      <c r="AU440" s="53">
        <f t="shared" ref="AU440" si="3807">AVERAGE(AT388,AT336,AT284)</f>
        <v>608894.25</v>
      </c>
      <c r="AV440" s="59">
        <f t="shared" ref="AV440" si="3808">((AS440/AS388)-1)*100</f>
        <v>29.67489216590209</v>
      </c>
      <c r="AW440" s="59">
        <f t="shared" ref="AW440" si="3809">((AT440/AT388)-1)*100</f>
        <v>4.8459840188766812</v>
      </c>
      <c r="AX440" s="59">
        <f t="shared" ref="AX440" si="3810">((AT440/AU440)-1)*100</f>
        <v>3.7705233708480668</v>
      </c>
      <c r="AZ440" s="53">
        <f t="shared" si="401"/>
        <v>460.34699999999998</v>
      </c>
      <c r="BA440" s="53">
        <f t="shared" si="402"/>
        <v>47.683</v>
      </c>
      <c r="BB440" s="53">
        <f t="shared" si="403"/>
        <v>169.37899999999999</v>
      </c>
      <c r="BC440" s="53">
        <f t="shared" si="3779"/>
        <v>13.15</v>
      </c>
      <c r="BD440" s="53">
        <f t="shared" si="3780"/>
        <v>690.55899999999997</v>
      </c>
      <c r="BE440" s="60">
        <f t="shared" ref="BE440" si="3811">+AZ440+BE439</f>
        <v>4305.1679999999997</v>
      </c>
      <c r="BF440" s="60">
        <f t="shared" ref="BF440" si="3812">+BA440+BF439</f>
        <v>276.38400000000001</v>
      </c>
      <c r="BG440" s="60">
        <f t="shared" ref="BG440" si="3813">+BB440+BG439</f>
        <v>2733.5929999999998</v>
      </c>
      <c r="BH440" s="60">
        <f t="shared" ref="BH440" si="3814">+BC440+BH439</f>
        <v>95.2</v>
      </c>
      <c r="BI440" s="60">
        <f t="shared" ref="BI440" si="3815">+BD440+BI439</f>
        <v>7410.3450000000003</v>
      </c>
      <c r="BJ440" s="1">
        <v>13</v>
      </c>
    </row>
    <row r="441" spans="1:65" x14ac:dyDescent="0.3">
      <c r="A441" s="48">
        <f t="shared" si="238"/>
        <v>40642</v>
      </c>
      <c r="B441" s="64">
        <v>266500</v>
      </c>
      <c r="C441" s="64">
        <v>85277</v>
      </c>
      <c r="D441" s="53">
        <v>0</v>
      </c>
      <c r="E441" s="53">
        <f t="shared" si="2986"/>
        <v>351777</v>
      </c>
      <c r="F441" s="53">
        <f t="shared" ref="F441" si="3816">AVERAGE(E438,E439,E440,E441)</f>
        <v>415016.75</v>
      </c>
      <c r="G441" s="53">
        <f t="shared" ref="G441" si="3817">AVERAGE(F389,F337,F285)</f>
        <v>393739.58333333331</v>
      </c>
      <c r="H441" s="59">
        <f t="shared" ref="H441" si="3818">((E441/E389)-1)*100</f>
        <v>1.5859768687641607</v>
      </c>
      <c r="I441" s="59">
        <f t="shared" ref="I441" si="3819">((F441/F389)-1)*100</f>
        <v>21.762030850026036</v>
      </c>
      <c r="J441" s="59">
        <f t="shared" ref="J441" si="3820">((F441/G441)-1)*100</f>
        <v>5.4038678271912</v>
      </c>
      <c r="L441" s="53">
        <v>16700</v>
      </c>
      <c r="M441" s="53">
        <v>6750</v>
      </c>
      <c r="N441" s="53">
        <v>7000</v>
      </c>
      <c r="O441" s="53">
        <f t="shared" si="2600"/>
        <v>30450</v>
      </c>
      <c r="P441" s="53">
        <f t="shared" ref="P441" si="3821">AVERAGE(O438,O439,O440,O441)</f>
        <v>31020.25</v>
      </c>
      <c r="Q441" s="53">
        <f t="shared" ref="Q441" si="3822">AVERAGE(P389,P337,P285)</f>
        <v>24180</v>
      </c>
      <c r="R441" s="59">
        <f t="shared" ref="R441" si="3823">((O441/O389)-1)*100</f>
        <v>62.999839409025206</v>
      </c>
      <c r="S441" s="59">
        <f t="shared" ref="S441" si="3824">((P441/P389)-1)*100</f>
        <v>69.553572648638308</v>
      </c>
      <c r="T441" s="59">
        <f t="shared" ref="T441" si="3825">((P441/Q441)-1)*100</f>
        <v>28.288875103391241</v>
      </c>
      <c r="V441" s="64">
        <v>46560</v>
      </c>
      <c r="W441" s="64">
        <v>9550</v>
      </c>
      <c r="X441" s="64">
        <v>5600</v>
      </c>
      <c r="Y441" s="64">
        <f t="shared" si="1916"/>
        <v>61710</v>
      </c>
      <c r="Z441" s="53">
        <f t="shared" ref="Z441" si="3826">AVERAGE(Y438,Y439,Y440,Y441)</f>
        <v>148989.5</v>
      </c>
      <c r="AA441" s="53">
        <f t="shared" ref="AA441" si="3827">AVERAGE(Z389,Z337,Z285)</f>
        <v>142608.41666666666</v>
      </c>
      <c r="AB441" s="59">
        <f t="shared" ref="AB441" si="3828">((Y441/Y389)-1)*100</f>
        <v>-34.43406751027954</v>
      </c>
      <c r="AC441" s="59">
        <f t="shared" ref="AC441" si="3829">((Z441/Z389)-1)*100</f>
        <v>13.78064752624204</v>
      </c>
      <c r="AD441" s="59">
        <f t="shared" ref="AD441" si="3830">((Z441/AA441)-1)*100</f>
        <v>4.4745488958400692</v>
      </c>
      <c r="AF441" s="53">
        <v>0</v>
      </c>
      <c r="AG441" s="53">
        <v>1700</v>
      </c>
      <c r="AH441" s="64">
        <v>7300</v>
      </c>
      <c r="AI441" s="53">
        <f t="shared" si="2759"/>
        <v>9000</v>
      </c>
      <c r="AJ441" s="53">
        <f t="shared" ref="AJ441" si="3831">AVERAGE(AI438,AI439,AI440,AI441)</f>
        <v>8437.5</v>
      </c>
      <c r="AK441" s="53">
        <f t="shared" ref="AK441" si="3832">AVERAGE(AJ389,AJ337,AJ285)</f>
        <v>10351.166666666666</v>
      </c>
      <c r="AL441" s="59">
        <f t="shared" ref="AL441" si="3833">((AI441/AI389)-1)*100</f>
        <v>221.42857142857144</v>
      </c>
      <c r="AM441" s="59">
        <f t="shared" ref="AM441" si="3834">((AJ441/AJ389)-1)*100</f>
        <v>-3.5714285714285698</v>
      </c>
      <c r="AN441" s="59">
        <f t="shared" ref="AN441" si="3835">((AJ441/AK441)-1)*100</f>
        <v>-18.487449079813867</v>
      </c>
      <c r="AP441" s="60">
        <f t="shared" si="1927"/>
        <v>329760</v>
      </c>
      <c r="AQ441" s="53">
        <f t="shared" si="1928"/>
        <v>103277</v>
      </c>
      <c r="AR441" s="60">
        <f t="shared" si="3772"/>
        <v>19900</v>
      </c>
      <c r="AS441" s="53">
        <f t="shared" si="3773"/>
        <v>452937</v>
      </c>
      <c r="AT441" s="53">
        <f t="shared" ref="AT441" si="3836">AVERAGE(AS438,AS439,AS440,AS441)</f>
        <v>603464</v>
      </c>
      <c r="AU441" s="53">
        <f t="shared" ref="AU441" si="3837">AVERAGE(AT389,AT337,AT285)</f>
        <v>570879.16666666663</v>
      </c>
      <c r="AV441" s="59">
        <f t="shared" ref="AV441" si="3838">((AS441/AS389)-1)*100</f>
        <v>-1.9372787598644692</v>
      </c>
      <c r="AW441" s="59">
        <f t="shared" ref="AW441" si="3839">((AT441/AT389)-1)*100</f>
        <v>20.975337901669345</v>
      </c>
      <c r="AX441" s="59">
        <f t="shared" ref="AX441" si="3840">((AT441/AU441)-1)*100</f>
        <v>5.7078336775879368</v>
      </c>
      <c r="AZ441" s="53">
        <f t="shared" si="401"/>
        <v>351.77699999999999</v>
      </c>
      <c r="BA441" s="53">
        <f t="shared" si="402"/>
        <v>30.45</v>
      </c>
      <c r="BB441" s="53">
        <f t="shared" si="403"/>
        <v>61.71</v>
      </c>
      <c r="BC441" s="53">
        <f t="shared" si="3779"/>
        <v>9</v>
      </c>
      <c r="BD441" s="53">
        <f t="shared" si="3780"/>
        <v>452.93700000000001</v>
      </c>
      <c r="BE441" s="60">
        <f t="shared" ref="BE441" si="3841">+AZ441+BE440</f>
        <v>4656.9449999999997</v>
      </c>
      <c r="BF441" s="60">
        <f t="shared" ref="BF441" si="3842">+BA441+BF440</f>
        <v>306.834</v>
      </c>
      <c r="BG441" s="60">
        <f t="shared" ref="BG441" si="3843">+BB441+BG440</f>
        <v>2795.3029999999999</v>
      </c>
      <c r="BH441" s="60">
        <f t="shared" ref="BH441" si="3844">+BC441+BH440</f>
        <v>104.2</v>
      </c>
      <c r="BI441" s="60">
        <f t="shared" ref="BI441" si="3845">+BD441+BI440</f>
        <v>7863.2820000000002</v>
      </c>
      <c r="BJ441" s="1">
        <v>14</v>
      </c>
    </row>
    <row r="442" spans="1:65" x14ac:dyDescent="0.3">
      <c r="A442" s="48">
        <f t="shared" si="238"/>
        <v>40649</v>
      </c>
      <c r="B442" s="64">
        <v>359960</v>
      </c>
      <c r="C442" s="64">
        <v>71350</v>
      </c>
      <c r="D442" s="53">
        <v>1400</v>
      </c>
      <c r="E442" s="53">
        <f t="shared" si="2986"/>
        <v>432710</v>
      </c>
      <c r="F442" s="53">
        <f t="shared" ref="F442" si="3846">AVERAGE(E439,E440,E441,E442)</f>
        <v>422139.75</v>
      </c>
      <c r="G442" s="53">
        <f t="shared" ref="G442" si="3847">AVERAGE(F390,F338,F286)</f>
        <v>422298.58333333331</v>
      </c>
      <c r="H442" s="59">
        <f t="shared" ref="H442" si="3848">((E442/E390)-1)*100</f>
        <v>12.154498517428003</v>
      </c>
      <c r="I442" s="59">
        <f t="shared" ref="I442" si="3849">((F442/F390)-1)*100</f>
        <v>17.363816508762199</v>
      </c>
      <c r="J442" s="59">
        <f t="shared" ref="J442" si="3850">((F442/G442)-1)*100</f>
        <v>-3.7611618793409463E-2</v>
      </c>
      <c r="L442" s="53">
        <v>1600</v>
      </c>
      <c r="M442" s="53">
        <v>12000</v>
      </c>
      <c r="N442" s="53">
        <v>9800</v>
      </c>
      <c r="O442" s="53">
        <f t="shared" si="2600"/>
        <v>23400</v>
      </c>
      <c r="P442" s="53">
        <f t="shared" ref="P442" si="3851">AVERAGE(O439,O440,O441,O442)</f>
        <v>31833.25</v>
      </c>
      <c r="Q442" s="53">
        <f t="shared" ref="Q442" si="3852">AVERAGE(P390,P338,P286)</f>
        <v>22082.75</v>
      </c>
      <c r="R442" s="59">
        <f t="shared" ref="R442" si="3853">((O442/O390)-1)*100</f>
        <v>96.638655462184857</v>
      </c>
      <c r="S442" s="59">
        <f t="shared" ref="S442" si="3854">((P442/P390)-1)*100</f>
        <v>88.415383021855249</v>
      </c>
      <c r="T442" s="59">
        <f t="shared" ref="T442" si="3855">((P442/Q442)-1)*100</f>
        <v>44.154373889121601</v>
      </c>
      <c r="V442" s="64">
        <v>75688</v>
      </c>
      <c r="W442" s="64">
        <v>10250</v>
      </c>
      <c r="X442" s="64">
        <v>16800</v>
      </c>
      <c r="Y442" s="64">
        <f t="shared" si="1916"/>
        <v>102738</v>
      </c>
      <c r="Z442" s="53">
        <f t="shared" ref="Z442" si="3856">AVERAGE(Y439,Y440,Y441,Y442)</f>
        <v>128930.25</v>
      </c>
      <c r="AA442" s="53">
        <f t="shared" ref="AA442" si="3857">AVERAGE(Z390,Z338,Z286)</f>
        <v>143599.16666666666</v>
      </c>
      <c r="AB442" s="59">
        <f t="shared" ref="AB442" si="3858">((Y442/Y390)-1)*100</f>
        <v>1.4295586928620763</v>
      </c>
      <c r="AC442" s="59">
        <f t="shared" ref="AC442" si="3859">((Z442/Z390)-1)*100</f>
        <v>3.8424365433172625</v>
      </c>
      <c r="AD442" s="59">
        <f t="shared" ref="AD442" si="3860">((Z442/AA442)-1)*100</f>
        <v>-10.215182307232507</v>
      </c>
      <c r="AF442" s="53">
        <v>1500</v>
      </c>
      <c r="AG442" s="53">
        <v>0</v>
      </c>
      <c r="AH442" s="64">
        <v>2800</v>
      </c>
      <c r="AI442" s="53">
        <f t="shared" si="2759"/>
        <v>4300</v>
      </c>
      <c r="AJ442" s="53">
        <f t="shared" ref="AJ442" si="3861">AVERAGE(AI439,AI440,AI441,AI442)</f>
        <v>8087.5</v>
      </c>
      <c r="AK442" s="53">
        <f t="shared" ref="AK442" si="3862">AVERAGE(AJ390,AJ338,AJ286)</f>
        <v>10252</v>
      </c>
      <c r="AL442" s="59">
        <f t="shared" ref="AL442" si="3863">((AI442/AI390)-1)*100</f>
        <v>0</v>
      </c>
      <c r="AM442" s="59">
        <f t="shared" ref="AM442" si="3864">((AJ442/AJ390)-1)*100</f>
        <v>20.260223048327131</v>
      </c>
      <c r="AN442" s="59">
        <f t="shared" ref="AN442" si="3865">((AJ442/AK442)-1)*100</f>
        <v>-21.112953570035121</v>
      </c>
      <c r="AP442" s="60">
        <f t="shared" si="1927"/>
        <v>438748</v>
      </c>
      <c r="AQ442" s="53">
        <f t="shared" si="1928"/>
        <v>93600</v>
      </c>
      <c r="AR442" s="60">
        <f t="shared" si="3772"/>
        <v>30800</v>
      </c>
      <c r="AS442" s="53">
        <f t="shared" si="3773"/>
        <v>563148</v>
      </c>
      <c r="AT442" s="53">
        <f t="shared" ref="AT442" si="3866">AVERAGE(AS439,AS440,AS441,AS442)</f>
        <v>590990.75</v>
      </c>
      <c r="AU442" s="53">
        <f t="shared" ref="AU442" si="3867">AVERAGE(AT390,AT338,AT286)</f>
        <v>598232.5</v>
      </c>
      <c r="AV442" s="59">
        <f t="shared" ref="AV442" si="3868">((AS442/AS390)-1)*100</f>
        <v>11.889784743277442</v>
      </c>
      <c r="AW442" s="59">
        <f t="shared" ref="AW442" si="3869">((AT442/AT390)-1)*100</f>
        <v>16.459525740224201</v>
      </c>
      <c r="AX442" s="59">
        <f t="shared" ref="AX442" si="3870">((AT442/AU442)-1)*100</f>
        <v>-1.2105243362739437</v>
      </c>
      <c r="AZ442" s="53">
        <f t="shared" si="401"/>
        <v>432.71</v>
      </c>
      <c r="BA442" s="53">
        <f t="shared" si="402"/>
        <v>23.4</v>
      </c>
      <c r="BB442" s="53">
        <f t="shared" si="403"/>
        <v>102.738</v>
      </c>
      <c r="BC442" s="53">
        <f t="shared" si="3779"/>
        <v>4.3</v>
      </c>
      <c r="BD442" s="53">
        <f t="shared" si="3780"/>
        <v>563.14800000000002</v>
      </c>
      <c r="BE442" s="60">
        <f t="shared" ref="BE442" si="3871">+AZ442+BE441</f>
        <v>5089.6549999999997</v>
      </c>
      <c r="BF442" s="60">
        <f t="shared" ref="BF442" si="3872">+BA442+BF441</f>
        <v>330.23399999999998</v>
      </c>
      <c r="BG442" s="60">
        <f t="shared" ref="BG442" si="3873">+BB442+BG441</f>
        <v>2898.0409999999997</v>
      </c>
      <c r="BH442" s="60">
        <f t="shared" ref="BH442" si="3874">+BC442+BH441</f>
        <v>108.5</v>
      </c>
      <c r="BI442" s="60">
        <f t="shared" ref="BI442" si="3875">+BD442+BI441</f>
        <v>8426.43</v>
      </c>
      <c r="BJ442" s="1">
        <v>15</v>
      </c>
    </row>
    <row r="443" spans="1:65" x14ac:dyDescent="0.3">
      <c r="A443" s="48">
        <f t="shared" si="238"/>
        <v>40656</v>
      </c>
      <c r="B443" s="64">
        <v>241116</v>
      </c>
      <c r="C443" s="64">
        <v>83140</v>
      </c>
      <c r="D443" s="53">
        <v>1400</v>
      </c>
      <c r="E443" s="53">
        <f t="shared" si="2986"/>
        <v>325656</v>
      </c>
      <c r="F443" s="53">
        <f t="shared" ref="F443" si="3876">AVERAGE(E440,E441,E442,E443)</f>
        <v>392622.5</v>
      </c>
      <c r="G443" s="53">
        <f t="shared" ref="G443" si="3877">AVERAGE(F391,F339,F287)</f>
        <v>447697.66666666669</v>
      </c>
      <c r="H443" s="59">
        <f t="shared" ref="H443" si="3878">((E443/E391)-1)*100</f>
        <v>-32.286054698302657</v>
      </c>
      <c r="I443" s="59">
        <f t="shared" ref="I443" si="3879">((F443/F391)-1)*100</f>
        <v>-0.41167242238655533</v>
      </c>
      <c r="J443" s="59">
        <f t="shared" ref="J443" si="3880">((F443/G443)-1)*100</f>
        <v>-12.30186591695438</v>
      </c>
      <c r="L443" s="53">
        <v>10400</v>
      </c>
      <c r="M443" s="53">
        <v>15800</v>
      </c>
      <c r="N443" s="53">
        <v>21000</v>
      </c>
      <c r="O443" s="53">
        <f t="shared" si="2600"/>
        <v>47200</v>
      </c>
      <c r="P443" s="53">
        <f t="shared" ref="P443" si="3881">AVERAGE(O440,O441,O442,O443)</f>
        <v>37183.25</v>
      </c>
      <c r="Q443" s="53">
        <f t="shared" ref="Q443" si="3882">AVERAGE(P391,P339,P287)</f>
        <v>26102.25</v>
      </c>
      <c r="R443" s="59">
        <f t="shared" ref="R443" si="3883">((O443/O391)-1)*100</f>
        <v>15.051797684338819</v>
      </c>
      <c r="S443" s="59">
        <f t="shared" ref="S443" si="3884">((P443/P391)-1)*100</f>
        <v>64.972935800168614</v>
      </c>
      <c r="T443" s="59">
        <f t="shared" ref="T443" si="3885">((P443/Q443)-1)*100</f>
        <v>42.45227901809232</v>
      </c>
      <c r="V443" s="64">
        <v>63366</v>
      </c>
      <c r="W443" s="64">
        <v>9000</v>
      </c>
      <c r="X443" s="64">
        <v>16800</v>
      </c>
      <c r="Y443" s="64">
        <f t="shared" si="1916"/>
        <v>89166</v>
      </c>
      <c r="Z443" s="53">
        <f t="shared" ref="Z443" si="3886">AVERAGE(Y440,Y441,Y442,Y443)</f>
        <v>105748.25</v>
      </c>
      <c r="AA443" s="53">
        <f t="shared" ref="AA443" si="3887">AVERAGE(Z391,Z339,Z287)</f>
        <v>141389.16666666666</v>
      </c>
      <c r="AB443" s="59">
        <f t="shared" ref="AB443" si="3888">((Y443/Y391)-1)*100</f>
        <v>16.939016393442618</v>
      </c>
      <c r="AC443" s="59">
        <f t="shared" ref="AC443" si="3889">((Z443/Z391)-1)*100</f>
        <v>1.659504720155347</v>
      </c>
      <c r="AD443" s="59">
        <f t="shared" ref="AD443" si="3890">((Z443/AA443)-1)*100</f>
        <v>-25.207671497698424</v>
      </c>
      <c r="AF443" s="53">
        <v>1800</v>
      </c>
      <c r="AG443" s="53">
        <v>0</v>
      </c>
      <c r="AH443" s="64">
        <v>4400</v>
      </c>
      <c r="AI443" s="53">
        <f t="shared" si="2759"/>
        <v>6200</v>
      </c>
      <c r="AJ443" s="53">
        <f t="shared" ref="AJ443" si="3891">AVERAGE(AI440,AI441,AI442,AI443)</f>
        <v>8162.5</v>
      </c>
      <c r="AK443" s="53">
        <f t="shared" ref="AK443" si="3892">AVERAGE(AJ391,AJ339,AJ287)</f>
        <v>9154.8333333333339</v>
      </c>
      <c r="AL443" s="59">
        <f t="shared" ref="AL443" si="3893">((AI443/AI391)-1)*100</f>
        <v>-45.13274336283186</v>
      </c>
      <c r="AM443" s="59">
        <f t="shared" ref="AM443" si="3894">((AJ443/AJ391)-1)*100</f>
        <v>36.041666666666657</v>
      </c>
      <c r="AN443" s="59">
        <f t="shared" ref="AN443" si="3895">((AJ443/AK443)-1)*100</f>
        <v>-10.839447286497117</v>
      </c>
      <c r="AP443" s="60">
        <f t="shared" si="1927"/>
        <v>316682</v>
      </c>
      <c r="AQ443" s="53">
        <f t="shared" si="1928"/>
        <v>107940</v>
      </c>
      <c r="AR443" s="60">
        <f t="shared" si="3772"/>
        <v>43600</v>
      </c>
      <c r="AS443" s="53">
        <f t="shared" si="3773"/>
        <v>468222</v>
      </c>
      <c r="AT443" s="53">
        <f t="shared" ref="AT443" si="3896">AVERAGE(AS440,AS441,AS442,AS443)</f>
        <v>543716.5</v>
      </c>
      <c r="AU443" s="53">
        <f t="shared" ref="AU443" si="3897">AVERAGE(AT391,AT339,AT287)</f>
        <v>624343.91666666663</v>
      </c>
      <c r="AV443" s="59">
        <f t="shared" ref="AV443" si="3898">((AS443/AS391)-1)*100</f>
        <v>-23.17983146952276</v>
      </c>
      <c r="AW443" s="59">
        <f t="shared" ref="AW443" si="3899">((AT443/AT391)-1)*100</f>
        <v>3.2099072429820019</v>
      </c>
      <c r="AX443" s="59">
        <f t="shared" ref="AX443" si="3900">((AT443/AU443)-1)*100</f>
        <v>-12.913942862954663</v>
      </c>
      <c r="AZ443" s="53">
        <f t="shared" si="401"/>
        <v>325.65600000000001</v>
      </c>
      <c r="BA443" s="53">
        <f t="shared" si="402"/>
        <v>47.2</v>
      </c>
      <c r="BB443" s="53">
        <f t="shared" si="403"/>
        <v>89.165999999999997</v>
      </c>
      <c r="BC443" s="53">
        <f t="shared" si="3779"/>
        <v>6.2</v>
      </c>
      <c r="BD443" s="53">
        <f t="shared" si="3780"/>
        <v>468.22199999999998</v>
      </c>
      <c r="BE443" s="60">
        <f t="shared" ref="BE443" si="3901">+AZ443+BE442</f>
        <v>5415.3109999999997</v>
      </c>
      <c r="BF443" s="60">
        <f t="shared" ref="BF443" si="3902">+BA443+BF442</f>
        <v>377.43399999999997</v>
      </c>
      <c r="BG443" s="60">
        <f t="shared" ref="BG443" si="3903">+BB443+BG442</f>
        <v>2987.2069999999999</v>
      </c>
      <c r="BH443" s="60">
        <f t="shared" ref="BH443" si="3904">+BC443+BH442</f>
        <v>114.7</v>
      </c>
      <c r="BI443" s="60">
        <f t="shared" ref="BI443" si="3905">+BD443+BI442</f>
        <v>8894.652</v>
      </c>
      <c r="BJ443" s="1">
        <v>16</v>
      </c>
      <c r="BL443" s="60"/>
      <c r="BM443" s="65"/>
    </row>
    <row r="444" spans="1:65" x14ac:dyDescent="0.3">
      <c r="A444" s="48">
        <f t="shared" si="238"/>
        <v>40663</v>
      </c>
      <c r="B444" s="64">
        <v>193000</v>
      </c>
      <c r="C444" s="64">
        <v>14000</v>
      </c>
      <c r="D444" s="53">
        <v>0</v>
      </c>
      <c r="E444" s="53">
        <f t="shared" si="2986"/>
        <v>207000</v>
      </c>
      <c r="F444" s="53">
        <f t="shared" ref="F444" si="3906">AVERAGE(E441,E442,E443,E444)</f>
        <v>329285.75</v>
      </c>
      <c r="G444" s="53">
        <f t="shared" ref="G444" si="3907">AVERAGE(F392,F340,F288)</f>
        <v>422191.75</v>
      </c>
      <c r="H444" s="59">
        <f t="shared" ref="H444" si="3908">((E444/E392)-1)*100</f>
        <v>-48.415071770334926</v>
      </c>
      <c r="I444" s="59">
        <f t="shared" ref="I444" si="3909">((F444/F392)-1)*100</f>
        <v>-18.408298282238235</v>
      </c>
      <c r="J444" s="59">
        <f t="shared" ref="J444" si="3910">((F444/G444)-1)*100</f>
        <v>-22.005640801839444</v>
      </c>
      <c r="L444" s="53">
        <v>0</v>
      </c>
      <c r="M444" s="53">
        <v>4750</v>
      </c>
      <c r="N444" s="53">
        <v>2800</v>
      </c>
      <c r="O444" s="53">
        <f t="shared" si="2600"/>
        <v>7550</v>
      </c>
      <c r="P444" s="53">
        <f t="shared" ref="P444" si="3911">AVERAGE(O441,O442,O443,O444)</f>
        <v>27150</v>
      </c>
      <c r="Q444" s="53">
        <f t="shared" ref="Q444" si="3912">AVERAGE(P392,P340,P288)</f>
        <v>23243.5</v>
      </c>
      <c r="R444" s="59">
        <f t="shared" ref="R444" si="3913">((O444/O392)-1)*100</f>
        <v>-54.92537313432836</v>
      </c>
      <c r="S444" s="59">
        <f t="shared" ref="S444" si="3914">((P444/P392)-1)*100</f>
        <v>22.911856580198297</v>
      </c>
      <c r="T444" s="59">
        <f t="shared" ref="T444" si="3915">((P444/Q444)-1)*100</f>
        <v>16.806849226665509</v>
      </c>
      <c r="V444" s="64">
        <v>22900</v>
      </c>
      <c r="W444" s="64">
        <v>13700</v>
      </c>
      <c r="X444" s="64">
        <v>1400</v>
      </c>
      <c r="Y444" s="64">
        <f t="shared" si="1916"/>
        <v>38000</v>
      </c>
      <c r="Z444" s="53">
        <f t="shared" ref="Z444" si="3916">AVERAGE(Y441,Y442,Y443,Y444)</f>
        <v>72903.5</v>
      </c>
      <c r="AA444" s="53">
        <f t="shared" ref="AA444" si="3917">AVERAGE(Z392,Z340,Z288)</f>
        <v>122614.83333333333</v>
      </c>
      <c r="AB444" s="59">
        <f t="shared" ref="AB444" si="3918">((Y444/Y392)-1)*100</f>
        <v>-59.183673469387756</v>
      </c>
      <c r="AC444" s="59">
        <f t="shared" ref="AC444" si="3919">((Z444/Z392)-1)*100</f>
        <v>-20.052966479236979</v>
      </c>
      <c r="AD444" s="59">
        <f t="shared" ref="AD444" si="3920">((Z444/AA444)-1)*100</f>
        <v>-40.542674961838486</v>
      </c>
      <c r="AF444" s="53">
        <v>1600</v>
      </c>
      <c r="AG444" s="53">
        <v>0</v>
      </c>
      <c r="AH444" s="64">
        <v>4200</v>
      </c>
      <c r="AI444" s="53">
        <f t="shared" si="2759"/>
        <v>5800</v>
      </c>
      <c r="AJ444" s="53">
        <f t="shared" ref="AJ444" si="3921">AVERAGE(AI441,AI442,AI443,AI444)</f>
        <v>6325</v>
      </c>
      <c r="AK444" s="53">
        <f t="shared" ref="AK444" si="3922">AVERAGE(AJ392,AJ340,AJ288)</f>
        <v>8796.5</v>
      </c>
      <c r="AL444" s="59">
        <f t="shared" ref="AL444" si="3923">((AI444/AI392)-1)*100</f>
        <v>38.095238095238095</v>
      </c>
      <c r="AM444" s="59">
        <f t="shared" ref="AM444" si="3924">((AJ444/AJ392)-1)*100</f>
        <v>11.946902654867264</v>
      </c>
      <c r="AN444" s="59">
        <f t="shared" ref="AN444" si="3925">((AJ444/AK444)-1)*100</f>
        <v>-28.096401978059461</v>
      </c>
      <c r="AP444" s="60">
        <f t="shared" si="1927"/>
        <v>217500</v>
      </c>
      <c r="AQ444" s="53">
        <f t="shared" si="1928"/>
        <v>32450</v>
      </c>
      <c r="AR444" s="60">
        <f t="shared" si="3772"/>
        <v>8400</v>
      </c>
      <c r="AS444" s="53">
        <f t="shared" si="3773"/>
        <v>258350</v>
      </c>
      <c r="AT444" s="53">
        <f t="shared" ref="AT444" si="3926">AVERAGE(AS441,AS442,AS443,AS444)</f>
        <v>435664.25</v>
      </c>
      <c r="AU444" s="53">
        <f t="shared" ref="AU444" si="3927">AVERAGE(AT392,AT340,AT288)</f>
        <v>576846.58333333337</v>
      </c>
      <c r="AV444" s="59">
        <f t="shared" ref="AV444" si="3928">((AS444/AS392)-1)*100</f>
        <v>-49.867075466206124</v>
      </c>
      <c r="AW444" s="59">
        <f t="shared" ref="AW444" si="3929">((AT444/AT392)-1)*100</f>
        <v>-16.620279661726535</v>
      </c>
      <c r="AX444" s="59">
        <f t="shared" ref="AX444" si="3930">((AT444/AU444)-1)*100</f>
        <v>-24.474849537550359</v>
      </c>
      <c r="AZ444" s="53">
        <f t="shared" si="401"/>
        <v>207</v>
      </c>
      <c r="BA444" s="53">
        <f t="shared" si="402"/>
        <v>7.55</v>
      </c>
      <c r="BB444" s="53">
        <f t="shared" si="403"/>
        <v>38</v>
      </c>
      <c r="BC444" s="53">
        <f t="shared" si="3779"/>
        <v>5.8</v>
      </c>
      <c r="BD444" s="53">
        <f t="shared" si="3780"/>
        <v>258.35000000000002</v>
      </c>
      <c r="BE444" s="60">
        <f t="shared" ref="BE444" si="3931">+AZ444+BE443</f>
        <v>5622.3109999999997</v>
      </c>
      <c r="BF444" s="60">
        <f t="shared" ref="BF444" si="3932">+BA444+BF443</f>
        <v>384.98399999999998</v>
      </c>
      <c r="BG444" s="60">
        <f t="shared" ref="BG444" si="3933">+BB444+BG443</f>
        <v>3025.2069999999999</v>
      </c>
      <c r="BH444" s="60">
        <f t="shared" ref="BH444" si="3934">+BC444+BH443</f>
        <v>120.5</v>
      </c>
      <c r="BI444" s="60">
        <f t="shared" ref="BI444" si="3935">+BD444+BI443</f>
        <v>9153.0020000000004</v>
      </c>
      <c r="BJ444" s="1">
        <v>17</v>
      </c>
      <c r="BL444" s="60"/>
      <c r="BM444" s="65"/>
    </row>
    <row r="445" spans="1:65" x14ac:dyDescent="0.3">
      <c r="A445" s="48">
        <f t="shared" si="238"/>
        <v>40670</v>
      </c>
      <c r="B445" s="64">
        <v>234342</v>
      </c>
      <c r="C445" s="53">
        <v>0</v>
      </c>
      <c r="D445" s="53">
        <v>0</v>
      </c>
      <c r="E445" s="53">
        <f t="shared" si="2986"/>
        <v>234342</v>
      </c>
      <c r="F445" s="53">
        <f t="shared" ref="F445" si="3936">AVERAGE(E442,E443,E444,E445)</f>
        <v>299927</v>
      </c>
      <c r="G445" s="53">
        <f t="shared" ref="G445" si="3937">AVERAGE(F393,F341,F289)</f>
        <v>423531.5</v>
      </c>
      <c r="H445" s="59">
        <f t="shared" ref="H445" si="3938">((E445/E393)-1)*100</f>
        <v>-63.591307603749279</v>
      </c>
      <c r="I445" s="59">
        <f t="shared" ref="I445" si="3939">((F445/F393)-1)*100</f>
        <v>-37.242868531565108</v>
      </c>
      <c r="J445" s="59">
        <f t="shared" ref="J445" si="3940">((F445/G445)-1)*100</f>
        <v>-29.1842519387578</v>
      </c>
      <c r="L445" s="53">
        <v>0</v>
      </c>
      <c r="M445" s="53">
        <v>0</v>
      </c>
      <c r="N445" s="53">
        <v>0</v>
      </c>
      <c r="O445" s="53">
        <f t="shared" si="2600"/>
        <v>0</v>
      </c>
      <c r="P445" s="53">
        <f t="shared" ref="P445" si="3941">AVERAGE(O442,O443,O444,O445)</f>
        <v>19537.5</v>
      </c>
      <c r="Q445" s="53">
        <f t="shared" ref="Q445" si="3942">AVERAGE(P393,P341,P289)</f>
        <v>23161.166666666668</v>
      </c>
      <c r="R445" s="59">
        <f t="shared" ref="R445" si="3943">((O445/O393)-1)*100</f>
        <v>-100</v>
      </c>
      <c r="S445" s="59">
        <f t="shared" ref="S445" si="3944">((P445/P393)-1)*100</f>
        <v>-20.575232481325266</v>
      </c>
      <c r="T445" s="59">
        <f t="shared" ref="T445" si="3945">((P445/Q445)-1)*100</f>
        <v>-15.645441003979366</v>
      </c>
      <c r="V445" s="64">
        <v>46480</v>
      </c>
      <c r="W445" s="64">
        <v>3000</v>
      </c>
      <c r="X445" s="53">
        <v>0</v>
      </c>
      <c r="Y445" s="64">
        <f t="shared" si="1916"/>
        <v>49480</v>
      </c>
      <c r="Z445" s="53">
        <f t="shared" ref="Z445" si="3946">AVERAGE(Y442,Y443,Y444,Y445)</f>
        <v>69846</v>
      </c>
      <c r="AA445" s="53">
        <f t="shared" ref="AA445" si="3947">AVERAGE(Z393,Z341,Z289)</f>
        <v>120174.25</v>
      </c>
      <c r="AB445" s="59">
        <f t="shared" ref="AB445" si="3948">((Y445/Y393)-1)*100</f>
        <v>-70.762549118090234</v>
      </c>
      <c r="AC445" s="59">
        <f t="shared" ref="AC445" si="3949">((Z445/Z393)-1)*100</f>
        <v>-36.485592497868716</v>
      </c>
      <c r="AD445" s="59">
        <f t="shared" ref="AD445" si="3950">((Z445/AA445)-1)*100</f>
        <v>-41.879395960449095</v>
      </c>
      <c r="AF445" s="53">
        <v>4600</v>
      </c>
      <c r="AG445" s="53">
        <v>0</v>
      </c>
      <c r="AH445" s="53">
        <v>0</v>
      </c>
      <c r="AI445" s="53">
        <f t="shared" si="2759"/>
        <v>4600</v>
      </c>
      <c r="AJ445" s="53">
        <f t="shared" ref="AJ445" si="3951">AVERAGE(AI442,AI443,AI444,AI445)</f>
        <v>5225</v>
      </c>
      <c r="AK445" s="53">
        <f t="shared" ref="AK445" si="3952">AVERAGE(AJ393,AJ341,AJ289)</f>
        <v>9746.5</v>
      </c>
      <c r="AL445" s="59">
        <f t="shared" ref="AL445" si="3953">((AI445/AI393)-1)*100</f>
        <v>-65.671641791044777</v>
      </c>
      <c r="AM445" s="59">
        <f t="shared" ref="AM445" si="3954">((AJ445/AJ393)-1)*100</f>
        <v>-37.048192771084345</v>
      </c>
      <c r="AN445" s="59">
        <f t="shared" ref="AN445" si="3955">((AJ445/AK445)-1)*100</f>
        <v>-46.391012158210643</v>
      </c>
      <c r="AP445" s="60">
        <f t="shared" si="1927"/>
        <v>285422</v>
      </c>
      <c r="AQ445" s="53">
        <f t="shared" si="1928"/>
        <v>3000</v>
      </c>
      <c r="AR445" s="60">
        <f t="shared" si="3772"/>
        <v>0</v>
      </c>
      <c r="AS445" s="53">
        <f t="shared" si="3773"/>
        <v>288422</v>
      </c>
      <c r="AT445" s="53">
        <f t="shared" ref="AT445" si="3956">AVERAGE(AS442,AS443,AS444,AS445)</f>
        <v>394535.5</v>
      </c>
      <c r="AU445" s="53">
        <f t="shared" ref="AU445" si="3957">AVERAGE(AT393,AT341,AT289)</f>
        <v>576613.41666666663</v>
      </c>
      <c r="AV445" s="59">
        <f t="shared" ref="AV445" si="3958">((AS445/AS393)-1)*100</f>
        <v>-66.266353839424184</v>
      </c>
      <c r="AW445" s="59">
        <f t="shared" ref="AW445" si="3959">((AT445/AT393)-1)*100</f>
        <v>-36.445658678655803</v>
      </c>
      <c r="AX445" s="59">
        <f t="shared" ref="AX445" si="3960">((AT445/AU445)-1)*100</f>
        <v>-31.577121066526225</v>
      </c>
      <c r="AZ445" s="53">
        <f t="shared" si="401"/>
        <v>234.34200000000001</v>
      </c>
      <c r="BA445" s="53">
        <f t="shared" si="402"/>
        <v>0</v>
      </c>
      <c r="BB445" s="53">
        <f t="shared" si="403"/>
        <v>49.48</v>
      </c>
      <c r="BC445" s="53">
        <f t="shared" si="3779"/>
        <v>4.5999999999999996</v>
      </c>
      <c r="BD445" s="53">
        <f t="shared" si="3780"/>
        <v>288.42200000000003</v>
      </c>
      <c r="BE445" s="60">
        <f t="shared" ref="BE445" si="3961">+AZ445+BE444</f>
        <v>5856.6529999999993</v>
      </c>
      <c r="BF445" s="60">
        <f t="shared" ref="BF445" si="3962">+BA445+BF444</f>
        <v>384.98399999999998</v>
      </c>
      <c r="BG445" s="60">
        <f t="shared" ref="BG445" si="3963">+BB445+BG444</f>
        <v>3074.6869999999999</v>
      </c>
      <c r="BH445" s="60">
        <f t="shared" ref="BH445" si="3964">+BC445+BH444</f>
        <v>125.1</v>
      </c>
      <c r="BI445" s="60">
        <f t="shared" ref="BI445" si="3965">+BD445+BI444</f>
        <v>9441.4240000000009</v>
      </c>
      <c r="BJ445" s="1">
        <v>18</v>
      </c>
      <c r="BL445" s="60"/>
      <c r="BM445" s="65"/>
    </row>
    <row r="446" spans="1:65" x14ac:dyDescent="0.3">
      <c r="A446" s="48">
        <f t="shared" si="238"/>
        <v>40677</v>
      </c>
      <c r="B446" s="64">
        <v>394486</v>
      </c>
      <c r="C446" s="64">
        <v>9000</v>
      </c>
      <c r="D446" s="53">
        <v>0</v>
      </c>
      <c r="E446" s="53">
        <f t="shared" si="2986"/>
        <v>403486</v>
      </c>
      <c r="F446" s="53">
        <f t="shared" ref="F446" si="3966">AVERAGE(E443,E444,E445,E446)</f>
        <v>292621</v>
      </c>
      <c r="G446" s="53">
        <f t="shared" ref="G446" si="3967">AVERAGE(F394,F342,F290)</f>
        <v>441152.75</v>
      </c>
      <c r="H446" s="59">
        <f t="shared" ref="H446" si="3968">((E446/E394)-1)*100</f>
        <v>-38.077655003069367</v>
      </c>
      <c r="I446" s="59">
        <f t="shared" ref="I446" si="3969">((F446/F394)-1)*100</f>
        <v>-46.245244441668518</v>
      </c>
      <c r="J446" s="59">
        <f t="shared" ref="J446" si="3970">((F446/G446)-1)*100</f>
        <v>-33.669006936939638</v>
      </c>
      <c r="L446" s="53">
        <v>1500</v>
      </c>
      <c r="M446" s="53">
        <v>0</v>
      </c>
      <c r="N446" s="53">
        <v>0</v>
      </c>
      <c r="O446" s="53">
        <f t="shared" si="2600"/>
        <v>1500</v>
      </c>
      <c r="P446" s="53">
        <f t="shared" ref="P446" si="3971">AVERAGE(O443,O444,O445,O446)</f>
        <v>14062.5</v>
      </c>
      <c r="Q446" s="53">
        <f t="shared" ref="Q446" si="3972">AVERAGE(P394,P342,P290)</f>
        <v>24520.916666666668</v>
      </c>
      <c r="R446" s="59">
        <f t="shared" ref="R446" si="3973">((O446/O394)-1)*100</f>
        <v>-95.412844036697251</v>
      </c>
      <c r="S446" s="59">
        <f t="shared" ref="S446" si="3974">((P446/P394)-1)*100</f>
        <v>-52.808423172112917</v>
      </c>
      <c r="T446" s="59">
        <f t="shared" ref="T446" si="3975">((P446/Q446)-1)*100</f>
        <v>-42.651002035677024</v>
      </c>
      <c r="V446" s="64">
        <v>99805</v>
      </c>
      <c r="W446" s="64">
        <v>1500</v>
      </c>
      <c r="X446" s="53">
        <v>0</v>
      </c>
      <c r="Y446" s="64">
        <f t="shared" si="1916"/>
        <v>101305</v>
      </c>
      <c r="Z446" s="53">
        <f t="shared" ref="Z446" si="3976">AVERAGE(Y443,Y444,Y445,Y446)</f>
        <v>69487.75</v>
      </c>
      <c r="AA446" s="53">
        <f t="shared" ref="AA446" si="3977">AVERAGE(Z394,Z342,Z290)</f>
        <v>126559.33333333333</v>
      </c>
      <c r="AB446" s="59">
        <f t="shared" ref="AB446" si="3978">((Y446/Y394)-1)*100</f>
        <v>-11.26828413768941</v>
      </c>
      <c r="AC446" s="59">
        <f t="shared" ref="AC446" si="3979">((Z446/Z394)-1)*100</f>
        <v>-38.608960696182258</v>
      </c>
      <c r="AD446" s="59">
        <f t="shared" ref="AD446" si="3980">((Z446/AA446)-1)*100</f>
        <v>-45.094725003819022</v>
      </c>
      <c r="AF446" s="53">
        <v>0</v>
      </c>
      <c r="AG446" s="53">
        <v>0</v>
      </c>
      <c r="AH446" s="53">
        <v>0</v>
      </c>
      <c r="AI446" s="53">
        <f t="shared" si="2759"/>
        <v>0</v>
      </c>
      <c r="AJ446" s="53">
        <f t="shared" ref="AJ446" si="3981">AVERAGE(AI443,AI444,AI445,AI446)</f>
        <v>4150</v>
      </c>
      <c r="AK446" s="53">
        <f t="shared" ref="AK446" si="3982">AVERAGE(AJ394,AJ342,AJ290)</f>
        <v>8940.3333333333339</v>
      </c>
      <c r="AL446" s="59">
        <f t="shared" ref="AL446" si="3983">((AI446/AI394)-1)*100</f>
        <v>-100</v>
      </c>
      <c r="AM446" s="59">
        <f t="shared" ref="AM446" si="3984">((AJ446/AJ394)-1)*100</f>
        <v>-55.733333333333334</v>
      </c>
      <c r="AN446" s="59">
        <f t="shared" ref="AN446" si="3985">((AJ446/AK446)-1)*100</f>
        <v>-53.581149099586156</v>
      </c>
      <c r="AP446" s="60">
        <f t="shared" si="1927"/>
        <v>495791</v>
      </c>
      <c r="AQ446" s="53">
        <f t="shared" si="1928"/>
        <v>10500</v>
      </c>
      <c r="AR446" s="60">
        <f t="shared" si="3772"/>
        <v>0</v>
      </c>
      <c r="AS446" s="53">
        <f t="shared" si="3773"/>
        <v>506291</v>
      </c>
      <c r="AT446" s="53">
        <f t="shared" ref="AT446" si="3986">AVERAGE(AS443,AS444,AS445,AS446)</f>
        <v>380321.25</v>
      </c>
      <c r="AU446" s="53">
        <f t="shared" ref="AU446" si="3987">AVERAGE(AT394,AT342,AT290)</f>
        <v>601173.33333333337</v>
      </c>
      <c r="AV446" s="59">
        <f t="shared" ref="AV446" si="3988">((AS446/AS394)-1)*100</f>
        <v>-37.268018883120426</v>
      </c>
      <c r="AW446" s="59">
        <f t="shared" ref="AW446" si="3989">((AT446/AT394)-1)*100</f>
        <v>-45.413042869824629</v>
      </c>
      <c r="AX446" s="59">
        <f t="shared" ref="AX446" si="3990">((AT446/AU446)-1)*100</f>
        <v>-36.736839624733854</v>
      </c>
      <c r="AZ446" s="53">
        <f t="shared" si="401"/>
        <v>403.48599999999999</v>
      </c>
      <c r="BA446" s="53">
        <f t="shared" si="402"/>
        <v>1.5</v>
      </c>
      <c r="BB446" s="53">
        <f t="shared" si="403"/>
        <v>101.30500000000001</v>
      </c>
      <c r="BC446" s="53">
        <f t="shared" si="3779"/>
        <v>0</v>
      </c>
      <c r="BD446" s="53">
        <f t="shared" si="3780"/>
        <v>506.291</v>
      </c>
      <c r="BE446" s="60">
        <f t="shared" ref="BE446" si="3991">+AZ446+BE445</f>
        <v>6260.1389999999992</v>
      </c>
      <c r="BF446" s="60">
        <f t="shared" ref="BF446" si="3992">+BA446+BF445</f>
        <v>386.48399999999998</v>
      </c>
      <c r="BG446" s="60">
        <f t="shared" ref="BG446" si="3993">+BB446+BG445</f>
        <v>3175.9919999999997</v>
      </c>
      <c r="BH446" s="60">
        <f t="shared" ref="BH446" si="3994">+BC446+BH445</f>
        <v>125.1</v>
      </c>
      <c r="BI446" s="60">
        <f t="shared" ref="BI446" si="3995">+BD446+BI445</f>
        <v>9947.7150000000001</v>
      </c>
      <c r="BJ446" s="1">
        <v>19</v>
      </c>
      <c r="BL446" s="60"/>
      <c r="BM446" s="65"/>
    </row>
    <row r="447" spans="1:65" x14ac:dyDescent="0.3">
      <c r="A447" s="48">
        <f t="shared" si="238"/>
        <v>40684</v>
      </c>
      <c r="B447" s="64">
        <v>480043</v>
      </c>
      <c r="C447" s="64">
        <v>104635</v>
      </c>
      <c r="D447" s="53">
        <v>0</v>
      </c>
      <c r="E447" s="53">
        <f t="shared" si="2986"/>
        <v>584678</v>
      </c>
      <c r="F447" s="53">
        <f t="shared" ref="F447" si="3996">AVERAGE(E444,E445,E446,E447)</f>
        <v>357376.5</v>
      </c>
      <c r="G447" s="53">
        <f t="shared" ref="G447" si="3997">AVERAGE(F395,F343,F291)</f>
        <v>447267.08333333331</v>
      </c>
      <c r="H447" s="59">
        <f t="shared" ref="H447" si="3998">((E447/E395)-1)*100</f>
        <v>-3.8434465700076359</v>
      </c>
      <c r="I447" s="59">
        <f t="shared" ref="I447" si="3999">((F447/F395)-1)*100</f>
        <v>-37.970841427753797</v>
      </c>
      <c r="J447" s="59">
        <f t="shared" ref="J447" si="4000">((F447/G447)-1)*100</f>
        <v>-20.097741748265619</v>
      </c>
      <c r="L447" s="53">
        <v>19600</v>
      </c>
      <c r="M447" s="53">
        <v>21650</v>
      </c>
      <c r="N447" s="53">
        <v>0</v>
      </c>
      <c r="O447" s="53">
        <f t="shared" si="2600"/>
        <v>41250</v>
      </c>
      <c r="P447" s="53">
        <f t="shared" ref="P447" si="4001">AVERAGE(O444,O445,O446,O447)</f>
        <v>12575</v>
      </c>
      <c r="Q447" s="53">
        <f t="shared" ref="Q447" si="4002">AVERAGE(P395,P343,P291)</f>
        <v>20404.583333333332</v>
      </c>
      <c r="R447" s="59">
        <f t="shared" ref="R447" si="4003">((O447/O395)-1)*100</f>
        <v>103.80434782608697</v>
      </c>
      <c r="S447" s="59">
        <f t="shared" ref="S447" si="4004">((P447/P395)-1)*100</f>
        <v>-48.887308200386137</v>
      </c>
      <c r="T447" s="59">
        <f t="shared" ref="T447" si="4005">((P447/Q447)-1)*100</f>
        <v>-38.371689367176486</v>
      </c>
      <c r="V447" s="64">
        <v>74900</v>
      </c>
      <c r="W447" s="64">
        <v>37080</v>
      </c>
      <c r="X447" s="53">
        <v>0</v>
      </c>
      <c r="Y447" s="64">
        <f t="shared" si="1916"/>
        <v>111980</v>
      </c>
      <c r="Z447" s="53">
        <f t="shared" ref="Z447" si="4006">AVERAGE(Y444,Y445,Y446,Y447)</f>
        <v>75191.25</v>
      </c>
      <c r="AA447" s="53">
        <f t="shared" ref="AA447" si="4007">AVERAGE(Z395,Z343,Z291)</f>
        <v>137762.91666666666</v>
      </c>
      <c r="AB447" s="59">
        <f t="shared" ref="AB447" si="4008">((Y447/Y395)-1)*100</f>
        <v>-9.1550724049811354</v>
      </c>
      <c r="AC447" s="59">
        <f t="shared" ref="AC447" si="4009">((Z447/Z395)-1)*100</f>
        <v>-39.819316885767449</v>
      </c>
      <c r="AD447" s="59">
        <f t="shared" ref="AD447" si="4010">((Z447/AA447)-1)*100</f>
        <v>-45.419818468322696</v>
      </c>
      <c r="AF447" s="53">
        <v>9000</v>
      </c>
      <c r="AG447" s="53">
        <v>0</v>
      </c>
      <c r="AH447" s="53">
        <v>0</v>
      </c>
      <c r="AI447" s="53">
        <f t="shared" si="2759"/>
        <v>9000</v>
      </c>
      <c r="AJ447" s="53">
        <f t="shared" ref="AJ447" si="4011">AVERAGE(AI444,AI445,AI446,AI447)</f>
        <v>4850</v>
      </c>
      <c r="AK447" s="53">
        <f t="shared" ref="AK447" si="4012">AVERAGE(AJ395,AJ343,AJ291)</f>
        <v>9845.8333333333339</v>
      </c>
      <c r="AL447" s="59">
        <f t="shared" ref="AL447" si="4013">((AI447/AI395)-1)*100</f>
        <v>-30.76923076923077</v>
      </c>
      <c r="AM447" s="59">
        <f t="shared" ref="AM447" si="4014">((AJ447/AJ395)-1)*100</f>
        <v>-50.510204081632651</v>
      </c>
      <c r="AN447" s="59">
        <f t="shared" ref="AN447" si="4015">((AJ447/AK447)-1)*100</f>
        <v>-50.740584003385521</v>
      </c>
      <c r="AP447" s="60">
        <f t="shared" si="1927"/>
        <v>583543</v>
      </c>
      <c r="AQ447" s="53">
        <f t="shared" si="1928"/>
        <v>163365</v>
      </c>
      <c r="AR447" s="60">
        <f t="shared" si="3772"/>
        <v>0</v>
      </c>
      <c r="AS447" s="53">
        <f t="shared" si="3773"/>
        <v>746908</v>
      </c>
      <c r="AT447" s="53">
        <f t="shared" ref="AT447" si="4016">AVERAGE(AS444,AS445,AS446,AS447)</f>
        <v>449992.75</v>
      </c>
      <c r="AU447" s="53">
        <f t="shared" ref="AU447" si="4017">AVERAGE(AT395,AT343,AT291)</f>
        <v>615280.41666666663</v>
      </c>
      <c r="AV447" s="59">
        <f t="shared" ref="AV447" si="4018">((AS447/AS395)-1)*100</f>
        <v>-2.3078844762887574</v>
      </c>
      <c r="AW447" s="59">
        <f t="shared" ref="AW447" si="4019">((AT447/AT395)-1)*100</f>
        <v>-38.817097905437578</v>
      </c>
      <c r="AX447" s="59">
        <f t="shared" ref="AX447" si="4020">((AT447/AU447)-1)*100</f>
        <v>-26.863794489368999</v>
      </c>
      <c r="AZ447" s="53">
        <f t="shared" si="401"/>
        <v>584.678</v>
      </c>
      <c r="BA447" s="53">
        <f t="shared" si="402"/>
        <v>41.25</v>
      </c>
      <c r="BB447" s="53">
        <f t="shared" si="403"/>
        <v>111.98</v>
      </c>
      <c r="BC447" s="53">
        <f t="shared" si="3779"/>
        <v>9</v>
      </c>
      <c r="BD447" s="53">
        <f t="shared" si="3780"/>
        <v>746.90800000000002</v>
      </c>
      <c r="BE447" s="60">
        <f t="shared" ref="BE447" si="4021">+AZ447+BE446</f>
        <v>6844.8169999999991</v>
      </c>
      <c r="BF447" s="60">
        <f t="shared" ref="BF447" si="4022">+BA447+BF446</f>
        <v>427.73399999999998</v>
      </c>
      <c r="BG447" s="60">
        <f t="shared" ref="BG447" si="4023">+BB447+BG446</f>
        <v>3287.9719999999998</v>
      </c>
      <c r="BH447" s="60">
        <f t="shared" ref="BH447" si="4024">+BC447+BH446</f>
        <v>134.1</v>
      </c>
      <c r="BI447" s="60">
        <f t="shared" ref="BI447" si="4025">+BD447+BI446</f>
        <v>10694.623</v>
      </c>
      <c r="BJ447" s="1">
        <v>20</v>
      </c>
      <c r="BL447" s="60"/>
      <c r="BM447" s="65"/>
    </row>
    <row r="448" spans="1:65" x14ac:dyDescent="0.3">
      <c r="A448" s="48">
        <f t="shared" si="238"/>
        <v>40691</v>
      </c>
      <c r="B448" s="64">
        <v>445309</v>
      </c>
      <c r="C448" s="64">
        <v>67971</v>
      </c>
      <c r="D448" s="53">
        <v>0</v>
      </c>
      <c r="E448" s="53">
        <f t="shared" si="2986"/>
        <v>513280</v>
      </c>
      <c r="F448" s="53">
        <f t="shared" ref="F448" si="4026">AVERAGE(E445,E446,E447,E448)</f>
        <v>433946.5</v>
      </c>
      <c r="G448" s="53">
        <f t="shared" ref="G448" si="4027">AVERAGE(F396,F344,F292)</f>
        <v>499481.66666666669</v>
      </c>
      <c r="H448" s="59">
        <f t="shared" ref="H448" si="4028">((E448/E396)-1)*100</f>
        <v>-34.661289665566827</v>
      </c>
      <c r="I448" s="59">
        <f t="shared" ref="I448" si="4029">((F448/F396)-1)*100</f>
        <v>-35.445257635301822</v>
      </c>
      <c r="J448" s="59">
        <f t="shared" ref="J448" si="4030">((F448/G448)-1)*100</f>
        <v>-13.120635058343822</v>
      </c>
      <c r="L448" s="53">
        <v>3000</v>
      </c>
      <c r="M448" s="53">
        <v>13750</v>
      </c>
      <c r="N448" s="53">
        <v>40600</v>
      </c>
      <c r="O448" s="53">
        <f t="shared" si="2600"/>
        <v>57350</v>
      </c>
      <c r="P448" s="53">
        <f t="shared" ref="P448" si="4031">AVERAGE(O445,O446,O447,O448)</f>
        <v>25025</v>
      </c>
      <c r="Q448" s="53">
        <f t="shared" ref="Q448" si="4032">AVERAGE(P396,P344,P292)</f>
        <v>20454.583333333332</v>
      </c>
      <c r="R448" s="59">
        <f t="shared" ref="R448" si="4033">((O448/O396)-1)*100</f>
        <v>265.51943913320588</v>
      </c>
      <c r="S448" s="59">
        <f t="shared" ref="S448" si="4034">((P448/P396)-1)*100</f>
        <v>2.8248587570621542</v>
      </c>
      <c r="T448" s="59">
        <f t="shared" ref="T448" si="4035">((P448/Q448)-1)*100</f>
        <v>22.344217881078009</v>
      </c>
      <c r="V448" s="64">
        <v>52540</v>
      </c>
      <c r="W448" s="64">
        <v>31400</v>
      </c>
      <c r="X448" s="53">
        <v>28000</v>
      </c>
      <c r="Y448" s="64">
        <f t="shared" si="1916"/>
        <v>111940</v>
      </c>
      <c r="Z448" s="53">
        <f t="shared" ref="Z448" si="4036">AVERAGE(Y445,Y446,Y447,Y448)</f>
        <v>93676.25</v>
      </c>
      <c r="AA448" s="53">
        <f t="shared" ref="AA448" si="4037">AVERAGE(Z396,Z344,Z292)</f>
        <v>151452.5</v>
      </c>
      <c r="AB448" s="59">
        <f t="shared" ref="AB448" si="4038">((Y448/Y396)-1)*100</f>
        <v>27.449306053671265</v>
      </c>
      <c r="AC448" s="59">
        <f t="shared" ref="AC448" si="4039">((Z448/Z396)-1)*100</f>
        <v>-24.22563351742464</v>
      </c>
      <c r="AD448" s="59">
        <f t="shared" ref="AD448" si="4040">((Z448/AA448)-1)*100</f>
        <v>-38.148099239035339</v>
      </c>
      <c r="AF448" s="53">
        <v>0</v>
      </c>
      <c r="AG448" s="53">
        <v>0</v>
      </c>
      <c r="AH448" s="53">
        <v>0</v>
      </c>
      <c r="AI448" s="53">
        <f t="shared" si="2759"/>
        <v>0</v>
      </c>
      <c r="AJ448" s="53">
        <f t="shared" ref="AJ448" si="4041">AVERAGE(AI445,AI446,AI447,AI448)</f>
        <v>3400</v>
      </c>
      <c r="AK448" s="53">
        <f t="shared" ref="AK448" si="4042">AVERAGE(AJ396,AJ344,AJ292)</f>
        <v>9670.8333333333339</v>
      </c>
      <c r="AL448" s="59">
        <f t="shared" ref="AL448" si="4043">((AI448/AI396)-1)*100</f>
        <v>-100</v>
      </c>
      <c r="AM448" s="59">
        <f t="shared" ref="AM448" si="4044">((AJ448/AJ396)-1)*100</f>
        <v>-71.488469601677153</v>
      </c>
      <c r="AN448" s="59">
        <f t="shared" ref="AN448" si="4045">((AJ448/AK448)-1)*100</f>
        <v>-64.842740198190427</v>
      </c>
      <c r="AP448" s="60">
        <f t="shared" si="1927"/>
        <v>500849</v>
      </c>
      <c r="AQ448" s="53">
        <f t="shared" si="1928"/>
        <v>113121</v>
      </c>
      <c r="AR448" s="60">
        <f t="shared" si="3772"/>
        <v>68600</v>
      </c>
      <c r="AS448" s="53">
        <f t="shared" si="3773"/>
        <v>682570</v>
      </c>
      <c r="AT448" s="53">
        <f t="shared" ref="AT448" si="4046">AVERAGE(AS445,AS446,AS447,AS448)</f>
        <v>556047.75</v>
      </c>
      <c r="AU448" s="53">
        <f t="shared" ref="AU448" si="4047">AVERAGE(AT396,AT344,AT292)</f>
        <v>681059.58333333337</v>
      </c>
      <c r="AV448" s="59">
        <f t="shared" ref="AV448" si="4048">((AS448/AS396)-1)*100</f>
        <v>-24.30934509070304</v>
      </c>
      <c r="AW448" s="59">
        <f t="shared" ref="AW448" si="4049">((AT448/AT396)-1)*100</f>
        <v>-33.175570317358741</v>
      </c>
      <c r="AX448" s="59">
        <f t="shared" ref="AX448" si="4050">((AT448/AU448)-1)*100</f>
        <v>-18.355491412584435</v>
      </c>
      <c r="AZ448" s="53">
        <f t="shared" si="401"/>
        <v>513.28</v>
      </c>
      <c r="BA448" s="53">
        <f t="shared" si="402"/>
        <v>57.35</v>
      </c>
      <c r="BB448" s="53">
        <f t="shared" si="403"/>
        <v>111.94</v>
      </c>
      <c r="BC448" s="53">
        <f t="shared" si="3779"/>
        <v>0</v>
      </c>
      <c r="BD448" s="53">
        <f t="shared" si="3780"/>
        <v>682.57</v>
      </c>
      <c r="BE448" s="60">
        <f t="shared" ref="BE448" si="4051">+AZ448+BE447</f>
        <v>7358.0969999999988</v>
      </c>
      <c r="BF448" s="60">
        <f t="shared" ref="BF448" si="4052">+BA448+BF447</f>
        <v>485.084</v>
      </c>
      <c r="BG448" s="60">
        <f t="shared" ref="BG448" si="4053">+BB448+BG447</f>
        <v>3399.9119999999998</v>
      </c>
      <c r="BH448" s="60">
        <f t="shared" ref="BH448" si="4054">+BC448+BH447</f>
        <v>134.1</v>
      </c>
      <c r="BI448" s="60">
        <f t="shared" ref="BI448" si="4055">+BD448+BI447</f>
        <v>11377.192999999999</v>
      </c>
      <c r="BJ448" s="1">
        <v>21</v>
      </c>
      <c r="BL448" s="60"/>
      <c r="BM448" s="65"/>
    </row>
    <row r="449" spans="1:65" x14ac:dyDescent="0.3">
      <c r="A449" s="48">
        <f t="shared" si="238"/>
        <v>40698</v>
      </c>
      <c r="B449" s="64">
        <v>351553</v>
      </c>
      <c r="C449" s="64">
        <v>69200</v>
      </c>
      <c r="D449" s="53">
        <v>0</v>
      </c>
      <c r="E449" s="53">
        <f t="shared" si="2986"/>
        <v>420753</v>
      </c>
      <c r="F449" s="53">
        <f t="shared" ref="F449" si="4056">AVERAGE(E446,E447,E448,E449)</f>
        <v>480549.25</v>
      </c>
      <c r="G449" s="53">
        <f t="shared" ref="G449" si="4057">AVERAGE(F397,F345,F293)</f>
        <v>529298.5</v>
      </c>
      <c r="H449" s="59">
        <f t="shared" ref="H449" si="4058">((E449/E397)-1)*100</f>
        <v>-34.998362418429899</v>
      </c>
      <c r="I449" s="59">
        <f t="shared" ref="I449" si="4059">((F449/F397)-1)*100</f>
        <v>-28.609528945460593</v>
      </c>
      <c r="J449" s="59">
        <f t="shared" ref="J449" si="4060">((F449/G449)-1)*100</f>
        <v>-9.2101621296867506</v>
      </c>
      <c r="L449" s="53">
        <v>17341</v>
      </c>
      <c r="M449" s="53">
        <v>5200</v>
      </c>
      <c r="N449" s="53">
        <v>7000</v>
      </c>
      <c r="O449" s="53">
        <f t="shared" si="2600"/>
        <v>29541</v>
      </c>
      <c r="P449" s="53">
        <f t="shared" ref="P449" si="4061">AVERAGE(O446,O447,O448,O449)</f>
        <v>32410.25</v>
      </c>
      <c r="Q449" s="53">
        <f t="shared" ref="Q449" si="4062">AVERAGE(P397,P345,P293)</f>
        <v>17565.083333333332</v>
      </c>
      <c r="R449" s="59">
        <f t="shared" ref="R449" si="4063">((O449/O397)-1)*100</f>
        <v>81.233128834355824</v>
      </c>
      <c r="S449" s="59">
        <f t="shared" ref="S449" si="4064">((P449/P397)-1)*100</f>
        <v>52.64453079006239</v>
      </c>
      <c r="T449" s="59">
        <f t="shared" ref="T449" si="4065">((P449/Q449)-1)*100</f>
        <v>84.515207727451738</v>
      </c>
      <c r="V449" s="64">
        <v>66135</v>
      </c>
      <c r="W449" s="64">
        <v>22370</v>
      </c>
      <c r="X449" s="53">
        <v>2800</v>
      </c>
      <c r="Y449" s="64">
        <f t="shared" si="1916"/>
        <v>91305</v>
      </c>
      <c r="Z449" s="53">
        <f t="shared" ref="Z449" si="4066">AVERAGE(Y446,Y447,Y448,Y449)</f>
        <v>104132.5</v>
      </c>
      <c r="AA449" s="53">
        <f t="shared" ref="AA449" si="4067">AVERAGE(Z397,Z345,Z293)</f>
        <v>168187.16666666666</v>
      </c>
      <c r="AB449" s="59">
        <f t="shared" ref="AB449" si="4068">((Y449/Y397)-1)*100</f>
        <v>-17.775096133930102</v>
      </c>
      <c r="AC449" s="59">
        <f t="shared" ref="AC449" si="4069">((Z449/Z397)-1)*100</f>
        <v>-4.533255101315814</v>
      </c>
      <c r="AD449" s="59">
        <f t="shared" ref="AD449" si="4070">((Z449/AA449)-1)*100</f>
        <v>-38.085347375889754</v>
      </c>
      <c r="AF449" s="53">
        <v>1600</v>
      </c>
      <c r="AG449" s="53">
        <v>0</v>
      </c>
      <c r="AH449" s="53">
        <v>0</v>
      </c>
      <c r="AI449" s="53">
        <f t="shared" si="2759"/>
        <v>1600</v>
      </c>
      <c r="AJ449" s="53">
        <f t="shared" ref="AJ449" si="4071">AVERAGE(AI446,AI447,AI448,AI449)</f>
        <v>2650</v>
      </c>
      <c r="AK449" s="53">
        <f t="shared" ref="AK449" si="4072">AVERAGE(AJ397,AJ345,AJ293)</f>
        <v>10420.833333333334</v>
      </c>
      <c r="AL449" s="59">
        <f t="shared" ref="AL449" si="4073">((AI449/AI397)-1)*100</f>
        <v>-86.440677966101703</v>
      </c>
      <c r="AM449" s="59">
        <f t="shared" ref="AM449" si="4074">((AJ449/AJ397)-1)*100</f>
        <v>-77.006507592190886</v>
      </c>
      <c r="AN449" s="59">
        <f t="shared" ref="AN449" si="4075">((AJ449/AK449)-1)*100</f>
        <v>-74.570171931227506</v>
      </c>
      <c r="AP449" s="60">
        <f t="shared" si="1927"/>
        <v>436629</v>
      </c>
      <c r="AQ449" s="53">
        <f t="shared" si="1928"/>
        <v>96770</v>
      </c>
      <c r="AR449" s="60">
        <f t="shared" si="3772"/>
        <v>9800</v>
      </c>
      <c r="AS449" s="53">
        <f t="shared" si="3773"/>
        <v>543199</v>
      </c>
      <c r="AT449" s="53">
        <f t="shared" ref="AT449" si="4076">AVERAGE(AS446,AS447,AS448,AS449)</f>
        <v>619742</v>
      </c>
      <c r="AU449" s="53">
        <f t="shared" ref="AU449" si="4077">AVERAGE(AT397,AT345,AT293)</f>
        <v>725471.58333333337</v>
      </c>
      <c r="AV449" s="59">
        <f t="shared" ref="AV449" si="4078">((AS449/AS397)-1)*100</f>
        <v>-30.929290129304366</v>
      </c>
      <c r="AW449" s="59">
        <f t="shared" ref="AW449" si="4079">((AT449/AT397)-1)*100</f>
        <v>-23.954561113376037</v>
      </c>
      <c r="AX449" s="59">
        <f t="shared" ref="AX449" si="4080">((AT449/AU449)-1)*100</f>
        <v>-14.573911061758793</v>
      </c>
      <c r="AZ449" s="53">
        <f t="shared" si="401"/>
        <v>420.75299999999999</v>
      </c>
      <c r="BA449" s="53">
        <f t="shared" si="402"/>
        <v>29.541</v>
      </c>
      <c r="BB449" s="53">
        <f t="shared" si="403"/>
        <v>91.305000000000007</v>
      </c>
      <c r="BC449" s="53">
        <f t="shared" si="3779"/>
        <v>1.6</v>
      </c>
      <c r="BD449" s="53">
        <f t="shared" si="3780"/>
        <v>543.19899999999996</v>
      </c>
      <c r="BE449" s="60">
        <f t="shared" ref="BE449" si="4081">+AZ449+BE448</f>
        <v>7778.8499999999985</v>
      </c>
      <c r="BF449" s="60">
        <f t="shared" ref="BF449" si="4082">+BA449+BF448</f>
        <v>514.625</v>
      </c>
      <c r="BG449" s="60">
        <f t="shared" ref="BG449" si="4083">+BB449+BG448</f>
        <v>3491.2169999999996</v>
      </c>
      <c r="BH449" s="60">
        <f t="shared" ref="BH449" si="4084">+BC449+BH448</f>
        <v>135.69999999999999</v>
      </c>
      <c r="BI449" s="60">
        <f t="shared" ref="BI449" si="4085">+BD449+BI448</f>
        <v>11920.392</v>
      </c>
      <c r="BJ449" s="1">
        <v>22</v>
      </c>
      <c r="BL449" s="60"/>
      <c r="BM449" s="65"/>
    </row>
    <row r="450" spans="1:65" x14ac:dyDescent="0.3">
      <c r="A450" s="48">
        <f t="shared" si="238"/>
        <v>40705</v>
      </c>
      <c r="B450" s="64">
        <v>390220</v>
      </c>
      <c r="C450" s="64">
        <v>50200</v>
      </c>
      <c r="D450" s="53">
        <v>2800</v>
      </c>
      <c r="E450" s="53">
        <f t="shared" si="2986"/>
        <v>443220</v>
      </c>
      <c r="F450" s="53">
        <f t="shared" ref="F450" si="4086">AVERAGE(E447,E448,E449,E450)</f>
        <v>490482.75</v>
      </c>
      <c r="G450" s="53">
        <f t="shared" ref="G450" si="4087">AVERAGE(F398,F346,F294)</f>
        <v>520503</v>
      </c>
      <c r="H450" s="59">
        <f t="shared" ref="H450" si="4088">((E450/E398)-1)*100</f>
        <v>-26.716633350032982</v>
      </c>
      <c r="I450" s="59">
        <f t="shared" ref="I450" si="4089">((F450/F398)-1)*100</f>
        <v>-25.844960625010629</v>
      </c>
      <c r="J450" s="59">
        <f t="shared" ref="J450" si="4090">((F450/G450)-1)*100</f>
        <v>-5.7675460083803536</v>
      </c>
      <c r="L450" s="53">
        <v>4600</v>
      </c>
      <c r="M450" s="53">
        <v>5100</v>
      </c>
      <c r="N450" s="53">
        <v>18400</v>
      </c>
      <c r="O450" s="53">
        <f t="shared" si="2600"/>
        <v>28100</v>
      </c>
      <c r="P450" s="53">
        <f t="shared" ref="P450" si="4091">AVERAGE(O447,O448,O449,O450)</f>
        <v>39060.25</v>
      </c>
      <c r="Q450" s="53">
        <f t="shared" ref="Q450" si="4092">AVERAGE(P398,P346,P294)</f>
        <v>21961.5</v>
      </c>
      <c r="R450" s="59">
        <f t="shared" ref="R450" si="4093">((O450/O398)-1)*100</f>
        <v>-1.0563380281690127</v>
      </c>
      <c r="S450" s="59">
        <f t="shared" ref="S450" si="4094">((P450/P398)-1)*100</f>
        <v>93.775269750713136</v>
      </c>
      <c r="T450" s="59">
        <f t="shared" ref="T450" si="4095">((P450/Q450)-1)*100</f>
        <v>77.857842132823336</v>
      </c>
      <c r="V450" s="64">
        <v>78680</v>
      </c>
      <c r="W450" s="64">
        <v>10250</v>
      </c>
      <c r="X450" s="53">
        <v>4200</v>
      </c>
      <c r="Y450" s="64">
        <f t="shared" si="1916"/>
        <v>93130</v>
      </c>
      <c r="Z450" s="53">
        <f t="shared" ref="Z450" si="4096">AVERAGE(Y447,Y448,Y449,Y450)</f>
        <v>102088.75</v>
      </c>
      <c r="AA450" s="53">
        <f t="shared" ref="AA450" si="4097">AVERAGE(Z398,Z346,Z294)</f>
        <v>166659.25</v>
      </c>
      <c r="AB450" s="59">
        <f t="shared" ref="AB450" si="4098">((Y450/Y398)-1)*100</f>
        <v>-20.16014265384154</v>
      </c>
      <c r="AC450" s="59">
        <f t="shared" ref="AC450" si="4099">((Z450/Z398)-1)*100</f>
        <v>-6.9350593115079189</v>
      </c>
      <c r="AD450" s="59">
        <f t="shared" ref="AD450" si="4100">((Z450/AA450)-1)*100</f>
        <v>-38.744024109072853</v>
      </c>
      <c r="AF450" s="53">
        <v>1600</v>
      </c>
      <c r="AG450" s="53">
        <v>0</v>
      </c>
      <c r="AH450" s="53">
        <v>8400</v>
      </c>
      <c r="AI450" s="53">
        <f t="shared" si="2759"/>
        <v>10000</v>
      </c>
      <c r="AJ450" s="53">
        <f t="shared" ref="AJ450" si="4101">AVERAGE(AI447,AI448,AI449,AI450)</f>
        <v>5150</v>
      </c>
      <c r="AK450" s="53">
        <f t="shared" ref="AK450" si="4102">AVERAGE(AJ398,AJ346,AJ294)</f>
        <v>11130.833333333334</v>
      </c>
      <c r="AL450" s="59">
        <f t="shared" ref="AL450" si="4103">((AI450/AI398)-1)*100</f>
        <v>-13.569576490924806</v>
      </c>
      <c r="AM450" s="59">
        <f t="shared" ref="AM450" si="4104">((AJ450/AJ398)-1)*100</f>
        <v>-58.019156307316081</v>
      </c>
      <c r="AN450" s="59">
        <f t="shared" ref="AN450" si="4105">((AJ450/AK450)-1)*100</f>
        <v>-53.732125477277833</v>
      </c>
      <c r="AP450" s="60">
        <f t="shared" si="1927"/>
        <v>475100</v>
      </c>
      <c r="AQ450" s="53">
        <f t="shared" si="1928"/>
        <v>65550</v>
      </c>
      <c r="AR450" s="60">
        <f t="shared" si="3772"/>
        <v>33800</v>
      </c>
      <c r="AS450" s="53">
        <f t="shared" si="3773"/>
        <v>574450</v>
      </c>
      <c r="AT450" s="53">
        <f t="shared" ref="AT450" si="4106">AVERAGE(AS447,AS448,AS449,AS450)</f>
        <v>636781.75</v>
      </c>
      <c r="AU450" s="53">
        <f t="shared" ref="AU450" si="4107">AVERAGE(AT398,AT346,AT294)</f>
        <v>720254.58333333337</v>
      </c>
      <c r="AV450" s="59">
        <f t="shared" ref="AV450" si="4108">((AS450/AS398)-1)*100</f>
        <v>-24.555336811926153</v>
      </c>
      <c r="AW450" s="59">
        <f t="shared" ref="AW450" si="4109">((AT450/AT398)-1)*100</f>
        <v>-20.753935660506507</v>
      </c>
      <c r="AX450" s="59">
        <f t="shared" ref="AX450" si="4110">((AT450/AU450)-1)*100</f>
        <v>-11.5893512189845</v>
      </c>
      <c r="AZ450" s="53">
        <f t="shared" si="401"/>
        <v>443.22</v>
      </c>
      <c r="BA450" s="53">
        <f t="shared" si="402"/>
        <v>28.1</v>
      </c>
      <c r="BB450" s="53">
        <f t="shared" si="403"/>
        <v>93.13</v>
      </c>
      <c r="BC450" s="53">
        <f t="shared" si="3779"/>
        <v>10</v>
      </c>
      <c r="BD450" s="53">
        <f t="shared" si="3780"/>
        <v>574.45000000000005</v>
      </c>
      <c r="BE450" s="60">
        <f t="shared" ref="BE450" si="4111">+AZ450+BE449</f>
        <v>8222.0699999999979</v>
      </c>
      <c r="BF450" s="60">
        <f t="shared" ref="BF450" si="4112">+BA450+BF449</f>
        <v>542.72500000000002</v>
      </c>
      <c r="BG450" s="60">
        <f t="shared" ref="BG450" si="4113">+BB450+BG449</f>
        <v>3584.3469999999998</v>
      </c>
      <c r="BH450" s="60">
        <f t="shared" ref="BH450" si="4114">+BC450+BH449</f>
        <v>145.69999999999999</v>
      </c>
      <c r="BI450" s="60">
        <f t="shared" ref="BI450" si="4115">+BD450+BI449</f>
        <v>12494.842000000001</v>
      </c>
      <c r="BJ450" s="1">
        <v>23</v>
      </c>
      <c r="BL450" s="60"/>
      <c r="BM450" s="65"/>
    </row>
    <row r="451" spans="1:65" x14ac:dyDescent="0.3">
      <c r="A451" s="48">
        <f t="shared" si="238"/>
        <v>40712</v>
      </c>
      <c r="B451" s="64">
        <v>224204</v>
      </c>
      <c r="C451" s="64">
        <v>36600</v>
      </c>
      <c r="D451" s="53">
        <v>0</v>
      </c>
      <c r="E451" s="53">
        <f t="shared" si="2986"/>
        <v>260804</v>
      </c>
      <c r="F451" s="53">
        <f t="shared" ref="F451" si="4116">AVERAGE(E448,E449,E450,E451)</f>
        <v>409514.25</v>
      </c>
      <c r="G451" s="53">
        <f t="shared" ref="G451" si="4117">AVERAGE(F399,F347,F295)</f>
        <v>533830.91666666663</v>
      </c>
      <c r="H451" s="59">
        <f t="shared" ref="H451" si="4118">((E451/E399)-1)*100</f>
        <v>-58.439199138200294</v>
      </c>
      <c r="I451" s="59">
        <f t="shared" ref="I451" si="4119">((F451/F399)-1)*100</f>
        <v>-38.538851436913902</v>
      </c>
      <c r="J451" s="59">
        <f t="shared" ref="J451" si="4120">((F451/G451)-1)*100</f>
        <v>-23.28764835182675</v>
      </c>
      <c r="L451" s="53">
        <v>1500</v>
      </c>
      <c r="M451" s="53">
        <v>0</v>
      </c>
      <c r="N451" s="53">
        <v>15400</v>
      </c>
      <c r="O451" s="53">
        <f t="shared" si="2600"/>
        <v>16900</v>
      </c>
      <c r="P451" s="53">
        <f t="shared" ref="P451" si="4121">AVERAGE(O448,O449,O450,O451)</f>
        <v>32972.75</v>
      </c>
      <c r="Q451" s="53">
        <f t="shared" ref="Q451" si="4122">AVERAGE(P399,P347,P295)</f>
        <v>28568.416666666668</v>
      </c>
      <c r="R451" s="59">
        <f t="shared" ref="R451" si="4123">((O451/O399)-1)*100</f>
        <v>-52.954931381009374</v>
      </c>
      <c r="S451" s="59">
        <f t="shared" ref="S451" si="4124">((P451/P399)-1)*100</f>
        <v>36.939976950152101</v>
      </c>
      <c r="T451" s="59">
        <f t="shared" ref="T451" si="4125">((P451/Q451)-1)*100</f>
        <v>15.416791853474553</v>
      </c>
      <c r="V451" s="64">
        <v>60680</v>
      </c>
      <c r="W451" s="64">
        <v>6800</v>
      </c>
      <c r="X451" s="53">
        <v>5600</v>
      </c>
      <c r="Y451" s="64">
        <f t="shared" si="1916"/>
        <v>73080</v>
      </c>
      <c r="Z451" s="53">
        <f t="shared" ref="Z451" si="4126">AVERAGE(Y448,Y449,Y450,Y451)</f>
        <v>92363.75</v>
      </c>
      <c r="AA451" s="53">
        <f t="shared" ref="AA451" si="4127">AVERAGE(Z399,Z347,Z295)</f>
        <v>151042.83333333334</v>
      </c>
      <c r="AB451" s="59">
        <f t="shared" ref="AB451" si="4128">((Y451/Y399)-1)*100</f>
        <v>-46.242965905329356</v>
      </c>
      <c r="AC451" s="59">
        <f t="shared" ref="AC451" si="4129">((Z451/Z399)-1)*100</f>
        <v>-18.165306280664062</v>
      </c>
      <c r="AD451" s="59">
        <f t="shared" ref="AD451" si="4130">((Z451/AA451)-1)*100</f>
        <v>-38.849299922648875</v>
      </c>
      <c r="AF451" s="53">
        <v>0</v>
      </c>
      <c r="AG451" s="53">
        <v>0</v>
      </c>
      <c r="AH451" s="53">
        <v>0</v>
      </c>
      <c r="AI451" s="53">
        <f t="shared" si="2759"/>
        <v>0</v>
      </c>
      <c r="AJ451" s="53">
        <f t="shared" ref="AJ451" si="4131">AVERAGE(AI448,AI449,AI450,AI451)</f>
        <v>2900</v>
      </c>
      <c r="AK451" s="53">
        <f t="shared" ref="AK451" si="4132">AVERAGE(AJ399,AJ347,AJ295)</f>
        <v>12026.666666666666</v>
      </c>
      <c r="AL451" s="59">
        <f t="shared" ref="AL451" si="4133">((AI451/AI399)-1)*100</f>
        <v>-100</v>
      </c>
      <c r="AM451" s="59">
        <f t="shared" ref="AM451" si="4134">((AJ451/AJ399)-1)*100</f>
        <v>-78.244561140285072</v>
      </c>
      <c r="AN451" s="59">
        <f t="shared" ref="AN451" si="4135">((AJ451/AK451)-1)*100</f>
        <v>-75.886917960088681</v>
      </c>
      <c r="AP451" s="60">
        <f t="shared" si="1927"/>
        <v>286384</v>
      </c>
      <c r="AQ451" s="53">
        <f t="shared" si="1928"/>
        <v>43400</v>
      </c>
      <c r="AR451" s="60">
        <f t="shared" si="3772"/>
        <v>21000</v>
      </c>
      <c r="AS451" s="53">
        <f t="shared" si="3773"/>
        <v>350784</v>
      </c>
      <c r="AT451" s="53">
        <f t="shared" ref="AT451" si="4136">AVERAGE(AS448,AS449,AS450,AS451)</f>
        <v>537750.75</v>
      </c>
      <c r="AU451" s="53">
        <f t="shared" ref="AU451" si="4137">AVERAGE(AT399,AT347,AT295)</f>
        <v>725468.83333333337</v>
      </c>
      <c r="AV451" s="59">
        <f t="shared" ref="AV451" si="4138">((AS451/AS399)-1)*100</f>
        <v>-57.045559743437146</v>
      </c>
      <c r="AW451" s="59">
        <f t="shared" ref="AW451" si="4139">((AT451/AT399)-1)*100</f>
        <v>-34.145355784500389</v>
      </c>
      <c r="AX451" s="59">
        <f t="shared" ref="AX451" si="4140">((AT451/AU451)-1)*100</f>
        <v>-25.875416655849914</v>
      </c>
      <c r="AZ451" s="53">
        <f t="shared" si="401"/>
        <v>260.80399999999997</v>
      </c>
      <c r="BA451" s="53">
        <f t="shared" si="402"/>
        <v>16.899999999999999</v>
      </c>
      <c r="BB451" s="53">
        <f t="shared" si="403"/>
        <v>73.08</v>
      </c>
      <c r="BC451" s="53">
        <f t="shared" si="3779"/>
        <v>0</v>
      </c>
      <c r="BD451" s="53">
        <f t="shared" si="3780"/>
        <v>350.78399999999999</v>
      </c>
      <c r="BE451" s="60">
        <f t="shared" ref="BE451" si="4141">+AZ451+BE450</f>
        <v>8482.873999999998</v>
      </c>
      <c r="BF451" s="60">
        <f t="shared" ref="BF451" si="4142">+BA451+BF450</f>
        <v>559.625</v>
      </c>
      <c r="BG451" s="60">
        <f t="shared" ref="BG451" si="4143">+BB451+BG450</f>
        <v>3657.4269999999997</v>
      </c>
      <c r="BH451" s="60">
        <f t="shared" ref="BH451" si="4144">+BC451+BH450</f>
        <v>145.69999999999999</v>
      </c>
      <c r="BI451" s="60">
        <f t="shared" ref="BI451" si="4145">+BD451+BI450</f>
        <v>12845.626</v>
      </c>
      <c r="BJ451" s="1">
        <v>24</v>
      </c>
      <c r="BL451" s="60"/>
      <c r="BM451" s="65"/>
    </row>
    <row r="452" spans="1:65" x14ac:dyDescent="0.3">
      <c r="A452" s="48">
        <f t="shared" si="238"/>
        <v>40719</v>
      </c>
      <c r="B452" s="64">
        <v>323928</v>
      </c>
      <c r="C452" s="64">
        <v>21000</v>
      </c>
      <c r="D452" s="53">
        <v>0</v>
      </c>
      <c r="E452" s="53">
        <f t="shared" si="2986"/>
        <v>344928</v>
      </c>
      <c r="F452" s="53">
        <f t="shared" ref="F452" si="4146">AVERAGE(E449,E450,E451,E452)</f>
        <v>367426.25</v>
      </c>
      <c r="G452" s="53">
        <f t="shared" ref="G452" si="4147">AVERAGE(F400,F348,F296)</f>
        <v>508036</v>
      </c>
      <c r="H452" s="59">
        <f t="shared" ref="H452" si="4148">((E452/E400)-1)*100</f>
        <v>-39.736462333541823</v>
      </c>
      <c r="I452" s="59">
        <f t="shared" ref="I452" si="4149">((F452/F400)-1)*100</f>
        <v>-40.060701740505365</v>
      </c>
      <c r="J452" s="59">
        <f t="shared" ref="J452" si="4150">((F452/G452)-1)*100</f>
        <v>-27.677123274728565</v>
      </c>
      <c r="L452" s="53">
        <v>0</v>
      </c>
      <c r="M452" s="53">
        <v>27220</v>
      </c>
      <c r="N452" s="53">
        <v>22400</v>
      </c>
      <c r="O452" s="53">
        <f t="shared" si="2600"/>
        <v>49620</v>
      </c>
      <c r="P452" s="53">
        <f t="shared" ref="P452" si="4151">AVERAGE(O449,O450,O451,O452)</f>
        <v>31040.25</v>
      </c>
      <c r="Q452" s="53">
        <f t="shared" ref="Q452" si="4152">AVERAGE(P400,P348,P296)</f>
        <v>34297.583333333336</v>
      </c>
      <c r="R452" s="59">
        <f t="shared" ref="R452" si="4153">((O452/O400)-1)*100</f>
        <v>19.566265060240973</v>
      </c>
      <c r="S452" s="59">
        <f t="shared" ref="S452" si="4154">((P452/P400)-1)*100</f>
        <v>1.6688093151986161</v>
      </c>
      <c r="T452" s="59">
        <f t="shared" ref="T452" si="4155">((P452/Q452)-1)*100</f>
        <v>-9.4972677861171029</v>
      </c>
      <c r="V452" s="64">
        <v>95404</v>
      </c>
      <c r="W452" s="64">
        <v>5168</v>
      </c>
      <c r="X452" s="53">
        <v>1400</v>
      </c>
      <c r="Y452" s="64">
        <f t="shared" si="1916"/>
        <v>101972</v>
      </c>
      <c r="Z452" s="53">
        <f t="shared" ref="Z452" si="4156">AVERAGE(Y449,Y450,Y451,Y452)</f>
        <v>89871.75</v>
      </c>
      <c r="AA452" s="53">
        <f t="shared" ref="AA452" si="4157">AVERAGE(Z400,Z348,Z296)</f>
        <v>132816.08333333334</v>
      </c>
      <c r="AB452" s="59">
        <f t="shared" ref="AB452" si="4158">((Y452/Y400)-1)*100</f>
        <v>44.94953802416488</v>
      </c>
      <c r="AC452" s="59">
        <f t="shared" ref="AC452" si="4159">((Z452/Z400)-1)*100</f>
        <v>-17.165840215307483</v>
      </c>
      <c r="AD452" s="59">
        <f t="shared" ref="AD452" si="4160">((Z452/AA452)-1)*100</f>
        <v>-32.333684487257763</v>
      </c>
      <c r="AF452" s="53">
        <v>0</v>
      </c>
      <c r="AG452" s="53">
        <v>0</v>
      </c>
      <c r="AH452" s="53">
        <v>10000</v>
      </c>
      <c r="AI452" s="53">
        <f t="shared" si="2759"/>
        <v>10000</v>
      </c>
      <c r="AJ452" s="53">
        <f t="shared" ref="AJ452" si="4161">AVERAGE(AI449,AI450,AI451,AI452)</f>
        <v>5400</v>
      </c>
      <c r="AK452" s="53">
        <f t="shared" ref="AK452" si="4162">AVERAGE(AJ400,AJ348,AJ296)</f>
        <v>11401.666666666666</v>
      </c>
      <c r="AL452" s="59">
        <f t="shared" ref="AL452" si="4163">((AI452/AI400)-1)*100</f>
        <v>127.27272727272729</v>
      </c>
      <c r="AM452" s="59">
        <f t="shared" ref="AM452" si="4164">((AJ452/AJ400)-1)*100</f>
        <v>-52.021323856063972</v>
      </c>
      <c r="AN452" s="59">
        <f t="shared" ref="AN452" si="4165">((AJ452/AK452)-1)*100</f>
        <v>-52.638503142815374</v>
      </c>
      <c r="AP452" s="60">
        <f t="shared" si="1927"/>
        <v>419332</v>
      </c>
      <c r="AQ452" s="53">
        <f t="shared" si="1928"/>
        <v>53388</v>
      </c>
      <c r="AR452" s="60">
        <f t="shared" si="3772"/>
        <v>33800</v>
      </c>
      <c r="AS452" s="53">
        <f t="shared" si="3773"/>
        <v>506520</v>
      </c>
      <c r="AT452" s="53">
        <f t="shared" ref="AT452" si="4166">AVERAGE(AS449,AS450,AS451,AS452)</f>
        <v>493738.25</v>
      </c>
      <c r="AU452" s="53">
        <f t="shared" ref="AU452" si="4167">AVERAGE(AT400,AT348,AT296)</f>
        <v>686551.33333333337</v>
      </c>
      <c r="AV452" s="59">
        <f t="shared" ref="AV452" si="4168">((AS452/AS400)-1)*100</f>
        <v>-26.443765465803871</v>
      </c>
      <c r="AW452" s="59">
        <f t="shared" ref="AW452" si="4169">((AT452/AT400)-1)*100</f>
        <v>-35.313528866901876</v>
      </c>
      <c r="AX452" s="59">
        <f t="shared" ref="AX452" si="4170">((AT452/AU452)-1)*100</f>
        <v>-28.084292313174931</v>
      </c>
      <c r="AZ452" s="53">
        <f t="shared" si="401"/>
        <v>344.928</v>
      </c>
      <c r="BA452" s="53">
        <f t="shared" si="402"/>
        <v>49.62</v>
      </c>
      <c r="BB452" s="53">
        <f t="shared" si="403"/>
        <v>101.97199999999999</v>
      </c>
      <c r="BC452" s="53">
        <f t="shared" si="3779"/>
        <v>10</v>
      </c>
      <c r="BD452" s="53">
        <f t="shared" si="3780"/>
        <v>506.52</v>
      </c>
      <c r="BE452" s="60">
        <f t="shared" ref="BE452" si="4171">+AZ452+BE451</f>
        <v>8827.8019999999979</v>
      </c>
      <c r="BF452" s="60">
        <f t="shared" ref="BF452" si="4172">+BA452+BF451</f>
        <v>609.245</v>
      </c>
      <c r="BG452" s="60">
        <f t="shared" ref="BG452" si="4173">+BB452+BG451</f>
        <v>3759.3989999999999</v>
      </c>
      <c r="BH452" s="60">
        <f t="shared" ref="BH452" si="4174">+BC452+BH451</f>
        <v>155.69999999999999</v>
      </c>
      <c r="BI452" s="60">
        <f t="shared" ref="BI452" si="4175">+BD452+BI451</f>
        <v>13352.146000000001</v>
      </c>
      <c r="BJ452" s="1">
        <v>25</v>
      </c>
      <c r="BL452" s="60"/>
      <c r="BM452" s="65"/>
    </row>
    <row r="453" spans="1:65" x14ac:dyDescent="0.3">
      <c r="A453" s="48">
        <f t="shared" si="238"/>
        <v>40726</v>
      </c>
      <c r="B453" s="64">
        <v>467273</v>
      </c>
      <c r="C453" s="64">
        <v>16481</v>
      </c>
      <c r="D453" s="53">
        <v>0</v>
      </c>
      <c r="E453" s="53">
        <f t="shared" si="2986"/>
        <v>483754</v>
      </c>
      <c r="F453" s="53">
        <f t="shared" ref="F453" si="4176">AVERAGE(E450,E451,E452,E453)</f>
        <v>383176.5</v>
      </c>
      <c r="G453" s="53">
        <f t="shared" ref="G453" si="4177">AVERAGE(F401,F349,F297)</f>
        <v>498321.91666666669</v>
      </c>
      <c r="H453" s="59">
        <f t="shared" ref="H453" si="4178">((E453/E401)-1)*100</f>
        <v>-18.501621530556378</v>
      </c>
      <c r="I453" s="59">
        <f t="shared" ref="I453" si="4179">((F453/F401)-1)*100</f>
        <v>-36.091129098165844</v>
      </c>
      <c r="J453" s="59">
        <f t="shared" ref="J453" si="4180">((F453/G453)-1)*100</f>
        <v>-23.106633044937652</v>
      </c>
      <c r="L453" s="64">
        <v>7740</v>
      </c>
      <c r="M453" s="64">
        <v>54289</v>
      </c>
      <c r="N453" s="64">
        <v>27600</v>
      </c>
      <c r="O453" s="64">
        <f t="shared" si="2600"/>
        <v>89629</v>
      </c>
      <c r="P453" s="53">
        <f t="shared" ref="P453" si="4181">AVERAGE(O450,O451,O452,O453)</f>
        <v>46062.25</v>
      </c>
      <c r="Q453" s="53">
        <f t="shared" ref="Q453" si="4182">AVERAGE(P401,P349,P297)</f>
        <v>45705.75</v>
      </c>
      <c r="R453" s="59">
        <f t="shared" ref="R453" si="4183">((O453/O401)-1)*100</f>
        <v>260.68008048289738</v>
      </c>
      <c r="S453" s="59">
        <f t="shared" ref="S453" si="4184">((P453/P401)-1)*100</f>
        <v>41.000053568832115</v>
      </c>
      <c r="T453" s="59">
        <f t="shared" ref="T453" si="4185">((P453/Q453)-1)*100</f>
        <v>0.77998938864365375</v>
      </c>
      <c r="V453" s="64">
        <v>101554</v>
      </c>
      <c r="W453" s="64">
        <v>10250</v>
      </c>
      <c r="X453" s="64">
        <v>4600</v>
      </c>
      <c r="Y453" s="64">
        <f t="shared" si="1916"/>
        <v>116404</v>
      </c>
      <c r="Z453" s="53">
        <f t="shared" ref="Z453" si="4186">AVERAGE(Y450,Y451,Y452,Y453)</f>
        <v>96146.5</v>
      </c>
      <c r="AA453" s="53">
        <f t="shared" ref="AA453" si="4187">AVERAGE(Z401,Z349,Z297)</f>
        <v>115677.08333333333</v>
      </c>
      <c r="AB453" s="59">
        <f t="shared" ref="AB453" si="4188">((Y453/Y401)-1)*100</f>
        <v>-25.065018668726669</v>
      </c>
      <c r="AC453" s="59">
        <f t="shared" ref="AC453" si="4189">((Z453/Z401)-1)*100</f>
        <v>-19.58994816854527</v>
      </c>
      <c r="AD453" s="59">
        <f t="shared" ref="AD453" si="4190">((Z453/AA453)-1)*100</f>
        <v>-16.883710040522281</v>
      </c>
      <c r="AF453" s="53">
        <v>0</v>
      </c>
      <c r="AG453" s="53">
        <v>0</v>
      </c>
      <c r="AH453" s="64">
        <v>4000</v>
      </c>
      <c r="AI453" s="53">
        <f t="shared" si="2759"/>
        <v>4000</v>
      </c>
      <c r="AJ453" s="53">
        <f t="shared" ref="AJ453" si="4191">AVERAGE(AI450,AI451,AI452,AI453)</f>
        <v>6000</v>
      </c>
      <c r="AK453" s="53">
        <f t="shared" ref="AK453" si="4192">AVERAGE(AJ401,AJ349,AJ297)</f>
        <v>10360</v>
      </c>
      <c r="AL453" s="59">
        <f t="shared" ref="AL453" si="4193">((AI453/AI401)-1)*100</f>
        <v>-69.230769230769226</v>
      </c>
      <c r="AM453" s="59">
        <f t="shared" ref="AM453" si="4194">((AJ453/AJ401)-1)*100</f>
        <v>-48.074426655127652</v>
      </c>
      <c r="AN453" s="59">
        <f t="shared" ref="AN453" si="4195">((AJ453/AK453)-1)*100</f>
        <v>-42.084942084942092</v>
      </c>
      <c r="AP453" s="60">
        <f t="shared" si="1927"/>
        <v>576567</v>
      </c>
      <c r="AQ453" s="53">
        <f t="shared" si="1928"/>
        <v>81020</v>
      </c>
      <c r="AR453" s="60">
        <f t="shared" si="3772"/>
        <v>36200</v>
      </c>
      <c r="AS453" s="53">
        <f t="shared" si="3773"/>
        <v>693787</v>
      </c>
      <c r="AT453" s="53">
        <f t="shared" ref="AT453" si="4196">AVERAGE(AS450,AS451,AS452,AS453)</f>
        <v>531385.25</v>
      </c>
      <c r="AU453" s="53">
        <f t="shared" ref="AU453" si="4197">AVERAGE(AT401,AT349,AT297)</f>
        <v>670064.75</v>
      </c>
      <c r="AV453" s="59">
        <f t="shared" ref="AV453" si="4198">((AS453/AS401)-1)*100</f>
        <v>-11.817760068127081</v>
      </c>
      <c r="AW453" s="59">
        <f t="shared" ref="AW453" si="4199">((AT453/AT401)-1)*100</f>
        <v>-30.388689223505803</v>
      </c>
      <c r="AX453" s="59">
        <f t="shared" ref="AX453" si="4200">((AT453/AU453)-1)*100</f>
        <v>-20.69643269549697</v>
      </c>
      <c r="AZ453" s="53">
        <f t="shared" si="401"/>
        <v>483.75400000000002</v>
      </c>
      <c r="BA453" s="53">
        <f t="shared" si="402"/>
        <v>89.629000000000005</v>
      </c>
      <c r="BB453" s="53">
        <f t="shared" si="403"/>
        <v>116.404</v>
      </c>
      <c r="BC453" s="53">
        <f t="shared" si="3779"/>
        <v>4</v>
      </c>
      <c r="BD453" s="53">
        <f t="shared" si="3780"/>
        <v>693.78700000000003</v>
      </c>
      <c r="BE453" s="60">
        <f t="shared" ref="BE453" si="4201">+AZ453+BE452</f>
        <v>9311.5559999999987</v>
      </c>
      <c r="BF453" s="60">
        <f t="shared" ref="BF453" si="4202">+BA453+BF452</f>
        <v>698.87400000000002</v>
      </c>
      <c r="BG453" s="60">
        <f t="shared" ref="BG453" si="4203">+BB453+BG452</f>
        <v>3875.8029999999999</v>
      </c>
      <c r="BH453" s="60">
        <f t="shared" ref="BH453" si="4204">+BC453+BH452</f>
        <v>159.69999999999999</v>
      </c>
      <c r="BI453" s="60">
        <f t="shared" ref="BI453" si="4205">+BD453+BI452</f>
        <v>14045.933000000001</v>
      </c>
      <c r="BJ453" s="1">
        <v>26</v>
      </c>
    </row>
    <row r="454" spans="1:65" x14ac:dyDescent="0.3">
      <c r="A454" s="48">
        <f t="shared" si="238"/>
        <v>40733</v>
      </c>
      <c r="B454" s="64">
        <v>470280</v>
      </c>
      <c r="C454" s="64">
        <v>20600</v>
      </c>
      <c r="D454" s="53">
        <v>0</v>
      </c>
      <c r="E454" s="53">
        <f t="shared" si="2986"/>
        <v>490880</v>
      </c>
      <c r="F454" s="53">
        <f t="shared" ref="F454" si="4206">AVERAGE(E451,E452,E453,E454)</f>
        <v>395091.5</v>
      </c>
      <c r="G454" s="53">
        <f t="shared" ref="G454" si="4207">AVERAGE(F402,F350,F298)</f>
        <v>503357.25</v>
      </c>
      <c r="H454" s="59">
        <f t="shared" ref="H454" si="4208">((E454/E402)-1)*100</f>
        <v>-4.0350328432905869</v>
      </c>
      <c r="I454" s="59">
        <f t="shared" ref="I454" si="4209">((F454/F402)-1)*100</f>
        <v>-31.437037551220502</v>
      </c>
      <c r="J454" s="59">
        <f t="shared" ref="J454" si="4210">((F454/G454)-1)*100</f>
        <v>-21.508729634866686</v>
      </c>
      <c r="L454" s="64">
        <v>9000</v>
      </c>
      <c r="M454" s="64">
        <v>62225</v>
      </c>
      <c r="N454" s="64">
        <v>10800</v>
      </c>
      <c r="O454" s="64">
        <f t="shared" si="2600"/>
        <v>82025</v>
      </c>
      <c r="P454" s="53">
        <f t="shared" ref="P454" si="4211">AVERAGE(O451,O452,O453,O454)</f>
        <v>59543.5</v>
      </c>
      <c r="Q454" s="53">
        <f t="shared" ref="Q454" si="4212">AVERAGE(P402,P350,P298)</f>
        <v>45807.666666666664</v>
      </c>
      <c r="R454" s="59">
        <f t="shared" ref="R454" si="4213">((O454/O402)-1)*100</f>
        <v>168.58218729535034</v>
      </c>
      <c r="S454" s="59">
        <f t="shared" ref="S454" si="4214">((P454/P402)-1)*100</f>
        <v>79.330336638732661</v>
      </c>
      <c r="T454" s="59">
        <f t="shared" ref="T454" si="4215">((P454/Q454)-1)*100</f>
        <v>29.985883003572923</v>
      </c>
      <c r="V454" s="64">
        <v>50500</v>
      </c>
      <c r="W454" s="64">
        <v>20400</v>
      </c>
      <c r="X454" s="64">
        <v>2800</v>
      </c>
      <c r="Y454" s="64">
        <f t="shared" si="1916"/>
        <v>73700</v>
      </c>
      <c r="Z454" s="53">
        <f t="shared" ref="Z454" si="4216">AVERAGE(Y451,Y452,Y453,Y454)</f>
        <v>91289</v>
      </c>
      <c r="AA454" s="53">
        <f t="shared" ref="AA454" si="4217">AVERAGE(Z402,Z350,Z298)</f>
        <v>112863.5</v>
      </c>
      <c r="AB454" s="59">
        <f t="shared" ref="AB454" si="4218">((Y454/Y402)-1)*100</f>
        <v>-46.080798326090452</v>
      </c>
      <c r="AC454" s="59">
        <f t="shared" ref="AC454" si="4219">((Z454/Z402)-1)*100</f>
        <v>-26.722734943941763</v>
      </c>
      <c r="AD454" s="59">
        <f t="shared" ref="AD454" si="4220">((Z454/AA454)-1)*100</f>
        <v>-19.115568806567229</v>
      </c>
      <c r="AF454" s="53">
        <v>1500</v>
      </c>
      <c r="AG454" s="53">
        <v>0</v>
      </c>
      <c r="AH454" s="64">
        <v>2800</v>
      </c>
      <c r="AI454" s="53">
        <f t="shared" si="2759"/>
        <v>4300</v>
      </c>
      <c r="AJ454" s="53">
        <f t="shared" ref="AJ454" si="4221">AVERAGE(AI451,AI452,AI453,AI454)</f>
        <v>4575</v>
      </c>
      <c r="AK454" s="53">
        <f t="shared" ref="AK454" si="4222">AVERAGE(AJ402,AJ350,AJ298)</f>
        <v>7739.5</v>
      </c>
      <c r="AL454" s="59"/>
      <c r="AM454" s="59">
        <f t="shared" ref="AM454" si="4223">((AJ454/AJ402)-1)*100</f>
        <v>-47.186147186147188</v>
      </c>
      <c r="AN454" s="59">
        <f t="shared" ref="AN454" si="4224">((AJ454/AK454)-1)*100</f>
        <v>-40.887654241230052</v>
      </c>
      <c r="AP454" s="60">
        <f t="shared" si="1927"/>
        <v>531280</v>
      </c>
      <c r="AQ454" s="53">
        <f t="shared" si="1928"/>
        <v>103225</v>
      </c>
      <c r="AR454" s="60">
        <f t="shared" si="3772"/>
        <v>16400</v>
      </c>
      <c r="AS454" s="53">
        <f t="shared" si="3773"/>
        <v>650905</v>
      </c>
      <c r="AT454" s="53">
        <f t="shared" ref="AT454" si="4225">AVERAGE(AS451,AS452,AS453,AS454)</f>
        <v>550499</v>
      </c>
      <c r="AU454" s="53">
        <f t="shared" ref="AU454" si="4226">AVERAGE(AT402,AT350,AT298)</f>
        <v>669767.91666666663</v>
      </c>
      <c r="AV454" s="59">
        <f t="shared" ref="AV454" si="4227">((AS454/AS402)-1)*100</f>
        <v>-4.1018289610546539</v>
      </c>
      <c r="AW454" s="59">
        <f t="shared" ref="AW454" si="4228">((AT454/AT402)-1)*100</f>
        <v>-25.877912419309613</v>
      </c>
      <c r="AX454" s="59">
        <f t="shared" ref="AX454" si="4229">((AT454/AU454)-1)*100</f>
        <v>-17.807499239475366</v>
      </c>
      <c r="AZ454" s="53">
        <f t="shared" si="401"/>
        <v>490.88</v>
      </c>
      <c r="BA454" s="53">
        <f t="shared" si="402"/>
        <v>82.025000000000006</v>
      </c>
      <c r="BB454" s="53">
        <f t="shared" si="403"/>
        <v>73.7</v>
      </c>
      <c r="BC454" s="53">
        <f t="shared" si="3779"/>
        <v>4.3</v>
      </c>
      <c r="BD454" s="53">
        <f t="shared" si="3780"/>
        <v>650.90499999999997</v>
      </c>
      <c r="BE454" s="60">
        <f t="shared" ref="BE454" si="4230">+AZ454+BE453</f>
        <v>9802.4359999999979</v>
      </c>
      <c r="BF454" s="60">
        <f t="shared" ref="BF454" si="4231">+BA454+BF453</f>
        <v>780.899</v>
      </c>
      <c r="BG454" s="60">
        <f t="shared" ref="BG454" si="4232">+BB454+BG453</f>
        <v>3949.5029999999997</v>
      </c>
      <c r="BH454" s="60">
        <f t="shared" ref="BH454" si="4233">+BC454+BH453</f>
        <v>164</v>
      </c>
      <c r="BI454" s="60">
        <f t="shared" ref="BI454" si="4234">+BD454+BI453</f>
        <v>14696.838000000002</v>
      </c>
      <c r="BJ454" s="1">
        <v>27</v>
      </c>
    </row>
    <row r="455" spans="1:65" x14ac:dyDescent="0.3">
      <c r="A455" s="48">
        <f t="shared" si="238"/>
        <v>40740</v>
      </c>
      <c r="B455" s="64">
        <v>511685</v>
      </c>
      <c r="C455" s="64">
        <v>11500</v>
      </c>
      <c r="D455" s="53">
        <v>0</v>
      </c>
      <c r="E455" s="53">
        <f t="shared" si="2986"/>
        <v>523185</v>
      </c>
      <c r="F455" s="53">
        <f t="shared" ref="F455" si="4235">AVERAGE(E452,E453,E454,E455)</f>
        <v>460686.75</v>
      </c>
      <c r="G455" s="53">
        <f t="shared" ref="G455" si="4236">AVERAGE(F403,F351,F299)</f>
        <v>501905.91666666669</v>
      </c>
      <c r="H455" s="59">
        <f t="shared" ref="H455" si="4237">((E455/E403)-1)*100</f>
        <v>-17.791720483835995</v>
      </c>
      <c r="I455" s="59">
        <f t="shared" ref="I455" si="4238">((F455/F403)-1)*100</f>
        <v>-20.360996164442767</v>
      </c>
      <c r="J455" s="59">
        <f t="shared" ref="J455" si="4239">((F455/G455)-1)*100</f>
        <v>-8.2125285432811062</v>
      </c>
      <c r="L455" s="53">
        <v>0</v>
      </c>
      <c r="M455" s="64">
        <v>17150</v>
      </c>
      <c r="N455" s="64">
        <v>24400</v>
      </c>
      <c r="O455" s="64">
        <f t="shared" si="2600"/>
        <v>41550</v>
      </c>
      <c r="P455" s="53">
        <f t="shared" ref="P455" si="4240">AVERAGE(O452,O453,O454,O455)</f>
        <v>65706</v>
      </c>
      <c r="Q455" s="53">
        <f t="shared" ref="Q455" si="4241">AVERAGE(P403,P351,P299)</f>
        <v>45575.833333333336</v>
      </c>
      <c r="R455" s="59">
        <f t="shared" ref="R455" si="4242">((O455/O403)-1)*100</f>
        <v>-12.801678908709334</v>
      </c>
      <c r="S455" s="59">
        <f t="shared" ref="S455" si="4243">((P455/P403)-1)*100</f>
        <v>81.834786218347858</v>
      </c>
      <c r="T455" s="59">
        <f t="shared" ref="T455" si="4244">((P455/Q455)-1)*100</f>
        <v>44.168510358194204</v>
      </c>
      <c r="V455" s="64">
        <v>95180</v>
      </c>
      <c r="W455" s="64">
        <v>51250</v>
      </c>
      <c r="X455" s="64">
        <v>4800</v>
      </c>
      <c r="Y455" s="64">
        <f t="shared" si="1916"/>
        <v>151230</v>
      </c>
      <c r="Z455" s="53">
        <f t="shared" ref="Z455" si="4245">AVERAGE(Y452,Y453,Y454,Y455)</f>
        <v>110826.5</v>
      </c>
      <c r="AA455" s="53">
        <f t="shared" ref="AA455" si="4246">AVERAGE(Z403,Z351,Z299)</f>
        <v>115244.58333333333</v>
      </c>
      <c r="AB455" s="59">
        <f t="shared" ref="AB455" si="4247">((Y455/Y403)-1)*100</f>
        <v>55.184090629232863</v>
      </c>
      <c r="AC455" s="59">
        <f t="shared" ref="AC455" si="4248">((Z455/Z403)-1)*100</f>
        <v>-3.5930826308967712</v>
      </c>
      <c r="AD455" s="59">
        <f t="shared" ref="AD455" si="4249">((Z455/AA455)-1)*100</f>
        <v>-3.83365812565305</v>
      </c>
      <c r="AF455" s="53">
        <v>1600</v>
      </c>
      <c r="AG455" s="53">
        <v>1500</v>
      </c>
      <c r="AH455" s="64">
        <v>4200</v>
      </c>
      <c r="AI455" s="53">
        <f t="shared" si="2759"/>
        <v>7300</v>
      </c>
      <c r="AJ455" s="53">
        <f t="shared" ref="AJ455" si="4250">AVERAGE(AI452,AI453,AI454,AI455)</f>
        <v>6400</v>
      </c>
      <c r="AK455" s="53">
        <f t="shared" ref="AK455" si="4251">AVERAGE(AJ403,AJ351,AJ299)</f>
        <v>5168.666666666667</v>
      </c>
      <c r="AL455" s="59">
        <f t="shared" ref="AL455" si="4252">((AI455/AI403)-1)*100</f>
        <v>-22.340425531914899</v>
      </c>
      <c r="AM455" s="59">
        <f t="shared" ref="AM455" si="4253">((AJ455/AJ403)-1)*100</f>
        <v>-4.4776119402985088</v>
      </c>
      <c r="AN455" s="59">
        <f t="shared" ref="AN455" si="4254">((AJ455/AK455)-1)*100</f>
        <v>23.823036244034569</v>
      </c>
      <c r="AP455" s="60">
        <f t="shared" si="1927"/>
        <v>608465</v>
      </c>
      <c r="AQ455" s="53">
        <f t="shared" si="1928"/>
        <v>81400</v>
      </c>
      <c r="AR455" s="60">
        <f t="shared" si="3772"/>
        <v>33400</v>
      </c>
      <c r="AS455" s="53">
        <f t="shared" si="3773"/>
        <v>723265</v>
      </c>
      <c r="AT455" s="53">
        <f t="shared" ref="AT455" si="4255">AVERAGE(AS452,AS453,AS454,AS455)</f>
        <v>643619.25</v>
      </c>
      <c r="AU455" s="53">
        <f t="shared" ref="AU455" si="4256">AVERAGE(AT403,AT351,AT299)</f>
        <v>667895</v>
      </c>
      <c r="AV455" s="59">
        <f t="shared" ref="AV455" si="4257">((AS455/AS403)-1)*100</f>
        <v>-8.5534999924138599</v>
      </c>
      <c r="AW455" s="59">
        <f t="shared" ref="AW455" si="4258">((AT455/AT403)-1)*100</f>
        <v>-12.582702527603162</v>
      </c>
      <c r="AX455" s="59">
        <f t="shared" ref="AX455" si="4259">((AT455/AU455)-1)*100</f>
        <v>-3.6346656285793477</v>
      </c>
      <c r="AZ455" s="53">
        <f t="shared" si="401"/>
        <v>523.18499999999995</v>
      </c>
      <c r="BA455" s="53">
        <f t="shared" si="402"/>
        <v>41.55</v>
      </c>
      <c r="BB455" s="53">
        <f t="shared" si="403"/>
        <v>151.22999999999999</v>
      </c>
      <c r="BC455" s="53">
        <f t="shared" si="3779"/>
        <v>7.3</v>
      </c>
      <c r="BD455" s="53">
        <f t="shared" si="3780"/>
        <v>723.26499999999999</v>
      </c>
      <c r="BE455" s="60">
        <f t="shared" ref="BE455" si="4260">+AZ455+BE454</f>
        <v>10325.620999999997</v>
      </c>
      <c r="BF455" s="60">
        <f t="shared" ref="BF455" si="4261">+BA455+BF454</f>
        <v>822.44899999999996</v>
      </c>
      <c r="BG455" s="60">
        <f t="shared" ref="BG455" si="4262">+BB455+BG454</f>
        <v>4100.7329999999993</v>
      </c>
      <c r="BH455" s="60">
        <f t="shared" ref="BH455" si="4263">+BC455+BH454</f>
        <v>171.3</v>
      </c>
      <c r="BI455" s="60">
        <f t="shared" ref="BI455" si="4264">+BD455+BI454</f>
        <v>15420.103000000001</v>
      </c>
      <c r="BJ455" s="1">
        <v>28</v>
      </c>
    </row>
    <row r="456" spans="1:65" x14ac:dyDescent="0.3">
      <c r="A456" s="48">
        <f t="shared" si="238"/>
        <v>40747</v>
      </c>
      <c r="B456" s="64">
        <v>456177</v>
      </c>
      <c r="C456" s="64">
        <v>21700</v>
      </c>
      <c r="D456" s="53">
        <v>0</v>
      </c>
      <c r="E456" s="53">
        <f t="shared" si="2986"/>
        <v>477877</v>
      </c>
      <c r="F456" s="53">
        <f t="shared" ref="F456" si="4265">AVERAGE(E453,E454,E455,E456)</f>
        <v>493924</v>
      </c>
      <c r="G456" s="53">
        <f t="shared" ref="G456" si="4266">AVERAGE(F404,F352,F300)</f>
        <v>564480.33333333337</v>
      </c>
      <c r="H456" s="59">
        <f t="shared" ref="H456" si="4267">((E456/E404)-1)*100</f>
        <v>-35.320900380730414</v>
      </c>
      <c r="I456" s="59">
        <f t="shared" ref="I456" si="4268">((F456/F404)-1)*100</f>
        <v>-20.346144418211608</v>
      </c>
      <c r="J456" s="59">
        <f t="shared" ref="J456" si="4269">((F456/G456)-1)*100</f>
        <v>-12.499343053581446</v>
      </c>
      <c r="L456" s="53">
        <v>7700</v>
      </c>
      <c r="M456" s="64">
        <v>26918</v>
      </c>
      <c r="N456" s="64">
        <v>14000</v>
      </c>
      <c r="O456" s="64">
        <f t="shared" si="2600"/>
        <v>48618</v>
      </c>
      <c r="P456" s="53">
        <f t="shared" ref="P456" si="4270">AVERAGE(O453,O454,O455,O456)</f>
        <v>65455.5</v>
      </c>
      <c r="Q456" s="53">
        <f t="shared" ref="Q456" si="4271">AVERAGE(P404,P352,P300)</f>
        <v>48064.833333333336</v>
      </c>
      <c r="R456" s="59">
        <f t="shared" ref="R456" si="4272">((O456/O404)-1)*100</f>
        <v>74.258064516129039</v>
      </c>
      <c r="S456" s="59">
        <f t="shared" ref="S456" si="4273">((P456/P404)-1)*100</f>
        <v>99.955704903009007</v>
      </c>
      <c r="T456" s="59">
        <f t="shared" ref="T456" si="4274">((P456/Q456)-1)*100</f>
        <v>36.181685154426837</v>
      </c>
      <c r="V456" s="64">
        <v>102675</v>
      </c>
      <c r="W456" s="64">
        <v>11350</v>
      </c>
      <c r="X456" s="64">
        <v>1400</v>
      </c>
      <c r="Y456" s="64">
        <f t="shared" si="1916"/>
        <v>115425</v>
      </c>
      <c r="Z456" s="53">
        <f t="shared" ref="Z456" si="4275">AVERAGE(Y453,Y454,Y455,Y456)</f>
        <v>114189.75</v>
      </c>
      <c r="AA456" s="53">
        <f t="shared" ref="AA456" si="4276">AVERAGE(Z404,Z352,Z300)</f>
        <v>121029.33333333333</v>
      </c>
      <c r="AB456" s="59">
        <f t="shared" ref="AB456" si="4277">((Y456/Y404)-1)*100</f>
        <v>21.11752360965373</v>
      </c>
      <c r="AC456" s="59">
        <f t="shared" ref="AC456" si="4278">((Z456/Z404)-1)*100</f>
        <v>-5.7797589824620799</v>
      </c>
      <c r="AD456" s="59">
        <f t="shared" ref="AD456" si="4279">((Z456/AA456)-1)*100</f>
        <v>-5.6511782267659623</v>
      </c>
      <c r="AF456" s="53">
        <v>7500</v>
      </c>
      <c r="AG456" s="53">
        <v>1750</v>
      </c>
      <c r="AH456" s="64">
        <v>19800</v>
      </c>
      <c r="AI456" s="53">
        <f t="shared" si="2759"/>
        <v>29050</v>
      </c>
      <c r="AJ456" s="53">
        <f t="shared" ref="AJ456" si="4280">AVERAGE(AI453,AI454,AI455,AI456)</f>
        <v>11162.5</v>
      </c>
      <c r="AK456" s="53">
        <f t="shared" ref="AK456" si="4281">AVERAGE(AJ404,AJ352,AJ300)</f>
        <v>5018.666666666667</v>
      </c>
      <c r="AL456" s="59">
        <f t="shared" ref="AL456" si="4282">((AI456/AI404)-1)*100</f>
        <v>215.76086956521738</v>
      </c>
      <c r="AM456" s="59">
        <f t="shared" ref="AM456" si="4283">((AJ456/AJ404)-1)*100</f>
        <v>41.297468354430379</v>
      </c>
      <c r="AN456" s="59">
        <f t="shared" ref="AN456" si="4284">((AJ456/AK456)-1)*100</f>
        <v>122.41963336875661</v>
      </c>
      <c r="AP456" s="60">
        <f t="shared" si="1927"/>
        <v>574052</v>
      </c>
      <c r="AQ456" s="53">
        <f t="shared" si="1928"/>
        <v>61718</v>
      </c>
      <c r="AR456" s="60">
        <f t="shared" si="3772"/>
        <v>35200</v>
      </c>
      <c r="AS456" s="53">
        <f t="shared" si="3773"/>
        <v>670970</v>
      </c>
      <c r="AT456" s="53">
        <f t="shared" ref="AT456" si="4285">AVERAGE(AS453,AS454,AS455,AS456)</f>
        <v>684731.75</v>
      </c>
      <c r="AU456" s="53">
        <f t="shared" ref="AU456" si="4286">AVERAGE(AT404,AT352,AT300)</f>
        <v>738593.16666666663</v>
      </c>
      <c r="AV456" s="59">
        <f t="shared" ref="AV456" si="4287">((AS456/AS404)-1)*100</f>
        <v>-22.987042650557875</v>
      </c>
      <c r="AW456" s="59">
        <f t="shared" ref="AW456" si="4288">((AT456/AT404)-1)*100</f>
        <v>-12.429156528661911</v>
      </c>
      <c r="AX456" s="59">
        <f t="shared" ref="AX456" si="4289">((AT456/AU456)-1)*100</f>
        <v>-7.2924336559662128</v>
      </c>
      <c r="AZ456" s="53">
        <f t="shared" si="401"/>
        <v>477.87700000000001</v>
      </c>
      <c r="BA456" s="53">
        <f t="shared" si="402"/>
        <v>48.618000000000002</v>
      </c>
      <c r="BB456" s="53">
        <f t="shared" si="403"/>
        <v>115.425</v>
      </c>
      <c r="BC456" s="53">
        <f t="shared" si="3779"/>
        <v>29.05</v>
      </c>
      <c r="BD456" s="53">
        <f t="shared" si="3780"/>
        <v>670.97</v>
      </c>
      <c r="BE456" s="60">
        <f t="shared" ref="BE456" si="4290">+AZ456+BE455</f>
        <v>10803.497999999998</v>
      </c>
      <c r="BF456" s="60">
        <f t="shared" ref="BF456" si="4291">+BA456+BF455</f>
        <v>871.06700000000001</v>
      </c>
      <c r="BG456" s="60">
        <f t="shared" ref="BG456" si="4292">+BB456+BG455</f>
        <v>4216.1579999999994</v>
      </c>
      <c r="BH456" s="60">
        <f t="shared" ref="BH456" si="4293">+BC456+BH455</f>
        <v>200.35000000000002</v>
      </c>
      <c r="BI456" s="60">
        <f t="shared" ref="BI456" si="4294">+BD456+BI455</f>
        <v>16091.073</v>
      </c>
      <c r="BJ456" s="1">
        <v>29</v>
      </c>
    </row>
    <row r="457" spans="1:65" x14ac:dyDescent="0.3">
      <c r="A457" s="48">
        <f t="shared" si="238"/>
        <v>40754</v>
      </c>
      <c r="B457" s="64">
        <v>560170</v>
      </c>
      <c r="C457" s="64">
        <v>17386</v>
      </c>
      <c r="D457" s="53">
        <v>0</v>
      </c>
      <c r="E457" s="53">
        <f t="shared" si="2986"/>
        <v>577556</v>
      </c>
      <c r="F457" s="53">
        <f t="shared" ref="F457" si="4295">AVERAGE(E454,E455,E456,E457)</f>
        <v>517374.5</v>
      </c>
      <c r="G457" s="53">
        <f t="shared" ref="G457" si="4296">AVERAGE(F405,F353,F301)</f>
        <v>609307.16666666663</v>
      </c>
      <c r="H457" s="59">
        <f t="shared" ref="H457" si="4297">((E457/E405)-1)*100</f>
        <v>-9.1777411903088293</v>
      </c>
      <c r="I457" s="59">
        <f t="shared" ref="I457" si="4298">((F457/F405)-1)*100</f>
        <v>-17.96482810453578</v>
      </c>
      <c r="J457" s="59">
        <f t="shared" ref="J457" si="4299">((F457/G457)-1)*100</f>
        <v>-15.088065871537692</v>
      </c>
      <c r="L457" s="53">
        <v>3240</v>
      </c>
      <c r="M457" s="64">
        <v>31654</v>
      </c>
      <c r="N457" s="64">
        <v>30800</v>
      </c>
      <c r="O457" s="64">
        <f t="shared" si="2600"/>
        <v>65694</v>
      </c>
      <c r="P457" s="53">
        <f t="shared" ref="P457" si="4300">AVERAGE(O454,O455,O456,O457)</f>
        <v>59471.75</v>
      </c>
      <c r="Q457" s="53">
        <f t="shared" ref="Q457" si="4301">AVERAGE(P405,P353,P301)</f>
        <v>43471.25</v>
      </c>
      <c r="R457" s="59">
        <f t="shared" ref="R457" si="4302">((O457/O405)-1)*100</f>
        <v>59.065375302663448</v>
      </c>
      <c r="S457" s="59">
        <f t="shared" ref="S457" si="4303">((P457/P405)-1)*100</f>
        <v>61.3996879028428</v>
      </c>
      <c r="T457" s="59">
        <f t="shared" ref="T457" si="4304">((P457/Q457)-1)*100</f>
        <v>36.807085142479238</v>
      </c>
      <c r="V457" s="64">
        <v>106040</v>
      </c>
      <c r="W457" s="64">
        <v>12100</v>
      </c>
      <c r="X457" s="64">
        <v>1400</v>
      </c>
      <c r="Y457" s="64">
        <f t="shared" si="1916"/>
        <v>119540</v>
      </c>
      <c r="Z457" s="53">
        <f t="shared" ref="Z457" si="4305">AVERAGE(Y454,Y455,Y456,Y457)</f>
        <v>114973.75</v>
      </c>
      <c r="AA457" s="53">
        <f t="shared" ref="AA457" si="4306">AVERAGE(Z405,Z353,Z301)</f>
        <v>130121.66666666667</v>
      </c>
      <c r="AB457" s="59">
        <f t="shared" ref="AB457" si="4307">((Y457/Y405)-1)*100</f>
        <v>-12.084840996675783</v>
      </c>
      <c r="AC457" s="59">
        <f t="shared" ref="AC457" si="4308">((Z457/Z405)-1)*100</f>
        <v>-1.1849766872220169</v>
      </c>
      <c r="AD457" s="59">
        <f t="shared" ref="AD457" si="4309">((Z457/AA457)-1)*100</f>
        <v>-11.641348481549318</v>
      </c>
      <c r="AF457" s="53">
        <v>0</v>
      </c>
      <c r="AG457" s="53">
        <v>16800</v>
      </c>
      <c r="AH457" s="64">
        <v>7300</v>
      </c>
      <c r="AI457" s="53">
        <f t="shared" si="2759"/>
        <v>24100</v>
      </c>
      <c r="AJ457" s="53">
        <f t="shared" ref="AJ457" si="4310">AVERAGE(AI454,AI455,AI456,AI457)</f>
        <v>16187.5</v>
      </c>
      <c r="AK457" s="53">
        <f t="shared" ref="AK457" si="4311">AVERAGE(AJ405,AJ353,AJ301)</f>
        <v>4264.5</v>
      </c>
      <c r="AL457" s="59"/>
      <c r="AM457" s="59">
        <f t="shared" ref="AM457" si="4312">((AJ457/AJ405)-1)*100</f>
        <v>248.11827956989245</v>
      </c>
      <c r="AN457" s="59">
        <f t="shared" ref="AN457" si="4313">((AJ457/AK457)-1)*100</f>
        <v>279.58729042091687</v>
      </c>
      <c r="AP457" s="60">
        <f t="shared" si="1927"/>
        <v>669450</v>
      </c>
      <c r="AQ457" s="53">
        <f t="shared" si="1928"/>
        <v>77940</v>
      </c>
      <c r="AR457" s="60">
        <f t="shared" si="3772"/>
        <v>39500</v>
      </c>
      <c r="AS457" s="53">
        <f t="shared" si="3773"/>
        <v>786890</v>
      </c>
      <c r="AT457" s="53">
        <f t="shared" ref="AT457" si="4314">AVERAGE(AS454,AS455,AS456,AS457)</f>
        <v>708007.5</v>
      </c>
      <c r="AU457" s="53">
        <f t="shared" ref="AU457" si="4315">AVERAGE(AT405,AT353,AT301)</f>
        <v>787164.58333333337</v>
      </c>
      <c r="AV457" s="59">
        <f t="shared" ref="AV457" si="4316">((AS457/AS405)-1)*100</f>
        <v>-3.234295509910956</v>
      </c>
      <c r="AW457" s="59">
        <f t="shared" ref="AW457" si="4317">((AT457/AT405)-1)*100</f>
        <v>-10.211039866890548</v>
      </c>
      <c r="AX457" s="59">
        <f t="shared" ref="AX457" si="4318">((AT457/AU457)-1)*100</f>
        <v>-10.055976222676854</v>
      </c>
      <c r="AZ457" s="53">
        <f t="shared" si="401"/>
        <v>577.55600000000004</v>
      </c>
      <c r="BA457" s="53">
        <f t="shared" si="402"/>
        <v>65.694000000000003</v>
      </c>
      <c r="BB457" s="53">
        <f t="shared" si="403"/>
        <v>119.54</v>
      </c>
      <c r="BC457" s="53">
        <f t="shared" si="3779"/>
        <v>24.1</v>
      </c>
      <c r="BD457" s="53">
        <f t="shared" si="3780"/>
        <v>786.89</v>
      </c>
      <c r="BE457" s="60">
        <f t="shared" ref="BE457" si="4319">+AZ457+BE456</f>
        <v>11381.053999999998</v>
      </c>
      <c r="BF457" s="60">
        <f t="shared" ref="BF457" si="4320">+BA457+BF456</f>
        <v>936.76099999999997</v>
      </c>
      <c r="BG457" s="60">
        <f t="shared" ref="BG457" si="4321">+BB457+BG456</f>
        <v>4335.6979999999994</v>
      </c>
      <c r="BH457" s="60">
        <f t="shared" ref="BH457" si="4322">+BC457+BH456</f>
        <v>224.45000000000002</v>
      </c>
      <c r="BI457" s="60">
        <f t="shared" ref="BI457" si="4323">+BD457+BI456</f>
        <v>16877.963</v>
      </c>
      <c r="BJ457" s="1">
        <v>30</v>
      </c>
    </row>
    <row r="458" spans="1:65" x14ac:dyDescent="0.3">
      <c r="A458" s="48">
        <f t="shared" si="238"/>
        <v>40761</v>
      </c>
      <c r="B458" s="64">
        <v>469997</v>
      </c>
      <c r="C458" s="64">
        <v>13650</v>
      </c>
      <c r="D458" s="53">
        <v>0</v>
      </c>
      <c r="E458" s="53">
        <f t="shared" si="2986"/>
        <v>483647</v>
      </c>
      <c r="F458" s="53">
        <f t="shared" ref="F458" si="4324">AVERAGE(E455,E456,E457,E458)</f>
        <v>515566.25</v>
      </c>
      <c r="G458" s="53">
        <f t="shared" ref="G458" si="4325">AVERAGE(F406,F354,F302)</f>
        <v>612019.41666666663</v>
      </c>
      <c r="H458" s="59">
        <f t="shared" ref="H458" si="4326">((E458/E406)-1)*100</f>
        <v>-13.787030451468919</v>
      </c>
      <c r="I458" s="59">
        <f t="shared" ref="I458" si="4327">((F458/F406)-1)*100</f>
        <v>-19.823829479190113</v>
      </c>
      <c r="J458" s="59">
        <f t="shared" ref="J458" si="4328">((F458/G458)-1)*100</f>
        <v>-15.759821345537372</v>
      </c>
      <c r="L458" s="53">
        <v>0</v>
      </c>
      <c r="M458" s="64">
        <v>28250</v>
      </c>
      <c r="N458" s="64">
        <v>9800</v>
      </c>
      <c r="O458" s="64">
        <f t="shared" si="2600"/>
        <v>38050</v>
      </c>
      <c r="P458" s="53">
        <f t="shared" ref="P458" si="4329">AVERAGE(O455,O456,O457,O458)</f>
        <v>48478</v>
      </c>
      <c r="Q458" s="53">
        <f t="shared" ref="Q458" si="4330">AVERAGE(P406,P354,P302)</f>
        <v>48599.083333333336</v>
      </c>
      <c r="R458" s="59">
        <f t="shared" ref="R458" si="4331">((O458/O406)-1)*100</f>
        <v>10.417875798026689</v>
      </c>
      <c r="S458" s="59">
        <f t="shared" ref="S458" si="4332">((P458/P406)-1)*100</f>
        <v>28.155442469103175</v>
      </c>
      <c r="T458" s="59">
        <f t="shared" ref="T458" si="4333">((P458/Q458)-1)*100</f>
        <v>-0.24914736046118824</v>
      </c>
      <c r="V458" s="64">
        <v>68676</v>
      </c>
      <c r="W458" s="64">
        <v>22900</v>
      </c>
      <c r="X458" s="64">
        <v>5600</v>
      </c>
      <c r="Y458" s="64">
        <f t="shared" si="1916"/>
        <v>97176</v>
      </c>
      <c r="Z458" s="53">
        <f t="shared" ref="Z458" si="4334">AVERAGE(Y455,Y456,Y457,Y458)</f>
        <v>120842.75</v>
      </c>
      <c r="AA458" s="53">
        <f t="shared" ref="AA458" si="4335">AVERAGE(Z406,Z354,Z302)</f>
        <v>126944.83333333333</v>
      </c>
      <c r="AB458" s="59">
        <f t="shared" ref="AB458" si="4336">((Y458/Y406)-1)*100</f>
        <v>-20.93855766727415</v>
      </c>
      <c r="AC458" s="59">
        <f t="shared" ref="AC458" si="4337">((Z458/Z406)-1)*100</f>
        <v>7.0266763499809537</v>
      </c>
      <c r="AD458" s="59">
        <f t="shared" ref="AD458" si="4338">((Z458/AA458)-1)*100</f>
        <v>-4.8068780533276234</v>
      </c>
      <c r="AF458" s="53">
        <v>0</v>
      </c>
      <c r="AG458" s="53">
        <v>0</v>
      </c>
      <c r="AH458" s="64">
        <v>11200</v>
      </c>
      <c r="AI458" s="53">
        <f t="shared" si="2759"/>
        <v>11200</v>
      </c>
      <c r="AJ458" s="53">
        <f t="shared" ref="AJ458" si="4339">AVERAGE(AI455,AI456,AI457,AI458)</f>
        <v>17912.5</v>
      </c>
      <c r="AK458" s="53">
        <f t="shared" ref="AK458" si="4340">AVERAGE(AJ406,AJ354,AJ302)</f>
        <v>5944.583333333333</v>
      </c>
      <c r="AL458" s="59">
        <f t="shared" ref="AL458" si="4341">((AI458/AI406)-1)*100</f>
        <v>46.405228758169926</v>
      </c>
      <c r="AM458" s="59">
        <f t="shared" ref="AM458" si="4342">((AJ458/AJ406)-1)*100</f>
        <v>172.95238095238096</v>
      </c>
      <c r="AN458" s="59">
        <f t="shared" ref="AN458" si="4343">((AJ458/AK458)-1)*100</f>
        <v>201.32473540337844</v>
      </c>
      <c r="AP458" s="60">
        <f t="shared" si="1927"/>
        <v>538673</v>
      </c>
      <c r="AQ458" s="53">
        <f t="shared" si="1928"/>
        <v>64800</v>
      </c>
      <c r="AR458" s="60">
        <f t="shared" si="3772"/>
        <v>26600</v>
      </c>
      <c r="AS458" s="53">
        <f t="shared" si="3773"/>
        <v>630073</v>
      </c>
      <c r="AT458" s="53">
        <f t="shared" ref="AT458" si="4344">AVERAGE(AS455,AS456,AS457,AS458)</f>
        <v>702799.5</v>
      </c>
      <c r="AU458" s="53">
        <f t="shared" ref="AU458" si="4345">AVERAGE(AT406,AT354,AT302)</f>
        <v>793507.91666666663</v>
      </c>
      <c r="AV458" s="59">
        <f t="shared" ref="AV458" si="4346">((AS458/AS406)-1)*100</f>
        <v>-13.214639407283347</v>
      </c>
      <c r="AW458" s="59">
        <f t="shared" ref="AW458" si="4347">((AT458/AT406)-1)*100</f>
        <v>-12.187465151562005</v>
      </c>
      <c r="AX458" s="59">
        <f t="shared" ref="AX458" si="4348">((AT458/AU458)-1)*100</f>
        <v>-11.431318423099112</v>
      </c>
      <c r="AZ458" s="53">
        <f t="shared" si="401"/>
        <v>483.64699999999999</v>
      </c>
      <c r="BA458" s="53">
        <f t="shared" si="402"/>
        <v>38.049999999999997</v>
      </c>
      <c r="BB458" s="53">
        <f t="shared" si="403"/>
        <v>97.176000000000002</v>
      </c>
      <c r="BC458" s="53">
        <f t="shared" si="3779"/>
        <v>11.2</v>
      </c>
      <c r="BD458" s="53">
        <f t="shared" si="3780"/>
        <v>630.07299999999998</v>
      </c>
      <c r="BE458" s="60">
        <f t="shared" ref="BE458" si="4349">+AZ458+BE457</f>
        <v>11864.700999999999</v>
      </c>
      <c r="BF458" s="60">
        <f t="shared" ref="BF458" si="4350">+BA458+BF457</f>
        <v>974.81099999999992</v>
      </c>
      <c r="BG458" s="60">
        <f t="shared" ref="BG458" si="4351">+BB458+BG457</f>
        <v>4432.8739999999998</v>
      </c>
      <c r="BH458" s="60">
        <f t="shared" ref="BH458" si="4352">+BC458+BH457</f>
        <v>235.65</v>
      </c>
      <c r="BI458" s="60">
        <f t="shared" ref="BI458" si="4353">+BD458+BI457</f>
        <v>17508.036</v>
      </c>
      <c r="BJ458" s="1">
        <v>31</v>
      </c>
    </row>
    <row r="459" spans="1:65" x14ac:dyDescent="0.3">
      <c r="A459" s="48">
        <f>A458+7</f>
        <v>40768</v>
      </c>
      <c r="B459" s="64">
        <v>392308</v>
      </c>
      <c r="C459" s="64">
        <v>5250</v>
      </c>
      <c r="D459" s="53">
        <v>0</v>
      </c>
      <c r="E459" s="53">
        <f t="shared" si="2986"/>
        <v>397558</v>
      </c>
      <c r="F459" s="53">
        <f t="shared" ref="F459" si="4354">AVERAGE(E456,E457,E458,E459)</f>
        <v>484159.5</v>
      </c>
      <c r="G459" s="53">
        <f t="shared" ref="G459" si="4355">AVERAGE(F407,F355,F303)</f>
        <v>609369</v>
      </c>
      <c r="H459" s="59">
        <f t="shared" ref="H459" si="4356">((E459/E407)-1)*100</f>
        <v>-25.373593802500704</v>
      </c>
      <c r="I459" s="59">
        <f t="shared" ref="I459" si="4357">((F459/F407)-1)*100</f>
        <v>-21.545450568040948</v>
      </c>
      <c r="J459" s="59">
        <f t="shared" ref="J459" si="4358">((F459/G459)-1)*100</f>
        <v>-20.547402312884312</v>
      </c>
      <c r="L459" s="53">
        <v>0</v>
      </c>
      <c r="M459" s="64">
        <v>24500</v>
      </c>
      <c r="N459" s="64">
        <v>22800</v>
      </c>
      <c r="O459" s="64">
        <f t="shared" si="2600"/>
        <v>47300</v>
      </c>
      <c r="P459" s="53">
        <f t="shared" ref="P459" si="4359">AVERAGE(O456,O457,O458,O459)</f>
        <v>49915.5</v>
      </c>
      <c r="Q459" s="53">
        <f t="shared" ref="Q459" si="4360">AVERAGE(P407,P355,P303)</f>
        <v>46621.75</v>
      </c>
      <c r="R459" s="59">
        <f t="shared" ref="R459" si="4361">((O459/O407)-1)*100</f>
        <v>28.644473455178421</v>
      </c>
      <c r="S459" s="59">
        <f t="shared" ref="S459" si="4362">((P459/P407)-1)*100</f>
        <v>42.181046514940036</v>
      </c>
      <c r="T459" s="59">
        <f t="shared" ref="T459" si="4363">((P459/Q459)-1)*100</f>
        <v>7.0648356185685879</v>
      </c>
      <c r="V459" s="64">
        <v>96300</v>
      </c>
      <c r="W459" s="64">
        <v>4000</v>
      </c>
      <c r="X459" s="53">
        <v>0</v>
      </c>
      <c r="Y459" s="64">
        <f t="shared" si="1916"/>
        <v>100300</v>
      </c>
      <c r="Z459" s="53">
        <f t="shared" ref="Z459" si="4364">AVERAGE(Y456,Y457,Y458,Y459)</f>
        <v>108110.25</v>
      </c>
      <c r="AA459" s="53">
        <f t="shared" ref="AA459" si="4365">AVERAGE(Z407,Z355,Z303)</f>
        <v>125275</v>
      </c>
      <c r="AB459" s="59">
        <f t="shared" ref="AB459" si="4366">((Y459/Y407)-1)*100</f>
        <v>-0.75890251021599742</v>
      </c>
      <c r="AC459" s="59">
        <f t="shared" ref="AC459" si="4367">((Z459/Z407)-1)*100</f>
        <v>-5.0104228216961584</v>
      </c>
      <c r="AD459" s="59">
        <f t="shared" ref="AD459" si="4368">((Z459/AA459)-1)*100</f>
        <v>-13.701656356016766</v>
      </c>
      <c r="AF459" s="53">
        <v>0</v>
      </c>
      <c r="AG459" s="53">
        <v>0</v>
      </c>
      <c r="AH459" s="64">
        <v>9400</v>
      </c>
      <c r="AI459" s="53">
        <f t="shared" si="2759"/>
        <v>9400</v>
      </c>
      <c r="AJ459" s="53">
        <f t="shared" ref="AJ459" si="4369">AVERAGE(AI456,AI457,AI458,AI459)</f>
        <v>18437.5</v>
      </c>
      <c r="AK459" s="53">
        <f t="shared" ref="AK459" si="4370">AVERAGE(AJ407,AJ355,AJ303)</f>
        <v>6702.916666666667</v>
      </c>
      <c r="AL459" s="59">
        <f t="shared" ref="AL459" si="4371">((AI459/AI407)-1)*100</f>
        <v>-22.95081967213115</v>
      </c>
      <c r="AM459" s="59">
        <f t="shared" ref="AM459" si="4372">((AJ459/AJ407)-1)*100</f>
        <v>153.87263339070566</v>
      </c>
      <c r="AN459" s="59">
        <f t="shared" ref="AN459" si="4373">((AJ459/AK459)-1)*100</f>
        <v>175.06682414371849</v>
      </c>
      <c r="AP459" s="60">
        <f t="shared" si="1927"/>
        <v>488608</v>
      </c>
      <c r="AQ459" s="53">
        <f t="shared" si="1928"/>
        <v>33750</v>
      </c>
      <c r="AR459" s="60">
        <f t="shared" si="3772"/>
        <v>32200</v>
      </c>
      <c r="AS459" s="53">
        <f t="shared" si="3773"/>
        <v>554558</v>
      </c>
      <c r="AT459" s="53">
        <f t="shared" ref="AT459" si="4374">AVERAGE(AS456,AS457,AS458,AS459)</f>
        <v>660622.75</v>
      </c>
      <c r="AU459" s="53">
        <f t="shared" ref="AU459" si="4375">AVERAGE(AT407,AT355,AT303)</f>
        <v>787968.66666666663</v>
      </c>
      <c r="AV459" s="59">
        <f t="shared" ref="AV459" si="4376">((AS459/AS407)-1)*100</f>
        <v>-18.777736442646532</v>
      </c>
      <c r="AW459" s="59">
        <f t="shared" ref="AW459" si="4377">((AT459/AT407)-1)*100</f>
        <v>-14.571321147298944</v>
      </c>
      <c r="AX459" s="59">
        <f t="shared" ref="AX459" si="4378">((AT459/AU459)-1)*100</f>
        <v>-16.161291946464871</v>
      </c>
      <c r="AZ459" s="53">
        <f t="shared" si="401"/>
        <v>397.55799999999999</v>
      </c>
      <c r="BA459" s="53">
        <f t="shared" si="402"/>
        <v>47.3</v>
      </c>
      <c r="BB459" s="53">
        <f t="shared" si="403"/>
        <v>100.3</v>
      </c>
      <c r="BC459" s="53">
        <f t="shared" si="3779"/>
        <v>9.4</v>
      </c>
      <c r="BD459" s="53">
        <f t="shared" si="3780"/>
        <v>554.55799999999999</v>
      </c>
      <c r="BE459" s="60">
        <f t="shared" ref="BE459" si="4379">+AZ459+BE458</f>
        <v>12262.258999999998</v>
      </c>
      <c r="BF459" s="60">
        <f t="shared" ref="BF459" si="4380">+BA459+BF458</f>
        <v>1022.1109999999999</v>
      </c>
      <c r="BG459" s="60">
        <f t="shared" ref="BG459" si="4381">+BB459+BG458</f>
        <v>4533.174</v>
      </c>
      <c r="BH459" s="60">
        <f t="shared" ref="BH459" si="4382">+BC459+BH458</f>
        <v>245.05</v>
      </c>
      <c r="BI459" s="60">
        <f t="shared" ref="BI459" si="4383">+BD459+BI458</f>
        <v>18062.594000000001</v>
      </c>
      <c r="BJ459" s="1">
        <v>32</v>
      </c>
    </row>
    <row r="460" spans="1:65" x14ac:dyDescent="0.3">
      <c r="A460" s="48">
        <f t="shared" si="238"/>
        <v>40775</v>
      </c>
      <c r="B460" s="64">
        <v>379352</v>
      </c>
      <c r="C460" s="64">
        <v>10600</v>
      </c>
      <c r="D460" s="53">
        <v>0</v>
      </c>
      <c r="E460" s="53">
        <f t="shared" si="2986"/>
        <v>389952</v>
      </c>
      <c r="F460" s="53">
        <f t="shared" ref="F460" si="4384">AVERAGE(E457,E458,E459,E460)</f>
        <v>462178.25</v>
      </c>
      <c r="G460" s="53">
        <f t="shared" ref="G460" si="4385">AVERAGE(F408,F356,F304)</f>
        <v>543484.41666666663</v>
      </c>
      <c r="H460" s="59">
        <f t="shared" ref="H460" si="4386">((E460/E408)-1)*100</f>
        <v>58.048068739107528</v>
      </c>
      <c r="I460" s="59">
        <f t="shared" ref="I460" si="4387">((F460/F408)-1)*100</f>
        <v>-6.4592123644801491</v>
      </c>
      <c r="J460" s="59">
        <f t="shared" ref="J460" si="4388">((F460/G460)-1)*100</f>
        <v>-14.960165217861965</v>
      </c>
      <c r="L460" s="53">
        <v>0</v>
      </c>
      <c r="M460" s="64">
        <v>13600</v>
      </c>
      <c r="N460" s="64">
        <v>16800</v>
      </c>
      <c r="O460" s="64">
        <f t="shared" si="2600"/>
        <v>30400</v>
      </c>
      <c r="P460" s="53">
        <f t="shared" ref="P460" si="4389">AVERAGE(O457,O458,O459,O460)</f>
        <v>45361</v>
      </c>
      <c r="Q460" s="53">
        <f t="shared" ref="Q460" si="4390">AVERAGE(P408,P356,P304)</f>
        <v>44485.5</v>
      </c>
      <c r="R460" s="59">
        <f t="shared" ref="R460" si="4391">((O460/O408)-1)*100</f>
        <v>-13.427310266267977</v>
      </c>
      <c r="S460" s="59">
        <f t="shared" ref="S460" si="4392">((P460/P408)-1)*100</f>
        <v>22.893736919461126</v>
      </c>
      <c r="T460" s="59">
        <f t="shared" ref="T460" si="4393">((P460/Q460)-1)*100</f>
        <v>1.9680570073394632</v>
      </c>
      <c r="V460" s="64">
        <v>71943</v>
      </c>
      <c r="W460" s="64">
        <v>17250</v>
      </c>
      <c r="X460" s="53">
        <v>2800</v>
      </c>
      <c r="Y460" s="64">
        <f t="shared" si="1916"/>
        <v>91993</v>
      </c>
      <c r="Z460" s="53">
        <f t="shared" ref="Z460" si="4394">AVERAGE(Y457,Y458,Y459,Y460)</f>
        <v>102252.25</v>
      </c>
      <c r="AA460" s="53">
        <f t="shared" ref="AA460" si="4395">AVERAGE(Z408,Z356,Z304)</f>
        <v>126136.5</v>
      </c>
      <c r="AB460" s="59">
        <f t="shared" ref="AB460" si="4396">((Y460/Y408)-1)*100</f>
        <v>-24.75933423301845</v>
      </c>
      <c r="AC460" s="59">
        <f t="shared" ref="AC460" si="4397">((Z460/Z408)-1)*100</f>
        <v>-15.181371003865484</v>
      </c>
      <c r="AD460" s="59">
        <f t="shared" ref="AD460" si="4398">((Z460/AA460)-1)*100</f>
        <v>-18.935240790730678</v>
      </c>
      <c r="AF460" s="53">
        <v>0</v>
      </c>
      <c r="AG460" s="53">
        <v>0</v>
      </c>
      <c r="AH460" s="64">
        <v>1400</v>
      </c>
      <c r="AI460" s="53">
        <f t="shared" si="2759"/>
        <v>1400</v>
      </c>
      <c r="AJ460" s="53">
        <f t="shared" ref="AJ460" si="4399">AVERAGE(AI457,AI458,AI459,AI460)</f>
        <v>11525</v>
      </c>
      <c r="AK460" s="53">
        <f t="shared" ref="AK460" si="4400">AVERAGE(AJ408,AJ356,AJ304)</f>
        <v>6334.75</v>
      </c>
      <c r="AL460" s="59">
        <f t="shared" ref="AL460" si="4401">((AI460/AI408)-1)*100</f>
        <v>-77.567697484377504</v>
      </c>
      <c r="AM460" s="59">
        <f t="shared" ref="AM460" si="4402">((AJ460/AJ408)-1)*100</f>
        <v>76.68927982829328</v>
      </c>
      <c r="AN460" s="59">
        <f t="shared" ref="AN460" si="4403">((AJ460/AK460)-1)*100</f>
        <v>81.932988673586181</v>
      </c>
      <c r="AP460" s="60">
        <f t="shared" si="1927"/>
        <v>451295</v>
      </c>
      <c r="AQ460" s="53">
        <f t="shared" si="1928"/>
        <v>41450</v>
      </c>
      <c r="AR460" s="60">
        <f t="shared" si="3772"/>
        <v>21000</v>
      </c>
      <c r="AS460" s="53">
        <f t="shared" si="3773"/>
        <v>513745</v>
      </c>
      <c r="AT460" s="53">
        <f t="shared" ref="AT460" si="4404">AVERAGE(AS457,AS458,AS459,AS460)</f>
        <v>621316.5</v>
      </c>
      <c r="AU460" s="53">
        <f t="shared" ref="AU460" si="4405">AVERAGE(AT408,AT356,AT304)</f>
        <v>720441.16666666663</v>
      </c>
      <c r="AV460" s="59">
        <f t="shared" ref="AV460" si="4406">((AS460/AS408)-1)*100</f>
        <v>25.196478137009535</v>
      </c>
      <c r="AW460" s="59">
        <f t="shared" ref="AW460" si="4407">((AT460/AT408)-1)*100</f>
        <v>-5.5865147145807814</v>
      </c>
      <c r="AX460" s="59">
        <f t="shared" ref="AX460" si="4408">((AT460/AU460)-1)*100</f>
        <v>-13.758884313246023</v>
      </c>
      <c r="AZ460" s="53">
        <f t="shared" si="401"/>
        <v>389.952</v>
      </c>
      <c r="BA460" s="53">
        <f t="shared" si="402"/>
        <v>30.4</v>
      </c>
      <c r="BB460" s="53">
        <f t="shared" si="403"/>
        <v>91.992999999999995</v>
      </c>
      <c r="BC460" s="53">
        <f t="shared" si="3779"/>
        <v>1.4</v>
      </c>
      <c r="BD460" s="53">
        <f t="shared" si="3780"/>
        <v>513.745</v>
      </c>
      <c r="BE460" s="60">
        <f t="shared" ref="BE460" si="4409">+AZ460+BE459</f>
        <v>12652.210999999998</v>
      </c>
      <c r="BF460" s="60">
        <f t="shared" ref="BF460" si="4410">+BA460+BF459</f>
        <v>1052.511</v>
      </c>
      <c r="BG460" s="60">
        <f t="shared" ref="BG460" si="4411">+BB460+BG459</f>
        <v>4625.1670000000004</v>
      </c>
      <c r="BH460" s="60">
        <f t="shared" ref="BH460" si="4412">+BC460+BH459</f>
        <v>246.45000000000002</v>
      </c>
      <c r="BI460" s="60">
        <f t="shared" ref="BI460" si="4413">+BD460+BI459</f>
        <v>18576.339</v>
      </c>
      <c r="BJ460" s="1">
        <v>33</v>
      </c>
    </row>
    <row r="461" spans="1:65" x14ac:dyDescent="0.3">
      <c r="A461" s="48">
        <f>A460+7</f>
        <v>40782</v>
      </c>
      <c r="B461" s="64">
        <v>289565</v>
      </c>
      <c r="C461" s="64">
        <v>6350</v>
      </c>
      <c r="D461" s="53">
        <v>12600</v>
      </c>
      <c r="E461" s="53">
        <f t="shared" si="2986"/>
        <v>308515</v>
      </c>
      <c r="F461" s="53">
        <f t="shared" ref="F461" si="4414">AVERAGE(E458,E459,E460,E461)</f>
        <v>394918</v>
      </c>
      <c r="G461" s="53">
        <f t="shared" ref="G461" si="4415">AVERAGE(F409,F357,F305)</f>
        <v>465779.08333333331</v>
      </c>
      <c r="H461" s="59">
        <f t="shared" ref="H461" si="4416">((E461/E409)-1)*100</f>
        <v>12.090263699053171</v>
      </c>
      <c r="I461" s="59">
        <f t="shared" ref="I461" si="4417">((F461/F409)-1)*100</f>
        <v>-2.229264277181886</v>
      </c>
      <c r="J461" s="59">
        <f t="shared" ref="J461" si="4418">((F461/G461)-1)*100</f>
        <v>-15.213453301985613</v>
      </c>
      <c r="L461" s="53">
        <v>1600</v>
      </c>
      <c r="M461" s="64">
        <v>29400</v>
      </c>
      <c r="N461" s="64">
        <v>5600</v>
      </c>
      <c r="O461" s="64">
        <f t="shared" si="2600"/>
        <v>36600</v>
      </c>
      <c r="P461" s="53">
        <f t="shared" ref="P461" si="4419">AVERAGE(O458,O459,O460,O461)</f>
        <v>38087.5</v>
      </c>
      <c r="Q461" s="53">
        <f t="shared" ref="Q461" si="4420">AVERAGE(P409,P357,P305)</f>
        <v>48007.083333333336</v>
      </c>
      <c r="R461" s="59">
        <f t="shared" ref="R461" si="4421">((O461/O409)-1)*100</f>
        <v>-4.6229217699484071</v>
      </c>
      <c r="S461" s="59">
        <f t="shared" ref="S461" si="4422">((P461/P409)-1)*100</f>
        <v>5.2744321676098771</v>
      </c>
      <c r="T461" s="59">
        <f t="shared" ref="T461" si="4423">((P461/Q461)-1)*100</f>
        <v>-20.662749420658411</v>
      </c>
      <c r="V461" s="64">
        <v>62624</v>
      </c>
      <c r="W461" s="64">
        <v>26100</v>
      </c>
      <c r="X461" s="53">
        <v>1400</v>
      </c>
      <c r="Y461" s="64">
        <f t="shared" si="1916"/>
        <v>90124</v>
      </c>
      <c r="Z461" s="53">
        <f t="shared" ref="Z461" si="4424">AVERAGE(Y458,Y459,Y460,Y461)</f>
        <v>94898.25</v>
      </c>
      <c r="AA461" s="53">
        <f t="shared" ref="AA461" si="4425">AVERAGE(Z409,Z357,Z305)</f>
        <v>106624.66666666667</v>
      </c>
      <c r="AB461" s="59">
        <f t="shared" ref="AB461" si="4426">((Y461/Y409)-1)*100</f>
        <v>60.334460060487459</v>
      </c>
      <c r="AC461" s="59">
        <f t="shared" ref="AC461" si="4427">((Z461/Z409)-1)*100</f>
        <v>-5.680400741451197</v>
      </c>
      <c r="AD461" s="59">
        <f t="shared" ref="AD461" si="4428">((Z461/AA461)-1)*100</f>
        <v>-10.997846026873081</v>
      </c>
      <c r="AF461" s="53">
        <v>6000</v>
      </c>
      <c r="AG461" s="53">
        <v>0</v>
      </c>
      <c r="AH461" s="64">
        <v>7200</v>
      </c>
      <c r="AI461" s="53">
        <f t="shared" si="2759"/>
        <v>13200</v>
      </c>
      <c r="AJ461" s="53">
        <f t="shared" ref="AJ461" si="4429">AVERAGE(AI458,AI459,AI460,AI461)</f>
        <v>8800</v>
      </c>
      <c r="AK461" s="53">
        <f t="shared" ref="AK461" si="4430">AVERAGE(AJ409,AJ357,AJ305)</f>
        <v>8413.9166666666661</v>
      </c>
      <c r="AL461" s="59">
        <f t="shared" ref="AL461" si="4431">((AI461/AI409)-1)*100</f>
        <v>43.478260869565212</v>
      </c>
      <c r="AM461" s="59">
        <f t="shared" ref="AM461" si="4432">((AJ461/AJ409)-1)*100</f>
        <v>-0.25785611062310032</v>
      </c>
      <c r="AN461" s="59">
        <f t="shared" ref="AN461" si="4433">((AJ461/AK461)-1)*100</f>
        <v>4.5886279675537711</v>
      </c>
      <c r="AP461" s="60">
        <f t="shared" si="1927"/>
        <v>359789</v>
      </c>
      <c r="AQ461" s="53">
        <f t="shared" si="1928"/>
        <v>61850</v>
      </c>
      <c r="AR461" s="60">
        <f t="shared" si="3772"/>
        <v>26800</v>
      </c>
      <c r="AS461" s="53">
        <f t="shared" si="3773"/>
        <v>448439</v>
      </c>
      <c r="AT461" s="53">
        <f t="shared" ref="AT461" si="4434">AVERAGE(AS458,AS459,AS460,AS461)</f>
        <v>536703.75</v>
      </c>
      <c r="AU461" s="53">
        <f t="shared" ref="AU461" si="4435">AVERAGE(AT409,AT357,AT305)</f>
        <v>628824.75</v>
      </c>
      <c r="AV461" s="59">
        <f t="shared" ref="AV461" si="4436">((AS461/AS409)-1)*100</f>
        <v>18.314768008189496</v>
      </c>
      <c r="AW461" s="59">
        <f t="shared" ref="AW461" si="4437">((AT461/AT409)-1)*100</f>
        <v>-2.335461787901838</v>
      </c>
      <c r="AX461" s="59">
        <f t="shared" ref="AX461" si="4438">((AT461/AU461)-1)*100</f>
        <v>-14.649709636905994</v>
      </c>
      <c r="AZ461" s="53">
        <f t="shared" si="401"/>
        <v>308.51499999999999</v>
      </c>
      <c r="BA461" s="53">
        <f t="shared" si="402"/>
        <v>36.6</v>
      </c>
      <c r="BB461" s="53">
        <f t="shared" si="403"/>
        <v>90.123999999999995</v>
      </c>
      <c r="BC461" s="53">
        <f t="shared" si="3779"/>
        <v>13.2</v>
      </c>
      <c r="BD461" s="53">
        <f t="shared" si="3780"/>
        <v>448.43900000000002</v>
      </c>
      <c r="BE461" s="60">
        <f t="shared" ref="BE461" si="4439">+AZ461+BE460</f>
        <v>12960.725999999997</v>
      </c>
      <c r="BF461" s="60">
        <f t="shared" ref="BF461" si="4440">+BA461+BF460</f>
        <v>1089.1109999999999</v>
      </c>
      <c r="BG461" s="60">
        <f t="shared" ref="BG461" si="4441">+BB461+BG460</f>
        <v>4715.2910000000002</v>
      </c>
      <c r="BH461" s="60">
        <f t="shared" ref="BH461" si="4442">+BC461+BH460</f>
        <v>259.65000000000003</v>
      </c>
      <c r="BI461" s="60">
        <f t="shared" ref="BI461" si="4443">+BD461+BI460</f>
        <v>19024.777999999998</v>
      </c>
      <c r="BJ461" s="1">
        <v>34</v>
      </c>
    </row>
    <row r="462" spans="1:65" x14ac:dyDescent="0.3">
      <c r="A462" s="48">
        <f t="shared" si="238"/>
        <v>40789</v>
      </c>
      <c r="B462" s="64">
        <v>206680</v>
      </c>
      <c r="C462" s="64">
        <v>7000</v>
      </c>
      <c r="D462" s="53">
        <v>23000</v>
      </c>
      <c r="E462" s="53">
        <f t="shared" si="2986"/>
        <v>236680</v>
      </c>
      <c r="F462" s="53">
        <f t="shared" ref="F462" si="4444">AVERAGE(E459,E460,E461,E462)</f>
        <v>333176.25</v>
      </c>
      <c r="G462" s="53">
        <f t="shared" ref="G462" si="4445">AVERAGE(F410,F358,F306)</f>
        <v>429935.66666666669</v>
      </c>
      <c r="H462" s="59">
        <f t="shared" ref="H462" si="4446">((E462/E410)-1)*100</f>
        <v>-43.476433388739231</v>
      </c>
      <c r="I462" s="59">
        <f t="shared" ref="I462" si="4447">((F462/F410)-1)*100</f>
        <v>-9.5506597883709183</v>
      </c>
      <c r="J462" s="59">
        <f t="shared" ref="J462" si="4448">((F462/G462)-1)*100</f>
        <v>-22.50555703295144</v>
      </c>
      <c r="L462" s="53">
        <v>6000</v>
      </c>
      <c r="M462" s="64">
        <v>23350</v>
      </c>
      <c r="N462" s="64">
        <v>11200</v>
      </c>
      <c r="O462" s="64">
        <f t="shared" si="2600"/>
        <v>40550</v>
      </c>
      <c r="P462" s="53">
        <f t="shared" ref="P462" si="4449">AVERAGE(O459,O460,O461,O462)</f>
        <v>38712.5</v>
      </c>
      <c r="Q462" s="53">
        <f t="shared" ref="Q462" si="4450">AVERAGE(P410,P358,P306)</f>
        <v>41473.083333333336</v>
      </c>
      <c r="R462" s="59">
        <f t="shared" ref="R462" si="4451">((O462/O410)-1)*100</f>
        <v>118.79889926077807</v>
      </c>
      <c r="S462" s="59">
        <f t="shared" ref="S462" si="4452">((P462/P410)-1)*100</f>
        <v>20.234490255454606</v>
      </c>
      <c r="T462" s="59">
        <f t="shared" ref="T462" si="4453">((P462/Q462)-1)*100</f>
        <v>-6.6563252872847256</v>
      </c>
      <c r="V462" s="64">
        <v>40540</v>
      </c>
      <c r="W462" s="64">
        <v>12000</v>
      </c>
      <c r="X462" s="53">
        <v>2800</v>
      </c>
      <c r="Y462" s="64">
        <f t="shared" si="1916"/>
        <v>55340</v>
      </c>
      <c r="Z462" s="53">
        <f t="shared" ref="Z462" si="4454">AVERAGE(Y459,Y460,Y461,Y462)</f>
        <v>84439.25</v>
      </c>
      <c r="AA462" s="53">
        <f t="shared" ref="AA462" si="4455">AVERAGE(Z410,Z358,Z306)</f>
        <v>93617.583333333328</v>
      </c>
      <c r="AB462" s="59">
        <f t="shared" ref="AB462" si="4456">((Y462/Y410)-1)*100</f>
        <v>-2.3985890652557296</v>
      </c>
      <c r="AC462" s="59">
        <f t="shared" ref="AC462" si="4457">((Z462/Z410)-1)*100</f>
        <v>0.45056834065939633</v>
      </c>
      <c r="AD462" s="59">
        <f t="shared" ref="AD462" si="4458">((Z462/AA462)-1)*100</f>
        <v>-9.804069926322601</v>
      </c>
      <c r="AF462" s="53">
        <v>15200</v>
      </c>
      <c r="AG462" s="53">
        <v>0</v>
      </c>
      <c r="AH462" s="64">
        <v>1400</v>
      </c>
      <c r="AI462" s="53">
        <f t="shared" si="2759"/>
        <v>16600</v>
      </c>
      <c r="AJ462" s="53">
        <f t="shared" ref="AJ462" si="4459">AVERAGE(AI459,AI460,AI461,AI462)</f>
        <v>10150</v>
      </c>
      <c r="AK462" s="53">
        <f t="shared" ref="AK462" si="4460">AVERAGE(AJ410,AJ358,AJ306)</f>
        <v>7198.5</v>
      </c>
      <c r="AL462" s="59">
        <f t="shared" ref="AL462" si="4461">((AI462/AI410)-1)*100</f>
        <v>453.33333333333331</v>
      </c>
      <c r="AM462" s="59">
        <f t="shared" ref="AM462" si="4462">((AJ462/AJ410)-1)*100</f>
        <v>32.50220293071375</v>
      </c>
      <c r="AN462" s="59">
        <f t="shared" ref="AN462" si="4463">((AJ462/AK462)-1)*100</f>
        <v>41.001597555046196</v>
      </c>
      <c r="AP462" s="60">
        <f t="shared" si="1927"/>
        <v>268420</v>
      </c>
      <c r="AQ462" s="53">
        <f t="shared" si="1928"/>
        <v>42350</v>
      </c>
      <c r="AR462" s="60">
        <f t="shared" si="3772"/>
        <v>38400</v>
      </c>
      <c r="AS462" s="53">
        <f t="shared" si="3773"/>
        <v>349170</v>
      </c>
      <c r="AT462" s="53">
        <f t="shared" ref="AT462" si="4464">AVERAGE(AS459,AS460,AS461,AS462)</f>
        <v>466478</v>
      </c>
      <c r="AU462" s="53">
        <f t="shared" ref="AU462" si="4465">AVERAGE(AT410,AT358,AT306)</f>
        <v>572224.83333333337</v>
      </c>
      <c r="AV462" s="59">
        <f t="shared" ref="AV462" si="4466">((AS462/AS410)-1)*100</f>
        <v>-29.738953358513044</v>
      </c>
      <c r="AW462" s="59">
        <f t="shared" ref="AW462" si="4467">((AT462/AT410)-1)*100</f>
        <v>-5.2403636178965041</v>
      </c>
      <c r="AX462" s="59">
        <f t="shared" ref="AX462" si="4468">((AT462/AU462)-1)*100</f>
        <v>-18.479944800251889</v>
      </c>
      <c r="AZ462" s="53">
        <f t="shared" si="401"/>
        <v>236.68</v>
      </c>
      <c r="BA462" s="53">
        <f t="shared" si="402"/>
        <v>40.549999999999997</v>
      </c>
      <c r="BB462" s="53">
        <f t="shared" si="403"/>
        <v>55.34</v>
      </c>
      <c r="BC462" s="53">
        <f t="shared" si="3779"/>
        <v>16.600000000000001</v>
      </c>
      <c r="BD462" s="53">
        <f t="shared" si="3780"/>
        <v>349.17</v>
      </c>
      <c r="BE462" s="60">
        <f t="shared" ref="BE462" si="4469">+AZ462+BE461</f>
        <v>13197.405999999997</v>
      </c>
      <c r="BF462" s="60">
        <f t="shared" ref="BF462" si="4470">+BA462+BF461</f>
        <v>1129.6609999999998</v>
      </c>
      <c r="BG462" s="60">
        <f t="shared" ref="BG462" si="4471">+BB462+BG461</f>
        <v>4770.6310000000003</v>
      </c>
      <c r="BH462" s="60">
        <f t="shared" ref="BH462" si="4472">+BC462+BH461</f>
        <v>276.25000000000006</v>
      </c>
      <c r="BI462" s="60">
        <f t="shared" ref="BI462" si="4473">+BD462+BI461</f>
        <v>19373.947999999997</v>
      </c>
      <c r="BJ462" s="1">
        <v>35</v>
      </c>
    </row>
    <row r="463" spans="1:65" x14ac:dyDescent="0.3">
      <c r="A463" s="48">
        <f>A462+7</f>
        <v>40796</v>
      </c>
      <c r="B463" s="64">
        <v>215847</v>
      </c>
      <c r="C463" s="64">
        <v>20826</v>
      </c>
      <c r="D463" s="53">
        <v>16400</v>
      </c>
      <c r="E463" s="53">
        <f t="shared" si="2986"/>
        <v>253073</v>
      </c>
      <c r="F463" s="53">
        <f t="shared" ref="F463" si="4474">AVERAGE(E460,E461,E462,E463)</f>
        <v>297055</v>
      </c>
      <c r="G463" s="53">
        <f t="shared" ref="G463" si="4475">AVERAGE(F411,F359,F307)</f>
        <v>378010</v>
      </c>
      <c r="H463" s="59">
        <f t="shared" ref="H463" si="4476">((E463/E411)-1)*100</f>
        <v>-34.982954005359147</v>
      </c>
      <c r="I463" s="59">
        <f t="shared" ref="I463" si="4477">((F463/F411)-1)*100</f>
        <v>-10.655918287858746</v>
      </c>
      <c r="J463" s="59">
        <f t="shared" ref="J463" si="4478">((F463/G463)-1)*100</f>
        <v>-21.416100103171875</v>
      </c>
      <c r="L463" s="53">
        <v>1600</v>
      </c>
      <c r="M463" s="64">
        <v>16850</v>
      </c>
      <c r="N463" s="64">
        <v>2800</v>
      </c>
      <c r="O463" s="64">
        <f t="shared" si="2600"/>
        <v>21250</v>
      </c>
      <c r="P463" s="53">
        <f t="shared" ref="P463" si="4479">AVERAGE(O460,O461,O462,O463)</f>
        <v>32200</v>
      </c>
      <c r="Q463" s="53">
        <f t="shared" ref="Q463" si="4480">AVERAGE(P411,P359,P307)</f>
        <v>45395</v>
      </c>
      <c r="R463" s="59">
        <f t="shared" ref="R463" si="4481">((O463/O411)-1)*100</f>
        <v>-43.333333333333336</v>
      </c>
      <c r="S463" s="59">
        <f t="shared" ref="S463" si="4482">((P463/P411)-1)*100</f>
        <v>-0.55743425827272652</v>
      </c>
      <c r="T463" s="59">
        <f t="shared" ref="T463" si="4483">((P463/Q463)-1)*100</f>
        <v>-29.067077872012337</v>
      </c>
      <c r="V463" s="64">
        <v>38200</v>
      </c>
      <c r="W463" s="64">
        <v>15350</v>
      </c>
      <c r="X463" s="53">
        <v>0</v>
      </c>
      <c r="Y463" s="64">
        <f t="shared" si="1916"/>
        <v>53550</v>
      </c>
      <c r="Z463" s="53">
        <f t="shared" ref="Z463" si="4484">AVERAGE(Y460,Y461,Y462,Y463)</f>
        <v>72751.75</v>
      </c>
      <c r="AA463" s="53">
        <f t="shared" ref="AA463" si="4485">AVERAGE(Z411,Z359,Z307)</f>
        <v>75968.916666666672</v>
      </c>
      <c r="AB463" s="59">
        <f t="shared" ref="AB463" si="4486">((Y463/Y411)-1)*100</f>
        <v>8.0137967202533531</v>
      </c>
      <c r="AC463" s="59">
        <f t="shared" ref="AC463" si="4487">((Z463/Z411)-1)*100</f>
        <v>2.196648311513183</v>
      </c>
      <c r="AD463" s="59">
        <f t="shared" ref="AD463" si="4488">((Z463/AA463)-1)*100</f>
        <v>-4.2348460499743945</v>
      </c>
      <c r="AF463" s="53">
        <v>7881</v>
      </c>
      <c r="AG463" s="53">
        <v>0</v>
      </c>
      <c r="AH463" s="64">
        <v>1400</v>
      </c>
      <c r="AI463" s="53">
        <f t="shared" ref="AI463:AI476" si="4489">SUM(AF463:AH463)</f>
        <v>9281</v>
      </c>
      <c r="AJ463" s="53">
        <f t="shared" ref="AJ463" si="4490">AVERAGE(AI460,AI461,AI462,AI463)</f>
        <v>10120.25</v>
      </c>
      <c r="AK463" s="53">
        <f t="shared" ref="AK463" si="4491">AVERAGE(AJ411,AJ359,AJ307)</f>
        <v>8006.833333333333</v>
      </c>
      <c r="AL463" s="59">
        <f t="shared" ref="AL463" si="4492">((AI463/AI411)-1)*100</f>
        <v>-51.152631578947364</v>
      </c>
      <c r="AM463" s="59">
        <f t="shared" ref="AM463" si="4493">((AJ463/AJ411)-1)*100</f>
        <v>8.1194412542400016</v>
      </c>
      <c r="AN463" s="59">
        <f t="shared" ref="AN463" si="4494">((AJ463/AK463)-1)*100</f>
        <v>26.395162465394151</v>
      </c>
      <c r="AP463" s="60">
        <f t="shared" si="1927"/>
        <v>263528</v>
      </c>
      <c r="AQ463" s="53">
        <f t="shared" si="1928"/>
        <v>53026</v>
      </c>
      <c r="AR463" s="60">
        <f t="shared" ref="AR463:AR475" si="4495">SUM(D463,N463,X463,AH463)</f>
        <v>20600</v>
      </c>
      <c r="AS463" s="53">
        <f t="shared" ref="AS463:AS475" si="4496">SUM(E463,O463,Y463,AI463)</f>
        <v>337154</v>
      </c>
      <c r="AT463" s="53">
        <f t="shared" ref="AT463" si="4497">AVERAGE(AS460,AS461,AS462,AS463)</f>
        <v>412127</v>
      </c>
      <c r="AU463" s="53">
        <f t="shared" ref="AU463" si="4498">AVERAGE(AT411,AT359,AT307)</f>
        <v>507380.75</v>
      </c>
      <c r="AV463" s="59">
        <f t="shared" ref="AV463" si="4499">((AS463/AS411)-1)*100</f>
        <v>-31.931809463819206</v>
      </c>
      <c r="AW463" s="59">
        <f t="shared" ref="AW463" si="4500">((AT463/AT411)-1)*100</f>
        <v>-7.4730643245706769</v>
      </c>
      <c r="AX463" s="59">
        <f t="shared" ref="AX463" si="4501">((AT463/AU463)-1)*100</f>
        <v>-18.773623161698584</v>
      </c>
      <c r="AZ463" s="53">
        <f t="shared" si="401"/>
        <v>253.07300000000001</v>
      </c>
      <c r="BA463" s="53">
        <f t="shared" si="402"/>
        <v>21.25</v>
      </c>
      <c r="BB463" s="53">
        <f t="shared" si="403"/>
        <v>53.55</v>
      </c>
      <c r="BC463" s="53">
        <f t="shared" ref="BC463:BC476" si="4502">+AI463/1000</f>
        <v>9.2810000000000006</v>
      </c>
      <c r="BD463" s="53">
        <f t="shared" ref="BD463:BD476" si="4503">+AS463/1000</f>
        <v>337.154</v>
      </c>
      <c r="BE463" s="60">
        <f t="shared" ref="BE463" si="4504">+AZ463+BE462</f>
        <v>13450.478999999998</v>
      </c>
      <c r="BF463" s="60">
        <f t="shared" ref="BF463" si="4505">+BA463+BF462</f>
        <v>1150.9109999999998</v>
      </c>
      <c r="BG463" s="60">
        <f t="shared" ref="BG463" si="4506">+BB463+BG462</f>
        <v>4824.1810000000005</v>
      </c>
      <c r="BH463" s="60">
        <f t="shared" ref="BH463" si="4507">+BC463+BH462</f>
        <v>285.53100000000006</v>
      </c>
      <c r="BI463" s="60">
        <f t="shared" ref="BI463" si="4508">+BD463+BI462</f>
        <v>19711.101999999995</v>
      </c>
      <c r="BJ463" s="1">
        <v>36</v>
      </c>
    </row>
    <row r="464" spans="1:65" x14ac:dyDescent="0.3">
      <c r="A464" s="48">
        <f t="shared" si="238"/>
        <v>40803</v>
      </c>
      <c r="B464" s="64">
        <v>115272</v>
      </c>
      <c r="C464" s="64">
        <v>77666</v>
      </c>
      <c r="D464" s="53">
        <v>11200</v>
      </c>
      <c r="E464" s="53">
        <f t="shared" si="2986"/>
        <v>204138</v>
      </c>
      <c r="F464" s="53">
        <f t="shared" ref="F464" si="4509">AVERAGE(E461,E462,E463,E464)</f>
        <v>250601.5</v>
      </c>
      <c r="G464" s="53">
        <f t="shared" ref="G464" si="4510">AVERAGE(F412,F360,F308)</f>
        <v>342902</v>
      </c>
      <c r="H464" s="59">
        <f t="shared" ref="H464" si="4511">((E464/E412)-1)*100</f>
        <v>-44.401714755723567</v>
      </c>
      <c r="I464" s="59">
        <f t="shared" ref="I464" si="4512">((F464/F412)-1)*100</f>
        <v>-30.886330619778501</v>
      </c>
      <c r="J464" s="59">
        <f t="shared" ref="J464" si="4513">((F464/G464)-1)*100</f>
        <v>-26.917457465981531</v>
      </c>
      <c r="L464" s="53">
        <v>3277</v>
      </c>
      <c r="M464" s="64">
        <v>12500</v>
      </c>
      <c r="N464" s="64">
        <v>16800</v>
      </c>
      <c r="O464" s="64">
        <f t="shared" si="2600"/>
        <v>32577</v>
      </c>
      <c r="P464" s="53">
        <f t="shared" ref="P464" si="4514">AVERAGE(O461,O462,O463,O464)</f>
        <v>32744.25</v>
      </c>
      <c r="Q464" s="53">
        <f t="shared" ref="Q464" si="4515">AVERAGE(P412,P360,P308)</f>
        <v>47826</v>
      </c>
      <c r="R464" s="59">
        <f t="shared" ref="R464" si="4516">((O464/O412)-1)*100</f>
        <v>5.2194696553728992</v>
      </c>
      <c r="S464" s="59">
        <f t="shared" ref="S464" si="4517">((P464/P412)-1)*100</f>
        <v>4.4740284602131419</v>
      </c>
      <c r="T464" s="59">
        <f t="shared" ref="T464" si="4518">((P464/Q464)-1)*100</f>
        <v>-31.534625517500935</v>
      </c>
      <c r="V464" s="64">
        <v>27919</v>
      </c>
      <c r="W464" s="64">
        <v>40104</v>
      </c>
      <c r="X464" s="53">
        <v>9200</v>
      </c>
      <c r="Y464" s="64">
        <f t="shared" si="1916"/>
        <v>77223</v>
      </c>
      <c r="Z464" s="53">
        <f t="shared" ref="Z464" si="4519">AVERAGE(Y461,Y462,Y463,Y464)</f>
        <v>69059.25</v>
      </c>
      <c r="AA464" s="53">
        <f t="shared" ref="AA464" si="4520">AVERAGE(Z412,Z360,Z308)</f>
        <v>55796.333333333336</v>
      </c>
      <c r="AB464" s="59">
        <f t="shared" ref="AB464" si="4521">((Y464/Y412)-1)*100</f>
        <v>59.584624922504645</v>
      </c>
      <c r="AC464" s="59">
        <f t="shared" ref="AC464" si="4522">((Z464/Z412)-1)*100</f>
        <v>30.994371126296372</v>
      </c>
      <c r="AD464" s="59">
        <f t="shared" ref="AD464" si="4523">((Z464/AA464)-1)*100</f>
        <v>23.770229823943033</v>
      </c>
      <c r="AF464" s="53">
        <v>0</v>
      </c>
      <c r="AG464" s="53">
        <v>0</v>
      </c>
      <c r="AH464" s="64">
        <v>1400</v>
      </c>
      <c r="AI464" s="53">
        <f t="shared" si="4489"/>
        <v>1400</v>
      </c>
      <c r="AJ464" s="53">
        <f t="shared" ref="AJ464" si="4524">AVERAGE(AI461,AI462,AI463,AI464)</f>
        <v>10120.25</v>
      </c>
      <c r="AK464" s="53">
        <f t="shared" ref="AK464" si="4525">AVERAGE(AJ412,AJ360,AJ308)</f>
        <v>7812.5</v>
      </c>
      <c r="AL464" s="59">
        <f t="shared" ref="AL464" si="4526">((AI464/AI412)-1)*100</f>
        <v>-89.353612167300383</v>
      </c>
      <c r="AM464" s="59">
        <f t="shared" ref="AM464" si="4527">((AJ464/AJ412)-1)*100</f>
        <v>-8.7237880496054068</v>
      </c>
      <c r="AN464" s="59">
        <f t="shared" ref="AN464" si="4528">((AJ464/AK464)-1)*100</f>
        <v>29.539200000000008</v>
      </c>
      <c r="AP464" s="60">
        <f t="shared" si="1927"/>
        <v>146468</v>
      </c>
      <c r="AQ464" s="53">
        <f t="shared" si="1928"/>
        <v>130270</v>
      </c>
      <c r="AR464" s="60">
        <f t="shared" si="4495"/>
        <v>38600</v>
      </c>
      <c r="AS464" s="53">
        <f t="shared" si="4496"/>
        <v>315338</v>
      </c>
      <c r="AT464" s="53">
        <f t="shared" ref="AT464" si="4529">AVERAGE(AS461,AS462,AS463,AS464)</f>
        <v>362525.25</v>
      </c>
      <c r="AU464" s="53">
        <f t="shared" ref="AU464" si="4530">AVERAGE(AT412,AT360,AT308)</f>
        <v>454336.83333333331</v>
      </c>
      <c r="AV464" s="59">
        <f t="shared" ref="AV464" si="4531">((AS464/AS412)-1)*100</f>
        <v>-31.39859942088512</v>
      </c>
      <c r="AW464" s="59">
        <f t="shared" ref="AW464" si="4532">((AT464/AT412)-1)*100</f>
        <v>-20.801401226018147</v>
      </c>
      <c r="AX464" s="59">
        <f t="shared" ref="AX464" si="4533">((AT464/AU464)-1)*100</f>
        <v>-20.207823050519412</v>
      </c>
      <c r="AZ464" s="53">
        <f t="shared" si="401"/>
        <v>204.13800000000001</v>
      </c>
      <c r="BA464" s="53">
        <f t="shared" si="402"/>
        <v>32.576999999999998</v>
      </c>
      <c r="BB464" s="53">
        <f t="shared" si="403"/>
        <v>77.222999999999999</v>
      </c>
      <c r="BC464" s="53">
        <f t="shared" si="4502"/>
        <v>1.4</v>
      </c>
      <c r="BD464" s="53">
        <f t="shared" si="4503"/>
        <v>315.33800000000002</v>
      </c>
      <c r="BE464" s="60">
        <f t="shared" ref="BE464" si="4534">+AZ464+BE463</f>
        <v>13654.616999999998</v>
      </c>
      <c r="BF464" s="60">
        <f t="shared" ref="BF464" si="4535">+BA464+BF463</f>
        <v>1183.4879999999998</v>
      </c>
      <c r="BG464" s="60">
        <f t="shared" ref="BG464" si="4536">+BB464+BG463</f>
        <v>4901.4040000000005</v>
      </c>
      <c r="BH464" s="60">
        <f t="shared" ref="BH464" si="4537">+BC464+BH463</f>
        <v>286.93100000000004</v>
      </c>
      <c r="BI464" s="60">
        <f t="shared" ref="BI464" si="4538">+BD464+BI463</f>
        <v>20026.439999999995</v>
      </c>
      <c r="BJ464" s="1">
        <v>37</v>
      </c>
    </row>
    <row r="465" spans="1:62" x14ac:dyDescent="0.3">
      <c r="A465" s="48">
        <f>A464+7</f>
        <v>40810</v>
      </c>
      <c r="B465" s="64">
        <v>126320</v>
      </c>
      <c r="C465" s="64">
        <v>124588</v>
      </c>
      <c r="D465" s="53">
        <v>6800</v>
      </c>
      <c r="E465" s="53">
        <f t="shared" si="2986"/>
        <v>257708</v>
      </c>
      <c r="F465" s="53">
        <f t="shared" ref="F465" si="4539">AVERAGE(E462,E463,E464,E465)</f>
        <v>237899.75</v>
      </c>
      <c r="G465" s="53">
        <f t="shared" ref="G465" si="4540">AVERAGE(F413,F361,F309)</f>
        <v>333005.08333333331</v>
      </c>
      <c r="H465" s="59">
        <f t="shared" ref="H465" si="4541">((E465/E413)-1)*100</f>
        <v>-46.006444665133017</v>
      </c>
      <c r="I465" s="59">
        <f t="shared" ref="I465" si="4542">((F465/F413)-1)*100</f>
        <v>-42.412109688222607</v>
      </c>
      <c r="J465" s="59">
        <f t="shared" ref="J465" si="4543">((F465/G465)-1)*100</f>
        <v>-28.559724188394519</v>
      </c>
      <c r="L465" s="53">
        <v>1500</v>
      </c>
      <c r="M465" s="64">
        <v>3268</v>
      </c>
      <c r="N465" s="64">
        <v>5600</v>
      </c>
      <c r="O465" s="64">
        <f t="shared" si="2600"/>
        <v>10368</v>
      </c>
      <c r="P465" s="53">
        <f t="shared" ref="P465" si="4544">AVERAGE(O462,O463,O464,O465)</f>
        <v>26186.25</v>
      </c>
      <c r="Q465" s="53">
        <f t="shared" ref="Q465" si="4545">AVERAGE(P413,P361,P309)</f>
        <v>44786.583333333336</v>
      </c>
      <c r="R465" s="59">
        <f t="shared" ref="R465" si="4546">((O465/O413)-1)*100</f>
        <v>-63.762189367725711</v>
      </c>
      <c r="S465" s="59">
        <f t="shared" ref="S465" si="4547">((P465/P413)-1)*100</f>
        <v>-9.3940573504606171</v>
      </c>
      <c r="T465" s="59">
        <f t="shared" ref="T465" si="4548">((P465/Q465)-1)*100</f>
        <v>-41.531038871388191</v>
      </c>
      <c r="V465" s="64">
        <v>11000</v>
      </c>
      <c r="W465" s="64">
        <v>3150</v>
      </c>
      <c r="X465" s="53">
        <v>8400</v>
      </c>
      <c r="Y465" s="64">
        <f t="shared" si="1916"/>
        <v>22550</v>
      </c>
      <c r="Z465" s="53">
        <f t="shared" ref="Z465" si="4549">AVERAGE(Y462,Y463,Y464,Y465)</f>
        <v>52165.75</v>
      </c>
      <c r="AA465" s="53">
        <f t="shared" ref="AA465" si="4550">AVERAGE(Z413,Z361,Z309)</f>
        <v>47828</v>
      </c>
      <c r="AB465" s="59">
        <f t="shared" ref="AB465" si="4551">((Y465/Y413)-1)*100</f>
        <v>-73.743654231288716</v>
      </c>
      <c r="AC465" s="59">
        <f t="shared" ref="AC465" si="4552">((Z465/Z413)-1)*100</f>
        <v>-13.256232566067073</v>
      </c>
      <c r="AD465" s="59">
        <f t="shared" ref="AD465" si="4553">((Z465/AA465)-1)*100</f>
        <v>9.0694781299657024</v>
      </c>
      <c r="AF465" s="53">
        <v>0</v>
      </c>
      <c r="AG465" s="53">
        <v>0</v>
      </c>
      <c r="AH465" s="64">
        <v>2900</v>
      </c>
      <c r="AI465" s="53">
        <f t="shared" si="4489"/>
        <v>2900</v>
      </c>
      <c r="AJ465" s="53">
        <f t="shared" ref="AJ465" si="4554">AVERAGE(AI462,AI463,AI464,AI465)</f>
        <v>7545.25</v>
      </c>
      <c r="AK465" s="53">
        <f t="shared" ref="AK465" si="4555">AVERAGE(AJ413,AJ361,AJ309)</f>
        <v>5275.416666666667</v>
      </c>
      <c r="AL465" s="59">
        <f t="shared" ref="AL465" si="4556">((AI465/AI413)-1)*100</f>
        <v>81.25</v>
      </c>
      <c r="AM465" s="59">
        <f t="shared" ref="AM465" si="4557">((AJ465/AJ413)-1)*100</f>
        <v>-17.874829931972791</v>
      </c>
      <c r="AN465" s="59">
        <f t="shared" ref="AN465" si="4558">((AJ465/AK465)-1)*100</f>
        <v>43.026617170839579</v>
      </c>
      <c r="AP465" s="60">
        <f t="shared" si="1927"/>
        <v>138820</v>
      </c>
      <c r="AQ465" s="53">
        <f t="shared" si="1928"/>
        <v>131006</v>
      </c>
      <c r="AR465" s="60">
        <f t="shared" si="4495"/>
        <v>23700</v>
      </c>
      <c r="AS465" s="53">
        <f t="shared" si="4496"/>
        <v>293526</v>
      </c>
      <c r="AT465" s="53">
        <f t="shared" ref="AT465" si="4559">AVERAGE(AS462,AS463,AS464,AS465)</f>
        <v>323797</v>
      </c>
      <c r="AU465" s="53">
        <f t="shared" ref="AU465" si="4560">AVERAGE(AT413,AT361,AT309)</f>
        <v>430895.08333333331</v>
      </c>
      <c r="AV465" s="59">
        <f t="shared" ref="AV465" si="4561">((AS465/AS413)-1)*100</f>
        <v>-50.533966757051438</v>
      </c>
      <c r="AW465" s="59">
        <f t="shared" ref="AW465" si="4562">((AT465/AT413)-1)*100</f>
        <v>-36.675996841593182</v>
      </c>
      <c r="AX465" s="59">
        <f t="shared" ref="AX465" si="4563">((AT465/AU465)-1)*100</f>
        <v>-24.854793539262555</v>
      </c>
      <c r="AZ465" s="53">
        <f t="shared" si="401"/>
        <v>257.70800000000003</v>
      </c>
      <c r="BA465" s="53">
        <f t="shared" si="402"/>
        <v>10.368</v>
      </c>
      <c r="BB465" s="53">
        <f t="shared" si="403"/>
        <v>22.55</v>
      </c>
      <c r="BC465" s="53">
        <f t="shared" si="4502"/>
        <v>2.9</v>
      </c>
      <c r="BD465" s="53">
        <f t="shared" si="4503"/>
        <v>293.52600000000001</v>
      </c>
      <c r="BE465" s="60">
        <f t="shared" ref="BE465" si="4564">+AZ465+BE464</f>
        <v>13912.324999999999</v>
      </c>
      <c r="BF465" s="60">
        <f t="shared" ref="BF465" si="4565">+BA465+BF464</f>
        <v>1193.8559999999998</v>
      </c>
      <c r="BG465" s="60">
        <f t="shared" ref="BG465" si="4566">+BB465+BG464</f>
        <v>4923.9540000000006</v>
      </c>
      <c r="BH465" s="60">
        <f t="shared" ref="BH465" si="4567">+BC465+BH464</f>
        <v>289.83100000000002</v>
      </c>
      <c r="BI465" s="60">
        <f t="shared" ref="BI465" si="4568">+BD465+BI464</f>
        <v>20319.965999999997</v>
      </c>
      <c r="BJ465" s="1">
        <v>38</v>
      </c>
    </row>
    <row r="466" spans="1:62" x14ac:dyDescent="0.3">
      <c r="A466" s="48">
        <f t="shared" si="238"/>
        <v>40817</v>
      </c>
      <c r="B466" s="64">
        <v>216780</v>
      </c>
      <c r="C466" s="64">
        <v>65773</v>
      </c>
      <c r="D466" s="53">
        <v>7000</v>
      </c>
      <c r="E466" s="53">
        <f t="shared" si="2986"/>
        <v>289553</v>
      </c>
      <c r="F466" s="53">
        <f t="shared" ref="F466" si="4569">AVERAGE(E463,E464,E465,E466)</f>
        <v>251118</v>
      </c>
      <c r="G466" s="53">
        <f t="shared" ref="G466" si="4570">AVERAGE(F414,F362,F310)</f>
        <v>318172.75</v>
      </c>
      <c r="H466" s="59">
        <f t="shared" ref="H466" si="4571">((E466/E414)-1)*100</f>
        <v>-15.326467113497323</v>
      </c>
      <c r="I466" s="59">
        <f t="shared" ref="I466" si="4572">((F466/F414)-1)*100</f>
        <v>-36.250916279792975</v>
      </c>
      <c r="J466" s="59">
        <f t="shared" ref="J466" si="4573">((F466/G466)-1)*100</f>
        <v>-21.074950636093128</v>
      </c>
      <c r="L466" s="53">
        <v>4800</v>
      </c>
      <c r="M466" s="64">
        <v>1450</v>
      </c>
      <c r="N466" s="64">
        <v>11200</v>
      </c>
      <c r="O466" s="64">
        <f t="shared" si="2600"/>
        <v>17450</v>
      </c>
      <c r="P466" s="53">
        <f t="shared" ref="P466" si="4574">AVERAGE(O463,O464,O465,O466)</f>
        <v>20411.25</v>
      </c>
      <c r="Q466" s="53">
        <f t="shared" ref="Q466" si="4575">AVERAGE(P414,P362,P310)</f>
        <v>42262.416666666664</v>
      </c>
      <c r="R466" s="59">
        <f t="shared" ref="R466" si="4576">((O466/O414)-1)*100</f>
        <v>61.126500461680507</v>
      </c>
      <c r="S466" s="59">
        <f t="shared" ref="S466" si="4577">((P466/P414)-1)*100</f>
        <v>-24.334117995959293</v>
      </c>
      <c r="T466" s="59">
        <f t="shared" ref="T466" si="4578">((P466/Q466)-1)*100</f>
        <v>-51.703542745820251</v>
      </c>
      <c r="V466" s="64">
        <v>6240</v>
      </c>
      <c r="W466" s="64">
        <v>5286</v>
      </c>
      <c r="X466" s="53">
        <v>9800</v>
      </c>
      <c r="Y466" s="64">
        <f t="shared" si="1916"/>
        <v>21326</v>
      </c>
      <c r="Z466" s="53">
        <f t="shared" ref="Z466" si="4579">AVERAGE(Y463,Y464,Y465,Y466)</f>
        <v>43662.25</v>
      </c>
      <c r="AA466" s="53">
        <f t="shared" ref="AA466" si="4580">AVERAGE(Z414,Z362,Z310)</f>
        <v>52475.416666666664</v>
      </c>
      <c r="AB466" s="59">
        <f t="shared" ref="AB466" si="4581">((Y466/Y414)-1)*100</f>
        <v>-85.408142319534733</v>
      </c>
      <c r="AC466" s="59">
        <f t="shared" ref="AC466" si="4582">((Z466/Z414)-1)*100</f>
        <v>-47.076220981148545</v>
      </c>
      <c r="AD466" s="59">
        <f t="shared" ref="AD466" si="4583">((Z466/AA466)-1)*100</f>
        <v>-16.794848381384931</v>
      </c>
      <c r="AF466" s="53">
        <v>3000</v>
      </c>
      <c r="AG466" s="53">
        <v>0</v>
      </c>
      <c r="AH466" s="64">
        <v>1400</v>
      </c>
      <c r="AI466" s="53">
        <f t="shared" si="4489"/>
        <v>4400</v>
      </c>
      <c r="AJ466" s="53">
        <f t="shared" ref="AJ466" si="4584">AVERAGE(AI463,AI464,AI465,AI466)</f>
        <v>4495.25</v>
      </c>
      <c r="AK466" s="53">
        <f t="shared" ref="AK466" si="4585">AVERAGE(AJ414,AJ362,AJ310)</f>
        <v>8508.75</v>
      </c>
      <c r="AL466" s="59">
        <f t="shared" ref="AL466" si="4586">((AI466/AI414)-1)*100</f>
        <v>-66.153846153846146</v>
      </c>
      <c r="AM466" s="59">
        <f t="shared" ref="AM466" si="4587">((AJ466/AJ414)-1)*100</f>
        <v>-61.537967914438511</v>
      </c>
      <c r="AN466" s="59">
        <f t="shared" ref="AN466" si="4588">((AJ466/AK466)-1)*100</f>
        <v>-47.169090641986188</v>
      </c>
      <c r="AP466" s="60">
        <f t="shared" si="1927"/>
        <v>230820</v>
      </c>
      <c r="AQ466" s="53">
        <f t="shared" si="1928"/>
        <v>72509</v>
      </c>
      <c r="AR466" s="60">
        <f t="shared" si="4495"/>
        <v>29400</v>
      </c>
      <c r="AS466" s="53">
        <f t="shared" si="4496"/>
        <v>332729</v>
      </c>
      <c r="AT466" s="53">
        <f t="shared" ref="AT466" si="4589">AVERAGE(AS463,AS464,AS465,AS466)</f>
        <v>319686.75</v>
      </c>
      <c r="AU466" s="53">
        <f t="shared" ref="AU466" si="4590">AVERAGE(AT414,AT362,AT310)</f>
        <v>421419.33333333331</v>
      </c>
      <c r="AV466" s="59">
        <f t="shared" ref="AV466" si="4591">((AS466/AS414)-1)*100</f>
        <v>-35.006758551716601</v>
      </c>
      <c r="AW466" s="59">
        <f t="shared" ref="AW466" si="4592">((AT466/AT414)-1)*100</f>
        <v>-37.934483900058147</v>
      </c>
      <c r="AX466" s="59">
        <f t="shared" ref="AX466" si="4593">((AT466/AU466)-1)*100</f>
        <v>-24.14046420904593</v>
      </c>
      <c r="AZ466" s="53">
        <f t="shared" si="401"/>
        <v>289.553</v>
      </c>
      <c r="BA466" s="53">
        <f t="shared" si="402"/>
        <v>17.45</v>
      </c>
      <c r="BB466" s="53">
        <f t="shared" si="403"/>
        <v>21.326000000000001</v>
      </c>
      <c r="BC466" s="53">
        <f t="shared" si="4502"/>
        <v>4.4000000000000004</v>
      </c>
      <c r="BD466" s="53">
        <f t="shared" si="4503"/>
        <v>332.72899999999998</v>
      </c>
      <c r="BE466" s="60">
        <f t="shared" ref="BE466" si="4594">+AZ466+BE465</f>
        <v>14201.877999999999</v>
      </c>
      <c r="BF466" s="60">
        <f t="shared" ref="BF466" si="4595">+BA466+BF465</f>
        <v>1211.3059999999998</v>
      </c>
      <c r="BG466" s="60">
        <f t="shared" ref="BG466" si="4596">+BB466+BG465</f>
        <v>4945.2800000000007</v>
      </c>
      <c r="BH466" s="60">
        <f t="shared" ref="BH466" si="4597">+BC466+BH465</f>
        <v>294.23099999999999</v>
      </c>
      <c r="BI466" s="60">
        <f t="shared" ref="BI466" si="4598">+BD466+BI465</f>
        <v>20652.694999999996</v>
      </c>
      <c r="BJ466" s="1">
        <v>39</v>
      </c>
    </row>
    <row r="467" spans="1:62" x14ac:dyDescent="0.3">
      <c r="A467" s="48">
        <f>A466+7</f>
        <v>40824</v>
      </c>
      <c r="B467" s="64">
        <v>189120</v>
      </c>
      <c r="C467" s="64">
        <v>114050</v>
      </c>
      <c r="D467" s="53">
        <v>1400</v>
      </c>
      <c r="E467" s="53">
        <f t="shared" si="2986"/>
        <v>304570</v>
      </c>
      <c r="F467" s="53">
        <f t="shared" ref="F467" si="4599">AVERAGE(E464,E465,E466,E467)</f>
        <v>263992.25</v>
      </c>
      <c r="G467" s="53">
        <f t="shared" ref="G467" si="4600">AVERAGE(F415,F363,F311)</f>
        <v>303245.66666666669</v>
      </c>
      <c r="H467" s="59">
        <f t="shared" ref="H467" si="4601">((E467/E415)-1)*100</f>
        <v>0.9205015374827763</v>
      </c>
      <c r="I467" s="59">
        <f t="shared" ref="I467" si="4602">((F467/F415)-1)*100</f>
        <v>-29.044641369263601</v>
      </c>
      <c r="J467" s="59">
        <f t="shared" ref="J467" si="4603">((F467/G467)-1)*100</f>
        <v>-12.944427895094957</v>
      </c>
      <c r="L467" s="53">
        <v>1500</v>
      </c>
      <c r="M467" s="64">
        <v>6654</v>
      </c>
      <c r="N467" s="64">
        <v>5600</v>
      </c>
      <c r="O467" s="64">
        <f t="shared" si="2600"/>
        <v>13754</v>
      </c>
      <c r="P467" s="53">
        <f t="shared" ref="P467" si="4604">AVERAGE(O464,O465,O466,O467)</f>
        <v>18537.25</v>
      </c>
      <c r="Q467" s="53">
        <f t="shared" ref="Q467" si="4605">AVERAGE(P415,P363,P311)</f>
        <v>38559.666666666664</v>
      </c>
      <c r="R467" s="59">
        <f t="shared" ref="R467" si="4606">((O467/O415)-1)*100</f>
        <v>-49.247232472324718</v>
      </c>
      <c r="S467" s="59">
        <f t="shared" ref="S467" si="4607">((P467/P415)-1)*100</f>
        <v>-23.951303563003833</v>
      </c>
      <c r="T467" s="59">
        <f t="shared" ref="T467" si="4608">((P467/Q467)-1)*100</f>
        <v>-51.925803300512619</v>
      </c>
      <c r="V467" s="64">
        <v>15861</v>
      </c>
      <c r="W467" s="64">
        <v>37518</v>
      </c>
      <c r="X467" s="53">
        <v>43400</v>
      </c>
      <c r="Y467" s="64">
        <f t="shared" si="1916"/>
        <v>96779</v>
      </c>
      <c r="Z467" s="53">
        <f t="shared" ref="Z467" si="4609">AVERAGE(Y464,Y465,Y466,Y467)</f>
        <v>54469.5</v>
      </c>
      <c r="AA467" s="53">
        <f t="shared" ref="AA467" si="4610">AVERAGE(Z415,Z363,Z311)</f>
        <v>82035.916666666672</v>
      </c>
      <c r="AB467" s="59">
        <f t="shared" ref="AB467" si="4611">((Y467/Y415)-1)*100</f>
        <v>-63.299582859309822</v>
      </c>
      <c r="AC467" s="59">
        <f t="shared" ref="AC467" si="4612">((Z467/Z415)-1)*100</f>
        <v>-59.958024273878749</v>
      </c>
      <c r="AD467" s="59">
        <f t="shared" ref="AD467" si="4613">((Z467/AA467)-1)*100</f>
        <v>-33.602862973636547</v>
      </c>
      <c r="AF467" s="53">
        <v>0</v>
      </c>
      <c r="AG467" s="53">
        <v>0</v>
      </c>
      <c r="AH467" s="53">
        <v>0</v>
      </c>
      <c r="AI467" s="53">
        <f t="shared" si="4489"/>
        <v>0</v>
      </c>
      <c r="AJ467" s="53">
        <f t="shared" ref="AJ467" si="4614">AVERAGE(AI464,AI465,AI466,AI467)</f>
        <v>2175</v>
      </c>
      <c r="AK467" s="53">
        <f t="shared" ref="AK467" si="4615">AVERAGE(AJ415,AJ363,AJ311)</f>
        <v>8876.3333333333339</v>
      </c>
      <c r="AL467" s="59">
        <f t="shared" ref="AL467" si="4616">((AI467/AI415)-1)*100</f>
        <v>-100</v>
      </c>
      <c r="AM467" s="59">
        <f t="shared" ref="AM467" si="4617">((AJ467/AJ415)-1)*100</f>
        <v>-78.058007566204296</v>
      </c>
      <c r="AN467" s="59">
        <f t="shared" ref="AN467" si="4618">((AJ467/AK467)-1)*100</f>
        <v>-75.496639002591166</v>
      </c>
      <c r="AP467" s="60">
        <f t="shared" si="1927"/>
        <v>206481</v>
      </c>
      <c r="AQ467" s="53">
        <f t="shared" si="1928"/>
        <v>158222</v>
      </c>
      <c r="AR467" s="60">
        <f t="shared" si="4495"/>
        <v>50400</v>
      </c>
      <c r="AS467" s="53">
        <f t="shared" si="4496"/>
        <v>415103</v>
      </c>
      <c r="AT467" s="53">
        <f t="shared" ref="AT467" si="4619">AVERAGE(AS464,AS465,AS466,AS467)</f>
        <v>339174</v>
      </c>
      <c r="AU467" s="53">
        <f t="shared" ref="AU467" si="4620">AVERAGE(AT415,AT363,AT311)</f>
        <v>432717.58333333331</v>
      </c>
      <c r="AV467" s="59">
        <f t="shared" ref="AV467" si="4621">((AS467/AS415)-1)*100</f>
        <v>-31.330274015206161</v>
      </c>
      <c r="AW467" s="59">
        <f t="shared" ref="AW467" si="4622">((AT467/AT415)-1)*100</f>
        <v>-37.464807429573376</v>
      </c>
      <c r="AX467" s="59">
        <f t="shared" ref="AX467" si="4623">((AT467/AU467)-1)*100</f>
        <v>-21.617698687615917</v>
      </c>
      <c r="AZ467" s="53">
        <f t="shared" si="401"/>
        <v>304.57</v>
      </c>
      <c r="BA467" s="53">
        <f t="shared" si="402"/>
        <v>13.754</v>
      </c>
      <c r="BB467" s="53">
        <f t="shared" si="403"/>
        <v>96.778999999999996</v>
      </c>
      <c r="BC467" s="53">
        <f t="shared" si="4502"/>
        <v>0</v>
      </c>
      <c r="BD467" s="53">
        <f t="shared" si="4503"/>
        <v>415.10300000000001</v>
      </c>
      <c r="BE467" s="60">
        <f t="shared" ref="BE467" si="4624">+AZ467+BE466</f>
        <v>14506.447999999999</v>
      </c>
      <c r="BF467" s="60">
        <f t="shared" ref="BF467" si="4625">+BA467+BF466</f>
        <v>1225.0599999999997</v>
      </c>
      <c r="BG467" s="60">
        <f t="shared" ref="BG467" si="4626">+BB467+BG466</f>
        <v>5042.0590000000011</v>
      </c>
      <c r="BH467" s="60">
        <f t="shared" ref="BH467" si="4627">+BC467+BH466</f>
        <v>294.23099999999999</v>
      </c>
      <c r="BI467" s="60">
        <f t="shared" ref="BI467" si="4628">+BD467+BI466</f>
        <v>21067.797999999995</v>
      </c>
      <c r="BJ467" s="1">
        <v>40</v>
      </c>
    </row>
    <row r="468" spans="1:62" x14ac:dyDescent="0.3">
      <c r="A468" s="48">
        <f t="shared" si="238"/>
        <v>40831</v>
      </c>
      <c r="B468" s="64">
        <v>220703</v>
      </c>
      <c r="C468" s="64">
        <v>92940</v>
      </c>
      <c r="D468" s="53">
        <v>0</v>
      </c>
      <c r="E468" s="53">
        <f t="shared" si="2986"/>
        <v>313643</v>
      </c>
      <c r="F468" s="53">
        <f t="shared" ref="F468" si="4629">AVERAGE(E465,E466,E467,E468)</f>
        <v>291368.5</v>
      </c>
      <c r="G468" s="53">
        <f t="shared" ref="G468" si="4630">AVERAGE(F416,F364,F312)</f>
        <v>297076.08333333331</v>
      </c>
      <c r="H468" s="59">
        <f t="shared" ref="H468" si="4631">((E468/E416)-1)*100</f>
        <v>9.0932173913043535</v>
      </c>
      <c r="I468" s="59">
        <f t="shared" ref="I468" si="4632">((F468/F416)-1)*100</f>
        <v>-17.257179368854491</v>
      </c>
      <c r="J468" s="59">
        <f t="shared" ref="J468" si="4633">((F468/G468)-1)*100</f>
        <v>-1.9212530572274789</v>
      </c>
      <c r="L468" s="53">
        <v>6300</v>
      </c>
      <c r="M468" s="64">
        <v>12468</v>
      </c>
      <c r="N468" s="64">
        <v>14000</v>
      </c>
      <c r="O468" s="64">
        <f t="shared" si="2600"/>
        <v>32768</v>
      </c>
      <c r="P468" s="53">
        <f t="shared" ref="P468" si="4634">AVERAGE(O465,O466,O467,O468)</f>
        <v>18585</v>
      </c>
      <c r="Q468" s="53">
        <f t="shared" ref="Q468" si="4635">AVERAGE(P416,P364,P312)</f>
        <v>31298.333333333332</v>
      </c>
      <c r="R468" s="59">
        <f t="shared" ref="R468" si="4636">((O468/O416)-1)*100</f>
        <v>138.6077331974077</v>
      </c>
      <c r="S468" s="59">
        <f t="shared" ref="S468" si="4637">((P468/P416)-1)*100</f>
        <v>-7.3921817774123655</v>
      </c>
      <c r="T468" s="59">
        <f t="shared" ref="T468" si="4638">((P468/Q468)-1)*100</f>
        <v>-40.619841312103944</v>
      </c>
      <c r="V468" s="64">
        <v>151180</v>
      </c>
      <c r="W468" s="64">
        <v>46320</v>
      </c>
      <c r="X468" s="53">
        <v>40600</v>
      </c>
      <c r="Y468" s="64">
        <f t="shared" si="1916"/>
        <v>238100</v>
      </c>
      <c r="Z468" s="53">
        <f t="shared" ref="Z468" si="4639">AVERAGE(Y465,Y466,Y467,Y468)</f>
        <v>94688.75</v>
      </c>
      <c r="AA468" s="53">
        <f t="shared" ref="AA468" si="4640">AVERAGE(Z416,Z364,Z312)</f>
        <v>162395</v>
      </c>
      <c r="AB468" s="59">
        <f t="shared" ref="AB468" si="4641">((Y468/Y416)-1)*100</f>
        <v>-66.423977313269518</v>
      </c>
      <c r="AC468" s="59">
        <f t="shared" ref="AC468" si="4642">((Z468/Z416)-1)*100</f>
        <v>-68.564684518093628</v>
      </c>
      <c r="AD468" s="59">
        <f t="shared" ref="AD468" si="4643">((Z468/AA468)-1)*100</f>
        <v>-41.692324271067463</v>
      </c>
      <c r="AF468" s="53">
        <v>0</v>
      </c>
      <c r="AG468" s="53">
        <v>6500</v>
      </c>
      <c r="AH468" s="64">
        <v>1400</v>
      </c>
      <c r="AI468" s="53">
        <f t="shared" si="4489"/>
        <v>7900</v>
      </c>
      <c r="AJ468" s="53">
        <f t="shared" ref="AJ468" si="4644">AVERAGE(AI465,AI466,AI467,AI468)</f>
        <v>3800</v>
      </c>
      <c r="AK468" s="53">
        <f t="shared" ref="AK468" si="4645">AVERAGE(AJ416,AJ364,AJ312)</f>
        <v>9383.4166666666661</v>
      </c>
      <c r="AL468" s="59">
        <f t="shared" ref="AL468" si="4646">((AI468/AI416)-1)*100</f>
        <v>426.66666666666669</v>
      </c>
      <c r="AM468" s="59">
        <f t="shared" ref="AM468" si="4647">((AJ468/AJ416)-1)*100</f>
        <v>-45.714285714285715</v>
      </c>
      <c r="AN468" s="59">
        <f t="shared" ref="AN468" si="4648">((AJ468/AK468)-1)*100</f>
        <v>-59.503023951829917</v>
      </c>
      <c r="AP468" s="60">
        <f t="shared" si="1927"/>
        <v>378183</v>
      </c>
      <c r="AQ468" s="53">
        <f t="shared" si="1928"/>
        <v>158228</v>
      </c>
      <c r="AR468" s="60">
        <f t="shared" si="4495"/>
        <v>56000</v>
      </c>
      <c r="AS468" s="53">
        <f t="shared" si="4496"/>
        <v>592411</v>
      </c>
      <c r="AT468" s="53">
        <f t="shared" ref="AT468" si="4649">AVERAGE(AS465,AS466,AS467,AS468)</f>
        <v>408442.25</v>
      </c>
      <c r="AU468" s="53">
        <f t="shared" ref="AU468" si="4650">AVERAGE(AT416,AT364,AT312)</f>
        <v>500152.83333333331</v>
      </c>
      <c r="AV468" s="59">
        <f t="shared" ref="AV468" si="4651">((AS468/AS416)-1)*100</f>
        <v>-41.45384288495557</v>
      </c>
      <c r="AW468" s="59">
        <f t="shared" ref="AW468" si="4652">((AT468/AT416)-1)*100</f>
        <v>-39.97237015903692</v>
      </c>
      <c r="AX468" s="59">
        <f t="shared" ref="AX468" si="4653">((AT468/AU468)-1)*100</f>
        <v>-18.336511806224564</v>
      </c>
      <c r="AZ468" s="53">
        <f t="shared" si="401"/>
        <v>313.64299999999997</v>
      </c>
      <c r="BA468" s="53">
        <f t="shared" si="402"/>
        <v>32.768000000000001</v>
      </c>
      <c r="BB468" s="53">
        <f t="shared" si="403"/>
        <v>238.1</v>
      </c>
      <c r="BC468" s="53">
        <f t="shared" si="4502"/>
        <v>7.9</v>
      </c>
      <c r="BD468" s="53">
        <f t="shared" si="4503"/>
        <v>592.41099999999994</v>
      </c>
      <c r="BE468" s="60">
        <f t="shared" ref="BE468" si="4654">+AZ468+BE467</f>
        <v>14820.090999999999</v>
      </c>
      <c r="BF468" s="60">
        <f t="shared" ref="BF468" si="4655">+BA468+BF467</f>
        <v>1257.8279999999997</v>
      </c>
      <c r="BG468" s="60">
        <f t="shared" ref="BG468" si="4656">+BB468+BG467</f>
        <v>5280.1590000000015</v>
      </c>
      <c r="BH468" s="60">
        <f t="shared" ref="BH468" si="4657">+BC468+BH467</f>
        <v>302.13099999999997</v>
      </c>
      <c r="BI468" s="60">
        <f t="shared" ref="BI468" si="4658">+BD468+BI467</f>
        <v>21660.208999999995</v>
      </c>
      <c r="BJ468" s="1">
        <v>41</v>
      </c>
    </row>
    <row r="469" spans="1:62" x14ac:dyDescent="0.3">
      <c r="A469" s="48">
        <f>A468+7</f>
        <v>40838</v>
      </c>
      <c r="B469" s="64">
        <v>170172</v>
      </c>
      <c r="C469" s="64">
        <v>116790</v>
      </c>
      <c r="D469" s="53">
        <v>0</v>
      </c>
      <c r="E469" s="53">
        <f t="shared" si="2986"/>
        <v>286962</v>
      </c>
      <c r="F469" s="53">
        <f t="shared" ref="F469" si="4659">AVERAGE(E466,E467,E468,E469)</f>
        <v>298682</v>
      </c>
      <c r="G469" s="53">
        <f t="shared" ref="G469" si="4660">AVERAGE(F417,F365,F313)</f>
        <v>286561.5</v>
      </c>
      <c r="H469" s="59">
        <f t="shared" ref="H469" si="4661">((E469/E417)-1)*100</f>
        <v>12.847879004762252</v>
      </c>
      <c r="I469" s="59">
        <f t="shared" ref="I469" si="4662">((F469/F417)-1)*100</f>
        <v>0.7744104620061476</v>
      </c>
      <c r="J469" s="59">
        <f t="shared" ref="J469" si="4663">((F469/G469)-1)*100</f>
        <v>4.2296330805080329</v>
      </c>
      <c r="L469" s="53">
        <v>0</v>
      </c>
      <c r="M469" s="53">
        <v>0</v>
      </c>
      <c r="N469" s="53">
        <v>12600</v>
      </c>
      <c r="O469" s="53">
        <f t="shared" si="2600"/>
        <v>12600</v>
      </c>
      <c r="P469" s="53">
        <f t="shared" ref="P469" si="4664">AVERAGE(O466,O467,O468,O469)</f>
        <v>19143</v>
      </c>
      <c r="Q469" s="53">
        <f t="shared" ref="Q469" si="4665">AVERAGE(P417,P365,P313)</f>
        <v>26508.166666666668</v>
      </c>
      <c r="R469" s="59">
        <f t="shared" ref="R469" si="4666">((O469/O417)-1)*100</f>
        <v>-14.413802472490156</v>
      </c>
      <c r="S469" s="59">
        <f t="shared" ref="S469" si="4667">((P469/P417)-1)*100</f>
        <v>15.345334036303381</v>
      </c>
      <c r="T469" s="59">
        <f t="shared" ref="T469" si="4668">((P469/Q469)-1)*100</f>
        <v>-27.784519236210226</v>
      </c>
      <c r="V469" s="64">
        <v>246709</v>
      </c>
      <c r="W469" s="64">
        <v>84330</v>
      </c>
      <c r="X469" s="53">
        <v>30800</v>
      </c>
      <c r="Y469" s="64">
        <f t="shared" si="1916"/>
        <v>361839</v>
      </c>
      <c r="Z469" s="53">
        <f t="shared" ref="Z469" si="4669">AVERAGE(Y466,Y467,Y468,Y469)</f>
        <v>179511</v>
      </c>
      <c r="AA469" s="53">
        <f t="shared" ref="AA469" si="4670">AVERAGE(Z417,Z365,Z313)</f>
        <v>235449.33333333334</v>
      </c>
      <c r="AB469" s="59">
        <f t="shared" ref="AB469" si="4671">((Y469/Y417)-1)*100</f>
        <v>-25.047694605382809</v>
      </c>
      <c r="AC469" s="59">
        <f t="shared" ref="AC469" si="4672">((Z469/Z417)-1)*100</f>
        <v>-55.171169461325334</v>
      </c>
      <c r="AD469" s="59">
        <f t="shared" ref="AD469" si="4673">((Z469/AA469)-1)*100</f>
        <v>-23.758119227349695</v>
      </c>
      <c r="AF469" s="53">
        <v>14066</v>
      </c>
      <c r="AG469" s="53">
        <v>4750</v>
      </c>
      <c r="AH469" s="64">
        <v>1400</v>
      </c>
      <c r="AI469" s="53">
        <f t="shared" si="4489"/>
        <v>20216</v>
      </c>
      <c r="AJ469" s="53">
        <f t="shared" ref="AJ469" si="4674">AVERAGE(AI466,AI467,AI468,AI469)</f>
        <v>8129</v>
      </c>
      <c r="AK469" s="53">
        <f t="shared" ref="AK469" si="4675">AVERAGE(AJ417,AJ365,AJ313)</f>
        <v>10526.333333333334</v>
      </c>
      <c r="AL469" s="59">
        <f t="shared" ref="AL469" si="4676">((AI469/AI417)-1)*100</f>
        <v>11.690607734806635</v>
      </c>
      <c r="AM469" s="59">
        <f t="shared" ref="AM469" si="4677">((AJ469/AJ417)-1)*100</f>
        <v>-26.930337078651689</v>
      </c>
      <c r="AN469" s="59">
        <f t="shared" ref="AN469" si="4678">((AJ469/AK469)-1)*100</f>
        <v>-22.774628708952161</v>
      </c>
      <c r="AP469" s="60">
        <f t="shared" si="1927"/>
        <v>430947</v>
      </c>
      <c r="AQ469" s="53">
        <f t="shared" si="1928"/>
        <v>205870</v>
      </c>
      <c r="AR469" s="60">
        <f t="shared" si="4495"/>
        <v>44800</v>
      </c>
      <c r="AS469" s="53">
        <f t="shared" si="4496"/>
        <v>681617</v>
      </c>
      <c r="AT469" s="53">
        <f t="shared" ref="AT469" si="4679">AVERAGE(AS466,AS467,AS468,AS469)</f>
        <v>505465</v>
      </c>
      <c r="AU469" s="53">
        <f t="shared" ref="AU469" si="4680">AVERAGE(AT417,AT365,AT313)</f>
        <v>559045.33333333337</v>
      </c>
      <c r="AV469" s="59">
        <f t="shared" ref="AV469" si="4681">((AS469/AS417)-1)*100</f>
        <v>-11.463593948084871</v>
      </c>
      <c r="AW469" s="59">
        <f t="shared" ref="AW469" si="4682">((AT469/AT417)-1)*100</f>
        <v>-30.236859157719088</v>
      </c>
      <c r="AX469" s="59">
        <f t="shared" ref="AX469" si="4683">((AT469/AU469)-1)*100</f>
        <v>-9.5842555403974465</v>
      </c>
      <c r="AZ469" s="53">
        <f t="shared" si="401"/>
        <v>286.96199999999999</v>
      </c>
      <c r="BA469" s="53">
        <f t="shared" si="402"/>
        <v>12.6</v>
      </c>
      <c r="BB469" s="53">
        <f t="shared" si="403"/>
        <v>361.839</v>
      </c>
      <c r="BC469" s="53">
        <f t="shared" si="4502"/>
        <v>20.216000000000001</v>
      </c>
      <c r="BD469" s="53">
        <f t="shared" si="4503"/>
        <v>681.61699999999996</v>
      </c>
      <c r="BE469" s="60">
        <f t="shared" ref="BE469" si="4684">+AZ469+BE468</f>
        <v>15107.052999999998</v>
      </c>
      <c r="BF469" s="60">
        <f t="shared" ref="BF469" si="4685">+BA469+BF468</f>
        <v>1270.4279999999997</v>
      </c>
      <c r="BG469" s="60">
        <f t="shared" ref="BG469" si="4686">+BB469+BG468</f>
        <v>5641.9980000000014</v>
      </c>
      <c r="BH469" s="60">
        <f t="shared" ref="BH469" si="4687">+BC469+BH468</f>
        <v>322.34699999999998</v>
      </c>
      <c r="BI469" s="60">
        <f t="shared" ref="BI469" si="4688">+BD469+BI468</f>
        <v>22341.825999999994</v>
      </c>
      <c r="BJ469" s="1">
        <v>42</v>
      </c>
    </row>
    <row r="470" spans="1:62" x14ac:dyDescent="0.3">
      <c r="A470" s="48">
        <f t="shared" si="238"/>
        <v>40845</v>
      </c>
      <c r="B470" s="64">
        <v>166986</v>
      </c>
      <c r="C470" s="64">
        <v>154700</v>
      </c>
      <c r="D470" s="53">
        <v>0</v>
      </c>
      <c r="E470" s="53">
        <f t="shared" si="2986"/>
        <v>321686</v>
      </c>
      <c r="F470" s="53">
        <f t="shared" ref="F470" si="4689">AVERAGE(E467,E468,E469,E470)</f>
        <v>306715.25</v>
      </c>
      <c r="G470" s="53">
        <f t="shared" ref="G470" si="4690">AVERAGE(F418,F366,F314)</f>
        <v>268571.16666666669</v>
      </c>
      <c r="H470" s="59">
        <f t="shared" ref="H470" si="4691">((E470/E418)-1)*100</f>
        <v>-5.4331977140706922</v>
      </c>
      <c r="I470" s="59">
        <f t="shared" ref="I470" si="4692">((F470/F418)-1)*100</f>
        <v>3.6418131853742874</v>
      </c>
      <c r="J470" s="59">
        <f t="shared" ref="J470" si="4693">((F470/G470)-1)*100</f>
        <v>14.202598069909467</v>
      </c>
      <c r="L470" s="53">
        <v>0</v>
      </c>
      <c r="M470" s="53">
        <v>0</v>
      </c>
      <c r="N470" s="53">
        <v>8400</v>
      </c>
      <c r="O470" s="53">
        <f t="shared" si="2600"/>
        <v>8400</v>
      </c>
      <c r="P470" s="53">
        <f t="shared" ref="P470" si="4694">AVERAGE(O467,O468,O469,O470)</f>
        <v>16880.5</v>
      </c>
      <c r="Q470" s="53">
        <f t="shared" ref="Q470" si="4695">AVERAGE(P418,P366,P314)</f>
        <v>23670</v>
      </c>
      <c r="R470" s="59">
        <f t="shared" ref="R470" si="4696">((O470/O418)-1)*100</f>
        <v>-49.214026602176538</v>
      </c>
      <c r="S470" s="59">
        <f t="shared" ref="S470" si="4697">((P470/P418)-1)*100</f>
        <v>-6.3430196268811967</v>
      </c>
      <c r="T470" s="59">
        <f t="shared" ref="T470" si="4698">((P470/Q470)-1)*100</f>
        <v>-28.683988170680188</v>
      </c>
      <c r="V470" s="64">
        <v>142380</v>
      </c>
      <c r="W470" s="64">
        <v>155276</v>
      </c>
      <c r="X470" s="53">
        <v>29400</v>
      </c>
      <c r="Y470" s="64">
        <f t="shared" si="1916"/>
        <v>327056</v>
      </c>
      <c r="Z470" s="53">
        <f t="shared" ref="Z470" si="4699">AVERAGE(Y467,Y468,Y469,Y470)</f>
        <v>255943.5</v>
      </c>
      <c r="AA470" s="53">
        <f t="shared" ref="AA470" si="4700">AVERAGE(Z418,Z366,Z314)</f>
        <v>308828.33333333331</v>
      </c>
      <c r="AB470" s="59">
        <f t="shared" ref="AB470" si="4701">((Y470/Y418)-1)*100</f>
        <v>-6.9589608498000111</v>
      </c>
      <c r="AC470" s="59">
        <f t="shared" ref="AC470" si="4702">((Z470/Z418)-1)*100</f>
        <v>-43.347569660796161</v>
      </c>
      <c r="AD470" s="59">
        <f t="shared" ref="AD470" si="4703">((Z470/AA470)-1)*100</f>
        <v>-17.124346319692162</v>
      </c>
      <c r="AF470" s="53">
        <v>19200</v>
      </c>
      <c r="AG470" s="53">
        <v>0</v>
      </c>
      <c r="AH470" s="64">
        <v>4200</v>
      </c>
      <c r="AI470" s="53">
        <f t="shared" si="4489"/>
        <v>23400</v>
      </c>
      <c r="AJ470" s="53">
        <f t="shared" ref="AJ470" si="4704">AVERAGE(AI467,AI468,AI469,AI470)</f>
        <v>12879</v>
      </c>
      <c r="AK470" s="53">
        <f t="shared" ref="AK470" si="4705">AVERAGE(AJ418,AJ366,AJ314)</f>
        <v>8818.8333333333339</v>
      </c>
      <c r="AL470" s="59">
        <f t="shared" ref="AL470" si="4706">((AI470/AI418)-1)*100</f>
        <v>420</v>
      </c>
      <c r="AM470" s="59">
        <f t="shared" ref="AM470" si="4707">((AJ470/AJ418)-1)*100</f>
        <v>43.100000000000009</v>
      </c>
      <c r="AN470" s="59">
        <f t="shared" ref="AN470" si="4708">((AJ470/AK470)-1)*100</f>
        <v>46.039725587284778</v>
      </c>
      <c r="AP470" s="60">
        <f t="shared" si="1927"/>
        <v>328566</v>
      </c>
      <c r="AQ470" s="53">
        <f t="shared" si="1928"/>
        <v>309976</v>
      </c>
      <c r="AR470" s="60">
        <f t="shared" si="4495"/>
        <v>42000</v>
      </c>
      <c r="AS470" s="53">
        <f t="shared" si="4496"/>
        <v>680542</v>
      </c>
      <c r="AT470" s="53">
        <f t="shared" ref="AT470" si="4709">AVERAGE(AS467,AS468,AS469,AS470)</f>
        <v>592418.25</v>
      </c>
      <c r="AU470" s="53">
        <f t="shared" ref="AU470" si="4710">AVERAGE(AT418,AT366,AT314)</f>
        <v>609888.33333333337</v>
      </c>
      <c r="AV470" s="59">
        <f t="shared" ref="AV470" si="4711">((AS470/AS418)-1)*100</f>
        <v>-4.5156203085056523</v>
      </c>
      <c r="AW470" s="59">
        <f t="shared" ref="AW470" si="4712">((AT470/AT418)-1)*100</f>
        <v>-23.533282133360867</v>
      </c>
      <c r="AX470" s="59">
        <f t="shared" ref="AX470" si="4713">((AT470/AU470)-1)*100</f>
        <v>-2.8644724580729308</v>
      </c>
      <c r="AZ470" s="53">
        <f t="shared" si="401"/>
        <v>321.68599999999998</v>
      </c>
      <c r="BA470" s="53">
        <f t="shared" si="402"/>
        <v>8.4</v>
      </c>
      <c r="BB470" s="53">
        <f t="shared" si="403"/>
        <v>327.05599999999998</v>
      </c>
      <c r="BC470" s="53">
        <f t="shared" si="4502"/>
        <v>23.4</v>
      </c>
      <c r="BD470" s="53">
        <f t="shared" si="4503"/>
        <v>680.54200000000003</v>
      </c>
      <c r="BE470" s="60">
        <f t="shared" ref="BE470" si="4714">+AZ470+BE469</f>
        <v>15428.738999999998</v>
      </c>
      <c r="BF470" s="60">
        <f t="shared" ref="BF470" si="4715">+BA470+BF469</f>
        <v>1278.8279999999997</v>
      </c>
      <c r="BG470" s="60">
        <f t="shared" ref="BG470" si="4716">+BB470+BG469</f>
        <v>5969.054000000001</v>
      </c>
      <c r="BH470" s="60">
        <f t="shared" ref="BH470" si="4717">+BC470+BH469</f>
        <v>345.74699999999996</v>
      </c>
      <c r="BI470" s="60">
        <f t="shared" ref="BI470" si="4718">+BD470+BI469</f>
        <v>23022.367999999995</v>
      </c>
      <c r="BJ470" s="1">
        <v>43</v>
      </c>
    </row>
    <row r="471" spans="1:62" x14ac:dyDescent="0.3">
      <c r="A471" s="48">
        <f>A470+7</f>
        <v>40852</v>
      </c>
      <c r="B471" s="64">
        <v>322888</v>
      </c>
      <c r="C471" s="64">
        <v>77200</v>
      </c>
      <c r="D471" s="53">
        <v>0</v>
      </c>
      <c r="E471" s="53">
        <f t="shared" si="2986"/>
        <v>400088</v>
      </c>
      <c r="F471" s="53">
        <f t="shared" ref="F471" si="4719">AVERAGE(E468,E469,E470,E471)</f>
        <v>330594.75</v>
      </c>
      <c r="G471" s="53">
        <f t="shared" ref="G471" si="4720">AVERAGE(F419,F367,F315)</f>
        <v>278333.91666666669</v>
      </c>
      <c r="H471" s="59">
        <f t="shared" ref="H471" si="4721">((E471/E419)-1)*100</f>
        <v>38.070407321643643</v>
      </c>
      <c r="I471" s="59">
        <f t="shared" ref="I471" si="4722">((F471/F419)-1)*100</f>
        <v>12.856972169356418</v>
      </c>
      <c r="J471" s="59">
        <f t="shared" ref="J471" si="4723">((F471/G471)-1)*100</f>
        <v>18.776307953845595</v>
      </c>
      <c r="L471" s="53">
        <v>0</v>
      </c>
      <c r="M471" s="53">
        <v>1750</v>
      </c>
      <c r="N471" s="53">
        <v>7000</v>
      </c>
      <c r="O471" s="53">
        <f t="shared" si="2600"/>
        <v>8750</v>
      </c>
      <c r="P471" s="53">
        <f t="shared" ref="P471" si="4724">AVERAGE(O468,O469,O470,O471)</f>
        <v>15629.5</v>
      </c>
      <c r="Q471" s="53">
        <f t="shared" ref="Q471" si="4725">AVERAGE(P419,P367,P315)</f>
        <v>20825.833333333332</v>
      </c>
      <c r="R471" s="59">
        <f t="shared" ref="R471" si="4726">((O471/O419)-1)*100</f>
        <v>-33.297758804695846</v>
      </c>
      <c r="S471" s="59">
        <f t="shared" ref="S471" si="4727">((P471/P419)-1)*100</f>
        <v>7.5800595391736891</v>
      </c>
      <c r="T471" s="59">
        <f t="shared" ref="T471" si="4728">((P471/Q471)-1)*100</f>
        <v>-24.951382497699171</v>
      </c>
      <c r="V471" s="64">
        <v>151080</v>
      </c>
      <c r="W471" s="64">
        <v>108350</v>
      </c>
      <c r="X471" s="53">
        <v>32200</v>
      </c>
      <c r="Y471" s="64">
        <f t="shared" si="1916"/>
        <v>291630</v>
      </c>
      <c r="Z471" s="53">
        <f t="shared" ref="Z471" si="4729">AVERAGE(Y468,Y469,Y470,Y471)</f>
        <v>304656.25</v>
      </c>
      <c r="AA471" s="53">
        <f t="shared" ref="AA471" si="4730">AVERAGE(Z419,Z367,Z315)</f>
        <v>345390.08333333331</v>
      </c>
      <c r="AB471" s="59">
        <f t="shared" ref="AB471" si="4731">((Y471/Y419)-1)*100</f>
        <v>21.422950573951717</v>
      </c>
      <c r="AC471" s="59">
        <f t="shared" ref="AC471" si="4732">((Z471/Z419)-1)*100</f>
        <v>-31.675759745367628</v>
      </c>
      <c r="AD471" s="59">
        <f t="shared" ref="AD471" si="4733">((Z471/AA471)-1)*100</f>
        <v>-11.793573498177533</v>
      </c>
      <c r="AF471" s="53">
        <v>1600</v>
      </c>
      <c r="AG471" s="53">
        <v>0</v>
      </c>
      <c r="AH471" s="64">
        <v>0</v>
      </c>
      <c r="AI471" s="53">
        <f t="shared" si="4489"/>
        <v>1600</v>
      </c>
      <c r="AJ471" s="53">
        <f t="shared" ref="AJ471" si="4734">AVERAGE(AI468,AI469,AI470,AI471)</f>
        <v>13279</v>
      </c>
      <c r="AK471" s="53">
        <f t="shared" ref="AK471" si="4735">AVERAGE(AJ419,AJ367,AJ315)</f>
        <v>7784.583333333333</v>
      </c>
      <c r="AL471" s="59"/>
      <c r="AM471" s="59">
        <f t="shared" ref="AM471" si="4736">((AJ471/AJ419)-1)*100</f>
        <v>120.39834024896265</v>
      </c>
      <c r="AN471" s="59">
        <f t="shared" ref="AN471" si="4737">((AJ471/AK471)-1)*100</f>
        <v>70.580741850880486</v>
      </c>
      <c r="AP471" s="60">
        <f t="shared" si="1927"/>
        <v>475568</v>
      </c>
      <c r="AQ471" s="53">
        <f t="shared" si="1928"/>
        <v>187300</v>
      </c>
      <c r="AR471" s="60">
        <f t="shared" si="4495"/>
        <v>39200</v>
      </c>
      <c r="AS471" s="53">
        <f t="shared" si="4496"/>
        <v>702068</v>
      </c>
      <c r="AT471" s="53">
        <f t="shared" ref="AT471" si="4738">AVERAGE(AS468,AS469,AS470,AS471)</f>
        <v>664159.5</v>
      </c>
      <c r="AU471" s="53">
        <f t="shared" ref="AU471" si="4739">AVERAGE(AT419,AT367,AT315)</f>
        <v>652334.41666666663</v>
      </c>
      <c r="AV471" s="59">
        <f t="shared" ref="AV471" si="4740">((AS471/AS419)-1)*100</f>
        <v>29.278577557792239</v>
      </c>
      <c r="AW471" s="59">
        <f t="shared" ref="AW471" si="4741">((AT471/AT419)-1)*100</f>
        <v>-12.539645646764775</v>
      </c>
      <c r="AX471" s="59">
        <f t="shared" ref="AX471" si="4742">((AT471/AU471)-1)*100</f>
        <v>1.8127333207034857</v>
      </c>
      <c r="AZ471" s="53">
        <f t="shared" si="401"/>
        <v>400.08800000000002</v>
      </c>
      <c r="BA471" s="53">
        <f t="shared" si="402"/>
        <v>8.75</v>
      </c>
      <c r="BB471" s="53">
        <f t="shared" si="403"/>
        <v>291.63</v>
      </c>
      <c r="BC471" s="53">
        <f t="shared" si="4502"/>
        <v>1.6</v>
      </c>
      <c r="BD471" s="53">
        <f t="shared" si="4503"/>
        <v>702.06799999999998</v>
      </c>
      <c r="BE471" s="60">
        <f t="shared" ref="BE471" si="4743">+AZ471+BE470</f>
        <v>15828.826999999997</v>
      </c>
      <c r="BF471" s="60">
        <f t="shared" ref="BF471" si="4744">+BA471+BF470</f>
        <v>1287.5779999999997</v>
      </c>
      <c r="BG471" s="60">
        <f t="shared" ref="BG471" si="4745">+BB471+BG470</f>
        <v>6260.6840000000011</v>
      </c>
      <c r="BH471" s="60">
        <f t="shared" ref="BH471" si="4746">+BC471+BH470</f>
        <v>347.34699999999998</v>
      </c>
      <c r="BI471" s="60">
        <f t="shared" ref="BI471" si="4747">+BD471+BI470</f>
        <v>23724.435999999994</v>
      </c>
      <c r="BJ471" s="1">
        <v>44</v>
      </c>
    </row>
    <row r="472" spans="1:62" x14ac:dyDescent="0.3">
      <c r="A472" s="48">
        <f t="shared" si="238"/>
        <v>40859</v>
      </c>
      <c r="B472" s="64">
        <v>293134</v>
      </c>
      <c r="C472" s="64">
        <v>58628</v>
      </c>
      <c r="D472" s="53">
        <v>0</v>
      </c>
      <c r="E472" s="53">
        <f t="shared" si="2986"/>
        <v>351762</v>
      </c>
      <c r="F472" s="53">
        <f t="shared" ref="F472" si="4748">AVERAGE(E469,E470,E471,E472)</f>
        <v>340124.5</v>
      </c>
      <c r="G472" s="53">
        <f t="shared" ref="G472" si="4749">AVERAGE(F420,F368,F316)</f>
        <v>321785.83333333331</v>
      </c>
      <c r="H472" s="59">
        <f t="shared" ref="H472" si="4750">((E472/E420)-1)*100</f>
        <v>-24.59905427825483</v>
      </c>
      <c r="I472" s="59">
        <f t="shared" ref="I472" si="4751">((F472/F420)-1)*100</f>
        <v>0.72152401032905544</v>
      </c>
      <c r="J472" s="59">
        <f t="shared" ref="J472" si="4752">((F472/G472)-1)*100</f>
        <v>5.6990285982136291</v>
      </c>
      <c r="L472" s="53">
        <v>0</v>
      </c>
      <c r="M472" s="53">
        <v>20000</v>
      </c>
      <c r="N472" s="53">
        <v>5600</v>
      </c>
      <c r="O472" s="53">
        <f t="shared" si="2600"/>
        <v>25600</v>
      </c>
      <c r="P472" s="53">
        <f t="shared" ref="P472" si="4753">AVERAGE(O469,O470,O471,O472)</f>
        <v>13837.5</v>
      </c>
      <c r="Q472" s="53">
        <f t="shared" ref="Q472" si="4754">AVERAGE(P420,P368,P316)</f>
        <v>19260.666666666668</v>
      </c>
      <c r="R472" s="59">
        <f t="shared" ref="R472" si="4755">((O472/O420)-1)*100</f>
        <v>1500</v>
      </c>
      <c r="S472" s="59">
        <f t="shared" ref="S472" si="4756">((P472/P420)-1)*100</f>
        <v>20.378425402348842</v>
      </c>
      <c r="T472" s="59">
        <f t="shared" ref="T472" si="4757">((P472/Q472)-1)*100</f>
        <v>-28.156692395555716</v>
      </c>
      <c r="V472" s="64">
        <v>138153</v>
      </c>
      <c r="W472" s="64">
        <v>142555</v>
      </c>
      <c r="X472" s="53">
        <v>26600</v>
      </c>
      <c r="Y472" s="64">
        <f t="shared" si="1916"/>
        <v>307308</v>
      </c>
      <c r="Z472" s="53">
        <f t="shared" ref="Z472" si="4758">AVERAGE(Y469,Y470,Y471,Y472)</f>
        <v>321958.25</v>
      </c>
      <c r="AA472" s="53">
        <f t="shared" ref="AA472" si="4759">AVERAGE(Z420,Z368,Z316)</f>
        <v>360673</v>
      </c>
      <c r="AB472" s="59">
        <f t="shared" ref="AB472" si="4760">((Y472/Y420)-1)*100</f>
        <v>-26.22365199020502</v>
      </c>
      <c r="AC472" s="59">
        <f t="shared" ref="AC472" si="4761">((Z472/Z420)-1)*100</f>
        <v>-13.625876428744855</v>
      </c>
      <c r="AD472" s="59">
        <f t="shared" ref="AD472" si="4762">((Z472/AA472)-1)*100</f>
        <v>-10.734030548446928</v>
      </c>
      <c r="AF472" s="53">
        <v>4500</v>
      </c>
      <c r="AG472" s="53">
        <v>0</v>
      </c>
      <c r="AH472" s="64">
        <v>1400</v>
      </c>
      <c r="AI472" s="53">
        <f t="shared" si="4489"/>
        <v>5900</v>
      </c>
      <c r="AJ472" s="53">
        <f t="shared" ref="AJ472" si="4763">AVERAGE(AI469,AI470,AI471,AI472)</f>
        <v>12779</v>
      </c>
      <c r="AK472" s="53">
        <f t="shared" ref="AK472" si="4764">AVERAGE(AJ420,AJ368,AJ316)</f>
        <v>8815.75</v>
      </c>
      <c r="AL472" s="59">
        <f t="shared" ref="AL472" si="4765">((AI472/AI420)-1)*100</f>
        <v>-56.457564575645755</v>
      </c>
      <c r="AM472" s="59">
        <f t="shared" ref="AM472" si="4766">((AJ472/AJ420)-1)*100</f>
        <v>41.399723374827111</v>
      </c>
      <c r="AN472" s="59">
        <f t="shared" ref="AN472" si="4767">((AJ472/AK472)-1)*100</f>
        <v>44.956469954343078</v>
      </c>
      <c r="AP472" s="60">
        <f t="shared" si="1927"/>
        <v>435787</v>
      </c>
      <c r="AQ472" s="53">
        <f t="shared" si="1928"/>
        <v>221183</v>
      </c>
      <c r="AR472" s="60">
        <f t="shared" si="4495"/>
        <v>33600</v>
      </c>
      <c r="AS472" s="53">
        <f t="shared" si="4496"/>
        <v>690570</v>
      </c>
      <c r="AT472" s="53">
        <f t="shared" ref="AT472" si="4768">AVERAGE(AS469,AS470,AS471,AS472)</f>
        <v>688699.25</v>
      </c>
      <c r="AU472" s="53">
        <f t="shared" ref="AU472" si="4769">AVERAGE(AT420,AT368,AT316)</f>
        <v>710535.25</v>
      </c>
      <c r="AV472" s="59">
        <f t="shared" ref="AV472" si="4770">((AS472/AS420)-1)*100</f>
        <v>-23.117259622449936</v>
      </c>
      <c r="AW472" s="59">
        <f t="shared" ref="AW472" si="4771">((AT472/AT420)-1)*100</f>
        <v>-5.7827007711681366</v>
      </c>
      <c r="AX472" s="59">
        <f t="shared" ref="AX472" si="4772">((AT472/AU472)-1)*100</f>
        <v>-3.0731761724699824</v>
      </c>
      <c r="AZ472" s="53">
        <f t="shared" si="401"/>
        <v>351.762</v>
      </c>
      <c r="BA472" s="53">
        <f t="shared" si="402"/>
        <v>25.6</v>
      </c>
      <c r="BB472" s="53">
        <f t="shared" si="403"/>
        <v>307.30799999999999</v>
      </c>
      <c r="BC472" s="53">
        <f t="shared" si="4502"/>
        <v>5.9</v>
      </c>
      <c r="BD472" s="53">
        <f t="shared" si="4503"/>
        <v>690.57</v>
      </c>
      <c r="BE472" s="60">
        <f t="shared" ref="BE472" si="4773">+AZ472+BE471</f>
        <v>16180.588999999998</v>
      </c>
      <c r="BF472" s="60">
        <f t="shared" ref="BF472" si="4774">+BA472+BF471</f>
        <v>1313.1779999999997</v>
      </c>
      <c r="BG472" s="60">
        <f t="shared" ref="BG472" si="4775">+BB472+BG471</f>
        <v>6567.9920000000011</v>
      </c>
      <c r="BH472" s="60">
        <f t="shared" ref="BH472" si="4776">+BC472+BH471</f>
        <v>353.24699999999996</v>
      </c>
      <c r="BI472" s="60">
        <f t="shared" ref="BI472" si="4777">+BD472+BI471</f>
        <v>24415.005999999994</v>
      </c>
      <c r="BJ472" s="1">
        <v>45</v>
      </c>
    </row>
    <row r="473" spans="1:62" x14ac:dyDescent="0.3">
      <c r="A473" s="48">
        <f>A472+7</f>
        <v>40866</v>
      </c>
      <c r="B473" s="64">
        <v>525093</v>
      </c>
      <c r="C473" s="64">
        <v>60850</v>
      </c>
      <c r="D473" s="53">
        <v>2800</v>
      </c>
      <c r="E473" s="53">
        <f t="shared" si="2986"/>
        <v>588743</v>
      </c>
      <c r="F473" s="53">
        <f t="shared" ref="F473" si="4778">AVERAGE(E470,E471,E472,E473)</f>
        <v>415569.75</v>
      </c>
      <c r="G473" s="53">
        <f t="shared" ref="G473" si="4779">AVERAGE(F421,F369,F317)</f>
        <v>353883.41666666669</v>
      </c>
      <c r="H473" s="59">
        <f t="shared" ref="H473" si="4780">((E473/E421)-1)*100</f>
        <v>42.155574979355514</v>
      </c>
      <c r="I473" s="59">
        <f t="shared" ref="I473" si="4781">((F473/F421)-1)*100</f>
        <v>10.039884417935752</v>
      </c>
      <c r="J473" s="59">
        <f t="shared" ref="J473" si="4782">((F473/G473)-1)*100</f>
        <v>17.431258552428154</v>
      </c>
      <c r="L473" s="53">
        <v>3281</v>
      </c>
      <c r="M473" s="53">
        <v>7036</v>
      </c>
      <c r="N473" s="53">
        <v>7000</v>
      </c>
      <c r="O473" s="53">
        <f t="shared" si="2600"/>
        <v>17317</v>
      </c>
      <c r="P473" s="53">
        <f t="shared" ref="P473" si="4783">AVERAGE(O470,O471,O472,O473)</f>
        <v>15016.75</v>
      </c>
      <c r="Q473" s="53">
        <f t="shared" ref="Q473" si="4784">AVERAGE(P421,P369,P317)</f>
        <v>16525.916666666668</v>
      </c>
      <c r="R473" s="59">
        <f t="shared" ref="R473" si="4785">((O473/O421)-1)*100</f>
        <v>134.01351351351352</v>
      </c>
      <c r="S473" s="59">
        <f t="shared" ref="S473" si="4786">((P473/P421)-1)*100</f>
        <v>55.38051632262404</v>
      </c>
      <c r="T473" s="59">
        <f t="shared" ref="T473" si="4787">((P473/Q473)-1)*100</f>
        <v>-9.1321207598166527</v>
      </c>
      <c r="V473" s="64">
        <v>158193</v>
      </c>
      <c r="W473" s="64">
        <v>93100</v>
      </c>
      <c r="X473" s="53">
        <v>22400</v>
      </c>
      <c r="Y473" s="64">
        <f t="shared" si="1916"/>
        <v>273693</v>
      </c>
      <c r="Z473" s="53">
        <f t="shared" ref="Z473" si="4788">AVERAGE(Y470,Y471,Y472,Y473)</f>
        <v>299921.75</v>
      </c>
      <c r="AA473" s="53">
        <f t="shared" ref="AA473" si="4789">AVERAGE(Z421,Z369,Z317)</f>
        <v>353829.25</v>
      </c>
      <c r="AB473" s="59">
        <f t="shared" ref="AB473" si="4790">((Y473/Y421)-1)*100</f>
        <v>51.326141886400208</v>
      </c>
      <c r="AC473" s="59">
        <f t="shared" ref="AC473" si="4791">((Z473/Z421)-1)*100</f>
        <v>0.89050692205352444</v>
      </c>
      <c r="AD473" s="59">
        <f t="shared" ref="AD473" si="4792">((Z473/AA473)-1)*100</f>
        <v>-15.235456085103195</v>
      </c>
      <c r="AF473" s="53">
        <v>1640</v>
      </c>
      <c r="AG473" s="53">
        <v>1500</v>
      </c>
      <c r="AH473" s="64">
        <v>2800</v>
      </c>
      <c r="AI473" s="53">
        <f t="shared" si="4489"/>
        <v>5940</v>
      </c>
      <c r="AJ473" s="53">
        <f t="shared" ref="AJ473" si="4793">AVERAGE(AI470,AI471,AI472,AI473)</f>
        <v>9210</v>
      </c>
      <c r="AK473" s="53">
        <f t="shared" ref="AK473" si="4794">AVERAGE(AJ421,AJ369,AJ317)</f>
        <v>10834.916666666666</v>
      </c>
      <c r="AL473" s="59">
        <f t="shared" ref="AL473" si="4795">((AI473/AI421)-1)*100</f>
        <v>-80.80775444264944</v>
      </c>
      <c r="AM473" s="59">
        <f t="shared" ref="AM473" si="4796">((AJ473/AJ421)-1)*100</f>
        <v>-24.816326530612244</v>
      </c>
      <c r="AN473" s="59">
        <f t="shared" ref="AN473" si="4797">((AJ473/AK473)-1)*100</f>
        <v>-14.997038894315439</v>
      </c>
      <c r="AP473" s="60">
        <f t="shared" si="1927"/>
        <v>688207</v>
      </c>
      <c r="AQ473" s="53">
        <f t="shared" si="1928"/>
        <v>162486</v>
      </c>
      <c r="AR473" s="60">
        <f t="shared" si="4495"/>
        <v>35000</v>
      </c>
      <c r="AS473" s="53">
        <f t="shared" si="4496"/>
        <v>885693</v>
      </c>
      <c r="AT473" s="53">
        <f t="shared" ref="AT473" si="4798">AVERAGE(AS470,AS471,AS472,AS473)</f>
        <v>739718.25</v>
      </c>
      <c r="AU473" s="53">
        <f t="shared" ref="AU473" si="4799">AVERAGE(AT421,AT369,AT317)</f>
        <v>735073.5</v>
      </c>
      <c r="AV473" s="59">
        <f t="shared" ref="AV473" si="4800">((AS473/AS421)-1)*100</f>
        <v>39.838829620109671</v>
      </c>
      <c r="AW473" s="59">
        <f t="shared" ref="AW473" si="4801">((AT473/AT421)-1)*100</f>
        <v>6.1528228570936649</v>
      </c>
      <c r="AX473" s="59">
        <f t="shared" ref="AX473" si="4802">((AT473/AU473)-1)*100</f>
        <v>0.63187558795141374</v>
      </c>
      <c r="AZ473" s="53">
        <f t="shared" si="401"/>
        <v>588.74300000000005</v>
      </c>
      <c r="BA473" s="53">
        <f t="shared" si="402"/>
        <v>17.317</v>
      </c>
      <c r="BB473" s="53">
        <f t="shared" si="403"/>
        <v>273.69299999999998</v>
      </c>
      <c r="BC473" s="53">
        <f t="shared" si="4502"/>
        <v>5.94</v>
      </c>
      <c r="BD473" s="53">
        <f t="shared" si="4503"/>
        <v>885.69299999999998</v>
      </c>
      <c r="BE473" s="60">
        <f t="shared" ref="BE473" si="4803">+AZ473+BE472</f>
        <v>16769.331999999999</v>
      </c>
      <c r="BF473" s="60">
        <f t="shared" ref="BF473" si="4804">+BA473+BF472</f>
        <v>1330.4949999999997</v>
      </c>
      <c r="BG473" s="60">
        <f t="shared" ref="BG473" si="4805">+BB473+BG472</f>
        <v>6841.6850000000013</v>
      </c>
      <c r="BH473" s="60">
        <f t="shared" ref="BH473" si="4806">+BC473+BH472</f>
        <v>359.18699999999995</v>
      </c>
      <c r="BI473" s="60">
        <f t="shared" ref="BI473" si="4807">+BD473+BI472</f>
        <v>25300.698999999993</v>
      </c>
      <c r="BJ473" s="1">
        <v>46</v>
      </c>
    </row>
    <row r="474" spans="1:62" x14ac:dyDescent="0.3">
      <c r="A474" s="48">
        <f t="shared" si="238"/>
        <v>40873</v>
      </c>
      <c r="B474" s="64">
        <v>661784</v>
      </c>
      <c r="C474" s="64">
        <v>40600</v>
      </c>
      <c r="D474" s="53">
        <v>0</v>
      </c>
      <c r="E474" s="53">
        <f t="shared" si="2986"/>
        <v>702384</v>
      </c>
      <c r="F474" s="53">
        <f t="shared" ref="F474" si="4808">AVERAGE(E471,E472,E473,E474)</f>
        <v>510744.25</v>
      </c>
      <c r="G474" s="53">
        <f t="shared" ref="G474" si="4809">AVERAGE(F422,F370,F318)</f>
        <v>415912.33333333331</v>
      </c>
      <c r="H474" s="59">
        <f t="shared" ref="H474" si="4810">((E474/E422)-1)*100</f>
        <v>58.831350911311105</v>
      </c>
      <c r="I474" s="59">
        <f t="shared" ref="I474" si="4811">((F474/F422)-1)*100</f>
        <v>26.683128010928471</v>
      </c>
      <c r="J474" s="59">
        <f t="shared" ref="J474" si="4812">((F474/G474)-1)*100</f>
        <v>22.800938819639072</v>
      </c>
      <c r="L474" s="53">
        <v>15800</v>
      </c>
      <c r="M474" s="53">
        <v>3500</v>
      </c>
      <c r="N474" s="53">
        <v>5600</v>
      </c>
      <c r="O474" s="53">
        <f t="shared" si="2600"/>
        <v>24900</v>
      </c>
      <c r="P474" s="53">
        <f t="shared" ref="P474" si="4813">AVERAGE(O471,O472,O473,O474)</f>
        <v>19141.75</v>
      </c>
      <c r="Q474" s="53">
        <f t="shared" ref="Q474" si="4814">AVERAGE(P422,P370,P318)</f>
        <v>14371.666666666666</v>
      </c>
      <c r="R474" s="59">
        <f t="shared" ref="R474" si="4815">((O474/O422)-1)*100</f>
        <v>64.356435643564353</v>
      </c>
      <c r="S474" s="59">
        <f t="shared" ref="S474" si="4816">((P474/P422)-1)*100</f>
        <v>105.44971557368252</v>
      </c>
      <c r="T474" s="59">
        <f t="shared" ref="T474" si="4817">((P474/Q474)-1)*100</f>
        <v>33.190884842862125</v>
      </c>
      <c r="V474" s="64">
        <v>179005</v>
      </c>
      <c r="W474" s="64">
        <v>149239</v>
      </c>
      <c r="X474" s="53">
        <v>7000</v>
      </c>
      <c r="Y474" s="64">
        <f t="shared" si="1916"/>
        <v>335244</v>
      </c>
      <c r="Z474" s="53">
        <f t="shared" ref="Z474" si="4818">AVERAGE(Y471,Y472,Y473,Y474)</f>
        <v>301968.75</v>
      </c>
      <c r="AA474" s="53">
        <f t="shared" ref="AA474" si="4819">AVERAGE(Z422,Z370,Z318)</f>
        <v>339192.66666666669</v>
      </c>
      <c r="AB474" s="59">
        <f t="shared" ref="AB474" si="4820">((Y474/Y422)-1)*100</f>
        <v>-4.3848290732363964</v>
      </c>
      <c r="AC474" s="59">
        <f t="shared" ref="AC474" si="4821">((Z474/Z422)-1)*100</f>
        <v>1.656037125125609</v>
      </c>
      <c r="AD474" s="59">
        <f t="shared" ref="AD474" si="4822">((Z474/AA474)-1)*100</f>
        <v>-10.97426929434403</v>
      </c>
      <c r="AF474" s="53">
        <v>24160</v>
      </c>
      <c r="AG474" s="53">
        <v>0</v>
      </c>
      <c r="AH474" s="64">
        <v>2800</v>
      </c>
      <c r="AI474" s="53">
        <f t="shared" si="4489"/>
        <v>26960</v>
      </c>
      <c r="AJ474" s="53">
        <f t="shared" ref="AJ474" si="4823">AVERAGE(AI471,AI472,AI473,AI474)</f>
        <v>10100</v>
      </c>
      <c r="AK474" s="53">
        <f t="shared" ref="AK474" si="4824">AVERAGE(AJ422,AJ370,AJ318)</f>
        <v>9575.75</v>
      </c>
      <c r="AL474" s="59">
        <f t="shared" ref="AL474" si="4825">((AI474/AI422)-1)*100</f>
        <v>798.66666666666663</v>
      </c>
      <c r="AM474" s="59">
        <f t="shared" ref="AM474" si="4826">((AJ474/AJ422)-1)*100</f>
        <v>-14.947368421052632</v>
      </c>
      <c r="AN474" s="59">
        <f t="shared" ref="AN474" si="4827">((AJ474/AK474)-1)*100</f>
        <v>5.4747669895308437</v>
      </c>
      <c r="AP474" s="60">
        <f t="shared" si="1927"/>
        <v>880749</v>
      </c>
      <c r="AQ474" s="53">
        <f t="shared" si="1928"/>
        <v>193339</v>
      </c>
      <c r="AR474" s="60">
        <f t="shared" si="4495"/>
        <v>15400</v>
      </c>
      <c r="AS474" s="53">
        <f t="shared" si="4496"/>
        <v>1089488</v>
      </c>
      <c r="AT474" s="53">
        <f t="shared" ref="AT474" si="4828">AVERAGE(AS471,AS472,AS473,AS474)</f>
        <v>841954.75</v>
      </c>
      <c r="AU474" s="53">
        <f t="shared" ref="AU474" si="4829">AVERAGE(AT422,AT370,AT318)</f>
        <v>779052.41666666663</v>
      </c>
      <c r="AV474" s="59">
        <f t="shared" ref="AV474" si="4830">((AS474/AS422)-1)*100</f>
        <v>34.34082871756425</v>
      </c>
      <c r="AW474" s="59">
        <f t="shared" ref="AW474" si="4831">((AT474/AT422)-1)*100</f>
        <v>16.709886530962194</v>
      </c>
      <c r="AX474" s="59">
        <f t="shared" ref="AX474" si="4832">((AT474/AU474)-1)*100</f>
        <v>8.0742106676818572</v>
      </c>
      <c r="AZ474" s="53">
        <f t="shared" si="401"/>
        <v>702.38400000000001</v>
      </c>
      <c r="BA474" s="53">
        <f t="shared" si="402"/>
        <v>24.9</v>
      </c>
      <c r="BB474" s="53">
        <f t="shared" si="403"/>
        <v>335.24400000000003</v>
      </c>
      <c r="BC474" s="53">
        <f t="shared" si="4502"/>
        <v>26.96</v>
      </c>
      <c r="BD474" s="53">
        <f t="shared" si="4503"/>
        <v>1089.4880000000001</v>
      </c>
      <c r="BE474" s="60">
        <f t="shared" ref="BE474" si="4833">+AZ474+BE473</f>
        <v>17471.716</v>
      </c>
      <c r="BF474" s="60">
        <f t="shared" ref="BF474" si="4834">+BA474+BF473</f>
        <v>1355.3949999999998</v>
      </c>
      <c r="BG474" s="60">
        <f t="shared" ref="BG474" si="4835">+BB474+BG473</f>
        <v>7176.929000000001</v>
      </c>
      <c r="BH474" s="60">
        <f t="shared" ref="BH474" si="4836">+BC474+BH473</f>
        <v>386.14699999999993</v>
      </c>
      <c r="BI474" s="60">
        <f t="shared" ref="BI474" si="4837">+BD474+BI473</f>
        <v>26390.186999999994</v>
      </c>
      <c r="BJ474" s="1">
        <v>47</v>
      </c>
    </row>
    <row r="475" spans="1:62" x14ac:dyDescent="0.3">
      <c r="A475" s="48">
        <f>A474+7</f>
        <v>40880</v>
      </c>
      <c r="B475" s="64">
        <v>604852</v>
      </c>
      <c r="C475" s="64">
        <v>55500</v>
      </c>
      <c r="D475" s="53">
        <v>2800</v>
      </c>
      <c r="E475" s="53">
        <f t="shared" si="2986"/>
        <v>663152</v>
      </c>
      <c r="F475" s="53">
        <f t="shared" ref="F475" si="4838">AVERAGE(E472,E473,E474,E475)</f>
        <v>576510.25</v>
      </c>
      <c r="G475" s="53">
        <f t="shared" ref="G475" si="4839">AVERAGE(F423,F371,F319)</f>
        <v>470294</v>
      </c>
      <c r="H475" s="59">
        <f t="shared" ref="H475" si="4840">((E475/E423)-1)*100</f>
        <v>28.279666820128526</v>
      </c>
      <c r="I475" s="59">
        <f t="shared" ref="I475" si="4841">((F475/F423)-1)*100</f>
        <v>25.338260535890345</v>
      </c>
      <c r="J475" s="59">
        <f t="shared" ref="J475" si="4842">((F475/G475)-1)*100</f>
        <v>22.58507444279536</v>
      </c>
      <c r="L475" s="53">
        <v>1500</v>
      </c>
      <c r="M475" s="53">
        <v>3500</v>
      </c>
      <c r="N475" s="53">
        <v>7000</v>
      </c>
      <c r="O475" s="53">
        <f t="shared" si="2600"/>
        <v>12000</v>
      </c>
      <c r="P475" s="53">
        <f t="shared" ref="P475" si="4843">AVERAGE(O472,O473,O474,O475)</f>
        <v>19954.25</v>
      </c>
      <c r="Q475" s="53">
        <f t="shared" ref="Q475" si="4844">AVERAGE(P423,P371,P319)</f>
        <v>12501.833333333334</v>
      </c>
      <c r="R475" s="59">
        <f t="shared" ref="R475" si="4845">((O475/O423)-1)*100</f>
        <v>32.596685082872924</v>
      </c>
      <c r="S475" s="59">
        <f t="shared" ref="S475" si="4846">((P475/P423)-1)*100</f>
        <v>140.41265060240963</v>
      </c>
      <c r="T475" s="59">
        <f t="shared" ref="T475" si="4847">((P475/Q475)-1)*100</f>
        <v>59.61059044673447</v>
      </c>
      <c r="V475" s="64">
        <v>131137</v>
      </c>
      <c r="W475" s="64">
        <v>86432</v>
      </c>
      <c r="X475" s="53">
        <v>18200</v>
      </c>
      <c r="Y475" s="64">
        <f t="shared" si="1916"/>
        <v>235769</v>
      </c>
      <c r="Z475" s="53">
        <f t="shared" ref="Z475" si="4848">AVERAGE(Y472,Y473,Y474,Y475)</f>
        <v>288003.5</v>
      </c>
      <c r="AA475" s="53">
        <f t="shared" ref="AA475" si="4849">AVERAGE(Z423,Z371,Z319)</f>
        <v>358708.58333333331</v>
      </c>
      <c r="AB475" s="59">
        <f t="shared" ref="AB475" si="4850">((Y475/Y423)-1)*100</f>
        <v>-59.076691823288044</v>
      </c>
      <c r="AC475" s="59">
        <f t="shared" ref="AC475" si="4851">((Z475/Z423)-1)*100</f>
        <v>-24.415721601291217</v>
      </c>
      <c r="AD475" s="59">
        <f t="shared" ref="AD475" si="4852">((Z475/AA475)-1)*100</f>
        <v>-19.711009610168695</v>
      </c>
      <c r="AF475" s="53">
        <v>17000</v>
      </c>
      <c r="AG475" s="53">
        <v>7072</v>
      </c>
      <c r="AH475" s="64">
        <v>2800</v>
      </c>
      <c r="AI475" s="53">
        <f t="shared" si="4489"/>
        <v>26872</v>
      </c>
      <c r="AJ475" s="53">
        <f t="shared" ref="AJ475" si="4853">AVERAGE(AI472,AI473,AI474,AI475)</f>
        <v>16418</v>
      </c>
      <c r="AK475" s="53">
        <f t="shared" ref="AK475" si="4854">AVERAGE(AJ423,AJ371,AJ319)</f>
        <v>9932.4166666666661</v>
      </c>
      <c r="AL475" s="59">
        <f t="shared" ref="AL475" si="4855">((AI475/AI423)-1)*100</f>
        <v>114.11952191235062</v>
      </c>
      <c r="AM475" s="59">
        <f t="shared" ref="AM475" si="4856">((AJ475/AJ423)-1)*100</f>
        <v>9.3621981681931707</v>
      </c>
      <c r="AN475" s="59">
        <f t="shared" ref="AN475" si="4857">((AJ475/AK475)-1)*100</f>
        <v>65.297133124701105</v>
      </c>
      <c r="AP475" s="60">
        <f t="shared" si="1927"/>
        <v>754489</v>
      </c>
      <c r="AQ475" s="53">
        <f t="shared" si="1928"/>
        <v>152504</v>
      </c>
      <c r="AR475" s="60">
        <f t="shared" si="4495"/>
        <v>30800</v>
      </c>
      <c r="AS475" s="53">
        <f t="shared" si="4496"/>
        <v>937793</v>
      </c>
      <c r="AT475" s="53">
        <f t="shared" ref="AT475" si="4858">AVERAGE(AS472,AS473,AS474,AS475)</f>
        <v>900886</v>
      </c>
      <c r="AU475" s="53">
        <f t="shared" ref="AU475" si="4859">AVERAGE(AT423,AT371,AT319)</f>
        <v>851436.83333333337</v>
      </c>
      <c r="AV475" s="59">
        <f t="shared" ref="AV475" si="4860">((AS475/AS423)-1)*100</f>
        <v>-15.869010175099262</v>
      </c>
      <c r="AW475" s="59">
        <f t="shared" ref="AW475" si="4861">((AT475/AT423)-1)*100</f>
        <v>4.2315436348379976</v>
      </c>
      <c r="AX475" s="59">
        <f t="shared" ref="AX475" si="4862">((AT475/AU475)-1)*100</f>
        <v>5.8077316755343444</v>
      </c>
      <c r="AZ475" s="53">
        <f t="shared" si="401"/>
        <v>663.15200000000004</v>
      </c>
      <c r="BA475" s="53">
        <f t="shared" si="402"/>
        <v>12</v>
      </c>
      <c r="BB475" s="53">
        <f t="shared" si="403"/>
        <v>235.76900000000001</v>
      </c>
      <c r="BC475" s="53">
        <f t="shared" si="4502"/>
        <v>26.872</v>
      </c>
      <c r="BD475" s="53">
        <f t="shared" si="4503"/>
        <v>937.79300000000001</v>
      </c>
      <c r="BE475" s="60">
        <f t="shared" ref="BE475" si="4863">+AZ475+BE474</f>
        <v>18134.868000000002</v>
      </c>
      <c r="BF475" s="60">
        <f t="shared" ref="BF475" si="4864">+BA475+BF474</f>
        <v>1367.3949999999998</v>
      </c>
      <c r="BG475" s="60">
        <f t="shared" ref="BG475" si="4865">+BB475+BG474</f>
        <v>7412.6980000000012</v>
      </c>
      <c r="BH475" s="60">
        <f t="shared" ref="BH475" si="4866">+BC475+BH474</f>
        <v>413.01899999999995</v>
      </c>
      <c r="BI475" s="60">
        <f t="shared" ref="BI475" si="4867">+BD475+BI474</f>
        <v>27327.979999999996</v>
      </c>
      <c r="BJ475" s="1">
        <v>48</v>
      </c>
    </row>
    <row r="476" spans="1:62" x14ac:dyDescent="0.3">
      <c r="A476" s="48">
        <f t="shared" si="238"/>
        <v>40887</v>
      </c>
      <c r="B476" s="64">
        <v>642368</v>
      </c>
      <c r="C476" s="64">
        <v>45050</v>
      </c>
      <c r="D476" s="53">
        <v>0</v>
      </c>
      <c r="E476" s="53">
        <f t="shared" si="2986"/>
        <v>687418</v>
      </c>
      <c r="F476" s="53">
        <f t="shared" ref="F476" si="4868">AVERAGE(E473,E474,E475,E476)</f>
        <v>660424.25</v>
      </c>
      <c r="G476" s="53">
        <f t="shared" ref="G476" si="4869">AVERAGE(F424,F372,F320)</f>
        <v>472484.75</v>
      </c>
      <c r="H476" s="59">
        <f t="shared" ref="H476" si="4870">((E476/E424)-1)*100</f>
        <v>129.26772325835802</v>
      </c>
      <c r="I476" s="59">
        <f t="shared" ref="I476" si="4871">((F476/F424)-1)*100</f>
        <v>57.886315985761108</v>
      </c>
      <c r="J476" s="59">
        <f t="shared" ref="J476" si="4872">((F476/G476)-1)*100</f>
        <v>39.776839358307335</v>
      </c>
      <c r="L476" s="53">
        <v>1500</v>
      </c>
      <c r="M476" s="53">
        <v>3500</v>
      </c>
      <c r="N476" s="53">
        <v>11200</v>
      </c>
      <c r="O476" s="53">
        <f t="shared" si="2600"/>
        <v>16200</v>
      </c>
      <c r="P476" s="53">
        <f t="shared" ref="P476" si="4873">AVERAGE(O473,O474,O475,O476)</f>
        <v>17604.25</v>
      </c>
      <c r="Q476" s="53">
        <f t="shared" ref="Q476" si="4874">AVERAGE(P424,P372,P320)</f>
        <v>12565.416666666666</v>
      </c>
      <c r="R476" s="59">
        <f t="shared" ref="R476" si="4875">((O476/O424)-1)*100</f>
        <v>-44.041450777202073</v>
      </c>
      <c r="S476" s="59">
        <f t="shared" ref="S476" si="4876">((P476/P424)-1)*100</f>
        <v>16.295623451692819</v>
      </c>
      <c r="T476" s="59">
        <f t="shared" ref="T476" si="4877">((P476/Q476)-1)*100</f>
        <v>40.100805783068608</v>
      </c>
      <c r="V476" s="64">
        <v>204036</v>
      </c>
      <c r="W476" s="64">
        <v>40796</v>
      </c>
      <c r="X476" s="64">
        <v>9800</v>
      </c>
      <c r="Y476" s="64">
        <f t="shared" si="1916"/>
        <v>254632</v>
      </c>
      <c r="Z476" s="53">
        <f t="shared" ref="Z476" si="4878">AVERAGE(Y473,Y474,Y475,Y476)</f>
        <v>274834.5</v>
      </c>
      <c r="AA476" s="53">
        <f t="shared" ref="AA476" si="4879">AVERAGE(Z424,Z372,Z320)</f>
        <v>329558</v>
      </c>
      <c r="AB476" s="59">
        <f t="shared" ref="AB476" si="4880">((Y476/Y424)-1)*100</f>
        <v>-33.939032299909201</v>
      </c>
      <c r="AC476" s="59">
        <f t="shared" ref="AC476" si="4881">((Z476/Z424)-1)*100</f>
        <v>-26.369892602750731</v>
      </c>
      <c r="AD476" s="59">
        <f t="shared" ref="AD476" si="4882">((Z476/AA476)-1)*100</f>
        <v>-16.605119584413064</v>
      </c>
      <c r="AF476" s="53">
        <v>0</v>
      </c>
      <c r="AG476" s="53">
        <v>0</v>
      </c>
      <c r="AH476" s="53">
        <v>4200</v>
      </c>
      <c r="AI476" s="53">
        <f t="shared" si="4489"/>
        <v>4200</v>
      </c>
      <c r="AJ476" s="53">
        <f t="shared" ref="AJ476" si="4883">AVERAGE(AI473,AI474,AI475,AI476)</f>
        <v>15993</v>
      </c>
      <c r="AK476" s="53">
        <f t="shared" ref="AK476" si="4884">AVERAGE(AJ424,AJ372,AJ320)</f>
        <v>8765</v>
      </c>
      <c r="AL476" s="59">
        <f t="shared" ref="AL476" si="4885">((AI476/AI424)-1)*100</f>
        <v>39.999999999999993</v>
      </c>
      <c r="AM476" s="59">
        <f t="shared" ref="AM476" si="4886">((AJ476/AJ424)-1)*100</f>
        <v>29.236363636363638</v>
      </c>
      <c r="AN476" s="59">
        <f t="shared" ref="AN476" si="4887">((AJ476/AK476)-1)*100</f>
        <v>82.46434683399886</v>
      </c>
      <c r="AP476" s="60">
        <f t="shared" ref="AP476" si="4888">SUM(B476,L476,V476,AF476)</f>
        <v>847904</v>
      </c>
      <c r="AQ476" s="53">
        <f t="shared" ref="AQ476" si="4889">SUM(C476,M476,W476,AG476)</f>
        <v>89346</v>
      </c>
      <c r="AR476" s="60">
        <f t="shared" ref="AR476" si="4890">SUM(D476,N476,X476,AH476)</f>
        <v>25200</v>
      </c>
      <c r="AS476" s="53">
        <f t="shared" ref="AS476" si="4891">SUM(E476,O476,Y476,AI476)</f>
        <v>962450</v>
      </c>
      <c r="AT476" s="53">
        <f t="shared" ref="AT476" si="4892">AVERAGE(AS473,AS474,AS475,AS476)</f>
        <v>968856</v>
      </c>
      <c r="AU476" s="53">
        <f t="shared" ref="AU476" si="4893">AVERAGE(AT424,AT372,AT320)</f>
        <v>823373.16666666663</v>
      </c>
      <c r="AV476" s="59">
        <f t="shared" ref="AV476" si="4894">((AS476/AS424)-1)*100</f>
        <v>34.189495170321457</v>
      </c>
      <c r="AW476" s="59">
        <f t="shared" ref="AW476" si="4895">((AT476/AT424)-1)*100</f>
        <v>18.287723016638747</v>
      </c>
      <c r="AX476" s="59">
        <f t="shared" ref="AX476" si="4896">((AT476/AU476)-1)*100</f>
        <v>17.669124914806766</v>
      </c>
      <c r="AZ476" s="53">
        <f t="shared" si="401"/>
        <v>687.41800000000001</v>
      </c>
      <c r="BA476" s="53">
        <f t="shared" si="402"/>
        <v>16.2</v>
      </c>
      <c r="BB476" s="53">
        <f t="shared" si="403"/>
        <v>254.63200000000001</v>
      </c>
      <c r="BC476" s="53">
        <f t="shared" si="4502"/>
        <v>4.2</v>
      </c>
      <c r="BD476" s="53">
        <f t="shared" si="4503"/>
        <v>962.45</v>
      </c>
      <c r="BE476" s="60">
        <f t="shared" ref="BE476" si="4897">+AZ476+BE475</f>
        <v>18822.286000000004</v>
      </c>
      <c r="BF476" s="60">
        <f t="shared" ref="BF476" si="4898">+BA476+BF475</f>
        <v>1383.5949999999998</v>
      </c>
      <c r="BG476" s="60">
        <f t="shared" ref="BG476" si="4899">+BB476+BG475</f>
        <v>7667.3300000000008</v>
      </c>
      <c r="BH476" s="60">
        <f t="shared" ref="BH476" si="4900">+BC476+BH475</f>
        <v>417.21899999999994</v>
      </c>
      <c r="BI476" s="60">
        <f t="shared" ref="BI476" si="4901">+BD476+BI475</f>
        <v>28290.429999999997</v>
      </c>
      <c r="BJ476" s="1">
        <v>49</v>
      </c>
    </row>
    <row r="477" spans="1:62" x14ac:dyDescent="0.3">
      <c r="A477" s="48">
        <f t="shared" si="238"/>
        <v>40894</v>
      </c>
      <c r="B477" s="64">
        <v>390889</v>
      </c>
      <c r="C477" s="64">
        <v>67800</v>
      </c>
      <c r="D477" s="53">
        <v>0</v>
      </c>
      <c r="E477" s="53">
        <f t="shared" ref="E477:E491" si="4902">SUM(B477:D477)</f>
        <v>458689</v>
      </c>
      <c r="F477" s="53">
        <f t="shared" ref="F477" si="4903">AVERAGE(E474,E475,E476,E477)</f>
        <v>627910.75</v>
      </c>
      <c r="G477" s="53">
        <f t="shared" ref="G477" si="4904">AVERAGE(F425,F373,F321)</f>
        <v>474853.08333333331</v>
      </c>
      <c r="H477" s="59">
        <f t="shared" ref="H477" si="4905">((E477/E425)-1)*100</f>
        <v>31.394123072868616</v>
      </c>
      <c r="I477" s="59">
        <f t="shared" ref="I477" si="4906">((F477/F425)-1)*100</f>
        <v>56.186602359051399</v>
      </c>
      <c r="J477" s="59">
        <f t="shared" ref="J477" si="4907">((F477/G477)-1)*100</f>
        <v>32.232636164483864</v>
      </c>
      <c r="L477" s="53">
        <v>0</v>
      </c>
      <c r="M477" s="53">
        <v>15500</v>
      </c>
      <c r="N477" s="53">
        <v>9800</v>
      </c>
      <c r="O477" s="53">
        <f t="shared" ref="O477:O496" si="4908">SUM(L477:N477)</f>
        <v>25300</v>
      </c>
      <c r="P477" s="53">
        <f t="shared" ref="P477" si="4909">AVERAGE(O474,O475,O476,O477)</f>
        <v>19600</v>
      </c>
      <c r="Q477" s="53">
        <f t="shared" ref="Q477" si="4910">AVERAGE(P425,P373,P321)</f>
        <v>14491.666666666666</v>
      </c>
      <c r="R477" s="59">
        <f t="shared" ref="R477" si="4911">((O477/O425)-1)*100</f>
        <v>53.333333333333343</v>
      </c>
      <c r="S477" s="59">
        <f t="shared" ref="S477" si="4912">((P477/P425)-1)*100</f>
        <v>12.562814070351758</v>
      </c>
      <c r="T477" s="59">
        <f t="shared" ref="T477" si="4913">((P477/Q477)-1)*100</f>
        <v>35.250143760782059</v>
      </c>
      <c r="V477" s="64">
        <v>282020</v>
      </c>
      <c r="W477" s="64">
        <v>90954</v>
      </c>
      <c r="X477" s="64">
        <v>7000</v>
      </c>
      <c r="Y477" s="64">
        <f t="shared" ref="Y477:Y495" si="4914">SUM(V477:X477)</f>
        <v>379974</v>
      </c>
      <c r="Z477" s="53">
        <f t="shared" ref="Z477" si="4915">AVERAGE(Y474,Y475,Y476,Y477)</f>
        <v>301404.75</v>
      </c>
      <c r="AA477" s="53">
        <f t="shared" ref="AA477" si="4916">AVERAGE(Z425,Z373,Z321)</f>
        <v>316789.91666666669</v>
      </c>
      <c r="AB477" s="59">
        <f t="shared" ref="AB477" si="4917">((Y477/Y425)-1)*100</f>
        <v>13.320211147892991</v>
      </c>
      <c r="AC477" s="59">
        <f t="shared" ref="AC477" si="4918">((Z477/Z425)-1)*100</f>
        <v>-26.821393843527964</v>
      </c>
      <c r="AD477" s="59">
        <f t="shared" ref="AD477" si="4919">((Z477/AA477)-1)*100</f>
        <v>-4.8565834508095485</v>
      </c>
      <c r="AF477" s="53">
        <v>1600</v>
      </c>
      <c r="AG477" s="53">
        <v>1750</v>
      </c>
      <c r="AH477" s="53">
        <v>0</v>
      </c>
      <c r="AI477" s="53">
        <f t="shared" ref="AI477:AI490" si="4920">SUM(AF477:AH477)</f>
        <v>3350</v>
      </c>
      <c r="AJ477" s="53">
        <f t="shared" ref="AJ477" si="4921">AVERAGE(AI474,AI475,AI476,AI477)</f>
        <v>15345.5</v>
      </c>
      <c r="AK477" s="53">
        <f t="shared" ref="AK477" si="4922">AVERAGE(AJ425,AJ373,AJ321)</f>
        <v>6856.666666666667</v>
      </c>
      <c r="AL477" s="59">
        <f t="shared" ref="AL477" si="4923">((AI477/AI425)-1)*100</f>
        <v>-69.545454545454547</v>
      </c>
      <c r="AM477" s="59">
        <f t="shared" ref="AM477" si="4924">((AJ477/AJ425)-1)*100</f>
        <v>107.72250423011846</v>
      </c>
      <c r="AN477" s="59">
        <f t="shared" ref="AN477" si="4925">((AJ477/AK477)-1)*100</f>
        <v>123.80408361691781</v>
      </c>
      <c r="AP477" s="60">
        <f t="shared" ref="AP477:AP491" si="4926">SUM(B477,L477,V477,AF477)</f>
        <v>674509</v>
      </c>
      <c r="AQ477" s="53">
        <f t="shared" ref="AQ477:AQ491" si="4927">SUM(C477,M477,W477,AG477)</f>
        <v>176004</v>
      </c>
      <c r="AR477" s="60">
        <f t="shared" ref="AR477:AR491" si="4928">SUM(D477,N477,X477,AH477)</f>
        <v>16800</v>
      </c>
      <c r="AS477" s="53">
        <f t="shared" ref="AS477:AS491" si="4929">SUM(E477,O477,Y477,AI477)</f>
        <v>867313</v>
      </c>
      <c r="AT477" s="53">
        <f t="shared" ref="AT477" si="4930">AVERAGE(AS474,AS475,AS476,AS477)</f>
        <v>964261</v>
      </c>
      <c r="AU477" s="53">
        <f t="shared" ref="AU477" si="4931">AVERAGE(AT425,AT373,AT321)</f>
        <v>812991.33333333337</v>
      </c>
      <c r="AV477" s="59">
        <f t="shared" ref="AV477" si="4932">((AS477/AS425)-1)*100</f>
        <v>21.830050119117182</v>
      </c>
      <c r="AW477" s="59">
        <f t="shared" ref="AW477" si="4933">((AT477/AT425)-1)*100</f>
        <v>14.970701733572668</v>
      </c>
      <c r="AX477" s="59">
        <f t="shared" ref="AX477" si="4934">((AT477/AU477)-1)*100</f>
        <v>18.606553411393477</v>
      </c>
      <c r="AZ477" s="53">
        <f t="shared" ref="AZ477:AZ495" si="4935">+E477/1000</f>
        <v>458.68900000000002</v>
      </c>
      <c r="BA477" s="53">
        <f t="shared" ref="BA477:BA495" si="4936">+O477/1000</f>
        <v>25.3</v>
      </c>
      <c r="BB477" s="53">
        <f t="shared" ref="BB477:BB495" si="4937">+Y477/1000</f>
        <v>379.97399999999999</v>
      </c>
      <c r="BC477" s="53">
        <f t="shared" ref="BC477:BC491" si="4938">+AI477/1000</f>
        <v>3.35</v>
      </c>
      <c r="BD477" s="53">
        <f t="shared" ref="BD477:BD491" si="4939">+AS477/1000</f>
        <v>867.31299999999999</v>
      </c>
      <c r="BE477" s="60">
        <f t="shared" ref="BE477" si="4940">+AZ477+BE476</f>
        <v>19280.975000000002</v>
      </c>
      <c r="BF477" s="60">
        <f t="shared" ref="BF477" si="4941">+BA477+BF476</f>
        <v>1408.8949999999998</v>
      </c>
      <c r="BG477" s="60">
        <f t="shared" ref="BG477" si="4942">+BB477+BG476</f>
        <v>8047.304000000001</v>
      </c>
      <c r="BH477" s="60">
        <f t="shared" ref="BH477" si="4943">+BC477+BH476</f>
        <v>420.56899999999996</v>
      </c>
      <c r="BI477" s="60">
        <f t="shared" ref="BI477" si="4944">+BD477+BI476</f>
        <v>29157.742999999995</v>
      </c>
      <c r="BJ477" s="1">
        <v>50</v>
      </c>
    </row>
    <row r="478" spans="1:62" x14ac:dyDescent="0.3">
      <c r="A478" s="48">
        <f t="shared" si="238"/>
        <v>40901</v>
      </c>
      <c r="B478" s="64">
        <v>237320</v>
      </c>
      <c r="C478" s="64">
        <v>170050</v>
      </c>
      <c r="D478" s="53">
        <v>0</v>
      </c>
      <c r="E478" s="53">
        <f t="shared" si="4902"/>
        <v>407370</v>
      </c>
      <c r="F478" s="53">
        <f t="shared" ref="F478" si="4945">AVERAGE(E475,E476,E477,E478)</f>
        <v>554157.25</v>
      </c>
      <c r="G478" s="53">
        <f t="shared" ref="G478" si="4946">AVERAGE(F426,F374,F322)</f>
        <v>424154.33333333331</v>
      </c>
      <c r="H478" s="59">
        <f t="shared" ref="H478" si="4947">((E478/E426)-1)*100</f>
        <v>-5.7341200971884776</v>
      </c>
      <c r="I478" s="59">
        <f t="shared" ref="I478" si="4948">((F478/F426)-1)*100</f>
        <v>38.709752107902595</v>
      </c>
      <c r="J478" s="59">
        <f t="shared" ref="J478" si="4949">((F478/G478)-1)*100</f>
        <v>30.649908877507649</v>
      </c>
      <c r="L478" s="53">
        <v>1500</v>
      </c>
      <c r="M478" s="53">
        <v>7000</v>
      </c>
      <c r="N478" s="53">
        <v>21000</v>
      </c>
      <c r="O478" s="53">
        <f t="shared" si="4908"/>
        <v>29500</v>
      </c>
      <c r="P478" s="53">
        <f t="shared" ref="P478" si="4950">AVERAGE(O475,O476,O477,O478)</f>
        <v>20750</v>
      </c>
      <c r="Q478" s="53">
        <f t="shared" ref="Q478" si="4951">AVERAGE(P426,P374,P322)</f>
        <v>18083.333333333332</v>
      </c>
      <c r="R478" s="59">
        <f t="shared" ref="R478" si="4952">((O478/O426)-1)*100</f>
        <v>-0.33783783783783994</v>
      </c>
      <c r="S478" s="59">
        <f t="shared" ref="S478" si="4953">((P478/P426)-1)*100</f>
        <v>-1.3079667063020217</v>
      </c>
      <c r="T478" s="59">
        <f t="shared" ref="T478" si="4954">((P478/Q478)-1)*100</f>
        <v>14.746543778801847</v>
      </c>
      <c r="V478" s="64">
        <v>204440</v>
      </c>
      <c r="W478" s="64">
        <v>95606</v>
      </c>
      <c r="X478" s="64">
        <v>8400</v>
      </c>
      <c r="Y478" s="64">
        <f t="shared" si="4914"/>
        <v>308446</v>
      </c>
      <c r="Z478" s="53">
        <f t="shared" ref="Z478" si="4955">AVERAGE(Y475,Y476,Y477,Y478)</f>
        <v>294705.25</v>
      </c>
      <c r="AA478" s="53">
        <f t="shared" ref="AA478" si="4956">AVERAGE(Z426,Z374,Z322)</f>
        <v>304783.41666666669</v>
      </c>
      <c r="AB478" s="59">
        <f t="shared" ref="AB478" si="4957">((Y478/Y426)-1)*100</f>
        <v>-20.656977491961413</v>
      </c>
      <c r="AC478" s="59">
        <f t="shared" ref="AC478" si="4958">((Z478/Z426)-1)*100</f>
        <v>-30.066609952101111</v>
      </c>
      <c r="AD478" s="59">
        <f t="shared" ref="AD478" si="4959">((Z478/AA478)-1)*100</f>
        <v>-3.3066650334486192</v>
      </c>
      <c r="AF478" s="53">
        <v>0</v>
      </c>
      <c r="AG478" s="53">
        <v>0</v>
      </c>
      <c r="AH478" s="53">
        <v>1400</v>
      </c>
      <c r="AI478" s="53">
        <f t="shared" si="4920"/>
        <v>1400</v>
      </c>
      <c r="AJ478" s="53">
        <f t="shared" ref="AJ478" si="4960">AVERAGE(AI475,AI476,AI477,AI478)</f>
        <v>8955.5</v>
      </c>
      <c r="AK478" s="53">
        <f t="shared" ref="AK478" si="4961">AVERAGE(AJ426,AJ374,AJ322)</f>
        <v>7448.333333333333</v>
      </c>
      <c r="AL478" s="59">
        <f t="shared" ref="AL478" si="4962">((AI478/AI426)-1)*100</f>
        <v>-84.946236559139791</v>
      </c>
      <c r="AM478" s="59">
        <f t="shared" ref="AM478" si="4963">((AJ478/AJ426)-1)*100</f>
        <v>-7.8103207810320541E-2</v>
      </c>
      <c r="AN478" s="59">
        <f t="shared" ref="AN478" si="4964">((AJ478/AK478)-1)*100</f>
        <v>20.234951890803309</v>
      </c>
      <c r="AP478" s="60">
        <f t="shared" si="4926"/>
        <v>443260</v>
      </c>
      <c r="AQ478" s="53">
        <f t="shared" si="4927"/>
        <v>272656</v>
      </c>
      <c r="AR478" s="60">
        <f t="shared" si="4928"/>
        <v>30800</v>
      </c>
      <c r="AS478" s="53">
        <f t="shared" si="4929"/>
        <v>746716</v>
      </c>
      <c r="AT478" s="53">
        <f t="shared" ref="AT478" si="4965">AVERAGE(AS475,AS476,AS477,AS478)</f>
        <v>878568</v>
      </c>
      <c r="AU478" s="53">
        <f t="shared" ref="AU478" si="4966">AVERAGE(AT426,AT374,AT322)</f>
        <v>754469.41666666663</v>
      </c>
      <c r="AV478" s="59">
        <f t="shared" ref="AV478" si="4967">((AS478/AS426)-1)*100</f>
        <v>-13.152361014189351</v>
      </c>
      <c r="AW478" s="59">
        <f t="shared" ref="AW478" si="4968">((AT478/AT426)-1)*100</f>
        <v>3.2510698909219649</v>
      </c>
      <c r="AX478" s="59">
        <f t="shared" ref="AX478" si="4969">((AT478/AU478)-1)*100</f>
        <v>16.448457762756675</v>
      </c>
      <c r="AZ478" s="53">
        <f t="shared" si="4935"/>
        <v>407.37</v>
      </c>
      <c r="BA478" s="53">
        <f t="shared" si="4936"/>
        <v>29.5</v>
      </c>
      <c r="BB478" s="53">
        <f t="shared" si="4937"/>
        <v>308.44600000000003</v>
      </c>
      <c r="BC478" s="53">
        <f t="shared" si="4938"/>
        <v>1.4</v>
      </c>
      <c r="BD478" s="53">
        <f t="shared" si="4939"/>
        <v>746.71600000000001</v>
      </c>
      <c r="BE478" s="60">
        <f t="shared" ref="BE478" si="4970">+AZ478+BE477</f>
        <v>19688.345000000001</v>
      </c>
      <c r="BF478" s="60">
        <f t="shared" ref="BF478" si="4971">+BA478+BF477</f>
        <v>1438.3949999999998</v>
      </c>
      <c r="BG478" s="60">
        <f t="shared" ref="BG478" si="4972">+BB478+BG477</f>
        <v>8355.7500000000018</v>
      </c>
      <c r="BH478" s="60">
        <f t="shared" ref="BH478" si="4973">+BC478+BH477</f>
        <v>421.96899999999994</v>
      </c>
      <c r="BI478" s="60">
        <f t="shared" ref="BI478" si="4974">+BD478+BI477</f>
        <v>29904.458999999995</v>
      </c>
      <c r="BJ478" s="1">
        <v>51</v>
      </c>
    </row>
    <row r="479" spans="1:62" x14ac:dyDescent="0.3">
      <c r="A479" s="48">
        <f t="shared" si="238"/>
        <v>40908</v>
      </c>
      <c r="B479" s="64">
        <v>150252</v>
      </c>
      <c r="C479" s="64">
        <v>82517</v>
      </c>
      <c r="D479" s="53">
        <v>0</v>
      </c>
      <c r="E479" s="53">
        <f t="shared" si="4902"/>
        <v>232769</v>
      </c>
      <c r="F479" s="53">
        <f t="shared" ref="F479" si="4975">AVERAGE(E476,E477,E478,E479)</f>
        <v>446561.5</v>
      </c>
      <c r="G479" s="53">
        <f t="shared" ref="G479" si="4976">AVERAGE(F427,F375,F323)</f>
        <v>353869.75</v>
      </c>
      <c r="H479" s="59">
        <f t="shared" ref="H479" si="4977">((E479/E427)-1)*100</f>
        <v>-34.059773371104818</v>
      </c>
      <c r="I479" s="59">
        <f t="shared" ref="I479" si="4978">((F479/F427)-1)*100</f>
        <v>24.557275904484843</v>
      </c>
      <c r="J479" s="59">
        <f t="shared" ref="J479" si="4979">((F479/G479)-1)*100</f>
        <v>26.193747840836924</v>
      </c>
      <c r="L479" s="53">
        <v>0</v>
      </c>
      <c r="M479" s="53">
        <v>14350</v>
      </c>
      <c r="N479" s="53">
        <v>7400</v>
      </c>
      <c r="O479" s="53">
        <f t="shared" si="4908"/>
        <v>21750</v>
      </c>
      <c r="P479" s="53">
        <f t="shared" ref="P479" si="4980">AVERAGE(O476,O477,O478,O479)</f>
        <v>23187.5</v>
      </c>
      <c r="Q479" s="53">
        <f t="shared" ref="Q479" si="4981">AVERAGE(P427,P375,P323)</f>
        <v>17835.583333333332</v>
      </c>
      <c r="R479" s="59">
        <f t="shared" ref="R479" si="4982">((O479/O427)-1)*100</f>
        <v>-14.705882352941179</v>
      </c>
      <c r="S479" s="59">
        <f t="shared" ref="S479" si="4983">((P479/P427)-1)*100</f>
        <v>-7.7573346593734493</v>
      </c>
      <c r="T479" s="59">
        <f t="shared" ref="T479" si="4984">((P479/Q479)-1)*100</f>
        <v>30.00696173847226</v>
      </c>
      <c r="V479" s="64">
        <v>99375</v>
      </c>
      <c r="W479" s="64">
        <v>78060</v>
      </c>
      <c r="X479" s="64">
        <v>19600</v>
      </c>
      <c r="Y479" s="64">
        <f t="shared" si="4914"/>
        <v>197035</v>
      </c>
      <c r="Z479" s="53">
        <f t="shared" ref="Z479" si="4985">AVERAGE(Y476,Y477,Y478,Y479)</f>
        <v>285021.75</v>
      </c>
      <c r="AA479" s="53">
        <f t="shared" ref="AA479" si="4986">AVERAGE(Z427,Z375,Z323)</f>
        <v>250988.25</v>
      </c>
      <c r="AB479" s="59">
        <f t="shared" ref="AB479" si="4987">((Y479/Y427)-1)*100</f>
        <v>9.585650723025573</v>
      </c>
      <c r="AC479" s="59">
        <f t="shared" ref="AC479" si="4988">((Z479/Z427)-1)*100</f>
        <v>-11.573865090629877</v>
      </c>
      <c r="AD479" s="59">
        <f t="shared" ref="AD479" si="4989">((Z479/AA479)-1)*100</f>
        <v>13.559798118039401</v>
      </c>
      <c r="AF479" s="53">
        <v>0</v>
      </c>
      <c r="AG479" s="53">
        <v>0</v>
      </c>
      <c r="AH479" s="53">
        <v>0</v>
      </c>
      <c r="AI479" s="53">
        <f t="shared" si="4920"/>
        <v>0</v>
      </c>
      <c r="AJ479" s="53">
        <f t="shared" ref="AJ479" si="4990">AVERAGE(AI476,AI477,AI478,AI479)</f>
        <v>2237.5</v>
      </c>
      <c r="AK479" s="53">
        <f t="shared" ref="AK479" si="4991">AVERAGE(AJ427,AJ375,AJ323)</f>
        <v>7262.5</v>
      </c>
      <c r="AL479" s="59">
        <f t="shared" ref="AL479" si="4992">((AI479/AI427)-1)*100</f>
        <v>-100</v>
      </c>
      <c r="AM479" s="59">
        <f t="shared" ref="AM479" si="4993">((AJ479/AJ427)-1)*100</f>
        <v>-73.481481481481481</v>
      </c>
      <c r="AN479" s="59">
        <f t="shared" ref="AN479" si="4994">((AJ479/AK479)-1)*100</f>
        <v>-69.191049913941484</v>
      </c>
      <c r="AP479" s="60">
        <f t="shared" si="4926"/>
        <v>249627</v>
      </c>
      <c r="AQ479" s="53">
        <f t="shared" si="4927"/>
        <v>174927</v>
      </c>
      <c r="AR479" s="60">
        <f t="shared" si="4928"/>
        <v>27000</v>
      </c>
      <c r="AS479" s="53">
        <f t="shared" si="4929"/>
        <v>451554</v>
      </c>
      <c r="AT479" s="53">
        <f t="shared" ref="AT479" si="4995">AVERAGE(AS476,AS477,AS478,AS479)</f>
        <v>757008.25</v>
      </c>
      <c r="AU479" s="53">
        <f t="shared" ref="AU479" si="4996">AVERAGE(AT427,AT375,AT323)</f>
        <v>629956.08333333337</v>
      </c>
      <c r="AV479" s="59">
        <f t="shared" ref="AV479" si="4997">((AS479/AS427)-1)*100</f>
        <v>-20.605890109890112</v>
      </c>
      <c r="AW479" s="59">
        <f t="shared" ref="AW479" si="4998">((AT479/AT427)-1)*100</f>
        <v>5.961011811654604</v>
      </c>
      <c r="AX479" s="59">
        <f t="shared" ref="AX479" si="4999">((AT479/AU479)-1)*100</f>
        <v>20.168416502049812</v>
      </c>
      <c r="AZ479" s="53">
        <f t="shared" si="4935"/>
        <v>232.76900000000001</v>
      </c>
      <c r="BA479" s="53">
        <f t="shared" si="4936"/>
        <v>21.75</v>
      </c>
      <c r="BB479" s="53">
        <f t="shared" si="4937"/>
        <v>197.035</v>
      </c>
      <c r="BC479" s="53">
        <f t="shared" si="4938"/>
        <v>0</v>
      </c>
      <c r="BD479" s="53">
        <f t="shared" si="4939"/>
        <v>451.55399999999997</v>
      </c>
      <c r="BE479" s="60">
        <f t="shared" ref="BE479" si="5000">+AZ479+BE478</f>
        <v>19921.114000000001</v>
      </c>
      <c r="BF479" s="60">
        <f t="shared" ref="BF479" si="5001">+BA479+BF478</f>
        <v>1460.1449999999998</v>
      </c>
      <c r="BG479" s="60">
        <f t="shared" ref="BG479" si="5002">+BB479+BG478</f>
        <v>8552.7850000000017</v>
      </c>
      <c r="BH479" s="60">
        <f t="shared" ref="BH479" si="5003">+BC479+BH478</f>
        <v>421.96899999999994</v>
      </c>
      <c r="BI479" s="60">
        <f t="shared" ref="BI479" si="5004">+BD479+BI478</f>
        <v>30356.012999999995</v>
      </c>
      <c r="BJ479" s="1">
        <v>52</v>
      </c>
    </row>
    <row r="480" spans="1:62" x14ac:dyDescent="0.3">
      <c r="A480" s="48">
        <f t="shared" si="238"/>
        <v>40915</v>
      </c>
      <c r="B480" s="64">
        <v>153960</v>
      </c>
      <c r="C480" s="64">
        <v>100547</v>
      </c>
      <c r="D480" s="53">
        <v>0</v>
      </c>
      <c r="E480" s="53">
        <f t="shared" si="4902"/>
        <v>254507</v>
      </c>
      <c r="F480" s="53">
        <f t="shared" ref="F480" si="5005">AVERAGE(E477,E478,E479,E480)</f>
        <v>338333.75</v>
      </c>
      <c r="G480" s="53">
        <f t="shared" ref="G480" si="5006">AVERAGE(F428,F376,F324)</f>
        <v>290842.16666666669</v>
      </c>
      <c r="H480" s="59">
        <f t="shared" ref="H480" si="5007">((E480/E428)-1)*100</f>
        <v>-7.8440815439765332</v>
      </c>
      <c r="I480" s="59">
        <f t="shared" ref="I480" si="5008">((F480/F428)-1)*100</f>
        <v>-4.0469677697470345</v>
      </c>
      <c r="J480" s="59">
        <f t="shared" ref="J480" si="5009">((F480/G480)-1)*100</f>
        <v>16.328988288607849</v>
      </c>
      <c r="L480" s="53">
        <v>1600</v>
      </c>
      <c r="M480" s="64">
        <v>5300</v>
      </c>
      <c r="N480" s="64">
        <v>14000</v>
      </c>
      <c r="O480" s="53">
        <f t="shared" si="4908"/>
        <v>20900</v>
      </c>
      <c r="P480" s="53">
        <f t="shared" ref="P480" si="5010">AVERAGE(O477,O478,O479,O480)</f>
        <v>24362.5</v>
      </c>
      <c r="Q480" s="53">
        <f t="shared" ref="Q480" si="5011">AVERAGE(P428,P376,P324)</f>
        <v>16256.75</v>
      </c>
      <c r="R480" s="59">
        <f t="shared" ref="R480" si="5012">((O480/O428)-1)*100</f>
        <v>11.764705882352944</v>
      </c>
      <c r="S480" s="59">
        <f t="shared" ref="S480" si="5013">((P480/P428)-1)*100</f>
        <v>7.9180509413067535</v>
      </c>
      <c r="T480" s="59">
        <f t="shared" ref="T480" si="5014">((P480/Q480)-1)*100</f>
        <v>49.86082704107524</v>
      </c>
      <c r="V480" s="64">
        <v>103148</v>
      </c>
      <c r="W480" s="64">
        <v>120400</v>
      </c>
      <c r="X480" s="64">
        <v>9800</v>
      </c>
      <c r="Y480" s="64">
        <f t="shared" si="4914"/>
        <v>233348</v>
      </c>
      <c r="Z480" s="53">
        <f t="shared" ref="Z480" si="5015">AVERAGE(Y477,Y478,Y479,Y480)</f>
        <v>279700.75</v>
      </c>
      <c r="AA480" s="53">
        <f t="shared" ref="AA480" si="5016">AVERAGE(Z428,Z376,Z324)</f>
        <v>220934.75</v>
      </c>
      <c r="AB480" s="59">
        <f t="shared" ref="AB480" si="5017">((Y480/Y428)-1)*100</f>
        <v>-12.848552754435104</v>
      </c>
      <c r="AC480" s="59">
        <f t="shared" ref="AC480" si="5018">((Z480/Z428)-1)*100</f>
        <v>-4.5072165652392915</v>
      </c>
      <c r="AD480" s="59">
        <f t="shared" ref="AD480" si="5019">((Z480/AA480)-1)*100</f>
        <v>26.598803492886482</v>
      </c>
      <c r="AF480" s="53">
        <v>0</v>
      </c>
      <c r="AG480" s="53">
        <v>0</v>
      </c>
      <c r="AH480" s="53">
        <v>0</v>
      </c>
      <c r="AI480" s="53">
        <f t="shared" si="4920"/>
        <v>0</v>
      </c>
      <c r="AJ480" s="53">
        <f t="shared" ref="AJ480" si="5020">AVERAGE(AI477,AI478,AI479,AI480)</f>
        <v>1187.5</v>
      </c>
      <c r="AK480" s="53">
        <f t="shared" ref="AK480" si="5021">AVERAGE(AJ428,AJ376,AJ324)</f>
        <v>7533.333333333333</v>
      </c>
      <c r="AL480" s="59">
        <f t="shared" ref="AL480" si="5022">((AI480/AI428)-1)*100</f>
        <v>-100</v>
      </c>
      <c r="AM480" s="59">
        <f t="shared" ref="AM480" si="5023">((AJ480/AJ428)-1)*100</f>
        <v>-86.676016830294529</v>
      </c>
      <c r="AN480" s="59">
        <f t="shared" ref="AN480" si="5024">((AJ480/AK480)-1)*100</f>
        <v>-84.236725663716811</v>
      </c>
      <c r="AP480" s="60">
        <f t="shared" si="4926"/>
        <v>258708</v>
      </c>
      <c r="AQ480" s="53">
        <f t="shared" si="4927"/>
        <v>226247</v>
      </c>
      <c r="AR480" s="60">
        <f t="shared" si="4928"/>
        <v>23800</v>
      </c>
      <c r="AS480" s="53">
        <f t="shared" si="4929"/>
        <v>508755</v>
      </c>
      <c r="AT480" s="53">
        <f t="shared" ref="AT480" si="5025">AVERAGE(AS477,AS478,AS479,AS480)</f>
        <v>643584.5</v>
      </c>
      <c r="AU480" s="53">
        <f t="shared" ref="AU480" si="5026">AVERAGE(AT428,AT376,AT324)</f>
        <v>535567</v>
      </c>
      <c r="AV480" s="59">
        <f t="shared" ref="AV480" si="5027">((AS480/AS428)-1)*100</f>
        <v>-10.354701155906398</v>
      </c>
      <c r="AW480" s="59">
        <f t="shared" ref="AW480" si="5028">((AT480/AT428)-1)*100</f>
        <v>-4.9349070559761676</v>
      </c>
      <c r="AX480" s="59">
        <f t="shared" ref="AX480" si="5029">((AT480/AU480)-1)*100</f>
        <v>20.168811745309178</v>
      </c>
      <c r="AZ480" s="53">
        <f t="shared" si="4935"/>
        <v>254.50700000000001</v>
      </c>
      <c r="BA480" s="53">
        <f t="shared" si="4936"/>
        <v>20.9</v>
      </c>
      <c r="BB480" s="53">
        <f t="shared" si="4937"/>
        <v>233.34800000000001</v>
      </c>
      <c r="BC480" s="53">
        <f t="shared" si="4938"/>
        <v>0</v>
      </c>
      <c r="BD480" s="53">
        <f t="shared" si="4939"/>
        <v>508.755</v>
      </c>
      <c r="BE480" s="60">
        <f>AZ480</f>
        <v>254.50700000000001</v>
      </c>
      <c r="BF480" s="60">
        <f t="shared" ref="BF480:BI480" si="5030">BA480</f>
        <v>20.9</v>
      </c>
      <c r="BG480" s="60">
        <f t="shared" si="5030"/>
        <v>233.34800000000001</v>
      </c>
      <c r="BH480" s="60">
        <f t="shared" si="5030"/>
        <v>0</v>
      </c>
      <c r="BI480" s="60">
        <f t="shared" si="5030"/>
        <v>508.755</v>
      </c>
      <c r="BJ480" s="1">
        <v>1</v>
      </c>
    </row>
    <row r="481" spans="1:62" x14ac:dyDescent="0.3">
      <c r="A481" s="48">
        <f t="shared" si="238"/>
        <v>40922</v>
      </c>
      <c r="B481" s="64">
        <v>200300</v>
      </c>
      <c r="C481" s="64">
        <v>138672</v>
      </c>
      <c r="D481" s="53">
        <v>0</v>
      </c>
      <c r="E481" s="53">
        <f t="shared" si="4902"/>
        <v>338972</v>
      </c>
      <c r="F481" s="53">
        <f t="shared" ref="F481" si="5031">AVERAGE(E478,E479,E480,E481)</f>
        <v>308404.5</v>
      </c>
      <c r="G481" s="53">
        <f t="shared" ref="G481" si="5032">AVERAGE(F429,F377,F325)</f>
        <v>256682.08333333334</v>
      </c>
      <c r="H481" s="59">
        <f t="shared" ref="H481" si="5033">((E481/E429)-1)*100</f>
        <v>26.86267758499379</v>
      </c>
      <c r="I481" s="59">
        <f t="shared" ref="I481" si="5034">((F481/F429)-1)*100</f>
        <v>-7.1431582306874741</v>
      </c>
      <c r="J481" s="59">
        <f t="shared" ref="J481" si="5035">((F481/G481)-1)*100</f>
        <v>20.150380577789974</v>
      </c>
      <c r="L481" s="53">
        <v>0</v>
      </c>
      <c r="M481" s="64">
        <v>5186</v>
      </c>
      <c r="N481" s="64">
        <v>19600</v>
      </c>
      <c r="O481" s="53">
        <f t="shared" si="4908"/>
        <v>24786</v>
      </c>
      <c r="P481" s="53">
        <f t="shared" ref="P481" si="5036">AVERAGE(O478,O479,O480,O481)</f>
        <v>24234</v>
      </c>
      <c r="Q481" s="53">
        <f t="shared" ref="Q481" si="5037">AVERAGE(P429,P377,P325)</f>
        <v>17090.083333333332</v>
      </c>
      <c r="R481" s="59">
        <f t="shared" ref="R481" si="5038">((O481/O429)-1)*100</f>
        <v>37.700000000000003</v>
      </c>
      <c r="S481" s="59">
        <f t="shared" ref="S481" si="5039">((P481/P429)-1)*100</f>
        <v>5.5947712418300544</v>
      </c>
      <c r="T481" s="59">
        <f t="shared" ref="T481" si="5040">((P481/Q481)-1)*100</f>
        <v>41.801532077569362</v>
      </c>
      <c r="V481" s="64">
        <v>81200</v>
      </c>
      <c r="W481" s="64">
        <v>136830</v>
      </c>
      <c r="X481" s="64">
        <v>16800</v>
      </c>
      <c r="Y481" s="64">
        <f t="shared" si="4914"/>
        <v>234830</v>
      </c>
      <c r="Z481" s="53">
        <f t="shared" ref="Z481" si="5041">AVERAGE(Y478,Y479,Y480,Y481)</f>
        <v>243414.75</v>
      </c>
      <c r="AA481" s="53">
        <f t="shared" ref="AA481" si="5042">AVERAGE(Z429,Z377,Z325)</f>
        <v>217436.16666666666</v>
      </c>
      <c r="AB481" s="59">
        <f t="shared" ref="AB481" si="5043">((Y481/Y429)-1)*100</f>
        <v>-6.3228019786181537</v>
      </c>
      <c r="AC481" s="59">
        <f t="shared" ref="AC481" si="5044">((Z481/Z429)-1)*100</f>
        <v>-10.425306813372837</v>
      </c>
      <c r="AD481" s="59">
        <f t="shared" ref="AD481" si="5045">((Z481/AA481)-1)*100</f>
        <v>11.947682729873987</v>
      </c>
      <c r="AF481" s="53">
        <v>0</v>
      </c>
      <c r="AG481" s="53">
        <v>0</v>
      </c>
      <c r="AH481" s="53">
        <v>0</v>
      </c>
      <c r="AI481" s="53">
        <f t="shared" si="4920"/>
        <v>0</v>
      </c>
      <c r="AJ481" s="53">
        <f t="shared" ref="AJ481" si="5046">AVERAGE(AI478,AI479,AI480,AI481)</f>
        <v>350</v>
      </c>
      <c r="AK481" s="53">
        <f t="shared" ref="AK481" si="5047">AVERAGE(AJ429,AJ377,AJ325)</f>
        <v>5566.666666666667</v>
      </c>
      <c r="AL481" s="59">
        <f t="shared" ref="AL481" si="5048">((AI481/AI429)-1)*100</f>
        <v>-100</v>
      </c>
      <c r="AM481" s="59">
        <f t="shared" ref="AM481" si="5049">((AJ481/AJ429)-1)*100</f>
        <v>-94.973070017953319</v>
      </c>
      <c r="AN481" s="59">
        <f t="shared" ref="AN481" si="5050">((AJ481/AK481)-1)*100</f>
        <v>-93.712574850299404</v>
      </c>
      <c r="AP481" s="60">
        <f t="shared" si="4926"/>
        <v>281500</v>
      </c>
      <c r="AQ481" s="53">
        <f t="shared" si="4927"/>
        <v>280688</v>
      </c>
      <c r="AR481" s="60">
        <f t="shared" si="4928"/>
        <v>36400</v>
      </c>
      <c r="AS481" s="53">
        <f t="shared" si="4929"/>
        <v>598588</v>
      </c>
      <c r="AT481" s="53">
        <f t="shared" ref="AT481" si="5051">AVERAGE(AS478,AS479,AS480,AS481)</f>
        <v>576403.25</v>
      </c>
      <c r="AU481" s="53">
        <f t="shared" ref="AU481" si="5052">AVERAGE(AT429,AT377,AT325)</f>
        <v>496775</v>
      </c>
      <c r="AV481" s="59">
        <f t="shared" ref="AV481" si="5053">((AS481/AS429)-1)*100</f>
        <v>11.039630775623465</v>
      </c>
      <c r="AW481" s="59">
        <f t="shared" ref="AW481" si="5054">((AT481/AT429)-1)*100</f>
        <v>-9.054034757761487</v>
      </c>
      <c r="AX481" s="59">
        <f t="shared" ref="AX481" si="5055">((AT481/AU481)-1)*100</f>
        <v>16.029037290523874</v>
      </c>
      <c r="AZ481" s="53">
        <f t="shared" si="4935"/>
        <v>338.97199999999998</v>
      </c>
      <c r="BA481" s="53">
        <f t="shared" si="4936"/>
        <v>24.786000000000001</v>
      </c>
      <c r="BB481" s="53">
        <f t="shared" si="4937"/>
        <v>234.83</v>
      </c>
      <c r="BC481" s="53">
        <f t="shared" si="4938"/>
        <v>0</v>
      </c>
      <c r="BD481" s="53">
        <f t="shared" si="4939"/>
        <v>598.58799999999997</v>
      </c>
      <c r="BE481" s="60">
        <f t="shared" ref="BE481:BI482" si="5056">BE480+AZ481</f>
        <v>593.47900000000004</v>
      </c>
      <c r="BF481" s="60">
        <f t="shared" si="5056"/>
        <v>45.686</v>
      </c>
      <c r="BG481" s="60">
        <f t="shared" si="5056"/>
        <v>468.178</v>
      </c>
      <c r="BH481" s="60">
        <f t="shared" si="5056"/>
        <v>0</v>
      </c>
      <c r="BI481" s="60">
        <f t="shared" si="5056"/>
        <v>1107.3429999999998</v>
      </c>
      <c r="BJ481" s="1">
        <v>2</v>
      </c>
    </row>
    <row r="482" spans="1:62" x14ac:dyDescent="0.3">
      <c r="A482" s="48">
        <f t="shared" si="238"/>
        <v>40929</v>
      </c>
      <c r="B482" s="64">
        <v>240300</v>
      </c>
      <c r="C482" s="64">
        <v>117150</v>
      </c>
      <c r="D482" s="53">
        <v>0</v>
      </c>
      <c r="E482" s="53">
        <f t="shared" si="4902"/>
        <v>357450</v>
      </c>
      <c r="F482" s="53">
        <f t="shared" ref="F482" si="5057">AVERAGE(E479,E480,E481,E482)</f>
        <v>295924.5</v>
      </c>
      <c r="G482" s="53">
        <f t="shared" ref="G482" si="5058">AVERAGE(F430,F378,F326)</f>
        <v>259546.08333333334</v>
      </c>
      <c r="H482" s="59">
        <f t="shared" ref="H482" si="5059">((E482/E430)-1)*100</f>
        <v>18.616226978596305</v>
      </c>
      <c r="I482" s="59">
        <f t="shared" ref="I482" si="5060">((F482/F430)-1)*100</f>
        <v>-1.1703943171837095</v>
      </c>
      <c r="J482" s="59">
        <f t="shared" ref="J482" si="5061">((F482/G482)-1)*100</f>
        <v>14.016168612317713</v>
      </c>
      <c r="L482" s="53">
        <v>15400</v>
      </c>
      <c r="M482" s="64">
        <v>10600</v>
      </c>
      <c r="N482" s="64">
        <v>11200</v>
      </c>
      <c r="O482" s="53">
        <f t="shared" si="4908"/>
        <v>37200</v>
      </c>
      <c r="P482" s="53">
        <f t="shared" ref="P482" si="5062">AVERAGE(O479,O480,O481,O482)</f>
        <v>26159</v>
      </c>
      <c r="Q482" s="53">
        <f t="shared" ref="Q482" si="5063">AVERAGE(P430,P378,P326)</f>
        <v>17378.916666666668</v>
      </c>
      <c r="R482" s="59">
        <f t="shared" ref="R482" si="5064">((O482/O430)-1)*100</f>
        <v>94.764397905759168</v>
      </c>
      <c r="S482" s="59">
        <f t="shared" ref="S482" si="5065">((P482/P430)-1)*100</f>
        <v>28.703567035670364</v>
      </c>
      <c r="T482" s="59">
        <f t="shared" ref="T482" si="5066">((P482/Q482)-1)*100</f>
        <v>50.521465185305935</v>
      </c>
      <c r="V482" s="64">
        <v>165699</v>
      </c>
      <c r="W482" s="64">
        <v>109026</v>
      </c>
      <c r="X482" s="64">
        <v>18200</v>
      </c>
      <c r="Y482" s="64">
        <f t="shared" si="4914"/>
        <v>292925</v>
      </c>
      <c r="Z482" s="53">
        <f t="shared" ref="Z482" si="5067">AVERAGE(Y479,Y480,Y481,Y482)</f>
        <v>239534.5</v>
      </c>
      <c r="AA482" s="53">
        <f t="shared" ref="AA482" si="5068">AVERAGE(Z430,Z378,Z326)</f>
        <v>222092.33333333334</v>
      </c>
      <c r="AB482" s="59">
        <f t="shared" ref="AB482" si="5069">((Y482/Y430)-1)*100</f>
        <v>15.370224497833785</v>
      </c>
      <c r="AC482" s="59">
        <f t="shared" ref="AC482" si="5070">((Z482/Z430)-1)*100</f>
        <v>0.63100627015217903</v>
      </c>
      <c r="AD482" s="59">
        <f t="shared" ref="AD482" si="5071">((Z482/AA482)-1)*100</f>
        <v>7.8535654089815443</v>
      </c>
      <c r="AF482" s="53">
        <v>0</v>
      </c>
      <c r="AG482" s="53">
        <v>0</v>
      </c>
      <c r="AH482" s="53">
        <v>1400</v>
      </c>
      <c r="AI482" s="53">
        <f t="shared" si="4920"/>
        <v>1400</v>
      </c>
      <c r="AJ482" s="53">
        <f t="shared" ref="AJ482" si="5072">AVERAGE(AI479,AI480,AI481,AI482)</f>
        <v>350</v>
      </c>
      <c r="AK482" s="53">
        <f t="shared" ref="AK482" si="5073">AVERAGE(AJ430,AJ378,AJ326)</f>
        <v>5641.666666666667</v>
      </c>
      <c r="AL482" s="59">
        <f t="shared" ref="AL482" si="5074">((AI482/AI430)-1)*100</f>
        <v>0</v>
      </c>
      <c r="AM482" s="59">
        <f t="shared" ref="AM482" si="5075">((AJ482/AJ430)-1)*100</f>
        <v>-92.982456140350877</v>
      </c>
      <c r="AN482" s="59">
        <f t="shared" ref="AN482" si="5076">((AJ482/AK482)-1)*100</f>
        <v>-93.796159527326438</v>
      </c>
      <c r="AP482" s="60">
        <f t="shared" si="4926"/>
        <v>421399</v>
      </c>
      <c r="AQ482" s="53">
        <f t="shared" si="4927"/>
        <v>236776</v>
      </c>
      <c r="AR482" s="60">
        <f t="shared" si="4928"/>
        <v>30800</v>
      </c>
      <c r="AS482" s="53">
        <f t="shared" si="4929"/>
        <v>688975</v>
      </c>
      <c r="AT482" s="53">
        <f t="shared" ref="AT482" si="5077">AVERAGE(AS479,AS480,AS481,AS482)</f>
        <v>561968</v>
      </c>
      <c r="AU482" s="53">
        <f t="shared" ref="AU482" si="5078">AVERAGE(AT430,AT378,AT326)</f>
        <v>504659</v>
      </c>
      <c r="AV482" s="59">
        <f t="shared" ref="AV482" si="5079">((AS482/AS430)-1)*100</f>
        <v>19.665653495440736</v>
      </c>
      <c r="AW482" s="59">
        <f t="shared" ref="AW482" si="5080">((AT482/AT430)-1)*100</f>
        <v>-0.14321912526165104</v>
      </c>
      <c r="AX482" s="59">
        <f t="shared" ref="AX482" si="5081">((AT482/AU482)-1)*100</f>
        <v>11.355984932399888</v>
      </c>
      <c r="AZ482" s="53">
        <f t="shared" si="4935"/>
        <v>357.45</v>
      </c>
      <c r="BA482" s="53">
        <f t="shared" si="4936"/>
        <v>37.200000000000003</v>
      </c>
      <c r="BB482" s="53">
        <f t="shared" si="4937"/>
        <v>292.92500000000001</v>
      </c>
      <c r="BC482" s="53">
        <f t="shared" si="4938"/>
        <v>1.4</v>
      </c>
      <c r="BD482" s="53">
        <f t="shared" si="4939"/>
        <v>688.97500000000002</v>
      </c>
      <c r="BE482" s="60">
        <f t="shared" si="5056"/>
        <v>950.92900000000009</v>
      </c>
      <c r="BF482" s="60">
        <f t="shared" si="5056"/>
        <v>82.885999999999996</v>
      </c>
      <c r="BG482" s="60">
        <f t="shared" si="5056"/>
        <v>761.10300000000007</v>
      </c>
      <c r="BH482" s="60">
        <f t="shared" si="5056"/>
        <v>1.4</v>
      </c>
      <c r="BI482" s="60">
        <f t="shared" si="5056"/>
        <v>1796.3179999999998</v>
      </c>
      <c r="BJ482" s="1">
        <v>3</v>
      </c>
    </row>
    <row r="483" spans="1:62" x14ac:dyDescent="0.3">
      <c r="A483" s="48">
        <f t="shared" si="238"/>
        <v>40936</v>
      </c>
      <c r="B483" s="64">
        <v>225400</v>
      </c>
      <c r="C483" s="64">
        <v>116950</v>
      </c>
      <c r="D483" s="53">
        <v>0</v>
      </c>
      <c r="E483" s="53">
        <f t="shared" si="4902"/>
        <v>342350</v>
      </c>
      <c r="F483" s="53">
        <f t="shared" ref="F483" si="5082">AVERAGE(E480,E481,E482,E483)</f>
        <v>323319.75</v>
      </c>
      <c r="G483" s="53">
        <f t="shared" ref="G483" si="5083">AVERAGE(F431,F379,F327)</f>
        <v>265111.16666666669</v>
      </c>
      <c r="H483" s="59">
        <f t="shared" ref="H483" si="5084">((E483/E431)-1)*100</f>
        <v>0.27826596367896972</v>
      </c>
      <c r="I483" s="59">
        <f t="shared" ref="I483" si="5085">((F483/F431)-1)*100</f>
        <v>9.0347824327468906</v>
      </c>
      <c r="J483" s="59">
        <f t="shared" ref="J483" si="5086">((F483/G483)-1)*100</f>
        <v>21.95629254897473</v>
      </c>
      <c r="L483" s="53">
        <v>0</v>
      </c>
      <c r="M483" s="64">
        <v>3600</v>
      </c>
      <c r="N483" s="64">
        <v>12600</v>
      </c>
      <c r="O483" s="53">
        <f t="shared" si="4908"/>
        <v>16200</v>
      </c>
      <c r="P483" s="53">
        <f t="shared" ref="P483" si="5087">AVERAGE(O480,O481,O482,O483)</f>
        <v>24771.5</v>
      </c>
      <c r="Q483" s="53">
        <f t="shared" ref="Q483" si="5088">AVERAGE(P431,P379,P327)</f>
        <v>17005.833333333332</v>
      </c>
      <c r="R483" s="59">
        <f t="shared" ref="R483" si="5089">((O483/O431)-1)*100</f>
        <v>-22.857142857142854</v>
      </c>
      <c r="S483" s="59">
        <f t="shared" ref="S483" si="5090">((P483/P431)-1)*100</f>
        <v>29.018229166666675</v>
      </c>
      <c r="T483" s="59">
        <f t="shared" ref="T483" si="5091">((P483/Q483)-1)*100</f>
        <v>45.66472288920469</v>
      </c>
      <c r="V483" s="64">
        <v>109200</v>
      </c>
      <c r="W483" s="64">
        <v>120750</v>
      </c>
      <c r="X483" s="64">
        <v>27200</v>
      </c>
      <c r="Y483" s="64">
        <f t="shared" si="4914"/>
        <v>257150</v>
      </c>
      <c r="Z483" s="53">
        <f t="shared" ref="Z483" si="5092">AVERAGE(Y480,Y481,Y482,Y483)</f>
        <v>254563.25</v>
      </c>
      <c r="AA483" s="53">
        <f t="shared" ref="AA483" si="5093">AVERAGE(Z431,Z379,Z327)</f>
        <v>227913.91666666666</v>
      </c>
      <c r="AB483" s="59">
        <f t="shared" ref="AB483" si="5094">((Y483/Y431)-1)*100</f>
        <v>18.8484433927383</v>
      </c>
      <c r="AC483" s="59">
        <f t="shared" ref="AC483" si="5095">((Z483/Z431)-1)*100</f>
        <v>2.9892848979162556</v>
      </c>
      <c r="AD483" s="59">
        <f t="shared" ref="AD483" si="5096">((Z483/AA483)-1)*100</f>
        <v>11.692718778690935</v>
      </c>
      <c r="AF483" s="53">
        <v>0</v>
      </c>
      <c r="AG483" s="53">
        <v>5250</v>
      </c>
      <c r="AH483" s="53">
        <v>0</v>
      </c>
      <c r="AI483" s="53">
        <f t="shared" si="4920"/>
        <v>5250</v>
      </c>
      <c r="AJ483" s="53">
        <f t="shared" ref="AJ483" si="5097">AVERAGE(AI480,AI481,AI482,AI483)</f>
        <v>1662.5</v>
      </c>
      <c r="AK483" s="53">
        <f t="shared" ref="AK483" si="5098">AVERAGE(AJ431,AJ379,AJ327)</f>
        <v>4629.166666666667</v>
      </c>
      <c r="AL483" s="59">
        <f t="shared" ref="AL483" si="5099">((AI483/AI431)-1)*100</f>
        <v>14.130434782608692</v>
      </c>
      <c r="AM483" s="59">
        <f t="shared" ref="AM483" si="5100">((AJ483/AJ431)-1)*100</f>
        <v>-52.836879432624116</v>
      </c>
      <c r="AN483" s="59">
        <f t="shared" ref="AN483" si="5101">((AJ483/AK483)-1)*100</f>
        <v>-64.086408640864093</v>
      </c>
      <c r="AP483" s="60">
        <f t="shared" si="4926"/>
        <v>334600</v>
      </c>
      <c r="AQ483" s="53">
        <f t="shared" si="4927"/>
        <v>246550</v>
      </c>
      <c r="AR483" s="60">
        <f t="shared" si="4928"/>
        <v>39800</v>
      </c>
      <c r="AS483" s="53">
        <f t="shared" si="4929"/>
        <v>620950</v>
      </c>
      <c r="AT483" s="53">
        <f t="shared" ref="AT483" si="5102">AVERAGE(AS480,AS481,AS482,AS483)</f>
        <v>604317</v>
      </c>
      <c r="AU483" s="53">
        <f t="shared" ref="AU483" si="5103">AVERAGE(AT431,AT379,AT327)</f>
        <v>514660.08333333331</v>
      </c>
      <c r="AV483" s="59">
        <f t="shared" ref="AV483" si="5104">((AS483/AS431)-1)*100</f>
        <v>6.4422457179687642</v>
      </c>
      <c r="AW483" s="59">
        <f t="shared" ref="AW483" si="5105">((AT483/AT431)-1)*100</f>
        <v>6.6890172369504786</v>
      </c>
      <c r="AX483" s="59">
        <f t="shared" ref="AX483" si="5106">((AT483/AU483)-1)*100</f>
        <v>17.420608197546585</v>
      </c>
      <c r="AZ483" s="53">
        <f t="shared" si="4935"/>
        <v>342.35</v>
      </c>
      <c r="BA483" s="53">
        <f t="shared" si="4936"/>
        <v>16.2</v>
      </c>
      <c r="BB483" s="53">
        <f t="shared" si="4937"/>
        <v>257.14999999999998</v>
      </c>
      <c r="BC483" s="53">
        <f t="shared" si="4938"/>
        <v>5.25</v>
      </c>
      <c r="BD483" s="53">
        <f t="shared" si="4939"/>
        <v>620.95000000000005</v>
      </c>
      <c r="BE483" s="60">
        <f t="shared" ref="BE483" si="5107">BE482+AZ483</f>
        <v>1293.279</v>
      </c>
      <c r="BF483" s="60">
        <f t="shared" ref="BF483" si="5108">BF482+BA483</f>
        <v>99.085999999999999</v>
      </c>
      <c r="BG483" s="60">
        <f t="shared" ref="BG483" si="5109">BG482+BB483</f>
        <v>1018.253</v>
      </c>
      <c r="BH483" s="60">
        <f t="shared" ref="BH483" si="5110">BH482+BC483</f>
        <v>6.65</v>
      </c>
      <c r="BI483" s="60">
        <f t="shared" ref="BI483" si="5111">BI482+BD483</f>
        <v>2417.268</v>
      </c>
      <c r="BJ483" s="1">
        <v>4</v>
      </c>
    </row>
    <row r="484" spans="1:62" x14ac:dyDescent="0.3">
      <c r="A484" s="48">
        <f t="shared" si="238"/>
        <v>40943</v>
      </c>
      <c r="B484" s="64">
        <v>254600</v>
      </c>
      <c r="C484" s="64">
        <v>119568</v>
      </c>
      <c r="D484" s="53">
        <v>0</v>
      </c>
      <c r="E484" s="53">
        <f t="shared" si="4902"/>
        <v>374168</v>
      </c>
      <c r="F484" s="53">
        <f t="shared" ref="F484" si="5112">AVERAGE(E481,E482,E483,E484)</f>
        <v>353235</v>
      </c>
      <c r="G484" s="53">
        <f t="shared" ref="G484" si="5113">AVERAGE(F432,F380,F328)</f>
        <v>286137.5</v>
      </c>
      <c r="H484" s="59">
        <f t="shared" ref="H484" si="5114">((E484/E432)-1)*100</f>
        <v>41.181619916536484</v>
      </c>
      <c r="I484" s="59">
        <f t="shared" ref="I484" si="5115">((F484/F432)-1)*100</f>
        <v>20.253078371229272</v>
      </c>
      <c r="J484" s="59">
        <f t="shared" ref="J484" si="5116">((F484/G484)-1)*100</f>
        <v>23.44939059018829</v>
      </c>
      <c r="L484" s="53">
        <v>17300</v>
      </c>
      <c r="M484" s="64">
        <v>3200</v>
      </c>
      <c r="N484" s="64">
        <v>7000</v>
      </c>
      <c r="O484" s="53">
        <f t="shared" si="4908"/>
        <v>27500</v>
      </c>
      <c r="P484" s="53">
        <f t="shared" ref="P484" si="5117">AVERAGE(O481,O482,O483,O484)</f>
        <v>26421.5</v>
      </c>
      <c r="Q484" s="53">
        <f t="shared" ref="Q484" si="5118">AVERAGE(P432,P380,P328)</f>
        <v>19913.833333333332</v>
      </c>
      <c r="R484" s="59">
        <f t="shared" ref="R484" si="5119">((O484/O432)-1)*100</f>
        <v>82.119205298013242</v>
      </c>
      <c r="S484" s="59">
        <f t="shared" ref="S484" si="5120">((P484/P432)-1)*100</f>
        <v>44.379781420765021</v>
      </c>
      <c r="T484" s="59">
        <f t="shared" ref="T484" si="5121">((P484/Q484)-1)*100</f>
        <v>32.679125900755764</v>
      </c>
      <c r="V484" s="64">
        <v>161648</v>
      </c>
      <c r="W484" s="64">
        <v>121726</v>
      </c>
      <c r="X484" s="64">
        <v>29400</v>
      </c>
      <c r="Y484" s="64">
        <f t="shared" si="4914"/>
        <v>312774</v>
      </c>
      <c r="Z484" s="53">
        <f t="shared" ref="Z484" si="5122">AVERAGE(Y481,Y482,Y483,Y484)</f>
        <v>274419.75</v>
      </c>
      <c r="AA484" s="53">
        <f t="shared" ref="AA484" si="5123">AVERAGE(Z432,Z380,Z328)</f>
        <v>236874.16666666666</v>
      </c>
      <c r="AB484" s="59">
        <f t="shared" ref="AB484" si="5124">((Y484/Y432)-1)*100</f>
        <v>78.760687668602273</v>
      </c>
      <c r="AC484" s="59">
        <f t="shared" ref="AC484" si="5125">((Z484/Z432)-1)*100</f>
        <v>22.520303242714725</v>
      </c>
      <c r="AD484" s="59">
        <f t="shared" ref="AD484" si="5126">((Z484/AA484)-1)*100</f>
        <v>15.850433950515219</v>
      </c>
      <c r="AF484" s="53">
        <v>3200</v>
      </c>
      <c r="AG484" s="53">
        <v>0</v>
      </c>
      <c r="AH484" s="53">
        <v>2800</v>
      </c>
      <c r="AI484" s="53">
        <f t="shared" si="4920"/>
        <v>6000</v>
      </c>
      <c r="AJ484" s="53">
        <f t="shared" ref="AJ484" si="5127">AVERAGE(AI481,AI482,AI483,AI484)</f>
        <v>3162.5</v>
      </c>
      <c r="AK484" s="53">
        <f t="shared" ref="AK484" si="5128">AVERAGE(AJ432,AJ380,AJ328)</f>
        <v>5575</v>
      </c>
      <c r="AL484" s="59">
        <f t="shared" ref="AL484" si="5129">((AI484/AI432)-1)*100</f>
        <v>-17.808219178082197</v>
      </c>
      <c r="AM484" s="59">
        <f t="shared" ref="AM484" si="5130">((AJ484/AJ432)-1)*100</f>
        <v>-23.333333333333329</v>
      </c>
      <c r="AN484" s="59">
        <f t="shared" ref="AN484" si="5131">((AJ484/AK484)-1)*100</f>
        <v>-43.27354260089686</v>
      </c>
      <c r="AP484" s="60">
        <f t="shared" si="4926"/>
        <v>436748</v>
      </c>
      <c r="AQ484" s="53">
        <f t="shared" si="4927"/>
        <v>244494</v>
      </c>
      <c r="AR484" s="60">
        <f t="shared" si="4928"/>
        <v>39200</v>
      </c>
      <c r="AS484" s="53">
        <f t="shared" si="4929"/>
        <v>720442</v>
      </c>
      <c r="AT484" s="53">
        <f t="shared" ref="AT484" si="5132">AVERAGE(AS481,AS482,AS483,AS484)</f>
        <v>657238.75</v>
      </c>
      <c r="AU484" s="53">
        <f t="shared" ref="AU484" si="5133">AVERAGE(AT432,AT380,AT328)</f>
        <v>548500.5</v>
      </c>
      <c r="AV484" s="59">
        <f t="shared" ref="AV484" si="5134">((AS484/AS432)-1)*100</f>
        <v>55.806952512359587</v>
      </c>
      <c r="AW484" s="59">
        <f t="shared" ref="AW484" si="5135">((AT484/AT432)-1)*100</f>
        <v>21.677756240430845</v>
      </c>
      <c r="AX484" s="59">
        <f t="shared" ref="AX484" si="5136">((AT484/AU484)-1)*100</f>
        <v>19.824640086927904</v>
      </c>
      <c r="AZ484" s="53">
        <f t="shared" si="4935"/>
        <v>374.16800000000001</v>
      </c>
      <c r="BA484" s="53">
        <f t="shared" si="4936"/>
        <v>27.5</v>
      </c>
      <c r="BB484" s="53">
        <f t="shared" si="4937"/>
        <v>312.774</v>
      </c>
      <c r="BC484" s="53">
        <f t="shared" si="4938"/>
        <v>6</v>
      </c>
      <c r="BD484" s="53">
        <f t="shared" si="4939"/>
        <v>720.44200000000001</v>
      </c>
      <c r="BE484" s="60">
        <f t="shared" ref="BE484" si="5137">BE483+AZ484</f>
        <v>1667.4470000000001</v>
      </c>
      <c r="BF484" s="60">
        <f t="shared" ref="BF484" si="5138">BF483+BA484</f>
        <v>126.586</v>
      </c>
      <c r="BG484" s="60">
        <f t="shared" ref="BG484" si="5139">BG483+BB484</f>
        <v>1331.027</v>
      </c>
      <c r="BH484" s="60">
        <f t="shared" ref="BH484" si="5140">BH483+BC484</f>
        <v>12.65</v>
      </c>
      <c r="BI484" s="60">
        <f t="shared" ref="BI484" si="5141">BI483+BD484</f>
        <v>3137.71</v>
      </c>
      <c r="BJ484" s="1">
        <v>5</v>
      </c>
    </row>
    <row r="485" spans="1:62" x14ac:dyDescent="0.3">
      <c r="A485" s="48">
        <f t="shared" si="238"/>
        <v>40950</v>
      </c>
      <c r="B485" s="64">
        <v>253500</v>
      </c>
      <c r="C485" s="64">
        <v>178100</v>
      </c>
      <c r="D485" s="53">
        <v>0</v>
      </c>
      <c r="E485" s="53">
        <f t="shared" si="4902"/>
        <v>431600</v>
      </c>
      <c r="F485" s="53">
        <f t="shared" ref="F485" si="5142">AVERAGE(E482,E483,E484,E485)</f>
        <v>376392</v>
      </c>
      <c r="G485" s="53">
        <f t="shared" ref="G485" si="5143">AVERAGE(F433,F381,F329)</f>
        <v>293602.83333333331</v>
      </c>
      <c r="H485" s="59">
        <f t="shared" ref="H485" si="5144">((E485/E433)-1)*100</f>
        <v>85.14228845477399</v>
      </c>
      <c r="I485" s="59">
        <f t="shared" ref="I485" si="5145">((F485/F433)-1)*100</f>
        <v>31.963880956513059</v>
      </c>
      <c r="J485" s="59">
        <f t="shared" ref="J485" si="5146">((F485/G485)-1)*100</f>
        <v>28.197672933446949</v>
      </c>
      <c r="L485" s="53">
        <v>1600</v>
      </c>
      <c r="M485" s="64">
        <v>6950</v>
      </c>
      <c r="N485" s="64">
        <v>15400</v>
      </c>
      <c r="O485" s="53">
        <f t="shared" si="4908"/>
        <v>23950</v>
      </c>
      <c r="P485" s="53">
        <f t="shared" ref="P485" si="5147">AVERAGE(O482,O483,O484,O485)</f>
        <v>26212.5</v>
      </c>
      <c r="Q485" s="53">
        <f t="shared" ref="Q485" si="5148">AVERAGE(P433,P381,P329)</f>
        <v>18551.25</v>
      </c>
      <c r="R485" s="59">
        <f t="shared" ref="R485" si="5149">((O485/O433)-1)*100</f>
        <v>53.035143769968052</v>
      </c>
      <c r="S485" s="59">
        <f t="shared" ref="S485" si="5150">((P485/P433)-1)*100</f>
        <v>47.988708539167256</v>
      </c>
      <c r="T485" s="59">
        <f t="shared" ref="T485" si="5151">((P485/Q485)-1)*100</f>
        <v>41.297756215888427</v>
      </c>
      <c r="V485" s="64">
        <v>167100</v>
      </c>
      <c r="W485" s="64">
        <v>154300</v>
      </c>
      <c r="X485" s="64">
        <v>23800</v>
      </c>
      <c r="Y485" s="64">
        <f t="shared" si="4914"/>
        <v>345200</v>
      </c>
      <c r="Z485" s="53">
        <f t="shared" ref="Z485" si="5152">AVERAGE(Y482,Y483,Y484,Y485)</f>
        <v>302012.25</v>
      </c>
      <c r="AA485" s="53">
        <f t="shared" ref="AA485" si="5153">AVERAGE(Z433,Z381,Z329)</f>
        <v>232024</v>
      </c>
      <c r="AB485" s="59">
        <f t="shared" ref="AB485" si="5154">((Y485/Y433)-1)*100</f>
        <v>50.462458483345387</v>
      </c>
      <c r="AC485" s="59">
        <f t="shared" ref="AC485" si="5155">((Z485/Z433)-1)*100</f>
        <v>38.116095131605121</v>
      </c>
      <c r="AD485" s="59">
        <f t="shared" ref="AD485" si="5156">((Z485/AA485)-1)*100</f>
        <v>30.164228700479256</v>
      </c>
      <c r="AF485" s="53">
        <v>7500</v>
      </c>
      <c r="AG485" s="53">
        <v>0</v>
      </c>
      <c r="AH485" s="53">
        <v>2800</v>
      </c>
      <c r="AI485" s="53">
        <f t="shared" si="4920"/>
        <v>10300</v>
      </c>
      <c r="AJ485" s="53">
        <f t="shared" ref="AJ485" si="5157">AVERAGE(AI482,AI483,AI484,AI485)</f>
        <v>5737.5</v>
      </c>
      <c r="AK485" s="53">
        <f t="shared" ref="AK485" si="5158">AVERAGE(AJ433,AJ381,AJ329)</f>
        <v>6425</v>
      </c>
      <c r="AL485" s="59">
        <f t="shared" ref="AL485" si="5159">((AI485/AI433)-1)*100</f>
        <v>586.66666666666663</v>
      </c>
      <c r="AM485" s="59">
        <f t="shared" ref="AM485" si="5160">((AJ485/AJ433)-1)*100</f>
        <v>55.067567567567565</v>
      </c>
      <c r="AN485" s="59">
        <f t="shared" ref="AN485" si="5161">((AJ485/AK485)-1)*100</f>
        <v>-10.700389105058361</v>
      </c>
      <c r="AP485" s="60">
        <f t="shared" si="4926"/>
        <v>429700</v>
      </c>
      <c r="AQ485" s="53">
        <f t="shared" si="4927"/>
        <v>339350</v>
      </c>
      <c r="AR485" s="60">
        <f t="shared" si="4928"/>
        <v>42000</v>
      </c>
      <c r="AS485" s="53">
        <f t="shared" si="4929"/>
        <v>811050</v>
      </c>
      <c r="AT485" s="53">
        <f t="shared" ref="AT485" si="5162">AVERAGE(AS482,AS483,AS484,AS485)</f>
        <v>710354.25</v>
      </c>
      <c r="AU485" s="53">
        <f t="shared" ref="AU485" si="5163">AVERAGE(AT433,AT381,AT329)</f>
        <v>550603.08333333337</v>
      </c>
      <c r="AV485" s="59">
        <f t="shared" ref="AV485" si="5164">((AS485/AS433)-1)*100</f>
        <v>69.076536291886086</v>
      </c>
      <c r="AW485" s="59">
        <f t="shared" ref="AW485" si="5165">((AT485/AT433)-1)*100</f>
        <v>35.227911970554061</v>
      </c>
      <c r="AX485" s="59">
        <f t="shared" ref="AX485" si="5166">((AT485/AU485)-1)*100</f>
        <v>29.013852537755191</v>
      </c>
      <c r="AZ485" s="53">
        <f t="shared" si="4935"/>
        <v>431.6</v>
      </c>
      <c r="BA485" s="53">
        <f t="shared" si="4936"/>
        <v>23.95</v>
      </c>
      <c r="BB485" s="53">
        <f t="shared" si="4937"/>
        <v>345.2</v>
      </c>
      <c r="BC485" s="53">
        <f t="shared" si="4938"/>
        <v>10.3</v>
      </c>
      <c r="BD485" s="53">
        <f t="shared" si="4939"/>
        <v>811.05</v>
      </c>
      <c r="BE485" s="60">
        <f t="shared" ref="BE485" si="5167">BE484+AZ485</f>
        <v>2099.047</v>
      </c>
      <c r="BF485" s="60">
        <f t="shared" ref="BF485" si="5168">BF484+BA485</f>
        <v>150.536</v>
      </c>
      <c r="BG485" s="60">
        <f t="shared" ref="BG485" si="5169">BG484+BB485</f>
        <v>1676.2270000000001</v>
      </c>
      <c r="BH485" s="60">
        <f t="shared" ref="BH485" si="5170">BH484+BC485</f>
        <v>22.950000000000003</v>
      </c>
      <c r="BI485" s="60">
        <f t="shared" ref="BI485" si="5171">BI484+BD485</f>
        <v>3948.76</v>
      </c>
      <c r="BJ485" s="1">
        <v>6</v>
      </c>
    </row>
    <row r="486" spans="1:62" x14ac:dyDescent="0.3">
      <c r="A486" s="48">
        <f t="shared" si="238"/>
        <v>40957</v>
      </c>
      <c r="B486" s="64">
        <v>268776</v>
      </c>
      <c r="C486" s="64">
        <v>135050</v>
      </c>
      <c r="D486" s="53">
        <v>1400</v>
      </c>
      <c r="E486" s="53">
        <f t="shared" si="4902"/>
        <v>405226</v>
      </c>
      <c r="F486" s="53">
        <f t="shared" ref="F486" si="5172">AVERAGE(E483,E484,E485,E486)</f>
        <v>388336</v>
      </c>
      <c r="G486" s="53">
        <f t="shared" ref="G486" si="5173">AVERAGE(F434,F382,F330)</f>
        <v>306092.33333333331</v>
      </c>
      <c r="H486" s="59">
        <f t="shared" ref="H486" si="5174">((E486/E434)-1)*100</f>
        <v>9.5353426138667494</v>
      </c>
      <c r="I486" s="59">
        <f t="shared" ref="I486" si="5175">((F486/F434)-1)*100</f>
        <v>28.429243964831574</v>
      </c>
      <c r="J486" s="59">
        <f t="shared" ref="J486" si="5176">((F486/G486)-1)*100</f>
        <v>26.868907747880002</v>
      </c>
      <c r="L486" s="53">
        <v>18100</v>
      </c>
      <c r="M486" s="64">
        <v>7000</v>
      </c>
      <c r="N486" s="64">
        <v>8400</v>
      </c>
      <c r="O486" s="53">
        <f t="shared" si="4908"/>
        <v>33500</v>
      </c>
      <c r="P486" s="53">
        <f t="shared" ref="P486" si="5177">AVERAGE(O483,O484,O485,O486)</f>
        <v>25287.5</v>
      </c>
      <c r="Q486" s="53">
        <f t="shared" ref="Q486" si="5178">AVERAGE(P434,P382,P330)</f>
        <v>16664.5</v>
      </c>
      <c r="R486" s="59">
        <f t="shared" ref="R486" si="5179">((O486/O434)-1)*100</f>
        <v>74.451908555954802</v>
      </c>
      <c r="S486" s="59">
        <f t="shared" ref="S486" si="5180">((P486/P434)-1)*100</f>
        <v>42.559158879821844</v>
      </c>
      <c r="T486" s="59">
        <f t="shared" ref="T486" si="5181">((P486/Q486)-1)*100</f>
        <v>51.744726814485873</v>
      </c>
      <c r="V486" s="64">
        <v>111200</v>
      </c>
      <c r="W486" s="64">
        <v>104000</v>
      </c>
      <c r="X486" s="64">
        <v>18200</v>
      </c>
      <c r="Y486" s="64">
        <f t="shared" si="4914"/>
        <v>233400</v>
      </c>
      <c r="Z486" s="53">
        <f t="shared" ref="Z486" si="5182">AVERAGE(Y483,Y484,Y485,Y486)</f>
        <v>287131</v>
      </c>
      <c r="AA486" s="53">
        <f t="shared" ref="AA486" si="5183">AVERAGE(Z434,Z382,Z330)</f>
        <v>208597.41666666666</v>
      </c>
      <c r="AB486" s="59">
        <f t="shared" ref="AB486" si="5184">((Y486/Y434)-1)*100</f>
        <v>-17.331075935692507</v>
      </c>
      <c r="AC486" s="59">
        <f t="shared" ref="AC486" si="5185">((Z486/Z434)-1)*100</f>
        <v>27.176713804669063</v>
      </c>
      <c r="AD486" s="59">
        <f t="shared" ref="AD486" si="5186">((Z486/AA486)-1)*100</f>
        <v>37.648396892099576</v>
      </c>
      <c r="AF486" s="53">
        <v>9000</v>
      </c>
      <c r="AG486" s="53">
        <v>0</v>
      </c>
      <c r="AH486" s="53">
        <v>0</v>
      </c>
      <c r="AI486" s="53">
        <f t="shared" si="4920"/>
        <v>9000</v>
      </c>
      <c r="AJ486" s="53">
        <f t="shared" ref="AJ486" si="5187">AVERAGE(AI483,AI484,AI485,AI486)</f>
        <v>7637.5</v>
      </c>
      <c r="AK486" s="53">
        <f t="shared" ref="AK486" si="5188">AVERAGE(AJ434,AJ382,AJ330)</f>
        <v>7808.333333333333</v>
      </c>
      <c r="AL486" s="59">
        <f t="shared" ref="AL486" si="5189">((AI486/AI434)-1)*100</f>
        <v>-31.818181818181824</v>
      </c>
      <c r="AM486" s="59">
        <f t="shared" ref="AM486" si="5190">((AJ486/AJ434)-1)*100</f>
        <v>14.849624060150379</v>
      </c>
      <c r="AN486" s="59">
        <f t="shared" ref="AN486" si="5191">((AJ486/AK486)-1)*100</f>
        <v>-2.1878335112059721</v>
      </c>
      <c r="AP486" s="60">
        <f t="shared" si="4926"/>
        <v>407076</v>
      </c>
      <c r="AQ486" s="53">
        <f t="shared" si="4927"/>
        <v>246050</v>
      </c>
      <c r="AR486" s="60">
        <f t="shared" si="4928"/>
        <v>28000</v>
      </c>
      <c r="AS486" s="53">
        <f t="shared" si="4929"/>
        <v>681126</v>
      </c>
      <c r="AT486" s="53">
        <f t="shared" ref="AT486" si="5192">AVERAGE(AS483,AS484,AS485,AS486)</f>
        <v>708392</v>
      </c>
      <c r="AU486" s="53">
        <f t="shared" ref="AU486" si="5193">AVERAGE(AT434,AT382,AT330)</f>
        <v>539162.58333333337</v>
      </c>
      <c r="AV486" s="59">
        <f t="shared" ref="AV486" si="5194">((AS486/AS434)-1)*100</f>
        <v>-0.51965578281367719</v>
      </c>
      <c r="AW486" s="59">
        <f t="shared" ref="AW486" si="5195">((AT486/AT434)-1)*100</f>
        <v>28.207624856343937</v>
      </c>
      <c r="AX486" s="59">
        <f t="shared" ref="AX486" si="5196">((AT486/AU486)-1)*100</f>
        <v>31.38745563915397</v>
      </c>
      <c r="AZ486" s="53">
        <f t="shared" si="4935"/>
        <v>405.226</v>
      </c>
      <c r="BA486" s="53">
        <f t="shared" si="4936"/>
        <v>33.5</v>
      </c>
      <c r="BB486" s="53">
        <f t="shared" si="4937"/>
        <v>233.4</v>
      </c>
      <c r="BC486" s="53">
        <f t="shared" si="4938"/>
        <v>9</v>
      </c>
      <c r="BD486" s="53">
        <f t="shared" si="4939"/>
        <v>681.12599999999998</v>
      </c>
      <c r="BE486" s="60">
        <f t="shared" ref="BE486" si="5197">BE485+AZ486</f>
        <v>2504.2730000000001</v>
      </c>
      <c r="BF486" s="60">
        <f t="shared" ref="BF486" si="5198">BF485+BA486</f>
        <v>184.036</v>
      </c>
      <c r="BG486" s="60">
        <f t="shared" ref="BG486" si="5199">BG485+BB486</f>
        <v>1909.6270000000002</v>
      </c>
      <c r="BH486" s="60">
        <f t="shared" ref="BH486" si="5200">BH485+BC486</f>
        <v>31.950000000000003</v>
      </c>
      <c r="BI486" s="60">
        <f t="shared" ref="BI486" si="5201">BI485+BD486</f>
        <v>4629.8860000000004</v>
      </c>
      <c r="BJ486" s="1">
        <v>7</v>
      </c>
    </row>
    <row r="487" spans="1:62" x14ac:dyDescent="0.3">
      <c r="A487" s="48">
        <f t="shared" si="238"/>
        <v>40964</v>
      </c>
      <c r="B487" s="64">
        <v>200478</v>
      </c>
      <c r="C487" s="64">
        <v>93130</v>
      </c>
      <c r="D487" s="53">
        <v>0</v>
      </c>
      <c r="E487" s="53">
        <f t="shared" si="4902"/>
        <v>293608</v>
      </c>
      <c r="F487" s="53">
        <f t="shared" ref="F487" si="5202">AVERAGE(E484,E485,E486,E487)</f>
        <v>376150.5</v>
      </c>
      <c r="G487" s="53">
        <f t="shared" ref="G487" si="5203">AVERAGE(F435,F383,F331)</f>
        <v>344103.41666666669</v>
      </c>
      <c r="H487" s="59">
        <f t="shared" ref="H487" si="5204">((E487/E435)-1)*100</f>
        <v>-12.389296030173547</v>
      </c>
      <c r="I487" s="59">
        <f t="shared" ref="I487" si="5205">((F487/F435)-1)*100</f>
        <v>25.047746799842429</v>
      </c>
      <c r="J487" s="59">
        <f t="shared" ref="J487" si="5206">((F487/G487)-1)*100</f>
        <v>9.3132127671889275</v>
      </c>
      <c r="L487" s="53">
        <v>3100</v>
      </c>
      <c r="M487" s="64">
        <v>6680</v>
      </c>
      <c r="N487" s="64">
        <v>18200</v>
      </c>
      <c r="O487" s="53">
        <f t="shared" si="4908"/>
        <v>27980</v>
      </c>
      <c r="P487" s="53">
        <f t="shared" ref="P487" si="5207">AVERAGE(O484,O485,O486,O487)</f>
        <v>28232.5</v>
      </c>
      <c r="Q487" s="53">
        <f t="shared" ref="Q487" si="5208">AVERAGE(P435,P383,P331)</f>
        <v>16427</v>
      </c>
      <c r="R487" s="59">
        <f t="shared" ref="R487" si="5209">((O487/O435)-1)*100</f>
        <v>169.03846153846155</v>
      </c>
      <c r="S487" s="59">
        <f t="shared" ref="S487" si="5210">((P487/P435)-1)*100</f>
        <v>87.115802031382032</v>
      </c>
      <c r="T487" s="59">
        <f t="shared" ref="T487" si="5211">((P487/Q487)-1)*100</f>
        <v>71.866439398551179</v>
      </c>
      <c r="V487" s="64">
        <v>69100</v>
      </c>
      <c r="W487" s="64">
        <v>101725</v>
      </c>
      <c r="X487" s="64">
        <v>16800</v>
      </c>
      <c r="Y487" s="64">
        <f t="shared" si="4914"/>
        <v>187625</v>
      </c>
      <c r="Z487" s="53">
        <f t="shared" ref="Z487" si="5212">AVERAGE(Y484,Y485,Y486,Y487)</f>
        <v>269749.75</v>
      </c>
      <c r="AA487" s="53">
        <f t="shared" ref="AA487" si="5213">AVERAGE(Z435,Z383,Z331)</f>
        <v>222883.58333333334</v>
      </c>
      <c r="AB487" s="59">
        <f t="shared" ref="AB487" si="5214">((Y487/Y435)-1)*100</f>
        <v>-17.016806722689072</v>
      </c>
      <c r="AC487" s="59">
        <f t="shared" ref="AC487" si="5215">((Z487/Z435)-1)*100</f>
        <v>18.204365568427683</v>
      </c>
      <c r="AD487" s="59">
        <f t="shared" ref="AD487" si="5216">((Z487/AA487)-1)*100</f>
        <v>21.027195437977152</v>
      </c>
      <c r="AF487" s="53">
        <v>4500</v>
      </c>
      <c r="AG487" s="53">
        <v>0</v>
      </c>
      <c r="AH487" s="53">
        <v>0</v>
      </c>
      <c r="AI487" s="53">
        <f t="shared" si="4920"/>
        <v>4500</v>
      </c>
      <c r="AJ487" s="53">
        <f t="shared" ref="AJ487" si="5217">AVERAGE(AI484,AI485,AI486,AI487)</f>
        <v>7450</v>
      </c>
      <c r="AK487" s="53">
        <f t="shared" ref="AK487" si="5218">AVERAGE(AJ435,AJ383,AJ331)</f>
        <v>8312.5</v>
      </c>
      <c r="AL487" s="59">
        <f t="shared" ref="AL487" si="5219">((AI487/AI435)-1)*100</f>
        <v>-38.356164383561641</v>
      </c>
      <c r="AM487" s="59">
        <f t="shared" ref="AM487" si="5220">((AJ487/AJ435)-1)*100</f>
        <v>1.7064846416382284</v>
      </c>
      <c r="AN487" s="59">
        <f t="shared" ref="AN487" si="5221">((AJ487/AK487)-1)*100</f>
        <v>-10.375939849624061</v>
      </c>
      <c r="AP487" s="60">
        <f t="shared" si="4926"/>
        <v>277178</v>
      </c>
      <c r="AQ487" s="53">
        <f t="shared" si="4927"/>
        <v>201535</v>
      </c>
      <c r="AR487" s="60">
        <f t="shared" si="4928"/>
        <v>35000</v>
      </c>
      <c r="AS487" s="53">
        <f t="shared" si="4929"/>
        <v>513713</v>
      </c>
      <c r="AT487" s="53">
        <f t="shared" ref="AT487" si="5222">AVERAGE(AS484,AS485,AS486,AS487)</f>
        <v>681582.75</v>
      </c>
      <c r="AU487" s="53">
        <f t="shared" ref="AU487" si="5223">AVERAGE(AT435,AT383,AT331)</f>
        <v>591726.5</v>
      </c>
      <c r="AV487" s="59">
        <f t="shared" ref="AV487" si="5224">((AS487/AS435)-1)*100</f>
        <v>-11.264785949202661</v>
      </c>
      <c r="AW487" s="59">
        <f t="shared" ref="AW487" si="5225">((AT487/AT435)-1)*100</f>
        <v>23.603889921566857</v>
      </c>
      <c r="AX487" s="59">
        <f t="shared" ref="AX487" si="5226">((AT487/AU487)-1)*100</f>
        <v>15.185436177017596</v>
      </c>
      <c r="AZ487" s="53">
        <f t="shared" si="4935"/>
        <v>293.608</v>
      </c>
      <c r="BA487" s="53">
        <f t="shared" si="4936"/>
        <v>27.98</v>
      </c>
      <c r="BB487" s="53">
        <f t="shared" si="4937"/>
        <v>187.625</v>
      </c>
      <c r="BC487" s="53">
        <f t="shared" si="4938"/>
        <v>4.5</v>
      </c>
      <c r="BD487" s="53">
        <f t="shared" si="4939"/>
        <v>513.71299999999997</v>
      </c>
      <c r="BE487" s="60">
        <f t="shared" ref="BE487" si="5227">BE486+AZ487</f>
        <v>2797.8810000000003</v>
      </c>
      <c r="BF487" s="60">
        <f t="shared" ref="BF487" si="5228">BF486+BA487</f>
        <v>212.01599999999999</v>
      </c>
      <c r="BG487" s="60">
        <f t="shared" ref="BG487" si="5229">BG486+BB487</f>
        <v>2097.2520000000004</v>
      </c>
      <c r="BH487" s="60">
        <f t="shared" ref="BH487" si="5230">BH486+BC487</f>
        <v>36.450000000000003</v>
      </c>
      <c r="BI487" s="60">
        <f t="shared" ref="BI487" si="5231">BI486+BD487</f>
        <v>5143.5990000000002</v>
      </c>
      <c r="BJ487" s="1">
        <v>8</v>
      </c>
    </row>
    <row r="488" spans="1:62" x14ac:dyDescent="0.3">
      <c r="A488" s="48">
        <f t="shared" si="238"/>
        <v>40971</v>
      </c>
      <c r="B488" s="64">
        <v>176400</v>
      </c>
      <c r="C488" s="64">
        <v>103300</v>
      </c>
      <c r="D488" s="53">
        <v>0</v>
      </c>
      <c r="E488" s="53">
        <f t="shared" si="4902"/>
        <v>279700</v>
      </c>
      <c r="F488" s="53">
        <f t="shared" ref="F488" si="5232">AVERAGE(E485,E486,E487,E488)</f>
        <v>352533.5</v>
      </c>
      <c r="G488" s="53">
        <f t="shared" ref="G488" si="5233">AVERAGE(F436,F384,F332)</f>
        <v>380567.5</v>
      </c>
      <c r="H488" s="59">
        <f t="shared" ref="H488" si="5234">((E488/E436)-1)*100</f>
        <v>18.181434064308945</v>
      </c>
      <c r="I488" s="59">
        <f t="shared" ref="I488" si="5235">((F488/F436)-1)*100</f>
        <v>20.025092223283323</v>
      </c>
      <c r="J488" s="59">
        <f t="shared" ref="J488" si="5236">((F488/G488)-1)*100</f>
        <v>-7.3663673329961155</v>
      </c>
      <c r="L488" s="53">
        <v>6100</v>
      </c>
      <c r="M488" s="64">
        <v>17600</v>
      </c>
      <c r="N488" s="64">
        <v>19600</v>
      </c>
      <c r="O488" s="53">
        <f t="shared" si="4908"/>
        <v>43300</v>
      </c>
      <c r="P488" s="53">
        <f t="shared" ref="P488" si="5237">AVERAGE(O485,O486,O487,O488)</f>
        <v>32182.5</v>
      </c>
      <c r="Q488" s="53">
        <f t="shared" ref="Q488" si="5238">AVERAGE(P436,P384,P332)</f>
        <v>16086.833333333334</v>
      </c>
      <c r="R488" s="59">
        <f t="shared" ref="R488" si="5239">((O488/O436)-1)*100</f>
        <v>104.24528301886791</v>
      </c>
      <c r="S488" s="59">
        <f t="shared" ref="S488" si="5240">((P488/P436)-1)*100</f>
        <v>93.715859329149922</v>
      </c>
      <c r="T488" s="59">
        <f t="shared" ref="T488" si="5241">((P488/Q488)-1)*100</f>
        <v>100.05491033039439</v>
      </c>
      <c r="V488" s="64">
        <v>78224</v>
      </c>
      <c r="W488" s="64">
        <v>83918</v>
      </c>
      <c r="X488" s="64">
        <v>30800</v>
      </c>
      <c r="Y488" s="64">
        <f t="shared" si="4914"/>
        <v>192942</v>
      </c>
      <c r="Z488" s="53">
        <f t="shared" ref="Z488" si="5242">AVERAGE(Y485,Y486,Y487,Y488)</f>
        <v>239791.75</v>
      </c>
      <c r="AA488" s="53">
        <f t="shared" ref="AA488" si="5243">AVERAGE(Z436,Z384,Z332)</f>
        <v>213559</v>
      </c>
      <c r="AB488" s="59">
        <f t="shared" ref="AB488" si="5244">((Y488/Y436)-1)*100</f>
        <v>34.454355400696855</v>
      </c>
      <c r="AC488" s="59">
        <f t="shared" ref="AC488" si="5245">((Z488/Z436)-1)*100</f>
        <v>8.8284316117078543</v>
      </c>
      <c r="AD488" s="59">
        <f t="shared" ref="AD488" si="5246">((Z488/AA488)-1)*100</f>
        <v>12.283607808614949</v>
      </c>
      <c r="AF488" s="53">
        <v>0</v>
      </c>
      <c r="AG488" s="53">
        <v>0</v>
      </c>
      <c r="AH488" s="53">
        <v>8700</v>
      </c>
      <c r="AI488" s="53">
        <f t="shared" si="4920"/>
        <v>8700</v>
      </c>
      <c r="AJ488" s="53">
        <f t="shared" ref="AJ488" si="5247">AVERAGE(AI485,AI486,AI487,AI488)</f>
        <v>8125</v>
      </c>
      <c r="AK488" s="53">
        <f t="shared" ref="AK488" si="5248">AVERAGE(AJ436,AJ384,AJ332)</f>
        <v>8366.6666666666661</v>
      </c>
      <c r="AL488" s="59">
        <f t="shared" ref="AL488" si="5249">((AI488/AI436)-1)*100</f>
        <v>-14.28571428571429</v>
      </c>
      <c r="AM488" s="59">
        <f t="shared" ref="AM488" si="5250">((AJ488/AJ436)-1)*100</f>
        <v>1.0886469673405896</v>
      </c>
      <c r="AN488" s="59">
        <f t="shared" ref="AN488" si="5251">((AJ488/AK488)-1)*100</f>
        <v>-2.8884462151394397</v>
      </c>
      <c r="AP488" s="60">
        <f t="shared" si="4926"/>
        <v>260724</v>
      </c>
      <c r="AQ488" s="53">
        <f t="shared" si="4927"/>
        <v>204818</v>
      </c>
      <c r="AR488" s="60">
        <f t="shared" si="4928"/>
        <v>59100</v>
      </c>
      <c r="AS488" s="53">
        <f t="shared" si="4929"/>
        <v>524642</v>
      </c>
      <c r="AT488" s="53">
        <f t="shared" ref="AT488" si="5252">AVERAGE(AS485,AS486,AS487,AS488)</f>
        <v>632632.75</v>
      </c>
      <c r="AU488" s="53">
        <f t="shared" ref="AU488" si="5253">AVERAGE(AT436,AT384,AT332)</f>
        <v>618580</v>
      </c>
      <c r="AV488" s="59">
        <f t="shared" ref="AV488" si="5254">((AS488/AS436)-1)*100</f>
        <v>27.488821928460339</v>
      </c>
      <c r="AW488" s="59">
        <f t="shared" ref="AW488" si="5255">((AT488/AT436)-1)*100</f>
        <v>17.435514514861051</v>
      </c>
      <c r="AX488" s="59">
        <f t="shared" ref="AX488" si="5256">((AT488/AU488)-1)*100</f>
        <v>2.2717756797827171</v>
      </c>
      <c r="AZ488" s="53">
        <f t="shared" si="4935"/>
        <v>279.7</v>
      </c>
      <c r="BA488" s="53">
        <f t="shared" si="4936"/>
        <v>43.3</v>
      </c>
      <c r="BB488" s="53">
        <f t="shared" si="4937"/>
        <v>192.94200000000001</v>
      </c>
      <c r="BC488" s="53">
        <f t="shared" si="4938"/>
        <v>8.6999999999999993</v>
      </c>
      <c r="BD488" s="53">
        <f t="shared" si="4939"/>
        <v>524.64200000000005</v>
      </c>
      <c r="BE488" s="60">
        <f t="shared" ref="BE488" si="5257">BE487+AZ488</f>
        <v>3077.5810000000001</v>
      </c>
      <c r="BF488" s="60">
        <f t="shared" ref="BF488" si="5258">BF487+BA488</f>
        <v>255.31599999999997</v>
      </c>
      <c r="BG488" s="60">
        <f t="shared" ref="BG488" si="5259">BG487+BB488</f>
        <v>2290.1940000000004</v>
      </c>
      <c r="BH488" s="60">
        <f t="shared" ref="BH488" si="5260">BH487+BC488</f>
        <v>45.150000000000006</v>
      </c>
      <c r="BI488" s="60">
        <f t="shared" ref="BI488" si="5261">BI487+BD488</f>
        <v>5668.241</v>
      </c>
      <c r="BJ488" s="1">
        <v>9</v>
      </c>
    </row>
    <row r="489" spans="1:62" x14ac:dyDescent="0.3">
      <c r="A489" s="48">
        <f t="shared" si="238"/>
        <v>40978</v>
      </c>
      <c r="B489" s="64">
        <v>115400</v>
      </c>
      <c r="C489" s="64">
        <v>148850</v>
      </c>
      <c r="D489" s="53">
        <v>0</v>
      </c>
      <c r="E489" s="53">
        <f t="shared" si="4902"/>
        <v>264250</v>
      </c>
      <c r="F489" s="53">
        <f t="shared" ref="F489" si="5262">AVERAGE(E486,E487,E488,E489)</f>
        <v>310696</v>
      </c>
      <c r="G489" s="53">
        <f t="shared" ref="G489" si="5263">AVERAGE(F437,F385,F333)</f>
        <v>436582.66666666669</v>
      </c>
      <c r="H489" s="59">
        <f t="shared" ref="H489" si="5264">((E489/E437)-1)*100</f>
        <v>-28.748618114163992</v>
      </c>
      <c r="I489" s="59">
        <f t="shared" ref="I489" si="5265">((F489/F437)-1)*100</f>
        <v>-5.3202074023059209</v>
      </c>
      <c r="J489" s="59">
        <f t="shared" ref="J489" si="5266">((F489/G489)-1)*100</f>
        <v>-28.834554433371917</v>
      </c>
      <c r="L489" s="53">
        <v>0</v>
      </c>
      <c r="M489" s="64">
        <v>21018</v>
      </c>
      <c r="N489" s="64">
        <v>18200</v>
      </c>
      <c r="O489" s="53">
        <f t="shared" si="4908"/>
        <v>39218</v>
      </c>
      <c r="P489" s="53">
        <f t="shared" ref="P489" si="5267">AVERAGE(O486,O487,O488,O489)</f>
        <v>35999.5</v>
      </c>
      <c r="Q489" s="53">
        <f t="shared" ref="Q489" si="5268">AVERAGE(P437,P385,P333)</f>
        <v>18275.916666666668</v>
      </c>
      <c r="R489" s="59">
        <f t="shared" ref="R489" si="5269">((O489/O437)-1)*100</f>
        <v>60.729508196721312</v>
      </c>
      <c r="S489" s="59">
        <f t="shared" ref="S489" si="5270">((P489/P437)-1)*100</f>
        <v>91.479063335239275</v>
      </c>
      <c r="T489" s="59">
        <f t="shared" ref="T489" si="5271">((P489/Q489)-1)*100</f>
        <v>96.977807770700039</v>
      </c>
      <c r="V489" s="64">
        <v>127600</v>
      </c>
      <c r="W489" s="64">
        <v>133550</v>
      </c>
      <c r="X489" s="64">
        <v>22400</v>
      </c>
      <c r="Y489" s="64">
        <f t="shared" si="4914"/>
        <v>283550</v>
      </c>
      <c r="Z489" s="53">
        <f t="shared" ref="Z489" si="5272">AVERAGE(Y486,Y487,Y488,Y489)</f>
        <v>224379.25</v>
      </c>
      <c r="AA489" s="53">
        <f t="shared" ref="AA489" si="5273">AVERAGE(Z437,Z385,Z333)</f>
        <v>197355.5</v>
      </c>
      <c r="AB489" s="59">
        <f t="shared" ref="AB489" si="5274">((Y489/Y437)-1)*100</f>
        <v>83.739194670882952</v>
      </c>
      <c r="AC489" s="59">
        <f t="shared" ref="AC489" si="5275">((Z489/Z437)-1)*100</f>
        <v>11.319523772314643</v>
      </c>
      <c r="AD489" s="59">
        <f t="shared" ref="AD489" si="5276">((Z489/AA489)-1)*100</f>
        <v>13.692929763801875</v>
      </c>
      <c r="AF489" s="53">
        <v>0</v>
      </c>
      <c r="AG489" s="53">
        <v>0</v>
      </c>
      <c r="AH489" s="53">
        <v>6400</v>
      </c>
      <c r="AI489" s="53">
        <f t="shared" si="4920"/>
        <v>6400</v>
      </c>
      <c r="AJ489" s="53">
        <f t="shared" ref="AJ489" si="5277">AVERAGE(AI486,AI487,AI488,AI489)</f>
        <v>7150</v>
      </c>
      <c r="AK489" s="53">
        <f t="shared" ref="AK489" si="5278">AVERAGE(AJ437,AJ385,AJ333)</f>
        <v>9041.6666666666661</v>
      </c>
      <c r="AL489" s="59">
        <f t="shared" ref="AL489" si="5279">((AI489/AI437)-1)*100</f>
        <v>-62.130177514792905</v>
      </c>
      <c r="AM489" s="59">
        <f t="shared" ref="AM489" si="5280">((AJ489/AJ437)-1)*100</f>
        <v>-39.852786540483699</v>
      </c>
      <c r="AN489" s="59">
        <f t="shared" ref="AN489" si="5281">((AJ489/AK489)-1)*100</f>
        <v>-20.921658986175107</v>
      </c>
      <c r="AP489" s="60">
        <f t="shared" si="4926"/>
        <v>243000</v>
      </c>
      <c r="AQ489" s="53">
        <f t="shared" si="4927"/>
        <v>303418</v>
      </c>
      <c r="AR489" s="60">
        <f t="shared" si="4928"/>
        <v>47000</v>
      </c>
      <c r="AS489" s="53">
        <f t="shared" si="4929"/>
        <v>593418</v>
      </c>
      <c r="AT489" s="53">
        <f t="shared" ref="AT489" si="5282">AVERAGE(AS486,AS487,AS488,AS489)</f>
        <v>578224.75</v>
      </c>
      <c r="AU489" s="53">
        <f t="shared" ref="AU489" si="5283">AVERAGE(AT437,AT385,AT333)</f>
        <v>661255.75</v>
      </c>
      <c r="AV489" s="59">
        <f t="shared" ref="AV489" si="5284">((AS489/AS437)-1)*100</f>
        <v>4.7531121357406558</v>
      </c>
      <c r="AW489" s="59">
        <f t="shared" ref="AW489" si="5285">((AT489/AT437)-1)*100</f>
        <v>3.1796144224009115</v>
      </c>
      <c r="AX489" s="59">
        <f t="shared" ref="AX489" si="5286">((AT489/AU489)-1)*100</f>
        <v>-12.556563780352759</v>
      </c>
      <c r="AZ489" s="53">
        <f t="shared" si="4935"/>
        <v>264.25</v>
      </c>
      <c r="BA489" s="53">
        <f t="shared" si="4936"/>
        <v>39.218000000000004</v>
      </c>
      <c r="BB489" s="53">
        <f t="shared" si="4937"/>
        <v>283.55</v>
      </c>
      <c r="BC489" s="53">
        <f t="shared" si="4938"/>
        <v>6.4</v>
      </c>
      <c r="BD489" s="53">
        <f t="shared" si="4939"/>
        <v>593.41800000000001</v>
      </c>
      <c r="BE489" s="60">
        <f t="shared" ref="BE489" si="5287">BE488+AZ489</f>
        <v>3341.8310000000001</v>
      </c>
      <c r="BF489" s="60">
        <f t="shared" ref="BF489" si="5288">BF488+BA489</f>
        <v>294.53399999999999</v>
      </c>
      <c r="BG489" s="60">
        <f t="shared" ref="BG489" si="5289">BG488+BB489</f>
        <v>2573.7440000000006</v>
      </c>
      <c r="BH489" s="60">
        <f t="shared" ref="BH489" si="5290">BH488+BC489</f>
        <v>51.550000000000004</v>
      </c>
      <c r="BI489" s="60">
        <f t="shared" ref="BI489" si="5291">BI488+BD489</f>
        <v>6261.6589999999997</v>
      </c>
      <c r="BJ489" s="1">
        <v>10</v>
      </c>
    </row>
    <row r="490" spans="1:62" x14ac:dyDescent="0.3">
      <c r="A490" s="48">
        <f t="shared" si="238"/>
        <v>40985</v>
      </c>
      <c r="B490" s="64">
        <v>144400</v>
      </c>
      <c r="C490" s="64">
        <v>55474</v>
      </c>
      <c r="D490" s="53">
        <v>0</v>
      </c>
      <c r="E490" s="53">
        <f t="shared" si="4902"/>
        <v>199874</v>
      </c>
      <c r="F490" s="53">
        <f t="shared" ref="F490" si="5292">AVERAGE(E487,E488,E489,E490)</f>
        <v>259358</v>
      </c>
      <c r="G490" s="53">
        <f t="shared" ref="G490" si="5293">AVERAGE(F438,F386,F334)</f>
        <v>437768.58333333331</v>
      </c>
      <c r="H490" s="59">
        <f t="shared" ref="H490" si="5294">((E490/E438)-1)*100</f>
        <v>-50.552919464249491</v>
      </c>
      <c r="I490" s="59">
        <f t="shared" ref="I490" si="5295">((F490/F438)-1)*100</f>
        <v>-22.975515373981171</v>
      </c>
      <c r="J490" s="59">
        <f t="shared" ref="J490" si="5296">((F490/G490)-1)*100</f>
        <v>-40.754542497053713</v>
      </c>
      <c r="L490" s="64">
        <v>4700</v>
      </c>
      <c r="M490" s="64">
        <v>3250</v>
      </c>
      <c r="N490" s="64">
        <v>21000</v>
      </c>
      <c r="O490" s="53">
        <f t="shared" si="4908"/>
        <v>28950</v>
      </c>
      <c r="P490" s="53">
        <f t="shared" ref="P490" si="5297">AVERAGE(O487,O488,O489,O490)</f>
        <v>34862</v>
      </c>
      <c r="Q490" s="53">
        <f t="shared" ref="Q490" si="5298">AVERAGE(P438,P386,P334)</f>
        <v>21767.333333333332</v>
      </c>
      <c r="R490" s="59">
        <f t="shared" ref="R490" si="5299">((O490/O438)-1)*100</f>
        <v>43.686718284693256</v>
      </c>
      <c r="S490" s="59">
        <f t="shared" ref="S490" si="5300">((P490/P438)-1)*100</f>
        <v>83.127593633450658</v>
      </c>
      <c r="T490" s="59">
        <f t="shared" ref="T490" si="5301">((P490/Q490)-1)*100</f>
        <v>60.157422437291366</v>
      </c>
      <c r="V490" s="64">
        <v>53700</v>
      </c>
      <c r="W490" s="64">
        <v>55500</v>
      </c>
      <c r="X490" s="64">
        <v>21000</v>
      </c>
      <c r="Y490" s="64">
        <f t="shared" si="4914"/>
        <v>130200</v>
      </c>
      <c r="Z490" s="53">
        <f t="shared" ref="Z490" si="5302">AVERAGE(Y487,Y488,Y489,Y490)</f>
        <v>198579.25</v>
      </c>
      <c r="AA490" s="53">
        <f t="shared" ref="AA490" si="5303">AVERAGE(Z438,Z386,Z334)</f>
        <v>185772.66666666666</v>
      </c>
      <c r="AB490" s="59">
        <f t="shared" ref="AB490" si="5304">((Y490/Y438)-1)*100</f>
        <v>-28.842738078972541</v>
      </c>
      <c r="AC490" s="59">
        <f t="shared" ref="AC490" si="5305">((Z490/Z438)-1)*100</f>
        <v>12.366723865004371</v>
      </c>
      <c r="AD490" s="59">
        <f t="shared" ref="AD490" si="5306">((Z490/AA490)-1)*100</f>
        <v>6.8936854722079666</v>
      </c>
      <c r="AF490" s="53">
        <v>0</v>
      </c>
      <c r="AG490" s="53">
        <v>4700</v>
      </c>
      <c r="AH490" s="53">
        <v>2900</v>
      </c>
      <c r="AI490" s="53">
        <f t="shared" si="4920"/>
        <v>7600</v>
      </c>
      <c r="AJ490" s="53">
        <f t="shared" ref="AJ490" si="5307">AVERAGE(AI487,AI488,AI489,AI490)</f>
        <v>6800</v>
      </c>
      <c r="AK490" s="53">
        <f t="shared" ref="AK490" si="5308">AVERAGE(AJ438,AJ386,AJ334)</f>
        <v>7866.666666666667</v>
      </c>
      <c r="AL490" s="59">
        <f t="shared" ref="AL490" si="5309">((AI490/AI438)-1)*100</f>
        <v>33.333333333333329</v>
      </c>
      <c r="AM490" s="59">
        <f t="shared" ref="AM490" si="5310">((AJ490/AJ438)-1)*100</f>
        <v>-32.084893882646689</v>
      </c>
      <c r="AN490" s="59">
        <f t="shared" ref="AN490" si="5311">((AJ490/AK490)-1)*100</f>
        <v>-13.559322033898313</v>
      </c>
      <c r="AP490" s="60">
        <f t="shared" si="4926"/>
        <v>202800</v>
      </c>
      <c r="AQ490" s="53">
        <f t="shared" si="4927"/>
        <v>118924</v>
      </c>
      <c r="AR490" s="60">
        <f t="shared" si="4928"/>
        <v>44900</v>
      </c>
      <c r="AS490" s="53">
        <f t="shared" si="4929"/>
        <v>366624</v>
      </c>
      <c r="AT490" s="53">
        <f t="shared" ref="AT490" si="5312">AVERAGE(AS487,AS488,AS489,AS490)</f>
        <v>499599.25</v>
      </c>
      <c r="AU490" s="53">
        <f t="shared" ref="AU490" si="5313">AVERAGE(AT438,AT386,AT334)</f>
        <v>653175.25</v>
      </c>
      <c r="AV490" s="59">
        <f t="shared" ref="AV490" si="5314">((AS490/AS438)-1)*100</f>
        <v>-40.195843344898627</v>
      </c>
      <c r="AW490" s="59">
        <f t="shared" ref="AW490" si="5315">((AT490/AT438)-1)*100</f>
        <v>-7.9071660074442995</v>
      </c>
      <c r="AX490" s="59">
        <f t="shared" ref="AX490" si="5316">((AT490/AU490)-1)*100</f>
        <v>-23.51221972969735</v>
      </c>
      <c r="AZ490" s="53">
        <f t="shared" si="4935"/>
        <v>199.874</v>
      </c>
      <c r="BA490" s="53">
        <f t="shared" si="4936"/>
        <v>28.95</v>
      </c>
      <c r="BB490" s="53">
        <f t="shared" si="4937"/>
        <v>130.19999999999999</v>
      </c>
      <c r="BC490" s="53">
        <f t="shared" si="4938"/>
        <v>7.6</v>
      </c>
      <c r="BD490" s="53">
        <f t="shared" si="4939"/>
        <v>366.62400000000002</v>
      </c>
      <c r="BE490" s="60">
        <f t="shared" ref="BE490:BE491" si="5317">BE489+AZ490</f>
        <v>3541.7049999999999</v>
      </c>
      <c r="BF490" s="60">
        <f t="shared" ref="BF490:BF491" si="5318">BF489+BA490</f>
        <v>323.48399999999998</v>
      </c>
      <c r="BG490" s="60">
        <f t="shared" ref="BG490:BG491" si="5319">BG489+BB490</f>
        <v>2703.9440000000004</v>
      </c>
      <c r="BH490" s="60">
        <f t="shared" ref="BH490:BH491" si="5320">BH489+BC490</f>
        <v>59.150000000000006</v>
      </c>
      <c r="BI490" s="60">
        <f t="shared" ref="BI490:BI491" si="5321">BI489+BD490</f>
        <v>6628.2829999999994</v>
      </c>
      <c r="BJ490" s="1">
        <v>11</v>
      </c>
    </row>
    <row r="491" spans="1:62" x14ac:dyDescent="0.3">
      <c r="A491" s="48">
        <f t="shared" si="238"/>
        <v>40992</v>
      </c>
      <c r="B491" s="64">
        <v>456040</v>
      </c>
      <c r="C491" s="64">
        <v>90194</v>
      </c>
      <c r="D491" s="53">
        <v>0</v>
      </c>
      <c r="E491" s="53">
        <f t="shared" si="4902"/>
        <v>546234</v>
      </c>
      <c r="F491" s="53">
        <f t="shared" ref="F491" si="5322">AVERAGE(E488,E489,E490,E491)</f>
        <v>322514.5</v>
      </c>
      <c r="G491" s="53">
        <f t="shared" ref="G491" si="5323">AVERAGE(F439,F387,F335)</f>
        <v>430967.58333333331</v>
      </c>
      <c r="H491" s="59">
        <f t="shared" ref="H491" si="5324">((E491/E439)-1)*100</f>
        <v>23.101921234999146</v>
      </c>
      <c r="I491" s="59">
        <f t="shared" ref="I491" si="5325">((F491/F439)-1)*100</f>
        <v>-11.365642882809347</v>
      </c>
      <c r="J491" s="59">
        <f t="shared" ref="J491" si="5326">((F491/G491)-1)*100</f>
        <v>-25.165021112376774</v>
      </c>
      <c r="L491" s="64">
        <v>0</v>
      </c>
      <c r="M491" s="64">
        <v>13850</v>
      </c>
      <c r="N491" s="64">
        <v>28000</v>
      </c>
      <c r="O491" s="53">
        <f t="shared" si="4908"/>
        <v>41850</v>
      </c>
      <c r="P491" s="53">
        <f t="shared" ref="P491" si="5327">AVERAGE(O488,O489,O490,O491)</f>
        <v>38329.5</v>
      </c>
      <c r="Q491" s="53">
        <f t="shared" ref="Q491" si="5328">AVERAGE(P439,P387,P335)</f>
        <v>24437.666666666668</v>
      </c>
      <c r="R491" s="59">
        <f t="shared" ref="R491" si="5329">((O491/O439)-1)*100</f>
        <v>62.209302325581397</v>
      </c>
      <c r="S491" s="59">
        <f t="shared" ref="S491" si="5330">((P491/P439)-1)*100</f>
        <v>67.472801153493251</v>
      </c>
      <c r="T491" s="59">
        <f t="shared" ref="T491" si="5331">((P491/Q491)-1)*100</f>
        <v>56.845989115163739</v>
      </c>
      <c r="V491" s="64">
        <v>112740</v>
      </c>
      <c r="W491" s="64">
        <v>44800</v>
      </c>
      <c r="X491" s="64">
        <v>4200</v>
      </c>
      <c r="Y491" s="64">
        <f t="shared" si="4914"/>
        <v>161740</v>
      </c>
      <c r="Z491" s="53">
        <f t="shared" ref="Z491" si="5332">AVERAGE(Y488,Y489,Y490,Y491)</f>
        <v>192108</v>
      </c>
      <c r="AA491" s="53">
        <f t="shared" ref="AA491" si="5333">AVERAGE(Z439,Z387,Z335)</f>
        <v>162858.83333333334</v>
      </c>
      <c r="AB491" s="59">
        <f t="shared" ref="AB491" si="5334">((Y491/Y439)-1)*100</f>
        <v>-11.080079606803961</v>
      </c>
      <c r="AC491" s="59">
        <f t="shared" ref="AC491" si="5335">((Z491/Z439)-1)*100</f>
        <v>15.956305427416396</v>
      </c>
      <c r="AD491" s="59">
        <f t="shared" ref="AD491" si="5336">((Z491/AA491)-1)*100</f>
        <v>17.959828194765805</v>
      </c>
      <c r="AF491" s="53">
        <v>7600</v>
      </c>
      <c r="AG491" s="53">
        <v>19250</v>
      </c>
      <c r="AH491" s="53">
        <v>0</v>
      </c>
      <c r="AI491" s="53">
        <f t="shared" ref="AI491" si="5337">SUM(AF491:AH491)</f>
        <v>26850</v>
      </c>
      <c r="AJ491" s="53">
        <f t="shared" ref="AJ491" si="5338">AVERAGE(AI488,AI489,AI490,AI491)</f>
        <v>12387.5</v>
      </c>
      <c r="AK491" s="53">
        <f t="shared" ref="AK491" si="5339">AVERAGE(AJ439,AJ387,AJ335)</f>
        <v>9145.8333333333339</v>
      </c>
      <c r="AL491" s="59">
        <f t="shared" ref="AL491" si="5340">((AI491/AI439)-1)*100</f>
        <v>355.08474576271186</v>
      </c>
      <c r="AM491" s="59">
        <f t="shared" ref="AM491" si="5341">((AJ491/AJ439)-1)*100</f>
        <v>28.201811125485122</v>
      </c>
      <c r="AN491" s="59">
        <f t="shared" ref="AN491" si="5342">((AJ491/AK491)-1)*100</f>
        <v>35.444191343963553</v>
      </c>
      <c r="AP491" s="60">
        <f t="shared" si="4926"/>
        <v>576380</v>
      </c>
      <c r="AQ491" s="53">
        <f t="shared" si="4927"/>
        <v>168094</v>
      </c>
      <c r="AR491" s="53">
        <f t="shared" si="4928"/>
        <v>32200</v>
      </c>
      <c r="AS491" s="53">
        <f t="shared" si="4929"/>
        <v>776674</v>
      </c>
      <c r="AT491" s="53">
        <f t="shared" ref="AT491" si="5343">AVERAGE(AS488,AS489,AS490,AS491)</f>
        <v>565339.5</v>
      </c>
      <c r="AU491" s="53">
        <f t="shared" ref="AU491" si="5344">AVERAGE(AT439,AT387,AT335)</f>
        <v>627409.91666666663</v>
      </c>
      <c r="AV491" s="59">
        <f t="shared" ref="AV491" si="5345">((AS491/AS439)-1)*100</f>
        <v>18.157850297952738</v>
      </c>
      <c r="AW491" s="59">
        <f t="shared" ref="AW491" si="5346">((AT491/AT439)-1)*100</f>
        <v>0.5775734620427686</v>
      </c>
      <c r="AX491" s="59">
        <f t="shared" ref="AX491" si="5347">((AT491/AU491)-1)*100</f>
        <v>-9.8931201145874947</v>
      </c>
      <c r="AZ491" s="53">
        <f t="shared" si="4935"/>
        <v>546.23400000000004</v>
      </c>
      <c r="BA491" s="53">
        <f t="shared" si="4936"/>
        <v>41.85</v>
      </c>
      <c r="BB491" s="53">
        <f t="shared" si="4937"/>
        <v>161.74</v>
      </c>
      <c r="BC491" s="53">
        <f t="shared" si="4938"/>
        <v>26.85</v>
      </c>
      <c r="BD491" s="53">
        <f t="shared" si="4939"/>
        <v>776.67399999999998</v>
      </c>
      <c r="BE491" s="60">
        <f t="shared" si="5317"/>
        <v>4087.9389999999999</v>
      </c>
      <c r="BF491" s="60">
        <f t="shared" si="5318"/>
        <v>365.334</v>
      </c>
      <c r="BG491" s="60">
        <f t="shared" si="5319"/>
        <v>2865.6840000000002</v>
      </c>
      <c r="BH491" s="60">
        <f t="shared" si="5320"/>
        <v>86</v>
      </c>
      <c r="BI491" s="60">
        <f t="shared" si="5321"/>
        <v>7404.9569999999994</v>
      </c>
      <c r="BJ491" s="1">
        <v>12</v>
      </c>
    </row>
    <row r="492" spans="1:62" x14ac:dyDescent="0.3">
      <c r="A492" s="48">
        <f t="shared" si="238"/>
        <v>40999</v>
      </c>
      <c r="B492" s="64">
        <v>423530</v>
      </c>
      <c r="C492" s="64">
        <v>84400</v>
      </c>
      <c r="D492" s="53"/>
      <c r="E492" s="53">
        <f t="shared" ref="E492:E496" si="5348">SUM(B492:D492)</f>
        <v>507930</v>
      </c>
      <c r="F492" s="53">
        <f t="shared" ref="F492" si="5349">AVERAGE(E489,E490,E491,E492)</f>
        <v>379572</v>
      </c>
      <c r="G492" s="53">
        <f t="shared" ref="G492" si="5350">AVERAGE(F440,F388,F336)</f>
        <v>430537.91666666669</v>
      </c>
      <c r="H492" s="59">
        <f t="shared" ref="H492" si="5351">((E492/E440)-1)*100</f>
        <v>10.336333244270079</v>
      </c>
      <c r="I492" s="59">
        <f t="shared" ref="I492" si="5352">((F492/F440)-1)*100</f>
        <v>-9.5805045379832805</v>
      </c>
      <c r="J492" s="59">
        <f t="shared" ref="J492" si="5353">((F492/G492)-1)*100</f>
        <v>-11.837730126363244</v>
      </c>
      <c r="L492" s="64">
        <v>10500</v>
      </c>
      <c r="M492" s="64">
        <v>22750</v>
      </c>
      <c r="N492" s="64">
        <v>14000</v>
      </c>
      <c r="O492" s="53">
        <f t="shared" si="4908"/>
        <v>47250</v>
      </c>
      <c r="P492" s="53">
        <f t="shared" ref="P492" si="5354">AVERAGE(O489,O490,O491,O492)</f>
        <v>39317</v>
      </c>
      <c r="Q492" s="53">
        <f t="shared" ref="Q492" si="5355">AVERAGE(P440,P388,P336)</f>
        <v>27186.916666666668</v>
      </c>
      <c r="R492" s="59">
        <f t="shared" ref="R492" si="5356">((O492/O440)-1)*100</f>
        <v>-0.9080804479583926</v>
      </c>
      <c r="S492" s="59">
        <f t="shared" ref="S492" si="5357">((P492/P440)-1)*100</f>
        <v>33.242961594835265</v>
      </c>
      <c r="T492" s="59">
        <f t="shared" ref="T492" si="5358">((P492/Q492)-1)*100</f>
        <v>44.61735577468329</v>
      </c>
      <c r="V492" s="64">
        <v>161300</v>
      </c>
      <c r="W492" s="64">
        <v>61150</v>
      </c>
      <c r="X492" s="64">
        <v>12600</v>
      </c>
      <c r="Y492" s="64">
        <f t="shared" si="4914"/>
        <v>235050</v>
      </c>
      <c r="Z492" s="53">
        <f t="shared" ref="Z492" si="5359">AVERAGE(Y489,Y490,Y491,Y492)</f>
        <v>202635</v>
      </c>
      <c r="AA492" s="53">
        <f t="shared" ref="AA492" si="5360">AVERAGE(Z440,Z388,Z336)</f>
        <v>163719.5</v>
      </c>
      <c r="AB492" s="59">
        <f t="shared" ref="AB492" si="5361">((Y492/Y440)-1)*100</f>
        <v>38.771630485479314</v>
      </c>
      <c r="AC492" s="59">
        <f t="shared" ref="AC492" si="5362">((Z492/Z440)-1)*100</f>
        <v>17.71352222722453</v>
      </c>
      <c r="AD492" s="59">
        <f t="shared" ref="AD492" si="5363">((Z492/AA492)-1)*100</f>
        <v>23.769618157885898</v>
      </c>
      <c r="AF492" s="53">
        <v>0</v>
      </c>
      <c r="AG492" s="53">
        <v>0</v>
      </c>
      <c r="AH492" s="53">
        <v>5600</v>
      </c>
      <c r="AI492" s="53">
        <f t="shared" ref="AI492" si="5364">SUM(AF492:AH492)</f>
        <v>5600</v>
      </c>
      <c r="AJ492" s="53">
        <f t="shared" ref="AJ492" si="5365">AVERAGE(AI489,AI490,AI491,AI492)</f>
        <v>11612.5</v>
      </c>
      <c r="AK492" s="53">
        <f t="shared" ref="AK492" si="5366">AVERAGE(AJ440,AJ388,AJ336)</f>
        <v>9454.1666666666661</v>
      </c>
      <c r="AL492" s="59">
        <f t="shared" ref="AL492" si="5367">((AI492/AI440)-1)*100</f>
        <v>-57.414448669201526</v>
      </c>
      <c r="AM492" s="59">
        <f t="shared" ref="AM492" si="5368">((AJ492/AJ440)-1)*100</f>
        <v>11.524609843937572</v>
      </c>
      <c r="AN492" s="59">
        <f t="shared" ref="AN492" si="5369">((AJ492/AK492)-1)*100</f>
        <v>22.829440282062595</v>
      </c>
      <c r="AP492" s="60">
        <f t="shared" ref="AP492:AP495" si="5370">SUM(B492,L492,V492,AF492)</f>
        <v>595330</v>
      </c>
      <c r="AQ492" s="53">
        <f t="shared" ref="AQ492:AQ495" si="5371">SUM(C492,M492,W492,AG492)</f>
        <v>168300</v>
      </c>
      <c r="AR492" s="53">
        <f t="shared" ref="AR492" si="5372">SUM(D492,N492,X492,AH492)</f>
        <v>32200</v>
      </c>
      <c r="AS492" s="53">
        <f t="shared" ref="AS492" si="5373">SUM(E492,O492,Y492,AI492)</f>
        <v>795830</v>
      </c>
      <c r="AT492" s="53">
        <f t="shared" ref="AT492" si="5374">AVERAGE(AS489,AS490,AS491,AS492)</f>
        <v>633136.5</v>
      </c>
      <c r="AU492" s="53">
        <f t="shared" ref="AU492" si="5375">AVERAGE(AT440,AT388,AT336)</f>
        <v>630898.5</v>
      </c>
      <c r="AV492" s="59">
        <f t="shared" ref="AV492" si="5376">((AS492/AS440)-1)*100</f>
        <v>15.244316560931082</v>
      </c>
      <c r="AW492" s="59">
        <f t="shared" ref="AW492" si="5377">((AT492/AT440)-1)*100</f>
        <v>0.20317233722573214</v>
      </c>
      <c r="AX492" s="59">
        <f t="shared" ref="AX492" si="5378">((AT492/AU492)-1)*100</f>
        <v>0.35473217958197356</v>
      </c>
      <c r="AZ492" s="53">
        <f t="shared" si="4935"/>
        <v>507.93</v>
      </c>
      <c r="BA492" s="53">
        <f t="shared" si="4936"/>
        <v>47.25</v>
      </c>
      <c r="BB492" s="53">
        <f t="shared" si="4937"/>
        <v>235.05</v>
      </c>
      <c r="BC492" s="53">
        <f t="shared" ref="BC492" si="5379">+AI492/1000</f>
        <v>5.6</v>
      </c>
      <c r="BD492" s="53">
        <f t="shared" ref="BD492" si="5380">+AS492/1000</f>
        <v>795.83</v>
      </c>
      <c r="BE492" s="60">
        <f t="shared" ref="BE492" si="5381">BE491+AZ492</f>
        <v>4595.8689999999997</v>
      </c>
      <c r="BF492" s="60">
        <f t="shared" ref="BF492" si="5382">BF491+BA492</f>
        <v>412.584</v>
      </c>
      <c r="BG492" s="60">
        <f t="shared" ref="BG492" si="5383">BG491+BB492</f>
        <v>3100.7340000000004</v>
      </c>
      <c r="BH492" s="60">
        <f t="shared" ref="BH492" si="5384">BH491+BC492</f>
        <v>91.6</v>
      </c>
      <c r="BI492" s="60">
        <f t="shared" ref="BI492" si="5385">BI491+BD492</f>
        <v>8200.7870000000003</v>
      </c>
      <c r="BJ492" s="1">
        <v>13</v>
      </c>
    </row>
    <row r="493" spans="1:62" x14ac:dyDescent="0.3">
      <c r="A493" s="48">
        <f t="shared" si="238"/>
        <v>41006</v>
      </c>
      <c r="B493" s="1">
        <v>324650</v>
      </c>
      <c r="C493" s="1">
        <v>64270</v>
      </c>
      <c r="D493" s="53"/>
      <c r="E493" s="53">
        <f t="shared" si="5348"/>
        <v>388920</v>
      </c>
      <c r="F493" s="53">
        <f t="shared" ref="F493" si="5386">AVERAGE(E490,E491,E492,E493)</f>
        <v>410739.5</v>
      </c>
      <c r="G493" s="53">
        <f t="shared" ref="G493" si="5387">AVERAGE(F441,F389,F337)</f>
        <v>392564.58333333331</v>
      </c>
      <c r="H493" s="59">
        <f t="shared" ref="H493" si="5388">((E493/E441)-1)*100</f>
        <v>10.558677798719085</v>
      </c>
      <c r="I493" s="59">
        <f t="shared" ref="I493" si="5389">((F493/F441)-1)*100</f>
        <v>-1.0306210532466498</v>
      </c>
      <c r="J493" s="59">
        <f t="shared" ref="J493" si="5390">((F493/G493)-1)*100</f>
        <v>4.6297902149858627</v>
      </c>
      <c r="L493" s="1">
        <v>16400</v>
      </c>
      <c r="M493" s="1">
        <v>12650</v>
      </c>
      <c r="N493" s="1">
        <v>9800</v>
      </c>
      <c r="O493" s="53">
        <f t="shared" si="4908"/>
        <v>38850</v>
      </c>
      <c r="P493" s="53">
        <f t="shared" ref="P493" si="5391">AVERAGE(O490,O491,O492,O493)</f>
        <v>39225</v>
      </c>
      <c r="Q493" s="53">
        <f t="shared" ref="Q493" si="5392">AVERAGE(P441,P389,P337)</f>
        <v>27788</v>
      </c>
      <c r="R493" s="59">
        <f t="shared" ref="R493" si="5393">((O493/O441)-1)*100</f>
        <v>27.586206896551737</v>
      </c>
      <c r="S493" s="59">
        <f t="shared" ref="S493" si="5394">((P493/P441)-1)*100</f>
        <v>26.449657884768829</v>
      </c>
      <c r="T493" s="59">
        <f t="shared" ref="T493" si="5395">((P493/Q493)-1)*100</f>
        <v>41.158053836188287</v>
      </c>
      <c r="V493" s="64">
        <v>174024</v>
      </c>
      <c r="W493" s="64">
        <v>40300</v>
      </c>
      <c r="X493" s="64">
        <v>2800</v>
      </c>
      <c r="Y493" s="64">
        <f t="shared" si="4914"/>
        <v>217124</v>
      </c>
      <c r="Z493" s="53">
        <f t="shared" ref="Z493" si="5396">AVERAGE(Y490,Y491,Y492,Y493)</f>
        <v>186028.5</v>
      </c>
      <c r="AA493" s="53">
        <f t="shared" ref="AA493" si="5397">AVERAGE(Z441,Z389,Z337)</f>
        <v>150809.66666666666</v>
      </c>
      <c r="AB493" s="59">
        <f t="shared" ref="AB493" si="5398">((Y493/Y441)-1)*100</f>
        <v>251.8457300275482</v>
      </c>
      <c r="AC493" s="59">
        <f t="shared" ref="AC493" si="5399">((Z493/Z441)-1)*100</f>
        <v>24.860141150886463</v>
      </c>
      <c r="AD493" s="59">
        <f t="shared" ref="AD493" si="5400">((Z493/AA493)-1)*100</f>
        <v>23.353167016261132</v>
      </c>
      <c r="AF493" s="53">
        <v>0</v>
      </c>
      <c r="AG493" s="53">
        <v>3500</v>
      </c>
      <c r="AH493" s="53">
        <v>0</v>
      </c>
      <c r="AI493" s="53">
        <f t="shared" ref="AI493:AI495" si="5401">SUM(AF493:AH493)</f>
        <v>3500</v>
      </c>
      <c r="AJ493" s="53">
        <f t="shared" ref="AJ493" si="5402">AVERAGE(AI490,AI491,AI492,AI493)</f>
        <v>10887.5</v>
      </c>
      <c r="AK493" s="53">
        <f t="shared" ref="AK493" si="5403">AVERAGE(AJ441,AJ389,AJ337)</f>
        <v>9579.1666666666661</v>
      </c>
      <c r="AL493" s="59">
        <f t="shared" ref="AL493" si="5404">((AI493/AI441)-1)*100</f>
        <v>-61.111111111111114</v>
      </c>
      <c r="AM493" s="59">
        <f t="shared" ref="AM493" si="5405">((AJ493/AJ441)-1)*100</f>
        <v>29.037037037037038</v>
      </c>
      <c r="AN493" s="59">
        <f t="shared" ref="AN493" si="5406">((AJ493/AK493)-1)*100</f>
        <v>13.658112222705521</v>
      </c>
      <c r="AP493" s="60">
        <f t="shared" si="5370"/>
        <v>515074</v>
      </c>
      <c r="AQ493" s="60">
        <f t="shared" si="5371"/>
        <v>120720</v>
      </c>
      <c r="AR493" s="60">
        <f t="shared" ref="AR493:AR495" si="5407">SUM(D493,N493,X493,AH493)</f>
        <v>12600</v>
      </c>
      <c r="AS493" s="60">
        <f t="shared" ref="AS493:AS495" si="5408">SUM(E493,O493,Y493,AI493)</f>
        <v>648394</v>
      </c>
      <c r="AT493" s="53">
        <f t="shared" ref="AT493" si="5409">AVERAGE(AS490,AS491,AS492,AS493)</f>
        <v>646880.5</v>
      </c>
      <c r="AU493" s="53">
        <f t="shared" ref="AU493" si="5410">AVERAGE(AT441,AT389,AT337)</f>
        <v>580741.41666666663</v>
      </c>
      <c r="AV493" s="59">
        <f t="shared" ref="AV493" si="5411">((AS493/AS441)-1)*100</f>
        <v>43.153242062361862</v>
      </c>
      <c r="AW493" s="59">
        <f t="shared" ref="AW493" si="5412">((AT493/AT441)-1)*100</f>
        <v>7.1945468163800985</v>
      </c>
      <c r="AX493" s="59">
        <f t="shared" ref="AX493" si="5413">((AT493/AU493)-1)*100</f>
        <v>11.388731961456756</v>
      </c>
      <c r="AZ493" s="53">
        <f t="shared" si="4935"/>
        <v>388.92</v>
      </c>
      <c r="BA493" s="53">
        <f t="shared" si="4936"/>
        <v>38.85</v>
      </c>
      <c r="BB493" s="53">
        <f t="shared" si="4937"/>
        <v>217.124</v>
      </c>
      <c r="BC493" s="53">
        <f t="shared" ref="BC493:BC495" si="5414">+AI493/1000</f>
        <v>3.5</v>
      </c>
      <c r="BD493" s="53">
        <f t="shared" ref="BD493:BD495" si="5415">+AS493/1000</f>
        <v>648.39400000000001</v>
      </c>
      <c r="BE493" s="60">
        <f t="shared" ref="BE493" si="5416">BE492+AZ493</f>
        <v>4984.7889999999998</v>
      </c>
      <c r="BF493" s="60">
        <f t="shared" ref="BF493" si="5417">BF492+BA493</f>
        <v>451.43400000000003</v>
      </c>
      <c r="BG493" s="60">
        <f t="shared" ref="BG493" si="5418">BG492+BB493</f>
        <v>3317.8580000000002</v>
      </c>
      <c r="BH493" s="60">
        <f t="shared" ref="BH493" si="5419">BH492+BC493</f>
        <v>95.1</v>
      </c>
      <c r="BI493" s="60">
        <f t="shared" ref="BI493" si="5420">BI492+BD493</f>
        <v>8849.1810000000005</v>
      </c>
      <c r="BJ493" s="1">
        <v>14</v>
      </c>
    </row>
    <row r="494" spans="1:62" x14ac:dyDescent="0.3">
      <c r="A494" s="48">
        <f t="shared" si="238"/>
        <v>41013</v>
      </c>
      <c r="B494" s="64">
        <v>226680</v>
      </c>
      <c r="C494" s="64">
        <v>18800</v>
      </c>
      <c r="D494" s="53">
        <v>0</v>
      </c>
      <c r="E494" s="53">
        <f t="shared" si="5348"/>
        <v>245480</v>
      </c>
      <c r="F494" s="53">
        <f t="shared" ref="F494" si="5421">AVERAGE(E491,E492,E493,E494)</f>
        <v>422141</v>
      </c>
      <c r="G494" s="53">
        <f t="shared" ref="G494" si="5422">AVERAGE(F442,F390,F338)</f>
        <v>414460.91666666669</v>
      </c>
      <c r="H494" s="59">
        <f t="shared" ref="H494" si="5423">((E494/E442)-1)*100</f>
        <v>-43.269164105289917</v>
      </c>
      <c r="I494" s="59">
        <f t="shared" ref="I494" si="5424">((F494/F442)-1)*100</f>
        <v>2.9611047052124917E-4</v>
      </c>
      <c r="J494" s="59">
        <f t="shared" ref="J494" si="5425">((F494/G494)-1)*100</f>
        <v>1.8530295679266784</v>
      </c>
      <c r="L494" s="64">
        <v>18960</v>
      </c>
      <c r="M494" s="64">
        <v>3376</v>
      </c>
      <c r="N494" s="64">
        <v>31200</v>
      </c>
      <c r="O494" s="53">
        <f t="shared" si="4908"/>
        <v>53536</v>
      </c>
      <c r="P494" s="53">
        <f t="shared" ref="P494" si="5426">AVERAGE(O491,O492,O493,O494)</f>
        <v>45371.5</v>
      </c>
      <c r="Q494" s="53">
        <f t="shared" ref="Q494" si="5427">AVERAGE(P442,P390,P338)</f>
        <v>27046.666666666668</v>
      </c>
      <c r="R494" s="59">
        <f t="shared" ref="R494" si="5428">((O494/O442)-1)*100</f>
        <v>128.7863247863248</v>
      </c>
      <c r="S494" s="59">
        <f t="shared" ref="S494" si="5429">((P494/P442)-1)*100</f>
        <v>42.52864536294598</v>
      </c>
      <c r="T494" s="59">
        <f t="shared" ref="T494" si="5430">((P494/Q494)-1)*100</f>
        <v>67.752649741188065</v>
      </c>
      <c r="V494" s="64">
        <v>114590</v>
      </c>
      <c r="W494" s="64">
        <v>29931</v>
      </c>
      <c r="X494" s="64">
        <v>11200</v>
      </c>
      <c r="Y494" s="64">
        <f t="shared" si="4914"/>
        <v>155721</v>
      </c>
      <c r="Z494" s="53">
        <f t="shared" ref="Z494" si="5431">AVERAGE(Y491,Y492,Y493,Y494)</f>
        <v>192408.75</v>
      </c>
      <c r="AA494" s="53">
        <f t="shared" ref="AA494" si="5432">AVERAGE(Z442,Z390,Z338)</f>
        <v>145446.25</v>
      </c>
      <c r="AB494" s="59">
        <f t="shared" ref="AB494" si="5433">((Y494/Y442)-1)*100</f>
        <v>51.570986392571406</v>
      </c>
      <c r="AC494" s="59">
        <f t="shared" ref="AC494" si="5434">((Z494/Z442)-1)*100</f>
        <v>49.234760655470701</v>
      </c>
      <c r="AD494" s="59">
        <f t="shared" ref="AD494" si="5435">((Z494/AA494)-1)*100</f>
        <v>32.288560206949299</v>
      </c>
      <c r="AF494" s="53">
        <v>1500</v>
      </c>
      <c r="AG494" s="53">
        <v>1700</v>
      </c>
      <c r="AH494" s="53">
        <v>3300</v>
      </c>
      <c r="AI494" s="53">
        <f t="shared" si="5401"/>
        <v>6500</v>
      </c>
      <c r="AJ494" s="53">
        <f t="shared" ref="AJ494" si="5436">AVERAGE(AI491,AI492,AI493,AI494)</f>
        <v>10612.5</v>
      </c>
      <c r="AK494" s="53">
        <f t="shared" ref="AK494" si="5437">AVERAGE(AJ442,AJ390,AJ338)</f>
        <v>10172.833333333334</v>
      </c>
      <c r="AL494" s="59">
        <f t="shared" ref="AL494" si="5438">((AI494/AI442)-1)*100</f>
        <v>51.162790697674424</v>
      </c>
      <c r="AM494" s="59">
        <f t="shared" ref="AM494" si="5439">((AJ494/AJ442)-1)*100</f>
        <v>31.221020092735706</v>
      </c>
      <c r="AN494" s="59">
        <f t="shared" ref="AN494" si="5440">((AJ494/AK494)-1)*100</f>
        <v>4.3219686419712522</v>
      </c>
      <c r="AP494" s="60">
        <f t="shared" si="5370"/>
        <v>361730</v>
      </c>
      <c r="AQ494" s="60">
        <f t="shared" si="5371"/>
        <v>53807</v>
      </c>
      <c r="AR494" s="60">
        <f t="shared" si="5407"/>
        <v>45700</v>
      </c>
      <c r="AS494" s="60">
        <f t="shared" si="5408"/>
        <v>461237</v>
      </c>
      <c r="AT494" s="53">
        <f t="shared" ref="AT494" si="5441">AVERAGE(AS491,AS492,AS493,AS494)</f>
        <v>670533.75</v>
      </c>
      <c r="AU494" s="53">
        <f t="shared" ref="AU494" si="5442">AVERAGE(AT442,AT390,AT338)</f>
        <v>597126.66666666663</v>
      </c>
      <c r="AV494" s="59">
        <f t="shared" ref="AV494" si="5443">((AS494/AS442)-1)*100</f>
        <v>-18.096663754465968</v>
      </c>
      <c r="AW494" s="59">
        <f t="shared" ref="AW494" si="5444">((AT494/AT442)-1)*100</f>
        <v>13.459263110294017</v>
      </c>
      <c r="AX494" s="59">
        <f t="shared" ref="AX494" si="5445">((AT494/AU494)-1)*100</f>
        <v>12.293385546338587</v>
      </c>
      <c r="AZ494" s="53">
        <f t="shared" si="4935"/>
        <v>245.48</v>
      </c>
      <c r="BA494" s="53">
        <f t="shared" si="4936"/>
        <v>53.536000000000001</v>
      </c>
      <c r="BB494" s="53">
        <f t="shared" si="4937"/>
        <v>155.721</v>
      </c>
      <c r="BC494" s="53">
        <f t="shared" si="5414"/>
        <v>6.5</v>
      </c>
      <c r="BD494" s="53">
        <f t="shared" si="5415"/>
        <v>461.23700000000002</v>
      </c>
      <c r="BE494" s="60">
        <f t="shared" ref="BE494" si="5446">BE493+AZ494</f>
        <v>5230.2689999999993</v>
      </c>
      <c r="BF494" s="60">
        <f t="shared" ref="BF494" si="5447">BF493+BA494</f>
        <v>504.97</v>
      </c>
      <c r="BG494" s="60">
        <f t="shared" ref="BG494" si="5448">BG493+BB494</f>
        <v>3473.5790000000002</v>
      </c>
      <c r="BH494" s="60">
        <f t="shared" ref="BH494" si="5449">BH493+BC494</f>
        <v>101.6</v>
      </c>
      <c r="BI494" s="60">
        <f t="shared" ref="BI494" si="5450">BI493+BD494</f>
        <v>9310.4179999999997</v>
      </c>
      <c r="BJ494" s="1">
        <v>15</v>
      </c>
    </row>
    <row r="495" spans="1:62" x14ac:dyDescent="0.3">
      <c r="A495" s="48">
        <f t="shared" si="238"/>
        <v>41020</v>
      </c>
      <c r="B495" s="64">
        <v>413235</v>
      </c>
      <c r="C495" s="64">
        <v>31500</v>
      </c>
      <c r="D495" s="53">
        <v>0</v>
      </c>
      <c r="E495" s="53">
        <f t="shared" si="5348"/>
        <v>444735</v>
      </c>
      <c r="F495" s="53">
        <f t="shared" ref="F495" si="5451">AVERAGE(E492,E493,E494,E495)</f>
        <v>396766.25</v>
      </c>
      <c r="G495" s="53">
        <f t="shared" ref="G495" si="5452">AVERAGE(F443,F391,F339)</f>
        <v>425931.66666666669</v>
      </c>
      <c r="H495" s="59">
        <f t="shared" ref="H495" si="5453">((E495/E443)-1)*100</f>
        <v>36.565885474242755</v>
      </c>
      <c r="I495" s="59">
        <f t="shared" ref="I495" si="5454">((F495/F443)-1)*100</f>
        <v>1.0554030907551137</v>
      </c>
      <c r="J495" s="59">
        <f t="shared" ref="J495" si="5455">((F495/G495)-1)*100</f>
        <v>-6.8474403171087772</v>
      </c>
      <c r="L495" s="64">
        <v>11605</v>
      </c>
      <c r="M495" s="64">
        <v>11600</v>
      </c>
      <c r="N495" s="64">
        <v>14000</v>
      </c>
      <c r="O495" s="53">
        <f t="shared" si="4908"/>
        <v>37205</v>
      </c>
      <c r="P495" s="53">
        <f t="shared" ref="P495" si="5456">AVERAGE(O492,O493,O494,O495)</f>
        <v>44210.25</v>
      </c>
      <c r="Q495" s="53">
        <f t="shared" ref="Q495" si="5457">AVERAGE(P443,P391,P339)</f>
        <v>31740.083333333332</v>
      </c>
      <c r="R495" s="59">
        <f t="shared" ref="R495" si="5458">((O495/O443)-1)*100</f>
        <v>-21.175847457627118</v>
      </c>
      <c r="S495" s="59">
        <f t="shared" ref="S495" si="5459">((P495/P443)-1)*100</f>
        <v>18.898294258839666</v>
      </c>
      <c r="T495" s="59">
        <f t="shared" ref="T495" si="5460">((P495/Q495)-1)*100</f>
        <v>39.288386661450694</v>
      </c>
      <c r="V495" s="64">
        <v>177430</v>
      </c>
      <c r="W495" s="64">
        <v>20850</v>
      </c>
      <c r="X495" s="64">
        <v>1400</v>
      </c>
      <c r="Y495" s="64">
        <f t="shared" si="4914"/>
        <v>199680</v>
      </c>
      <c r="Z495" s="53">
        <f t="shared" ref="Z495" si="5461">AVERAGE(Y492,Y493,Y494,Y495)</f>
        <v>201893.75</v>
      </c>
      <c r="AA495" s="53">
        <f t="shared" ref="AA495" si="5462">AVERAGE(Z443,Z391,Z339)</f>
        <v>135351.91666666666</v>
      </c>
      <c r="AB495" s="59">
        <f t="shared" ref="AB495" si="5463">((Y495/Y443)-1)*100</f>
        <v>123.94186124756072</v>
      </c>
      <c r="AC495" s="59">
        <f t="shared" ref="AC495" si="5464">((Z495/Z443)-1)*100</f>
        <v>90.9192350700839</v>
      </c>
      <c r="AD495" s="59">
        <f t="shared" ref="AD495" si="5465">((Z495/AA495)-1)*100</f>
        <v>49.162091658596154</v>
      </c>
      <c r="AF495" s="53">
        <v>0</v>
      </c>
      <c r="AG495" s="53">
        <v>3550</v>
      </c>
      <c r="AH495" s="53">
        <v>1400</v>
      </c>
      <c r="AI495" s="53">
        <f t="shared" si="5401"/>
        <v>4950</v>
      </c>
      <c r="AJ495" s="53">
        <f t="shared" ref="AJ495" si="5466">AVERAGE(AI492,AI493,AI494,AI495)</f>
        <v>5137.5</v>
      </c>
      <c r="AK495" s="53">
        <f t="shared" ref="AK495" si="5467">AVERAGE(AJ443,AJ391,AJ339)</f>
        <v>9617.3333333333339</v>
      </c>
      <c r="AL495" s="59">
        <f t="shared" ref="AL495" si="5468">((AI495/AI443)-1)*100</f>
        <v>-20.161290322580648</v>
      </c>
      <c r="AM495" s="59">
        <f t="shared" ref="AM495" si="5469">((AJ495/AJ443)-1)*100</f>
        <v>-37.059724349157733</v>
      </c>
      <c r="AN495" s="59">
        <f t="shared" ref="AN495" si="5470">((AJ495/AK495)-1)*100</f>
        <v>-46.580826285872732</v>
      </c>
      <c r="AP495" s="60">
        <f t="shared" si="5370"/>
        <v>602270</v>
      </c>
      <c r="AQ495" s="60">
        <f t="shared" si="5371"/>
        <v>67500</v>
      </c>
      <c r="AR495" s="60">
        <f t="shared" si="5407"/>
        <v>16800</v>
      </c>
      <c r="AS495" s="60">
        <f t="shared" si="5408"/>
        <v>686570</v>
      </c>
      <c r="AT495" s="60">
        <f t="shared" ref="AT495" si="5471">AVERAGE(AS492,AS493,AS494,AS495)</f>
        <v>648007.75</v>
      </c>
      <c r="AU495" s="53">
        <f t="shared" ref="AU495" si="5472">AVERAGE(AT443,AT391,AT339)</f>
        <v>602641</v>
      </c>
      <c r="AV495" s="59">
        <f t="shared" ref="AV495" si="5473">((AS495/AS443)-1)*100</f>
        <v>46.633434567363352</v>
      </c>
      <c r="AW495" s="59">
        <f t="shared" ref="AW495" si="5474">((AT495/AT443)-1)*100</f>
        <v>19.181181737173691</v>
      </c>
      <c r="AX495" s="59">
        <f t="shared" ref="AX495" si="5475">((AT495/AU495)-1)*100</f>
        <v>7.527989300429283</v>
      </c>
      <c r="AZ495" s="53">
        <f t="shared" si="4935"/>
        <v>444.73500000000001</v>
      </c>
      <c r="BA495" s="53">
        <f t="shared" si="4936"/>
        <v>37.204999999999998</v>
      </c>
      <c r="BB495" s="53">
        <f t="shared" si="4937"/>
        <v>199.68</v>
      </c>
      <c r="BC495" s="53">
        <f t="shared" si="5414"/>
        <v>4.95</v>
      </c>
      <c r="BD495" s="53">
        <f t="shared" si="5415"/>
        <v>686.57</v>
      </c>
      <c r="BE495" s="60">
        <f t="shared" ref="BE495" si="5476">BE494+AZ495</f>
        <v>5675.003999999999</v>
      </c>
      <c r="BF495" s="60">
        <f t="shared" ref="BF495" si="5477">BF494+BA495</f>
        <v>542.17500000000007</v>
      </c>
      <c r="BG495" s="60">
        <f t="shared" ref="BG495" si="5478">BG494+BB495</f>
        <v>3673.259</v>
      </c>
      <c r="BH495" s="60">
        <f t="shared" ref="BH495" si="5479">BH494+BC495</f>
        <v>106.55</v>
      </c>
      <c r="BI495" s="60">
        <f t="shared" ref="BI495" si="5480">BI494+BD495</f>
        <v>9996.9879999999994</v>
      </c>
      <c r="BJ495" s="1">
        <v>16</v>
      </c>
    </row>
    <row r="496" spans="1:62" x14ac:dyDescent="0.3">
      <c r="A496" s="48">
        <f t="shared" si="238"/>
        <v>41027</v>
      </c>
      <c r="B496" s="64">
        <v>338769</v>
      </c>
      <c r="C496" s="64">
        <v>32300</v>
      </c>
      <c r="D496" s="53">
        <v>0</v>
      </c>
      <c r="E496" s="53">
        <f t="shared" si="5348"/>
        <v>371069</v>
      </c>
      <c r="F496" s="53">
        <f t="shared" ref="F496" si="5481">AVERAGE(E493,E494,E495,E496)</f>
        <v>362551</v>
      </c>
      <c r="G496" s="53">
        <f t="shared" ref="G496" si="5482">AVERAGE(F444,F392,F340)</f>
        <v>403643.25</v>
      </c>
      <c r="H496" s="59">
        <f t="shared" ref="H496" si="5483">((E496/E444)-1)*100</f>
        <v>79.260386473429946</v>
      </c>
      <c r="I496" s="59">
        <f t="shared" ref="I496" si="5484">((F496/F444)-1)*100</f>
        <v>10.102244023617789</v>
      </c>
      <c r="J496" s="59">
        <f t="shared" ref="J496" si="5485">((F496/G496)-1)*100</f>
        <v>-10.180338702554792</v>
      </c>
      <c r="L496" s="64">
        <v>9300</v>
      </c>
      <c r="M496" s="64">
        <v>18200</v>
      </c>
      <c r="N496" s="64">
        <v>27000</v>
      </c>
      <c r="O496" s="53">
        <f t="shared" si="4908"/>
        <v>54500</v>
      </c>
      <c r="P496" s="53">
        <f t="shared" ref="P496" si="5486">AVERAGE(O493,O494,O495,O496)</f>
        <v>46022.75</v>
      </c>
      <c r="Q496" s="53">
        <f t="shared" ref="Q496" si="5487">AVERAGE(P444,P392,P340)</f>
        <v>28472.666666666668</v>
      </c>
      <c r="R496" s="59">
        <f t="shared" ref="R496" si="5488">((O496/O444)-1)*100</f>
        <v>621.85430463576154</v>
      </c>
      <c r="S496" s="59">
        <f t="shared" ref="S496" si="5489">((P496/P444)-1)*100</f>
        <v>69.51289134438305</v>
      </c>
      <c r="T496" s="59">
        <f t="shared" ref="T496" si="5490">((P496/Q496)-1)*100</f>
        <v>61.638354913484264</v>
      </c>
      <c r="V496" s="64">
        <v>155882</v>
      </c>
      <c r="W496" s="64">
        <v>18800</v>
      </c>
      <c r="X496" s="64">
        <v>9800</v>
      </c>
      <c r="Y496" s="64">
        <f t="shared" ref="Y496" si="5491">SUM(V496:X496)</f>
        <v>184482</v>
      </c>
      <c r="Z496" s="53">
        <f t="shared" ref="Z496" si="5492">AVERAGE(Y493,Y494,Y495,Y496)</f>
        <v>189251.75</v>
      </c>
      <c r="AA496" s="53">
        <f t="shared" ref="AA496" si="5493">AVERAGE(Z444,Z392,Z340)</f>
        <v>113496.08333333333</v>
      </c>
      <c r="AB496" s="59">
        <f t="shared" ref="AB496" si="5494">((Y496/Y444)-1)*100</f>
        <v>385.47894736842102</v>
      </c>
      <c r="AC496" s="59">
        <f t="shared" ref="AC496" si="5495">((Z496/Z444)-1)*100</f>
        <v>159.59213206499001</v>
      </c>
      <c r="AD496" s="59">
        <f t="shared" ref="AD496" si="5496">((Z496/AA496)-1)*100</f>
        <v>66.747384087409785</v>
      </c>
      <c r="AF496" s="53">
        <v>0</v>
      </c>
      <c r="AG496" s="53">
        <v>0</v>
      </c>
      <c r="AH496" s="53">
        <v>8400</v>
      </c>
      <c r="AI496" s="53">
        <f t="shared" ref="AI496" si="5497">SUM(AF496:AH496)</f>
        <v>8400</v>
      </c>
      <c r="AJ496" s="53">
        <f t="shared" ref="AJ496" si="5498">AVERAGE(AI493,AI494,AI495,AI496)</f>
        <v>5837.5</v>
      </c>
      <c r="AK496" s="53">
        <f t="shared" ref="AK496" si="5499">AVERAGE(AJ444,AJ392,AJ340)</f>
        <v>8488.1666666666661</v>
      </c>
      <c r="AL496" s="59">
        <f t="shared" ref="AL496" si="5500">((AI496/AI444)-1)*100</f>
        <v>44.827586206896555</v>
      </c>
      <c r="AM496" s="59">
        <f t="shared" ref="AM496" si="5501">((AJ496/AJ444)-1)*100</f>
        <v>-7.7075098814229248</v>
      </c>
      <c r="AN496" s="59">
        <f t="shared" ref="AN496" si="5502">((AJ496/AK496)-1)*100</f>
        <v>-31.227787704451295</v>
      </c>
      <c r="AP496" s="60">
        <f t="shared" ref="AP496" si="5503">SUM(B496,L496,V496,AF496)</f>
        <v>503951</v>
      </c>
      <c r="AQ496" s="60">
        <f t="shared" ref="AQ496" si="5504">SUM(C496,M496,W496,AG496)</f>
        <v>69300</v>
      </c>
      <c r="AR496" s="60">
        <f t="shared" ref="AR496" si="5505">SUM(D496,N496,X496,AH496)</f>
        <v>45200</v>
      </c>
      <c r="AS496" s="60">
        <f t="shared" ref="AS496" si="5506">SUM(E496,O496,Y496,AI496)</f>
        <v>618451</v>
      </c>
      <c r="AT496" s="60">
        <f t="shared" ref="AT496" si="5507">AVERAGE(AS493,AS494,AS495,AS496)</f>
        <v>603663</v>
      </c>
      <c r="AU496" s="53">
        <f t="shared" ref="AU496" si="5508">AVERAGE(AT444,AT392,AT340)</f>
        <v>554100.16666666663</v>
      </c>
      <c r="AV496" s="59">
        <f t="shared" ref="AV496" si="5509">((AS496/AS444)-1)*100</f>
        <v>139.3849429069092</v>
      </c>
      <c r="AW496" s="59">
        <f t="shared" ref="AW496" si="5510">((AT496/AT444)-1)*100</f>
        <v>38.56151841699198</v>
      </c>
      <c r="AX496" s="59">
        <f t="shared" ref="AX496" si="5511">((AT496/AU496)-1)*100</f>
        <v>8.9447425420373872</v>
      </c>
      <c r="AZ496" s="53">
        <f t="shared" ref="AZ496" si="5512">+E496/1000</f>
        <v>371.06900000000002</v>
      </c>
      <c r="BA496" s="53">
        <f t="shared" ref="BA496" si="5513">+O496/1000</f>
        <v>54.5</v>
      </c>
      <c r="BB496" s="53">
        <f t="shared" ref="BB496" si="5514">+Y496/1000</f>
        <v>184.482</v>
      </c>
      <c r="BC496" s="53">
        <f t="shared" ref="BC496" si="5515">+AI496/1000</f>
        <v>8.4</v>
      </c>
      <c r="BD496" s="53">
        <f t="shared" ref="BD496" si="5516">+AS496/1000</f>
        <v>618.45100000000002</v>
      </c>
      <c r="BE496" s="60">
        <f t="shared" ref="BE496" si="5517">BE495+AZ496</f>
        <v>6046.0729999999994</v>
      </c>
      <c r="BF496" s="60">
        <f t="shared" ref="BF496" si="5518">BF495+BA496</f>
        <v>596.67500000000007</v>
      </c>
      <c r="BG496" s="60">
        <f t="shared" ref="BG496" si="5519">BG495+BB496</f>
        <v>3857.741</v>
      </c>
      <c r="BH496" s="60">
        <f t="shared" ref="BH496" si="5520">BH495+BC496</f>
        <v>114.95</v>
      </c>
      <c r="BI496" s="60">
        <f t="shared" ref="BI496" si="5521">BI495+BD496</f>
        <v>10615.438999999998</v>
      </c>
      <c r="BJ496" s="1">
        <v>17</v>
      </c>
    </row>
    <row r="497" spans="1:62" x14ac:dyDescent="0.3">
      <c r="A497" s="48">
        <f t="shared" ref="A497:A571" si="5522">A496+7</f>
        <v>41034</v>
      </c>
      <c r="B497" s="67">
        <v>333200</v>
      </c>
      <c r="C497" s="64">
        <v>34000</v>
      </c>
      <c r="D497" s="53">
        <v>0</v>
      </c>
      <c r="E497" s="53">
        <f t="shared" ref="E497:E509" si="5523">SUM(B497:D497)</f>
        <v>367200</v>
      </c>
      <c r="F497" s="53">
        <f t="shared" ref="F497" si="5524">AVERAGE(E494,E495,E496,E497)</f>
        <v>357121</v>
      </c>
      <c r="G497" s="53">
        <f t="shared" ref="G497" si="5525">AVERAGE(F445,F393,F341)</f>
        <v>418412.66666666669</v>
      </c>
      <c r="H497" s="59">
        <f t="shared" ref="H497" si="5526">((E497/E445)-1)*100</f>
        <v>56.694062524003371</v>
      </c>
      <c r="I497" s="59">
        <f t="shared" ref="I497" si="5527">((F497/F445)-1)*100</f>
        <v>19.069306864670409</v>
      </c>
      <c r="J497" s="59">
        <f t="shared" ref="J497" si="5528">((F497/G497)-1)*100</f>
        <v>-14.648616437679552</v>
      </c>
      <c r="L497" s="67">
        <v>17400</v>
      </c>
      <c r="M497" s="64">
        <v>1800</v>
      </c>
      <c r="N497" s="67">
        <v>16800</v>
      </c>
      <c r="O497" s="53">
        <f t="shared" ref="O497:O503" si="5529">SUM(L497:N497)</f>
        <v>36000</v>
      </c>
      <c r="P497" s="53">
        <f t="shared" ref="P497" si="5530">AVERAGE(O494,O495,O496,O497)</f>
        <v>45310.25</v>
      </c>
      <c r="Q497" s="53">
        <f t="shared" ref="Q497" si="5531">AVERAGE(P445,P393,P341)</f>
        <v>26053.166666666668</v>
      </c>
      <c r="R497" s="59" t="e">
        <f t="shared" ref="R497" si="5532">((O497/O445)-1)*100</f>
        <v>#DIV/0!</v>
      </c>
      <c r="S497" s="59">
        <f t="shared" ref="S497" si="5533">((P497/P445)-1)*100</f>
        <v>131.91426743442099</v>
      </c>
      <c r="T497" s="59">
        <f t="shared" ref="T497" si="5534">((P497/Q497)-1)*100</f>
        <v>73.914559330599602</v>
      </c>
      <c r="V497" s="67">
        <v>142300</v>
      </c>
      <c r="W497" s="64">
        <v>22400</v>
      </c>
      <c r="X497" s="67">
        <v>7000</v>
      </c>
      <c r="Y497" s="64">
        <f t="shared" ref="Y497:Y503" si="5535">SUM(V497:X497)</f>
        <v>171700</v>
      </c>
      <c r="Z497" s="53">
        <f t="shared" ref="Z497" si="5536">AVERAGE(Y494,Y495,Y496,Y497)</f>
        <v>177895.75</v>
      </c>
      <c r="AA497" s="53">
        <f t="shared" ref="AA497" si="5537">AVERAGE(Z445,Z393,Z341)</f>
        <v>115695.33333333333</v>
      </c>
      <c r="AB497" s="59">
        <f t="shared" ref="AB497" si="5538">((Y497/Y445)-1)*100</f>
        <v>247.00889248181085</v>
      </c>
      <c r="AC497" s="59">
        <f t="shared" ref="AC497" si="5539">((Z497/Z445)-1)*100</f>
        <v>154.69711937691494</v>
      </c>
      <c r="AD497" s="59">
        <f t="shared" ref="AD497" si="5540">((Z497/AA497)-1)*100</f>
        <v>53.762252006707278</v>
      </c>
      <c r="AF497" s="53">
        <v>0</v>
      </c>
      <c r="AG497" s="53">
        <v>3700</v>
      </c>
      <c r="AH497" s="53">
        <v>0</v>
      </c>
      <c r="AI497" s="53">
        <f t="shared" ref="AI497" si="5541">SUM(AF497:AH497)</f>
        <v>3700</v>
      </c>
      <c r="AJ497" s="53">
        <f t="shared" ref="AJ497" si="5542">AVERAGE(AI494,AI495,AI496,AI497)</f>
        <v>5887.5</v>
      </c>
      <c r="AK497" s="53">
        <f t="shared" ref="AK497" si="5543">AVERAGE(AJ445,AJ393,AJ341)</f>
        <v>8813.1666666666661</v>
      </c>
      <c r="AL497" s="59">
        <f t="shared" ref="AL497" si="5544">((AI497/AI445)-1)*100</f>
        <v>-19.565217391304344</v>
      </c>
      <c r="AM497" s="59">
        <f t="shared" ref="AM497" si="5545">((AJ497/AJ445)-1)*100</f>
        <v>12.679425837320579</v>
      </c>
      <c r="AN497" s="59">
        <f t="shared" ref="AN497" si="5546">((AJ497/AK497)-1)*100</f>
        <v>-33.196543051116699</v>
      </c>
      <c r="AP497" s="60">
        <f t="shared" ref="AP497" si="5547">SUM(B497,L497,V497,AF497)</f>
        <v>492900</v>
      </c>
      <c r="AQ497" s="60">
        <f t="shared" ref="AQ497" si="5548">SUM(C497,M497,W497,AG497)</f>
        <v>61900</v>
      </c>
      <c r="AR497" s="60">
        <f t="shared" ref="AR497" si="5549">SUM(D497,N497,X497,AH497)</f>
        <v>23800</v>
      </c>
      <c r="AS497" s="60">
        <f t="shared" ref="AS497" si="5550">SUM(E497,O497,Y497,AI497)</f>
        <v>578600</v>
      </c>
      <c r="AT497" s="60">
        <f t="shared" ref="AT497" si="5551">AVERAGE(AS494,AS495,AS496,AS497)</f>
        <v>586214.5</v>
      </c>
      <c r="AU497" s="53">
        <f t="shared" ref="AU497" si="5552">AVERAGE(AT445,AT393,AT341)</f>
        <v>568974.33333333337</v>
      </c>
      <c r="AV497" s="59">
        <f t="shared" ref="AV497" si="5553">((AS497/AS445)-1)*100</f>
        <v>100.60883011698137</v>
      </c>
      <c r="AW497" s="59">
        <f t="shared" ref="AW497" si="5554">((AT497/AT445)-1)*100</f>
        <v>48.583460803907386</v>
      </c>
      <c r="AX497" s="59">
        <f t="shared" ref="AX497" si="5555">((AT497/AU497)-1)*100</f>
        <v>3.0300429486274316</v>
      </c>
      <c r="AZ497" s="53">
        <f t="shared" ref="AZ497:AZ503" si="5556">+E497/1000</f>
        <v>367.2</v>
      </c>
      <c r="BA497" s="53">
        <f t="shared" ref="BA497:BA502" si="5557">+O497/1000</f>
        <v>36</v>
      </c>
      <c r="BB497" s="53">
        <f t="shared" ref="BB497:BB502" si="5558">+Y497/1000</f>
        <v>171.7</v>
      </c>
      <c r="BC497" s="53">
        <f t="shared" ref="BC497" si="5559">+AI497/1000</f>
        <v>3.7</v>
      </c>
      <c r="BD497" s="53">
        <f t="shared" ref="BD497" si="5560">+AS497/1000</f>
        <v>578.6</v>
      </c>
      <c r="BE497" s="60">
        <f t="shared" ref="BE497" si="5561">BE496+AZ497</f>
        <v>6413.2729999999992</v>
      </c>
      <c r="BF497" s="60">
        <f t="shared" ref="BF497" si="5562">BF496+BA497</f>
        <v>632.67500000000007</v>
      </c>
      <c r="BG497" s="60">
        <f t="shared" ref="BG497" si="5563">BG496+BB497</f>
        <v>4029.4409999999998</v>
      </c>
      <c r="BH497" s="60">
        <f t="shared" ref="BH497" si="5564">BH496+BC497</f>
        <v>118.65</v>
      </c>
      <c r="BI497" s="60">
        <f t="shared" ref="BI497" si="5565">BI496+BD497</f>
        <v>11194.038999999999</v>
      </c>
      <c r="BJ497" s="1">
        <v>18</v>
      </c>
    </row>
    <row r="498" spans="1:62" x14ac:dyDescent="0.3">
      <c r="A498" s="48">
        <f t="shared" si="5522"/>
        <v>41041</v>
      </c>
      <c r="B498" s="64">
        <v>301900</v>
      </c>
      <c r="C498" s="64">
        <v>27700</v>
      </c>
      <c r="D498" s="53">
        <v>0</v>
      </c>
      <c r="E498" s="53">
        <f t="shared" si="5523"/>
        <v>329600</v>
      </c>
      <c r="F498" s="53">
        <f t="shared" ref="F498" si="5566">AVERAGE(E495,E496,E497,E498)</f>
        <v>378151</v>
      </c>
      <c r="G498" s="53">
        <f t="shared" ref="G498" si="5567">AVERAGE(F446,F394,F342)</f>
        <v>441933.08333333331</v>
      </c>
      <c r="H498" s="59">
        <f t="shared" ref="H498" si="5568">((E498/E446)-1)*100</f>
        <v>-18.311911689624914</v>
      </c>
      <c r="I498" s="59">
        <f t="shared" ref="I498" si="5569">((F498/F446)-1)*100</f>
        <v>29.228934355360693</v>
      </c>
      <c r="J498" s="59">
        <f t="shared" ref="J498" si="5570">((F498/G498)-1)*100</f>
        <v>-14.432520609737853</v>
      </c>
      <c r="L498" s="64">
        <v>15400</v>
      </c>
      <c r="M498" s="64">
        <v>5100</v>
      </c>
      <c r="N498" s="64">
        <v>27600</v>
      </c>
      <c r="O498" s="53">
        <f t="shared" si="5529"/>
        <v>48100</v>
      </c>
      <c r="P498" s="53">
        <f t="shared" ref="P498" si="5571">AVERAGE(O495,O496,O497,O498)</f>
        <v>43951.25</v>
      </c>
      <c r="Q498" s="53">
        <f t="shared" ref="Q498" si="5572">AVERAGE(P446,P394,P342)</f>
        <v>23933.5</v>
      </c>
      <c r="R498" s="59">
        <f t="shared" ref="R498" si="5573">((O498/O446)-1)*100</f>
        <v>3106.666666666667</v>
      </c>
      <c r="S498" s="59">
        <f t="shared" ref="S498" si="5574">((P498/P446)-1)*100</f>
        <v>212.54222222222222</v>
      </c>
      <c r="T498" s="59">
        <f t="shared" ref="T498" si="5575">((P498/Q498)-1)*100</f>
        <v>83.639041510852991</v>
      </c>
      <c r="V498" s="64">
        <v>86100</v>
      </c>
      <c r="W498" s="64">
        <v>63100</v>
      </c>
      <c r="X498" s="64">
        <v>2800</v>
      </c>
      <c r="Y498" s="64">
        <f t="shared" si="5535"/>
        <v>152000</v>
      </c>
      <c r="Z498" s="53">
        <f t="shared" ref="Z498" si="5576">AVERAGE(Y495,Y496,Y497,Y498)</f>
        <v>176965.5</v>
      </c>
      <c r="AA498" s="53">
        <f t="shared" ref="AA498" si="5577">AVERAGE(Z446,Z394,Z342)</f>
        <v>114199</v>
      </c>
      <c r="AB498" s="59">
        <f t="shared" ref="AB498" si="5578">((Y498/Y446)-1)*100</f>
        <v>50.041952519618981</v>
      </c>
      <c r="AC498" s="59">
        <f t="shared" ref="AC498" si="5579">((Z498/Z446)-1)*100</f>
        <v>154.67150684832939</v>
      </c>
      <c r="AD498" s="59">
        <f t="shared" ref="AD498" si="5580">((Z498/AA498)-1)*100</f>
        <v>54.962390213574544</v>
      </c>
      <c r="AF498" s="53">
        <f>3200</f>
        <v>3200</v>
      </c>
      <c r="AG498" s="53">
        <v>3500</v>
      </c>
      <c r="AH498" s="53">
        <v>0</v>
      </c>
      <c r="AI498" s="53">
        <f t="shared" ref="AI498" si="5581">SUM(AF498:AH498)</f>
        <v>6700</v>
      </c>
      <c r="AJ498" s="53">
        <f t="shared" ref="AJ498" si="5582">AVERAGE(AI495,AI496,AI497,AI498)</f>
        <v>5937.5</v>
      </c>
      <c r="AK498" s="53">
        <f t="shared" ref="AK498" si="5583">AVERAGE(AJ446,AJ394,AJ342)</f>
        <v>7607</v>
      </c>
      <c r="AL498" s="59"/>
      <c r="AM498" s="59">
        <f t="shared" ref="AM498" si="5584">((AJ498/AJ446)-1)*100</f>
        <v>43.07228915662651</v>
      </c>
      <c r="AN498" s="59">
        <f t="shared" ref="AN498" si="5585">((AJ498/AK498)-1)*100</f>
        <v>-21.946891021427628</v>
      </c>
      <c r="AP498" s="60">
        <f t="shared" ref="AP498" si="5586">SUM(B498,L498,V498,AF498)</f>
        <v>406600</v>
      </c>
      <c r="AQ498" s="60">
        <f t="shared" ref="AQ498" si="5587">SUM(C498,M498,W498,AG498)</f>
        <v>99400</v>
      </c>
      <c r="AR498" s="60">
        <f t="shared" ref="AR498" si="5588">SUM(D498,N498,X498,AH498)</f>
        <v>30400</v>
      </c>
      <c r="AS498" s="60">
        <f t="shared" ref="AS498" si="5589">SUM(E498,O498,Y498,AI498)</f>
        <v>536400</v>
      </c>
      <c r="AT498" s="60">
        <f t="shared" ref="AT498" si="5590">AVERAGE(AS495,AS496,AS497,AS498)</f>
        <v>605005.25</v>
      </c>
      <c r="AU498" s="53">
        <f t="shared" ref="AU498" si="5591">AVERAGE(AT446,AT394,AT342)</f>
        <v>587672.58333333337</v>
      </c>
      <c r="AV498" s="59">
        <f t="shared" ref="AV498" si="5592">((AS498/AS446)-1)*100</f>
        <v>5.9469751585550679</v>
      </c>
      <c r="AW498" s="59">
        <f t="shared" ref="AW498" si="5593">((AT498/AT446)-1)*100</f>
        <v>59.077424677164373</v>
      </c>
      <c r="AX498" s="59">
        <f t="shared" ref="AX498" si="5594">((AT498/AU498)-1)*100</f>
        <v>2.9493747297779649</v>
      </c>
      <c r="AZ498" s="53">
        <f t="shared" si="5556"/>
        <v>329.6</v>
      </c>
      <c r="BA498" s="53">
        <f t="shared" si="5557"/>
        <v>48.1</v>
      </c>
      <c r="BB498" s="53">
        <f t="shared" si="5558"/>
        <v>152</v>
      </c>
      <c r="BC498" s="53">
        <f t="shared" ref="BC498" si="5595">+AI498/1000</f>
        <v>6.7</v>
      </c>
      <c r="BD498" s="53">
        <f t="shared" ref="BD498" si="5596">+AS498/1000</f>
        <v>536.4</v>
      </c>
      <c r="BE498" s="60">
        <f t="shared" ref="BE498" si="5597">BE497+AZ498</f>
        <v>6742.8729999999996</v>
      </c>
      <c r="BF498" s="60">
        <f t="shared" ref="BF498" si="5598">BF497+BA498</f>
        <v>680.77500000000009</v>
      </c>
      <c r="BG498" s="60">
        <f t="shared" ref="BG498" si="5599">BG497+BB498</f>
        <v>4181.4409999999998</v>
      </c>
      <c r="BH498" s="60">
        <f t="shared" ref="BH498" si="5600">BH497+BC498</f>
        <v>125.35000000000001</v>
      </c>
      <c r="BI498" s="60">
        <f t="shared" ref="BI498" si="5601">BI497+BD498</f>
        <v>11730.438999999998</v>
      </c>
      <c r="BJ498" s="1">
        <v>19</v>
      </c>
    </row>
    <row r="499" spans="1:62" x14ac:dyDescent="0.3">
      <c r="A499" s="48">
        <f t="shared" si="5522"/>
        <v>41048</v>
      </c>
      <c r="B499" s="64">
        <v>402300</v>
      </c>
      <c r="C499" s="64">
        <v>66100</v>
      </c>
      <c r="D499" s="53">
        <v>0</v>
      </c>
      <c r="E499" s="53">
        <f t="shared" si="5523"/>
        <v>468400</v>
      </c>
      <c r="F499" s="53">
        <f t="shared" ref="F499" si="5602">AVERAGE(E496,E497,E498,E499)</f>
        <v>384067.25</v>
      </c>
      <c r="G499" s="53">
        <f t="shared" ref="G499" si="5603">AVERAGE(F447,F395,F343)</f>
        <v>469751.91666666669</v>
      </c>
      <c r="H499" s="59">
        <f t="shared" ref="H499" si="5604">((E499/E447)-1)*100</f>
        <v>-19.88752783583443</v>
      </c>
      <c r="I499" s="59">
        <f t="shared" ref="I499" si="5605">((F499/F447)-1)*100</f>
        <v>7.4685240915393081</v>
      </c>
      <c r="J499" s="59">
        <f t="shared" ref="J499" si="5606">((F499/G499)-1)*100</f>
        <v>-18.24040810193608</v>
      </c>
      <c r="L499" s="53">
        <v>27300</v>
      </c>
      <c r="M499" s="53">
        <v>3500</v>
      </c>
      <c r="N499" s="53">
        <v>8400</v>
      </c>
      <c r="O499" s="53">
        <f t="shared" si="5529"/>
        <v>39200</v>
      </c>
      <c r="P499" s="53">
        <f t="shared" ref="P499" si="5607">AVERAGE(O496,O497,O498,O499)</f>
        <v>44450</v>
      </c>
      <c r="Q499" s="53">
        <f t="shared" ref="Q499" si="5608">AVERAGE(P447,P395,P343)</f>
        <v>19575.583333333332</v>
      </c>
      <c r="R499" s="59">
        <f t="shared" ref="R499" si="5609">((O499/O447)-1)*100</f>
        <v>-4.9696969696969688</v>
      </c>
      <c r="S499" s="59">
        <f t="shared" ref="S499" si="5610">((P499/P447)-1)*100</f>
        <v>253.47912524850895</v>
      </c>
      <c r="T499" s="59">
        <f t="shared" ref="T499" si="5611">((P499/Q499)-1)*100</f>
        <v>127.06858458879471</v>
      </c>
      <c r="V499" s="64">
        <v>106700</v>
      </c>
      <c r="W499" s="64">
        <v>15700</v>
      </c>
      <c r="X499" s="64">
        <v>5600</v>
      </c>
      <c r="Y499" s="64">
        <f t="shared" si="5535"/>
        <v>128000</v>
      </c>
      <c r="Z499" s="53">
        <f t="shared" ref="Z499" si="5612">AVERAGE(Y496,Y497,Y498,Y499)</f>
        <v>159045.5</v>
      </c>
      <c r="AA499" s="53">
        <f t="shared" ref="AA499" si="5613">AVERAGE(Z447,Z395,Z343)</f>
        <v>121471.25</v>
      </c>
      <c r="AB499" s="59">
        <f t="shared" ref="AB499" si="5614">((Y499/Y447)-1)*100</f>
        <v>14.306126093945348</v>
      </c>
      <c r="AC499" s="59">
        <f t="shared" ref="AC499" si="5615">((Z499/Z447)-1)*100</f>
        <v>111.52128738383786</v>
      </c>
      <c r="AD499" s="59">
        <f t="shared" ref="AD499" si="5616">((Z499/AA499)-1)*100</f>
        <v>30.932628091009185</v>
      </c>
      <c r="AF499" s="53">
        <v>0</v>
      </c>
      <c r="AG499" s="53">
        <v>8300</v>
      </c>
      <c r="AH499" s="53">
        <v>0</v>
      </c>
      <c r="AI499" s="53">
        <f t="shared" ref="AI499:AI505" si="5617">SUM(AF499:AH499)</f>
        <v>8300</v>
      </c>
      <c r="AJ499" s="53">
        <f t="shared" ref="AJ499" si="5618">AVERAGE(AI496,AI497,AI498,AI499)</f>
        <v>6775</v>
      </c>
      <c r="AK499" s="53">
        <f t="shared" ref="AK499" si="5619">AVERAGE(AJ447,AJ395,AJ343)</f>
        <v>7354.166666666667</v>
      </c>
      <c r="AL499" s="59">
        <f t="shared" ref="AL499" si="5620">((AI499/AI447)-1)*100</f>
        <v>-7.7777777777777724</v>
      </c>
      <c r="AM499" s="59">
        <f t="shared" ref="AM499" si="5621">((AJ499/AJ447)-1)*100</f>
        <v>39.69072164948453</v>
      </c>
      <c r="AN499" s="59">
        <f t="shared" ref="AN499" si="5622">((AJ499/AK499)-1)*100</f>
        <v>-7.8753541076487243</v>
      </c>
      <c r="AP499" s="60">
        <f t="shared" ref="AP499:AP503" si="5623">SUM(B499,L499,V499,AF499)</f>
        <v>536300</v>
      </c>
      <c r="AQ499" s="60">
        <f t="shared" ref="AQ499:AQ503" si="5624">SUM(C499,M499,W499,AG499)</f>
        <v>93600</v>
      </c>
      <c r="AR499" s="60">
        <f t="shared" ref="AR499:AR503" si="5625">SUM(D499,N499,X499,AH499)</f>
        <v>14000</v>
      </c>
      <c r="AS499" s="60">
        <f t="shared" ref="AS499:AS503" si="5626">SUM(E499,O499,Y499,AI499)</f>
        <v>643900</v>
      </c>
      <c r="AT499" s="60">
        <f t="shared" ref="AT499" si="5627">AVERAGE(AS496,AS497,AS498,AS499)</f>
        <v>594337.75</v>
      </c>
      <c r="AU499" s="53">
        <f t="shared" ref="AU499" si="5628">AVERAGE(AT447,AT395,AT343)</f>
        <v>618152.91666666663</v>
      </c>
      <c r="AV499" s="59">
        <f t="shared" ref="AV499" si="5629">((AS499/AS447)-1)*100</f>
        <v>-13.79125675451327</v>
      </c>
      <c r="AW499" s="59">
        <f t="shared" ref="AW499" si="5630">((AT499/AT447)-1)*100</f>
        <v>32.077183465733604</v>
      </c>
      <c r="AX499" s="59">
        <f t="shared" ref="AX499" si="5631">((AT499/AU499)-1)*100</f>
        <v>-3.8526335514338039</v>
      </c>
      <c r="AZ499" s="53">
        <f t="shared" si="5556"/>
        <v>468.4</v>
      </c>
      <c r="BA499" s="53">
        <f t="shared" si="5557"/>
        <v>39.200000000000003</v>
      </c>
      <c r="BB499" s="53">
        <f t="shared" si="5558"/>
        <v>128</v>
      </c>
      <c r="BC499" s="53">
        <f t="shared" ref="BC499:BC503" si="5632">+AI499/1000</f>
        <v>8.3000000000000007</v>
      </c>
      <c r="BD499" s="53">
        <f t="shared" ref="BD499:BD503" si="5633">+AS499/1000</f>
        <v>643.9</v>
      </c>
      <c r="BE499" s="60">
        <f t="shared" ref="BE499" si="5634">BE498+AZ499</f>
        <v>7211.2729999999992</v>
      </c>
      <c r="BF499" s="60">
        <f t="shared" ref="BF499" si="5635">BF498+BA499</f>
        <v>719.97500000000014</v>
      </c>
      <c r="BG499" s="60">
        <f t="shared" ref="BG499" si="5636">BG498+BB499</f>
        <v>4309.4409999999998</v>
      </c>
      <c r="BH499" s="60">
        <f t="shared" ref="BH499" si="5637">BH498+BC499</f>
        <v>133.65</v>
      </c>
      <c r="BI499" s="60">
        <f t="shared" ref="BI499" si="5638">BI498+BD499</f>
        <v>12374.338999999998</v>
      </c>
      <c r="BJ499" s="1">
        <v>20</v>
      </c>
    </row>
    <row r="500" spans="1:62" x14ac:dyDescent="0.3">
      <c r="A500" s="48">
        <f t="shared" si="5522"/>
        <v>41055</v>
      </c>
      <c r="B500" s="64">
        <v>332400</v>
      </c>
      <c r="C500" s="64">
        <v>39900</v>
      </c>
      <c r="D500" s="53">
        <v>0</v>
      </c>
      <c r="E500" s="53">
        <f t="shared" si="5523"/>
        <v>372300</v>
      </c>
      <c r="F500" s="53">
        <f t="shared" ref="F500" si="5639">AVERAGE(E497,E498,E499,E500)</f>
        <v>384375</v>
      </c>
      <c r="G500" s="53">
        <f t="shared" ref="G500" si="5640">AVERAGE(F448,F396,F344)</f>
        <v>535319.08333333337</v>
      </c>
      <c r="H500" s="59">
        <f t="shared" ref="H500" si="5641">((E500/E448)-1)*100</f>
        <v>-27.466490024937652</v>
      </c>
      <c r="I500" s="59">
        <f t="shared" ref="I500" si="5642">((F500/F448)-1)*100</f>
        <v>-11.423412793973453</v>
      </c>
      <c r="J500" s="59">
        <f t="shared" ref="J500" si="5643">((F500/G500)-1)*100</f>
        <v>-28.19703015133187</v>
      </c>
      <c r="L500" s="53">
        <v>10900</v>
      </c>
      <c r="M500" s="53">
        <v>3300</v>
      </c>
      <c r="N500" s="53">
        <v>29400</v>
      </c>
      <c r="O500" s="53">
        <f t="shared" si="5529"/>
        <v>43600</v>
      </c>
      <c r="P500" s="53">
        <f t="shared" ref="P500" si="5644">AVERAGE(O497,O498,O499,O500)</f>
        <v>41725</v>
      </c>
      <c r="Q500" s="53">
        <f t="shared" ref="Q500" si="5645">AVERAGE(P448,P396,P344)</f>
        <v>23112.25</v>
      </c>
      <c r="R500" s="59">
        <f t="shared" ref="R500" si="5646">((O500/O448)-1)*100</f>
        <v>-23.975588491717524</v>
      </c>
      <c r="S500" s="59">
        <f t="shared" ref="S500" si="5647">((P500/P448)-1)*100</f>
        <v>66.733266733266731</v>
      </c>
      <c r="T500" s="59">
        <f t="shared" ref="T500" si="5648">((P500/Q500)-1)*100</f>
        <v>80.531968977490294</v>
      </c>
      <c r="V500" s="64">
        <v>55300</v>
      </c>
      <c r="W500" s="64">
        <v>20800</v>
      </c>
      <c r="X500" s="64">
        <v>8400</v>
      </c>
      <c r="Y500" s="64">
        <f t="shared" si="5535"/>
        <v>84500</v>
      </c>
      <c r="Z500" s="53">
        <f t="shared" ref="Z500" si="5649">AVERAGE(Y497,Y498,Y499,Y500)</f>
        <v>134050</v>
      </c>
      <c r="AA500" s="53">
        <f t="shared" ref="AA500" si="5650">AVERAGE(Z448,Z396,Z344)</f>
        <v>131671.08333333334</v>
      </c>
      <c r="AB500" s="59">
        <f t="shared" ref="AB500" si="5651">((Y500/Y448)-1)*100</f>
        <v>-24.51313203501876</v>
      </c>
      <c r="AC500" s="59">
        <f t="shared" ref="AC500" si="5652">((Z500/Z448)-1)*100</f>
        <v>43.0992380672796</v>
      </c>
      <c r="AD500" s="59">
        <f t="shared" ref="AD500" si="5653">((Z500/AA500)-1)*100</f>
        <v>1.8067115470177253</v>
      </c>
      <c r="AF500" s="53">
        <v>0</v>
      </c>
      <c r="AG500" s="53">
        <v>0</v>
      </c>
      <c r="AH500" s="53">
        <v>0</v>
      </c>
      <c r="AI500" s="53">
        <f t="shared" si="5617"/>
        <v>0</v>
      </c>
      <c r="AJ500" s="53">
        <f t="shared" ref="AJ500" si="5654">AVERAGE(AI497,AI498,AI499,AI500)</f>
        <v>4675</v>
      </c>
      <c r="AK500" s="53">
        <f t="shared" ref="AK500" si="5655">AVERAGE(AJ448,AJ396,AJ344)</f>
        <v>7620.833333333333</v>
      </c>
      <c r="AL500" s="59"/>
      <c r="AM500" s="59">
        <f t="shared" ref="AM500" si="5656">((AJ500/AJ448)-1)*100</f>
        <v>37.5</v>
      </c>
      <c r="AN500" s="59">
        <f t="shared" ref="AN500" si="5657">((AJ500/AK500)-1)*100</f>
        <v>-38.655002733734278</v>
      </c>
      <c r="AP500" s="60">
        <f t="shared" si="5623"/>
        <v>398600</v>
      </c>
      <c r="AQ500" s="60">
        <f t="shared" si="5624"/>
        <v>64000</v>
      </c>
      <c r="AR500" s="60">
        <f t="shared" si="5625"/>
        <v>37800</v>
      </c>
      <c r="AS500" s="60">
        <f t="shared" si="5626"/>
        <v>500400</v>
      </c>
      <c r="AT500" s="60">
        <f t="shared" ref="AT500" si="5658">AVERAGE(AS497,AS498,AS499,AS500)</f>
        <v>564825</v>
      </c>
      <c r="AU500" s="53">
        <f t="shared" ref="AU500" si="5659">AVERAGE(AT448,AT396,AT344)</f>
        <v>697723.25</v>
      </c>
      <c r="AV500" s="59">
        <f t="shared" ref="AV500" si="5660">((AS500/AS448)-1)*100</f>
        <v>-26.688837774880238</v>
      </c>
      <c r="AW500" s="59">
        <f t="shared" ref="AW500" si="5661">((AT500/AT448)-1)*100</f>
        <v>1.5785065221467054</v>
      </c>
      <c r="AX500" s="59">
        <f t="shared" ref="AX500" si="5662">((AT500/AU500)-1)*100</f>
        <v>-19.047416006274698</v>
      </c>
      <c r="AZ500" s="53">
        <f t="shared" si="5556"/>
        <v>372.3</v>
      </c>
      <c r="BA500" s="53">
        <f t="shared" si="5557"/>
        <v>43.6</v>
      </c>
      <c r="BB500" s="53">
        <f t="shared" si="5558"/>
        <v>84.5</v>
      </c>
      <c r="BC500" s="53">
        <f t="shared" si="5632"/>
        <v>0</v>
      </c>
      <c r="BD500" s="53">
        <f t="shared" si="5633"/>
        <v>500.4</v>
      </c>
      <c r="BE500" s="60">
        <f t="shared" ref="BE500" si="5663">BE499+AZ500</f>
        <v>7583.5729999999994</v>
      </c>
      <c r="BF500" s="60">
        <f t="shared" ref="BF500" si="5664">BF499+BA500</f>
        <v>763.57500000000016</v>
      </c>
      <c r="BG500" s="60">
        <f t="shared" ref="BG500" si="5665">BG499+BB500</f>
        <v>4393.9409999999998</v>
      </c>
      <c r="BH500" s="60">
        <f t="shared" ref="BH500" si="5666">BH499+BC500</f>
        <v>133.65</v>
      </c>
      <c r="BI500" s="60">
        <f t="shared" ref="BI500" si="5667">BI499+BD500</f>
        <v>12874.738999999998</v>
      </c>
      <c r="BJ500" s="1">
        <v>21</v>
      </c>
    </row>
    <row r="501" spans="1:62" x14ac:dyDescent="0.3">
      <c r="A501" s="48">
        <f t="shared" si="5522"/>
        <v>41062</v>
      </c>
      <c r="B501" s="64">
        <v>436800</v>
      </c>
      <c r="C501" s="64">
        <v>24000</v>
      </c>
      <c r="D501" s="53">
        <v>0</v>
      </c>
      <c r="E501" s="53">
        <f t="shared" si="5523"/>
        <v>460800</v>
      </c>
      <c r="F501" s="53">
        <f t="shared" ref="F501" si="5668">AVERAGE(E498,E499,E500,E501)</f>
        <v>407775</v>
      </c>
      <c r="G501" s="53">
        <f t="shared" ref="G501" si="5669">AVERAGE(F449,F397,F345)</f>
        <v>560268.91666666663</v>
      </c>
      <c r="H501" s="59">
        <f t="shared" ref="H501" si="5670">((E501/E449)-1)*100</f>
        <v>9.5179357009932186</v>
      </c>
      <c r="I501" s="59">
        <f t="shared" ref="I501" si="5671">((F501/F449)-1)*100</f>
        <v>-15.143973276412359</v>
      </c>
      <c r="J501" s="59">
        <f t="shared" ref="J501" si="5672">((F501/G501)-1)*100</f>
        <v>-27.217986243808213</v>
      </c>
      <c r="L501" s="53">
        <v>12400</v>
      </c>
      <c r="M501" s="53">
        <v>0</v>
      </c>
      <c r="N501" s="53">
        <v>40600</v>
      </c>
      <c r="O501" s="53">
        <f t="shared" si="5529"/>
        <v>53000</v>
      </c>
      <c r="P501" s="53">
        <f t="shared" ref="P501" si="5673">AVERAGE(O498,O499,O500,O501)</f>
        <v>45975</v>
      </c>
      <c r="Q501" s="53">
        <f t="shared" ref="Q501" si="5674">AVERAGE(P449,P397,P345)</f>
        <v>24034.5</v>
      </c>
      <c r="R501" s="59">
        <f t="shared" ref="R501" si="5675">((O501/O449)-1)*100</f>
        <v>79.411665143360068</v>
      </c>
      <c r="S501" s="59">
        <f t="shared" ref="S501" si="5676">((P501/P449)-1)*100</f>
        <v>41.853271727308481</v>
      </c>
      <c r="T501" s="59">
        <f t="shared" ref="T501" si="5677">((P501/Q501)-1)*100</f>
        <v>91.287524183985511</v>
      </c>
      <c r="V501" s="64">
        <v>77600</v>
      </c>
      <c r="W501" s="64">
        <v>22200</v>
      </c>
      <c r="X501" s="64">
        <v>4200</v>
      </c>
      <c r="Y501" s="64">
        <f t="shared" si="5535"/>
        <v>104000</v>
      </c>
      <c r="Z501" s="53">
        <f t="shared" ref="Z501" si="5678">AVERAGE(Y498,Y499,Y500,Y501)</f>
        <v>117125</v>
      </c>
      <c r="AA501" s="53">
        <f t="shared" ref="AA501" si="5679">AVERAGE(Z449,Z397,Z345)</f>
        <v>137561.66666666666</v>
      </c>
      <c r="AB501" s="59">
        <f t="shared" ref="AB501" si="5680">((Y501/Y449)-1)*100</f>
        <v>13.903948305131152</v>
      </c>
      <c r="AC501" s="59">
        <f t="shared" ref="AC501" si="5681">((Z501/Z449)-1)*100</f>
        <v>12.476892420713991</v>
      </c>
      <c r="AD501" s="59">
        <f t="shared" ref="AD501" si="5682">((Z501/AA501)-1)*100</f>
        <v>-14.856367447326646</v>
      </c>
      <c r="AF501" s="53">
        <v>0</v>
      </c>
      <c r="AG501" s="53">
        <v>0</v>
      </c>
      <c r="AH501" s="53">
        <v>0</v>
      </c>
      <c r="AI501" s="53">
        <f t="shared" si="5617"/>
        <v>0</v>
      </c>
      <c r="AJ501" s="53">
        <f t="shared" ref="AJ501" si="5683">AVERAGE(AI498,AI499,AI500,AI501)</f>
        <v>3750</v>
      </c>
      <c r="AK501" s="53">
        <f t="shared" ref="AK501" si="5684">AVERAGE(AJ449,AJ397,AJ345)</f>
        <v>7562.5</v>
      </c>
      <c r="AL501" s="59">
        <f t="shared" ref="AL501" si="5685">((AI501/AI449)-1)*100</f>
        <v>-100</v>
      </c>
      <c r="AM501" s="59">
        <f t="shared" ref="AM501" si="5686">((AJ501/AJ449)-1)*100</f>
        <v>41.50943396226414</v>
      </c>
      <c r="AN501" s="59">
        <f t="shared" ref="AN501" si="5687">((AJ501/AK501)-1)*100</f>
        <v>-50.413223140495866</v>
      </c>
      <c r="AP501" s="60">
        <f t="shared" si="5623"/>
        <v>526800</v>
      </c>
      <c r="AQ501" s="60">
        <f t="shared" si="5624"/>
        <v>46200</v>
      </c>
      <c r="AR501" s="60">
        <f t="shared" si="5625"/>
        <v>44800</v>
      </c>
      <c r="AS501" s="60">
        <f t="shared" si="5626"/>
        <v>617800</v>
      </c>
      <c r="AT501" s="60">
        <f t="shared" ref="AT501" si="5688">AVERAGE(AS498,AS499,AS500,AS501)</f>
        <v>574625</v>
      </c>
      <c r="AU501" s="53">
        <f t="shared" ref="AU501" si="5689">AVERAGE(AT449,AT397,AT345)</f>
        <v>729427.58333333337</v>
      </c>
      <c r="AV501" s="59">
        <f t="shared" ref="AV501" si="5690">((AS501/AS449)-1)*100</f>
        <v>13.733640894036991</v>
      </c>
      <c r="AW501" s="59">
        <f t="shared" ref="AW501" si="5691">((AT501/AT449)-1)*100</f>
        <v>-7.2799648886149431</v>
      </c>
      <c r="AX501" s="59">
        <f t="shared" ref="AX501" si="5692">((AT501/AU501)-1)*100</f>
        <v>-21.222474563673277</v>
      </c>
      <c r="AZ501" s="53">
        <f t="shared" si="5556"/>
        <v>460.8</v>
      </c>
      <c r="BA501" s="53">
        <f t="shared" si="5557"/>
        <v>53</v>
      </c>
      <c r="BB501" s="53">
        <f t="shared" si="5558"/>
        <v>104</v>
      </c>
      <c r="BC501" s="53">
        <f t="shared" si="5632"/>
        <v>0</v>
      </c>
      <c r="BD501" s="53">
        <f t="shared" si="5633"/>
        <v>617.79999999999995</v>
      </c>
      <c r="BE501" s="60">
        <f t="shared" ref="BE501" si="5693">BE500+AZ501</f>
        <v>8044.3729999999996</v>
      </c>
      <c r="BF501" s="60">
        <f t="shared" ref="BF501" si="5694">BF500+BA501</f>
        <v>816.57500000000016</v>
      </c>
      <c r="BG501" s="60">
        <f t="shared" ref="BG501" si="5695">BG500+BB501</f>
        <v>4497.9409999999998</v>
      </c>
      <c r="BH501" s="60">
        <f t="shared" ref="BH501" si="5696">BH500+BC501</f>
        <v>133.65</v>
      </c>
      <c r="BI501" s="60">
        <f t="shared" ref="BI501" si="5697">BI500+BD501</f>
        <v>13492.538999999997</v>
      </c>
      <c r="BJ501" s="1">
        <v>22</v>
      </c>
    </row>
    <row r="502" spans="1:62" x14ac:dyDescent="0.3">
      <c r="A502" s="48">
        <f t="shared" si="5522"/>
        <v>41069</v>
      </c>
      <c r="B502" s="64">
        <v>330300</v>
      </c>
      <c r="C502" s="64">
        <v>45500</v>
      </c>
      <c r="D502" s="53">
        <v>0</v>
      </c>
      <c r="E502" s="53">
        <f t="shared" si="5523"/>
        <v>375800</v>
      </c>
      <c r="F502" s="53">
        <f t="shared" ref="F502" si="5698">AVERAGE(E499,E500,E501,E502)</f>
        <v>419325</v>
      </c>
      <c r="G502" s="53">
        <f t="shared" ref="G502" si="5699">AVERAGE(F450,F398,F346)</f>
        <v>556631.91666666663</v>
      </c>
      <c r="H502" s="59">
        <f t="shared" ref="H502" si="5700">((E502/E450)-1)*100</f>
        <v>-15.211407427462664</v>
      </c>
      <c r="I502" s="59">
        <f t="shared" ref="I502" si="5701">((F502/F450)-1)*100</f>
        <v>-14.507696753861376</v>
      </c>
      <c r="J502" s="59">
        <f t="shared" ref="J502" si="5702">((F502/G502)-1)*100</f>
        <v>-24.667453043101638</v>
      </c>
      <c r="L502" s="53">
        <v>6400</v>
      </c>
      <c r="M502" s="64">
        <v>11500</v>
      </c>
      <c r="N502" s="64">
        <v>39200</v>
      </c>
      <c r="O502" s="53">
        <f t="shared" si="5529"/>
        <v>57100</v>
      </c>
      <c r="P502" s="53">
        <f t="shared" ref="P502" si="5703">AVERAGE(O499,O500,O501,O502)</f>
        <v>48225</v>
      </c>
      <c r="Q502" s="53">
        <f t="shared" ref="Q502" si="5704">AVERAGE(P450,P398,P346)</f>
        <v>30181.166666666668</v>
      </c>
      <c r="R502" s="59">
        <f t="shared" ref="R502" si="5705">((O502/O450)-1)*100</f>
        <v>103.20284697508897</v>
      </c>
      <c r="S502" s="59">
        <f t="shared" ref="S502" si="5706">((P502/P450)-1)*100</f>
        <v>23.463111475220977</v>
      </c>
      <c r="T502" s="59">
        <f t="shared" ref="T502" si="5707">((P502/Q502)-1)*100</f>
        <v>59.785075681854579</v>
      </c>
      <c r="V502" s="64">
        <v>92800</v>
      </c>
      <c r="W502" s="64">
        <v>39500</v>
      </c>
      <c r="X502" s="64">
        <v>2800</v>
      </c>
      <c r="Y502" s="64">
        <f t="shared" si="5535"/>
        <v>135100</v>
      </c>
      <c r="Z502" s="53">
        <f t="shared" ref="Z502" si="5708">AVERAGE(Y499,Y500,Y501,Y502)</f>
        <v>112900</v>
      </c>
      <c r="AA502" s="53">
        <f t="shared" ref="AA502" si="5709">AVERAGE(Z450,Z398,Z346)</f>
        <v>140589.5</v>
      </c>
      <c r="AB502" s="59">
        <f t="shared" ref="AB502" si="5710">((Y502/Y450)-1)*100</f>
        <v>45.066036722860517</v>
      </c>
      <c r="AC502" s="59">
        <f t="shared" ref="AC502" si="5711">((Z502/Z450)-1)*100</f>
        <v>10.590050323860357</v>
      </c>
      <c r="AD502" s="59">
        <f t="shared" ref="AD502" si="5712">((Z502/AA502)-1)*100</f>
        <v>-19.69528307590538</v>
      </c>
      <c r="AF502" s="53">
        <v>0</v>
      </c>
      <c r="AG502" s="53">
        <v>1400</v>
      </c>
      <c r="AH502" s="53">
        <v>0</v>
      </c>
      <c r="AI502" s="53">
        <f t="shared" si="5617"/>
        <v>1400</v>
      </c>
      <c r="AJ502" s="53">
        <f t="shared" ref="AJ502" si="5713">AVERAGE(AI499,AI500,AI501,AI502)</f>
        <v>2425</v>
      </c>
      <c r="AK502" s="53">
        <f t="shared" ref="AK502" si="5714">AVERAGE(AJ450,AJ398,AJ346)</f>
        <v>8822.5</v>
      </c>
      <c r="AL502" s="59">
        <f t="shared" ref="AL502" si="5715">((AI502/AI450)-1)*100</f>
        <v>-86</v>
      </c>
      <c r="AM502" s="59">
        <f t="shared" ref="AM502" si="5716">((AJ502/AJ450)-1)*100</f>
        <v>-52.912621359223301</v>
      </c>
      <c r="AN502" s="59">
        <f t="shared" ref="AN502" si="5717">((AJ502/AK502)-1)*100</f>
        <v>-72.513459903655431</v>
      </c>
      <c r="AP502" s="60">
        <f t="shared" si="5623"/>
        <v>429500</v>
      </c>
      <c r="AQ502" s="60">
        <f t="shared" si="5624"/>
        <v>97900</v>
      </c>
      <c r="AR502" s="60">
        <f t="shared" si="5625"/>
        <v>42000</v>
      </c>
      <c r="AS502" s="60">
        <f t="shared" si="5626"/>
        <v>569400</v>
      </c>
      <c r="AT502" s="60">
        <f t="shared" ref="AT502" si="5718">AVERAGE(AS499,AS500,AS501,AS502)</f>
        <v>582875</v>
      </c>
      <c r="AU502" s="53">
        <f t="shared" ref="AU502" si="5719">AVERAGE(AT450,AT398,AT346)</f>
        <v>736225.08333333337</v>
      </c>
      <c r="AV502" s="59">
        <f t="shared" ref="AV502" si="5720">((AS502/AS450)-1)*100</f>
        <v>-0.87910174949952236</v>
      </c>
      <c r="AW502" s="59">
        <f t="shared" ref="AW502" si="5721">((AT502/AT450)-1)*100</f>
        <v>-8.4654985793798261</v>
      </c>
      <c r="AX502" s="59">
        <f t="shared" ref="AX502" si="5722">((AT502/AU502)-1)*100</f>
        <v>-20.829239155914848</v>
      </c>
      <c r="AZ502" s="53">
        <f t="shared" si="5556"/>
        <v>375.8</v>
      </c>
      <c r="BA502" s="53">
        <f t="shared" si="5557"/>
        <v>57.1</v>
      </c>
      <c r="BB502" s="53">
        <f t="shared" si="5558"/>
        <v>135.1</v>
      </c>
      <c r="BC502" s="53">
        <f t="shared" si="5632"/>
        <v>1.4</v>
      </c>
      <c r="BD502" s="53">
        <f t="shared" si="5633"/>
        <v>569.4</v>
      </c>
      <c r="BE502" s="60">
        <f t="shared" ref="BE502" si="5723">BE501+AZ502</f>
        <v>8420.1729999999989</v>
      </c>
      <c r="BF502" s="60">
        <f t="shared" ref="BF502" si="5724">BF501+BA502</f>
        <v>873.67500000000018</v>
      </c>
      <c r="BG502" s="60">
        <f t="shared" ref="BG502" si="5725">BG501+BB502</f>
        <v>4633.0410000000002</v>
      </c>
      <c r="BH502" s="60">
        <f t="shared" ref="BH502" si="5726">BH501+BC502</f>
        <v>135.05000000000001</v>
      </c>
      <c r="BI502" s="60">
        <f t="shared" ref="BI502" si="5727">BI501+BD502</f>
        <v>14061.938999999997</v>
      </c>
      <c r="BJ502" s="1">
        <v>23</v>
      </c>
    </row>
    <row r="503" spans="1:62" x14ac:dyDescent="0.3">
      <c r="A503" s="48">
        <f t="shared" si="5522"/>
        <v>41076</v>
      </c>
      <c r="B503" s="64">
        <v>287000</v>
      </c>
      <c r="C503" s="64">
        <v>15200</v>
      </c>
      <c r="D503" s="53">
        <v>0</v>
      </c>
      <c r="E503" s="53">
        <f t="shared" si="5523"/>
        <v>302200</v>
      </c>
      <c r="F503" s="53">
        <f t="shared" ref="F503" si="5728">AVERAGE(E500,E501,E502,E503)</f>
        <v>377775</v>
      </c>
      <c r="G503" s="53">
        <f t="shared" ref="G503" si="5729">AVERAGE(F451,F399,F347)</f>
        <v>559956.08333333337</v>
      </c>
      <c r="H503" s="59">
        <f t="shared" ref="H503" si="5730">((E503/E451)-1)*100</f>
        <v>15.872455943927232</v>
      </c>
      <c r="I503" s="59">
        <f t="shared" ref="I503" si="5731">((F503/F451)-1)*100</f>
        <v>-7.7504628959798154</v>
      </c>
      <c r="J503" s="59">
        <f t="shared" ref="J503" si="5732">((F503/G503)-1)*100</f>
        <v>-32.534887780633994</v>
      </c>
      <c r="L503" s="53">
        <v>0</v>
      </c>
      <c r="M503" s="64">
        <v>31850</v>
      </c>
      <c r="N503" s="64">
        <v>39200</v>
      </c>
      <c r="O503" s="53">
        <f t="shared" si="5529"/>
        <v>71050</v>
      </c>
      <c r="P503" s="53">
        <f t="shared" ref="P503" si="5733">AVERAGE(O500,O501,O502,O503)</f>
        <v>56187.5</v>
      </c>
      <c r="Q503" s="53">
        <f t="shared" ref="Q503" si="5734">AVERAGE(P451,P399,P347)</f>
        <v>32054.333333333332</v>
      </c>
      <c r="R503" s="59">
        <f t="shared" ref="R503" si="5735">((O503/O451)-1)*100</f>
        <v>320.41420118343194</v>
      </c>
      <c r="S503" s="59">
        <f t="shared" ref="S503" si="5736">((P503/P451)-1)*100</f>
        <v>70.405865449499956</v>
      </c>
      <c r="T503" s="59">
        <f t="shared" ref="T503" si="5737">((P503/Q503)-1)*100</f>
        <v>75.288312552644982</v>
      </c>
      <c r="V503" s="53">
        <v>150400</v>
      </c>
      <c r="W503" s="53">
        <v>26614</v>
      </c>
      <c r="X503" s="53">
        <v>2800</v>
      </c>
      <c r="Y503" s="53">
        <f t="shared" si="5535"/>
        <v>179814</v>
      </c>
      <c r="Z503" s="53">
        <f t="shared" ref="Z503" si="5738">AVERAGE(Y500,Y501,Y502,Y503)</f>
        <v>125853.5</v>
      </c>
      <c r="AA503" s="53">
        <f t="shared" ref="AA503" si="5739">AVERAGE(Z451,Z399,Z347)</f>
        <v>135208.75</v>
      </c>
      <c r="AB503" s="59">
        <f t="shared" ref="AB503" si="5740">((Y503/Y451)-1)*100</f>
        <v>146.05090311986862</v>
      </c>
      <c r="AC503" s="59">
        <f t="shared" ref="AC503" si="5741">((Z503/Z451)-1)*100</f>
        <v>36.258542988997313</v>
      </c>
      <c r="AD503" s="59">
        <f t="shared" ref="AD503" si="5742">((Z503/AA503)-1)*100</f>
        <v>-6.9191158116616025</v>
      </c>
      <c r="AF503" s="53">
        <v>0</v>
      </c>
      <c r="AG503" s="53">
        <v>1750</v>
      </c>
      <c r="AH503" s="53">
        <v>1400</v>
      </c>
      <c r="AI503" s="53">
        <f t="shared" si="5617"/>
        <v>3150</v>
      </c>
      <c r="AJ503" s="53">
        <f t="shared" ref="AJ503" si="5743">AVERAGE(AI500,AI501,AI502,AI503)</f>
        <v>1137.5</v>
      </c>
      <c r="AK503" s="53">
        <f t="shared" ref="AK503" si="5744">AVERAGE(AJ451,AJ399,AJ347)</f>
        <v>10243.333333333334</v>
      </c>
      <c r="AL503" s="59"/>
      <c r="AM503" s="59">
        <f t="shared" ref="AM503" si="5745">((AJ503/AJ451)-1)*100</f>
        <v>-60.775862068965523</v>
      </c>
      <c r="AN503" s="59">
        <f t="shared" ref="AN503" si="5746">((AJ503/AK503)-1)*100</f>
        <v>-88.895216400911153</v>
      </c>
      <c r="AP503" s="60">
        <f t="shared" si="5623"/>
        <v>437400</v>
      </c>
      <c r="AQ503" s="60">
        <f t="shared" si="5624"/>
        <v>75414</v>
      </c>
      <c r="AR503" s="60">
        <f t="shared" si="5625"/>
        <v>43400</v>
      </c>
      <c r="AS503" s="60">
        <f t="shared" si="5626"/>
        <v>556214</v>
      </c>
      <c r="AT503" s="60">
        <f t="shared" ref="AT503" si="5747">AVERAGE(AS500,AS501,AS502,AS503)</f>
        <v>560953.5</v>
      </c>
      <c r="AU503" s="53">
        <f t="shared" ref="AU503" si="5748">AVERAGE(AT451,AT399,AT347)</f>
        <v>737462.5</v>
      </c>
      <c r="AV503" s="59">
        <f t="shared" ref="AV503" si="5749">((AS503/AS451)-1)*100</f>
        <v>58.563104360518146</v>
      </c>
      <c r="AW503" s="59">
        <f t="shared" ref="AW503" si="5750">((AT503/AT451)-1)*100</f>
        <v>4.3147778036571882</v>
      </c>
      <c r="AX503" s="59">
        <f t="shared" ref="AX503" si="5751">((AT503/AU503)-1)*100</f>
        <v>-23.934640744444636</v>
      </c>
      <c r="AZ503" s="53">
        <f t="shared" si="5556"/>
        <v>302.2</v>
      </c>
      <c r="BA503" s="53">
        <f t="shared" ref="BA503" si="5752">+O503/1000</f>
        <v>71.05</v>
      </c>
      <c r="BB503" s="53">
        <f t="shared" ref="BB503" si="5753">+Y503/1000</f>
        <v>179.81399999999999</v>
      </c>
      <c r="BC503" s="53">
        <f t="shared" si="5632"/>
        <v>3.15</v>
      </c>
      <c r="BD503" s="53">
        <f t="shared" si="5633"/>
        <v>556.21400000000006</v>
      </c>
      <c r="BE503" s="60">
        <f t="shared" ref="BE503" si="5754">BE502+AZ503</f>
        <v>8722.3729999999996</v>
      </c>
      <c r="BF503" s="60">
        <f t="shared" ref="BF503" si="5755">BF502+BA503</f>
        <v>944.72500000000014</v>
      </c>
      <c r="BG503" s="60">
        <f t="shared" ref="BG503" si="5756">BG502+BB503</f>
        <v>4812.8550000000005</v>
      </c>
      <c r="BH503" s="60">
        <f t="shared" ref="BH503" si="5757">BH502+BC503</f>
        <v>138.20000000000002</v>
      </c>
      <c r="BI503" s="60">
        <f t="shared" ref="BI503" si="5758">BI502+BD503</f>
        <v>14618.152999999997</v>
      </c>
      <c r="BJ503" s="1">
        <v>24</v>
      </c>
    </row>
    <row r="504" spans="1:62" x14ac:dyDescent="0.3">
      <c r="A504" s="48">
        <f t="shared" si="5522"/>
        <v>41083</v>
      </c>
      <c r="B504" s="64">
        <v>299964</v>
      </c>
      <c r="C504" s="64">
        <v>6800</v>
      </c>
      <c r="D504" s="53">
        <v>0</v>
      </c>
      <c r="E504" s="53">
        <f t="shared" si="5523"/>
        <v>306764</v>
      </c>
      <c r="F504" s="53">
        <f t="shared" ref="F504" si="5759">AVERAGE(E501,E502,E503,E504)</f>
        <v>361391</v>
      </c>
      <c r="G504" s="53">
        <f t="shared" ref="G504" si="5760">AVERAGE(F452,F400,F348)</f>
        <v>541001.83333333337</v>
      </c>
      <c r="H504" s="59">
        <f t="shared" ref="H504" si="5761">((E504/E452)-1)*100</f>
        <v>-11.064338064755541</v>
      </c>
      <c r="I504" s="59">
        <f t="shared" ref="I504" si="5762">((F504/F452)-1)*100</f>
        <v>-1.6425745302628747</v>
      </c>
      <c r="J504" s="59">
        <f t="shared" ref="J504" si="5763">((F504/G504)-1)*100</f>
        <v>-33.199671843379463</v>
      </c>
      <c r="L504" s="53">
        <v>7800</v>
      </c>
      <c r="M504" s="64">
        <v>17136</v>
      </c>
      <c r="N504" s="64">
        <v>16800</v>
      </c>
      <c r="O504" s="53">
        <f t="shared" ref="O504" si="5764">SUM(L504:N504)</f>
        <v>41736</v>
      </c>
      <c r="P504" s="53">
        <f t="shared" ref="P504" si="5765">AVERAGE(O501,O502,O503,O504)</f>
        <v>55721.5</v>
      </c>
      <c r="Q504" s="53">
        <f t="shared" ref="Q504" si="5766">AVERAGE(P452,P400,P348)</f>
        <v>34894.333333333336</v>
      </c>
      <c r="R504" s="59">
        <f t="shared" ref="R504" si="5767">((O504/O452)-1)*100</f>
        <v>-15.888754534461913</v>
      </c>
      <c r="S504" s="59">
        <f t="shared" ref="S504" si="5768">((P504/P452)-1)*100</f>
        <v>79.513695927062429</v>
      </c>
      <c r="T504" s="59">
        <f t="shared" ref="T504" si="5769">((P504/Q504)-1)*100</f>
        <v>59.686386519301116</v>
      </c>
      <c r="V504" s="53">
        <v>199480</v>
      </c>
      <c r="W504" s="53">
        <v>13300</v>
      </c>
      <c r="X504" s="53">
        <v>1400</v>
      </c>
      <c r="Y504" s="53">
        <f t="shared" ref="Y504:Y507" si="5770">SUM(V504:X504)</f>
        <v>214180</v>
      </c>
      <c r="Z504" s="53">
        <f t="shared" ref="Z504" si="5771">AVERAGE(Y501,Y502,Y503,Y504)</f>
        <v>158273.5</v>
      </c>
      <c r="AA504" s="53">
        <f t="shared" ref="AA504" si="5772">AVERAGE(Z452,Z400,Z348)</f>
        <v>129968.41666666667</v>
      </c>
      <c r="AB504" s="59">
        <f t="shared" ref="AB504" si="5773">((Y504/Y452)-1)*100</f>
        <v>110.03804966069114</v>
      </c>
      <c r="AC504" s="59">
        <f t="shared" ref="AC504" si="5774">((Z504/Z452)-1)*100</f>
        <v>76.110401766962383</v>
      </c>
      <c r="AD504" s="59">
        <f t="shared" ref="AD504" si="5775">((Z504/AA504)-1)*100</f>
        <v>21.778432067790821</v>
      </c>
      <c r="AF504" s="53">
        <v>12500</v>
      </c>
      <c r="AG504" s="53">
        <v>6000</v>
      </c>
      <c r="AH504" s="53">
        <v>0</v>
      </c>
      <c r="AI504" s="53">
        <f t="shared" si="5617"/>
        <v>18500</v>
      </c>
      <c r="AJ504" s="53">
        <f t="shared" ref="AJ504" si="5776">AVERAGE(AI501,AI502,AI503,AI504)</f>
        <v>5762.5</v>
      </c>
      <c r="AK504" s="53">
        <f t="shared" ref="AK504" si="5777">AVERAGE(AJ452,AJ400,AJ348)</f>
        <v>10218.333333333334</v>
      </c>
      <c r="AL504" s="59">
        <f t="shared" ref="AL504" si="5778">((AI504/AI452)-1)*100</f>
        <v>85.000000000000014</v>
      </c>
      <c r="AM504" s="59">
        <f t="shared" ref="AM504" si="5779">((AJ504/AJ452)-1)*100</f>
        <v>6.7129629629629539</v>
      </c>
      <c r="AN504" s="59">
        <f t="shared" ref="AN504" si="5780">((AJ504/AK504)-1)*100</f>
        <v>-43.606263252324261</v>
      </c>
      <c r="AP504" s="60">
        <f t="shared" ref="AP504:AP509" si="5781">SUM(B504,L504,V504,AF504)</f>
        <v>519744</v>
      </c>
      <c r="AQ504" s="60">
        <f t="shared" ref="AQ504:AQ505" si="5782">SUM(C504,M504,W504,AG504)</f>
        <v>43236</v>
      </c>
      <c r="AR504" s="60">
        <f t="shared" ref="AR504:AR505" si="5783">SUM(D504,N504,X504,AH504)</f>
        <v>18200</v>
      </c>
      <c r="AS504" s="60">
        <f t="shared" ref="AS504:AS505" si="5784">SUM(E504,O504,Y504,AI504)</f>
        <v>581180</v>
      </c>
      <c r="AT504" s="60">
        <f t="shared" ref="AT504" si="5785">AVERAGE(AS501,AS502,AS503,AS504)</f>
        <v>581148.5</v>
      </c>
      <c r="AU504" s="53">
        <f t="shared" ref="AU504" si="5786">AVERAGE(AT452,AT400,AT348)</f>
        <v>716082.91666666663</v>
      </c>
      <c r="AV504" s="59">
        <f t="shared" ref="AV504" si="5787">((AS504/AS452)-1)*100</f>
        <v>14.739793098002064</v>
      </c>
      <c r="AW504" s="59">
        <f t="shared" ref="AW504" si="5788">((AT504/AT452)-1)*100</f>
        <v>17.703763076893473</v>
      </c>
      <c r="AX504" s="59">
        <f t="shared" ref="AX504" si="5789">((AT504/AU504)-1)*100</f>
        <v>-18.843406751662251</v>
      </c>
      <c r="AZ504" s="53">
        <f t="shared" ref="AZ504:AZ506" si="5790">+E504/1000</f>
        <v>306.76400000000001</v>
      </c>
      <c r="BA504" s="53">
        <f t="shared" ref="BA504" si="5791">+O504/1000</f>
        <v>41.735999999999997</v>
      </c>
      <c r="BB504" s="53">
        <f t="shared" ref="BB504" si="5792">+Y504/1000</f>
        <v>214.18</v>
      </c>
      <c r="BC504" s="53">
        <f t="shared" ref="BC504" si="5793">+AI504/1000</f>
        <v>18.5</v>
      </c>
      <c r="BD504" s="53">
        <f t="shared" ref="BD504" si="5794">+AS504/1000</f>
        <v>581.17999999999995</v>
      </c>
      <c r="BE504" s="60">
        <f t="shared" ref="BE504" si="5795">BE503+AZ504</f>
        <v>9029.1369999999988</v>
      </c>
      <c r="BF504" s="60">
        <f t="shared" ref="BF504" si="5796">BF503+BA504</f>
        <v>986.46100000000013</v>
      </c>
      <c r="BG504" s="60">
        <f t="shared" ref="BG504" si="5797">BG503+BB504</f>
        <v>5027.0350000000008</v>
      </c>
      <c r="BH504" s="60">
        <f t="shared" ref="BH504" si="5798">BH503+BC504</f>
        <v>156.70000000000002</v>
      </c>
      <c r="BI504" s="60">
        <f t="shared" ref="BI504" si="5799">BI503+BD504</f>
        <v>15199.332999999997</v>
      </c>
      <c r="BJ504" s="1">
        <v>25</v>
      </c>
    </row>
    <row r="505" spans="1:62" x14ac:dyDescent="0.3">
      <c r="A505" s="48">
        <f t="shared" si="5522"/>
        <v>41090</v>
      </c>
      <c r="B505" s="64">
        <v>279148</v>
      </c>
      <c r="C505" s="64">
        <v>33100</v>
      </c>
      <c r="D505" s="53">
        <v>0</v>
      </c>
      <c r="E505" s="53">
        <f t="shared" si="5523"/>
        <v>312248</v>
      </c>
      <c r="F505" s="53">
        <f t="shared" ref="F505" si="5800">AVERAGE(E502,E503,E504,E505)</f>
        <v>324253</v>
      </c>
      <c r="G505" s="53">
        <f t="shared" ref="G505" si="5801">AVERAGE(F453,F401,F349)</f>
        <v>553725.33333333337</v>
      </c>
      <c r="H505" s="59">
        <f t="shared" ref="H505" si="5802">((E505/E453)-1)*100</f>
        <v>-35.453143539898377</v>
      </c>
      <c r="I505" s="59">
        <f t="shared" ref="I505" si="5803">((F505/F453)-1)*100</f>
        <v>-15.3776392863341</v>
      </c>
      <c r="J505" s="59">
        <f t="shared" ref="J505" si="5804">((F505/G505)-1)*100</f>
        <v>-41.441545025933436</v>
      </c>
      <c r="L505" s="53">
        <v>11200</v>
      </c>
      <c r="M505" s="64">
        <v>7468</v>
      </c>
      <c r="N505" s="64">
        <v>33900</v>
      </c>
      <c r="O505" s="53">
        <f t="shared" ref="O505:O509" si="5805">SUM(L505:N505)</f>
        <v>52568</v>
      </c>
      <c r="P505" s="53">
        <f t="shared" ref="P505" si="5806">AVERAGE(O502,O503,O504,O505)</f>
        <v>55613.5</v>
      </c>
      <c r="Q505" s="53">
        <f t="shared" ref="Q505" si="5807">AVERAGE(P453,P401,P349)</f>
        <v>46432.333333333336</v>
      </c>
      <c r="R505" s="59">
        <f t="shared" ref="R505" si="5808">((O505/O453)-1)*100</f>
        <v>-41.349340057347504</v>
      </c>
      <c r="S505" s="59">
        <f t="shared" ref="S505" si="5809">((P505/P453)-1)*100</f>
        <v>20.735526380061774</v>
      </c>
      <c r="T505" s="59">
        <f t="shared" ref="T505" si="5810">((P505/Q505)-1)*100</f>
        <v>19.773218375126511</v>
      </c>
      <c r="V505" s="53">
        <v>142500</v>
      </c>
      <c r="W505" s="53">
        <v>10500</v>
      </c>
      <c r="X505" s="53">
        <v>0</v>
      </c>
      <c r="Y505" s="53">
        <f t="shared" si="5770"/>
        <v>153000</v>
      </c>
      <c r="Z505" s="53">
        <f t="shared" ref="Z505" si="5811">AVERAGE(Y502,Y503,Y504,Y505)</f>
        <v>170523.5</v>
      </c>
      <c r="AA505" s="53">
        <f t="shared" ref="AA505" si="5812">AVERAGE(Z453,Z401,Z349)</f>
        <v>130560.75</v>
      </c>
      <c r="AB505" s="59">
        <f t="shared" ref="AB505" si="5813">((Y505/Y453)-1)*100</f>
        <v>31.438782172433942</v>
      </c>
      <c r="AC505" s="59">
        <f t="shared" ref="AC505" si="5814">((Z505/Z453)-1)*100</f>
        <v>77.357990150447492</v>
      </c>
      <c r="AD505" s="59">
        <f t="shared" ref="AD505" si="5815">((Z505/AA505)-1)*100</f>
        <v>30.608548127978729</v>
      </c>
      <c r="AF505" s="53">
        <v>0</v>
      </c>
      <c r="AG505" s="53">
        <v>0</v>
      </c>
      <c r="AH505" s="53">
        <v>0</v>
      </c>
      <c r="AI505" s="53">
        <f t="shared" si="5617"/>
        <v>0</v>
      </c>
      <c r="AJ505" s="53">
        <f t="shared" ref="AJ505" si="5816">AVERAGE(AI502,AI503,AI504,AI505)</f>
        <v>5762.5</v>
      </c>
      <c r="AK505" s="53">
        <f t="shared" ref="AK505" si="5817">AVERAGE(AJ453,AJ401,AJ349)</f>
        <v>10185</v>
      </c>
      <c r="AL505" s="59">
        <f t="shared" ref="AL505" si="5818">((AI505/AI453)-1)*100</f>
        <v>-100</v>
      </c>
      <c r="AM505" s="59">
        <f t="shared" ref="AM505" si="5819">((AJ505/AJ453)-1)*100</f>
        <v>-3.9583333333333304</v>
      </c>
      <c r="AN505" s="59">
        <f t="shared" ref="AN505" si="5820">((AJ505/AK505)-1)*100</f>
        <v>-43.421698576337754</v>
      </c>
      <c r="AP505" s="60">
        <f t="shared" si="5781"/>
        <v>432848</v>
      </c>
      <c r="AQ505" s="60">
        <f t="shared" si="5782"/>
        <v>51068</v>
      </c>
      <c r="AR505" s="60">
        <f t="shared" si="5783"/>
        <v>33900</v>
      </c>
      <c r="AS505" s="60">
        <f t="shared" si="5784"/>
        <v>517816</v>
      </c>
      <c r="AT505" s="60">
        <f t="shared" ref="AT505" si="5821">AVERAGE(AS502,AS503,AS504,AS505)</f>
        <v>556152.5</v>
      </c>
      <c r="AU505" s="53">
        <f t="shared" ref="AU505" si="5822">AVERAGE(AT453,AT401,AT349)</f>
        <v>740903.41666666663</v>
      </c>
      <c r="AV505" s="59">
        <f t="shared" ref="AV505" si="5823">((AS505/AS453)-1)*100</f>
        <v>-25.363836451245124</v>
      </c>
      <c r="AW505" s="59">
        <f t="shared" ref="AW505" si="5824">((AT505/AT453)-1)*100</f>
        <v>4.6608839820074133</v>
      </c>
      <c r="AX505" s="59">
        <f t="shared" ref="AX505" si="5825">((AT505/AU505)-1)*100</f>
        <v>-24.935897515206939</v>
      </c>
      <c r="AZ505" s="53">
        <f t="shared" si="5790"/>
        <v>312.24799999999999</v>
      </c>
      <c r="BA505" s="53">
        <f t="shared" ref="BA505:BA506" si="5826">+O505/1000</f>
        <v>52.567999999999998</v>
      </c>
      <c r="BB505" s="53">
        <f t="shared" ref="BB505" si="5827">+Y505/1000</f>
        <v>153</v>
      </c>
      <c r="BC505" s="53">
        <f t="shared" ref="BC505" si="5828">+AI505/1000</f>
        <v>0</v>
      </c>
      <c r="BD505" s="53">
        <f t="shared" ref="BD505" si="5829">+AS505/1000</f>
        <v>517.81600000000003</v>
      </c>
      <c r="BE505" s="60">
        <f t="shared" ref="BE505" si="5830">BE504+AZ505</f>
        <v>9341.3849999999984</v>
      </c>
      <c r="BF505" s="60">
        <f t="shared" ref="BF505" si="5831">BF504+BA505</f>
        <v>1039.0290000000002</v>
      </c>
      <c r="BG505" s="60">
        <f t="shared" ref="BG505" si="5832">BG504+BB505</f>
        <v>5180.0350000000008</v>
      </c>
      <c r="BH505" s="60">
        <f t="shared" ref="BH505" si="5833">BH504+BC505</f>
        <v>156.70000000000002</v>
      </c>
      <c r="BI505" s="60">
        <f t="shared" ref="BI505" si="5834">BI504+BD505</f>
        <v>15717.148999999998</v>
      </c>
      <c r="BJ505" s="1">
        <v>26</v>
      </c>
    </row>
    <row r="506" spans="1:62" x14ac:dyDescent="0.3">
      <c r="A506" s="48">
        <f t="shared" si="5522"/>
        <v>41097</v>
      </c>
      <c r="B506" s="64">
        <v>234200</v>
      </c>
      <c r="C506" s="64">
        <v>23850</v>
      </c>
      <c r="D506" s="53">
        <v>1500</v>
      </c>
      <c r="E506" s="53">
        <f t="shared" si="5523"/>
        <v>259550</v>
      </c>
      <c r="F506" s="53">
        <f t="shared" ref="F506" si="5835">AVERAGE(E503,E504,E505,E506)</f>
        <v>295190.5</v>
      </c>
      <c r="G506" s="53">
        <f t="shared" ref="G506" si="5836">AVERAGE(F454,F402,F350)</f>
        <v>547008.5</v>
      </c>
      <c r="H506" s="59">
        <f t="shared" ref="H506" si="5837">((E506/E454)-1)*100</f>
        <v>-47.125570404172102</v>
      </c>
      <c r="I506" s="59">
        <f t="shared" ref="I506" si="5838">((F506/F454)-1)*100</f>
        <v>-25.285535122876603</v>
      </c>
      <c r="J506" s="59">
        <f t="shared" ref="J506" si="5839">((F506/G506)-1)*100</f>
        <v>-46.035482081174237</v>
      </c>
      <c r="L506" s="53">
        <v>0</v>
      </c>
      <c r="M506" s="64">
        <v>27750</v>
      </c>
      <c r="N506" s="64">
        <v>35100</v>
      </c>
      <c r="O506" s="53">
        <f t="shared" si="5805"/>
        <v>62850</v>
      </c>
      <c r="P506" s="53">
        <f t="shared" ref="P506" si="5840">AVERAGE(O503,O504,O505,O506)</f>
        <v>57051</v>
      </c>
      <c r="Q506" s="53">
        <f t="shared" ref="Q506" si="5841">AVERAGE(P454,P402,P350)</f>
        <v>48279.25</v>
      </c>
      <c r="R506" s="59">
        <f t="shared" ref="R506" si="5842">((O506/O454)-1)*100</f>
        <v>-23.377019201462968</v>
      </c>
      <c r="S506" s="59">
        <f t="shared" ref="S506" si="5843">((P506/P454)-1)*100</f>
        <v>-4.1860152661499566</v>
      </c>
      <c r="T506" s="59">
        <f t="shared" ref="T506" si="5844">((P506/Q506)-1)*100</f>
        <v>18.168778512507956</v>
      </c>
      <c r="V506" s="64">
        <v>223156</v>
      </c>
      <c r="W506" s="64">
        <v>30250</v>
      </c>
      <c r="X506" s="53">
        <v>0</v>
      </c>
      <c r="Y506" s="53">
        <f t="shared" si="5770"/>
        <v>253406</v>
      </c>
      <c r="Z506" s="53">
        <f t="shared" ref="Z506" si="5845">AVERAGE(Y503,Y504,Y505,Y506)</f>
        <v>200100</v>
      </c>
      <c r="AA506" s="53">
        <f t="shared" ref="AA506" si="5846">AVERAGE(Z454,Z402,Z350)</f>
        <v>124574</v>
      </c>
      <c r="AB506" s="59">
        <f t="shared" ref="AB506" si="5847">((Y506/Y454)-1)*100</f>
        <v>243.83446404341927</v>
      </c>
      <c r="AC506" s="59">
        <f t="shared" ref="AC506" si="5848">((Z506/Z454)-1)*100</f>
        <v>119.19398832279904</v>
      </c>
      <c r="AD506" s="59">
        <f t="shared" ref="AD506" si="5849">((Z506/AA506)-1)*100</f>
        <v>60.62741824136657</v>
      </c>
      <c r="AF506" s="53">
        <v>4800</v>
      </c>
      <c r="AG506" s="53">
        <v>0</v>
      </c>
      <c r="AH506" s="53">
        <v>0</v>
      </c>
      <c r="AI506" s="53">
        <f t="shared" ref="AI506" si="5850">SUM(AF506:AH506)</f>
        <v>4800</v>
      </c>
      <c r="AJ506" s="53">
        <f t="shared" ref="AJ506" si="5851">AVERAGE(AI503,AI504,AI505,AI506)</f>
        <v>6612.5</v>
      </c>
      <c r="AK506" s="53">
        <f t="shared" ref="AK506" si="5852">AVERAGE(AJ454,AJ402,AJ350)</f>
        <v>8154.166666666667</v>
      </c>
      <c r="AL506" s="59">
        <f t="shared" ref="AL506" si="5853">((AI506/AI454)-1)*100</f>
        <v>11.627906976744185</v>
      </c>
      <c r="AM506" s="59">
        <f t="shared" ref="AM506" si="5854">((AJ506/AJ454)-1)*100</f>
        <v>44.535519125683052</v>
      </c>
      <c r="AN506" s="59">
        <f t="shared" ref="AN506" si="5855">((AJ506/AK506)-1)*100</f>
        <v>-18.906489524782831</v>
      </c>
      <c r="AP506" s="60">
        <f t="shared" si="5781"/>
        <v>462156</v>
      </c>
      <c r="AQ506" s="60">
        <f t="shared" ref="AQ506" si="5856">SUM(C506,M506,W506,AG506)</f>
        <v>81850</v>
      </c>
      <c r="AR506" s="60">
        <f t="shared" ref="AR506" si="5857">SUM(D506,N506,X506,AH506)</f>
        <v>36600</v>
      </c>
      <c r="AS506" s="60">
        <f t="shared" ref="AS506:AS508" si="5858">SUM(E506,O506,Y506,AI506)</f>
        <v>580606</v>
      </c>
      <c r="AT506" s="60">
        <f t="shared" ref="AT506" si="5859">AVERAGE(AS503,AS504,AS505,AS506)</f>
        <v>558954</v>
      </c>
      <c r="AU506" s="53">
        <f t="shared" ref="AU506" si="5860">AVERAGE(AT454,AT402,AT350)</f>
        <v>728015.91666666663</v>
      </c>
      <c r="AV506" s="59">
        <f t="shared" ref="AV506" si="5861">((AS506/AS454)-1)*100</f>
        <v>-10.800193576635609</v>
      </c>
      <c r="AW506" s="59">
        <f t="shared" ref="AW506" si="5862">((AT506/AT454)-1)*100</f>
        <v>1.5358792659023957</v>
      </c>
      <c r="AX506" s="59">
        <f t="shared" ref="AX506" si="5863">((AT506/AU506)-1)*100</f>
        <v>-23.222283029297319</v>
      </c>
      <c r="AZ506" s="53">
        <f t="shared" si="5790"/>
        <v>259.55</v>
      </c>
      <c r="BA506" s="53">
        <f t="shared" si="5826"/>
        <v>62.85</v>
      </c>
      <c r="BB506" s="53">
        <f t="shared" ref="BB506" si="5864">+Y506/1000</f>
        <v>253.40600000000001</v>
      </c>
      <c r="BC506" s="53">
        <f t="shared" ref="BC506" si="5865">+AI506/1000</f>
        <v>4.8</v>
      </c>
      <c r="BD506" s="53">
        <f t="shared" ref="BD506" si="5866">+AS506/1000</f>
        <v>580.60599999999999</v>
      </c>
      <c r="BE506" s="60">
        <f t="shared" ref="BE506" si="5867">BE505+AZ506</f>
        <v>9600.9349999999977</v>
      </c>
      <c r="BF506" s="60">
        <f t="shared" ref="BF506" si="5868">BF505+BA506</f>
        <v>1101.8790000000001</v>
      </c>
      <c r="BG506" s="60">
        <f t="shared" ref="BG506" si="5869">BG505+BB506</f>
        <v>5433.4410000000007</v>
      </c>
      <c r="BH506" s="60">
        <f t="shared" ref="BH506" si="5870">BH505+BC506</f>
        <v>161.50000000000003</v>
      </c>
      <c r="BI506" s="60">
        <f t="shared" ref="BI506" si="5871">BI505+BD506</f>
        <v>16297.754999999997</v>
      </c>
      <c r="BJ506" s="1">
        <v>27</v>
      </c>
    </row>
    <row r="507" spans="1:62" x14ac:dyDescent="0.3">
      <c r="A507" s="48">
        <f t="shared" si="5522"/>
        <v>41104</v>
      </c>
      <c r="B507" s="64">
        <v>242000</v>
      </c>
      <c r="C507" s="64">
        <v>34950</v>
      </c>
      <c r="D507" s="53">
        <v>0</v>
      </c>
      <c r="E507" s="53">
        <f t="shared" si="5523"/>
        <v>276950</v>
      </c>
      <c r="F507" s="53">
        <f t="shared" ref="F507" si="5872">AVERAGE(E504,E505,E506,E507)</f>
        <v>288878</v>
      </c>
      <c r="G507" s="53">
        <f t="shared" ref="G507" si="5873">AVERAGE(F455,F403,F351)</f>
        <v>547235.66666666663</v>
      </c>
      <c r="H507" s="59">
        <f t="shared" ref="H507" si="5874">((E507/E455)-1)*100</f>
        <v>-47.064613855519553</v>
      </c>
      <c r="I507" s="59">
        <f t="shared" ref="I507" si="5875">((F507/F455)-1)*100</f>
        <v>-37.294050675431848</v>
      </c>
      <c r="J507" s="59">
        <f t="shared" ref="J507" si="5876">((F507/G507)-1)*100</f>
        <v>-47.211408613108183</v>
      </c>
      <c r="L507" s="64">
        <v>1600</v>
      </c>
      <c r="M507" s="64">
        <v>10554</v>
      </c>
      <c r="N507" s="64">
        <v>21000</v>
      </c>
      <c r="O507" s="53">
        <f t="shared" si="5805"/>
        <v>33154</v>
      </c>
      <c r="P507" s="53">
        <f t="shared" ref="P507" si="5877">AVERAGE(O504,O505,O506,O507)</f>
        <v>47577</v>
      </c>
      <c r="Q507" s="53">
        <f t="shared" ref="Q507" si="5878">AVERAGE(P455,P403,P351)</f>
        <v>50041.916666666664</v>
      </c>
      <c r="R507" s="59">
        <f t="shared" ref="R507" si="5879">((O507/O455)-1)*100</f>
        <v>-20.206979542719615</v>
      </c>
      <c r="S507" s="59">
        <f t="shared" ref="S507" si="5880">((P507/P455)-1)*100</f>
        <v>-27.591087571911245</v>
      </c>
      <c r="T507" s="59">
        <f t="shared" ref="T507" si="5881">((P507/Q507)-1)*100</f>
        <v>-4.9257039515206325</v>
      </c>
      <c r="V507" s="64">
        <v>161900</v>
      </c>
      <c r="W507" s="64">
        <v>34850</v>
      </c>
      <c r="X507" s="64">
        <v>4200</v>
      </c>
      <c r="Y507" s="64">
        <f t="shared" si="5770"/>
        <v>200950</v>
      </c>
      <c r="Z507" s="53">
        <f t="shared" ref="Z507" si="5882">AVERAGE(Y504,Y505,Y506,Y507)</f>
        <v>205384</v>
      </c>
      <c r="AA507" s="53">
        <f t="shared" ref="AA507" si="5883">AVERAGE(Z455,Z403,Z351)</f>
        <v>122565.58333333333</v>
      </c>
      <c r="AB507" s="59">
        <f t="shared" ref="AB507" si="5884">((Y507/Y455)-1)*100</f>
        <v>32.877074654499758</v>
      </c>
      <c r="AC507" s="59">
        <f t="shared" ref="AC507" si="5885">((Z507/Z455)-1)*100</f>
        <v>85.320297943181458</v>
      </c>
      <c r="AD507" s="59">
        <f t="shared" ref="AD507" si="5886">((Z507/AA507)-1)*100</f>
        <v>67.570695144844237</v>
      </c>
      <c r="AF507" s="53">
        <v>0</v>
      </c>
      <c r="AG507" s="53">
        <v>14400</v>
      </c>
      <c r="AH507" s="53">
        <v>0</v>
      </c>
      <c r="AI507" s="53">
        <f t="shared" ref="AI507:AI517" si="5887">SUM(AF507:AH507)</f>
        <v>14400</v>
      </c>
      <c r="AJ507" s="53">
        <f t="shared" ref="AJ507" si="5888">AVERAGE(AI504,AI505,AI506,AI507)</f>
        <v>9425</v>
      </c>
      <c r="AK507" s="53">
        <f t="shared" ref="AK507" si="5889">AVERAGE(AJ455,AJ403,AJ351)</f>
        <v>6175</v>
      </c>
      <c r="AL507" s="59">
        <f t="shared" ref="AL507" si="5890">((AI507/AI455)-1)*100</f>
        <v>97.260273972602732</v>
      </c>
      <c r="AM507" s="59">
        <f t="shared" ref="AM507" si="5891">((AJ507/AJ455)-1)*100</f>
        <v>47.265625</v>
      </c>
      <c r="AN507" s="59">
        <f t="shared" ref="AN507" si="5892">((AJ507/AK507)-1)*100</f>
        <v>52.631578947368432</v>
      </c>
      <c r="AP507" s="60">
        <f t="shared" si="5781"/>
        <v>405500</v>
      </c>
      <c r="AQ507" s="60">
        <f t="shared" ref="AQ507:AR509" si="5893">SUM(C507,M507,W507,AG507)</f>
        <v>94754</v>
      </c>
      <c r="AR507" s="60">
        <f t="shared" si="5893"/>
        <v>25200</v>
      </c>
      <c r="AS507" s="60">
        <f t="shared" si="5858"/>
        <v>525454</v>
      </c>
      <c r="AT507" s="60">
        <f t="shared" ref="AT507" si="5894">AVERAGE(AS504,AS505,AS506,AS507)</f>
        <v>551264</v>
      </c>
      <c r="AU507" s="53">
        <f t="shared" ref="AU507" si="5895">AVERAGE(AT455,AT403,AT351)</f>
        <v>726018.16666666663</v>
      </c>
      <c r="AV507" s="59">
        <f t="shared" ref="AV507" si="5896">((AS507/AS455)-1)*100</f>
        <v>-27.349726587073896</v>
      </c>
      <c r="AW507" s="59">
        <f t="shared" ref="AW507" si="5897">((AT507/AT455)-1)*100</f>
        <v>-14.34936105469189</v>
      </c>
      <c r="AX507" s="59">
        <f t="shared" ref="AX507" si="5898">((AT507/AU507)-1)*100</f>
        <v>-24.070219546847881</v>
      </c>
      <c r="AZ507" s="53">
        <f t="shared" ref="AZ507" si="5899">+E507/1000</f>
        <v>276.95</v>
      </c>
      <c r="BA507" s="53">
        <f t="shared" ref="BA507" si="5900">+O507/1000</f>
        <v>33.154000000000003</v>
      </c>
      <c r="BB507" s="53">
        <f t="shared" ref="BB507" si="5901">+Y507/1000</f>
        <v>200.95</v>
      </c>
      <c r="BC507" s="53">
        <f t="shared" ref="BC507" si="5902">+AI507/1000</f>
        <v>14.4</v>
      </c>
      <c r="BD507" s="53">
        <f t="shared" ref="BD507:BD509" si="5903">+AS507/1000</f>
        <v>525.45399999999995</v>
      </c>
      <c r="BE507" s="60">
        <f t="shared" ref="BE507" si="5904">BE506+AZ507</f>
        <v>9877.8849999999984</v>
      </c>
      <c r="BF507" s="60">
        <f t="shared" ref="BF507" si="5905">BF506+BA507</f>
        <v>1135.0330000000001</v>
      </c>
      <c r="BG507" s="60">
        <f t="shared" ref="BG507" si="5906">BG506+BB507</f>
        <v>5634.3910000000005</v>
      </c>
      <c r="BH507" s="60">
        <f t="shared" ref="BH507" si="5907">BH506+BC507</f>
        <v>175.90000000000003</v>
      </c>
      <c r="BI507" s="60">
        <f t="shared" ref="BI507" si="5908">BI506+BD507</f>
        <v>16823.208999999999</v>
      </c>
      <c r="BJ507" s="1">
        <v>28</v>
      </c>
    </row>
    <row r="508" spans="1:62" x14ac:dyDescent="0.3">
      <c r="A508" s="48">
        <f t="shared" si="5522"/>
        <v>41111</v>
      </c>
      <c r="B508" s="64">
        <v>288500</v>
      </c>
      <c r="C508" s="64">
        <v>19230</v>
      </c>
      <c r="D508" s="53">
        <v>0</v>
      </c>
      <c r="E508" s="53">
        <f t="shared" si="5523"/>
        <v>307730</v>
      </c>
      <c r="F508" s="53">
        <f t="shared" ref="F508" si="5909">AVERAGE(E505,E506,E507,E508)</f>
        <v>289119.5</v>
      </c>
      <c r="G508" s="53">
        <f t="shared" ref="G508" si="5910">AVERAGE(F456,F404,F352)</f>
        <v>579237.33333333337</v>
      </c>
      <c r="H508" s="59">
        <f t="shared" ref="H508" si="5911">((E508/E456)-1)*100</f>
        <v>-35.604768591080969</v>
      </c>
      <c r="I508" s="59">
        <f t="shared" ref="I508" si="5912">((F508/F456)-1)*100</f>
        <v>-41.464780006640702</v>
      </c>
      <c r="J508" s="59">
        <f t="shared" ref="J508" si="5913">((F508/G508)-1)*100</f>
        <v>-50.086176535582425</v>
      </c>
      <c r="L508" s="64">
        <v>4800</v>
      </c>
      <c r="M508" s="64">
        <v>6850</v>
      </c>
      <c r="N508" s="64">
        <v>18200</v>
      </c>
      <c r="O508" s="53">
        <f t="shared" si="5805"/>
        <v>29850</v>
      </c>
      <c r="P508" s="53">
        <f t="shared" ref="P508" si="5914">AVERAGE(O505,O506,O507,O508)</f>
        <v>44605.5</v>
      </c>
      <c r="Q508" s="53">
        <f t="shared" ref="Q508" si="5915">AVERAGE(P456,P404,P352)</f>
        <v>48629.25</v>
      </c>
      <c r="R508" s="59">
        <f t="shared" ref="R508" si="5916">((O508/O456)-1)*100</f>
        <v>-38.602986548192028</v>
      </c>
      <c r="S508" s="59">
        <f t="shared" ref="S508" si="5917">((P508/P456)-1)*100</f>
        <v>-31.853702133510552</v>
      </c>
      <c r="T508" s="59">
        <f t="shared" ref="T508" si="5918">((P508/Q508)-1)*100</f>
        <v>-8.274341060164403</v>
      </c>
      <c r="V508" s="64">
        <v>173064</v>
      </c>
      <c r="W508" s="64">
        <v>34850</v>
      </c>
      <c r="X508" s="64">
        <v>2800</v>
      </c>
      <c r="Y508" s="64">
        <f t="shared" ref="Y508:Y509" si="5919">SUM(V508:X508)</f>
        <v>210714</v>
      </c>
      <c r="Z508" s="53">
        <f t="shared" ref="Z508" si="5920">AVERAGE(Y505,Y506,Y507,Y508)</f>
        <v>204517.5</v>
      </c>
      <c r="AA508" s="53">
        <f t="shared" ref="AA508" si="5921">AVERAGE(Z456,Z404,Z352)</f>
        <v>120014.33333333333</v>
      </c>
      <c r="AB508" s="59">
        <f t="shared" ref="AB508" si="5922">((Y508/Y456)-1)*100</f>
        <v>82.554905782975951</v>
      </c>
      <c r="AC508" s="59">
        <f t="shared" ref="AC508" si="5923">((Z508/Z456)-1)*100</f>
        <v>79.103203220954583</v>
      </c>
      <c r="AD508" s="59">
        <f t="shared" ref="AD508" si="5924">((Z508/AA508)-1)*100</f>
        <v>70.41089536527582</v>
      </c>
      <c r="AF508" s="53">
        <v>0</v>
      </c>
      <c r="AG508" s="53">
        <v>0</v>
      </c>
      <c r="AH508" s="53">
        <v>0</v>
      </c>
      <c r="AI508" s="53">
        <f t="shared" si="5887"/>
        <v>0</v>
      </c>
      <c r="AJ508" s="53">
        <f t="shared" ref="AJ508" si="5925">AVERAGE(AI505,AI506,AI507,AI508)</f>
        <v>4800</v>
      </c>
      <c r="AK508" s="53">
        <f t="shared" ref="AK508" si="5926">AVERAGE(AJ456,AJ404,AJ352)</f>
        <v>8095.833333333333</v>
      </c>
      <c r="AL508" s="59">
        <f t="shared" ref="AL508" si="5927">((AI508/AI456)-1)*100</f>
        <v>-100</v>
      </c>
      <c r="AM508" s="59">
        <f t="shared" ref="AM508" si="5928">((AJ508/AJ456)-1)*100</f>
        <v>-56.998880179171337</v>
      </c>
      <c r="AN508" s="59">
        <f t="shared" ref="AN508" si="5929">((AJ508/AK508)-1)*100</f>
        <v>-40.710241893978385</v>
      </c>
      <c r="AP508" s="60">
        <f t="shared" si="5781"/>
        <v>466364</v>
      </c>
      <c r="AQ508" s="60">
        <f t="shared" si="5893"/>
        <v>60930</v>
      </c>
      <c r="AR508" s="60">
        <f t="shared" si="5893"/>
        <v>21000</v>
      </c>
      <c r="AS508" s="60">
        <f t="shared" si="5858"/>
        <v>548294</v>
      </c>
      <c r="AT508" s="60">
        <f t="shared" ref="AT508" si="5930">AVERAGE(AS505,AS506,AS507,AS508)</f>
        <v>543042.5</v>
      </c>
      <c r="AU508" s="53">
        <f t="shared" ref="AU508" si="5931">AVERAGE(AT456,AT404,AT352)</f>
        <v>755976.75</v>
      </c>
      <c r="AV508" s="59">
        <f t="shared" ref="AV508" si="5932">((AS508/AS456)-1)*100</f>
        <v>-18.283380777083924</v>
      </c>
      <c r="AW508" s="59">
        <f t="shared" ref="AW508" si="5933">((AT508/AT456)-1)*100</f>
        <v>-20.6926654124042</v>
      </c>
      <c r="AX508" s="59">
        <f t="shared" ref="AX508" si="5934">((AT508/AU508)-1)*100</f>
        <v>-28.166772324677979</v>
      </c>
      <c r="AZ508" s="53">
        <f t="shared" ref="AZ508:AZ509" si="5935">+E508/1000</f>
        <v>307.73</v>
      </c>
      <c r="BA508" s="53">
        <f t="shared" ref="BA508:BA509" si="5936">+O508/1000</f>
        <v>29.85</v>
      </c>
      <c r="BB508" s="53">
        <f t="shared" ref="BB508:BB509" si="5937">+Y508/1000</f>
        <v>210.714</v>
      </c>
      <c r="BC508" s="53">
        <f t="shared" ref="BC508:BC509" si="5938">+AI508/1000</f>
        <v>0</v>
      </c>
      <c r="BD508" s="53">
        <f t="shared" ref="BD508" si="5939">+AS508/1000</f>
        <v>548.29399999999998</v>
      </c>
      <c r="BE508" s="60">
        <f t="shared" ref="BE508" si="5940">BE507+AZ508</f>
        <v>10185.614999999998</v>
      </c>
      <c r="BF508" s="60">
        <f t="shared" ref="BF508" si="5941">BF507+BA508</f>
        <v>1164.883</v>
      </c>
      <c r="BG508" s="60">
        <f t="shared" ref="BG508" si="5942">BG507+BB508</f>
        <v>5845.1050000000005</v>
      </c>
      <c r="BH508" s="60">
        <f t="shared" ref="BH508" si="5943">BH507+BC508</f>
        <v>175.90000000000003</v>
      </c>
      <c r="BI508" s="60">
        <f t="shared" ref="BI508" si="5944">BI507+BD508</f>
        <v>17371.503000000001</v>
      </c>
      <c r="BJ508" s="1">
        <v>29</v>
      </c>
    </row>
    <row r="509" spans="1:62" x14ac:dyDescent="0.3">
      <c r="A509" s="48">
        <f t="shared" si="5522"/>
        <v>41118</v>
      </c>
      <c r="B509" s="64">
        <v>365420</v>
      </c>
      <c r="C509" s="64">
        <v>23850</v>
      </c>
      <c r="D509" s="53">
        <v>0</v>
      </c>
      <c r="E509" s="53">
        <f t="shared" si="5523"/>
        <v>389270</v>
      </c>
      <c r="F509" s="53">
        <f t="shared" ref="F509" si="5945">AVERAGE(E506,E507,E508,E509)</f>
        <v>308375</v>
      </c>
      <c r="G509" s="53">
        <f t="shared" ref="G509" si="5946">AVERAGE(F457,F405,F353)</f>
        <v>604522.58333333337</v>
      </c>
      <c r="H509" s="59">
        <f t="shared" ref="H509" si="5947">((E509/E457)-1)*100</f>
        <v>-32.600475105444318</v>
      </c>
      <c r="I509" s="59">
        <f t="shared" ref="I509" si="5948">((F509/F457)-1)*100</f>
        <v>-40.396173371513285</v>
      </c>
      <c r="J509" s="59">
        <f t="shared" ref="J509" si="5949">((F509/G509)-1)*100</f>
        <v>-48.988671639093717</v>
      </c>
      <c r="L509" s="64">
        <v>4600</v>
      </c>
      <c r="M509" s="64">
        <v>3000</v>
      </c>
      <c r="N509" s="64">
        <v>32200</v>
      </c>
      <c r="O509" s="53">
        <f t="shared" si="5805"/>
        <v>39800</v>
      </c>
      <c r="P509" s="53">
        <f t="shared" ref="P509" si="5950">AVERAGE(O506,O507,O508,O509)</f>
        <v>41413.5</v>
      </c>
      <c r="Q509" s="53">
        <f t="shared" ref="Q509" si="5951">AVERAGE(P457,P405,P353)</f>
        <v>42539.583333333336</v>
      </c>
      <c r="R509" s="59">
        <f t="shared" ref="R509" si="5952">((O509/O457)-1)*100</f>
        <v>-39.416080616190222</v>
      </c>
      <c r="S509" s="59">
        <f t="shared" ref="S509" si="5953">((P509/P457)-1)*100</f>
        <v>-30.364416718862319</v>
      </c>
      <c r="T509" s="59">
        <f t="shared" ref="T509" si="5954">((P509/Q509)-1)*100</f>
        <v>-2.6471423674029104</v>
      </c>
      <c r="V509" s="64">
        <v>256180</v>
      </c>
      <c r="W509" s="64">
        <v>45066</v>
      </c>
      <c r="X509" s="64">
        <v>5600</v>
      </c>
      <c r="Y509" s="64">
        <f t="shared" si="5919"/>
        <v>306846</v>
      </c>
      <c r="Z509" s="53">
        <f t="shared" ref="Z509" si="5955">AVERAGE(Y506,Y507,Y508,Y509)</f>
        <v>242979</v>
      </c>
      <c r="AA509" s="53">
        <f t="shared" ref="AA509" si="5956">AVERAGE(Z457,Z405,Z353)</f>
        <v>120419.25</v>
      </c>
      <c r="AB509" s="59">
        <f t="shared" ref="AB509" si="5957">((Y509/Y457)-1)*100</f>
        <v>156.68897440187385</v>
      </c>
      <c r="AC509" s="59">
        <f t="shared" ref="AC509" si="5958">((Z509/Z457)-1)*100</f>
        <v>111.33432631361507</v>
      </c>
      <c r="AD509" s="59">
        <f t="shared" ref="AD509" si="5959">((Z509/AA509)-1)*100</f>
        <v>101.77753972060115</v>
      </c>
      <c r="AF509" s="53">
        <v>0</v>
      </c>
      <c r="AG509" s="53">
        <v>7809</v>
      </c>
      <c r="AH509" s="53">
        <v>0</v>
      </c>
      <c r="AI509" s="53">
        <f t="shared" si="5887"/>
        <v>7809</v>
      </c>
      <c r="AJ509" s="53">
        <f t="shared" ref="AJ509" si="5960">AVERAGE(AI506,AI507,AI508,AI509)</f>
        <v>6752.25</v>
      </c>
      <c r="AK509" s="53">
        <f t="shared" ref="AK509" si="5961">AVERAGE(AJ457,AJ405,AJ353)</f>
        <v>8500</v>
      </c>
      <c r="AL509" s="59">
        <f t="shared" ref="AL509" si="5962">((AI509/AI457)-1)*100</f>
        <v>-67.597510373443981</v>
      </c>
      <c r="AM509" s="59">
        <f t="shared" ref="AM509" si="5963">((AJ509/AJ457)-1)*100</f>
        <v>-58.287258687258678</v>
      </c>
      <c r="AN509" s="59">
        <f t="shared" ref="AN509" si="5964">((AJ509/AK509)-1)*100</f>
        <v>-20.561764705882357</v>
      </c>
      <c r="AP509" s="60">
        <f t="shared" si="5781"/>
        <v>626200</v>
      </c>
      <c r="AQ509" s="60">
        <f t="shared" si="5893"/>
        <v>79725</v>
      </c>
      <c r="AR509" s="60">
        <f t="shared" si="5893"/>
        <v>37800</v>
      </c>
      <c r="AS509" s="60">
        <f t="shared" ref="AS509" si="5965">SUM(E509,O509,Y509,AI509)</f>
        <v>743725</v>
      </c>
      <c r="AT509" s="60">
        <f t="shared" ref="AT509" si="5966">AVERAGE(AS506,AS507,AS508,AS509)</f>
        <v>599519.75</v>
      </c>
      <c r="AU509" s="53">
        <f t="shared" ref="AU509" si="5967">AVERAGE(AT457,AT405,AT353)</f>
        <v>775981.41666666663</v>
      </c>
      <c r="AV509" s="59">
        <f t="shared" ref="AV509" si="5968">((AS509/AS457)-1)*100</f>
        <v>-5.4855189416563981</v>
      </c>
      <c r="AW509" s="59">
        <f t="shared" ref="AW509" si="5969">((AT509/AT457)-1)*100</f>
        <v>-15.322966211516121</v>
      </c>
      <c r="AX509" s="59">
        <f t="shared" ref="AX509" si="5970">((AT509/AU509)-1)*100</f>
        <v>-22.740450077359021</v>
      </c>
      <c r="AZ509" s="53">
        <f t="shared" si="5935"/>
        <v>389.27</v>
      </c>
      <c r="BA509" s="53">
        <f t="shared" si="5936"/>
        <v>39.799999999999997</v>
      </c>
      <c r="BB509" s="53">
        <f t="shared" si="5937"/>
        <v>306.846</v>
      </c>
      <c r="BC509" s="53">
        <f t="shared" si="5938"/>
        <v>7.8090000000000002</v>
      </c>
      <c r="BD509" s="53">
        <f t="shared" si="5903"/>
        <v>743.72500000000002</v>
      </c>
      <c r="BE509" s="60">
        <f t="shared" ref="BE509" si="5971">BE508+AZ509</f>
        <v>10574.884999999998</v>
      </c>
      <c r="BF509" s="60">
        <f t="shared" ref="BF509" si="5972">BF508+BA509</f>
        <v>1204.683</v>
      </c>
      <c r="BG509" s="60">
        <f t="shared" ref="BG509" si="5973">BG508+BB509</f>
        <v>6151.9510000000009</v>
      </c>
      <c r="BH509" s="60">
        <f t="shared" ref="BH509" si="5974">BH508+BC509</f>
        <v>183.70900000000003</v>
      </c>
      <c r="BI509" s="60">
        <f t="shared" ref="BI509" si="5975">BI508+BD509</f>
        <v>18115.227999999999</v>
      </c>
      <c r="BJ509" s="1">
        <v>30</v>
      </c>
    </row>
    <row r="510" spans="1:62" x14ac:dyDescent="0.3">
      <c r="A510" s="48">
        <f t="shared" si="5522"/>
        <v>41125</v>
      </c>
      <c r="B510" s="64">
        <v>256400</v>
      </c>
      <c r="C510" s="64">
        <v>49850</v>
      </c>
      <c r="D510" s="53">
        <v>4200</v>
      </c>
      <c r="E510" s="53">
        <f t="shared" ref="E510" si="5976">SUM(B510:D510)</f>
        <v>310450</v>
      </c>
      <c r="F510" s="53">
        <f t="shared" ref="F510" si="5977">AVERAGE(E507,E508,E509,E510)</f>
        <v>321100</v>
      </c>
      <c r="G510" s="53">
        <f t="shared" ref="G510" si="5978">AVERAGE(F458,F406,F354)</f>
        <v>614509.41666666663</v>
      </c>
      <c r="H510" s="59">
        <f t="shared" ref="H510" si="5979">((E510/E458)-1)*100</f>
        <v>-35.810622210000261</v>
      </c>
      <c r="I510" s="59">
        <f t="shared" ref="I510" si="5980">((F510/F458)-1)*100</f>
        <v>-37.71896434260389</v>
      </c>
      <c r="J510" s="59">
        <f t="shared" ref="J510" si="5981">((F510/G510)-1)*100</f>
        <v>-47.74693580095667</v>
      </c>
      <c r="L510" s="64">
        <v>4700</v>
      </c>
      <c r="M510" s="64">
        <v>6600</v>
      </c>
      <c r="N510" s="64">
        <v>28000</v>
      </c>
      <c r="O510" s="53">
        <f t="shared" ref="O510" si="5982">SUM(L510:N510)</f>
        <v>39300</v>
      </c>
      <c r="P510" s="53">
        <f t="shared" ref="P510" si="5983">AVERAGE(O507,O508,O509,O510)</f>
        <v>35526</v>
      </c>
      <c r="Q510" s="53">
        <f t="shared" ref="Q510" si="5984">AVERAGE(P458,P406,P354)</f>
        <v>41672.666666666664</v>
      </c>
      <c r="R510" s="59">
        <f t="shared" ref="R510" si="5985">((O510/O458)-1)*100</f>
        <v>3.2851511169513792</v>
      </c>
      <c r="S510" s="59">
        <f t="shared" ref="S510" si="5986">((P510/P458)-1)*100</f>
        <v>-26.717273814926358</v>
      </c>
      <c r="T510" s="59">
        <f t="shared" ref="T510" si="5987">((P510/Q510)-1)*100</f>
        <v>-14.749876017853424</v>
      </c>
      <c r="V510" s="64">
        <v>283100</v>
      </c>
      <c r="W510" s="64">
        <v>67048</v>
      </c>
      <c r="X510" s="64">
        <v>1400</v>
      </c>
      <c r="Y510" s="64">
        <f t="shared" ref="Y510" si="5988">SUM(V510:X510)</f>
        <v>351548</v>
      </c>
      <c r="Z510" s="53">
        <f t="shared" ref="Z510" si="5989">AVERAGE(Y507,Y508,Y509,Y510)</f>
        <v>267514.5</v>
      </c>
      <c r="AA510" s="53">
        <f t="shared" ref="AA510" si="5990">AVERAGE(Z458,Z406,Z354)</f>
        <v>121224.33333333333</v>
      </c>
      <c r="AB510" s="59">
        <f t="shared" ref="AB510" si="5991">((Y510/Y458)-1)*100</f>
        <v>261.76422161850661</v>
      </c>
      <c r="AC510" s="59">
        <f t="shared" ref="AC510" si="5992">((Z510/Z458)-1)*100</f>
        <v>121.37405843544609</v>
      </c>
      <c r="AD510" s="59">
        <f t="shared" ref="AD510" si="5993">((Z510/AA510)-1)*100</f>
        <v>120.67722926915114</v>
      </c>
      <c r="AF510" s="53">
        <v>1600</v>
      </c>
      <c r="AG510" s="53">
        <v>3500</v>
      </c>
      <c r="AH510" s="53">
        <v>0</v>
      </c>
      <c r="AI510" s="53">
        <f t="shared" si="5887"/>
        <v>5100</v>
      </c>
      <c r="AJ510" s="53">
        <f t="shared" ref="AJ510" si="5994">AVERAGE(AI507,AI508,AI509,AI510)</f>
        <v>6827.25</v>
      </c>
      <c r="AK510" s="53">
        <f t="shared" ref="AK510" si="5995">AVERAGE(AJ458,AJ406,AJ354)</f>
        <v>10362.5</v>
      </c>
      <c r="AL510" s="59">
        <f t="shared" ref="AL510" si="5996">((AI510/AI458)-1)*100</f>
        <v>-54.464285714285722</v>
      </c>
      <c r="AM510" s="59">
        <f t="shared" ref="AM510" si="5997">((AJ510/AJ458)-1)*100</f>
        <v>-61.885554780181437</v>
      </c>
      <c r="AN510" s="59">
        <f t="shared" ref="AN510" si="5998">((AJ510/AK510)-1)*100</f>
        <v>-34.11580217129071</v>
      </c>
      <c r="AP510" s="60">
        <f t="shared" ref="AP510:AP515" si="5999">SUM(B510,L510,V510,AF510)</f>
        <v>545800</v>
      </c>
      <c r="AQ510" s="60">
        <f t="shared" ref="AQ510:AQ511" si="6000">SUM(C510,M510,W510,AG510)</f>
        <v>126998</v>
      </c>
      <c r="AR510" s="60">
        <f t="shared" ref="AR510:AR511" si="6001">SUM(D510,N510,X510,AH510)</f>
        <v>33600</v>
      </c>
      <c r="AS510" s="60">
        <f t="shared" ref="AS510" si="6002">SUM(E510,O510,Y510,AI510)</f>
        <v>706398</v>
      </c>
      <c r="AT510" s="60">
        <f t="shared" ref="AT510" si="6003">AVERAGE(AS507,AS508,AS509,AS510)</f>
        <v>630967.75</v>
      </c>
      <c r="AU510" s="53">
        <f t="shared" ref="AU510" si="6004">AVERAGE(AT458,AT406,AT354)</f>
        <v>787768.91666666663</v>
      </c>
      <c r="AV510" s="59">
        <f t="shared" ref="AV510" si="6005">((AS510/AS458)-1)*100</f>
        <v>12.11367571694073</v>
      </c>
      <c r="AW510" s="59">
        <f t="shared" ref="AW510" si="6006">((AT510/AT458)-1)*100</f>
        <v>-10.220802661356476</v>
      </c>
      <c r="AX510" s="59">
        <f t="shared" ref="AX510" si="6007">((AT510/AU510)-1)*100</f>
        <v>-19.904462254000666</v>
      </c>
      <c r="AZ510" s="53">
        <f t="shared" ref="AZ510" si="6008">+E510/1000</f>
        <v>310.45</v>
      </c>
      <c r="BA510" s="53">
        <f t="shared" ref="BA510" si="6009">+O510/1000</f>
        <v>39.299999999999997</v>
      </c>
      <c r="BB510" s="53">
        <f t="shared" ref="BB510" si="6010">+Y510/1000</f>
        <v>351.548</v>
      </c>
      <c r="BC510" s="53">
        <f t="shared" ref="BC510" si="6011">+AI510/1000</f>
        <v>5.0999999999999996</v>
      </c>
      <c r="BD510" s="53">
        <f t="shared" ref="BD510" si="6012">+AS510/1000</f>
        <v>706.39800000000002</v>
      </c>
      <c r="BE510" s="60">
        <f t="shared" ref="BE510" si="6013">BE509+AZ510</f>
        <v>10885.334999999999</v>
      </c>
      <c r="BF510" s="60">
        <f t="shared" ref="BF510" si="6014">BF509+BA510</f>
        <v>1243.9829999999999</v>
      </c>
      <c r="BG510" s="60">
        <f t="shared" ref="BG510" si="6015">BG509+BB510</f>
        <v>6503.4990000000007</v>
      </c>
      <c r="BH510" s="60">
        <f t="shared" ref="BH510" si="6016">BH509+BC510</f>
        <v>188.80900000000003</v>
      </c>
      <c r="BI510" s="60">
        <f t="shared" ref="BI510" si="6017">BI509+BD510</f>
        <v>18821.626</v>
      </c>
      <c r="BJ510" s="1">
        <v>31</v>
      </c>
    </row>
    <row r="511" spans="1:62" x14ac:dyDescent="0.3">
      <c r="A511" s="48">
        <f t="shared" si="5522"/>
        <v>41132</v>
      </c>
      <c r="B511" s="64">
        <v>228022</v>
      </c>
      <c r="C511" s="64">
        <v>10500</v>
      </c>
      <c r="D511" s="53">
        <v>15400</v>
      </c>
      <c r="E511" s="53">
        <f t="shared" ref="E511" si="6018">SUM(B511:D511)</f>
        <v>253922</v>
      </c>
      <c r="F511" s="53">
        <f t="shared" ref="F511" si="6019">AVERAGE(E508,E509,E510,E511)</f>
        <v>315343</v>
      </c>
      <c r="G511" s="53">
        <f t="shared" ref="G511" si="6020">AVERAGE(F459,F407,F355)</f>
        <v>604957.33333333337</v>
      </c>
      <c r="H511" s="59">
        <f t="shared" ref="H511" si="6021">((E511/E459)-1)*100</f>
        <v>-36.129571031145133</v>
      </c>
      <c r="I511" s="59">
        <f t="shared" ref="I511" si="6022">((F511/F459)-1)*100</f>
        <v>-34.867951573809876</v>
      </c>
      <c r="J511" s="59">
        <f t="shared" ref="J511" si="6023">((F511/G511)-1)*100</f>
        <v>-47.873513944785095</v>
      </c>
      <c r="L511" s="64">
        <v>1600</v>
      </c>
      <c r="M511" s="64">
        <v>17426</v>
      </c>
      <c r="N511" s="64">
        <v>30800</v>
      </c>
      <c r="O511" s="53">
        <f t="shared" ref="O511" si="6024">SUM(L511:N511)</f>
        <v>49826</v>
      </c>
      <c r="P511" s="53">
        <f t="shared" ref="P511" si="6025">AVERAGE(O508,O509,O510,O511)</f>
        <v>39694</v>
      </c>
      <c r="Q511" s="53">
        <f t="shared" ref="Q511" si="6026">AVERAGE(P459,P407,P355)</f>
        <v>41309.166666666664</v>
      </c>
      <c r="R511" s="59">
        <f t="shared" ref="R511" si="6027">((O511/O459)-1)*100</f>
        <v>5.340380549682866</v>
      </c>
      <c r="S511" s="59">
        <f t="shared" ref="S511" si="6028">((P511/P459)-1)*100</f>
        <v>-20.477607156093804</v>
      </c>
      <c r="T511" s="59">
        <f t="shared" ref="T511" si="6029">((P511/Q511)-1)*100</f>
        <v>-3.9099473482479663</v>
      </c>
      <c r="V511" s="64">
        <v>266550</v>
      </c>
      <c r="W511" s="64">
        <v>45000</v>
      </c>
      <c r="X511" s="64">
        <v>1400</v>
      </c>
      <c r="Y511" s="64">
        <f t="shared" ref="Y511" si="6030">SUM(V511:X511)</f>
        <v>312950</v>
      </c>
      <c r="Z511" s="53">
        <f t="shared" ref="Z511" si="6031">AVERAGE(Y508,Y509,Y510,Y511)</f>
        <v>295514.5</v>
      </c>
      <c r="AA511" s="53">
        <f t="shared" ref="AA511" si="6032">AVERAGE(Z459,Z407,Z355)</f>
        <v>122031</v>
      </c>
      <c r="AB511" s="59">
        <f t="shared" ref="AB511" si="6033">((Y511/Y459)-1)*100</f>
        <v>212.01395812562311</v>
      </c>
      <c r="AC511" s="59">
        <f t="shared" ref="AC511" si="6034">((Z511/Z459)-1)*100</f>
        <v>173.34549684234381</v>
      </c>
      <c r="AD511" s="59">
        <f t="shared" ref="AD511" si="6035">((Z511/AA511)-1)*100</f>
        <v>142.16346666011094</v>
      </c>
      <c r="AF511" s="53">
        <v>0</v>
      </c>
      <c r="AG511" s="53">
        <v>0</v>
      </c>
      <c r="AH511" s="53">
        <v>0</v>
      </c>
      <c r="AI511" s="53">
        <f t="shared" si="5887"/>
        <v>0</v>
      </c>
      <c r="AJ511" s="53">
        <f t="shared" ref="AJ511" si="6036">AVERAGE(AI508,AI509,AI510,AI511)</f>
        <v>3227.25</v>
      </c>
      <c r="AK511" s="53">
        <f t="shared" ref="AK511" si="6037">AVERAGE(AJ459,AJ407,AJ355)</f>
        <v>10770.833333333334</v>
      </c>
      <c r="AL511" s="59">
        <f t="shared" ref="AL511" si="6038">((AI511/AI459)-1)*100</f>
        <v>-100</v>
      </c>
      <c r="AM511" s="59">
        <f t="shared" ref="AM511" si="6039">((AJ511/AJ459)-1)*100</f>
        <v>-82.49627118644068</v>
      </c>
      <c r="AN511" s="59">
        <f t="shared" ref="AN511" si="6040">((AJ511/AK511)-1)*100</f>
        <v>-70.037137330754348</v>
      </c>
      <c r="AP511" s="60">
        <f t="shared" si="5999"/>
        <v>496172</v>
      </c>
      <c r="AQ511" s="60">
        <f t="shared" si="6000"/>
        <v>72926</v>
      </c>
      <c r="AR511" s="60">
        <f t="shared" si="6001"/>
        <v>47600</v>
      </c>
      <c r="AS511" s="60">
        <f t="shared" ref="AS511" si="6041">SUM(E511,O511,Y511,AI511)</f>
        <v>616698</v>
      </c>
      <c r="AT511" s="60">
        <f t="shared" ref="AT511" si="6042">AVERAGE(AS508,AS509,AS510,AS511)</f>
        <v>653778.75</v>
      </c>
      <c r="AU511" s="53">
        <f t="shared" ref="AU511" si="6043">AVERAGE(AT459,AT407,AT355)</f>
        <v>779068.33333333337</v>
      </c>
      <c r="AV511" s="59">
        <f t="shared" ref="AV511" si="6044">((AS511/AS459)-1)*100</f>
        <v>11.205320273082343</v>
      </c>
      <c r="AW511" s="59">
        <f t="shared" ref="AW511" si="6045">((AT511/AT459)-1)*100</f>
        <v>-1.0359921755646484</v>
      </c>
      <c r="AX511" s="59">
        <f t="shared" ref="AX511" si="6046">((AT511/AU511)-1)*100</f>
        <v>-16.08197612105058</v>
      </c>
      <c r="AZ511" s="53">
        <f t="shared" ref="AZ511" si="6047">+E511/1000</f>
        <v>253.922</v>
      </c>
      <c r="BA511" s="53">
        <f t="shared" ref="BA511" si="6048">+O511/1000</f>
        <v>49.826000000000001</v>
      </c>
      <c r="BB511" s="53">
        <f t="shared" ref="BB511" si="6049">+Y511/1000</f>
        <v>312.95</v>
      </c>
      <c r="BC511" s="53">
        <f t="shared" ref="BC511" si="6050">+AI511/1000</f>
        <v>0</v>
      </c>
      <c r="BD511" s="53">
        <f t="shared" ref="BD511" si="6051">+AS511/1000</f>
        <v>616.69799999999998</v>
      </c>
      <c r="BE511" s="60">
        <f t="shared" ref="BE511" si="6052">BE510+AZ511</f>
        <v>11139.257</v>
      </c>
      <c r="BF511" s="60">
        <f t="shared" ref="BF511" si="6053">BF510+BA511</f>
        <v>1293.809</v>
      </c>
      <c r="BG511" s="60">
        <f t="shared" ref="BG511" si="6054">BG510+BB511</f>
        <v>6816.4490000000005</v>
      </c>
      <c r="BH511" s="60">
        <f t="shared" ref="BH511" si="6055">BH510+BC511</f>
        <v>188.80900000000003</v>
      </c>
      <c r="BI511" s="60">
        <f t="shared" ref="BI511" si="6056">BI510+BD511</f>
        <v>19438.324000000001</v>
      </c>
      <c r="BJ511" s="1">
        <v>32</v>
      </c>
    </row>
    <row r="512" spans="1:62" x14ac:dyDescent="0.3">
      <c r="A512" s="48">
        <f t="shared" si="5522"/>
        <v>41139</v>
      </c>
      <c r="B512" s="64">
        <v>288600</v>
      </c>
      <c r="C512" s="64">
        <v>6950</v>
      </c>
      <c r="D512" s="53">
        <v>56800</v>
      </c>
      <c r="E512" s="53">
        <f t="shared" ref="E512" si="6057">SUM(B512:D512)</f>
        <v>352350</v>
      </c>
      <c r="F512" s="53">
        <f t="shared" ref="F512" si="6058">AVERAGE(E509,E510,E511,E512)</f>
        <v>326498</v>
      </c>
      <c r="G512" s="53">
        <f t="shared" ref="G512" si="6059">AVERAGE(F460,F408,F356)</f>
        <v>544704.41666666663</v>
      </c>
      <c r="H512" s="59">
        <f t="shared" ref="H512" si="6060">((E512/E460)-1)*100</f>
        <v>-9.6427252584933569</v>
      </c>
      <c r="I512" s="59">
        <f t="shared" ref="I512" si="6061">((F512/F460)-1)*100</f>
        <v>-29.356693007513879</v>
      </c>
      <c r="J512" s="59">
        <f t="shared" ref="J512" si="6062">((F512/G512)-1)*100</f>
        <v>-40.059601132296066</v>
      </c>
      <c r="L512" s="64">
        <v>14150</v>
      </c>
      <c r="M512" s="64">
        <v>1800</v>
      </c>
      <c r="N512" s="64">
        <v>26600</v>
      </c>
      <c r="O512" s="53">
        <f t="shared" ref="O512" si="6063">SUM(L512:N512)</f>
        <v>42550</v>
      </c>
      <c r="P512" s="53">
        <f t="shared" ref="P512" si="6064">AVERAGE(O509,O510,O511,O512)</f>
        <v>42869</v>
      </c>
      <c r="Q512" s="53">
        <f t="shared" ref="Q512" si="6065">AVERAGE(P460,P408,P356)</f>
        <v>39275.583333333336</v>
      </c>
      <c r="R512" s="59">
        <f t="shared" ref="R512" si="6066">((O512/O460)-1)*100</f>
        <v>39.967105263157897</v>
      </c>
      <c r="S512" s="59">
        <f t="shared" ref="S512" si="6067">((P512/P460)-1)*100</f>
        <v>-5.4937060470448218</v>
      </c>
      <c r="T512" s="59">
        <f t="shared" ref="T512" si="6068">((P512/Q512)-1)*100</f>
        <v>9.1492381823312652</v>
      </c>
      <c r="V512" s="64">
        <v>125832</v>
      </c>
      <c r="W512" s="64">
        <v>14000</v>
      </c>
      <c r="X512" s="53">
        <v>0</v>
      </c>
      <c r="Y512" s="64">
        <f t="shared" ref="Y512" si="6069">SUM(V512:X512)</f>
        <v>139832</v>
      </c>
      <c r="Z512" s="53">
        <f t="shared" ref="Z512" si="6070">AVERAGE(Y509,Y510,Y511,Y512)</f>
        <v>277794</v>
      </c>
      <c r="AA512" s="53">
        <f t="shared" ref="AA512" si="6071">AVERAGE(Z460,Z408,Z356)</f>
        <v>122837.41666666667</v>
      </c>
      <c r="AB512" s="59">
        <f t="shared" ref="AB512" si="6072">((Y512/Y460)-1)*100</f>
        <v>52.002869783570496</v>
      </c>
      <c r="AC512" s="59">
        <f t="shared" ref="AC512" si="6073">((Z512/Z460)-1)*100</f>
        <v>171.67519541134791</v>
      </c>
      <c r="AD512" s="59">
        <f t="shared" ref="AD512" si="6074">((Z512/AA512)-1)*100</f>
        <v>126.14770608032701</v>
      </c>
      <c r="AF512" s="53">
        <v>1600</v>
      </c>
      <c r="AG512" s="53">
        <v>0</v>
      </c>
      <c r="AH512" s="53">
        <v>0</v>
      </c>
      <c r="AI512" s="53">
        <f t="shared" si="5887"/>
        <v>1600</v>
      </c>
      <c r="AJ512" s="53">
        <f t="shared" ref="AJ512" si="6075">AVERAGE(AI509,AI510,AI511,AI512)</f>
        <v>3627.25</v>
      </c>
      <c r="AK512" s="53">
        <f t="shared" ref="AK512" si="6076">AVERAGE(AJ460,AJ408,AJ356)</f>
        <v>7981.833333333333</v>
      </c>
      <c r="AL512" s="59">
        <f t="shared" ref="AL512" si="6077">((AI512/AI460)-1)*100</f>
        <v>14.285714285714279</v>
      </c>
      <c r="AM512" s="59">
        <f t="shared" ref="AM512" si="6078">((AJ512/AJ460)-1)*100</f>
        <v>-68.52711496746204</v>
      </c>
      <c r="AN512" s="59">
        <f t="shared" ref="AN512" si="6079">((AJ512/AK512)-1)*100</f>
        <v>-54.556179657973317</v>
      </c>
      <c r="AP512" s="60">
        <f t="shared" si="5999"/>
        <v>430182</v>
      </c>
      <c r="AQ512" s="60">
        <f t="shared" ref="AQ512:AQ515" si="6080">SUM(C512,M512,W512,AG512)</f>
        <v>22750</v>
      </c>
      <c r="AR512" s="60">
        <f t="shared" ref="AR512:AR515" si="6081">SUM(D512,N512,X512,AH512)</f>
        <v>83400</v>
      </c>
      <c r="AS512" s="60">
        <f t="shared" ref="AS512:AS515" si="6082">SUM(E512,O512,Y512,AI512)</f>
        <v>536332</v>
      </c>
      <c r="AT512" s="60">
        <f t="shared" ref="AT512" si="6083">AVERAGE(AS509,AS510,AS511,AS512)</f>
        <v>650788.25</v>
      </c>
      <c r="AU512" s="53">
        <f t="shared" ref="AU512" si="6084">AVERAGE(AT460,AT408,AT356)</f>
        <v>714799.25</v>
      </c>
      <c r="AV512" s="59">
        <f t="shared" ref="AV512" si="6085">((AS512/AS460)-1)*100</f>
        <v>4.3965391390670572</v>
      </c>
      <c r="AW512" s="59">
        <f t="shared" ref="AW512" si="6086">((AT512/AT460)-1)*100</f>
        <v>4.7434359139021831</v>
      </c>
      <c r="AX512" s="59">
        <f t="shared" ref="AX512" si="6087">((AT512/AU512)-1)*100</f>
        <v>-8.9551017296114921</v>
      </c>
      <c r="AZ512" s="53">
        <f t="shared" ref="AZ512" si="6088">+E512/1000</f>
        <v>352.35</v>
      </c>
      <c r="BA512" s="53">
        <f t="shared" ref="BA512" si="6089">+O512/1000</f>
        <v>42.55</v>
      </c>
      <c r="BB512" s="53">
        <f t="shared" ref="BB512" si="6090">+Y512/1000</f>
        <v>139.83199999999999</v>
      </c>
      <c r="BC512" s="53">
        <f t="shared" ref="BC512" si="6091">+AI512/1000</f>
        <v>1.6</v>
      </c>
      <c r="BD512" s="53">
        <f t="shared" ref="BD512" si="6092">+AS512/1000</f>
        <v>536.33199999999999</v>
      </c>
      <c r="BE512" s="60">
        <f t="shared" ref="BE512" si="6093">BE511+AZ512</f>
        <v>11491.607</v>
      </c>
      <c r="BF512" s="60">
        <f t="shared" ref="BF512" si="6094">BF511+BA512</f>
        <v>1336.3589999999999</v>
      </c>
      <c r="BG512" s="60">
        <f t="shared" ref="BG512" si="6095">BG511+BB512</f>
        <v>6956.2810000000009</v>
      </c>
      <c r="BH512" s="60">
        <f t="shared" ref="BH512" si="6096">BH511+BC512</f>
        <v>190.40900000000002</v>
      </c>
      <c r="BI512" s="60">
        <f t="shared" ref="BI512" si="6097">BI511+BD512</f>
        <v>19974.655999999999</v>
      </c>
      <c r="BJ512" s="1">
        <v>33</v>
      </c>
    </row>
    <row r="513" spans="1:62" x14ac:dyDescent="0.3">
      <c r="A513" s="48">
        <f t="shared" si="5522"/>
        <v>41146</v>
      </c>
      <c r="B513" s="64">
        <v>87000</v>
      </c>
      <c r="C513" s="64">
        <v>15750</v>
      </c>
      <c r="D513" s="53">
        <v>46200</v>
      </c>
      <c r="E513" s="53">
        <f t="shared" ref="E513" si="6098">SUM(B513:D513)</f>
        <v>148950</v>
      </c>
      <c r="F513" s="53">
        <f t="shared" ref="F513" si="6099">AVERAGE(E510,E511,E512,E513)</f>
        <v>266418</v>
      </c>
      <c r="G513" s="53">
        <f t="shared" ref="G513" si="6100">AVERAGE(F461,F409,F357)</f>
        <v>463264</v>
      </c>
      <c r="H513" s="59">
        <f t="shared" ref="H513" si="6101">((E513/E461)-1)*100</f>
        <v>-51.720337746949099</v>
      </c>
      <c r="I513" s="59">
        <f t="shared" ref="I513" si="6102">((F513/F461)-1)*100</f>
        <v>-32.538400376787081</v>
      </c>
      <c r="J513" s="59">
        <f t="shared" ref="J513" si="6103">((F513/G513)-1)*100</f>
        <v>-42.491106582855565</v>
      </c>
      <c r="L513" s="53">
        <v>2100</v>
      </c>
      <c r="M513" s="53">
        <v>0</v>
      </c>
      <c r="N513" s="64">
        <v>26600</v>
      </c>
      <c r="O513" s="53">
        <f t="shared" ref="O513" si="6104">SUM(L513:N513)</f>
        <v>28700</v>
      </c>
      <c r="P513" s="53">
        <f t="shared" ref="P513" si="6105">AVERAGE(O510,O511,O512,O513)</f>
        <v>40094</v>
      </c>
      <c r="Q513" s="53">
        <f t="shared" ref="Q513" si="6106">AVERAGE(P461,P409,P357)</f>
        <v>38526.666666666664</v>
      </c>
      <c r="R513" s="59">
        <f t="shared" ref="R513" si="6107">((O513/O461)-1)*100</f>
        <v>-21.584699453551913</v>
      </c>
      <c r="S513" s="59">
        <f t="shared" ref="S513" si="6108">((P513/P461)-1)*100</f>
        <v>5.2681325894322395</v>
      </c>
      <c r="T513" s="59">
        <f t="shared" ref="T513" si="6109">((P513/Q513)-1)*100</f>
        <v>4.0681778854473105</v>
      </c>
      <c r="V513" s="64">
        <v>75000</v>
      </c>
      <c r="W513" s="64">
        <v>19250</v>
      </c>
      <c r="X513" s="64">
        <v>1400</v>
      </c>
      <c r="Y513" s="64">
        <f t="shared" ref="Y513" si="6110">SUM(V513:X513)</f>
        <v>95650</v>
      </c>
      <c r="Z513" s="53">
        <f t="shared" ref="Z513" si="6111">AVERAGE(Y510,Y511,Y512,Y513)</f>
        <v>224995</v>
      </c>
      <c r="AA513" s="53">
        <f t="shared" ref="AA513" si="6112">AVERAGE(Z461,Z409,Z357)</f>
        <v>110075.5</v>
      </c>
      <c r="AB513" s="59">
        <f t="shared" ref="AB513" si="6113">((Y513/Y461)-1)*100</f>
        <v>6.131552083795655</v>
      </c>
      <c r="AC513" s="59">
        <f t="shared" ref="AC513" si="6114">((Z513/Z461)-1)*100</f>
        <v>137.09077880782837</v>
      </c>
      <c r="AD513" s="59">
        <f t="shared" ref="AD513" si="6115">((Z513/AA513)-1)*100</f>
        <v>104.40061594087693</v>
      </c>
      <c r="AF513" s="53">
        <v>1600</v>
      </c>
      <c r="AG513" s="53">
        <v>0</v>
      </c>
      <c r="AH513" s="53">
        <v>0</v>
      </c>
      <c r="AI513" s="53">
        <f t="shared" si="5887"/>
        <v>1600</v>
      </c>
      <c r="AJ513" s="53">
        <f t="shared" ref="AJ513" si="6116">AVERAGE(AI510,AI511,AI512,AI513)</f>
        <v>2075</v>
      </c>
      <c r="AK513" s="53">
        <f t="shared" ref="AK513" si="6117">AVERAGE(AJ461,AJ409,AJ357)</f>
        <v>7294.333333333333</v>
      </c>
      <c r="AL513" s="59">
        <f t="shared" ref="AL513" si="6118">((AI513/AI461)-1)*100</f>
        <v>-87.878787878787875</v>
      </c>
      <c r="AM513" s="59">
        <f t="shared" ref="AM513" si="6119">((AJ513/AJ461)-1)*100</f>
        <v>-76.420454545454547</v>
      </c>
      <c r="AN513" s="59">
        <f t="shared" ref="AN513" si="6120">((AJ513/AK513)-1)*100</f>
        <v>-71.553260521866278</v>
      </c>
      <c r="AP513" s="60">
        <f t="shared" si="5999"/>
        <v>165700</v>
      </c>
      <c r="AQ513" s="60">
        <f t="shared" si="6080"/>
        <v>35000</v>
      </c>
      <c r="AR513" s="60">
        <f t="shared" si="6081"/>
        <v>74200</v>
      </c>
      <c r="AS513" s="60">
        <f t="shared" si="6082"/>
        <v>274900</v>
      </c>
      <c r="AT513" s="60">
        <f t="shared" ref="AT513" si="6121">AVERAGE(AS510,AS511,AS512,AS513)</f>
        <v>533582</v>
      </c>
      <c r="AU513" s="53">
        <f t="shared" ref="AU513" si="6122">AVERAGE(AT461,AT409,AT357)</f>
        <v>619160.5</v>
      </c>
      <c r="AV513" s="59">
        <f t="shared" ref="AV513" si="6123">((AS513/AS461)-1)*100</f>
        <v>-38.698462890158972</v>
      </c>
      <c r="AW513" s="59">
        <f t="shared" ref="AW513" si="6124">((AT513/AT461)-1)*100</f>
        <v>-0.58165235476741461</v>
      </c>
      <c r="AX513" s="59">
        <f t="shared" ref="AX513" si="6125">((AT513/AU513)-1)*100</f>
        <v>-13.821698897135715</v>
      </c>
      <c r="AZ513" s="53">
        <f t="shared" ref="AZ513" si="6126">+E513/1000</f>
        <v>148.94999999999999</v>
      </c>
      <c r="BA513" s="53">
        <f t="shared" ref="BA513" si="6127">+O513/1000</f>
        <v>28.7</v>
      </c>
      <c r="BB513" s="53">
        <f t="shared" ref="BB513" si="6128">+Y513/1000</f>
        <v>95.65</v>
      </c>
      <c r="BC513" s="53">
        <f t="shared" ref="BC513" si="6129">+AI513/1000</f>
        <v>1.6</v>
      </c>
      <c r="BD513" s="53">
        <f t="shared" ref="BD513" si="6130">+AS513/1000</f>
        <v>274.89999999999998</v>
      </c>
      <c r="BE513" s="60">
        <f t="shared" ref="BE513" si="6131">BE512+AZ513</f>
        <v>11640.557000000001</v>
      </c>
      <c r="BF513" s="60">
        <f t="shared" ref="BF513" si="6132">BF512+BA513</f>
        <v>1365.059</v>
      </c>
      <c r="BG513" s="60">
        <f t="shared" ref="BG513" si="6133">BG512+BB513</f>
        <v>7051.9310000000005</v>
      </c>
      <c r="BH513" s="60">
        <f t="shared" ref="BH513" si="6134">BH512+BC513</f>
        <v>192.00900000000001</v>
      </c>
      <c r="BI513" s="60">
        <f t="shared" ref="BI513" si="6135">BI512+BD513</f>
        <v>20249.556</v>
      </c>
      <c r="BJ513" s="1">
        <v>34</v>
      </c>
    </row>
    <row r="514" spans="1:62" x14ac:dyDescent="0.3">
      <c r="A514" s="48">
        <f t="shared" si="5522"/>
        <v>41153</v>
      </c>
      <c r="B514" s="64">
        <v>58200</v>
      </c>
      <c r="C514" s="64">
        <v>22425</v>
      </c>
      <c r="D514" s="53">
        <v>44800</v>
      </c>
      <c r="E514" s="53">
        <f t="shared" ref="E514:E515" si="6136">SUM(B514:D514)</f>
        <v>125425</v>
      </c>
      <c r="F514" s="53">
        <f t="shared" ref="F514" si="6137">AVERAGE(E511,E512,E513,E514)</f>
        <v>220161.75</v>
      </c>
      <c r="G514" s="53">
        <f t="shared" ref="G514" si="6138">AVERAGE(F462,F410,F358)</f>
        <v>404481.25</v>
      </c>
      <c r="H514" s="59">
        <f t="shared" ref="H514" si="6139">((E514/E462)-1)*100</f>
        <v>-47.006506675680249</v>
      </c>
      <c r="I514" s="59">
        <f t="shared" ref="I514" si="6140">((F514/F462)-1)*100</f>
        <v>-33.920334957848887</v>
      </c>
      <c r="J514" s="59">
        <f t="shared" ref="J514" si="6141">((F514/G514)-1)*100</f>
        <v>-45.569355810683433</v>
      </c>
      <c r="L514" s="64">
        <v>4700</v>
      </c>
      <c r="M514" s="64">
        <v>22657</v>
      </c>
      <c r="N514" s="64">
        <v>4200</v>
      </c>
      <c r="O514" s="53">
        <f t="shared" ref="O514" si="6142">SUM(L514:N514)</f>
        <v>31557</v>
      </c>
      <c r="P514" s="53">
        <f t="shared" ref="P514" si="6143">AVERAGE(O511,O512,O513,O514)</f>
        <v>38158.25</v>
      </c>
      <c r="Q514" s="53">
        <f t="shared" ref="Q514" si="6144">AVERAGE(P462,P410,P358)</f>
        <v>34129.25</v>
      </c>
      <c r="R514" s="59">
        <f t="shared" ref="R514" si="6145">((O514/O462)-1)*100</f>
        <v>-22.177558569667077</v>
      </c>
      <c r="S514" s="59">
        <f t="shared" ref="S514" si="6146">((P514/P462)-1)*100</f>
        <v>-1.4317081046173685</v>
      </c>
      <c r="T514" s="59">
        <f t="shared" ref="T514" si="6147">((P514/Q514)-1)*100</f>
        <v>11.805123171473152</v>
      </c>
      <c r="V514" s="64">
        <v>67600</v>
      </c>
      <c r="W514" s="64">
        <v>25000</v>
      </c>
      <c r="X514" s="64">
        <v>4200</v>
      </c>
      <c r="Y514" s="64">
        <f t="shared" ref="Y514" si="6148">SUM(V514:X514)</f>
        <v>96800</v>
      </c>
      <c r="Z514" s="53">
        <f t="shared" ref="Z514" si="6149">AVERAGE(Y511,Y512,Y513,Y514)</f>
        <v>161308</v>
      </c>
      <c r="AA514" s="53">
        <f t="shared" ref="AA514" si="6150">AVERAGE(Z462,Z410,Z358)</f>
        <v>96081.333333333328</v>
      </c>
      <c r="AB514" s="59">
        <f t="shared" ref="AB514" si="6151">((Y514/Y462)-1)*100</f>
        <v>74.918684495843863</v>
      </c>
      <c r="AC514" s="59">
        <f t="shared" ref="AC514" si="6152">((Z514/Z462)-1)*100</f>
        <v>91.034382707094167</v>
      </c>
      <c r="AD514" s="59">
        <f t="shared" ref="AD514" si="6153">((Z514/AA514)-1)*100</f>
        <v>67.886929129487527</v>
      </c>
      <c r="AF514" s="53">
        <v>0</v>
      </c>
      <c r="AG514" s="53">
        <v>0</v>
      </c>
      <c r="AH514" s="53">
        <v>0</v>
      </c>
      <c r="AI514" s="53">
        <f t="shared" si="5887"/>
        <v>0</v>
      </c>
      <c r="AJ514" s="53">
        <f t="shared" ref="AJ514" si="6154">AVERAGE(AI511,AI512,AI513,AI514)</f>
        <v>800</v>
      </c>
      <c r="AK514" s="53">
        <f t="shared" ref="AK514" si="6155">AVERAGE(AJ462,AJ410,AJ358)</f>
        <v>6823.5</v>
      </c>
      <c r="AL514" s="59">
        <f t="shared" ref="AL514" si="6156">((AI514/AI462)-1)*100</f>
        <v>-100</v>
      </c>
      <c r="AM514" s="59">
        <f t="shared" ref="AM514" si="6157">((AJ514/AJ462)-1)*100</f>
        <v>-92.118226600985224</v>
      </c>
      <c r="AN514" s="59">
        <f t="shared" ref="AN514" si="6158">((AJ514/AK514)-1)*100</f>
        <v>-88.275811533670407</v>
      </c>
      <c r="AP514" s="60">
        <f t="shared" si="5999"/>
        <v>130500</v>
      </c>
      <c r="AQ514" s="60">
        <f t="shared" si="6080"/>
        <v>70082</v>
      </c>
      <c r="AR514" s="60">
        <f t="shared" si="6081"/>
        <v>53200</v>
      </c>
      <c r="AS514" s="60">
        <f t="shared" si="6082"/>
        <v>253782</v>
      </c>
      <c r="AT514" s="60">
        <f t="shared" ref="AT514" si="6159">AVERAGE(AS511,AS512,AS513,AS514)</f>
        <v>420428</v>
      </c>
      <c r="AU514" s="53">
        <f t="shared" ref="AU514" si="6160">AVERAGE(AT462,AT410,AT358)</f>
        <v>541515.33333333337</v>
      </c>
      <c r="AV514" s="59">
        <f t="shared" ref="AV514" si="6161">((AS514/AS462)-1)*100</f>
        <v>-27.31849815276226</v>
      </c>
      <c r="AW514" s="59">
        <f t="shared" ref="AW514" si="6162">((AT514/AT462)-1)*100</f>
        <v>-9.8718481900539778</v>
      </c>
      <c r="AX514" s="59">
        <f t="shared" ref="AX514" si="6163">((AT514/AU514)-1)*100</f>
        <v>-22.360831887801268</v>
      </c>
      <c r="AZ514" s="53">
        <f t="shared" ref="AZ514:AZ515" si="6164">+E514/1000</f>
        <v>125.425</v>
      </c>
      <c r="BA514" s="53">
        <f t="shared" ref="BA514:BA515" si="6165">+O514/1000</f>
        <v>31.556999999999999</v>
      </c>
      <c r="BB514" s="53">
        <f t="shared" ref="BB514:BB516" si="6166">+Y514/1000</f>
        <v>96.8</v>
      </c>
      <c r="BC514" s="53">
        <f t="shared" ref="BC514:BC515" si="6167">+AI514/1000</f>
        <v>0</v>
      </c>
      <c r="BD514" s="53">
        <f t="shared" ref="BD514:BD515" si="6168">+AS514/1000</f>
        <v>253.78200000000001</v>
      </c>
      <c r="BE514" s="60">
        <f t="shared" ref="BE514" si="6169">BE513+AZ514</f>
        <v>11765.982</v>
      </c>
      <c r="BF514" s="60">
        <f t="shared" ref="BF514" si="6170">BF513+BA514</f>
        <v>1396.616</v>
      </c>
      <c r="BG514" s="60">
        <f t="shared" ref="BG514" si="6171">BG513+BB514</f>
        <v>7148.7310000000007</v>
      </c>
      <c r="BH514" s="60">
        <f t="shared" ref="BH514" si="6172">BH513+BC514</f>
        <v>192.00900000000001</v>
      </c>
      <c r="BI514" s="60">
        <f t="shared" ref="BI514" si="6173">BI513+BD514</f>
        <v>20503.338</v>
      </c>
      <c r="BJ514" s="1">
        <v>35</v>
      </c>
    </row>
    <row r="515" spans="1:62" x14ac:dyDescent="0.3">
      <c r="A515" s="48">
        <f t="shared" si="5522"/>
        <v>41160</v>
      </c>
      <c r="B515" s="64">
        <v>69694</v>
      </c>
      <c r="C515" s="64">
        <v>8600</v>
      </c>
      <c r="D515" s="53">
        <v>0</v>
      </c>
      <c r="E515" s="53">
        <f t="shared" si="6136"/>
        <v>78294</v>
      </c>
      <c r="F515" s="53">
        <f t="shared" ref="F515" si="6174">AVERAGE(E512,E513,E514,E515)</f>
        <v>176254.75</v>
      </c>
      <c r="G515" s="53">
        <f t="shared" ref="G515" si="6175">AVERAGE(F463,F411,F359)</f>
        <v>344132.41666666669</v>
      </c>
      <c r="H515" s="59">
        <f t="shared" ref="H515" si="6176">((E515/E463)-1)*100</f>
        <v>-69.062681518771257</v>
      </c>
      <c r="I515" s="59">
        <f t="shared" ref="I515" si="6177">((F515/F463)-1)*100</f>
        <v>-40.665954116241096</v>
      </c>
      <c r="J515" s="59">
        <f t="shared" ref="J515" si="6178">((F515/G515)-1)*100</f>
        <v>-48.782869191098676</v>
      </c>
      <c r="L515" s="64">
        <v>16600</v>
      </c>
      <c r="M515" s="64">
        <v>6800</v>
      </c>
      <c r="N515" s="53">
        <v>0</v>
      </c>
      <c r="O515" s="53">
        <f t="shared" ref="O515" si="6179">SUM(L515:N515)</f>
        <v>23400</v>
      </c>
      <c r="P515" s="53">
        <f t="shared" ref="P515" si="6180">AVERAGE(O512,O513,O514,O515)</f>
        <v>31551.75</v>
      </c>
      <c r="Q515" s="53">
        <f t="shared" ref="Q515" si="6181">AVERAGE(P463,P411,P359)</f>
        <v>33221.166666666664</v>
      </c>
      <c r="R515" s="59">
        <f t="shared" ref="R515" si="6182">((O515/O463)-1)*100</f>
        <v>10.11764705882352</v>
      </c>
      <c r="S515" s="59">
        <f t="shared" ref="S515" si="6183">((P515/P463)-1)*100</f>
        <v>-2.0131987577639787</v>
      </c>
      <c r="T515" s="59">
        <f t="shared" ref="T515" si="6184">((P515/Q515)-1)*100</f>
        <v>-5.025159662263512</v>
      </c>
      <c r="V515" s="64">
        <v>35300</v>
      </c>
      <c r="W515" s="64">
        <v>10500</v>
      </c>
      <c r="X515" s="64">
        <v>14000</v>
      </c>
      <c r="Y515" s="64">
        <f t="shared" ref="Y515" si="6185">SUM(V515:X515)</f>
        <v>59800</v>
      </c>
      <c r="Z515" s="53">
        <f t="shared" ref="Z515" si="6186">AVERAGE(Y512,Y513,Y514,Y515)</f>
        <v>98020.5</v>
      </c>
      <c r="AA515" s="53">
        <f t="shared" ref="AA515" si="6187">AVERAGE(Z463,Z411,Z359)</f>
        <v>76935.75</v>
      </c>
      <c r="AB515" s="59">
        <f t="shared" ref="AB515" si="6188">((Y515/Y463)-1)*100</f>
        <v>11.671335200746968</v>
      </c>
      <c r="AC515" s="59">
        <f t="shared" ref="AC515" si="6189">((Z515/Z463)-1)*100</f>
        <v>34.732841478040058</v>
      </c>
      <c r="AD515" s="59">
        <f t="shared" ref="AD515" si="6190">((Z515/AA515)-1)*100</f>
        <v>27.405659917528592</v>
      </c>
      <c r="AF515" s="53">
        <v>0</v>
      </c>
      <c r="AG515" s="53">
        <v>0</v>
      </c>
      <c r="AH515" s="53">
        <v>1400</v>
      </c>
      <c r="AI515" s="53">
        <f t="shared" si="5887"/>
        <v>1400</v>
      </c>
      <c r="AJ515" s="53">
        <f t="shared" ref="AJ515" si="6191">AVERAGE(AI512,AI513,AI514,AI515)</f>
        <v>1150</v>
      </c>
      <c r="AK515" s="53">
        <f t="shared" ref="AK515" si="6192">AVERAGE(AJ463,AJ411,AJ359)</f>
        <v>7496.916666666667</v>
      </c>
      <c r="AL515" s="59">
        <f t="shared" ref="AL515" si="6193">((AI515/AI463)-1)*100</f>
        <v>-84.915418597133936</v>
      </c>
      <c r="AM515" s="59">
        <f t="shared" ref="AM515" si="6194">((AJ515/AJ463)-1)*100</f>
        <v>-88.636644351671151</v>
      </c>
      <c r="AN515" s="59">
        <f t="shared" ref="AN515" si="6195">((AJ515/AK515)-1)*100</f>
        <v>-84.660360370374491</v>
      </c>
      <c r="AP515" s="60">
        <f t="shared" si="5999"/>
        <v>121594</v>
      </c>
      <c r="AQ515" s="60">
        <f t="shared" si="6080"/>
        <v>25900</v>
      </c>
      <c r="AR515" s="60">
        <f t="shared" si="6081"/>
        <v>15400</v>
      </c>
      <c r="AS515" s="60">
        <f t="shared" si="6082"/>
        <v>162894</v>
      </c>
      <c r="AT515" s="60">
        <f t="shared" ref="AT515" si="6196">AVERAGE(AS512,AS513,AS514,AS515)</f>
        <v>306977</v>
      </c>
      <c r="AU515" s="53">
        <f t="shared" ref="AU515" si="6197">AVERAGE(AT463,AT411,AT359)</f>
        <v>461786.25</v>
      </c>
      <c r="AV515" s="59">
        <f t="shared" ref="AV515" si="6198">((AS515/AS463)-1)*100</f>
        <v>-51.685579883376739</v>
      </c>
      <c r="AW515" s="59">
        <f t="shared" ref="AW515" si="6199">((AT515/AT463)-1)*100</f>
        <v>-25.513979913958561</v>
      </c>
      <c r="AX515" s="59">
        <f t="shared" ref="AX515" si="6200">((AT515/AU515)-1)*100</f>
        <v>-33.524005965963688</v>
      </c>
      <c r="AZ515" s="53">
        <f t="shared" si="6164"/>
        <v>78.293999999999997</v>
      </c>
      <c r="BA515" s="53">
        <f t="shared" si="6165"/>
        <v>23.4</v>
      </c>
      <c r="BB515" s="53">
        <f t="shared" si="6166"/>
        <v>59.8</v>
      </c>
      <c r="BC515" s="53">
        <f t="shared" si="6167"/>
        <v>1.4</v>
      </c>
      <c r="BD515" s="53">
        <f t="shared" si="6168"/>
        <v>162.89400000000001</v>
      </c>
      <c r="BE515" s="60">
        <f t="shared" ref="BE515" si="6201">BE514+AZ515</f>
        <v>11844.276</v>
      </c>
      <c r="BF515" s="60">
        <f t="shared" ref="BF515" si="6202">BF514+BA515</f>
        <v>1420.0160000000001</v>
      </c>
      <c r="BG515" s="60">
        <f t="shared" ref="BG515" si="6203">BG514+BB515</f>
        <v>7208.5310000000009</v>
      </c>
      <c r="BH515" s="60">
        <f t="shared" ref="BH515" si="6204">BH514+BC515</f>
        <v>193.40900000000002</v>
      </c>
      <c r="BI515" s="60">
        <f t="shared" ref="BI515" si="6205">BI514+BD515</f>
        <v>20666.232</v>
      </c>
      <c r="BJ515" s="1">
        <v>36</v>
      </c>
    </row>
    <row r="516" spans="1:62" x14ac:dyDescent="0.3">
      <c r="A516" s="48">
        <f t="shared" si="5522"/>
        <v>41167</v>
      </c>
      <c r="B516" s="64">
        <v>43788</v>
      </c>
      <c r="C516" s="64">
        <v>38000</v>
      </c>
      <c r="D516" s="53">
        <v>25200</v>
      </c>
      <c r="E516" s="53">
        <f t="shared" ref="E516" si="6206">SUM(B516:D516)</f>
        <v>106988</v>
      </c>
      <c r="F516" s="53">
        <f t="shared" ref="F516" si="6207">AVERAGE(E513,E514,E515,E516)</f>
        <v>114914.25</v>
      </c>
      <c r="G516" s="53">
        <f t="shared" ref="G516" si="6208">AVERAGE(F464,F412,F360)</f>
        <v>304461.58333333331</v>
      </c>
      <c r="H516" s="59">
        <f t="shared" ref="H516" si="6209">((E516/E464)-1)*100</f>
        <v>-47.5903555437988</v>
      </c>
      <c r="I516" s="59">
        <f t="shared" ref="I516" si="6210">((F516/F464)-1)*100</f>
        <v>-54.144628024971922</v>
      </c>
      <c r="J516" s="59">
        <f t="shared" ref="J516" si="6211">((F516/G516)-1)*100</f>
        <v>-62.256568220566407</v>
      </c>
      <c r="L516" s="53">
        <v>7500</v>
      </c>
      <c r="M516" s="53">
        <v>8600</v>
      </c>
      <c r="N516" s="53">
        <v>14000</v>
      </c>
      <c r="O516" s="53">
        <f t="shared" ref="O516" si="6212">SUM(L516:N516)</f>
        <v>30100</v>
      </c>
      <c r="P516" s="53">
        <f t="shared" ref="P516" si="6213">AVERAGE(O513,O514,O515,O516)</f>
        <v>28439.25</v>
      </c>
      <c r="Q516" s="53">
        <f t="shared" ref="Q516" si="6214">AVERAGE(P464,P412,P360)</f>
        <v>34833.166666666664</v>
      </c>
      <c r="R516" s="59">
        <f t="shared" ref="R516" si="6215">((O516/O464)-1)*100</f>
        <v>-7.6035239586211167</v>
      </c>
      <c r="S516" s="59">
        <f t="shared" ref="S516" si="6216">((P516/P464)-1)*100</f>
        <v>-13.147346480679811</v>
      </c>
      <c r="T516" s="59">
        <f t="shared" ref="T516" si="6217">((P516/Q516)-1)*100</f>
        <v>-18.355829453729434</v>
      </c>
      <c r="V516" s="64">
        <v>22300</v>
      </c>
      <c r="W516" s="64">
        <v>12250</v>
      </c>
      <c r="X516" s="64">
        <v>66800</v>
      </c>
      <c r="Y516" s="64">
        <f t="shared" ref="Y516" si="6218">SUM(V516:X516)</f>
        <v>101350</v>
      </c>
      <c r="Z516" s="53">
        <f t="shared" ref="Z516" si="6219">AVERAGE(Y513,Y514,Y515,Y516)</f>
        <v>88400</v>
      </c>
      <c r="AA516" s="53">
        <f t="shared" ref="AA516" si="6220">AVERAGE(Z464,Z412,Z360)</f>
        <v>62998.5</v>
      </c>
      <c r="AB516" s="59">
        <f t="shared" ref="AB516" si="6221">((Y516/Y464)-1)*100</f>
        <v>31.243282441759579</v>
      </c>
      <c r="AC516" s="59">
        <f t="shared" ref="AC516" si="6222">((Z516/Z464)-1)*100</f>
        <v>28.006023812885307</v>
      </c>
      <c r="AD516" s="59">
        <f t="shared" ref="AD516" si="6223">((Z516/AA516)-1)*100</f>
        <v>40.320801288919569</v>
      </c>
      <c r="AF516" s="53">
        <v>0</v>
      </c>
      <c r="AG516" s="53">
        <v>1750</v>
      </c>
      <c r="AH516" s="53">
        <v>0</v>
      </c>
      <c r="AI516" s="53">
        <f t="shared" si="5887"/>
        <v>1750</v>
      </c>
      <c r="AJ516" s="53">
        <f t="shared" ref="AJ516" si="6224">AVERAGE(AI513,AI514,AI515,AI516)</f>
        <v>1187.5</v>
      </c>
      <c r="AK516" s="53">
        <f t="shared" ref="AK516" si="6225">AVERAGE(AJ464,AJ412,AJ360)</f>
        <v>7419.25</v>
      </c>
      <c r="AL516" s="59">
        <f t="shared" ref="AL516" si="6226">((AI516/AI464)-1)*100</f>
        <v>25</v>
      </c>
      <c r="AM516" s="59">
        <f t="shared" ref="AM516" si="6227">((AJ516/AJ464)-1)*100</f>
        <v>-88.266100145747387</v>
      </c>
      <c r="AN516" s="59">
        <f t="shared" ref="AN516" si="6228">((AJ516/AK516)-1)*100</f>
        <v>-83.994339050443102</v>
      </c>
      <c r="AP516" s="60">
        <f t="shared" ref="AP516:AP517" si="6229">SUM(B516,L516,V516,AF516)</f>
        <v>73588</v>
      </c>
      <c r="AQ516" s="60">
        <f t="shared" ref="AQ516:AQ517" si="6230">SUM(C516,M516,W516,AG516)</f>
        <v>60600</v>
      </c>
      <c r="AR516" s="60">
        <f t="shared" ref="AR516:AR517" si="6231">SUM(D516,N516,X516,AH516)</f>
        <v>106000</v>
      </c>
      <c r="AS516" s="60">
        <f t="shared" ref="AS516:AS517" si="6232">SUM(E516,O516,Y516,AI516)</f>
        <v>240188</v>
      </c>
      <c r="AT516" s="60">
        <f t="shared" ref="AT516" si="6233">AVERAGE(AS513,AS514,AS515,AS516)</f>
        <v>232941</v>
      </c>
      <c r="AU516" s="53">
        <f t="shared" ref="AU516" si="6234">AVERAGE(AT464,AT412,AT360)</f>
        <v>409712.5</v>
      </c>
      <c r="AV516" s="59">
        <f t="shared" ref="AV516" si="6235">((AS516/AS464)-1)*100</f>
        <v>-23.831571202963165</v>
      </c>
      <c r="AW516" s="59">
        <f t="shared" ref="AW516" si="6236">((AT516/AT464)-1)*100</f>
        <v>-35.744889493904218</v>
      </c>
      <c r="AX516" s="59">
        <f t="shared" ref="AX516" si="6237">((AT516/AU516)-1)*100</f>
        <v>-43.145254294169689</v>
      </c>
      <c r="AZ516" s="53">
        <f t="shared" ref="AZ516" si="6238">+E516/1000</f>
        <v>106.988</v>
      </c>
      <c r="BA516" s="53">
        <f t="shared" ref="BA516" si="6239">+O516/1000</f>
        <v>30.1</v>
      </c>
      <c r="BB516" s="53">
        <f t="shared" si="6166"/>
        <v>101.35</v>
      </c>
      <c r="BC516" s="53">
        <f t="shared" ref="BC516" si="6240">+AI516/1000</f>
        <v>1.75</v>
      </c>
      <c r="BD516" s="53">
        <f t="shared" ref="BD516" si="6241">+AS516/1000</f>
        <v>240.18799999999999</v>
      </c>
      <c r="BE516" s="60">
        <f t="shared" ref="BE516" si="6242">BE515+AZ516</f>
        <v>11951.263999999999</v>
      </c>
      <c r="BF516" s="60">
        <f t="shared" ref="BF516" si="6243">BF515+BA516</f>
        <v>1450.116</v>
      </c>
      <c r="BG516" s="60">
        <f t="shared" ref="BG516" si="6244">BG515+BB516</f>
        <v>7309.8810000000012</v>
      </c>
      <c r="BH516" s="60">
        <f t="shared" ref="BH516" si="6245">BH515+BC516</f>
        <v>195.15900000000002</v>
      </c>
      <c r="BI516" s="60">
        <f t="shared" ref="BI516" si="6246">BI515+BD516</f>
        <v>20906.419999999998</v>
      </c>
      <c r="BJ516" s="1">
        <v>37</v>
      </c>
    </row>
    <row r="517" spans="1:62" x14ac:dyDescent="0.3">
      <c r="A517" s="48">
        <f t="shared" si="5522"/>
        <v>41174</v>
      </c>
      <c r="B517" s="64">
        <v>78700</v>
      </c>
      <c r="C517" s="64">
        <v>5136</v>
      </c>
      <c r="D517" s="53">
        <v>5600</v>
      </c>
      <c r="E517" s="53">
        <f t="shared" ref="E517:E518" si="6247">SUM(B517:D517)</f>
        <v>89436</v>
      </c>
      <c r="F517" s="53">
        <f t="shared" ref="F517:F518" si="6248">AVERAGE(E514,E515,E516,E517)</f>
        <v>100035.75</v>
      </c>
      <c r="G517" s="53">
        <f t="shared" ref="G517" si="6249">AVERAGE(F465,F413,F361)</f>
        <v>295553.66666666669</v>
      </c>
      <c r="H517" s="59">
        <f t="shared" ref="H517" si="6250">((E517/E465)-1)*100</f>
        <v>-65.295605879522569</v>
      </c>
      <c r="I517" s="59">
        <f t="shared" ref="I517" si="6251">((F517/F465)-1)*100</f>
        <v>-57.95046022536804</v>
      </c>
      <c r="J517" s="59">
        <f t="shared" ref="J517" si="6252">((F517/G517)-1)*100</f>
        <v>-66.153101354407156</v>
      </c>
      <c r="L517" s="53">
        <v>3200</v>
      </c>
      <c r="M517" s="53">
        <v>3316</v>
      </c>
      <c r="N517" s="53">
        <v>28000</v>
      </c>
      <c r="O517" s="53">
        <f t="shared" ref="O517:O518" si="6253">SUM(L517:N517)</f>
        <v>34516</v>
      </c>
      <c r="P517" s="53">
        <f t="shared" ref="P517" si="6254">AVERAGE(O514,O515,O516,O517)</f>
        <v>29893.25</v>
      </c>
      <c r="Q517" s="53">
        <f t="shared" ref="Q517" si="6255">AVERAGE(P465,P413,P361)</f>
        <v>32337.25</v>
      </c>
      <c r="R517" s="59">
        <f t="shared" ref="R517" si="6256">((O517/O465)-1)*100</f>
        <v>232.90895061728395</v>
      </c>
      <c r="S517" s="59">
        <f t="shared" ref="S517" si="6257">((P517/P465)-1)*100</f>
        <v>14.156284309513589</v>
      </c>
      <c r="T517" s="59">
        <f t="shared" ref="T517" si="6258">((P517/Q517)-1)*100</f>
        <v>-7.557847374158289</v>
      </c>
      <c r="V517" s="64">
        <v>18900</v>
      </c>
      <c r="W517" s="64">
        <v>20100</v>
      </c>
      <c r="X517" s="64">
        <v>23800</v>
      </c>
      <c r="Y517" s="64">
        <f t="shared" ref="Y517:Y518" si="6259">SUM(V517:X517)</f>
        <v>62800</v>
      </c>
      <c r="Z517" s="53">
        <f t="shared" ref="Z517" si="6260">AVERAGE(Y514,Y515,Y516,Y517)</f>
        <v>80187.5</v>
      </c>
      <c r="AA517" s="53">
        <f t="shared" ref="AA517" si="6261">AVERAGE(Z465,Z413,Z361)</f>
        <v>50287.25</v>
      </c>
      <c r="AB517" s="59">
        <f t="shared" ref="AB517" si="6262">((Y517/Y465)-1)*100</f>
        <v>178.49223946784923</v>
      </c>
      <c r="AC517" s="59">
        <f t="shared" ref="AC517" si="6263">((Z517/Z465)-1)*100</f>
        <v>53.716758601189476</v>
      </c>
      <c r="AD517" s="59">
        <f t="shared" ref="AD517" si="6264">((Z517/AA517)-1)*100</f>
        <v>59.458908570263837</v>
      </c>
      <c r="AF517" s="53">
        <v>0</v>
      </c>
      <c r="AG517" s="53">
        <v>0</v>
      </c>
      <c r="AH517" s="53">
        <v>0</v>
      </c>
      <c r="AI517" s="53">
        <f t="shared" si="5887"/>
        <v>0</v>
      </c>
      <c r="AJ517" s="53">
        <f t="shared" ref="AJ517" si="6265">AVERAGE(AI514,AI515,AI516,AI517)</f>
        <v>787.5</v>
      </c>
      <c r="AK517" s="53">
        <f t="shared" ref="AK517" si="6266">AVERAGE(AJ465,AJ413,AJ361)</f>
        <v>6345.916666666667</v>
      </c>
      <c r="AL517" s="59">
        <f t="shared" ref="AL517" si="6267">((AI517/AI465)-1)*100</f>
        <v>-100</v>
      </c>
      <c r="AM517" s="59">
        <f t="shared" ref="AM517" si="6268">((AJ517/AJ465)-1)*100</f>
        <v>-89.562970080514233</v>
      </c>
      <c r="AN517" s="59">
        <f t="shared" ref="AN517" si="6269">((AJ517/AK517)-1)*100</f>
        <v>-87.590445299470787</v>
      </c>
      <c r="AP517" s="60">
        <f t="shared" si="6229"/>
        <v>100800</v>
      </c>
      <c r="AQ517" s="60">
        <f t="shared" si="6230"/>
        <v>28552</v>
      </c>
      <c r="AR517" s="60">
        <f t="shared" si="6231"/>
        <v>57400</v>
      </c>
      <c r="AS517" s="60">
        <f t="shared" si="6232"/>
        <v>186752</v>
      </c>
      <c r="AT517" s="60">
        <f t="shared" ref="AT517" si="6270">AVERAGE(AS514,AS515,AS516,AS517)</f>
        <v>210904</v>
      </c>
      <c r="AU517" s="53">
        <f t="shared" ref="AU517" si="6271">AVERAGE(AT465,AT413,AT361)</f>
        <v>384524.08333333331</v>
      </c>
      <c r="AV517" s="59">
        <f t="shared" ref="AV517" si="6272">((AS517/AS465)-1)*100</f>
        <v>-36.37633463475126</v>
      </c>
      <c r="AW517" s="59">
        <f t="shared" ref="AW517" si="6273">((AT517/AT465)-1)*100</f>
        <v>-34.865363175075736</v>
      </c>
      <c r="AX517" s="59">
        <f t="shared" ref="AX517" si="6274">((AT517/AU517)-1)*100</f>
        <v>-45.151939984686692</v>
      </c>
      <c r="AZ517" s="53">
        <f t="shared" ref="AZ517" si="6275">+E517/1000</f>
        <v>89.436000000000007</v>
      </c>
      <c r="BA517" s="53">
        <f t="shared" ref="BA517" si="6276">+O517/1000</f>
        <v>34.515999999999998</v>
      </c>
      <c r="BB517" s="53">
        <f t="shared" ref="BB517" si="6277">+Y517/1000</f>
        <v>62.8</v>
      </c>
      <c r="BC517" s="53">
        <f t="shared" ref="BC517" si="6278">+AI517/1000</f>
        <v>0</v>
      </c>
      <c r="BD517" s="53">
        <f t="shared" ref="BD517" si="6279">+AS517/1000</f>
        <v>186.75200000000001</v>
      </c>
      <c r="BE517" s="60">
        <f t="shared" ref="BE517" si="6280">BE516+AZ517</f>
        <v>12040.699999999999</v>
      </c>
      <c r="BF517" s="60">
        <f t="shared" ref="BF517" si="6281">BF516+BA517</f>
        <v>1484.6320000000001</v>
      </c>
      <c r="BG517" s="60">
        <f t="shared" ref="BG517" si="6282">BG516+BB517</f>
        <v>7372.6810000000014</v>
      </c>
      <c r="BH517" s="60">
        <f t="shared" ref="BH517" si="6283">BH516+BC517</f>
        <v>195.15900000000002</v>
      </c>
      <c r="BI517" s="60">
        <f t="shared" ref="BI517" si="6284">BI516+BD517</f>
        <v>21093.171999999999</v>
      </c>
      <c r="BJ517" s="1">
        <v>38</v>
      </c>
    </row>
    <row r="518" spans="1:62" x14ac:dyDescent="0.3">
      <c r="A518" s="48">
        <f t="shared" si="5522"/>
        <v>41181</v>
      </c>
      <c r="B518" s="64">
        <v>193928</v>
      </c>
      <c r="C518" s="64">
        <v>48458</v>
      </c>
      <c r="D518" s="53">
        <v>0</v>
      </c>
      <c r="E518" s="53">
        <f t="shared" si="6247"/>
        <v>242386</v>
      </c>
      <c r="F518" s="53">
        <f t="shared" si="6248"/>
        <v>129276</v>
      </c>
      <c r="G518" s="53">
        <f t="shared" ref="G518" si="6285">AVERAGE(F466,F414,F362)</f>
        <v>293656.83333333331</v>
      </c>
      <c r="H518" s="59">
        <f t="shared" ref="H518" si="6286">((E518/E466)-1)*100</f>
        <v>-16.289591197466436</v>
      </c>
      <c r="I518" s="59">
        <f t="shared" ref="I518" si="6287">((F518/F466)-1)*100</f>
        <v>-48.519819367787257</v>
      </c>
      <c r="J518" s="59">
        <f t="shared" ref="J518" si="6288">((F518/G518)-1)*100</f>
        <v>-55.977186523271769</v>
      </c>
      <c r="L518" s="53">
        <v>26600</v>
      </c>
      <c r="M518" s="53">
        <v>15336</v>
      </c>
      <c r="N518" s="53">
        <v>23800</v>
      </c>
      <c r="O518" s="53">
        <f t="shared" si="6253"/>
        <v>65736</v>
      </c>
      <c r="P518" s="53">
        <f t="shared" ref="P518" si="6289">AVERAGE(O515,O516,O517,O518)</f>
        <v>38438</v>
      </c>
      <c r="Q518" s="53">
        <f t="shared" ref="Q518" si="6290">AVERAGE(P466,P414,P362)</f>
        <v>29673.833333333332</v>
      </c>
      <c r="R518" s="59">
        <f t="shared" ref="R518" si="6291">((O518/O466)-1)*100</f>
        <v>276.71060171919771</v>
      </c>
      <c r="S518" s="59">
        <f t="shared" ref="S518" si="6292">((P518/P466)-1)*100</f>
        <v>88.317716945312029</v>
      </c>
      <c r="T518" s="59">
        <f t="shared" ref="T518" si="6293">((P518/Q518)-1)*100</f>
        <v>29.534999971916911</v>
      </c>
      <c r="V518" s="64">
        <v>57500</v>
      </c>
      <c r="W518" s="64">
        <v>39852</v>
      </c>
      <c r="X518" s="64">
        <v>54600</v>
      </c>
      <c r="Y518" s="64">
        <f t="shared" si="6259"/>
        <v>151952</v>
      </c>
      <c r="Z518" s="53">
        <f t="shared" ref="Z518" si="6294">AVERAGE(Y515,Y516,Y517,Y518)</f>
        <v>93975.5</v>
      </c>
      <c r="AA518" s="53">
        <f t="shared" ref="AA518" si="6295">AVERAGE(Z466,Z414,Z362)</f>
        <v>51405.916666666664</v>
      </c>
      <c r="AB518" s="59">
        <f t="shared" ref="AB518" si="6296">((Y518/Y466)-1)*100</f>
        <v>612.51992872549943</v>
      </c>
      <c r="AC518" s="59">
        <f t="shared" ref="AC518" si="6297">((Z518/Z466)-1)*100</f>
        <v>115.23283843594866</v>
      </c>
      <c r="AD518" s="59">
        <f t="shared" ref="AD518" si="6298">((Z518/AA518)-1)*100</f>
        <v>82.810668681134317</v>
      </c>
      <c r="AF518" s="53">
        <v>0</v>
      </c>
      <c r="AG518" s="53">
        <v>0</v>
      </c>
      <c r="AH518" s="53">
        <v>0</v>
      </c>
      <c r="AI518" s="53">
        <f t="shared" ref="AI518" si="6299">SUM(AF518:AH518)</f>
        <v>0</v>
      </c>
      <c r="AJ518" s="53">
        <f t="shared" ref="AJ518" si="6300">AVERAGE(AI515,AI516,AI517,AI518)</f>
        <v>787.5</v>
      </c>
      <c r="AK518" s="53">
        <f t="shared" ref="AK518" si="6301">AVERAGE(AJ466,AJ414,AJ362)</f>
        <v>7920.916666666667</v>
      </c>
      <c r="AL518" s="59">
        <f t="shared" ref="AL518" si="6302">((AI518/AI466)-1)*100</f>
        <v>-100</v>
      </c>
      <c r="AM518" s="59">
        <f t="shared" ref="AM518" si="6303">((AJ518/AJ466)-1)*100</f>
        <v>-82.48150825871754</v>
      </c>
      <c r="AN518" s="59">
        <f t="shared" ref="AN518" si="6304">((AJ518/AK518)-1)*100</f>
        <v>-90.05796887986449</v>
      </c>
      <c r="AP518" s="60">
        <f t="shared" ref="AP518" si="6305">SUM(B518,L518,V518,AF518)</f>
        <v>278028</v>
      </c>
      <c r="AQ518" s="60">
        <f t="shared" ref="AQ518" si="6306">SUM(C518,M518,W518,AG518)</f>
        <v>103646</v>
      </c>
      <c r="AR518" s="60">
        <f t="shared" ref="AR518" si="6307">SUM(D518,N518,X518,AH518)</f>
        <v>78400</v>
      </c>
      <c r="AS518" s="60">
        <f t="shared" ref="AS518" si="6308">SUM(E518,O518,Y518,AI518)</f>
        <v>460074</v>
      </c>
      <c r="AT518" s="60">
        <f t="shared" ref="AT518" si="6309">AVERAGE(AS515,AS516,AS517,AS518)</f>
        <v>262477</v>
      </c>
      <c r="AU518" s="53">
        <f t="shared" ref="AU518" si="6310">AVERAGE(AT466,AT414,AT362)</f>
        <v>382657.5</v>
      </c>
      <c r="AV518" s="59">
        <f t="shared" ref="AV518" si="6311">((AS518/AS466)-1)*100</f>
        <v>38.272888747298865</v>
      </c>
      <c r="AW518" s="59">
        <f t="shared" ref="AW518" si="6312">((AT518/AT466)-1)*100</f>
        <v>-17.895564955382103</v>
      </c>
      <c r="AX518" s="59">
        <f t="shared" ref="AX518" si="6313">((AT518/AU518)-1)*100</f>
        <v>-31.406806347713033</v>
      </c>
      <c r="AZ518" s="53">
        <f t="shared" ref="AZ518" si="6314">+E518/1000</f>
        <v>242.386</v>
      </c>
      <c r="BA518" s="53">
        <f t="shared" ref="BA518" si="6315">+O518/1000</f>
        <v>65.736000000000004</v>
      </c>
      <c r="BB518" s="53">
        <f t="shared" ref="BB518" si="6316">+Y518/1000</f>
        <v>151.952</v>
      </c>
      <c r="BC518" s="53">
        <f t="shared" ref="BC518" si="6317">+AI518/1000</f>
        <v>0</v>
      </c>
      <c r="BD518" s="53">
        <f t="shared" ref="BD518" si="6318">+AS518/1000</f>
        <v>460.07400000000001</v>
      </c>
      <c r="BE518" s="60">
        <f t="shared" ref="BE518" si="6319">BE517+AZ518</f>
        <v>12283.085999999999</v>
      </c>
      <c r="BF518" s="60">
        <f t="shared" ref="BF518" si="6320">BF517+BA518</f>
        <v>1550.3680000000002</v>
      </c>
      <c r="BG518" s="60">
        <f t="shared" ref="BG518" si="6321">BG517+BB518</f>
        <v>7524.6330000000016</v>
      </c>
      <c r="BH518" s="60">
        <f t="shared" ref="BH518" si="6322">BH517+BC518</f>
        <v>195.15900000000002</v>
      </c>
      <c r="BI518" s="60">
        <f t="shared" ref="BI518" si="6323">BI517+BD518</f>
        <v>21553.245999999999</v>
      </c>
      <c r="BJ518" s="1">
        <v>39</v>
      </c>
    </row>
    <row r="519" spans="1:62" x14ac:dyDescent="0.3">
      <c r="A519" s="48">
        <f t="shared" si="5522"/>
        <v>41188</v>
      </c>
      <c r="B519" s="64">
        <v>78900</v>
      </c>
      <c r="C519" s="64">
        <v>41750</v>
      </c>
      <c r="D519" s="53">
        <v>1400</v>
      </c>
      <c r="E519" s="53">
        <f t="shared" ref="E519" si="6324">SUM(B519:D519)</f>
        <v>122050</v>
      </c>
      <c r="F519" s="53">
        <f t="shared" ref="F519" si="6325">AVERAGE(E516,E517,E518,E519)</f>
        <v>140215</v>
      </c>
      <c r="G519" s="53">
        <f t="shared" ref="G519" si="6326">AVERAGE(F467,F415,F363)</f>
        <v>298805.58333333331</v>
      </c>
      <c r="H519" s="59">
        <f t="shared" ref="H519" si="6327">((E519/E467)-1)*100</f>
        <v>-59.927110352299962</v>
      </c>
      <c r="I519" s="59">
        <f t="shared" ref="I519" si="6328">((F519/F467)-1)*100</f>
        <v>-46.886698378456181</v>
      </c>
      <c r="J519" s="59">
        <f t="shared" ref="J519" si="6329">((F519/G519)-1)*100</f>
        <v>-53.074839353459204</v>
      </c>
      <c r="L519" s="53">
        <v>1600</v>
      </c>
      <c r="M519" s="53">
        <v>0</v>
      </c>
      <c r="N519" s="53">
        <v>9800</v>
      </c>
      <c r="O519" s="53">
        <f t="shared" ref="O519" si="6330">SUM(L519:N519)</f>
        <v>11400</v>
      </c>
      <c r="P519" s="53">
        <f t="shared" ref="P519" si="6331">AVERAGE(O516,O517,O518,O519)</f>
        <v>35438</v>
      </c>
      <c r="Q519" s="53">
        <f t="shared" ref="Q519" si="6332">AVERAGE(P467,P415,P363)</f>
        <v>28659.666666666668</v>
      </c>
      <c r="R519" s="59">
        <f t="shared" ref="R519" si="6333">((O519/O467)-1)*100</f>
        <v>-17.115021084775339</v>
      </c>
      <c r="S519" s="59">
        <f t="shared" ref="S519" si="6334">((P519/P467)-1)*100</f>
        <v>91.171829694264247</v>
      </c>
      <c r="T519" s="59">
        <f t="shared" ref="T519" si="6335">((P519/Q519)-1)*100</f>
        <v>23.651124111701694</v>
      </c>
      <c r="V519" s="64">
        <v>75200</v>
      </c>
      <c r="W519" s="64">
        <v>17450</v>
      </c>
      <c r="X519" s="64">
        <v>34600</v>
      </c>
      <c r="Y519" s="64">
        <f t="shared" ref="Y519" si="6336">SUM(V519:X519)</f>
        <v>127250</v>
      </c>
      <c r="Z519" s="53">
        <f t="shared" ref="Z519" si="6337">AVERAGE(Y516,Y517,Y518,Y519)</f>
        <v>110838</v>
      </c>
      <c r="AA519" s="53">
        <f t="shared" ref="AA519" si="6338">AVERAGE(Z467,Z415,Z363)</f>
        <v>78203.333333333328</v>
      </c>
      <c r="AB519" s="59">
        <f t="shared" ref="AB519" si="6339">((Y519/Y467)-1)*100</f>
        <v>31.485136238233501</v>
      </c>
      <c r="AC519" s="59">
        <f t="shared" ref="AC519" si="6340">((Z519/Z467)-1)*100</f>
        <v>103.48635474898798</v>
      </c>
      <c r="AD519" s="59">
        <f t="shared" ref="AD519" si="6341">((Z519/AA519)-1)*100</f>
        <v>41.730531520395566</v>
      </c>
      <c r="AF519" s="53">
        <v>0</v>
      </c>
      <c r="AG519" s="53">
        <v>1750</v>
      </c>
      <c r="AH519" s="53">
        <v>0</v>
      </c>
      <c r="AI519" s="53">
        <f t="shared" ref="AI519:AI527" si="6342">SUM(AF519:AH519)</f>
        <v>1750</v>
      </c>
      <c r="AJ519" s="53">
        <f t="shared" ref="AJ519" si="6343">AVERAGE(AI516,AI517,AI518,AI519)</f>
        <v>875</v>
      </c>
      <c r="AK519" s="53">
        <f t="shared" ref="AK519" si="6344">AVERAGE(AJ467,AJ415,AJ363)</f>
        <v>7906.75</v>
      </c>
      <c r="AL519" s="59"/>
      <c r="AM519" s="59">
        <f t="shared" ref="AM519" si="6345">((AJ519/AJ467)-1)*100</f>
        <v>-59.770114942528728</v>
      </c>
      <c r="AN519" s="59">
        <f t="shared" ref="AN519" si="6346">((AJ519/AK519)-1)*100</f>
        <v>-88.933506181427262</v>
      </c>
      <c r="AP519" s="60">
        <f t="shared" ref="AP519" si="6347">SUM(B519,L519,V519,AF519)</f>
        <v>155700</v>
      </c>
      <c r="AQ519" s="60">
        <f t="shared" ref="AQ519" si="6348">SUM(C519,M519,W519,AG519)</f>
        <v>60950</v>
      </c>
      <c r="AR519" s="60">
        <f t="shared" ref="AR519" si="6349">SUM(D519,N519,X519,AH519)</f>
        <v>45800</v>
      </c>
      <c r="AS519" s="60">
        <f t="shared" ref="AS519:AS522" si="6350">SUM(E519,O519,Y519,AI519)</f>
        <v>262450</v>
      </c>
      <c r="AT519" s="60">
        <f t="shared" ref="AT519" si="6351">AVERAGE(AS516,AS517,AS518,AS519)</f>
        <v>287366</v>
      </c>
      <c r="AU519" s="53">
        <f t="shared" ref="AU519" si="6352">AVERAGE(AT467,AT415,AT363)</f>
        <v>413575.33333333331</v>
      </c>
      <c r="AV519" s="59">
        <f t="shared" ref="AV519" si="6353">((AS519/AS467)-1)*100</f>
        <v>-36.774728199988914</v>
      </c>
      <c r="AW519" s="59">
        <f t="shared" ref="AW519" si="6354">((AT519/AT467)-1)*100</f>
        <v>-15.274755730097233</v>
      </c>
      <c r="AX519" s="59">
        <f t="shared" ref="AX519" si="6355">((AT519/AU519)-1)*100</f>
        <v>-30.516649123174656</v>
      </c>
      <c r="AZ519" s="53">
        <f t="shared" ref="AZ519" si="6356">+E519/1000</f>
        <v>122.05</v>
      </c>
      <c r="BA519" s="53">
        <f t="shared" ref="BA519" si="6357">+O519/1000</f>
        <v>11.4</v>
      </c>
      <c r="BB519" s="53">
        <f t="shared" ref="BB519" si="6358">+Y519/1000</f>
        <v>127.25</v>
      </c>
      <c r="BC519" s="53">
        <f t="shared" ref="BC519" si="6359">+AI519/1000</f>
        <v>1.75</v>
      </c>
      <c r="BD519" s="53">
        <f t="shared" ref="BD519" si="6360">+AS519/1000</f>
        <v>262.45</v>
      </c>
      <c r="BE519" s="60">
        <f t="shared" ref="BE519" si="6361">BE518+AZ519</f>
        <v>12405.135999999999</v>
      </c>
      <c r="BF519" s="60">
        <f t="shared" ref="BF519" si="6362">BF518+BA519</f>
        <v>1561.7680000000003</v>
      </c>
      <c r="BG519" s="60">
        <f t="shared" ref="BG519" si="6363">BG518+BB519</f>
        <v>7651.8830000000016</v>
      </c>
      <c r="BH519" s="60">
        <f t="shared" ref="BH519" si="6364">BH518+BC519</f>
        <v>196.90900000000002</v>
      </c>
      <c r="BI519" s="60">
        <f t="shared" ref="BI519" si="6365">BI518+BD519</f>
        <v>21815.696</v>
      </c>
      <c r="BJ519" s="1">
        <v>40</v>
      </c>
    </row>
    <row r="520" spans="1:62" x14ac:dyDescent="0.3">
      <c r="A520" s="48">
        <f t="shared" si="5522"/>
        <v>41195</v>
      </c>
      <c r="B520" s="64">
        <v>111604</v>
      </c>
      <c r="C520" s="64">
        <v>23450</v>
      </c>
      <c r="D520" s="64">
        <v>1400</v>
      </c>
      <c r="E520" s="53">
        <f t="shared" ref="E520:E522" si="6366">SUM(B520:D520)</f>
        <v>136454</v>
      </c>
      <c r="F520" s="53">
        <f t="shared" ref="F520" si="6367">AVERAGE(E517,E518,E519,E520)</f>
        <v>147581.5</v>
      </c>
      <c r="G520" s="53">
        <f t="shared" ref="G520" si="6368">AVERAGE(F468,F416,F364)</f>
        <v>311638.75</v>
      </c>
      <c r="H520" s="59">
        <f t="shared" ref="H520" si="6369">((E520/E468)-1)*100</f>
        <v>-56.493848101185108</v>
      </c>
      <c r="I520" s="59">
        <f t="shared" ref="I520" si="6370">((F520/F468)-1)*100</f>
        <v>-49.3488486229637</v>
      </c>
      <c r="J520" s="59">
        <f t="shared" ref="J520" si="6371">((F520/G520)-1)*100</f>
        <v>-52.643405224799558</v>
      </c>
      <c r="L520" s="53">
        <v>6100</v>
      </c>
      <c r="M520" s="53">
        <v>7000</v>
      </c>
      <c r="N520" s="53">
        <v>23800</v>
      </c>
      <c r="O520" s="53">
        <f t="shared" ref="O520" si="6372">SUM(L520:N520)</f>
        <v>36900</v>
      </c>
      <c r="P520" s="53">
        <f t="shared" ref="P520" si="6373">AVERAGE(O517,O518,O519,O520)</f>
        <v>37138</v>
      </c>
      <c r="Q520" s="53">
        <f t="shared" ref="Q520" si="6374">AVERAGE(P468,P416,P364)</f>
        <v>24745.666666666668</v>
      </c>
      <c r="R520" s="59">
        <f t="shared" ref="R520" si="6375">((O520/O468)-1)*100</f>
        <v>12.60986328125</v>
      </c>
      <c r="S520" s="59">
        <f t="shared" ref="S520" si="6376">((P520/P468)-1)*100</f>
        <v>99.827818132902863</v>
      </c>
      <c r="T520" s="59">
        <f t="shared" ref="T520" si="6377">((P520/Q520)-1)*100</f>
        <v>50.07880167571426</v>
      </c>
      <c r="V520" s="64">
        <v>327555</v>
      </c>
      <c r="W520" s="64">
        <v>44886</v>
      </c>
      <c r="X520" s="64">
        <v>23800</v>
      </c>
      <c r="Y520" s="64">
        <f t="shared" ref="Y520" si="6378">SUM(V520:X520)</f>
        <v>396241</v>
      </c>
      <c r="Z520" s="53">
        <f t="shared" ref="Z520" si="6379">AVERAGE(Y517,Y518,Y519,Y520)</f>
        <v>184560.75</v>
      </c>
      <c r="AA520" s="53">
        <f t="shared" ref="AA520" si="6380">AVERAGE(Z468,Z416,Z364)</f>
        <v>155640</v>
      </c>
      <c r="AB520" s="59">
        <f t="shared" ref="AB520" si="6381">((Y520/Y468)-1)*100</f>
        <v>66.417891642167163</v>
      </c>
      <c r="AC520" s="59">
        <f t="shared" ref="AC520" si="6382">((Z520/Z468)-1)*100</f>
        <v>94.913070454515449</v>
      </c>
      <c r="AD520" s="59">
        <f t="shared" ref="AD520" si="6383">((Z520/AA520)-1)*100</f>
        <v>18.581823438704692</v>
      </c>
      <c r="AF520" s="53">
        <v>1600</v>
      </c>
      <c r="AG520" s="53">
        <v>5250</v>
      </c>
      <c r="AH520" s="53">
        <v>0</v>
      </c>
      <c r="AI520" s="53">
        <f t="shared" si="6342"/>
        <v>6850</v>
      </c>
      <c r="AJ520" s="53">
        <f t="shared" ref="AJ520" si="6384">AVERAGE(AI517,AI518,AI519,AI520)</f>
        <v>2150</v>
      </c>
      <c r="AK520" s="53">
        <f t="shared" ref="AK520" si="6385">AVERAGE(AJ468,AJ416,AJ364)</f>
        <v>8177.583333333333</v>
      </c>
      <c r="AL520" s="59">
        <f t="shared" ref="AL520" si="6386">((AI520/AI468)-1)*100</f>
        <v>-13.291139240506332</v>
      </c>
      <c r="AM520" s="59">
        <f t="shared" ref="AM520" si="6387">((AJ520/AJ468)-1)*100</f>
        <v>-43.421052631578952</v>
      </c>
      <c r="AN520" s="59">
        <f t="shared" ref="AN520" si="6388">((AJ520/AK520)-1)*100</f>
        <v>-73.708613995577338</v>
      </c>
      <c r="AP520" s="60">
        <f t="shared" ref="AP520:AP523" si="6389">SUM(B520,L520,V520,AF520)</f>
        <v>446859</v>
      </c>
      <c r="AQ520" s="60">
        <f t="shared" ref="AQ520:AQ523" si="6390">SUM(C520,M520,W520,AG520)</f>
        <v>80586</v>
      </c>
      <c r="AR520" s="60">
        <f t="shared" ref="AR520:AR523" si="6391">SUM(D520,N520,X520,AH520)</f>
        <v>49000</v>
      </c>
      <c r="AS520" s="60">
        <f t="shared" si="6350"/>
        <v>576445</v>
      </c>
      <c r="AT520" s="60">
        <f t="shared" ref="AT520" si="6392">AVERAGE(AS517,AS518,AS519,AS520)</f>
        <v>371430.25</v>
      </c>
      <c r="AU520" s="53">
        <f t="shared" ref="AU520" si="6393">AVERAGE(AT468,AT416,AT364)</f>
        <v>500202</v>
      </c>
      <c r="AV520" s="59">
        <f t="shared" ref="AV520" si="6394">((AS520/AS468)-1)*100</f>
        <v>-2.6950883761442612</v>
      </c>
      <c r="AW520" s="59">
        <f t="shared" ref="AW520" si="6395">((AT520/AT468)-1)*100</f>
        <v>-9.0617461832119499</v>
      </c>
      <c r="AX520" s="59">
        <f t="shared" ref="AX520" si="6396">((AT520/AU520)-1)*100</f>
        <v>-25.743949444424452</v>
      </c>
      <c r="AZ520" s="53">
        <f t="shared" ref="AZ520" si="6397">+E520/1000</f>
        <v>136.45400000000001</v>
      </c>
      <c r="BA520" s="53">
        <f t="shared" ref="BA520" si="6398">+O520/1000</f>
        <v>36.9</v>
      </c>
      <c r="BB520" s="53">
        <f t="shared" ref="BB520" si="6399">+Y520/1000</f>
        <v>396.24099999999999</v>
      </c>
      <c r="BC520" s="53">
        <f t="shared" ref="BC520" si="6400">+AI520/1000</f>
        <v>6.85</v>
      </c>
      <c r="BD520" s="53">
        <f t="shared" ref="BD520" si="6401">+AS520/1000</f>
        <v>576.44500000000005</v>
      </c>
      <c r="BE520" s="60">
        <f t="shared" ref="BE520" si="6402">BE519+AZ520</f>
        <v>12541.589999999998</v>
      </c>
      <c r="BF520" s="60">
        <f t="shared" ref="BF520" si="6403">BF519+BA520</f>
        <v>1598.6680000000003</v>
      </c>
      <c r="BG520" s="60">
        <f t="shared" ref="BG520" si="6404">BG519+BB520</f>
        <v>8048.1240000000016</v>
      </c>
      <c r="BH520" s="60">
        <f t="shared" ref="BH520" si="6405">BH519+BC520</f>
        <v>203.75900000000001</v>
      </c>
      <c r="BI520" s="60">
        <f t="shared" ref="BI520" si="6406">BI519+BD520</f>
        <v>22392.141</v>
      </c>
      <c r="BJ520" s="1">
        <v>41</v>
      </c>
    </row>
    <row r="521" spans="1:62" x14ac:dyDescent="0.3">
      <c r="A521" s="48">
        <f t="shared" si="5522"/>
        <v>41202</v>
      </c>
      <c r="B521" s="64">
        <v>153700</v>
      </c>
      <c r="C521" s="64">
        <v>25350</v>
      </c>
      <c r="D521" s="53">
        <v>0</v>
      </c>
      <c r="E521" s="53">
        <f t="shared" si="6366"/>
        <v>179050</v>
      </c>
      <c r="F521" s="53">
        <f t="shared" ref="F521" si="6407">AVERAGE(E518,E519,E520,E521)</f>
        <v>169985</v>
      </c>
      <c r="G521" s="53">
        <f t="shared" ref="G521" si="6408">AVERAGE(F469,F417,F365)</f>
        <v>300473.75</v>
      </c>
      <c r="H521" s="59">
        <f t="shared" ref="H521" si="6409">((E521/E469)-1)*100</f>
        <v>-37.604979056460444</v>
      </c>
      <c r="I521" s="59">
        <f t="shared" ref="I521" si="6410">((F521/F469)-1)*100</f>
        <v>-43.088301270247285</v>
      </c>
      <c r="J521" s="59">
        <f t="shared" ref="J521" si="6411">((F521/G521)-1)*100</f>
        <v>-43.427670470382182</v>
      </c>
      <c r="L521" s="53">
        <v>10600</v>
      </c>
      <c r="M521" s="53">
        <v>0</v>
      </c>
      <c r="N521" s="53">
        <v>21400</v>
      </c>
      <c r="O521" s="53">
        <f t="shared" ref="O521:O522" si="6412">SUM(L521:N521)</f>
        <v>32000</v>
      </c>
      <c r="P521" s="53">
        <f t="shared" ref="P521" si="6413">AVERAGE(O518,O519,O520,O521)</f>
        <v>36509</v>
      </c>
      <c r="Q521" s="53">
        <f t="shared" ref="Q521" si="6414">AVERAGE(P469,P417,P365)</f>
        <v>21549.5</v>
      </c>
      <c r="R521" s="59">
        <f t="shared" ref="R521" si="6415">((O521/O469)-1)*100</f>
        <v>153.96825396825395</v>
      </c>
      <c r="S521" s="59">
        <f t="shared" ref="S521" si="6416">((P521/P469)-1)*100</f>
        <v>90.717233453481683</v>
      </c>
      <c r="T521" s="59">
        <f t="shared" ref="T521" si="6417">((P521/Q521)-1)*100</f>
        <v>69.419244065987613</v>
      </c>
      <c r="V521" s="64">
        <v>414000</v>
      </c>
      <c r="W521" s="64">
        <v>87050</v>
      </c>
      <c r="X521" s="64">
        <v>35000</v>
      </c>
      <c r="Y521" s="64">
        <f t="shared" ref="Y521:Y523" si="6418">SUM(V521:X521)</f>
        <v>536050</v>
      </c>
      <c r="Z521" s="53">
        <f t="shared" ref="Z521" si="6419">AVERAGE(Y518,Y519,Y520,Y521)</f>
        <v>302873.25</v>
      </c>
      <c r="AA521" s="53">
        <f t="shared" ref="AA521" si="6420">AVERAGE(Z469,Z417,Z365)</f>
        <v>236692.83333333334</v>
      </c>
      <c r="AB521" s="59">
        <f t="shared" ref="AB521" si="6421">((Y521/Y469)-1)*100</f>
        <v>48.145998634751933</v>
      </c>
      <c r="AC521" s="59">
        <f t="shared" ref="AC521" si="6422">((Z521/Z469)-1)*100</f>
        <v>68.721276133495991</v>
      </c>
      <c r="AD521" s="59">
        <f t="shared" ref="AD521" si="6423">((Z521/AA521)-1)*100</f>
        <v>27.960464934510764</v>
      </c>
      <c r="AF521" s="53">
        <v>0</v>
      </c>
      <c r="AG521" s="53">
        <v>8700</v>
      </c>
      <c r="AH521" s="53">
        <v>0</v>
      </c>
      <c r="AI521" s="53">
        <f t="shared" si="6342"/>
        <v>8700</v>
      </c>
      <c r="AJ521" s="53">
        <f t="shared" ref="AJ521" si="6424">AVERAGE(AI518,AI519,AI520,AI521)</f>
        <v>4325</v>
      </c>
      <c r="AK521" s="53">
        <f t="shared" ref="AK521" si="6425">AVERAGE(AJ469,AJ417,AJ365)</f>
        <v>10818.916666666666</v>
      </c>
      <c r="AL521" s="59">
        <f t="shared" ref="AL521" si="6426">((AI521/AI469)-1)*100</f>
        <v>-56.964780371982584</v>
      </c>
      <c r="AM521" s="59">
        <f t="shared" ref="AM521" si="6427">((AJ521/AJ469)-1)*100</f>
        <v>-46.795423791364257</v>
      </c>
      <c r="AN521" s="59">
        <f t="shared" ref="AN521" si="6428">((AJ521/AK521)-1)*100</f>
        <v>-60.023723878700117</v>
      </c>
      <c r="AP521" s="60">
        <f t="shared" si="6389"/>
        <v>578300</v>
      </c>
      <c r="AQ521" s="60">
        <f t="shared" si="6390"/>
        <v>121100</v>
      </c>
      <c r="AR521" s="60">
        <f t="shared" si="6391"/>
        <v>56400</v>
      </c>
      <c r="AS521" s="60">
        <f t="shared" si="6350"/>
        <v>755800</v>
      </c>
      <c r="AT521" s="60">
        <f t="shared" ref="AT521" si="6429">AVERAGE(AS518,AS519,AS520,AS521)</f>
        <v>513692.25</v>
      </c>
      <c r="AU521" s="53">
        <f t="shared" ref="AU521" si="6430">AVERAGE(AT469,AT417,AT365)</f>
        <v>569535</v>
      </c>
      <c r="AV521" s="59">
        <f t="shared" ref="AV521" si="6431">((AS521/AS469)-1)*100</f>
        <v>10.883384657366225</v>
      </c>
      <c r="AW521" s="59">
        <f t="shared" ref="AW521" si="6432">((AT521/AT469)-1)*100</f>
        <v>1.6276596797008658</v>
      </c>
      <c r="AX521" s="59">
        <f t="shared" ref="AX521" si="6433">((AT521/AU521)-1)*100</f>
        <v>-9.8049724775474694</v>
      </c>
      <c r="AZ521" s="53">
        <f t="shared" ref="AZ521:AZ523" si="6434">+E521/1000</f>
        <v>179.05</v>
      </c>
      <c r="BA521" s="53">
        <f t="shared" ref="BA521:BA523" si="6435">+O521/1000</f>
        <v>32</v>
      </c>
      <c r="BB521" s="53">
        <f t="shared" ref="BB521:BB523" si="6436">+Y521/1000</f>
        <v>536.04999999999995</v>
      </c>
      <c r="BC521" s="53">
        <f t="shared" ref="BC521:BC523" si="6437">+AI521/1000</f>
        <v>8.6999999999999993</v>
      </c>
      <c r="BD521" s="53">
        <f t="shared" ref="BD521:BD523" si="6438">+AS521/1000</f>
        <v>755.8</v>
      </c>
      <c r="BE521" s="60">
        <f t="shared" ref="BE521" si="6439">BE520+AZ521</f>
        <v>12720.639999999998</v>
      </c>
      <c r="BF521" s="60">
        <f t="shared" ref="BF521" si="6440">BF520+BA521</f>
        <v>1630.6680000000003</v>
      </c>
      <c r="BG521" s="60">
        <f t="shared" ref="BG521" si="6441">BG520+BB521</f>
        <v>8584.1740000000009</v>
      </c>
      <c r="BH521" s="60">
        <f t="shared" ref="BH521" si="6442">BH520+BC521</f>
        <v>212.459</v>
      </c>
      <c r="BI521" s="60">
        <f t="shared" ref="BI521" si="6443">BI520+BD521</f>
        <v>23147.940999999999</v>
      </c>
      <c r="BJ521" s="1">
        <v>42</v>
      </c>
    </row>
    <row r="522" spans="1:62" x14ac:dyDescent="0.3">
      <c r="A522" s="48">
        <f t="shared" si="5522"/>
        <v>41209</v>
      </c>
      <c r="B522" s="64">
        <v>115300</v>
      </c>
      <c r="C522" s="64">
        <v>29650</v>
      </c>
      <c r="D522" s="53">
        <v>2800</v>
      </c>
      <c r="E522" s="53">
        <f t="shared" si="6366"/>
        <v>147750</v>
      </c>
      <c r="F522" s="53">
        <f t="shared" ref="F522" si="6444">AVERAGE(E519,E520,E521,E522)</f>
        <v>146326</v>
      </c>
      <c r="G522" s="53">
        <f t="shared" ref="G522" si="6445">AVERAGE(F470,F418,F366)</f>
        <v>298111</v>
      </c>
      <c r="H522" s="59">
        <f t="shared" ref="H522" si="6446">((E522/E470)-1)*100</f>
        <v>-54.070118065442699</v>
      </c>
      <c r="I522" s="59">
        <f t="shared" ref="I522" si="6447">((F522/F470)-1)*100</f>
        <v>-52.292557999642987</v>
      </c>
      <c r="J522" s="59">
        <f t="shared" ref="J522" si="6448">((F522/G522)-1)*100</f>
        <v>-50.915598552217119</v>
      </c>
      <c r="L522" s="53">
        <v>1600</v>
      </c>
      <c r="M522" s="53">
        <v>3000</v>
      </c>
      <c r="N522" s="53">
        <v>14000</v>
      </c>
      <c r="O522" s="53">
        <f t="shared" si="6412"/>
        <v>18600</v>
      </c>
      <c r="P522" s="53">
        <f t="shared" ref="P522" si="6449">AVERAGE(O519,O520,O521,O522)</f>
        <v>24725</v>
      </c>
      <c r="Q522" s="53">
        <f t="shared" ref="Q522" si="6450">AVERAGE(P470,P418,P366)</f>
        <v>20185.833333333332</v>
      </c>
      <c r="R522" s="59">
        <f t="shared" ref="R522" si="6451">((O522/O470)-1)*100</f>
        <v>121.42857142857144</v>
      </c>
      <c r="S522" s="59">
        <f t="shared" ref="S522" si="6452">((P522/P470)-1)*100</f>
        <v>46.47077989396049</v>
      </c>
      <c r="T522" s="59">
        <f t="shared" ref="T522" si="6453">((P522/Q522)-1)*100</f>
        <v>22.486892622713949</v>
      </c>
      <c r="V522" s="64">
        <v>147200</v>
      </c>
      <c r="W522" s="64">
        <v>164950</v>
      </c>
      <c r="X522" s="64">
        <v>36400</v>
      </c>
      <c r="Y522" s="64">
        <f t="shared" si="6418"/>
        <v>348550</v>
      </c>
      <c r="Z522" s="53">
        <f t="shared" ref="Z522" si="6454">AVERAGE(Y519,Y520,Y521,Y522)</f>
        <v>352022.75</v>
      </c>
      <c r="AA522" s="53">
        <f t="shared" ref="AA522" si="6455">AVERAGE(Z470,Z418,Z366)</f>
        <v>320916.16666666669</v>
      </c>
      <c r="AB522" s="59">
        <f t="shared" ref="AB522" si="6456">((Y522/Y470)-1)*100</f>
        <v>6.5719632111931992</v>
      </c>
      <c r="AC522" s="59">
        <f t="shared" ref="AC522" si="6457">((Z522/Z470)-1)*100</f>
        <v>37.539242059282607</v>
      </c>
      <c r="AD522" s="59">
        <f t="shared" ref="AD522" si="6458">((Z522/AA522)-1)*100</f>
        <v>9.6930558707699852</v>
      </c>
      <c r="AF522" s="53">
        <v>0</v>
      </c>
      <c r="AG522" s="53">
        <v>1750</v>
      </c>
      <c r="AH522" s="53">
        <v>0</v>
      </c>
      <c r="AI522" s="53">
        <f t="shared" si="6342"/>
        <v>1750</v>
      </c>
      <c r="AJ522" s="53">
        <f t="shared" ref="AJ522" si="6459">AVERAGE(AI519,AI520,AI521,AI522)</f>
        <v>4762.5</v>
      </c>
      <c r="AK522" s="53">
        <f t="shared" ref="AK522" si="6460">AVERAGE(AJ470,AJ418,AJ366)</f>
        <v>10468.916666666666</v>
      </c>
      <c r="AL522" s="59">
        <f t="shared" ref="AL522" si="6461">((AI522/AI470)-1)*100</f>
        <v>-92.521367521367523</v>
      </c>
      <c r="AM522" s="59">
        <f t="shared" ref="AM522" si="6462">((AJ522/AJ470)-1)*100</f>
        <v>-63.021197297926854</v>
      </c>
      <c r="AN522" s="59">
        <f t="shared" ref="AN522" si="6463">((AJ522/AK522)-1)*100</f>
        <v>-54.508186934337367</v>
      </c>
      <c r="AP522" s="60">
        <f t="shared" si="6389"/>
        <v>264100</v>
      </c>
      <c r="AQ522" s="60">
        <f t="shared" si="6390"/>
        <v>199350</v>
      </c>
      <c r="AR522" s="60">
        <f t="shared" si="6391"/>
        <v>53200</v>
      </c>
      <c r="AS522" s="60">
        <f t="shared" si="6350"/>
        <v>516650</v>
      </c>
      <c r="AT522" s="60">
        <f t="shared" ref="AT522" si="6464">AVERAGE(AS519,AS520,AS521,AS522)</f>
        <v>527836.25</v>
      </c>
      <c r="AU522" s="53">
        <f t="shared" ref="AU522" si="6465">AVERAGE(AT470,AT418,AT366)</f>
        <v>649681.91666666663</v>
      </c>
      <c r="AV522" s="59">
        <f t="shared" ref="AV522" si="6466">((AS522/AS470)-1)*100</f>
        <v>-24.082569481383953</v>
      </c>
      <c r="AW522" s="59">
        <f t="shared" ref="AW522" si="6467">((AT522/AT470)-1)*100</f>
        <v>-10.901419731752016</v>
      </c>
      <c r="AX522" s="59">
        <f t="shared" ref="AX522" si="6468">((AT522/AU522)-1)*100</f>
        <v>-18.754664943088173</v>
      </c>
      <c r="AZ522" s="53">
        <f t="shared" si="6434"/>
        <v>147.75</v>
      </c>
      <c r="BA522" s="53">
        <f t="shared" si="6435"/>
        <v>18.600000000000001</v>
      </c>
      <c r="BB522" s="53">
        <f t="shared" si="6436"/>
        <v>348.55</v>
      </c>
      <c r="BC522" s="53">
        <f t="shared" si="6437"/>
        <v>1.75</v>
      </c>
      <c r="BD522" s="53">
        <f t="shared" si="6438"/>
        <v>516.65</v>
      </c>
      <c r="BE522" s="60">
        <f t="shared" ref="BE522" si="6469">BE521+AZ522</f>
        <v>12868.389999999998</v>
      </c>
      <c r="BF522" s="60">
        <f t="shared" ref="BF522" si="6470">BF521+BA522</f>
        <v>1649.2680000000003</v>
      </c>
      <c r="BG522" s="60">
        <f t="shared" ref="BG522" si="6471">BG521+BB522</f>
        <v>8932.7240000000002</v>
      </c>
      <c r="BH522" s="60">
        <f t="shared" ref="BH522" si="6472">BH521+BC522</f>
        <v>214.209</v>
      </c>
      <c r="BI522" s="60">
        <f t="shared" ref="BI522" si="6473">BI521+BD522</f>
        <v>23664.591</v>
      </c>
      <c r="BJ522" s="1">
        <v>43</v>
      </c>
    </row>
    <row r="523" spans="1:62" x14ac:dyDescent="0.3">
      <c r="A523" s="48">
        <f t="shared" si="5522"/>
        <v>41216</v>
      </c>
      <c r="B523" s="64">
        <v>217100</v>
      </c>
      <c r="C523" s="64">
        <v>32652</v>
      </c>
      <c r="D523" s="53">
        <v>0</v>
      </c>
      <c r="E523" s="53">
        <f t="shared" ref="E523:E524" si="6474">SUM(B523:D523)</f>
        <v>249752</v>
      </c>
      <c r="F523" s="53">
        <f t="shared" ref="F523" si="6475">AVERAGE(E520,E521,E522,E523)</f>
        <v>178251.5</v>
      </c>
      <c r="G523" s="53">
        <f t="shared" ref="G523" si="6476">AVERAGE(F471,F419,F367)</f>
        <v>299785.83333333331</v>
      </c>
      <c r="H523" s="59">
        <f t="shared" ref="H523" si="6477">((E523/E471)-1)*100</f>
        <v>-37.575733338665493</v>
      </c>
      <c r="I523" s="59">
        <f t="shared" ref="I523" si="6478">((F523/F471)-1)*100</f>
        <v>-46.081569655900466</v>
      </c>
      <c r="J523" s="59">
        <f t="shared" ref="J523" si="6479">((F523/G523)-1)*100</f>
        <v>-40.540385775400765</v>
      </c>
      <c r="L523" s="53">
        <v>4500</v>
      </c>
      <c r="M523" s="53">
        <v>1750</v>
      </c>
      <c r="N523" s="53">
        <v>4200</v>
      </c>
      <c r="O523" s="53">
        <f t="shared" ref="O523:O524" si="6480">SUM(L523:N523)</f>
        <v>10450</v>
      </c>
      <c r="P523" s="53">
        <f t="shared" ref="P523" si="6481">AVERAGE(O520,O521,O522,O523)</f>
        <v>24487.5</v>
      </c>
      <c r="Q523" s="53">
        <f t="shared" ref="Q523" si="6482">AVERAGE(P471,P419,P367)</f>
        <v>17256.416666666668</v>
      </c>
      <c r="R523" s="59">
        <f t="shared" ref="R523" si="6483">((O523/O471)-1)*100</f>
        <v>19.428571428571438</v>
      </c>
      <c r="S523" s="59">
        <f t="shared" ref="S523" si="6484">((P523/P471)-1)*100</f>
        <v>56.67487763524106</v>
      </c>
      <c r="T523" s="59">
        <f t="shared" ref="T523" si="6485">((P523/Q523)-1)*100</f>
        <v>41.903736291331242</v>
      </c>
      <c r="V523" s="64">
        <v>261500</v>
      </c>
      <c r="W523" s="64">
        <v>218000</v>
      </c>
      <c r="X523" s="64">
        <v>44800</v>
      </c>
      <c r="Y523" s="64">
        <f t="shared" si="6418"/>
        <v>524300</v>
      </c>
      <c r="Z523" s="53">
        <f t="shared" ref="Z523" si="6486">AVERAGE(Y520,Y521,Y522,Y523)</f>
        <v>451285.25</v>
      </c>
      <c r="AA523" s="53">
        <f t="shared" ref="AA523" si="6487">AVERAGE(Z471,Z419,Z367)</f>
        <v>358764.58333333331</v>
      </c>
      <c r="AB523" s="59">
        <f t="shared" ref="AB523" si="6488">((Y523/Y471)-1)*100</f>
        <v>79.782601241298906</v>
      </c>
      <c r="AC523" s="59">
        <f t="shared" ref="AC523" si="6489">((Z523/Z471)-1)*100</f>
        <v>48.129326084726642</v>
      </c>
      <c r="AD523" s="59">
        <f t="shared" ref="AD523" si="6490">((Z523/AA523)-1)*100</f>
        <v>25.788684548247165</v>
      </c>
      <c r="AF523" s="53">
        <v>0</v>
      </c>
      <c r="AG523" s="53">
        <v>1750</v>
      </c>
      <c r="AH523" s="53">
        <v>0</v>
      </c>
      <c r="AI523" s="53">
        <f t="shared" si="6342"/>
        <v>1750</v>
      </c>
      <c r="AJ523" s="53">
        <f t="shared" ref="AJ523" si="6491">AVERAGE(AI520,AI521,AI522,AI523)</f>
        <v>4762.5</v>
      </c>
      <c r="AK523" s="53">
        <f t="shared" ref="AK523" si="6492">AVERAGE(AJ471,AJ419,AJ367)</f>
        <v>9726.3333333333339</v>
      </c>
      <c r="AL523" s="59">
        <f t="shared" ref="AL523" si="6493">((AI523/AI471)-1)*100</f>
        <v>9.375</v>
      </c>
      <c r="AM523" s="59">
        <f t="shared" ref="AM523" si="6494">((AJ523/AJ471)-1)*100</f>
        <v>-64.135100534678813</v>
      </c>
      <c r="AN523" s="59">
        <f t="shared" ref="AN523" si="6495">((AJ523/AK523)-1)*100</f>
        <v>-51.034990918126056</v>
      </c>
      <c r="AP523" s="60">
        <f t="shared" si="6389"/>
        <v>483100</v>
      </c>
      <c r="AQ523" s="60">
        <f t="shared" si="6390"/>
        <v>254152</v>
      </c>
      <c r="AR523" s="60">
        <f t="shared" si="6391"/>
        <v>49000</v>
      </c>
      <c r="AS523" s="60">
        <f t="shared" ref="AS523" si="6496">SUM(E523,O523,Y523,AI523)</f>
        <v>786252</v>
      </c>
      <c r="AT523" s="60">
        <f t="shared" ref="AT523" si="6497">AVERAGE(AS520,AS521,AS522,AS523)</f>
        <v>658786.75</v>
      </c>
      <c r="AU523" s="53">
        <f t="shared" ref="AU523" si="6498">AVERAGE(AT471,AT419,AT367)</f>
        <v>685533.16666666663</v>
      </c>
      <c r="AV523" s="59">
        <f t="shared" ref="AV523" si="6499">((AS523/AS471)-1)*100</f>
        <v>11.990861284092148</v>
      </c>
      <c r="AW523" s="59">
        <f t="shared" ref="AW523" si="6500">((AT523/AT471)-1)*100</f>
        <v>-0.80895477667638493</v>
      </c>
      <c r="AX523" s="59">
        <f t="shared" ref="AX523" si="6501">((AT523/AU523)-1)*100</f>
        <v>-3.9015496211099898</v>
      </c>
      <c r="AZ523" s="53">
        <f t="shared" si="6434"/>
        <v>249.75200000000001</v>
      </c>
      <c r="BA523" s="53">
        <f t="shared" si="6435"/>
        <v>10.45</v>
      </c>
      <c r="BB523" s="53">
        <f t="shared" si="6436"/>
        <v>524.29999999999995</v>
      </c>
      <c r="BC523" s="53">
        <f t="shared" si="6437"/>
        <v>1.75</v>
      </c>
      <c r="BD523" s="53">
        <f t="shared" si="6438"/>
        <v>786.25199999999995</v>
      </c>
      <c r="BE523" s="60">
        <f t="shared" ref="BE523" si="6502">BE522+AZ523</f>
        <v>13118.141999999998</v>
      </c>
      <c r="BF523" s="60">
        <f t="shared" ref="BF523" si="6503">BF522+BA523</f>
        <v>1659.7180000000003</v>
      </c>
      <c r="BG523" s="60">
        <f t="shared" ref="BG523" si="6504">BG522+BB523</f>
        <v>9457.0239999999994</v>
      </c>
      <c r="BH523" s="60">
        <f t="shared" ref="BH523" si="6505">BH522+BC523</f>
        <v>215.959</v>
      </c>
      <c r="BI523" s="60">
        <f t="shared" ref="BI523" si="6506">BI522+BD523</f>
        <v>24450.843000000001</v>
      </c>
      <c r="BJ523" s="1">
        <v>44</v>
      </c>
    </row>
    <row r="524" spans="1:62" x14ac:dyDescent="0.3">
      <c r="A524" s="48">
        <f t="shared" si="5522"/>
        <v>41223</v>
      </c>
      <c r="B524" s="64">
        <v>212348</v>
      </c>
      <c r="C524" s="64">
        <v>21630</v>
      </c>
      <c r="D524" s="53">
        <v>0</v>
      </c>
      <c r="E524" s="53">
        <f t="shared" si="6474"/>
        <v>233978</v>
      </c>
      <c r="F524" s="53">
        <f t="shared" ref="F524" si="6507">AVERAGE(E521,E522,E523,E524)</f>
        <v>202632.5</v>
      </c>
      <c r="G524" s="53">
        <f t="shared" ref="G524" si="6508">AVERAGE(F472,F420,F368)</f>
        <v>329915.66666666669</v>
      </c>
      <c r="H524" s="59">
        <f t="shared" ref="H524" si="6509">((E524/E472)-1)*100</f>
        <v>-33.484003388654827</v>
      </c>
      <c r="I524" s="59">
        <f t="shared" ref="I524" si="6510">((F524/F472)-1)*100</f>
        <v>-40.424021204000304</v>
      </c>
      <c r="J524" s="59">
        <f t="shared" ref="J524" si="6511">((F524/G524)-1)*100</f>
        <v>-38.580516030864452</v>
      </c>
      <c r="L524" s="53">
        <v>0</v>
      </c>
      <c r="M524" s="53">
        <v>0</v>
      </c>
      <c r="N524" s="53">
        <v>9800</v>
      </c>
      <c r="O524" s="53">
        <f t="shared" si="6480"/>
        <v>9800</v>
      </c>
      <c r="P524" s="53">
        <f t="shared" ref="P524" si="6512">AVERAGE(O521,O522,O523,O524)</f>
        <v>17712.5</v>
      </c>
      <c r="Q524" s="53">
        <f t="shared" ref="Q524" si="6513">AVERAGE(P472,P420,P368)</f>
        <v>17703</v>
      </c>
      <c r="R524" s="59">
        <f t="shared" ref="R524" si="6514">((O524/O472)-1)*100</f>
        <v>-61.71875</v>
      </c>
      <c r="S524" s="59">
        <f t="shared" ref="S524" si="6515">((P524/P472)-1)*100</f>
        <v>28.003613369467018</v>
      </c>
      <c r="T524" s="59">
        <f t="shared" ref="T524" si="6516">((P524/Q524)-1)*100</f>
        <v>5.3663220923017008E-2</v>
      </c>
      <c r="V524" s="64">
        <v>201670</v>
      </c>
      <c r="W524" s="64">
        <v>168585</v>
      </c>
      <c r="X524" s="64">
        <v>37200</v>
      </c>
      <c r="Y524" s="64">
        <f t="shared" ref="Y524" si="6517">SUM(V524:X524)</f>
        <v>407455</v>
      </c>
      <c r="Z524" s="53">
        <f t="shared" ref="Z524" si="6518">AVERAGE(Y521,Y522,Y523,Y524)</f>
        <v>454088.75</v>
      </c>
      <c r="AA524" s="53">
        <f t="shared" ref="AA524" si="6519">AVERAGE(Z472,Z420,Z368)</f>
        <v>385668.58333333331</v>
      </c>
      <c r="AB524" s="59">
        <f t="shared" ref="AB524" si="6520">((Y524/Y472)-1)*100</f>
        <v>32.588478009033281</v>
      </c>
      <c r="AC524" s="59">
        <f t="shared" ref="AC524" si="6521">((Z524/Z472)-1)*100</f>
        <v>41.039637903361694</v>
      </c>
      <c r="AD524" s="59">
        <f t="shared" ref="AD524" si="6522">((Z524/AA524)-1)*100</f>
        <v>17.740663778032228</v>
      </c>
      <c r="AF524" s="53">
        <v>4800</v>
      </c>
      <c r="AG524" s="53">
        <v>3500</v>
      </c>
      <c r="AH524" s="53">
        <v>0</v>
      </c>
      <c r="AI524" s="53">
        <f t="shared" si="6342"/>
        <v>8300</v>
      </c>
      <c r="AJ524" s="53">
        <f t="shared" ref="AJ524" si="6523">AVERAGE(AI521,AI522,AI523,AI524)</f>
        <v>5125</v>
      </c>
      <c r="AK524" s="53">
        <f t="shared" ref="AK524" si="6524">AVERAGE(AJ472,AJ420,AJ368)</f>
        <v>10755.5</v>
      </c>
      <c r="AL524" s="59">
        <f t="shared" ref="AL524" si="6525">((AI524/AI472)-1)*100</f>
        <v>40.677966101694921</v>
      </c>
      <c r="AM524" s="59">
        <f t="shared" ref="AM524" si="6526">((AJ524/AJ472)-1)*100</f>
        <v>-59.895140464825104</v>
      </c>
      <c r="AN524" s="59">
        <f t="shared" ref="AN524" si="6527">((AJ524/AK524)-1)*100</f>
        <v>-52.349960485333092</v>
      </c>
      <c r="AP524" s="60">
        <f t="shared" ref="AP524:AP525" si="6528">SUM(B524,L524,V524,AF524)</f>
        <v>418818</v>
      </c>
      <c r="AQ524" s="60">
        <f t="shared" ref="AQ524:AQ525" si="6529">SUM(C524,M524,W524,AG524)</f>
        <v>193715</v>
      </c>
      <c r="AR524" s="60">
        <f t="shared" ref="AR524:AR525" si="6530">SUM(D524,N524,X524,AH524)</f>
        <v>47000</v>
      </c>
      <c r="AS524" s="60">
        <f t="shared" ref="AS524:AS525" si="6531">SUM(E524,O524,Y524,AI524)</f>
        <v>659533</v>
      </c>
      <c r="AT524" s="60">
        <f t="shared" ref="AT524" si="6532">AVERAGE(AS521,AS522,AS523,AS524)</f>
        <v>679558.75</v>
      </c>
      <c r="AU524" s="53">
        <f t="shared" ref="AU524" si="6533">AVERAGE(AT472,AT420,AT368)</f>
        <v>744042.75</v>
      </c>
      <c r="AV524" s="59">
        <f t="shared" ref="AV524" si="6534">((AS524/AS472)-1)*100</f>
        <v>-4.4944031741894435</v>
      </c>
      <c r="AW524" s="59">
        <f t="shared" ref="AW524" si="6535">((AT524/AT472)-1)*100</f>
        <v>-1.327212132146216</v>
      </c>
      <c r="AX524" s="59">
        <f t="shared" ref="AX524" si="6536">((AT524/AU524)-1)*100</f>
        <v>-8.6667063149261203</v>
      </c>
      <c r="AZ524" s="53">
        <f t="shared" ref="AZ524" si="6537">+E524/1000</f>
        <v>233.97800000000001</v>
      </c>
      <c r="BA524" s="53">
        <f t="shared" ref="BA524" si="6538">+O524/1000</f>
        <v>9.8000000000000007</v>
      </c>
      <c r="BB524" s="53">
        <f t="shared" ref="BB524" si="6539">+Y524/1000</f>
        <v>407.45499999999998</v>
      </c>
      <c r="BC524" s="53">
        <f t="shared" ref="BC524" si="6540">+AI524/1000</f>
        <v>8.3000000000000007</v>
      </c>
      <c r="BD524" s="53">
        <f t="shared" ref="BD524" si="6541">+AS524/1000</f>
        <v>659.53300000000002</v>
      </c>
      <c r="BE524" s="60">
        <f t="shared" ref="BE524" si="6542">BE523+AZ524</f>
        <v>13352.119999999997</v>
      </c>
      <c r="BF524" s="60">
        <f t="shared" ref="BF524" si="6543">BF523+BA524</f>
        <v>1669.5180000000003</v>
      </c>
      <c r="BG524" s="60">
        <f t="shared" ref="BG524" si="6544">BG523+BB524</f>
        <v>9864.4789999999994</v>
      </c>
      <c r="BH524" s="60">
        <f t="shared" ref="BH524" si="6545">BH523+BC524</f>
        <v>224.25900000000001</v>
      </c>
      <c r="BI524" s="60">
        <f t="shared" ref="BI524" si="6546">BI523+BD524</f>
        <v>25110.376</v>
      </c>
      <c r="BJ524" s="1">
        <v>45</v>
      </c>
    </row>
    <row r="525" spans="1:62" x14ac:dyDescent="0.3">
      <c r="A525" s="48">
        <f t="shared" si="5522"/>
        <v>41230</v>
      </c>
      <c r="B525" s="64">
        <v>153300</v>
      </c>
      <c r="C525" s="64">
        <v>43500</v>
      </c>
      <c r="D525" s="53">
        <v>8400</v>
      </c>
      <c r="E525" s="53">
        <f t="shared" ref="E525:E526" si="6547">SUM(B525:D525)</f>
        <v>205200</v>
      </c>
      <c r="F525" s="53">
        <f t="shared" ref="F525" si="6548">AVERAGE(E522,E523,E524,E525)</f>
        <v>209170</v>
      </c>
      <c r="G525" s="53">
        <f t="shared" ref="G525" si="6549">AVERAGE(F473,F421,F369)</f>
        <v>369808.5</v>
      </c>
      <c r="H525" s="59">
        <f t="shared" ref="H525" si="6550">((E525/E473)-1)*100</f>
        <v>-65.146082416266509</v>
      </c>
      <c r="I525" s="59">
        <f t="shared" ref="I525" si="6551">((F525/F473)-1)*100</f>
        <v>-49.66669253476703</v>
      </c>
      <c r="J525" s="59">
        <f t="shared" ref="J525" si="6552">((F525/G525)-1)*100</f>
        <v>-43.438293062490452</v>
      </c>
      <c r="L525" s="53">
        <v>6200</v>
      </c>
      <c r="M525" s="53">
        <v>1750</v>
      </c>
      <c r="N525" s="53">
        <v>7000</v>
      </c>
      <c r="O525" s="53">
        <f t="shared" ref="O525" si="6553">SUM(L525:N525)</f>
        <v>14950</v>
      </c>
      <c r="P525" s="53">
        <f t="shared" ref="P525" si="6554">AVERAGE(O522,O523,O524,O525)</f>
        <v>13450</v>
      </c>
      <c r="Q525" s="53">
        <f t="shared" ref="Q525" si="6555">AVERAGE(P473,P421,P369)</f>
        <v>17195.916666666668</v>
      </c>
      <c r="R525" s="59">
        <f t="shared" ref="R525" si="6556">((O525/O473)-1)*100</f>
        <v>-13.668649304151991</v>
      </c>
      <c r="S525" s="59">
        <f t="shared" ref="S525" si="6557">((P525/P473)-1)*100</f>
        <v>-10.43334942647377</v>
      </c>
      <c r="T525" s="59">
        <f t="shared" ref="T525" si="6558">((P525/Q525)-1)*100</f>
        <v>-21.783756802729336</v>
      </c>
      <c r="V525" s="64">
        <v>216700</v>
      </c>
      <c r="W525" s="64">
        <v>139513</v>
      </c>
      <c r="X525" s="64">
        <v>57400</v>
      </c>
      <c r="Y525" s="64">
        <f t="shared" ref="Y525" si="6559">SUM(V525:X525)</f>
        <v>413613</v>
      </c>
      <c r="Z525" s="53">
        <f t="shared" ref="Z525" si="6560">AVERAGE(Y522,Y523,Y524,Y525)</f>
        <v>423479.5</v>
      </c>
      <c r="AA525" s="53">
        <f t="shared" ref="AA525" si="6561">AVERAGE(Z473,Z421,Z369)</f>
        <v>382490.75</v>
      </c>
      <c r="AB525" s="59">
        <f t="shared" ref="AB525" si="6562">((Y525/Y473)-1)*100</f>
        <v>51.122973550657115</v>
      </c>
      <c r="AC525" s="59">
        <f t="shared" ref="AC525" si="6563">((Z525/Z473)-1)*100</f>
        <v>41.196662129372072</v>
      </c>
      <c r="AD525" s="59">
        <f t="shared" ref="AD525" si="6564">((Z525/AA525)-1)*100</f>
        <v>10.716272223576651</v>
      </c>
      <c r="AF525" s="53">
        <v>0</v>
      </c>
      <c r="AG525" s="53">
        <v>0</v>
      </c>
      <c r="AH525" s="53">
        <v>0</v>
      </c>
      <c r="AI525" s="53">
        <f t="shared" si="6342"/>
        <v>0</v>
      </c>
      <c r="AJ525" s="53">
        <f t="shared" ref="AJ525" si="6565">AVERAGE(AI522,AI523,AI524,AI525)</f>
        <v>2950</v>
      </c>
      <c r="AK525" s="53">
        <f t="shared" ref="AK525" si="6566">AVERAGE(AJ473,AJ421,AJ369)</f>
        <v>11424.166666666666</v>
      </c>
      <c r="AL525" s="59">
        <f t="shared" ref="AL525" si="6567">((AI525/AI473)-1)*100</f>
        <v>-100</v>
      </c>
      <c r="AM525" s="59">
        <f t="shared" ref="AM525" si="6568">((AJ525/AJ473)-1)*100</f>
        <v>-67.969598262757884</v>
      </c>
      <c r="AN525" s="59">
        <f t="shared" ref="AN525" si="6569">((AJ525/AK525)-1)*100</f>
        <v>-74.177547596469466</v>
      </c>
      <c r="AP525" s="60">
        <f t="shared" si="6528"/>
        <v>376200</v>
      </c>
      <c r="AQ525" s="60">
        <f t="shared" si="6529"/>
        <v>184763</v>
      </c>
      <c r="AR525" s="60">
        <f t="shared" si="6530"/>
        <v>72800</v>
      </c>
      <c r="AS525" s="60">
        <f t="shared" si="6531"/>
        <v>633763</v>
      </c>
      <c r="AT525" s="60">
        <f t="shared" ref="AT525" si="6570">AVERAGE(AS522,AS523,AS524,AS525)</f>
        <v>649049.5</v>
      </c>
      <c r="AU525" s="53">
        <f t="shared" ref="AU525" si="6571">AVERAGE(AT473,AT421,AT369)</f>
        <v>780919.33333333337</v>
      </c>
      <c r="AV525" s="59">
        <f t="shared" ref="AV525" si="6572">((AS525/AS473)-1)*100</f>
        <v>-28.444393260418678</v>
      </c>
      <c r="AW525" s="59">
        <f t="shared" ref="AW525" si="6573">((AT525/AT473)-1)*100</f>
        <v>-12.257200630104769</v>
      </c>
      <c r="AX525" s="59">
        <f t="shared" ref="AX525" si="6574">((AT525/AU525)-1)*100</f>
        <v>-16.886485928124038</v>
      </c>
      <c r="AZ525" s="53">
        <f t="shared" ref="AZ525" si="6575">+E525/1000</f>
        <v>205.2</v>
      </c>
      <c r="BA525" s="53">
        <f t="shared" ref="BA525" si="6576">+O525/1000</f>
        <v>14.95</v>
      </c>
      <c r="BB525" s="53">
        <f t="shared" ref="BB525" si="6577">+Y525/1000</f>
        <v>413.613</v>
      </c>
      <c r="BC525" s="53">
        <f t="shared" ref="BC525" si="6578">+AI525/1000</f>
        <v>0</v>
      </c>
      <c r="BD525" s="53">
        <f t="shared" ref="BD525" si="6579">+AS525/1000</f>
        <v>633.76300000000003</v>
      </c>
      <c r="BE525" s="60">
        <f t="shared" ref="BE525" si="6580">BE524+AZ525</f>
        <v>13557.319999999998</v>
      </c>
      <c r="BF525" s="60">
        <f t="shared" ref="BF525" si="6581">BF524+BA525</f>
        <v>1684.4680000000003</v>
      </c>
      <c r="BG525" s="60">
        <f t="shared" ref="BG525" si="6582">BG524+BB525</f>
        <v>10278.091999999999</v>
      </c>
      <c r="BH525" s="60">
        <f t="shared" ref="BH525" si="6583">BH524+BC525</f>
        <v>224.25900000000001</v>
      </c>
      <c r="BI525" s="60">
        <f t="shared" ref="BI525" si="6584">BI524+BD525</f>
        <v>25744.138999999999</v>
      </c>
      <c r="BJ525" s="1">
        <v>46</v>
      </c>
    </row>
    <row r="526" spans="1:62" x14ac:dyDescent="0.3">
      <c r="A526" s="48">
        <f t="shared" si="5522"/>
        <v>41237</v>
      </c>
      <c r="B526" s="64">
        <v>281188</v>
      </c>
      <c r="C526" s="64">
        <v>25450</v>
      </c>
      <c r="D526" s="53">
        <v>0</v>
      </c>
      <c r="E526" s="53">
        <f t="shared" si="6547"/>
        <v>306638</v>
      </c>
      <c r="F526" s="53">
        <f t="shared" ref="F526" si="6585">AVERAGE(E523,E524,E525,E526)</f>
        <v>248892</v>
      </c>
      <c r="G526" s="53">
        <f t="shared" ref="G526" si="6586">AVERAGE(F474,F422,F370)</f>
        <v>432818.83333333331</v>
      </c>
      <c r="H526" s="59">
        <f t="shared" ref="H526" si="6587">((E526/E474)-1)*100</f>
        <v>-56.343253832661347</v>
      </c>
      <c r="I526" s="59">
        <f t="shared" ref="I526" si="6588">((F526/F474)-1)*100</f>
        <v>-51.268761224428857</v>
      </c>
      <c r="J526" s="59">
        <f t="shared" ref="J526" si="6589">((F526/G526)-1)*100</f>
        <v>-42.495108615498481</v>
      </c>
      <c r="L526" s="53">
        <v>3000</v>
      </c>
      <c r="M526" s="53">
        <v>7000</v>
      </c>
      <c r="N526" s="53">
        <v>5600</v>
      </c>
      <c r="O526" s="53">
        <f t="shared" ref="O526" si="6590">SUM(L526:N526)</f>
        <v>15600</v>
      </c>
      <c r="P526" s="53">
        <f t="shared" ref="P526" si="6591">AVERAGE(O523,O524,O525,O526)</f>
        <v>12700</v>
      </c>
      <c r="Q526" s="53">
        <f t="shared" ref="Q526" si="6592">AVERAGE(P474,P422,P370)</f>
        <v>17819.583333333332</v>
      </c>
      <c r="R526" s="59">
        <f t="shared" ref="R526" si="6593">((O526/O474)-1)*100</f>
        <v>-37.349397590361441</v>
      </c>
      <c r="S526" s="59">
        <f t="shared" ref="S526" si="6594">((P526/P474)-1)*100</f>
        <v>-33.652879177713636</v>
      </c>
      <c r="T526" s="59">
        <f t="shared" ref="T526" si="6595">((P526/Q526)-1)*100</f>
        <v>-28.730095634484531</v>
      </c>
      <c r="V526" s="64">
        <v>310400</v>
      </c>
      <c r="W526" s="64">
        <v>105023</v>
      </c>
      <c r="X526" s="64">
        <v>21900</v>
      </c>
      <c r="Y526" s="64">
        <f t="shared" ref="Y526" si="6596">SUM(V526:X526)</f>
        <v>437323</v>
      </c>
      <c r="Z526" s="53">
        <f t="shared" ref="Z526" si="6597">AVERAGE(Y523,Y524,Y525,Y526)</f>
        <v>445672.75</v>
      </c>
      <c r="AA526" s="53">
        <f t="shared" ref="AA526" si="6598">AVERAGE(Z474,Z422,Z370)</f>
        <v>377287.5</v>
      </c>
      <c r="AB526" s="59">
        <f t="shared" ref="AB526" si="6599">((Y526/Y474)-1)*100</f>
        <v>30.449165384018805</v>
      </c>
      <c r="AC526" s="59">
        <f t="shared" ref="AC526" si="6600">((Z526/Z474)-1)*100</f>
        <v>47.589030321846224</v>
      </c>
      <c r="AD526" s="59">
        <f t="shared" ref="AD526" si="6601">((Z526/AA526)-1)*100</f>
        <v>18.125501109896302</v>
      </c>
      <c r="AF526" s="53">
        <v>1500</v>
      </c>
      <c r="AG526" s="53">
        <v>0</v>
      </c>
      <c r="AH526" s="53">
        <v>0</v>
      </c>
      <c r="AI526" s="53">
        <f t="shared" si="6342"/>
        <v>1500</v>
      </c>
      <c r="AJ526" s="53">
        <f t="shared" ref="AJ526" si="6602">AVERAGE(AI523,AI524,AI525,AI526)</f>
        <v>2887.5</v>
      </c>
      <c r="AK526" s="53">
        <f t="shared" ref="AK526" si="6603">AVERAGE(AJ474,AJ422,AJ370)</f>
        <v>11437.5</v>
      </c>
      <c r="AL526" s="59">
        <f t="shared" ref="AL526" si="6604">((AI526/AI474)-1)*100</f>
        <v>-94.436201780415431</v>
      </c>
      <c r="AM526" s="59">
        <f t="shared" ref="AM526" si="6605">((AJ526/AJ474)-1)*100</f>
        <v>-71.410891089108915</v>
      </c>
      <c r="AN526" s="59">
        <f t="shared" ref="AN526" si="6606">((AJ526/AK526)-1)*100</f>
        <v>-74.754098360655746</v>
      </c>
      <c r="AP526" s="60">
        <f t="shared" ref="AP526" si="6607">SUM(B526,L526,V526,AF526)</f>
        <v>596088</v>
      </c>
      <c r="AQ526" s="60">
        <f t="shared" ref="AQ526" si="6608">SUM(C526,M526,W526,AG526)</f>
        <v>137473</v>
      </c>
      <c r="AR526" s="60">
        <f t="shared" ref="AR526" si="6609">SUM(D526,N526,X526,AH526)</f>
        <v>27500</v>
      </c>
      <c r="AS526" s="60">
        <f t="shared" ref="AS526" si="6610">SUM(E526,O526,Y526,AI526)</f>
        <v>761061</v>
      </c>
      <c r="AT526" s="60">
        <f t="shared" ref="AT526" si="6611">AVERAGE(AS523,AS524,AS525,AS526)</f>
        <v>710152.25</v>
      </c>
      <c r="AU526" s="53">
        <f t="shared" ref="AU526" si="6612">AVERAGE(AT474,AT422,AT370)</f>
        <v>839363.41666666663</v>
      </c>
      <c r="AV526" s="59">
        <f t="shared" ref="AV526" si="6613">((AS526/AS474)-1)*100</f>
        <v>-30.145077320723125</v>
      </c>
      <c r="AW526" s="59">
        <f t="shared" ref="AW526" si="6614">((AT526/AT474)-1)*100</f>
        <v>-15.654344844541823</v>
      </c>
      <c r="AX526" s="59">
        <f t="shared" ref="AX526" si="6615">((AT526/AU526)-1)*100</f>
        <v>-15.393947853934142</v>
      </c>
      <c r="AZ526" s="53">
        <f t="shared" ref="AZ526" si="6616">+E526/1000</f>
        <v>306.63799999999998</v>
      </c>
      <c r="BA526" s="53">
        <f t="shared" ref="BA526" si="6617">+O526/1000</f>
        <v>15.6</v>
      </c>
      <c r="BB526" s="53">
        <f t="shared" ref="BB526" si="6618">+Y526/1000</f>
        <v>437.32299999999998</v>
      </c>
      <c r="BC526" s="53">
        <f t="shared" ref="BC526" si="6619">+AI526/1000</f>
        <v>1.5</v>
      </c>
      <c r="BD526" s="53">
        <f t="shared" ref="BD526" si="6620">+AS526/1000</f>
        <v>761.06100000000004</v>
      </c>
      <c r="BE526" s="60">
        <f t="shared" ref="BE526" si="6621">BE525+AZ526</f>
        <v>13863.957999999999</v>
      </c>
      <c r="BF526" s="60">
        <f t="shared" ref="BF526" si="6622">BF525+BA526</f>
        <v>1700.0680000000002</v>
      </c>
      <c r="BG526" s="60">
        <f t="shared" ref="BG526" si="6623">BG525+BB526</f>
        <v>10715.414999999999</v>
      </c>
      <c r="BH526" s="60">
        <f t="shared" ref="BH526" si="6624">BH525+BC526</f>
        <v>225.75900000000001</v>
      </c>
      <c r="BI526" s="60">
        <f t="shared" ref="BI526" si="6625">BI525+BD526</f>
        <v>26505.200000000001</v>
      </c>
      <c r="BJ526" s="1">
        <v>47</v>
      </c>
    </row>
    <row r="527" spans="1:62" x14ac:dyDescent="0.3">
      <c r="A527" s="48">
        <f t="shared" si="5522"/>
        <v>41244</v>
      </c>
      <c r="B527" s="64">
        <v>246200</v>
      </c>
      <c r="C527" s="64">
        <v>50200</v>
      </c>
      <c r="D527" s="53">
        <v>4200</v>
      </c>
      <c r="E527" s="53">
        <f t="shared" ref="E527:E536" si="6626">SUM(B527:D527)</f>
        <v>300600</v>
      </c>
      <c r="F527" s="53">
        <f t="shared" ref="F527" si="6627">AVERAGE(E524,E525,E526,E527)</f>
        <v>261604</v>
      </c>
      <c r="G527" s="53">
        <f t="shared" ref="G527" si="6628">AVERAGE(F475,F423,F371)</f>
        <v>503462.83333333331</v>
      </c>
      <c r="H527" s="59">
        <f t="shared" ref="H527" si="6629">((E527/E475)-1)*100</f>
        <v>-54.671025647212105</v>
      </c>
      <c r="I527" s="59">
        <f t="shared" ref="I527" si="6630">((F527/F475)-1)*100</f>
        <v>-54.62283628088138</v>
      </c>
      <c r="J527" s="59">
        <f t="shared" ref="J527" si="6631">((F527/G527)-1)*100</f>
        <v>-48.039064121581966</v>
      </c>
      <c r="L527" s="53">
        <v>1500</v>
      </c>
      <c r="M527" s="53">
        <v>1700</v>
      </c>
      <c r="N527" s="53">
        <v>18200</v>
      </c>
      <c r="O527" s="53">
        <f t="shared" ref="O527:O528" si="6632">SUM(L527:N527)</f>
        <v>21400</v>
      </c>
      <c r="P527" s="53">
        <f t="shared" ref="P527" si="6633">AVERAGE(O524,O525,O526,O527)</f>
        <v>15437.5</v>
      </c>
      <c r="Q527" s="53">
        <f t="shared" ref="Q527" si="6634">AVERAGE(P475,P423,P371)</f>
        <v>15893.083333333334</v>
      </c>
      <c r="R527" s="59">
        <f t="shared" ref="R527" si="6635">((O527/O475)-1)*100</f>
        <v>78.333333333333343</v>
      </c>
      <c r="S527" s="59">
        <f t="shared" ref="S527" si="6636">((P527/P475)-1)*100</f>
        <v>-22.635528772066106</v>
      </c>
      <c r="T527" s="59">
        <f t="shared" ref="T527" si="6637">((P527/Q527)-1)*100</f>
        <v>-2.8665509629451025</v>
      </c>
      <c r="V527" s="64">
        <v>451200</v>
      </c>
      <c r="W527" s="64">
        <v>94250</v>
      </c>
      <c r="X527" s="64">
        <v>37800</v>
      </c>
      <c r="Y527" s="64">
        <f t="shared" ref="Y527:Y528" si="6638">SUM(V527:X527)</f>
        <v>583250</v>
      </c>
      <c r="Z527" s="53">
        <f t="shared" ref="Z527" si="6639">AVERAGE(Y524,Y525,Y526,Y527)</f>
        <v>460410.25</v>
      </c>
      <c r="AA527" s="53">
        <f t="shared" ref="AA527" si="6640">AVERAGE(Z475,Z423,Z371)</f>
        <v>398676.25</v>
      </c>
      <c r="AB527" s="59">
        <f t="shared" ref="AB527" si="6641">((Y527/Y475)-1)*100</f>
        <v>147.3819713363504</v>
      </c>
      <c r="AC527" s="59">
        <f t="shared" ref="AC527" si="6642">((Z527/Z475)-1)*100</f>
        <v>59.862727362688297</v>
      </c>
      <c r="AD527" s="59">
        <f t="shared" ref="AD527" si="6643">((Z527/AA527)-1)*100</f>
        <v>15.484744827413222</v>
      </c>
      <c r="AF527" s="53">
        <v>1600</v>
      </c>
      <c r="AG527" s="53">
        <v>0</v>
      </c>
      <c r="AH527" s="53">
        <v>0</v>
      </c>
      <c r="AI527" s="53">
        <f t="shared" si="6342"/>
        <v>1600</v>
      </c>
      <c r="AJ527" s="53">
        <f t="shared" ref="AJ527" si="6644">AVERAGE(AI524,AI525,AI526,AI527)</f>
        <v>2850</v>
      </c>
      <c r="AK527" s="53">
        <f t="shared" ref="AK527" si="6645">AVERAGE(AJ475,AJ423,AJ371)</f>
        <v>13766.833333333334</v>
      </c>
      <c r="AL527" s="59">
        <f t="shared" ref="AL527" si="6646">((AI527/AI475)-1)*100</f>
        <v>-94.045846978267349</v>
      </c>
      <c r="AM527" s="59">
        <f t="shared" ref="AM527" si="6647">((AJ527/AJ475)-1)*100</f>
        <v>-82.641003776343041</v>
      </c>
      <c r="AN527" s="59">
        <f t="shared" ref="AN527" si="6648">((AJ527/AK527)-1)*100</f>
        <v>-79.298071451919469</v>
      </c>
      <c r="AP527" s="60">
        <f t="shared" ref="AP527:AP528" si="6649">SUM(B527,L527,V527,AF527)</f>
        <v>700500</v>
      </c>
      <c r="AQ527" s="60">
        <f t="shared" ref="AQ527:AQ528" si="6650">SUM(C527,M527,W527,AG527)</f>
        <v>146150</v>
      </c>
      <c r="AR527" s="60">
        <f t="shared" ref="AR527:AR528" si="6651">SUM(D527,N527,X527,AH527)</f>
        <v>60200</v>
      </c>
      <c r="AS527" s="60">
        <f t="shared" ref="AS527:AS528" si="6652">SUM(E527,O527,Y527,AI527)</f>
        <v>906850</v>
      </c>
      <c r="AT527" s="60">
        <f t="shared" ref="AT527" si="6653">AVERAGE(AS524,AS525,AS526,AS527)</f>
        <v>740301.75</v>
      </c>
      <c r="AU527" s="53">
        <f t="shared" ref="AU527" si="6654">AVERAGE(AT475,AT423,AT371)</f>
        <v>931799</v>
      </c>
      <c r="AV527" s="59">
        <f t="shared" ref="AV527" si="6655">((AS527/AS475)-1)*100</f>
        <v>-3.2995554456047294</v>
      </c>
      <c r="AW527" s="59">
        <f t="shared" ref="AW527" si="6656">((AT527/AT475)-1)*100</f>
        <v>-17.8251465779244</v>
      </c>
      <c r="AX527" s="59">
        <f t="shared" ref="AX527" si="6657">((AT527/AU527)-1)*100</f>
        <v>-20.551347447249888</v>
      </c>
      <c r="AZ527" s="53">
        <f t="shared" ref="AZ527" si="6658">+E527/1000</f>
        <v>300.60000000000002</v>
      </c>
      <c r="BA527" s="53">
        <f t="shared" ref="BA527" si="6659">+O527/1000</f>
        <v>21.4</v>
      </c>
      <c r="BB527" s="53">
        <f t="shared" ref="BB527" si="6660">+Y527/1000</f>
        <v>583.25</v>
      </c>
      <c r="BC527" s="53">
        <f t="shared" ref="BC527" si="6661">+AI527/1000</f>
        <v>1.6</v>
      </c>
      <c r="BD527" s="53">
        <f t="shared" ref="BD527" si="6662">+AS527/1000</f>
        <v>906.85</v>
      </c>
      <c r="BE527" s="60">
        <f t="shared" ref="BE527" si="6663">BE526+AZ527</f>
        <v>14164.557999999999</v>
      </c>
      <c r="BF527" s="60">
        <f t="shared" ref="BF527" si="6664">BF526+BA527</f>
        <v>1721.4680000000003</v>
      </c>
      <c r="BG527" s="60">
        <f t="shared" ref="BG527" si="6665">BG526+BB527</f>
        <v>11298.664999999999</v>
      </c>
      <c r="BH527" s="60">
        <f t="shared" ref="BH527" si="6666">BH526+BC527</f>
        <v>227.35900000000001</v>
      </c>
      <c r="BI527" s="60">
        <f t="shared" ref="BI527" si="6667">BI526+BD527</f>
        <v>27412.05</v>
      </c>
      <c r="BJ527" s="1">
        <v>48</v>
      </c>
    </row>
    <row r="528" spans="1:62" x14ac:dyDescent="0.3">
      <c r="A528" s="48">
        <f t="shared" si="5522"/>
        <v>41251</v>
      </c>
      <c r="B528" s="64">
        <v>224000</v>
      </c>
      <c r="C528" s="64">
        <v>93700</v>
      </c>
      <c r="D528" s="53">
        <v>0</v>
      </c>
      <c r="E528" s="53">
        <f t="shared" si="6626"/>
        <v>317700</v>
      </c>
      <c r="F528" s="53">
        <f t="shared" ref="F528" si="6668">AVERAGE(E525,E526,E527,E528)</f>
        <v>282534.5</v>
      </c>
      <c r="G528" s="53">
        <f t="shared" ref="G528" si="6669">AVERAGE(F476,F424,F372)</f>
        <v>533924</v>
      </c>
      <c r="H528" s="59">
        <f t="shared" ref="H528" si="6670">((E528/E476)-1)*100</f>
        <v>-53.783578550459829</v>
      </c>
      <c r="I528" s="59">
        <f t="shared" ref="I528" si="6671">((F528/F476)-1)*100</f>
        <v>-57.219242025107356</v>
      </c>
      <c r="J528" s="59">
        <f t="shared" ref="J528" si="6672">((F528/G528)-1)*100</f>
        <v>-47.083386399562485</v>
      </c>
      <c r="L528" s="53">
        <v>4500</v>
      </c>
      <c r="M528" s="53">
        <v>10500</v>
      </c>
      <c r="N528" s="53">
        <v>0</v>
      </c>
      <c r="O528" s="53">
        <f t="shared" si="6632"/>
        <v>15000</v>
      </c>
      <c r="P528" s="53">
        <f t="shared" ref="P528" si="6673">AVERAGE(O525,O526,O527,O528)</f>
        <v>16737.5</v>
      </c>
      <c r="Q528" s="53">
        <f t="shared" ref="Q528" si="6674">AVERAGE(P476,P424,P372)</f>
        <v>14580.583333333334</v>
      </c>
      <c r="R528" s="59">
        <f t="shared" ref="R528" si="6675">((O528/O476)-1)*100</f>
        <v>-7.4074074074074066</v>
      </c>
      <c r="S528" s="59">
        <f t="shared" ref="S528" si="6676">((P528/P476)-1)*100</f>
        <v>-4.9235269892213491</v>
      </c>
      <c r="T528" s="59">
        <f t="shared" ref="T528" si="6677">((P528/Q528)-1)*100</f>
        <v>14.793075265621503</v>
      </c>
      <c r="V528" s="64">
        <v>422500</v>
      </c>
      <c r="W528" s="64">
        <v>49635</v>
      </c>
      <c r="X528" s="53">
        <v>0</v>
      </c>
      <c r="Y528" s="64">
        <f t="shared" si="6638"/>
        <v>472135</v>
      </c>
      <c r="Z528" s="53">
        <f t="shared" ref="Z528" si="6678">AVERAGE(Y525,Y526,Y527,Y528)</f>
        <v>476580.25</v>
      </c>
      <c r="AA528" s="53">
        <f t="shared" ref="AA528" si="6679">AVERAGE(Z476,Z424,Z372)</f>
        <v>361095.16666666669</v>
      </c>
      <c r="AB528" s="59">
        <f t="shared" ref="AB528" si="6680">((Y528/Y476)-1)*100</f>
        <v>85.418564830814674</v>
      </c>
      <c r="AC528" s="59">
        <f t="shared" ref="AC528" si="6681">((Z528/Z476)-1)*100</f>
        <v>73.40626813591453</v>
      </c>
      <c r="AD528" s="59">
        <f t="shared" ref="AD528" si="6682">((Z528/AA528)-1)*100</f>
        <v>31.981896739132942</v>
      </c>
      <c r="AF528" s="53">
        <v>0</v>
      </c>
      <c r="AG528" s="53">
        <v>0</v>
      </c>
      <c r="AH528" s="53">
        <v>0</v>
      </c>
      <c r="AI528" s="53">
        <v>0</v>
      </c>
      <c r="AJ528" s="53">
        <f t="shared" ref="AJ528" si="6683">AVERAGE(AI525,AI526,AI527,AI528)</f>
        <v>775</v>
      </c>
      <c r="AK528" s="53">
        <f t="shared" ref="AK528" si="6684">AVERAGE(AJ476,AJ424,AJ372)</f>
        <v>12596</v>
      </c>
      <c r="AL528" s="59">
        <f t="shared" ref="AL528" si="6685">((AI528/AI476)-1)*100</f>
        <v>-100</v>
      </c>
      <c r="AM528" s="59">
        <f t="shared" ref="AM528" si="6686">((AJ528/AJ476)-1)*100</f>
        <v>-95.154129931845176</v>
      </c>
      <c r="AN528" s="59">
        <f t="shared" ref="AN528" si="6687">((AJ528/AK528)-1)*100</f>
        <v>-93.84725309622101</v>
      </c>
      <c r="AP528" s="60">
        <f t="shared" si="6649"/>
        <v>651000</v>
      </c>
      <c r="AQ528" s="60">
        <f t="shared" si="6650"/>
        <v>153835</v>
      </c>
      <c r="AR528" s="60">
        <f t="shared" si="6651"/>
        <v>0</v>
      </c>
      <c r="AS528" s="60">
        <f t="shared" si="6652"/>
        <v>804835</v>
      </c>
      <c r="AT528" s="60">
        <f t="shared" ref="AT528" si="6688">AVERAGE(AS525,AS526,AS527,AS528)</f>
        <v>776627.25</v>
      </c>
      <c r="AU528" s="53">
        <f t="shared" ref="AU528" si="6689">AVERAGE(AT476,AT424,AT372)</f>
        <v>922195.75</v>
      </c>
      <c r="AV528" s="59">
        <f t="shared" ref="AV528" si="6690">((AS528/AS476)-1)*100</f>
        <v>-16.376435139487768</v>
      </c>
      <c r="AW528" s="59">
        <f t="shared" ref="AW528" si="6691">((AT528/AT476)-1)*100</f>
        <v>-19.840796774752899</v>
      </c>
      <c r="AX528" s="59">
        <f t="shared" ref="AX528" si="6692">((AT528/AU528)-1)*100</f>
        <v>-15.784989249842019</v>
      </c>
      <c r="AZ528" s="53">
        <f t="shared" ref="AZ528" si="6693">+E528/1000</f>
        <v>317.7</v>
      </c>
      <c r="BA528" s="53">
        <f t="shared" ref="BA528" si="6694">+O528/1000</f>
        <v>15</v>
      </c>
      <c r="BB528" s="53">
        <f t="shared" ref="BB528" si="6695">+Y528/1000</f>
        <v>472.13499999999999</v>
      </c>
      <c r="BC528" s="53">
        <f t="shared" ref="BC528" si="6696">+AI528/1000</f>
        <v>0</v>
      </c>
      <c r="BD528" s="53">
        <f t="shared" ref="BD528" si="6697">+AS528/1000</f>
        <v>804.83500000000004</v>
      </c>
      <c r="BE528" s="60">
        <f t="shared" ref="BE528" si="6698">BE527+AZ528</f>
        <v>14482.258</v>
      </c>
      <c r="BF528" s="60">
        <f t="shared" ref="BF528" si="6699">BF527+BA528</f>
        <v>1736.4680000000003</v>
      </c>
      <c r="BG528" s="60">
        <f t="shared" ref="BG528" si="6700">BG527+BB528</f>
        <v>11770.8</v>
      </c>
      <c r="BH528" s="60">
        <f t="shared" ref="BH528" si="6701">BH527+BC528</f>
        <v>227.35900000000001</v>
      </c>
      <c r="BI528" s="60">
        <f t="shared" ref="BI528" si="6702">BI527+BD528</f>
        <v>28216.884999999998</v>
      </c>
      <c r="BJ528" s="1">
        <v>49</v>
      </c>
    </row>
    <row r="529" spans="1:62" x14ac:dyDescent="0.3">
      <c r="A529" s="48">
        <f t="shared" si="5522"/>
        <v>41258</v>
      </c>
      <c r="B529" s="64">
        <v>126280</v>
      </c>
      <c r="C529" s="64">
        <v>37900</v>
      </c>
      <c r="D529" s="53">
        <v>0</v>
      </c>
      <c r="E529" s="53">
        <f t="shared" si="6626"/>
        <v>164180</v>
      </c>
      <c r="F529" s="53">
        <f t="shared" ref="F529" si="6703">AVERAGE(E526,E527,E528,E529)</f>
        <v>272279.5</v>
      </c>
      <c r="G529" s="53">
        <f t="shared" ref="G529" si="6704">AVERAGE(F477,F425,F373)</f>
        <v>534167.66666666663</v>
      </c>
      <c r="H529" s="59">
        <f t="shared" ref="H529" si="6705">((E529/E477)-1)*100</f>
        <v>-64.206684703579114</v>
      </c>
      <c r="I529" s="59">
        <f t="shared" ref="I529" si="6706">((F529/F477)-1)*100</f>
        <v>-56.637229096651076</v>
      </c>
      <c r="J529" s="59">
        <f t="shared" ref="J529" si="6707">((F529/G529)-1)*100</f>
        <v>-49.027334114195099</v>
      </c>
      <c r="L529" s="53">
        <v>3200</v>
      </c>
      <c r="M529" s="53">
        <v>11350</v>
      </c>
      <c r="N529" s="53">
        <v>1400</v>
      </c>
      <c r="O529" s="53">
        <f t="shared" ref="O529" si="6708">SUM(L529:N529)</f>
        <v>15950</v>
      </c>
      <c r="P529" s="53">
        <f t="shared" ref="P529" si="6709">AVERAGE(O526,O527,O528,O529)</f>
        <v>16987.5</v>
      </c>
      <c r="Q529" s="53">
        <f t="shared" ref="Q529" si="6710">AVERAGE(P477,P425,P373)</f>
        <v>15416.666666666666</v>
      </c>
      <c r="R529" s="59">
        <f t="shared" ref="R529" si="6711">((O529/O477)-1)*100</f>
        <v>-36.95652173913043</v>
      </c>
      <c r="S529" s="59">
        <f t="shared" ref="S529" si="6712">((P529/P477)-1)*100</f>
        <v>-13.329081632653061</v>
      </c>
      <c r="T529" s="59">
        <f t="shared" ref="T529" si="6713">((P529/Q529)-1)*100</f>
        <v>10.189189189189186</v>
      </c>
      <c r="V529" s="64">
        <v>241020</v>
      </c>
      <c r="W529" s="64">
        <v>85020</v>
      </c>
      <c r="X529" s="64">
        <v>32200</v>
      </c>
      <c r="Y529" s="64">
        <f t="shared" ref="Y529" si="6714">SUM(V529:X529)</f>
        <v>358240</v>
      </c>
      <c r="Z529" s="53">
        <f t="shared" ref="Z529" si="6715">AVERAGE(Y526,Y527,Y528,Y529)</f>
        <v>462737</v>
      </c>
      <c r="AA529" s="53">
        <f t="shared" ref="AA529" si="6716">AVERAGE(Z477,Z425,Z373)</f>
        <v>354684.5</v>
      </c>
      <c r="AB529" s="59">
        <f t="shared" ref="AB529" si="6717">((Y529/Y477)-1)*100</f>
        <v>-5.719865043397709</v>
      </c>
      <c r="AC529" s="59">
        <f t="shared" ref="AC529" si="6718">((Z529/Z477)-1)*100</f>
        <v>53.526777530878334</v>
      </c>
      <c r="AD529" s="59">
        <f t="shared" ref="AD529" si="6719">((Z529/AA529)-1)*100</f>
        <v>30.464398641609659</v>
      </c>
      <c r="AF529" s="53">
        <v>0</v>
      </c>
      <c r="AG529" s="53">
        <v>1750</v>
      </c>
      <c r="AH529" s="53">
        <v>0</v>
      </c>
      <c r="AI529" s="53">
        <f t="shared" ref="AI529:AI543" si="6720">SUM(AF529:AH529)</f>
        <v>1750</v>
      </c>
      <c r="AJ529" s="53">
        <f t="shared" ref="AJ529" si="6721">AVERAGE(AI526,AI527,AI528,AI529)</f>
        <v>1212.5</v>
      </c>
      <c r="AK529" s="53">
        <f t="shared" ref="AK529" si="6722">AVERAGE(AJ477,AJ425,AJ373)</f>
        <v>10371.833333333334</v>
      </c>
      <c r="AL529" s="59">
        <f t="shared" ref="AL529" si="6723">((AI529/AI477)-1)*100</f>
        <v>-47.761194029850749</v>
      </c>
      <c r="AM529" s="59">
        <f t="shared" ref="AM529" si="6724">((AJ529/AJ477)-1)*100</f>
        <v>-92.098660845198921</v>
      </c>
      <c r="AN529" s="59">
        <f t="shared" ref="AN529" si="6725">((AJ529/AK529)-1)*100</f>
        <v>-88.309684883739621</v>
      </c>
      <c r="AP529" s="60">
        <f t="shared" ref="AP529:AP534" si="6726">SUM(B529,L529,V529,AF529)</f>
        <v>370500</v>
      </c>
      <c r="AQ529" s="60">
        <f t="shared" ref="AQ529:AQ534" si="6727">SUM(C529,M529,W529,AG529)</f>
        <v>136020</v>
      </c>
      <c r="AR529" s="60">
        <f t="shared" ref="AR529:AR534" si="6728">SUM(D529,N529,X529,AH529)</f>
        <v>33600</v>
      </c>
      <c r="AS529" s="60">
        <f t="shared" ref="AS529:AS531" si="6729">SUM(E529,O529,Y529,AI529)</f>
        <v>540120</v>
      </c>
      <c r="AT529" s="60">
        <f t="shared" ref="AT529" si="6730">AVERAGE(AS526,AS527,AS528,AS529)</f>
        <v>753216.5</v>
      </c>
      <c r="AU529" s="53">
        <f t="shared" ref="AU529" si="6731">AVERAGE(AT477,AT425,AT373)</f>
        <v>914640.66666666663</v>
      </c>
      <c r="AV529" s="59">
        <f t="shared" ref="AV529" si="6732">((AS529/AS477)-1)*100</f>
        <v>-37.724904388611726</v>
      </c>
      <c r="AW529" s="59">
        <f t="shared" ref="AW529" si="6733">((AT529/AT477)-1)*100</f>
        <v>-21.886657243215268</v>
      </c>
      <c r="AX529" s="59">
        <f t="shared" ref="AX529" si="6734">((AT529/AU529)-1)*100</f>
        <v>-17.648916405058156</v>
      </c>
      <c r="AZ529" s="53">
        <f t="shared" ref="AZ529" si="6735">+E529/1000</f>
        <v>164.18</v>
      </c>
      <c r="BA529" s="53">
        <f t="shared" ref="BA529" si="6736">+O529/1000</f>
        <v>15.95</v>
      </c>
      <c r="BB529" s="53">
        <f t="shared" ref="BB529" si="6737">+Y529/1000</f>
        <v>358.24</v>
      </c>
      <c r="BC529" s="53">
        <f t="shared" ref="BC529" si="6738">+AI529/1000</f>
        <v>1.75</v>
      </c>
      <c r="BD529" s="53">
        <f t="shared" ref="BD529" si="6739">+AS529/1000</f>
        <v>540.12</v>
      </c>
      <c r="BE529" s="60">
        <f t="shared" ref="BE529" si="6740">BE528+AZ529</f>
        <v>14646.438</v>
      </c>
      <c r="BF529" s="60">
        <f t="shared" ref="BF529" si="6741">BF528+BA529</f>
        <v>1752.4180000000003</v>
      </c>
      <c r="BG529" s="60">
        <f t="shared" ref="BG529" si="6742">BG528+BB529</f>
        <v>12129.039999999999</v>
      </c>
      <c r="BH529" s="60">
        <f t="shared" ref="BH529" si="6743">BH528+BC529</f>
        <v>229.10900000000001</v>
      </c>
      <c r="BI529" s="60">
        <f t="shared" ref="BI529" si="6744">BI528+BD529</f>
        <v>28757.004999999997</v>
      </c>
      <c r="BJ529" s="1">
        <v>50</v>
      </c>
    </row>
    <row r="530" spans="1:62" x14ac:dyDescent="0.3">
      <c r="A530" s="48">
        <f t="shared" si="5522"/>
        <v>41265</v>
      </c>
      <c r="B530" s="64">
        <v>87350</v>
      </c>
      <c r="C530" s="64">
        <v>44040</v>
      </c>
      <c r="D530" s="53">
        <v>0</v>
      </c>
      <c r="E530" s="53">
        <f t="shared" si="6626"/>
        <v>131390</v>
      </c>
      <c r="F530" s="53">
        <f t="shared" ref="F530" si="6745">AVERAGE(E527,E528,E529,E530)</f>
        <v>228467.5</v>
      </c>
      <c r="G530" s="53">
        <f t="shared" ref="G530" si="6746">AVERAGE(F478,F426,F374)</f>
        <v>494299.66666666669</v>
      </c>
      <c r="H530" s="59">
        <f t="shared" ref="H530" si="6747">((E530/E478)-1)*100</f>
        <v>-67.74676583940888</v>
      </c>
      <c r="I530" s="59">
        <f t="shared" ref="I530" si="6748">((F530/F478)-1)*100</f>
        <v>-58.772081390255202</v>
      </c>
      <c r="J530" s="59">
        <f t="shared" ref="J530" si="6749">((F530/G530)-1)*100</f>
        <v>-53.779556126209549</v>
      </c>
      <c r="L530" s="53">
        <v>9400</v>
      </c>
      <c r="M530" s="53">
        <v>5250</v>
      </c>
      <c r="N530" s="53">
        <v>14000</v>
      </c>
      <c r="O530" s="53">
        <f t="shared" ref="O530:O533" si="6750">SUM(L530:N530)</f>
        <v>28650</v>
      </c>
      <c r="P530" s="53">
        <f t="shared" ref="P530" si="6751">AVERAGE(O527,O528,O529,O530)</f>
        <v>20250</v>
      </c>
      <c r="Q530" s="53">
        <f t="shared" ref="Q530" si="6752">AVERAGE(P478,P426,P374)</f>
        <v>18908.333333333332</v>
      </c>
      <c r="R530" s="59">
        <f t="shared" ref="R530" si="6753">((O530/O478)-1)*100</f>
        <v>-2.8813559322033888</v>
      </c>
      <c r="S530" s="59">
        <f t="shared" ref="S530" si="6754">((P530/P478)-1)*100</f>
        <v>-2.4096385542168641</v>
      </c>
      <c r="T530" s="59">
        <f t="shared" ref="T530" si="6755">((P530/Q530)-1)*100</f>
        <v>7.0956368444248685</v>
      </c>
      <c r="V530" s="64">
        <v>147300</v>
      </c>
      <c r="W530" s="64">
        <v>116292</v>
      </c>
      <c r="X530" s="64">
        <v>16800</v>
      </c>
      <c r="Y530" s="64">
        <f t="shared" ref="Y530:Y531" si="6756">SUM(V530:X530)</f>
        <v>280392</v>
      </c>
      <c r="Z530" s="53">
        <f t="shared" ref="Z530" si="6757">AVERAGE(Y527,Y528,Y529,Y530)</f>
        <v>423504.25</v>
      </c>
      <c r="AA530" s="53">
        <f t="shared" ref="AA530" si="6758">AVERAGE(Z478,Z426,Z374)</f>
        <v>337250.25</v>
      </c>
      <c r="AB530" s="59">
        <f t="shared" ref="AB530" si="6759">((Y530/Y478)-1)*100</f>
        <v>-9.095271133358839</v>
      </c>
      <c r="AC530" s="59">
        <f t="shared" ref="AC530" si="6760">((Z530/Z478)-1)*100</f>
        <v>43.704345273794743</v>
      </c>
      <c r="AD530" s="59">
        <f t="shared" ref="AD530" si="6761">((Z530/AA530)-1)*100</f>
        <v>25.575666734123992</v>
      </c>
      <c r="AF530" s="53">
        <v>0</v>
      </c>
      <c r="AG530" s="53">
        <v>0</v>
      </c>
      <c r="AH530" s="53">
        <v>0</v>
      </c>
      <c r="AI530" s="53">
        <f t="shared" si="6720"/>
        <v>0</v>
      </c>
      <c r="AJ530" s="53">
        <f t="shared" ref="AJ530" si="6762">AVERAGE(AI527,AI528,AI529,AI530)</f>
        <v>837.5</v>
      </c>
      <c r="AK530" s="53">
        <f t="shared" ref="AK530" si="6763">AVERAGE(AJ478,AJ426,AJ374)</f>
        <v>8541.8333333333339</v>
      </c>
      <c r="AL530" s="59">
        <f t="shared" ref="AL530" si="6764">((AI530/AI478)-1)*100</f>
        <v>-100</v>
      </c>
      <c r="AM530" s="59">
        <f t="shared" ref="AM530" si="6765">((AJ530/AJ478)-1)*100</f>
        <v>-90.648205013678734</v>
      </c>
      <c r="AN530" s="59">
        <f t="shared" ref="AN530" si="6766">((AJ530/AK530)-1)*100</f>
        <v>-90.19531326218025</v>
      </c>
      <c r="AP530" s="60">
        <f t="shared" si="6726"/>
        <v>244050</v>
      </c>
      <c r="AQ530" s="60">
        <f t="shared" si="6727"/>
        <v>165582</v>
      </c>
      <c r="AR530" s="60">
        <f t="shared" si="6728"/>
        <v>30800</v>
      </c>
      <c r="AS530" s="60">
        <f t="shared" si="6729"/>
        <v>440432</v>
      </c>
      <c r="AT530" s="60">
        <f t="shared" ref="AT530" si="6767">AVERAGE(AS527,AS528,AS529,AS530)</f>
        <v>673059.25</v>
      </c>
      <c r="AU530" s="53">
        <f t="shared" ref="AU530" si="6768">AVERAGE(AT478,AT426,AT374)</f>
        <v>859000.08333333337</v>
      </c>
      <c r="AV530" s="59">
        <f t="shared" ref="AV530" si="6769">((AS530/AS478)-1)*100</f>
        <v>-41.017468488689133</v>
      </c>
      <c r="AW530" s="59">
        <f t="shared" ref="AW530" si="6770">((AT530/AT478)-1)*100</f>
        <v>-23.391331120641766</v>
      </c>
      <c r="AX530" s="59">
        <f t="shared" ref="AX530" si="6771">((AT530/AU530)-1)*100</f>
        <v>-21.646195028502625</v>
      </c>
      <c r="AZ530" s="53">
        <f t="shared" ref="AZ530" si="6772">+E530/1000</f>
        <v>131.38999999999999</v>
      </c>
      <c r="BA530" s="53">
        <f t="shared" ref="BA530" si="6773">+O530/1000</f>
        <v>28.65</v>
      </c>
      <c r="BB530" s="53">
        <f t="shared" ref="BB530" si="6774">+Y530/1000</f>
        <v>280.392</v>
      </c>
      <c r="BC530" s="53">
        <f t="shared" ref="BC530" si="6775">+AI530/1000</f>
        <v>0</v>
      </c>
      <c r="BD530" s="53">
        <f t="shared" ref="BD530" si="6776">+AS530/1000</f>
        <v>440.43200000000002</v>
      </c>
      <c r="BE530" s="60">
        <f t="shared" ref="BE530" si="6777">BE529+AZ530</f>
        <v>14777.828</v>
      </c>
      <c r="BF530" s="60">
        <f t="shared" ref="BF530" si="6778">BF529+BA530</f>
        <v>1781.0680000000004</v>
      </c>
      <c r="BG530" s="60">
        <f t="shared" ref="BG530" si="6779">BG529+BB530</f>
        <v>12409.431999999999</v>
      </c>
      <c r="BH530" s="60">
        <f t="shared" ref="BH530" si="6780">BH529+BC530</f>
        <v>229.10900000000001</v>
      </c>
      <c r="BI530" s="60">
        <f t="shared" ref="BI530" si="6781">BI529+BD530</f>
        <v>29197.436999999998</v>
      </c>
      <c r="BJ530" s="1">
        <v>51</v>
      </c>
    </row>
    <row r="531" spans="1:62" x14ac:dyDescent="0.3">
      <c r="A531" s="48">
        <f t="shared" si="5522"/>
        <v>41272</v>
      </c>
      <c r="B531" s="64">
        <v>28200</v>
      </c>
      <c r="C531" s="64">
        <v>30950</v>
      </c>
      <c r="D531" s="53">
        <v>0</v>
      </c>
      <c r="E531" s="53">
        <f t="shared" si="6626"/>
        <v>59150</v>
      </c>
      <c r="F531" s="53">
        <f t="shared" ref="F531" si="6782">AVERAGE(E528,E529,E530,E531)</f>
        <v>168105</v>
      </c>
      <c r="G531" s="53">
        <f t="shared" ref="G531" si="6783">AVERAGE(F479,F427,F375)</f>
        <v>404739.25</v>
      </c>
      <c r="H531" s="59">
        <f t="shared" ref="H531" si="6784">((E531/E479)-1)*100</f>
        <v>-74.588540570264939</v>
      </c>
      <c r="I531" s="59">
        <f t="shared" ref="I531" si="6785">((F531/F479)-1)*100</f>
        <v>-62.355688970052285</v>
      </c>
      <c r="J531" s="59">
        <f t="shared" ref="J531" si="6786">((F531/G531)-1)*100</f>
        <v>-58.465851779880509</v>
      </c>
      <c r="L531" s="53">
        <v>0</v>
      </c>
      <c r="M531" s="53">
        <v>10500</v>
      </c>
      <c r="N531" s="53">
        <v>2800</v>
      </c>
      <c r="O531" s="53">
        <f t="shared" si="6750"/>
        <v>13300</v>
      </c>
      <c r="P531" s="53">
        <f t="shared" ref="P531" si="6787">AVERAGE(O528,O529,O530,O531)</f>
        <v>18225</v>
      </c>
      <c r="Q531" s="53">
        <f t="shared" ref="Q531" si="6788">AVERAGE(P479,P427,P375)</f>
        <v>21206.416666666668</v>
      </c>
      <c r="R531" s="59">
        <f t="shared" ref="R531" si="6789">((O531/O479)-1)*100</f>
        <v>-38.850574712643684</v>
      </c>
      <c r="S531" s="59">
        <f t="shared" ref="S531" si="6790">((P531/P479)-1)*100</f>
        <v>-21.401617250673855</v>
      </c>
      <c r="T531" s="59">
        <f t="shared" ref="T531" si="6791">((P531/Q531)-1)*100</f>
        <v>-14.059030875088919</v>
      </c>
      <c r="V531" s="64">
        <v>108075</v>
      </c>
      <c r="W531" s="64">
        <v>138100</v>
      </c>
      <c r="X531" s="64">
        <v>7000</v>
      </c>
      <c r="Y531" s="64">
        <f t="shared" si="6756"/>
        <v>253175</v>
      </c>
      <c r="Z531" s="53">
        <f t="shared" ref="Z531" si="6792">AVERAGE(Y528,Y529,Y530,Y531)</f>
        <v>340985.5</v>
      </c>
      <c r="AA531" s="53">
        <f t="shared" ref="AA531" si="6793">AVERAGE(Z479,Z427,Z375)</f>
        <v>283149.83333333331</v>
      </c>
      <c r="AB531" s="59">
        <f t="shared" ref="AB531" si="6794">((Y531/Y479)-1)*100</f>
        <v>28.49239982744183</v>
      </c>
      <c r="AC531" s="59">
        <f t="shared" ref="AC531" si="6795">((Z531/Z479)-1)*100</f>
        <v>19.63490505549137</v>
      </c>
      <c r="AD531" s="59">
        <f t="shared" ref="AD531" si="6796">((Z531/AA531)-1)*100</f>
        <v>20.425816955569466</v>
      </c>
      <c r="AF531" s="53">
        <v>0</v>
      </c>
      <c r="AG531" s="53">
        <v>0</v>
      </c>
      <c r="AH531" s="53">
        <v>0</v>
      </c>
      <c r="AI531" s="53">
        <f t="shared" si="6720"/>
        <v>0</v>
      </c>
      <c r="AJ531" s="53">
        <f t="shared" ref="AJ531" si="6797">AVERAGE(AI528,AI529,AI530,AI531)</f>
        <v>437.5</v>
      </c>
      <c r="AK531" s="53">
        <f t="shared" ref="AK531" si="6798">AVERAGE(AJ479,AJ427,AJ375)</f>
        <v>5950</v>
      </c>
      <c r="AL531" s="59"/>
      <c r="AM531" s="59">
        <f t="shared" ref="AM531" si="6799">((AJ531/AJ479)-1)*100</f>
        <v>-80.44692737430168</v>
      </c>
      <c r="AN531" s="59">
        <f t="shared" ref="AN531" si="6800">((AJ531/AK531)-1)*100</f>
        <v>-92.64705882352942</v>
      </c>
      <c r="AP531" s="60">
        <f t="shared" si="6726"/>
        <v>136275</v>
      </c>
      <c r="AQ531" s="60">
        <f t="shared" si="6727"/>
        <v>179550</v>
      </c>
      <c r="AR531" s="60">
        <f t="shared" si="6728"/>
        <v>9800</v>
      </c>
      <c r="AS531" s="60">
        <f t="shared" si="6729"/>
        <v>325625</v>
      </c>
      <c r="AT531" s="60">
        <f t="shared" ref="AT531" si="6801">AVERAGE(AS528,AS529,AS530,AS531)</f>
        <v>527753</v>
      </c>
      <c r="AU531" s="53">
        <f t="shared" ref="AU531" si="6802">AVERAGE(AT479,AT427,AT375)</f>
        <v>715045.5</v>
      </c>
      <c r="AV531" s="59">
        <f t="shared" ref="AV531" si="6803">((AS531/AS479)-1)*100</f>
        <v>-27.887915952466368</v>
      </c>
      <c r="AW531" s="59">
        <f t="shared" ref="AW531" si="6804">((AT531/AT479)-1)*100</f>
        <v>-30.284379331400945</v>
      </c>
      <c r="AX531" s="59">
        <f t="shared" ref="AX531" si="6805">((AT531/AU531)-1)*100</f>
        <v>-26.193088411856312</v>
      </c>
      <c r="AZ531" s="53">
        <f t="shared" ref="AZ531" si="6806">+E531/1000</f>
        <v>59.15</v>
      </c>
      <c r="BA531" s="53">
        <f t="shared" ref="BA531" si="6807">+O531/1000</f>
        <v>13.3</v>
      </c>
      <c r="BB531" s="53">
        <f t="shared" ref="BB531" si="6808">+Y531/1000</f>
        <v>253.17500000000001</v>
      </c>
      <c r="BC531" s="53">
        <f t="shared" ref="BC531" si="6809">+AI531/1000</f>
        <v>0</v>
      </c>
      <c r="BD531" s="53">
        <f t="shared" ref="BD531" si="6810">+AS531/1000</f>
        <v>325.625</v>
      </c>
      <c r="BE531" s="60">
        <f t="shared" ref="BE531" si="6811">BE530+AZ531</f>
        <v>14836.977999999999</v>
      </c>
      <c r="BF531" s="60">
        <f t="shared" ref="BF531" si="6812">BF530+BA531</f>
        <v>1794.3680000000004</v>
      </c>
      <c r="BG531" s="60">
        <f t="shared" ref="BG531" si="6813">BG530+BB531</f>
        <v>12662.606999999998</v>
      </c>
      <c r="BH531" s="60">
        <f t="shared" ref="BH531" si="6814">BH530+BC531</f>
        <v>229.10900000000001</v>
      </c>
      <c r="BI531" s="60">
        <f t="shared" ref="BI531" si="6815">BI530+BD531</f>
        <v>29523.061999999998</v>
      </c>
      <c r="BJ531" s="1">
        <v>52</v>
      </c>
    </row>
    <row r="532" spans="1:62" x14ac:dyDescent="0.3">
      <c r="A532" s="48">
        <f t="shared" si="5522"/>
        <v>41279</v>
      </c>
      <c r="B532" s="64">
        <v>48300</v>
      </c>
      <c r="C532" s="64">
        <v>12550</v>
      </c>
      <c r="D532" s="53">
        <v>0</v>
      </c>
      <c r="E532" s="53">
        <f t="shared" si="6626"/>
        <v>60850</v>
      </c>
      <c r="F532" s="53">
        <f t="shared" ref="F532" si="6816">AVERAGE(E529,E530,E531,E532)</f>
        <v>103892.5</v>
      </c>
      <c r="G532" s="53">
        <f t="shared" ref="G532" si="6817">AVERAGE(F480,F428,F376)</f>
        <v>325031.66666666669</v>
      </c>
      <c r="H532" s="59">
        <f t="shared" ref="H532" si="6818">((E532/E480)-1)*100</f>
        <v>-76.091030895024488</v>
      </c>
      <c r="I532" s="59">
        <f t="shared" ref="I532" si="6819">((F532/F480)-1)*100</f>
        <v>-69.292894959488962</v>
      </c>
      <c r="J532" s="59">
        <f t="shared" ref="J532" si="6820">((F532/G532)-1)*100</f>
        <v>-68.036191345458647</v>
      </c>
      <c r="L532" s="53">
        <v>1600</v>
      </c>
      <c r="M532" s="53">
        <v>3200</v>
      </c>
      <c r="N532" s="53">
        <v>16800</v>
      </c>
      <c r="O532" s="53">
        <f t="shared" si="6750"/>
        <v>21600</v>
      </c>
      <c r="P532" s="53">
        <f t="shared" ref="P532" si="6821">AVERAGE(O529,O530,O531,O532)</f>
        <v>19875</v>
      </c>
      <c r="Q532" s="53">
        <f t="shared" ref="Q532" si="6822">AVERAGE(P480,P428,P376)</f>
        <v>21010.916666666668</v>
      </c>
      <c r="R532" s="59">
        <f t="shared" ref="R532" si="6823">((O532/O480)-1)*100</f>
        <v>3.3492822966507241</v>
      </c>
      <c r="S532" s="59">
        <f t="shared" ref="S532" si="6824">((P532/P480)-1)*100</f>
        <v>-18.419702411493077</v>
      </c>
      <c r="T532" s="59">
        <f t="shared" ref="T532" si="6825">((P532/Q532)-1)*100</f>
        <v>-5.4063165576624943</v>
      </c>
      <c r="V532" s="64">
        <v>154200</v>
      </c>
      <c r="W532" s="64">
        <v>112850</v>
      </c>
      <c r="X532" s="64">
        <v>35000</v>
      </c>
      <c r="Y532" s="64">
        <f t="shared" ref="Y532:Y533" si="6826">SUM(V532:X532)</f>
        <v>302050</v>
      </c>
      <c r="Z532" s="53">
        <f t="shared" ref="Z532" si="6827">AVERAGE(Y529,Y530,Y531,Y532)</f>
        <v>298464.25</v>
      </c>
      <c r="AA532" s="53">
        <f t="shared" ref="AA532" si="6828">AVERAGE(Z480,Z428,Z376)</f>
        <v>256613.83333333334</v>
      </c>
      <c r="AB532" s="59">
        <f t="shared" ref="AB532" si="6829">((Y532/Y480)-1)*100</f>
        <v>29.441863654284582</v>
      </c>
      <c r="AC532" s="59">
        <f t="shared" ref="AC532" si="6830">((Z532/Z480)-1)*100</f>
        <v>6.7084196234725946</v>
      </c>
      <c r="AD532" s="59">
        <f t="shared" ref="AD532" si="6831">((Z532/AA532)-1)*100</f>
        <v>16.308714196363795</v>
      </c>
      <c r="AF532" s="53">
        <v>0</v>
      </c>
      <c r="AG532" s="53">
        <v>3500</v>
      </c>
      <c r="AH532" s="53">
        <v>0</v>
      </c>
      <c r="AI532" s="53">
        <f t="shared" si="6720"/>
        <v>3500</v>
      </c>
      <c r="AJ532" s="53">
        <f t="shared" ref="AJ532" si="6832">AVERAGE(AI529,AI530,AI531,AI532)</f>
        <v>1312.5</v>
      </c>
      <c r="AK532" s="53">
        <f t="shared" ref="AK532" si="6833">AVERAGE(AJ480,AJ428,AJ376)</f>
        <v>6212.5</v>
      </c>
      <c r="AL532" s="59"/>
      <c r="AM532" s="59">
        <f t="shared" ref="AM532" si="6834">((AJ532/AJ480)-1)*100</f>
        <v>10.526315789473696</v>
      </c>
      <c r="AN532" s="59">
        <f t="shared" ref="AN532" si="6835">((AJ532/AK532)-1)*100</f>
        <v>-78.873239436619727</v>
      </c>
      <c r="AP532" s="60">
        <f t="shared" si="6726"/>
        <v>204100</v>
      </c>
      <c r="AQ532" s="60">
        <f t="shared" si="6727"/>
        <v>132100</v>
      </c>
      <c r="AR532" s="60">
        <f t="shared" si="6728"/>
        <v>51800</v>
      </c>
      <c r="AS532" s="60">
        <f t="shared" ref="AS532:AS534" si="6836">SUM(E532,O532,Y532,AI532)</f>
        <v>388000</v>
      </c>
      <c r="AT532" s="60">
        <f t="shared" ref="AT532" si="6837">AVERAGE(AS529,AS530,AS531,AS532)</f>
        <v>423544.25</v>
      </c>
      <c r="AU532" s="53">
        <f t="shared" ref="AU532" si="6838">AVERAGE(AT480,AT428,AT376)</f>
        <v>608868.91666666663</v>
      </c>
      <c r="AV532" s="59">
        <f t="shared" ref="AV532" si="6839">((AS532/AS480)-1)*100</f>
        <v>-23.735393263948268</v>
      </c>
      <c r="AW532" s="59">
        <f t="shared" ref="AW532" si="6840">((AT532/AT480)-1)*100</f>
        <v>-34.189799474661051</v>
      </c>
      <c r="AX532" s="59">
        <f t="shared" ref="AX532" si="6841">((AT532/AU532)-1)*100</f>
        <v>-30.437531231065464</v>
      </c>
      <c r="AZ532" s="53">
        <f t="shared" ref="AZ532:AZ533" si="6842">+E532/1000</f>
        <v>60.85</v>
      </c>
      <c r="BA532" s="53">
        <f t="shared" ref="BA532:BA533" si="6843">+O532/1000</f>
        <v>21.6</v>
      </c>
      <c r="BB532" s="53">
        <f t="shared" ref="BB532:BB533" si="6844">+Y532/1000</f>
        <v>302.05</v>
      </c>
      <c r="BC532" s="53">
        <f t="shared" ref="BC532:BC533" si="6845">+AI532/1000</f>
        <v>3.5</v>
      </c>
      <c r="BD532" s="53">
        <f t="shared" ref="BD532:BD537" si="6846">+AS532/1000</f>
        <v>388</v>
      </c>
      <c r="BE532" s="60">
        <f>AZ532</f>
        <v>60.85</v>
      </c>
      <c r="BF532" s="60">
        <f t="shared" ref="BF532:BI532" si="6847">BA532</f>
        <v>21.6</v>
      </c>
      <c r="BG532" s="60">
        <f t="shared" si="6847"/>
        <v>302.05</v>
      </c>
      <c r="BH532" s="60">
        <f t="shared" si="6847"/>
        <v>3.5</v>
      </c>
      <c r="BI532" s="60">
        <f t="shared" si="6847"/>
        <v>388</v>
      </c>
      <c r="BJ532" s="1">
        <v>1</v>
      </c>
    </row>
    <row r="533" spans="1:62" x14ac:dyDescent="0.3">
      <c r="A533" s="48">
        <f t="shared" si="5522"/>
        <v>41286</v>
      </c>
      <c r="B533" s="64">
        <v>28838</v>
      </c>
      <c r="C533" s="64">
        <v>19250</v>
      </c>
      <c r="D533" s="53">
        <v>0</v>
      </c>
      <c r="E533" s="64">
        <f t="shared" si="6626"/>
        <v>48088</v>
      </c>
      <c r="F533" s="53">
        <f t="shared" ref="F533" si="6848">AVERAGE(E530,E531,E532,E533)</f>
        <v>74869.5</v>
      </c>
      <c r="G533" s="53">
        <f t="shared" ref="G533" si="6849">AVERAGE(F481,F429,F377)</f>
        <v>278079.08333333331</v>
      </c>
      <c r="H533" s="59">
        <f t="shared" ref="H533" si="6850">((E533/E481)-1)*100</f>
        <v>-85.813577522627241</v>
      </c>
      <c r="I533" s="59">
        <f t="shared" ref="I533" si="6851">((F533/F481)-1)*100</f>
        <v>-75.723603254816325</v>
      </c>
      <c r="J533" s="59">
        <f t="shared" ref="J533" si="6852">((F533/G533)-1)*100</f>
        <v>-73.076184262929999</v>
      </c>
      <c r="L533" s="53">
        <v>13300</v>
      </c>
      <c r="M533" s="53">
        <v>33100</v>
      </c>
      <c r="N533" s="53">
        <v>8400</v>
      </c>
      <c r="O533" s="53">
        <f t="shared" si="6750"/>
        <v>54800</v>
      </c>
      <c r="P533" s="53">
        <f t="shared" ref="P533" si="6853">AVERAGE(O530,O531,O532,O533)</f>
        <v>29587.5</v>
      </c>
      <c r="Q533" s="53">
        <f t="shared" ref="Q533" si="6854">AVERAGE(P481,P429,P377)</f>
        <v>22968.083333333332</v>
      </c>
      <c r="R533" s="59">
        <f t="shared" ref="R533" si="6855">((O533/O481)-1)*100</f>
        <v>121.09255224723637</v>
      </c>
      <c r="S533" s="59">
        <f t="shared" ref="S533" si="6856">((P533/P481)-1)*100</f>
        <v>22.090864075266147</v>
      </c>
      <c r="T533" s="59">
        <f t="shared" ref="T533" si="6857">((P533/Q533)-1)*100</f>
        <v>28.820065525711414</v>
      </c>
      <c r="V533" s="64">
        <v>118722</v>
      </c>
      <c r="W533" s="64">
        <v>163450</v>
      </c>
      <c r="X533" s="64">
        <v>14000</v>
      </c>
      <c r="Y533" s="64">
        <f t="shared" si="6826"/>
        <v>296172</v>
      </c>
      <c r="Z533" s="53">
        <f t="shared" ref="Z533" si="6858">AVERAGE(Y530,Y531,Y532,Y533)</f>
        <v>282947.25</v>
      </c>
      <c r="AA533" s="53">
        <f t="shared" ref="AA533" si="6859">AVERAGE(Z481,Z429,Z377)</f>
        <v>236016.16666666666</v>
      </c>
      <c r="AB533" s="59">
        <f t="shared" ref="AB533" si="6860">((Y533/Y481)-1)*100</f>
        <v>26.121875399224969</v>
      </c>
      <c r="AC533" s="59">
        <f t="shared" ref="AC533" si="6861">((Z533/Z481)-1)*100</f>
        <v>16.240798883387299</v>
      </c>
      <c r="AD533" s="59">
        <f t="shared" ref="AD533" si="6862">((Z533/AA533)-1)*100</f>
        <v>19.884690102443557</v>
      </c>
      <c r="AF533" s="53">
        <v>0</v>
      </c>
      <c r="AG533" s="53">
        <v>1750</v>
      </c>
      <c r="AH533" s="53">
        <v>0</v>
      </c>
      <c r="AI533" s="53">
        <f t="shared" si="6720"/>
        <v>1750</v>
      </c>
      <c r="AJ533" s="53">
        <f t="shared" ref="AJ533" si="6863">AVERAGE(AI530,AI531,AI532,AI533)</f>
        <v>1312.5</v>
      </c>
      <c r="AK533" s="53">
        <f t="shared" ref="AK533" si="6864">AVERAGE(AJ481,AJ429,AJ377)</f>
        <v>4600</v>
      </c>
      <c r="AL533" s="59"/>
      <c r="AM533" s="59">
        <f t="shared" ref="AM533" si="6865">((AJ533/AJ481)-1)*100</f>
        <v>275</v>
      </c>
      <c r="AN533" s="59">
        <f t="shared" ref="AN533" si="6866">((AJ533/AK533)-1)*100</f>
        <v>-71.467391304347828</v>
      </c>
      <c r="AP533" s="60">
        <f t="shared" si="6726"/>
        <v>160860</v>
      </c>
      <c r="AQ533" s="60">
        <f t="shared" si="6727"/>
        <v>217550</v>
      </c>
      <c r="AR533" s="60">
        <f t="shared" si="6728"/>
        <v>22400</v>
      </c>
      <c r="AS533" s="60">
        <f t="shared" si="6836"/>
        <v>400810</v>
      </c>
      <c r="AT533" s="60">
        <f t="shared" ref="AT533" si="6867">AVERAGE(AS530,AS531,AS532,AS533)</f>
        <v>388716.75</v>
      </c>
      <c r="AU533" s="53">
        <f t="shared" ref="AU533" si="6868">AVERAGE(AT481,AT429,AT377)</f>
        <v>541663.33333333337</v>
      </c>
      <c r="AV533" s="59">
        <f t="shared" ref="AV533" si="6869">((AS533/AS481)-1)*100</f>
        <v>-33.040755912246823</v>
      </c>
      <c r="AW533" s="59">
        <f t="shared" ref="AW533" si="6870">((AT533/AT481)-1)*100</f>
        <v>-32.561665812953002</v>
      </c>
      <c r="AX533" s="59">
        <f t="shared" ref="AX533" si="6871">((AT533/AU533)-1)*100</f>
        <v>-28.236466070560439</v>
      </c>
      <c r="AZ533" s="53">
        <f t="shared" si="6842"/>
        <v>48.088000000000001</v>
      </c>
      <c r="BA533" s="53">
        <f t="shared" si="6843"/>
        <v>54.8</v>
      </c>
      <c r="BB533" s="53">
        <f t="shared" si="6844"/>
        <v>296.17200000000003</v>
      </c>
      <c r="BC533" s="53">
        <f t="shared" si="6845"/>
        <v>1.75</v>
      </c>
      <c r="BD533" s="53">
        <f t="shared" si="6846"/>
        <v>400.81</v>
      </c>
      <c r="BE533" s="60">
        <f t="shared" ref="BE533:BE538" si="6872">BE532+AZ533</f>
        <v>108.938</v>
      </c>
      <c r="BF533" s="60">
        <f t="shared" ref="BF533:BI533" si="6873">BF532+BA533</f>
        <v>76.400000000000006</v>
      </c>
      <c r="BG533" s="60">
        <f t="shared" si="6873"/>
        <v>598.22199999999998</v>
      </c>
      <c r="BH533" s="60">
        <f t="shared" si="6873"/>
        <v>5.25</v>
      </c>
      <c r="BI533" s="60">
        <f t="shared" si="6873"/>
        <v>788.81</v>
      </c>
      <c r="BJ533" s="60">
        <v>2</v>
      </c>
    </row>
    <row r="534" spans="1:62" x14ac:dyDescent="0.3">
      <c r="A534" s="48">
        <f t="shared" si="5522"/>
        <v>41293</v>
      </c>
      <c r="B534" s="64">
        <v>74800</v>
      </c>
      <c r="C534" s="64">
        <v>54250</v>
      </c>
      <c r="D534" s="53">
        <v>0</v>
      </c>
      <c r="E534" s="64">
        <f t="shared" si="6626"/>
        <v>129050</v>
      </c>
      <c r="F534" s="53">
        <f t="shared" ref="F534" si="6874">AVERAGE(E531,E532,E533,E534)</f>
        <v>74284.5</v>
      </c>
      <c r="G534" s="53">
        <f t="shared" ref="G534" si="6875">AVERAGE(F482,F430,F378)</f>
        <v>258737.25</v>
      </c>
      <c r="H534" s="59">
        <f t="shared" ref="H534" si="6876">((E534/E482)-1)*100</f>
        <v>-63.89704853825711</v>
      </c>
      <c r="I534" s="59">
        <f t="shared" ref="I534" si="6877">((F534/F482)-1)*100</f>
        <v>-74.897482297004814</v>
      </c>
      <c r="J534" s="59">
        <f t="shared" ref="J534" si="6878">((F534/G534)-1)*100</f>
        <v>-71.289599777380346</v>
      </c>
      <c r="L534" s="53">
        <v>10800</v>
      </c>
      <c r="M534" s="53">
        <v>18050</v>
      </c>
      <c r="N534" s="53">
        <v>25200</v>
      </c>
      <c r="O534" s="53">
        <f t="shared" ref="O534" si="6879">SUM(L534:N534)</f>
        <v>54050</v>
      </c>
      <c r="P534" s="53">
        <f t="shared" ref="P534" si="6880">AVERAGE(O531,O532,O533,O534)</f>
        <v>35937.5</v>
      </c>
      <c r="Q534" s="53">
        <f t="shared" ref="Q534" si="6881">AVERAGE(P482,P430,P378)</f>
        <v>22897.25</v>
      </c>
      <c r="R534" s="59">
        <f t="shared" ref="R534" si="6882">((O534/O482)-1)*100</f>
        <v>45.295698924731177</v>
      </c>
      <c r="S534" s="59">
        <f t="shared" ref="S534" si="6883">((P534/P482)-1)*100</f>
        <v>37.381016093887375</v>
      </c>
      <c r="T534" s="59">
        <f t="shared" ref="T534" si="6884">((P534/Q534)-1)*100</f>
        <v>56.951162257476341</v>
      </c>
      <c r="V534" s="64">
        <v>159500</v>
      </c>
      <c r="W534" s="64">
        <v>159750</v>
      </c>
      <c r="X534" s="64">
        <v>15200</v>
      </c>
      <c r="Y534" s="64">
        <f t="shared" ref="Y534" si="6885">SUM(V534:X534)</f>
        <v>334450</v>
      </c>
      <c r="Z534" s="53">
        <f t="shared" ref="Z534" si="6886">AVERAGE(Y531,Y532,Y533,Y534)</f>
        <v>296461.75</v>
      </c>
      <c r="AA534" s="53">
        <f t="shared" ref="AA534" si="6887">AVERAGE(Z482,Z430,Z378)</f>
        <v>231137.58333333334</v>
      </c>
      <c r="AB534" s="59">
        <f t="shared" ref="AB534" si="6888">((Y534/Y482)-1)*100</f>
        <v>14.175983613552967</v>
      </c>
      <c r="AC534" s="59">
        <f t="shared" ref="AC534" si="6889">((Z534/Z482)-1)*100</f>
        <v>23.765783217031377</v>
      </c>
      <c r="AD534" s="59">
        <f t="shared" ref="AD534" si="6890">((Z534/AA534)-1)*100</f>
        <v>28.262027198086571</v>
      </c>
      <c r="AF534" s="53">
        <v>0</v>
      </c>
      <c r="AG534" s="53">
        <v>13700</v>
      </c>
      <c r="AH534" s="53">
        <v>0</v>
      </c>
      <c r="AI534" s="53">
        <f t="shared" si="6720"/>
        <v>13700</v>
      </c>
      <c r="AJ534" s="53">
        <f t="shared" ref="AJ534" si="6891">AVERAGE(AI531,AI532,AI533,AI534)</f>
        <v>4737.5</v>
      </c>
      <c r="AK534" s="53">
        <f t="shared" ref="AK534" si="6892">AVERAGE(AJ482,AJ430,AJ378)</f>
        <v>4825</v>
      </c>
      <c r="AL534" s="59">
        <f t="shared" ref="AL534" si="6893">((AI534/AI482)-1)*100</f>
        <v>878.57142857142867</v>
      </c>
      <c r="AM534" s="59">
        <f t="shared" ref="AM534" si="6894">((AJ534/AJ482)-1)*100</f>
        <v>1253.5714285714287</v>
      </c>
      <c r="AN534" s="59">
        <f t="shared" ref="AN534" si="6895">((AJ534/AK534)-1)*100</f>
        <v>-1.8134715025906689</v>
      </c>
      <c r="AP534" s="60">
        <f t="shared" si="6726"/>
        <v>245100</v>
      </c>
      <c r="AQ534" s="60">
        <f t="shared" si="6727"/>
        <v>245750</v>
      </c>
      <c r="AR534" s="60">
        <f t="shared" si="6728"/>
        <v>40400</v>
      </c>
      <c r="AS534" s="60">
        <f t="shared" si="6836"/>
        <v>531250</v>
      </c>
      <c r="AT534" s="60">
        <f t="shared" ref="AT534:AT540" si="6896">AVERAGE(AS531,AS532,AS533,AS534)</f>
        <v>411421.25</v>
      </c>
      <c r="AU534" s="53">
        <f t="shared" ref="AU534" si="6897">AVERAGE(AT482,AT430,AT378)</f>
        <v>517597.08333333331</v>
      </c>
      <c r="AV534" s="59">
        <f t="shared" ref="AV534" si="6898">((AS534/AS482)-1)*100</f>
        <v>-22.892702928262999</v>
      </c>
      <c r="AW534" s="59">
        <f t="shared" ref="AW534" si="6899">((AT534/AT482)-1)*100</f>
        <v>-26.789203299832021</v>
      </c>
      <c r="AX534" s="59">
        <f t="shared" ref="AX534" si="6900">((AT534/AU534)-1)*100</f>
        <v>-20.513220949693011</v>
      </c>
      <c r="AZ534" s="53">
        <f t="shared" ref="AZ534" si="6901">+E534/1000</f>
        <v>129.05000000000001</v>
      </c>
      <c r="BA534" s="53">
        <f t="shared" ref="BA534" si="6902">+O534/1000</f>
        <v>54.05</v>
      </c>
      <c r="BB534" s="53">
        <f t="shared" ref="BB534" si="6903">+Y534/1000</f>
        <v>334.45</v>
      </c>
      <c r="BC534" s="53">
        <f t="shared" ref="BC534" si="6904">+AI534/1000</f>
        <v>13.7</v>
      </c>
      <c r="BD534" s="53">
        <f t="shared" si="6846"/>
        <v>531.25</v>
      </c>
      <c r="BE534" s="60">
        <f t="shared" si="6872"/>
        <v>237.988</v>
      </c>
      <c r="BF534" s="60">
        <f t="shared" ref="BF534" si="6905">BF533+BA534</f>
        <v>130.44999999999999</v>
      </c>
      <c r="BG534" s="60">
        <f t="shared" ref="BG534" si="6906">BG533+BB534</f>
        <v>932.67200000000003</v>
      </c>
      <c r="BH534" s="60">
        <f t="shared" ref="BH534" si="6907">BH533+BC534</f>
        <v>18.95</v>
      </c>
      <c r="BI534" s="60">
        <f t="shared" ref="BI534" si="6908">BI533+BD534</f>
        <v>1320.06</v>
      </c>
      <c r="BJ534" s="60">
        <v>3</v>
      </c>
    </row>
    <row r="535" spans="1:62" x14ac:dyDescent="0.3">
      <c r="A535" s="48">
        <f t="shared" si="5522"/>
        <v>41300</v>
      </c>
      <c r="B535" s="64">
        <v>32400</v>
      </c>
      <c r="C535" s="64">
        <v>27700</v>
      </c>
      <c r="D535" s="53">
        <v>0</v>
      </c>
      <c r="E535" s="64">
        <f t="shared" si="6626"/>
        <v>60100</v>
      </c>
      <c r="F535" s="53">
        <f t="shared" ref="F535" si="6909">AVERAGE(E532,E533,E534,E535)</f>
        <v>74522</v>
      </c>
      <c r="G535" s="53">
        <f t="shared" ref="G535" si="6910">AVERAGE(F483,F431,F379)</f>
        <v>284736.25</v>
      </c>
      <c r="H535" s="59">
        <f t="shared" ref="H535" si="6911">((E535/E483)-1)*100</f>
        <v>-82.444866364831313</v>
      </c>
      <c r="I535" s="59">
        <f t="shared" ref="I535" si="6912">((F535/F483)-1)*100</f>
        <v>-76.950990466867552</v>
      </c>
      <c r="J535" s="59">
        <f t="shared" ref="J535" si="6913">((F535/G535)-1)*100</f>
        <v>-73.827708976289458</v>
      </c>
      <c r="L535" s="53">
        <v>1500</v>
      </c>
      <c r="M535" s="53">
        <v>43750</v>
      </c>
      <c r="N535" s="53">
        <v>11200</v>
      </c>
      <c r="O535" s="53">
        <f t="shared" ref="O535" si="6914">SUM(L535:N535)</f>
        <v>56450</v>
      </c>
      <c r="P535" s="53">
        <f t="shared" ref="P535" si="6915">AVERAGE(O532,O533,O534,O535)</f>
        <v>46725</v>
      </c>
      <c r="Q535" s="53">
        <f t="shared" ref="Q535" si="6916">AVERAGE(P483,P431,P379)</f>
        <v>22453.333333333332</v>
      </c>
      <c r="R535" s="59">
        <f t="shared" ref="R535" si="6917">((O535/O483)-1)*100</f>
        <v>248.45679012345681</v>
      </c>
      <c r="S535" s="59">
        <f t="shared" ref="S535" si="6918">((P535/P483)-1)*100</f>
        <v>88.624023575479896</v>
      </c>
      <c r="T535" s="59">
        <f t="shared" ref="T535" si="6919">((P535/Q535)-1)*100</f>
        <v>108.09827790973871</v>
      </c>
      <c r="V535" s="64">
        <v>158350</v>
      </c>
      <c r="W535" s="64">
        <v>212368</v>
      </c>
      <c r="X535" s="64">
        <v>11200</v>
      </c>
      <c r="Y535" s="64">
        <f t="shared" ref="Y535" si="6920">SUM(V535:X535)</f>
        <v>381918</v>
      </c>
      <c r="Z535" s="53">
        <f t="shared" ref="Z535" si="6921">AVERAGE(Y532,Y533,Y534,Y535)</f>
        <v>328647.5</v>
      </c>
      <c r="AA535" s="53">
        <f t="shared" ref="AA535" si="6922">AVERAGE(Z483,Z431,Z379)</f>
        <v>248977.08333333334</v>
      </c>
      <c r="AB535" s="59">
        <f t="shared" ref="AB535" si="6923">((Y535/Y483)-1)*100</f>
        <v>48.519541123857678</v>
      </c>
      <c r="AC535" s="59">
        <f t="shared" ref="AC535" si="6924">((Z535/Z483)-1)*100</f>
        <v>29.102492209696408</v>
      </c>
      <c r="AD535" s="59">
        <f t="shared" ref="AD535" si="6925">((Z535/AA535)-1)*100</f>
        <v>31.999096302370521</v>
      </c>
      <c r="AF535" s="53">
        <v>0</v>
      </c>
      <c r="AG535" s="53">
        <v>0</v>
      </c>
      <c r="AH535" s="53">
        <v>0</v>
      </c>
      <c r="AI535" s="53">
        <f t="shared" si="6720"/>
        <v>0</v>
      </c>
      <c r="AJ535" s="53">
        <f t="shared" ref="AJ535" si="6926">AVERAGE(AI532,AI533,AI534,AI535)</f>
        <v>4737.5</v>
      </c>
      <c r="AK535" s="53">
        <f t="shared" ref="AK535" si="6927">AVERAGE(AJ483,AJ431,AJ379)</f>
        <v>4783.333333333333</v>
      </c>
      <c r="AL535" s="59">
        <f t="shared" ref="AL535" si="6928">((AI535/AI483)-1)*100</f>
        <v>-100</v>
      </c>
      <c r="AM535" s="59">
        <f t="shared" ref="AM535" si="6929">((AJ535/AJ483)-1)*100</f>
        <v>184.96240601503757</v>
      </c>
      <c r="AN535" s="59">
        <f t="shared" ref="AN535" si="6930">((AJ535/AK535)-1)*100</f>
        <v>-0.95818815331010221</v>
      </c>
      <c r="AP535" s="60">
        <f t="shared" ref="AP535:AP536" si="6931">SUM(B535,L535,V535,AF535)</f>
        <v>192250</v>
      </c>
      <c r="AQ535" s="60">
        <f t="shared" ref="AQ535:AQ536" si="6932">SUM(C535,M535,W535,AG535)</f>
        <v>283818</v>
      </c>
      <c r="AR535" s="60">
        <f t="shared" ref="AR535:AR536" si="6933">SUM(D535,N535,X535,AH535)</f>
        <v>22400</v>
      </c>
      <c r="AS535" s="60">
        <f t="shared" ref="AS535:AS536" si="6934">SUM(E535,O535,Y535,AI535)</f>
        <v>498468</v>
      </c>
      <c r="AT535" s="60">
        <f t="shared" si="6896"/>
        <v>454632</v>
      </c>
      <c r="AU535" s="53">
        <f t="shared" ref="AU535" si="6935">AVERAGE(AT483,AT431,AT379)</f>
        <v>560950</v>
      </c>
      <c r="AV535" s="59">
        <f t="shared" ref="AV535" si="6936">((AS535/AS483)-1)*100</f>
        <v>-19.724937595619618</v>
      </c>
      <c r="AW535" s="59">
        <f t="shared" ref="AW535" si="6937">((AT535/AT483)-1)*100</f>
        <v>-24.769284994464826</v>
      </c>
      <c r="AX535" s="59">
        <f t="shared" ref="AX535" si="6938">((AT535/AU535)-1)*100</f>
        <v>-18.9532043854176</v>
      </c>
      <c r="AZ535" s="53">
        <f t="shared" ref="AZ535" si="6939">+E535/1000</f>
        <v>60.1</v>
      </c>
      <c r="BA535" s="53">
        <f t="shared" ref="BA535" si="6940">+O535/1000</f>
        <v>56.45</v>
      </c>
      <c r="BB535" s="53">
        <f t="shared" ref="BB535" si="6941">+Y535/1000</f>
        <v>381.91800000000001</v>
      </c>
      <c r="BC535" s="53">
        <f t="shared" ref="BC535" si="6942">+AI535/1000</f>
        <v>0</v>
      </c>
      <c r="BD535" s="53">
        <f t="shared" si="6846"/>
        <v>498.46800000000002</v>
      </c>
      <c r="BE535" s="60">
        <f t="shared" si="6872"/>
        <v>298.08800000000002</v>
      </c>
      <c r="BF535" s="60">
        <f t="shared" ref="BF535" si="6943">BF534+BA535</f>
        <v>186.89999999999998</v>
      </c>
      <c r="BG535" s="60">
        <f t="shared" ref="BG535" si="6944">BG534+BB535</f>
        <v>1314.5900000000001</v>
      </c>
      <c r="BH535" s="60">
        <f t="shared" ref="BH535" si="6945">BH534+BC535</f>
        <v>18.95</v>
      </c>
      <c r="BI535" s="60">
        <f t="shared" ref="BI535" si="6946">BI534+BD535</f>
        <v>1818.528</v>
      </c>
      <c r="BJ535" s="60">
        <v>4</v>
      </c>
    </row>
    <row r="536" spans="1:62" x14ac:dyDescent="0.3">
      <c r="A536" s="48">
        <f t="shared" si="5522"/>
        <v>41307</v>
      </c>
      <c r="B536" s="64">
        <v>59000</v>
      </c>
      <c r="C536" s="64">
        <v>31750</v>
      </c>
      <c r="D536" s="53">
        <v>0</v>
      </c>
      <c r="E536" s="64">
        <f t="shared" si="6626"/>
        <v>90750</v>
      </c>
      <c r="F536" s="53">
        <f t="shared" ref="F536" si="6947">AVERAGE(E533,E534,E535,E536)</f>
        <v>81997</v>
      </c>
      <c r="G536" s="53">
        <f t="shared" ref="G536" si="6948">AVERAGE(F484,F432,F380)</f>
        <v>309585.16666666669</v>
      </c>
      <c r="H536" s="59">
        <f t="shared" ref="H536" si="6949">((E536/E484)-1)*100</f>
        <v>-75.74618887772337</v>
      </c>
      <c r="I536" s="59">
        <f t="shared" ref="I536" si="6950">((F536/F484)-1)*100</f>
        <v>-76.78684162101716</v>
      </c>
      <c r="J536" s="59">
        <f t="shared" ref="J536" si="6951">((F536/G536)-1)*100</f>
        <v>-73.513911896080302</v>
      </c>
      <c r="L536" s="53">
        <v>0</v>
      </c>
      <c r="M536" s="53">
        <v>19050</v>
      </c>
      <c r="N536" s="53">
        <v>21000</v>
      </c>
      <c r="O536" s="53">
        <f t="shared" ref="O536" si="6952">SUM(L536:N536)</f>
        <v>40050</v>
      </c>
      <c r="P536" s="53">
        <f t="shared" ref="P536" si="6953">AVERAGE(O533,O534,O535,O536)</f>
        <v>51337.5</v>
      </c>
      <c r="Q536" s="53">
        <f t="shared" ref="Q536" si="6954">AVERAGE(P484,P432,P380)</f>
        <v>25553</v>
      </c>
      <c r="R536" s="59">
        <f t="shared" ref="R536" si="6955">((O536/O484)-1)*100</f>
        <v>45.636363636363633</v>
      </c>
      <c r="S536" s="59">
        <f t="shared" ref="S536" si="6956">((P536/P484)-1)*100</f>
        <v>94.301988910546328</v>
      </c>
      <c r="T536" s="59">
        <f t="shared" ref="T536" si="6957">((P536/Q536)-1)*100</f>
        <v>100.90596016123352</v>
      </c>
      <c r="V536" s="64">
        <v>102100</v>
      </c>
      <c r="W536" s="64">
        <v>171604</v>
      </c>
      <c r="X536" s="64">
        <v>22800</v>
      </c>
      <c r="Y536" s="64">
        <f t="shared" ref="Y536" si="6958">SUM(V536:X536)</f>
        <v>296504</v>
      </c>
      <c r="Z536" s="53">
        <f t="shared" ref="Z536" si="6959">AVERAGE(Y533,Y534,Y535,Y536)</f>
        <v>327261</v>
      </c>
      <c r="AA536" s="53">
        <f t="shared" ref="AA536" si="6960">AVERAGE(Z484,Z432,Z380)</f>
        <v>261760.33333333334</v>
      </c>
      <c r="AB536" s="59">
        <f t="shared" ref="AB536" si="6961">((Y536/Y484)-1)*100</f>
        <v>-5.2018390275406556</v>
      </c>
      <c r="AC536" s="59">
        <f t="shared" ref="AC536" si="6962">((Z536/Z484)-1)*100</f>
        <v>19.25562937798755</v>
      </c>
      <c r="AD536" s="59">
        <f t="shared" ref="AD536" si="6963">((Z536/AA536)-1)*100</f>
        <v>25.02314458136641</v>
      </c>
      <c r="AF536" s="53">
        <v>0</v>
      </c>
      <c r="AG536" s="53">
        <v>0</v>
      </c>
      <c r="AH536" s="53">
        <v>1400</v>
      </c>
      <c r="AI536" s="53">
        <f t="shared" si="6720"/>
        <v>1400</v>
      </c>
      <c r="AJ536" s="53">
        <f t="shared" ref="AJ536" si="6964">AVERAGE(AI533,AI534,AI535,AI536)</f>
        <v>4212.5</v>
      </c>
      <c r="AK536" s="53">
        <f t="shared" ref="AK536" si="6965">AVERAGE(AJ484,AJ432,AJ380)</f>
        <v>5962.5</v>
      </c>
      <c r="AL536" s="59">
        <f t="shared" ref="AL536" si="6966">((AI536/AI484)-1)*100</f>
        <v>-76.666666666666657</v>
      </c>
      <c r="AM536" s="59">
        <f t="shared" ref="AM536" si="6967">((AJ536/AJ484)-1)*100</f>
        <v>33.201581027667991</v>
      </c>
      <c r="AN536" s="59">
        <f t="shared" ref="AN536" si="6968">((AJ536/AK536)-1)*100</f>
        <v>-29.350104821802937</v>
      </c>
      <c r="AP536" s="60">
        <f t="shared" si="6931"/>
        <v>161100</v>
      </c>
      <c r="AQ536" s="60">
        <f t="shared" si="6932"/>
        <v>222404</v>
      </c>
      <c r="AR536" s="60">
        <f t="shared" si="6933"/>
        <v>45200</v>
      </c>
      <c r="AS536" s="60">
        <f t="shared" si="6934"/>
        <v>428704</v>
      </c>
      <c r="AT536" s="60">
        <f t="shared" si="6896"/>
        <v>464808</v>
      </c>
      <c r="AU536" s="53">
        <f t="shared" ref="AU536" si="6969">AVERAGE(AT484,AT432,AT380)</f>
        <v>602861</v>
      </c>
      <c r="AV536" s="59">
        <f t="shared" ref="AV536" si="6970">((AS536/AS484)-1)*100</f>
        <v>-40.49430766113025</v>
      </c>
      <c r="AW536" s="59">
        <f t="shared" ref="AW536" si="6971">((AT536/AT484)-1)*100</f>
        <v>-29.278667759623122</v>
      </c>
      <c r="AX536" s="59">
        <f t="shared" ref="AX536" si="6972">((AT536/AU536)-1)*100</f>
        <v>-22.899640215572081</v>
      </c>
      <c r="AZ536" s="53">
        <f t="shared" ref="AZ536" si="6973">+E536/1000</f>
        <v>90.75</v>
      </c>
      <c r="BA536" s="53">
        <f t="shared" ref="BA536" si="6974">+O536/1000</f>
        <v>40.049999999999997</v>
      </c>
      <c r="BB536" s="53">
        <f t="shared" ref="BB536" si="6975">+Y536/1000</f>
        <v>296.50400000000002</v>
      </c>
      <c r="BC536" s="53">
        <f t="shared" ref="BC536" si="6976">+AI536/1000</f>
        <v>1.4</v>
      </c>
      <c r="BD536" s="53">
        <f t="shared" si="6846"/>
        <v>428.70400000000001</v>
      </c>
      <c r="BE536" s="60">
        <f t="shared" si="6872"/>
        <v>388.83800000000002</v>
      </c>
      <c r="BF536" s="60">
        <f t="shared" ref="BF536" si="6977">BF535+BA536</f>
        <v>226.95</v>
      </c>
      <c r="BG536" s="60">
        <f t="shared" ref="BG536" si="6978">BG535+BB536</f>
        <v>1611.0940000000001</v>
      </c>
      <c r="BH536" s="60">
        <f t="shared" ref="BH536" si="6979">BH535+BC536</f>
        <v>20.349999999999998</v>
      </c>
      <c r="BI536" s="60">
        <f t="shared" ref="BI536" si="6980">BI535+BD536</f>
        <v>2247.232</v>
      </c>
      <c r="BJ536" s="60">
        <v>5</v>
      </c>
    </row>
    <row r="537" spans="1:62" x14ac:dyDescent="0.3">
      <c r="A537" s="48">
        <f t="shared" si="5522"/>
        <v>41314</v>
      </c>
      <c r="B537" s="64">
        <v>49700</v>
      </c>
      <c r="C537" s="64">
        <v>17236</v>
      </c>
      <c r="D537" s="53">
        <v>0</v>
      </c>
      <c r="E537" s="64">
        <f t="shared" ref="E537:E540" si="6981">SUM(B537:D537)</f>
        <v>66936</v>
      </c>
      <c r="F537" s="53">
        <f t="shared" ref="F537" si="6982">AVERAGE(E534,E535,E536,E537)</f>
        <v>86709</v>
      </c>
      <c r="G537" s="53">
        <f t="shared" ref="G537" si="6983">AVERAGE(F485,F433,F381)</f>
        <v>330356</v>
      </c>
      <c r="H537" s="59">
        <f t="shared" ref="H537" si="6984">((E537/E485)-1)*100</f>
        <v>-84.491195551436519</v>
      </c>
      <c r="I537" s="59">
        <f t="shared" ref="I537" si="6985">((F537/F485)-1)*100</f>
        <v>-76.963112924823051</v>
      </c>
      <c r="J537" s="59">
        <f t="shared" ref="J537" si="6986">((F537/G537)-1)*100</f>
        <v>-73.752860550436509</v>
      </c>
      <c r="L537" s="53">
        <v>11200</v>
      </c>
      <c r="M537" s="53">
        <v>52350</v>
      </c>
      <c r="N537" s="53">
        <v>29400</v>
      </c>
      <c r="O537" s="53">
        <f t="shared" ref="O537" si="6987">SUM(L537:N537)</f>
        <v>92950</v>
      </c>
      <c r="P537" s="53">
        <f t="shared" ref="P537" si="6988">AVERAGE(O534,O535,O536,O537)</f>
        <v>60875</v>
      </c>
      <c r="Q537" s="53">
        <f t="shared" ref="Q537" si="6989">AVERAGE(P485,P433,P381)</f>
        <v>23825</v>
      </c>
      <c r="R537" s="59">
        <f t="shared" ref="R537" si="6990">((O537/O485)-1)*100</f>
        <v>288.10020876826724</v>
      </c>
      <c r="S537" s="59">
        <f t="shared" ref="S537" si="6991">((P537/P485)-1)*100</f>
        <v>132.23652837386743</v>
      </c>
      <c r="T537" s="59">
        <f t="shared" ref="T537" si="6992">((P537/Q537)-1)*100</f>
        <v>155.50891920251834</v>
      </c>
      <c r="V537" s="64">
        <v>127225</v>
      </c>
      <c r="W537" s="64">
        <v>176512</v>
      </c>
      <c r="X537" s="64">
        <v>16800</v>
      </c>
      <c r="Y537" s="64">
        <f t="shared" ref="Y537" si="6993">SUM(V537:X537)</f>
        <v>320537</v>
      </c>
      <c r="Z537" s="53">
        <f t="shared" ref="Z537" si="6994">AVERAGE(Y534,Y535,Y536,Y537)</f>
        <v>333352.25</v>
      </c>
      <c r="AA537" s="53">
        <f t="shared" ref="AA537" si="6995">AVERAGE(Z485,Z433,Z381)</f>
        <v>271975.75</v>
      </c>
      <c r="AB537" s="59">
        <f t="shared" ref="AB537" si="6996">((Y537/Y485)-1)*100</f>
        <v>-7.1445538818076475</v>
      </c>
      <c r="AC537" s="59">
        <f t="shared" ref="AC537" si="6997">((Z537/Z485)-1)*100</f>
        <v>10.377062519815006</v>
      </c>
      <c r="AD537" s="59">
        <f t="shared" ref="AD537" si="6998">((Z537/AA537)-1)*100</f>
        <v>22.566901644723835</v>
      </c>
      <c r="AF537" s="53">
        <v>0</v>
      </c>
      <c r="AG537" s="53">
        <v>15450</v>
      </c>
      <c r="AH537" s="53">
        <v>0</v>
      </c>
      <c r="AI537" s="53">
        <f t="shared" si="6720"/>
        <v>15450</v>
      </c>
      <c r="AJ537" s="53">
        <f t="shared" ref="AJ537" si="6999">AVERAGE(AI534,AI535,AI536,AI537)</f>
        <v>7637.5</v>
      </c>
      <c r="AK537" s="53">
        <f t="shared" ref="AK537" si="7000">AVERAGE(AJ485,AJ433,AJ381)</f>
        <v>7145.833333333333</v>
      </c>
      <c r="AL537" s="59">
        <f t="shared" ref="AL537" si="7001">((AI537/AI485)-1)*100</f>
        <v>50</v>
      </c>
      <c r="AM537" s="59">
        <f t="shared" ref="AM537" si="7002">((AJ537/AJ485)-1)*100</f>
        <v>33.115468409586057</v>
      </c>
      <c r="AN537" s="59">
        <f t="shared" ref="AN537" si="7003">((AJ537/AK537)-1)*100</f>
        <v>6.8804664723032039</v>
      </c>
      <c r="AP537" s="60">
        <f t="shared" ref="AP537" si="7004">SUM(B537,L537,V537,AF537)</f>
        <v>188125</v>
      </c>
      <c r="AQ537" s="60">
        <f t="shared" ref="AQ537" si="7005">SUM(C537,M537,W537,AG537)</f>
        <v>261548</v>
      </c>
      <c r="AR537" s="60">
        <f t="shared" ref="AR537" si="7006">SUM(D537,N537,X537,AH537)</f>
        <v>46200</v>
      </c>
      <c r="AS537" s="60">
        <f t="shared" ref="AS537" si="7007">SUM(E537,O537,Y537,AI537)</f>
        <v>495873</v>
      </c>
      <c r="AT537" s="60">
        <f t="shared" si="6896"/>
        <v>488573.75</v>
      </c>
      <c r="AU537" s="53">
        <f t="shared" ref="AU537" si="7008">AVERAGE(AT485,AT433,AT381)</f>
        <v>633302.58333333337</v>
      </c>
      <c r="AV537" s="59">
        <f t="shared" ref="AV537" si="7009">((AS537/AS485)-1)*100</f>
        <v>-38.86036619197337</v>
      </c>
      <c r="AW537" s="59">
        <f t="shared" ref="AW537" si="7010">((AT537/AT485)-1)*100</f>
        <v>-31.221112564611254</v>
      </c>
      <c r="AX537" s="59">
        <f t="shared" ref="AX537" si="7011">((AT537/AU537)-1)*100</f>
        <v>-22.853030627408099</v>
      </c>
      <c r="AZ537" s="53">
        <f t="shared" ref="AZ537" si="7012">+E537/1000</f>
        <v>66.936000000000007</v>
      </c>
      <c r="BA537" s="53">
        <f t="shared" ref="BA537" si="7013">+O537/1000</f>
        <v>92.95</v>
      </c>
      <c r="BB537" s="53">
        <f t="shared" ref="BB537" si="7014">+Y537/1000</f>
        <v>320.53699999999998</v>
      </c>
      <c r="BC537" s="53">
        <f t="shared" ref="BC537" si="7015">+AI537/1000</f>
        <v>15.45</v>
      </c>
      <c r="BD537" s="53">
        <f t="shared" si="6846"/>
        <v>495.87299999999999</v>
      </c>
      <c r="BE537" s="60">
        <f t="shared" si="6872"/>
        <v>455.774</v>
      </c>
      <c r="BF537" s="60">
        <f t="shared" ref="BF537" si="7016">BF536+BA537</f>
        <v>319.89999999999998</v>
      </c>
      <c r="BG537" s="60">
        <f t="shared" ref="BG537" si="7017">BG536+BB537</f>
        <v>1931.6310000000001</v>
      </c>
      <c r="BH537" s="60">
        <f t="shared" ref="BH537" si="7018">BH536+BC537</f>
        <v>35.799999999999997</v>
      </c>
      <c r="BI537" s="60">
        <f t="shared" ref="BI537" si="7019">BI536+BD537</f>
        <v>2743.105</v>
      </c>
      <c r="BJ537" s="60">
        <v>6</v>
      </c>
    </row>
    <row r="538" spans="1:62" x14ac:dyDescent="0.3">
      <c r="A538" s="48">
        <f t="shared" si="5522"/>
        <v>41321</v>
      </c>
      <c r="B538" s="64">
        <v>104200</v>
      </c>
      <c r="C538" s="64">
        <v>32500</v>
      </c>
      <c r="D538" s="53">
        <v>0</v>
      </c>
      <c r="E538" s="64">
        <f t="shared" si="6981"/>
        <v>136700</v>
      </c>
      <c r="F538" s="53">
        <f t="shared" ref="F538" si="7020">AVERAGE(E535,E536,E537,E538)</f>
        <v>88621.5</v>
      </c>
      <c r="G538" s="53">
        <f t="shared" ref="G538" si="7021">AVERAGE(F486,F434,F382)</f>
        <v>342653.5</v>
      </c>
      <c r="H538" s="59">
        <f t="shared" ref="H538" si="7022">((E538/E486)-1)*100</f>
        <v>-66.265738131314379</v>
      </c>
      <c r="I538" s="59">
        <f t="shared" ref="I538" si="7023">((F538/F486)-1)*100</f>
        <v>-77.179169585101562</v>
      </c>
      <c r="J538" s="59">
        <f t="shared" ref="J538" si="7024">((F538/G538)-1)*100</f>
        <v>-74.136700777899534</v>
      </c>
      <c r="L538" s="53">
        <v>32900</v>
      </c>
      <c r="M538" s="53">
        <v>52200</v>
      </c>
      <c r="N538" s="53">
        <v>21400</v>
      </c>
      <c r="O538" s="53">
        <f t="shared" ref="O538" si="7025">SUM(L538:N538)</f>
        <v>106500</v>
      </c>
      <c r="P538" s="53">
        <f t="shared" ref="P538" si="7026">AVERAGE(O535,O536,O537,O538)</f>
        <v>73987.5</v>
      </c>
      <c r="Q538" s="53">
        <f t="shared" ref="Q538" si="7027">AVERAGE(P486,P434,P382)</f>
        <v>21864.583333333332</v>
      </c>
      <c r="R538" s="59">
        <f t="shared" ref="R538" si="7028">((O538/O486)-1)*100</f>
        <v>217.91044776119404</v>
      </c>
      <c r="S538" s="59">
        <f t="shared" ref="S538" si="7029">((P538/P486)-1)*100</f>
        <v>192.58526940187841</v>
      </c>
      <c r="T538" s="59">
        <f t="shared" ref="T538" si="7030">((P538/Q538)-1)*100</f>
        <v>238.38970938542167</v>
      </c>
      <c r="V538" s="64">
        <v>95900</v>
      </c>
      <c r="W538" s="64">
        <v>93248</v>
      </c>
      <c r="X538" s="64">
        <v>8400</v>
      </c>
      <c r="Y538" s="64">
        <f t="shared" ref="Y538" si="7031">SUM(V538:X538)</f>
        <v>197548</v>
      </c>
      <c r="Z538" s="53">
        <f t="shared" ref="Z538" si="7032">AVERAGE(Y535,Y536,Y537,Y538)</f>
        <v>299126.75</v>
      </c>
      <c r="AA538" s="53">
        <f t="shared" ref="AA538" si="7033">AVERAGE(Z486,Z434,Z382)</f>
        <v>260826.25</v>
      </c>
      <c r="AB538" s="59">
        <f t="shared" ref="AB538" si="7034">((Y538/Y486)-1)*100</f>
        <v>-15.360754070265637</v>
      </c>
      <c r="AC538" s="59">
        <f t="shared" ref="AC538" si="7035">((Z538/Z486)-1)*100</f>
        <v>4.177796894100605</v>
      </c>
      <c r="AD538" s="59">
        <f t="shared" ref="AD538" si="7036">((Z538/AA538)-1)*100</f>
        <v>14.684296538404396</v>
      </c>
      <c r="AF538" s="53">
        <v>0</v>
      </c>
      <c r="AG538" s="53">
        <v>6720</v>
      </c>
      <c r="AH538" s="53">
        <v>0</v>
      </c>
      <c r="AI538" s="53">
        <f t="shared" si="6720"/>
        <v>6720</v>
      </c>
      <c r="AJ538" s="53">
        <f t="shared" ref="AJ538" si="7037">AVERAGE(AI535,AI536,AI537,AI538)</f>
        <v>5892.5</v>
      </c>
      <c r="AK538" s="53">
        <f t="shared" ref="AK538" si="7038">AVERAGE(AJ486,AJ434,AJ382)</f>
        <v>8312.5</v>
      </c>
      <c r="AL538" s="59">
        <f t="shared" ref="AL538" si="7039">((AI538/AI486)-1)*100</f>
        <v>-25.333333333333329</v>
      </c>
      <c r="AM538" s="59">
        <f t="shared" ref="AM538" si="7040">((AJ538/AJ486)-1)*100</f>
        <v>-22.847790507364973</v>
      </c>
      <c r="AN538" s="59">
        <f t="shared" ref="AN538" si="7041">((AJ538/AK538)-1)*100</f>
        <v>-29.112781954887225</v>
      </c>
      <c r="AP538" s="60">
        <f t="shared" ref="AP538:AP540" si="7042">SUM(B538,L538,V538,AF538)</f>
        <v>233000</v>
      </c>
      <c r="AQ538" s="60">
        <f t="shared" ref="AQ538:AQ540" si="7043">SUM(C538,M538,W538,AG538)</f>
        <v>184668</v>
      </c>
      <c r="AR538" s="60">
        <f t="shared" ref="AR538:AR540" si="7044">SUM(D538,N538,X538,AH538)</f>
        <v>29800</v>
      </c>
      <c r="AS538" s="60">
        <f t="shared" ref="AS538:AS540" si="7045">SUM(E538,O538,Y538,AI538)</f>
        <v>447468</v>
      </c>
      <c r="AT538" s="60">
        <f t="shared" si="6896"/>
        <v>467628.25</v>
      </c>
      <c r="AU538" s="53">
        <f t="shared" ref="AU538" si="7046">AVERAGE(AT486,AT434,AT382)</f>
        <v>633656.83333333337</v>
      </c>
      <c r="AV538" s="59">
        <f t="shared" ref="AV538" si="7047">((AS538/AS486)-1)*100</f>
        <v>-34.304666097021695</v>
      </c>
      <c r="AW538" s="59">
        <f t="shared" ref="AW538" si="7048">((AT538/AT486)-1)*100</f>
        <v>-33.987361517351978</v>
      </c>
      <c r="AX538" s="59">
        <f t="shared" ref="AX538" si="7049">((AT538/AU538)-1)*100</f>
        <v>-26.201655943635117</v>
      </c>
      <c r="AZ538" s="53">
        <f t="shared" ref="AZ538" si="7050">+E538/1000</f>
        <v>136.69999999999999</v>
      </c>
      <c r="BA538" s="53">
        <f t="shared" ref="BA538" si="7051">+O538/1000</f>
        <v>106.5</v>
      </c>
      <c r="BB538" s="53">
        <f t="shared" ref="BB538" si="7052">+Y538/1000</f>
        <v>197.548</v>
      </c>
      <c r="BC538" s="53">
        <f t="shared" ref="BC538" si="7053">+AI538/1000</f>
        <v>6.72</v>
      </c>
      <c r="BD538" s="53">
        <f t="shared" ref="BD538" si="7054">+AS538/1000</f>
        <v>447.46800000000002</v>
      </c>
      <c r="BE538" s="60">
        <f t="shared" si="6872"/>
        <v>592.47399999999993</v>
      </c>
      <c r="BF538" s="60">
        <f t="shared" ref="BF538" si="7055">BF537+BA538</f>
        <v>426.4</v>
      </c>
      <c r="BG538" s="60">
        <f t="shared" ref="BG538" si="7056">BG537+BB538</f>
        <v>2129.1790000000001</v>
      </c>
      <c r="BH538" s="60">
        <f t="shared" ref="BH538" si="7057">BH537+BC538</f>
        <v>42.519999999999996</v>
      </c>
      <c r="BI538" s="60">
        <f t="shared" ref="BI538" si="7058">BI537+BD538</f>
        <v>3190.5729999999999</v>
      </c>
      <c r="BJ538" s="60">
        <v>7</v>
      </c>
    </row>
    <row r="539" spans="1:62" x14ac:dyDescent="0.3">
      <c r="A539" s="48">
        <f t="shared" si="5522"/>
        <v>41328</v>
      </c>
      <c r="B539" s="64">
        <v>57037</v>
      </c>
      <c r="C539" s="64">
        <v>54974</v>
      </c>
      <c r="D539" s="53">
        <v>0</v>
      </c>
      <c r="E539" s="64">
        <f t="shared" si="6981"/>
        <v>112011</v>
      </c>
      <c r="F539" s="53">
        <f t="shared" ref="F539:F540" si="7059">AVERAGE(E536,E537,E538,E539)</f>
        <v>101599.25</v>
      </c>
      <c r="G539" s="53">
        <f t="shared" ref="G539" si="7060">AVERAGE(F487,F435,F383)</f>
        <v>340751</v>
      </c>
      <c r="H539" s="59">
        <f t="shared" ref="H539" si="7061">((E539/E487)-1)*100</f>
        <v>-61.850153946758944</v>
      </c>
      <c r="I539" s="59">
        <f t="shared" ref="I539" si="7062">((F539/F487)-1)*100</f>
        <v>-72.989734162256866</v>
      </c>
      <c r="J539" s="59">
        <f t="shared" ref="J539" si="7063">((F539/G539)-1)*100</f>
        <v>-70.183726533451107</v>
      </c>
      <c r="L539" s="53">
        <v>49300</v>
      </c>
      <c r="M539" s="53">
        <v>21650</v>
      </c>
      <c r="N539" s="53">
        <v>50400</v>
      </c>
      <c r="O539" s="53">
        <f t="shared" ref="O539:O540" si="7064">SUM(L539:N539)</f>
        <v>121350</v>
      </c>
      <c r="P539" s="53">
        <f t="shared" ref="P539" si="7065">AVERAGE(O536,O537,O538,O539)</f>
        <v>90212.5</v>
      </c>
      <c r="Q539" s="53">
        <f t="shared" ref="Q539" si="7066">AVERAGE(P487,P435,P383)</f>
        <v>21017.083333333332</v>
      </c>
      <c r="R539" s="59">
        <f t="shared" ref="R539" si="7067">((O539/O487)-1)*100</f>
        <v>333.7026447462473</v>
      </c>
      <c r="S539" s="59">
        <f t="shared" ref="S539" si="7068">((P539/P487)-1)*100</f>
        <v>219.53422474098997</v>
      </c>
      <c r="T539" s="59">
        <f t="shared" ref="T539" si="7069">((P539/Q539)-1)*100</f>
        <v>329.23415475506033</v>
      </c>
      <c r="V539" s="64">
        <v>64500</v>
      </c>
      <c r="W539" s="64">
        <v>111968</v>
      </c>
      <c r="X539" s="64">
        <v>8400</v>
      </c>
      <c r="Y539" s="64">
        <f t="shared" ref="Y539:Y540" si="7070">SUM(V539:X539)</f>
        <v>184868</v>
      </c>
      <c r="Z539" s="53">
        <f t="shared" ref="Z539" si="7071">AVERAGE(Y536,Y537,Y538,Y539)</f>
        <v>249864.25</v>
      </c>
      <c r="AA539" s="53">
        <f t="shared" ref="AA539" si="7072">AVERAGE(Z487,Z435,Z383)</f>
        <v>249654</v>
      </c>
      <c r="AB539" s="59">
        <f t="shared" ref="AB539" si="7073">((Y539/Y487)-1)*100</f>
        <v>-1.4694203864090594</v>
      </c>
      <c r="AC539" s="59">
        <f t="shared" ref="AC539" si="7074">((Z539/Z487)-1)*100</f>
        <v>-7.3718325966937837</v>
      </c>
      <c r="AD539" s="59">
        <f t="shared" ref="AD539" si="7075">((Z539/AA539)-1)*100</f>
        <v>8.4216555713112484E-2</v>
      </c>
      <c r="AF539" s="53">
        <v>0</v>
      </c>
      <c r="AG539" s="53">
        <v>3450</v>
      </c>
      <c r="AH539" s="53">
        <v>0</v>
      </c>
      <c r="AI539" s="53">
        <f t="shared" si="6720"/>
        <v>3450</v>
      </c>
      <c r="AJ539" s="53">
        <f t="shared" ref="AJ539" si="7076">AVERAGE(AI536,AI537,AI538,AI539)</f>
        <v>6755</v>
      </c>
      <c r="AK539" s="53">
        <f t="shared" ref="AK539" si="7077">AVERAGE(AJ487,AJ435,AJ383)</f>
        <v>8133.333333333333</v>
      </c>
      <c r="AL539" s="59">
        <f t="shared" ref="AL539" si="7078">((AI539/AI487)-1)*100</f>
        <v>-23.333333333333329</v>
      </c>
      <c r="AM539" s="59">
        <f t="shared" ref="AM539" si="7079">((AJ539/AJ487)-1)*100</f>
        <v>-9.3288590604026833</v>
      </c>
      <c r="AN539" s="59">
        <f t="shared" ref="AN539" si="7080">((AJ539/AK539)-1)*100</f>
        <v>-16.946721311475411</v>
      </c>
      <c r="AP539" s="60">
        <f t="shared" si="7042"/>
        <v>170837</v>
      </c>
      <c r="AQ539" s="60">
        <f t="shared" si="7043"/>
        <v>192042</v>
      </c>
      <c r="AR539" s="60">
        <f t="shared" si="7044"/>
        <v>58800</v>
      </c>
      <c r="AS539" s="60">
        <f t="shared" si="7045"/>
        <v>421679</v>
      </c>
      <c r="AT539" s="60">
        <f t="shared" si="6896"/>
        <v>448431</v>
      </c>
      <c r="AU539" s="53">
        <f t="shared" ref="AU539" si="7081">AVERAGE(AT487,AT435,AT383)</f>
        <v>619555.41666666663</v>
      </c>
      <c r="AV539" s="59">
        <f t="shared" ref="AV539" si="7082">((AS539/AS487)-1)*100</f>
        <v>-17.915450845121693</v>
      </c>
      <c r="AW539" s="59">
        <f t="shared" ref="AW539" si="7083">((AT539/AT487)-1)*100</f>
        <v>-34.207401815847014</v>
      </c>
      <c r="AX539" s="59">
        <f t="shared" ref="AX539" si="7084">((AT539/AU539)-1)*100</f>
        <v>-27.620518207612577</v>
      </c>
      <c r="AZ539" s="53">
        <f t="shared" ref="AZ539:AZ540" si="7085">+E539/1000</f>
        <v>112.011</v>
      </c>
      <c r="BA539" s="53">
        <f t="shared" ref="BA539:BA540" si="7086">+O539/1000</f>
        <v>121.35</v>
      </c>
      <c r="BB539" s="53">
        <f t="shared" ref="BB539:BB540" si="7087">+Y539/1000</f>
        <v>184.86799999999999</v>
      </c>
      <c r="BC539" s="53">
        <f t="shared" ref="BC539:BC540" si="7088">+AI539/1000</f>
        <v>3.45</v>
      </c>
      <c r="BD539" s="53">
        <f t="shared" ref="BD539:BD540" si="7089">+AS539/1000</f>
        <v>421.67899999999997</v>
      </c>
      <c r="BE539" s="60">
        <f t="shared" ref="BE539" si="7090">BE538+AZ539</f>
        <v>704.4849999999999</v>
      </c>
      <c r="BF539" s="60">
        <f t="shared" ref="BF539" si="7091">BF538+BA539</f>
        <v>547.75</v>
      </c>
      <c r="BG539" s="60">
        <f t="shared" ref="BG539" si="7092">BG538+BB539</f>
        <v>2314.047</v>
      </c>
      <c r="BH539" s="60">
        <f t="shared" ref="BH539" si="7093">BH538+BC539</f>
        <v>45.97</v>
      </c>
      <c r="BI539" s="60">
        <f t="shared" ref="BI539" si="7094">BI538+BD539</f>
        <v>3612.252</v>
      </c>
      <c r="BJ539" s="60">
        <v>8</v>
      </c>
    </row>
    <row r="540" spans="1:62" s="64" customFormat="1" x14ac:dyDescent="0.3">
      <c r="A540" s="48">
        <f t="shared" si="5522"/>
        <v>41335</v>
      </c>
      <c r="B540" s="64">
        <v>49600</v>
      </c>
      <c r="C540" s="64">
        <v>74600</v>
      </c>
      <c r="D540" s="53">
        <v>0</v>
      </c>
      <c r="E540" s="64">
        <f t="shared" si="6981"/>
        <v>124200</v>
      </c>
      <c r="F540" s="71">
        <f t="shared" si="7059"/>
        <v>109961.75</v>
      </c>
      <c r="G540" s="71">
        <f t="shared" ref="G540" si="7095">AVERAGE(F488,F436,F384)</f>
        <v>348537.75</v>
      </c>
      <c r="H540" s="64">
        <f t="shared" ref="H540" si="7096">((E540/E488)-1)*100</f>
        <v>-55.595280657847688</v>
      </c>
      <c r="I540" s="64">
        <f t="shared" ref="I540" si="7097">((F540/F488)-1)*100</f>
        <v>-68.808141637603242</v>
      </c>
      <c r="J540" s="64">
        <f t="shared" ref="J540" si="7098">((F540/G540)-1)*100</f>
        <v>-68.450548039631286</v>
      </c>
      <c r="L540" s="71">
        <v>60800</v>
      </c>
      <c r="M540" s="71">
        <v>34100</v>
      </c>
      <c r="N540" s="71">
        <v>19200</v>
      </c>
      <c r="O540" s="71">
        <f t="shared" si="7064"/>
        <v>114100</v>
      </c>
      <c r="P540" s="71">
        <f t="shared" ref="P540" si="7099">AVERAGE(O537,O538,O539,O540)</f>
        <v>108725</v>
      </c>
      <c r="Q540" s="71">
        <f t="shared" ref="Q540" si="7100">AVERAGE(P488,P436,P384)</f>
        <v>20100.416666666668</v>
      </c>
      <c r="R540" s="64">
        <f t="shared" ref="R540" si="7101">((O540/O488)-1)*100</f>
        <v>163.51039260969978</v>
      </c>
      <c r="S540" s="64">
        <f t="shared" ref="S540" si="7102">((P540/P488)-1)*100</f>
        <v>237.83888759418937</v>
      </c>
      <c r="T540" s="64">
        <f t="shared" ref="T540" si="7103">((P540/Q540)-1)*100</f>
        <v>440.90918513297811</v>
      </c>
      <c r="V540" s="64">
        <v>32800</v>
      </c>
      <c r="W540" s="64">
        <v>56888</v>
      </c>
      <c r="X540" s="64">
        <v>9800</v>
      </c>
      <c r="Y540" s="64">
        <f t="shared" si="7070"/>
        <v>99488</v>
      </c>
      <c r="Z540" s="71">
        <f t="shared" ref="Z540" si="7104">AVERAGE(Y537,Y538,Y539,Y540)</f>
        <v>200610.25</v>
      </c>
      <c r="AA540" s="71">
        <f t="shared" ref="AA540" si="7105">AVERAGE(Z488,Z436,Z384)</f>
        <v>228112.58333333334</v>
      </c>
      <c r="AB540" s="64">
        <f t="shared" ref="AB540" si="7106">((Y540/Y488)-1)*100</f>
        <v>-48.436317649863689</v>
      </c>
      <c r="AC540" s="64">
        <f t="shared" ref="AC540" si="7107">((Z540/Z488)-1)*100</f>
        <v>-16.339803183387247</v>
      </c>
      <c r="AD540" s="64">
        <f t="shared" ref="AD540" si="7108">((Z540/AA540)-1)*100</f>
        <v>-12.056473576096016</v>
      </c>
      <c r="AF540" s="53">
        <v>0</v>
      </c>
      <c r="AG540" s="53">
        <v>0</v>
      </c>
      <c r="AH540" s="53">
        <v>0</v>
      </c>
      <c r="AI540" s="53">
        <f t="shared" si="6720"/>
        <v>0</v>
      </c>
      <c r="AJ540" s="71">
        <f t="shared" ref="AJ540" si="7109">AVERAGE(AI537,AI538,AI539,AI540)</f>
        <v>6405</v>
      </c>
      <c r="AK540" s="71">
        <f t="shared" ref="AK540" si="7110">AVERAGE(AJ488,AJ436,AJ384)</f>
        <v>7504.166666666667</v>
      </c>
      <c r="AL540" s="64">
        <f t="shared" ref="AL540" si="7111">((AI540/AI488)-1)*100</f>
        <v>-100</v>
      </c>
      <c r="AM540" s="64">
        <f t="shared" ref="AM540" si="7112">((AJ540/AJ488)-1)*100</f>
        <v>-21.169230769230772</v>
      </c>
      <c r="AN540" s="64">
        <f t="shared" ref="AN540" si="7113">((AJ540/AK540)-1)*100</f>
        <v>-14.647418101054976</v>
      </c>
      <c r="AP540" s="64">
        <f t="shared" si="7042"/>
        <v>143200</v>
      </c>
      <c r="AQ540" s="64">
        <f t="shared" si="7043"/>
        <v>165588</v>
      </c>
      <c r="AR540" s="64">
        <f t="shared" si="7044"/>
        <v>29000</v>
      </c>
      <c r="AS540" s="64">
        <f t="shared" si="7045"/>
        <v>337788</v>
      </c>
      <c r="AT540" s="64">
        <f t="shared" si="6896"/>
        <v>425702</v>
      </c>
      <c r="AU540" s="71">
        <f t="shared" ref="AU540" si="7114">AVERAGE(AT488,AT436,AT384)</f>
        <v>604254.91666666663</v>
      </c>
      <c r="AV540" s="64">
        <f t="shared" ref="AV540" si="7115">((AS540/AS488)-1)*100</f>
        <v>-35.615524490986239</v>
      </c>
      <c r="AW540" s="64">
        <f t="shared" ref="AW540" si="7116">((AT540/AT488)-1)*100</f>
        <v>-32.709459002873309</v>
      </c>
      <c r="AX540" s="64">
        <f t="shared" ref="AX540" si="7117">((AT540/AU540)-1)*100</f>
        <v>-29.549269975599422</v>
      </c>
      <c r="AZ540" s="71">
        <f t="shared" si="7085"/>
        <v>124.2</v>
      </c>
      <c r="BA540" s="71">
        <f t="shared" si="7086"/>
        <v>114.1</v>
      </c>
      <c r="BB540" s="71">
        <f t="shared" si="7087"/>
        <v>99.488</v>
      </c>
      <c r="BC540" s="71">
        <f t="shared" si="7088"/>
        <v>0</v>
      </c>
      <c r="BD540" s="71">
        <f t="shared" si="7089"/>
        <v>337.78800000000001</v>
      </c>
      <c r="BE540" s="64">
        <f t="shared" ref="BE540" si="7118">BE539+AZ540</f>
        <v>828.68499999999995</v>
      </c>
      <c r="BF540" s="64">
        <f t="shared" ref="BF540" si="7119">BF539+BA540</f>
        <v>661.85</v>
      </c>
      <c r="BG540" s="64">
        <f t="shared" ref="BG540" si="7120">BG539+BB540</f>
        <v>2413.5349999999999</v>
      </c>
      <c r="BH540" s="64">
        <f t="shared" ref="BH540" si="7121">BH539+BC540</f>
        <v>45.97</v>
      </c>
      <c r="BI540" s="64">
        <f t="shared" ref="BI540" si="7122">BI539+BD540</f>
        <v>3950.04</v>
      </c>
      <c r="BJ540" s="64">
        <v>9</v>
      </c>
    </row>
    <row r="541" spans="1:62" x14ac:dyDescent="0.3">
      <c r="A541" s="48">
        <f t="shared" si="5522"/>
        <v>41342</v>
      </c>
      <c r="B541" s="64">
        <v>133300</v>
      </c>
      <c r="C541" s="64">
        <v>83404</v>
      </c>
      <c r="D541" s="53">
        <v>1400</v>
      </c>
      <c r="E541" s="64">
        <f t="shared" ref="E541" si="7123">SUM(B541:D541)</f>
        <v>218104</v>
      </c>
      <c r="F541" s="71">
        <f t="shared" ref="F541" si="7124">AVERAGE(E538,E539,E540,E541)</f>
        <v>147753.75</v>
      </c>
      <c r="G541" s="71">
        <f t="shared" ref="G541" si="7125">AVERAGE(F489,F437,F385)</f>
        <v>371629.58333333331</v>
      </c>
      <c r="H541" s="64">
        <f t="shared" ref="H541" si="7126">((E541/E489)-1)*100</f>
        <v>-17.463008514664146</v>
      </c>
      <c r="I541" s="64">
        <f t="shared" ref="I541" si="7127">((F541/F489)-1)*100</f>
        <v>-52.444270283492543</v>
      </c>
      <c r="J541" s="64">
        <f t="shared" ref="J541" si="7128">((F541/G541)-1)*100</f>
        <v>-60.241660883204709</v>
      </c>
      <c r="L541" s="71">
        <v>99900</v>
      </c>
      <c r="M541" s="71">
        <v>33500</v>
      </c>
      <c r="N541" s="71">
        <v>25200</v>
      </c>
      <c r="O541" s="71">
        <f t="shared" ref="O541:O542" si="7129">SUM(L541:N541)</f>
        <v>158600</v>
      </c>
      <c r="P541" s="71">
        <f t="shared" ref="P541" si="7130">AVERAGE(O538,O539,O540,O541)</f>
        <v>125137.5</v>
      </c>
      <c r="Q541" s="71">
        <f t="shared" ref="Q541" si="7131">AVERAGE(P489,P437,P385)</f>
        <v>21322.75</v>
      </c>
      <c r="R541" s="64">
        <f t="shared" ref="R541" si="7132">((O541/O489)-1)*100</f>
        <v>304.40614003773777</v>
      </c>
      <c r="S541" s="64">
        <f t="shared" ref="S541" si="7133">((P541/P489)-1)*100</f>
        <v>247.608994569369</v>
      </c>
      <c r="T541" s="64">
        <f t="shared" ref="T541" si="7134">((P541/Q541)-1)*100</f>
        <v>486.87317536434091</v>
      </c>
      <c r="V541" s="64">
        <v>91600</v>
      </c>
      <c r="W541" s="64">
        <v>78711</v>
      </c>
      <c r="X541" s="64">
        <v>9800</v>
      </c>
      <c r="Y541" s="64">
        <f t="shared" ref="Y541" si="7135">SUM(V541:X541)</f>
        <v>180111</v>
      </c>
      <c r="Z541" s="71">
        <f t="shared" ref="Z541" si="7136">AVERAGE(Y538,Y539,Y540,Y541)</f>
        <v>165503.75</v>
      </c>
      <c r="AA541" s="71">
        <f t="shared" ref="AA541" si="7137">AVERAGE(Z489,Z437,Z385)</f>
        <v>208883.66666666666</v>
      </c>
      <c r="AB541" s="64">
        <f t="shared" ref="AB541" si="7138">((Y541/Y489)-1)*100</f>
        <v>-36.479985893140544</v>
      </c>
      <c r="AC541" s="64">
        <f t="shared" ref="AC541" si="7139">((Z541/Z489)-1)*100</f>
        <v>-26.239280147339826</v>
      </c>
      <c r="AD541" s="64">
        <f t="shared" ref="AD541" si="7140">((Z541/AA541)-1)*100</f>
        <v>-20.767500570492981</v>
      </c>
      <c r="AF541" s="53">
        <v>0</v>
      </c>
      <c r="AG541" s="53">
        <v>3500</v>
      </c>
      <c r="AH541" s="53">
        <v>0</v>
      </c>
      <c r="AI541" s="53">
        <f t="shared" si="6720"/>
        <v>3500</v>
      </c>
      <c r="AJ541" s="71">
        <f t="shared" ref="AJ541" si="7141">AVERAGE(AI538,AI539,AI540,AI541)</f>
        <v>3417.5</v>
      </c>
      <c r="AK541" s="71">
        <f t="shared" ref="AK541" si="7142">AVERAGE(AJ489,AJ437,AJ385)</f>
        <v>8262.5</v>
      </c>
      <c r="AL541" s="64">
        <f t="shared" ref="AL541" si="7143">((AI541/AI489)-1)*100</f>
        <v>-45.3125</v>
      </c>
      <c r="AM541" s="64">
        <f t="shared" ref="AM541" si="7144">((AJ541/AJ489)-1)*100</f>
        <v>-52.2027972027972</v>
      </c>
      <c r="AN541" s="64">
        <f t="shared" ref="AN541" si="7145">((AJ541/AK541)-1)*100</f>
        <v>-58.638426626323749</v>
      </c>
      <c r="AP541" s="64">
        <f t="shared" ref="AP541:AP542" si="7146">SUM(B541,L541,V541,AF541)</f>
        <v>324800</v>
      </c>
      <c r="AQ541" s="64">
        <f t="shared" ref="AQ541:AQ542" si="7147">SUM(C541,M541,W541,AG541)</f>
        <v>199115</v>
      </c>
      <c r="AR541" s="64">
        <f t="shared" ref="AR541:AR542" si="7148">SUM(D541,N541,X541,AH541)</f>
        <v>36400</v>
      </c>
      <c r="AS541" s="64">
        <f t="shared" ref="AS541:AS542" si="7149">SUM(E541,O541,Y541,AI541)</f>
        <v>560315</v>
      </c>
      <c r="AT541" s="64">
        <f t="shared" ref="AT541" si="7150">AVERAGE(AS538,AS539,AS540,AS541)</f>
        <v>441812.5</v>
      </c>
      <c r="AU541" s="71">
        <f t="shared" ref="AU541" si="7151">AVERAGE(AT489,AT437,AT385)</f>
        <v>610098.5</v>
      </c>
      <c r="AV541" s="64">
        <f t="shared" ref="AV541" si="7152">((AS541/AS489)-1)*100</f>
        <v>-5.5783612900181634</v>
      </c>
      <c r="AW541" s="64">
        <f t="shared" ref="AW541" si="7153">((AT541/AT489)-1)*100</f>
        <v>-23.591561931584557</v>
      </c>
      <c r="AX541" s="64">
        <f t="shared" ref="AX541" si="7154">((AT541/AU541)-1)*100</f>
        <v>-27.583414809248019</v>
      </c>
      <c r="AZ541" s="71">
        <f t="shared" ref="AZ541" si="7155">+E541/1000</f>
        <v>218.10400000000001</v>
      </c>
      <c r="BA541" s="71">
        <f t="shared" ref="BA541" si="7156">+O541/1000</f>
        <v>158.6</v>
      </c>
      <c r="BB541" s="71">
        <f t="shared" ref="BB541" si="7157">+Y541/1000</f>
        <v>180.11099999999999</v>
      </c>
      <c r="BC541" s="71">
        <f t="shared" ref="BC541" si="7158">+AI541/1000</f>
        <v>3.5</v>
      </c>
      <c r="BD541" s="71">
        <f t="shared" ref="BD541" si="7159">+AS541/1000</f>
        <v>560.31500000000005</v>
      </c>
      <c r="BE541" s="64">
        <f t="shared" ref="BE541" si="7160">BE540+AZ541</f>
        <v>1046.789</v>
      </c>
      <c r="BF541" s="64">
        <f t="shared" ref="BF541" si="7161">BF540+BA541</f>
        <v>820.45</v>
      </c>
      <c r="BG541" s="64">
        <f t="shared" ref="BG541" si="7162">BG540+BB541</f>
        <v>2593.6459999999997</v>
      </c>
      <c r="BH541" s="64">
        <f t="shared" ref="BH541" si="7163">BH540+BC541</f>
        <v>49.47</v>
      </c>
      <c r="BI541" s="64">
        <f t="shared" ref="BI541" si="7164">BI540+BD541</f>
        <v>4510.3549999999996</v>
      </c>
      <c r="BJ541" s="64">
        <v>10</v>
      </c>
    </row>
    <row r="542" spans="1:62" x14ac:dyDescent="0.3">
      <c r="A542" s="48">
        <f t="shared" si="5522"/>
        <v>41349</v>
      </c>
      <c r="B542" s="64">
        <v>85150</v>
      </c>
      <c r="C542" s="64">
        <v>86127</v>
      </c>
      <c r="D542" s="53">
        <v>1400</v>
      </c>
      <c r="E542" s="64">
        <f t="shared" ref="E542:E543" si="7165">SUM(B542:D542)</f>
        <v>172677</v>
      </c>
      <c r="F542" s="71">
        <f t="shared" ref="F542" si="7166">AVERAGE(E539,E540,E541,E542)</f>
        <v>156748</v>
      </c>
      <c r="G542" s="71">
        <f t="shared" ref="G542" si="7167">AVERAGE(F490,F438,F386)</f>
        <v>356649.66666666669</v>
      </c>
      <c r="H542" s="64">
        <f t="shared" ref="H542" si="7168">((E542/E490)-1)*100</f>
        <v>-13.607072455647062</v>
      </c>
      <c r="I542" s="64">
        <f t="shared" ref="I542" si="7169">((F542/F490)-1)*100</f>
        <v>-39.563074977444302</v>
      </c>
      <c r="J542" s="64">
        <f t="shared" ref="J542" si="7170">((F542/G542)-1)*100</f>
        <v>-56.049867797437081</v>
      </c>
      <c r="L542" s="53">
        <v>60450</v>
      </c>
      <c r="M542" s="53">
        <v>27350</v>
      </c>
      <c r="N542" s="53">
        <v>28000</v>
      </c>
      <c r="O542" s="53">
        <f t="shared" si="7129"/>
        <v>115800</v>
      </c>
      <c r="P542" s="71">
        <f t="shared" ref="P542" si="7171">AVERAGE(O539,O540,O541,O542)</f>
        <v>127462.5</v>
      </c>
      <c r="Q542" s="71">
        <f t="shared" ref="Q542" si="7172">AVERAGE(P490,P438,P386)</f>
        <v>21833</v>
      </c>
      <c r="R542" s="64">
        <f t="shared" ref="R542" si="7173">((O542/O490)-1)*100</f>
        <v>300</v>
      </c>
      <c r="S542" s="64">
        <f t="shared" ref="S542" si="7174">((P542/P490)-1)*100</f>
        <v>265.62015948597326</v>
      </c>
      <c r="T542" s="64">
        <f t="shared" ref="T542" si="7175">((P542/Q542)-1)*100</f>
        <v>483.80662300187788</v>
      </c>
      <c r="V542" s="64">
        <v>99600</v>
      </c>
      <c r="W542" s="64">
        <v>43200</v>
      </c>
      <c r="X542" s="64">
        <v>9800</v>
      </c>
      <c r="Y542" s="64">
        <f t="shared" ref="Y542" si="7176">SUM(V542:X542)</f>
        <v>152600</v>
      </c>
      <c r="Z542" s="71">
        <f t="shared" ref="Z542" si="7177">AVERAGE(Y539,Y540,Y541,Y542)</f>
        <v>154266.75</v>
      </c>
      <c r="AA542" s="71">
        <f t="shared" ref="AA542" si="7178">AVERAGE(Z490,Z438,Z386)</f>
        <v>184915.83333333334</v>
      </c>
      <c r="AB542" s="64">
        <f t="shared" ref="AB542" si="7179">((Y542/Y490)-1)*100</f>
        <v>17.204301075268823</v>
      </c>
      <c r="AC542" s="64">
        <f t="shared" ref="AC542" si="7180">((Z542/Z490)-1)*100</f>
        <v>-22.314768536994677</v>
      </c>
      <c r="AD542" s="64">
        <f t="shared" ref="AD542" si="7181">((Z542/AA542)-1)*100</f>
        <v>-16.574612774280194</v>
      </c>
      <c r="AF542" s="53">
        <v>0</v>
      </c>
      <c r="AG542" s="53">
        <v>1750</v>
      </c>
      <c r="AH542" s="53">
        <v>0</v>
      </c>
      <c r="AI542" s="53">
        <f t="shared" si="6720"/>
        <v>1750</v>
      </c>
      <c r="AJ542" s="71">
        <f t="shared" ref="AJ542" si="7182">AVERAGE(AI539,AI540,AI541,AI542)</f>
        <v>2175</v>
      </c>
      <c r="AK542" s="71">
        <f t="shared" ref="AK542" si="7183">AVERAGE(AJ490,AJ438,AJ386)</f>
        <v>7854.166666666667</v>
      </c>
      <c r="AL542" s="64">
        <f t="shared" ref="AL542" si="7184">((AI542/AI490)-1)*100</f>
        <v>-76.973684210526315</v>
      </c>
      <c r="AM542" s="64">
        <f t="shared" ref="AM542" si="7185">((AJ542/AJ490)-1)*100</f>
        <v>-68.014705882352942</v>
      </c>
      <c r="AN542" s="64">
        <f t="shared" ref="AN542" si="7186">((AJ542/AK542)-1)*100</f>
        <v>-72.307692307692307</v>
      </c>
      <c r="AP542" s="60">
        <f t="shared" si="7146"/>
        <v>245200</v>
      </c>
      <c r="AQ542" s="60">
        <f t="shared" si="7147"/>
        <v>158427</v>
      </c>
      <c r="AR542" s="60">
        <f t="shared" si="7148"/>
        <v>39200</v>
      </c>
      <c r="AS542" s="60">
        <f t="shared" si="7149"/>
        <v>442827</v>
      </c>
      <c r="AT542" s="64">
        <f t="shared" ref="AT542" si="7187">AVERAGE(AS539,AS540,AS541,AS542)</f>
        <v>440652.25</v>
      </c>
      <c r="AU542" s="71">
        <f t="shared" ref="AU542" si="7188">AVERAGE(AT490,AT438,AT386)</f>
        <v>571252.66666666663</v>
      </c>
      <c r="AV542" s="64">
        <f t="shared" ref="AV542" si="7189">((AS542/AS490)-1)*100</f>
        <v>20.78505498821681</v>
      </c>
      <c r="AW542" s="64">
        <f t="shared" ref="AW542" si="7190">((AT542/AT490)-1)*100</f>
        <v>-11.798856783712141</v>
      </c>
      <c r="AX542" s="64">
        <f t="shared" ref="AX542" si="7191">((AT542/AU542)-1)*100</f>
        <v>-22.862110636390899</v>
      </c>
      <c r="AZ542" s="71">
        <f t="shared" ref="AZ542" si="7192">+E542/1000</f>
        <v>172.67699999999999</v>
      </c>
      <c r="BA542" s="71">
        <f t="shared" ref="BA542" si="7193">+O542/1000</f>
        <v>115.8</v>
      </c>
      <c r="BB542" s="71">
        <f t="shared" ref="BB542" si="7194">+Y542/1000</f>
        <v>152.6</v>
      </c>
      <c r="BC542" s="71">
        <f t="shared" ref="BC542" si="7195">+AI542/1000</f>
        <v>1.75</v>
      </c>
      <c r="BD542" s="71">
        <f t="shared" ref="BD542" si="7196">+AS542/1000</f>
        <v>442.827</v>
      </c>
      <c r="BE542" s="64">
        <f t="shared" ref="BE542" si="7197">BE541+AZ542</f>
        <v>1219.4659999999999</v>
      </c>
      <c r="BF542" s="64">
        <f t="shared" ref="BF542" si="7198">BF541+BA542</f>
        <v>936.25</v>
      </c>
      <c r="BG542" s="64">
        <f t="shared" ref="BG542" si="7199">BG541+BB542</f>
        <v>2746.2459999999996</v>
      </c>
      <c r="BH542" s="64">
        <f t="shared" ref="BH542" si="7200">BH541+BC542</f>
        <v>51.22</v>
      </c>
      <c r="BI542" s="64">
        <f t="shared" ref="BI542" si="7201">BI541+BD542</f>
        <v>4953.1819999999998</v>
      </c>
      <c r="BJ542" s="64">
        <v>11</v>
      </c>
    </row>
    <row r="543" spans="1:62" x14ac:dyDescent="0.3">
      <c r="A543" s="48">
        <f t="shared" si="5522"/>
        <v>41356</v>
      </c>
      <c r="B543" s="64">
        <v>120100</v>
      </c>
      <c r="C543" s="64">
        <v>26000</v>
      </c>
      <c r="D543" s="53">
        <v>0</v>
      </c>
      <c r="E543" s="64">
        <f t="shared" si="7165"/>
        <v>146100</v>
      </c>
      <c r="F543" s="71">
        <f t="shared" ref="F543" si="7202">AVERAGE(E540,E541,E542,E543)</f>
        <v>165270.25</v>
      </c>
      <c r="G543" s="71">
        <f t="shared" ref="G543" si="7203">AVERAGE(F491,F439,F387)</f>
        <v>383479.25</v>
      </c>
      <c r="H543" s="64">
        <f t="shared" ref="H543" si="7204">((E543/E491)-1)*100</f>
        <v>-73.253221146980962</v>
      </c>
      <c r="I543" s="64">
        <f t="shared" ref="I543" si="7205">((F543/F491)-1)*100</f>
        <v>-48.75571485933191</v>
      </c>
      <c r="J543" s="64">
        <f t="shared" ref="J543" si="7206">((F543/G543)-1)*100</f>
        <v>-56.902426924012182</v>
      </c>
      <c r="L543" s="53">
        <v>47900</v>
      </c>
      <c r="M543" s="53">
        <v>32600</v>
      </c>
      <c r="N543" s="53">
        <v>33600</v>
      </c>
      <c r="O543" s="53">
        <f t="shared" ref="O543" si="7207">SUM(L543:N543)</f>
        <v>114100</v>
      </c>
      <c r="P543" s="71">
        <f t="shared" ref="P543" si="7208">AVERAGE(O540,O541,O542,O543)</f>
        <v>125650</v>
      </c>
      <c r="Q543" s="71">
        <f t="shared" ref="Q543" si="7209">AVERAGE(P491,P439,P387)</f>
        <v>25309.666666666668</v>
      </c>
      <c r="R543" s="64">
        <f t="shared" ref="R543" si="7210">((O543/O491)-1)*100</f>
        <v>172.64038231780168</v>
      </c>
      <c r="S543" s="64">
        <f t="shared" ref="S543" si="7211">((P543/P491)-1)*100</f>
        <v>227.81539023467565</v>
      </c>
      <c r="T543" s="64">
        <f t="shared" ref="T543" si="7212">((P543/Q543)-1)*100</f>
        <v>396.45063151101681</v>
      </c>
      <c r="V543" s="64">
        <v>54650</v>
      </c>
      <c r="W543" s="64">
        <v>41635</v>
      </c>
      <c r="X543" s="64">
        <v>9800</v>
      </c>
      <c r="Y543" s="64">
        <f t="shared" ref="Y543" si="7213">SUM(V543:X543)</f>
        <v>106085</v>
      </c>
      <c r="Z543" s="71">
        <f t="shared" ref="Z543" si="7214">AVERAGE(Y540,Y541,Y542,Y543)</f>
        <v>134571</v>
      </c>
      <c r="AA543" s="71">
        <f t="shared" ref="AA543" si="7215">AVERAGE(Z491,Z439,Z387)</f>
        <v>175897.91666666666</v>
      </c>
      <c r="AB543" s="64">
        <f t="shared" ref="AB543" si="7216">((Y543/Y491)-1)*100</f>
        <v>-34.410164461481386</v>
      </c>
      <c r="AC543" s="64">
        <f t="shared" ref="AC543" si="7217">((Z543/Z491)-1)*100</f>
        <v>-29.950340433506149</v>
      </c>
      <c r="AD543" s="64">
        <f t="shared" ref="AD543" si="7218">((Z543/AA543)-1)*100</f>
        <v>-23.494830097949805</v>
      </c>
      <c r="AF543" s="53">
        <v>4800</v>
      </c>
      <c r="AG543" s="53">
        <v>0</v>
      </c>
      <c r="AH543" s="53">
        <v>0</v>
      </c>
      <c r="AI543" s="53">
        <f t="shared" si="6720"/>
        <v>4800</v>
      </c>
      <c r="AJ543" s="71">
        <f t="shared" ref="AJ543" si="7219">AVERAGE(AI540,AI541,AI542,AI543)</f>
        <v>2512.5</v>
      </c>
      <c r="AK543" s="71">
        <f t="shared" ref="AK543" si="7220">AVERAGE(AJ491,AJ439,AJ387)</f>
        <v>10533.333333333334</v>
      </c>
      <c r="AL543" s="64">
        <f t="shared" ref="AL543" si="7221">((AI543/AI491)-1)*100</f>
        <v>-82.122905027932958</v>
      </c>
      <c r="AM543" s="64">
        <f t="shared" ref="AM543" si="7222">((AJ543/AJ491)-1)*100</f>
        <v>-79.717457114026232</v>
      </c>
      <c r="AN543" s="64">
        <f t="shared" ref="AN543" si="7223">((AJ543/AK543)-1)*100</f>
        <v>-76.14715189873418</v>
      </c>
      <c r="AP543" s="60">
        <f t="shared" ref="AP543" si="7224">SUM(B543,L543,V543,AF543)</f>
        <v>227450</v>
      </c>
      <c r="AQ543" s="60">
        <f t="shared" ref="AQ543" si="7225">SUM(C543,M543,W543,AG543)</f>
        <v>100235</v>
      </c>
      <c r="AR543" s="60">
        <f t="shared" ref="AR543" si="7226">SUM(D543,N543,X543,AH543)</f>
        <v>43400</v>
      </c>
      <c r="AS543" s="60">
        <f t="shared" ref="AS543" si="7227">SUM(E543,O543,Y543,AI543)</f>
        <v>371085</v>
      </c>
      <c r="AT543" s="64">
        <f t="shared" ref="AT543" si="7228">AVERAGE(AS540,AS541,AS542,AS543)</f>
        <v>428003.75</v>
      </c>
      <c r="AU543" s="71">
        <f t="shared" ref="AU543" si="7229">AVERAGE(AT491,AT439,AT387)</f>
        <v>595220.16666666663</v>
      </c>
      <c r="AV543" s="64">
        <f t="shared" ref="AV543" si="7230">((AS543/AS491)-1)*100</f>
        <v>-52.22126658031555</v>
      </c>
      <c r="AW543" s="64">
        <f t="shared" ref="AW543" si="7231">((AT543/AT491)-1)*100</f>
        <v>-24.292615322297483</v>
      </c>
      <c r="AX543" s="64">
        <f t="shared" ref="AX543" si="7232">((AT543/AU543)-1)*100</f>
        <v>-28.093204167309516</v>
      </c>
      <c r="AZ543" s="71">
        <f t="shared" ref="AZ543" si="7233">+E543/1000</f>
        <v>146.1</v>
      </c>
      <c r="BA543" s="71">
        <f t="shared" ref="BA543" si="7234">+O543/1000</f>
        <v>114.1</v>
      </c>
      <c r="BB543" s="71">
        <f t="shared" ref="BB543" si="7235">+Y543/1000</f>
        <v>106.08499999999999</v>
      </c>
      <c r="BC543" s="71">
        <f t="shared" ref="BC543" si="7236">+AI543/1000</f>
        <v>4.8</v>
      </c>
      <c r="BD543" s="71">
        <f t="shared" ref="BD543" si="7237">+AS543/1000</f>
        <v>371.08499999999998</v>
      </c>
      <c r="BE543" s="64">
        <f t="shared" ref="BE543" si="7238">BE542+AZ543</f>
        <v>1365.5659999999998</v>
      </c>
      <c r="BF543" s="64">
        <f t="shared" ref="BF543" si="7239">BF542+BA543</f>
        <v>1050.3499999999999</v>
      </c>
      <c r="BG543" s="64">
        <f t="shared" ref="BG543" si="7240">BG542+BB543</f>
        <v>2852.3309999999997</v>
      </c>
      <c r="BH543" s="64">
        <f t="shared" ref="BH543" si="7241">BH542+BC543</f>
        <v>56.019999999999996</v>
      </c>
      <c r="BI543" s="64">
        <f t="shared" ref="BI543" si="7242">BI542+BD543</f>
        <v>5324.2669999999998</v>
      </c>
      <c r="BJ543" s="64">
        <v>12</v>
      </c>
    </row>
    <row r="544" spans="1:62" x14ac:dyDescent="0.3">
      <c r="A544" s="48">
        <f t="shared" si="5522"/>
        <v>41363</v>
      </c>
      <c r="B544" s="64">
        <v>138610</v>
      </c>
      <c r="C544" s="64">
        <v>55177</v>
      </c>
      <c r="D544" s="53">
        <v>0</v>
      </c>
      <c r="E544" s="64">
        <f t="shared" ref="E544:E545" si="7243">SUM(B544:D544)</f>
        <v>193787</v>
      </c>
      <c r="F544" s="71">
        <f t="shared" ref="F544" si="7244">AVERAGE(E541,E542,E543,E544)</f>
        <v>182667</v>
      </c>
      <c r="G544" s="71">
        <f t="shared" ref="G544" si="7245">AVERAGE(F492,F440,F388)</f>
        <v>407061.08333333331</v>
      </c>
      <c r="H544" s="64">
        <f t="shared" ref="H544" si="7246">((E544/E492)-1)*100</f>
        <v>-61.847695548599212</v>
      </c>
      <c r="I544" s="64">
        <f t="shared" ref="I544" si="7247">((F544/F492)-1)*100</f>
        <v>-51.875533495621383</v>
      </c>
      <c r="J544" s="64">
        <f t="shared" ref="J544" si="7248">((F544/G544)-1)*100</f>
        <v>-55.125408082693575</v>
      </c>
      <c r="L544" s="53">
        <v>53200</v>
      </c>
      <c r="M544" s="53">
        <v>6800</v>
      </c>
      <c r="N544" s="53">
        <v>25200</v>
      </c>
      <c r="O544" s="53">
        <f t="shared" ref="O544" si="7249">SUM(L544:N544)</f>
        <v>85200</v>
      </c>
      <c r="P544" s="71">
        <f t="shared" ref="P544" si="7250">AVERAGE(O541,O542,O543,O544)</f>
        <v>118425</v>
      </c>
      <c r="Q544" s="71">
        <f t="shared" ref="Q544" si="7251">AVERAGE(P492,P440,P388)</f>
        <v>28633.25</v>
      </c>
      <c r="R544" s="64">
        <f t="shared" ref="R544" si="7252">((O544/O492)-1)*100</f>
        <v>80.317460317460316</v>
      </c>
      <c r="S544" s="64">
        <f t="shared" ref="S544" si="7253">((P544/P492)-1)*100</f>
        <v>201.20558537019608</v>
      </c>
      <c r="T544" s="64">
        <f t="shared" ref="T544" si="7254">((P544/Q544)-1)*100</f>
        <v>313.59258903547448</v>
      </c>
      <c r="V544" s="64">
        <v>40500</v>
      </c>
      <c r="W544" s="64">
        <v>12386</v>
      </c>
      <c r="X544" s="64">
        <v>8400</v>
      </c>
      <c r="Y544" s="64">
        <f t="shared" ref="Y544" si="7255">SUM(V544:X544)</f>
        <v>61286</v>
      </c>
      <c r="Z544" s="71">
        <f t="shared" ref="Z544" si="7256">AVERAGE(Y541,Y542,Y543,Y544)</f>
        <v>125020.5</v>
      </c>
      <c r="AA544" s="71">
        <f t="shared" ref="AA544" si="7257">AVERAGE(Z492,Z440,Z388)</f>
        <v>176443.25</v>
      </c>
      <c r="AB544" s="64">
        <f t="shared" ref="AB544" si="7258">((Y544/Y492)-1)*100</f>
        <v>-73.926398638587543</v>
      </c>
      <c r="AC544" s="64">
        <f t="shared" ref="AC544" si="7259">((Z544/Z492)-1)*100</f>
        <v>-38.302613072766299</v>
      </c>
      <c r="AD544" s="64">
        <f t="shared" ref="AD544" si="7260">((Z544/AA544)-1)*100</f>
        <v>-29.144073236012147</v>
      </c>
      <c r="AF544" s="53">
        <v>0</v>
      </c>
      <c r="AG544" s="53">
        <v>20800</v>
      </c>
      <c r="AH544" s="53">
        <v>0</v>
      </c>
      <c r="AI544" s="53">
        <f t="shared" ref="AI544" si="7261">SUM(AF544:AH544)</f>
        <v>20800</v>
      </c>
      <c r="AJ544" s="71">
        <f t="shared" ref="AJ544" si="7262">AVERAGE(AI541,AI542,AI543,AI544)</f>
        <v>7712.5</v>
      </c>
      <c r="AK544" s="71">
        <f t="shared" ref="AK544" si="7263">AVERAGE(AJ492,AJ440,AJ388)</f>
        <v>10408.333333333334</v>
      </c>
      <c r="AL544" s="64">
        <f t="shared" ref="AL544" si="7264">((AI544/AI492)-1)*100</f>
        <v>271.42857142857144</v>
      </c>
      <c r="AM544" s="64">
        <f t="shared" ref="AM544" si="7265">((AJ544/AJ492)-1)*100</f>
        <v>-33.584499461786862</v>
      </c>
      <c r="AN544" s="64">
        <f t="shared" ref="AN544" si="7266">((AJ544/AK544)-1)*100</f>
        <v>-25.900720576461179</v>
      </c>
      <c r="AP544" s="60">
        <f t="shared" ref="AP544" si="7267">SUM(B544,L544,V544,AF544)</f>
        <v>232310</v>
      </c>
      <c r="AQ544" s="60">
        <f t="shared" ref="AQ544" si="7268">SUM(C544,M544,W544,AG544)</f>
        <v>95163</v>
      </c>
      <c r="AR544" s="60">
        <f t="shared" ref="AR544" si="7269">SUM(D544,N544,X544,AH544)</f>
        <v>33600</v>
      </c>
      <c r="AS544" s="60">
        <f t="shared" ref="AS544" si="7270">SUM(E544,O544,Y544,AI544)</f>
        <v>361073</v>
      </c>
      <c r="AT544" s="64">
        <f t="shared" ref="AT544" si="7271">AVERAGE(AS541,AS542,AS543,AS544)</f>
        <v>433825</v>
      </c>
      <c r="AU544" s="71">
        <f t="shared" ref="AU544" si="7272">AVERAGE(AT492,AT440,AT388)</f>
        <v>622545.91666666663</v>
      </c>
      <c r="AV544" s="64">
        <f t="shared" ref="AV544" si="7273">((AS544/AS492)-1)*100</f>
        <v>-54.629380646620504</v>
      </c>
      <c r="AW544" s="64">
        <f t="shared" ref="AW544" si="7274">((AT544/AT492)-1)*100</f>
        <v>-31.480020501108374</v>
      </c>
      <c r="AX544" s="64">
        <f t="shared" ref="AX544" si="7275">((AT544/AU544)-1)*100</f>
        <v>-30.31437707874559</v>
      </c>
      <c r="AZ544" s="71">
        <f t="shared" ref="AZ544" si="7276">+E544/1000</f>
        <v>193.78700000000001</v>
      </c>
      <c r="BA544" s="71">
        <f t="shared" ref="BA544" si="7277">+O544/1000</f>
        <v>85.2</v>
      </c>
      <c r="BB544" s="71">
        <f t="shared" ref="BB544" si="7278">+Y544/1000</f>
        <v>61.286000000000001</v>
      </c>
      <c r="BC544" s="71">
        <f t="shared" ref="BC544" si="7279">+AI544/1000</f>
        <v>20.8</v>
      </c>
      <c r="BD544" s="71">
        <f t="shared" ref="BD544" si="7280">+AS544/1000</f>
        <v>361.07299999999998</v>
      </c>
      <c r="BE544" s="64">
        <f t="shared" ref="BE544" si="7281">BE543+AZ544</f>
        <v>1559.3529999999998</v>
      </c>
      <c r="BF544" s="64">
        <f t="shared" ref="BF544" si="7282">BF543+BA544</f>
        <v>1135.55</v>
      </c>
      <c r="BG544" s="64">
        <f t="shared" ref="BG544" si="7283">BG543+BB544</f>
        <v>2913.6169999999997</v>
      </c>
      <c r="BH544" s="64">
        <f t="shared" ref="BH544" si="7284">BH543+BC544</f>
        <v>76.819999999999993</v>
      </c>
      <c r="BI544" s="64">
        <f t="shared" ref="BI544" si="7285">BI543+BD544</f>
        <v>5685.34</v>
      </c>
      <c r="BJ544" s="64">
        <v>13</v>
      </c>
    </row>
    <row r="545" spans="1:63" x14ac:dyDescent="0.3">
      <c r="A545" s="48">
        <f t="shared" si="5522"/>
        <v>41370</v>
      </c>
      <c r="B545" s="64">
        <v>84800</v>
      </c>
      <c r="C545" s="64">
        <v>57300</v>
      </c>
      <c r="D545" s="53">
        <v>0</v>
      </c>
      <c r="E545" s="64">
        <f t="shared" si="7243"/>
        <v>142100</v>
      </c>
      <c r="F545" s="71">
        <f t="shared" ref="F545" si="7286">AVERAGE(E542,E543,E544,E545)</f>
        <v>163666</v>
      </c>
      <c r="G545" s="71">
        <f t="shared" ref="G545" si="7287">AVERAGE(F493,F441,F389)</f>
        <v>388866.25</v>
      </c>
      <c r="H545" s="64">
        <f t="shared" ref="H545" si="7288">((E545/E493)-1)*100</f>
        <v>-63.462922966162708</v>
      </c>
      <c r="I545" s="64">
        <f t="shared" ref="I545" si="7289">((F545/F493)-1)*100</f>
        <v>-60.153333195370791</v>
      </c>
      <c r="J545" s="64">
        <f t="shared" ref="J545" si="7290">((F545/G545)-1)*100</f>
        <v>-57.912007020408687</v>
      </c>
      <c r="L545" s="53">
        <v>12500</v>
      </c>
      <c r="M545" s="53">
        <v>11850</v>
      </c>
      <c r="N545" s="53">
        <v>26600</v>
      </c>
      <c r="O545" s="53">
        <f t="shared" ref="O545" si="7291">SUM(L545:N545)</f>
        <v>50950</v>
      </c>
      <c r="P545" s="71">
        <f t="shared" ref="P545" si="7292">AVERAGE(O542,O543,O544,O545)</f>
        <v>91512.5</v>
      </c>
      <c r="Q545" s="71">
        <f t="shared" ref="Q545" si="7293">AVERAGE(P493,P441,P389)</f>
        <v>29513.5</v>
      </c>
      <c r="R545" s="64">
        <f t="shared" ref="R545" si="7294">((O545/O493)-1)*100</f>
        <v>31.145431145431136</v>
      </c>
      <c r="S545" s="64">
        <f t="shared" ref="S545" si="7295">((P545/P493)-1)*100</f>
        <v>133.30146590184833</v>
      </c>
      <c r="T545" s="64">
        <f t="shared" ref="T545" si="7296">((P545/Q545)-1)*100</f>
        <v>210.0699679807546</v>
      </c>
      <c r="V545" s="64">
        <v>47300</v>
      </c>
      <c r="W545" s="64">
        <v>38500</v>
      </c>
      <c r="X545" s="64">
        <v>1400</v>
      </c>
      <c r="Y545" s="64">
        <f t="shared" ref="Y545:Y546" si="7297">SUM(V545:X545)</f>
        <v>87200</v>
      </c>
      <c r="Z545" s="71">
        <f t="shared" ref="Z545" si="7298">AVERAGE(Y542,Y543,Y544,Y545)</f>
        <v>101792.75</v>
      </c>
      <c r="AA545" s="71">
        <f t="shared" ref="AA545" si="7299">AVERAGE(Z493,Z441,Z389)</f>
        <v>155320.83333333334</v>
      </c>
      <c r="AB545" s="64">
        <f t="shared" ref="AB545" si="7300">((Y545/Y493)-1)*100</f>
        <v>-59.838617564156891</v>
      </c>
      <c r="AC545" s="64">
        <f t="shared" ref="AC545" si="7301">((Z545/Z493)-1)*100</f>
        <v>-45.281099401435796</v>
      </c>
      <c r="AD545" s="64">
        <f t="shared" ref="AD545" si="7302">((Z545/AA545)-1)*100</f>
        <v>-34.462912788046253</v>
      </c>
      <c r="AF545" s="53">
        <v>4800</v>
      </c>
      <c r="AG545" s="53">
        <v>1750</v>
      </c>
      <c r="AH545" s="53">
        <v>1400</v>
      </c>
      <c r="AI545" s="53">
        <f t="shared" ref="AI545" si="7303">SUM(AF545:AH545)</f>
        <v>7950</v>
      </c>
      <c r="AJ545" s="71">
        <f t="shared" ref="AJ545" si="7304">AVERAGE(AI542,AI543,AI544,AI545)</f>
        <v>8825</v>
      </c>
      <c r="AK545" s="71">
        <f t="shared" ref="AK545" si="7305">AVERAGE(AJ493,AJ441,AJ389)</f>
        <v>9358.3333333333339</v>
      </c>
      <c r="AL545" s="64">
        <f t="shared" ref="AL545" si="7306">((AI545/AI493)-1)*100</f>
        <v>127.14285714285714</v>
      </c>
      <c r="AM545" s="64">
        <f t="shared" ref="AM545" si="7307">((AJ545/AJ493)-1)*100</f>
        <v>-18.943742824339836</v>
      </c>
      <c r="AN545" s="64">
        <f t="shared" ref="AN545" si="7308">((AJ545/AK545)-1)*100</f>
        <v>-5.6990204808548555</v>
      </c>
      <c r="AP545" s="60">
        <f t="shared" ref="AP545" si="7309">SUM(B545,L545,V545,AF545)</f>
        <v>149400</v>
      </c>
      <c r="AQ545" s="60">
        <f t="shared" ref="AQ545" si="7310">SUM(C545,M545,W545,AG545)</f>
        <v>109400</v>
      </c>
      <c r="AR545" s="60">
        <f t="shared" ref="AR545" si="7311">SUM(D545,N545,X545,AH545)</f>
        <v>29400</v>
      </c>
      <c r="AS545" s="60">
        <f t="shared" ref="AS545" si="7312">SUM(E545,O545,Y545,AI545)</f>
        <v>288200</v>
      </c>
      <c r="AT545" s="64">
        <f t="shared" ref="AT545" si="7313">AVERAGE(AS542,AS543,AS544,AS545)</f>
        <v>365796.25</v>
      </c>
      <c r="AU545" s="71">
        <f t="shared" ref="AU545" si="7314">AVERAGE(AT493,AT441,AT389)</f>
        <v>583058.91666666663</v>
      </c>
      <c r="AV545" s="64">
        <f t="shared" ref="AV545" si="7315">((AS545/AS493)-1)*100</f>
        <v>-55.551717011570126</v>
      </c>
      <c r="AW545" s="64">
        <f t="shared" ref="AW545" si="7316">((AT545/AT493)-1)*100</f>
        <v>-43.452268231922275</v>
      </c>
      <c r="AX545" s="64">
        <f t="shared" ref="AX545" si="7317">((AT545/AU545)-1)*100</f>
        <v>-37.262557943329625</v>
      </c>
      <c r="AZ545" s="71">
        <f t="shared" ref="AZ545" si="7318">+E545/1000</f>
        <v>142.1</v>
      </c>
      <c r="BA545" s="71">
        <f t="shared" ref="BA545" si="7319">+O545/1000</f>
        <v>50.95</v>
      </c>
      <c r="BB545" s="71">
        <f t="shared" ref="BB545" si="7320">+Y545/1000</f>
        <v>87.2</v>
      </c>
      <c r="BC545" s="71">
        <f t="shared" ref="BC545" si="7321">+AI545/1000</f>
        <v>7.95</v>
      </c>
      <c r="BD545" s="71">
        <f t="shared" ref="BD545" si="7322">+AS545/1000</f>
        <v>288.2</v>
      </c>
      <c r="BE545" s="64">
        <f t="shared" ref="BE545" si="7323">BE544+AZ545</f>
        <v>1701.4529999999997</v>
      </c>
      <c r="BF545" s="64">
        <f t="shared" ref="BF545" si="7324">BF544+BA545</f>
        <v>1186.5</v>
      </c>
      <c r="BG545" s="64">
        <f t="shared" ref="BG545" si="7325">BG544+BB545</f>
        <v>3000.8169999999996</v>
      </c>
      <c r="BH545" s="64">
        <f t="shared" ref="BH545" si="7326">BH544+BC545</f>
        <v>84.77</v>
      </c>
      <c r="BI545" s="64">
        <f t="shared" ref="BI545" si="7327">BI544+BD545</f>
        <v>5973.54</v>
      </c>
      <c r="BJ545" s="64">
        <v>14</v>
      </c>
    </row>
    <row r="546" spans="1:63" x14ac:dyDescent="0.3">
      <c r="A546" s="48">
        <f t="shared" si="5522"/>
        <v>41377</v>
      </c>
      <c r="B546" s="64">
        <v>127100</v>
      </c>
      <c r="C546" s="64">
        <v>43500</v>
      </c>
      <c r="D546" s="53">
        <v>0</v>
      </c>
      <c r="E546" s="64">
        <f t="shared" ref="E546:E557" si="7328">SUM(B546:D546)</f>
        <v>170600</v>
      </c>
      <c r="F546" s="71">
        <f t="shared" ref="F546" si="7329">AVERAGE(E543,E544,E545,E546)</f>
        <v>163146.75</v>
      </c>
      <c r="G546" s="71">
        <f t="shared" ref="G546" si="7330">AVERAGE(F494,F442,F390)</f>
        <v>401321.83333333331</v>
      </c>
      <c r="H546" s="64">
        <f t="shared" ref="H546" si="7331">((E546/E494)-1)*100</f>
        <v>-30.503503340394332</v>
      </c>
      <c r="I546" s="64">
        <f t="shared" ref="I546" si="7332">((F546/F494)-1)*100</f>
        <v>-61.352545713399074</v>
      </c>
      <c r="J546" s="64">
        <f t="shared" ref="J546" si="7333">((F546/G546)-1)*100</f>
        <v>-59.347651573072483</v>
      </c>
      <c r="L546" s="53">
        <v>30100</v>
      </c>
      <c r="M546" s="53">
        <v>20850</v>
      </c>
      <c r="N546" s="53">
        <v>33600</v>
      </c>
      <c r="O546" s="53">
        <f t="shared" ref="O546" si="7334">SUM(L546:N546)</f>
        <v>84550</v>
      </c>
      <c r="P546" s="71">
        <f t="shared" ref="P546" si="7335">AVERAGE(O543,O544,O545,O546)</f>
        <v>83700</v>
      </c>
      <c r="Q546" s="71">
        <f t="shared" ref="Q546" si="7336">AVERAGE(P494,P442,P390)</f>
        <v>31366.666666666668</v>
      </c>
      <c r="R546" s="64">
        <f t="shared" ref="R546" si="7337">((O546/O494)-1)*100</f>
        <v>57.931111775254031</v>
      </c>
      <c r="S546" s="64">
        <f t="shared" ref="S546" si="7338">((P546/P494)-1)*100</f>
        <v>84.477039551260162</v>
      </c>
      <c r="T546" s="64">
        <f t="shared" ref="T546" si="7339">((P546/Q546)-1)*100</f>
        <v>166.84378320935176</v>
      </c>
      <c r="V546" s="64">
        <v>53000</v>
      </c>
      <c r="W546" s="64">
        <v>29450</v>
      </c>
      <c r="X546" s="53">
        <v>0</v>
      </c>
      <c r="Y546" s="64">
        <f t="shared" si="7297"/>
        <v>82450</v>
      </c>
      <c r="Z546" s="71">
        <f t="shared" ref="Z546" si="7340">AVERAGE(Y543,Y544,Y545,Y546)</f>
        <v>84255.25</v>
      </c>
      <c r="AA546" s="71">
        <f t="shared" ref="AA546" si="7341">AVERAGE(Z494,Z442,Z390)</f>
        <v>148499.5</v>
      </c>
      <c r="AB546" s="64">
        <f t="shared" ref="AB546" si="7342">((Y546/Y494)-1)*100</f>
        <v>-47.052741762511161</v>
      </c>
      <c r="AC546" s="64">
        <f t="shared" ref="AC546" si="7343">((Z546/Z494)-1)*100</f>
        <v>-56.210281497073289</v>
      </c>
      <c r="AD546" s="64">
        <f t="shared" ref="AD546" si="7344">((Z546/AA546)-1)*100</f>
        <v>-43.262266876319444</v>
      </c>
      <c r="AF546" s="53">
        <v>0</v>
      </c>
      <c r="AG546" s="53">
        <v>0</v>
      </c>
      <c r="AH546" s="53">
        <v>0</v>
      </c>
      <c r="AI546" s="53">
        <f t="shared" ref="AI546:AI555" si="7345">SUM(AF546:AH546)</f>
        <v>0</v>
      </c>
      <c r="AJ546" s="71">
        <f t="shared" ref="AJ546" si="7346">AVERAGE(AI543,AI544,AI545,AI546)</f>
        <v>8387.5</v>
      </c>
      <c r="AK546" s="71">
        <f t="shared" ref="AK546" si="7347">AVERAGE(AJ494,AJ442,AJ390)</f>
        <v>8475</v>
      </c>
      <c r="AL546" s="64">
        <f t="shared" ref="AL546" si="7348">((AI546/AI494)-1)*100</f>
        <v>-100</v>
      </c>
      <c r="AM546" s="64">
        <f t="shared" ref="AM546" si="7349">((AJ546/AJ494)-1)*100</f>
        <v>-20.965842167255598</v>
      </c>
      <c r="AN546" s="64">
        <f t="shared" ref="AN546" si="7350">((AJ546/AK546)-1)*100</f>
        <v>-1.0324483775811188</v>
      </c>
      <c r="AP546" s="60">
        <f t="shared" ref="AP546" si="7351">SUM(B546,L546,V546,AF546)</f>
        <v>210200</v>
      </c>
      <c r="AQ546" s="60">
        <f t="shared" ref="AQ546" si="7352">SUM(C546,M546,W546,AG546)</f>
        <v>93800</v>
      </c>
      <c r="AR546" s="60">
        <f t="shared" ref="AR546" si="7353">SUM(D546,N546,X546,AH546)</f>
        <v>33600</v>
      </c>
      <c r="AS546" s="60">
        <f t="shared" ref="AS546" si="7354">SUM(E546,O546,Y546,AI546)</f>
        <v>337600</v>
      </c>
      <c r="AT546" s="64">
        <f t="shared" ref="AT546" si="7355">AVERAGE(AS543,AS544,AS545,AS546)</f>
        <v>339489.5</v>
      </c>
      <c r="AU546" s="71">
        <f t="shared" ref="AU546" si="7356">AVERAGE(AT494,AT442,AT390)</f>
        <v>589663</v>
      </c>
      <c r="AV546" s="64">
        <f t="shared" ref="AV546" si="7357">((AS546/AS494)-1)*100</f>
        <v>-26.805525142172026</v>
      </c>
      <c r="AW546" s="64">
        <f t="shared" ref="AW546" si="7358">((AT546/AT494)-1)*100</f>
        <v>-49.370259140572713</v>
      </c>
      <c r="AX546" s="64">
        <f t="shared" ref="AX546" si="7359">((AT546/AU546)-1)*100</f>
        <v>-42.426521589450253</v>
      </c>
      <c r="AZ546" s="71">
        <f t="shared" ref="AZ546" si="7360">+E546/1000</f>
        <v>170.6</v>
      </c>
      <c r="BA546" s="71">
        <f t="shared" ref="BA546" si="7361">+O546/1000</f>
        <v>84.55</v>
      </c>
      <c r="BB546" s="71">
        <f t="shared" ref="BB546" si="7362">+Y546/1000</f>
        <v>82.45</v>
      </c>
      <c r="BC546" s="71">
        <f t="shared" ref="BC546" si="7363">+AI546/1000</f>
        <v>0</v>
      </c>
      <c r="BD546" s="71">
        <f t="shared" ref="BD546" si="7364">+AS546/1000</f>
        <v>337.6</v>
      </c>
      <c r="BE546" s="64">
        <f t="shared" ref="BE546" si="7365">BE545+AZ546</f>
        <v>1872.0529999999997</v>
      </c>
      <c r="BF546" s="64">
        <f t="shared" ref="BF546" si="7366">BF545+BA546</f>
        <v>1271.05</v>
      </c>
      <c r="BG546" s="64">
        <f t="shared" ref="BG546" si="7367">BG545+BB546</f>
        <v>3083.2669999999994</v>
      </c>
      <c r="BH546" s="64">
        <f t="shared" ref="BH546" si="7368">BH545+BC546</f>
        <v>84.77</v>
      </c>
      <c r="BI546" s="64">
        <f t="shared" ref="BI546" si="7369">BI545+BD546</f>
        <v>6311.14</v>
      </c>
      <c r="BJ546" s="64">
        <v>15</v>
      </c>
    </row>
    <row r="547" spans="1:63" x14ac:dyDescent="0.3">
      <c r="A547" s="48">
        <f t="shared" si="5522"/>
        <v>41384</v>
      </c>
      <c r="B547" s="64">
        <v>65300</v>
      </c>
      <c r="C547" s="64">
        <v>50231</v>
      </c>
      <c r="D547" s="53">
        <v>0</v>
      </c>
      <c r="E547" s="64">
        <f t="shared" si="7328"/>
        <v>115531</v>
      </c>
      <c r="F547" s="64">
        <f t="shared" ref="F547" si="7370">AVERAGE(E544,E545,E546,E547)</f>
        <v>155504.5</v>
      </c>
      <c r="G547" s="71">
        <f t="shared" ref="G547" si="7371">AVERAGE(F495,F443,F391)</f>
        <v>394544.75</v>
      </c>
      <c r="H547" s="64">
        <f t="shared" ref="H547" si="7372">((E547/E495)-1)*100</f>
        <v>-74.022507785535211</v>
      </c>
      <c r="I547" s="64">
        <f t="shared" ref="I547" si="7373">((F547/F495)-1)*100</f>
        <v>-60.807024286969977</v>
      </c>
      <c r="J547" s="64">
        <f t="shared" ref="J547" si="7374">((F547/G547)-1)*100</f>
        <v>-60.586346669167447</v>
      </c>
      <c r="L547" s="53">
        <v>25200</v>
      </c>
      <c r="M547" s="53">
        <v>6150</v>
      </c>
      <c r="N547" s="53">
        <v>29400</v>
      </c>
      <c r="O547" s="53">
        <f t="shared" ref="O547:O548" si="7375">SUM(L547:N547)</f>
        <v>60750</v>
      </c>
      <c r="P547" s="71">
        <f t="shared" ref="P547" si="7376">AVERAGE(O544,O545,O546,O547)</f>
        <v>70362.5</v>
      </c>
      <c r="Q547" s="71">
        <f t="shared" ref="Q547" si="7377">AVERAGE(P495,P443,P391)</f>
        <v>34644.166666666664</v>
      </c>
      <c r="R547" s="64">
        <f t="shared" ref="R547" si="7378">((O547/O495)-1)*100</f>
        <v>63.284504770864139</v>
      </c>
      <c r="S547" s="64">
        <f t="shared" ref="S547" si="7379">((P547/P495)-1)*100</f>
        <v>59.154268523702093</v>
      </c>
      <c r="T547" s="64">
        <f t="shared" ref="T547" si="7380">((P547/Q547)-1)*100</f>
        <v>103.10057008154332</v>
      </c>
      <c r="V547" s="64">
        <v>41100</v>
      </c>
      <c r="W547" s="64">
        <v>15168</v>
      </c>
      <c r="X547" s="53">
        <v>0</v>
      </c>
      <c r="Y547" s="64">
        <f t="shared" ref="Y547:Y548" si="7381">SUM(V547:X547)</f>
        <v>56268</v>
      </c>
      <c r="Z547" s="71">
        <f t="shared" ref="Z547" si="7382">AVERAGE(Y544,Y545,Y546,Y547)</f>
        <v>71801</v>
      </c>
      <c r="AA547" s="71">
        <f t="shared" ref="AA547" si="7383">AVERAGE(Z495,Z443,Z391)</f>
        <v>137221.33333333334</v>
      </c>
      <c r="AB547" s="64">
        <f t="shared" ref="AB547" si="7384">((Y547/Y495)-1)*100</f>
        <v>-71.820913461538467</v>
      </c>
      <c r="AC547" s="64">
        <f t="shared" ref="AC547" si="7385">((Z547/Z495)-1)*100</f>
        <v>-64.436244311673846</v>
      </c>
      <c r="AD547" s="64">
        <f t="shared" ref="AD547" si="7386">((Z547/AA547)-1)*100</f>
        <v>-47.675045668312023</v>
      </c>
      <c r="AF547" s="53">
        <v>0</v>
      </c>
      <c r="AG547" s="53">
        <v>5250</v>
      </c>
      <c r="AH547" s="53">
        <v>0</v>
      </c>
      <c r="AI547" s="53">
        <f t="shared" si="7345"/>
        <v>5250</v>
      </c>
      <c r="AJ547" s="71">
        <f t="shared" ref="AJ547" si="7387">AVERAGE(AI544,AI545,AI546,AI547)</f>
        <v>8500</v>
      </c>
      <c r="AK547" s="71">
        <f t="shared" ref="AK547" si="7388">AVERAGE(AJ495,AJ443,AJ391)</f>
        <v>6433.333333333333</v>
      </c>
      <c r="AL547" s="64">
        <f t="shared" ref="AL547" si="7389">((AI547/AI495)-1)*100</f>
        <v>6.0606060606060552</v>
      </c>
      <c r="AM547" s="64">
        <f t="shared" ref="AM547" si="7390">((AJ547/AJ495)-1)*100</f>
        <v>65.450121654501217</v>
      </c>
      <c r="AN547" s="64">
        <f t="shared" ref="AN547" si="7391">((AJ547/AK547)-1)*100</f>
        <v>32.124352331606218</v>
      </c>
      <c r="AP547" s="60">
        <f t="shared" ref="AP547" si="7392">SUM(B547,L547,V547,AF547)</f>
        <v>131600</v>
      </c>
      <c r="AQ547" s="60">
        <f t="shared" ref="AQ547" si="7393">SUM(C547,M547,W547,AG547)</f>
        <v>76799</v>
      </c>
      <c r="AR547" s="60">
        <f t="shared" ref="AR547" si="7394">SUM(D547,N547,X547,AH547)</f>
        <v>29400</v>
      </c>
      <c r="AS547" s="60">
        <f t="shared" ref="AS547" si="7395">SUM(E547,O547,Y547,AI547)</f>
        <v>237799</v>
      </c>
      <c r="AT547" s="64">
        <f t="shared" ref="AT547" si="7396">AVERAGE(AS544,AS545,AS546,AS547)</f>
        <v>306168</v>
      </c>
      <c r="AU547" s="71">
        <f t="shared" ref="AU547" si="7397">AVERAGE(AT495,AT443,AT391)</f>
        <v>572843.58333333337</v>
      </c>
      <c r="AV547" s="64">
        <f t="shared" ref="AV547" si="7398">((AS547/AS495)-1)*100</f>
        <v>-65.364201756557961</v>
      </c>
      <c r="AW547" s="64">
        <f t="shared" ref="AW547" si="7399">((AT547/AT495)-1)*100</f>
        <v>-52.752416927112364</v>
      </c>
      <c r="AX547" s="64">
        <f t="shared" ref="AX547" si="7400">((AT547/AU547)-1)*100</f>
        <v>-46.552949372596331</v>
      </c>
      <c r="AZ547" s="71">
        <f t="shared" ref="AZ547:AZ548" si="7401">+E547/1000</f>
        <v>115.53100000000001</v>
      </c>
      <c r="BA547" s="71">
        <f t="shared" ref="BA547:BA548" si="7402">+O547/1000</f>
        <v>60.75</v>
      </c>
      <c r="BB547" s="71">
        <f t="shared" ref="BB547:BB548" si="7403">+Y547/1000</f>
        <v>56.268000000000001</v>
      </c>
      <c r="BC547" s="71">
        <f t="shared" ref="BC547:BC548" si="7404">+AI547/1000</f>
        <v>5.25</v>
      </c>
      <c r="BD547" s="71">
        <f t="shared" ref="BD547:BD548" si="7405">+AS547/1000</f>
        <v>237.79900000000001</v>
      </c>
      <c r="BE547" s="64">
        <f t="shared" ref="BE547" si="7406">BE546+AZ547</f>
        <v>1987.5839999999996</v>
      </c>
      <c r="BF547" s="64">
        <f t="shared" ref="BF547" si="7407">BF546+BA547</f>
        <v>1331.8</v>
      </c>
      <c r="BG547" s="64">
        <f t="shared" ref="BG547" si="7408">BG546+BB547</f>
        <v>3139.5349999999994</v>
      </c>
      <c r="BH547" s="64">
        <f t="shared" ref="BH547" si="7409">BH546+BC547</f>
        <v>90.02</v>
      </c>
      <c r="BI547" s="64">
        <f t="shared" ref="BI547" si="7410">BI546+BD547</f>
        <v>6548.9390000000003</v>
      </c>
      <c r="BJ547" s="64">
        <v>16</v>
      </c>
    </row>
    <row r="548" spans="1:63" x14ac:dyDescent="0.3">
      <c r="A548" s="48">
        <f t="shared" si="5522"/>
        <v>41391</v>
      </c>
      <c r="B548" s="64">
        <v>22300</v>
      </c>
      <c r="C548" s="64">
        <v>19350</v>
      </c>
      <c r="D548" s="53">
        <v>0</v>
      </c>
      <c r="E548" s="64">
        <f t="shared" si="7328"/>
        <v>41650</v>
      </c>
      <c r="F548" s="64">
        <f t="shared" ref="F548" si="7411">AVERAGE(E545,E546,E547,E548)</f>
        <v>117470.25</v>
      </c>
      <c r="G548" s="71">
        <f t="shared" ref="G548" si="7412">AVERAGE(F496,F444,F392)</f>
        <v>365138.08333333331</v>
      </c>
      <c r="H548" s="64">
        <f t="shared" ref="H548" si="7413">((E548/E496)-1)*100</f>
        <v>-88.775672449059343</v>
      </c>
      <c r="I548" s="64">
        <f t="shared" ref="I548" si="7414">((F548/F496)-1)*100</f>
        <v>-67.598972282520251</v>
      </c>
      <c r="J548" s="64">
        <f t="shared" ref="J548" si="7415">((F548/G548)-1)*100</f>
        <v>-67.8285406639543</v>
      </c>
      <c r="L548" s="53">
        <v>3200</v>
      </c>
      <c r="M548" s="53">
        <v>10250</v>
      </c>
      <c r="N548" s="53">
        <v>29400</v>
      </c>
      <c r="O548" s="53">
        <f t="shared" si="7375"/>
        <v>42850</v>
      </c>
      <c r="P548" s="71">
        <f t="shared" ref="P548" si="7416">AVERAGE(O545,O546,O547,O548)</f>
        <v>59775</v>
      </c>
      <c r="Q548" s="71">
        <f t="shared" ref="Q548" si="7417">AVERAGE(P496,P444,P392)</f>
        <v>31753.916666666668</v>
      </c>
      <c r="R548" s="64">
        <f t="shared" ref="R548" si="7418">((O548/O496)-1)*100</f>
        <v>-21.376146788990823</v>
      </c>
      <c r="S548" s="64">
        <f t="shared" ref="S548" si="7419">((P548/P496)-1)*100</f>
        <v>29.881417342509952</v>
      </c>
      <c r="T548" s="64">
        <f t="shared" ref="T548" si="7420">((P548/Q548)-1)*100</f>
        <v>88.244494773610597</v>
      </c>
      <c r="V548" s="64">
        <v>12424</v>
      </c>
      <c r="W548" s="64">
        <v>17100</v>
      </c>
      <c r="X548" s="64">
        <v>4200</v>
      </c>
      <c r="Y548" s="64">
        <f t="shared" si="7381"/>
        <v>33724</v>
      </c>
      <c r="Z548" s="71">
        <f t="shared" ref="Z548" si="7421">AVERAGE(Y545,Y546,Y547,Y548)</f>
        <v>64910.5</v>
      </c>
      <c r="AA548" s="71">
        <f t="shared" ref="AA548" si="7422">AVERAGE(Z496,Z444,Z392)</f>
        <v>117781.66666666667</v>
      </c>
      <c r="AB548" s="64">
        <f t="shared" ref="AB548" si="7423">((Y548/Y496)-1)*100</f>
        <v>-81.719625762947061</v>
      </c>
      <c r="AC548" s="64">
        <f t="shared" ref="AC548" si="7424">((Z548/Z496)-1)*100</f>
        <v>-65.701506062691635</v>
      </c>
      <c r="AD548" s="64">
        <f t="shared" ref="AD548" si="7425">((Z548/AA548)-1)*100</f>
        <v>-44.889131019258798</v>
      </c>
      <c r="AF548" s="53">
        <v>0</v>
      </c>
      <c r="AG548" s="53">
        <v>0</v>
      </c>
      <c r="AH548" s="53">
        <v>0</v>
      </c>
      <c r="AI548" s="53">
        <f t="shared" si="7345"/>
        <v>0</v>
      </c>
      <c r="AJ548" s="71">
        <f t="shared" ref="AJ548" si="7426">AVERAGE(AI545,AI546,AI547,AI548)</f>
        <v>3300</v>
      </c>
      <c r="AK548" s="71">
        <f t="shared" ref="AK548" si="7427">AVERAGE(AJ496,AJ444,AJ392)</f>
        <v>5937.5</v>
      </c>
      <c r="AL548" s="64">
        <f t="shared" ref="AL548" si="7428">((AI548/AI496)-1)*100</f>
        <v>-100</v>
      </c>
      <c r="AM548" s="64">
        <f t="shared" ref="AM548" si="7429">((AJ548/AJ496)-1)*100</f>
        <v>-43.468950749464661</v>
      </c>
      <c r="AN548" s="64">
        <f t="shared" ref="AN548" si="7430">((AJ548/AK548)-1)*100</f>
        <v>-44.421052631578952</v>
      </c>
      <c r="AP548" s="60">
        <f t="shared" ref="AP548:AP549" si="7431">SUM(B548,L548,V548,AF548)</f>
        <v>37924</v>
      </c>
      <c r="AQ548" s="60">
        <f t="shared" ref="AQ548:AQ549" si="7432">SUM(C548,M548,W548,AG548)</f>
        <v>46700</v>
      </c>
      <c r="AR548" s="60">
        <f t="shared" ref="AR548:AR549" si="7433">SUM(D548,N548,X548,AH548)</f>
        <v>33600</v>
      </c>
      <c r="AS548" s="60">
        <f t="shared" ref="AS548:AS549" si="7434">SUM(E548,O548,Y548,AI548)</f>
        <v>118224</v>
      </c>
      <c r="AT548" s="64">
        <f t="shared" ref="AT548:AT549" si="7435">AVERAGE(AS545,AS546,AS547,AS548)</f>
        <v>245455.75</v>
      </c>
      <c r="AU548" s="71">
        <f t="shared" ref="AU548:AU549" si="7436">AVERAGE(AT496,AT444,AT392)</f>
        <v>520611.16666666669</v>
      </c>
      <c r="AV548" s="64">
        <f t="shared" ref="AV548:AV549" si="7437">((AS548/AS496)-1)*100</f>
        <v>-80.883853369143239</v>
      </c>
      <c r="AW548" s="64">
        <f t="shared" ref="AW548:AW549" si="7438">((AT548/AT496)-1)*100</f>
        <v>-59.338944079726595</v>
      </c>
      <c r="AX548" s="64">
        <f t="shared" ref="AX548:AX549" si="7439">((AT548/AU548)-1)*100</f>
        <v>-52.852384713223266</v>
      </c>
      <c r="AZ548" s="71">
        <f t="shared" si="7401"/>
        <v>41.65</v>
      </c>
      <c r="BA548" s="53">
        <f t="shared" si="7402"/>
        <v>42.85</v>
      </c>
      <c r="BB548" s="53">
        <f t="shared" si="7403"/>
        <v>33.723999999999997</v>
      </c>
      <c r="BC548" s="53">
        <f t="shared" si="7404"/>
        <v>0</v>
      </c>
      <c r="BD548" s="53">
        <f t="shared" si="7405"/>
        <v>118.224</v>
      </c>
      <c r="BE548" s="64">
        <f t="shared" ref="BE548" si="7440">BE547+AZ548</f>
        <v>2029.2339999999997</v>
      </c>
      <c r="BF548" s="64">
        <f t="shared" ref="BF548" si="7441">BF547+BA548</f>
        <v>1374.6499999999999</v>
      </c>
      <c r="BG548" s="64">
        <f t="shared" ref="BG548" si="7442">BG547+BB548</f>
        <v>3173.2589999999996</v>
      </c>
      <c r="BH548" s="64">
        <f t="shared" ref="BH548" si="7443">BH547+BC548</f>
        <v>90.02</v>
      </c>
      <c r="BI548" s="64">
        <f t="shared" ref="BI548" si="7444">BI547+BD548</f>
        <v>6667.1630000000005</v>
      </c>
      <c r="BJ548" s="64">
        <v>17</v>
      </c>
    </row>
    <row r="549" spans="1:63" x14ac:dyDescent="0.3">
      <c r="A549" s="48">
        <f t="shared" si="5522"/>
        <v>41398</v>
      </c>
      <c r="B549" s="64">
        <v>198999</v>
      </c>
      <c r="C549" s="64">
        <v>91372</v>
      </c>
      <c r="D549" s="53">
        <v>0</v>
      </c>
      <c r="E549" s="64">
        <f t="shared" si="7328"/>
        <v>290371</v>
      </c>
      <c r="F549" s="64">
        <f t="shared" ref="F549" si="7445">AVERAGE(E546,E547,E548,E549)</f>
        <v>154538</v>
      </c>
      <c r="G549" s="71">
        <f t="shared" ref="G549" si="7446">AVERAGE(F497,F445,F393)</f>
        <v>378321.66666666669</v>
      </c>
      <c r="H549" s="64">
        <f t="shared" ref="H549" si="7447">((E549/E497)-1)*100</f>
        <v>-20.922930283224407</v>
      </c>
      <c r="I549" s="64">
        <f t="shared" ref="I549" si="7448">((F549/F497)-1)*100</f>
        <v>-56.72671167475449</v>
      </c>
      <c r="J549" s="64">
        <f t="shared" ref="J549" si="7449">((F549/G549)-1)*100</f>
        <v>-59.151691902393466</v>
      </c>
      <c r="L549" s="53">
        <v>27911</v>
      </c>
      <c r="M549" s="53">
        <v>3500</v>
      </c>
      <c r="N549" s="53">
        <v>26600</v>
      </c>
      <c r="O549" s="53">
        <f t="shared" ref="O549" si="7450">SUM(L549:N549)</f>
        <v>58011</v>
      </c>
      <c r="P549" s="71">
        <f t="shared" ref="P549" si="7451">AVERAGE(O546,O547,O548,O549)</f>
        <v>61540.25</v>
      </c>
      <c r="Q549" s="71">
        <f t="shared" ref="Q549" si="7452">AVERAGE(P497,P445,P393)</f>
        <v>29815.5</v>
      </c>
      <c r="R549" s="64">
        <f t="shared" ref="R549" si="7453">((O549/O497)-1)*100</f>
        <v>61.141666666666673</v>
      </c>
      <c r="S549" s="64">
        <f t="shared" ref="S549" si="7454">((P549/P497)-1)*100</f>
        <v>35.819709668342156</v>
      </c>
      <c r="T549" s="64">
        <f t="shared" ref="T549" si="7455">((P549/Q549)-1)*100</f>
        <v>106.40354848987941</v>
      </c>
      <c r="V549" s="64">
        <v>53648</v>
      </c>
      <c r="W549" s="64">
        <v>43218</v>
      </c>
      <c r="X549" s="64">
        <v>4200</v>
      </c>
      <c r="Y549" s="64">
        <f t="shared" ref="Y549" si="7456">SUM(V549:X549)</f>
        <v>101066</v>
      </c>
      <c r="Z549" s="71">
        <f t="shared" ref="Z549" si="7457">AVERAGE(Y546,Y547,Y548,Y549)</f>
        <v>68377</v>
      </c>
      <c r="AA549" s="71">
        <f t="shared" ref="AA549" si="7458">AVERAGE(Z497,Z445,Z393)</f>
        <v>119236.83333333333</v>
      </c>
      <c r="AB549" s="64">
        <f t="shared" ref="AB549" si="7459">((Y549/Y497)-1)*100</f>
        <v>-41.138031450203847</v>
      </c>
      <c r="AC549" s="64">
        <f t="shared" ref="AC549" si="7460">((Z549/Z497)-1)*100</f>
        <v>-61.563443758493385</v>
      </c>
      <c r="AD549" s="64">
        <f t="shared" ref="AD549" si="7461">((Z549/AA549)-1)*100</f>
        <v>-42.65446499333958</v>
      </c>
      <c r="AF549" s="53">
        <v>12800</v>
      </c>
      <c r="AG549" s="53">
        <v>0</v>
      </c>
      <c r="AH549" s="53">
        <v>0</v>
      </c>
      <c r="AI549" s="53">
        <f t="shared" si="7345"/>
        <v>12800</v>
      </c>
      <c r="AJ549" s="71">
        <f t="shared" ref="AJ549" si="7462">AVERAGE(AI546,AI547,AI548,AI549)</f>
        <v>4512.5</v>
      </c>
      <c r="AK549" s="71">
        <f t="shared" ref="AK549" si="7463">AVERAGE(AJ497,AJ445,AJ393)</f>
        <v>6470.833333333333</v>
      </c>
      <c r="AL549" s="64">
        <f t="shared" ref="AL549" si="7464">((AI549/AI497)-1)*100</f>
        <v>245.94594594594597</v>
      </c>
      <c r="AM549" s="64">
        <f t="shared" ref="AM549" si="7465">((AJ549/AJ497)-1)*100</f>
        <v>-23.354564755838638</v>
      </c>
      <c r="AN549" s="64">
        <f t="shared" ref="AN549" si="7466">((AJ549/AK549)-1)*100</f>
        <v>-30.264005151320017</v>
      </c>
      <c r="AP549" s="60">
        <f t="shared" si="7431"/>
        <v>293358</v>
      </c>
      <c r="AQ549" s="60">
        <f t="shared" si="7432"/>
        <v>138090</v>
      </c>
      <c r="AR549" s="60">
        <f t="shared" si="7433"/>
        <v>30800</v>
      </c>
      <c r="AS549" s="60">
        <f t="shared" si="7434"/>
        <v>462248</v>
      </c>
      <c r="AT549" s="64">
        <f t="shared" si="7435"/>
        <v>288967.75</v>
      </c>
      <c r="AU549" s="71">
        <f t="shared" si="7436"/>
        <v>533844.83333333337</v>
      </c>
      <c r="AV549" s="64">
        <f t="shared" si="7437"/>
        <v>-20.109229173867959</v>
      </c>
      <c r="AW549" s="64">
        <f t="shared" si="7438"/>
        <v>-50.70614084093792</v>
      </c>
      <c r="AX549" s="64">
        <f t="shared" si="7439"/>
        <v>-45.870460486489684</v>
      </c>
      <c r="AZ549" s="71">
        <f t="shared" ref="AZ549" si="7467">+E549/1000</f>
        <v>290.37099999999998</v>
      </c>
      <c r="BA549" s="53">
        <f t="shared" ref="BA549" si="7468">+O549/1000</f>
        <v>58.011000000000003</v>
      </c>
      <c r="BB549" s="53">
        <f t="shared" ref="BB549" si="7469">+Y549/1000</f>
        <v>101.066</v>
      </c>
      <c r="BC549" s="53">
        <f t="shared" ref="BC549" si="7470">+AI549/1000</f>
        <v>12.8</v>
      </c>
      <c r="BD549" s="53">
        <f t="shared" ref="BD549" si="7471">+AS549/1000</f>
        <v>462.24799999999999</v>
      </c>
      <c r="BE549" s="64">
        <f t="shared" ref="BE549" si="7472">BE548+AZ549</f>
        <v>2319.6049999999996</v>
      </c>
      <c r="BF549" s="64">
        <f t="shared" ref="BF549" si="7473">BF548+BA549</f>
        <v>1432.6609999999998</v>
      </c>
      <c r="BG549" s="64">
        <f t="shared" ref="BG549" si="7474">BG548+BB549</f>
        <v>3274.3249999999994</v>
      </c>
      <c r="BH549" s="64">
        <f t="shared" ref="BH549" si="7475">BH548+BC549</f>
        <v>102.82</v>
      </c>
      <c r="BI549" s="64">
        <f t="shared" ref="BI549" si="7476">BI548+BD549</f>
        <v>7129.4110000000001</v>
      </c>
      <c r="BJ549" s="64">
        <v>18</v>
      </c>
    </row>
    <row r="550" spans="1:63" x14ac:dyDescent="0.3">
      <c r="A550" s="48">
        <f t="shared" si="5522"/>
        <v>41405</v>
      </c>
      <c r="B550" s="64">
        <v>137924</v>
      </c>
      <c r="C550" s="64">
        <v>64042</v>
      </c>
      <c r="D550" s="53">
        <v>0</v>
      </c>
      <c r="E550" s="64">
        <f t="shared" si="7328"/>
        <v>201966</v>
      </c>
      <c r="F550" s="64">
        <f t="shared" ref="F550" si="7477">AVERAGE(E547,E548,E549,E550)</f>
        <v>162379.5</v>
      </c>
      <c r="G550" s="71">
        <f t="shared" ref="G550" si="7478">AVERAGE(F498,F446,F394)</f>
        <v>405045</v>
      </c>
      <c r="H550" s="64">
        <f t="shared" ref="H550" si="7479">((E550/E498)-1)*100</f>
        <v>-38.723907766990294</v>
      </c>
      <c r="I550" s="64">
        <f t="shared" ref="I550" si="7480">((F550/F498)-1)*100</f>
        <v>-57.059613752178365</v>
      </c>
      <c r="J550" s="64">
        <f t="shared" ref="J550" si="7481">((F550/G550)-1)*100</f>
        <v>-59.910750657334376</v>
      </c>
      <c r="L550" s="53">
        <v>19624</v>
      </c>
      <c r="M550" s="53">
        <v>1910</v>
      </c>
      <c r="N550" s="53">
        <v>19600</v>
      </c>
      <c r="O550" s="53">
        <f t="shared" ref="O550" si="7482">SUM(L550:N550)</f>
        <v>41134</v>
      </c>
      <c r="P550" s="71">
        <f t="shared" ref="P550" si="7483">AVERAGE(O547,O548,O549,O550)</f>
        <v>50686.25</v>
      </c>
      <c r="Q550" s="71">
        <f t="shared" ref="Q550" si="7484">AVERAGE(P498,P446,P394)</f>
        <v>29270.833333333332</v>
      </c>
      <c r="R550" s="64">
        <f t="shared" ref="R550" si="7485">((O550/O498)-1)*100</f>
        <v>-14.482328482328477</v>
      </c>
      <c r="S550" s="64">
        <f t="shared" ref="S550" si="7486">((P550/P498)-1)*100</f>
        <v>15.323796251528687</v>
      </c>
      <c r="T550" s="64">
        <f t="shared" ref="T550" si="7487">((P550/Q550)-1)*100</f>
        <v>73.162989323843419</v>
      </c>
      <c r="V550" s="64">
        <v>44648</v>
      </c>
      <c r="W550" s="64">
        <v>24050</v>
      </c>
      <c r="X550" s="64">
        <v>1400</v>
      </c>
      <c r="Y550" s="64">
        <f t="shared" ref="Y550:Y551" si="7488">SUM(V550:X550)</f>
        <v>70098</v>
      </c>
      <c r="Z550" s="71">
        <f t="shared" ref="Z550" si="7489">AVERAGE(Y547,Y548,Y549,Y550)</f>
        <v>65289</v>
      </c>
      <c r="AA550" s="71">
        <f t="shared" ref="AA550" si="7490">AVERAGE(Z498,Z446,Z394)</f>
        <v>119880.66666666667</v>
      </c>
      <c r="AB550" s="64">
        <f t="shared" ref="AB550" si="7491">((Y550/Y498)-1)*100</f>
        <v>-53.882894736842111</v>
      </c>
      <c r="AC550" s="64">
        <f t="shared" ref="AC550" si="7492">((Z550/Z498)-1)*100</f>
        <v>-63.106368190410002</v>
      </c>
      <c r="AD550" s="64">
        <f t="shared" ref="AD550" si="7493">((Z550/AA550)-1)*100</f>
        <v>-45.538340905678432</v>
      </c>
      <c r="AF550" s="53">
        <v>0</v>
      </c>
      <c r="AG550" s="53">
        <v>1750</v>
      </c>
      <c r="AH550" s="53">
        <v>0</v>
      </c>
      <c r="AI550" s="53">
        <f t="shared" si="7345"/>
        <v>1750</v>
      </c>
      <c r="AJ550" s="71">
        <f t="shared" ref="AJ550" si="7494">AVERAGE(AI547,AI548,AI549,AI550)</f>
        <v>4950</v>
      </c>
      <c r="AK550" s="71">
        <f t="shared" ref="AK550" si="7495">AVERAGE(AJ498,AJ446,AJ394)</f>
        <v>6487.5</v>
      </c>
      <c r="AL550" s="64">
        <f t="shared" ref="AL550" si="7496">((AI550/AI498)-1)*100</f>
        <v>-73.880597014925371</v>
      </c>
      <c r="AM550" s="64">
        <f t="shared" ref="AM550" si="7497">((AJ550/AJ498)-1)*100</f>
        <v>-16.631578947368418</v>
      </c>
      <c r="AN550" s="64">
        <f t="shared" ref="AN550" si="7498">((AJ550/AK550)-1)*100</f>
        <v>-23.699421965317924</v>
      </c>
      <c r="AP550" s="60">
        <f t="shared" ref="AP550" si="7499">SUM(B550,L550,V550,AF550)</f>
        <v>202196</v>
      </c>
      <c r="AQ550" s="60">
        <f t="shared" ref="AQ550" si="7500">SUM(C550,M550,W550,AG550)</f>
        <v>91752</v>
      </c>
      <c r="AR550" s="60">
        <f t="shared" ref="AR550" si="7501">SUM(D550,N550,X550,AH550)</f>
        <v>21000</v>
      </c>
      <c r="AS550" s="60">
        <f t="shared" ref="AS550" si="7502">SUM(E550,O550,Y550,AI550)</f>
        <v>314948</v>
      </c>
      <c r="AT550" s="64">
        <f t="shared" ref="AT550" si="7503">AVERAGE(AS547,AS548,AS549,AS550)</f>
        <v>283304.75</v>
      </c>
      <c r="AU550" s="71">
        <f t="shared" ref="AU550" si="7504">AVERAGE(AT498,AT446,AT394)</f>
        <v>560684</v>
      </c>
      <c r="AV550" s="64">
        <f t="shared" ref="AV550" si="7505">((AS550/AS498)-1)*100</f>
        <v>-41.284862043251302</v>
      </c>
      <c r="AW550" s="64">
        <f t="shared" ref="AW550" si="7506">((AT550/AT498)-1)*100</f>
        <v>-53.173174943523215</v>
      </c>
      <c r="AX550" s="64">
        <f t="shared" ref="AX550" si="7507">((AT550/AU550)-1)*100</f>
        <v>-49.471582923714607</v>
      </c>
      <c r="AZ550" s="71">
        <f t="shared" ref="AZ550" si="7508">+E550/1000</f>
        <v>201.96600000000001</v>
      </c>
      <c r="BA550" s="53">
        <f t="shared" ref="BA550" si="7509">+O550/1000</f>
        <v>41.134</v>
      </c>
      <c r="BB550" s="53">
        <f t="shared" ref="BB550" si="7510">+Y550/1000</f>
        <v>70.097999999999999</v>
      </c>
      <c r="BC550" s="53">
        <f t="shared" ref="BC550" si="7511">+AI550/1000</f>
        <v>1.75</v>
      </c>
      <c r="BD550" s="53">
        <f t="shared" ref="BD550" si="7512">+AS550/1000</f>
        <v>314.94799999999998</v>
      </c>
      <c r="BE550" s="64">
        <f t="shared" ref="BE550" si="7513">BE549+AZ550</f>
        <v>2521.5709999999995</v>
      </c>
      <c r="BF550" s="64">
        <f t="shared" ref="BF550" si="7514">BF549+BA550</f>
        <v>1473.7949999999998</v>
      </c>
      <c r="BG550" s="64">
        <f t="shared" ref="BG550" si="7515">BG549+BB550</f>
        <v>3344.4229999999993</v>
      </c>
      <c r="BH550" s="64">
        <f t="shared" ref="BH550" si="7516">BH549+BC550</f>
        <v>104.57</v>
      </c>
      <c r="BI550" s="64">
        <f t="shared" ref="BI550" si="7517">BI549+BD550</f>
        <v>7444.3590000000004</v>
      </c>
      <c r="BJ550" s="64">
        <v>19</v>
      </c>
    </row>
    <row r="551" spans="1:63" x14ac:dyDescent="0.3">
      <c r="A551" s="48">
        <f t="shared" si="5522"/>
        <v>41412</v>
      </c>
      <c r="B551" s="64">
        <v>214999</v>
      </c>
      <c r="C551" s="64">
        <v>31900</v>
      </c>
      <c r="D551" s="53">
        <v>0</v>
      </c>
      <c r="E551" s="64">
        <f t="shared" si="7328"/>
        <v>246899</v>
      </c>
      <c r="F551" s="64">
        <f t="shared" ref="F551" si="7518">AVERAGE(E548,E549,E550,E551)</f>
        <v>195221.5</v>
      </c>
      <c r="G551" s="71">
        <f t="shared" ref="G551" si="7519">AVERAGE(F499,F447,F395)</f>
        <v>439195.5</v>
      </c>
      <c r="H551" s="64">
        <f t="shared" ref="H551" si="7520">((E551/E499)-1)*100</f>
        <v>-47.288855678906913</v>
      </c>
      <c r="I551" s="64">
        <f t="shared" ref="I551" si="7521">((F551/F499)-1)*100</f>
        <v>-49.169969582149996</v>
      </c>
      <c r="J551" s="64">
        <f t="shared" ref="J551" si="7522">((F551/G551)-1)*100</f>
        <v>-55.550204863210119</v>
      </c>
      <c r="L551" s="53">
        <v>18724</v>
      </c>
      <c r="M551" s="53">
        <v>11750</v>
      </c>
      <c r="N551" s="53">
        <v>22000</v>
      </c>
      <c r="O551" s="53">
        <f t="shared" ref="O551" si="7523">SUM(L551:N551)</f>
        <v>52474</v>
      </c>
      <c r="P551" s="71">
        <f t="shared" ref="P551" si="7524">AVERAGE(O548,O549,O550,O551)</f>
        <v>48617.25</v>
      </c>
      <c r="Q551" s="71">
        <f t="shared" ref="Q551" si="7525">AVERAGE(P499,P447,P395)</f>
        <v>27209.166666666668</v>
      </c>
      <c r="R551" s="64">
        <f t="shared" ref="R551" si="7526">((O551/O499)-1)*100</f>
        <v>33.862244897959194</v>
      </c>
      <c r="S551" s="64">
        <f t="shared" ref="S551" si="7527">((P551/P499)-1)*100</f>
        <v>9.3751406074240826</v>
      </c>
      <c r="T551" s="64">
        <f t="shared" ref="T551" si="7528">((P551/Q551)-1)*100</f>
        <v>78.679672904352074</v>
      </c>
      <c r="V551" s="64">
        <v>72196</v>
      </c>
      <c r="W551" s="64">
        <v>10400</v>
      </c>
      <c r="X551" s="53">
        <v>0</v>
      </c>
      <c r="Y551" s="64">
        <f t="shared" si="7488"/>
        <v>82596</v>
      </c>
      <c r="Z551" s="71">
        <f t="shared" ref="Z551" si="7529">AVERAGE(Y548,Y549,Y550,Y551)</f>
        <v>71871</v>
      </c>
      <c r="AA551" s="71">
        <f t="shared" ref="AA551" si="7530">AVERAGE(Z499,Z447,Z395)</f>
        <v>119726.41666666667</v>
      </c>
      <c r="AB551" s="64">
        <f t="shared" ref="AB551" si="7531">((Y551/Y499)-1)*100</f>
        <v>-35.471874999999997</v>
      </c>
      <c r="AC551" s="64">
        <f t="shared" ref="AC551" si="7532">((Z551/Z499)-1)*100</f>
        <v>-54.811044638169584</v>
      </c>
      <c r="AD551" s="64">
        <f t="shared" ref="AD551" si="7533">((Z551/AA551)-1)*100</f>
        <v>-39.970641399802467</v>
      </c>
      <c r="AF551" s="53">
        <v>0</v>
      </c>
      <c r="AG551" s="53">
        <v>1750</v>
      </c>
      <c r="AH551" s="53">
        <v>0</v>
      </c>
      <c r="AI551" s="53">
        <f t="shared" si="7345"/>
        <v>1750</v>
      </c>
      <c r="AJ551" s="71">
        <f t="shared" ref="AJ551" si="7534">AVERAGE(AI548,AI549,AI550,AI551)</f>
        <v>4075</v>
      </c>
      <c r="AK551" s="71">
        <f t="shared" ref="AK551" si="7535">AVERAGE(AJ499,AJ447,AJ395)</f>
        <v>7141.666666666667</v>
      </c>
      <c r="AL551" s="64">
        <f t="shared" ref="AL551" si="7536">((AI551/AI499)-1)*100</f>
        <v>-78.915662650602414</v>
      </c>
      <c r="AM551" s="64">
        <f t="shared" ref="AM551" si="7537">((AJ551/AJ499)-1)*100</f>
        <v>-39.852398523985244</v>
      </c>
      <c r="AN551" s="64">
        <f t="shared" ref="AN551" si="7538">((AJ551/AK551)-1)*100</f>
        <v>-42.940490081680281</v>
      </c>
      <c r="AP551" s="60">
        <f t="shared" ref="AP551" si="7539">SUM(B551,L551,V551,AF551)</f>
        <v>305919</v>
      </c>
      <c r="AQ551" s="60">
        <f t="shared" ref="AQ551" si="7540">SUM(C551,M551,W551,AG551)</f>
        <v>55800</v>
      </c>
      <c r="AR551" s="60">
        <f t="shared" ref="AR551" si="7541">SUM(D551,N551,X551,AH551)</f>
        <v>22000</v>
      </c>
      <c r="AS551" s="60">
        <f t="shared" ref="AS551" si="7542">SUM(E551,O551,Y551,AI551)</f>
        <v>383719</v>
      </c>
      <c r="AT551" s="64">
        <f t="shared" ref="AT551" si="7543">AVERAGE(AS548,AS549,AS550,AS551)</f>
        <v>319784.75</v>
      </c>
      <c r="AU551" s="71">
        <f t="shared" ref="AU551" si="7544">AVERAGE(AT499,AT447,AT395)</f>
        <v>593272.75</v>
      </c>
      <c r="AV551" s="64">
        <f t="shared" ref="AV551" si="7545">((AS551/AS499)-1)*100</f>
        <v>-40.407050784283271</v>
      </c>
      <c r="AW551" s="64">
        <f t="shared" ref="AW551" si="7546">((AT551/AT499)-1)*100</f>
        <v>-46.194777296242748</v>
      </c>
      <c r="AX551" s="64">
        <f t="shared" ref="AX551" si="7547">((AT551/AU551)-1)*100</f>
        <v>-46.098190082049108</v>
      </c>
      <c r="AZ551" s="71">
        <f t="shared" ref="AZ551" si="7548">+E551/1000</f>
        <v>246.899</v>
      </c>
      <c r="BA551" s="53">
        <f t="shared" ref="BA551" si="7549">+O551/1000</f>
        <v>52.473999999999997</v>
      </c>
      <c r="BB551" s="53">
        <f t="shared" ref="BB551" si="7550">+Y551/1000</f>
        <v>82.596000000000004</v>
      </c>
      <c r="BC551" s="53">
        <f t="shared" ref="BC551" si="7551">+AI551/1000</f>
        <v>1.75</v>
      </c>
      <c r="BD551" s="53">
        <f t="shared" ref="BD551" si="7552">+AS551/1000</f>
        <v>383.71899999999999</v>
      </c>
      <c r="BE551" s="64">
        <f t="shared" ref="BE551" si="7553">BE550+AZ551</f>
        <v>2768.4699999999993</v>
      </c>
      <c r="BF551" s="64">
        <f t="shared" ref="BF551" si="7554">BF550+BA551</f>
        <v>1526.2689999999998</v>
      </c>
      <c r="BG551" s="64">
        <f t="shared" ref="BG551" si="7555">BG550+BB551</f>
        <v>3427.0189999999993</v>
      </c>
      <c r="BH551" s="64">
        <f t="shared" ref="BH551" si="7556">BH550+BC551</f>
        <v>106.32</v>
      </c>
      <c r="BI551" s="64">
        <f t="shared" ref="BI551" si="7557">BI550+BD551</f>
        <v>7828.0780000000004</v>
      </c>
      <c r="BJ551" s="64">
        <v>20</v>
      </c>
    </row>
    <row r="552" spans="1:63" x14ac:dyDescent="0.3">
      <c r="A552" s="48">
        <f t="shared" si="5522"/>
        <v>41419</v>
      </c>
      <c r="B552" s="64">
        <v>212448</v>
      </c>
      <c r="C552" s="64">
        <v>38750</v>
      </c>
      <c r="D552" s="53">
        <v>0</v>
      </c>
      <c r="E552" s="64">
        <f t="shared" si="7328"/>
        <v>251198</v>
      </c>
      <c r="F552" s="64">
        <f t="shared" ref="F552" si="7558">AVERAGE(E549,E550,E551,E552)</f>
        <v>247608.5</v>
      </c>
      <c r="G552" s="71">
        <f t="shared" ref="G552" si="7559">AVERAGE(F500,F448,F396)</f>
        <v>496845.41666666669</v>
      </c>
      <c r="H552" s="64">
        <f t="shared" ref="H552" si="7560">((E552/E500)-1)*100</f>
        <v>-32.528068761751271</v>
      </c>
      <c r="I552" s="64">
        <f t="shared" ref="I552" si="7561">((F552/F500)-1)*100</f>
        <v>-35.581528455284548</v>
      </c>
      <c r="J552" s="64">
        <f t="shared" ref="J552" si="7562">((F552/G552)-1)*100</f>
        <v>-50.163875585045318</v>
      </c>
      <c r="L552" s="53">
        <v>45472</v>
      </c>
      <c r="M552" s="53">
        <v>11850</v>
      </c>
      <c r="N552" s="53">
        <v>23000</v>
      </c>
      <c r="O552" s="53">
        <f t="shared" ref="O552" si="7563">SUM(L552:N552)</f>
        <v>80322</v>
      </c>
      <c r="P552" s="71">
        <f t="shared" ref="P552" si="7564">AVERAGE(O549,O550,O551,O552)</f>
        <v>57985.25</v>
      </c>
      <c r="Q552" s="71">
        <f t="shared" ref="Q552" si="7565">AVERAGE(P500,P448,P396)</f>
        <v>30362.5</v>
      </c>
      <c r="R552" s="64">
        <f t="shared" ref="R552" si="7566">((O552/O500)-1)*100</f>
        <v>84.224770642201847</v>
      </c>
      <c r="S552" s="64">
        <f t="shared" ref="S552" si="7567">((P552/P500)-1)*100</f>
        <v>38.970041941282197</v>
      </c>
      <c r="T552" s="64">
        <f t="shared" ref="T552" si="7568">((P552/Q552)-1)*100</f>
        <v>90.976533552902424</v>
      </c>
      <c r="V552" s="64">
        <v>72018</v>
      </c>
      <c r="W552" s="64">
        <v>16070</v>
      </c>
      <c r="X552" s="64">
        <v>1400</v>
      </c>
      <c r="Y552" s="64">
        <f t="shared" ref="Y552:Y553" si="7569">SUM(V552:X552)</f>
        <v>89488</v>
      </c>
      <c r="Z552" s="71">
        <f t="shared" ref="Z552" si="7570">AVERAGE(Y549,Y550,Y551,Y552)</f>
        <v>85812</v>
      </c>
      <c r="AA552" s="71">
        <f t="shared" ref="AA552" si="7571">AVERAGE(Z500,Z448,Z396)</f>
        <v>117117.16666666667</v>
      </c>
      <c r="AB552" s="64">
        <f t="shared" ref="AB552" si="7572">((Y552/Y500)-1)*100</f>
        <v>5.9029585798816564</v>
      </c>
      <c r="AC552" s="64">
        <f t="shared" ref="AC552" si="7573">((Z552/Z500)-1)*100</f>
        <v>-35.985080193957472</v>
      </c>
      <c r="AD552" s="64">
        <f t="shared" ref="AD552" si="7574">((Z552/AA552)-1)*100</f>
        <v>-26.729784845091032</v>
      </c>
      <c r="AF552" s="53">
        <v>0</v>
      </c>
      <c r="AG552" s="53">
        <v>3754</v>
      </c>
      <c r="AH552" s="53">
        <v>0</v>
      </c>
      <c r="AI552" s="53">
        <f t="shared" si="7345"/>
        <v>3754</v>
      </c>
      <c r="AJ552" s="71">
        <f t="shared" ref="AJ552" si="7575">AVERAGE(AI549,AI550,AI551,AI552)</f>
        <v>5013.5</v>
      </c>
      <c r="AK552" s="71">
        <f t="shared" ref="AK552" si="7576">AVERAGE(AJ500,AJ448,AJ396)</f>
        <v>6666.666666666667</v>
      </c>
      <c r="AL552" s="64"/>
      <c r="AM552" s="64">
        <f t="shared" ref="AM552" si="7577">((AJ552/AJ500)-1)*100</f>
        <v>7.2406417112299559</v>
      </c>
      <c r="AN552" s="64">
        <f t="shared" ref="AN552" si="7578">((AJ552/AK552)-1)*100</f>
        <v>-24.797500000000007</v>
      </c>
      <c r="AP552" s="60">
        <f t="shared" ref="AP552" si="7579">SUM(B552,L552,V552,AF552)</f>
        <v>329938</v>
      </c>
      <c r="AQ552" s="60">
        <f t="shared" ref="AQ552" si="7580">SUM(C552,M552,W552,AG552)</f>
        <v>70424</v>
      </c>
      <c r="AR552" s="60">
        <f t="shared" ref="AR552" si="7581">SUM(D552,N552,X552,AH552)</f>
        <v>24400</v>
      </c>
      <c r="AS552" s="60">
        <f t="shared" ref="AS552" si="7582">SUM(E552,O552,Y552,AI552)</f>
        <v>424762</v>
      </c>
      <c r="AT552" s="64">
        <f t="shared" ref="AT552" si="7583">AVERAGE(AS549,AS550,AS551,AS552)</f>
        <v>396419.25</v>
      </c>
      <c r="AU552" s="71">
        <f t="shared" ref="AU552" si="7584">AVERAGE(AT500,AT448,AT396)</f>
        <v>650991.75</v>
      </c>
      <c r="AV552" s="64">
        <f t="shared" ref="AV552" si="7585">((AS552/AS500)-1)*100</f>
        <v>-15.11550759392486</v>
      </c>
      <c r="AW552" s="64">
        <f t="shared" ref="AW552" si="7586">((AT552/AT500)-1)*100</f>
        <v>-29.815562342318415</v>
      </c>
      <c r="AX552" s="64">
        <f t="shared" ref="AX552" si="7587">((AT552/AU552)-1)*100</f>
        <v>-39.105334284190242</v>
      </c>
      <c r="AZ552" s="71">
        <f t="shared" ref="AZ552" si="7588">+E552/1000</f>
        <v>251.19800000000001</v>
      </c>
      <c r="BA552" s="53">
        <f t="shared" ref="BA552" si="7589">+O552/1000</f>
        <v>80.322000000000003</v>
      </c>
      <c r="BB552" s="53">
        <f t="shared" ref="BB552" si="7590">+Y552/1000</f>
        <v>89.488</v>
      </c>
      <c r="BC552" s="53">
        <f t="shared" ref="BC552" si="7591">+AI552/1000</f>
        <v>3.754</v>
      </c>
      <c r="BD552" s="53">
        <f t="shared" ref="BD552" si="7592">+AS552/1000</f>
        <v>424.762</v>
      </c>
      <c r="BE552" s="64">
        <f t="shared" ref="BE552" si="7593">BE551+AZ552</f>
        <v>3019.6679999999992</v>
      </c>
      <c r="BF552" s="64">
        <f t="shared" ref="BF552" si="7594">BF551+BA552</f>
        <v>1606.5909999999999</v>
      </c>
      <c r="BG552" s="64">
        <f t="shared" ref="BG552" si="7595">BG551+BB552</f>
        <v>3516.5069999999992</v>
      </c>
      <c r="BH552" s="64">
        <f t="shared" ref="BH552" si="7596">BH551+BC552</f>
        <v>110.074</v>
      </c>
      <c r="BI552" s="64">
        <f t="shared" ref="BI552" si="7597">BI551+BD552</f>
        <v>8252.84</v>
      </c>
      <c r="BJ552" s="64">
        <v>21</v>
      </c>
    </row>
    <row r="553" spans="1:63" x14ac:dyDescent="0.3">
      <c r="A553" s="48">
        <f t="shared" si="5522"/>
        <v>41426</v>
      </c>
      <c r="B553" s="64">
        <v>174294</v>
      </c>
      <c r="C553" s="64">
        <v>35027</v>
      </c>
      <c r="D553" s="53">
        <v>0</v>
      </c>
      <c r="E553" s="64">
        <f t="shared" si="7328"/>
        <v>209321</v>
      </c>
      <c r="F553" s="64">
        <f t="shared" ref="F553" si="7598">AVERAGE(E550,E551,E552,E553)</f>
        <v>227346</v>
      </c>
      <c r="G553" s="71">
        <f t="shared" ref="G553" si="7599">AVERAGE(F501,F449,F397)</f>
        <v>520484.08333333331</v>
      </c>
      <c r="H553" s="64">
        <f t="shared" ref="H553" si="7600">((E553/E501)-1)*100</f>
        <v>-54.574435763888893</v>
      </c>
      <c r="I553" s="64">
        <f t="shared" ref="I553" si="7601">((F553/F501)-1)*100</f>
        <v>-44.247195144381088</v>
      </c>
      <c r="J553" s="64">
        <f t="shared" ref="J553" si="7602">((F553/G553)-1)*100</f>
        <v>-56.320278125699971</v>
      </c>
      <c r="L553" s="53">
        <v>18724</v>
      </c>
      <c r="M553" s="53">
        <v>5100</v>
      </c>
      <c r="N553" s="53">
        <v>9800</v>
      </c>
      <c r="O553" s="53">
        <f t="shared" ref="O553" si="7603">SUM(L553:N553)</f>
        <v>33624</v>
      </c>
      <c r="P553" s="71">
        <f t="shared" ref="P553" si="7604">AVERAGE(O550,O551,O552,O553)</f>
        <v>51888.5</v>
      </c>
      <c r="Q553" s="71">
        <f t="shared" ref="Q553" si="7605">AVERAGE(P501,P449,P397)</f>
        <v>33205.916666666664</v>
      </c>
      <c r="R553" s="64">
        <f t="shared" ref="R553" si="7606">((O553/O501)-1)*100</f>
        <v>-36.55849056603774</v>
      </c>
      <c r="S553" s="64">
        <f t="shared" ref="S553" si="7607">((P553/P501)-1)*100</f>
        <v>12.862425231103858</v>
      </c>
      <c r="T553" s="64">
        <f t="shared" ref="T553" si="7608">((P553/Q553)-1)*100</f>
        <v>56.262814608842305</v>
      </c>
      <c r="V553" s="64">
        <v>69796</v>
      </c>
      <c r="W553" s="64">
        <v>15795</v>
      </c>
      <c r="X553" s="53">
        <v>0</v>
      </c>
      <c r="Y553" s="64">
        <f t="shared" si="7569"/>
        <v>85591</v>
      </c>
      <c r="Z553" s="71">
        <f t="shared" ref="Z553" si="7609">AVERAGE(Y550,Y551,Y552,Y553)</f>
        <v>81943.25</v>
      </c>
      <c r="AA553" s="71">
        <f t="shared" ref="AA553" si="7610">AVERAGE(Z501,Z449,Z397)</f>
        <v>110111.58333333333</v>
      </c>
      <c r="AB553" s="64">
        <f t="shared" ref="AB553" si="7611">((Y553/Y501)-1)*100</f>
        <v>-17.700961538461534</v>
      </c>
      <c r="AC553" s="64">
        <f t="shared" ref="AC553" si="7612">((Z553/Z501)-1)*100</f>
        <v>-30.037780149413017</v>
      </c>
      <c r="AD553" s="64">
        <f t="shared" ref="AD553" si="7613">((Z553/AA553)-1)*100</f>
        <v>-25.581625911291496</v>
      </c>
      <c r="AF553" s="53">
        <v>0</v>
      </c>
      <c r="AG553" s="53">
        <v>1768</v>
      </c>
      <c r="AH553" s="53">
        <v>0</v>
      </c>
      <c r="AI553" s="53">
        <f t="shared" si="7345"/>
        <v>1768</v>
      </c>
      <c r="AJ553" s="71">
        <f t="shared" ref="AJ553" si="7614">AVERAGE(AI550,AI551,AI552,AI553)</f>
        <v>2255.5</v>
      </c>
      <c r="AK553" s="71">
        <f t="shared" ref="AK553" si="7615">AVERAGE(AJ501,AJ449,AJ397)</f>
        <v>5975</v>
      </c>
      <c r="AL553" s="64"/>
      <c r="AM553" s="64">
        <f t="shared" ref="AM553" si="7616">((AJ553/AJ501)-1)*100</f>
        <v>-39.853333333333332</v>
      </c>
      <c r="AN553" s="64">
        <f t="shared" ref="AN553" si="7617">((AJ553/AK553)-1)*100</f>
        <v>-62.251046025104607</v>
      </c>
      <c r="AP553" s="60">
        <f t="shared" ref="AP553" si="7618">SUM(B553,L553,V553,AF553)</f>
        <v>262814</v>
      </c>
      <c r="AQ553" s="60">
        <f t="shared" ref="AQ553" si="7619">SUM(C553,M553,W553,AG553)</f>
        <v>57690</v>
      </c>
      <c r="AR553" s="60">
        <f t="shared" ref="AR553" si="7620">SUM(D553,N553,X553,AH553)</f>
        <v>9800</v>
      </c>
      <c r="AS553" s="60">
        <f t="shared" ref="AS553" si="7621">SUM(E553,O553,Y553,AI553)</f>
        <v>330304</v>
      </c>
      <c r="AT553" s="64">
        <f t="shared" ref="AT553" si="7622">AVERAGE(AS550,AS551,AS552,AS553)</f>
        <v>363433.25</v>
      </c>
      <c r="AU553" s="71">
        <f t="shared" ref="AU553" si="7623">AVERAGE(AT501,AT449,AT397)</f>
        <v>669776.58333333337</v>
      </c>
      <c r="AV553" s="64">
        <f t="shared" ref="AV553" si="7624">((AS553/AS501)-1)*100</f>
        <v>-46.535448365166722</v>
      </c>
      <c r="AW553" s="64">
        <f t="shared" ref="AW553" si="7625">((AT553/AT501)-1)*100</f>
        <v>-36.752969327822491</v>
      </c>
      <c r="AX553" s="64">
        <f t="shared" ref="AX553" si="7626">((AT553/AU553)-1)*100</f>
        <v>-45.738137306731261</v>
      </c>
      <c r="AZ553" s="71">
        <f t="shared" ref="AZ553" si="7627">+E553/1000</f>
        <v>209.321</v>
      </c>
      <c r="BA553" s="53">
        <f t="shared" ref="BA553" si="7628">+O553/1000</f>
        <v>33.624000000000002</v>
      </c>
      <c r="BB553" s="53">
        <f t="shared" ref="BB553" si="7629">+Y553/1000</f>
        <v>85.590999999999994</v>
      </c>
      <c r="BC553" s="53">
        <f t="shared" ref="BC553" si="7630">+AI553/1000</f>
        <v>1.768</v>
      </c>
      <c r="BD553" s="53">
        <f t="shared" ref="BD553" si="7631">+AS553/1000</f>
        <v>330.30399999999997</v>
      </c>
      <c r="BE553" s="64">
        <f t="shared" ref="BE553" si="7632">BE552+AZ553</f>
        <v>3228.9889999999991</v>
      </c>
      <c r="BF553" s="64">
        <f t="shared" ref="BF553" si="7633">BF552+BA553</f>
        <v>1640.2149999999999</v>
      </c>
      <c r="BG553" s="64">
        <f t="shared" ref="BG553" si="7634">BG552+BB553</f>
        <v>3602.097999999999</v>
      </c>
      <c r="BH553" s="64">
        <f t="shared" ref="BH553" si="7635">BH552+BC553</f>
        <v>111.842</v>
      </c>
      <c r="BI553" s="64">
        <f t="shared" ref="BI553" si="7636">BI552+BD553</f>
        <v>8583.1440000000002</v>
      </c>
      <c r="BJ553" s="64">
        <v>22</v>
      </c>
    </row>
    <row r="554" spans="1:63" x14ac:dyDescent="0.3">
      <c r="A554" s="48">
        <f t="shared" si="5522"/>
        <v>41433</v>
      </c>
      <c r="B554" s="64">
        <v>41100</v>
      </c>
      <c r="C554" s="64">
        <v>18540</v>
      </c>
      <c r="D554" s="53">
        <v>0</v>
      </c>
      <c r="E554" s="64">
        <f t="shared" si="7328"/>
        <v>59640</v>
      </c>
      <c r="F554" s="64">
        <f t="shared" ref="F554" si="7637">AVERAGE(E551,E552,E553,E554)</f>
        <v>191764.5</v>
      </c>
      <c r="G554" s="71">
        <f t="shared" ref="G554" si="7638">AVERAGE(F502,F450,F398)</f>
        <v>523745.5</v>
      </c>
      <c r="H554" s="64">
        <f t="shared" ref="H554" si="7639">((E554/E502)-1)*100</f>
        <v>-84.129856306546031</v>
      </c>
      <c r="I554" s="64">
        <f t="shared" ref="I554" si="7640">((F554/F502)-1)*100</f>
        <v>-54.268288320515111</v>
      </c>
      <c r="J554" s="64">
        <f t="shared" ref="J554" si="7641">((F554/G554)-1)*100</f>
        <v>-63.385938399470731</v>
      </c>
      <c r="L554" s="53">
        <v>0</v>
      </c>
      <c r="M554" s="53">
        <v>9950</v>
      </c>
      <c r="N554" s="53">
        <v>16800</v>
      </c>
      <c r="O554" s="53">
        <f t="shared" ref="O554" si="7642">SUM(L554:N554)</f>
        <v>26750</v>
      </c>
      <c r="P554" s="71">
        <f t="shared" ref="P554" si="7643">AVERAGE(O551,O552,O553,O554)</f>
        <v>48292.5</v>
      </c>
      <c r="Q554" s="71">
        <f t="shared" ref="Q554" si="7644">AVERAGE(P502,P450,P398)</f>
        <v>35814.25</v>
      </c>
      <c r="R554" s="64">
        <f t="shared" ref="R554" si="7645">((O554/O502)-1)*100</f>
        <v>-53.15236427320491</v>
      </c>
      <c r="S554" s="64">
        <f t="shared" ref="S554" si="7646">((P554/P502)-1)*100</f>
        <v>0.13996889580092375</v>
      </c>
      <c r="T554" s="64">
        <f t="shared" ref="T554" si="7647">((P554/Q554)-1)*100</f>
        <v>34.841578421996822</v>
      </c>
      <c r="V554" s="64">
        <v>23900</v>
      </c>
      <c r="W554" s="64">
        <v>28750</v>
      </c>
      <c r="X554" s="64">
        <v>2800</v>
      </c>
      <c r="Y554" s="64">
        <f t="shared" ref="Y554" si="7648">SUM(V554:X554)</f>
        <v>55450</v>
      </c>
      <c r="Z554" s="71">
        <f t="shared" ref="Z554" si="7649">AVERAGE(Y551,Y552,Y553,Y554)</f>
        <v>78281.25</v>
      </c>
      <c r="AA554" s="71">
        <f t="shared" ref="AA554" si="7650">AVERAGE(Z502,Z450,Z398)</f>
        <v>108228.33333333333</v>
      </c>
      <c r="AB554" s="64">
        <f t="shared" ref="AB554" si="7651">((Y554/Y502)-1)*100</f>
        <v>-58.956328645447819</v>
      </c>
      <c r="AC554" s="64">
        <f t="shared" ref="AC554" si="7652">((Z554/Z502)-1)*100</f>
        <v>-30.663197519929142</v>
      </c>
      <c r="AD554" s="64">
        <f t="shared" ref="AD554" si="7653">((Z554/AA554)-1)*100</f>
        <v>-27.670280425643313</v>
      </c>
      <c r="AF554" s="53">
        <v>4800</v>
      </c>
      <c r="AG554" s="53">
        <v>0</v>
      </c>
      <c r="AH554" s="53">
        <v>0</v>
      </c>
      <c r="AI554" s="53">
        <f t="shared" si="7345"/>
        <v>4800</v>
      </c>
      <c r="AJ554" s="71">
        <f t="shared" ref="AJ554" si="7654">AVERAGE(AI551,AI552,AI553,AI554)</f>
        <v>3018</v>
      </c>
      <c r="AK554" s="71">
        <f t="shared" ref="AK554" si="7655">AVERAGE(AJ502,AJ450,AJ398)</f>
        <v>6614.166666666667</v>
      </c>
      <c r="AL554" s="64">
        <f t="shared" ref="AL554" si="7656">((AI554/AI502)-1)*100</f>
        <v>242.85714285714283</v>
      </c>
      <c r="AM554" s="64">
        <f t="shared" ref="AM554" si="7657">((AJ554/AJ502)-1)*100</f>
        <v>24.453608247422686</v>
      </c>
      <c r="AN554" s="64">
        <f t="shared" ref="AN554" si="7658">((AJ554/AK554)-1)*100</f>
        <v>-54.370669018520857</v>
      </c>
      <c r="AP554" s="60">
        <f t="shared" ref="AP554" si="7659">SUM(B554,L554,V554,AF554)</f>
        <v>69800</v>
      </c>
      <c r="AQ554" s="60">
        <f t="shared" ref="AQ554" si="7660">SUM(C554,M554,W554,AG554)</f>
        <v>57240</v>
      </c>
      <c r="AR554" s="60">
        <f t="shared" ref="AR554" si="7661">SUM(D554,N554,X554,AH554)</f>
        <v>19600</v>
      </c>
      <c r="AS554" s="60">
        <f t="shared" ref="AS554" si="7662">SUM(E554,O554,Y554,AI554)</f>
        <v>146640</v>
      </c>
      <c r="AT554" s="64">
        <f t="shared" ref="AT554" si="7663">AVERAGE(AS551,AS552,AS553,AS554)</f>
        <v>321356.25</v>
      </c>
      <c r="AU554" s="71">
        <f t="shared" ref="AU554" si="7664">AVERAGE(AT502,AT450,AT398)</f>
        <v>674402.25</v>
      </c>
      <c r="AV554" s="64">
        <f t="shared" ref="AV554" si="7665">((AS554/AS502)-1)*100</f>
        <v>-74.246575342465746</v>
      </c>
      <c r="AW554" s="64">
        <f t="shared" ref="AW554" si="7666">((AT554/AT502)-1)*100</f>
        <v>-44.867038387304312</v>
      </c>
      <c r="AX554" s="64">
        <f t="shared" ref="AX554" si="7667">((AT554/AU554)-1)*100</f>
        <v>-52.349469474634759</v>
      </c>
      <c r="AZ554" s="71">
        <f t="shared" ref="AZ554" si="7668">+E554/1000</f>
        <v>59.64</v>
      </c>
      <c r="BA554" s="53">
        <f t="shared" ref="BA554" si="7669">+O554/1000</f>
        <v>26.75</v>
      </c>
      <c r="BB554" s="53">
        <f t="shared" ref="BB554" si="7670">+Y554/1000</f>
        <v>55.45</v>
      </c>
      <c r="BC554" s="53">
        <f t="shared" ref="BC554" si="7671">+AI554/1000</f>
        <v>4.8</v>
      </c>
      <c r="BD554" s="53">
        <f t="shared" ref="BD554" si="7672">+AS554/1000</f>
        <v>146.63999999999999</v>
      </c>
      <c r="BE554" s="64">
        <f t="shared" ref="BE554" si="7673">BE553+AZ554</f>
        <v>3288.628999999999</v>
      </c>
      <c r="BF554" s="64">
        <f t="shared" ref="BF554" si="7674">BF553+BA554</f>
        <v>1666.9649999999999</v>
      </c>
      <c r="BG554" s="64">
        <f t="shared" ref="BG554" si="7675">BG553+BB554</f>
        <v>3657.5479999999989</v>
      </c>
      <c r="BH554" s="64">
        <f t="shared" ref="BH554" si="7676">BH553+BC554</f>
        <v>116.642</v>
      </c>
      <c r="BI554" s="64">
        <f t="shared" ref="BI554" si="7677">BI553+BD554</f>
        <v>8729.7839999999997</v>
      </c>
      <c r="BJ554" s="64">
        <v>23</v>
      </c>
      <c r="BK554" s="1" t="s">
        <v>55</v>
      </c>
    </row>
    <row r="555" spans="1:63" x14ac:dyDescent="0.3">
      <c r="A555" s="48">
        <f t="shared" si="5522"/>
        <v>41440</v>
      </c>
      <c r="B555" s="64">
        <v>216200</v>
      </c>
      <c r="C555" s="64">
        <v>29800</v>
      </c>
      <c r="D555" s="53">
        <v>0</v>
      </c>
      <c r="E555" s="64">
        <f t="shared" si="7328"/>
        <v>246000</v>
      </c>
      <c r="F555" s="64">
        <f t="shared" ref="F555" si="7678">AVERAGE(E552,E553,E554,E555)</f>
        <v>191539.75</v>
      </c>
      <c r="G555" s="71">
        <f t="shared" ref="G555" si="7679">AVERAGE(F503,F451,F399)</f>
        <v>484529</v>
      </c>
      <c r="H555" s="64">
        <f t="shared" ref="H555" si="7680">((E555/E503)-1)*100</f>
        <v>-18.596955658504299</v>
      </c>
      <c r="I555" s="64">
        <f t="shared" ref="I555" si="7681">((F555/F503)-1)*100</f>
        <v>-49.297928661240157</v>
      </c>
      <c r="J555" s="64">
        <f t="shared" ref="J555" si="7682">((F555/G555)-1)*100</f>
        <v>-60.46887802381282</v>
      </c>
      <c r="L555" s="53">
        <v>24300</v>
      </c>
      <c r="M555" s="53">
        <v>6850</v>
      </c>
      <c r="N555" s="53">
        <v>15400</v>
      </c>
      <c r="O555" s="53">
        <f t="shared" ref="O555:O556" si="7683">SUM(L555:N555)</f>
        <v>46550</v>
      </c>
      <c r="P555" s="71">
        <f t="shared" ref="P555" si="7684">AVERAGE(O552,O553,O554,O555)</f>
        <v>46811.5</v>
      </c>
      <c r="Q555" s="71">
        <f t="shared" ref="Q555" si="7685">AVERAGE(P503,P451,P399)</f>
        <v>37746.166666666664</v>
      </c>
      <c r="R555" s="64">
        <f t="shared" ref="R555" si="7686">((O555/O503)-1)*100</f>
        <v>-34.482758620689658</v>
      </c>
      <c r="S555" s="64">
        <f t="shared" ref="S555" si="7687">((P555/P503)-1)*100</f>
        <v>-16.686985539488319</v>
      </c>
      <c r="T555" s="64">
        <f t="shared" ref="T555" si="7688">((P555/Q555)-1)*100</f>
        <v>24.016566803693106</v>
      </c>
      <c r="V555" s="64">
        <v>58100</v>
      </c>
      <c r="W555" s="64">
        <v>27618</v>
      </c>
      <c r="X555" s="53">
        <v>0</v>
      </c>
      <c r="Y555" s="64">
        <f t="shared" ref="Y555" si="7689">SUM(V555:X555)</f>
        <v>85718</v>
      </c>
      <c r="Z555" s="71">
        <f t="shared" ref="Z555" si="7690">AVERAGE(Y552,Y553,Y554,Y555)</f>
        <v>79061.75</v>
      </c>
      <c r="AA555" s="71">
        <f t="shared" ref="AA555" si="7691">AVERAGE(Z503,Z451,Z399)</f>
        <v>110361.16666666667</v>
      </c>
      <c r="AB555" s="64">
        <f t="shared" ref="AB555" si="7692">((Y555/Y503)-1)*100</f>
        <v>-52.329629506045137</v>
      </c>
      <c r="AC555" s="64">
        <f t="shared" ref="AC555" si="7693">((Z555/Z503)-1)*100</f>
        <v>-37.17953811375925</v>
      </c>
      <c r="AD555" s="64">
        <f t="shared" ref="AD555" si="7694">((Z555/AA555)-1)*100</f>
        <v>-28.360896873447338</v>
      </c>
      <c r="AF555" s="53">
        <v>0</v>
      </c>
      <c r="AG555" s="53">
        <v>0</v>
      </c>
      <c r="AH555" s="53">
        <v>0</v>
      </c>
      <c r="AI555" s="53">
        <f t="shared" si="7345"/>
        <v>0</v>
      </c>
      <c r="AJ555" s="71">
        <f t="shared" ref="AJ555" si="7695">AVERAGE(AI552,AI553,AI554,AI555)</f>
        <v>2580.5</v>
      </c>
      <c r="AK555" s="71">
        <f t="shared" ref="AK555" si="7696">AVERAGE(AJ503,AJ451,AJ399)</f>
        <v>5789.166666666667</v>
      </c>
      <c r="AL555" s="64">
        <f t="shared" ref="AL555" si="7697">((AI555/AI503)-1)*100</f>
        <v>-100</v>
      </c>
      <c r="AM555" s="64">
        <f t="shared" ref="AM555" si="7698">((AJ555/AJ503)-1)*100</f>
        <v>126.85714285714286</v>
      </c>
      <c r="AN555" s="64">
        <f t="shared" ref="AN555" si="7699">((AJ555/AK555)-1)*100</f>
        <v>-55.425363466244427</v>
      </c>
      <c r="AP555" s="60">
        <f t="shared" ref="AP555" si="7700">SUM(B555,L555,V555,AF555)</f>
        <v>298600</v>
      </c>
      <c r="AQ555" s="60">
        <f t="shared" ref="AQ555" si="7701">SUM(C555,M555,W555,AG555)</f>
        <v>64268</v>
      </c>
      <c r="AR555" s="60">
        <f t="shared" ref="AR555" si="7702">SUM(D555,N555,X555,AH555)</f>
        <v>15400</v>
      </c>
      <c r="AS555" s="60">
        <f t="shared" ref="AS555" si="7703">SUM(E555,O555,Y555,AI555)</f>
        <v>378268</v>
      </c>
      <c r="AT555" s="64">
        <f t="shared" ref="AT555" si="7704">AVERAGE(AS552,AS553,AS554,AS555)</f>
        <v>319993.5</v>
      </c>
      <c r="AU555" s="71">
        <f t="shared" ref="AU555" si="7705">AVERAGE(AT503,AT451,AT399)</f>
        <v>638425.5</v>
      </c>
      <c r="AV555" s="64">
        <f t="shared" ref="AV555" si="7706">((AS555/AS503)-1)*100</f>
        <v>-31.992362651785101</v>
      </c>
      <c r="AW555" s="64">
        <f t="shared" ref="AW555" si="7707">((AT555/AT503)-1)*100</f>
        <v>-42.955432134749138</v>
      </c>
      <c r="AX555" s="64">
        <f t="shared" ref="AX555" si="7708">((AT555/AU555)-1)*100</f>
        <v>-49.877706952494847</v>
      </c>
      <c r="AZ555" s="71">
        <f t="shared" ref="AZ555" si="7709">+E555/1000</f>
        <v>246</v>
      </c>
      <c r="BA555" s="53">
        <f t="shared" ref="BA555" si="7710">+O555/1000</f>
        <v>46.55</v>
      </c>
      <c r="BB555" s="53">
        <f t="shared" ref="BB555" si="7711">+Y555/1000</f>
        <v>85.718000000000004</v>
      </c>
      <c r="BC555" s="53">
        <f t="shared" ref="BC555" si="7712">+AI555/1000</f>
        <v>0</v>
      </c>
      <c r="BD555" s="53">
        <f t="shared" ref="BD555" si="7713">+AS555/1000</f>
        <v>378.26799999999997</v>
      </c>
      <c r="BE555" s="64">
        <f t="shared" ref="BE555" si="7714">BE554+AZ555</f>
        <v>3534.628999999999</v>
      </c>
      <c r="BF555" s="64">
        <f t="shared" ref="BF555" si="7715">BF554+BA555</f>
        <v>1713.5149999999999</v>
      </c>
      <c r="BG555" s="64">
        <f t="shared" ref="BG555" si="7716">BG554+BB555</f>
        <v>3743.2659999999987</v>
      </c>
      <c r="BH555" s="64">
        <f t="shared" ref="BH555" si="7717">BH554+BC555</f>
        <v>116.642</v>
      </c>
      <c r="BI555" s="64">
        <f t="shared" ref="BI555" si="7718">BI554+BD555</f>
        <v>9108.0519999999997</v>
      </c>
      <c r="BJ555" s="64">
        <v>24</v>
      </c>
    </row>
    <row r="556" spans="1:63" x14ac:dyDescent="0.3">
      <c r="A556" s="48">
        <f t="shared" si="5522"/>
        <v>41447</v>
      </c>
      <c r="B556" s="64">
        <v>264500</v>
      </c>
      <c r="C556" s="64">
        <v>40250</v>
      </c>
      <c r="D556" s="53">
        <v>0</v>
      </c>
      <c r="E556" s="64">
        <f t="shared" si="7328"/>
        <v>304750</v>
      </c>
      <c r="F556" s="64">
        <f t="shared" ref="F556" si="7719">AVERAGE(E553,E554,E555,E556)</f>
        <v>204927.75</v>
      </c>
      <c r="G556" s="71">
        <f t="shared" ref="G556" si="7720">AVERAGE(F504,F452,F400)</f>
        <v>447271.5</v>
      </c>
      <c r="H556" s="64">
        <f t="shared" ref="H556" si="7721">((E556/E504)-1)*100</f>
        <v>-0.65653075328265809</v>
      </c>
      <c r="I556" s="64">
        <f t="shared" ref="I556" si="7722">((F556/F504)-1)*100</f>
        <v>-43.294727870920966</v>
      </c>
      <c r="J556" s="64">
        <f t="shared" ref="J556" si="7723">((F556/G556)-1)*100</f>
        <v>-54.182694403734644</v>
      </c>
      <c r="L556" s="53">
        <v>26200</v>
      </c>
      <c r="M556" s="53">
        <v>21599</v>
      </c>
      <c r="N556" s="53">
        <v>50200</v>
      </c>
      <c r="O556" s="53">
        <f t="shared" si="7683"/>
        <v>97999</v>
      </c>
      <c r="P556" s="71">
        <f t="shared" ref="P556" si="7724">AVERAGE(O553,O554,O555,O556)</f>
        <v>51230.75</v>
      </c>
      <c r="Q556" s="71">
        <f t="shared" ref="Q556" si="7725">AVERAGE(P504,P452,P400)</f>
        <v>39097.5</v>
      </c>
      <c r="R556" s="64">
        <f t="shared" ref="R556" si="7726">((O556/O504)-1)*100</f>
        <v>134.80688134943452</v>
      </c>
      <c r="S556" s="64">
        <f t="shared" ref="S556" si="7727">((P556/P504)-1)*100</f>
        <v>-8.0592769397808794</v>
      </c>
      <c r="T556" s="64">
        <f t="shared" ref="T556" si="7728">((P556/Q556)-1)*100</f>
        <v>31.033314150521129</v>
      </c>
      <c r="V556" s="64">
        <v>54700</v>
      </c>
      <c r="W556" s="64">
        <v>33750</v>
      </c>
      <c r="X556" s="53">
        <v>0</v>
      </c>
      <c r="Y556" s="64">
        <f t="shared" ref="Y556:Y561" si="7729">SUM(V556:X556)</f>
        <v>88450</v>
      </c>
      <c r="Z556" s="71">
        <f t="shared" ref="Z556:Z562" si="7730">AVERAGE(Y553,Y554,Y555,Y556)</f>
        <v>78802.25</v>
      </c>
      <c r="AA556" s="71">
        <f t="shared" ref="AA556:AA562" si="7731">AVERAGE(Z504,Z452,Z400)</f>
        <v>118880.41666666667</v>
      </c>
      <c r="AB556" s="64">
        <f t="shared" ref="AB556:AC558" si="7732">((Y556/Y504)-1)*100</f>
        <v>-58.702960126995983</v>
      </c>
      <c r="AC556" s="64">
        <f t="shared" si="7732"/>
        <v>-50.211343023310917</v>
      </c>
      <c r="AD556" s="64">
        <f t="shared" ref="AD556:AD561" si="7733">((Z556/AA556)-1)*100</f>
        <v>-33.713009922436065</v>
      </c>
      <c r="AF556" s="53">
        <v>0</v>
      </c>
      <c r="AG556" s="53">
        <v>0</v>
      </c>
      <c r="AH556" s="53">
        <v>0</v>
      </c>
      <c r="AI556" s="53">
        <f t="shared" ref="AI556" si="7734">SUM(AF556:AH556)</f>
        <v>0</v>
      </c>
      <c r="AJ556" s="71">
        <f t="shared" ref="AJ556" si="7735">AVERAGE(AI553,AI554,AI555,AI556)</f>
        <v>1642</v>
      </c>
      <c r="AK556" s="71">
        <f t="shared" ref="AK556" si="7736">AVERAGE(AJ504,AJ452,AJ400)</f>
        <v>7472.5</v>
      </c>
      <c r="AL556" s="64">
        <f t="shared" ref="AL556:AL558" si="7737">((AI556/AI504)-1)*100</f>
        <v>-100</v>
      </c>
      <c r="AM556" s="64">
        <f t="shared" ref="AM556" si="7738">((AJ556/AJ504)-1)*100</f>
        <v>-71.505422993492402</v>
      </c>
      <c r="AN556" s="64">
        <f t="shared" ref="AN556" si="7739">((AJ556/AK556)-1)*100</f>
        <v>-78.026095684175317</v>
      </c>
      <c r="AP556" s="60">
        <f t="shared" ref="AP556" si="7740">SUM(B556,L556,V556,AF556)</f>
        <v>345400</v>
      </c>
      <c r="AQ556" s="60">
        <f t="shared" ref="AQ556" si="7741">SUM(C556,M556,W556,AG556)</f>
        <v>95599</v>
      </c>
      <c r="AR556" s="60">
        <f t="shared" ref="AR556" si="7742">SUM(D556,N556,X556,AH556)</f>
        <v>50200</v>
      </c>
      <c r="AS556" s="60">
        <f t="shared" ref="AS556:AS567" si="7743">SUM(E556,O556,Y556,AI556)</f>
        <v>491199</v>
      </c>
      <c r="AT556" s="64">
        <f t="shared" ref="AT556" si="7744">AVERAGE(AS553,AS554,AS555,AS556)</f>
        <v>336602.75</v>
      </c>
      <c r="AU556" s="71">
        <f t="shared" ref="AU556" si="7745">AVERAGE(AT504,AT452,AT400)</f>
        <v>612721.91666666663</v>
      </c>
      <c r="AV556" s="64">
        <f t="shared" ref="AV556" si="7746">((AS556/AS504)-1)*100</f>
        <v>-15.482466705667775</v>
      </c>
      <c r="AW556" s="64">
        <f t="shared" ref="AW556" si="7747">((AT556/AT504)-1)*100</f>
        <v>-42.079735213977152</v>
      </c>
      <c r="AX556" s="64">
        <f t="shared" ref="AX556" si="7748">((AT556/AU556)-1)*100</f>
        <v>-45.064352874597944</v>
      </c>
      <c r="AZ556" s="71">
        <f t="shared" ref="AZ556" si="7749">+E556/1000</f>
        <v>304.75</v>
      </c>
      <c r="BA556" s="53">
        <f t="shared" ref="BA556" si="7750">+O556/1000</f>
        <v>97.998999999999995</v>
      </c>
      <c r="BB556" s="53">
        <f t="shared" ref="BB556:BB561" si="7751">+Y556/1000</f>
        <v>88.45</v>
      </c>
      <c r="BC556" s="53">
        <f t="shared" ref="BC556" si="7752">+AI556/1000</f>
        <v>0</v>
      </c>
      <c r="BD556" s="53">
        <f t="shared" ref="BD556" si="7753">+AS556/1000</f>
        <v>491.19900000000001</v>
      </c>
      <c r="BE556" s="64">
        <f t="shared" ref="BE556" si="7754">BE555+AZ556</f>
        <v>3839.378999999999</v>
      </c>
      <c r="BF556" s="64">
        <f t="shared" ref="BF556" si="7755">BF555+BA556</f>
        <v>1811.5139999999999</v>
      </c>
      <c r="BG556" s="64">
        <f t="shared" ref="BG556" si="7756">BG555+BB556</f>
        <v>3831.7159999999985</v>
      </c>
      <c r="BH556" s="64">
        <f t="shared" ref="BH556" si="7757">BH555+BC556</f>
        <v>116.642</v>
      </c>
      <c r="BI556" s="64">
        <f t="shared" ref="BI556" si="7758">BI555+BD556</f>
        <v>9599.2510000000002</v>
      </c>
      <c r="BJ556" s="64">
        <v>25</v>
      </c>
    </row>
    <row r="557" spans="1:63" x14ac:dyDescent="0.3">
      <c r="A557" s="48">
        <f t="shared" si="5522"/>
        <v>41454</v>
      </c>
      <c r="B557" s="64">
        <v>251100</v>
      </c>
      <c r="C557" s="64">
        <v>17450</v>
      </c>
      <c r="D557" s="53">
        <v>0</v>
      </c>
      <c r="E557" s="64">
        <f t="shared" si="7328"/>
        <v>268550</v>
      </c>
      <c r="F557" s="64">
        <f t="shared" ref="F557" si="7759">AVERAGE(E554,E555,E556,E557)</f>
        <v>219735</v>
      </c>
      <c r="G557" s="71">
        <f t="shared" ref="G557" si="7760">AVERAGE(F505,F453,F401)</f>
        <v>435665.5</v>
      </c>
      <c r="H557" s="64">
        <f t="shared" ref="H557" si="7761">((E557/E505)-1)*100</f>
        <v>-13.994645281955364</v>
      </c>
      <c r="I557" s="64">
        <f t="shared" ref="I557" si="7762">((F557/F505)-1)*100</f>
        <v>-32.233472011053102</v>
      </c>
      <c r="J557" s="64">
        <f t="shared" ref="J557" si="7763">((F557/G557)-1)*100</f>
        <v>-49.563369144446831</v>
      </c>
      <c r="L557" s="53">
        <v>3100</v>
      </c>
      <c r="M557" s="53">
        <v>37408</v>
      </c>
      <c r="N557" s="53">
        <v>29400</v>
      </c>
      <c r="O557" s="53">
        <f t="shared" ref="O557" si="7764">SUM(L557:N557)</f>
        <v>69908</v>
      </c>
      <c r="P557" s="71">
        <f t="shared" ref="P557" si="7765">AVERAGE(O554,O555,O556,O557)</f>
        <v>60301.75</v>
      </c>
      <c r="Q557" s="71">
        <f t="shared" ref="Q557" si="7766">AVERAGE(P505,P453,P401)</f>
        <v>44781.333333333336</v>
      </c>
      <c r="R557" s="64">
        <f t="shared" ref="R557" si="7767">((O557/O505)-1)*100</f>
        <v>32.985846903058899</v>
      </c>
      <c r="S557" s="64">
        <f t="shared" ref="S557" si="7768">((P557/P505)-1)*100</f>
        <v>8.4300574500795644</v>
      </c>
      <c r="T557" s="64">
        <f t="shared" ref="T557" si="7769">((P557/Q557)-1)*100</f>
        <v>34.658228130768777</v>
      </c>
      <c r="V557" s="64">
        <v>56561</v>
      </c>
      <c r="W557" s="64">
        <v>10518</v>
      </c>
      <c r="X557" s="53">
        <v>1400</v>
      </c>
      <c r="Y557" s="64">
        <f t="shared" si="7729"/>
        <v>68479</v>
      </c>
      <c r="Z557" s="71">
        <f t="shared" si="7730"/>
        <v>74524.25</v>
      </c>
      <c r="AA557" s="71">
        <f t="shared" si="7731"/>
        <v>128746.75</v>
      </c>
      <c r="AB557" s="64">
        <f t="shared" si="7732"/>
        <v>-55.242483660130716</v>
      </c>
      <c r="AC557" s="64">
        <f t="shared" si="7732"/>
        <v>-56.296786073473747</v>
      </c>
      <c r="AD557" s="64">
        <f t="shared" si="7733"/>
        <v>-42.115626219690981</v>
      </c>
      <c r="AF557" s="53">
        <v>0</v>
      </c>
      <c r="AG557" s="53">
        <v>0</v>
      </c>
      <c r="AH557" s="53">
        <v>0</v>
      </c>
      <c r="AI557" s="53">
        <f t="shared" ref="AI557" si="7770">SUM(AF557:AH557)</f>
        <v>0</v>
      </c>
      <c r="AJ557" s="71">
        <f t="shared" ref="AJ557" si="7771">AVERAGE(AI554,AI555,AI556,AI557)</f>
        <v>1200</v>
      </c>
      <c r="AK557" s="71">
        <f t="shared" ref="AK557" si="7772">AVERAGE(AJ505,AJ453,AJ401)</f>
        <v>7772.5</v>
      </c>
      <c r="AL557" s="64"/>
      <c r="AM557" s="64">
        <f t="shared" ref="AM557" si="7773">((AJ557/AJ505)-1)*100</f>
        <v>-79.175704989154013</v>
      </c>
      <c r="AN557" s="64">
        <f t="shared" ref="AN557" si="7774">((AJ557/AK557)-1)*100</f>
        <v>-84.560952074622065</v>
      </c>
      <c r="AP557" s="60">
        <f t="shared" ref="AP557" si="7775">SUM(B557,L557,V557,AF557)</f>
        <v>310761</v>
      </c>
      <c r="AQ557" s="60">
        <f t="shared" ref="AQ557" si="7776">SUM(C557,M557,W557,AG557)</f>
        <v>65376</v>
      </c>
      <c r="AR557" s="60">
        <f t="shared" ref="AR557" si="7777">SUM(D557,N557,X557,AH557)</f>
        <v>30800</v>
      </c>
      <c r="AS557" s="60">
        <f t="shared" si="7743"/>
        <v>406937</v>
      </c>
      <c r="AT557" s="64">
        <f t="shared" ref="AT557" si="7778">AVERAGE(AS554,AS555,AS556,AS557)</f>
        <v>355761</v>
      </c>
      <c r="AU557" s="71">
        <f t="shared" ref="AU557" si="7779">AVERAGE(AT505,AT453,AT401)</f>
        <v>616966.08333333337</v>
      </c>
      <c r="AV557" s="64">
        <f t="shared" ref="AV557" si="7780">((AS557/AS505)-1)*100</f>
        <v>-21.412818452886739</v>
      </c>
      <c r="AW557" s="64">
        <f t="shared" ref="AW557" si="7781">((AT557/AT505)-1)*100</f>
        <v>-36.031753880455454</v>
      </c>
      <c r="AX557" s="64">
        <f t="shared" ref="AX557" si="7782">((AT557/AU557)-1)*100</f>
        <v>-42.337024739204331</v>
      </c>
      <c r="AZ557" s="71">
        <f t="shared" ref="AZ557" si="7783">+E557/1000</f>
        <v>268.55</v>
      </c>
      <c r="BA557" s="53">
        <f t="shared" ref="BA557" si="7784">+O557/1000</f>
        <v>69.908000000000001</v>
      </c>
      <c r="BB557" s="53">
        <f t="shared" si="7751"/>
        <v>68.478999999999999</v>
      </c>
      <c r="BC557" s="53">
        <f t="shared" ref="BC557" si="7785">+AI557/1000</f>
        <v>0</v>
      </c>
      <c r="BD557" s="53">
        <f t="shared" ref="BD557" si="7786">+AS557/1000</f>
        <v>406.93700000000001</v>
      </c>
      <c r="BE557" s="64">
        <f t="shared" ref="BE557" si="7787">BE556+AZ557</f>
        <v>4107.9289999999992</v>
      </c>
      <c r="BF557" s="64">
        <f t="shared" ref="BF557" si="7788">BF556+BA557</f>
        <v>1881.4219999999998</v>
      </c>
      <c r="BG557" s="64">
        <f t="shared" ref="BG557" si="7789">BG556+BB557</f>
        <v>3900.1949999999983</v>
      </c>
      <c r="BH557" s="64">
        <f t="shared" ref="BH557" si="7790">BH556+BC557</f>
        <v>116.642</v>
      </c>
      <c r="BI557" s="64">
        <f t="shared" ref="BI557" si="7791">BI556+BD557</f>
        <v>10006.188</v>
      </c>
      <c r="BJ557" s="64">
        <v>26</v>
      </c>
    </row>
    <row r="558" spans="1:63" x14ac:dyDescent="0.3">
      <c r="A558" s="48">
        <f t="shared" si="5522"/>
        <v>41461</v>
      </c>
      <c r="B558" s="64">
        <v>101800</v>
      </c>
      <c r="C558" s="64">
        <v>49000</v>
      </c>
      <c r="D558" s="53">
        <v>0</v>
      </c>
      <c r="E558" s="64">
        <f t="shared" ref="E558:E565" si="7792">SUM(B558:D558)</f>
        <v>150800</v>
      </c>
      <c r="F558" s="64">
        <f t="shared" ref="F558" si="7793">AVERAGE(E555,E556,E557,E558)</f>
        <v>242525</v>
      </c>
      <c r="G558" s="71">
        <f t="shared" ref="G558" si="7794">AVERAGE(F506,F454,F402)</f>
        <v>422176.08333333331</v>
      </c>
      <c r="H558" s="64">
        <f t="shared" ref="H558" si="7795">((E558/E506)-1)*100</f>
        <v>-41.899441340782118</v>
      </c>
      <c r="I558" s="64">
        <f t="shared" ref="I558" si="7796">((F558/F506)-1)*100</f>
        <v>-17.84119068872474</v>
      </c>
      <c r="J558" s="64">
        <f t="shared" ref="J558" si="7797">((F558/G558)-1)*100</f>
        <v>-42.553590889109657</v>
      </c>
      <c r="L558" s="53">
        <v>1500</v>
      </c>
      <c r="M558" s="53">
        <v>98600</v>
      </c>
      <c r="N558" s="53">
        <v>57800</v>
      </c>
      <c r="O558" s="53">
        <f t="shared" ref="O558" si="7798">SUM(L558:N558)</f>
        <v>157900</v>
      </c>
      <c r="P558" s="71">
        <f t="shared" ref="P558" si="7799">AVERAGE(O555,O556,O557,O558)</f>
        <v>93089.25</v>
      </c>
      <c r="Q558" s="71">
        <f t="shared" ref="Q558" si="7800">AVERAGE(P506,P454,P402)</f>
        <v>49932.583333333336</v>
      </c>
      <c r="R558" s="64">
        <f t="shared" ref="R558" si="7801">((O558/O506)-1)*100</f>
        <v>151.23309466984884</v>
      </c>
      <c r="S558" s="64">
        <f t="shared" ref="S558" si="7802">((P558/P506)-1)*100</f>
        <v>63.168480832938954</v>
      </c>
      <c r="T558" s="64">
        <f t="shared" ref="T558" si="7803">((P558/Q558)-1)*100</f>
        <v>86.4298696075208</v>
      </c>
      <c r="V558" s="64">
        <v>48600</v>
      </c>
      <c r="W558" s="64">
        <v>18750</v>
      </c>
      <c r="X558" s="53">
        <v>0</v>
      </c>
      <c r="Y558" s="64">
        <f t="shared" si="7729"/>
        <v>67350</v>
      </c>
      <c r="Z558" s="71">
        <f t="shared" si="7730"/>
        <v>77499.25</v>
      </c>
      <c r="AA558" s="71">
        <f t="shared" si="7731"/>
        <v>138656.41666666666</v>
      </c>
      <c r="AB558" s="64">
        <f t="shared" si="7732"/>
        <v>-73.422097345761344</v>
      </c>
      <c r="AC558" s="64">
        <f t="shared" si="7732"/>
        <v>-61.269740129935023</v>
      </c>
      <c r="AD558" s="64">
        <f t="shared" si="7733"/>
        <v>-44.106986273624791</v>
      </c>
      <c r="AF558" s="53">
        <v>0</v>
      </c>
      <c r="AG558" s="53">
        <v>0</v>
      </c>
      <c r="AH558" s="53">
        <v>0</v>
      </c>
      <c r="AI558" s="53">
        <f t="shared" ref="AI558" si="7804">SUM(AF558:AH558)</f>
        <v>0</v>
      </c>
      <c r="AJ558" s="71">
        <f t="shared" ref="AJ558" si="7805">AVERAGE(AI555,AI556,AI557,AI558)</f>
        <v>0</v>
      </c>
      <c r="AK558" s="71">
        <f t="shared" ref="AK558" si="7806">AVERAGE(AJ506,AJ454,AJ402)</f>
        <v>6616.666666666667</v>
      </c>
      <c r="AL558" s="64">
        <f t="shared" si="7737"/>
        <v>-100</v>
      </c>
      <c r="AM558" s="64">
        <f t="shared" ref="AM558" si="7807">((AJ558/AJ506)-1)*100</f>
        <v>-100</v>
      </c>
      <c r="AN558" s="64">
        <f t="shared" ref="AN558" si="7808">((AJ558/AK558)-1)*100</f>
        <v>-100</v>
      </c>
      <c r="AP558" s="60">
        <f t="shared" ref="AP558" si="7809">SUM(B558,L558,V558,AF558)</f>
        <v>151900</v>
      </c>
      <c r="AQ558" s="60">
        <f t="shared" ref="AQ558" si="7810">SUM(C558,M558,W558,AG558)</f>
        <v>166350</v>
      </c>
      <c r="AR558" s="60">
        <f t="shared" ref="AR558" si="7811">SUM(D558,N558,X558,AH558)</f>
        <v>57800</v>
      </c>
      <c r="AS558" s="60">
        <f t="shared" si="7743"/>
        <v>376050</v>
      </c>
      <c r="AT558" s="64">
        <f t="shared" ref="AT558" si="7812">AVERAGE(AS555,AS556,AS557,AS558)</f>
        <v>413113.5</v>
      </c>
      <c r="AU558" s="71">
        <f t="shared" ref="AU558" si="7813">AVERAGE(AT506,AT454,AT402)</f>
        <v>617381.75</v>
      </c>
      <c r="AV558" s="64">
        <f t="shared" ref="AV558" si="7814">((AS558/AS506)-1)*100</f>
        <v>-35.231465055476519</v>
      </c>
      <c r="AW558" s="64">
        <f t="shared" ref="AW558" si="7815">((AT558/AT506)-1)*100</f>
        <v>-26.091681963095347</v>
      </c>
      <c r="AX558" s="64">
        <f t="shared" ref="AX558" si="7816">((AT558/AU558)-1)*100</f>
        <v>-33.086214485607968</v>
      </c>
      <c r="AZ558" s="71">
        <f t="shared" ref="AZ558" si="7817">+E558/1000</f>
        <v>150.80000000000001</v>
      </c>
      <c r="BA558" s="53">
        <f t="shared" ref="BA558" si="7818">+O558/1000</f>
        <v>157.9</v>
      </c>
      <c r="BB558" s="53">
        <f t="shared" si="7751"/>
        <v>67.349999999999994</v>
      </c>
      <c r="BC558" s="53">
        <f t="shared" ref="BC558" si="7819">+AI558/1000</f>
        <v>0</v>
      </c>
      <c r="BD558" s="53">
        <f t="shared" ref="BD558" si="7820">+AS558/1000</f>
        <v>376.05</v>
      </c>
      <c r="BE558" s="64">
        <f t="shared" ref="BE558" si="7821">BE557+AZ558</f>
        <v>4258.7289999999994</v>
      </c>
      <c r="BF558" s="64">
        <f t="shared" ref="BF558" si="7822">BF557+BA558</f>
        <v>2039.3219999999999</v>
      </c>
      <c r="BG558" s="64">
        <f t="shared" ref="BG558" si="7823">BG557+BB558</f>
        <v>3967.5449999999983</v>
      </c>
      <c r="BH558" s="64">
        <f t="shared" ref="BH558" si="7824">BH557+BC558</f>
        <v>116.642</v>
      </c>
      <c r="BI558" s="64">
        <f t="shared" ref="BI558" si="7825">BI557+BD558</f>
        <v>10382.237999999999</v>
      </c>
      <c r="BJ558" s="64">
        <v>27</v>
      </c>
    </row>
    <row r="559" spans="1:63" x14ac:dyDescent="0.3">
      <c r="A559" s="48">
        <f t="shared" si="5522"/>
        <v>41468</v>
      </c>
      <c r="B559" s="64">
        <v>262200</v>
      </c>
      <c r="C559" s="64">
        <v>23700</v>
      </c>
      <c r="D559" s="53">
        <v>0</v>
      </c>
      <c r="E559" s="64">
        <f t="shared" si="7792"/>
        <v>285900</v>
      </c>
      <c r="F559" s="64">
        <f t="shared" ref="F559" si="7826">AVERAGE(E556,E557,E558,E559)</f>
        <v>252500</v>
      </c>
      <c r="G559" s="71">
        <f t="shared" ref="G559" si="7827">AVERAGE(F507,F455,F403)</f>
        <v>442677.83333333331</v>
      </c>
      <c r="H559" s="64">
        <f t="shared" ref="H559" si="7828">((E559/E507)-1)*100</f>
        <v>3.231630258169349</v>
      </c>
      <c r="I559" s="64">
        <f t="shared" ref="I559" si="7829">((F559/F507)-1)*100</f>
        <v>-12.592859269310919</v>
      </c>
      <c r="J559" s="64">
        <f t="shared" ref="J559" si="7830">((F559/G559)-1)*100</f>
        <v>-42.960776215359019</v>
      </c>
      <c r="L559" s="53">
        <v>12424</v>
      </c>
      <c r="M559" s="53">
        <v>95454</v>
      </c>
      <c r="N559" s="53">
        <v>88200</v>
      </c>
      <c r="O559" s="53">
        <f t="shared" ref="O559" si="7831">SUM(L559:N559)</f>
        <v>196078</v>
      </c>
      <c r="P559" s="71">
        <f t="shared" ref="P559" si="7832">AVERAGE(O556,O557,O558,O559)</f>
        <v>130471.25</v>
      </c>
      <c r="Q559" s="71">
        <f t="shared" ref="Q559" si="7833">AVERAGE(P507,P455,P403)</f>
        <v>49806</v>
      </c>
      <c r="R559" s="64">
        <f t="shared" ref="R559" si="7834">((O559/O507)-1)*100</f>
        <v>491.41581709597631</v>
      </c>
      <c r="S559" s="64">
        <f t="shared" ref="S559" si="7835">((P559/P507)-1)*100</f>
        <v>174.23177165437082</v>
      </c>
      <c r="T559" s="64">
        <f t="shared" ref="T559:T564" si="7836">((P559/Q559)-1)*100</f>
        <v>161.9589005340722</v>
      </c>
      <c r="V559" s="64">
        <v>106672</v>
      </c>
      <c r="W559" s="64">
        <v>18800</v>
      </c>
      <c r="X559" s="53">
        <v>1400</v>
      </c>
      <c r="Y559" s="64">
        <f t="shared" si="7729"/>
        <v>126872</v>
      </c>
      <c r="Z559" s="71">
        <f t="shared" si="7730"/>
        <v>87787.75</v>
      </c>
      <c r="AA559" s="71">
        <f t="shared" si="7731"/>
        <v>143722.5</v>
      </c>
      <c r="AB559" s="64">
        <f t="shared" ref="AB559" si="7837">((Y559/Y507)-1)*100</f>
        <v>-36.86389649166459</v>
      </c>
      <c r="AC559" s="64">
        <f t="shared" ref="AC559" si="7838">((Z559/Z507)-1)*100</f>
        <v>-57.256772679468703</v>
      </c>
      <c r="AD559" s="64">
        <f t="shared" si="7733"/>
        <v>-38.918575727530481</v>
      </c>
      <c r="AF559" s="53">
        <v>1600</v>
      </c>
      <c r="AG559" s="53">
        <v>0</v>
      </c>
      <c r="AH559" s="53">
        <v>0</v>
      </c>
      <c r="AI559" s="53">
        <f t="shared" ref="AI559:AI570" si="7839">SUM(AF559:AH559)</f>
        <v>1600</v>
      </c>
      <c r="AJ559" s="71">
        <f t="shared" ref="AJ559" si="7840">AVERAGE(AI556,AI557,AI558,AI559)</f>
        <v>400</v>
      </c>
      <c r="AK559" s="71">
        <f t="shared" ref="AK559" si="7841">AVERAGE(AJ507,AJ455,AJ403)</f>
        <v>7508.333333333333</v>
      </c>
      <c r="AL559" s="64">
        <f t="shared" ref="AL559" si="7842">((AI559/AI507)-1)*100</f>
        <v>-88.888888888888886</v>
      </c>
      <c r="AM559" s="64">
        <f t="shared" ref="AM559" si="7843">((AJ559/AJ507)-1)*100</f>
        <v>-95.755968169761275</v>
      </c>
      <c r="AN559" s="64">
        <f t="shared" ref="AN559" si="7844">((AJ559/AK559)-1)*100</f>
        <v>-94.6725860155383</v>
      </c>
      <c r="AP559" s="60">
        <f t="shared" ref="AP559:AP560" si="7845">SUM(B559,L559,V559,AF559)</f>
        <v>382896</v>
      </c>
      <c r="AQ559" s="60">
        <f t="shared" ref="AQ559:AQ560" si="7846">SUM(C559,M559,W559,AG559)</f>
        <v>137954</v>
      </c>
      <c r="AR559" s="60">
        <f t="shared" ref="AR559:AR560" si="7847">SUM(D559,N559,X559,AH559)</f>
        <v>89600</v>
      </c>
      <c r="AS559" s="60">
        <f t="shared" si="7743"/>
        <v>610450</v>
      </c>
      <c r="AT559" s="64">
        <f t="shared" ref="AT559" si="7848">AVERAGE(AS556,AS557,AS558,AS559)</f>
        <v>471159</v>
      </c>
      <c r="AU559" s="71">
        <f t="shared" ref="AU559" si="7849">AVERAGE(AT507,AT455,AT403)</f>
        <v>643714.66666666663</v>
      </c>
      <c r="AV559" s="64">
        <f t="shared" ref="AV559" si="7850">((AS559/AS507)-1)*100</f>
        <v>16.175726133971757</v>
      </c>
      <c r="AW559" s="64">
        <f t="shared" ref="AW559" si="7851">((AT559/AT507)-1)*100</f>
        <v>-14.531150229291235</v>
      </c>
      <c r="AX559" s="64">
        <f t="shared" ref="AX559" si="7852">((AT559/AU559)-1)*100</f>
        <v>-26.806235060668694</v>
      </c>
      <c r="AZ559" s="71">
        <f t="shared" ref="AZ559" si="7853">+E559/1000</f>
        <v>285.89999999999998</v>
      </c>
      <c r="BA559" s="53">
        <f t="shared" ref="BA559" si="7854">+O559/1000</f>
        <v>196.078</v>
      </c>
      <c r="BB559" s="53">
        <f t="shared" si="7751"/>
        <v>126.872</v>
      </c>
      <c r="BC559" s="53">
        <f t="shared" ref="BC559" si="7855">+AI559/1000</f>
        <v>1.6</v>
      </c>
      <c r="BD559" s="53">
        <f t="shared" ref="BD559" si="7856">+AS559/1000</f>
        <v>610.45000000000005</v>
      </c>
      <c r="BE559" s="64">
        <f t="shared" ref="BE559" si="7857">BE558+AZ559</f>
        <v>4544.628999999999</v>
      </c>
      <c r="BF559" s="64">
        <f t="shared" ref="BF559" si="7858">BF558+BA559</f>
        <v>2235.4</v>
      </c>
      <c r="BG559" s="64">
        <f t="shared" ref="BG559" si="7859">BG558+BB559</f>
        <v>4094.4169999999981</v>
      </c>
      <c r="BH559" s="64">
        <f t="shared" ref="BH559" si="7860">BH558+BC559</f>
        <v>118.24199999999999</v>
      </c>
      <c r="BI559" s="64">
        <f t="shared" ref="BI559" si="7861">BI558+BD559</f>
        <v>10992.688</v>
      </c>
      <c r="BJ559" s="64">
        <v>28</v>
      </c>
    </row>
    <row r="560" spans="1:63" x14ac:dyDescent="0.3">
      <c r="A560" s="48">
        <f t="shared" si="5522"/>
        <v>41475</v>
      </c>
      <c r="B560" s="64">
        <v>117200</v>
      </c>
      <c r="C560" s="64">
        <v>29550</v>
      </c>
      <c r="D560" s="53">
        <v>0</v>
      </c>
      <c r="E560" s="64">
        <f t="shared" si="7792"/>
        <v>146750</v>
      </c>
      <c r="F560" s="64">
        <f t="shared" ref="F560" si="7862">AVERAGE(E557,E558,E559,E560)</f>
        <v>213000</v>
      </c>
      <c r="G560" s="71">
        <f t="shared" ref="G560" si="7863">AVERAGE(F508,F456,F404)</f>
        <v>467710.5</v>
      </c>
      <c r="H560" s="64">
        <f t="shared" ref="H560" si="7864">((E560/E508)-1)*100</f>
        <v>-52.312091768758329</v>
      </c>
      <c r="I560" s="64">
        <f t="shared" ref="I560" si="7865">((F560/F508)-1)*100</f>
        <v>-26.328040827408739</v>
      </c>
      <c r="J560" s="64">
        <f t="shared" ref="J560" si="7866">((F560/G560)-1)*100</f>
        <v>-54.459008296798984</v>
      </c>
      <c r="L560" s="53">
        <v>10600</v>
      </c>
      <c r="M560" s="53">
        <v>72648</v>
      </c>
      <c r="N560" s="53">
        <v>35000</v>
      </c>
      <c r="O560" s="53">
        <f t="shared" ref="O560" si="7867">SUM(L560:N560)</f>
        <v>118248</v>
      </c>
      <c r="P560" s="71">
        <f t="shared" ref="P560" si="7868">AVERAGE(O557,O558,O559,O560)</f>
        <v>135533.5</v>
      </c>
      <c r="Q560" s="71">
        <f t="shared" ref="Q560" si="7869">AVERAGE(P508,P456,P404)</f>
        <v>47598.666666666664</v>
      </c>
      <c r="R560" s="64">
        <f t="shared" ref="R560" si="7870">((O560/O508)-1)*100</f>
        <v>296.14070351758795</v>
      </c>
      <c r="S560" s="64">
        <f t="shared" ref="S560" si="7871">((P560/P508)-1)*100</f>
        <v>203.84930109515645</v>
      </c>
      <c r="T560" s="64">
        <f t="shared" si="7836"/>
        <v>184.74221967001881</v>
      </c>
      <c r="V560" s="64">
        <v>63900</v>
      </c>
      <c r="W560" s="64">
        <v>10300</v>
      </c>
      <c r="X560" s="53">
        <v>5600</v>
      </c>
      <c r="Y560" s="64">
        <f t="shared" si="7729"/>
        <v>79800</v>
      </c>
      <c r="Z560" s="71">
        <f t="shared" si="7730"/>
        <v>85625.25</v>
      </c>
      <c r="AA560" s="71">
        <f t="shared" si="7731"/>
        <v>146633.91666666666</v>
      </c>
      <c r="AB560" s="64">
        <f t="shared" ref="AB560" si="7872">((Y560/Y508)-1)*100</f>
        <v>-62.128762208491125</v>
      </c>
      <c r="AC560" s="64">
        <f t="shared" ref="AC560" si="7873">((Z560/Z508)-1)*100</f>
        <v>-58.133044849462756</v>
      </c>
      <c r="AD560" s="64">
        <f t="shared" si="7733"/>
        <v>-41.606108636758087</v>
      </c>
      <c r="AF560" s="53">
        <v>0</v>
      </c>
      <c r="AG560" s="53">
        <v>0</v>
      </c>
      <c r="AH560" s="53">
        <v>0</v>
      </c>
      <c r="AI560" s="53">
        <f t="shared" si="7839"/>
        <v>0</v>
      </c>
      <c r="AJ560" s="71">
        <f t="shared" ref="AJ560" si="7874">AVERAGE(AI557,AI558,AI559,AI560)</f>
        <v>400</v>
      </c>
      <c r="AK560" s="71">
        <f t="shared" ref="AK560" si="7875">AVERAGE(AJ508,AJ456,AJ404)</f>
        <v>7954.166666666667</v>
      </c>
      <c r="AL560" s="64"/>
      <c r="AM560" s="64">
        <f t="shared" ref="AM560" si="7876">((AJ560/AJ508)-1)*100</f>
        <v>-91.666666666666657</v>
      </c>
      <c r="AN560" s="64">
        <f t="shared" ref="AN560" si="7877">((AJ560/AK560)-1)*100</f>
        <v>-94.971189104243052</v>
      </c>
      <c r="AP560" s="60">
        <f t="shared" si="7845"/>
        <v>191700</v>
      </c>
      <c r="AQ560" s="60">
        <f t="shared" si="7846"/>
        <v>112498</v>
      </c>
      <c r="AR560" s="60">
        <f t="shared" si="7847"/>
        <v>40600</v>
      </c>
      <c r="AS560" s="60">
        <f t="shared" si="7743"/>
        <v>344798</v>
      </c>
      <c r="AT560" s="64">
        <f t="shared" ref="AT560" si="7878">AVERAGE(AS557,AS558,AS559,AS560)</f>
        <v>434558.75</v>
      </c>
      <c r="AU560" s="71">
        <f t="shared" ref="AU560" si="7879">AVERAGE(AT508,AT456,AT404)</f>
        <v>669897.25</v>
      </c>
      <c r="AV560" s="64">
        <f t="shared" ref="AV560" si="7880">((AS560/AS508)-1)*100</f>
        <v>-37.114394831969712</v>
      </c>
      <c r="AW560" s="64">
        <f t="shared" ref="AW560" si="7881">((AT560/AT508)-1)*100</f>
        <v>-19.977027580714214</v>
      </c>
      <c r="AX560" s="64">
        <f t="shared" ref="AX560" si="7882">((AT560/AU560)-1)*100</f>
        <v>-35.130536809936153</v>
      </c>
      <c r="AZ560" s="71">
        <f t="shared" ref="AZ560:AZ565" si="7883">+E560/1000</f>
        <v>146.75</v>
      </c>
      <c r="BA560" s="53">
        <f t="shared" ref="BA560:BA565" si="7884">+O560/1000</f>
        <v>118.248</v>
      </c>
      <c r="BB560" s="53">
        <f t="shared" si="7751"/>
        <v>79.8</v>
      </c>
      <c r="BC560" s="53">
        <f t="shared" ref="BC560:BC565" si="7885">+AI560/1000</f>
        <v>0</v>
      </c>
      <c r="BD560" s="53">
        <f t="shared" ref="BD560:BD565" si="7886">+AS560/1000</f>
        <v>344.798</v>
      </c>
      <c r="BE560" s="64">
        <f t="shared" ref="BE560:BI561" si="7887">BE559+AZ560</f>
        <v>4691.378999999999</v>
      </c>
      <c r="BF560" s="64">
        <f t="shared" si="7887"/>
        <v>2353.6480000000001</v>
      </c>
      <c r="BG560" s="64">
        <f t="shared" si="7887"/>
        <v>4174.2169999999978</v>
      </c>
      <c r="BH560" s="64">
        <f t="shared" si="7887"/>
        <v>118.24199999999999</v>
      </c>
      <c r="BI560" s="64">
        <f t="shared" si="7887"/>
        <v>11337.486000000001</v>
      </c>
      <c r="BJ560" s="64">
        <v>29</v>
      </c>
    </row>
    <row r="561" spans="1:62" x14ac:dyDescent="0.3">
      <c r="A561" s="48">
        <f t="shared" si="5522"/>
        <v>41482</v>
      </c>
      <c r="B561" s="64">
        <v>157540</v>
      </c>
      <c r="C561" s="64">
        <v>32736</v>
      </c>
      <c r="D561" s="53">
        <v>0</v>
      </c>
      <c r="E561" s="64">
        <f t="shared" si="7792"/>
        <v>190276</v>
      </c>
      <c r="F561" s="64">
        <f t="shared" ref="F561" si="7888">AVERAGE(E558,E559,E560,E561)</f>
        <v>193431.5</v>
      </c>
      <c r="G561" s="71">
        <f t="shared" ref="G561" si="7889">AVERAGE(F509,F457,F405)</f>
        <v>485474.5</v>
      </c>
      <c r="H561" s="64">
        <f t="shared" ref="H561" si="7890">((E561/E509)-1)*100</f>
        <v>-51.119788321730418</v>
      </c>
      <c r="I561" s="64">
        <f t="shared" ref="I561" si="7891">((F561/F509)-1)*100</f>
        <v>-37.273935954600731</v>
      </c>
      <c r="J561" s="64">
        <f t="shared" ref="J561" si="7892">((F561/G561)-1)*100</f>
        <v>-60.15619769936422</v>
      </c>
      <c r="L561" s="53">
        <v>26757</v>
      </c>
      <c r="M561" s="53">
        <v>79826</v>
      </c>
      <c r="N561" s="53">
        <v>58000</v>
      </c>
      <c r="O561" s="53">
        <f t="shared" ref="O561" si="7893">SUM(L561:N561)</f>
        <v>164583</v>
      </c>
      <c r="P561" s="71">
        <f t="shared" ref="P561" si="7894">AVERAGE(O558,O559,O560,O561)</f>
        <v>159202.25</v>
      </c>
      <c r="Q561" s="71">
        <f t="shared" ref="Q561" si="7895">AVERAGE(P509,P457,P405)</f>
        <v>45910.916666666664</v>
      </c>
      <c r="R561" s="64">
        <f t="shared" ref="R561" si="7896">((O561/O509)-1)*100</f>
        <v>313.5251256281407</v>
      </c>
      <c r="S561" s="64">
        <f t="shared" ref="S561" si="7897">((P561/P509)-1)*100</f>
        <v>284.42114286404194</v>
      </c>
      <c r="T561" s="64">
        <f t="shared" si="7836"/>
        <v>246.76338779266368</v>
      </c>
      <c r="V561" s="64">
        <v>63324</v>
      </c>
      <c r="W561" s="64">
        <v>8518</v>
      </c>
      <c r="X561" s="53">
        <v>0</v>
      </c>
      <c r="Y561" s="64">
        <f t="shared" si="7729"/>
        <v>71842</v>
      </c>
      <c r="Z561" s="71">
        <f t="shared" si="7730"/>
        <v>86466</v>
      </c>
      <c r="AA561" s="71">
        <f t="shared" si="7731"/>
        <v>158101.75</v>
      </c>
      <c r="AB561" s="64">
        <f t="shared" ref="AB561" si="7898">((Y561/Y509)-1)*100</f>
        <v>-76.586952412610884</v>
      </c>
      <c r="AC561" s="64">
        <f t="shared" ref="AC561" si="7899">((Z561/Z509)-1)*100</f>
        <v>-64.414208635314168</v>
      </c>
      <c r="AD561" s="64">
        <f t="shared" si="7733"/>
        <v>-45.309903274315431</v>
      </c>
      <c r="AF561" s="53">
        <v>9300</v>
      </c>
      <c r="AG561" s="53">
        <v>5150</v>
      </c>
      <c r="AH561" s="53">
        <v>0</v>
      </c>
      <c r="AI561" s="53">
        <f t="shared" si="7839"/>
        <v>14450</v>
      </c>
      <c r="AJ561" s="71">
        <f t="shared" ref="AJ561" si="7900">AVERAGE(AI558,AI559,AI560,AI561)</f>
        <v>4012.5</v>
      </c>
      <c r="AK561" s="71">
        <f t="shared" ref="AK561" si="7901">AVERAGE(AJ509,AJ457,AJ405)</f>
        <v>9196.5833333333339</v>
      </c>
      <c r="AL561" s="64">
        <f t="shared" ref="AL561" si="7902">((AI561/AI509)-1)*100</f>
        <v>85.042899218850039</v>
      </c>
      <c r="AM561" s="64">
        <f t="shared" ref="AM561" si="7903">((AJ561/AJ509)-1)*100</f>
        <v>-40.575363767633007</v>
      </c>
      <c r="AN561" s="64">
        <f t="shared" ref="AN561" si="7904">((AJ561/AK561)-1)*100</f>
        <v>-56.369666270988319</v>
      </c>
      <c r="AP561" s="60">
        <f t="shared" ref="AP561:AP567" si="7905">SUM(B561,L561,V561,AF561)</f>
        <v>256921</v>
      </c>
      <c r="AQ561" s="60">
        <f t="shared" ref="AQ561:AQ567" si="7906">SUM(C561,M561,W561,AG561)</f>
        <v>126230</v>
      </c>
      <c r="AR561" s="60">
        <f t="shared" ref="AR561:AR567" si="7907">SUM(D561,N561,X561,AH561)</f>
        <v>58000</v>
      </c>
      <c r="AS561" s="60">
        <f t="shared" si="7743"/>
        <v>441151</v>
      </c>
      <c r="AT561" s="64">
        <f t="shared" ref="AT561" si="7908">AVERAGE(AS558,AS559,AS560,AS561)</f>
        <v>443112.25</v>
      </c>
      <c r="AU561" s="71">
        <f t="shared" ref="AU561" si="7909">AVERAGE(AT509,AT457,AT405)</f>
        <v>698683.75</v>
      </c>
      <c r="AV561" s="64">
        <f t="shared" ref="AV561" si="7910">((AS561/AS509)-1)*100</f>
        <v>-40.683586002890848</v>
      </c>
      <c r="AW561" s="64">
        <f t="shared" ref="AW561" si="7911">((AT561/AT509)-1)*100</f>
        <v>-26.088798575860096</v>
      </c>
      <c r="AX561" s="64">
        <f t="shared" ref="AX561" si="7912">((AT561/AU561)-1)*100</f>
        <v>-36.578995861861671</v>
      </c>
      <c r="AZ561" s="71">
        <f t="shared" si="7883"/>
        <v>190.27600000000001</v>
      </c>
      <c r="BA561" s="53">
        <f t="shared" si="7884"/>
        <v>164.583</v>
      </c>
      <c r="BB561" s="53">
        <f t="shared" si="7751"/>
        <v>71.841999999999999</v>
      </c>
      <c r="BC561" s="53">
        <f t="shared" si="7885"/>
        <v>14.45</v>
      </c>
      <c r="BD561" s="53">
        <f t="shared" si="7886"/>
        <v>441.15100000000001</v>
      </c>
      <c r="BE561" s="64">
        <f t="shared" si="7887"/>
        <v>4881.6549999999988</v>
      </c>
      <c r="BF561" s="64">
        <f t="shared" si="7887"/>
        <v>2518.2310000000002</v>
      </c>
      <c r="BG561" s="64">
        <f t="shared" si="7887"/>
        <v>4246.0589999999975</v>
      </c>
      <c r="BH561" s="64">
        <f t="shared" si="7887"/>
        <v>132.69199999999998</v>
      </c>
      <c r="BI561" s="64">
        <f t="shared" si="7887"/>
        <v>11778.637000000001</v>
      </c>
      <c r="BJ561" s="64">
        <v>30</v>
      </c>
    </row>
    <row r="562" spans="1:62" x14ac:dyDescent="0.3">
      <c r="A562" s="48">
        <f t="shared" si="5522"/>
        <v>41489</v>
      </c>
      <c r="B562" s="64">
        <v>132900</v>
      </c>
      <c r="C562" s="64">
        <v>15450</v>
      </c>
      <c r="D562" s="53">
        <v>0</v>
      </c>
      <c r="E562" s="64">
        <f t="shared" si="7792"/>
        <v>148350</v>
      </c>
      <c r="F562" s="64">
        <f t="shared" ref="F562" si="7913">AVERAGE(E559,E560,E561,E562)</f>
        <v>192819</v>
      </c>
      <c r="G562" s="71">
        <f t="shared" ref="G562" si="7914">AVERAGE(F510,F458,F406)</f>
        <v>493236</v>
      </c>
      <c r="H562" s="64">
        <f t="shared" ref="H562" si="7915">((E562/E510)-1)*100</f>
        <v>-52.214527299081979</v>
      </c>
      <c r="I562" s="64">
        <f t="shared" ref="I562" si="7916">((F562/F510)-1)*100</f>
        <v>-39.950482715664904</v>
      </c>
      <c r="J562" s="64">
        <f t="shared" ref="J562" si="7917">((F562/G562)-1)*100</f>
        <v>-60.907354694304551</v>
      </c>
      <c r="L562" s="53">
        <v>25000</v>
      </c>
      <c r="M562" s="53">
        <v>60995</v>
      </c>
      <c r="N562" s="53">
        <v>60000</v>
      </c>
      <c r="O562" s="53">
        <f t="shared" ref="O562" si="7918">SUM(L562:N562)</f>
        <v>145995</v>
      </c>
      <c r="P562" s="71">
        <f t="shared" ref="P562" si="7919">AVERAGE(O559,O560,O561,O562)</f>
        <v>156226</v>
      </c>
      <c r="Q562" s="71">
        <f t="shared" ref="Q562" si="7920">AVERAGE(P510,P458,P406)</f>
        <v>40610.5</v>
      </c>
      <c r="R562" s="64">
        <f t="shared" ref="R562" si="7921">((O562/O510)-1)*100</f>
        <v>271.48854961832063</v>
      </c>
      <c r="S562" s="73">
        <f t="shared" ref="S562:S567" si="7922">((P562/P510)-1)*100</f>
        <v>339.75116815853175</v>
      </c>
      <c r="T562" s="64">
        <f t="shared" si="7836"/>
        <v>284.6936137205895</v>
      </c>
      <c r="V562" s="64">
        <v>79400</v>
      </c>
      <c r="W562" s="64">
        <v>6700</v>
      </c>
      <c r="X562" s="53">
        <v>1400</v>
      </c>
      <c r="Y562" s="64">
        <f t="shared" ref="Y562:Y566" si="7923">SUM(V562:X562)</f>
        <v>87500</v>
      </c>
      <c r="Z562" s="71">
        <f t="shared" si="7730"/>
        <v>91503.5</v>
      </c>
      <c r="AA562" s="71">
        <f t="shared" si="7731"/>
        <v>167088.75</v>
      </c>
      <c r="AB562" s="64">
        <f t="shared" ref="AB562" si="7924">((Y562/Y510)-1)*100</f>
        <v>-75.110084540375709</v>
      </c>
      <c r="AC562" s="64">
        <f t="shared" ref="AC562" si="7925">((Z562/Z510)-1)*100</f>
        <v>-65.794938218302178</v>
      </c>
      <c r="AD562" s="64">
        <f t="shared" ref="AD562" si="7926">((Z562/AA562)-1)*100</f>
        <v>-45.236588340028874</v>
      </c>
      <c r="AF562" s="53">
        <v>0</v>
      </c>
      <c r="AG562" s="53">
        <v>0</v>
      </c>
      <c r="AH562" s="53">
        <v>0</v>
      </c>
      <c r="AI562" s="53">
        <f t="shared" si="7839"/>
        <v>0</v>
      </c>
      <c r="AJ562" s="71">
        <f t="shared" ref="AJ562" si="7927">AVERAGE(AI559,AI560,AI561,AI562)</f>
        <v>4012.5</v>
      </c>
      <c r="AK562" s="71">
        <f t="shared" ref="AK562" si="7928">AVERAGE(AJ510,AJ458,AJ406)</f>
        <v>10434.083333333334</v>
      </c>
      <c r="AL562" s="64">
        <f t="shared" ref="AL562" si="7929">((AI562/AI510)-1)*100</f>
        <v>-100</v>
      </c>
      <c r="AM562" s="64">
        <f t="shared" ref="AM562" si="7930">((AJ562/AJ510)-1)*100</f>
        <v>-41.228166538503785</v>
      </c>
      <c r="AN562" s="64">
        <f t="shared" ref="AN562" si="7931">((AJ562/AK562)-1)*100</f>
        <v>-61.544297933854594</v>
      </c>
      <c r="AP562" s="60">
        <f t="shared" si="7905"/>
        <v>237300</v>
      </c>
      <c r="AQ562" s="60">
        <f t="shared" si="7906"/>
        <v>83145</v>
      </c>
      <c r="AR562" s="60">
        <f t="shared" si="7907"/>
        <v>61400</v>
      </c>
      <c r="AS562" s="60">
        <f t="shared" si="7743"/>
        <v>381845</v>
      </c>
      <c r="AT562" s="64">
        <f t="shared" ref="AT562" si="7932">AVERAGE(AS559,AS560,AS561,AS562)</f>
        <v>444561</v>
      </c>
      <c r="AU562" s="71">
        <f t="shared" ref="AU562" si="7933">AVERAGE(AT510,AT458,AT406)</f>
        <v>711369.33333333337</v>
      </c>
      <c r="AV562" s="64">
        <f t="shared" ref="AV562" si="7934">((AS562/AS510)-1)*100</f>
        <v>-45.944779005603074</v>
      </c>
      <c r="AW562" s="64">
        <f t="shared" ref="AW562" si="7935">((AT562/AT510)-1)*100</f>
        <v>-29.542991698070143</v>
      </c>
      <c r="AX562" s="64">
        <f t="shared" ref="AX562" si="7936">((AT562/AU562)-1)*100</f>
        <v>-37.506302398941379</v>
      </c>
      <c r="AZ562" s="71">
        <f t="shared" si="7883"/>
        <v>148.35</v>
      </c>
      <c r="BA562" s="53">
        <f t="shared" si="7884"/>
        <v>145.995</v>
      </c>
      <c r="BB562" s="53">
        <f t="shared" ref="BB562" si="7937">+Y562/1000</f>
        <v>87.5</v>
      </c>
      <c r="BC562" s="53">
        <f t="shared" si="7885"/>
        <v>0</v>
      </c>
      <c r="BD562" s="53">
        <f t="shared" si="7886"/>
        <v>381.84500000000003</v>
      </c>
      <c r="BE562" s="64">
        <f t="shared" ref="BE562" si="7938">BE561+AZ562</f>
        <v>5030.0049999999992</v>
      </c>
      <c r="BF562" s="64">
        <f t="shared" ref="BF562" si="7939">BF561+BA562</f>
        <v>2664.2260000000001</v>
      </c>
      <c r="BG562" s="64">
        <f t="shared" ref="BG562" si="7940">BG561+BB562</f>
        <v>4333.5589999999975</v>
      </c>
      <c r="BH562" s="64">
        <f t="shared" ref="BH562" si="7941">BH561+BC562</f>
        <v>132.69199999999998</v>
      </c>
      <c r="BI562" s="64">
        <f t="shared" ref="BI562" si="7942">BI561+BD562</f>
        <v>12160.482</v>
      </c>
      <c r="BJ562" s="64">
        <v>31</v>
      </c>
    </row>
    <row r="563" spans="1:62" x14ac:dyDescent="0.3">
      <c r="A563" s="48">
        <f t="shared" si="5522"/>
        <v>41496</v>
      </c>
      <c r="B563" s="64">
        <v>90300</v>
      </c>
      <c r="C563" s="64">
        <v>19758</v>
      </c>
      <c r="D563" s="53">
        <v>0</v>
      </c>
      <c r="E563" s="64">
        <f t="shared" si="7792"/>
        <v>110058</v>
      </c>
      <c r="F563" s="64">
        <f t="shared" ref="F563" si="7943">AVERAGE(E560,E561,E562,E563)</f>
        <v>148858.5</v>
      </c>
      <c r="G563" s="71">
        <f t="shared" ref="G563" si="7944">AVERAGE(F511,F459,F407)</f>
        <v>472207.83333333331</v>
      </c>
      <c r="H563" s="64">
        <f t="shared" ref="H563" si="7945">((E563/E511)-1)*100</f>
        <v>-56.656768613983822</v>
      </c>
      <c r="I563" s="64">
        <f t="shared" ref="I563" si="7946">((F563/F511)-1)*100</f>
        <v>-52.794734622300155</v>
      </c>
      <c r="J563" s="64">
        <f t="shared" ref="J563" si="7947">((F563/G563)-1)*100</f>
        <v>-68.476062976507166</v>
      </c>
      <c r="L563" s="53">
        <v>27800</v>
      </c>
      <c r="M563" s="53">
        <v>134518</v>
      </c>
      <c r="N563" s="53">
        <v>59200</v>
      </c>
      <c r="O563" s="53">
        <f t="shared" ref="O563" si="7948">SUM(L563:N563)</f>
        <v>221518</v>
      </c>
      <c r="P563" s="71">
        <f t="shared" ref="P563" si="7949">AVERAGE(O560,O561,O562,O563)</f>
        <v>162586</v>
      </c>
      <c r="Q563" s="71">
        <f t="shared" ref="Q563" si="7950">AVERAGE(P511,P459,P407)</f>
        <v>41572.166666666664</v>
      </c>
      <c r="R563" s="64">
        <f t="shared" ref="R563" si="7951">((O563/O511)-1)*100</f>
        <v>344.58314935977199</v>
      </c>
      <c r="S563" s="73">
        <f t="shared" si="7922"/>
        <v>309.59842797400114</v>
      </c>
      <c r="T563" s="64">
        <f t="shared" si="7836"/>
        <v>291.09339983081634</v>
      </c>
      <c r="V563" s="64">
        <v>92724</v>
      </c>
      <c r="W563" s="64">
        <v>1750</v>
      </c>
      <c r="X563" s="53">
        <v>0</v>
      </c>
      <c r="Y563" s="64">
        <f t="shared" si="7923"/>
        <v>94474</v>
      </c>
      <c r="Z563" s="71">
        <f t="shared" ref="Z563" si="7952">AVERAGE(Y560,Y561,Y562,Y563)</f>
        <v>83404</v>
      </c>
      <c r="AA563" s="71">
        <f t="shared" ref="AA563" si="7953">AVERAGE(Z511,Z459,Z407)</f>
        <v>172479.16666666666</v>
      </c>
      <c r="AB563" s="64">
        <f t="shared" ref="AB563" si="7954">((Y563/Y511)-1)*100</f>
        <v>-69.81179102092986</v>
      </c>
      <c r="AC563" s="64">
        <f t="shared" ref="AC563" si="7955">((Z563/Z511)-1)*100</f>
        <v>-71.776681008884509</v>
      </c>
      <c r="AD563" s="64">
        <f t="shared" ref="AD563" si="7956">((Z563/AA563)-1)*100</f>
        <v>-51.644014977654294</v>
      </c>
      <c r="AF563" s="53">
        <v>1500</v>
      </c>
      <c r="AG563" s="53">
        <v>0</v>
      </c>
      <c r="AH563" s="53">
        <v>0</v>
      </c>
      <c r="AI563" s="53">
        <f t="shared" si="7839"/>
        <v>1500</v>
      </c>
      <c r="AJ563" s="71">
        <f t="shared" ref="AJ563" si="7957">AVERAGE(AI560,AI561,AI562,AI563)</f>
        <v>3987.5</v>
      </c>
      <c r="AK563" s="71">
        <f t="shared" ref="AK563" si="7958">AVERAGE(AJ511,AJ459,AJ407)</f>
        <v>9642.4166666666661</v>
      </c>
      <c r="AL563" s="64"/>
      <c r="AM563" s="64">
        <f t="shared" ref="AM563" si="7959">((AJ563/AJ511)-1)*100</f>
        <v>23.557208149353158</v>
      </c>
      <c r="AN563" s="64">
        <f t="shared" ref="AN563" si="7960">((AJ563/AK563)-1)*100</f>
        <v>-58.646259150109323</v>
      </c>
      <c r="AP563" s="60">
        <f t="shared" si="7905"/>
        <v>212324</v>
      </c>
      <c r="AQ563" s="60">
        <f t="shared" si="7906"/>
        <v>156026</v>
      </c>
      <c r="AR563" s="60">
        <f t="shared" si="7907"/>
        <v>59200</v>
      </c>
      <c r="AS563" s="60">
        <f t="shared" si="7743"/>
        <v>427550</v>
      </c>
      <c r="AT563" s="64">
        <f t="shared" ref="AT563" si="7961">AVERAGE(AS560,AS561,AS562,AS563)</f>
        <v>398836</v>
      </c>
      <c r="AU563" s="71">
        <f t="shared" ref="AU563" si="7962">AVERAGE(AT511,AT459,AT407)</f>
        <v>695901.58333333337</v>
      </c>
      <c r="AV563" s="64">
        <f t="shared" ref="AV563" si="7963">((AS563/AS511)-1)*100</f>
        <v>-30.671090225685827</v>
      </c>
      <c r="AW563" s="64">
        <f t="shared" ref="AW563" si="7964">((AT563/AT511)-1)*100</f>
        <v>-38.995264070604932</v>
      </c>
      <c r="AX563" s="64">
        <f t="shared" ref="AX563" si="7965">((AT563/AU563)-1)*100</f>
        <v>-42.687872890072221</v>
      </c>
      <c r="AZ563" s="71">
        <f t="shared" si="7883"/>
        <v>110.05800000000001</v>
      </c>
      <c r="BA563" s="53">
        <f t="shared" si="7884"/>
        <v>221.518</v>
      </c>
      <c r="BB563" s="53">
        <f t="shared" ref="BB563" si="7966">+Y563/1000</f>
        <v>94.474000000000004</v>
      </c>
      <c r="BC563" s="53">
        <f t="shared" si="7885"/>
        <v>1.5</v>
      </c>
      <c r="BD563" s="53">
        <f t="shared" si="7886"/>
        <v>427.55</v>
      </c>
      <c r="BE563" s="64">
        <f t="shared" ref="BE563" si="7967">BE562+AZ563</f>
        <v>5140.0629999999992</v>
      </c>
      <c r="BF563" s="64">
        <f t="shared" ref="BF563" si="7968">BF562+BA563</f>
        <v>2885.7440000000001</v>
      </c>
      <c r="BG563" s="64">
        <f t="shared" ref="BG563" si="7969">BG562+BB563</f>
        <v>4428.0329999999976</v>
      </c>
      <c r="BH563" s="64">
        <f t="shared" ref="BH563" si="7970">BH562+BC563</f>
        <v>134.19199999999998</v>
      </c>
      <c r="BI563" s="64">
        <f t="shared" ref="BI563" si="7971">BI562+BD563</f>
        <v>12588.031999999999</v>
      </c>
      <c r="BJ563" s="64">
        <v>32</v>
      </c>
    </row>
    <row r="564" spans="1:62" x14ac:dyDescent="0.3">
      <c r="A564" s="48">
        <f t="shared" si="5522"/>
        <v>41503</v>
      </c>
      <c r="B564" s="64">
        <v>53024</v>
      </c>
      <c r="C564" s="64">
        <v>10500</v>
      </c>
      <c r="D564" s="53">
        <v>0</v>
      </c>
      <c r="E564" s="64">
        <f t="shared" si="7792"/>
        <v>63524</v>
      </c>
      <c r="F564" s="64">
        <f t="shared" ref="F564" si="7972">AVERAGE(E561,E562,E563,E564)</f>
        <v>128052</v>
      </c>
      <c r="G564" s="71">
        <f t="shared" ref="G564" si="7973">AVERAGE(F512,F460,F408)</f>
        <v>427589.66666666669</v>
      </c>
      <c r="H564" s="64">
        <f t="shared" ref="H564" si="7974">((E564/E512)-1)*100</f>
        <v>-81.971335319994324</v>
      </c>
      <c r="I564" s="64">
        <f t="shared" ref="I564" si="7975">((F564/F512)-1)*100</f>
        <v>-60.780157918272096</v>
      </c>
      <c r="J564" s="64">
        <f t="shared" ref="J564" si="7976">((F564/G564)-1)*100</f>
        <v>-70.052597155060653</v>
      </c>
      <c r="L564" s="53">
        <v>18872</v>
      </c>
      <c r="M564" s="53">
        <v>196390</v>
      </c>
      <c r="N564" s="53">
        <v>14000</v>
      </c>
      <c r="O564" s="53">
        <f t="shared" ref="O564:O565" si="7977">SUM(L564:N564)</f>
        <v>229262</v>
      </c>
      <c r="P564" s="71">
        <f t="shared" ref="P564" si="7978">AVERAGE(O561,O562,O563,O564)</f>
        <v>190339.5</v>
      </c>
      <c r="Q564" s="71">
        <f t="shared" ref="Q564" si="7979">AVERAGE(P512,P460,P408)</f>
        <v>41713.583333333336</v>
      </c>
      <c r="R564" s="64">
        <f t="shared" ref="R564" si="7980">((O564/O512)-1)*100</f>
        <v>438.80611045828442</v>
      </c>
      <c r="S564" s="73">
        <f t="shared" si="7922"/>
        <v>344.00265926427028</v>
      </c>
      <c r="T564" s="64">
        <f t="shared" si="7836"/>
        <v>356.30100506829308</v>
      </c>
      <c r="V564" s="64">
        <v>17500</v>
      </c>
      <c r="W564" s="64">
        <v>14018</v>
      </c>
      <c r="X564" s="53">
        <v>0</v>
      </c>
      <c r="Y564" s="64">
        <f t="shared" si="7923"/>
        <v>31518</v>
      </c>
      <c r="Z564" s="71">
        <f t="shared" ref="Z564" si="7981">AVERAGE(Y561,Y562,Y563,Y564)</f>
        <v>71333.5</v>
      </c>
      <c r="AA564" s="71">
        <f t="shared" ref="AA564" si="7982">AVERAGE(Z512,Z460,Z408)</f>
        <v>166866.75</v>
      </c>
      <c r="AB564" s="64">
        <f t="shared" ref="AB564" si="7983">((Y564/Y512)-1)*100</f>
        <v>-77.460094971108191</v>
      </c>
      <c r="AC564" s="64">
        <f t="shared" ref="AC564" si="7984">((Z564/Z512)-1)*100</f>
        <v>-74.321439627925727</v>
      </c>
      <c r="AD564" s="64">
        <f t="shared" ref="AD564" si="7985">((Z564/AA564)-1)*100</f>
        <v>-57.25121991049744</v>
      </c>
      <c r="AF564" s="53">
        <v>0</v>
      </c>
      <c r="AG564" s="53">
        <v>0</v>
      </c>
      <c r="AH564" s="53">
        <v>0</v>
      </c>
      <c r="AI564" s="53">
        <f t="shared" si="7839"/>
        <v>0</v>
      </c>
      <c r="AJ564" s="71">
        <f t="shared" ref="AJ564" si="7986">AVERAGE(AI561,AI562,AI563,AI564)</f>
        <v>3987.5</v>
      </c>
      <c r="AK564" s="71">
        <f t="shared" ref="AK564" si="7987">AVERAGE(AJ512,AJ460,AJ408)</f>
        <v>7225</v>
      </c>
      <c r="AL564" s="64">
        <f t="shared" ref="AL564" si="7988">((AI564/AI512)-1)*100</f>
        <v>-100</v>
      </c>
      <c r="AM564" s="64">
        <f t="shared" ref="AM564" si="7989">((AJ564/AJ512)-1)*100</f>
        <v>9.9317664897649713</v>
      </c>
      <c r="AN564" s="64">
        <f t="shared" ref="AN564" si="7990">((AJ564/AK564)-1)*100</f>
        <v>-44.80968858131488</v>
      </c>
      <c r="AP564" s="60">
        <f t="shared" si="7905"/>
        <v>89396</v>
      </c>
      <c r="AQ564" s="60">
        <f t="shared" si="7906"/>
        <v>220908</v>
      </c>
      <c r="AR564" s="60">
        <f t="shared" si="7907"/>
        <v>14000</v>
      </c>
      <c r="AS564" s="60">
        <f t="shared" si="7743"/>
        <v>324304</v>
      </c>
      <c r="AT564" s="64">
        <f t="shared" ref="AT564" si="7991">AVERAGE(AS561,AS562,AS563,AS564)</f>
        <v>393712.5</v>
      </c>
      <c r="AU564" s="71">
        <f t="shared" ref="AU564" si="7992">AVERAGE(AT512,AT460,AT408)</f>
        <v>643395</v>
      </c>
      <c r="AV564" s="64">
        <f t="shared" ref="AV564" si="7993">((AS564/AS512)-1)*100</f>
        <v>-39.532975843320926</v>
      </c>
      <c r="AW564" s="64">
        <f t="shared" ref="AW564" si="7994">((AT564/AT512)-1)*100</f>
        <v>-39.502211356766203</v>
      </c>
      <c r="AX564" s="64">
        <f t="shared" ref="AX564" si="7995">((AT564/AU564)-1)*100</f>
        <v>-38.8070314503532</v>
      </c>
      <c r="AZ564" s="71">
        <f t="shared" si="7883"/>
        <v>63.524000000000001</v>
      </c>
      <c r="BA564" s="53">
        <f t="shared" si="7884"/>
        <v>229.262</v>
      </c>
      <c r="BB564" s="53">
        <f t="shared" ref="BB564" si="7996">+Y564/1000</f>
        <v>31.518000000000001</v>
      </c>
      <c r="BC564" s="53">
        <f t="shared" si="7885"/>
        <v>0</v>
      </c>
      <c r="BD564" s="53">
        <f t="shared" si="7886"/>
        <v>324.30399999999997</v>
      </c>
      <c r="BE564" s="64">
        <f t="shared" ref="BE564" si="7997">BE563+AZ564</f>
        <v>5203.5869999999995</v>
      </c>
      <c r="BF564" s="64">
        <f t="shared" ref="BF564" si="7998">BF563+BA564</f>
        <v>3115.0060000000003</v>
      </c>
      <c r="BG564" s="64">
        <f t="shared" ref="BG564" si="7999">BG563+BB564</f>
        <v>4459.5509999999977</v>
      </c>
      <c r="BH564" s="64">
        <f t="shared" ref="BH564" si="8000">BH563+BC564</f>
        <v>134.19199999999998</v>
      </c>
      <c r="BI564" s="64">
        <f t="shared" ref="BI564" si="8001">BI563+BD564</f>
        <v>12912.335999999999</v>
      </c>
      <c r="BJ564" s="64">
        <v>33</v>
      </c>
    </row>
    <row r="565" spans="1:62" x14ac:dyDescent="0.3">
      <c r="A565" s="48">
        <f t="shared" si="5522"/>
        <v>41510</v>
      </c>
      <c r="B565" s="64">
        <v>26648</v>
      </c>
      <c r="C565" s="64">
        <v>1750</v>
      </c>
      <c r="D565" s="53">
        <v>4200</v>
      </c>
      <c r="E565" s="64">
        <f t="shared" si="7792"/>
        <v>32598</v>
      </c>
      <c r="F565" s="64">
        <f t="shared" ref="F565:F573" si="8002">AVERAGE(E562,E563,E564,E565)</f>
        <v>88632.5</v>
      </c>
      <c r="G565" s="71">
        <f t="shared" ref="G565" si="8003">AVERAGE(F513,F461,F409)</f>
        <v>355086.16666666669</v>
      </c>
      <c r="H565" s="64">
        <f t="shared" ref="H565" si="8004">((E565/E513)-1)*100</f>
        <v>-78.114803625377633</v>
      </c>
      <c r="I565" s="64">
        <f t="shared" ref="I565" si="8005">((F565/F513)-1)*100</f>
        <v>-66.731789894076215</v>
      </c>
      <c r="J565" s="64">
        <f t="shared" ref="J565" si="8006">((F565/G565)-1)*100</f>
        <v>-75.039157162322567</v>
      </c>
      <c r="L565" s="53">
        <v>18800</v>
      </c>
      <c r="M565" s="53">
        <v>103350</v>
      </c>
      <c r="N565" s="53">
        <v>58800</v>
      </c>
      <c r="O565" s="53">
        <f t="shared" si="7977"/>
        <v>180950</v>
      </c>
      <c r="P565" s="71">
        <f t="shared" ref="P565" si="8007">AVERAGE(O562,O563,O564,O565)</f>
        <v>194431.25</v>
      </c>
      <c r="Q565" s="71">
        <f t="shared" ref="Q565" si="8008">AVERAGE(P513,P461,P409)</f>
        <v>38120.25</v>
      </c>
      <c r="R565" s="64">
        <f t="shared" ref="R565" si="8009">((O565/O513)-1)*100</f>
        <v>530.48780487804879</v>
      </c>
      <c r="S565" s="73">
        <f t="shared" si="7922"/>
        <v>384.93851947922383</v>
      </c>
      <c r="T565" s="64">
        <f t="shared" ref="T565" si="8010">((P565/Q565)-1)*100</f>
        <v>410.0471534158354</v>
      </c>
      <c r="V565" s="64">
        <v>22200</v>
      </c>
      <c r="W565" s="64">
        <v>10500</v>
      </c>
      <c r="X565" s="53">
        <v>1400</v>
      </c>
      <c r="Y565" s="64">
        <f t="shared" si="7923"/>
        <v>34100</v>
      </c>
      <c r="Z565" s="71">
        <f t="shared" ref="Z565" si="8011">AVERAGE(Y562,Y563,Y564,Y565)</f>
        <v>61898</v>
      </c>
      <c r="AA565" s="71">
        <f t="shared" ref="AA565" si="8012">AVERAGE(Z513,Z461,Z409)</f>
        <v>140168.91666666666</v>
      </c>
      <c r="AB565" s="64">
        <f t="shared" ref="AB565" si="8013">((Y565/Y513)-1)*100</f>
        <v>-64.34918975431259</v>
      </c>
      <c r="AC565" s="64">
        <f t="shared" ref="AC565" si="8014">((Z565/Z513)-1)*100</f>
        <v>-72.489166425920587</v>
      </c>
      <c r="AD565" s="64">
        <f t="shared" ref="AD565" si="8015">((Z565/AA565)-1)*100</f>
        <v>-55.840423489040305</v>
      </c>
      <c r="AF565" s="53">
        <v>0</v>
      </c>
      <c r="AG565" s="53">
        <v>5250</v>
      </c>
      <c r="AH565" s="53">
        <v>0</v>
      </c>
      <c r="AI565" s="53">
        <f t="shared" si="7839"/>
        <v>5250</v>
      </c>
      <c r="AJ565" s="71">
        <f t="shared" ref="AJ565" si="8016">AVERAGE(AI562,AI563,AI564,AI565)</f>
        <v>1687.5</v>
      </c>
      <c r="AK565" s="71">
        <f t="shared" ref="AK565" si="8017">AVERAGE(AJ513,AJ461,AJ409)</f>
        <v>6565.916666666667</v>
      </c>
      <c r="AL565" s="64">
        <f t="shared" ref="AL565:AL567" si="8018">((AI565/AI513)-1)*100</f>
        <v>228.125</v>
      </c>
      <c r="AM565" s="64">
        <f t="shared" ref="AM565" si="8019">((AJ565/AJ513)-1)*100</f>
        <v>-18.674698795180721</v>
      </c>
      <c r="AN565" s="64">
        <f t="shared" ref="AN565" si="8020">((AJ565/AK565)-1)*100</f>
        <v>-74.299095074310515</v>
      </c>
      <c r="AP565" s="60">
        <f t="shared" si="7905"/>
        <v>67648</v>
      </c>
      <c r="AQ565" s="60">
        <f t="shared" si="7906"/>
        <v>120850</v>
      </c>
      <c r="AR565" s="60">
        <f t="shared" si="7907"/>
        <v>64400</v>
      </c>
      <c r="AS565" s="60">
        <f t="shared" si="7743"/>
        <v>252898</v>
      </c>
      <c r="AT565" s="64">
        <f t="shared" ref="AT565" si="8021">AVERAGE(AS562,AS563,AS564,AS565)</f>
        <v>346649.25</v>
      </c>
      <c r="AU565" s="71">
        <f t="shared" ref="AU565" si="8022">AVERAGE(AT513,AT461,AT409)</f>
        <v>539941.25</v>
      </c>
      <c r="AV565" s="64">
        <f t="shared" ref="AV565" si="8023">((AS565/AS513)-1)*100</f>
        <v>-8.0036376864314303</v>
      </c>
      <c r="AW565" s="64">
        <f t="shared" ref="AW565" si="8024">((AT565/AT513)-1)*100</f>
        <v>-35.033556229408035</v>
      </c>
      <c r="AX565" s="64">
        <f t="shared" ref="AX565" si="8025">((AT565/AU565)-1)*100</f>
        <v>-35.798709581829499</v>
      </c>
      <c r="AZ565" s="71">
        <f t="shared" si="7883"/>
        <v>32.597999999999999</v>
      </c>
      <c r="BA565" s="53">
        <f t="shared" si="7884"/>
        <v>180.95</v>
      </c>
      <c r="BB565" s="53">
        <f t="shared" ref="BB565" si="8026">+Y565/1000</f>
        <v>34.1</v>
      </c>
      <c r="BC565" s="53">
        <f t="shared" si="7885"/>
        <v>5.25</v>
      </c>
      <c r="BD565" s="53">
        <f t="shared" si="7886"/>
        <v>252.898</v>
      </c>
      <c r="BE565" s="64">
        <f t="shared" ref="BE565" si="8027">BE564+AZ565</f>
        <v>5236.1849999999995</v>
      </c>
      <c r="BF565" s="64">
        <f t="shared" ref="BF565" si="8028">BF564+BA565</f>
        <v>3295.9560000000001</v>
      </c>
      <c r="BG565" s="64">
        <f t="shared" ref="BG565" si="8029">BG564+BB565</f>
        <v>4493.650999999998</v>
      </c>
      <c r="BH565" s="64">
        <f t="shared" ref="BH565" si="8030">BH564+BC565</f>
        <v>139.44199999999998</v>
      </c>
      <c r="BI565" s="64">
        <f t="shared" ref="BI565" si="8031">BI564+BD565</f>
        <v>13165.233999999999</v>
      </c>
      <c r="BJ565" s="64">
        <v>34</v>
      </c>
    </row>
    <row r="566" spans="1:62" x14ac:dyDescent="0.3">
      <c r="A566" s="48">
        <f t="shared" si="5522"/>
        <v>41517</v>
      </c>
      <c r="B566" s="64">
        <v>23576</v>
      </c>
      <c r="C566" s="64">
        <v>10100</v>
      </c>
      <c r="D566" s="53">
        <v>19600</v>
      </c>
      <c r="E566" s="64">
        <f t="shared" ref="E566" si="8032">SUM(B566:D566)</f>
        <v>53276</v>
      </c>
      <c r="F566" s="64">
        <f t="shared" si="8002"/>
        <v>64864</v>
      </c>
      <c r="G566" s="71">
        <f t="shared" ref="G566" si="8033">AVERAGE(F514,F462,F410)</f>
        <v>307231.58333333331</v>
      </c>
      <c r="H566" s="64">
        <f t="shared" ref="H566" si="8034">((E566/E514)-1)*100</f>
        <v>-57.523619693043649</v>
      </c>
      <c r="I566" s="64">
        <f t="shared" ref="I566" si="8035">((F566/F514)-1)*100</f>
        <v>-70.538024883977343</v>
      </c>
      <c r="J566" s="64">
        <f t="shared" ref="J566" si="8036">((F566/G566)-1)*100</f>
        <v>-78.887587240786601</v>
      </c>
      <c r="L566" s="53">
        <v>15624</v>
      </c>
      <c r="M566" s="53">
        <v>31126</v>
      </c>
      <c r="N566" s="53">
        <v>7200</v>
      </c>
      <c r="O566" s="53">
        <f t="shared" ref="O566" si="8037">SUM(L566:N566)</f>
        <v>53950</v>
      </c>
      <c r="P566" s="71">
        <f t="shared" ref="P566" si="8038">AVERAGE(O563,O564,O565,O566)</f>
        <v>171420</v>
      </c>
      <c r="Q566" s="71">
        <f t="shared" ref="Q566" si="8039">AVERAGE(P514,P462,P410)</f>
        <v>36356.083333333336</v>
      </c>
      <c r="R566" s="64">
        <f t="shared" ref="R566" si="8040">((O566/O514)-1)*100</f>
        <v>70.960484203187875</v>
      </c>
      <c r="S566" s="73">
        <f t="shared" si="7922"/>
        <v>349.23443816212745</v>
      </c>
      <c r="T566" s="64">
        <f t="shared" ref="T566" si="8041">((P566/Q566)-1)*100</f>
        <v>371.50293508880907</v>
      </c>
      <c r="V566" s="64">
        <v>25200</v>
      </c>
      <c r="W566" s="64">
        <v>6868</v>
      </c>
      <c r="X566" s="53">
        <v>0</v>
      </c>
      <c r="Y566" s="64">
        <f t="shared" si="7923"/>
        <v>32068</v>
      </c>
      <c r="Z566" s="71">
        <f t="shared" ref="Z566" si="8042">AVERAGE(Y563,Y564,Y565,Y566)</f>
        <v>48040</v>
      </c>
      <c r="AA566" s="71">
        <f t="shared" ref="AA566" si="8043">AVERAGE(Z514,Z462,Z410)</f>
        <v>109935.91666666667</v>
      </c>
      <c r="AB566" s="64">
        <f t="shared" ref="AB566" si="8044">((Y566/Y514)-1)*100</f>
        <v>-66.871900826446279</v>
      </c>
      <c r="AC566" s="64">
        <f t="shared" ref="AC566" si="8045">((Z566/Z514)-1)*100</f>
        <v>-70.218464056339428</v>
      </c>
      <c r="AD566" s="64">
        <f t="shared" ref="AD566" si="8046">((Z566/AA566)-1)*100</f>
        <v>-56.301815224172259</v>
      </c>
      <c r="AF566" s="53">
        <v>0</v>
      </c>
      <c r="AG566" s="53">
        <v>0</v>
      </c>
      <c r="AH566" s="53">
        <v>0</v>
      </c>
      <c r="AI566" s="53">
        <f t="shared" si="7839"/>
        <v>0</v>
      </c>
      <c r="AJ566" s="71">
        <f t="shared" ref="AJ566" si="8047">AVERAGE(AI563,AI564,AI565,AI566)</f>
        <v>1687.5</v>
      </c>
      <c r="AK566" s="71">
        <f t="shared" ref="AK566" si="8048">AVERAGE(AJ514,AJ462,AJ410)</f>
        <v>6203.416666666667</v>
      </c>
      <c r="AL566" s="64"/>
      <c r="AM566" s="64">
        <f t="shared" ref="AM566" si="8049">((AJ566/AJ514)-1)*100</f>
        <v>110.9375</v>
      </c>
      <c r="AN566" s="64">
        <f t="shared" ref="AN566" si="8050">((AJ566/AK566)-1)*100</f>
        <v>-72.797248827930844</v>
      </c>
      <c r="AP566" s="60">
        <f t="shared" si="7905"/>
        <v>64400</v>
      </c>
      <c r="AQ566" s="60">
        <f t="shared" si="7906"/>
        <v>48094</v>
      </c>
      <c r="AR566" s="60">
        <f t="shared" si="7907"/>
        <v>26800</v>
      </c>
      <c r="AS566" s="60">
        <f t="shared" si="7743"/>
        <v>139294</v>
      </c>
      <c r="AT566" s="64">
        <f t="shared" ref="AT566" si="8051">AVERAGE(AS563,AS564,AS565,AS566)</f>
        <v>286011.5</v>
      </c>
      <c r="AU566" s="71">
        <f t="shared" ref="AU566" si="8052">AVERAGE(AT514,AT462,AT410)</f>
        <v>459727</v>
      </c>
      <c r="AV566" s="64">
        <f t="shared" ref="AV566" si="8053">((AS566/AS514)-1)*100</f>
        <v>-45.112734551701848</v>
      </c>
      <c r="AW566" s="64">
        <f t="shared" ref="AW566" si="8054">((AT566/AT514)-1)*100</f>
        <v>-31.971348245121632</v>
      </c>
      <c r="AX566" s="64">
        <f t="shared" ref="AX566" si="8055">((AT566/AU566)-1)*100</f>
        <v>-37.786664694481722</v>
      </c>
      <c r="AZ566" s="71">
        <f t="shared" ref="AZ566" si="8056">+E566/1000</f>
        <v>53.276000000000003</v>
      </c>
      <c r="BA566" s="53">
        <f t="shared" ref="BA566" si="8057">+O566/1000</f>
        <v>53.95</v>
      </c>
      <c r="BB566" s="53">
        <f t="shared" ref="BB566" si="8058">+Y566/1000</f>
        <v>32.067999999999998</v>
      </c>
      <c r="BC566" s="53">
        <f t="shared" ref="BC566" si="8059">+AI566/1000</f>
        <v>0</v>
      </c>
      <c r="BD566" s="53">
        <f t="shared" ref="BD566" si="8060">+AS566/1000</f>
        <v>139.29400000000001</v>
      </c>
      <c r="BE566" s="64">
        <f t="shared" ref="BE566" si="8061">BE565+AZ566</f>
        <v>5289.4609999999993</v>
      </c>
      <c r="BF566" s="64">
        <f t="shared" ref="BF566" si="8062">BF565+BA566</f>
        <v>3349.9059999999999</v>
      </c>
      <c r="BG566" s="64">
        <f t="shared" ref="BG566" si="8063">BG565+BB566</f>
        <v>4525.7189999999982</v>
      </c>
      <c r="BH566" s="64">
        <f t="shared" ref="BH566" si="8064">BH565+BC566</f>
        <v>139.44199999999998</v>
      </c>
      <c r="BI566" s="64">
        <f t="shared" ref="BI566" si="8065">BI565+BD566</f>
        <v>13304.527999999998</v>
      </c>
      <c r="BJ566" s="64">
        <v>35</v>
      </c>
    </row>
    <row r="567" spans="1:62" x14ac:dyDescent="0.3">
      <c r="A567" s="48">
        <f t="shared" si="5522"/>
        <v>41524</v>
      </c>
      <c r="B567" s="64">
        <v>36000</v>
      </c>
      <c r="C567" s="64">
        <v>5250</v>
      </c>
      <c r="D567" s="53">
        <v>12600</v>
      </c>
      <c r="E567" s="64">
        <f t="shared" ref="E567" si="8066">SUM(B567:D567)</f>
        <v>53850</v>
      </c>
      <c r="F567" s="64">
        <f t="shared" si="8002"/>
        <v>50812</v>
      </c>
      <c r="G567" s="71">
        <f t="shared" ref="G567" si="8067">AVERAGE(F515,F463,F411)</f>
        <v>268598</v>
      </c>
      <c r="H567" s="64">
        <f t="shared" ref="H567" si="8068">((E567/E515)-1)*100</f>
        <v>-31.220783201777913</v>
      </c>
      <c r="I567" s="64">
        <f t="shared" ref="I567" si="8069">((F567/F515)-1)*100</f>
        <v>-71.171273398305573</v>
      </c>
      <c r="J567" s="64">
        <f t="shared" ref="J567" si="8070">((F567/G567)-1)*100</f>
        <v>-81.082509921890704</v>
      </c>
      <c r="L567" s="53">
        <v>16800</v>
      </c>
      <c r="M567" s="53">
        <v>57536</v>
      </c>
      <c r="N567" s="53">
        <v>81200</v>
      </c>
      <c r="O567" s="53">
        <f t="shared" ref="O567" si="8071">SUM(L567:N567)</f>
        <v>155536</v>
      </c>
      <c r="P567" s="71">
        <f t="shared" ref="P567" si="8072">AVERAGE(O564,O565,O566,O567)</f>
        <v>154924.5</v>
      </c>
      <c r="Q567" s="71">
        <f t="shared" ref="Q567" si="8073">AVERAGE(P515,P463,P411)</f>
        <v>32044.083333333332</v>
      </c>
      <c r="R567" s="64">
        <f t="shared" ref="R567" si="8074">((O567/O515)-1)*100</f>
        <v>564.68376068376062</v>
      </c>
      <c r="S567" s="73">
        <f t="shared" si="7922"/>
        <v>391.01713851054222</v>
      </c>
      <c r="T567" s="64">
        <f t="shared" ref="T567" si="8075">((P567/Q567)-1)*100</f>
        <v>383.47302804209829</v>
      </c>
      <c r="V567" s="64">
        <v>17300</v>
      </c>
      <c r="W567" s="64">
        <v>6700</v>
      </c>
      <c r="X567" s="53">
        <v>16800</v>
      </c>
      <c r="Y567" s="64">
        <f t="shared" ref="Y567:Y568" si="8076">SUM(V567:X567)</f>
        <v>40800</v>
      </c>
      <c r="Z567" s="71">
        <f t="shared" ref="Z567" si="8077">AVERAGE(Y564,Y565,Y566,Y567)</f>
        <v>34621.5</v>
      </c>
      <c r="AA567" s="71">
        <f t="shared" ref="AA567" si="8078">AVERAGE(Z515,Z463,Z411)</f>
        <v>80653.416666666672</v>
      </c>
      <c r="AB567" s="64">
        <f t="shared" ref="AB567" si="8079">((Y567/Y515)-1)*100</f>
        <v>-31.77257525083612</v>
      </c>
      <c r="AC567" s="64">
        <f t="shared" ref="AC567" si="8080">((Z567/Z515)-1)*100</f>
        <v>-64.679327283578431</v>
      </c>
      <c r="AD567" s="64">
        <f t="shared" ref="AD567" si="8081">((Z567/AA567)-1)*100</f>
        <v>-57.073734218740476</v>
      </c>
      <c r="AF567" s="53">
        <v>0</v>
      </c>
      <c r="AG567" s="53">
        <v>0</v>
      </c>
      <c r="AH567" s="53">
        <v>0</v>
      </c>
      <c r="AI567" s="53">
        <f t="shared" si="7839"/>
        <v>0</v>
      </c>
      <c r="AJ567" s="71">
        <f t="shared" ref="AJ567" si="8082">AVERAGE(AI564,AI565,AI566,AI567)</f>
        <v>1312.5</v>
      </c>
      <c r="AK567" s="71">
        <f t="shared" ref="AK567" si="8083">AVERAGE(AJ515,AJ463,AJ411)</f>
        <v>6876.833333333333</v>
      </c>
      <c r="AL567" s="64">
        <f t="shared" si="8018"/>
        <v>-100</v>
      </c>
      <c r="AM567" s="64">
        <f t="shared" ref="AM567" si="8084">((AJ567/AJ515)-1)*100</f>
        <v>14.130434782608692</v>
      </c>
      <c r="AN567" s="64">
        <f t="shared" ref="AN567" si="8085">((AJ567/AK567)-1)*100</f>
        <v>-80.914180460967984</v>
      </c>
      <c r="AP567" s="60">
        <f t="shared" si="7905"/>
        <v>70100</v>
      </c>
      <c r="AQ567" s="60">
        <f t="shared" si="7906"/>
        <v>69486</v>
      </c>
      <c r="AR567" s="60">
        <f t="shared" si="7907"/>
        <v>110600</v>
      </c>
      <c r="AS567" s="60">
        <f t="shared" si="7743"/>
        <v>250186</v>
      </c>
      <c r="AT567" s="64">
        <f t="shared" ref="AT567" si="8086">AVERAGE(AS564,AS565,AS566,AS567)</f>
        <v>241670.5</v>
      </c>
      <c r="AU567" s="71">
        <f t="shared" ref="AU567" si="8087">AVERAGE(AT515,AT463,AT411)</f>
        <v>388172.33333333331</v>
      </c>
      <c r="AV567" s="64">
        <f t="shared" ref="AV567" si="8088">((AS567/AS515)-1)*100</f>
        <v>53.58822301619459</v>
      </c>
      <c r="AW567" s="64">
        <f t="shared" ref="AW567" si="8089">((AT567/AT515)-1)*100</f>
        <v>-21.274069392820959</v>
      </c>
      <c r="AX567" s="64">
        <f t="shared" ref="AX567" si="8090">((AT567/AU567)-1)*100</f>
        <v>-37.741441301415094</v>
      </c>
      <c r="AZ567" s="71">
        <f t="shared" ref="AZ567" si="8091">+E567/1000</f>
        <v>53.85</v>
      </c>
      <c r="BA567" s="53">
        <f t="shared" ref="BA567" si="8092">+O567/1000</f>
        <v>155.536</v>
      </c>
      <c r="BB567" s="53">
        <f t="shared" ref="BB567" si="8093">+Y567/1000</f>
        <v>40.799999999999997</v>
      </c>
      <c r="BC567" s="53">
        <f t="shared" ref="BC567" si="8094">+AI567/1000</f>
        <v>0</v>
      </c>
      <c r="BD567" s="53">
        <f t="shared" ref="BD567" si="8095">+AS567/1000</f>
        <v>250.18600000000001</v>
      </c>
      <c r="BE567" s="64">
        <f t="shared" ref="BE567" si="8096">BE566+AZ567</f>
        <v>5343.3109999999997</v>
      </c>
      <c r="BF567" s="64">
        <f t="shared" ref="BF567" si="8097">BF566+BA567</f>
        <v>3505.442</v>
      </c>
      <c r="BG567" s="64">
        <f t="shared" ref="BG567" si="8098">BG566+BB567</f>
        <v>4566.5189999999984</v>
      </c>
      <c r="BH567" s="64">
        <f t="shared" ref="BH567" si="8099">BH566+BC567</f>
        <v>139.44199999999998</v>
      </c>
      <c r="BI567" s="64">
        <f t="shared" ref="BI567" si="8100">BI566+BD567</f>
        <v>13554.713999999998</v>
      </c>
      <c r="BJ567" s="64">
        <v>36</v>
      </c>
    </row>
    <row r="568" spans="1:62" x14ac:dyDescent="0.3">
      <c r="A568" s="48">
        <f t="shared" si="5522"/>
        <v>41531</v>
      </c>
      <c r="B568" s="64">
        <v>29600</v>
      </c>
      <c r="C568" s="64">
        <v>12600</v>
      </c>
      <c r="D568" s="53">
        <v>35000</v>
      </c>
      <c r="E568" s="64">
        <f t="shared" ref="E568" si="8101">SUM(B568:D568)</f>
        <v>77200</v>
      </c>
      <c r="F568" s="64">
        <f t="shared" si="8002"/>
        <v>54231</v>
      </c>
      <c r="G568" s="71">
        <f t="shared" ref="G568" si="8102">AVERAGE(F516,F464,F412)</f>
        <v>242703</v>
      </c>
      <c r="H568" s="64">
        <f t="shared" ref="H568" si="8103">((E568/E516)-1)*100</f>
        <v>-27.842374845777094</v>
      </c>
      <c r="I568" s="64">
        <f t="shared" ref="I568" si="8104">((F568/F516)-1)*100</f>
        <v>-52.807419445369042</v>
      </c>
      <c r="J568" s="64">
        <f t="shared" ref="J568" si="8105">((F568/G568)-1)*100</f>
        <v>-77.65540599003721</v>
      </c>
      <c r="L568" s="53">
        <v>28200</v>
      </c>
      <c r="M568" s="53">
        <v>29650</v>
      </c>
      <c r="N568" s="53">
        <v>39200</v>
      </c>
      <c r="O568" s="53">
        <f t="shared" ref="O568" si="8106">SUM(L568:N568)</f>
        <v>97050</v>
      </c>
      <c r="P568" s="71">
        <f t="shared" ref="P568" si="8107">AVERAGE(O565,O566,O567,O568)</f>
        <v>121871.5</v>
      </c>
      <c r="Q568" s="71">
        <f t="shared" ref="Q568" si="8108">AVERAGE(P516,P464,P412)</f>
        <v>30841.833333333332</v>
      </c>
      <c r="R568" s="64">
        <f t="shared" ref="R568" si="8109">((O568/O516)-1)*100</f>
        <v>222.42524916943523</v>
      </c>
      <c r="S568" s="73">
        <f t="shared" ref="S568" si="8110">((P568/P516)-1)*100</f>
        <v>328.53274963298958</v>
      </c>
      <c r="T568" s="64">
        <f t="shared" ref="T568" si="8111">((P568/Q568)-1)*100</f>
        <v>295.14998567962346</v>
      </c>
      <c r="V568" s="64">
        <v>28200</v>
      </c>
      <c r="W568" s="64">
        <v>9900</v>
      </c>
      <c r="X568" s="53">
        <v>0</v>
      </c>
      <c r="Y568" s="64">
        <f t="shared" si="8076"/>
        <v>38100</v>
      </c>
      <c r="Z568" s="71">
        <f t="shared" ref="Z568" si="8112">AVERAGE(Y565,Y566,Y567,Y568)</f>
        <v>36267</v>
      </c>
      <c r="AA568" s="71">
        <f t="shared" ref="AA568" si="8113">AVERAGE(Z516,Z464,Z412)</f>
        <v>70059.5</v>
      </c>
      <c r="AB568" s="64">
        <f t="shared" ref="AB568" si="8114">((Y568/Y516)-1)*100</f>
        <v>-62.407498766650214</v>
      </c>
      <c r="AC568" s="64">
        <f t="shared" ref="AC568" si="8115">((Z568/Z516)-1)*100</f>
        <v>-58.973981900452486</v>
      </c>
      <c r="AD568" s="64">
        <f t="shared" ref="AD568" si="8116">((Z568/AA568)-1)*100</f>
        <v>-48.234001099065793</v>
      </c>
      <c r="AF568" s="53">
        <v>0</v>
      </c>
      <c r="AG568" s="53">
        <v>3200</v>
      </c>
      <c r="AH568" s="53">
        <v>0</v>
      </c>
      <c r="AI568" s="53">
        <f t="shared" si="7839"/>
        <v>3200</v>
      </c>
      <c r="AJ568" s="71">
        <f t="shared" ref="AJ568" si="8117">AVERAGE(AI565,AI566,AI567,AI568)</f>
        <v>2112.5</v>
      </c>
      <c r="AK568" s="71">
        <f t="shared" ref="AK568" si="8118">AVERAGE(AJ516,AJ464,AJ412)</f>
        <v>7465.083333333333</v>
      </c>
      <c r="AL568" s="64">
        <f t="shared" ref="AL568:AL571" si="8119">((AI568/AI516)-1)*100</f>
        <v>82.857142857142847</v>
      </c>
      <c r="AM568" s="64">
        <f t="shared" ref="AM568" si="8120">((AJ568/AJ516)-1)*100</f>
        <v>77.89473684210526</v>
      </c>
      <c r="AN568" s="64">
        <f t="shared" ref="AN568" si="8121">((AJ568/AK568)-1)*100</f>
        <v>-71.701588506491333</v>
      </c>
      <c r="AP568" s="60">
        <f t="shared" ref="AP568:AP574" si="8122">SUM(B568,L568,V568,AF568)</f>
        <v>86000</v>
      </c>
      <c r="AQ568" s="60">
        <f t="shared" ref="AQ568:AQ572" si="8123">SUM(C568,M568,W568,AG568)</f>
        <v>55350</v>
      </c>
      <c r="AR568" s="60">
        <f t="shared" ref="AR568:AR570" si="8124">SUM(D568,N568,X568,AH568)</f>
        <v>74200</v>
      </c>
      <c r="AS568" s="60">
        <f t="shared" ref="AS568:AS570" si="8125">SUM(E568,O568,Y568,AI568)</f>
        <v>215550</v>
      </c>
      <c r="AT568" s="64">
        <f t="shared" ref="AT568" si="8126">AVERAGE(AS565,AS566,AS567,AS568)</f>
        <v>214482</v>
      </c>
      <c r="AU568" s="71">
        <f t="shared" ref="AU568" si="8127">AVERAGE(AT516,AT464,AT412)</f>
        <v>351069.41666666669</v>
      </c>
      <c r="AV568" s="64">
        <f t="shared" ref="AV568" si="8128">((AS568/AS516)-1)*100</f>
        <v>-10.257798058187751</v>
      </c>
      <c r="AW568" s="64">
        <f t="shared" ref="AW568" si="8129">((AT568/AT516)-1)*100</f>
        <v>-7.9243241850940782</v>
      </c>
      <c r="AX568" s="64">
        <f t="shared" ref="AX568" si="8130">((AT568/AU568)-1)*100</f>
        <v>-38.906099529698899</v>
      </c>
      <c r="AZ568" s="71">
        <f t="shared" ref="AZ568" si="8131">+E568/1000</f>
        <v>77.2</v>
      </c>
      <c r="BA568" s="53">
        <f t="shared" ref="BA568" si="8132">+O568/1000</f>
        <v>97.05</v>
      </c>
      <c r="BB568" s="53">
        <f t="shared" ref="BB568" si="8133">+Y568/1000</f>
        <v>38.1</v>
      </c>
      <c r="BC568" s="53">
        <f t="shared" ref="BC568" si="8134">+AI568/1000</f>
        <v>3.2</v>
      </c>
      <c r="BD568" s="53">
        <f t="shared" ref="BD568" si="8135">+AS568/1000</f>
        <v>215.55</v>
      </c>
      <c r="BE568" s="64">
        <f t="shared" ref="BE568" si="8136">BE567+AZ568</f>
        <v>5420.5109999999995</v>
      </c>
      <c r="BF568" s="64">
        <f t="shared" ref="BF568" si="8137">BF567+BA568</f>
        <v>3602.4920000000002</v>
      </c>
      <c r="BG568" s="64">
        <f t="shared" ref="BG568" si="8138">BG567+BB568</f>
        <v>4604.6189999999988</v>
      </c>
      <c r="BH568" s="64">
        <f t="shared" ref="BH568" si="8139">BH567+BC568</f>
        <v>142.64199999999997</v>
      </c>
      <c r="BI568" s="64">
        <f t="shared" ref="BI568" si="8140">BI567+BD568</f>
        <v>13770.263999999997</v>
      </c>
      <c r="BJ568" s="64">
        <v>37</v>
      </c>
    </row>
    <row r="569" spans="1:62" x14ac:dyDescent="0.3">
      <c r="A569" s="48">
        <f t="shared" si="5522"/>
        <v>41538</v>
      </c>
      <c r="B569" s="64">
        <v>34700</v>
      </c>
      <c r="C569" s="64">
        <v>34450</v>
      </c>
      <c r="D569" s="64">
        <v>68600</v>
      </c>
      <c r="E569" s="64">
        <f t="shared" ref="E569" si="8141">SUM(B569:D569)</f>
        <v>137750</v>
      </c>
      <c r="F569" s="64">
        <f t="shared" si="8002"/>
        <v>80519</v>
      </c>
      <c r="G569" s="71">
        <f t="shared" ref="G569" si="8142">AVERAGE(F517,F465,F413)</f>
        <v>250347.58333333334</v>
      </c>
      <c r="H569" s="64">
        <f t="shared" ref="H569" si="8143">((E569/E517)-1)*100</f>
        <v>54.020752269779514</v>
      </c>
      <c r="I569" s="64">
        <f t="shared" ref="I569" si="8144">((F569/F517)-1)*100</f>
        <v>-19.509775255346216</v>
      </c>
      <c r="J569" s="64">
        <f t="shared" ref="J569" si="8145">((F569/G569)-1)*100</f>
        <v>-67.837117128152826</v>
      </c>
      <c r="L569" s="53">
        <v>38200</v>
      </c>
      <c r="M569" s="53">
        <v>37300</v>
      </c>
      <c r="N569" s="53">
        <v>33600</v>
      </c>
      <c r="O569" s="53">
        <f t="shared" ref="O569" si="8146">SUM(L569:N569)</f>
        <v>109100</v>
      </c>
      <c r="P569" s="71">
        <f t="shared" ref="P569" si="8147">AVERAGE(O566,O567,O568,O569)</f>
        <v>103909</v>
      </c>
      <c r="Q569" s="71">
        <f t="shared" ref="Q569" si="8148">AVERAGE(P517,P465,P413)</f>
        <v>28326.916666666668</v>
      </c>
      <c r="R569" s="64">
        <f t="shared" ref="R569" si="8149">((O569/O517)-1)*100</f>
        <v>216.08529377679915</v>
      </c>
      <c r="S569" s="73">
        <f t="shared" ref="S569" si="8150">((P569/P517)-1)*100</f>
        <v>247.60021074991846</v>
      </c>
      <c r="T569" s="64">
        <f t="shared" ref="T569" si="8151">((P569/Q569)-1)*100</f>
        <v>266.82072116332228</v>
      </c>
      <c r="V569" s="64">
        <v>7900</v>
      </c>
      <c r="W569" s="64">
        <v>3350</v>
      </c>
      <c r="X569" s="53">
        <v>25200</v>
      </c>
      <c r="Y569" s="64">
        <f t="shared" ref="Y569" si="8152">SUM(V569:X569)</f>
        <v>36450</v>
      </c>
      <c r="Z569" s="71">
        <f t="shared" ref="Z569" si="8153">AVERAGE(Y566,Y567,Y568,Y569)</f>
        <v>36854.5</v>
      </c>
      <c r="AA569" s="71">
        <f t="shared" ref="AA569" si="8154">AVERAGE(Z517,Z465,Z413)</f>
        <v>64163.666666666664</v>
      </c>
      <c r="AB569" s="64">
        <f t="shared" ref="AB569" si="8155">((Y569/Y517)-1)*100</f>
        <v>-41.958598726114651</v>
      </c>
      <c r="AC569" s="64">
        <f t="shared" ref="AC569" si="8156">((Z569/Z517)-1)*100</f>
        <v>-54.039594699922056</v>
      </c>
      <c r="AD569" s="64">
        <f t="shared" ref="AD569" si="8157">((Z569/AA569)-1)*100</f>
        <v>-42.561730158812615</v>
      </c>
      <c r="AF569" s="53">
        <v>0</v>
      </c>
      <c r="AG569" s="53">
        <v>0</v>
      </c>
      <c r="AH569" s="53">
        <v>0</v>
      </c>
      <c r="AI569" s="53">
        <f t="shared" si="7839"/>
        <v>0</v>
      </c>
      <c r="AJ569" s="71">
        <f t="shared" ref="AJ569" si="8158">AVERAGE(AI566,AI567,AI568,AI569)</f>
        <v>800</v>
      </c>
      <c r="AK569" s="71">
        <f t="shared" ref="AK569" si="8159">AVERAGE(AJ517,AJ465,AJ413)</f>
        <v>5840.083333333333</v>
      </c>
      <c r="AL569" s="64"/>
      <c r="AM569" s="64">
        <f t="shared" ref="AM569" si="8160">((AJ569/AJ517)-1)*100</f>
        <v>1.5873015873015817</v>
      </c>
      <c r="AN569" s="64">
        <f t="shared" ref="AN569" si="8161">((AJ569/AK569)-1)*100</f>
        <v>-86.301565331544921</v>
      </c>
      <c r="AP569" s="60">
        <f t="shared" si="8122"/>
        <v>80800</v>
      </c>
      <c r="AQ569" s="60">
        <f t="shared" si="8123"/>
        <v>75100</v>
      </c>
      <c r="AR569" s="60">
        <f t="shared" si="8124"/>
        <v>127400</v>
      </c>
      <c r="AS569" s="60">
        <f t="shared" si="8125"/>
        <v>283300</v>
      </c>
      <c r="AT569" s="64">
        <f t="shared" ref="AT569" si="8162">AVERAGE(AS566,AS567,AS568,AS569)</f>
        <v>222082.5</v>
      </c>
      <c r="AU569" s="71">
        <f t="shared" ref="AU569" si="8163">AVERAGE(AT517,AT465,AT413)</f>
        <v>348678.25</v>
      </c>
      <c r="AV569" s="64">
        <f t="shared" ref="AV569" si="8164">((AS569/AS517)-1)*100</f>
        <v>51.698509252912949</v>
      </c>
      <c r="AW569" s="64">
        <f t="shared" ref="AW569" si="8165">((AT569/AT517)-1)*100</f>
        <v>5.3002787998331025</v>
      </c>
      <c r="AX569" s="64">
        <f t="shared" ref="AX569" si="8166">((AT569/AU569)-1)*100</f>
        <v>-36.307326310144092</v>
      </c>
      <c r="AZ569" s="71">
        <f t="shared" ref="AZ569" si="8167">+E569/1000</f>
        <v>137.75</v>
      </c>
      <c r="BA569" s="53">
        <f t="shared" ref="BA569" si="8168">+O569/1000</f>
        <v>109.1</v>
      </c>
      <c r="BB569" s="53">
        <f t="shared" ref="BB569" si="8169">+Y569/1000</f>
        <v>36.450000000000003</v>
      </c>
      <c r="BC569" s="53">
        <f t="shared" ref="BC569" si="8170">+AI569/1000</f>
        <v>0</v>
      </c>
      <c r="BD569" s="53">
        <f t="shared" ref="BD569" si="8171">+AS569/1000</f>
        <v>283.3</v>
      </c>
      <c r="BE569" s="64">
        <f t="shared" ref="BE569" si="8172">BE568+AZ569</f>
        <v>5558.2609999999995</v>
      </c>
      <c r="BF569" s="64">
        <f t="shared" ref="BF569" si="8173">BF568+BA569</f>
        <v>3711.5920000000001</v>
      </c>
      <c r="BG569" s="64">
        <f t="shared" ref="BG569" si="8174">BG568+BB569</f>
        <v>4641.0689999999986</v>
      </c>
      <c r="BH569" s="64">
        <f t="shared" ref="BH569" si="8175">BH568+BC569</f>
        <v>142.64199999999997</v>
      </c>
      <c r="BI569" s="64">
        <f t="shared" ref="BI569" si="8176">BI568+BD569</f>
        <v>14053.563999999997</v>
      </c>
      <c r="BJ569" s="64">
        <v>38</v>
      </c>
    </row>
    <row r="570" spans="1:62" x14ac:dyDescent="0.3">
      <c r="A570" s="48">
        <f t="shared" si="5522"/>
        <v>41545</v>
      </c>
      <c r="B570" s="64">
        <v>12424</v>
      </c>
      <c r="C570" s="64">
        <v>136250</v>
      </c>
      <c r="D570" s="64">
        <v>31200</v>
      </c>
      <c r="E570" s="64">
        <f t="shared" ref="E570" si="8177">SUM(B570:D570)</f>
        <v>179874</v>
      </c>
      <c r="F570" s="64">
        <f t="shared" si="8002"/>
        <v>112168.5</v>
      </c>
      <c r="G570" s="71">
        <f t="shared" ref="G570" si="8178">AVERAGE(F518,F466,F414)</f>
        <v>258103.41666666666</v>
      </c>
      <c r="H570" s="64">
        <f t="shared" ref="H570" si="8179">((E570/E518)-1)*100</f>
        <v>-25.790268414842444</v>
      </c>
      <c r="I570" s="64">
        <f t="shared" ref="I570" si="8180">((F570/F518)-1)*100</f>
        <v>-13.233314768402494</v>
      </c>
      <c r="J570" s="64">
        <f t="shared" ref="J570" si="8181">((F570/G570)-1)*100</f>
        <v>-56.541257202781445</v>
      </c>
      <c r="L570" s="53">
        <v>20500</v>
      </c>
      <c r="M570" s="53">
        <v>33250</v>
      </c>
      <c r="N570" s="53">
        <v>14400</v>
      </c>
      <c r="O570" s="53">
        <f t="shared" ref="O570" si="8182">SUM(L570:N570)</f>
        <v>68150</v>
      </c>
      <c r="P570" s="71">
        <f t="shared" ref="P570" si="8183">AVERAGE(O567,O568,O569,O570)</f>
        <v>107459</v>
      </c>
      <c r="Q570" s="71">
        <f t="shared" ref="Q570" si="8184">AVERAGE(P518,P466,P414)</f>
        <v>28608.25</v>
      </c>
      <c r="R570" s="64">
        <f t="shared" ref="R570" si="8185">((O570/O518)-1)*100</f>
        <v>3.6722648168431293</v>
      </c>
      <c r="S570" s="73">
        <f t="shared" ref="S570" si="8186">((P570/P518)-1)*100</f>
        <v>179.56449347000364</v>
      </c>
      <c r="T570" s="64">
        <f t="shared" ref="T570" si="8187">((P570/Q570)-1)*100</f>
        <v>275.62241661059306</v>
      </c>
      <c r="V570" s="64">
        <v>1500</v>
      </c>
      <c r="W570" s="64">
        <v>5250</v>
      </c>
      <c r="X570" s="53">
        <v>21000</v>
      </c>
      <c r="Y570" s="64">
        <f t="shared" ref="Y570" si="8188">SUM(V570:X570)</f>
        <v>27750</v>
      </c>
      <c r="Z570" s="71">
        <f t="shared" ref="Z570" si="8189">AVERAGE(Y567,Y568,Y569,Y570)</f>
        <v>35775</v>
      </c>
      <c r="AA570" s="71">
        <f t="shared" ref="AA570" si="8190">AVERAGE(Z518,Z466,Z414)</f>
        <v>73379.333333333328</v>
      </c>
      <c r="AB570" s="64">
        <f t="shared" ref="AB570" si="8191">((Y570/Y518)-1)*100</f>
        <v>-81.737653995998741</v>
      </c>
      <c r="AC570" s="64">
        <f t="shared" ref="AC570" si="8192">((Z570/Z518)-1)*100</f>
        <v>-61.931567270192758</v>
      </c>
      <c r="AD570" s="64">
        <f t="shared" ref="AD570" si="8193">((Z570/AA570)-1)*100</f>
        <v>-51.246490837565517</v>
      </c>
      <c r="AF570" s="53">
        <v>0</v>
      </c>
      <c r="AG570" s="53">
        <v>0</v>
      </c>
      <c r="AH570" s="53">
        <v>0</v>
      </c>
      <c r="AI570" s="53">
        <f t="shared" si="7839"/>
        <v>0</v>
      </c>
      <c r="AJ570" s="71">
        <f t="shared" ref="AJ570" si="8194">AVERAGE(AI567,AI568,AI569,AI570)</f>
        <v>800</v>
      </c>
      <c r="AK570" s="71">
        <f t="shared" ref="AK570" si="8195">AVERAGE(AJ518,AJ466,AJ414)</f>
        <v>5656.75</v>
      </c>
      <c r="AL570" s="64"/>
      <c r="AM570" s="64">
        <f t="shared" ref="AM570" si="8196">((AJ570/AJ518)-1)*100</f>
        <v>1.5873015873015817</v>
      </c>
      <c r="AN570" s="64">
        <f t="shared" ref="AN570" si="8197">((AJ570/AK570)-1)*100</f>
        <v>-85.857603747735013</v>
      </c>
      <c r="AP570" s="60">
        <f t="shared" si="8122"/>
        <v>34424</v>
      </c>
      <c r="AQ570" s="60">
        <f t="shared" si="8123"/>
        <v>174750</v>
      </c>
      <c r="AR570" s="60">
        <f t="shared" si="8124"/>
        <v>66600</v>
      </c>
      <c r="AS570" s="60">
        <f t="shared" si="8125"/>
        <v>275774</v>
      </c>
      <c r="AT570" s="64">
        <f t="shared" ref="AT570" si="8198">AVERAGE(AS567,AS568,AS569,AS570)</f>
        <v>256202.5</v>
      </c>
      <c r="AU570" s="71">
        <f t="shared" ref="AU570" si="8199">AVERAGE(AT518,AT466,AT414)</f>
        <v>365747.75</v>
      </c>
      <c r="AV570" s="64">
        <f t="shared" ref="AV570" si="8200">((AS570/AS518)-1)*100</f>
        <v>-40.058773153883941</v>
      </c>
      <c r="AW570" s="64">
        <f t="shared" ref="AW570" si="8201">((AT570/AT518)-1)*100</f>
        <v>-2.3904951671956054</v>
      </c>
      <c r="AX570" s="64">
        <f t="shared" ref="AX570" si="8202">((AT570/AU570)-1)*100</f>
        <v>-29.951038659841377</v>
      </c>
      <c r="AZ570" s="71">
        <f t="shared" ref="AZ570" si="8203">+E570/1000</f>
        <v>179.874</v>
      </c>
      <c r="BA570" s="53">
        <f t="shared" ref="BA570" si="8204">+O570/1000</f>
        <v>68.150000000000006</v>
      </c>
      <c r="BB570" s="53">
        <f t="shared" ref="BB570" si="8205">+Y570/1000</f>
        <v>27.75</v>
      </c>
      <c r="BC570" s="53">
        <f t="shared" ref="BC570" si="8206">+AI570/1000</f>
        <v>0</v>
      </c>
      <c r="BD570" s="53">
        <f t="shared" ref="BD570" si="8207">+AS570/1000</f>
        <v>275.774</v>
      </c>
      <c r="BE570" s="64">
        <f t="shared" ref="BE570" si="8208">BE569+AZ570</f>
        <v>5738.1349999999993</v>
      </c>
      <c r="BF570" s="64">
        <f t="shared" ref="BF570" si="8209">BF569+BA570</f>
        <v>3779.7420000000002</v>
      </c>
      <c r="BG570" s="64">
        <f t="shared" ref="BG570" si="8210">BG569+BB570</f>
        <v>4668.8189999999986</v>
      </c>
      <c r="BH570" s="64">
        <f t="shared" ref="BH570" si="8211">BH569+BC570</f>
        <v>142.64199999999997</v>
      </c>
      <c r="BI570" s="64">
        <f t="shared" ref="BI570" si="8212">BI569+BD570</f>
        <v>14329.337999999996</v>
      </c>
      <c r="BJ570" s="64">
        <v>39</v>
      </c>
    </row>
    <row r="571" spans="1:62" x14ac:dyDescent="0.3">
      <c r="A571" s="48">
        <f t="shared" si="5522"/>
        <v>41552</v>
      </c>
      <c r="B571" s="64">
        <v>42400</v>
      </c>
      <c r="C571" s="64">
        <v>176250</v>
      </c>
      <c r="D571" s="64">
        <v>14000</v>
      </c>
      <c r="E571" s="64">
        <f t="shared" ref="E571" si="8213">SUM(B571:D571)</f>
        <v>232650</v>
      </c>
      <c r="F571" s="64">
        <f t="shared" si="8002"/>
        <v>156868.5</v>
      </c>
      <c r="G571" s="71">
        <f t="shared" ref="G571" si="8214">AVERAGE(F519,F467,F415)</f>
        <v>258753.75</v>
      </c>
      <c r="H571" s="64">
        <f t="shared" ref="H571" si="8215">((E571/E519)-1)*100</f>
        <v>90.618598934862774</v>
      </c>
      <c r="I571" s="64">
        <f t="shared" ref="I571" si="8216">((F571/F519)-1)*100</f>
        <v>11.877117284170735</v>
      </c>
      <c r="J571" s="64">
        <f t="shared" ref="J571" si="8217">((F571/G571)-1)*100</f>
        <v>-39.375371371429402</v>
      </c>
      <c r="L571" s="53">
        <v>12500</v>
      </c>
      <c r="M571" s="53">
        <v>36100</v>
      </c>
      <c r="N571" s="53">
        <v>16800</v>
      </c>
      <c r="O571" s="53">
        <f t="shared" ref="O571" si="8218">SUM(L571:N571)</f>
        <v>65400</v>
      </c>
      <c r="P571" s="71">
        <f t="shared" ref="P571" si="8219">AVERAGE(O568,O569,O570,O571)</f>
        <v>84925</v>
      </c>
      <c r="Q571" s="71">
        <f t="shared" ref="Q571" si="8220">AVERAGE(P519,P467,P415)</f>
        <v>26116.916666666668</v>
      </c>
      <c r="R571" s="64">
        <f t="shared" ref="R571" si="8221">((O571/O519)-1)*100</f>
        <v>473.68421052631572</v>
      </c>
      <c r="S571" s="73">
        <f t="shared" ref="S571" si="8222">((P571/P519)-1)*100</f>
        <v>139.64388509509567</v>
      </c>
      <c r="T571" s="64">
        <f t="shared" ref="T571" si="8223">((P571/Q571)-1)*100</f>
        <v>225.17238188530419</v>
      </c>
      <c r="V571" s="64">
        <v>7900</v>
      </c>
      <c r="W571" s="64">
        <v>32700</v>
      </c>
      <c r="X571" s="53">
        <v>29400</v>
      </c>
      <c r="Y571" s="64">
        <f t="shared" ref="Y571" si="8224">SUM(V571:X571)</f>
        <v>70000</v>
      </c>
      <c r="Z571" s="71">
        <f t="shared" ref="Z571" si="8225">AVERAGE(Y568,Y569,Y570,Y571)</f>
        <v>43075</v>
      </c>
      <c r="AA571" s="71">
        <f t="shared" ref="AA571" si="8226">AVERAGE(Z519,Z467,Z415)</f>
        <v>100446.16666666667</v>
      </c>
      <c r="AB571" s="64">
        <f t="shared" ref="AB571" si="8227">((Y571/Y519)-1)*100</f>
        <v>-44.990176817288798</v>
      </c>
      <c r="AC571" s="64">
        <f t="shared" ref="AC571" si="8228">((Z571/Z519)-1)*100</f>
        <v>-61.136974683772713</v>
      </c>
      <c r="AD571" s="64">
        <f t="shared" ref="AD571" si="8229">((Z571/AA571)-1)*100</f>
        <v>-57.116332629252483</v>
      </c>
      <c r="AF571" s="53">
        <v>0</v>
      </c>
      <c r="AG571" s="53">
        <v>0</v>
      </c>
      <c r="AH571" s="53">
        <v>1400</v>
      </c>
      <c r="AI571" s="53">
        <f t="shared" ref="AI571" si="8230">SUM(AF571:AH571)</f>
        <v>1400</v>
      </c>
      <c r="AJ571" s="71">
        <f t="shared" ref="AJ571" si="8231">AVERAGE(AI568,AI569,AI570,AI571)</f>
        <v>1150</v>
      </c>
      <c r="AK571" s="71">
        <f t="shared" ref="AK571" si="8232">AVERAGE(AJ519,AJ467,AJ415)</f>
        <v>4320.833333333333</v>
      </c>
      <c r="AL571" s="64">
        <f t="shared" si="8119"/>
        <v>-19.999999999999996</v>
      </c>
      <c r="AM571" s="64">
        <f t="shared" ref="AM571" si="8233">((AJ571/AJ519)-1)*100</f>
        <v>31.428571428571427</v>
      </c>
      <c r="AN571" s="64">
        <f t="shared" ref="AN571" si="8234">((AJ571/AK571)-1)*100</f>
        <v>-73.384763741562196</v>
      </c>
      <c r="AP571" s="60">
        <f t="shared" si="8122"/>
        <v>62800</v>
      </c>
      <c r="AQ571" s="60">
        <f t="shared" si="8123"/>
        <v>245050</v>
      </c>
      <c r="AR571" s="60">
        <f t="shared" ref="AR571" si="8235">SUM(D571,N571,X571,AH571)</f>
        <v>61600</v>
      </c>
      <c r="AS571" s="60">
        <f t="shared" ref="AS571" si="8236">SUM(E571,O571,Y571,AI571)</f>
        <v>369450</v>
      </c>
      <c r="AT571" s="64">
        <f t="shared" ref="AT571" si="8237">AVERAGE(AS568,AS569,AS570,AS571)</f>
        <v>286018.5</v>
      </c>
      <c r="AU571" s="71">
        <f t="shared" ref="AU571" si="8238">AVERAGE(AT519,AT467,AT415)</f>
        <v>389637.66666666669</v>
      </c>
      <c r="AV571" s="64">
        <f t="shared" ref="AV571" si="8239">((AS571/AS519)-1)*100</f>
        <v>40.769670413412086</v>
      </c>
      <c r="AW571" s="64">
        <f t="shared" ref="AW571" si="8240">((AT571/AT519)-1)*100</f>
        <v>-0.46891420696950625</v>
      </c>
      <c r="AX571" s="64">
        <f t="shared" ref="AX571" si="8241">((AT571/AU571)-1)*100</f>
        <v>-26.593724254927441</v>
      </c>
      <c r="AZ571" s="71">
        <f t="shared" ref="AZ571" si="8242">+E571/1000</f>
        <v>232.65</v>
      </c>
      <c r="BA571" s="53">
        <f t="shared" ref="BA571" si="8243">+O571/1000</f>
        <v>65.400000000000006</v>
      </c>
      <c r="BB571" s="53">
        <f t="shared" ref="BB571" si="8244">+Y571/1000</f>
        <v>70</v>
      </c>
      <c r="BC571" s="53">
        <f t="shared" ref="BC571" si="8245">+AI571/1000</f>
        <v>1.4</v>
      </c>
      <c r="BD571" s="53">
        <f t="shared" ref="BD571" si="8246">+AS571/1000</f>
        <v>369.45</v>
      </c>
      <c r="BE571" s="64">
        <f t="shared" ref="BE571" si="8247">BE570+AZ571</f>
        <v>5970.7849999999989</v>
      </c>
      <c r="BF571" s="64">
        <f t="shared" ref="BF571" si="8248">BF570+BA571</f>
        <v>3845.1420000000003</v>
      </c>
      <c r="BG571" s="64">
        <f t="shared" ref="BG571" si="8249">BG570+BB571</f>
        <v>4738.8189999999986</v>
      </c>
      <c r="BH571" s="64">
        <f t="shared" ref="BH571" si="8250">BH570+BC571</f>
        <v>144.04199999999997</v>
      </c>
      <c r="BI571" s="64">
        <f t="shared" ref="BI571" si="8251">BI570+BD571</f>
        <v>14698.787999999997</v>
      </c>
      <c r="BJ571" s="64">
        <v>40</v>
      </c>
    </row>
    <row r="572" spans="1:62" x14ac:dyDescent="0.3">
      <c r="A572" s="48">
        <f t="shared" ref="A572:A589" si="8252">A571+7</f>
        <v>41559</v>
      </c>
      <c r="B572" s="64">
        <v>71376</v>
      </c>
      <c r="C572" s="64">
        <v>122808</v>
      </c>
      <c r="D572" s="64">
        <v>18200</v>
      </c>
      <c r="E572" s="64">
        <f t="shared" ref="E572" si="8253">SUM(B572:D572)</f>
        <v>212384</v>
      </c>
      <c r="F572" s="64">
        <f t="shared" si="8002"/>
        <v>190664.5</v>
      </c>
      <c r="G572" s="71">
        <f t="shared" ref="G572" si="8254">AVERAGE(F520,F468,F416)</f>
        <v>263695.83333333331</v>
      </c>
      <c r="H572" s="64">
        <f t="shared" ref="H572" si="8255">((E572/E520)-1)*100</f>
        <v>55.645125829950025</v>
      </c>
      <c r="I572" s="64">
        <f t="shared" ref="I572" si="8256">((F572/F520)-1)*100</f>
        <v>29.192683364784887</v>
      </c>
      <c r="J572" s="64">
        <f t="shared" ref="J572" si="8257">((F572/G572)-1)*100</f>
        <v>-27.695292872153832</v>
      </c>
      <c r="L572" s="53">
        <v>4500</v>
      </c>
      <c r="M572" s="53">
        <v>19350</v>
      </c>
      <c r="N572" s="53">
        <v>8400</v>
      </c>
      <c r="O572" s="53">
        <f t="shared" ref="O572" si="8258">SUM(L572:N572)</f>
        <v>32250</v>
      </c>
      <c r="P572" s="71">
        <f t="shared" ref="P572" si="8259">AVERAGE(O569,O570,O571,O572)</f>
        <v>68725</v>
      </c>
      <c r="Q572" s="71">
        <f t="shared" ref="Q572" si="8260">AVERAGE(P520,P468,P416)</f>
        <v>25263.833333333332</v>
      </c>
      <c r="R572" s="64">
        <f t="shared" ref="R572" si="8261">((O572/O520)-1)*100</f>
        <v>-12.601626016260159</v>
      </c>
      <c r="S572" s="73">
        <f t="shared" ref="S572" si="8262">((P572/P520)-1)*100</f>
        <v>85.053045398244393</v>
      </c>
      <c r="T572" s="64">
        <f t="shared" ref="T572" si="8263">((P572/Q572)-1)*100</f>
        <v>172.02918533080887</v>
      </c>
      <c r="V572" s="64">
        <v>130400</v>
      </c>
      <c r="W572" s="64">
        <v>33150</v>
      </c>
      <c r="X572" s="53">
        <v>11200</v>
      </c>
      <c r="Y572" s="64">
        <f t="shared" ref="Y572" si="8264">SUM(V572:X572)</f>
        <v>174750</v>
      </c>
      <c r="Z572" s="71">
        <f t="shared" ref="Z572" si="8265">AVERAGE(Y569,Y570,Y571,Y572)</f>
        <v>77237.5</v>
      </c>
      <c r="AA572" s="71">
        <f t="shared" ref="AA572" si="8266">AVERAGE(Z520,Z468,Z416)</f>
        <v>193489.08333333334</v>
      </c>
      <c r="AB572" s="64">
        <f t="shared" ref="AB572" si="8267">((Y572/Y520)-1)*100</f>
        <v>-55.89805194313562</v>
      </c>
      <c r="AC572" s="64">
        <f t="shared" ref="AC572" si="8268">((Z572/Z520)-1)*100</f>
        <v>-58.150636037185585</v>
      </c>
      <c r="AD572" s="64">
        <f t="shared" ref="AD572" si="8269">((Z572/AA572)-1)*100</f>
        <v>-60.081727263682836</v>
      </c>
      <c r="AF572" s="53">
        <v>0</v>
      </c>
      <c r="AG572" s="53">
        <v>10536</v>
      </c>
      <c r="AH572" s="53">
        <v>2800</v>
      </c>
      <c r="AI572" s="53">
        <f t="shared" ref="AI572" si="8270">SUM(AF572:AH572)</f>
        <v>13336</v>
      </c>
      <c r="AJ572" s="71">
        <f t="shared" ref="AJ572" si="8271">AVERAGE(AI569,AI570,AI571,AI572)</f>
        <v>3684</v>
      </c>
      <c r="AK572" s="71">
        <f t="shared" ref="AK572" si="8272">AVERAGE(AJ520,AJ468,AJ416)</f>
        <v>4316.666666666667</v>
      </c>
      <c r="AL572" s="64">
        <f t="shared" ref="AL572" si="8273">((AI572/AI520)-1)*100</f>
        <v>94.686131386861305</v>
      </c>
      <c r="AM572" s="64">
        <f t="shared" ref="AM572" si="8274">((AJ572/AJ520)-1)*100</f>
        <v>71.348837209302317</v>
      </c>
      <c r="AN572" s="64">
        <f t="shared" ref="AN572" si="8275">((AJ572/AK572)-1)*100</f>
        <v>-14.656370656370665</v>
      </c>
      <c r="AP572" s="60">
        <f t="shared" si="8122"/>
        <v>206276</v>
      </c>
      <c r="AQ572" s="60">
        <f t="shared" si="8123"/>
        <v>185844</v>
      </c>
      <c r="AR572" s="60">
        <f t="shared" ref="AR572" si="8276">SUM(D572,N572,X572,AH572)</f>
        <v>40600</v>
      </c>
      <c r="AS572" s="60">
        <f t="shared" ref="AS572" si="8277">SUM(E572,O572,Y572,AI572)</f>
        <v>432720</v>
      </c>
      <c r="AT572" s="64">
        <f t="shared" ref="AT572" si="8278">AVERAGE(AS569,AS570,AS571,AS572)</f>
        <v>340311</v>
      </c>
      <c r="AU572" s="71">
        <f t="shared" ref="AU572" si="8279">AVERAGE(AT520,AT468,AT416)</f>
        <v>486765.41666666669</v>
      </c>
      <c r="AV572" s="64">
        <f t="shared" ref="AV572" si="8280">((AS572/AS520)-1)*100</f>
        <v>-24.932994474754743</v>
      </c>
      <c r="AW572" s="64">
        <f t="shared" ref="AW572" si="8281">((AT572/AT520)-1)*100</f>
        <v>-8.3782217522670788</v>
      </c>
      <c r="AX572" s="64">
        <f t="shared" ref="AX572" si="8282">((AT572/AU572)-1)*100</f>
        <v>-30.08726825121958</v>
      </c>
      <c r="AZ572" s="71">
        <f t="shared" ref="AZ572" si="8283">+E572/1000</f>
        <v>212.38399999999999</v>
      </c>
      <c r="BA572" s="53">
        <f t="shared" ref="BA572" si="8284">+O572/1000</f>
        <v>32.25</v>
      </c>
      <c r="BB572" s="53">
        <f t="shared" ref="BB572" si="8285">+Y572/1000</f>
        <v>174.75</v>
      </c>
      <c r="BC572" s="53">
        <f t="shared" ref="BC572" si="8286">+AI572/1000</f>
        <v>13.336</v>
      </c>
      <c r="BD572" s="53">
        <f t="shared" ref="BD572" si="8287">+AS572/1000</f>
        <v>432.72</v>
      </c>
      <c r="BE572" s="64">
        <f t="shared" ref="BE572" si="8288">BE571+AZ572</f>
        <v>6183.168999999999</v>
      </c>
      <c r="BF572" s="64">
        <f t="shared" ref="BF572" si="8289">BF571+BA572</f>
        <v>3877.3920000000003</v>
      </c>
      <c r="BG572" s="64">
        <f t="shared" ref="BG572" si="8290">BG571+BB572</f>
        <v>4913.5689999999986</v>
      </c>
      <c r="BH572" s="64">
        <f t="shared" ref="BH572" si="8291">BH571+BC572</f>
        <v>157.37799999999999</v>
      </c>
      <c r="BI572" s="64">
        <f t="shared" ref="BI572" si="8292">BI571+BD572</f>
        <v>15131.507999999996</v>
      </c>
      <c r="BJ572" s="64">
        <v>41</v>
      </c>
    </row>
    <row r="573" spans="1:62" x14ac:dyDescent="0.3">
      <c r="A573" s="48">
        <f t="shared" si="8252"/>
        <v>41566</v>
      </c>
      <c r="B573" s="64">
        <v>112400</v>
      </c>
      <c r="C573" s="64">
        <v>173600</v>
      </c>
      <c r="D573" s="64">
        <v>7000</v>
      </c>
      <c r="E573" s="64">
        <f t="shared" ref="E573" si="8293">SUM(B573:D573)</f>
        <v>293000</v>
      </c>
      <c r="F573" s="64">
        <f t="shared" si="8002"/>
        <v>229477</v>
      </c>
      <c r="G573" s="71">
        <f t="shared" ref="G573" si="8294">AVERAGE(F521,F469,F417)</f>
        <v>255017.91666666666</v>
      </c>
      <c r="H573" s="64">
        <f t="shared" ref="H573" si="8295">((E573/E521)-1)*100</f>
        <v>63.641440938285385</v>
      </c>
      <c r="I573" s="64">
        <f t="shared" ref="I573" si="8296">((F573/F521)-1)*100</f>
        <v>34.998382210195025</v>
      </c>
      <c r="J573" s="64">
        <f t="shared" ref="J573" si="8297">((F573/G573)-1)*100</f>
        <v>-10.015342059299748</v>
      </c>
      <c r="L573" s="53">
        <v>3200</v>
      </c>
      <c r="M573" s="53">
        <v>7000</v>
      </c>
      <c r="N573" s="53">
        <v>22400</v>
      </c>
      <c r="O573" s="53">
        <f t="shared" ref="O573" si="8298">SUM(L573:N573)</f>
        <v>32600</v>
      </c>
      <c r="P573" s="71">
        <f t="shared" ref="P573" si="8299">AVERAGE(O570,O571,O572,O573)</f>
        <v>49600</v>
      </c>
      <c r="Q573" s="71">
        <f t="shared" ref="Q573" si="8300">AVERAGE(P521,P469,P417)</f>
        <v>24082.75</v>
      </c>
      <c r="R573" s="64">
        <f t="shared" ref="R573" si="8301">((O573/O521)-1)*100</f>
        <v>1.8750000000000044</v>
      </c>
      <c r="S573" s="73">
        <f t="shared" ref="S573" si="8302">((P573/P521)-1)*100</f>
        <v>35.856911994302763</v>
      </c>
      <c r="T573" s="64">
        <f t="shared" ref="T573" si="8303">((P573/Q573)-1)*100</f>
        <v>105.95654566027552</v>
      </c>
      <c r="V573" s="64">
        <v>201800</v>
      </c>
      <c r="W573" s="64">
        <v>193800</v>
      </c>
      <c r="X573" s="53">
        <v>54600</v>
      </c>
      <c r="Y573" s="64">
        <f t="shared" ref="Y573" si="8304">SUM(V573:X573)</f>
        <v>450200</v>
      </c>
      <c r="Z573" s="71">
        <f t="shared" ref="Z573" si="8305">AVERAGE(Y570,Y571,Y572,Y573)</f>
        <v>180675</v>
      </c>
      <c r="AA573" s="71">
        <f t="shared" ref="AA573" si="8306">AVERAGE(Z521,Z469,Z417)</f>
        <v>294273.58333333331</v>
      </c>
      <c r="AB573" s="64">
        <f t="shared" ref="AB573" si="8307">((Y573/Y521)-1)*100</f>
        <v>-16.015297080496225</v>
      </c>
      <c r="AC573" s="64">
        <f t="shared" ref="AC573" si="8308">((Z573/Z521)-1)*100</f>
        <v>-40.346332995733356</v>
      </c>
      <c r="AD573" s="64">
        <f t="shared" ref="AD573" si="8309">((Z573/AA573)-1)*100</f>
        <v>-38.603051638738663</v>
      </c>
      <c r="AF573" s="53">
        <v>0</v>
      </c>
      <c r="AG573" s="53">
        <v>14000</v>
      </c>
      <c r="AH573" s="53">
        <v>5600</v>
      </c>
      <c r="AI573" s="53">
        <f t="shared" ref="AI573" si="8310">SUM(AF573:AH573)</f>
        <v>19600</v>
      </c>
      <c r="AJ573" s="71">
        <f t="shared" ref="AJ573" si="8311">AVERAGE(AI570,AI571,AI572,AI573)</f>
        <v>8584</v>
      </c>
      <c r="AK573" s="71">
        <f t="shared" ref="AK573" si="8312">AVERAGE(AJ521,AJ469,AJ417)</f>
        <v>7859.666666666667</v>
      </c>
      <c r="AL573" s="64">
        <f t="shared" ref="AL573" si="8313">((AI573/AI521)-1)*100</f>
        <v>125.28735632183907</v>
      </c>
      <c r="AM573" s="64">
        <f t="shared" ref="AM573" si="8314">((AJ573/AJ521)-1)*100</f>
        <v>98.473988439306353</v>
      </c>
      <c r="AN573" s="64">
        <f t="shared" ref="AN573" si="8315">((AJ573/AK573)-1)*100</f>
        <v>9.2158276432418695</v>
      </c>
      <c r="AP573" s="60">
        <f t="shared" si="8122"/>
        <v>317400</v>
      </c>
      <c r="AQ573" s="60">
        <f t="shared" ref="AQ573" si="8316">SUM(C573,M573,W573,AG573)</f>
        <v>388400</v>
      </c>
      <c r="AR573" s="60">
        <f t="shared" ref="AR573" si="8317">SUM(D573,N573,X573,AH573)</f>
        <v>89600</v>
      </c>
      <c r="AS573" s="60">
        <f t="shared" ref="AS573" si="8318">SUM(E573,O573,Y573,AI573)</f>
        <v>795400</v>
      </c>
      <c r="AT573" s="64">
        <f t="shared" ref="AT573" si="8319">AVERAGE(AS570,AS571,AS572,AS573)</f>
        <v>468336</v>
      </c>
      <c r="AU573" s="71">
        <f t="shared" ref="AU573" si="8320">AVERAGE(AT521,AT469,AT417)</f>
        <v>581233.91666666663</v>
      </c>
      <c r="AV573" s="64">
        <f t="shared" ref="AV573" si="8321">((AS573/AS521)-1)*100</f>
        <v>5.2394813442709687</v>
      </c>
      <c r="AW573" s="64">
        <f t="shared" ref="AW573" si="8322">((AT573/AT521)-1)*100</f>
        <v>-8.8294596618890058</v>
      </c>
      <c r="AX573" s="64">
        <f t="shared" ref="AX573" si="8323">((AT573/AU573)-1)*100</f>
        <v>-19.423834953425946</v>
      </c>
      <c r="AZ573" s="71">
        <f t="shared" ref="AZ573" si="8324">+E573/1000</f>
        <v>293</v>
      </c>
      <c r="BA573" s="53">
        <f t="shared" ref="BA573" si="8325">+O573/1000</f>
        <v>32.6</v>
      </c>
      <c r="BB573" s="53">
        <f t="shared" ref="BB573" si="8326">+Y573/1000</f>
        <v>450.2</v>
      </c>
      <c r="BC573" s="53">
        <f t="shared" ref="BC573" si="8327">+AI573/1000</f>
        <v>19.600000000000001</v>
      </c>
      <c r="BD573" s="53">
        <f t="shared" ref="BD573" si="8328">+AS573/1000</f>
        <v>795.4</v>
      </c>
      <c r="BE573" s="64">
        <f t="shared" ref="BE573" si="8329">BE572+AZ573</f>
        <v>6476.168999999999</v>
      </c>
      <c r="BF573" s="64">
        <f t="shared" ref="BF573" si="8330">BF572+BA573</f>
        <v>3909.9920000000002</v>
      </c>
      <c r="BG573" s="64">
        <f t="shared" ref="BG573" si="8331">BG572+BB573</f>
        <v>5363.7689999999984</v>
      </c>
      <c r="BH573" s="64">
        <f t="shared" ref="BH573" si="8332">BH572+BC573</f>
        <v>176.97799999999998</v>
      </c>
      <c r="BI573" s="64">
        <f t="shared" ref="BI573" si="8333">BI572+BD573</f>
        <v>15926.907999999996</v>
      </c>
      <c r="BJ573" s="64">
        <v>42</v>
      </c>
    </row>
    <row r="574" spans="1:62" x14ac:dyDescent="0.3">
      <c r="A574" s="48">
        <f t="shared" si="8252"/>
        <v>41573</v>
      </c>
      <c r="B574" s="64">
        <v>156175</v>
      </c>
      <c r="C574" s="64">
        <v>88200</v>
      </c>
      <c r="D574" s="64">
        <v>4200</v>
      </c>
      <c r="E574" s="64">
        <f t="shared" ref="E574:E576" si="8334">SUM(B574:D574)</f>
        <v>248575</v>
      </c>
      <c r="F574" s="64">
        <f t="shared" ref="F574" si="8335">AVERAGE(E571,E572,E573,E574)</f>
        <v>246652.25</v>
      </c>
      <c r="G574" s="71">
        <f t="shared" ref="G574" si="8336">AVERAGE(F522,F470,F418)</f>
        <v>249659.66666666666</v>
      </c>
      <c r="H574" s="64">
        <f t="shared" ref="H574" si="8337">((E574/E522)-1)*100</f>
        <v>68.240270727580366</v>
      </c>
      <c r="I574" s="64">
        <f t="shared" ref="I574" si="8338">((F574/F522)-1)*100</f>
        <v>68.563515711493508</v>
      </c>
      <c r="J574" s="64">
        <f t="shared" ref="J574" si="8339">((F574/G574)-1)*100</f>
        <v>-1.2046065376999815</v>
      </c>
      <c r="L574" s="53">
        <v>6300</v>
      </c>
      <c r="M574" s="53">
        <v>1750</v>
      </c>
      <c r="N574" s="53">
        <v>7000</v>
      </c>
      <c r="O574" s="53">
        <f t="shared" ref="O574" si="8340">SUM(L574:N574)</f>
        <v>15050</v>
      </c>
      <c r="P574" s="71">
        <f t="shared" ref="P574" si="8341">AVERAGE(O571,O572,O573,O574)</f>
        <v>36325</v>
      </c>
      <c r="Q574" s="71">
        <f t="shared" ref="Q574" si="8342">AVERAGE(P522,P470,P418)</f>
        <v>19876.416666666668</v>
      </c>
      <c r="R574" s="64">
        <f t="shared" ref="R574" si="8343">((O574/O522)-1)*100</f>
        <v>-19.086021505376351</v>
      </c>
      <c r="S574" s="73">
        <f t="shared" ref="S574" si="8344">((P574/P522)-1)*100</f>
        <v>46.916076845298285</v>
      </c>
      <c r="T574" s="64">
        <f t="shared" ref="T574" si="8345">((P574/Q574)-1)*100</f>
        <v>82.754269087737981</v>
      </c>
      <c r="V574" s="64">
        <v>369023</v>
      </c>
      <c r="W574" s="64">
        <v>159850</v>
      </c>
      <c r="X574" s="53">
        <v>46200</v>
      </c>
      <c r="Y574" s="64">
        <f t="shared" ref="Y574" si="8346">SUM(V574:X574)</f>
        <v>575073</v>
      </c>
      <c r="Z574" s="71">
        <f t="shared" ref="Z574" si="8347">AVERAGE(Y571,Y572,Y573,Y574)</f>
        <v>317505.75</v>
      </c>
      <c r="AA574" s="71">
        <f t="shared" ref="AA574" si="8348">AVERAGE(Z522,Z470,Z418)</f>
        <v>353248.25</v>
      </c>
      <c r="AB574" s="64">
        <f t="shared" ref="AB574" si="8349">((Y574/Y522)-1)*100</f>
        <v>64.990101850523601</v>
      </c>
      <c r="AC574" s="64">
        <f t="shared" ref="AC574" si="8350">((Z574/Z522)-1)*100</f>
        <v>-9.8053321837864189</v>
      </c>
      <c r="AD574" s="64">
        <f t="shared" ref="AD574" si="8351">((Z574/AA574)-1)*100</f>
        <v>-10.118238377684818</v>
      </c>
      <c r="AF574" s="53">
        <v>0</v>
      </c>
      <c r="AG574" s="53">
        <v>1600</v>
      </c>
      <c r="AH574" s="53">
        <v>4200</v>
      </c>
      <c r="AI574" s="53">
        <f t="shared" ref="AI574" si="8352">SUM(AF574:AH574)</f>
        <v>5800</v>
      </c>
      <c r="AJ574" s="71">
        <f t="shared" ref="AJ574" si="8353">AVERAGE(AI571,AI572,AI573,AI574)</f>
        <v>10034</v>
      </c>
      <c r="AK574" s="71">
        <f t="shared" ref="AK574" si="8354">AVERAGE(AJ522,AJ470,AJ418)</f>
        <v>8880.5</v>
      </c>
      <c r="AL574" s="64">
        <f t="shared" ref="AL574" si="8355">((AI574/AI522)-1)*100</f>
        <v>231.42857142857144</v>
      </c>
      <c r="AM574" s="64">
        <f t="shared" ref="AM574" si="8356">((AJ574/AJ522)-1)*100</f>
        <v>110.68766404199475</v>
      </c>
      <c r="AN574" s="64">
        <f t="shared" ref="AN574" si="8357">((AJ574/AK574)-1)*100</f>
        <v>12.98913349473565</v>
      </c>
      <c r="AP574" s="60">
        <f t="shared" si="8122"/>
        <v>531498</v>
      </c>
      <c r="AQ574" s="60">
        <f t="shared" ref="AQ574" si="8358">SUM(C574,M574,W574,AG574)</f>
        <v>251400</v>
      </c>
      <c r="AR574" s="60">
        <f t="shared" ref="AR574" si="8359">SUM(D574,N574,X574,AH574)</f>
        <v>61600</v>
      </c>
      <c r="AS574" s="60">
        <f t="shared" ref="AS574" si="8360">SUM(E574,O574,Y574,AI574)</f>
        <v>844498</v>
      </c>
      <c r="AT574" s="64">
        <f t="shared" ref="AT574" si="8361">AVERAGE(AS571,AS572,AS573,AS574)</f>
        <v>610517</v>
      </c>
      <c r="AU574" s="71">
        <f t="shared" ref="AU574" si="8362">AVERAGE(AT522,AT470,AT418)</f>
        <v>631664.83333333337</v>
      </c>
      <c r="AV574" s="64">
        <f t="shared" ref="AV574" si="8363">((AS574/AS522)-1)*100</f>
        <v>63.456498596728927</v>
      </c>
      <c r="AW574" s="64">
        <f t="shared" ref="AW574" si="8364">((AT574/AT522)-1)*100</f>
        <v>15.664090899402993</v>
      </c>
      <c r="AX574" s="64">
        <f t="shared" ref="AX574" si="8365">((AT574/AU574)-1)*100</f>
        <v>-3.3479516695167244</v>
      </c>
      <c r="AZ574" s="71">
        <f t="shared" ref="AZ574" si="8366">+E574/1000</f>
        <v>248.57499999999999</v>
      </c>
      <c r="BA574" s="53">
        <f t="shared" ref="BA574" si="8367">+O574/1000</f>
        <v>15.05</v>
      </c>
      <c r="BB574" s="53">
        <f t="shared" ref="BB574" si="8368">+Y574/1000</f>
        <v>575.07299999999998</v>
      </c>
      <c r="BC574" s="53">
        <f t="shared" ref="BC574" si="8369">+AI574/1000</f>
        <v>5.8</v>
      </c>
      <c r="BD574" s="53">
        <f t="shared" ref="BD574" si="8370">+AS574/1000</f>
        <v>844.49800000000005</v>
      </c>
      <c r="BE574" s="64">
        <f t="shared" ref="BE574" si="8371">BE573+AZ574</f>
        <v>6724.7439999999988</v>
      </c>
      <c r="BF574" s="64">
        <f t="shared" ref="BF574" si="8372">BF573+BA574</f>
        <v>3925.0420000000004</v>
      </c>
      <c r="BG574" s="64">
        <f t="shared" ref="BG574" si="8373">BG573+BB574</f>
        <v>5938.8419999999987</v>
      </c>
      <c r="BH574" s="64">
        <f t="shared" ref="BH574" si="8374">BH573+BC574</f>
        <v>182.77799999999999</v>
      </c>
      <c r="BI574" s="64">
        <f t="shared" ref="BI574" si="8375">BI573+BD574</f>
        <v>16771.405999999995</v>
      </c>
      <c r="BJ574" s="64">
        <v>43</v>
      </c>
    </row>
    <row r="575" spans="1:62" x14ac:dyDescent="0.3">
      <c r="A575" s="48">
        <f t="shared" si="8252"/>
        <v>41580</v>
      </c>
      <c r="B575" s="64">
        <v>136400</v>
      </c>
      <c r="C575" s="64">
        <v>81350</v>
      </c>
      <c r="D575" s="53">
        <v>0</v>
      </c>
      <c r="E575" s="64">
        <f t="shared" si="8334"/>
        <v>217750</v>
      </c>
      <c r="F575" s="64">
        <f t="shared" ref="F575" si="8376">AVERAGE(E572,E573,E574,E575)</f>
        <v>242927.25</v>
      </c>
      <c r="G575" s="71">
        <f t="shared" ref="G575" si="8377">AVERAGE(F523,F471,F419)</f>
        <v>267259.58333333331</v>
      </c>
      <c r="H575" s="64">
        <f t="shared" ref="H575" si="8378">((E575/E523)-1)*100</f>
        <v>-12.81351100291489</v>
      </c>
      <c r="I575" s="64">
        <f t="shared" ref="I575" si="8379">((F575/F523)-1)*100</f>
        <v>36.283425384919624</v>
      </c>
      <c r="J575" s="64">
        <f t="shared" ref="J575" si="8380">((F575/G575)-1)*100</f>
        <v>-9.1043819757008926</v>
      </c>
      <c r="L575" s="53">
        <v>6200</v>
      </c>
      <c r="M575" s="53">
        <v>0</v>
      </c>
      <c r="N575" s="53">
        <v>16800</v>
      </c>
      <c r="O575" s="53">
        <f t="shared" ref="O575" si="8381">SUM(L575:N575)</f>
        <v>23000</v>
      </c>
      <c r="P575" s="71">
        <f t="shared" ref="P575" si="8382">AVERAGE(O572,O573,O574,O575)</f>
        <v>25725</v>
      </c>
      <c r="Q575" s="71">
        <f t="shared" ref="Q575" si="8383">AVERAGE(P523,P471,P419)</f>
        <v>18215.083333333332</v>
      </c>
      <c r="R575" s="64">
        <f t="shared" ref="R575" si="8384">((O575/O523)-1)*100</f>
        <v>120.09569377990429</v>
      </c>
      <c r="S575" s="73">
        <f t="shared" ref="S575" si="8385">((P575/P523)-1)*100</f>
        <v>5.0535987748851374</v>
      </c>
      <c r="T575" s="64">
        <f t="shared" ref="T575" si="8386">((P575/Q575)-1)*100</f>
        <v>41.229109574940196</v>
      </c>
      <c r="V575" s="64">
        <v>412476</v>
      </c>
      <c r="W575" s="64">
        <v>133050</v>
      </c>
      <c r="X575" s="53">
        <v>65800</v>
      </c>
      <c r="Y575" s="64">
        <f t="shared" ref="Y575" si="8387">SUM(V575:X575)</f>
        <v>611326</v>
      </c>
      <c r="Z575" s="71">
        <f t="shared" ref="Z575" si="8388">AVERAGE(Y572,Y573,Y574,Y575)</f>
        <v>452837.25</v>
      </c>
      <c r="AA575" s="71">
        <f t="shared" ref="AA575" si="8389">AVERAGE(Z523,Z471,Z419)</f>
        <v>400613.08333333331</v>
      </c>
      <c r="AB575" s="64">
        <f t="shared" ref="AB575" si="8390">((Y575/Y523)-1)*100</f>
        <v>16.598512302117108</v>
      </c>
      <c r="AC575" s="64">
        <f t="shared" ref="AC575" si="8391">((Z575/Z523)-1)*100</f>
        <v>0.34390665327528325</v>
      </c>
      <c r="AD575" s="64">
        <f t="shared" ref="AD575" si="8392">((Z575/AA575)-1)*100</f>
        <v>13.036061187051429</v>
      </c>
      <c r="AF575" s="53">
        <v>0</v>
      </c>
      <c r="AG575" s="53">
        <v>1750</v>
      </c>
      <c r="AH575" s="53">
        <v>2800</v>
      </c>
      <c r="AI575" s="53">
        <f t="shared" ref="AI575:AI576" si="8393">SUM(AF575:AH575)</f>
        <v>4550</v>
      </c>
      <c r="AJ575" s="71">
        <f t="shared" ref="AJ575" si="8394">AVERAGE(AI572,AI573,AI574,AI575)</f>
        <v>10821.5</v>
      </c>
      <c r="AK575" s="71">
        <f t="shared" ref="AK575" si="8395">AVERAGE(AJ523,AJ471,AJ419)</f>
        <v>8022.166666666667</v>
      </c>
      <c r="AL575" s="64">
        <f t="shared" ref="AL575" si="8396">((AI575/AI523)-1)*100</f>
        <v>160</v>
      </c>
      <c r="AM575" s="64">
        <f t="shared" ref="AM575" si="8397">((AJ575/AJ523)-1)*100</f>
        <v>127.2230971128609</v>
      </c>
      <c r="AN575" s="64">
        <f t="shared" ref="AN575" si="8398">((AJ575/AK575)-1)*100</f>
        <v>34.894978497081006</v>
      </c>
      <c r="AP575" s="60">
        <f t="shared" ref="AP575" si="8399">SUM(B575,L575,V575,AF575)</f>
        <v>555076</v>
      </c>
      <c r="AQ575" s="60">
        <f t="shared" ref="AQ575" si="8400">SUM(C575,M575,W575,AG575)</f>
        <v>216150</v>
      </c>
      <c r="AR575" s="60">
        <f t="shared" ref="AR575" si="8401">SUM(D575,N575,X575,AH575)</f>
        <v>85400</v>
      </c>
      <c r="AS575" s="60">
        <f t="shared" ref="AS575" si="8402">SUM(E575,O575,Y575,AI575)</f>
        <v>856626</v>
      </c>
      <c r="AT575" s="64">
        <f t="shared" ref="AT575" si="8403">AVERAGE(AS572,AS573,AS574,AS575)</f>
        <v>732311</v>
      </c>
      <c r="AU575" s="71">
        <f t="shared" ref="AU575" si="8404">AVERAGE(AT523,AT471,AT419)</f>
        <v>694109.91666666663</v>
      </c>
      <c r="AV575" s="64">
        <f t="shared" ref="AV575" si="8405">((AS575/AS523)-1)*100</f>
        <v>8.9505654675600113</v>
      </c>
      <c r="AW575" s="64">
        <f t="shared" ref="AW575" si="8406">((AT575/AT523)-1)*100</f>
        <v>11.160553851454956</v>
      </c>
      <c r="AX575" s="64">
        <f t="shared" ref="AX575" si="8407">((AT575/AU575)-1)*100</f>
        <v>5.5036071976592549</v>
      </c>
      <c r="AZ575" s="71">
        <f t="shared" ref="AZ575" si="8408">+E575/1000</f>
        <v>217.75</v>
      </c>
      <c r="BA575" s="53">
        <f t="shared" ref="BA575" si="8409">+O575/1000</f>
        <v>23</v>
      </c>
      <c r="BB575" s="53">
        <f t="shared" ref="BB575" si="8410">+Y575/1000</f>
        <v>611.32600000000002</v>
      </c>
      <c r="BC575" s="53">
        <f t="shared" ref="BC575" si="8411">+AI575/1000</f>
        <v>4.55</v>
      </c>
      <c r="BD575" s="53">
        <f t="shared" ref="BD575" si="8412">+AS575/1000</f>
        <v>856.62599999999998</v>
      </c>
      <c r="BE575" s="64">
        <f t="shared" ref="BE575" si="8413">BE574+AZ575</f>
        <v>6942.4939999999988</v>
      </c>
      <c r="BF575" s="64">
        <f t="shared" ref="BF575" si="8414">BF574+BA575</f>
        <v>3948.0420000000004</v>
      </c>
      <c r="BG575" s="64">
        <f t="shared" ref="BG575" si="8415">BG574+BB575</f>
        <v>6550.1679999999988</v>
      </c>
      <c r="BH575" s="64">
        <f t="shared" ref="BH575" si="8416">BH574+BC575</f>
        <v>187.328</v>
      </c>
      <c r="BI575" s="64">
        <f t="shared" ref="BI575" si="8417">BI574+BD575</f>
        <v>17628.031999999996</v>
      </c>
      <c r="BJ575" s="64">
        <v>44</v>
      </c>
    </row>
    <row r="576" spans="1:62" x14ac:dyDescent="0.3">
      <c r="A576" s="48">
        <f t="shared" si="8252"/>
        <v>41587</v>
      </c>
      <c r="B576" s="64">
        <v>185300</v>
      </c>
      <c r="C576" s="64">
        <v>122300</v>
      </c>
      <c r="D576" s="53">
        <v>0</v>
      </c>
      <c r="E576" s="64">
        <f t="shared" si="8334"/>
        <v>307600</v>
      </c>
      <c r="F576" s="64">
        <f t="shared" ref="F576" si="8418">AVERAGE(E573,E574,E575,E576)</f>
        <v>266731.25</v>
      </c>
      <c r="G576" s="71">
        <f t="shared" ref="G576" si="8419">AVERAGE(F524,F472,F420)</f>
        <v>293481.66666666669</v>
      </c>
      <c r="H576" s="64">
        <f t="shared" ref="H576" si="8420">((E576/E524)-1)*100</f>
        <v>31.465351443298097</v>
      </c>
      <c r="I576" s="64">
        <f t="shared" ref="I576" si="8421">((F576/F524)-1)*100</f>
        <v>31.633005564260429</v>
      </c>
      <c r="J576" s="64">
        <f t="shared" ref="J576" si="8422">((F576/G576)-1)*100</f>
        <v>-9.1148510128401092</v>
      </c>
      <c r="L576" s="53">
        <v>6400</v>
      </c>
      <c r="M576" s="53">
        <v>1500</v>
      </c>
      <c r="N576" s="53">
        <v>5600</v>
      </c>
      <c r="O576" s="53">
        <f t="shared" ref="O576" si="8423">SUM(L576:N576)</f>
        <v>13500</v>
      </c>
      <c r="P576" s="71">
        <f t="shared" ref="P576" si="8424">AVERAGE(O573,O574,O575,O576)</f>
        <v>21037.5</v>
      </c>
      <c r="Q576" s="71">
        <f t="shared" ref="Q576" si="8425">AVERAGE(P524,P472,P420)</f>
        <v>14348.333333333334</v>
      </c>
      <c r="R576" s="64">
        <f t="shared" ref="R576" si="8426">((O576/O524)-1)*100</f>
        <v>37.755102040816332</v>
      </c>
      <c r="S576" s="73">
        <f t="shared" ref="S576" si="8427">((P576/P524)-1)*100</f>
        <v>18.772053634438947</v>
      </c>
      <c r="T576" s="64">
        <f t="shared" ref="T576" si="8428">((P576/Q576)-1)*100</f>
        <v>46.619816471134847</v>
      </c>
      <c r="V576" s="64">
        <v>249000</v>
      </c>
      <c r="W576" s="64">
        <v>185500</v>
      </c>
      <c r="X576" s="53">
        <v>23800</v>
      </c>
      <c r="Y576" s="64">
        <f t="shared" ref="Y576" si="8429">SUM(V576:X576)</f>
        <v>458300</v>
      </c>
      <c r="Z576" s="71">
        <f t="shared" ref="Z576" si="8430">AVERAGE(Y573,Y574,Y575,Y576)</f>
        <v>523724.75</v>
      </c>
      <c r="AA576" s="71">
        <f t="shared" ref="AA576" si="8431">AVERAGE(Z524,Z472,Z420)</f>
        <v>382931.83333333331</v>
      </c>
      <c r="AB576" s="64">
        <f t="shared" ref="AB576" si="8432">((Y576/Y524)-1)*100</f>
        <v>12.478678627087646</v>
      </c>
      <c r="AC576" s="64">
        <f t="shared" ref="AC576" si="8433">((Z576/Z524)-1)*100</f>
        <v>15.3353281709798</v>
      </c>
      <c r="AD576" s="64">
        <f t="shared" ref="AD576" si="8434">((Z576/AA576)-1)*100</f>
        <v>36.767096493675332</v>
      </c>
      <c r="AF576" s="53">
        <v>3200</v>
      </c>
      <c r="AG576" s="53">
        <v>8000</v>
      </c>
      <c r="AH576" s="53">
        <v>0</v>
      </c>
      <c r="AI576" s="53">
        <f t="shared" si="8393"/>
        <v>11200</v>
      </c>
      <c r="AJ576" s="71">
        <f t="shared" ref="AJ576" si="8435">AVERAGE(AI573,AI574,AI575,AI576)</f>
        <v>10287.5</v>
      </c>
      <c r="AK576" s="71">
        <f t="shared" ref="AK576" si="8436">AVERAGE(AJ524,AJ472,AJ420)</f>
        <v>8980.5</v>
      </c>
      <c r="AL576" s="64">
        <f t="shared" ref="AL576:AL578" si="8437">((AI576/AI524)-1)*100</f>
        <v>34.939759036144565</v>
      </c>
      <c r="AM576" s="64">
        <f t="shared" ref="AM576" si="8438">((AJ576/AJ524)-1)*100</f>
        <v>100.73170731707317</v>
      </c>
      <c r="AN576" s="64">
        <f t="shared" ref="AN576" si="8439">((AJ576/AK576)-1)*100</f>
        <v>14.553755358833032</v>
      </c>
      <c r="AP576" s="60">
        <f t="shared" ref="AP576:AP578" si="8440">SUM(B576,L576,V576,AF576)</f>
        <v>443900</v>
      </c>
      <c r="AQ576" s="60">
        <f t="shared" ref="AQ576" si="8441">SUM(C576,M576,W576,AG576)</f>
        <v>317300</v>
      </c>
      <c r="AR576" s="60">
        <f t="shared" ref="AR576" si="8442">SUM(D576,N576,X576,AH576)</f>
        <v>29400</v>
      </c>
      <c r="AS576" s="60">
        <f t="shared" ref="AS576" si="8443">SUM(E576,O576,Y576,AI576)</f>
        <v>790600</v>
      </c>
      <c r="AT576" s="64">
        <f t="shared" ref="AT576" si="8444">AVERAGE(AS573,AS574,AS575,AS576)</f>
        <v>821781</v>
      </c>
      <c r="AU576" s="71">
        <f t="shared" ref="AU576" si="8445">AVERAGE(AT524,AT472,AT420)</f>
        <v>699742.33333333337</v>
      </c>
      <c r="AV576" s="64">
        <f t="shared" ref="AV576" si="8446">((AS576/AS524)-1)*100</f>
        <v>19.872697802839291</v>
      </c>
      <c r="AW576" s="64">
        <f t="shared" ref="AW576" si="8447">((AT576/AT524)-1)*100</f>
        <v>20.928617282906004</v>
      </c>
      <c r="AX576" s="64">
        <f t="shared" ref="AX576" si="8448">((AT576/AU576)-1)*100</f>
        <v>17.440515008619826</v>
      </c>
      <c r="AZ576" s="71">
        <f t="shared" ref="AZ576" si="8449">+E576/1000</f>
        <v>307.60000000000002</v>
      </c>
      <c r="BA576" s="53">
        <f t="shared" ref="BA576" si="8450">+O576/1000</f>
        <v>13.5</v>
      </c>
      <c r="BB576" s="53">
        <f t="shared" ref="BB576" si="8451">+Y576/1000</f>
        <v>458.3</v>
      </c>
      <c r="BC576" s="53">
        <f t="shared" ref="BC576" si="8452">+AI576/1000</f>
        <v>11.2</v>
      </c>
      <c r="BD576" s="53">
        <f t="shared" ref="BD576" si="8453">+AS576/1000</f>
        <v>790.6</v>
      </c>
      <c r="BE576" s="64">
        <f t="shared" ref="BE576" si="8454">BE575+AZ576</f>
        <v>7250.0939999999991</v>
      </c>
      <c r="BF576" s="64">
        <f t="shared" ref="BF576" si="8455">BF575+BA576</f>
        <v>3961.5420000000004</v>
      </c>
      <c r="BG576" s="64">
        <f t="shared" ref="BG576" si="8456">BG575+BB576</f>
        <v>7008.4679999999989</v>
      </c>
      <c r="BH576" s="64">
        <f t="shared" ref="BH576" si="8457">BH575+BC576</f>
        <v>198.52799999999999</v>
      </c>
      <c r="BI576" s="64">
        <f t="shared" ref="BI576" si="8458">BI575+BD576</f>
        <v>18418.631999999994</v>
      </c>
      <c r="BJ576" s="64">
        <v>45</v>
      </c>
    </row>
    <row r="577" spans="1:62" x14ac:dyDescent="0.3">
      <c r="A577" s="48">
        <f t="shared" si="8252"/>
        <v>41594</v>
      </c>
      <c r="B577" s="64">
        <v>195000</v>
      </c>
      <c r="C577" s="64">
        <v>163650</v>
      </c>
      <c r="D577" s="64">
        <v>1400</v>
      </c>
      <c r="E577" s="64">
        <f t="shared" ref="E577" si="8459">SUM(B577:D577)</f>
        <v>360050</v>
      </c>
      <c r="F577" s="64">
        <f t="shared" ref="F577" si="8460">AVERAGE(E574,E575,E576,E577)</f>
        <v>283493.75</v>
      </c>
      <c r="G577" s="71">
        <f t="shared" ref="G577" si="8461">AVERAGE(F525,F473,F421)</f>
        <v>334131.16666666669</v>
      </c>
      <c r="H577" s="64">
        <f t="shared" ref="H577" si="8462">((E577/E525)-1)*100</f>
        <v>75.462962962962948</v>
      </c>
      <c r="I577" s="64">
        <f t="shared" ref="I577" si="8463">((F577/F525)-1)*100</f>
        <v>35.532700674092844</v>
      </c>
      <c r="J577" s="64">
        <f t="shared" ref="J577" si="8464">((F577/G577)-1)*100</f>
        <v>-15.154951623289659</v>
      </c>
      <c r="L577" s="53">
        <v>7600</v>
      </c>
      <c r="M577" s="53">
        <v>0</v>
      </c>
      <c r="N577" s="53">
        <v>17400</v>
      </c>
      <c r="O577" s="53">
        <f t="shared" ref="O577" si="8465">SUM(L577:N577)</f>
        <v>25000</v>
      </c>
      <c r="P577" s="71">
        <f t="shared" ref="P577" si="8466">AVERAGE(O574,O575,O576,O577)</f>
        <v>19137.5</v>
      </c>
      <c r="Q577" s="71">
        <f t="shared" ref="Q577" si="8467">AVERAGE(P525,P473,P421)</f>
        <v>12710.416666666666</v>
      </c>
      <c r="R577" s="64">
        <f t="shared" ref="R577" si="8468">((O577/O525)-1)*100</f>
        <v>67.224080267558534</v>
      </c>
      <c r="S577" s="73">
        <f t="shared" ref="S577" si="8469">((P577/P525)-1)*100</f>
        <v>42.286245353159856</v>
      </c>
      <c r="T577" s="64">
        <f t="shared" ref="T577" si="8470">((P577/Q577)-1)*100</f>
        <v>50.565481068677265</v>
      </c>
      <c r="V577" s="64">
        <v>204560</v>
      </c>
      <c r="W577" s="64">
        <v>192600</v>
      </c>
      <c r="X577" s="53">
        <v>65800</v>
      </c>
      <c r="Y577" s="64">
        <f t="shared" ref="Y577" si="8471">SUM(V577:X577)</f>
        <v>462960</v>
      </c>
      <c r="Z577" s="71">
        <f t="shared" ref="Z577" si="8472">AVERAGE(Y574,Y575,Y576,Y577)</f>
        <v>526914.75</v>
      </c>
      <c r="AA577" s="71">
        <f t="shared" ref="AA577" si="8473">AVERAGE(Z525,Z473,Z421)</f>
        <v>340225.25</v>
      </c>
      <c r="AB577" s="64">
        <f t="shared" ref="AB577" si="8474">((Y577/Y525)-1)*100</f>
        <v>11.930717844942018</v>
      </c>
      <c r="AC577" s="64">
        <f t="shared" ref="AC577" si="8475">((Z577/Z525)-1)*100</f>
        <v>24.425090234592229</v>
      </c>
      <c r="AD577" s="64">
        <f t="shared" ref="AD577" si="8476">((Z577/AA577)-1)*100</f>
        <v>54.872323556232239</v>
      </c>
      <c r="AF577" s="53">
        <v>0</v>
      </c>
      <c r="AG577" s="53">
        <v>13700</v>
      </c>
      <c r="AH577" s="53">
        <v>1400</v>
      </c>
      <c r="AI577" s="53">
        <f t="shared" ref="AI577:AI578" si="8477">SUM(AF577:AH577)</f>
        <v>15100</v>
      </c>
      <c r="AJ577" s="71">
        <f t="shared" ref="AJ577" si="8478">AVERAGE(AI574,AI575,AI576,AI577)</f>
        <v>9162.5</v>
      </c>
      <c r="AK577" s="71">
        <f t="shared" ref="AK577" si="8479">AVERAGE(AJ525,AJ473,AJ421)</f>
        <v>8136.666666666667</v>
      </c>
      <c r="AL577" s="64"/>
      <c r="AM577" s="64">
        <f t="shared" ref="AM577" si="8480">((AJ577/AJ525)-1)*100</f>
        <v>210.59322033898303</v>
      </c>
      <c r="AN577" s="64">
        <f t="shared" ref="AN577" si="8481">((AJ577/AK577)-1)*100</f>
        <v>12.607537894305597</v>
      </c>
      <c r="AP577" s="60">
        <f t="shared" si="8440"/>
        <v>407160</v>
      </c>
      <c r="AQ577" s="60">
        <f t="shared" ref="AQ577:AQ578" si="8482">SUM(C577,M577,W577,AG577)</f>
        <v>369950</v>
      </c>
      <c r="AR577" s="60">
        <f t="shared" ref="AR577:AR578" si="8483">SUM(D577,N577,X577,AH577)</f>
        <v>86000</v>
      </c>
      <c r="AS577" s="60">
        <f t="shared" ref="AS577:AS578" si="8484">SUM(E577,O577,Y577,AI577)</f>
        <v>863110</v>
      </c>
      <c r="AT577" s="64">
        <f t="shared" ref="AT577" si="8485">AVERAGE(AS574,AS575,AS576,AS577)</f>
        <v>838708.5</v>
      </c>
      <c r="AU577" s="71">
        <f t="shared" ref="AU577" si="8486">AVERAGE(AT525,AT473,AT421)</f>
        <v>695203.5</v>
      </c>
      <c r="AV577" s="64">
        <f t="shared" ref="AV577" si="8487">((AS577/AS525)-1)*100</f>
        <v>36.188133418959453</v>
      </c>
      <c r="AW577" s="64">
        <f t="shared" ref="AW577" si="8488">((AT577/AT525)-1)*100</f>
        <v>29.22103784071939</v>
      </c>
      <c r="AX577" s="64">
        <f t="shared" ref="AX577" si="8489">((AT577/AU577)-1)*100</f>
        <v>20.642157296388763</v>
      </c>
      <c r="AZ577" s="71">
        <f t="shared" ref="AZ577" si="8490">+E577/1000</f>
        <v>360.05</v>
      </c>
      <c r="BA577" s="53">
        <f t="shared" ref="BA577" si="8491">+O577/1000</f>
        <v>25</v>
      </c>
      <c r="BB577" s="53">
        <f t="shared" ref="BB577" si="8492">+Y577/1000</f>
        <v>462.96</v>
      </c>
      <c r="BC577" s="53">
        <f t="shared" ref="BC577" si="8493">+AI577/1000</f>
        <v>15.1</v>
      </c>
      <c r="BD577" s="53">
        <f t="shared" ref="BD577" si="8494">+AS577/1000</f>
        <v>863.11</v>
      </c>
      <c r="BE577" s="64">
        <f t="shared" ref="BE577" si="8495">BE576+AZ577</f>
        <v>7610.1439999999993</v>
      </c>
      <c r="BF577" s="64">
        <f t="shared" ref="BF577" si="8496">BF576+BA577</f>
        <v>3986.5420000000004</v>
      </c>
      <c r="BG577" s="64">
        <f t="shared" ref="BG577" si="8497">BG576+BB577</f>
        <v>7471.427999999999</v>
      </c>
      <c r="BH577" s="64">
        <f t="shared" ref="BH577" si="8498">BH576+BC577</f>
        <v>213.62799999999999</v>
      </c>
      <c r="BI577" s="64">
        <f t="shared" ref="BI577" si="8499">BI576+BD577</f>
        <v>19281.741999999995</v>
      </c>
      <c r="BJ577" s="64">
        <v>46</v>
      </c>
    </row>
    <row r="578" spans="1:62" x14ac:dyDescent="0.3">
      <c r="A578" s="48">
        <f t="shared" si="8252"/>
        <v>41601</v>
      </c>
      <c r="B578" s="64">
        <v>257348</v>
      </c>
      <c r="C578" s="64">
        <v>128800</v>
      </c>
      <c r="D578" s="64">
        <v>4200</v>
      </c>
      <c r="E578" s="64">
        <f t="shared" ref="E578" si="8500">SUM(B578:D578)</f>
        <v>390348</v>
      </c>
      <c r="F578" s="64">
        <f t="shared" ref="F578" si="8501">AVERAGE(E575,E576,E577,E578)</f>
        <v>318937</v>
      </c>
      <c r="G578" s="71">
        <f t="shared" ref="G578" si="8502">AVERAGE(F526,F474,F422)</f>
        <v>387601</v>
      </c>
      <c r="H578" s="64">
        <f t="shared" ref="H578" si="8503">((E578/E526)-1)*100</f>
        <v>27.299291020682361</v>
      </c>
      <c r="I578" s="64">
        <f t="shared" ref="I578" si="8504">((F578/F526)-1)*100</f>
        <v>28.142728573035704</v>
      </c>
      <c r="J578" s="64">
        <f t="shared" ref="J578" si="8505">((F578/G578)-1)*100</f>
        <v>-17.71512457398201</v>
      </c>
      <c r="L578" s="53">
        <v>4800</v>
      </c>
      <c r="M578" s="53">
        <v>0</v>
      </c>
      <c r="N578" s="53">
        <v>9800</v>
      </c>
      <c r="O578" s="53">
        <f t="shared" ref="O578" si="8506">SUM(L578:N578)</f>
        <v>14600</v>
      </c>
      <c r="P578" s="71">
        <f t="shared" ref="P578" si="8507">AVERAGE(O575,O576,O577,O578)</f>
        <v>19025</v>
      </c>
      <c r="Q578" s="71">
        <f t="shared" ref="Q578" si="8508">AVERAGE(P526,P474,P422)</f>
        <v>13719.583333333334</v>
      </c>
      <c r="R578" s="64">
        <f t="shared" ref="R578" si="8509">((O578/O526)-1)*100</f>
        <v>-6.4102564102564097</v>
      </c>
      <c r="S578" s="73">
        <f t="shared" ref="S578" si="8510">((P578/P526)-1)*100</f>
        <v>49.803149606299215</v>
      </c>
      <c r="T578" s="64">
        <f t="shared" ref="T578" si="8511">((P578/Q578)-1)*100</f>
        <v>38.670392079448469</v>
      </c>
      <c r="V578" s="64">
        <v>179300</v>
      </c>
      <c r="W578" s="64">
        <v>241250</v>
      </c>
      <c r="X578" s="53">
        <v>46200</v>
      </c>
      <c r="Y578" s="64">
        <f t="shared" ref="Y578" si="8512">SUM(V578:X578)</f>
        <v>466750</v>
      </c>
      <c r="Z578" s="71">
        <f t="shared" ref="Z578" si="8513">AVERAGE(Y575,Y576,Y577,Y578)</f>
        <v>499834</v>
      </c>
      <c r="AA578" s="71">
        <f t="shared" ref="AA578" si="8514">AVERAGE(Z526,Z474,Z422)</f>
        <v>348230.33333333331</v>
      </c>
      <c r="AB578" s="64">
        <f t="shared" ref="AB578" si="8515">((Y578/Y526)-1)*100</f>
        <v>6.7288937467272492</v>
      </c>
      <c r="AC578" s="64">
        <f t="shared" ref="AC578" si="8516">((Z578/Z526)-1)*100</f>
        <v>12.152694998740676</v>
      </c>
      <c r="AD578" s="64">
        <f t="shared" ref="AD578" si="8517">((Z578/AA578)-1)*100</f>
        <v>43.535456895866822</v>
      </c>
      <c r="AF578" s="53">
        <v>0</v>
      </c>
      <c r="AG578" s="53">
        <v>5250</v>
      </c>
      <c r="AH578" s="53">
        <v>0</v>
      </c>
      <c r="AI578" s="53">
        <f t="shared" si="8477"/>
        <v>5250</v>
      </c>
      <c r="AJ578" s="71">
        <f t="shared" ref="AJ578" si="8518">AVERAGE(AI575,AI576,AI577,AI578)</f>
        <v>9025</v>
      </c>
      <c r="AK578" s="71">
        <f t="shared" ref="AK578" si="8519">AVERAGE(AJ526,AJ474,AJ422)</f>
        <v>8287.5</v>
      </c>
      <c r="AL578" s="64">
        <f t="shared" si="8437"/>
        <v>250</v>
      </c>
      <c r="AM578" s="64">
        <f t="shared" ref="AM578" si="8520">((AJ578/AJ526)-1)*100</f>
        <v>212.55411255411255</v>
      </c>
      <c r="AN578" s="64">
        <f t="shared" ref="AN578" si="8521">((AJ578/AK578)-1)*100</f>
        <v>8.8989441930618298</v>
      </c>
      <c r="AP578" s="60">
        <f t="shared" si="8440"/>
        <v>441448</v>
      </c>
      <c r="AQ578" s="60">
        <f t="shared" si="8482"/>
        <v>375300</v>
      </c>
      <c r="AR578" s="60">
        <f t="shared" si="8483"/>
        <v>60200</v>
      </c>
      <c r="AS578" s="60">
        <f t="shared" si="8484"/>
        <v>876948</v>
      </c>
      <c r="AT578" s="64">
        <f t="shared" ref="AT578" si="8522">AVERAGE(AS575,AS576,AS577,AS578)</f>
        <v>846821</v>
      </c>
      <c r="AU578" s="71">
        <f t="shared" ref="AU578" si="8523">AVERAGE(AT526,AT474,AT422)</f>
        <v>757838.41666666663</v>
      </c>
      <c r="AV578" s="64">
        <f t="shared" ref="AV578" si="8524">((AS578/AS526)-1)*100</f>
        <v>15.227031735958096</v>
      </c>
      <c r="AW578" s="64">
        <f t="shared" ref="AW578" si="8525">((AT578/AT526)-1)*100</f>
        <v>19.244992887088653</v>
      </c>
      <c r="AX578" s="64">
        <f t="shared" ref="AX578" si="8526">((AT578/AU578)-1)*100</f>
        <v>11.741630059442087</v>
      </c>
      <c r="AZ578" s="71">
        <f t="shared" ref="AZ578" si="8527">+E578/1000</f>
        <v>390.34800000000001</v>
      </c>
      <c r="BA578" s="53">
        <f t="shared" ref="BA578" si="8528">+O578/1000</f>
        <v>14.6</v>
      </c>
      <c r="BB578" s="53">
        <f t="shared" ref="BB578" si="8529">+Y578/1000</f>
        <v>466.75</v>
      </c>
      <c r="BC578" s="53">
        <f t="shared" ref="BC578" si="8530">+AI578/1000</f>
        <v>5.25</v>
      </c>
      <c r="BD578" s="53">
        <f t="shared" ref="BD578" si="8531">+AS578/1000</f>
        <v>876.94799999999998</v>
      </c>
      <c r="BE578" s="64">
        <f t="shared" ref="BE578" si="8532">BE577+AZ578</f>
        <v>8000.4919999999993</v>
      </c>
      <c r="BF578" s="64">
        <f t="shared" ref="BF578" si="8533">BF577+BA578</f>
        <v>4001.1420000000003</v>
      </c>
      <c r="BG578" s="64">
        <f t="shared" ref="BG578" si="8534">BG577+BB578</f>
        <v>7938.177999999999</v>
      </c>
      <c r="BH578" s="64">
        <f t="shared" ref="BH578" si="8535">BH577+BC578</f>
        <v>218.87799999999999</v>
      </c>
      <c r="BI578" s="64">
        <f t="shared" ref="BI578" si="8536">BI577+BD578</f>
        <v>20158.689999999995</v>
      </c>
      <c r="BJ578" s="64">
        <v>47</v>
      </c>
    </row>
    <row r="579" spans="1:62" x14ac:dyDescent="0.3">
      <c r="A579" s="48">
        <f t="shared" si="8252"/>
        <v>41608</v>
      </c>
      <c r="B579" s="64">
        <v>274600</v>
      </c>
      <c r="C579" s="64">
        <v>137000</v>
      </c>
      <c r="D579" s="64">
        <v>7000</v>
      </c>
      <c r="E579" s="64">
        <f t="shared" ref="E579:E580" si="8537">SUM(B579:D579)</f>
        <v>418600</v>
      </c>
      <c r="F579" s="64">
        <f t="shared" ref="F579" si="8538">AVERAGE(E576,E577,E578,E579)</f>
        <v>369149.5</v>
      </c>
      <c r="G579" s="71">
        <f t="shared" ref="G579" si="8539">AVERAGE(F527,F475,F423)</f>
        <v>432692.58333333331</v>
      </c>
      <c r="H579" s="64">
        <f t="shared" ref="H579" si="8540">((E579/E527)-1)*100</f>
        <v>39.254823685961405</v>
      </c>
      <c r="I579" s="64">
        <f t="shared" ref="I579" si="8541">((F579/F527)-1)*100</f>
        <v>41.110036543783735</v>
      </c>
      <c r="J579" s="64">
        <f t="shared" ref="J579" si="8542">((F579/G579)-1)*100</f>
        <v>-14.685503237383124</v>
      </c>
      <c r="L579" s="53">
        <v>7800</v>
      </c>
      <c r="M579" s="53">
        <v>3500</v>
      </c>
      <c r="N579" s="53">
        <v>8400</v>
      </c>
      <c r="O579" s="53">
        <f t="shared" ref="O579:O580" si="8543">SUM(L579:N579)</f>
        <v>19700</v>
      </c>
      <c r="P579" s="71">
        <f t="shared" ref="P579" si="8544">AVERAGE(O576,O577,O578,O579)</f>
        <v>18200</v>
      </c>
      <c r="Q579" s="71">
        <f t="shared" ref="Q579" si="8545">AVERAGE(P527,P475,P423)</f>
        <v>14563.916666666666</v>
      </c>
      <c r="R579" s="64">
        <f t="shared" ref="R579" si="8546">((O579/O527)-1)*100</f>
        <v>-7.9439252336448547</v>
      </c>
      <c r="S579" s="73">
        <f t="shared" ref="S579" si="8547">((P579/P527)-1)*100</f>
        <v>17.894736842105253</v>
      </c>
      <c r="T579" s="64">
        <f t="shared" ref="T579" si="8548">((P579/Q579)-1)*100</f>
        <v>24.966383813877901</v>
      </c>
      <c r="V579" s="64">
        <v>244100</v>
      </c>
      <c r="W579" s="64">
        <v>164202</v>
      </c>
      <c r="X579" s="53">
        <v>53200</v>
      </c>
      <c r="Y579" s="64">
        <f t="shared" ref="Y579" si="8549">SUM(V579:X579)</f>
        <v>461502</v>
      </c>
      <c r="Z579" s="71">
        <f t="shared" ref="Z579" si="8550">AVERAGE(Y576,Y577,Y578,Y579)</f>
        <v>462378</v>
      </c>
      <c r="AA579" s="71">
        <f t="shared" ref="AA579" si="8551">AVERAGE(Z527,Z475,Z423)</f>
        <v>376483.33333333331</v>
      </c>
      <c r="AB579" s="64">
        <f t="shared" ref="AB579" si="8552">((Y579/Y527)-1)*100</f>
        <v>-20.874067723960565</v>
      </c>
      <c r="AC579" s="64">
        <f t="shared" ref="AC579" si="8553">((Z579/Z527)-1)*100</f>
        <v>0.42739057177809681</v>
      </c>
      <c r="AD579" s="64">
        <f t="shared" ref="AD579" si="8554">((Z579/AA579)-1)*100</f>
        <v>22.814998450573288</v>
      </c>
      <c r="AF579" s="53">
        <v>0</v>
      </c>
      <c r="AG579" s="53">
        <v>3350</v>
      </c>
      <c r="AH579" s="53">
        <v>1400</v>
      </c>
      <c r="AI579" s="53">
        <f t="shared" ref="AI579:AI583" si="8555">SUM(AF579:AH579)</f>
        <v>4750</v>
      </c>
      <c r="AJ579" s="71">
        <f t="shared" ref="AJ579" si="8556">AVERAGE(AI576,AI577,AI578,AI579)</f>
        <v>9075</v>
      </c>
      <c r="AK579" s="71">
        <f t="shared" ref="AK579" si="8557">AVERAGE(AJ527,AJ475,AJ423)</f>
        <v>11426.833333333334</v>
      </c>
      <c r="AL579" s="64">
        <f t="shared" ref="AL579" si="8558">((AI579/AI527)-1)*100</f>
        <v>196.875</v>
      </c>
      <c r="AM579" s="64">
        <f t="shared" ref="AM579" si="8559">((AJ579/AJ527)-1)*100</f>
        <v>218.42105263157893</v>
      </c>
      <c r="AN579" s="64">
        <f t="shared" ref="AN579" si="8560">((AJ579/AK579)-1)*100</f>
        <v>-20.581671795918965</v>
      </c>
      <c r="AP579" s="60">
        <f t="shared" ref="AP579:AP580" si="8561">SUM(B579,L579,V579,AF579)</f>
        <v>526500</v>
      </c>
      <c r="AQ579" s="60">
        <f t="shared" ref="AQ579:AQ580" si="8562">SUM(C579,M579,W579,AG579)</f>
        <v>308052</v>
      </c>
      <c r="AR579" s="60">
        <f t="shared" ref="AR579:AR580" si="8563">SUM(D579,N579,X579,AH579)</f>
        <v>70000</v>
      </c>
      <c r="AS579" s="60">
        <f t="shared" ref="AS579:AS580" si="8564">SUM(E579,O579,Y579,AI579)</f>
        <v>904552</v>
      </c>
      <c r="AT579" s="64">
        <f t="shared" ref="AT579" si="8565">AVERAGE(AS576,AS577,AS578,AS579)</f>
        <v>858802.5</v>
      </c>
      <c r="AU579" s="71">
        <f t="shared" ref="AU579" si="8566">AVERAGE(AT527,AT475,AT423)</f>
        <v>835166.66666666663</v>
      </c>
      <c r="AV579" s="64">
        <f t="shared" ref="AV579" si="8567">((AS579/AS527)-1)*100</f>
        <v>-0.25340464244362204</v>
      </c>
      <c r="AW579" s="64">
        <f t="shared" ref="AW579" si="8568">((AT579/AT527)-1)*100</f>
        <v>16.007087650407414</v>
      </c>
      <c r="AX579" s="64">
        <f t="shared" ref="AX579" si="8569">((AT579/AU579)-1)*100</f>
        <v>2.8300738375573786</v>
      </c>
      <c r="AZ579" s="71">
        <f t="shared" ref="AZ579" si="8570">+E579/1000</f>
        <v>418.6</v>
      </c>
      <c r="BA579" s="53">
        <f t="shared" ref="BA579" si="8571">+O579/1000</f>
        <v>19.7</v>
      </c>
      <c r="BB579" s="53">
        <f t="shared" ref="BB579" si="8572">+Y579/1000</f>
        <v>461.50200000000001</v>
      </c>
      <c r="BC579" s="53">
        <f t="shared" ref="BC579" si="8573">+AI579/1000</f>
        <v>4.75</v>
      </c>
      <c r="BD579" s="53">
        <f t="shared" ref="BD579" si="8574">+AS579/1000</f>
        <v>904.55200000000002</v>
      </c>
      <c r="BE579" s="64">
        <f t="shared" ref="BE579" si="8575">BE578+AZ579</f>
        <v>8419.0919999999987</v>
      </c>
      <c r="BF579" s="64">
        <f t="shared" ref="BF579" si="8576">BF578+BA579</f>
        <v>4020.8420000000001</v>
      </c>
      <c r="BG579" s="64">
        <f t="shared" ref="BG579" si="8577">BG578+BB579</f>
        <v>8399.6799999999985</v>
      </c>
      <c r="BH579" s="64">
        <f t="shared" ref="BH579" si="8578">BH578+BC579</f>
        <v>223.62799999999999</v>
      </c>
      <c r="BI579" s="64">
        <f t="shared" ref="BI579" si="8579">BI578+BD579</f>
        <v>21063.241999999995</v>
      </c>
      <c r="BJ579" s="64">
        <v>48</v>
      </c>
    </row>
    <row r="580" spans="1:62" x14ac:dyDescent="0.3">
      <c r="A580" s="48">
        <f t="shared" si="8252"/>
        <v>41615</v>
      </c>
      <c r="B580" s="64">
        <v>233200</v>
      </c>
      <c r="C580" s="64">
        <v>107200</v>
      </c>
      <c r="D580" s="64">
        <v>4200</v>
      </c>
      <c r="E580" s="64">
        <f t="shared" si="8537"/>
        <v>344600</v>
      </c>
      <c r="F580" s="64">
        <f t="shared" ref="F580" si="8580">AVERAGE(E577,E578,E579,E580)</f>
        <v>378399.5</v>
      </c>
      <c r="G580" s="71">
        <f t="shared" ref="G580" si="8581">AVERAGE(F528,F476,F424)</f>
        <v>453749.91666666669</v>
      </c>
      <c r="H580" s="64">
        <f t="shared" ref="H580" si="8582">((E580/E528)-1)*100</f>
        <v>8.4671073339628542</v>
      </c>
      <c r="I580" s="64">
        <f t="shared" ref="I580" si="8583">((F580/F528)-1)*100</f>
        <v>33.930369565486693</v>
      </c>
      <c r="J580" s="64">
        <f t="shared" ref="J580" si="8584">((F580/G580)-1)*100</f>
        <v>-16.60615548322415</v>
      </c>
      <c r="L580" s="53">
        <v>7900</v>
      </c>
      <c r="M580" s="53">
        <v>10700</v>
      </c>
      <c r="N580" s="53">
        <v>5600</v>
      </c>
      <c r="O580" s="53">
        <f t="shared" si="8543"/>
        <v>24200</v>
      </c>
      <c r="P580" s="71">
        <f t="shared" ref="P580" si="8585">AVERAGE(O577,O578,O579,O580)</f>
        <v>20875</v>
      </c>
      <c r="Q580" s="71">
        <f t="shared" ref="Q580" si="8586">AVERAGE(P528,P476,P424)</f>
        <v>16493.083333333332</v>
      </c>
      <c r="R580" s="64">
        <f t="shared" ref="R580" si="8587">((O580/O528)-1)*100</f>
        <v>61.333333333333329</v>
      </c>
      <c r="S580" s="73">
        <f t="shared" ref="S580" si="8588">((P580/P528)-1)*100</f>
        <v>24.719940253920836</v>
      </c>
      <c r="T580" s="64">
        <f t="shared" ref="T580" si="8589">((P580/Q580)-1)*100</f>
        <v>26.568207885123574</v>
      </c>
      <c r="V580" s="64">
        <v>293300</v>
      </c>
      <c r="W580" s="64">
        <v>75450</v>
      </c>
      <c r="X580" s="64">
        <v>28000</v>
      </c>
      <c r="Y580" s="64">
        <f t="shared" ref="Y580" si="8590">SUM(V580:X580)</f>
        <v>396750</v>
      </c>
      <c r="Z580" s="71">
        <f t="shared" ref="Z580" si="8591">AVERAGE(Y577,Y578,Y579,Y580)</f>
        <v>446990.5</v>
      </c>
      <c r="AA580" s="71">
        <f t="shared" ref="AA580" si="8592">AVERAGE(Z528,Z476,Z424)</f>
        <v>374892.83333333331</v>
      </c>
      <c r="AB580" s="64">
        <f t="shared" ref="AB580" si="8593">((Y580/Y528)-1)*100</f>
        <v>-15.966831520645574</v>
      </c>
      <c r="AC580" s="64">
        <f t="shared" ref="AC580" si="8594">((Z580/Z528)-1)*100</f>
        <v>-6.2087654702434714</v>
      </c>
      <c r="AD580" s="64">
        <f t="shared" ref="AD580" si="8595">((Z580/AA580)-1)*100</f>
        <v>19.231540391320735</v>
      </c>
      <c r="AF580" s="53">
        <v>3200</v>
      </c>
      <c r="AG580" s="53">
        <v>0</v>
      </c>
      <c r="AH580" s="53">
        <v>0</v>
      </c>
      <c r="AI580" s="53">
        <f t="shared" si="8555"/>
        <v>3200</v>
      </c>
      <c r="AJ580" s="71">
        <f t="shared" ref="AJ580" si="8596">AVERAGE(AI577,AI578,AI579,AI580)</f>
        <v>7075</v>
      </c>
      <c r="AK580" s="71">
        <f t="shared" ref="AK580" si="8597">AVERAGE(AJ528,AJ476,AJ424)</f>
        <v>9714.3333333333339</v>
      </c>
      <c r="AL580" s="64"/>
      <c r="AM580" s="64">
        <f t="shared" ref="AM580" si="8598">((AJ580/AJ528)-1)*100</f>
        <v>812.90322580645159</v>
      </c>
      <c r="AN580" s="64">
        <f t="shared" ref="AN580" si="8599">((AJ580/AK580)-1)*100</f>
        <v>-27.169474659437952</v>
      </c>
      <c r="AP580" s="60">
        <f t="shared" si="8561"/>
        <v>537600</v>
      </c>
      <c r="AQ580" s="60">
        <f t="shared" si="8562"/>
        <v>193350</v>
      </c>
      <c r="AR580" s="60">
        <f t="shared" si="8563"/>
        <v>37800</v>
      </c>
      <c r="AS580" s="60">
        <f t="shared" si="8564"/>
        <v>768750</v>
      </c>
      <c r="AT580" s="64">
        <f t="shared" ref="AT580" si="8600">AVERAGE(AS577,AS578,AS579,AS580)</f>
        <v>853340</v>
      </c>
      <c r="AU580" s="71">
        <f t="shared" ref="AU580" si="8601">AVERAGE(AT528,AT476,AT424)</f>
        <v>854850.16666666663</v>
      </c>
      <c r="AV580" s="64">
        <f t="shared" ref="AV580" si="8602">((AS580/AS528)-1)*100</f>
        <v>-4.483527679586496</v>
      </c>
      <c r="AW580" s="64">
        <f t="shared" ref="AW580" si="8603">((AT580/AT528)-1)*100</f>
        <v>9.8776794144166402</v>
      </c>
      <c r="AX580" s="64">
        <f t="shared" ref="AX580" si="8604">((AT580/AU580)-1)*100</f>
        <v>-0.17665863861912046</v>
      </c>
      <c r="AZ580" s="71">
        <f t="shared" ref="AZ580" si="8605">+E580/1000</f>
        <v>344.6</v>
      </c>
      <c r="BA580" s="53">
        <f t="shared" ref="BA580" si="8606">+O580/1000</f>
        <v>24.2</v>
      </c>
      <c r="BB580" s="53">
        <f t="shared" ref="BB580" si="8607">+Y580/1000</f>
        <v>396.75</v>
      </c>
      <c r="BC580" s="53">
        <f t="shared" ref="BC580" si="8608">+AI580/1000</f>
        <v>3.2</v>
      </c>
      <c r="BD580" s="53">
        <f t="shared" ref="BD580" si="8609">+AS580/1000</f>
        <v>768.75</v>
      </c>
      <c r="BE580" s="64">
        <f t="shared" ref="BE580" si="8610">BE579+AZ580</f>
        <v>8763.6919999999991</v>
      </c>
      <c r="BF580" s="64">
        <f t="shared" ref="BF580" si="8611">BF579+BA580</f>
        <v>4045.0419999999999</v>
      </c>
      <c r="BG580" s="64">
        <f t="shared" ref="BG580" si="8612">BG579+BB580</f>
        <v>8796.4299999999985</v>
      </c>
      <c r="BH580" s="64">
        <f t="shared" ref="BH580" si="8613">BH579+BC580</f>
        <v>226.82799999999997</v>
      </c>
      <c r="BI580" s="64">
        <f t="shared" ref="BI580" si="8614">BI579+BD580</f>
        <v>21831.991999999995</v>
      </c>
      <c r="BJ580" s="64">
        <v>49</v>
      </c>
    </row>
    <row r="581" spans="1:62" x14ac:dyDescent="0.3">
      <c r="A581" s="48">
        <f t="shared" si="8252"/>
        <v>41622</v>
      </c>
      <c r="B581" s="64">
        <v>114748</v>
      </c>
      <c r="C581" s="64">
        <v>110707</v>
      </c>
      <c r="D581" s="53">
        <v>0</v>
      </c>
      <c r="E581" s="64">
        <f t="shared" ref="E581:E585" si="8615">SUM(B581:D581)</f>
        <v>225455</v>
      </c>
      <c r="F581" s="64">
        <f t="shared" ref="F581" si="8616">AVERAGE(E578,E579,E580,E581)</f>
        <v>344750.75</v>
      </c>
      <c r="G581" s="71">
        <f t="shared" ref="G581" si="8617">AVERAGE(F529,F477,F425)</f>
        <v>434072.08333333331</v>
      </c>
      <c r="H581" s="64">
        <f t="shared" ref="H581" si="8618">((E581/E529)-1)*100</f>
        <v>37.321841880862472</v>
      </c>
      <c r="I581" s="64">
        <f t="shared" ref="I581" si="8619">((F581/F529)-1)*100</f>
        <v>26.616491509643581</v>
      </c>
      <c r="J581" s="64">
        <f t="shared" ref="J581" si="8620">((F581/G581)-1)*100</f>
        <v>-20.577534645263405</v>
      </c>
      <c r="L581" s="53">
        <v>1600</v>
      </c>
      <c r="M581" s="53">
        <v>12150</v>
      </c>
      <c r="N581" s="53">
        <v>5600</v>
      </c>
      <c r="O581" s="53">
        <f t="shared" ref="O581" si="8621">SUM(L581:N581)</f>
        <v>19350</v>
      </c>
      <c r="P581" s="71">
        <f t="shared" ref="P581" si="8622">AVERAGE(O578,O579,O580,O581)</f>
        <v>19462.5</v>
      </c>
      <c r="Q581" s="71">
        <f t="shared" ref="Q581" si="8623">AVERAGE(P529,P477,P425)</f>
        <v>18000</v>
      </c>
      <c r="R581" s="64">
        <f t="shared" ref="R581" si="8624">((O581/O529)-1)*100</f>
        <v>21.316614420062695</v>
      </c>
      <c r="S581" s="73">
        <f t="shared" ref="S581" si="8625">((P581/P529)-1)*100</f>
        <v>14.569536423841068</v>
      </c>
      <c r="T581" s="64">
        <f t="shared" ref="T581" si="8626">((P581/Q581)-1)*100</f>
        <v>8.1250000000000036</v>
      </c>
      <c r="V581" s="64">
        <v>357676</v>
      </c>
      <c r="W581" s="64">
        <v>108359</v>
      </c>
      <c r="X581" s="64">
        <v>47600</v>
      </c>
      <c r="Y581" s="64">
        <f t="shared" ref="Y581" si="8627">SUM(V581:X581)</f>
        <v>513635</v>
      </c>
      <c r="Z581" s="71">
        <f t="shared" ref="Z581" si="8628">AVERAGE(Y578,Y579,Y580,Y581)</f>
        <v>459659.25</v>
      </c>
      <c r="AA581" s="71">
        <f t="shared" ref="AA581" si="8629">AVERAGE(Z529,Z477,Z425)</f>
        <v>392005.75</v>
      </c>
      <c r="AB581" s="64">
        <f t="shared" ref="AB581" si="8630">((Y581/Y529)-1)*100</f>
        <v>43.377344796784278</v>
      </c>
      <c r="AC581" s="64">
        <f t="shared" ref="AC581" si="8631">((Z581/Z529)-1)*100</f>
        <v>-0.66511863110146896</v>
      </c>
      <c r="AD581" s="64">
        <f t="shared" ref="AD581" si="8632">((Z581/AA581)-1)*100</f>
        <v>17.258292767389261</v>
      </c>
      <c r="AF581" s="53">
        <v>0</v>
      </c>
      <c r="AG581" s="53">
        <v>0</v>
      </c>
      <c r="AH581" s="53">
        <v>1400</v>
      </c>
      <c r="AI581" s="53">
        <f t="shared" si="8555"/>
        <v>1400</v>
      </c>
      <c r="AJ581" s="71">
        <f t="shared" ref="AJ581" si="8633">AVERAGE(AI578,AI579,AI580,AI581)</f>
        <v>3650</v>
      </c>
      <c r="AK581" s="71">
        <f t="shared" ref="AK581" si="8634">AVERAGE(AJ529,AJ477,AJ425)</f>
        <v>7981.833333333333</v>
      </c>
      <c r="AL581" s="64">
        <f t="shared" ref="AL581:AL588" si="8635">((AI581/AI529)-1)*100</f>
        <v>-19.999999999999996</v>
      </c>
      <c r="AM581" s="64">
        <f t="shared" ref="AM581" si="8636">((AJ581/AJ529)-1)*100</f>
        <v>201.03092783505156</v>
      </c>
      <c r="AN581" s="64">
        <f t="shared" ref="AN581" si="8637">((AJ581/AK581)-1)*100</f>
        <v>-54.271157419974529</v>
      </c>
      <c r="AP581" s="60">
        <f t="shared" ref="AP581" si="8638">SUM(B581,L581,V581,AF581)</f>
        <v>474024</v>
      </c>
      <c r="AQ581" s="60">
        <f t="shared" ref="AQ581" si="8639">SUM(C581,M581,W581,AG581)</f>
        <v>231216</v>
      </c>
      <c r="AR581" s="60">
        <f t="shared" ref="AR581" si="8640">SUM(D581,N581,X581,AH581)</f>
        <v>54600</v>
      </c>
      <c r="AS581" s="60">
        <f t="shared" ref="AS581" si="8641">SUM(E581,O581,Y581,AI581)</f>
        <v>759840</v>
      </c>
      <c r="AT581" s="64">
        <f t="shared" ref="AT581" si="8642">AVERAGE(AS578,AS579,AS580,AS581)</f>
        <v>827522.5</v>
      </c>
      <c r="AU581" s="71">
        <f t="shared" ref="AU581" si="8643">AVERAGE(AT529,AT477,AT425)</f>
        <v>852059.66666666663</v>
      </c>
      <c r="AV581" s="64">
        <f t="shared" ref="AV581" si="8644">((AS581/AS529)-1)*100</f>
        <v>40.67984892246168</v>
      </c>
      <c r="AW581" s="64">
        <f t="shared" ref="AW581" si="8645">((AT581/AT529)-1)*100</f>
        <v>9.8651582911420519</v>
      </c>
      <c r="AX581" s="64">
        <f t="shared" ref="AX581" si="8646">((AT581/AU581)-1)*100</f>
        <v>-2.8797474668245004</v>
      </c>
      <c r="AZ581" s="71">
        <f t="shared" ref="AZ581" si="8647">+E581/1000</f>
        <v>225.45500000000001</v>
      </c>
      <c r="BA581" s="53">
        <f t="shared" ref="BA581" si="8648">+O581/1000</f>
        <v>19.350000000000001</v>
      </c>
      <c r="BB581" s="53">
        <f t="shared" ref="BB581" si="8649">+Y581/1000</f>
        <v>513.63499999999999</v>
      </c>
      <c r="BC581" s="53">
        <f t="shared" ref="BC581" si="8650">+AI581/1000</f>
        <v>1.4</v>
      </c>
      <c r="BD581" s="53">
        <f t="shared" ref="BD581" si="8651">+AS581/1000</f>
        <v>759.84</v>
      </c>
      <c r="BE581" s="64">
        <f t="shared" ref="BE581" si="8652">BE580+AZ581</f>
        <v>8989.146999999999</v>
      </c>
      <c r="BF581" s="64">
        <f t="shared" ref="BF581" si="8653">BF580+BA581</f>
        <v>4064.3919999999998</v>
      </c>
      <c r="BG581" s="64">
        <f t="shared" ref="BG581" si="8654">BG580+BB581</f>
        <v>9310.0649999999987</v>
      </c>
      <c r="BH581" s="64">
        <f t="shared" ref="BH581" si="8655">BH580+BC581</f>
        <v>228.22799999999998</v>
      </c>
      <c r="BI581" s="64">
        <f t="shared" ref="BI581" si="8656">BI580+BD581</f>
        <v>22591.831999999995</v>
      </c>
      <c r="BJ581" s="64">
        <f>1+BJ580</f>
        <v>50</v>
      </c>
    </row>
    <row r="582" spans="1:62" x14ac:dyDescent="0.3">
      <c r="A582" s="48">
        <f t="shared" si="8252"/>
        <v>41629</v>
      </c>
      <c r="B582" s="64">
        <v>182548</v>
      </c>
      <c r="C582" s="64">
        <v>129400</v>
      </c>
      <c r="D582" s="53">
        <v>0</v>
      </c>
      <c r="E582" s="64">
        <f t="shared" si="8615"/>
        <v>311948</v>
      </c>
      <c r="F582" s="64">
        <f t="shared" ref="F582" si="8657">AVERAGE(E579,E580,E581,E582)</f>
        <v>325150.75</v>
      </c>
      <c r="G582" s="71">
        <f t="shared" ref="G582" si="8658">AVERAGE(F530,F478,F426)</f>
        <v>394044.41666666669</v>
      </c>
      <c r="H582" s="64">
        <f t="shared" ref="H582" si="8659">((E582/E530)-1)*100</f>
        <v>137.42141715503462</v>
      </c>
      <c r="I582" s="64">
        <f t="shared" ref="I582" si="8660">((F582/F530)-1)*100</f>
        <v>42.318163414927731</v>
      </c>
      <c r="J582" s="64">
        <f t="shared" ref="J582" si="8661">((F582/G582)-1)*100</f>
        <v>-17.483731212196261</v>
      </c>
      <c r="L582" s="53">
        <v>6000</v>
      </c>
      <c r="M582" s="53">
        <v>11000</v>
      </c>
      <c r="N582" s="53">
        <v>8400</v>
      </c>
      <c r="O582" s="53">
        <f t="shared" ref="O582" si="8662">SUM(L582:N582)</f>
        <v>25400</v>
      </c>
      <c r="P582" s="71">
        <f t="shared" ref="P582" si="8663">AVERAGE(O579,O580,O581,O582)</f>
        <v>22162.5</v>
      </c>
      <c r="Q582" s="71">
        <f t="shared" ref="Q582" si="8664">AVERAGE(P530,P478,P426)</f>
        <v>20675</v>
      </c>
      <c r="R582" s="64">
        <f t="shared" ref="R582" si="8665">((O582/O530)-1)*100</f>
        <v>-11.343804537521818</v>
      </c>
      <c r="S582" s="73">
        <f t="shared" ref="S582" si="8666">((P582/P530)-1)*100</f>
        <v>9.4444444444444553</v>
      </c>
      <c r="T582" s="64">
        <f t="shared" ref="T582" si="8667">((P582/Q582)-1)*100</f>
        <v>7.1946795646916639</v>
      </c>
      <c r="V582" s="64">
        <v>209800</v>
      </c>
      <c r="W582" s="64">
        <v>105550</v>
      </c>
      <c r="X582" s="64">
        <v>46200</v>
      </c>
      <c r="Y582" s="64">
        <f t="shared" ref="Y582" si="8668">SUM(V582:X582)</f>
        <v>361550</v>
      </c>
      <c r="Z582" s="71">
        <f t="shared" ref="Z582" si="8669">AVERAGE(Y579,Y580,Y581,Y582)</f>
        <v>433359.25</v>
      </c>
      <c r="AA582" s="71">
        <f t="shared" ref="AA582" si="8670">AVERAGE(Z530,Z478,Z426)</f>
        <v>379872.66666666669</v>
      </c>
      <c r="AB582" s="64">
        <f t="shared" ref="AB582" si="8671">((Y582/Y530)-1)*100</f>
        <v>28.944477731176342</v>
      </c>
      <c r="AC582" s="64">
        <f t="shared" ref="AC582" si="8672">((Z582/Z530)-1)*100</f>
        <v>2.3270132472106297</v>
      </c>
      <c r="AD582" s="64">
        <f t="shared" ref="AD582" si="8673">((Z582/AA582)-1)*100</f>
        <v>14.080134746906413</v>
      </c>
      <c r="AF582" s="53">
        <v>3200</v>
      </c>
      <c r="AG582" s="53">
        <v>4950</v>
      </c>
      <c r="AH582" s="53">
        <v>0</v>
      </c>
      <c r="AI582" s="53">
        <f t="shared" si="8555"/>
        <v>8150</v>
      </c>
      <c r="AJ582" s="71">
        <f t="shared" ref="AJ582" si="8674">AVERAGE(AI579,AI580,AI581,AI582)</f>
        <v>4375</v>
      </c>
      <c r="AK582" s="71">
        <f t="shared" ref="AK582" si="8675">AVERAGE(AJ530,AJ478,AJ426)</f>
        <v>6251.833333333333</v>
      </c>
      <c r="AL582" s="64"/>
      <c r="AM582" s="64">
        <f t="shared" ref="AM582" si="8676">((AJ582/AJ530)-1)*100</f>
        <v>422.38805970149258</v>
      </c>
      <c r="AN582" s="64">
        <f t="shared" ref="AN582" si="8677">((AJ582/AK582)-1)*100</f>
        <v>-30.020527311988477</v>
      </c>
      <c r="AP582" s="60">
        <f t="shared" ref="AP582" si="8678">SUM(B582,L582,V582,AF582)</f>
        <v>401548</v>
      </c>
      <c r="AQ582" s="60">
        <f t="shared" ref="AQ582" si="8679">SUM(C582,M582,W582,AG582)</f>
        <v>250900</v>
      </c>
      <c r="AR582" s="60">
        <f t="shared" ref="AR582" si="8680">SUM(D582,N582,X582,AH582)</f>
        <v>54600</v>
      </c>
      <c r="AS582" s="60">
        <f t="shared" ref="AS582" si="8681">SUM(E582,O582,Y582,AI582)</f>
        <v>707048</v>
      </c>
      <c r="AT582" s="64">
        <f t="shared" ref="AT582" si="8682">AVERAGE(AS579,AS580,AS581,AS582)</f>
        <v>785047.5</v>
      </c>
      <c r="AU582" s="71">
        <f t="shared" ref="AU582" si="8683">AVERAGE(AT530,AT478,AT426)</f>
        <v>800843.91666666663</v>
      </c>
      <c r="AV582" s="64">
        <f t="shared" ref="AV582" si="8684">((AS582/AS530)-1)*100</f>
        <v>60.535110981944996</v>
      </c>
      <c r="AW582" s="64">
        <f t="shared" ref="AW582" si="8685">((AT582/AT530)-1)*100</f>
        <v>16.638691170205288</v>
      </c>
      <c r="AX582" s="64">
        <f t="shared" ref="AX582" si="8686">((AT582/AU582)-1)*100</f>
        <v>-1.9724713315443121</v>
      </c>
      <c r="AZ582" s="71">
        <f t="shared" ref="AZ582" si="8687">+E582/1000</f>
        <v>311.94799999999998</v>
      </c>
      <c r="BA582" s="53">
        <f t="shared" ref="BA582" si="8688">+O582/1000</f>
        <v>25.4</v>
      </c>
      <c r="BB582" s="53">
        <f t="shared" ref="BB582" si="8689">+Y582/1000</f>
        <v>361.55</v>
      </c>
      <c r="BC582" s="53">
        <f t="shared" ref="BC582" si="8690">+AI582/1000</f>
        <v>8.15</v>
      </c>
      <c r="BD582" s="53">
        <f t="shared" ref="BD582" si="8691">+AS582/1000</f>
        <v>707.048</v>
      </c>
      <c r="BE582" s="64">
        <f t="shared" ref="BE582" si="8692">BE581+AZ582</f>
        <v>9301.0949999999993</v>
      </c>
      <c r="BF582" s="64">
        <f t="shared" ref="BF582" si="8693">BF581+BA582</f>
        <v>4089.7919999999999</v>
      </c>
      <c r="BG582" s="64">
        <f t="shared" ref="BG582" si="8694">BG581+BB582</f>
        <v>9671.614999999998</v>
      </c>
      <c r="BH582" s="64">
        <f t="shared" ref="BH582" si="8695">BH581+BC582</f>
        <v>236.37799999999999</v>
      </c>
      <c r="BI582" s="64">
        <f t="shared" ref="BI582" si="8696">BI581+BD582</f>
        <v>23298.879999999994</v>
      </c>
      <c r="BJ582" s="64">
        <f>1+BJ581</f>
        <v>51</v>
      </c>
    </row>
    <row r="583" spans="1:62" x14ac:dyDescent="0.3">
      <c r="A583" s="48">
        <f t="shared" si="8252"/>
        <v>41636</v>
      </c>
      <c r="B583" s="64">
        <v>72000</v>
      </c>
      <c r="C583" s="64">
        <v>131350</v>
      </c>
      <c r="D583" s="53">
        <v>0</v>
      </c>
      <c r="E583" s="64">
        <f t="shared" si="8615"/>
        <v>203350</v>
      </c>
      <c r="F583" s="64">
        <f t="shared" ref="F583" si="8697">AVERAGE(E580,E581,E582,E583)</f>
        <v>271338.25</v>
      </c>
      <c r="G583" s="71">
        <f t="shared" ref="G583" si="8698">AVERAGE(F531,F479,F427)</f>
        <v>324395.16666666669</v>
      </c>
      <c r="H583" s="64">
        <f t="shared" ref="H583" si="8699">((E583/E531)-1)*100</f>
        <v>243.7869822485207</v>
      </c>
      <c r="I583" s="64">
        <f t="shared" ref="I583" si="8700">((F583/F531)-1)*100</f>
        <v>61.40998185657773</v>
      </c>
      <c r="J583" s="64">
        <f t="shared" ref="J583" si="8701">((F583/G583)-1)*100</f>
        <v>-16.355643399947905</v>
      </c>
      <c r="L583" s="53">
        <v>4800</v>
      </c>
      <c r="M583" s="53">
        <v>3500</v>
      </c>
      <c r="N583" s="53">
        <v>12600</v>
      </c>
      <c r="O583" s="53">
        <f t="shared" ref="O583" si="8702">SUM(L583:N583)</f>
        <v>20900</v>
      </c>
      <c r="P583" s="71">
        <f t="shared" ref="P583" si="8703">AVERAGE(O580,O581,O582,O583)</f>
        <v>22462.5</v>
      </c>
      <c r="Q583" s="71">
        <f t="shared" ref="Q583" si="8704">AVERAGE(P531,P479,P427)</f>
        <v>22183.333333333332</v>
      </c>
      <c r="R583" s="64">
        <f t="shared" ref="R583" si="8705">((O583/O531)-1)*100</f>
        <v>57.142857142857139</v>
      </c>
      <c r="S583" s="73">
        <f t="shared" ref="S583" si="8706">((P583/P531)-1)*100</f>
        <v>23.251028806584362</v>
      </c>
      <c r="T583" s="64">
        <f t="shared" ref="T583" si="8707">((P583/Q583)-1)*100</f>
        <v>1.2584522915101592</v>
      </c>
      <c r="V583" s="64">
        <v>200500</v>
      </c>
      <c r="W583" s="64">
        <v>149300</v>
      </c>
      <c r="X583" s="64">
        <v>43400</v>
      </c>
      <c r="Y583" s="64">
        <f t="shared" ref="Y583" si="8708">SUM(V583:X583)</f>
        <v>393200</v>
      </c>
      <c r="Z583" s="71">
        <f t="shared" ref="Z583" si="8709">AVERAGE(Y580,Y581,Y582,Y583)</f>
        <v>416283.75</v>
      </c>
      <c r="AA583" s="71">
        <f t="shared" ref="AA583" si="8710">AVERAGE(Z531,Z479,Z427)</f>
        <v>316111.58333333331</v>
      </c>
      <c r="AB583" s="64">
        <f t="shared" ref="AB583" si="8711">((Y583/Y531)-1)*100</f>
        <v>55.307593561765579</v>
      </c>
      <c r="AC583" s="64">
        <f t="shared" ref="AC583" si="8712">((Z583/Z531)-1)*100</f>
        <v>22.082537233987964</v>
      </c>
      <c r="AD583" s="64">
        <f t="shared" ref="AD583" si="8713">((Z583/AA583)-1)*100</f>
        <v>31.688863030696712</v>
      </c>
      <c r="AF583" s="53">
        <v>9600</v>
      </c>
      <c r="AG583" s="53">
        <v>8750</v>
      </c>
      <c r="AH583" s="53">
        <v>0</v>
      </c>
      <c r="AI583" s="53">
        <f t="shared" si="8555"/>
        <v>18350</v>
      </c>
      <c r="AJ583" s="71">
        <f t="shared" ref="AJ583" si="8714">AVERAGE(AI580,AI581,AI582,AI583)</f>
        <v>7775</v>
      </c>
      <c r="AK583" s="71">
        <f t="shared" ref="AK583" si="8715">AVERAGE(AJ531,AJ479,AJ427)</f>
        <v>3704.1666666666665</v>
      </c>
      <c r="AL583" s="64"/>
      <c r="AM583" s="64">
        <f t="shared" ref="AM583" si="8716">((AJ583/AJ531)-1)*100</f>
        <v>1677.1428571428573</v>
      </c>
      <c r="AN583" s="64">
        <f t="shared" ref="AN583" si="8717">((AJ583/AK583)-1)*100</f>
        <v>109.89876265466818</v>
      </c>
      <c r="AP583" s="60">
        <f t="shared" ref="AP583:AP584" si="8718">SUM(B583,L583,V583,AF583)</f>
        <v>286900</v>
      </c>
      <c r="AQ583" s="60">
        <f t="shared" ref="AQ583" si="8719">SUM(C583,M583,W583,AG583)</f>
        <v>292900</v>
      </c>
      <c r="AR583" s="60">
        <f t="shared" ref="AR583" si="8720">SUM(D583,N583,X583,AH583)</f>
        <v>56000</v>
      </c>
      <c r="AS583" s="60">
        <f t="shared" ref="AS583" si="8721">SUM(E583,O583,Y583,AI583)</f>
        <v>635800</v>
      </c>
      <c r="AT583" s="64">
        <f t="shared" ref="AT583" si="8722">AVERAGE(AS580,AS581,AS582,AS583)</f>
        <v>717859.5</v>
      </c>
      <c r="AU583" s="71">
        <f t="shared" ref="AU583" si="8723">AVERAGE(AT531,AT479,AT427)</f>
        <v>666394.25</v>
      </c>
      <c r="AV583" s="64">
        <f t="shared" ref="AV583" si="8724">((AS583/AS531)-1)*100</f>
        <v>95.255278310940497</v>
      </c>
      <c r="AW583" s="64">
        <f t="shared" ref="AW583" si="8725">((AT583/AT531)-1)*100</f>
        <v>36.021870079374253</v>
      </c>
      <c r="AX583" s="64">
        <f t="shared" ref="AX583" si="8726">((AT583/AU583)-1)*100</f>
        <v>7.7229432877009341</v>
      </c>
      <c r="AZ583" s="71">
        <f t="shared" ref="AZ583:AZ587" si="8727">+E583/1000</f>
        <v>203.35</v>
      </c>
      <c r="BA583" s="53">
        <f t="shared" ref="BA583" si="8728">+O583/1000</f>
        <v>20.9</v>
      </c>
      <c r="BB583" s="53">
        <f t="shared" ref="BB583" si="8729">+Y583/1000</f>
        <v>393.2</v>
      </c>
      <c r="BC583" s="53">
        <f t="shared" ref="BC583" si="8730">+AI583/1000</f>
        <v>18.350000000000001</v>
      </c>
      <c r="BD583" s="53">
        <f t="shared" ref="BD583" si="8731">+AS583/1000</f>
        <v>635.79999999999995</v>
      </c>
      <c r="BE583" s="64">
        <f t="shared" ref="BE583" si="8732">BE582+AZ583</f>
        <v>9504.4449999999997</v>
      </c>
      <c r="BF583" s="64">
        <f t="shared" ref="BF583" si="8733">BF582+BA583</f>
        <v>4110.692</v>
      </c>
      <c r="BG583" s="64">
        <f t="shared" ref="BG583" si="8734">BG582+BB583</f>
        <v>10064.814999999999</v>
      </c>
      <c r="BH583" s="64">
        <f t="shared" ref="BH583" si="8735">BH582+BC583</f>
        <v>254.72799999999998</v>
      </c>
      <c r="BI583" s="64">
        <f t="shared" ref="BI583" si="8736">BI582+BD583</f>
        <v>23934.679999999993</v>
      </c>
      <c r="BJ583" s="64">
        <f>1+BJ582</f>
        <v>52</v>
      </c>
    </row>
    <row r="584" spans="1:62" x14ac:dyDescent="0.3">
      <c r="A584" s="48">
        <f t="shared" si="8252"/>
        <v>41643</v>
      </c>
      <c r="B584" s="64">
        <v>71400</v>
      </c>
      <c r="C584" s="64">
        <v>115900</v>
      </c>
      <c r="D584" s="53">
        <v>0</v>
      </c>
      <c r="E584" s="64">
        <f t="shared" si="8615"/>
        <v>187300</v>
      </c>
      <c r="F584" s="64">
        <f t="shared" ref="F584" si="8737">AVERAGE(E581,E582,E583,E584)</f>
        <v>232013.25</v>
      </c>
      <c r="G584" s="71">
        <f t="shared" ref="G584" si="8738">AVERAGE(F532,F480,F428)</f>
        <v>264943.25</v>
      </c>
      <c r="H584" s="64">
        <f t="shared" ref="H584" si="8739">((E584/E532)-1)*100</f>
        <v>207.80608052588332</v>
      </c>
      <c r="I584" s="64">
        <f t="shared" ref="I584" si="8740">((F584/F532)-1)*100</f>
        <v>123.32049955482832</v>
      </c>
      <c r="J584" s="64">
        <f t="shared" ref="J584" si="8741">((F584/G584)-1)*100</f>
        <v>-12.429076792860361</v>
      </c>
      <c r="L584" s="53">
        <v>3000</v>
      </c>
      <c r="M584" s="53">
        <v>10450</v>
      </c>
      <c r="N584" s="53">
        <v>8400</v>
      </c>
      <c r="O584" s="53">
        <f t="shared" ref="O584" si="8742">SUM(L584:N584)</f>
        <v>21850</v>
      </c>
      <c r="P584" s="71">
        <f t="shared" ref="P584" si="8743">AVERAGE(O581,O582,O583,O584)</f>
        <v>21875</v>
      </c>
      <c r="Q584" s="71">
        <f t="shared" ref="Q584" si="8744">AVERAGE(P532,P480,P428)</f>
        <v>22270.833333333332</v>
      </c>
      <c r="R584" s="64">
        <f t="shared" ref="R584" si="8745">((O584/O532)-1)*100</f>
        <v>1.1574074074074181</v>
      </c>
      <c r="S584" s="73">
        <f t="shared" ref="S584" si="8746">((P584/P532)-1)*100</f>
        <v>10.062893081761004</v>
      </c>
      <c r="T584" s="64">
        <f t="shared" ref="T584" si="8747">((P584/Q584)-1)*100</f>
        <v>-1.7773620205799756</v>
      </c>
      <c r="V584" s="64">
        <v>207650</v>
      </c>
      <c r="W584" s="64">
        <v>122500</v>
      </c>
      <c r="X584" s="64">
        <v>33600</v>
      </c>
      <c r="Y584" s="64">
        <f t="shared" ref="Y584" si="8748">SUM(V584:X584)</f>
        <v>363750</v>
      </c>
      <c r="Z584" s="71">
        <f t="shared" ref="Z584" si="8749">AVERAGE(Y581,Y582,Y583,Y584)</f>
        <v>408033.75</v>
      </c>
      <c r="AA584" s="71">
        <f t="shared" ref="AA584" si="8750">AVERAGE(Z532,Z480,Z428)</f>
        <v>290355.83333333331</v>
      </c>
      <c r="AB584" s="64">
        <f t="shared" ref="AB584" si="8751">((Y584/Y532)-1)*100</f>
        <v>20.427081609005128</v>
      </c>
      <c r="AC584" s="64">
        <f t="shared" ref="AC584" si="8752">((Z584/Z532)-1)*100</f>
        <v>36.71109689016356</v>
      </c>
      <c r="AD584" s="64">
        <f t="shared" ref="AD584" si="8753">((Z584/AA584)-1)*100</f>
        <v>40.528862573795955</v>
      </c>
      <c r="AF584" s="53">
        <v>0</v>
      </c>
      <c r="AG584" s="53">
        <v>3500</v>
      </c>
      <c r="AH584" s="53">
        <v>1400</v>
      </c>
      <c r="AI584" s="53">
        <f t="shared" ref="AI584:AI585" si="8754">SUM(AF584:AH584)</f>
        <v>4900</v>
      </c>
      <c r="AJ584" s="71">
        <f t="shared" ref="AJ584" si="8755">AVERAGE(AI581,AI582,AI583,AI584)</f>
        <v>8200</v>
      </c>
      <c r="AK584" s="71">
        <f t="shared" ref="AK584" si="8756">AVERAGE(AJ532,AJ480,AJ428)</f>
        <v>3804.1666666666665</v>
      </c>
      <c r="AL584" s="64">
        <f t="shared" si="8635"/>
        <v>39.999999999999993</v>
      </c>
      <c r="AM584" s="64">
        <f t="shared" ref="AM584" si="8757">((AJ584/AJ532)-1)*100</f>
        <v>524.76190476190482</v>
      </c>
      <c r="AN584" s="64">
        <f t="shared" ref="AN584" si="8758">((AJ584/AK584)-1)*100</f>
        <v>115.55312157721795</v>
      </c>
      <c r="AP584" s="60">
        <f t="shared" si="8718"/>
        <v>282050</v>
      </c>
      <c r="AQ584" s="60">
        <f t="shared" ref="AQ584" si="8759">SUM(C584,M584,W584,AG584)</f>
        <v>252350</v>
      </c>
      <c r="AR584" s="60">
        <f t="shared" ref="AR584" si="8760">SUM(D584,N584,X584,AH584)</f>
        <v>43400</v>
      </c>
      <c r="AS584" s="60">
        <f t="shared" ref="AS584" si="8761">SUM(E584,O584,Y584,AI584)</f>
        <v>577800</v>
      </c>
      <c r="AT584" s="64">
        <f t="shared" ref="AT584" si="8762">AVERAGE(AS581,AS582,AS583,AS584)</f>
        <v>670122</v>
      </c>
      <c r="AU584" s="71">
        <f t="shared" ref="AU584" si="8763">AVERAGE(AT532,AT480,AT428)</f>
        <v>581374.08333333337</v>
      </c>
      <c r="AV584" s="64">
        <f t="shared" ref="AV584" si="8764">((AS584/AS532)-1)*100</f>
        <v>48.917525773195877</v>
      </c>
      <c r="AW584" s="64">
        <f t="shared" ref="AW584" si="8765">((AT584/AT532)-1)*100</f>
        <v>58.21770688658858</v>
      </c>
      <c r="AX584" s="64">
        <f t="shared" ref="AX584" si="8766">((AT584/AU584)-1)*100</f>
        <v>15.265200016799273</v>
      </c>
      <c r="AZ584" s="71">
        <f t="shared" si="8727"/>
        <v>187.3</v>
      </c>
      <c r="BA584" s="53">
        <f t="shared" ref="BA584" si="8767">+O584/1000</f>
        <v>21.85</v>
      </c>
      <c r="BB584" s="53">
        <f t="shared" ref="BB584" si="8768">+Y584/1000</f>
        <v>363.75</v>
      </c>
      <c r="BC584" s="53">
        <f t="shared" ref="BC584" si="8769">+AI584/1000</f>
        <v>4.9000000000000004</v>
      </c>
      <c r="BD584" s="53">
        <f t="shared" ref="BD584:BD585" si="8770">+AS584/1000</f>
        <v>577.79999999999995</v>
      </c>
      <c r="BE584" s="64">
        <f>AZ584</f>
        <v>187.3</v>
      </c>
      <c r="BF584" s="64">
        <f t="shared" ref="BF584:BI584" si="8771">BA584</f>
        <v>21.85</v>
      </c>
      <c r="BG584" s="64">
        <f t="shared" si="8771"/>
        <v>363.75</v>
      </c>
      <c r="BH584" s="64">
        <f t="shared" si="8771"/>
        <v>4.9000000000000004</v>
      </c>
      <c r="BI584" s="64">
        <f t="shared" si="8771"/>
        <v>577.79999999999995</v>
      </c>
      <c r="BJ584" s="64">
        <v>1</v>
      </c>
    </row>
    <row r="585" spans="1:62" x14ac:dyDescent="0.3">
      <c r="A585" s="48">
        <f t="shared" si="8252"/>
        <v>41650</v>
      </c>
      <c r="B585" s="64">
        <v>38200</v>
      </c>
      <c r="C585" s="64">
        <v>116650</v>
      </c>
      <c r="D585" s="53">
        <v>0</v>
      </c>
      <c r="E585" s="64">
        <f t="shared" si="8615"/>
        <v>154850</v>
      </c>
      <c r="F585" s="64">
        <f t="shared" ref="F585" si="8772">AVERAGE(E582,E583,E584,E585)</f>
        <v>214362</v>
      </c>
      <c r="G585" s="71">
        <f t="shared" ref="G585" si="8773">AVERAGE(F533,F481,F429)</f>
        <v>238467.66666666666</v>
      </c>
      <c r="H585" s="64">
        <f t="shared" ref="H585" si="8774">((E585/E533)-1)*100</f>
        <v>222.01380801863252</v>
      </c>
      <c r="I585" s="64">
        <f t="shared" ref="I585" si="8775">((F585/F533)-1)*100</f>
        <v>186.31418668483158</v>
      </c>
      <c r="J585" s="64">
        <f t="shared" ref="J585" si="8776">((F585/G585)-1)*100</f>
        <v>-10.108568177656508</v>
      </c>
      <c r="L585" s="53">
        <v>4400</v>
      </c>
      <c r="M585" s="53">
        <v>24650</v>
      </c>
      <c r="N585" s="53">
        <v>4200</v>
      </c>
      <c r="O585" s="53">
        <f t="shared" ref="O585" si="8777">SUM(L585:N585)</f>
        <v>33250</v>
      </c>
      <c r="P585" s="71">
        <f t="shared" ref="P585" si="8778">AVERAGE(O582,O583,O584,O585)</f>
        <v>25350</v>
      </c>
      <c r="Q585" s="71">
        <f t="shared" ref="Q585" si="8779">AVERAGE(P533,P481,P429)</f>
        <v>25590.5</v>
      </c>
      <c r="R585" s="64">
        <f t="shared" ref="R585" si="8780">((O585/O533)-1)*100</f>
        <v>-39.324817518248182</v>
      </c>
      <c r="S585" s="73">
        <f t="shared" ref="S585" si="8781">((P585/P533)-1)*100</f>
        <v>-14.321926489226867</v>
      </c>
      <c r="T585" s="64">
        <f t="shared" ref="T585" si="8782">((P585/Q585)-1)*100</f>
        <v>-0.93980187960376327</v>
      </c>
      <c r="V585" s="64">
        <v>74576</v>
      </c>
      <c r="W585" s="64">
        <v>165900</v>
      </c>
      <c r="X585" s="64">
        <v>21000</v>
      </c>
      <c r="Y585" s="64">
        <f t="shared" ref="Y585" si="8783">SUM(V585:X585)</f>
        <v>261476</v>
      </c>
      <c r="Z585" s="71">
        <f t="shared" ref="Z585" si="8784">AVERAGE(Y582,Y583,Y584,Y585)</f>
        <v>344994</v>
      </c>
      <c r="AA585" s="71">
        <f t="shared" ref="AA585" si="8785">AVERAGE(Z533,Z481,Z429)</f>
        <v>266035.66666666669</v>
      </c>
      <c r="AB585" s="64">
        <f t="shared" ref="AB585" si="8786">((Y585/Y533)-1)*100</f>
        <v>-11.714814364625958</v>
      </c>
      <c r="AC585" s="64">
        <f t="shared" ref="AC585" si="8787">((Z585/Z533)-1)*100</f>
        <v>21.928734066155432</v>
      </c>
      <c r="AD585" s="64">
        <f t="shared" ref="AD585" si="8788">((Z585/AA585)-1)*100</f>
        <v>29.679604363825884</v>
      </c>
      <c r="AF585" s="53">
        <v>4500</v>
      </c>
      <c r="AG585" s="53">
        <v>3400</v>
      </c>
      <c r="AH585" s="53">
        <v>0</v>
      </c>
      <c r="AI585" s="53">
        <f t="shared" si="8754"/>
        <v>7900</v>
      </c>
      <c r="AJ585" s="71">
        <f t="shared" ref="AJ585" si="8789">AVERAGE(AI582,AI583,AI584,AI585)</f>
        <v>9825</v>
      </c>
      <c r="AK585" s="71">
        <f t="shared" ref="AK585" si="8790">AVERAGE(AJ533,AJ481,AJ429)</f>
        <v>2875</v>
      </c>
      <c r="AL585" s="64">
        <f t="shared" si="8635"/>
        <v>351.42857142857144</v>
      </c>
      <c r="AM585" s="64">
        <f t="shared" ref="AM585" si="8791">((AJ585/AJ533)-1)*100</f>
        <v>648.57142857142856</v>
      </c>
      <c r="AN585" s="64">
        <f t="shared" ref="AN585" si="8792">((AJ585/AK585)-1)*100</f>
        <v>241.7391304347826</v>
      </c>
      <c r="AP585" s="60">
        <f t="shared" ref="AP585" si="8793">SUM(B585,L585,V585,AF585)</f>
        <v>121676</v>
      </c>
      <c r="AQ585" s="60">
        <f t="shared" ref="AQ585" si="8794">SUM(C585,M585,W585,AG585)</f>
        <v>310600</v>
      </c>
      <c r="AR585" s="60">
        <f t="shared" ref="AR585" si="8795">SUM(D585,N585,X585,AH585)</f>
        <v>25200</v>
      </c>
      <c r="AS585" s="60">
        <f t="shared" ref="AS585" si="8796">SUM(E585,O585,Y585,AI585)</f>
        <v>457476</v>
      </c>
      <c r="AT585" s="64">
        <f t="shared" ref="AT585" si="8797">AVERAGE(AS582,AS583,AS584,AS585)</f>
        <v>594531</v>
      </c>
      <c r="AU585" s="71">
        <f t="shared" ref="AU585" si="8798">AVERAGE(AT533,AT481,AT429)</f>
        <v>532968.83333333337</v>
      </c>
      <c r="AV585" s="64">
        <f t="shared" ref="AV585" si="8799">((AS585/AS533)-1)*100</f>
        <v>14.13787081160649</v>
      </c>
      <c r="AW585" s="64">
        <f t="shared" ref="AW585" si="8800">((AT585/AT533)-1)*100</f>
        <v>52.947100941752566</v>
      </c>
      <c r="AX585" s="64">
        <f t="shared" ref="AX585" si="8801">((AT585/AU585)-1)*100</f>
        <v>11.550800500216862</v>
      </c>
      <c r="AZ585" s="71">
        <f t="shared" si="8727"/>
        <v>154.85</v>
      </c>
      <c r="BA585" s="53">
        <f t="shared" ref="BA585" si="8802">+O585/1000</f>
        <v>33.25</v>
      </c>
      <c r="BB585" s="53">
        <f t="shared" ref="BB585" si="8803">+Y585/1000</f>
        <v>261.476</v>
      </c>
      <c r="BC585" s="53">
        <f t="shared" ref="BC585" si="8804">+AI585/1000</f>
        <v>7.9</v>
      </c>
      <c r="BD585" s="53">
        <f t="shared" si="8770"/>
        <v>457.476</v>
      </c>
      <c r="BE585" s="64">
        <f t="shared" ref="BE585:BE590" si="8805">BE584+AZ585</f>
        <v>342.15</v>
      </c>
      <c r="BF585" s="64">
        <f t="shared" ref="BF585:BI585" si="8806">BF584+BA585</f>
        <v>55.1</v>
      </c>
      <c r="BG585" s="64">
        <f t="shared" si="8806"/>
        <v>625.226</v>
      </c>
      <c r="BH585" s="64">
        <f t="shared" si="8806"/>
        <v>12.8</v>
      </c>
      <c r="BI585" s="64">
        <f t="shared" si="8806"/>
        <v>1035.2759999999998</v>
      </c>
      <c r="BJ585" s="64">
        <f t="shared" ref="BJ585:BJ590" si="8807">BJ584+1</f>
        <v>2</v>
      </c>
    </row>
    <row r="586" spans="1:62" x14ac:dyDescent="0.3">
      <c r="A586" s="48">
        <f t="shared" si="8252"/>
        <v>41657</v>
      </c>
      <c r="B586" s="64">
        <v>26500</v>
      </c>
      <c r="C586" s="64">
        <v>145844</v>
      </c>
      <c r="D586" s="53">
        <v>1400</v>
      </c>
      <c r="E586" s="64">
        <f t="shared" ref="E586:E588" si="8808">SUM(B586:D586)</f>
        <v>173744</v>
      </c>
      <c r="F586" s="64">
        <f t="shared" ref="F586" si="8809">AVERAGE(E583,E584,E585,E586)</f>
        <v>179811</v>
      </c>
      <c r="G586" s="71">
        <f t="shared" ref="G586" si="8810">AVERAGE(F534,F482,F430)</f>
        <v>223212.66666666666</v>
      </c>
      <c r="H586" s="64">
        <f t="shared" ref="H586" si="8811">((E586/E534)-1)*100</f>
        <v>34.633087950406825</v>
      </c>
      <c r="I586" s="64">
        <f t="shared" ref="I586" si="8812">((F586/F534)-1)*100</f>
        <v>142.05722593542393</v>
      </c>
      <c r="J586" s="64">
        <f t="shared" ref="J586" si="8813">((F586/G586)-1)*100</f>
        <v>-19.444087701116118</v>
      </c>
      <c r="L586" s="53">
        <v>0</v>
      </c>
      <c r="M586" s="53">
        <v>3490</v>
      </c>
      <c r="N586" s="53">
        <v>14000</v>
      </c>
      <c r="O586" s="53">
        <f t="shared" ref="O586" si="8814">SUM(L586:N586)</f>
        <v>17490</v>
      </c>
      <c r="P586" s="71">
        <f t="shared" ref="P586" si="8815">AVERAGE(O583,O584,O585,O586)</f>
        <v>23372.5</v>
      </c>
      <c r="Q586" s="71">
        <f t="shared" ref="Q586" si="8816">AVERAGE(P534,P482,P430)</f>
        <v>27473.833333333332</v>
      </c>
      <c r="R586" s="64">
        <f t="shared" ref="R586" si="8817">((O586/O534)-1)*100</f>
        <v>-67.641073080481036</v>
      </c>
      <c r="S586" s="73">
        <f t="shared" ref="S586" si="8818">((P586/P534)-1)*100</f>
        <v>-34.963478260869564</v>
      </c>
      <c r="T586" s="64">
        <f t="shared" ref="T586" si="8819">((P586/Q586)-1)*100</f>
        <v>-14.928143748900469</v>
      </c>
      <c r="V586" s="64">
        <v>96800</v>
      </c>
      <c r="W586" s="64">
        <v>147393</v>
      </c>
      <c r="X586" s="64">
        <v>44800</v>
      </c>
      <c r="Y586" s="64">
        <f t="shared" ref="Y586" si="8820">SUM(V586:X586)</f>
        <v>288993</v>
      </c>
      <c r="Z586" s="71">
        <f t="shared" ref="Z586" si="8821">AVERAGE(Y583,Y584,Y585,Y586)</f>
        <v>326854.75</v>
      </c>
      <c r="AA586" s="71">
        <f t="shared" ref="AA586" si="8822">AVERAGE(Z534,Z482,Z430)</f>
        <v>258009.58333333334</v>
      </c>
      <c r="AB586" s="64">
        <f t="shared" ref="AB586" si="8823">((Y586/Y534)-1)*100</f>
        <v>-13.591568246374642</v>
      </c>
      <c r="AC586" s="64">
        <f t="shared" ref="AC586" si="8824">((Z586/Z534)-1)*100</f>
        <v>10.251912767835991</v>
      </c>
      <c r="AD586" s="64">
        <f t="shared" ref="AD586" si="8825">((Z586/AA586)-1)*100</f>
        <v>26.683181987749151</v>
      </c>
      <c r="AF586" s="53">
        <v>0</v>
      </c>
      <c r="AG586" s="53">
        <v>14000</v>
      </c>
      <c r="AH586" s="53">
        <v>0</v>
      </c>
      <c r="AI586" s="53">
        <f t="shared" ref="AI586:AI589" si="8826">SUM(AF586:AH586)</f>
        <v>14000</v>
      </c>
      <c r="AJ586" s="71">
        <f t="shared" ref="AJ586" si="8827">AVERAGE(AI583,AI584,AI585,AI586)</f>
        <v>11287.5</v>
      </c>
      <c r="AK586" s="71">
        <f t="shared" ref="AK586" si="8828">AVERAGE(AJ534,AJ482,AJ430)</f>
        <v>3358.3333333333335</v>
      </c>
      <c r="AL586" s="64">
        <f t="shared" si="8635"/>
        <v>2.1897810218978186</v>
      </c>
      <c r="AM586" s="64">
        <f t="shared" ref="AM586" si="8829">((AJ586/AJ534)-1)*100</f>
        <v>138.25857519788917</v>
      </c>
      <c r="AN586" s="64">
        <f t="shared" ref="AN586" si="8830">((AJ586/AK586)-1)*100</f>
        <v>236.10421836228289</v>
      </c>
      <c r="AP586" s="60">
        <f t="shared" ref="AP586:AP587" si="8831">SUM(B586,L586,V586,AF586)</f>
        <v>123300</v>
      </c>
      <c r="AQ586" s="60">
        <f t="shared" ref="AQ586:AQ587" si="8832">SUM(C586,M586,W586,AG586)</f>
        <v>310727</v>
      </c>
      <c r="AR586" s="60">
        <f t="shared" ref="AR586:AR587" si="8833">SUM(D586,N586,X586,AH586)</f>
        <v>60200</v>
      </c>
      <c r="AS586" s="60">
        <f t="shared" ref="AS586:AS587" si="8834">SUM(E586,O586,Y586,AI586)</f>
        <v>494227</v>
      </c>
      <c r="AT586" s="64">
        <f t="shared" ref="AT586" si="8835">AVERAGE(AS583,AS584,AS585,AS586)</f>
        <v>541325.75</v>
      </c>
      <c r="AU586" s="71">
        <f t="shared" ref="AU586" si="8836">AVERAGE(AT534,AT482,AT430)</f>
        <v>512054.41666666669</v>
      </c>
      <c r="AV586" s="64">
        <f t="shared" ref="AV586" si="8837">((AS586/AS534)-1)*100</f>
        <v>-6.9690352941176421</v>
      </c>
      <c r="AW586" s="64">
        <f t="shared" ref="AW586" si="8838">((AT586/AT534)-1)*100</f>
        <v>31.574572290565929</v>
      </c>
      <c r="AX586" s="64">
        <f t="shared" ref="AX586" si="8839">((AT586/AU586)-1)*100</f>
        <v>5.7164497328002106</v>
      </c>
      <c r="AZ586" s="71">
        <f t="shared" si="8727"/>
        <v>173.744</v>
      </c>
      <c r="BA586" s="53">
        <f t="shared" ref="BA586" si="8840">+O586/1000</f>
        <v>17.489999999999998</v>
      </c>
      <c r="BB586" s="53">
        <f t="shared" ref="BB586" si="8841">+Y586/1000</f>
        <v>288.99299999999999</v>
      </c>
      <c r="BC586" s="53">
        <f t="shared" ref="BC586" si="8842">+AI586/1000</f>
        <v>14</v>
      </c>
      <c r="BD586" s="53">
        <f t="shared" ref="BD586" si="8843">+AS586/1000</f>
        <v>494.22699999999998</v>
      </c>
      <c r="BE586" s="64">
        <f t="shared" si="8805"/>
        <v>515.89400000000001</v>
      </c>
      <c r="BF586" s="64">
        <f t="shared" ref="BF586" si="8844">BF585+BA586</f>
        <v>72.59</v>
      </c>
      <c r="BG586" s="64">
        <f t="shared" ref="BG586" si="8845">BG585+BB586</f>
        <v>914.21900000000005</v>
      </c>
      <c r="BH586" s="64">
        <f t="shared" ref="BH586" si="8846">BH585+BC586</f>
        <v>26.8</v>
      </c>
      <c r="BI586" s="64">
        <f t="shared" ref="BI586" si="8847">BI585+BD586</f>
        <v>1529.5029999999997</v>
      </c>
      <c r="BJ586" s="64">
        <f t="shared" si="8807"/>
        <v>3</v>
      </c>
    </row>
    <row r="587" spans="1:62" x14ac:dyDescent="0.3">
      <c r="A587" s="48">
        <f t="shared" si="8252"/>
        <v>41664</v>
      </c>
      <c r="B587" s="64">
        <v>51548</v>
      </c>
      <c r="C587" s="64">
        <v>168550</v>
      </c>
      <c r="D587" s="53">
        <v>0</v>
      </c>
      <c r="E587" s="64">
        <f t="shared" si="8808"/>
        <v>220098</v>
      </c>
      <c r="F587" s="64">
        <f t="shared" ref="F587" si="8848">AVERAGE(E584,E585,E586,E587)</f>
        <v>183998</v>
      </c>
      <c r="G587" s="71">
        <f t="shared" ref="G587" si="8849">AVERAGE(F535,F483,F431)</f>
        <v>231456.91666666666</v>
      </c>
      <c r="H587" s="64">
        <f t="shared" ref="H587" si="8850">((E587/E535)-1)*100</f>
        <v>266.2196339434276</v>
      </c>
      <c r="I587" s="64">
        <f t="shared" ref="I587" si="8851">((F587/F535)-1)*100</f>
        <v>146.90426988003543</v>
      </c>
      <c r="J587" s="64">
        <f t="shared" ref="J587" si="8852">((F587/G587)-1)*100</f>
        <v>-20.504427929891921</v>
      </c>
      <c r="L587" s="53">
        <v>6400</v>
      </c>
      <c r="M587" s="53">
        <v>0</v>
      </c>
      <c r="N587" s="53">
        <v>7000</v>
      </c>
      <c r="O587" s="53">
        <f t="shared" ref="O587" si="8853">SUM(L587:N587)</f>
        <v>13400</v>
      </c>
      <c r="P587" s="71">
        <f t="shared" ref="P587" si="8854">AVERAGE(O584,O585,O586,O587)</f>
        <v>21497.5</v>
      </c>
      <c r="Q587" s="71">
        <f t="shared" ref="Q587" si="8855">AVERAGE(P535,P483,P431)</f>
        <v>30232.166666666668</v>
      </c>
      <c r="R587" s="64">
        <f t="shared" ref="R587" si="8856">((O587/O535)-1)*100</f>
        <v>-76.262178919397698</v>
      </c>
      <c r="S587" s="73">
        <f t="shared" ref="S587" si="8857">((P587/P535)-1)*100</f>
        <v>-53.991439272338148</v>
      </c>
      <c r="T587" s="64">
        <f t="shared" ref="T587" si="8858">((P587/Q587)-1)*100</f>
        <v>-28.891963857480718</v>
      </c>
      <c r="V587" s="64">
        <v>217800</v>
      </c>
      <c r="W587" s="64">
        <v>229275</v>
      </c>
      <c r="X587" s="64">
        <v>44800</v>
      </c>
      <c r="Y587" s="64">
        <f t="shared" ref="Y587" si="8859">SUM(V587:X587)</f>
        <v>491875</v>
      </c>
      <c r="Z587" s="71">
        <f t="shared" ref="Z587" si="8860">AVERAGE(Y584,Y585,Y586,Y587)</f>
        <v>351523.5</v>
      </c>
      <c r="AA587" s="71">
        <f t="shared" ref="AA587" si="8861">AVERAGE(Z535,Z483,Z431)</f>
        <v>276795.08333333331</v>
      </c>
      <c r="AB587" s="64">
        <f t="shared" ref="AB587" si="8862">((Y587/Y535)-1)*100</f>
        <v>28.790735183992378</v>
      </c>
      <c r="AC587" s="64">
        <f t="shared" ref="AC587" si="8863">((Z587/Z535)-1)*100</f>
        <v>6.9606493279273485</v>
      </c>
      <c r="AD587" s="64">
        <f t="shared" ref="AD587" si="8864">((Z587/AA587)-1)*100</f>
        <v>26.997739904460015</v>
      </c>
      <c r="AF587" s="53">
        <v>0</v>
      </c>
      <c r="AG587" s="53">
        <v>0</v>
      </c>
      <c r="AH587" s="53">
        <v>0</v>
      </c>
      <c r="AI587" s="53">
        <f t="shared" si="8826"/>
        <v>0</v>
      </c>
      <c r="AJ587" s="71">
        <f t="shared" ref="AJ587" si="8865">AVERAGE(AI584,AI585,AI586,AI587)</f>
        <v>6700</v>
      </c>
      <c r="AK587" s="71">
        <f t="shared" ref="AK587" si="8866">AVERAGE(AJ535,AJ483,AJ431)</f>
        <v>3308.3333333333335</v>
      </c>
      <c r="AL587" s="64"/>
      <c r="AM587" s="64">
        <f t="shared" ref="AM587" si="8867">((AJ587/AJ535)-1)*100</f>
        <v>41.424802110817936</v>
      </c>
      <c r="AN587" s="64">
        <f t="shared" ref="AN587" si="8868">((AJ587/AK587)-1)*100</f>
        <v>102.51889168765742</v>
      </c>
      <c r="AP587" s="60">
        <f t="shared" si="8831"/>
        <v>275748</v>
      </c>
      <c r="AQ587" s="60">
        <f t="shared" si="8832"/>
        <v>397825</v>
      </c>
      <c r="AR587" s="60">
        <f t="shared" si="8833"/>
        <v>51800</v>
      </c>
      <c r="AS587" s="60">
        <f t="shared" si="8834"/>
        <v>725373</v>
      </c>
      <c r="AT587" s="64">
        <f t="shared" ref="AT587" si="8869">AVERAGE(AS584,AS585,AS586,AS587)</f>
        <v>563719</v>
      </c>
      <c r="AU587" s="71">
        <f t="shared" ref="AU587" si="8870">AVERAGE(AT535,AT483,AT431)</f>
        <v>541792.5</v>
      </c>
      <c r="AV587" s="64">
        <f t="shared" ref="AV587" si="8871">((AS587/AS535)-1)*100</f>
        <v>45.520474734586777</v>
      </c>
      <c r="AW587" s="64">
        <f t="shared" ref="AW587" si="8872">((AT587/AT535)-1)*100</f>
        <v>23.994571433599042</v>
      </c>
      <c r="AX587" s="64">
        <f t="shared" ref="AX587" si="8873">((AT587/AU587)-1)*100</f>
        <v>4.0470290747841586</v>
      </c>
      <c r="AZ587" s="71">
        <f t="shared" si="8727"/>
        <v>220.09800000000001</v>
      </c>
      <c r="BA587" s="53">
        <f t="shared" ref="BA587" si="8874">+O587/1000</f>
        <v>13.4</v>
      </c>
      <c r="BB587" s="53">
        <f t="shared" ref="BB587" si="8875">+Y587/1000</f>
        <v>491.875</v>
      </c>
      <c r="BC587" s="53">
        <f t="shared" ref="BC587" si="8876">+AI587/1000</f>
        <v>0</v>
      </c>
      <c r="BD587" s="53">
        <f t="shared" ref="BD587" si="8877">+AS587/1000</f>
        <v>725.37300000000005</v>
      </c>
      <c r="BE587" s="64">
        <f t="shared" si="8805"/>
        <v>735.99199999999996</v>
      </c>
      <c r="BF587" s="64">
        <f t="shared" ref="BF587" si="8878">BF586+BA587</f>
        <v>85.990000000000009</v>
      </c>
      <c r="BG587" s="64">
        <f t="shared" ref="BG587" si="8879">BG586+BB587</f>
        <v>1406.0940000000001</v>
      </c>
      <c r="BH587" s="64">
        <f t="shared" ref="BH587" si="8880">BH586+BC587</f>
        <v>26.8</v>
      </c>
      <c r="BI587" s="64">
        <f t="shared" ref="BI587" si="8881">BI586+BD587</f>
        <v>2254.8759999999997</v>
      </c>
      <c r="BJ587" s="64">
        <f t="shared" si="8807"/>
        <v>4</v>
      </c>
    </row>
    <row r="588" spans="1:62" x14ac:dyDescent="0.3">
      <c r="A588" s="48">
        <f t="shared" si="8252"/>
        <v>41671</v>
      </c>
      <c r="B588" s="64">
        <v>68900</v>
      </c>
      <c r="C588" s="64">
        <v>160336</v>
      </c>
      <c r="D588" s="53">
        <v>0</v>
      </c>
      <c r="E588" s="64">
        <f t="shared" si="8808"/>
        <v>229236</v>
      </c>
      <c r="F588" s="64">
        <f t="shared" ref="F588" si="8882">AVERAGE(E585,E586,E587,E588)</f>
        <v>194482</v>
      </c>
      <c r="G588" s="71">
        <f t="shared" ref="G588" si="8883">AVERAGE(F536,F484,F432)</f>
        <v>242991.66666666666</v>
      </c>
      <c r="H588" s="64">
        <f t="shared" ref="H588" si="8884">((E588/E536)-1)*100</f>
        <v>152.60165289256202</v>
      </c>
      <c r="I588" s="64">
        <f t="shared" ref="I588" si="8885">((F588/F536)-1)*100</f>
        <v>137.18184811639449</v>
      </c>
      <c r="J588" s="64">
        <f t="shared" ref="J588" si="8886">((F588/G588)-1)*100</f>
        <v>-19.963510408450212</v>
      </c>
      <c r="L588" s="53">
        <v>1600</v>
      </c>
      <c r="M588" s="53">
        <v>1750</v>
      </c>
      <c r="N588" s="53">
        <v>4200</v>
      </c>
      <c r="O588" s="53">
        <f t="shared" ref="O588" si="8887">SUM(L588:N588)</f>
        <v>7550</v>
      </c>
      <c r="P588" s="71">
        <f t="shared" ref="P588" si="8888">AVERAGE(O585,O586,O587,O588)</f>
        <v>17922.5</v>
      </c>
      <c r="Q588" s="71">
        <f t="shared" ref="Q588" si="8889">AVERAGE(P536,P484,P432)</f>
        <v>32019.666666666668</v>
      </c>
      <c r="R588" s="64">
        <f t="shared" ref="R588" si="8890">((O588/O536)-1)*100</f>
        <v>-81.148564294631711</v>
      </c>
      <c r="S588" s="73">
        <f t="shared" ref="S588" si="8891">((P588/P536)-1)*100</f>
        <v>-65.088872656440216</v>
      </c>
      <c r="T588" s="64">
        <f t="shared" ref="T588" si="8892">((P588/Q588)-1)*100</f>
        <v>-44.026587826231797</v>
      </c>
      <c r="V588" s="64">
        <v>183400</v>
      </c>
      <c r="W588" s="64">
        <v>170100</v>
      </c>
      <c r="X588" s="64">
        <v>26500</v>
      </c>
      <c r="Y588" s="64">
        <f t="shared" ref="Y588" si="8893">SUM(V588:X588)</f>
        <v>380000</v>
      </c>
      <c r="Z588" s="71">
        <f t="shared" ref="Z588" si="8894">AVERAGE(Y585,Y586,Y587,Y588)</f>
        <v>355586</v>
      </c>
      <c r="AA588" s="71">
        <f t="shared" ref="AA588" si="8895">AVERAGE(Z536,Z484,Z432)</f>
        <v>275219.91666666669</v>
      </c>
      <c r="AB588" s="64">
        <f t="shared" ref="AB588" si="8896">((Y588/Y536)-1)*100</f>
        <v>28.160159728030653</v>
      </c>
      <c r="AC588" s="64">
        <f t="shared" ref="AC588" si="8897">((Z588/Z536)-1)*100</f>
        <v>8.655171254747728</v>
      </c>
      <c r="AD588" s="64">
        <f t="shared" ref="AD588" si="8898">((Z588/AA588)-1)*100</f>
        <v>29.200678608833709</v>
      </c>
      <c r="AF588" s="53">
        <v>0</v>
      </c>
      <c r="AG588" s="53">
        <v>3500</v>
      </c>
      <c r="AH588" s="53">
        <v>0</v>
      </c>
      <c r="AI588" s="53">
        <f t="shared" si="8826"/>
        <v>3500</v>
      </c>
      <c r="AJ588" s="71">
        <f t="shared" ref="AJ588" si="8899">AVERAGE(AI585,AI586,AI587,AI588)</f>
        <v>6350</v>
      </c>
      <c r="AK588" s="71">
        <f t="shared" ref="AK588" si="8900">AVERAGE(AJ536,AJ484,AJ432)</f>
        <v>3833.3333333333335</v>
      </c>
      <c r="AL588" s="64">
        <f t="shared" si="8635"/>
        <v>150</v>
      </c>
      <c r="AM588" s="64">
        <f t="shared" ref="AM588" si="8901">((AJ588/AJ536)-1)*100</f>
        <v>50.741839762611285</v>
      </c>
      <c r="AN588" s="64">
        <f t="shared" ref="AN588" si="8902">((AJ588/AK588)-1)*100</f>
        <v>65.65217391304347</v>
      </c>
      <c r="AP588" s="60">
        <f t="shared" ref="AP588:AP591" si="8903">SUM(B588,L588,V588,AF588)</f>
        <v>253900</v>
      </c>
      <c r="AQ588" s="60">
        <f t="shared" ref="AQ588:AQ591" si="8904">SUM(C588,M588,W588,AG588)</f>
        <v>335686</v>
      </c>
      <c r="AR588" s="60">
        <f t="shared" ref="AR588:AR589" si="8905">SUM(D588,N588,X588,AH588)</f>
        <v>30700</v>
      </c>
      <c r="AS588" s="60">
        <f t="shared" ref="AS588:AS589" si="8906">SUM(E588,O588,Y588,AI588)</f>
        <v>620286</v>
      </c>
      <c r="AT588" s="64">
        <f t="shared" ref="AT588" si="8907">AVERAGE(AS585,AS586,AS587,AS588)</f>
        <v>574340.5</v>
      </c>
      <c r="AU588" s="71">
        <f t="shared" ref="AU588" si="8908">AVERAGE(AT536,AT484,AT432)</f>
        <v>554064.58333333337</v>
      </c>
      <c r="AV588" s="64">
        <f t="shared" ref="AV588" si="8909">((AS588/AS536)-1)*100</f>
        <v>44.6886429797716</v>
      </c>
      <c r="AW588" s="64">
        <f t="shared" ref="AW588" si="8910">((AT588/AT536)-1)*100</f>
        <v>23.565106452556762</v>
      </c>
      <c r="AX588" s="64">
        <f t="shared" ref="AX588" si="8911">((AT588/AU588)-1)*100</f>
        <v>3.6594861459441796</v>
      </c>
      <c r="AZ588" s="71">
        <f t="shared" ref="AZ588" si="8912">+E588/1000</f>
        <v>229.23599999999999</v>
      </c>
      <c r="BA588" s="53">
        <f t="shared" ref="BA588" si="8913">+O588/1000</f>
        <v>7.55</v>
      </c>
      <c r="BB588" s="53">
        <f t="shared" ref="BB588" si="8914">+Y588/1000</f>
        <v>380</v>
      </c>
      <c r="BC588" s="53">
        <f t="shared" ref="BC588" si="8915">+AI588/1000</f>
        <v>3.5</v>
      </c>
      <c r="BD588" s="53">
        <f t="shared" ref="BD588" si="8916">+AS588/1000</f>
        <v>620.28599999999994</v>
      </c>
      <c r="BE588" s="64">
        <f t="shared" si="8805"/>
        <v>965.22799999999995</v>
      </c>
      <c r="BF588" s="64">
        <f t="shared" ref="BF588" si="8917">BF587+BA588</f>
        <v>93.54</v>
      </c>
      <c r="BG588" s="64">
        <f t="shared" ref="BG588" si="8918">BG587+BB588</f>
        <v>1786.0940000000001</v>
      </c>
      <c r="BH588" s="64">
        <f t="shared" ref="BH588" si="8919">BH587+BC588</f>
        <v>30.3</v>
      </c>
      <c r="BI588" s="64">
        <f t="shared" ref="BI588" si="8920">BI587+BD588</f>
        <v>2875.1619999999998</v>
      </c>
      <c r="BJ588" s="64">
        <f t="shared" si="8807"/>
        <v>5</v>
      </c>
    </row>
    <row r="589" spans="1:62" x14ac:dyDescent="0.3">
      <c r="A589" s="48">
        <f t="shared" si="8252"/>
        <v>41678</v>
      </c>
      <c r="B589" s="64">
        <v>18800</v>
      </c>
      <c r="C589" s="64">
        <v>226250</v>
      </c>
      <c r="D589" s="53">
        <v>5600</v>
      </c>
      <c r="E589" s="64">
        <f t="shared" ref="E589:E590" si="8921">SUM(B589:D589)</f>
        <v>250650</v>
      </c>
      <c r="F589" s="64">
        <f t="shared" ref="F589" si="8922">AVERAGE(E586,E587,E588,E589)</f>
        <v>218432</v>
      </c>
      <c r="G589" s="71">
        <f t="shared" ref="G589" si="8923">AVERAGE(F537,F485,F433)</f>
        <v>249441.5</v>
      </c>
      <c r="H589" s="64">
        <f t="shared" ref="H589" si="8924">((E589/E537)-1)*100</f>
        <v>274.46217282179992</v>
      </c>
      <c r="I589" s="64">
        <f t="shared" ref="I589" si="8925">((F589/F537)-1)*100</f>
        <v>151.91387283903629</v>
      </c>
      <c r="J589" s="64">
        <f t="shared" ref="J589" si="8926">((F589/G589)-1)*100</f>
        <v>-12.431572132143209</v>
      </c>
      <c r="L589" s="53">
        <v>0</v>
      </c>
      <c r="M589" s="53">
        <v>1750</v>
      </c>
      <c r="N589" s="53">
        <v>11200</v>
      </c>
      <c r="O589" s="53">
        <f t="shared" ref="O589" si="8927">SUM(L589:N589)</f>
        <v>12950</v>
      </c>
      <c r="P589" s="71">
        <f t="shared" ref="P589" si="8928">AVERAGE(O586,O587,O588,O589)</f>
        <v>12847.5</v>
      </c>
      <c r="Q589" s="71">
        <f t="shared" ref="Q589" si="8929">AVERAGE(P537,P485,P433)</f>
        <v>34933.333333333336</v>
      </c>
      <c r="R589" s="64">
        <f t="shared" ref="R589" si="8930">((O589/O537)-1)*100</f>
        <v>-86.067778375470681</v>
      </c>
      <c r="S589" s="73">
        <f t="shared" ref="S589" si="8931">((P589/P537)-1)*100</f>
        <v>-78.895277207392198</v>
      </c>
      <c r="T589" s="64">
        <f t="shared" ref="T589" si="8932">((P589/Q589)-1)*100</f>
        <v>-63.222805343511453</v>
      </c>
      <c r="V589" s="64">
        <v>73300</v>
      </c>
      <c r="W589" s="64">
        <v>263600</v>
      </c>
      <c r="X589" s="64">
        <v>63000</v>
      </c>
      <c r="Y589" s="64">
        <f t="shared" ref="Y589" si="8933">SUM(V589:X589)</f>
        <v>399900</v>
      </c>
      <c r="Z589" s="71">
        <f t="shared" ref="Z589" si="8934">AVERAGE(Y586,Y587,Y588,Y589)</f>
        <v>390192</v>
      </c>
      <c r="AA589" s="71">
        <f t="shared" ref="AA589" si="8935">AVERAGE(Z537,Z485,Z433)</f>
        <v>284676.66666666669</v>
      </c>
      <c r="AB589" s="64">
        <f t="shared" ref="AB589" si="8936">((Y589/Y537)-1)*100</f>
        <v>24.759388151757822</v>
      </c>
      <c r="AC589" s="64">
        <f t="shared" ref="AC589" si="8937">((Z589/Z537)-1)*100</f>
        <v>17.050957358169928</v>
      </c>
      <c r="AD589" s="64">
        <f t="shared" ref="AD589" si="8938">((Z589/AA589)-1)*100</f>
        <v>37.06497429832676</v>
      </c>
      <c r="AF589" s="53">
        <v>0</v>
      </c>
      <c r="AG589" s="53">
        <v>0</v>
      </c>
      <c r="AH589" s="53">
        <v>1400</v>
      </c>
      <c r="AI589" s="53">
        <f t="shared" si="8826"/>
        <v>1400</v>
      </c>
      <c r="AJ589" s="71">
        <f t="shared" ref="AJ589" si="8939">AVERAGE(AI586,AI587,AI588,AI589)</f>
        <v>4725</v>
      </c>
      <c r="AK589" s="71">
        <f t="shared" ref="AK589" si="8940">AVERAGE(AJ537,AJ485,AJ433)</f>
        <v>5691.666666666667</v>
      </c>
      <c r="AL589" s="64">
        <f t="shared" ref="AL589" si="8941">((AI589/AI537)-1)*100</f>
        <v>-90.938511326860834</v>
      </c>
      <c r="AM589" s="64">
        <f t="shared" ref="AM589" si="8942">((AJ589/AJ537)-1)*100</f>
        <v>-38.134206219312603</v>
      </c>
      <c r="AN589" s="64">
        <f t="shared" ref="AN589" si="8943">((AJ589/AK589)-1)*100</f>
        <v>-16.983894582723281</v>
      </c>
      <c r="AP589" s="60">
        <f t="shared" si="8903"/>
        <v>92100</v>
      </c>
      <c r="AQ589" s="60">
        <f t="shared" si="8904"/>
        <v>491600</v>
      </c>
      <c r="AR589" s="60">
        <f t="shared" si="8905"/>
        <v>81200</v>
      </c>
      <c r="AS589" s="60">
        <f t="shared" si="8906"/>
        <v>664900</v>
      </c>
      <c r="AT589" s="64">
        <f t="shared" ref="AT589" si="8944">AVERAGE(AS586,AS587,AS588,AS589)</f>
        <v>626196.5</v>
      </c>
      <c r="AU589" s="71">
        <f t="shared" ref="AU589" si="8945">AVERAGE(AT537,AT485,AT433)</f>
        <v>574743.16666666663</v>
      </c>
      <c r="AV589" s="64">
        <f t="shared" ref="AV589" si="8946">((AS589/AS537)-1)*100</f>
        <v>34.086752051432526</v>
      </c>
      <c r="AW589" s="64">
        <f t="shared" ref="AW589" si="8947">((AT589/AT537)-1)*100</f>
        <v>28.168265282365248</v>
      </c>
      <c r="AX589" s="64">
        <f t="shared" ref="AX589" si="8948">((AT589/AU589)-1)*100</f>
        <v>8.952404537795001</v>
      </c>
      <c r="AZ589" s="71">
        <f t="shared" ref="AZ589" si="8949">+E589/1000</f>
        <v>250.65</v>
      </c>
      <c r="BA589" s="53">
        <f t="shared" ref="BA589" si="8950">+O589/1000</f>
        <v>12.95</v>
      </c>
      <c r="BB589" s="53">
        <f t="shared" ref="BB589" si="8951">+Y589/1000</f>
        <v>399.9</v>
      </c>
      <c r="BC589" s="53">
        <f t="shared" ref="BC589" si="8952">+AI589/1000</f>
        <v>1.4</v>
      </c>
      <c r="BD589" s="53">
        <f t="shared" ref="BD589" si="8953">+AS589/1000</f>
        <v>664.9</v>
      </c>
      <c r="BE589" s="64">
        <f t="shared" si="8805"/>
        <v>1215.8779999999999</v>
      </c>
      <c r="BF589" s="64">
        <f t="shared" ref="BF589" si="8954">BF588+BA589</f>
        <v>106.49000000000001</v>
      </c>
      <c r="BG589" s="64">
        <f t="shared" ref="BG589" si="8955">BG588+BB589</f>
        <v>2185.9940000000001</v>
      </c>
      <c r="BH589" s="64">
        <f t="shared" ref="BH589" si="8956">BH588+BC589</f>
        <v>31.7</v>
      </c>
      <c r="BI589" s="64">
        <f t="shared" ref="BI589" si="8957">BI588+BD589</f>
        <v>3540.0619999999999</v>
      </c>
      <c r="BJ589" s="64">
        <f t="shared" si="8807"/>
        <v>6</v>
      </c>
    </row>
    <row r="590" spans="1:62" x14ac:dyDescent="0.3">
      <c r="A590" s="48">
        <f t="shared" ref="A590:A633" si="8958">A589+7</f>
        <v>41685</v>
      </c>
      <c r="B590" s="64">
        <v>40500</v>
      </c>
      <c r="C590" s="64">
        <v>268150</v>
      </c>
      <c r="D590" s="53">
        <v>0</v>
      </c>
      <c r="E590" s="64">
        <f t="shared" si="8921"/>
        <v>308650</v>
      </c>
      <c r="F590" s="64">
        <f t="shared" ref="F590" si="8959">AVERAGE(E587,E588,E589,E590)</f>
        <v>252158.5</v>
      </c>
      <c r="G590" s="71">
        <f t="shared" ref="G590" si="8960">AVERAGE(F538,F486,F434)</f>
        <v>259777</v>
      </c>
      <c r="H590" s="64">
        <f t="shared" ref="H590" si="8961">((E590/E538)-1)*100</f>
        <v>125.78639356254571</v>
      </c>
      <c r="I590" s="64">
        <f t="shared" ref="I590" si="8962">((F590/F538)-1)*100</f>
        <v>184.53422702165955</v>
      </c>
      <c r="J590" s="64">
        <f t="shared" ref="J590" si="8963">((F590/G590)-1)*100</f>
        <v>-2.9327076685002895</v>
      </c>
      <c r="L590" s="53">
        <v>0</v>
      </c>
      <c r="M590" s="53">
        <v>7127</v>
      </c>
      <c r="N590" s="53">
        <v>11200</v>
      </c>
      <c r="O590" s="53">
        <f t="shared" ref="O590" si="8964">SUM(L590:N590)</f>
        <v>18327</v>
      </c>
      <c r="P590" s="71">
        <f t="shared" ref="P590" si="8965">AVERAGE(O587,O588,O589,O590)</f>
        <v>13056.75</v>
      </c>
      <c r="Q590" s="71">
        <f t="shared" ref="Q590" si="8966">AVERAGE(P538,P486,P434)</f>
        <v>39004.416666666664</v>
      </c>
      <c r="R590" s="64">
        <f t="shared" ref="R590" si="8967">((O590/O538)-1)*100</f>
        <v>-82.791549295774644</v>
      </c>
      <c r="S590" s="73">
        <f t="shared" ref="S590" si="8968">((P590/P538)-1)*100</f>
        <v>-82.352762290927515</v>
      </c>
      <c r="T590" s="64">
        <f t="shared" ref="T590" si="8969">((P590/Q590)-1)*100</f>
        <v>-66.524944824624569</v>
      </c>
      <c r="V590" s="64">
        <v>87800</v>
      </c>
      <c r="W590" s="64">
        <v>100927</v>
      </c>
      <c r="X590" s="64">
        <v>51200</v>
      </c>
      <c r="Y590" s="64">
        <f t="shared" ref="Y590" si="8970">SUM(V590:X590)</f>
        <v>239927</v>
      </c>
      <c r="Z590" s="71">
        <f t="shared" ref="Z590" si="8971">AVERAGE(Y587,Y588,Y589,Y590)</f>
        <v>377925.5</v>
      </c>
      <c r="AA590" s="71">
        <f t="shared" ref="AA590" si="8972">AVERAGE(Z538,Z486,Z434)</f>
        <v>270677</v>
      </c>
      <c r="AB590" s="64">
        <f t="shared" ref="AB590" si="8973">((Y590/Y538)-1)*100</f>
        <v>21.452507744953131</v>
      </c>
      <c r="AC590" s="64">
        <f t="shared" ref="AC590" si="8974">((Z590/Z538)-1)*100</f>
        <v>26.342929878387665</v>
      </c>
      <c r="AD590" s="64">
        <f t="shared" ref="AD590" si="8975">((Z590/AA590)-1)*100</f>
        <v>39.622317374582991</v>
      </c>
      <c r="AF590" s="53">
        <v>0</v>
      </c>
      <c r="AG590" s="53">
        <v>0</v>
      </c>
      <c r="AH590" s="53">
        <v>1400</v>
      </c>
      <c r="AI590" s="53">
        <f t="shared" ref="AI590" si="8976">SUM(AF590:AH590)</f>
        <v>1400</v>
      </c>
      <c r="AJ590" s="71">
        <f t="shared" ref="AJ590" si="8977">AVERAGE(AI587,AI588,AI589,AI590)</f>
        <v>1575</v>
      </c>
      <c r="AK590" s="71">
        <f t="shared" ref="AK590" si="8978">AVERAGE(AJ538,AJ486,AJ434)</f>
        <v>6726.666666666667</v>
      </c>
      <c r="AL590" s="64">
        <f t="shared" ref="AL590" si="8979">((AI590/AI538)-1)*100</f>
        <v>-79.166666666666657</v>
      </c>
      <c r="AM590" s="64">
        <f t="shared" ref="AM590" si="8980">((AJ590/AJ538)-1)*100</f>
        <v>-73.271107339838764</v>
      </c>
      <c r="AN590" s="64">
        <f t="shared" ref="AN590" si="8981">((AJ590/AK590)-1)*100</f>
        <v>-76.585728444003962</v>
      </c>
      <c r="AP590" s="60">
        <f t="shared" si="8903"/>
        <v>128300</v>
      </c>
      <c r="AQ590" s="60">
        <f t="shared" si="8904"/>
        <v>376204</v>
      </c>
      <c r="AR590" s="60">
        <f t="shared" ref="AR590" si="8982">SUM(D590,N590,X590,AH590)</f>
        <v>63800</v>
      </c>
      <c r="AS590" s="60">
        <f t="shared" ref="AS590" si="8983">SUM(E590,O590,Y590,AI590)</f>
        <v>568304</v>
      </c>
      <c r="AT590" s="64">
        <f t="shared" ref="AT590" si="8984">AVERAGE(AS587,AS588,AS589,AS590)</f>
        <v>644715.75</v>
      </c>
      <c r="AU590" s="71">
        <f t="shared" ref="AU590" si="8985">AVERAGE(AT538,AT486,AT434)</f>
        <v>576185.08333333337</v>
      </c>
      <c r="AV590" s="64">
        <f t="shared" ref="AV590" si="8986">((AS590/AS538)-1)*100</f>
        <v>27.004389140675976</v>
      </c>
      <c r="AW590" s="64">
        <f t="shared" ref="AW590" si="8987">((AT590/AT538)-1)*100</f>
        <v>37.869290403220937</v>
      </c>
      <c r="AX590" s="64">
        <f t="shared" ref="AX590" si="8988">((AT590/AU590)-1)*100</f>
        <v>11.893863386779202</v>
      </c>
      <c r="AZ590" s="71">
        <f t="shared" ref="AZ590" si="8989">+E590/1000</f>
        <v>308.64999999999998</v>
      </c>
      <c r="BA590" s="53">
        <f t="shared" ref="BA590" si="8990">+O590/1000</f>
        <v>18.327000000000002</v>
      </c>
      <c r="BB590" s="53">
        <f t="shared" ref="BB590" si="8991">+Y590/1000</f>
        <v>239.92699999999999</v>
      </c>
      <c r="BC590" s="53">
        <f t="shared" ref="BC590" si="8992">+AI590/1000</f>
        <v>1.4</v>
      </c>
      <c r="BD590" s="53">
        <f t="shared" ref="BD590" si="8993">+AS590/1000</f>
        <v>568.30399999999997</v>
      </c>
      <c r="BE590" s="64">
        <f t="shared" si="8805"/>
        <v>1524.5279999999998</v>
      </c>
      <c r="BF590" s="64">
        <f t="shared" ref="BF590" si="8994">BF589+BA590</f>
        <v>124.81700000000001</v>
      </c>
      <c r="BG590" s="64">
        <f t="shared" ref="BG590" si="8995">BG589+BB590</f>
        <v>2425.9210000000003</v>
      </c>
      <c r="BH590" s="64">
        <f t="shared" ref="BH590" si="8996">BH589+BC590</f>
        <v>33.1</v>
      </c>
      <c r="BI590" s="64">
        <f t="shared" ref="BI590" si="8997">BI589+BD590</f>
        <v>4108.366</v>
      </c>
      <c r="BJ590" s="64">
        <f t="shared" si="8807"/>
        <v>7</v>
      </c>
    </row>
    <row r="591" spans="1:62" x14ac:dyDescent="0.3">
      <c r="A591" s="48">
        <f t="shared" si="8958"/>
        <v>41692</v>
      </c>
      <c r="B591" s="64">
        <v>65772</v>
      </c>
      <c r="C591" s="64">
        <v>231950</v>
      </c>
      <c r="D591" s="53">
        <v>2800</v>
      </c>
      <c r="E591" s="64">
        <f t="shared" ref="E591" si="8998">SUM(B591:D591)</f>
        <v>300522</v>
      </c>
      <c r="F591" s="64">
        <f t="shared" ref="F591" si="8999">AVERAGE(E588,E589,E590,E591)</f>
        <v>272264.5</v>
      </c>
      <c r="G591" s="71">
        <f t="shared" ref="G591" si="9000">AVERAGE(F539,F487,F435)</f>
        <v>259518.41666666666</v>
      </c>
      <c r="H591" s="64">
        <f t="shared" ref="H591" si="9001">((E591/E539)-1)*100</f>
        <v>168.29686370088649</v>
      </c>
      <c r="I591" s="64">
        <f t="shared" ref="I591" si="9002">((F591/F539)-1)*100</f>
        <v>167.9788482690571</v>
      </c>
      <c r="J591" s="64">
        <f t="shared" ref="J591" si="9003">((F591/G591)-1)*100</f>
        <v>4.911436921143375</v>
      </c>
      <c r="L591" s="53">
        <v>0</v>
      </c>
      <c r="M591" s="53">
        <v>5150</v>
      </c>
      <c r="N591" s="53">
        <v>12600</v>
      </c>
      <c r="O591" s="53">
        <f t="shared" ref="O591" si="9004">SUM(L591:N591)</f>
        <v>17750</v>
      </c>
      <c r="P591" s="71">
        <f t="shared" ref="P591" si="9005">AVERAGE(O588,O589,O590,O591)</f>
        <v>14144.25</v>
      </c>
      <c r="Q591" s="71">
        <f t="shared" ref="Q591" si="9006">AVERAGE(P539,P487,P435)</f>
        <v>44511.083333333336</v>
      </c>
      <c r="R591" s="64">
        <f t="shared" ref="R591" si="9007">((O591/O539)-1)*100</f>
        <v>-85.372888339513793</v>
      </c>
      <c r="S591" s="73">
        <f t="shared" ref="S591" si="9008">((P591/P539)-1)*100</f>
        <v>-84.321186088402385</v>
      </c>
      <c r="T591" s="64">
        <f t="shared" ref="T591" si="9009">((P591/Q591)-1)*100</f>
        <v>-68.223083014904532</v>
      </c>
      <c r="V591" s="64">
        <v>56000</v>
      </c>
      <c r="W591" s="64">
        <v>64400</v>
      </c>
      <c r="X591" s="64">
        <v>28000</v>
      </c>
      <c r="Y591" s="64">
        <f t="shared" ref="Y591" si="9010">SUM(V591:X591)</f>
        <v>148400</v>
      </c>
      <c r="Z591" s="71">
        <f t="shared" ref="Z591" si="9011">AVERAGE(Y588,Y589,Y590,Y591)</f>
        <v>292056.75</v>
      </c>
      <c r="AA591" s="71">
        <f t="shared" ref="AA591" si="9012">AVERAGE(Z539,Z487,Z435)</f>
        <v>249273.41666666666</v>
      </c>
      <c r="AB591" s="64">
        <f t="shared" ref="AB591" si="9013">((Y591/Y539)-1)*100</f>
        <v>-19.726507562152452</v>
      </c>
      <c r="AC591" s="64">
        <f t="shared" ref="AC591" si="9014">((Z591/Z539)-1)*100</f>
        <v>16.886169189870092</v>
      </c>
      <c r="AD591" s="64">
        <f t="shared" ref="AD591" si="9015">((Z591/AA591)-1)*100</f>
        <v>17.163215358236151</v>
      </c>
      <c r="AF591" s="53">
        <v>0</v>
      </c>
      <c r="AG591" s="53">
        <v>0</v>
      </c>
      <c r="AH591" s="53">
        <v>1400</v>
      </c>
      <c r="AI591" s="53">
        <f t="shared" ref="AI591:AI593" si="9016">SUM(AF591:AH591)</f>
        <v>1400</v>
      </c>
      <c r="AJ591" s="71">
        <f t="shared" ref="AJ591" si="9017">AVERAGE(AI588,AI589,AI590,AI591)</f>
        <v>1925</v>
      </c>
      <c r="AK591" s="71">
        <f t="shared" ref="AK591" si="9018">AVERAGE(AJ539,AJ487,AJ435)</f>
        <v>7176.666666666667</v>
      </c>
      <c r="AL591" s="64">
        <f t="shared" ref="AL591" si="9019">((AI591/AI539)-1)*100</f>
        <v>-59.420289855072461</v>
      </c>
      <c r="AM591" s="64">
        <f t="shared" ref="AM591" si="9020">((AJ591/AJ539)-1)*100</f>
        <v>-71.502590673575128</v>
      </c>
      <c r="AN591" s="64">
        <f t="shared" ref="AN591" si="9021">((AJ591/AK591)-1)*100</f>
        <v>-73.176962378077107</v>
      </c>
      <c r="AP591" s="60">
        <f t="shared" si="8903"/>
        <v>121772</v>
      </c>
      <c r="AQ591" s="60">
        <f t="shared" si="8904"/>
        <v>301500</v>
      </c>
      <c r="AR591" s="60">
        <f t="shared" ref="AR591" si="9022">SUM(D591,N591,X591,AH591)</f>
        <v>44800</v>
      </c>
      <c r="AS591" s="60">
        <f t="shared" ref="AS591" si="9023">SUM(E591,O591,Y591,AI591)</f>
        <v>468072</v>
      </c>
      <c r="AT591" s="64">
        <f t="shared" ref="AT591" si="9024">AVERAGE(AS588,AS589,AS590,AS591)</f>
        <v>580390.5</v>
      </c>
      <c r="AU591" s="71">
        <f t="shared" ref="AU591" si="9025">AVERAGE(AT539,AT487,AT435)</f>
        <v>560479.58333333337</v>
      </c>
      <c r="AV591" s="64">
        <f t="shared" ref="AV591" si="9026">((AS591/AS539)-1)*100</f>
        <v>11.001970693347317</v>
      </c>
      <c r="AW591" s="64">
        <f t="shared" ref="AW591" si="9027">((AT591/AT539)-1)*100</f>
        <v>29.426935247563168</v>
      </c>
      <c r="AX591" s="64">
        <f t="shared" ref="AX591" si="9028">((AT591/AU591)-1)*100</f>
        <v>3.552478494979372</v>
      </c>
      <c r="AZ591" s="71">
        <f t="shared" ref="AZ591" si="9029">+E591/1000</f>
        <v>300.52199999999999</v>
      </c>
      <c r="BA591" s="53">
        <f t="shared" ref="BA591" si="9030">+O591/1000</f>
        <v>17.75</v>
      </c>
      <c r="BB591" s="53">
        <f t="shared" ref="BB591" si="9031">+Y591/1000</f>
        <v>148.4</v>
      </c>
      <c r="BC591" s="53">
        <f t="shared" ref="BC591" si="9032">+AI591/1000</f>
        <v>1.4</v>
      </c>
      <c r="BD591" s="53">
        <f t="shared" ref="BD591" si="9033">+AS591/1000</f>
        <v>468.072</v>
      </c>
      <c r="BE591" s="64">
        <f t="shared" ref="BE591" si="9034">BE590+AZ591</f>
        <v>1825.0499999999997</v>
      </c>
      <c r="BF591" s="64">
        <f t="shared" ref="BF591" si="9035">BF590+BA591</f>
        <v>142.56700000000001</v>
      </c>
      <c r="BG591" s="64">
        <f t="shared" ref="BG591" si="9036">BG590+BB591</f>
        <v>2574.3210000000004</v>
      </c>
      <c r="BH591" s="64">
        <f t="shared" ref="BH591" si="9037">BH590+BC591</f>
        <v>34.5</v>
      </c>
      <c r="BI591" s="64">
        <f t="shared" ref="BI591" si="9038">BI590+BD591</f>
        <v>4576.4380000000001</v>
      </c>
      <c r="BJ591" s="64">
        <f t="shared" ref="BJ591:BJ614" si="9039">BJ590+1</f>
        <v>8</v>
      </c>
    </row>
    <row r="592" spans="1:62" x14ac:dyDescent="0.3">
      <c r="A592" s="48">
        <f t="shared" si="8958"/>
        <v>41699</v>
      </c>
      <c r="B592" s="64">
        <v>97316</v>
      </c>
      <c r="C592" s="64">
        <v>232650</v>
      </c>
      <c r="D592" s="53">
        <v>2800</v>
      </c>
      <c r="E592" s="64">
        <f t="shared" ref="E592" si="9040">SUM(B592:D592)</f>
        <v>332766</v>
      </c>
      <c r="F592" s="64">
        <f t="shared" ref="F592" si="9041">AVERAGE(E589,E590,E591,E592)</f>
        <v>298147</v>
      </c>
      <c r="G592" s="71">
        <f t="shared" ref="G592" si="9042">AVERAGE(F540,F488,F436)</f>
        <v>252070.58333333334</v>
      </c>
      <c r="H592" s="64">
        <f t="shared" ref="H592" si="9043">((E592/E540)-1)*100</f>
        <v>167.92753623188409</v>
      </c>
      <c r="I592" s="64">
        <f t="shared" ref="I592" si="9044">((F592/F540)-1)*100</f>
        <v>171.13700900540417</v>
      </c>
      <c r="J592" s="64">
        <f t="shared" ref="J592" si="9045">((F592/G592)-1)*100</f>
        <v>18.27917246723554</v>
      </c>
      <c r="L592" s="53">
        <v>1500</v>
      </c>
      <c r="M592" s="53">
        <v>12200</v>
      </c>
      <c r="N592" s="53">
        <v>23800</v>
      </c>
      <c r="O592" s="53">
        <f t="shared" ref="O592" si="9046">SUM(L592:N592)</f>
        <v>37500</v>
      </c>
      <c r="P592" s="71">
        <f t="shared" ref="P592" si="9047">AVERAGE(O589,O590,O591,O592)</f>
        <v>21631.75</v>
      </c>
      <c r="Q592" s="71">
        <f t="shared" ref="Q592" si="9048">AVERAGE(P540,P488,P436)</f>
        <v>52506.916666666664</v>
      </c>
      <c r="R592" s="64">
        <f t="shared" ref="R592" si="9049">((O592/O540)-1)*100</f>
        <v>-67.134092900964063</v>
      </c>
      <c r="S592" s="73">
        <f t="shared" ref="S592" si="9050">((P592/P540)-1)*100</f>
        <v>-80.104161876293404</v>
      </c>
      <c r="T592" s="64">
        <f t="shared" ref="T592" si="9051">((P592/Q592)-1)*100</f>
        <v>-58.802094327255297</v>
      </c>
      <c r="V592" s="64">
        <v>98390</v>
      </c>
      <c r="W592" s="64">
        <v>134208</v>
      </c>
      <c r="X592" s="64">
        <v>32200</v>
      </c>
      <c r="Y592" s="64">
        <f t="shared" ref="Y592" si="9052">SUM(V592:X592)</f>
        <v>264798</v>
      </c>
      <c r="Z592" s="71">
        <f t="shared" ref="Z592" si="9053">AVERAGE(Y589,Y590,Y591,Y592)</f>
        <v>263256.25</v>
      </c>
      <c r="AA592" s="71">
        <f t="shared" ref="AA592" si="9054">AVERAGE(Z540,Z488,Z436)</f>
        <v>220247.08333333334</v>
      </c>
      <c r="AB592" s="64">
        <f t="shared" ref="AB592" si="9055">((Y592/Y540)-1)*100</f>
        <v>166.16074300418143</v>
      </c>
      <c r="AC592" s="64">
        <f t="shared" ref="AC592" si="9056">((Z592/Z540)-1)*100</f>
        <v>31.227716430242225</v>
      </c>
      <c r="AD592" s="64">
        <f t="shared" ref="AD592" si="9057">((Z592/AA592)-1)*100</f>
        <v>19.527689545642858</v>
      </c>
      <c r="AF592" s="53">
        <v>0</v>
      </c>
      <c r="AG592" s="53">
        <v>1750</v>
      </c>
      <c r="AH592" s="53">
        <v>2800</v>
      </c>
      <c r="AI592" s="53">
        <f t="shared" si="9016"/>
        <v>4550</v>
      </c>
      <c r="AJ592" s="71">
        <f t="shared" ref="AJ592" si="9058">AVERAGE(AI589,AI590,AI591,AI592)</f>
        <v>2187.5</v>
      </c>
      <c r="AK592" s="71">
        <f t="shared" ref="AK592" si="9059">AVERAGE(AJ540,AJ488,AJ436)</f>
        <v>7522.5</v>
      </c>
      <c r="AL592" s="64"/>
      <c r="AM592" s="64">
        <f t="shared" ref="AM592" si="9060">((AJ592/AJ540)-1)*100</f>
        <v>-65.846994535519116</v>
      </c>
      <c r="AN592" s="64">
        <f t="shared" ref="AN592" si="9061">((AJ592/AK592)-1)*100</f>
        <v>-70.920571618477908</v>
      </c>
      <c r="AP592" s="60">
        <f t="shared" ref="AP592:AP595" si="9062">SUM(B592,L592,V592,AF592)</f>
        <v>197206</v>
      </c>
      <c r="AQ592" s="60">
        <f t="shared" ref="AQ592:AQ595" si="9063">SUM(C592,M592,W592,AG592)</f>
        <v>380808</v>
      </c>
      <c r="AR592" s="60">
        <f t="shared" ref="AR592:AR593" si="9064">SUM(D592,N592,X592,AH592)</f>
        <v>61600</v>
      </c>
      <c r="AS592" s="60">
        <f t="shared" ref="AS592:AS593" si="9065">SUM(E592,O592,Y592,AI592)</f>
        <v>639614</v>
      </c>
      <c r="AT592" s="64">
        <f t="shared" ref="AT592" si="9066">AVERAGE(AS589,AS590,AS591,AS592)</f>
        <v>585222.5</v>
      </c>
      <c r="AU592" s="71">
        <f t="shared" ref="AU592" si="9067">AVERAGE(AT540,AT488,AT436)</f>
        <v>532347.08333333337</v>
      </c>
      <c r="AV592" s="64">
        <f t="shared" ref="AV592" si="9068">((AS592/AS540)-1)*100</f>
        <v>89.353677454498097</v>
      </c>
      <c r="AW592" s="64">
        <f t="shared" ref="AW592" si="9069">((AT592/AT540)-1)*100</f>
        <v>37.472339805779619</v>
      </c>
      <c r="AX592" s="64">
        <f t="shared" ref="AX592" si="9070">((AT592/AU592)-1)*100</f>
        <v>9.9325080050374215</v>
      </c>
      <c r="AZ592" s="71">
        <f t="shared" ref="AZ592" si="9071">+E592/1000</f>
        <v>332.76600000000002</v>
      </c>
      <c r="BA592" s="53">
        <f t="shared" ref="BA592" si="9072">+O592/1000</f>
        <v>37.5</v>
      </c>
      <c r="BB592" s="53">
        <f t="shared" ref="BB592" si="9073">+Y592/1000</f>
        <v>264.798</v>
      </c>
      <c r="BC592" s="53">
        <f t="shared" ref="BC592" si="9074">+AI592/1000</f>
        <v>4.55</v>
      </c>
      <c r="BD592" s="53">
        <f t="shared" ref="BD592" si="9075">+AS592/1000</f>
        <v>639.61400000000003</v>
      </c>
      <c r="BE592" s="64">
        <f t="shared" ref="BE592" si="9076">BE591+AZ592</f>
        <v>2157.8159999999998</v>
      </c>
      <c r="BF592" s="64">
        <f t="shared" ref="BF592" si="9077">BF591+BA592</f>
        <v>180.06700000000001</v>
      </c>
      <c r="BG592" s="64">
        <f t="shared" ref="BG592" si="9078">BG591+BB592</f>
        <v>2839.1190000000006</v>
      </c>
      <c r="BH592" s="64">
        <f t="shared" ref="BH592" si="9079">BH591+BC592</f>
        <v>39.049999999999997</v>
      </c>
      <c r="BI592" s="64">
        <f t="shared" ref="BI592" si="9080">BI591+BD592</f>
        <v>5216.0519999999997</v>
      </c>
      <c r="BJ592" s="64">
        <f t="shared" si="9039"/>
        <v>9</v>
      </c>
    </row>
    <row r="593" spans="1:62" x14ac:dyDescent="0.3">
      <c r="A593" s="48">
        <f t="shared" si="8958"/>
        <v>41706</v>
      </c>
      <c r="B593" s="64">
        <v>105291</v>
      </c>
      <c r="C593" s="64">
        <v>217350</v>
      </c>
      <c r="D593" s="53">
        <v>7000</v>
      </c>
      <c r="E593" s="64">
        <f t="shared" ref="E593" si="9081">SUM(B593:D593)</f>
        <v>329641</v>
      </c>
      <c r="F593" s="64">
        <f t="shared" ref="F593" si="9082">AVERAGE(E590,E591,E592,E593)</f>
        <v>317894.75</v>
      </c>
      <c r="G593" s="71">
        <f t="shared" ref="G593" si="9083">AVERAGE(F541,F489,F437)</f>
        <v>262201.41666666669</v>
      </c>
      <c r="H593" s="64">
        <f t="shared" ref="H593" si="9084">((E593/E541)-1)*100</f>
        <v>51.139364706745404</v>
      </c>
      <c r="I593" s="64">
        <f t="shared" ref="I593" si="9085">((F593/F541)-1)*100</f>
        <v>115.15173049753389</v>
      </c>
      <c r="J593" s="64">
        <f t="shared" ref="J593" si="9086">((F593/G593)-1)*100</f>
        <v>21.240668353876792</v>
      </c>
      <c r="L593" s="53">
        <v>0</v>
      </c>
      <c r="M593" s="53">
        <v>7150</v>
      </c>
      <c r="N593" s="53">
        <v>21000</v>
      </c>
      <c r="O593" s="53">
        <f t="shared" ref="O593" si="9087">SUM(L593:N593)</f>
        <v>28150</v>
      </c>
      <c r="P593" s="71">
        <f t="shared" ref="P593" si="9088">AVERAGE(O590,O591,O592,O593)</f>
        <v>25431.75</v>
      </c>
      <c r="Q593" s="71">
        <f t="shared" ref="Q593" si="9089">AVERAGE(P541,P489,P437)</f>
        <v>59979.25</v>
      </c>
      <c r="R593" s="64">
        <f t="shared" ref="R593" si="9090">((O593/O541)-1)*100</f>
        <v>-82.250945775535939</v>
      </c>
      <c r="S593" s="73">
        <f t="shared" ref="S593" si="9091">((P593/P541)-1)*100</f>
        <v>-79.676955349115971</v>
      </c>
      <c r="T593" s="64">
        <f t="shared" ref="T593" si="9092">((P593/Q593)-1)*100</f>
        <v>-57.599086350696282</v>
      </c>
      <c r="V593" s="64">
        <v>87348</v>
      </c>
      <c r="W593" s="64">
        <v>53300</v>
      </c>
      <c r="X593" s="64">
        <v>23800</v>
      </c>
      <c r="Y593" s="64">
        <f t="shared" ref="Y593" si="9093">SUM(V593:X593)</f>
        <v>164448</v>
      </c>
      <c r="Z593" s="71">
        <f t="shared" ref="Z593" si="9094">AVERAGE(Y590,Y591,Y592,Y593)</f>
        <v>204393.25</v>
      </c>
      <c r="AA593" s="71">
        <f t="shared" ref="AA593" si="9095">AVERAGE(Z541,Z489,Z437)</f>
        <v>197148.75</v>
      </c>
      <c r="AB593" s="64">
        <f t="shared" ref="AB593" si="9096">((Y593/Y541)-1)*100</f>
        <v>-8.6963039459000306</v>
      </c>
      <c r="AC593" s="64">
        <f t="shared" ref="AC593" si="9097">((Z593/Z541)-1)*100</f>
        <v>23.497654886973862</v>
      </c>
      <c r="AD593" s="64">
        <f t="shared" ref="AD593" si="9098">((Z593/AA593)-1)*100</f>
        <v>3.6746365371324918</v>
      </c>
      <c r="AF593" s="53">
        <v>0</v>
      </c>
      <c r="AG593" s="53">
        <v>0</v>
      </c>
      <c r="AH593" s="53">
        <v>0</v>
      </c>
      <c r="AI593" s="53">
        <f t="shared" si="9016"/>
        <v>0</v>
      </c>
      <c r="AJ593" s="71">
        <f t="shared" ref="AJ593" si="9099">AVERAGE(AI590,AI591,AI592,AI593)</f>
        <v>1837.5</v>
      </c>
      <c r="AK593" s="71">
        <f t="shared" ref="AK593" si="9100">AVERAGE(AJ541,AJ489,AJ437)</f>
        <v>7485</v>
      </c>
      <c r="AL593" s="64">
        <f t="shared" ref="AL593" si="9101">((AI593/AI541)-1)*100</f>
        <v>-100</v>
      </c>
      <c r="AM593" s="64">
        <f t="shared" ref="AM593" si="9102">((AJ593/AJ541)-1)*100</f>
        <v>-46.232626188734457</v>
      </c>
      <c r="AN593" s="64">
        <f t="shared" ref="AN593" si="9103">((AJ593/AK593)-1)*100</f>
        <v>-75.450901803607223</v>
      </c>
      <c r="AP593" s="60">
        <f t="shared" si="9062"/>
        <v>192639</v>
      </c>
      <c r="AQ593" s="60">
        <f t="shared" si="9063"/>
        <v>277800</v>
      </c>
      <c r="AR593" s="60">
        <f t="shared" si="9064"/>
        <v>51800</v>
      </c>
      <c r="AS593" s="60">
        <f t="shared" si="9065"/>
        <v>522239</v>
      </c>
      <c r="AT593" s="64">
        <f t="shared" ref="AT593" si="9104">AVERAGE(AS590,AS591,AS592,AS593)</f>
        <v>549557.25</v>
      </c>
      <c r="AU593" s="71">
        <f t="shared" ref="AU593" si="9105">AVERAGE(AT541,AT489,AT437)</f>
        <v>526814.41666666663</v>
      </c>
      <c r="AV593" s="64">
        <f t="shared" ref="AV593" si="9106">((AS593/AS541)-1)*100</f>
        <v>-6.7954632661984764</v>
      </c>
      <c r="AW593" s="64">
        <f t="shared" ref="AW593" si="9107">((AT593/AT541)-1)*100</f>
        <v>24.386985429339369</v>
      </c>
      <c r="AX593" s="64">
        <f t="shared" ref="AX593" si="9108">((AT593/AU593)-1)*100</f>
        <v>4.3170483976568086</v>
      </c>
      <c r="AZ593" s="71">
        <f t="shared" ref="AZ593" si="9109">+E593/1000</f>
        <v>329.64100000000002</v>
      </c>
      <c r="BA593" s="53">
        <f t="shared" ref="BA593" si="9110">+O593/1000</f>
        <v>28.15</v>
      </c>
      <c r="BB593" s="53">
        <f t="shared" ref="BB593" si="9111">+Y593/1000</f>
        <v>164.44800000000001</v>
      </c>
      <c r="BC593" s="53">
        <f t="shared" ref="BC593" si="9112">+AI593/1000</f>
        <v>0</v>
      </c>
      <c r="BD593" s="53">
        <f t="shared" ref="BD593" si="9113">+AS593/1000</f>
        <v>522.23900000000003</v>
      </c>
      <c r="BE593" s="64">
        <f t="shared" ref="BE593" si="9114">BE592+AZ593</f>
        <v>2487.4569999999999</v>
      </c>
      <c r="BF593" s="64">
        <f t="shared" ref="BF593" si="9115">BF592+BA593</f>
        <v>208.21700000000001</v>
      </c>
      <c r="BG593" s="64">
        <f t="shared" ref="BG593" si="9116">BG592+BB593</f>
        <v>3003.5670000000005</v>
      </c>
      <c r="BH593" s="64">
        <f t="shared" ref="BH593" si="9117">BH592+BC593</f>
        <v>39.049999999999997</v>
      </c>
      <c r="BI593" s="64">
        <f t="shared" ref="BI593" si="9118">BI592+BD593</f>
        <v>5738.2909999999993</v>
      </c>
      <c r="BJ593" s="64">
        <f t="shared" si="9039"/>
        <v>10</v>
      </c>
    </row>
    <row r="594" spans="1:62" x14ac:dyDescent="0.3">
      <c r="A594" s="48">
        <f t="shared" si="8958"/>
        <v>41713</v>
      </c>
      <c r="B594" s="64">
        <v>261200</v>
      </c>
      <c r="C594" s="64">
        <v>271036</v>
      </c>
      <c r="D594" s="53">
        <v>2800</v>
      </c>
      <c r="E594" s="64">
        <f t="shared" ref="E594" si="9119">SUM(B594:D594)</f>
        <v>535036</v>
      </c>
      <c r="F594" s="64">
        <f t="shared" ref="F594" si="9120">AVERAGE(E591,E592,E593,E594)</f>
        <v>374491.25</v>
      </c>
      <c r="G594" s="71">
        <f t="shared" ref="G594" si="9121">AVERAGE(F542,F490,F438)</f>
        <v>250942.5</v>
      </c>
      <c r="H594" s="64">
        <f t="shared" ref="H594" si="9122">((E594/E542)-1)*100</f>
        <v>209.84786624738675</v>
      </c>
      <c r="I594" s="64">
        <f t="shared" ref="I594" si="9123">((F594/F542)-1)*100</f>
        <v>138.91293668818741</v>
      </c>
      <c r="J594" s="64">
        <f t="shared" ref="J594" si="9124">((F594/G594)-1)*100</f>
        <v>49.233888241330192</v>
      </c>
      <c r="L594" s="53">
        <v>0</v>
      </c>
      <c r="M594" s="53">
        <v>10300</v>
      </c>
      <c r="N594" s="53">
        <v>36400</v>
      </c>
      <c r="O594" s="53">
        <f t="shared" ref="O594" si="9125">SUM(L594:N594)</f>
        <v>46700</v>
      </c>
      <c r="P594" s="71">
        <f t="shared" ref="P594" si="9126">AVERAGE(O591,O592,O593,O594)</f>
        <v>32525</v>
      </c>
      <c r="Q594" s="71">
        <f t="shared" ref="Q594" si="9127">AVERAGE(P542,P490,P438)</f>
        <v>60453.833333333336</v>
      </c>
      <c r="R594" s="64">
        <f t="shared" ref="R594" si="9128">((O594/O542)-1)*100</f>
        <v>-59.671848013816927</v>
      </c>
      <c r="S594" s="73">
        <f t="shared" ref="S594" si="9129">((P594/P542)-1)*100</f>
        <v>-74.482690987545368</v>
      </c>
      <c r="T594" s="64">
        <f t="shared" ref="T594" si="9130">((P594/Q594)-1)*100</f>
        <v>-46.198614369642954</v>
      </c>
      <c r="V594" s="64">
        <v>69348</v>
      </c>
      <c r="W594" s="64">
        <v>89140</v>
      </c>
      <c r="X594" s="64">
        <v>15400</v>
      </c>
      <c r="Y594" s="64">
        <f t="shared" ref="Y594" si="9131">SUM(V594:X594)</f>
        <v>173888</v>
      </c>
      <c r="Z594" s="71">
        <f t="shared" ref="Z594" si="9132">AVERAGE(Y591,Y592,Y593,Y594)</f>
        <v>187883.5</v>
      </c>
      <c r="AA594" s="71">
        <f t="shared" ref="AA594" si="9133">AVERAGE(Z542,Z490,Z438)</f>
        <v>176523.41666666666</v>
      </c>
      <c r="AB594" s="64">
        <f t="shared" ref="AB594" si="9134">((Y594/Y542)-1)*100</f>
        <v>13.950196592398424</v>
      </c>
      <c r="AC594" s="64">
        <f t="shared" ref="AC594" si="9135">((Z594/Z542)-1)*100</f>
        <v>21.79131277478783</v>
      </c>
      <c r="AD594" s="64">
        <f t="shared" ref="AD594" si="9136">((Z594/AA594)-1)*100</f>
        <v>6.4354540308863672</v>
      </c>
      <c r="AF594" s="53">
        <v>0</v>
      </c>
      <c r="AG594" s="53">
        <v>0</v>
      </c>
      <c r="AH594" s="53">
        <v>1400</v>
      </c>
      <c r="AI594" s="53">
        <f t="shared" ref="AI594:AI595" si="9137">SUM(AF594:AH594)</f>
        <v>1400</v>
      </c>
      <c r="AJ594" s="71">
        <f t="shared" ref="AJ594" si="9138">AVERAGE(AI591,AI592,AI593,AI594)</f>
        <v>1837.5</v>
      </c>
      <c r="AK594" s="71">
        <f t="shared" ref="AK594" si="9139">AVERAGE(AJ542,AJ490,AJ438)</f>
        <v>6329.166666666667</v>
      </c>
      <c r="AL594" s="64">
        <f t="shared" ref="AL594" si="9140">((AI594/AI542)-1)*100</f>
        <v>-19.999999999999996</v>
      </c>
      <c r="AM594" s="64">
        <f t="shared" ref="AM594" si="9141">((AJ594/AJ542)-1)*100</f>
        <v>-15.517241379310342</v>
      </c>
      <c r="AN594" s="64">
        <f t="shared" ref="AN594" si="9142">((AJ594/AK594)-1)*100</f>
        <v>-70.967741935483872</v>
      </c>
      <c r="AP594" s="60">
        <f t="shared" si="9062"/>
        <v>330548</v>
      </c>
      <c r="AQ594" s="60">
        <f t="shared" si="9063"/>
        <v>370476</v>
      </c>
      <c r="AR594" s="60">
        <f t="shared" ref="AR594:AR595" si="9143">SUM(D594,N594,X594,AH594)</f>
        <v>56000</v>
      </c>
      <c r="AS594" s="60">
        <f t="shared" ref="AS594:AS595" si="9144">SUM(E594,O594,Y594,AI594)</f>
        <v>757024</v>
      </c>
      <c r="AT594" s="64">
        <f t="shared" ref="AT594" si="9145">AVERAGE(AS591,AS592,AS593,AS594)</f>
        <v>596737.25</v>
      </c>
      <c r="AU594" s="71">
        <f t="shared" ref="AU594" si="9146">AVERAGE(AT542,AT490,AT438)</f>
        <v>494248.91666666669</v>
      </c>
      <c r="AV594" s="64">
        <f t="shared" ref="AV594" si="9147">((AS594/AS542)-1)*100</f>
        <v>70.952539027656385</v>
      </c>
      <c r="AW594" s="64">
        <f t="shared" ref="AW594" si="9148">((AT594/AT542)-1)*100</f>
        <v>35.421355501985971</v>
      </c>
      <c r="AX594" s="64">
        <f t="shared" ref="AX594" si="9149">((AT594/AU594)-1)*100</f>
        <v>20.736177637887245</v>
      </c>
      <c r="AZ594" s="71">
        <f t="shared" ref="AZ594" si="9150">+E594/1000</f>
        <v>535.03599999999994</v>
      </c>
      <c r="BA594" s="53">
        <f t="shared" ref="BA594" si="9151">+O594/1000</f>
        <v>46.7</v>
      </c>
      <c r="BB594" s="53">
        <f t="shared" ref="BB594" si="9152">+Y594/1000</f>
        <v>173.88800000000001</v>
      </c>
      <c r="BC594" s="53">
        <f t="shared" ref="BC594" si="9153">+AI594/1000</f>
        <v>1.4</v>
      </c>
      <c r="BD594" s="53">
        <f t="shared" ref="BD594" si="9154">+AS594/1000</f>
        <v>757.024</v>
      </c>
      <c r="BE594" s="64">
        <f t="shared" ref="BE594" si="9155">BE593+AZ594</f>
        <v>3022.4929999999999</v>
      </c>
      <c r="BF594" s="64">
        <f t="shared" ref="BF594" si="9156">BF593+BA594</f>
        <v>254.91700000000003</v>
      </c>
      <c r="BG594" s="64">
        <f t="shared" ref="BG594" si="9157">BG593+BB594</f>
        <v>3177.4550000000004</v>
      </c>
      <c r="BH594" s="64">
        <f t="shared" ref="BH594" si="9158">BH593+BC594</f>
        <v>40.449999999999996</v>
      </c>
      <c r="BI594" s="64">
        <f t="shared" ref="BI594" si="9159">BI593+BD594</f>
        <v>6495.3149999999996</v>
      </c>
      <c r="BJ594" s="64">
        <f t="shared" si="9039"/>
        <v>11</v>
      </c>
    </row>
    <row r="595" spans="1:62" x14ac:dyDescent="0.3">
      <c r="A595" s="48">
        <f t="shared" si="8958"/>
        <v>41720</v>
      </c>
      <c r="B595" s="64">
        <v>166200</v>
      </c>
      <c r="C595" s="64">
        <v>299300</v>
      </c>
      <c r="D595" s="53">
        <v>15400</v>
      </c>
      <c r="E595" s="64">
        <f t="shared" ref="E595" si="9160">SUM(B595:D595)</f>
        <v>480900</v>
      </c>
      <c r="F595" s="64">
        <f t="shared" ref="F595" si="9161">AVERAGE(E592,E593,E594,E595)</f>
        <v>419585.75</v>
      </c>
      <c r="G595" s="71">
        <f t="shared" ref="G595" si="9162">AVERAGE(F543,F491,F439)</f>
        <v>283885.16666666669</v>
      </c>
      <c r="H595" s="64">
        <f t="shared" ref="H595" si="9163">((E595/E543)-1)*100</f>
        <v>229.15811088295689</v>
      </c>
      <c r="I595" s="64">
        <f t="shared" ref="I595" si="9164">((F595/F543)-1)*100</f>
        <v>153.87857161225327</v>
      </c>
      <c r="J595" s="64">
        <f t="shared" ref="J595" si="9165">((F595/G595)-1)*100</f>
        <v>47.801223616826285</v>
      </c>
      <c r="L595" s="53">
        <v>0</v>
      </c>
      <c r="M595" s="53">
        <v>28100</v>
      </c>
      <c r="N595" s="53">
        <v>29400</v>
      </c>
      <c r="O595" s="53">
        <f t="shared" ref="O595" si="9166">SUM(L595:N595)</f>
        <v>57500</v>
      </c>
      <c r="P595" s="71">
        <f t="shared" ref="P595" si="9167">AVERAGE(O592,O593,O594,O595)</f>
        <v>42462.5</v>
      </c>
      <c r="Q595" s="71">
        <f t="shared" ref="Q595" si="9168">AVERAGE(P543,P491,P439)</f>
        <v>62288.833333333336</v>
      </c>
      <c r="R595" s="64">
        <f t="shared" ref="R595" si="9169">((O595/O543)-1)*100</f>
        <v>-49.605609114811564</v>
      </c>
      <c r="S595" s="73">
        <f t="shared" ref="S595" si="9170">((P595/P543)-1)*100</f>
        <v>-66.205730202944693</v>
      </c>
      <c r="T595" s="64">
        <f t="shared" ref="T595" si="9171">((P595/Q595)-1)*100</f>
        <v>-31.82967519592864</v>
      </c>
      <c r="V595" s="64">
        <v>51050</v>
      </c>
      <c r="W595" s="64">
        <v>47500</v>
      </c>
      <c r="X595" s="64">
        <v>9800</v>
      </c>
      <c r="Y595" s="64">
        <f t="shared" ref="Y595" si="9172">SUM(V595:X595)</f>
        <v>108350</v>
      </c>
      <c r="Z595" s="71">
        <f t="shared" ref="Z595" si="9173">AVERAGE(Y592,Y593,Y594,Y595)</f>
        <v>177871</v>
      </c>
      <c r="AA595" s="71">
        <f t="shared" ref="AA595" si="9174">AVERAGE(Z543,Z491,Z439)</f>
        <v>164117.25</v>
      </c>
      <c r="AB595" s="64">
        <f t="shared" ref="AB595" si="9175">((Y595/Y543)-1)*100</f>
        <v>2.1350803600886037</v>
      </c>
      <c r="AC595" s="64">
        <f t="shared" ref="AC595" si="9176">((Z595/Z543)-1)*100</f>
        <v>32.176323279161181</v>
      </c>
      <c r="AD595" s="64">
        <f t="shared" ref="AD595" si="9177">((Z595/AA595)-1)*100</f>
        <v>8.3804414222149006</v>
      </c>
      <c r="AF595" s="53">
        <v>0</v>
      </c>
      <c r="AG595" s="53">
        <v>0</v>
      </c>
      <c r="AH595" s="53">
        <v>0</v>
      </c>
      <c r="AI595" s="53">
        <f t="shared" si="9137"/>
        <v>0</v>
      </c>
      <c r="AJ595" s="71">
        <f t="shared" ref="AJ595" si="9178">AVERAGE(AI592,AI593,AI594,AI595)</f>
        <v>1487.5</v>
      </c>
      <c r="AK595" s="71">
        <f t="shared" ref="AK595" si="9179">AVERAGE(AJ543,AJ491,AJ439)</f>
        <v>8187.5</v>
      </c>
      <c r="AL595" s="64">
        <f t="shared" ref="AL595" si="9180">((AI595/AI543)-1)*100</f>
        <v>-100</v>
      </c>
      <c r="AM595" s="64">
        <f t="shared" ref="AM595" si="9181">((AJ595/AJ543)-1)*100</f>
        <v>-40.796019900497512</v>
      </c>
      <c r="AN595" s="64">
        <f t="shared" ref="AN595" si="9182">((AJ595/AK595)-1)*100</f>
        <v>-81.832061068702288</v>
      </c>
      <c r="AP595" s="60">
        <f t="shared" si="9062"/>
        <v>217250</v>
      </c>
      <c r="AQ595" s="60">
        <f t="shared" si="9063"/>
        <v>374900</v>
      </c>
      <c r="AR595" s="60">
        <f t="shared" si="9143"/>
        <v>54600</v>
      </c>
      <c r="AS595" s="60">
        <f t="shared" si="9144"/>
        <v>646750</v>
      </c>
      <c r="AT595" s="64">
        <f t="shared" ref="AT595" si="9183">AVERAGE(AS592,AS593,AS594,AS595)</f>
        <v>641406.75</v>
      </c>
      <c r="AU595" s="71">
        <f t="shared" ref="AU595" si="9184">AVERAGE(AT543,AT491,AT439)</f>
        <v>518478.75</v>
      </c>
      <c r="AV595" s="64">
        <f t="shared" ref="AV595" si="9185">((AS595/AS543)-1)*100</f>
        <v>74.286214748642493</v>
      </c>
      <c r="AW595" s="64">
        <f t="shared" ref="AW595" si="9186">((AT595/AT543)-1)*100</f>
        <v>49.860077160538907</v>
      </c>
      <c r="AX595" s="64">
        <f t="shared" ref="AX595" si="9187">((AT595/AU595)-1)*100</f>
        <v>23.709361280476781</v>
      </c>
      <c r="AZ595" s="71">
        <f t="shared" ref="AZ595" si="9188">+E595/1000</f>
        <v>480.9</v>
      </c>
      <c r="BA595" s="53">
        <f t="shared" ref="BA595" si="9189">+O595/1000</f>
        <v>57.5</v>
      </c>
      <c r="BB595" s="53">
        <f t="shared" ref="BB595" si="9190">+Y595/1000</f>
        <v>108.35</v>
      </c>
      <c r="BC595" s="53">
        <f t="shared" ref="BC595" si="9191">+AI595/1000</f>
        <v>0</v>
      </c>
      <c r="BD595" s="53">
        <f t="shared" ref="BD595" si="9192">+AS595/1000</f>
        <v>646.75</v>
      </c>
      <c r="BE595" s="64">
        <f t="shared" ref="BE595" si="9193">BE594+AZ595</f>
        <v>3503.393</v>
      </c>
      <c r="BF595" s="64">
        <f t="shared" ref="BF595" si="9194">BF594+BA595</f>
        <v>312.41700000000003</v>
      </c>
      <c r="BG595" s="64">
        <f t="shared" ref="BG595" si="9195">BG594+BB595</f>
        <v>3285.8050000000003</v>
      </c>
      <c r="BH595" s="64">
        <f t="shared" ref="BH595" si="9196">BH594+BC595</f>
        <v>40.449999999999996</v>
      </c>
      <c r="BI595" s="64">
        <f t="shared" ref="BI595" si="9197">BI594+BD595</f>
        <v>7142.0649999999996</v>
      </c>
      <c r="BJ595" s="64">
        <f t="shared" si="9039"/>
        <v>12</v>
      </c>
    </row>
    <row r="596" spans="1:62" x14ac:dyDescent="0.3">
      <c r="A596" s="48">
        <f t="shared" si="8958"/>
        <v>41727</v>
      </c>
      <c r="B596" s="64">
        <v>277316</v>
      </c>
      <c r="C596" s="64">
        <v>306400</v>
      </c>
      <c r="D596" s="53">
        <v>4700</v>
      </c>
      <c r="E596" s="64">
        <f t="shared" ref="E596" si="9198">SUM(B596:D596)</f>
        <v>588416</v>
      </c>
      <c r="F596" s="64">
        <f t="shared" ref="F596" si="9199">AVERAGE(E593,E594,E595,E596)</f>
        <v>483498.25</v>
      </c>
      <c r="G596" s="71">
        <f t="shared" ref="G596" si="9200">AVERAGE(F544,F492,F440)</f>
        <v>327343</v>
      </c>
      <c r="H596" s="64">
        <f t="shared" ref="H596" si="9201">((E596/E544)-1)*100</f>
        <v>203.64059508635771</v>
      </c>
      <c r="I596" s="64">
        <f t="shared" ref="I596" si="9202">((F596/F544)-1)*100</f>
        <v>164.68833998478104</v>
      </c>
      <c r="J596" s="64">
        <f t="shared" ref="J596" si="9203">((F596/G596)-1)*100</f>
        <v>47.703861087605361</v>
      </c>
      <c r="L596" s="53">
        <v>15000</v>
      </c>
      <c r="M596" s="53">
        <v>22800</v>
      </c>
      <c r="N596" s="53">
        <v>28000</v>
      </c>
      <c r="O596" s="53">
        <f t="shared" ref="O596" si="9204">SUM(L596:N596)</f>
        <v>65800</v>
      </c>
      <c r="P596" s="71">
        <f t="shared" ref="P596" si="9205">AVERAGE(O593,O594,O595,O596)</f>
        <v>49537.5</v>
      </c>
      <c r="Q596" s="71">
        <f t="shared" ref="Q596" si="9206">AVERAGE(P544,P492,P440)</f>
        <v>62416.583333333336</v>
      </c>
      <c r="R596" s="64">
        <f t="shared" ref="R596" si="9207">((O596/O544)-1)*100</f>
        <v>-22.769953051643189</v>
      </c>
      <c r="S596" s="73">
        <f t="shared" ref="S596" si="9208">((P596/P544)-1)*100</f>
        <v>-58.169727675744141</v>
      </c>
      <c r="T596" s="64">
        <f t="shared" ref="T596" si="9209">((P596/Q596)-1)*100</f>
        <v>-20.63407294268751</v>
      </c>
      <c r="V596" s="64">
        <v>86400</v>
      </c>
      <c r="W596" s="64">
        <v>50550</v>
      </c>
      <c r="X596" s="64">
        <v>4200</v>
      </c>
      <c r="Y596" s="64">
        <f t="shared" ref="Y596" si="9210">SUM(V596:X596)</f>
        <v>141150</v>
      </c>
      <c r="Z596" s="71">
        <f t="shared" ref="Z596" si="9211">AVERAGE(Y593,Y594,Y595,Y596)</f>
        <v>146959</v>
      </c>
      <c r="AA596" s="71">
        <f t="shared" ref="AA596" si="9212">AVERAGE(Z544,Z492,Z440)</f>
        <v>166599.33333333334</v>
      </c>
      <c r="AB596" s="64">
        <f t="shared" ref="AB596" si="9213">((Y596/Y544)-1)*100</f>
        <v>130.31361159155438</v>
      </c>
      <c r="AC596" s="64">
        <f t="shared" ref="AC596" si="9214">((Z596/Z544)-1)*100</f>
        <v>17.547922140768925</v>
      </c>
      <c r="AD596" s="64">
        <f t="shared" ref="AD596" si="9215">((Z596/AA596)-1)*100</f>
        <v>-11.788962740947351</v>
      </c>
      <c r="AF596" s="53">
        <v>9500</v>
      </c>
      <c r="AG596" s="53">
        <v>0</v>
      </c>
      <c r="AH596" s="53">
        <v>1400</v>
      </c>
      <c r="AI596" s="53">
        <f t="shared" ref="AI596" si="9216">SUM(AF596:AH596)</f>
        <v>10900</v>
      </c>
      <c r="AJ596" s="71">
        <f t="shared" ref="AJ596" si="9217">AVERAGE(AI593,AI594,AI595,AI596)</f>
        <v>3075</v>
      </c>
      <c r="AK596" s="71">
        <f t="shared" ref="AK596" si="9218">AVERAGE(AJ544,AJ492,AJ440)</f>
        <v>9912.5</v>
      </c>
      <c r="AL596" s="64">
        <f t="shared" ref="AL596" si="9219">((AI596/AI544)-1)*100</f>
        <v>-47.596153846153847</v>
      </c>
      <c r="AM596" s="64">
        <f t="shared" ref="AM596" si="9220">((AJ596/AJ544)-1)*100</f>
        <v>-60.129659643435971</v>
      </c>
      <c r="AN596" s="64">
        <f t="shared" ref="AN596" si="9221">((AJ596/AK596)-1)*100</f>
        <v>-68.978562421185373</v>
      </c>
      <c r="AP596" s="60">
        <f t="shared" ref="AP596:AP597" si="9222">SUM(B596,L596,V596,AF596)</f>
        <v>388216</v>
      </c>
      <c r="AQ596" s="60">
        <f t="shared" ref="AQ596:AQ597" si="9223">SUM(C596,M596,W596,AG596)</f>
        <v>379750</v>
      </c>
      <c r="AR596" s="60">
        <f t="shared" ref="AR596" si="9224">SUM(D596,N596,X596,AH596)</f>
        <v>38300</v>
      </c>
      <c r="AS596" s="60">
        <f t="shared" ref="AS596" si="9225">SUM(E596,O596,Y596,AI596)</f>
        <v>806266</v>
      </c>
      <c r="AT596" s="64">
        <f t="shared" ref="AT596" si="9226">AVERAGE(AS593,AS594,AS595,AS596)</f>
        <v>683069.75</v>
      </c>
      <c r="AU596" s="71">
        <f t="shared" ref="AU596" si="9227">AVERAGE(AT544,AT492,AT440)</f>
        <v>566271.41666666663</v>
      </c>
      <c r="AV596" s="64">
        <f t="shared" ref="AV596" si="9228">((AS596/AS544)-1)*100</f>
        <v>123.29722798436879</v>
      </c>
      <c r="AW596" s="64">
        <f t="shared" ref="AW596" si="9229">((AT596/AT544)-1)*100</f>
        <v>57.452832363280116</v>
      </c>
      <c r="AX596" s="64">
        <f t="shared" ref="AX596" si="9230">((AT596/AU596)-1)*100</f>
        <v>20.625857123579006</v>
      </c>
      <c r="AZ596" s="71">
        <f t="shared" ref="AZ596" si="9231">+E596/1000</f>
        <v>588.41600000000005</v>
      </c>
      <c r="BA596" s="53">
        <f t="shared" ref="BA596" si="9232">+O596/1000</f>
        <v>65.8</v>
      </c>
      <c r="BB596" s="53">
        <f t="shared" ref="BB596" si="9233">+Y596/1000</f>
        <v>141.15</v>
      </c>
      <c r="BC596" s="53">
        <f t="shared" ref="BC596" si="9234">+AI596/1000</f>
        <v>10.9</v>
      </c>
      <c r="BD596" s="53">
        <f t="shared" ref="BD596" si="9235">+AS596/1000</f>
        <v>806.26599999999996</v>
      </c>
      <c r="BE596" s="64">
        <f t="shared" ref="BE596" si="9236">BE595+AZ596</f>
        <v>4091.8090000000002</v>
      </c>
      <c r="BF596" s="64">
        <f t="shared" ref="BF596" si="9237">BF595+BA596</f>
        <v>378.21700000000004</v>
      </c>
      <c r="BG596" s="64">
        <f t="shared" ref="BG596" si="9238">BG595+BB596</f>
        <v>3426.9550000000004</v>
      </c>
      <c r="BH596" s="64">
        <f t="shared" ref="BH596" si="9239">BH595+BC596</f>
        <v>51.349999999999994</v>
      </c>
      <c r="BI596" s="64">
        <f t="shared" ref="BI596" si="9240">BI595+BD596</f>
        <v>7948.3309999999992</v>
      </c>
      <c r="BJ596" s="64">
        <f t="shared" si="9039"/>
        <v>13</v>
      </c>
    </row>
    <row r="597" spans="1:62" x14ac:dyDescent="0.3">
      <c r="A597" s="48">
        <f t="shared" si="8958"/>
        <v>41734</v>
      </c>
      <c r="B597" s="64">
        <v>299500</v>
      </c>
      <c r="C597" s="64">
        <v>186450</v>
      </c>
      <c r="D597" s="53">
        <v>5600</v>
      </c>
      <c r="E597" s="64">
        <f t="shared" ref="E597" si="9241">SUM(B597:D597)</f>
        <v>491550</v>
      </c>
      <c r="F597" s="64">
        <f t="shared" ref="F597" si="9242">AVERAGE(E594,E595,E596,E597)</f>
        <v>523975.5</v>
      </c>
      <c r="G597" s="71">
        <f t="shared" ref="G597" si="9243">AVERAGE(F545,F493,F441)</f>
        <v>329807.41666666669</v>
      </c>
      <c r="H597" s="64">
        <f t="shared" ref="H597" si="9244">((E597/E545)-1)*100</f>
        <v>245.91836734693877</v>
      </c>
      <c r="I597" s="64">
        <f t="shared" ref="I597" si="9245">((F597/F545)-1)*100</f>
        <v>220.1492674104579</v>
      </c>
      <c r="J597" s="64">
        <f t="shared" ref="J597" si="9246">((F597/G597)-1)*100</f>
        <v>58.873170681172773</v>
      </c>
      <c r="L597" s="53">
        <v>18700</v>
      </c>
      <c r="M597" s="53">
        <v>19200</v>
      </c>
      <c r="N597" s="53">
        <v>28000</v>
      </c>
      <c r="O597" s="53">
        <f t="shared" ref="O597" si="9247">SUM(L597:N597)</f>
        <v>65900</v>
      </c>
      <c r="P597" s="71">
        <f t="shared" ref="P597" si="9248">AVERAGE(O594,O595,O596,O597)</f>
        <v>58975</v>
      </c>
      <c r="Q597" s="71">
        <f t="shared" ref="Q597" si="9249">AVERAGE(P545,P493,P441)</f>
        <v>53919.25</v>
      </c>
      <c r="R597" s="64">
        <f t="shared" ref="R597" si="9250">((O597/O545)-1)*100</f>
        <v>29.342492639842988</v>
      </c>
      <c r="S597" s="73">
        <f t="shared" ref="S597" si="9251">((P597/P545)-1)*100</f>
        <v>-35.555252014752078</v>
      </c>
      <c r="T597" s="64">
        <f t="shared" ref="T597" si="9252">((P597/Q597)-1)*100</f>
        <v>9.376521372237189</v>
      </c>
      <c r="V597" s="64">
        <v>47100</v>
      </c>
      <c r="W597" s="64">
        <v>25900</v>
      </c>
      <c r="X597" s="64">
        <v>2800</v>
      </c>
      <c r="Y597" s="64">
        <f t="shared" ref="Y597:Y598" si="9253">SUM(V597:X597)</f>
        <v>75800</v>
      </c>
      <c r="Z597" s="71">
        <f t="shared" ref="Z597" si="9254">AVERAGE(Y594,Y595,Y596,Y597)</f>
        <v>124797</v>
      </c>
      <c r="AA597" s="71">
        <f t="shared" ref="AA597" si="9255">AVERAGE(Z545,Z493,Z441)</f>
        <v>145603.58333333334</v>
      </c>
      <c r="AB597" s="64">
        <f t="shared" ref="AB597" si="9256">((Y597/Y545)-1)*100</f>
        <v>-13.073394495412849</v>
      </c>
      <c r="AC597" s="64">
        <f t="shared" ref="AC597" si="9257">((Z597/Z545)-1)*100</f>
        <v>22.599104553123862</v>
      </c>
      <c r="AD597" s="64">
        <f t="shared" ref="AD597" si="9258">((Z597/AA597)-1)*100</f>
        <v>-14.289884120296959</v>
      </c>
      <c r="AF597" s="53">
        <v>0</v>
      </c>
      <c r="AG597" s="53">
        <v>0</v>
      </c>
      <c r="AH597" s="53">
        <v>1400</v>
      </c>
      <c r="AI597" s="53">
        <f t="shared" ref="AI597" si="9259">SUM(AF597:AH597)</f>
        <v>1400</v>
      </c>
      <c r="AJ597" s="71">
        <f t="shared" ref="AJ597" si="9260">AVERAGE(AI594,AI595,AI596,AI597)</f>
        <v>3425</v>
      </c>
      <c r="AK597" s="71">
        <f t="shared" ref="AK597" si="9261">AVERAGE(AJ545,AJ493,AJ441)</f>
        <v>9383.3333333333339</v>
      </c>
      <c r="AL597" s="64">
        <f t="shared" ref="AL597:AL601" si="9262">((AI597/AI545)-1)*100</f>
        <v>-82.389937106918239</v>
      </c>
      <c r="AM597" s="64">
        <f t="shared" ref="AM597" si="9263">((AJ597/AJ545)-1)*100</f>
        <v>-61.189801699716703</v>
      </c>
      <c r="AN597" s="64">
        <f t="shared" ref="AN597" si="9264">((AJ597/AK597)-1)*100</f>
        <v>-63.499111900532853</v>
      </c>
      <c r="AP597" s="60">
        <f t="shared" si="9222"/>
        <v>365300</v>
      </c>
      <c r="AQ597" s="60">
        <f t="shared" si="9223"/>
        <v>231550</v>
      </c>
      <c r="AR597" s="60">
        <f t="shared" ref="AR597" si="9265">SUM(D597,N597,X597,AH597)</f>
        <v>37800</v>
      </c>
      <c r="AS597" s="60">
        <f t="shared" ref="AS597" si="9266">SUM(E597,O597,Y597,AI597)</f>
        <v>634650</v>
      </c>
      <c r="AT597" s="64">
        <f t="shared" ref="AT597" si="9267">AVERAGE(AS594,AS595,AS596,AS597)</f>
        <v>711172.5</v>
      </c>
      <c r="AU597" s="71">
        <f t="shared" ref="AU597" si="9268">AVERAGE(AT545,AT493,AT441)</f>
        <v>538713.58333333337</v>
      </c>
      <c r="AV597" s="64">
        <f t="shared" ref="AV597" si="9269">((AS597/AS545)-1)*100</f>
        <v>120.21165857043718</v>
      </c>
      <c r="AW597" s="64">
        <f t="shared" ref="AW597" si="9270">((AT597/AT545)-1)*100</f>
        <v>94.417657370735753</v>
      </c>
      <c r="AX597" s="64">
        <f t="shared" ref="AX597" si="9271">((AT597/AU597)-1)*100</f>
        <v>32.013099725379732</v>
      </c>
      <c r="AZ597" s="71">
        <f t="shared" ref="AZ597" si="9272">+E597/1000</f>
        <v>491.55</v>
      </c>
      <c r="BA597" s="53">
        <f t="shared" ref="BA597" si="9273">+O597/1000</f>
        <v>65.900000000000006</v>
      </c>
      <c r="BB597" s="53">
        <f t="shared" ref="BB597" si="9274">+Y597/1000</f>
        <v>75.8</v>
      </c>
      <c r="BC597" s="53">
        <f t="shared" ref="BC597" si="9275">+AI597/1000</f>
        <v>1.4</v>
      </c>
      <c r="BD597" s="53">
        <f t="shared" ref="BD597" si="9276">+AS597/1000</f>
        <v>634.65</v>
      </c>
      <c r="BE597" s="64">
        <f t="shared" ref="BE597" si="9277">BE596+AZ597</f>
        <v>4583.3590000000004</v>
      </c>
      <c r="BF597" s="64">
        <f t="shared" ref="BF597" si="9278">BF596+BA597</f>
        <v>444.11700000000008</v>
      </c>
      <c r="BG597" s="64">
        <f t="shared" ref="BG597" si="9279">BG596+BB597</f>
        <v>3502.7550000000006</v>
      </c>
      <c r="BH597" s="64">
        <f t="shared" ref="BH597" si="9280">BH596+BC597</f>
        <v>52.749999999999993</v>
      </c>
      <c r="BI597" s="64">
        <f t="shared" ref="BI597" si="9281">BI596+BD597</f>
        <v>8582.9809999999998</v>
      </c>
      <c r="BJ597" s="64">
        <f t="shared" si="9039"/>
        <v>14</v>
      </c>
    </row>
    <row r="598" spans="1:62" x14ac:dyDescent="0.3">
      <c r="A598" s="48">
        <f t="shared" si="8958"/>
        <v>41741</v>
      </c>
      <c r="B598" s="64">
        <v>277400</v>
      </c>
      <c r="C598" s="64">
        <v>203450</v>
      </c>
      <c r="D598" s="53">
        <v>4200</v>
      </c>
      <c r="E598" s="64">
        <f t="shared" ref="E598:E599" si="9282">SUM(B598:D598)</f>
        <v>485050</v>
      </c>
      <c r="F598" s="64">
        <f t="shared" ref="F598" si="9283">AVERAGE(E595,E596,E597,E598)</f>
        <v>511479</v>
      </c>
      <c r="G598" s="71">
        <f t="shared" ref="G598" si="9284">AVERAGE(F546,F494,F442)</f>
        <v>335809.16666666669</v>
      </c>
      <c r="H598" s="64">
        <f t="shared" ref="H598" si="9285">((E598/E546)-1)*100</f>
        <v>184.32004689331771</v>
      </c>
      <c r="I598" s="64">
        <f t="shared" ref="I598" si="9286">((F598/F546)-1)*100</f>
        <v>213.50854368842772</v>
      </c>
      <c r="J598" s="64">
        <f t="shared" ref="J598" si="9287">((F598/G598)-1)*100</f>
        <v>52.312399651587825</v>
      </c>
      <c r="L598" s="53">
        <v>17644</v>
      </c>
      <c r="M598" s="53">
        <v>21150</v>
      </c>
      <c r="N598" s="53">
        <v>21000</v>
      </c>
      <c r="O598" s="53">
        <f t="shared" ref="O598" si="9288">SUM(L598:N598)</f>
        <v>59794</v>
      </c>
      <c r="P598" s="71">
        <f t="shared" ref="P598" si="9289">AVERAGE(O595,O596,O597,O598)</f>
        <v>62248.5</v>
      </c>
      <c r="Q598" s="71">
        <f t="shared" ref="Q598" si="9290">AVERAGE(P546,P494,P442)</f>
        <v>53634.916666666664</v>
      </c>
      <c r="R598" s="64">
        <f t="shared" ref="R598" si="9291">((O598/O546)-1)*100</f>
        <v>-29.279716144293321</v>
      </c>
      <c r="S598" s="73">
        <f t="shared" ref="S598" si="9292">((P598/P546)-1)*100</f>
        <v>-25.62903225806452</v>
      </c>
      <c r="T598" s="64">
        <f t="shared" ref="T598" si="9293">((P598/Q598)-1)*100</f>
        <v>16.059656411634847</v>
      </c>
      <c r="V598" s="64">
        <v>125276</v>
      </c>
      <c r="W598" s="64">
        <v>31950</v>
      </c>
      <c r="X598" s="53">
        <v>0</v>
      </c>
      <c r="Y598" s="64">
        <f t="shared" si="9253"/>
        <v>157226</v>
      </c>
      <c r="Z598" s="71">
        <f t="shared" ref="Z598" si="9294">AVERAGE(Y595,Y596,Y597,Y598)</f>
        <v>120631.5</v>
      </c>
      <c r="AA598" s="71">
        <f t="shared" ref="AA598" si="9295">AVERAGE(Z546,Z494,Z442)</f>
        <v>135198.08333333334</v>
      </c>
      <c r="AB598" s="64">
        <f t="shared" ref="AB598" si="9296">((Y598/Y546)-1)*100</f>
        <v>90.692540933899338</v>
      </c>
      <c r="AC598" s="64">
        <f t="shared" ref="AC598" si="9297">((Z598/Z546)-1)*100</f>
        <v>43.173867503805411</v>
      </c>
      <c r="AD598" s="64">
        <f t="shared" ref="AD598" si="9298">((Z598/AA598)-1)*100</f>
        <v>-10.774252840122866</v>
      </c>
      <c r="AF598" s="53">
        <v>3200</v>
      </c>
      <c r="AG598" s="53">
        <v>0</v>
      </c>
      <c r="AH598" s="53">
        <v>2800</v>
      </c>
      <c r="AI598" s="53">
        <f t="shared" ref="AI598" si="9299">SUM(AF598:AH598)</f>
        <v>6000</v>
      </c>
      <c r="AJ598" s="71">
        <f t="shared" ref="AJ598" si="9300">AVERAGE(AI595,AI596,AI597,AI598)</f>
        <v>4575</v>
      </c>
      <c r="AK598" s="71">
        <f t="shared" ref="AK598" si="9301">AVERAGE(AJ546,AJ494,AJ442)</f>
        <v>9029.1666666666661</v>
      </c>
      <c r="AL598" s="64"/>
      <c r="AM598" s="64">
        <f t="shared" ref="AM598" si="9302">((AJ598/AJ546)-1)*100</f>
        <v>-45.45454545454546</v>
      </c>
      <c r="AN598" s="64">
        <f t="shared" ref="AN598" si="9303">((AJ598/AK598)-1)*100</f>
        <v>-49.330872173511764</v>
      </c>
      <c r="AP598" s="60">
        <f t="shared" ref="AP598:AP599" si="9304">SUM(B598,L598,V598,AF598)</f>
        <v>423520</v>
      </c>
      <c r="AQ598" s="60">
        <f t="shared" ref="AQ598:AQ599" si="9305">SUM(C598,M598,W598,AG598)</f>
        <v>256550</v>
      </c>
      <c r="AR598" s="60">
        <f t="shared" ref="AR598" si="9306">SUM(D598,N598,X598,AH598)</f>
        <v>28000</v>
      </c>
      <c r="AS598" s="60">
        <f t="shared" ref="AS598" si="9307">SUM(E598,O598,Y598,AI598)</f>
        <v>708070</v>
      </c>
      <c r="AT598" s="64">
        <f t="shared" ref="AT598" si="9308">AVERAGE(AS595,AS596,AS597,AS598)</f>
        <v>698934</v>
      </c>
      <c r="AU598" s="71">
        <f t="shared" ref="AU598" si="9309">AVERAGE(AT546,AT494,AT442)</f>
        <v>533671.33333333337</v>
      </c>
      <c r="AV598" s="64">
        <f t="shared" ref="AV598" si="9310">((AS598/AS546)-1)*100</f>
        <v>109.73637440758294</v>
      </c>
      <c r="AW598" s="64">
        <f t="shared" ref="AW598" si="9311">((AT598/AT546)-1)*100</f>
        <v>105.87794320590179</v>
      </c>
      <c r="AX598" s="64">
        <f t="shared" ref="AX598" si="9312">((AT598/AU598)-1)*100</f>
        <v>30.96712458479438</v>
      </c>
      <c r="AZ598" s="71">
        <f t="shared" ref="AZ598" si="9313">+E598/1000</f>
        <v>485.05</v>
      </c>
      <c r="BA598" s="53">
        <f t="shared" ref="BA598" si="9314">+O598/1000</f>
        <v>59.793999999999997</v>
      </c>
      <c r="BB598" s="53">
        <f t="shared" ref="BB598" si="9315">+Y598/1000</f>
        <v>157.226</v>
      </c>
      <c r="BC598" s="53">
        <f t="shared" ref="BC598" si="9316">+AI598/1000</f>
        <v>6</v>
      </c>
      <c r="BD598" s="53">
        <f t="shared" ref="BD598" si="9317">+AS598/1000</f>
        <v>708.07</v>
      </c>
      <c r="BE598" s="64">
        <f t="shared" ref="BE598" si="9318">BE597+AZ598</f>
        <v>5068.4090000000006</v>
      </c>
      <c r="BF598" s="64">
        <f t="shared" ref="BF598" si="9319">BF597+BA598</f>
        <v>503.91100000000006</v>
      </c>
      <c r="BG598" s="64">
        <f t="shared" ref="BG598" si="9320">BG597+BB598</f>
        <v>3659.9810000000007</v>
      </c>
      <c r="BH598" s="64">
        <f t="shared" ref="BH598" si="9321">BH597+BC598</f>
        <v>58.749999999999993</v>
      </c>
      <c r="BI598" s="64">
        <f t="shared" ref="BI598" si="9322">BI597+BD598</f>
        <v>9291.0509999999995</v>
      </c>
      <c r="BJ598" s="64">
        <f t="shared" si="9039"/>
        <v>15</v>
      </c>
    </row>
    <row r="599" spans="1:62" x14ac:dyDescent="0.3">
      <c r="A599" s="48">
        <f t="shared" si="8958"/>
        <v>41748</v>
      </c>
      <c r="B599" s="64">
        <v>332238</v>
      </c>
      <c r="C599" s="64">
        <v>158521</v>
      </c>
      <c r="D599" s="53">
        <v>0</v>
      </c>
      <c r="E599" s="64">
        <f t="shared" si="9282"/>
        <v>490759</v>
      </c>
      <c r="F599" s="64">
        <f t="shared" ref="F599" si="9323">AVERAGE(E596,E597,E598,E599)</f>
        <v>513943.75</v>
      </c>
      <c r="G599" s="71">
        <f t="shared" ref="G599" si="9324">AVERAGE(F547,F495,F443)</f>
        <v>314964.41666666669</v>
      </c>
      <c r="H599" s="64">
        <f t="shared" ref="H599" si="9325">((E599/E547)-1)*100</f>
        <v>324.78555539205922</v>
      </c>
      <c r="I599" s="64">
        <f t="shared" ref="I599" si="9326">((F599/F547)-1)*100</f>
        <v>230.50088582645517</v>
      </c>
      <c r="J599" s="64">
        <f t="shared" ref="J599" si="9327">((F599/G599)-1)*100</f>
        <v>63.175178783423405</v>
      </c>
      <c r="L599" s="53">
        <v>1600</v>
      </c>
      <c r="M599" s="53">
        <v>13750</v>
      </c>
      <c r="N599" s="53">
        <v>33600</v>
      </c>
      <c r="O599" s="53">
        <f t="shared" ref="O599" si="9328">SUM(L599:N599)</f>
        <v>48950</v>
      </c>
      <c r="P599" s="71">
        <f t="shared" ref="P599" si="9329">AVERAGE(O596,O597,O598,O599)</f>
        <v>60111</v>
      </c>
      <c r="Q599" s="71">
        <f t="shared" ref="Q599" si="9330">AVERAGE(P547,P495,P443)</f>
        <v>50585.333333333336</v>
      </c>
      <c r="R599" s="64">
        <f t="shared" ref="R599" si="9331">((O599/O547)-1)*100</f>
        <v>-19.423868312757197</v>
      </c>
      <c r="S599" s="73">
        <f t="shared" ref="S599" si="9332">((P599/P547)-1)*100</f>
        <v>-14.569550541836918</v>
      </c>
      <c r="T599" s="64">
        <f t="shared" ref="T599" si="9333">((P599/Q599)-1)*100</f>
        <v>18.830886422942083</v>
      </c>
      <c r="V599" s="64">
        <v>106100</v>
      </c>
      <c r="W599" s="64">
        <v>21036</v>
      </c>
      <c r="X599" s="64">
        <v>4200</v>
      </c>
      <c r="Y599" s="64">
        <f t="shared" ref="Y599" si="9334">SUM(V599:X599)</f>
        <v>131336</v>
      </c>
      <c r="Z599" s="71">
        <f t="shared" ref="Z599" si="9335">AVERAGE(Y596,Y597,Y598,Y599)</f>
        <v>126378</v>
      </c>
      <c r="AA599" s="71">
        <f t="shared" ref="AA599" si="9336">AVERAGE(Z547,Z495,Z443)</f>
        <v>126481</v>
      </c>
      <c r="AB599" s="64">
        <f t="shared" ref="AB599" si="9337">((Y599/Y547)-1)*100</f>
        <v>133.41153053245182</v>
      </c>
      <c r="AC599" s="64">
        <f t="shared" ref="AC599" si="9338">((Z599/Z547)-1)*100</f>
        <v>76.011476163284627</v>
      </c>
      <c r="AD599" s="64">
        <f t="shared" ref="AD599" si="9339">((Z599/AA599)-1)*100</f>
        <v>-8.143515626852782E-2</v>
      </c>
      <c r="AF599" s="53">
        <v>0</v>
      </c>
      <c r="AG599" s="53">
        <v>0</v>
      </c>
      <c r="AH599" s="53">
        <v>1400</v>
      </c>
      <c r="AI599" s="53">
        <f t="shared" ref="AI599:AI603" si="9340">SUM(AF599:AH599)</f>
        <v>1400</v>
      </c>
      <c r="AJ599" s="71">
        <f t="shared" ref="AJ599" si="9341">AVERAGE(AI596,AI597,AI598,AI599)</f>
        <v>4925</v>
      </c>
      <c r="AK599" s="71">
        <f t="shared" ref="AK599" si="9342">AVERAGE(AJ547,AJ495,AJ443)</f>
        <v>7266.666666666667</v>
      </c>
      <c r="AL599" s="64">
        <f t="shared" si="9262"/>
        <v>-73.333333333333343</v>
      </c>
      <c r="AM599" s="64">
        <f t="shared" ref="AM599" si="9343">((AJ599/AJ547)-1)*100</f>
        <v>-42.058823529411761</v>
      </c>
      <c r="AN599" s="64">
        <f t="shared" ref="AN599" si="9344">((AJ599/AK599)-1)*100</f>
        <v>-32.22477064220184</v>
      </c>
      <c r="AP599" s="60">
        <f t="shared" si="9304"/>
        <v>439938</v>
      </c>
      <c r="AQ599" s="60">
        <f t="shared" si="9305"/>
        <v>193307</v>
      </c>
      <c r="AR599" s="60">
        <f t="shared" ref="AR599" si="9345">SUM(D599,N599,X599,AH599)</f>
        <v>39200</v>
      </c>
      <c r="AS599" s="60">
        <f t="shared" ref="AS599" si="9346">SUM(E599,O599,Y599,AI599)</f>
        <v>672445</v>
      </c>
      <c r="AT599" s="64">
        <f t="shared" ref="AT599" si="9347">AVERAGE(AS596,AS597,AS598,AS599)</f>
        <v>705357.75</v>
      </c>
      <c r="AU599" s="71">
        <f t="shared" ref="AU599" si="9348">AVERAGE(AT547,AT495,AT443)</f>
        <v>499297.41666666669</v>
      </c>
      <c r="AV599" s="64">
        <f t="shared" ref="AV599" si="9349">((AS599/AS547)-1)*100</f>
        <v>182.77873329997183</v>
      </c>
      <c r="AW599" s="64">
        <f t="shared" ref="AW599" si="9350">((AT599/AT547)-1)*100</f>
        <v>130.38258407149016</v>
      </c>
      <c r="AX599" s="64">
        <f t="shared" ref="AX599" si="9351">((AT599/AU599)-1)*100</f>
        <v>41.270057976466589</v>
      </c>
      <c r="AZ599" s="71">
        <f t="shared" ref="AZ599" si="9352">+E599/1000</f>
        <v>490.75900000000001</v>
      </c>
      <c r="BA599" s="53">
        <f t="shared" ref="BA599" si="9353">+O599/1000</f>
        <v>48.95</v>
      </c>
      <c r="BB599" s="53">
        <f t="shared" ref="BB599" si="9354">+Y599/1000</f>
        <v>131.33600000000001</v>
      </c>
      <c r="BC599" s="53">
        <f t="shared" ref="BC599" si="9355">+AI599/1000</f>
        <v>1.4</v>
      </c>
      <c r="BD599" s="53">
        <f t="shared" ref="BD599" si="9356">+AS599/1000</f>
        <v>672.44500000000005</v>
      </c>
      <c r="BE599" s="64">
        <f t="shared" ref="BE599" si="9357">BE598+AZ599</f>
        <v>5559.1680000000006</v>
      </c>
      <c r="BF599" s="64">
        <f t="shared" ref="BF599" si="9358">BF598+BA599</f>
        <v>552.8610000000001</v>
      </c>
      <c r="BG599" s="64">
        <f t="shared" ref="BG599" si="9359">BG598+BB599</f>
        <v>3791.3170000000009</v>
      </c>
      <c r="BH599" s="64">
        <f t="shared" ref="BH599" si="9360">BH598+BC599</f>
        <v>60.149999999999991</v>
      </c>
      <c r="BI599" s="64">
        <f t="shared" ref="BI599" si="9361">BI598+BD599</f>
        <v>9963.4959999999992</v>
      </c>
      <c r="BJ599" s="64">
        <f t="shared" si="9039"/>
        <v>16</v>
      </c>
    </row>
    <row r="600" spans="1:62" x14ac:dyDescent="0.3">
      <c r="A600" s="48">
        <f t="shared" si="8958"/>
        <v>41755</v>
      </c>
      <c r="B600" s="64">
        <v>321473</v>
      </c>
      <c r="C600" s="64">
        <v>171558</v>
      </c>
      <c r="D600" s="53">
        <v>4200</v>
      </c>
      <c r="E600" s="64">
        <f t="shared" ref="E600:E617" si="9362">SUM(B600:D600)</f>
        <v>497231</v>
      </c>
      <c r="F600" s="64">
        <f t="shared" ref="F600" si="9363">AVERAGE(E597,E598,E599,E600)</f>
        <v>491147.5</v>
      </c>
      <c r="G600" s="71">
        <f t="shared" ref="G600" si="9364">AVERAGE(F548,F496,F444)</f>
        <v>269769</v>
      </c>
      <c r="H600" s="64">
        <f t="shared" ref="H600" si="9365">((E600/E548)-1)*100</f>
        <v>1093.8319327731092</v>
      </c>
      <c r="I600" s="64">
        <f t="shared" ref="I600" si="9366">((F600/F548)-1)*100</f>
        <v>318.10373264720215</v>
      </c>
      <c r="J600" s="64">
        <f t="shared" ref="J600" si="9367">((F600/G600)-1)*100</f>
        <v>82.06224584737312</v>
      </c>
      <c r="L600" s="53">
        <v>9124</v>
      </c>
      <c r="M600" s="53">
        <v>0</v>
      </c>
      <c r="N600" s="53">
        <v>18200</v>
      </c>
      <c r="O600" s="53">
        <f t="shared" ref="O600" si="9368">SUM(L600:N600)</f>
        <v>27324</v>
      </c>
      <c r="P600" s="71">
        <f t="shared" ref="P600" si="9369">AVERAGE(O597,O598,O599,O600)</f>
        <v>50492</v>
      </c>
      <c r="Q600" s="71">
        <f t="shared" ref="Q600" si="9370">AVERAGE(P548,P496,P444)</f>
        <v>44315.916666666664</v>
      </c>
      <c r="R600" s="64">
        <f t="shared" ref="R600" si="9371">((O600/O548)-1)*100</f>
        <v>-36.233372228704788</v>
      </c>
      <c r="S600" s="73">
        <f t="shared" ref="S600" si="9372">((P600/P548)-1)*100</f>
        <v>-15.529903805938938</v>
      </c>
      <c r="T600" s="64">
        <f t="shared" ref="T600" si="9373">((P600/Q600)-1)*100</f>
        <v>13.936490087271135</v>
      </c>
      <c r="V600" s="64">
        <v>69600</v>
      </c>
      <c r="W600" s="64">
        <v>20850</v>
      </c>
      <c r="X600" s="64">
        <v>2800</v>
      </c>
      <c r="Y600" s="64">
        <f t="shared" ref="Y600" si="9374">SUM(V600:X600)</f>
        <v>93250</v>
      </c>
      <c r="Z600" s="71">
        <f t="shared" ref="Z600" si="9375">AVERAGE(Y597,Y598,Y599,Y600)</f>
        <v>114403</v>
      </c>
      <c r="AA600" s="71">
        <f t="shared" ref="AA600" si="9376">AVERAGE(Z548,Z496,Z444)</f>
        <v>109021.91666666667</v>
      </c>
      <c r="AB600" s="64">
        <f t="shared" ref="AB600" si="9377">((Y600/Y548)-1)*100</f>
        <v>176.50931087652708</v>
      </c>
      <c r="AC600" s="64">
        <f t="shared" ref="AC600" si="9378">((Z600/Z548)-1)*100</f>
        <v>76.247294351453164</v>
      </c>
      <c r="AD600" s="64">
        <f t="shared" ref="AD600" si="9379">((Z600/AA600)-1)*100</f>
        <v>4.9357812611072749</v>
      </c>
      <c r="AF600" s="53">
        <v>6000</v>
      </c>
      <c r="AG600" s="53">
        <v>0</v>
      </c>
      <c r="AH600" s="53">
        <v>0</v>
      </c>
      <c r="AI600" s="53">
        <f t="shared" si="9340"/>
        <v>6000</v>
      </c>
      <c r="AJ600" s="71">
        <f t="shared" ref="AJ600" si="9380">AVERAGE(AI597,AI598,AI599,AI600)</f>
        <v>3700</v>
      </c>
      <c r="AK600" s="71">
        <f t="shared" ref="AK600" si="9381">AVERAGE(AJ548,AJ496,AJ444)</f>
        <v>5154.166666666667</v>
      </c>
      <c r="AL600" s="64"/>
      <c r="AM600" s="64">
        <f t="shared" ref="AM600" si="9382">((AJ600/AJ548)-1)*100</f>
        <v>12.12121212121211</v>
      </c>
      <c r="AN600" s="64">
        <f t="shared" ref="AN600" si="9383">((AJ600/AK600)-1)*100</f>
        <v>-28.213419563459986</v>
      </c>
      <c r="AP600" s="60">
        <f t="shared" ref="AP600:AP601" si="9384">SUM(B600,L600,V600,AF600)</f>
        <v>406197</v>
      </c>
      <c r="AQ600" s="60">
        <f t="shared" ref="AQ600:AQ601" si="9385">SUM(C600,M600,W600,AG600)</f>
        <v>192408</v>
      </c>
      <c r="AR600" s="60">
        <f t="shared" ref="AR600:AR601" si="9386">SUM(D600,N600,X600,AH600)</f>
        <v>25200</v>
      </c>
      <c r="AS600" s="60">
        <f t="shared" ref="AS600:AS601" si="9387">SUM(E600,O600,Y600,AI600)</f>
        <v>623805</v>
      </c>
      <c r="AT600" s="64">
        <f t="shared" ref="AT600" si="9388">AVERAGE(AS597,AS598,AS599,AS600)</f>
        <v>659742.5</v>
      </c>
      <c r="AU600" s="71">
        <f t="shared" ref="AU600" si="9389">AVERAGE(AT548,AT496,AT444)</f>
        <v>428261</v>
      </c>
      <c r="AV600" s="64">
        <f t="shared" ref="AV600" si="9390">((AS600/AS548)-1)*100</f>
        <v>427.64667072675604</v>
      </c>
      <c r="AW600" s="64">
        <f t="shared" ref="AW600" si="9391">((AT600/AT548)-1)*100</f>
        <v>168.78266245545274</v>
      </c>
      <c r="AX600" s="64">
        <f t="shared" ref="AX600" si="9392">((AT600/AU600)-1)*100</f>
        <v>54.05150130411127</v>
      </c>
      <c r="AZ600" s="71">
        <f t="shared" ref="AZ600" si="9393">+E600/1000</f>
        <v>497.23099999999999</v>
      </c>
      <c r="BA600" s="53">
        <f t="shared" ref="BA600" si="9394">+O600/1000</f>
        <v>27.324000000000002</v>
      </c>
      <c r="BB600" s="53">
        <f t="shared" ref="BB600" si="9395">+Y600/1000</f>
        <v>93.25</v>
      </c>
      <c r="BC600" s="53">
        <f t="shared" ref="BC600" si="9396">+AI600/1000</f>
        <v>6</v>
      </c>
      <c r="BD600" s="53">
        <f t="shared" ref="BD600" si="9397">+AS600/1000</f>
        <v>623.80499999999995</v>
      </c>
      <c r="BE600" s="64">
        <f t="shared" ref="BE600" si="9398">BE599+AZ600</f>
        <v>6056.3990000000003</v>
      </c>
      <c r="BF600" s="64">
        <f t="shared" ref="BF600" si="9399">BF599+BA600</f>
        <v>580.18500000000006</v>
      </c>
      <c r="BG600" s="64">
        <f t="shared" ref="BG600" si="9400">BG599+BB600</f>
        <v>3884.5670000000009</v>
      </c>
      <c r="BH600" s="64">
        <f t="shared" ref="BH600" si="9401">BH599+BC600</f>
        <v>66.149999999999991</v>
      </c>
      <c r="BI600" s="64">
        <f t="shared" ref="BI600" si="9402">BI599+BD600</f>
        <v>10587.300999999999</v>
      </c>
      <c r="BJ600" s="64">
        <f t="shared" si="9039"/>
        <v>17</v>
      </c>
    </row>
    <row r="601" spans="1:62" x14ac:dyDescent="0.3">
      <c r="A601" s="48">
        <f t="shared" si="8958"/>
        <v>41762</v>
      </c>
      <c r="B601" s="64">
        <v>495600</v>
      </c>
      <c r="C601" s="64">
        <v>135150</v>
      </c>
      <c r="D601" s="53">
        <v>0</v>
      </c>
      <c r="E601" s="64">
        <f t="shared" si="9362"/>
        <v>630750</v>
      </c>
      <c r="F601" s="64">
        <f t="shared" ref="F601" si="9403">AVERAGE(E598,E599,E600,E601)</f>
        <v>525947.5</v>
      </c>
      <c r="G601" s="71">
        <f t="shared" ref="G601" si="9404">AVERAGE(F549,F497,F445)</f>
        <v>270528.66666666669</v>
      </c>
      <c r="H601" s="64">
        <f t="shared" ref="H601" si="9405">((E601/E549)-1)*100</f>
        <v>117.2221055132916</v>
      </c>
      <c r="I601" s="64">
        <f t="shared" ref="I601" si="9406">((F601/F549)-1)*100</f>
        <v>240.33538676571459</v>
      </c>
      <c r="J601" s="64">
        <f t="shared" ref="J601" si="9407">((F601/G601)-1)*100</f>
        <v>94.414701584305291</v>
      </c>
      <c r="L601" s="53">
        <v>16000</v>
      </c>
      <c r="M601" s="53">
        <v>5250</v>
      </c>
      <c r="N601" s="53">
        <v>40400</v>
      </c>
      <c r="O601" s="53">
        <f t="shared" ref="O601" si="9408">SUM(L601:N601)</f>
        <v>61650</v>
      </c>
      <c r="P601" s="71">
        <f t="shared" ref="P601" si="9409">AVERAGE(O598,O599,O600,O601)</f>
        <v>49429.5</v>
      </c>
      <c r="Q601" s="71">
        <f t="shared" ref="Q601" si="9410">AVERAGE(P549,P497,P445)</f>
        <v>42129.333333333336</v>
      </c>
      <c r="R601" s="64">
        <f t="shared" ref="R601" si="9411">((O601/O549)-1)*100</f>
        <v>6.2729482339556331</v>
      </c>
      <c r="S601" s="73">
        <f t="shared" ref="S601" si="9412">((P601/P549)-1)*100</f>
        <v>-19.679396817529991</v>
      </c>
      <c r="T601" s="64">
        <f t="shared" ref="T601" si="9413">((P601/Q601)-1)*100</f>
        <v>17.327989999050541</v>
      </c>
      <c r="V601" s="64">
        <v>70600</v>
      </c>
      <c r="W601" s="64">
        <v>20900</v>
      </c>
      <c r="X601" s="64">
        <v>4200</v>
      </c>
      <c r="Y601" s="64">
        <f t="shared" ref="Y601" si="9414">SUM(V601:X601)</f>
        <v>95700</v>
      </c>
      <c r="Z601" s="71">
        <f t="shared" ref="Z601" si="9415">AVERAGE(Y598,Y599,Y600,Y601)</f>
        <v>119378</v>
      </c>
      <c r="AA601" s="71">
        <f t="shared" ref="AA601" si="9416">AVERAGE(Z549,Z497,Z445)</f>
        <v>105372.91666666667</v>
      </c>
      <c r="AB601" s="64">
        <f t="shared" ref="AB601" si="9417">((Y601/Y549)-1)*100</f>
        <v>-5.3094017770565767</v>
      </c>
      <c r="AC601" s="64">
        <f t="shared" ref="AC601" si="9418">((Z601/Z549)-1)*100</f>
        <v>74.58794623923248</v>
      </c>
      <c r="AD601" s="64">
        <f t="shared" ref="AD601" si="9419">((Z601/AA601)-1)*100</f>
        <v>13.290970560904714</v>
      </c>
      <c r="AF601" s="53">
        <v>0</v>
      </c>
      <c r="AG601" s="53">
        <v>0</v>
      </c>
      <c r="AH601" s="53">
        <v>0</v>
      </c>
      <c r="AI601" s="53">
        <f t="shared" si="9340"/>
        <v>0</v>
      </c>
      <c r="AJ601" s="71">
        <f t="shared" ref="AJ601" si="9420">AVERAGE(AI598,AI599,AI600,AI601)</f>
        <v>3350</v>
      </c>
      <c r="AK601" s="71">
        <f t="shared" ref="AK601" si="9421">AVERAGE(AJ549,AJ497,AJ445)</f>
        <v>5208.333333333333</v>
      </c>
      <c r="AL601" s="64">
        <f t="shared" si="9262"/>
        <v>-100</v>
      </c>
      <c r="AM601" s="64">
        <f t="shared" ref="AM601" si="9422">((AJ601/AJ549)-1)*100</f>
        <v>-25.761772853185594</v>
      </c>
      <c r="AN601" s="64">
        <f t="shared" ref="AN601" si="9423">((AJ601/AK601)-1)*100</f>
        <v>-35.68</v>
      </c>
      <c r="AP601" s="60">
        <f t="shared" si="9384"/>
        <v>582200</v>
      </c>
      <c r="AQ601" s="60">
        <f t="shared" si="9385"/>
        <v>161300</v>
      </c>
      <c r="AR601" s="60">
        <f t="shared" si="9386"/>
        <v>44600</v>
      </c>
      <c r="AS601" s="60">
        <f t="shared" si="9387"/>
        <v>788100</v>
      </c>
      <c r="AT601" s="64">
        <f t="shared" ref="AT601" si="9424">AVERAGE(AS598,AS599,AS600,AS601)</f>
        <v>698105</v>
      </c>
      <c r="AU601" s="71">
        <f t="shared" ref="AU601" si="9425">AVERAGE(AT549,AT497,AT445)</f>
        <v>423239.25</v>
      </c>
      <c r="AV601" s="64">
        <f t="shared" ref="AV601" si="9426">((AS601/AS549)-1)*100</f>
        <v>70.492895588515253</v>
      </c>
      <c r="AW601" s="64">
        <f t="shared" ref="AW601" si="9427">((AT601/AT549)-1)*100</f>
        <v>141.58578249648968</v>
      </c>
      <c r="AX601" s="64">
        <f t="shared" ref="AX601" si="9428">((AT601/AU601)-1)*100</f>
        <v>64.943350598981553</v>
      </c>
      <c r="AZ601" s="71">
        <f t="shared" ref="AZ601" si="9429">+E601/1000</f>
        <v>630.75</v>
      </c>
      <c r="BA601" s="53">
        <f t="shared" ref="BA601" si="9430">+O601/1000</f>
        <v>61.65</v>
      </c>
      <c r="BB601" s="53">
        <f t="shared" ref="BB601" si="9431">+Y601/1000</f>
        <v>95.7</v>
      </c>
      <c r="BC601" s="53">
        <f t="shared" ref="BC601" si="9432">+AI601/1000</f>
        <v>0</v>
      </c>
      <c r="BD601" s="53">
        <f t="shared" ref="BD601" si="9433">+AS601/1000</f>
        <v>788.1</v>
      </c>
      <c r="BE601" s="64">
        <f t="shared" ref="BE601" si="9434">BE600+AZ601</f>
        <v>6687.1490000000003</v>
      </c>
      <c r="BF601" s="64">
        <f t="shared" ref="BF601" si="9435">BF600+BA601</f>
        <v>641.83500000000004</v>
      </c>
      <c r="BG601" s="64">
        <f t="shared" ref="BG601" si="9436">BG600+BB601</f>
        <v>3980.2670000000007</v>
      </c>
      <c r="BH601" s="64">
        <f t="shared" ref="BH601" si="9437">BH600+BC601</f>
        <v>66.149999999999991</v>
      </c>
      <c r="BI601" s="64">
        <f t="shared" ref="BI601" si="9438">BI600+BD601</f>
        <v>11375.401</v>
      </c>
      <c r="BJ601" s="64">
        <f t="shared" si="9039"/>
        <v>18</v>
      </c>
    </row>
    <row r="602" spans="1:62" x14ac:dyDescent="0.3">
      <c r="A602" s="48">
        <f t="shared" si="8958"/>
        <v>41769</v>
      </c>
      <c r="B602" s="64">
        <v>430300</v>
      </c>
      <c r="C602" s="64">
        <v>117250</v>
      </c>
      <c r="D602" s="53">
        <v>0</v>
      </c>
      <c r="E602" s="64">
        <f t="shared" si="9362"/>
        <v>547550</v>
      </c>
      <c r="F602" s="64">
        <f t="shared" ref="F602" si="9439">AVERAGE(E599,E600,E601,E602)</f>
        <v>541572.5</v>
      </c>
      <c r="G602" s="71">
        <f t="shared" ref="G602" si="9440">AVERAGE(F550,F498,F446)</f>
        <v>277717.16666666669</v>
      </c>
      <c r="H602" s="64">
        <f t="shared" ref="H602" si="9441">((E602/E550)-1)*100</f>
        <v>171.1099888099977</v>
      </c>
      <c r="I602" s="64">
        <f t="shared" ref="I602" si="9442">((F602/F550)-1)*100</f>
        <v>233.52270452858889</v>
      </c>
      <c r="J602" s="64">
        <f t="shared" ref="J602" si="9443">((F602/G602)-1)*100</f>
        <v>95.008650887623673</v>
      </c>
      <c r="L602" s="53">
        <v>9300</v>
      </c>
      <c r="M602" s="53">
        <v>1750</v>
      </c>
      <c r="N602" s="53">
        <v>25600</v>
      </c>
      <c r="O602" s="53">
        <f t="shared" ref="O602" si="9444">SUM(L602:N602)</f>
        <v>36650</v>
      </c>
      <c r="P602" s="71">
        <f t="shared" ref="P602" si="9445">AVERAGE(O599,O600,O601,O602)</f>
        <v>43643.5</v>
      </c>
      <c r="Q602" s="71">
        <f t="shared" ref="Q602" si="9446">AVERAGE(P550,P498,P446)</f>
        <v>36233.333333333336</v>
      </c>
      <c r="R602" s="64">
        <f t="shared" ref="R602" si="9447">((O602/O550)-1)*100</f>
        <v>-10.900957845091652</v>
      </c>
      <c r="S602" s="73">
        <f t="shared" ref="S602" si="9448">((P602/P550)-1)*100</f>
        <v>-13.894793952995144</v>
      </c>
      <c r="T602" s="64">
        <f t="shared" ref="T602" si="9449">((P602/Q602)-1)*100</f>
        <v>20.451241950321975</v>
      </c>
      <c r="V602" s="64">
        <v>101500</v>
      </c>
      <c r="W602" s="64">
        <v>23117</v>
      </c>
      <c r="X602" s="64">
        <v>2800</v>
      </c>
      <c r="Y602" s="64">
        <f t="shared" ref="Y602" si="9450">SUM(V602:X602)</f>
        <v>127417</v>
      </c>
      <c r="Z602" s="71">
        <f t="shared" ref="Z602" si="9451">AVERAGE(Y599,Y600,Y601,Y602)</f>
        <v>111925.75</v>
      </c>
      <c r="AA602" s="71">
        <f t="shared" ref="AA602" si="9452">AVERAGE(Z550,Z498,Z446)</f>
        <v>103914.08333333333</v>
      </c>
      <c r="AB602" s="64">
        <f t="shared" ref="AB602" si="9453">((Y602/Y550)-1)*100</f>
        <v>81.769807983109359</v>
      </c>
      <c r="AC602" s="64">
        <f t="shared" ref="AC602" si="9454">((Z602/Z550)-1)*100</f>
        <v>71.431251818836245</v>
      </c>
      <c r="AD602" s="64">
        <f t="shared" ref="AD602" si="9455">((Z602/AA602)-1)*100</f>
        <v>7.7098949532827143</v>
      </c>
      <c r="AF602" s="53">
        <v>1600</v>
      </c>
      <c r="AG602" s="53">
        <v>0</v>
      </c>
      <c r="AH602" s="53">
        <v>0</v>
      </c>
      <c r="AI602" s="53">
        <f t="shared" si="9340"/>
        <v>1600</v>
      </c>
      <c r="AJ602" s="71">
        <f t="shared" ref="AJ602" si="9456">AVERAGE(AI599,AI600,AI601,AI602)</f>
        <v>2250</v>
      </c>
      <c r="AK602" s="71">
        <f t="shared" ref="AK602" si="9457">AVERAGE(AJ550,AJ498,AJ446)</f>
        <v>5012.5</v>
      </c>
      <c r="AL602" s="64">
        <f t="shared" ref="AL602" si="9458">((AI602/AI550)-1)*100</f>
        <v>-8.5714285714285747</v>
      </c>
      <c r="AM602" s="64">
        <f t="shared" ref="AM602" si="9459">((AJ602/AJ550)-1)*100</f>
        <v>-54.54545454545454</v>
      </c>
      <c r="AN602" s="64">
        <f t="shared" ref="AN602" si="9460">((AJ602/AK602)-1)*100</f>
        <v>-55.112219451371573</v>
      </c>
      <c r="AP602" s="60">
        <f t="shared" ref="AP602:AP603" si="9461">SUM(B602,L602,V602,AF602)</f>
        <v>542700</v>
      </c>
      <c r="AQ602" s="60">
        <f t="shared" ref="AQ602:AQ603" si="9462">SUM(C602,M602,W602,AG602)</f>
        <v>142117</v>
      </c>
      <c r="AR602" s="60">
        <f t="shared" ref="AR602:AR603" si="9463">SUM(D602,N602,X602,AH602)</f>
        <v>28400</v>
      </c>
      <c r="AS602" s="60">
        <f t="shared" ref="AS602:AS603" si="9464">SUM(E602,O602,Y602,AI602)</f>
        <v>713217</v>
      </c>
      <c r="AT602" s="64">
        <f t="shared" ref="AT602:AT603" si="9465">AVERAGE(AS599,AS600,AS601,AS602)</f>
        <v>699391.75</v>
      </c>
      <c r="AU602" s="71">
        <f t="shared" ref="AU602:AU603" si="9466">AVERAGE(AT550,AT498,AT446)</f>
        <v>422877.08333333331</v>
      </c>
      <c r="AV602" s="64">
        <f t="shared" ref="AV602:AV603" si="9467">((AS602/AS550)-1)*100</f>
        <v>126.45547836468242</v>
      </c>
      <c r="AW602" s="64">
        <f t="shared" ref="AW602:AW603" si="9468">((AT602/AT550)-1)*100</f>
        <v>146.86905178963642</v>
      </c>
      <c r="AX602" s="64">
        <f t="shared" ref="AX602:AX603" si="9469">((AT602/AU602)-1)*100</f>
        <v>65.388898468329558</v>
      </c>
      <c r="AZ602" s="71">
        <f t="shared" ref="AZ602" si="9470">+E602/1000</f>
        <v>547.54999999999995</v>
      </c>
      <c r="BA602" s="53">
        <f t="shared" ref="BA602" si="9471">+O602/1000</f>
        <v>36.65</v>
      </c>
      <c r="BB602" s="53">
        <f t="shared" ref="BB602" si="9472">+Y602/1000</f>
        <v>127.417</v>
      </c>
      <c r="BC602" s="53">
        <f t="shared" ref="BC602" si="9473">+AI602/1000</f>
        <v>1.6</v>
      </c>
      <c r="BD602" s="53">
        <f t="shared" ref="BD602" si="9474">+AS602/1000</f>
        <v>713.21699999999998</v>
      </c>
      <c r="BE602" s="64">
        <f t="shared" ref="BE602" si="9475">BE601+AZ602</f>
        <v>7234.6990000000005</v>
      </c>
      <c r="BF602" s="64">
        <f t="shared" ref="BF602" si="9476">BF601+BA602</f>
        <v>678.48500000000001</v>
      </c>
      <c r="BG602" s="64">
        <f t="shared" ref="BG602" si="9477">BG601+BB602</f>
        <v>4107.6840000000011</v>
      </c>
      <c r="BH602" s="64">
        <f t="shared" ref="BH602" si="9478">BH601+BC602</f>
        <v>67.749999999999986</v>
      </c>
      <c r="BI602" s="64">
        <f t="shared" ref="BI602" si="9479">BI601+BD602</f>
        <v>12088.618</v>
      </c>
      <c r="BJ602" s="64">
        <f t="shared" si="9039"/>
        <v>19</v>
      </c>
    </row>
    <row r="603" spans="1:62" x14ac:dyDescent="0.3">
      <c r="A603" s="48">
        <f t="shared" si="8958"/>
        <v>41776</v>
      </c>
      <c r="B603" s="64">
        <v>440000</v>
      </c>
      <c r="C603" s="64">
        <v>110696</v>
      </c>
      <c r="D603" s="53">
        <v>0</v>
      </c>
      <c r="E603" s="64">
        <f t="shared" si="9362"/>
        <v>550696</v>
      </c>
      <c r="F603" s="64">
        <f t="shared" ref="F603" si="9480">AVERAGE(E600,E601,E602,E603)</f>
        <v>556556.75</v>
      </c>
      <c r="G603" s="71">
        <f t="shared" ref="G603" si="9481">AVERAGE(F551,F499,F447)</f>
        <v>312221.75</v>
      </c>
      <c r="H603" s="64">
        <f t="shared" ref="H603" si="9482">((E603/E551)-1)*100</f>
        <v>123.04505081025034</v>
      </c>
      <c r="I603" s="64">
        <f t="shared" ref="I603" si="9483">((F603/F551)-1)*100</f>
        <v>185.08988507925613</v>
      </c>
      <c r="J603" s="64">
        <f t="shared" ref="J603" si="9484">((F603/G603)-1)*100</f>
        <v>78.256879925886011</v>
      </c>
      <c r="L603" s="53">
        <v>4800</v>
      </c>
      <c r="M603" s="53">
        <v>3500</v>
      </c>
      <c r="N603" s="53">
        <v>60200</v>
      </c>
      <c r="O603" s="53">
        <f t="shared" ref="O603" si="9485">SUM(L603:N603)</f>
        <v>68500</v>
      </c>
      <c r="P603" s="71">
        <f t="shared" ref="P603" si="9486">AVERAGE(O600,O601,O602,O603)</f>
        <v>48531</v>
      </c>
      <c r="Q603" s="71">
        <f t="shared" ref="Q603" si="9487">AVERAGE(P551,P499,P447)</f>
        <v>35214.083333333336</v>
      </c>
      <c r="R603" s="64">
        <f t="shared" ref="R603" si="9488">((O603/O551)-1)*100</f>
        <v>30.540839272782705</v>
      </c>
      <c r="S603" s="73">
        <f t="shared" ref="S603" si="9489">((P603/P551)-1)*100</f>
        <v>-0.17740616756398708</v>
      </c>
      <c r="T603" s="64">
        <f t="shared" ref="T603" si="9490">((P603/Q603)-1)*100</f>
        <v>37.81701923236205</v>
      </c>
      <c r="V603" s="64">
        <v>73200</v>
      </c>
      <c r="W603" s="64">
        <v>10536</v>
      </c>
      <c r="X603" s="64">
        <v>1400</v>
      </c>
      <c r="Y603" s="64">
        <f t="shared" ref="Y603:Y607" si="9491">SUM(V603:X603)</f>
        <v>85136</v>
      </c>
      <c r="Z603" s="71">
        <f t="shared" ref="Z603" si="9492">AVERAGE(Y600,Y601,Y602,Y603)</f>
        <v>100375.75</v>
      </c>
      <c r="AA603" s="71">
        <f t="shared" ref="AA603" si="9493">AVERAGE(Z551,Z499,Z447)</f>
        <v>102035.91666666667</v>
      </c>
      <c r="AB603" s="64">
        <f t="shared" ref="AB603" si="9494">((Y603/Y551)-1)*100</f>
        <v>3.0752094532422891</v>
      </c>
      <c r="AC603" s="64">
        <f t="shared" ref="AC603" si="9495">((Z603/Z551)-1)*100</f>
        <v>39.66098982899917</v>
      </c>
      <c r="AD603" s="64">
        <f t="shared" ref="AD603" si="9496">((Z603/AA603)-1)*100</f>
        <v>-1.6270414584407034</v>
      </c>
      <c r="AF603" s="53">
        <v>1600</v>
      </c>
      <c r="AG603" s="53">
        <v>0</v>
      </c>
      <c r="AH603" s="53">
        <v>0</v>
      </c>
      <c r="AI603" s="53">
        <f t="shared" si="9340"/>
        <v>1600</v>
      </c>
      <c r="AJ603" s="71">
        <f t="shared" ref="AJ603" si="9497">AVERAGE(AI600,AI601,AI602,AI603)</f>
        <v>2300</v>
      </c>
      <c r="AK603" s="71">
        <f t="shared" ref="AK603" si="9498">AVERAGE(AJ551,AJ499,AJ447)</f>
        <v>5233.333333333333</v>
      </c>
      <c r="AL603" s="64">
        <f t="shared" ref="AL603" si="9499">((AI603/AI551)-1)*100</f>
        <v>-8.5714285714285747</v>
      </c>
      <c r="AM603" s="64">
        <f t="shared" ref="AM603" si="9500">((AJ603/AJ551)-1)*100</f>
        <v>-43.558282208588963</v>
      </c>
      <c r="AN603" s="64">
        <f t="shared" ref="AN603" si="9501">((AJ603/AK603)-1)*100</f>
        <v>-56.050955414012741</v>
      </c>
      <c r="AP603" s="60">
        <f t="shared" si="9461"/>
        <v>519600</v>
      </c>
      <c r="AQ603" s="60">
        <f t="shared" si="9462"/>
        <v>124732</v>
      </c>
      <c r="AR603" s="60">
        <f t="shared" si="9463"/>
        <v>61600</v>
      </c>
      <c r="AS603" s="60">
        <f t="shared" si="9464"/>
        <v>705932</v>
      </c>
      <c r="AT603" s="64">
        <f t="shared" si="9465"/>
        <v>707763.5</v>
      </c>
      <c r="AU603" s="71">
        <f t="shared" si="9466"/>
        <v>454705.08333333331</v>
      </c>
      <c r="AV603" s="64">
        <f t="shared" si="9467"/>
        <v>83.971083006053917</v>
      </c>
      <c r="AW603" s="64">
        <f t="shared" si="9468"/>
        <v>121.32496937393044</v>
      </c>
      <c r="AX603" s="64">
        <f t="shared" si="9469"/>
        <v>55.65330715274974</v>
      </c>
      <c r="AZ603" s="71">
        <f t="shared" ref="AZ603" si="9502">+E603/1000</f>
        <v>550.69600000000003</v>
      </c>
      <c r="BA603" s="53">
        <f t="shared" ref="BA603" si="9503">+O603/1000</f>
        <v>68.5</v>
      </c>
      <c r="BB603" s="53">
        <f t="shared" ref="BB603" si="9504">+Y603/1000</f>
        <v>85.135999999999996</v>
      </c>
      <c r="BC603" s="53">
        <f t="shared" ref="BC603" si="9505">+AI603/1000</f>
        <v>1.6</v>
      </c>
      <c r="BD603" s="53">
        <f t="shared" ref="BD603" si="9506">+AS603/1000</f>
        <v>705.93200000000002</v>
      </c>
      <c r="BE603" s="64">
        <f t="shared" ref="BE603" si="9507">BE602+AZ603</f>
        <v>7785.3950000000004</v>
      </c>
      <c r="BF603" s="64">
        <f t="shared" ref="BF603" si="9508">BF602+BA603</f>
        <v>746.98500000000001</v>
      </c>
      <c r="BG603" s="64">
        <f t="shared" ref="BG603" si="9509">BG602+BB603</f>
        <v>4192.8200000000015</v>
      </c>
      <c r="BH603" s="64">
        <f t="shared" ref="BH603" si="9510">BH602+BC603</f>
        <v>69.34999999999998</v>
      </c>
      <c r="BI603" s="64">
        <f t="shared" ref="BI603" si="9511">BI602+BD603</f>
        <v>12794.550000000001</v>
      </c>
      <c r="BJ603" s="64">
        <f t="shared" si="9039"/>
        <v>20</v>
      </c>
    </row>
    <row r="604" spans="1:62" x14ac:dyDescent="0.3">
      <c r="A604" s="48">
        <f t="shared" si="8958"/>
        <v>41783</v>
      </c>
      <c r="B604" s="64">
        <v>458112</v>
      </c>
      <c r="C604" s="64">
        <v>110704</v>
      </c>
      <c r="D604" s="53">
        <v>0</v>
      </c>
      <c r="E604" s="64">
        <f t="shared" si="9362"/>
        <v>568816</v>
      </c>
      <c r="F604" s="64">
        <f t="shared" ref="F604" si="9512">AVERAGE(E601,E602,E603,E604)</f>
        <v>574453</v>
      </c>
      <c r="G604" s="71">
        <f t="shared" ref="G604" si="9513">AVERAGE(F552,F500,F448)</f>
        <v>355310</v>
      </c>
      <c r="H604" s="64">
        <f t="shared" ref="H604" si="9514">((E604/E552)-1)*100</f>
        <v>126.44129332239906</v>
      </c>
      <c r="I604" s="64">
        <f t="shared" ref="I604" si="9515">((F604/F552)-1)*100</f>
        <v>132.00051694509679</v>
      </c>
      <c r="J604" s="64">
        <f t="shared" ref="J604" si="9516">((F604/G604)-1)*100</f>
        <v>61.676564127100278</v>
      </c>
      <c r="L604" s="53">
        <v>20500</v>
      </c>
      <c r="M604" s="53">
        <v>0</v>
      </c>
      <c r="N604" s="53">
        <v>8400</v>
      </c>
      <c r="O604" s="53">
        <f t="shared" ref="O604" si="9517">SUM(L604:N604)</f>
        <v>28900</v>
      </c>
      <c r="P604" s="71">
        <f t="shared" ref="P604" si="9518">AVERAGE(O601,O602,O603,O604)</f>
        <v>48925</v>
      </c>
      <c r="Q604" s="71">
        <f t="shared" ref="Q604" si="9519">AVERAGE(P552,P500,P448)</f>
        <v>41578.416666666664</v>
      </c>
      <c r="R604" s="64">
        <f t="shared" ref="R604" si="9520">((O604/O552)-1)*100</f>
        <v>-64.019820223600007</v>
      </c>
      <c r="S604" s="73">
        <f t="shared" ref="S604" si="9521">((P604/P552)-1)*100</f>
        <v>-15.62509431277782</v>
      </c>
      <c r="T604" s="64">
        <f t="shared" ref="T604" si="9522">((P604/Q604)-1)*100</f>
        <v>17.669223415193393</v>
      </c>
      <c r="V604" s="64">
        <v>52700</v>
      </c>
      <c r="W604" s="64">
        <v>5250</v>
      </c>
      <c r="X604" s="53">
        <v>0</v>
      </c>
      <c r="Y604" s="64">
        <f t="shared" si="9491"/>
        <v>57950</v>
      </c>
      <c r="Z604" s="71">
        <f t="shared" ref="Z604" si="9523">AVERAGE(Y601,Y602,Y603,Y604)</f>
        <v>91550.75</v>
      </c>
      <c r="AA604" s="71">
        <f t="shared" ref="AA604" si="9524">AVERAGE(Z552,Z500,Z448)</f>
        <v>104512.75</v>
      </c>
      <c r="AB604" s="64">
        <f t="shared" ref="AB604" si="9525">((Y604/Y552)-1)*100</f>
        <v>-35.242714106919358</v>
      </c>
      <c r="AC604" s="64">
        <f t="shared" ref="AC604" si="9526">((Z604/Z552)-1)*100</f>
        <v>6.6875844870181389</v>
      </c>
      <c r="AD604" s="64">
        <f t="shared" ref="AD604" si="9527">((Z604/AA604)-1)*100</f>
        <v>-12.402314550138616</v>
      </c>
      <c r="AF604" s="53">
        <v>6100</v>
      </c>
      <c r="AG604" s="53">
        <v>0</v>
      </c>
      <c r="AH604" s="53">
        <v>1400</v>
      </c>
      <c r="AI604" s="53">
        <f t="shared" ref="AI604:AI605" si="9528">SUM(AF604:AH604)</f>
        <v>7500</v>
      </c>
      <c r="AJ604" s="71">
        <f t="shared" ref="AJ604" si="9529">AVERAGE(AI601,AI602,AI603,AI604)</f>
        <v>2675</v>
      </c>
      <c r="AK604" s="71">
        <f t="shared" ref="AK604" si="9530">AVERAGE(AJ552,AJ500,AJ448)</f>
        <v>4362.833333333333</v>
      </c>
      <c r="AL604" s="64">
        <f t="shared" ref="AL604" si="9531">((AI604/AI552)-1)*100</f>
        <v>99.786893979754936</v>
      </c>
      <c r="AM604" s="64">
        <f t="shared" ref="AM604" si="9532">((AJ604/AJ552)-1)*100</f>
        <v>-46.644061035204942</v>
      </c>
      <c r="AN604" s="64">
        <f t="shared" ref="AN604" si="9533">((AJ604/AK604)-1)*100</f>
        <v>-38.686633304045536</v>
      </c>
      <c r="AP604" s="60">
        <f t="shared" ref="AP604" si="9534">SUM(B604,L604,V604,AF604)</f>
        <v>537412</v>
      </c>
      <c r="AQ604" s="60">
        <f t="shared" ref="AQ604" si="9535">SUM(C604,M604,W604,AG604)</f>
        <v>115954</v>
      </c>
      <c r="AR604" s="60">
        <f t="shared" ref="AR604" si="9536">SUM(D604,N604,X604,AH604)</f>
        <v>9800</v>
      </c>
      <c r="AS604" s="60">
        <f t="shared" ref="AS604" si="9537">SUM(E604,O604,Y604,AI604)</f>
        <v>663166</v>
      </c>
      <c r="AT604" s="64">
        <f t="shared" ref="AT604" si="9538">AVERAGE(AS601,AS602,AS603,AS604)</f>
        <v>717603.75</v>
      </c>
      <c r="AU604" s="71">
        <f t="shared" ref="AU604" si="9539">AVERAGE(AT552,AT500,AT448)</f>
        <v>505764</v>
      </c>
      <c r="AV604" s="64">
        <f t="shared" ref="AV604" si="9540">((AS604/AS552)-1)*100</f>
        <v>56.126489657737743</v>
      </c>
      <c r="AW604" s="64">
        <f t="shared" ref="AW604" si="9541">((AT604/AT552)-1)*100</f>
        <v>81.02141861173493</v>
      </c>
      <c r="AX604" s="64">
        <f t="shared" ref="AX604" si="9542">((AT604/AU604)-1)*100</f>
        <v>41.885098583529071</v>
      </c>
      <c r="AZ604" s="71">
        <f t="shared" ref="AZ604" si="9543">+E604/1000</f>
        <v>568.81600000000003</v>
      </c>
      <c r="BA604" s="53">
        <f t="shared" ref="BA604" si="9544">+O604/1000</f>
        <v>28.9</v>
      </c>
      <c r="BB604" s="53">
        <f t="shared" ref="BB604" si="9545">+Y604/1000</f>
        <v>57.95</v>
      </c>
      <c r="BC604" s="53">
        <f t="shared" ref="BC604" si="9546">+AI604/1000</f>
        <v>7.5</v>
      </c>
      <c r="BD604" s="53">
        <f t="shared" ref="BD604" si="9547">+AS604/1000</f>
        <v>663.16600000000005</v>
      </c>
      <c r="BE604" s="64">
        <f t="shared" ref="BE604" si="9548">BE603+AZ604</f>
        <v>8354.2110000000011</v>
      </c>
      <c r="BF604" s="64">
        <f t="shared" ref="BF604" si="9549">BF603+BA604</f>
        <v>775.88499999999999</v>
      </c>
      <c r="BG604" s="64">
        <f t="shared" ref="BG604" si="9550">BG603+BB604</f>
        <v>4250.7700000000013</v>
      </c>
      <c r="BH604" s="64">
        <f t="shared" ref="BH604" si="9551">BH603+BC604</f>
        <v>76.84999999999998</v>
      </c>
      <c r="BI604" s="64">
        <f t="shared" ref="BI604" si="9552">BI603+BD604</f>
        <v>13457.716</v>
      </c>
      <c r="BJ604" s="64">
        <f t="shared" si="9039"/>
        <v>21</v>
      </c>
    </row>
    <row r="605" spans="1:62" x14ac:dyDescent="0.3">
      <c r="A605" s="48">
        <f t="shared" si="8958"/>
        <v>41790</v>
      </c>
      <c r="B605" s="64">
        <v>541100</v>
      </c>
      <c r="C605" s="64">
        <v>137852</v>
      </c>
      <c r="D605" s="53">
        <v>0</v>
      </c>
      <c r="E605" s="64">
        <f t="shared" si="9362"/>
        <v>678952</v>
      </c>
      <c r="F605" s="64">
        <f t="shared" ref="F605" si="9553">AVERAGE(E602,E603,E604,E605)</f>
        <v>586503.5</v>
      </c>
      <c r="G605" s="71">
        <f t="shared" ref="G605" si="9554">AVERAGE(F553,F501,F449)</f>
        <v>371890.08333333331</v>
      </c>
      <c r="H605" s="64">
        <f t="shared" ref="H605" si="9555">((E605/E553)-1)*100</f>
        <v>224.35923772578957</v>
      </c>
      <c r="I605" s="64">
        <f t="shared" ref="I605" si="9556">((F605/F553)-1)*100</f>
        <v>157.97836777422961</v>
      </c>
      <c r="J605" s="64">
        <f t="shared" ref="J605" si="9557">((F605/G605)-1)*100</f>
        <v>57.708830185263068</v>
      </c>
      <c r="L605" s="53">
        <v>15600</v>
      </c>
      <c r="M605" s="53">
        <v>10426</v>
      </c>
      <c r="N605" s="53">
        <v>25200</v>
      </c>
      <c r="O605" s="53">
        <f t="shared" ref="O605" si="9558">SUM(L605:N605)</f>
        <v>51226</v>
      </c>
      <c r="P605" s="71">
        <f t="shared" ref="P605" si="9559">AVERAGE(O602,O603,O604,O605)</f>
        <v>46319</v>
      </c>
      <c r="Q605" s="71">
        <f t="shared" ref="Q605" si="9560">AVERAGE(P553,P501,P449)</f>
        <v>43424.583333333336</v>
      </c>
      <c r="R605" s="64">
        <f t="shared" ref="R605" si="9561">((O605/O553)-1)*100</f>
        <v>52.349512253152518</v>
      </c>
      <c r="S605" s="73">
        <f t="shared" ref="S605" si="9562">((P605/P553)-1)*100</f>
        <v>-10.733592221783251</v>
      </c>
      <c r="T605" s="64">
        <f t="shared" ref="T605" si="9563">((P605/Q605)-1)*100</f>
        <v>6.665387309415749</v>
      </c>
      <c r="V605" s="64">
        <v>83800</v>
      </c>
      <c r="W605" s="64">
        <v>20950</v>
      </c>
      <c r="X605" s="53">
        <v>0</v>
      </c>
      <c r="Y605" s="64">
        <f t="shared" si="9491"/>
        <v>104750</v>
      </c>
      <c r="Z605" s="71">
        <f t="shared" ref="Z605" si="9564">AVERAGE(Y602,Y603,Y604,Y605)</f>
        <v>93813.25</v>
      </c>
      <c r="AA605" s="71">
        <f t="shared" ref="AA605" si="9565">AVERAGE(Z553,Z501,Z449)</f>
        <v>101066.91666666667</v>
      </c>
      <c r="AB605" s="64">
        <f t="shared" ref="AB605" si="9566">((Y605/Y553)-1)*100</f>
        <v>22.384362841887583</v>
      </c>
      <c r="AC605" s="64">
        <f t="shared" ref="AC605" si="9567">((Z605/Z553)-1)*100</f>
        <v>14.485634875355814</v>
      </c>
      <c r="AD605" s="64">
        <f t="shared" ref="AD605" si="9568">((Z605/AA605)-1)*100</f>
        <v>-7.1770930645785107</v>
      </c>
      <c r="AF605" s="53">
        <v>10600</v>
      </c>
      <c r="AG605" s="53">
        <v>0</v>
      </c>
      <c r="AH605" s="53">
        <v>8400</v>
      </c>
      <c r="AI605" s="53">
        <f t="shared" si="9528"/>
        <v>19000</v>
      </c>
      <c r="AJ605" s="71">
        <f t="shared" ref="AJ605" si="9569">AVERAGE(AI602,AI603,AI604,AI605)</f>
        <v>7425</v>
      </c>
      <c r="AK605" s="71">
        <f t="shared" ref="AK605" si="9570">AVERAGE(AJ553,AJ501,AJ449)</f>
        <v>2885.1666666666665</v>
      </c>
      <c r="AL605" s="64">
        <f t="shared" ref="AL605" si="9571">((AI605/AI553)-1)*100</f>
        <v>974.66063348416276</v>
      </c>
      <c r="AM605" s="64">
        <f t="shared" ref="AM605" si="9572">((AJ605/AJ553)-1)*100</f>
        <v>229.19530037685658</v>
      </c>
      <c r="AN605" s="64">
        <f t="shared" ref="AN605" si="9573">((AJ605/AK605)-1)*100</f>
        <v>157.35081739934148</v>
      </c>
      <c r="AP605" s="60">
        <f t="shared" ref="AP605:AP606" si="9574">SUM(B605,L605,V605,AF605)</f>
        <v>651100</v>
      </c>
      <c r="AQ605" s="60">
        <f t="shared" ref="AQ605:AQ606" si="9575">SUM(C605,M605,W605,AG605)</f>
        <v>169228</v>
      </c>
      <c r="AR605" s="60">
        <f t="shared" ref="AR605" si="9576">SUM(D605,N605,X605,AH605)</f>
        <v>33600</v>
      </c>
      <c r="AS605" s="60">
        <f t="shared" ref="AS605" si="9577">SUM(E605,O605,Y605,AI605)</f>
        <v>853928</v>
      </c>
      <c r="AT605" s="64">
        <f t="shared" ref="AT605" si="9578">AVERAGE(AS602,AS603,AS604,AS605)</f>
        <v>734060.75</v>
      </c>
      <c r="AU605" s="71">
        <f t="shared" ref="AU605" si="9579">AVERAGE(AT553,AT501,AT449)</f>
        <v>519266.75</v>
      </c>
      <c r="AV605" s="64">
        <f t="shared" ref="AV605" si="9580">((AS605/AS553)-1)*100</f>
        <v>158.5279015694633</v>
      </c>
      <c r="AW605" s="64">
        <f t="shared" ref="AW605" si="9581">((AT605/AT553)-1)*100</f>
        <v>101.97952443811897</v>
      </c>
      <c r="AX605" s="64">
        <f t="shared" ref="AX605" si="9582">((AT605/AU605)-1)*100</f>
        <v>41.364866901260285</v>
      </c>
      <c r="AZ605" s="71">
        <f t="shared" ref="AZ605" si="9583">+E605/1000</f>
        <v>678.952</v>
      </c>
      <c r="BA605" s="53">
        <f t="shared" ref="BA605" si="9584">+O605/1000</f>
        <v>51.225999999999999</v>
      </c>
      <c r="BB605" s="53">
        <f t="shared" ref="BB605" si="9585">+Y605/1000</f>
        <v>104.75</v>
      </c>
      <c r="BC605" s="53">
        <f t="shared" ref="BC605" si="9586">+AI605/1000</f>
        <v>19</v>
      </c>
      <c r="BD605" s="53">
        <f t="shared" ref="BD605" si="9587">+AS605/1000</f>
        <v>853.928</v>
      </c>
      <c r="BE605" s="64">
        <f t="shared" ref="BE605" si="9588">BE604+AZ605</f>
        <v>9033.1630000000005</v>
      </c>
      <c r="BF605" s="64">
        <f t="shared" ref="BF605" si="9589">BF604+BA605</f>
        <v>827.11099999999999</v>
      </c>
      <c r="BG605" s="64">
        <f t="shared" ref="BG605" si="9590">BG604+BB605</f>
        <v>4355.5200000000013</v>
      </c>
      <c r="BH605" s="64">
        <f t="shared" ref="BH605" si="9591">BH604+BC605</f>
        <v>95.84999999999998</v>
      </c>
      <c r="BI605" s="64">
        <f t="shared" ref="BI605" si="9592">BI604+BD605</f>
        <v>14311.644</v>
      </c>
      <c r="BJ605" s="64">
        <f t="shared" si="9039"/>
        <v>22</v>
      </c>
    </row>
    <row r="606" spans="1:62" x14ac:dyDescent="0.3">
      <c r="A606" s="48">
        <f t="shared" si="8958"/>
        <v>41797</v>
      </c>
      <c r="B606" s="64">
        <v>440276</v>
      </c>
      <c r="C606" s="64">
        <v>202100</v>
      </c>
      <c r="D606" s="53">
        <v>0</v>
      </c>
      <c r="E606" s="64">
        <f t="shared" si="9362"/>
        <v>642376</v>
      </c>
      <c r="F606" s="64">
        <f t="shared" ref="F606" si="9593">AVERAGE(E603,E604,E605,E606)</f>
        <v>610210</v>
      </c>
      <c r="G606" s="71">
        <f t="shared" ref="G606" si="9594">AVERAGE(F554,F502,F450)</f>
        <v>367190.75</v>
      </c>
      <c r="H606" s="64">
        <f t="shared" ref="H606" si="9595">((E606/E554)-1)*100</f>
        <v>977.08920187793422</v>
      </c>
      <c r="I606" s="64">
        <f t="shared" ref="I606" si="9596">((F606/F554)-1)*100</f>
        <v>218.20801034602337</v>
      </c>
      <c r="J606" s="64">
        <f t="shared" ref="J606" si="9597">((F606/G606)-1)*100</f>
        <v>66.1833801641245</v>
      </c>
      <c r="L606" s="53">
        <v>6300</v>
      </c>
      <c r="M606" s="53">
        <v>0</v>
      </c>
      <c r="N606" s="53">
        <v>21000</v>
      </c>
      <c r="O606" s="53">
        <f t="shared" ref="O606" si="9598">SUM(L606:N606)</f>
        <v>27300</v>
      </c>
      <c r="P606" s="71">
        <f t="shared" ref="P606" si="9599">AVERAGE(O603,O604,O605,O606)</f>
        <v>43981.5</v>
      </c>
      <c r="Q606" s="71">
        <f t="shared" ref="Q606" si="9600">AVERAGE(P554,P502,P450)</f>
        <v>45192.583333333336</v>
      </c>
      <c r="R606" s="64">
        <f t="shared" ref="R606" si="9601">((O606/O554)-1)*100</f>
        <v>2.0560747663551426</v>
      </c>
      <c r="S606" s="73">
        <f t="shared" ref="S606" si="9602">((P606/P554)-1)*100</f>
        <v>-8.9268519956514965</v>
      </c>
      <c r="T606" s="64">
        <f t="shared" ref="T606" si="9603">((P606/Q606)-1)*100</f>
        <v>-2.6798276265832754</v>
      </c>
      <c r="V606" s="64">
        <v>109624</v>
      </c>
      <c r="W606" s="64">
        <v>10600</v>
      </c>
      <c r="X606" s="53">
        <v>0</v>
      </c>
      <c r="Y606" s="64">
        <f t="shared" si="9491"/>
        <v>120224</v>
      </c>
      <c r="Z606" s="71">
        <f t="shared" ref="Z606" si="9604">AVERAGE(Y603,Y604,Y605,Y606)</f>
        <v>92015</v>
      </c>
      <c r="AA606" s="71">
        <f t="shared" ref="AA606" si="9605">AVERAGE(Z554,Z502,Z450)</f>
        <v>97756.666666666672</v>
      </c>
      <c r="AB606" s="64">
        <f t="shared" ref="AB606" si="9606">((Y606/Y554)-1)*100</f>
        <v>116.81514878268709</v>
      </c>
      <c r="AC606" s="64">
        <f t="shared" ref="AC606" si="9607">((Z606/Z554)-1)*100</f>
        <v>17.544111776447103</v>
      </c>
      <c r="AD606" s="64">
        <f t="shared" ref="AD606" si="9608">((Z606/AA606)-1)*100</f>
        <v>-5.8734272172400903</v>
      </c>
      <c r="AF606" s="53">
        <v>0</v>
      </c>
      <c r="AG606" s="53">
        <v>0</v>
      </c>
      <c r="AH606" s="53">
        <v>2800</v>
      </c>
      <c r="AI606" s="53">
        <f t="shared" ref="AI606" si="9609">SUM(AF606:AH606)</f>
        <v>2800</v>
      </c>
      <c r="AJ606" s="71">
        <f t="shared" ref="AJ606" si="9610">AVERAGE(AI603,AI604,AI605,AI606)</f>
        <v>7725</v>
      </c>
      <c r="AK606" s="71">
        <f t="shared" ref="AK606" si="9611">AVERAGE(AJ554,AJ502,AJ450)</f>
        <v>3531</v>
      </c>
      <c r="AL606" s="64">
        <f t="shared" ref="AL606:AL615" si="9612">((AI606/AI554)-1)*100</f>
        <v>-41.666666666666664</v>
      </c>
      <c r="AM606" s="64">
        <f t="shared" ref="AM606" si="9613">((AJ606/AJ554)-1)*100</f>
        <v>155.96421471172962</v>
      </c>
      <c r="AN606" s="64">
        <f t="shared" ref="AN606" si="9614">((AJ606/AK606)-1)*100</f>
        <v>118.77655055225146</v>
      </c>
      <c r="AP606" s="60">
        <f t="shared" si="9574"/>
        <v>556200</v>
      </c>
      <c r="AQ606" s="60">
        <f t="shared" si="9575"/>
        <v>212700</v>
      </c>
      <c r="AR606" s="60">
        <f t="shared" ref="AR606" si="9615">SUM(D606,N606,X606,AH606)</f>
        <v>23800</v>
      </c>
      <c r="AS606" s="60">
        <f t="shared" ref="AS606" si="9616">SUM(E606,O606,Y606,AI606)</f>
        <v>792700</v>
      </c>
      <c r="AT606" s="64">
        <f t="shared" ref="AT606" si="9617">AVERAGE(AS603,AS604,AS605,AS606)</f>
        <v>753931.5</v>
      </c>
      <c r="AU606" s="71">
        <f t="shared" ref="AU606" si="9618">AVERAGE(AT554,AT502,AT450)</f>
        <v>513671</v>
      </c>
      <c r="AV606" s="64">
        <f t="shared" ref="AV606" si="9619">((AS606/AS554)-1)*100</f>
        <v>440.57555919258044</v>
      </c>
      <c r="AW606" s="64">
        <f t="shared" ref="AW606" si="9620">((AT606/AT554)-1)*100</f>
        <v>134.60925374876012</v>
      </c>
      <c r="AX606" s="64">
        <f t="shared" ref="AX606" si="9621">((AT606/AU606)-1)*100</f>
        <v>46.773226442606266</v>
      </c>
      <c r="AZ606" s="71">
        <f t="shared" ref="AZ606" si="9622">+E606/1000</f>
        <v>642.37599999999998</v>
      </c>
      <c r="BA606" s="53">
        <f t="shared" ref="BA606" si="9623">+O606/1000</f>
        <v>27.3</v>
      </c>
      <c r="BB606" s="53">
        <f t="shared" ref="BB606" si="9624">+Y606/1000</f>
        <v>120.224</v>
      </c>
      <c r="BC606" s="53">
        <f t="shared" ref="BC606" si="9625">+AI606/1000</f>
        <v>2.8</v>
      </c>
      <c r="BD606" s="53">
        <f t="shared" ref="BD606" si="9626">+AS606/1000</f>
        <v>792.7</v>
      </c>
      <c r="BE606" s="64">
        <f t="shared" ref="BE606" si="9627">BE605+AZ606</f>
        <v>9675.5390000000007</v>
      </c>
      <c r="BF606" s="64">
        <f t="shared" ref="BF606" si="9628">BF605+BA606</f>
        <v>854.41099999999994</v>
      </c>
      <c r="BG606" s="64">
        <f t="shared" ref="BG606" si="9629">BG605+BB606</f>
        <v>4475.7440000000015</v>
      </c>
      <c r="BH606" s="64">
        <f t="shared" ref="BH606" si="9630">BH605+BC606</f>
        <v>98.649999999999977</v>
      </c>
      <c r="BI606" s="64">
        <f t="shared" ref="BI606" si="9631">BI605+BD606</f>
        <v>15104.344000000001</v>
      </c>
      <c r="BJ606" s="64">
        <f t="shared" si="9039"/>
        <v>23</v>
      </c>
    </row>
    <row r="607" spans="1:62" x14ac:dyDescent="0.3">
      <c r="A607" s="48">
        <f t="shared" si="8958"/>
        <v>41804</v>
      </c>
      <c r="B607" s="64">
        <v>469016</v>
      </c>
      <c r="C607" s="64">
        <v>88086</v>
      </c>
      <c r="D607" s="53">
        <v>0</v>
      </c>
      <c r="E607" s="64">
        <f t="shared" si="9362"/>
        <v>557102</v>
      </c>
      <c r="F607" s="64">
        <f t="shared" ref="F607" si="9632">AVERAGE(E604,E605,E606,E607)</f>
        <v>611811.5</v>
      </c>
      <c r="G607" s="71">
        <f t="shared" ref="G607" si="9633">AVERAGE(F555,F503,F451)</f>
        <v>326276.33333333331</v>
      </c>
      <c r="H607" s="64">
        <f t="shared" ref="H607" si="9634">((E607/E555)-1)*100</f>
        <v>126.4642276422764</v>
      </c>
      <c r="I607" s="64">
        <f t="shared" ref="I607" si="9635">((F607/F555)-1)*100</f>
        <v>219.41750994245322</v>
      </c>
      <c r="J607" s="64">
        <f t="shared" ref="J607" si="9636">((F607/G607)-1)*100</f>
        <v>87.513293946133615</v>
      </c>
      <c r="L607" s="53">
        <v>11100</v>
      </c>
      <c r="M607" s="53">
        <v>0</v>
      </c>
      <c r="N607" s="53">
        <v>16800</v>
      </c>
      <c r="O607" s="53">
        <f t="shared" ref="O607" si="9637">SUM(L607:N607)</f>
        <v>27900</v>
      </c>
      <c r="P607" s="71">
        <f t="shared" ref="P607" si="9638">AVERAGE(O604,O605,O606,O607)</f>
        <v>33831.5</v>
      </c>
      <c r="Q607" s="71">
        <f t="shared" ref="Q607" si="9639">AVERAGE(P555,P503,P451)</f>
        <v>45323.916666666664</v>
      </c>
      <c r="R607" s="64">
        <f t="shared" ref="R607" si="9640">((O607/O555)-1)*100</f>
        <v>-40.064446831364123</v>
      </c>
      <c r="S607" s="73">
        <f t="shared" ref="S607" si="9641">((P607/P555)-1)*100</f>
        <v>-27.728229174454999</v>
      </c>
      <c r="T607" s="64">
        <f t="shared" ref="T607" si="9642">((P607/Q607)-1)*100</f>
        <v>-25.35618611954321</v>
      </c>
      <c r="V607" s="64">
        <v>57800</v>
      </c>
      <c r="W607" s="64">
        <v>3500</v>
      </c>
      <c r="X607" s="53">
        <v>0</v>
      </c>
      <c r="Y607" s="64">
        <f t="shared" si="9491"/>
        <v>61300</v>
      </c>
      <c r="Z607" s="71">
        <f t="shared" ref="Z607" si="9643">AVERAGE(Y604,Y605,Y606,Y607)</f>
        <v>86056</v>
      </c>
      <c r="AA607" s="71">
        <f t="shared" ref="AA607" si="9644">AVERAGE(Z555,Z503,Z451)</f>
        <v>99093</v>
      </c>
      <c r="AB607" s="64">
        <f t="shared" ref="AB607" si="9645">((Y607/Y555)-1)*100</f>
        <v>-28.486432254602299</v>
      </c>
      <c r="AC607" s="64">
        <f t="shared" ref="AC607" si="9646">((Z607/Z555)-1)*100</f>
        <v>8.8465661334336865</v>
      </c>
      <c r="AD607" s="64">
        <f t="shared" ref="AD607" si="9647">((Z607/AA607)-1)*100</f>
        <v>-13.156327893998565</v>
      </c>
      <c r="AF607" s="53">
        <v>1500</v>
      </c>
      <c r="AG607" s="53">
        <v>1750</v>
      </c>
      <c r="AH607" s="53">
        <v>2800</v>
      </c>
      <c r="AI607" s="53">
        <f t="shared" ref="AI607" si="9648">SUM(AF607:AH607)</f>
        <v>6050</v>
      </c>
      <c r="AJ607" s="71">
        <f t="shared" ref="AJ607" si="9649">AVERAGE(AI604,AI605,AI606,AI607)</f>
        <v>8837.5</v>
      </c>
      <c r="AK607" s="71">
        <f t="shared" ref="AK607" si="9650">AVERAGE(AJ555,AJ503,AJ451)</f>
        <v>2206</v>
      </c>
      <c r="AL607" s="64"/>
      <c r="AM607" s="64">
        <f t="shared" ref="AM607" si="9651">((AJ607/AJ555)-1)*100</f>
        <v>242.47238907188532</v>
      </c>
      <c r="AN607" s="64">
        <f t="shared" ref="AN607" si="9652">((AJ607/AK607)-1)*100</f>
        <v>300.61196736174071</v>
      </c>
      <c r="AP607" s="60">
        <f t="shared" ref="AP607" si="9653">SUM(B607,L607,V607,AF607)</f>
        <v>539416</v>
      </c>
      <c r="AQ607" s="60">
        <f t="shared" ref="AQ607" si="9654">SUM(C607,M607,W607,AG607)</f>
        <v>93336</v>
      </c>
      <c r="AR607" s="60">
        <f t="shared" ref="AR607" si="9655">SUM(D607,N607,X607,AH607)</f>
        <v>19600</v>
      </c>
      <c r="AS607" s="60">
        <f t="shared" ref="AS607" si="9656">SUM(E607,O607,Y607,AI607)</f>
        <v>652352</v>
      </c>
      <c r="AT607" s="64">
        <f t="shared" ref="AT607" si="9657">AVERAGE(AS604,AS605,AS606,AS607)</f>
        <v>740536.5</v>
      </c>
      <c r="AU607" s="71">
        <f t="shared" ref="AU607" si="9658">AVERAGE(AT555,AT503,AT451)</f>
        <v>472899.25</v>
      </c>
      <c r="AV607" s="64">
        <f t="shared" ref="AV607" si="9659">((AS607/AS555)-1)*100</f>
        <v>72.457622637918078</v>
      </c>
      <c r="AW607" s="64">
        <f t="shared" ref="AW607" si="9660">((AT607/AT555)-1)*100</f>
        <v>131.4223570166269</v>
      </c>
      <c r="AX607" s="64">
        <f t="shared" ref="AX607" si="9661">((AT607/AU607)-1)*100</f>
        <v>56.594982969416854</v>
      </c>
      <c r="AZ607" s="71">
        <f t="shared" ref="AZ607" si="9662">+E607/1000</f>
        <v>557.10199999999998</v>
      </c>
      <c r="BA607" s="53">
        <f t="shared" ref="BA607" si="9663">+O607/1000</f>
        <v>27.9</v>
      </c>
      <c r="BB607" s="53">
        <f t="shared" ref="BB607" si="9664">+Y607/1000</f>
        <v>61.3</v>
      </c>
      <c r="BC607" s="53">
        <f t="shared" ref="BC607" si="9665">+AI607/1000</f>
        <v>6.05</v>
      </c>
      <c r="BD607" s="53">
        <f t="shared" ref="BD607" si="9666">+AS607/1000</f>
        <v>652.35199999999998</v>
      </c>
      <c r="BE607" s="64">
        <f t="shared" ref="BE607" si="9667">BE606+AZ607</f>
        <v>10232.641000000001</v>
      </c>
      <c r="BF607" s="64">
        <f t="shared" ref="BF607" si="9668">BF606+BA607</f>
        <v>882.31099999999992</v>
      </c>
      <c r="BG607" s="64">
        <f t="shared" ref="BG607" si="9669">BG606+BB607</f>
        <v>4537.0440000000017</v>
      </c>
      <c r="BH607" s="64">
        <f t="shared" ref="BH607" si="9670">BH606+BC607</f>
        <v>104.69999999999997</v>
      </c>
      <c r="BI607" s="64">
        <f t="shared" ref="BI607" si="9671">BI606+BD607</f>
        <v>15756.696000000002</v>
      </c>
      <c r="BJ607" s="64">
        <f t="shared" si="9039"/>
        <v>24</v>
      </c>
    </row>
    <row r="608" spans="1:62" x14ac:dyDescent="0.3">
      <c r="A608" s="48">
        <f t="shared" si="8958"/>
        <v>41811</v>
      </c>
      <c r="B608" s="64">
        <v>649260</v>
      </c>
      <c r="C608" s="64">
        <v>80018</v>
      </c>
      <c r="D608" s="53">
        <v>0</v>
      </c>
      <c r="E608" s="64">
        <f t="shared" si="9362"/>
        <v>729278</v>
      </c>
      <c r="F608" s="64">
        <f t="shared" ref="F608" si="9672">AVERAGE(E605,E606,E607,E608)</f>
        <v>651927</v>
      </c>
      <c r="G608" s="71">
        <f t="shared" ref="G608" si="9673">AVERAGE(F556,F504,F452)</f>
        <v>311248.33333333331</v>
      </c>
      <c r="H608" s="64">
        <f t="shared" ref="H608" si="9674">((E608/E556)-1)*100</f>
        <v>139.30369155045116</v>
      </c>
      <c r="I608" s="64">
        <f t="shared" ref="I608" si="9675">((F608/F556)-1)*100</f>
        <v>218.12529049872452</v>
      </c>
      <c r="J608" s="64">
        <f t="shared" ref="J608" si="9676">((F608/G608)-1)*100</f>
        <v>109.45557941407986</v>
      </c>
      <c r="L608" s="53">
        <v>12600</v>
      </c>
      <c r="M608" s="53">
        <v>0</v>
      </c>
      <c r="N608" s="53">
        <v>23800</v>
      </c>
      <c r="O608" s="53">
        <f t="shared" ref="O608" si="9677">SUM(L608:N608)</f>
        <v>36400</v>
      </c>
      <c r="P608" s="71">
        <f t="shared" ref="P608" si="9678">AVERAGE(O605,O606,O607,O608)</f>
        <v>35706.5</v>
      </c>
      <c r="Q608" s="71">
        <f t="shared" ref="Q608" si="9679">AVERAGE(P556,P504,P452)</f>
        <v>45997.5</v>
      </c>
      <c r="R608" s="64">
        <f t="shared" ref="R608" si="9680">((O608/O556)-1)*100</f>
        <v>-62.856763844529027</v>
      </c>
      <c r="S608" s="73">
        <f t="shared" ref="S608" si="9681">((P608/P556)-1)*100</f>
        <v>-30.302601464940494</v>
      </c>
      <c r="T608" s="64">
        <f t="shared" ref="T608" si="9682">((P608/Q608)-1)*100</f>
        <v>-22.372955051904995</v>
      </c>
      <c r="V608" s="64">
        <v>38100</v>
      </c>
      <c r="W608" s="64">
        <v>8672</v>
      </c>
      <c r="X608" s="53">
        <v>1400</v>
      </c>
      <c r="Y608" s="64">
        <f t="shared" ref="Y608:Y612" si="9683">SUM(V608:X608)</f>
        <v>48172</v>
      </c>
      <c r="Z608" s="71">
        <f t="shared" ref="Z608" si="9684">AVERAGE(Y605,Y606,Y607,Y608)</f>
        <v>83611.5</v>
      </c>
      <c r="AA608" s="71">
        <f t="shared" ref="AA608" si="9685">AVERAGE(Z556,Z504,Z452)</f>
        <v>108982.5</v>
      </c>
      <c r="AB608" s="64">
        <f t="shared" ref="AB608" si="9686">((Y608/Y556)-1)*100</f>
        <v>-45.537591859807804</v>
      </c>
      <c r="AC608" s="64">
        <f t="shared" ref="AC608" si="9687">((Z608/Z556)-1)*100</f>
        <v>6.1029348781284742</v>
      </c>
      <c r="AD608" s="64">
        <f t="shared" ref="AD608" si="9688">((Z608/AA608)-1)*100</f>
        <v>-23.279884385107696</v>
      </c>
      <c r="AF608" s="53">
        <v>1500</v>
      </c>
      <c r="AG608" s="53">
        <v>1750</v>
      </c>
      <c r="AH608" s="53">
        <v>2800</v>
      </c>
      <c r="AI608" s="53">
        <f t="shared" ref="AI608" si="9689">SUM(AF608:AH608)</f>
        <v>6050</v>
      </c>
      <c r="AJ608" s="71">
        <f t="shared" ref="AJ608" si="9690">AVERAGE(AI605,AI606,AI607,AI608)</f>
        <v>8475</v>
      </c>
      <c r="AK608" s="71">
        <f t="shared" ref="AK608" si="9691">AVERAGE(AJ556,AJ504,AJ452)</f>
        <v>4268.166666666667</v>
      </c>
      <c r="AL608" s="64"/>
      <c r="AM608" s="64">
        <f t="shared" ref="AM608" si="9692">((AJ608/AJ556)-1)*100</f>
        <v>416.13885505481119</v>
      </c>
      <c r="AN608" s="64">
        <f t="shared" ref="AN608" si="9693">((AJ608/AK608)-1)*100</f>
        <v>98.563005193486646</v>
      </c>
      <c r="AP608" s="60">
        <f t="shared" ref="AP608:AP609" si="9694">SUM(B608,L608,V608,AF608)</f>
        <v>701460</v>
      </c>
      <c r="AQ608" s="60">
        <f t="shared" ref="AQ608:AQ609" si="9695">SUM(C608,M608,W608,AG608)</f>
        <v>90440</v>
      </c>
      <c r="AR608" s="60">
        <f t="shared" ref="AR608" si="9696">SUM(D608,N608,X608,AH608)</f>
        <v>28000</v>
      </c>
      <c r="AS608" s="60">
        <f t="shared" ref="AS608" si="9697">SUM(E608,O608,Y608,AI608)</f>
        <v>819900</v>
      </c>
      <c r="AT608" s="64">
        <f t="shared" ref="AT608" si="9698">AVERAGE(AS605,AS606,AS607,AS608)</f>
        <v>779720</v>
      </c>
      <c r="AU608" s="71">
        <f t="shared" ref="AU608" si="9699">AVERAGE(AT556,AT504,AT452)</f>
        <v>470496.5</v>
      </c>
      <c r="AV608" s="64">
        <f t="shared" ref="AV608" si="9700">((AS608/AS556)-1)*100</f>
        <v>66.91809225995982</v>
      </c>
      <c r="AW608" s="64">
        <f t="shared" ref="AW608" si="9701">((AT608/AT556)-1)*100</f>
        <v>131.64397795324012</v>
      </c>
      <c r="AX608" s="64">
        <f t="shared" ref="AX608" si="9702">((AT608/AU608)-1)*100</f>
        <v>65.722805589414591</v>
      </c>
      <c r="AZ608" s="71">
        <f t="shared" ref="AZ608" si="9703">+E608/1000</f>
        <v>729.27800000000002</v>
      </c>
      <c r="BA608" s="53">
        <f t="shared" ref="BA608" si="9704">+O608/1000</f>
        <v>36.4</v>
      </c>
      <c r="BB608" s="53">
        <f t="shared" ref="BB608" si="9705">+Y608/1000</f>
        <v>48.171999999999997</v>
      </c>
      <c r="BC608" s="53">
        <f t="shared" ref="BC608" si="9706">+AI608/1000</f>
        <v>6.05</v>
      </c>
      <c r="BD608" s="53">
        <f t="shared" ref="BD608" si="9707">+AS608/1000</f>
        <v>819.9</v>
      </c>
      <c r="BE608" s="64">
        <f t="shared" ref="BE608" si="9708">BE607+AZ608</f>
        <v>10961.919000000002</v>
      </c>
      <c r="BF608" s="64">
        <f t="shared" ref="BF608" si="9709">BF607+BA608</f>
        <v>918.7109999999999</v>
      </c>
      <c r="BG608" s="64">
        <f t="shared" ref="BG608" si="9710">BG607+BB608</f>
        <v>4585.2160000000013</v>
      </c>
      <c r="BH608" s="64">
        <f t="shared" ref="BH608" si="9711">BH607+BC608</f>
        <v>110.74999999999997</v>
      </c>
      <c r="BI608" s="64">
        <f t="shared" ref="BI608" si="9712">BI607+BD608</f>
        <v>16576.596000000001</v>
      </c>
      <c r="BJ608" s="64">
        <f t="shared" si="9039"/>
        <v>25</v>
      </c>
    </row>
    <row r="609" spans="1:62" x14ac:dyDescent="0.3">
      <c r="A609" s="48">
        <f t="shared" si="8958"/>
        <v>41818</v>
      </c>
      <c r="B609" s="64">
        <v>445036</v>
      </c>
      <c r="C609" s="64">
        <v>153905</v>
      </c>
      <c r="D609" s="53">
        <v>0</v>
      </c>
      <c r="E609" s="64">
        <f t="shared" si="9362"/>
        <v>598941</v>
      </c>
      <c r="F609" s="64">
        <f t="shared" ref="F609" si="9713">AVERAGE(E606,E607,E608,E609)</f>
        <v>631924.25</v>
      </c>
      <c r="G609" s="71">
        <f t="shared" ref="G609" si="9714">AVERAGE(F557,F505,F453)</f>
        <v>309054.83333333331</v>
      </c>
      <c r="H609" s="64">
        <f t="shared" ref="H609" si="9715">((E609/E557)-1)*100</f>
        <v>123.02774157512566</v>
      </c>
      <c r="I609" s="64">
        <f t="shared" ref="I609" si="9716">((F609/F557)-1)*100</f>
        <v>187.58470430291032</v>
      </c>
      <c r="J609" s="64">
        <f t="shared" ref="J609" si="9717">((F609/G609)-1)*100</f>
        <v>104.46994573239161</v>
      </c>
      <c r="L609" s="53">
        <v>0</v>
      </c>
      <c r="M609" s="53">
        <v>6350</v>
      </c>
      <c r="N609" s="53">
        <v>57300</v>
      </c>
      <c r="O609" s="53">
        <f t="shared" ref="O609" si="9718">SUM(L609:N609)</f>
        <v>63650</v>
      </c>
      <c r="P609" s="71">
        <f t="shared" ref="P609" si="9719">AVERAGE(O606,O607,O608,O609)</f>
        <v>38812.5</v>
      </c>
      <c r="Q609" s="71">
        <f t="shared" ref="Q609" si="9720">AVERAGE(P557,P505,P453)</f>
        <v>53992.5</v>
      </c>
      <c r="R609" s="64">
        <f t="shared" ref="R609" si="9721">((O609/O557)-1)*100</f>
        <v>-8.9517651770898876</v>
      </c>
      <c r="S609" s="73">
        <f t="shared" ref="S609" si="9722">((P609/P557)-1)*100</f>
        <v>-35.636196296127395</v>
      </c>
      <c r="T609" s="64">
        <f t="shared" ref="T609" si="9723">((P609/Q609)-1)*100</f>
        <v>-28.115015974440894</v>
      </c>
      <c r="V609" s="64">
        <v>82448</v>
      </c>
      <c r="W609" s="53">
        <v>0</v>
      </c>
      <c r="X609" s="53">
        <v>0</v>
      </c>
      <c r="Y609" s="64">
        <f t="shared" si="9683"/>
        <v>82448</v>
      </c>
      <c r="Z609" s="71">
        <f t="shared" ref="Z609" si="9724">AVERAGE(Y606,Y607,Y608,Y609)</f>
        <v>78036</v>
      </c>
      <c r="AA609" s="71">
        <f t="shared" ref="AA609" si="9725">AVERAGE(Z557,Z505,Z453)</f>
        <v>113731.41666666667</v>
      </c>
      <c r="AB609" s="64">
        <f t="shared" ref="AB609" si="9726">((Y609/Y557)-1)*100</f>
        <v>20.398954423984005</v>
      </c>
      <c r="AC609" s="64">
        <f t="shared" ref="AC609" si="9727">((Z609/Z557)-1)*100</f>
        <v>4.7122245443597111</v>
      </c>
      <c r="AD609" s="64">
        <f t="shared" ref="AD609" si="9728">((Z609/AA609)-1)*100</f>
        <v>-31.38571356346128</v>
      </c>
      <c r="AF609" s="53">
        <v>0</v>
      </c>
      <c r="AG609" s="53">
        <v>0</v>
      </c>
      <c r="AH609" s="53">
        <v>1400</v>
      </c>
      <c r="AI609" s="53">
        <f t="shared" ref="AI609:AI610" si="9729">SUM(AF609:AH609)</f>
        <v>1400</v>
      </c>
      <c r="AJ609" s="71">
        <f t="shared" ref="AJ609" si="9730">AVERAGE(AI606,AI607,AI608,AI609)</f>
        <v>4075</v>
      </c>
      <c r="AK609" s="71">
        <f t="shared" ref="AK609" si="9731">AVERAGE(AJ557,AJ505,AJ453)</f>
        <v>4320.833333333333</v>
      </c>
      <c r="AL609" s="64"/>
      <c r="AM609" s="64">
        <f t="shared" ref="AM609:AM611" si="9732">((AJ609/AJ557)-1)*100</f>
        <v>239.58333333333334</v>
      </c>
      <c r="AN609" s="64">
        <f t="shared" ref="AN609" si="9733">((AJ609/AK609)-1)*100</f>
        <v>-5.6894889103182189</v>
      </c>
      <c r="AP609" s="60">
        <f t="shared" si="9694"/>
        <v>527484</v>
      </c>
      <c r="AQ609" s="60">
        <f t="shared" si="9695"/>
        <v>160255</v>
      </c>
      <c r="AR609" s="60">
        <f t="shared" ref="AR609" si="9734">SUM(D609,N609,X609,AH609)</f>
        <v>58700</v>
      </c>
      <c r="AS609" s="60">
        <f t="shared" ref="AS609" si="9735">SUM(E609,O609,Y609,AI609)</f>
        <v>746439</v>
      </c>
      <c r="AT609" s="64">
        <f t="shared" ref="AT609" si="9736">AVERAGE(AS606,AS607,AS608,AS609)</f>
        <v>752847.75</v>
      </c>
      <c r="AU609" s="71">
        <f t="shared" ref="AU609" si="9737">AVERAGE(AT557,AT505,AT453)</f>
        <v>481099.58333333331</v>
      </c>
      <c r="AV609" s="64">
        <f t="shared" ref="AV609" si="9738">((AS609/AS557)-1)*100</f>
        <v>83.428638831072121</v>
      </c>
      <c r="AW609" s="64">
        <f t="shared" ref="AW609" si="9739">((AT609/AT557)-1)*100</f>
        <v>111.61615522780744</v>
      </c>
      <c r="AX609" s="64">
        <f t="shared" ref="AX609" si="9740">((AT609/AU609)-1)*100</f>
        <v>56.484806073586633</v>
      </c>
      <c r="AZ609" s="71">
        <f t="shared" ref="AZ609" si="9741">+E609/1000</f>
        <v>598.94100000000003</v>
      </c>
      <c r="BA609" s="53">
        <f t="shared" ref="BA609" si="9742">+O609/1000</f>
        <v>63.65</v>
      </c>
      <c r="BB609" s="53">
        <f t="shared" ref="BB609" si="9743">+Y609/1000</f>
        <v>82.447999999999993</v>
      </c>
      <c r="BC609" s="53">
        <f t="shared" ref="BC609" si="9744">+AI609/1000</f>
        <v>1.4</v>
      </c>
      <c r="BD609" s="53">
        <f t="shared" ref="BD609" si="9745">+AS609/1000</f>
        <v>746.43899999999996</v>
      </c>
      <c r="BE609" s="64">
        <f t="shared" ref="BE609" si="9746">BE608+AZ609</f>
        <v>11560.860000000002</v>
      </c>
      <c r="BF609" s="64">
        <f t="shared" ref="BF609" si="9747">BF608+BA609</f>
        <v>982.36099999999988</v>
      </c>
      <c r="BG609" s="64">
        <f t="shared" ref="BG609" si="9748">BG608+BB609</f>
        <v>4667.6640000000016</v>
      </c>
      <c r="BH609" s="64">
        <f t="shared" ref="BH609" si="9749">BH608+BC609</f>
        <v>112.14999999999998</v>
      </c>
      <c r="BI609" s="64">
        <f t="shared" ref="BI609" si="9750">BI608+BD609</f>
        <v>17323.035</v>
      </c>
      <c r="BJ609" s="64">
        <f t="shared" si="9039"/>
        <v>26</v>
      </c>
    </row>
    <row r="610" spans="1:62" x14ac:dyDescent="0.3">
      <c r="A610" s="48">
        <f t="shared" si="8958"/>
        <v>41825</v>
      </c>
      <c r="B610" s="64">
        <v>435148</v>
      </c>
      <c r="C610" s="64">
        <v>104000</v>
      </c>
      <c r="D610" s="53">
        <v>0</v>
      </c>
      <c r="E610" s="64">
        <f t="shared" si="9362"/>
        <v>539148</v>
      </c>
      <c r="F610" s="64">
        <f t="shared" ref="F610" si="9751">AVERAGE(E607,E608,E609,E610)</f>
        <v>606117.25</v>
      </c>
      <c r="G610" s="71">
        <f t="shared" ref="G610" si="9752">AVERAGE(F558,F506,F454)</f>
        <v>310935.66666666669</v>
      </c>
      <c r="H610" s="64">
        <f t="shared" ref="H610" si="9753">((E610/E558)-1)*100</f>
        <v>257.52519893899205</v>
      </c>
      <c r="I610" s="64">
        <f t="shared" ref="I610" si="9754">((F610/F558)-1)*100</f>
        <v>149.91949283579012</v>
      </c>
      <c r="J610" s="64">
        <f t="shared" ref="J610" si="9755">((F610/G610)-1)*100</f>
        <v>94.933330260171701</v>
      </c>
      <c r="L610" s="53">
        <v>1600</v>
      </c>
      <c r="M610" s="53">
        <v>77489</v>
      </c>
      <c r="N610" s="53">
        <v>26600</v>
      </c>
      <c r="O610" s="53">
        <f t="shared" ref="O610" si="9756">SUM(L610:N610)</f>
        <v>105689</v>
      </c>
      <c r="P610" s="71">
        <f t="shared" ref="P610" si="9757">AVERAGE(O607,O608,O609,O610)</f>
        <v>58409.75</v>
      </c>
      <c r="Q610" s="71">
        <f t="shared" ref="Q610" si="9758">AVERAGE(P558,P506,P454)</f>
        <v>69894.583333333328</v>
      </c>
      <c r="R610" s="64">
        <f t="shared" ref="R610" si="9759">((O610/O558)-1)*100</f>
        <v>-33.065864471184291</v>
      </c>
      <c r="S610" s="73">
        <f t="shared" ref="S610" si="9760">((P610/P558)-1)*100</f>
        <v>-37.254033091898364</v>
      </c>
      <c r="T610" s="64">
        <f t="shared" ref="T610" si="9761">((P610/Q610)-1)*100</f>
        <v>-16.431650044412116</v>
      </c>
      <c r="V610" s="64">
        <v>28000</v>
      </c>
      <c r="W610" s="53">
        <v>15750</v>
      </c>
      <c r="X610" s="53">
        <v>0</v>
      </c>
      <c r="Y610" s="64">
        <f t="shared" si="9683"/>
        <v>43750</v>
      </c>
      <c r="Z610" s="71">
        <f t="shared" ref="Z610" si="9762">AVERAGE(Y607,Y608,Y609,Y610)</f>
        <v>58917.5</v>
      </c>
      <c r="AA610" s="71">
        <f t="shared" ref="AA610" si="9763">AVERAGE(Z558,Z506,Z454)</f>
        <v>122962.75</v>
      </c>
      <c r="AB610" s="64">
        <f t="shared" ref="AB610" si="9764">((Y610/Y558)-1)*100</f>
        <v>-35.040831477357095</v>
      </c>
      <c r="AC610" s="64">
        <f t="shared" ref="AC610" si="9765">((Z610/Z558)-1)*100</f>
        <v>-23.976683645325604</v>
      </c>
      <c r="AD610" s="64">
        <f t="shared" ref="AD610" si="9766">((Z610/AA610)-1)*100</f>
        <v>-52.085082677477537</v>
      </c>
      <c r="AF610" s="53">
        <v>4700</v>
      </c>
      <c r="AG610" s="53">
        <v>0</v>
      </c>
      <c r="AH610" s="53">
        <v>0</v>
      </c>
      <c r="AI610" s="53">
        <f t="shared" si="9729"/>
        <v>4700</v>
      </c>
      <c r="AJ610" s="71">
        <f t="shared" ref="AJ610" si="9767">AVERAGE(AI607,AI608,AI609,AI610)</f>
        <v>4550</v>
      </c>
      <c r="AK610" s="71">
        <f t="shared" ref="AK610" si="9768">AVERAGE(AJ558,AJ506,AJ454)</f>
        <v>3729.1666666666665</v>
      </c>
      <c r="AL610" s="64"/>
      <c r="AM610" s="64"/>
      <c r="AN610" s="64">
        <f t="shared" ref="AN610" si="9769">((AJ610/AK610)-1)*100</f>
        <v>22.011173184357546</v>
      </c>
      <c r="AP610" s="60">
        <f t="shared" ref="AP610" si="9770">SUM(B610,L610,V610,AF610)</f>
        <v>469448</v>
      </c>
      <c r="AQ610" s="60">
        <f t="shared" ref="AQ610" si="9771">SUM(C610,M610,W610,AG610)</f>
        <v>197239</v>
      </c>
      <c r="AR610" s="60">
        <f t="shared" ref="AR610" si="9772">SUM(D610,N610,X610,AH610)</f>
        <v>26600</v>
      </c>
      <c r="AS610" s="60">
        <f t="shared" ref="AS610" si="9773">SUM(E610,O610,Y610,AI610)</f>
        <v>693287</v>
      </c>
      <c r="AT610" s="64">
        <f t="shared" ref="AT610" si="9774">AVERAGE(AS607,AS608,AS609,AS610)</f>
        <v>727994.5</v>
      </c>
      <c r="AU610" s="71">
        <f t="shared" ref="AU610" si="9775">AVERAGE(AT558,AT506,AT454)</f>
        <v>507522.16666666669</v>
      </c>
      <c r="AV610" s="64">
        <f t="shared" ref="AV610" si="9776">((AS610/AS558)-1)*100</f>
        <v>84.360324424943499</v>
      </c>
      <c r="AW610" s="64">
        <f t="shared" ref="AW610" si="9777">((AT610/AT558)-1)*100</f>
        <v>76.221425830915706</v>
      </c>
      <c r="AX610" s="64">
        <f t="shared" ref="AX610" si="9778">((AT610/AU610)-1)*100</f>
        <v>43.440926882339781</v>
      </c>
      <c r="AZ610" s="71">
        <f t="shared" ref="AZ610" si="9779">+E610/1000</f>
        <v>539.14800000000002</v>
      </c>
      <c r="BA610" s="53">
        <f t="shared" ref="BA610" si="9780">+O610/1000</f>
        <v>105.68899999999999</v>
      </c>
      <c r="BB610" s="53">
        <f t="shared" ref="BB610" si="9781">+Y610/1000</f>
        <v>43.75</v>
      </c>
      <c r="BC610" s="53">
        <f t="shared" ref="BC610" si="9782">+AI610/1000</f>
        <v>4.7</v>
      </c>
      <c r="BD610" s="53">
        <f t="shared" ref="BD610" si="9783">+AS610/1000</f>
        <v>693.28700000000003</v>
      </c>
      <c r="BE610" s="64">
        <f t="shared" ref="BE610" si="9784">BE609+AZ610</f>
        <v>12100.008000000002</v>
      </c>
      <c r="BF610" s="64">
        <f t="shared" ref="BF610" si="9785">BF609+BA610</f>
        <v>1088.05</v>
      </c>
      <c r="BG610" s="64">
        <f t="shared" ref="BG610" si="9786">BG609+BB610</f>
        <v>4711.4140000000016</v>
      </c>
      <c r="BH610" s="64">
        <f t="shared" ref="BH610" si="9787">BH609+BC610</f>
        <v>116.84999999999998</v>
      </c>
      <c r="BI610" s="64">
        <f t="shared" ref="BI610" si="9788">BI609+BD610</f>
        <v>18016.322</v>
      </c>
      <c r="BJ610" s="64">
        <f t="shared" si="9039"/>
        <v>27</v>
      </c>
    </row>
    <row r="611" spans="1:62" x14ac:dyDescent="0.3">
      <c r="A611" s="48">
        <f t="shared" si="8958"/>
        <v>41832</v>
      </c>
      <c r="B611" s="64">
        <v>212040</v>
      </c>
      <c r="C611" s="64">
        <v>110100</v>
      </c>
      <c r="D611" s="53">
        <v>0</v>
      </c>
      <c r="E611" s="64">
        <f t="shared" si="9362"/>
        <v>322140</v>
      </c>
      <c r="F611" s="64">
        <f t="shared" ref="F611" si="9789">AVERAGE(E608,E609,E610,E611)</f>
        <v>547376.75</v>
      </c>
      <c r="G611" s="71">
        <f t="shared" ref="G611" si="9790">AVERAGE(F559,F507,F455)</f>
        <v>334021.58333333331</v>
      </c>
      <c r="H611" s="64">
        <f t="shared" ref="H611" si="9791">((E611/E559)-1)*100</f>
        <v>12.675760755508914</v>
      </c>
      <c r="I611" s="64">
        <f t="shared" ref="I611" si="9792">((F611/F559)-1)*100</f>
        <v>116.7828712871287</v>
      </c>
      <c r="J611" s="64">
        <f t="shared" ref="J611" si="9793">((F611/G611)-1)*100</f>
        <v>63.874664785883354</v>
      </c>
      <c r="L611" s="53">
        <v>0</v>
      </c>
      <c r="M611" s="53">
        <v>70860</v>
      </c>
      <c r="N611" s="53">
        <v>58800</v>
      </c>
      <c r="O611" s="53">
        <f t="shared" ref="O611" si="9794">SUM(L611:N611)</f>
        <v>129660</v>
      </c>
      <c r="P611" s="71">
        <f t="shared" ref="P611" si="9795">AVERAGE(O608,O609,O610,O611)</f>
        <v>83849.75</v>
      </c>
      <c r="Q611" s="71">
        <f t="shared" ref="Q611" si="9796">AVERAGE(P559,P507,P455)</f>
        <v>81251.416666666672</v>
      </c>
      <c r="R611" s="64">
        <f t="shared" ref="R611" si="9797">((O611/O559)-1)*100</f>
        <v>-33.873254521159943</v>
      </c>
      <c r="S611" s="73">
        <f t="shared" ref="S611" si="9798">((P611/P559)-1)*100</f>
        <v>-35.733159604127351</v>
      </c>
      <c r="T611" s="64">
        <f t="shared" ref="T611" si="9799">((P611/Q611)-1)*100</f>
        <v>3.1978929598150518</v>
      </c>
      <c r="V611" s="64">
        <v>23848</v>
      </c>
      <c r="W611" s="53">
        <v>10500</v>
      </c>
      <c r="X611" s="53">
        <v>0</v>
      </c>
      <c r="Y611" s="64">
        <f t="shared" si="9683"/>
        <v>34348</v>
      </c>
      <c r="Z611" s="71">
        <f t="shared" ref="Z611" si="9800">AVERAGE(Y608,Y609,Y610,Y611)</f>
        <v>52179.5</v>
      </c>
      <c r="AA611" s="71">
        <f t="shared" ref="AA611" si="9801">AVERAGE(Z559,Z507,Z455)</f>
        <v>134666.08333333334</v>
      </c>
      <c r="AB611" s="64">
        <f t="shared" ref="AB611" si="9802">((Y611/Y559)-1)*100</f>
        <v>-72.927044580364466</v>
      </c>
      <c r="AC611" s="64">
        <f t="shared" ref="AC611" si="9803">((Z611/Z559)-1)*100</f>
        <v>-40.56175263633024</v>
      </c>
      <c r="AD611" s="64">
        <f t="shared" ref="AD611" si="9804">((Z611/AA611)-1)*100</f>
        <v>-61.252678693533944</v>
      </c>
      <c r="AF611" s="53">
        <v>0</v>
      </c>
      <c r="AG611" s="53">
        <v>3500</v>
      </c>
      <c r="AH611" s="53">
        <v>1400</v>
      </c>
      <c r="AI611" s="53">
        <f t="shared" ref="AI611:AI616" si="9805">SUM(AF611:AH611)</f>
        <v>4900</v>
      </c>
      <c r="AJ611" s="71">
        <f t="shared" ref="AJ611" si="9806">AVERAGE(AI608,AI609,AI610,AI611)</f>
        <v>4262.5</v>
      </c>
      <c r="AK611" s="71">
        <f t="shared" ref="AK611" si="9807">AVERAGE(AJ559,AJ507,AJ455)</f>
        <v>5408.333333333333</v>
      </c>
      <c r="AL611" s="64">
        <f t="shared" si="9612"/>
        <v>206.25</v>
      </c>
      <c r="AM611" s="64">
        <f t="shared" si="9732"/>
        <v>965.625</v>
      </c>
      <c r="AN611" s="64">
        <f t="shared" ref="AN611" si="9808">((AJ611/AK611)-1)*100</f>
        <v>-21.1864406779661</v>
      </c>
      <c r="AP611" s="60">
        <f t="shared" ref="AP611:AP613" si="9809">SUM(B611,L611,V611,AF611)</f>
        <v>235888</v>
      </c>
      <c r="AQ611" s="60">
        <f t="shared" ref="AQ611:AQ613" si="9810">SUM(C611,M611,W611,AG611)</f>
        <v>194960</v>
      </c>
      <c r="AR611" s="60">
        <f t="shared" ref="AR611:AR613" si="9811">SUM(D611,N611,X611,AH611)</f>
        <v>60200</v>
      </c>
      <c r="AS611" s="60">
        <f t="shared" ref="AS611:AS613" si="9812">SUM(E611,O611,Y611,AI611)</f>
        <v>491048</v>
      </c>
      <c r="AT611" s="64">
        <f t="shared" ref="AT611" si="9813">AVERAGE(AS608,AS609,AS610,AS611)</f>
        <v>687668.5</v>
      </c>
      <c r="AU611" s="71">
        <f t="shared" ref="AU611" si="9814">AVERAGE(AT559,AT507,AT455)</f>
        <v>555347.41666666663</v>
      </c>
      <c r="AV611" s="64">
        <f t="shared" ref="AV611" si="9815">((AS611/AS559)-1)*100</f>
        <v>-19.559669096568111</v>
      </c>
      <c r="AW611" s="64">
        <f t="shared" ref="AW611" si="9816">((AT611/AT559)-1)*100</f>
        <v>45.952534070239558</v>
      </c>
      <c r="AX611" s="64">
        <f t="shared" ref="AX611" si="9817">((AT611/AU611)-1)*100</f>
        <v>23.826721681277906</v>
      </c>
      <c r="AZ611" s="71">
        <f t="shared" ref="AZ611" si="9818">+E611/1000</f>
        <v>322.14</v>
      </c>
      <c r="BA611" s="53">
        <f t="shared" ref="BA611" si="9819">+O611/1000</f>
        <v>129.66</v>
      </c>
      <c r="BB611" s="53">
        <f t="shared" ref="BB611" si="9820">+Y611/1000</f>
        <v>34.347999999999999</v>
      </c>
      <c r="BC611" s="53">
        <f t="shared" ref="BC611" si="9821">+AI611/1000</f>
        <v>4.9000000000000004</v>
      </c>
      <c r="BD611" s="53">
        <f t="shared" ref="BD611" si="9822">+AS611/1000</f>
        <v>491.048</v>
      </c>
      <c r="BE611" s="64">
        <f t="shared" ref="BE611" si="9823">BE610+AZ611</f>
        <v>12422.148000000001</v>
      </c>
      <c r="BF611" s="64">
        <f t="shared" ref="BF611" si="9824">BF610+BA611</f>
        <v>1217.71</v>
      </c>
      <c r="BG611" s="64">
        <f t="shared" ref="BG611" si="9825">BG610+BB611</f>
        <v>4745.7620000000015</v>
      </c>
      <c r="BH611" s="64">
        <f t="shared" ref="BH611" si="9826">BH610+BC611</f>
        <v>121.74999999999999</v>
      </c>
      <c r="BI611" s="64">
        <f t="shared" ref="BI611" si="9827">BI610+BD611</f>
        <v>18507.37</v>
      </c>
      <c r="BJ611" s="64">
        <f t="shared" si="9039"/>
        <v>28</v>
      </c>
    </row>
    <row r="612" spans="1:62" x14ac:dyDescent="0.3">
      <c r="A612" s="48">
        <f t="shared" si="8958"/>
        <v>41839</v>
      </c>
      <c r="B612" s="64">
        <v>215546</v>
      </c>
      <c r="C612" s="64">
        <v>69550</v>
      </c>
      <c r="D612" s="53">
        <v>0</v>
      </c>
      <c r="E612" s="64">
        <f t="shared" si="9362"/>
        <v>285096</v>
      </c>
      <c r="F612" s="64">
        <f t="shared" ref="F612" si="9828">AVERAGE(E609,E610,E611,E612)</f>
        <v>436331.25</v>
      </c>
      <c r="G612" s="71">
        <f t="shared" ref="G612" si="9829">AVERAGE(F560,F508,F456)</f>
        <v>332014.5</v>
      </c>
      <c r="H612" s="64">
        <f t="shared" ref="H612" si="9830">((E612/E560)-1)*100</f>
        <v>94.273253833049409</v>
      </c>
      <c r="I612" s="64">
        <f t="shared" ref="I612" si="9831">((F612/F560)-1)*100</f>
        <v>104.85035211267606</v>
      </c>
      <c r="J612" s="64">
        <f t="shared" ref="J612" si="9832">((F612/G612)-1)*100</f>
        <v>31.419335601306564</v>
      </c>
      <c r="L612" s="53">
        <v>0</v>
      </c>
      <c r="M612" s="53">
        <v>41922</v>
      </c>
      <c r="N612" s="53">
        <v>35000</v>
      </c>
      <c r="O612" s="53">
        <f t="shared" ref="O612" si="9833">SUM(L612:N612)</f>
        <v>76922</v>
      </c>
      <c r="P612" s="71">
        <f t="shared" ref="P612" si="9834">AVERAGE(O609,O610,O611,O612)</f>
        <v>93980.25</v>
      </c>
      <c r="Q612" s="71">
        <f t="shared" ref="Q612" si="9835">AVERAGE(P560,P508,P456)</f>
        <v>81864.833333333328</v>
      </c>
      <c r="R612" s="64">
        <f t="shared" ref="R612" si="9836">((O612/O560)-1)*100</f>
        <v>-34.948582639875511</v>
      </c>
      <c r="S612" s="73">
        <f t="shared" ref="S612" si="9837">((P612/P560)-1)*100</f>
        <v>-30.659025259437701</v>
      </c>
      <c r="T612" s="64">
        <f t="shared" ref="T612" si="9838">((P612/Q612)-1)*100</f>
        <v>14.799293143779702</v>
      </c>
      <c r="V612" s="64">
        <v>51316</v>
      </c>
      <c r="W612" s="53">
        <v>9900</v>
      </c>
      <c r="X612" s="53">
        <v>0</v>
      </c>
      <c r="Y612" s="64">
        <f t="shared" si="9683"/>
        <v>61216</v>
      </c>
      <c r="Z612" s="71">
        <f t="shared" ref="Z612" si="9839">AVERAGE(Y609,Y610,Y611,Y612)</f>
        <v>55440.5</v>
      </c>
      <c r="AA612" s="71">
        <f t="shared" ref="AA612" si="9840">AVERAGE(Z560,Z508,Z456)</f>
        <v>134777.5</v>
      </c>
      <c r="AB612" s="64">
        <f t="shared" ref="AB612" si="9841">((Y612/Y560)-1)*100</f>
        <v>-23.288220551378448</v>
      </c>
      <c r="AC612" s="64">
        <f t="shared" ref="AC612" si="9842">((Z612/Z560)-1)*100</f>
        <v>-35.252159847708477</v>
      </c>
      <c r="AD612" s="64">
        <f t="shared" ref="AD612" si="9843">((Z612/AA612)-1)*100</f>
        <v>-58.865166663575152</v>
      </c>
      <c r="AF612" s="53">
        <v>0</v>
      </c>
      <c r="AG612" s="53">
        <v>0</v>
      </c>
      <c r="AH612" s="53">
        <v>0</v>
      </c>
      <c r="AI612" s="53">
        <f t="shared" si="9805"/>
        <v>0</v>
      </c>
      <c r="AJ612" s="71">
        <f t="shared" ref="AJ612" si="9844">AVERAGE(AI609,AI610,AI611,AI612)</f>
        <v>2750</v>
      </c>
      <c r="AK612" s="71">
        <f t="shared" ref="AK612" si="9845">AVERAGE(AJ560,AJ508,AJ456)</f>
        <v>5454.166666666667</v>
      </c>
      <c r="AL612" s="64"/>
      <c r="AM612" s="64">
        <f t="shared" ref="AM612" si="9846">((AJ612/AJ560)-1)*100</f>
        <v>587.5</v>
      </c>
      <c r="AN612" s="64">
        <f t="shared" ref="AN612" si="9847">((AJ612/AK612)-1)*100</f>
        <v>-49.579831932773111</v>
      </c>
      <c r="AP612" s="60">
        <f t="shared" si="9809"/>
        <v>266862</v>
      </c>
      <c r="AQ612" s="60">
        <f t="shared" si="9810"/>
        <v>121372</v>
      </c>
      <c r="AR612" s="60">
        <f t="shared" si="9811"/>
        <v>35000</v>
      </c>
      <c r="AS612" s="60">
        <f t="shared" si="9812"/>
        <v>423234</v>
      </c>
      <c r="AT612" s="64">
        <f t="shared" ref="AT612" si="9848">AVERAGE(AS609,AS610,AS611,AS612)</f>
        <v>588502</v>
      </c>
      <c r="AU612" s="71">
        <f t="shared" ref="AU612" si="9849">AVERAGE(AT560,AT508,AT456)</f>
        <v>554111</v>
      </c>
      <c r="AV612" s="64">
        <f t="shared" ref="AV612" si="9850">((AS612/AS560)-1)*100</f>
        <v>22.748391812017466</v>
      </c>
      <c r="AW612" s="64">
        <f t="shared" ref="AW612" si="9851">((AT612/AT560)-1)*100</f>
        <v>35.425187043178852</v>
      </c>
      <c r="AX612" s="64">
        <f t="shared" ref="AX612" si="9852">((AT612/AU612)-1)*100</f>
        <v>6.2065181885939902</v>
      </c>
      <c r="AZ612" s="71">
        <f t="shared" ref="AZ612" si="9853">+E612/1000</f>
        <v>285.096</v>
      </c>
      <c r="BA612" s="53">
        <f t="shared" ref="BA612" si="9854">+O612/1000</f>
        <v>76.921999999999997</v>
      </c>
      <c r="BB612" s="53">
        <f t="shared" ref="BB612" si="9855">+Y612/1000</f>
        <v>61.216000000000001</v>
      </c>
      <c r="BC612" s="53">
        <f t="shared" ref="BC612" si="9856">+AI612/1000</f>
        <v>0</v>
      </c>
      <c r="BD612" s="53">
        <f t="shared" ref="BD612" si="9857">+AS612/1000</f>
        <v>423.23399999999998</v>
      </c>
      <c r="BE612" s="64">
        <f t="shared" ref="BE612" si="9858">BE611+AZ612</f>
        <v>12707.244000000001</v>
      </c>
      <c r="BF612" s="64">
        <f t="shared" ref="BF612" si="9859">BF611+BA612</f>
        <v>1294.6320000000001</v>
      </c>
      <c r="BG612" s="64">
        <f t="shared" ref="BG612" si="9860">BG611+BB612</f>
        <v>4806.9780000000019</v>
      </c>
      <c r="BH612" s="64">
        <f t="shared" ref="BH612" si="9861">BH611+BC612</f>
        <v>121.74999999999999</v>
      </c>
      <c r="BI612" s="64">
        <f t="shared" ref="BI612" si="9862">BI611+BD612</f>
        <v>18930.603999999999</v>
      </c>
      <c r="BJ612" s="64">
        <f t="shared" si="9039"/>
        <v>29</v>
      </c>
    </row>
    <row r="613" spans="1:62" x14ac:dyDescent="0.3">
      <c r="A613" s="48">
        <f t="shared" si="8958"/>
        <v>41846</v>
      </c>
      <c r="B613" s="64">
        <v>485400</v>
      </c>
      <c r="C613" s="64">
        <v>86050</v>
      </c>
      <c r="D613" s="53">
        <v>0</v>
      </c>
      <c r="E613" s="64">
        <f t="shared" si="9362"/>
        <v>571450</v>
      </c>
      <c r="F613" s="64">
        <f t="shared" ref="F613" si="9863">AVERAGE(E610,E611,E612,E613)</f>
        <v>429458.5</v>
      </c>
      <c r="G613" s="71">
        <f t="shared" ref="G613" si="9864">AVERAGE(F561,F509,F457)</f>
        <v>339727</v>
      </c>
      <c r="H613" s="64">
        <f t="shared" ref="H613" si="9865">((E613/E561)-1)*100</f>
        <v>200.32689356513694</v>
      </c>
      <c r="I613" s="64">
        <f t="shared" ref="I613" si="9866">((F613/F561)-1)*100</f>
        <v>122.02097383311403</v>
      </c>
      <c r="J613" s="64">
        <f t="shared" ref="J613" si="9867">((F613/G613)-1)*100</f>
        <v>26.412825592313837</v>
      </c>
      <c r="L613" s="53">
        <v>0</v>
      </c>
      <c r="M613" s="53">
        <v>70201</v>
      </c>
      <c r="N613" s="53">
        <v>46200</v>
      </c>
      <c r="O613" s="53">
        <f t="shared" ref="O613" si="9868">SUM(L613:N613)</f>
        <v>116401</v>
      </c>
      <c r="P613" s="71">
        <f t="shared" ref="P613" si="9869">AVERAGE(O610,O611,O612,O613)</f>
        <v>107168</v>
      </c>
      <c r="Q613" s="71">
        <f t="shared" ref="Q613" si="9870">AVERAGE(P561,P509,P457)</f>
        <v>86695.833333333328</v>
      </c>
      <c r="R613" s="64">
        <f t="shared" ref="R613" si="9871">((O613/O561)-1)*100</f>
        <v>-29.275198532047664</v>
      </c>
      <c r="S613" s="73">
        <f t="shared" ref="S613" si="9872">((P613/P561)-1)*100</f>
        <v>-32.684368468410462</v>
      </c>
      <c r="T613" s="64">
        <f t="shared" ref="T613" si="9873">((P613/Q613)-1)*100</f>
        <v>23.613783822751966</v>
      </c>
      <c r="V613" s="64">
        <v>94700</v>
      </c>
      <c r="W613" s="53">
        <v>1750</v>
      </c>
      <c r="X613" s="53">
        <v>1400</v>
      </c>
      <c r="Y613" s="64">
        <f t="shared" ref="Y613:Y617" si="9874">SUM(V613:X613)</f>
        <v>97850</v>
      </c>
      <c r="Z613" s="71">
        <f t="shared" ref="Z613" si="9875">AVERAGE(Y610,Y611,Y612,Y613)</f>
        <v>59291</v>
      </c>
      <c r="AA613" s="71">
        <f t="shared" ref="AA613" si="9876">AVERAGE(Z561,Z509,Z457)</f>
        <v>148139.58333333334</v>
      </c>
      <c r="AB613" s="64">
        <f t="shared" ref="AB613" si="9877">((Y613/Y561)-1)*100</f>
        <v>36.201664764343988</v>
      </c>
      <c r="AC613" s="64">
        <f t="shared" ref="AC613" si="9878">((Z613/Z561)-1)*100</f>
        <v>-31.42853838502996</v>
      </c>
      <c r="AD613" s="64">
        <f t="shared" ref="AD613" si="9879">((Z613/AA613)-1)*100</f>
        <v>-59.976261127596445</v>
      </c>
      <c r="AF613" s="53">
        <v>0</v>
      </c>
      <c r="AG613" s="53">
        <v>0</v>
      </c>
      <c r="AH613" s="53">
        <v>0</v>
      </c>
      <c r="AI613" s="53">
        <f t="shared" si="9805"/>
        <v>0</v>
      </c>
      <c r="AJ613" s="71">
        <f t="shared" ref="AJ613" si="9880">AVERAGE(AI610,AI611,AI612,AI613)</f>
        <v>2400</v>
      </c>
      <c r="AK613" s="71">
        <f t="shared" ref="AK613" si="9881">AVERAGE(AJ561,AJ509,AJ457)</f>
        <v>8984.0833333333339</v>
      </c>
      <c r="AL613" s="64">
        <f t="shared" si="9612"/>
        <v>-100</v>
      </c>
      <c r="AM613" s="64">
        <f t="shared" ref="AM613" si="9882">((AJ613/AJ561)-1)*100</f>
        <v>-40.186915887850475</v>
      </c>
      <c r="AN613" s="64">
        <f t="shared" ref="AN613" si="9883">((AJ613/AK613)-1)*100</f>
        <v>-73.286089287536299</v>
      </c>
      <c r="AP613" s="60">
        <f t="shared" si="9809"/>
        <v>580100</v>
      </c>
      <c r="AQ613" s="60">
        <f t="shared" si="9810"/>
        <v>158001</v>
      </c>
      <c r="AR613" s="60">
        <f t="shared" si="9811"/>
        <v>47600</v>
      </c>
      <c r="AS613" s="60">
        <f t="shared" si="9812"/>
        <v>785701</v>
      </c>
      <c r="AT613" s="64">
        <f t="shared" ref="AT613" si="9884">AVERAGE(AS610,AS611,AS612,AS613)</f>
        <v>598317.5</v>
      </c>
      <c r="AU613" s="71">
        <f t="shared" ref="AU613" si="9885">AVERAGE(AT561,AT509,AT457)</f>
        <v>583546.5</v>
      </c>
      <c r="AV613" s="64">
        <f t="shared" ref="AV613" si="9886">((AS613/AS561)-1)*100</f>
        <v>78.102509118193097</v>
      </c>
      <c r="AW613" s="64">
        <f t="shared" ref="AW613" si="9887">((AT613/AT561)-1)*100</f>
        <v>35.026170005455739</v>
      </c>
      <c r="AX613" s="64">
        <f t="shared" ref="AX613" si="9888">((AT613/AU613)-1)*100</f>
        <v>2.53124643880136</v>
      </c>
      <c r="AZ613" s="71">
        <f t="shared" ref="AZ613" si="9889">+E613/1000</f>
        <v>571.45000000000005</v>
      </c>
      <c r="BA613" s="53">
        <f t="shared" ref="BA613" si="9890">+O613/1000</f>
        <v>116.401</v>
      </c>
      <c r="BB613" s="53">
        <f t="shared" ref="BB613" si="9891">+Y613/1000</f>
        <v>97.85</v>
      </c>
      <c r="BC613" s="53">
        <f t="shared" ref="BC613" si="9892">+AI613/1000</f>
        <v>0</v>
      </c>
      <c r="BD613" s="53">
        <f t="shared" ref="BD613" si="9893">+AS613/1000</f>
        <v>785.70100000000002</v>
      </c>
      <c r="BE613" s="64">
        <f t="shared" ref="BE613" si="9894">BE612+AZ613</f>
        <v>13278.694000000001</v>
      </c>
      <c r="BF613" s="64">
        <f t="shared" ref="BF613" si="9895">BF612+BA613</f>
        <v>1411.0330000000001</v>
      </c>
      <c r="BG613" s="64">
        <f t="shared" ref="BG613" si="9896">BG612+BB613</f>
        <v>4904.8280000000022</v>
      </c>
      <c r="BH613" s="64">
        <f t="shared" ref="BH613" si="9897">BH612+BC613</f>
        <v>121.74999999999999</v>
      </c>
      <c r="BI613" s="64">
        <f t="shared" ref="BI613" si="9898">BI612+BD613</f>
        <v>19716.305</v>
      </c>
      <c r="BJ613" s="64">
        <f t="shared" si="9039"/>
        <v>30</v>
      </c>
    </row>
    <row r="614" spans="1:62" x14ac:dyDescent="0.3">
      <c r="A614" s="48">
        <f t="shared" si="8958"/>
        <v>41853</v>
      </c>
      <c r="B614" s="64">
        <v>482820</v>
      </c>
      <c r="C614" s="64">
        <v>115264</v>
      </c>
      <c r="D614" s="53">
        <v>0</v>
      </c>
      <c r="E614" s="64">
        <f t="shared" si="9362"/>
        <v>598084</v>
      </c>
      <c r="F614" s="64">
        <f t="shared" ref="F614" si="9899">AVERAGE(E611,E612,E613,E614)</f>
        <v>444192.5</v>
      </c>
      <c r="G614" s="71">
        <f t="shared" ref="G614" si="9900">AVERAGE(F562,F510,F458)</f>
        <v>343161.75</v>
      </c>
      <c r="H614" s="64">
        <f t="shared" ref="H614" si="9901">((E614/E562)-1)*100</f>
        <v>303.15739804516346</v>
      </c>
      <c r="I614" s="64">
        <f t="shared" ref="I614" si="9902">((F614/F562)-1)*100</f>
        <v>130.36759862876585</v>
      </c>
      <c r="J614" s="64">
        <f t="shared" ref="J614" si="9903">((F614/G614)-1)*100</f>
        <v>29.441145465658678</v>
      </c>
      <c r="L614" s="53">
        <v>4700</v>
      </c>
      <c r="M614" s="53">
        <v>38689</v>
      </c>
      <c r="N614" s="53">
        <v>49000</v>
      </c>
      <c r="O614" s="53">
        <f t="shared" ref="O614" si="9904">SUM(L614:N614)</f>
        <v>92389</v>
      </c>
      <c r="P614" s="71">
        <f t="shared" ref="P614" si="9905">AVERAGE(O611,O612,O613,O614)</f>
        <v>103843</v>
      </c>
      <c r="Q614" s="71">
        <f t="shared" ref="Q614" si="9906">AVERAGE(P562,P510,P458)</f>
        <v>80076.666666666672</v>
      </c>
      <c r="R614" s="64">
        <f t="shared" ref="R614" si="9907">((O614/O562)-1)*100</f>
        <v>-36.717695811500391</v>
      </c>
      <c r="S614" s="73">
        <f t="shared" ref="S614" si="9908">((P614/P562)-1)*100</f>
        <v>-33.53027024951033</v>
      </c>
      <c r="T614" s="64">
        <f t="shared" ref="T614" si="9909">((P614/Q614)-1)*100</f>
        <v>29.679473837572324</v>
      </c>
      <c r="V614" s="64">
        <v>67500</v>
      </c>
      <c r="W614" s="53">
        <v>14000</v>
      </c>
      <c r="X614" s="53">
        <v>0</v>
      </c>
      <c r="Y614" s="64">
        <f t="shared" si="9874"/>
        <v>81500</v>
      </c>
      <c r="Z614" s="71">
        <f t="shared" ref="Z614" si="9910">AVERAGE(Y611,Y612,Y613,Y614)</f>
        <v>68728.5</v>
      </c>
      <c r="AA614" s="71">
        <f t="shared" ref="AA614" si="9911">AVERAGE(Z562,Z510,Z458)</f>
        <v>159953.58333333334</v>
      </c>
      <c r="AB614" s="64">
        <f t="shared" ref="AB614" si="9912">((Y614/Y562)-1)*100</f>
        <v>-6.8571428571428612</v>
      </c>
      <c r="AC614" s="64">
        <f t="shared" ref="AC614" si="9913">((Z614/Z562)-1)*100</f>
        <v>-24.889758315255705</v>
      </c>
      <c r="AD614" s="64">
        <f t="shared" ref="AD614" si="9914">((Z614/AA614)-1)*100</f>
        <v>-57.032222368676756</v>
      </c>
      <c r="AF614" s="53">
        <v>6400</v>
      </c>
      <c r="AG614" s="53">
        <v>0</v>
      </c>
      <c r="AH614" s="53">
        <v>0</v>
      </c>
      <c r="AI614" s="53">
        <f t="shared" si="9805"/>
        <v>6400</v>
      </c>
      <c r="AJ614" s="71">
        <f t="shared" ref="AJ614" si="9915">AVERAGE(AI611,AI612,AI613,AI614)</f>
        <v>2825</v>
      </c>
      <c r="AK614" s="71">
        <f t="shared" ref="AK614" si="9916">AVERAGE(AJ562,AJ510,AJ458)</f>
        <v>9584.0833333333339</v>
      </c>
      <c r="AL614" s="64"/>
      <c r="AM614" s="64">
        <f t="shared" ref="AM614" si="9917">((AJ614/AJ562)-1)*100</f>
        <v>-29.595015576323991</v>
      </c>
      <c r="AN614" s="64">
        <f t="shared" ref="AN614" si="9918">((AJ614/AK614)-1)*100</f>
        <v>-70.524045944230451</v>
      </c>
      <c r="AP614" s="60">
        <f t="shared" ref="AP614:AP615" si="9919">SUM(B614,L614,V614,AF614)</f>
        <v>561420</v>
      </c>
      <c r="AQ614" s="60">
        <f t="shared" ref="AQ614:AQ615" si="9920">SUM(C614,M614,W614,AG614)</f>
        <v>167953</v>
      </c>
      <c r="AR614" s="60">
        <f t="shared" ref="AR614:AR615" si="9921">SUM(D614,N614,X614,AH614)</f>
        <v>49000</v>
      </c>
      <c r="AS614" s="60">
        <f t="shared" ref="AS614:AS615" si="9922">SUM(E614,O614,Y614,AI614)</f>
        <v>778373</v>
      </c>
      <c r="AT614" s="64">
        <f t="shared" ref="AT614" si="9923">AVERAGE(AS611,AS612,AS613,AS614)</f>
        <v>619589</v>
      </c>
      <c r="AU614" s="71">
        <f t="shared" ref="AU614" si="9924">AVERAGE(AT562,AT510,AT458)</f>
        <v>592776.08333333337</v>
      </c>
      <c r="AV614" s="64">
        <f t="shared" ref="AV614" si="9925">((AS614/AS562)-1)*100</f>
        <v>103.84527753407795</v>
      </c>
      <c r="AW614" s="64">
        <f t="shared" ref="AW614" si="9926">((AT614/AT562)-1)*100</f>
        <v>39.370974961816273</v>
      </c>
      <c r="AX614" s="64">
        <f t="shared" ref="AX614" si="9927">((AT614/AU614)-1)*100</f>
        <v>4.5232790965334946</v>
      </c>
      <c r="AZ614" s="71">
        <f t="shared" ref="AZ614" si="9928">+E614/1000</f>
        <v>598.08399999999995</v>
      </c>
      <c r="BA614" s="53">
        <f t="shared" ref="BA614" si="9929">+O614/1000</f>
        <v>92.388999999999996</v>
      </c>
      <c r="BB614" s="53">
        <f t="shared" ref="BB614" si="9930">+Y614/1000</f>
        <v>81.5</v>
      </c>
      <c r="BC614" s="53">
        <f t="shared" ref="BC614" si="9931">+AI614/1000</f>
        <v>6.4</v>
      </c>
      <c r="BD614" s="53">
        <f t="shared" ref="BD614" si="9932">+AS614/1000</f>
        <v>778.37300000000005</v>
      </c>
      <c r="BE614" s="64">
        <f t="shared" ref="BE614" si="9933">BE613+AZ614</f>
        <v>13876.778000000002</v>
      </c>
      <c r="BF614" s="64">
        <f t="shared" ref="BF614" si="9934">BF613+BA614</f>
        <v>1503.422</v>
      </c>
      <c r="BG614" s="64">
        <f t="shared" ref="BG614" si="9935">BG613+BB614</f>
        <v>4986.3280000000022</v>
      </c>
      <c r="BH614" s="64">
        <f t="shared" ref="BH614" si="9936">BH613+BC614</f>
        <v>128.14999999999998</v>
      </c>
      <c r="BI614" s="64">
        <f t="shared" ref="BI614" si="9937">BI613+BD614</f>
        <v>20494.678</v>
      </c>
      <c r="BJ614" s="64">
        <f t="shared" si="9039"/>
        <v>31</v>
      </c>
    </row>
    <row r="615" spans="1:62" x14ac:dyDescent="0.3">
      <c r="A615" s="48">
        <f t="shared" si="8958"/>
        <v>41860</v>
      </c>
      <c r="B615" s="64">
        <v>441300</v>
      </c>
      <c r="C615" s="64">
        <v>145712</v>
      </c>
      <c r="D615" s="53">
        <v>0</v>
      </c>
      <c r="E615" s="64">
        <f t="shared" si="9362"/>
        <v>587012</v>
      </c>
      <c r="F615" s="64">
        <f t="shared" ref="F615" si="9938">AVERAGE(E612,E613,E614,E615)</f>
        <v>510410.5</v>
      </c>
      <c r="G615" s="71">
        <f t="shared" ref="G615" si="9939">AVERAGE(F563,F511,F459)</f>
        <v>316120.33333333331</v>
      </c>
      <c r="H615" s="64">
        <f t="shared" ref="H615" si="9940">((E615/E563)-1)*100</f>
        <v>433.36604335895618</v>
      </c>
      <c r="I615" s="64">
        <f t="shared" ref="I615" si="9941">((F615/F563)-1)*100</f>
        <v>242.88300634495178</v>
      </c>
      <c r="J615" s="64">
        <f t="shared" ref="J615" si="9942">((F615/G615)-1)*100</f>
        <v>61.460825571696851</v>
      </c>
      <c r="L615" s="53">
        <v>3600</v>
      </c>
      <c r="M615" s="53">
        <v>64140</v>
      </c>
      <c r="N615" s="53">
        <v>26600</v>
      </c>
      <c r="O615" s="53">
        <f t="shared" ref="O615" si="9943">SUM(L615:N615)</f>
        <v>94340</v>
      </c>
      <c r="P615" s="71">
        <f t="shared" ref="P615" si="9944">AVERAGE(O612,O613,O614,O615)</f>
        <v>95013</v>
      </c>
      <c r="Q615" s="71">
        <f t="shared" ref="Q615" si="9945">AVERAGE(P563,P511,P459)</f>
        <v>84065.166666666672</v>
      </c>
      <c r="R615" s="64">
        <f t="shared" ref="R615" si="9946">((O615/O563)-1)*100</f>
        <v>-57.412038750801301</v>
      </c>
      <c r="S615" s="73">
        <f t="shared" ref="S615" si="9947">((P615/P563)-1)*100</f>
        <v>-41.561389049487651</v>
      </c>
      <c r="T615" s="64">
        <f t="shared" ref="T615" si="9948">((P615/Q615)-1)*100</f>
        <v>13.023031735300595</v>
      </c>
      <c r="V615" s="64">
        <v>70700</v>
      </c>
      <c r="W615" s="53">
        <v>7000</v>
      </c>
      <c r="X615" s="53">
        <v>0</v>
      </c>
      <c r="Y615" s="64">
        <f t="shared" si="9874"/>
        <v>77700</v>
      </c>
      <c r="Z615" s="71">
        <f t="shared" ref="Z615" si="9949">AVERAGE(Y612,Y613,Y614,Y615)</f>
        <v>79566.5</v>
      </c>
      <c r="AA615" s="71">
        <f t="shared" ref="AA615" si="9950">AVERAGE(Z563,Z511,Z459)</f>
        <v>162342.91666666666</v>
      </c>
      <c r="AB615" s="64">
        <f t="shared" ref="AB615" si="9951">((Y615/Y563)-1)*100</f>
        <v>-17.755149564959673</v>
      </c>
      <c r="AC615" s="64">
        <f t="shared" ref="AC615" si="9952">((Z615/Z563)-1)*100</f>
        <v>-4.601098268668169</v>
      </c>
      <c r="AD615" s="64">
        <f t="shared" ref="AD615" si="9953">((Z615/AA615)-1)*100</f>
        <v>-50.988622334923761</v>
      </c>
      <c r="AF615" s="53">
        <v>0</v>
      </c>
      <c r="AG615" s="53">
        <v>0</v>
      </c>
      <c r="AH615" s="53">
        <v>0</v>
      </c>
      <c r="AI615" s="53">
        <f t="shared" si="9805"/>
        <v>0</v>
      </c>
      <c r="AJ615" s="71">
        <f t="shared" ref="AJ615" si="9954">AVERAGE(AI612,AI613,AI614,AI615)</f>
        <v>1600</v>
      </c>
      <c r="AK615" s="71">
        <f t="shared" ref="AK615" si="9955">AVERAGE(AJ563,AJ511,AJ459)</f>
        <v>8550.75</v>
      </c>
      <c r="AL615" s="64">
        <f t="shared" si="9612"/>
        <v>-100</v>
      </c>
      <c r="AM615" s="64">
        <f t="shared" ref="AM615" si="9956">((AJ615/AJ563)-1)*100</f>
        <v>-59.874608150470223</v>
      </c>
      <c r="AN615" s="64">
        <f t="shared" ref="AN615" si="9957">((AJ615/AK615)-1)*100</f>
        <v>-81.288191094348448</v>
      </c>
      <c r="AP615" s="60">
        <f t="shared" si="9919"/>
        <v>515600</v>
      </c>
      <c r="AQ615" s="60">
        <f t="shared" si="9920"/>
        <v>216852</v>
      </c>
      <c r="AR615" s="60">
        <f t="shared" si="9921"/>
        <v>26600</v>
      </c>
      <c r="AS615" s="60">
        <f t="shared" si="9922"/>
        <v>759052</v>
      </c>
      <c r="AT615" s="64">
        <f t="shared" ref="AT615" si="9958">AVERAGE(AS612,AS613,AS614,AS615)</f>
        <v>686590</v>
      </c>
      <c r="AU615" s="71">
        <f t="shared" ref="AU615" si="9959">AVERAGE(AT563,AT511,AT459)</f>
        <v>571079.16666666663</v>
      </c>
      <c r="AV615" s="64">
        <f t="shared" ref="AV615" si="9960">((AS615/AS563)-1)*100</f>
        <v>77.535259034031114</v>
      </c>
      <c r="AW615" s="64">
        <f t="shared" ref="AW615" si="9961">((AT615/AT563)-1)*100</f>
        <v>72.148451995306345</v>
      </c>
      <c r="AX615" s="64">
        <f t="shared" ref="AX615" si="9962">((AT615/AU615)-1)*100</f>
        <v>20.226763656527492</v>
      </c>
      <c r="AZ615" s="71">
        <f t="shared" ref="AZ615:AZ620" si="9963">+E615/1000</f>
        <v>587.01199999999994</v>
      </c>
      <c r="BA615" s="53">
        <f t="shared" ref="BA615:BA620" si="9964">+O615/1000</f>
        <v>94.34</v>
      </c>
      <c r="BB615" s="53">
        <f t="shared" ref="BB615:BB620" si="9965">+Y615/1000</f>
        <v>77.7</v>
      </c>
      <c r="BC615" s="53">
        <f t="shared" ref="BC615:BC620" si="9966">+AI615/1000</f>
        <v>0</v>
      </c>
      <c r="BD615" s="53">
        <f t="shared" ref="BD615:BD620" si="9967">+AS615/1000</f>
        <v>759.05200000000002</v>
      </c>
      <c r="BE615" s="64">
        <f>BE614+AZ615</f>
        <v>14463.790000000003</v>
      </c>
      <c r="BF615" s="64">
        <f>BF614+BA615</f>
        <v>1597.7619999999999</v>
      </c>
      <c r="BG615" s="64">
        <f>BG614+BB615</f>
        <v>5064.0280000000021</v>
      </c>
      <c r="BH615" s="64">
        <f>BH614+BC615</f>
        <v>128.14999999999998</v>
      </c>
      <c r="BI615" s="64">
        <f>BI614+BD615</f>
        <v>21253.73</v>
      </c>
      <c r="BJ615" s="64">
        <f t="shared" ref="BJ615:BJ620" si="9968">BJ614+1</f>
        <v>32</v>
      </c>
    </row>
    <row r="616" spans="1:62" x14ac:dyDescent="0.3">
      <c r="A616" s="48">
        <f t="shared" si="8958"/>
        <v>41867</v>
      </c>
      <c r="B616" s="64">
        <v>287600</v>
      </c>
      <c r="C616" s="64">
        <v>133600</v>
      </c>
      <c r="D616" s="53">
        <v>0</v>
      </c>
      <c r="E616" s="64">
        <f t="shared" si="9362"/>
        <v>421200</v>
      </c>
      <c r="F616" s="64">
        <f t="shared" ref="F616" si="9969">AVERAGE(E613,E614,E615,E616)</f>
        <v>544436.5</v>
      </c>
      <c r="G616" s="71">
        <f t="shared" ref="G616" si="9970">AVERAGE(F564,F512,F460)</f>
        <v>305576.08333333331</v>
      </c>
      <c r="H616" s="64">
        <f t="shared" ref="H616" si="9971">((E616/E564)-1)*100</f>
        <v>563.0564825892576</v>
      </c>
      <c r="I616" s="64">
        <f t="shared" ref="I616" si="9972">((F616/F564)-1)*100</f>
        <v>325.16829100677853</v>
      </c>
      <c r="J616" s="64">
        <f t="shared" ref="J616" si="9973">((F616/G616)-1)*100</f>
        <v>78.167248582117992</v>
      </c>
      <c r="L616" s="53">
        <v>1600</v>
      </c>
      <c r="M616" s="53">
        <v>67800</v>
      </c>
      <c r="N616" s="53">
        <v>39200</v>
      </c>
      <c r="O616" s="53">
        <f t="shared" ref="O616" si="9974">SUM(L616:N616)</f>
        <v>108600</v>
      </c>
      <c r="P616" s="71">
        <f t="shared" ref="P616" si="9975">AVERAGE(O613,O614,O615,O616)</f>
        <v>102932.5</v>
      </c>
      <c r="Q616" s="71">
        <f t="shared" ref="Q616" si="9976">AVERAGE(P564,P512,P460)</f>
        <v>92856.5</v>
      </c>
      <c r="R616" s="64">
        <f t="shared" ref="R616" si="9977">((O616/O564)-1)*100</f>
        <v>-52.630614755170946</v>
      </c>
      <c r="S616" s="73">
        <f t="shared" ref="S616" si="9978">((P616/P564)-1)*100</f>
        <v>-45.921629509376672</v>
      </c>
      <c r="T616" s="64">
        <f t="shared" ref="T616" si="9979">((P616/Q616)-1)*100</f>
        <v>10.851152046437251</v>
      </c>
      <c r="V616" s="64">
        <v>20500</v>
      </c>
      <c r="W616" s="53">
        <v>5250</v>
      </c>
      <c r="X616" s="53">
        <v>0</v>
      </c>
      <c r="Y616" s="64">
        <f t="shared" si="9874"/>
        <v>25750</v>
      </c>
      <c r="Z616" s="71">
        <f t="shared" ref="Z616" si="9980">AVERAGE(Y613,Y614,Y615,Y616)</f>
        <v>70700</v>
      </c>
      <c r="AA616" s="71">
        <f t="shared" ref="AA616" si="9981">AVERAGE(Z564,Z512,Z460)</f>
        <v>150459.91666666666</v>
      </c>
      <c r="AB616" s="64">
        <f t="shared" ref="AB616" si="9982">((Y616/Y564)-1)*100</f>
        <v>-18.300653594771244</v>
      </c>
      <c r="AC616" s="64">
        <f t="shared" ref="AC616" si="9983">((Z616/Z564)-1)*100</f>
        <v>-0.88808203719150658</v>
      </c>
      <c r="AD616" s="64">
        <f t="shared" ref="AD616" si="9984">((Z616/AA616)-1)*100</f>
        <v>-53.010740955924575</v>
      </c>
      <c r="AF616" s="53">
        <v>3200</v>
      </c>
      <c r="AG616" s="53">
        <v>0</v>
      </c>
      <c r="AH616" s="53">
        <v>0</v>
      </c>
      <c r="AI616" s="53">
        <f t="shared" si="9805"/>
        <v>3200</v>
      </c>
      <c r="AJ616" s="71">
        <f t="shared" ref="AJ616" si="9985">AVERAGE(AI613,AI614,AI615,AI616)</f>
        <v>2400</v>
      </c>
      <c r="AK616" s="71">
        <f t="shared" ref="AK616" si="9986">AVERAGE(AJ564,AJ512,AJ460)</f>
        <v>6379.916666666667</v>
      </c>
      <c r="AL616" s="64"/>
      <c r="AM616" s="64">
        <f t="shared" ref="AM616" si="9987">((AJ616/AJ564)-1)*100</f>
        <v>-39.811912225705328</v>
      </c>
      <c r="AN616" s="64">
        <f t="shared" ref="AN616" si="9988">((AJ616/AK616)-1)*100</f>
        <v>-62.381953787275179</v>
      </c>
      <c r="AP616" s="60">
        <f t="shared" ref="AP616:AP617" si="9989">SUM(B616,L616,V616,AF616)</f>
        <v>312900</v>
      </c>
      <c r="AQ616" s="60">
        <f t="shared" ref="AQ616:AQ617" si="9990">SUM(C616,M616,W616,AG616)</f>
        <v>206650</v>
      </c>
      <c r="AR616" s="60">
        <f t="shared" ref="AR616" si="9991">SUM(D616,N616,X616,AH616)</f>
        <v>39200</v>
      </c>
      <c r="AS616" s="60">
        <f t="shared" ref="AS616" si="9992">SUM(E616,O616,Y616,AI616)</f>
        <v>558750</v>
      </c>
      <c r="AT616" s="64">
        <f t="shared" ref="AT616" si="9993">AVERAGE(AS613,AS614,AS615,AS616)</f>
        <v>720469</v>
      </c>
      <c r="AU616" s="71">
        <f t="shared" ref="AU616" si="9994">AVERAGE(AT564,AT512,AT460)</f>
        <v>555272.41666666663</v>
      </c>
      <c r="AV616" s="64">
        <f t="shared" ref="AV616" si="9995">((AS616/AS564)-1)*100</f>
        <v>72.292046968276665</v>
      </c>
      <c r="AW616" s="64">
        <f t="shared" ref="AW616" si="9996">((AT616/AT564)-1)*100</f>
        <v>82.99368193796235</v>
      </c>
      <c r="AX616" s="64">
        <f t="shared" ref="AX616" si="9997">((AT616/AU616)-1)*100</f>
        <v>29.750547366465319</v>
      </c>
      <c r="AZ616" s="71">
        <f t="shared" si="9963"/>
        <v>421.2</v>
      </c>
      <c r="BA616" s="53">
        <f t="shared" si="9964"/>
        <v>108.6</v>
      </c>
      <c r="BB616" s="53">
        <f t="shared" si="9965"/>
        <v>25.75</v>
      </c>
      <c r="BC616" s="53">
        <f t="shared" si="9966"/>
        <v>3.2</v>
      </c>
      <c r="BD616" s="53">
        <f t="shared" si="9967"/>
        <v>558.75</v>
      </c>
      <c r="BE616" s="64">
        <f t="shared" ref="BE616" si="9998">BE615+AZ616</f>
        <v>14884.990000000003</v>
      </c>
      <c r="BF616" s="64">
        <f t="shared" ref="BF616" si="9999">BF615+BA616</f>
        <v>1706.3619999999999</v>
      </c>
      <c r="BG616" s="64">
        <f t="shared" ref="BG616" si="10000">BG615+BB616</f>
        <v>5089.7780000000021</v>
      </c>
      <c r="BH616" s="64">
        <f t="shared" ref="BH616" si="10001">BH615+BC616</f>
        <v>131.34999999999997</v>
      </c>
      <c r="BI616" s="64">
        <f t="shared" ref="BI616" si="10002">BI615+BD616</f>
        <v>21812.48</v>
      </c>
      <c r="BJ616" s="64">
        <f t="shared" si="9968"/>
        <v>33</v>
      </c>
    </row>
    <row r="617" spans="1:62" x14ac:dyDescent="0.3">
      <c r="A617" s="48">
        <f t="shared" si="8958"/>
        <v>41874</v>
      </c>
      <c r="B617" s="64">
        <v>430500</v>
      </c>
      <c r="C617" s="64">
        <v>41850</v>
      </c>
      <c r="D617" s="53">
        <v>0</v>
      </c>
      <c r="E617" s="64">
        <f t="shared" si="9362"/>
        <v>472350</v>
      </c>
      <c r="F617" s="64">
        <f t="shared" ref="F617" si="10003">AVERAGE(E614,E615,E616,E617)</f>
        <v>519661.5</v>
      </c>
      <c r="G617" s="71">
        <f t="shared" ref="G617" si="10004">AVERAGE(F565,F513,F461)</f>
        <v>249989.5</v>
      </c>
      <c r="H617" s="64">
        <f t="shared" ref="H617" si="10005">((E617/E565)-1)*100</f>
        <v>1349.0152770108596</v>
      </c>
      <c r="I617" s="64">
        <f t="shared" ref="I617" si="10006">((F617/F565)-1)*100</f>
        <v>486.31032634755877</v>
      </c>
      <c r="J617" s="64">
        <f t="shared" ref="J617" si="10007">((F617/G617)-1)*100</f>
        <v>107.87333067988855</v>
      </c>
      <c r="L617" s="53">
        <v>4700</v>
      </c>
      <c r="M617" s="53">
        <v>62150</v>
      </c>
      <c r="N617" s="53">
        <v>5600</v>
      </c>
      <c r="O617" s="53">
        <f t="shared" ref="O617" si="10008">SUM(L617:N617)</f>
        <v>72450</v>
      </c>
      <c r="P617" s="71">
        <f t="shared" ref="P617" si="10009">AVERAGE(O614,O615,O616,O617)</f>
        <v>91944.75</v>
      </c>
      <c r="Q617" s="71">
        <f t="shared" ref="Q617" si="10010">AVERAGE(P565,P513,P461)</f>
        <v>90870.916666666672</v>
      </c>
      <c r="R617" s="64">
        <f t="shared" ref="R617" si="10011">((O617/O565)-1)*100</f>
        <v>-59.96131528046422</v>
      </c>
      <c r="S617" s="73">
        <f t="shared" ref="S617" si="10012">((P617/P565)-1)*100</f>
        <v>-52.710919669549007</v>
      </c>
      <c r="T617" s="64">
        <f t="shared" ref="T617" si="10013">((P617/Q617)-1)*100</f>
        <v>1.1817128876033811</v>
      </c>
      <c r="V617" s="64">
        <v>50100</v>
      </c>
      <c r="W617" s="53">
        <v>1750</v>
      </c>
      <c r="X617" s="53">
        <v>0</v>
      </c>
      <c r="Y617" s="64">
        <f t="shared" si="9874"/>
        <v>51850</v>
      </c>
      <c r="Z617" s="71">
        <f t="shared" ref="Z617" si="10014">AVERAGE(Y614,Y615,Y616,Y617)</f>
        <v>59200</v>
      </c>
      <c r="AA617" s="71">
        <f t="shared" ref="AA617" si="10015">AVERAGE(Z565,Z513,Z461)</f>
        <v>127263.75</v>
      </c>
      <c r="AB617" s="64">
        <f t="shared" ref="AB617" si="10016">((Y617/Y565)-1)*100</f>
        <v>52.05278592375366</v>
      </c>
      <c r="AC617" s="64">
        <f t="shared" ref="AC617" si="10017">((Z617/Z565)-1)*100</f>
        <v>-4.3587838056156958</v>
      </c>
      <c r="AD617" s="64">
        <f t="shared" ref="AD617" si="10018">((Z617/AA617)-1)*100</f>
        <v>-53.482433135908693</v>
      </c>
      <c r="AF617" s="53">
        <v>0</v>
      </c>
      <c r="AG617" s="53">
        <v>0</v>
      </c>
      <c r="AH617" s="53">
        <v>2800</v>
      </c>
      <c r="AI617" s="53">
        <f t="shared" ref="AI617" si="10019">SUM(AF617:AH617)</f>
        <v>2800</v>
      </c>
      <c r="AJ617" s="71">
        <f t="shared" ref="AJ617" si="10020">AVERAGE(AI614,AI615,AI616,AI617)</f>
        <v>3100</v>
      </c>
      <c r="AK617" s="71">
        <f t="shared" ref="AK617" si="10021">AVERAGE(AJ565,AJ513,AJ461)</f>
        <v>4187.5</v>
      </c>
      <c r="AL617" s="64">
        <f t="shared" ref="AL617:AM623" si="10022">((AI617/AI565)-1)*100</f>
        <v>-46.666666666666664</v>
      </c>
      <c r="AM617" s="64">
        <f t="shared" ref="AM617" si="10023">((AJ617/AJ565)-1)*100</f>
        <v>83.703703703703695</v>
      </c>
      <c r="AN617" s="64">
        <f t="shared" ref="AN617" si="10024">((AJ617/AK617)-1)*100</f>
        <v>-25.970149253731346</v>
      </c>
      <c r="AP617" s="60">
        <f t="shared" si="9989"/>
        <v>485300</v>
      </c>
      <c r="AQ617" s="60">
        <f t="shared" si="9990"/>
        <v>105750</v>
      </c>
      <c r="AR617" s="60">
        <f t="shared" ref="AR617" si="10025">SUM(D617,N617,X617,AH617)</f>
        <v>8400</v>
      </c>
      <c r="AS617" s="60">
        <f t="shared" ref="AS617" si="10026">SUM(E617,O617,Y617,AI617)</f>
        <v>599450</v>
      </c>
      <c r="AT617" s="64">
        <f t="shared" ref="AT617" si="10027">AVERAGE(AS614,AS615,AS616,AS617)</f>
        <v>673906.25</v>
      </c>
      <c r="AU617" s="71">
        <f t="shared" ref="AU617" si="10028">AVERAGE(AT565,AT513,AT461)</f>
        <v>472311.66666666669</v>
      </c>
      <c r="AV617" s="64">
        <f t="shared" ref="AV617" si="10029">((AS617/AS565)-1)*100</f>
        <v>137.03232133112954</v>
      </c>
      <c r="AW617" s="64">
        <f t="shared" ref="AW617" si="10030">((AT617/AT565)-1)*100</f>
        <v>94.405800676043583</v>
      </c>
      <c r="AX617" s="64">
        <f t="shared" ref="AX617" si="10031">((AT617/AU617)-1)*100</f>
        <v>42.682533073147312</v>
      </c>
      <c r="AZ617" s="71">
        <f t="shared" si="9963"/>
        <v>472.35</v>
      </c>
      <c r="BA617" s="53">
        <f t="shared" si="9964"/>
        <v>72.45</v>
      </c>
      <c r="BB617" s="53">
        <f t="shared" si="9965"/>
        <v>51.85</v>
      </c>
      <c r="BC617" s="53">
        <f t="shared" si="9966"/>
        <v>2.8</v>
      </c>
      <c r="BD617" s="53">
        <f t="shared" si="9967"/>
        <v>599.45000000000005</v>
      </c>
      <c r="BE617" s="64">
        <f t="shared" ref="BE617" si="10032">BE616+AZ617</f>
        <v>15357.340000000004</v>
      </c>
      <c r="BF617" s="64">
        <f t="shared" ref="BF617" si="10033">BF616+BA617</f>
        <v>1778.8119999999999</v>
      </c>
      <c r="BG617" s="64">
        <f t="shared" ref="BG617" si="10034">BG616+BB617</f>
        <v>5141.6280000000024</v>
      </c>
      <c r="BH617" s="64">
        <f t="shared" ref="BH617" si="10035">BH616+BC617</f>
        <v>134.14999999999998</v>
      </c>
      <c r="BI617" s="64">
        <f t="shared" ref="BI617" si="10036">BI616+BD617</f>
        <v>22411.93</v>
      </c>
      <c r="BJ617" s="64">
        <f t="shared" si="9968"/>
        <v>34</v>
      </c>
    </row>
    <row r="618" spans="1:62" x14ac:dyDescent="0.3">
      <c r="A618" s="48">
        <f t="shared" si="8958"/>
        <v>41881</v>
      </c>
      <c r="B618" s="64">
        <v>446415</v>
      </c>
      <c r="C618" s="64">
        <v>71600</v>
      </c>
      <c r="D618" s="53">
        <v>5600</v>
      </c>
      <c r="E618" s="64">
        <f t="shared" ref="E618" si="10037">SUM(B618:D618)</f>
        <v>523615</v>
      </c>
      <c r="F618" s="64">
        <f t="shared" ref="F618" si="10038">AVERAGE(E615,E616,E617,E618)</f>
        <v>501044.25</v>
      </c>
      <c r="G618" s="71">
        <f t="shared" ref="G618" si="10039">AVERAGE(F566,F514,F462)</f>
        <v>206067.33333333334</v>
      </c>
      <c r="H618" s="64">
        <f t="shared" ref="H618" si="10040">((E618/E566)-1)*100</f>
        <v>882.83467227269318</v>
      </c>
      <c r="I618" s="64">
        <f t="shared" ref="I618" si="10041">((F618/F566)-1)*100</f>
        <v>672.45351813024172</v>
      </c>
      <c r="J618" s="64">
        <f t="shared" ref="J618" si="10042">((F618/G618)-1)*100</f>
        <v>143.14588920773468</v>
      </c>
      <c r="L618" s="53">
        <v>21900</v>
      </c>
      <c r="M618" s="53">
        <v>44404</v>
      </c>
      <c r="N618" s="53">
        <v>50400</v>
      </c>
      <c r="O618" s="53">
        <f t="shared" ref="O618" si="10043">SUM(L618:N618)</f>
        <v>116704</v>
      </c>
      <c r="P618" s="71">
        <f t="shared" ref="P618" si="10044">AVERAGE(O615,O616,O617,O618)</f>
        <v>98023.5</v>
      </c>
      <c r="Q618" s="71">
        <f t="shared" ref="Q618" si="10045">AVERAGE(P566,P514,P462)</f>
        <v>82763.583333333328</v>
      </c>
      <c r="R618" s="64">
        <f t="shared" ref="R618" si="10046">((O618/O566)-1)*100</f>
        <v>116.31881371640409</v>
      </c>
      <c r="S618" s="73">
        <f t="shared" ref="S618" si="10047">((P618/P566)-1)*100</f>
        <v>-42.816765838291914</v>
      </c>
      <c r="T618" s="64">
        <f t="shared" ref="T618" si="10048">((P618/Q618)-1)*100</f>
        <v>18.437960334809091</v>
      </c>
      <c r="V618" s="64">
        <v>43500</v>
      </c>
      <c r="W618" s="53">
        <v>16500</v>
      </c>
      <c r="X618" s="53">
        <v>5600</v>
      </c>
      <c r="Y618" s="64">
        <f t="shared" ref="Y618" si="10049">SUM(V618:X618)</f>
        <v>65600</v>
      </c>
      <c r="Z618" s="71">
        <f t="shared" ref="Z618" si="10050">AVERAGE(Y615,Y616,Y617,Y618)</f>
        <v>55225</v>
      </c>
      <c r="AA618" s="71">
        <f t="shared" ref="AA618" si="10051">AVERAGE(Z566,Z514,Z462)</f>
        <v>97929.083333333328</v>
      </c>
      <c r="AB618" s="64">
        <f t="shared" ref="AB618" si="10052">((Y618/Y566)-1)*100</f>
        <v>104.5652987401771</v>
      </c>
      <c r="AC618" s="64">
        <f t="shared" ref="AC618" si="10053">((Z618/Z566)-1)*100</f>
        <v>14.956286427976684</v>
      </c>
      <c r="AD618" s="64">
        <f t="shared" ref="AD618" si="10054">((Z618/AA618)-1)*100</f>
        <v>-43.607151093180519</v>
      </c>
      <c r="AF618" s="53">
        <v>1600</v>
      </c>
      <c r="AG618" s="53">
        <v>3500</v>
      </c>
      <c r="AH618" s="53">
        <v>4200</v>
      </c>
      <c r="AI618" s="53">
        <f t="shared" ref="AI618" si="10055">SUM(AF618:AH618)</f>
        <v>9300</v>
      </c>
      <c r="AJ618" s="71">
        <f t="shared" ref="AJ618" si="10056">AVERAGE(AI615,AI616,AI617,AI618)</f>
        <v>3825</v>
      </c>
      <c r="AK618" s="71">
        <f t="shared" ref="AK618" si="10057">AVERAGE(AJ566,AJ514,AJ462)</f>
        <v>4212.5</v>
      </c>
      <c r="AL618" s="64"/>
      <c r="AM618" s="64">
        <f t="shared" ref="AM618" si="10058">((AJ618/AJ566)-1)*100</f>
        <v>126.66666666666666</v>
      </c>
      <c r="AN618" s="64">
        <f t="shared" ref="AN618" si="10059">((AJ618/AK618)-1)*100</f>
        <v>-9.1988130563798176</v>
      </c>
      <c r="AP618" s="60">
        <f t="shared" ref="AP618" si="10060">SUM(B618,L618,V618,AF618)</f>
        <v>513415</v>
      </c>
      <c r="AQ618" s="60">
        <f t="shared" ref="AQ618" si="10061">SUM(C618,M618,W618,AG618)</f>
        <v>136004</v>
      </c>
      <c r="AR618" s="60">
        <f t="shared" ref="AR618" si="10062">SUM(D618,N618,X618,AH618)</f>
        <v>65800</v>
      </c>
      <c r="AS618" s="60">
        <f t="shared" ref="AS618" si="10063">SUM(E618,O618,Y618,AI618)</f>
        <v>715219</v>
      </c>
      <c r="AT618" s="64">
        <f t="shared" ref="AT618" si="10064">AVERAGE(AS615,AS616,AS617,AS618)</f>
        <v>658117.75</v>
      </c>
      <c r="AU618" s="71">
        <f t="shared" ref="AU618" si="10065">AVERAGE(AT566,AT514,AT462)</f>
        <v>390972.5</v>
      </c>
      <c r="AV618" s="64">
        <f t="shared" ref="AV618" si="10066">((AS618/AS566)-1)*100</f>
        <v>413.46001981420591</v>
      </c>
      <c r="AW618" s="64">
        <f t="shared" ref="AW618" si="10067">((AT618/AT566)-1)*100</f>
        <v>130.10184905152414</v>
      </c>
      <c r="AX618" s="64">
        <f t="shared" ref="AX618" si="10068">((AT618/AU618)-1)*100</f>
        <v>68.328399056199601</v>
      </c>
      <c r="AZ618" s="71">
        <f t="shared" si="9963"/>
        <v>523.61500000000001</v>
      </c>
      <c r="BA618" s="53">
        <f t="shared" si="9964"/>
        <v>116.70399999999999</v>
      </c>
      <c r="BB618" s="53">
        <f t="shared" si="9965"/>
        <v>65.599999999999994</v>
      </c>
      <c r="BC618" s="53">
        <f t="shared" si="9966"/>
        <v>9.3000000000000007</v>
      </c>
      <c r="BD618" s="53">
        <f t="shared" si="9967"/>
        <v>715.21900000000005</v>
      </c>
      <c r="BE618" s="64">
        <f t="shared" ref="BE618" si="10069">BE617+AZ618</f>
        <v>15880.955000000004</v>
      </c>
      <c r="BF618" s="64">
        <f t="shared" ref="BF618" si="10070">BF617+BA618</f>
        <v>1895.5159999999998</v>
      </c>
      <c r="BG618" s="64">
        <f t="shared" ref="BG618" si="10071">BG617+BB618</f>
        <v>5207.2280000000028</v>
      </c>
      <c r="BH618" s="64">
        <f t="shared" ref="BH618" si="10072">BH617+BC618</f>
        <v>143.44999999999999</v>
      </c>
      <c r="BI618" s="64">
        <f t="shared" ref="BI618" si="10073">BI617+BD618</f>
        <v>23127.149000000001</v>
      </c>
      <c r="BJ618" s="64">
        <f t="shared" si="9968"/>
        <v>35</v>
      </c>
    </row>
    <row r="619" spans="1:62" x14ac:dyDescent="0.3">
      <c r="A619" s="48">
        <f t="shared" si="8958"/>
        <v>41888</v>
      </c>
      <c r="B619" s="64">
        <v>188900</v>
      </c>
      <c r="C619" s="64">
        <v>45100</v>
      </c>
      <c r="D619" s="53">
        <v>1400</v>
      </c>
      <c r="E619" s="64">
        <f t="shared" ref="E619" si="10074">SUM(B619:D619)</f>
        <v>235400</v>
      </c>
      <c r="F619" s="64">
        <f t="shared" ref="F619" si="10075">AVERAGE(E616,E617,E618,E619)</f>
        <v>413141.25</v>
      </c>
      <c r="G619" s="71">
        <f t="shared" ref="G619" si="10076">AVERAGE(F567,F515,F463)</f>
        <v>174707.25</v>
      </c>
      <c r="H619" s="64">
        <f t="shared" ref="H619" si="10077">((E619/E567)-1)*100</f>
        <v>337.14020427112354</v>
      </c>
      <c r="I619" s="64">
        <f t="shared" ref="I619" si="10078">((F619/F567)-1)*100</f>
        <v>713.07811146973154</v>
      </c>
      <c r="J619" s="64">
        <f t="shared" ref="J619" si="10079">((F619/G619)-1)*100</f>
        <v>136.476305362256</v>
      </c>
      <c r="L619" s="53">
        <v>12700</v>
      </c>
      <c r="M619" s="53">
        <v>11754</v>
      </c>
      <c r="N619" s="53">
        <v>8400</v>
      </c>
      <c r="O619" s="53">
        <f t="shared" ref="O619" si="10080">SUM(L619:N619)</f>
        <v>32854</v>
      </c>
      <c r="P619" s="71">
        <f t="shared" ref="P619" si="10081">AVERAGE(O616,O617,O618,O619)</f>
        <v>82652</v>
      </c>
      <c r="Q619" s="71">
        <f t="shared" ref="Q619" si="10082">AVERAGE(P567,P515,P463)</f>
        <v>72892.083333333328</v>
      </c>
      <c r="R619" s="64">
        <f t="shared" ref="R619" si="10083">((O619/O567)-1)*100</f>
        <v>-78.876915955148647</v>
      </c>
      <c r="S619" s="73">
        <f t="shared" ref="S619" si="10084">((P619/P567)-1)*100</f>
        <v>-46.650142488760657</v>
      </c>
      <c r="T619" s="64">
        <f t="shared" ref="T619" si="10085">((P619/Q619)-1)*100</f>
        <v>13.389542760130556</v>
      </c>
      <c r="V619" s="64">
        <v>6300</v>
      </c>
      <c r="W619" s="53">
        <v>1750</v>
      </c>
      <c r="X619" s="53">
        <v>4200</v>
      </c>
      <c r="Y619" s="64">
        <f t="shared" ref="Y619" si="10086">SUM(V619:X619)</f>
        <v>12250</v>
      </c>
      <c r="Z619" s="71">
        <f t="shared" ref="Z619" si="10087">AVERAGE(Y616,Y617,Y618,Y619)</f>
        <v>38862.5</v>
      </c>
      <c r="AA619" s="71">
        <f t="shared" ref="AA619" si="10088">AVERAGE(Z567,Z515,Z463)</f>
        <v>68464.583333333328</v>
      </c>
      <c r="AB619" s="64">
        <f t="shared" ref="AB619" si="10089">((Y619/Y567)-1)*100</f>
        <v>-69.975490196078425</v>
      </c>
      <c r="AC619" s="64">
        <f t="shared" ref="AC619" si="10090">((Z619/Z567)-1)*100</f>
        <v>12.249613679361083</v>
      </c>
      <c r="AD619" s="64">
        <f t="shared" ref="AD619" si="10091">((Z619/AA619)-1)*100</f>
        <v>-43.237075130085501</v>
      </c>
      <c r="AF619" s="53">
        <v>1600</v>
      </c>
      <c r="AG619" s="53">
        <v>1750</v>
      </c>
      <c r="AH619" s="53">
        <v>0</v>
      </c>
      <c r="AI619" s="53">
        <f t="shared" ref="AI619:AI620" si="10092">SUM(AF619:AH619)</f>
        <v>3350</v>
      </c>
      <c r="AJ619" s="71">
        <f t="shared" ref="AJ619" si="10093">AVERAGE(AI616,AI617,AI618,AI619)</f>
        <v>4662.5</v>
      </c>
      <c r="AK619" s="71">
        <f t="shared" ref="AK619" si="10094">AVERAGE(AJ567,AJ515,AJ463)</f>
        <v>4194.25</v>
      </c>
      <c r="AL619" s="64"/>
      <c r="AM619" s="64">
        <f t="shared" ref="AM619" si="10095">((AJ619/AJ567)-1)*100</f>
        <v>255.23809523809521</v>
      </c>
      <c r="AN619" s="64">
        <f t="shared" ref="AN619" si="10096">((AJ619/AK619)-1)*100</f>
        <v>11.164093699707944</v>
      </c>
      <c r="AP619" s="60">
        <f t="shared" ref="AP619" si="10097">SUM(B619,L619,V619,AF619)</f>
        <v>209500</v>
      </c>
      <c r="AQ619" s="60">
        <f t="shared" ref="AQ619" si="10098">SUM(C619,M619,W619,AG619)</f>
        <v>60354</v>
      </c>
      <c r="AR619" s="60">
        <f t="shared" ref="AR619" si="10099">SUM(D619,N619,X619,AH619)</f>
        <v>14000</v>
      </c>
      <c r="AS619" s="60">
        <f t="shared" ref="AS619" si="10100">SUM(E619,O619,Y619,AI619)</f>
        <v>283854</v>
      </c>
      <c r="AT619" s="64">
        <f t="shared" ref="AT619" si="10101">AVERAGE(AS616,AS617,AS618,AS619)</f>
        <v>539318.25</v>
      </c>
      <c r="AU619" s="71">
        <f t="shared" ref="AU619" si="10102">AVERAGE(AT567,AT515,AT463)</f>
        <v>320258.16666666669</v>
      </c>
      <c r="AV619" s="64">
        <f t="shared" ref="AV619" si="10103">((AS619/AS567)-1)*100</f>
        <v>13.457187852237929</v>
      </c>
      <c r="AW619" s="64">
        <f t="shared" ref="AW619" si="10104">((AT619/AT567)-1)*100</f>
        <v>123.16263259272438</v>
      </c>
      <c r="AX619" s="64">
        <f t="shared" ref="AX619" si="10105">((AT619/AU619)-1)*100</f>
        <v>68.401092035644155</v>
      </c>
      <c r="AZ619" s="71">
        <f t="shared" si="9963"/>
        <v>235.4</v>
      </c>
      <c r="BA619" s="53">
        <f t="shared" si="9964"/>
        <v>32.853999999999999</v>
      </c>
      <c r="BB619" s="53">
        <f t="shared" si="9965"/>
        <v>12.25</v>
      </c>
      <c r="BC619" s="53">
        <f t="shared" si="9966"/>
        <v>3.35</v>
      </c>
      <c r="BD619" s="53">
        <f t="shared" si="9967"/>
        <v>283.85399999999998</v>
      </c>
      <c r="BE619" s="64">
        <f t="shared" ref="BE619" si="10106">BE618+AZ619</f>
        <v>16116.355000000003</v>
      </c>
      <c r="BF619" s="64">
        <f t="shared" ref="BF619" si="10107">BF618+BA619</f>
        <v>1928.37</v>
      </c>
      <c r="BG619" s="64">
        <f t="shared" ref="BG619" si="10108">BG618+BB619</f>
        <v>5219.4780000000028</v>
      </c>
      <c r="BH619" s="64">
        <f t="shared" ref="BH619" si="10109">BH618+BC619</f>
        <v>146.79999999999998</v>
      </c>
      <c r="BI619" s="64">
        <f t="shared" ref="BI619" si="10110">BI618+BD619</f>
        <v>23411.003000000001</v>
      </c>
      <c r="BJ619" s="64">
        <f t="shared" si="9968"/>
        <v>36</v>
      </c>
    </row>
    <row r="620" spans="1:62" x14ac:dyDescent="0.3">
      <c r="A620" s="48">
        <f t="shared" si="8958"/>
        <v>41895</v>
      </c>
      <c r="B620" s="64">
        <v>132700</v>
      </c>
      <c r="C620" s="64">
        <v>54000</v>
      </c>
      <c r="D620" s="53">
        <v>1400</v>
      </c>
      <c r="E620" s="64">
        <f t="shared" ref="E620" si="10111">SUM(B620:D620)</f>
        <v>188100</v>
      </c>
      <c r="F620" s="64">
        <f t="shared" ref="F620" si="10112">AVERAGE(E617,E618,E619,E620)</f>
        <v>354866.25</v>
      </c>
      <c r="G620" s="71">
        <f t="shared" ref="G620" si="10113">AVERAGE(F568,F516,F464)</f>
        <v>139915.58333333334</v>
      </c>
      <c r="H620" s="64">
        <f t="shared" ref="H620" si="10114">((E620/E568)-1)*100</f>
        <v>143.65284974093265</v>
      </c>
      <c r="I620" s="64">
        <f t="shared" ref="I620" si="10115">((F620/F568)-1)*100</f>
        <v>554.36051335951765</v>
      </c>
      <c r="J620" s="64">
        <f t="shared" ref="J620" si="10116">((F620/G620)-1)*100</f>
        <v>153.62882499983618</v>
      </c>
      <c r="L620" s="53">
        <v>14100</v>
      </c>
      <c r="M620" s="53">
        <v>8700</v>
      </c>
      <c r="N620" s="53">
        <v>1400</v>
      </c>
      <c r="O620" s="53">
        <f t="shared" ref="O620" si="10117">SUM(L620:N620)</f>
        <v>24200</v>
      </c>
      <c r="P620" s="71">
        <f t="shared" ref="P620" si="10118">AVERAGE(O617,O618,O619,O620)</f>
        <v>61552</v>
      </c>
      <c r="Q620" s="71">
        <f t="shared" ref="Q620" si="10119">AVERAGE(P568,P516,P464)</f>
        <v>61018.333333333336</v>
      </c>
      <c r="R620" s="64">
        <f t="shared" ref="R620" si="10120">((O620/O568)-1)*100</f>
        <v>-75.064399793920657</v>
      </c>
      <c r="S620" s="73">
        <f t="shared" ref="S620" si="10121">((P620/P568)-1)*100</f>
        <v>-49.49434445296891</v>
      </c>
      <c r="T620" s="64">
        <f t="shared" ref="T620" si="10122">((P620/Q620)-1)*100</f>
        <v>0.87460052989538628</v>
      </c>
      <c r="V620" s="64">
        <v>4500</v>
      </c>
      <c r="W620" s="53">
        <v>8450</v>
      </c>
      <c r="X620" s="53">
        <v>15400</v>
      </c>
      <c r="Y620" s="64">
        <f t="shared" ref="Y620" si="10123">SUM(V620:X620)</f>
        <v>28350</v>
      </c>
      <c r="Z620" s="71">
        <f t="shared" ref="Z620" si="10124">AVERAGE(Y617,Y618,Y619,Y620)</f>
        <v>39512.5</v>
      </c>
      <c r="AA620" s="71">
        <f t="shared" ref="AA620" si="10125">AVERAGE(Z568,Z516,Z464)</f>
        <v>64575.416666666664</v>
      </c>
      <c r="AB620" s="64">
        <f t="shared" ref="AB620" si="10126">((Y620/Y568)-1)*100</f>
        <v>-25.590551181102363</v>
      </c>
      <c r="AC620" s="64">
        <f t="shared" ref="AC620" si="10127">((Z620/Z568)-1)*100</f>
        <v>8.9489067196073524</v>
      </c>
      <c r="AD620" s="64">
        <f t="shared" ref="AD620" si="10128">((Z620/AA620)-1)*100</f>
        <v>-38.811854356340447</v>
      </c>
      <c r="AF620" s="53">
        <v>8000</v>
      </c>
      <c r="AG620" s="53">
        <v>0</v>
      </c>
      <c r="AH620" s="53">
        <v>0</v>
      </c>
      <c r="AI620" s="53">
        <f t="shared" si="10092"/>
        <v>8000</v>
      </c>
      <c r="AJ620" s="71">
        <f t="shared" ref="AJ620" si="10129">AVERAGE(AI617,AI618,AI619,AI620)</f>
        <v>5862.5</v>
      </c>
      <c r="AK620" s="71">
        <f t="shared" ref="AK620" si="10130">AVERAGE(AJ568,AJ516,AJ464)</f>
        <v>4473.416666666667</v>
      </c>
      <c r="AL620" s="64">
        <f t="shared" si="10022"/>
        <v>150</v>
      </c>
      <c r="AM620" s="64">
        <f t="shared" ref="AM620:AM622" si="10131">((AJ620/AJ568)-1)*100</f>
        <v>177.51479289940829</v>
      </c>
      <c r="AN620" s="64">
        <f t="shared" ref="AN620" si="10132">((AJ620/AK620)-1)*100</f>
        <v>31.051955067901105</v>
      </c>
      <c r="AP620" s="60">
        <f t="shared" ref="AP620" si="10133">SUM(B620,L620,V620,AF620)</f>
        <v>159300</v>
      </c>
      <c r="AQ620" s="60">
        <f t="shared" ref="AQ620" si="10134">SUM(C620,M620,W620,AG620)</f>
        <v>71150</v>
      </c>
      <c r="AR620" s="60">
        <f t="shared" ref="AR620" si="10135">SUM(D620,N620,X620,AH620)</f>
        <v>18200</v>
      </c>
      <c r="AS620" s="60">
        <f t="shared" ref="AS620" si="10136">SUM(E620,O620,Y620,AI620)</f>
        <v>248650</v>
      </c>
      <c r="AT620" s="64">
        <f t="shared" ref="AT620" si="10137">AVERAGE(AS617,AS618,AS619,AS620)</f>
        <v>461793.25</v>
      </c>
      <c r="AU620" s="71">
        <f t="shared" ref="AU620" si="10138">AVERAGE(AT568,AT516,AT464)</f>
        <v>269982.75</v>
      </c>
      <c r="AV620" s="64">
        <f t="shared" ref="AV620" si="10139">((AS620/AS568)-1)*100</f>
        <v>15.356065877986547</v>
      </c>
      <c r="AW620" s="64">
        <f t="shared" ref="AW620" si="10140">((AT620/AT568)-1)*100</f>
        <v>115.30629609943959</v>
      </c>
      <c r="AX620" s="64">
        <f t="shared" ref="AX620" si="10141">((AT620/AU620)-1)*100</f>
        <v>71.045464941741642</v>
      </c>
      <c r="AZ620" s="71">
        <f t="shared" si="9963"/>
        <v>188.1</v>
      </c>
      <c r="BA620" s="53">
        <f t="shared" si="9964"/>
        <v>24.2</v>
      </c>
      <c r="BB620" s="53">
        <f t="shared" si="9965"/>
        <v>28.35</v>
      </c>
      <c r="BC620" s="53">
        <f t="shared" si="9966"/>
        <v>8</v>
      </c>
      <c r="BD620" s="53">
        <f t="shared" si="9967"/>
        <v>248.65</v>
      </c>
      <c r="BE620" s="64">
        <f t="shared" ref="BE620" si="10142">BE619+AZ620</f>
        <v>16304.455000000004</v>
      </c>
      <c r="BF620" s="64">
        <f t="shared" ref="BF620" si="10143">BF619+BA620</f>
        <v>1952.57</v>
      </c>
      <c r="BG620" s="64">
        <f t="shared" ref="BG620" si="10144">BG619+BB620</f>
        <v>5247.8280000000032</v>
      </c>
      <c r="BH620" s="64">
        <f t="shared" ref="BH620" si="10145">BH619+BC620</f>
        <v>154.79999999999998</v>
      </c>
      <c r="BI620" s="64">
        <f t="shared" ref="BI620" si="10146">BI619+BD620</f>
        <v>23659.653000000002</v>
      </c>
      <c r="BJ620" s="64">
        <f t="shared" si="9968"/>
        <v>37</v>
      </c>
    </row>
    <row r="621" spans="1:62" x14ac:dyDescent="0.3">
      <c r="A621" s="48">
        <f t="shared" si="8958"/>
        <v>41902</v>
      </c>
      <c r="B621" s="64">
        <v>129800</v>
      </c>
      <c r="C621" s="64">
        <v>112413</v>
      </c>
      <c r="D621" s="53">
        <v>2800</v>
      </c>
      <c r="E621" s="64">
        <f t="shared" ref="E621" si="10147">SUM(B621:D621)</f>
        <v>245013</v>
      </c>
      <c r="F621" s="64">
        <f t="shared" ref="F621" si="10148">AVERAGE(E618,E619,E620,E621)</f>
        <v>298032</v>
      </c>
      <c r="G621" s="71">
        <f t="shared" ref="G621" si="10149">AVERAGE(F569,F517,F465)</f>
        <v>139484.83333333334</v>
      </c>
      <c r="H621" s="64">
        <f t="shared" ref="H621" si="10150">((E621/E569)-1)*100</f>
        <v>77.867876588021787</v>
      </c>
      <c r="I621" s="64">
        <f t="shared" ref="I621" si="10151">((F621/F569)-1)*100</f>
        <v>270.13872502142351</v>
      </c>
      <c r="J621" s="64">
        <f t="shared" ref="J621" si="10152">((F621/G621)-1)*100</f>
        <v>113.66624089357384</v>
      </c>
      <c r="L621" s="53">
        <v>6300</v>
      </c>
      <c r="M621" s="53">
        <v>0</v>
      </c>
      <c r="N621" s="53">
        <v>44800</v>
      </c>
      <c r="O621" s="53">
        <f t="shared" ref="O621" si="10153">SUM(L621:N621)</f>
        <v>51100</v>
      </c>
      <c r="P621" s="71">
        <f t="shared" ref="P621" si="10154">AVERAGE(O618,O619,O620,O621)</f>
        <v>56214.5</v>
      </c>
      <c r="Q621" s="71">
        <f t="shared" ref="Q621" si="10155">AVERAGE(P569,P517,P465)</f>
        <v>53329.5</v>
      </c>
      <c r="R621" s="64">
        <f t="shared" ref="R621" si="10156">((O621/O569)-1)*100</f>
        <v>-53.162236480293302</v>
      </c>
      <c r="S621" s="73">
        <f t="shared" ref="S621" si="10157">((P621/P569)-1)*100</f>
        <v>-45.900258880366472</v>
      </c>
      <c r="T621" s="64">
        <f t="shared" ref="T621" si="10158">((P621/Q621)-1)*100</f>
        <v>5.4097638267750492</v>
      </c>
      <c r="V621" s="64">
        <v>1600</v>
      </c>
      <c r="W621" s="53">
        <v>5250</v>
      </c>
      <c r="X621" s="53">
        <v>30800</v>
      </c>
      <c r="Y621" s="64">
        <f t="shared" ref="Y621" si="10159">SUM(V621:X621)</f>
        <v>37650</v>
      </c>
      <c r="Z621" s="71">
        <f t="shared" ref="Z621" si="10160">AVERAGE(Y618,Y619,Y620,Y621)</f>
        <v>35962.5</v>
      </c>
      <c r="AA621" s="71">
        <f t="shared" ref="AA621" si="10161">AVERAGE(Z569,Z517,Z465)</f>
        <v>56402.583333333336</v>
      </c>
      <c r="AB621" s="64">
        <f t="shared" ref="AB621" si="10162">((Y621/Y569)-1)*100</f>
        <v>3.292181069958855</v>
      </c>
      <c r="AC621" s="64">
        <f t="shared" ref="AC621" si="10163">((Z621/Z569)-1)*100</f>
        <v>-2.4203285894531246</v>
      </c>
      <c r="AD621" s="64">
        <f t="shared" ref="AD621" si="10164">((Z621/AA621)-1)*100</f>
        <v>-36.239622594118771</v>
      </c>
      <c r="AF621" s="53">
        <v>0</v>
      </c>
      <c r="AG621" s="53">
        <v>7000</v>
      </c>
      <c r="AH621" s="53">
        <v>2800</v>
      </c>
      <c r="AI621" s="53">
        <f t="shared" ref="AI621" si="10165">SUM(AF621:AH621)</f>
        <v>9800</v>
      </c>
      <c r="AJ621" s="71">
        <f t="shared" ref="AJ621:AJ623" si="10166">AVERAGE(AI618,AI619,AI620,AI621)</f>
        <v>7612.5</v>
      </c>
      <c r="AK621" s="71">
        <f t="shared" ref="AK621:AK623" si="10167">AVERAGE(AJ569,AJ517,AJ465)</f>
        <v>3044.25</v>
      </c>
      <c r="AL621" s="64"/>
      <c r="AM621" s="64">
        <f t="shared" ref="AM621" si="10168">((AJ621/AJ569)-1)*100</f>
        <v>851.5625</v>
      </c>
      <c r="AN621" s="64">
        <f t="shared" ref="AN621:AN623" si="10169">((AJ621/AK621)-1)*100</f>
        <v>150.06159152500618</v>
      </c>
      <c r="AP621" s="60">
        <f t="shared" ref="AP621" si="10170">SUM(B621,L621,V621,AF621)</f>
        <v>137700</v>
      </c>
      <c r="AQ621" s="60">
        <f t="shared" ref="AQ621" si="10171">SUM(C621,M621,W621,AG621)</f>
        <v>124663</v>
      </c>
      <c r="AR621" s="60">
        <f t="shared" ref="AR621" si="10172">SUM(D621,N621,X621,AH621)</f>
        <v>81200</v>
      </c>
      <c r="AS621" s="60">
        <f t="shared" ref="AS621" si="10173">SUM(E621,O621,Y621,AI621)</f>
        <v>343563</v>
      </c>
      <c r="AT621" s="64">
        <f t="shared" ref="AT621" si="10174">AVERAGE(AS618,AS619,AS620,AS621)</f>
        <v>397821.5</v>
      </c>
      <c r="AU621" s="71">
        <f t="shared" ref="AU621" si="10175">AVERAGE(AT569,AT517,AT465)</f>
        <v>252261.16666666666</v>
      </c>
      <c r="AV621" s="64">
        <f t="shared" ref="AV621" si="10176">((AS621/AS569)-1)*100</f>
        <v>21.271796681962574</v>
      </c>
      <c r="AW621" s="64">
        <f t="shared" ref="AW621" si="10177">((AT621/AT569)-1)*100</f>
        <v>79.132304436414387</v>
      </c>
      <c r="AX621" s="64">
        <f t="shared" ref="AX621" si="10178">((AT621/AU621)-1)*100</f>
        <v>57.702235844201155</v>
      </c>
      <c r="AZ621" s="71">
        <f t="shared" ref="AZ621" si="10179">+E621/1000</f>
        <v>245.01300000000001</v>
      </c>
      <c r="BA621" s="53">
        <f t="shared" ref="BA621" si="10180">+O621/1000</f>
        <v>51.1</v>
      </c>
      <c r="BB621" s="53">
        <f t="shared" ref="BB621" si="10181">+Y621/1000</f>
        <v>37.65</v>
      </c>
      <c r="BC621" s="53">
        <f t="shared" ref="BC621" si="10182">+AI621/1000</f>
        <v>9.8000000000000007</v>
      </c>
      <c r="BD621" s="53">
        <f t="shared" ref="BD621" si="10183">+AS621/1000</f>
        <v>343.56299999999999</v>
      </c>
      <c r="BE621" s="64">
        <f t="shared" ref="BE621" si="10184">BE620+AZ621</f>
        <v>16549.468000000004</v>
      </c>
      <c r="BF621" s="64">
        <f t="shared" ref="BF621" si="10185">BF620+BA621</f>
        <v>2003.6699999999998</v>
      </c>
      <c r="BG621" s="64">
        <f t="shared" ref="BG621" si="10186">BG620+BB621</f>
        <v>5285.4780000000028</v>
      </c>
      <c r="BH621" s="64">
        <f t="shared" ref="BH621" si="10187">BH620+BC621</f>
        <v>164.6</v>
      </c>
      <c r="BI621" s="64">
        <f t="shared" ref="BI621" si="10188">BI620+BD621</f>
        <v>24003.216</v>
      </c>
      <c r="BJ621" s="64">
        <f t="shared" ref="BJ621:BJ633" si="10189">BJ620+1</f>
        <v>38</v>
      </c>
    </row>
    <row r="622" spans="1:62" x14ac:dyDescent="0.3">
      <c r="A622" s="48">
        <f t="shared" si="8958"/>
        <v>41909</v>
      </c>
      <c r="B622" s="64">
        <v>90400</v>
      </c>
      <c r="C622" s="64">
        <v>190600</v>
      </c>
      <c r="D622" s="53">
        <v>1400</v>
      </c>
      <c r="E622" s="64">
        <f t="shared" ref="E622:E623" si="10190">SUM(B622:D622)</f>
        <v>282400</v>
      </c>
      <c r="F622" s="64">
        <f t="shared" ref="F622" si="10191">AVERAGE(E619,E620,E621,E622)</f>
        <v>237728.25</v>
      </c>
      <c r="G622" s="71">
        <f t="shared" ref="G622" si="10192">AVERAGE(F570,F518,F466)</f>
        <v>164187.5</v>
      </c>
      <c r="H622" s="64">
        <f t="shared" ref="H622" si="10193">((E622/E570)-1)*100</f>
        <v>56.998788040517255</v>
      </c>
      <c r="I622" s="64">
        <f t="shared" ref="I622" si="10194">((F622/F570)-1)*100</f>
        <v>111.93851214913279</v>
      </c>
      <c r="J622" s="64">
        <f t="shared" ref="J622" si="10195">((F622/G622)-1)*100</f>
        <v>44.790711838599172</v>
      </c>
      <c r="L622" s="53">
        <v>6100</v>
      </c>
      <c r="M622" s="53">
        <v>3250</v>
      </c>
      <c r="N622" s="53">
        <v>8400</v>
      </c>
      <c r="O622" s="53">
        <f t="shared" ref="O622:O623" si="10196">SUM(L622:N622)</f>
        <v>17750</v>
      </c>
      <c r="P622" s="71">
        <f t="shared" ref="P622" si="10197">AVERAGE(O619,O620,O621,O622)</f>
        <v>31476</v>
      </c>
      <c r="Q622" s="71">
        <f t="shared" ref="Q622" si="10198">AVERAGE(P570,P518,P466)</f>
        <v>55436.083333333336</v>
      </c>
      <c r="R622" s="64">
        <f t="shared" ref="R622" si="10199">((O622/O570)-1)*100</f>
        <v>-73.9545121056493</v>
      </c>
      <c r="S622" s="73">
        <f t="shared" ref="S622" si="10200">((P622/P570)-1)*100</f>
        <v>-70.708828483421584</v>
      </c>
      <c r="T622" s="64">
        <f t="shared" ref="T622" si="10201">((P622/Q622)-1)*100</f>
        <v>-43.221096969031905</v>
      </c>
      <c r="V622" s="64">
        <v>4600</v>
      </c>
      <c r="W622" s="53">
        <v>5250</v>
      </c>
      <c r="X622" s="53">
        <v>41700</v>
      </c>
      <c r="Y622" s="64">
        <f t="shared" ref="Y622:Y623" si="10202">SUM(V622:X622)</f>
        <v>51550</v>
      </c>
      <c r="Z622" s="71">
        <f t="shared" ref="Z622" si="10203">AVERAGE(Y619,Y620,Y621,Y622)</f>
        <v>32450</v>
      </c>
      <c r="AA622" s="71">
        <f t="shared" ref="AA622" si="10204">AVERAGE(Z570,Z518,Z466)</f>
        <v>57804.25</v>
      </c>
      <c r="AB622" s="64">
        <f t="shared" ref="AB622" si="10205">((Y622/Y570)-1)*100</f>
        <v>85.76576576576575</v>
      </c>
      <c r="AC622" s="64">
        <f t="shared" ref="AC622" si="10206">((Z622/Z570)-1)*100</f>
        <v>-9.2941998602375957</v>
      </c>
      <c r="AD622" s="64">
        <f t="shared" ref="AD622" si="10207">((Z622/AA622)-1)*100</f>
        <v>-43.862259262943468</v>
      </c>
      <c r="AF622" s="53">
        <v>1500</v>
      </c>
      <c r="AG622" s="53">
        <v>0</v>
      </c>
      <c r="AH622" s="53">
        <v>8400</v>
      </c>
      <c r="AI622" s="53">
        <f t="shared" ref="AI622:AI623" si="10208">SUM(AF622:AH622)</f>
        <v>9900</v>
      </c>
      <c r="AJ622" s="71">
        <f t="shared" si="10166"/>
        <v>7762.5</v>
      </c>
      <c r="AK622" s="71">
        <f t="shared" si="10167"/>
        <v>2027.5833333333333</v>
      </c>
      <c r="AL622" s="64"/>
      <c r="AM622" s="64">
        <f t="shared" si="10131"/>
        <v>870.3125</v>
      </c>
      <c r="AN622" s="64">
        <f t="shared" si="10169"/>
        <v>282.84493033578559</v>
      </c>
      <c r="AP622" s="60">
        <f t="shared" ref="AP622:AS623" si="10209">SUM(B622,L622,V622,AF622)</f>
        <v>102600</v>
      </c>
      <c r="AQ622" s="60">
        <f t="shared" ref="AQ622" si="10210">SUM(C622,M622,W622,AG622)</f>
        <v>199100</v>
      </c>
      <c r="AR622" s="60">
        <f t="shared" ref="AR622:AR623" si="10211">SUM(D622,N622,X622,AH622)</f>
        <v>59900</v>
      </c>
      <c r="AS622" s="60">
        <f t="shared" ref="AS622" si="10212">SUM(E622,O622,Y622,AI622)</f>
        <v>361600</v>
      </c>
      <c r="AT622" s="64">
        <f t="shared" ref="AT622" si="10213">AVERAGE(AS619,AS620,AS621,AS622)</f>
        <v>309416.75</v>
      </c>
      <c r="AU622" s="71">
        <f t="shared" ref="AU622" si="10214">AVERAGE(AT570,AT518,AT466)</f>
        <v>279455.41666666669</v>
      </c>
      <c r="AV622" s="64">
        <f t="shared" ref="AV622" si="10215">((AS622/AS570)-1)*100</f>
        <v>31.121860654013787</v>
      </c>
      <c r="AW622" s="64">
        <f t="shared" ref="AW622" si="10216">((AT622/AT570)-1)*100</f>
        <v>20.770386705828404</v>
      </c>
      <c r="AX622" s="64">
        <f t="shared" ref="AX622" si="10217">((AT622/AU622)-1)*100</f>
        <v>10.721328536304986</v>
      </c>
      <c r="AZ622" s="71">
        <f t="shared" ref="AZ622:AZ623" si="10218">+E622/1000</f>
        <v>282.39999999999998</v>
      </c>
      <c r="BA622" s="53">
        <f t="shared" ref="BA622:BA623" si="10219">+O622/1000</f>
        <v>17.75</v>
      </c>
      <c r="BB622" s="53">
        <f t="shared" ref="BB622:BB623" si="10220">+Y622/1000</f>
        <v>51.55</v>
      </c>
      <c r="BC622" s="53">
        <f t="shared" ref="BC622" si="10221">+AI622/1000</f>
        <v>9.9</v>
      </c>
      <c r="BD622" s="53">
        <f t="shared" ref="BD622" si="10222">+AS622/1000</f>
        <v>361.6</v>
      </c>
      <c r="BE622" s="64">
        <f t="shared" ref="BE622" si="10223">BE621+AZ622</f>
        <v>16831.868000000006</v>
      </c>
      <c r="BF622" s="64">
        <f t="shared" ref="BF622" si="10224">BF621+BA622</f>
        <v>2021.4199999999998</v>
      </c>
      <c r="BG622" s="64">
        <f t="shared" ref="BG622" si="10225">BG621+BB622</f>
        <v>5337.028000000003</v>
      </c>
      <c r="BH622" s="64">
        <f t="shared" ref="BH622" si="10226">BH621+BC622</f>
        <v>174.5</v>
      </c>
      <c r="BI622" s="64">
        <f t="shared" ref="BI622" si="10227">BI621+BD622</f>
        <v>24364.815999999999</v>
      </c>
      <c r="BJ622" s="64">
        <f t="shared" si="10189"/>
        <v>39</v>
      </c>
    </row>
    <row r="623" spans="1:62" x14ac:dyDescent="0.3">
      <c r="A623" s="48">
        <f t="shared" si="8958"/>
        <v>41916</v>
      </c>
      <c r="B623" s="64">
        <v>166096</v>
      </c>
      <c r="C623" s="64">
        <v>165254</v>
      </c>
      <c r="D623" s="53">
        <v>2800</v>
      </c>
      <c r="E623" s="64">
        <f t="shared" si="10190"/>
        <v>334150</v>
      </c>
      <c r="F623" s="64">
        <f t="shared" ref="F623" si="10228">AVERAGE(E620,E621,E622,E623)</f>
        <v>262415.75</v>
      </c>
      <c r="G623" s="71">
        <f t="shared" ref="G623" si="10229">AVERAGE(F571,F519,F467)</f>
        <v>187025.25</v>
      </c>
      <c r="H623" s="64">
        <f t="shared" ref="H623" si="10230">((E623/E571)-1)*100</f>
        <v>43.627767032022355</v>
      </c>
      <c r="I623" s="64">
        <f t="shared" ref="I623" si="10231">((F623/F571)-1)*100</f>
        <v>67.28390339679413</v>
      </c>
      <c r="J623" s="64">
        <f t="shared" ref="J623" si="10232">((F623/G623)-1)*100</f>
        <v>40.310332428375318</v>
      </c>
      <c r="L623" s="53">
        <v>7800</v>
      </c>
      <c r="M623" s="53">
        <v>1600</v>
      </c>
      <c r="N623" s="53">
        <v>22400</v>
      </c>
      <c r="O623" s="53">
        <f t="shared" si="10196"/>
        <v>31800</v>
      </c>
      <c r="P623" s="71">
        <f t="shared" ref="P623" si="10233">AVERAGE(O620,O621,O622,O623)</f>
        <v>31212.5</v>
      </c>
      <c r="Q623" s="71">
        <f t="shared" ref="Q623" si="10234">AVERAGE(P571,P519,P467)</f>
        <v>46300.083333333336</v>
      </c>
      <c r="R623" s="64">
        <f t="shared" ref="R623" si="10235">((O623/O571)-1)*100</f>
        <v>-51.37614678899083</v>
      </c>
      <c r="S623" s="73">
        <f t="shared" ref="S623" si="10236">((P623/P571)-1)*100</f>
        <v>-63.246982631733886</v>
      </c>
      <c r="T623" s="64">
        <f t="shared" ref="T623" si="10237">((P623/Q623)-1)*100</f>
        <v>-32.586514423120192</v>
      </c>
      <c r="V623" s="64">
        <v>65000</v>
      </c>
      <c r="W623" s="53">
        <v>23000</v>
      </c>
      <c r="X623" s="53">
        <v>44800</v>
      </c>
      <c r="Y623" s="64">
        <f t="shared" si="10202"/>
        <v>132800</v>
      </c>
      <c r="Z623" s="71">
        <f t="shared" ref="Z623" si="10238">AVERAGE(Y620,Y621,Y622,Y623)</f>
        <v>62587.5</v>
      </c>
      <c r="AA623" s="71">
        <f t="shared" ref="AA623" si="10239">AVERAGE(Z571,Z519,Z467)</f>
        <v>69460.833333333328</v>
      </c>
      <c r="AB623" s="64">
        <f t="shared" ref="AB623" si="10240">((Y623/Y571)-1)*100</f>
        <v>89.714285714285722</v>
      </c>
      <c r="AC623" s="64">
        <f t="shared" ref="AC623" si="10241">((Z623/Z571)-1)*100</f>
        <v>45.298897272199646</v>
      </c>
      <c r="AD623" s="64">
        <f t="shared" ref="AD623" si="10242">((Z623/AA623)-1)*100</f>
        <v>-9.8952647175266524</v>
      </c>
      <c r="AF623" s="53">
        <v>4700</v>
      </c>
      <c r="AG623" s="53"/>
      <c r="AH623" s="53">
        <v>7000</v>
      </c>
      <c r="AI623" s="53">
        <f t="shared" si="10208"/>
        <v>11700</v>
      </c>
      <c r="AJ623" s="71">
        <f t="shared" si="10166"/>
        <v>9850</v>
      </c>
      <c r="AK623" s="71">
        <f t="shared" si="10167"/>
        <v>1400</v>
      </c>
      <c r="AL623" s="64">
        <f t="shared" si="10022"/>
        <v>735.71428571428578</v>
      </c>
      <c r="AM623" s="64">
        <f t="shared" si="10022"/>
        <v>756.52173913043475</v>
      </c>
      <c r="AN623" s="64">
        <f t="shared" si="10169"/>
        <v>603.57142857142856</v>
      </c>
      <c r="AP623" s="60">
        <f t="shared" si="10209"/>
        <v>243596</v>
      </c>
      <c r="AQ623" s="60">
        <f t="shared" si="10209"/>
        <v>189854</v>
      </c>
      <c r="AR623" s="60">
        <f t="shared" si="10211"/>
        <v>77000</v>
      </c>
      <c r="AS623" s="60">
        <f t="shared" si="10209"/>
        <v>510450</v>
      </c>
      <c r="AT623" s="64">
        <f t="shared" ref="AT623" si="10243">AVERAGE(AS620,AS621,AS622,AS623)</f>
        <v>366065.75</v>
      </c>
      <c r="AU623" s="71">
        <f t="shared" ref="AU623" si="10244">AVERAGE(AT571,AT519,AT467)</f>
        <v>304186.16666666669</v>
      </c>
      <c r="AV623" s="64">
        <f t="shared" ref="AV623" si="10245">((AS623/AS571)-1)*100</f>
        <v>38.164839626471789</v>
      </c>
      <c r="AW623" s="64">
        <f t="shared" ref="AW623" si="10246">((AT623/AT571)-1)*100</f>
        <v>27.986738620054297</v>
      </c>
      <c r="AX623" s="64">
        <f t="shared" ref="AX623" si="10247">((AT623/AU623)-1)*100</f>
        <v>20.342668442625865</v>
      </c>
      <c r="AZ623" s="71">
        <f t="shared" si="10218"/>
        <v>334.15</v>
      </c>
      <c r="BA623" s="53">
        <f t="shared" si="10219"/>
        <v>31.8</v>
      </c>
      <c r="BB623" s="53">
        <f t="shared" si="10220"/>
        <v>132.80000000000001</v>
      </c>
      <c r="BC623" s="53">
        <f t="shared" ref="BC623" si="10248">+AI623/1000</f>
        <v>11.7</v>
      </c>
      <c r="BD623" s="53">
        <f t="shared" ref="BD623" si="10249">+AS623/1000</f>
        <v>510.45</v>
      </c>
      <c r="BE623" s="64">
        <f t="shared" ref="BE623" si="10250">BE622+AZ623</f>
        <v>17166.018000000007</v>
      </c>
      <c r="BF623" s="64">
        <f t="shared" ref="BF623" si="10251">BF622+BA623</f>
        <v>2053.2199999999998</v>
      </c>
      <c r="BG623" s="64">
        <f t="shared" ref="BG623" si="10252">BG622+BB623</f>
        <v>5469.8280000000032</v>
      </c>
      <c r="BH623" s="64">
        <f t="shared" ref="BH623" si="10253">BH622+BC623</f>
        <v>186.2</v>
      </c>
      <c r="BI623" s="64">
        <f t="shared" ref="BI623" si="10254">BI622+BD623</f>
        <v>24875.266</v>
      </c>
      <c r="BJ623" s="64">
        <f t="shared" si="10189"/>
        <v>40</v>
      </c>
    </row>
    <row r="624" spans="1:62" x14ac:dyDescent="0.3">
      <c r="A624" s="48">
        <f t="shared" si="8958"/>
        <v>41923</v>
      </c>
      <c r="B624" s="64">
        <v>127200</v>
      </c>
      <c r="C624" s="64">
        <v>163540</v>
      </c>
      <c r="D624" s="53">
        <v>1400</v>
      </c>
      <c r="E624" s="64">
        <f t="shared" ref="E624:E633" si="10255">SUM(B624:D624)</f>
        <v>292140</v>
      </c>
      <c r="F624" s="64">
        <f t="shared" ref="F624" si="10256">AVERAGE(E621,E622,E623,E624)</f>
        <v>288425.75</v>
      </c>
      <c r="G624" s="71">
        <f t="shared" ref="G624" si="10257">AVERAGE(F572,F520,F468)</f>
        <v>209871.5</v>
      </c>
      <c r="H624" s="64">
        <f t="shared" ref="H624" si="10258">((E624/E572)-1)*100</f>
        <v>37.552734669278287</v>
      </c>
      <c r="I624" s="64">
        <f t="shared" ref="I624" si="10259">((F624/F572)-1)*100</f>
        <v>51.273965525832033</v>
      </c>
      <c r="J624" s="64">
        <f t="shared" ref="J624" si="10260">((F624/G624)-1)*100</f>
        <v>37.42968911929443</v>
      </c>
      <c r="L624" s="53">
        <v>9300</v>
      </c>
      <c r="M624" s="53">
        <v>5090</v>
      </c>
      <c r="N624" s="53">
        <v>5600</v>
      </c>
      <c r="O624" s="53">
        <f t="shared" ref="O624" si="10261">SUM(L624:N624)</f>
        <v>19990</v>
      </c>
      <c r="P624" s="71">
        <f t="shared" ref="P624" si="10262">AVERAGE(O621,O622,O623,O624)</f>
        <v>30160</v>
      </c>
      <c r="Q624" s="71">
        <f t="shared" ref="Q624" si="10263">AVERAGE(P572,P520,P468)</f>
        <v>41482.666666666664</v>
      </c>
      <c r="R624" s="64">
        <f t="shared" ref="R624" si="10264">((O624/O572)-1)*100</f>
        <v>-38.015503875968989</v>
      </c>
      <c r="S624" s="73">
        <f t="shared" ref="S624" si="10265">((P624/P572)-1)*100</f>
        <v>-56.114950891233171</v>
      </c>
      <c r="T624" s="64">
        <f t="shared" ref="T624" si="10266">((P624/Q624)-1)*100</f>
        <v>-27.29493443044484</v>
      </c>
      <c r="V624" s="64">
        <v>167100</v>
      </c>
      <c r="W624" s="53">
        <v>110700</v>
      </c>
      <c r="X624" s="53">
        <v>62000</v>
      </c>
      <c r="Y624" s="64">
        <f t="shared" ref="Y624" si="10267">SUM(V624:X624)</f>
        <v>339800</v>
      </c>
      <c r="Z624" s="71">
        <f t="shared" ref="Z624" si="10268">AVERAGE(Y621,Y622,Y623,Y624)</f>
        <v>140450</v>
      </c>
      <c r="AA624" s="71">
        <f t="shared" ref="AA624" si="10269">AVERAGE(Z572,Z520,Z468)</f>
        <v>118829</v>
      </c>
      <c r="AB624" s="64">
        <f t="shared" ref="AB624" si="10270">((Y624/Y572)-1)*100</f>
        <v>94.4492131616595</v>
      </c>
      <c r="AC624" s="64">
        <f t="shared" ref="AC624" si="10271">((Z624/Z572)-1)*100</f>
        <v>81.841721961482449</v>
      </c>
      <c r="AD624" s="64">
        <f t="shared" ref="AD624" si="10272">((Z624/AA624)-1)*100</f>
        <v>18.195053396056515</v>
      </c>
      <c r="AF624" s="53">
        <v>0</v>
      </c>
      <c r="AG624" s="53">
        <v>0</v>
      </c>
      <c r="AH624" s="53">
        <v>4200</v>
      </c>
      <c r="AI624" s="53">
        <f t="shared" ref="AI624:AI630" si="10273">SUM(AF624:AH624)</f>
        <v>4200</v>
      </c>
      <c r="AJ624" s="71">
        <f t="shared" ref="AJ624" si="10274">AVERAGE(AI621,AI622,AI623,AI624)</f>
        <v>8900</v>
      </c>
      <c r="AK624" s="71">
        <f t="shared" ref="AK624" si="10275">AVERAGE(AJ572,AJ520,AJ468)</f>
        <v>3211.3333333333335</v>
      </c>
      <c r="AL624" s="64">
        <f t="shared" ref="AL624" si="10276">((AI624/AI572)-1)*100</f>
        <v>-68.50629874025195</v>
      </c>
      <c r="AM624" s="64">
        <f t="shared" ref="AM624" si="10277">((AJ624/AJ572)-1)*100</f>
        <v>141.58523344191099</v>
      </c>
      <c r="AN624" s="64">
        <f t="shared" ref="AN624" si="10278">((AJ624/AK624)-1)*100</f>
        <v>177.14345028025741</v>
      </c>
      <c r="AP624" s="60">
        <f t="shared" ref="AP624:AP625" si="10279">SUM(B624,L624,V624,AF624)</f>
        <v>303600</v>
      </c>
      <c r="AQ624" s="60">
        <f t="shared" ref="AQ624:AQ625" si="10280">SUM(C624,M624,W624,AG624)</f>
        <v>279330</v>
      </c>
      <c r="AR624" s="60">
        <f t="shared" ref="AR624:AR625" si="10281">SUM(D624,N624,X624,AH624)</f>
        <v>73200</v>
      </c>
      <c r="AS624" s="60">
        <f t="shared" ref="AS624:AS625" si="10282">SUM(E624,O624,Y624,AI624)</f>
        <v>656130</v>
      </c>
      <c r="AT624" s="64">
        <f t="shared" ref="AT624" si="10283">AVERAGE(AS621,AS622,AS623,AS624)</f>
        <v>467935.75</v>
      </c>
      <c r="AU624" s="71">
        <f t="shared" ref="AU624" si="10284">AVERAGE(AT572,AT520,AT468)</f>
        <v>373394.5</v>
      </c>
      <c r="AV624" s="64">
        <f t="shared" ref="AV624" si="10285">((AS624/AS572)-1)*100</f>
        <v>51.629229062673332</v>
      </c>
      <c r="AW624" s="64">
        <f t="shared" ref="AW624" si="10286">((AT624/AT572)-1)*100</f>
        <v>37.502387522001925</v>
      </c>
      <c r="AX624" s="64">
        <f t="shared" ref="AX624" si="10287">((AT624/AU624)-1)*100</f>
        <v>25.319400794601954</v>
      </c>
      <c r="AZ624" s="71">
        <f t="shared" ref="AZ624" si="10288">+E624/1000</f>
        <v>292.14</v>
      </c>
      <c r="BA624" s="53">
        <f t="shared" ref="BA624" si="10289">+O624/1000</f>
        <v>19.989999999999998</v>
      </c>
      <c r="BB624" s="53">
        <f t="shared" ref="BB624" si="10290">+Y624/1000</f>
        <v>339.8</v>
      </c>
      <c r="BC624" s="53">
        <f t="shared" ref="BC624" si="10291">+AI624/1000</f>
        <v>4.2</v>
      </c>
      <c r="BD624" s="53">
        <f t="shared" ref="BD624" si="10292">+AS624/1000</f>
        <v>656.13</v>
      </c>
      <c r="BE624" s="64">
        <f t="shared" ref="BE624" si="10293">BE623+AZ624</f>
        <v>17458.158000000007</v>
      </c>
      <c r="BF624" s="64">
        <f t="shared" ref="BF624" si="10294">BF623+BA624</f>
        <v>2073.2099999999996</v>
      </c>
      <c r="BG624" s="64">
        <f t="shared" ref="BG624" si="10295">BG623+BB624</f>
        <v>5809.6280000000033</v>
      </c>
      <c r="BH624" s="64">
        <f t="shared" ref="BH624" si="10296">BH623+BC624</f>
        <v>190.39999999999998</v>
      </c>
      <c r="BI624" s="64">
        <f t="shared" ref="BI624" si="10297">BI623+BD624</f>
        <v>25531.396000000001</v>
      </c>
      <c r="BJ624" s="64">
        <f t="shared" si="10189"/>
        <v>41</v>
      </c>
    </row>
    <row r="625" spans="1:62" x14ac:dyDescent="0.3">
      <c r="A625" s="48">
        <f t="shared" si="8958"/>
        <v>41930</v>
      </c>
      <c r="B625" s="64">
        <v>124899</v>
      </c>
      <c r="C625" s="64">
        <v>116900</v>
      </c>
      <c r="D625" s="53">
        <v>0</v>
      </c>
      <c r="E625" s="64">
        <f t="shared" si="10255"/>
        <v>241799</v>
      </c>
      <c r="F625" s="64">
        <f t="shared" ref="F625" si="10298">AVERAGE(E622,E623,E624,E625)</f>
        <v>287622.25</v>
      </c>
      <c r="G625" s="71">
        <f t="shared" ref="G625" si="10299">AVERAGE(F573,F521,F469)</f>
        <v>232714.66666666666</v>
      </c>
      <c r="H625" s="64">
        <f t="shared" ref="H625" si="10300">((E625/E573)-1)*100</f>
        <v>-17.474744027303757</v>
      </c>
      <c r="I625" s="64">
        <f t="shared" ref="I625" si="10301">((F625/F573)-1)*100</f>
        <v>25.338160251354157</v>
      </c>
      <c r="J625" s="64">
        <f t="shared" ref="J625" si="10302">((F625/G625)-1)*100</f>
        <v>23.59438024247147</v>
      </c>
      <c r="L625" s="53">
        <v>3200</v>
      </c>
      <c r="M625" s="53">
        <v>0</v>
      </c>
      <c r="N625" s="53">
        <v>9800</v>
      </c>
      <c r="O625" s="53">
        <f t="shared" ref="O625" si="10303">SUM(L625:N625)</f>
        <v>13000</v>
      </c>
      <c r="P625" s="71">
        <f t="shared" ref="P625" si="10304">AVERAGE(O622,O623,O624,O625)</f>
        <v>20635</v>
      </c>
      <c r="Q625" s="71">
        <f t="shared" ref="Q625" si="10305">AVERAGE(P573,P521,P469)</f>
        <v>35084</v>
      </c>
      <c r="R625" s="64">
        <f t="shared" ref="R625" si="10306">((O625/O573)-1)*100</f>
        <v>-60.122699386503072</v>
      </c>
      <c r="S625" s="73">
        <f t="shared" ref="S625" si="10307">((P625/P573)-1)*100</f>
        <v>-58.39717741935484</v>
      </c>
      <c r="T625" s="64">
        <f t="shared" ref="T625" si="10308">((P625/Q625)-1)*100</f>
        <v>-41.1840155056436</v>
      </c>
      <c r="V625" s="64">
        <v>192600</v>
      </c>
      <c r="W625" s="53">
        <v>122500</v>
      </c>
      <c r="X625" s="53">
        <v>35000</v>
      </c>
      <c r="Y625" s="64">
        <f t="shared" ref="Y625" si="10309">SUM(V625:X625)</f>
        <v>350100</v>
      </c>
      <c r="Z625" s="71">
        <f t="shared" ref="Z625" si="10310">AVERAGE(Y622,Y623,Y624,Y625)</f>
        <v>218562.5</v>
      </c>
      <c r="AA625" s="71">
        <f t="shared" ref="AA625" si="10311">AVERAGE(Z573,Z521,Z469)</f>
        <v>221019.75</v>
      </c>
      <c r="AB625" s="64">
        <f t="shared" ref="AB625" si="10312">((Y625/Y573)-1)*100</f>
        <v>-22.234562416703685</v>
      </c>
      <c r="AC625" s="64">
        <f t="shared" ref="AC625" si="10313">((Z625/Z573)-1)*100</f>
        <v>20.96997370969973</v>
      </c>
      <c r="AD625" s="64">
        <f t="shared" ref="AD625" si="10314">((Z625/AA625)-1)*100</f>
        <v>-1.1117784722858515</v>
      </c>
      <c r="AF625" s="53">
        <v>0</v>
      </c>
      <c r="AG625" s="53">
        <v>0</v>
      </c>
      <c r="AH625" s="53">
        <v>4200</v>
      </c>
      <c r="AI625" s="53">
        <f t="shared" si="10273"/>
        <v>4200</v>
      </c>
      <c r="AJ625" s="71">
        <f t="shared" ref="AJ625" si="10315">AVERAGE(AI622,AI623,AI624,AI625)</f>
        <v>7500</v>
      </c>
      <c r="AK625" s="71">
        <f t="shared" ref="AK625" si="10316">AVERAGE(AJ573,AJ521,AJ469)</f>
        <v>7012.666666666667</v>
      </c>
      <c r="AL625" s="64">
        <f t="shared" ref="AL625" si="10317">((AI625/AI573)-1)*100</f>
        <v>-78.571428571428569</v>
      </c>
      <c r="AM625" s="64">
        <f t="shared" ref="AM625" si="10318">((AJ625/AJ573)-1)*100</f>
        <v>-12.628145386766077</v>
      </c>
      <c r="AN625" s="64">
        <f t="shared" ref="AN625" si="10319">((AJ625/AK625)-1)*100</f>
        <v>6.9493297842000201</v>
      </c>
      <c r="AP625" s="60">
        <f t="shared" si="10279"/>
        <v>320699</v>
      </c>
      <c r="AQ625" s="60">
        <f t="shared" si="10280"/>
        <v>239400</v>
      </c>
      <c r="AR625" s="60">
        <f t="shared" si="10281"/>
        <v>49000</v>
      </c>
      <c r="AS625" s="60">
        <f t="shared" si="10282"/>
        <v>609099</v>
      </c>
      <c r="AT625" s="64">
        <f t="shared" ref="AT625" si="10320">AVERAGE(AS622,AS623,AS624,AS625)</f>
        <v>534319.75</v>
      </c>
      <c r="AU625" s="71">
        <f t="shared" ref="AU625" si="10321">AVERAGE(AT573,AT521,AT469)</f>
        <v>495831.08333333331</v>
      </c>
      <c r="AV625" s="64">
        <f t="shared" ref="AV625" si="10322">((AS625/AS573)-1)*100</f>
        <v>-23.422303243650987</v>
      </c>
      <c r="AW625" s="64">
        <f t="shared" ref="AW625" si="10323">((AT625/AT573)-1)*100</f>
        <v>14.088976717570301</v>
      </c>
      <c r="AX625" s="64">
        <f t="shared" ref="AX625" si="10324">((AT625/AU625)-1)*100</f>
        <v>7.7624553926547213</v>
      </c>
      <c r="AZ625" s="71">
        <f t="shared" ref="AZ625" si="10325">+E625/1000</f>
        <v>241.79900000000001</v>
      </c>
      <c r="BA625" s="53">
        <f t="shared" ref="BA625" si="10326">+O625/1000</f>
        <v>13</v>
      </c>
      <c r="BB625" s="53">
        <f t="shared" ref="BB625" si="10327">+Y625/1000</f>
        <v>350.1</v>
      </c>
      <c r="BC625" s="53">
        <f t="shared" ref="BC625" si="10328">+AI625/1000</f>
        <v>4.2</v>
      </c>
      <c r="BD625" s="53">
        <f t="shared" ref="BD625" si="10329">+AS625/1000</f>
        <v>609.09900000000005</v>
      </c>
      <c r="BE625" s="64">
        <f t="shared" ref="BE625" si="10330">BE624+AZ625</f>
        <v>17699.957000000006</v>
      </c>
      <c r="BF625" s="64">
        <f t="shared" ref="BF625" si="10331">BF624+BA625</f>
        <v>2086.2099999999996</v>
      </c>
      <c r="BG625" s="64">
        <f t="shared" ref="BG625" si="10332">BG624+BB625</f>
        <v>6159.7280000000037</v>
      </c>
      <c r="BH625" s="64">
        <f t="shared" ref="BH625" si="10333">BH624+BC625</f>
        <v>194.59999999999997</v>
      </c>
      <c r="BI625" s="64">
        <f t="shared" ref="BI625" si="10334">BI624+BD625</f>
        <v>26140.494999999999</v>
      </c>
      <c r="BJ625" s="64">
        <f t="shared" si="10189"/>
        <v>42</v>
      </c>
    </row>
    <row r="626" spans="1:62" x14ac:dyDescent="0.3">
      <c r="A626" s="48">
        <f t="shared" si="8958"/>
        <v>41937</v>
      </c>
      <c r="B626" s="64">
        <v>113048</v>
      </c>
      <c r="C626" s="64">
        <v>78500</v>
      </c>
      <c r="D626" s="53">
        <v>0</v>
      </c>
      <c r="E626" s="64">
        <f t="shared" si="10255"/>
        <v>191548</v>
      </c>
      <c r="F626" s="64">
        <f t="shared" ref="F626" si="10335">AVERAGE(E623,E624,E625,E626)</f>
        <v>264909.25</v>
      </c>
      <c r="G626" s="71">
        <f t="shared" ref="G626" si="10336">AVERAGE(F574,F522,F470)</f>
        <v>233231.16666666666</v>
      </c>
      <c r="H626" s="64">
        <f t="shared" ref="H626" si="10337">((E626/E574)-1)*100</f>
        <v>-22.941566931509605</v>
      </c>
      <c r="I626" s="64">
        <f t="shared" ref="I626" si="10338">((F626/F574)-1)*100</f>
        <v>7.4019190986500227</v>
      </c>
      <c r="J626" s="64">
        <f t="shared" ref="J626" si="10339">((F626/G626)-1)*100</f>
        <v>13.58226852185993</v>
      </c>
      <c r="L626" s="53">
        <v>3200</v>
      </c>
      <c r="M626" s="53">
        <v>0</v>
      </c>
      <c r="N626" s="53">
        <v>3000</v>
      </c>
      <c r="O626" s="53">
        <f t="shared" ref="O626" si="10340">SUM(L626:N626)</f>
        <v>6200</v>
      </c>
      <c r="P626" s="71">
        <f t="shared" ref="P626" si="10341">AVERAGE(O623,O624,O625,O626)</f>
        <v>17747.5</v>
      </c>
      <c r="Q626" s="71">
        <f t="shared" ref="Q626" si="10342">AVERAGE(P574,P522,P470)</f>
        <v>25976.833333333332</v>
      </c>
      <c r="R626" s="64">
        <f t="shared" ref="R626" si="10343">((O626/O574)-1)*100</f>
        <v>-58.80398671096345</v>
      </c>
      <c r="S626" s="73">
        <f t="shared" ref="S626" si="10344">((P626/P574)-1)*100</f>
        <v>-51.142463867859597</v>
      </c>
      <c r="T626" s="64">
        <f t="shared" ref="T626" si="10345">((P626/Q626)-1)*100</f>
        <v>-31.679509306369134</v>
      </c>
      <c r="V626" s="64">
        <v>426200</v>
      </c>
      <c r="W626" s="53">
        <v>66050</v>
      </c>
      <c r="X626" s="53">
        <v>44000</v>
      </c>
      <c r="Y626" s="64">
        <f t="shared" ref="Y626" si="10346">SUM(V626:X626)</f>
        <v>536250</v>
      </c>
      <c r="Z626" s="71">
        <f t="shared" ref="Z626" si="10347">AVERAGE(Y623,Y624,Y625,Y626)</f>
        <v>339737.5</v>
      </c>
      <c r="AA626" s="71">
        <f t="shared" ref="AA626" si="10348">AVERAGE(Z574,Z522,Z470)</f>
        <v>308490.66666666669</v>
      </c>
      <c r="AB626" s="64">
        <f t="shared" ref="AB626" si="10349">((Y626/Y574)-1)*100</f>
        <v>-6.7509690074129765</v>
      </c>
      <c r="AC626" s="64">
        <f t="shared" ref="AC626" si="10350">((Z626/Z574)-1)*100</f>
        <v>7.0019991763928591</v>
      </c>
      <c r="AD626" s="64">
        <f t="shared" ref="AD626" si="10351">((Z626/AA626)-1)*100</f>
        <v>10.128939611355058</v>
      </c>
      <c r="AF626" s="53">
        <v>3100</v>
      </c>
      <c r="AG626" s="53">
        <v>0</v>
      </c>
      <c r="AH626" s="53">
        <v>0</v>
      </c>
      <c r="AI626" s="53">
        <f t="shared" si="10273"/>
        <v>3100</v>
      </c>
      <c r="AJ626" s="71">
        <f t="shared" ref="AJ626" si="10352">AVERAGE(AI623,AI624,AI625,AI626)</f>
        <v>5800</v>
      </c>
      <c r="AK626" s="71">
        <f t="shared" ref="AK626" si="10353">AVERAGE(AJ574,AJ522,AJ470)</f>
        <v>9225.1666666666661</v>
      </c>
      <c r="AL626" s="64">
        <f t="shared" ref="AL626" si="10354">((AI626/AI574)-1)*100</f>
        <v>-46.551724137931039</v>
      </c>
      <c r="AM626" s="64">
        <f t="shared" ref="AM626" si="10355">((AJ626/AJ574)-1)*100</f>
        <v>-42.19653179190751</v>
      </c>
      <c r="AN626" s="64">
        <f t="shared" ref="AN626" si="10356">((AJ626/AK626)-1)*100</f>
        <v>-37.128507163375545</v>
      </c>
      <c r="AP626" s="60">
        <f t="shared" ref="AP626:AP628" si="10357">SUM(B626,L626,V626,AF626)</f>
        <v>545548</v>
      </c>
      <c r="AQ626" s="60">
        <f t="shared" ref="AQ626:AQ628" si="10358">SUM(C626,M626,W626,AG626)</f>
        <v>144550</v>
      </c>
      <c r="AR626" s="60">
        <f t="shared" ref="AR626:AR628" si="10359">SUM(D626,N626,X626,AH626)</f>
        <v>47000</v>
      </c>
      <c r="AS626" s="60">
        <f t="shared" ref="AS626" si="10360">SUM(E626,O626,Y626,AI626)</f>
        <v>737098</v>
      </c>
      <c r="AT626" s="64">
        <f t="shared" ref="AT626" si="10361">AVERAGE(AS623,AS624,AS625,AS626)</f>
        <v>628194.25</v>
      </c>
      <c r="AU626" s="71">
        <f t="shared" ref="AU626" si="10362">AVERAGE(AT574,AT522,AT470)</f>
        <v>576923.83333333337</v>
      </c>
      <c r="AV626" s="64">
        <f t="shared" ref="AV626" si="10363">((AS626/AS574)-1)*100</f>
        <v>-12.717614488133776</v>
      </c>
      <c r="AW626" s="64">
        <f t="shared" ref="AW626" si="10364">((AT626/AT574)-1)*100</f>
        <v>2.8954558185930956</v>
      </c>
      <c r="AX626" s="64">
        <f t="shared" ref="AX626" si="10365">((AT626/AU626)-1)*100</f>
        <v>8.8868605705605841</v>
      </c>
      <c r="AZ626" s="71">
        <f t="shared" ref="AZ626" si="10366">+E626/1000</f>
        <v>191.548</v>
      </c>
      <c r="BA626" s="53">
        <f t="shared" ref="BA626" si="10367">+O626/1000</f>
        <v>6.2</v>
      </c>
      <c r="BB626" s="53">
        <f t="shared" ref="BB626" si="10368">+Y626/1000</f>
        <v>536.25</v>
      </c>
      <c r="BC626" s="53">
        <f t="shared" ref="BC626" si="10369">+AI626/1000</f>
        <v>3.1</v>
      </c>
      <c r="BD626" s="53">
        <f t="shared" ref="BD626" si="10370">+AS626/1000</f>
        <v>737.09799999999996</v>
      </c>
      <c r="BE626" s="64">
        <f t="shared" ref="BE626" si="10371">BE625+AZ626</f>
        <v>17891.505000000005</v>
      </c>
      <c r="BF626" s="64">
        <f t="shared" ref="BF626" si="10372">BF625+BA626</f>
        <v>2092.4099999999994</v>
      </c>
      <c r="BG626" s="64">
        <f t="shared" ref="BG626" si="10373">BG625+BB626</f>
        <v>6695.9780000000037</v>
      </c>
      <c r="BH626" s="64">
        <f t="shared" ref="BH626" si="10374">BH625+BC626</f>
        <v>197.69999999999996</v>
      </c>
      <c r="BI626" s="64">
        <f t="shared" ref="BI626" si="10375">BI625+BD626</f>
        <v>26877.593000000001</v>
      </c>
      <c r="BJ626" s="64">
        <f t="shared" si="10189"/>
        <v>43</v>
      </c>
    </row>
    <row r="627" spans="1:62" x14ac:dyDescent="0.3">
      <c r="A627" s="48">
        <f t="shared" si="8958"/>
        <v>41944</v>
      </c>
      <c r="B627" s="64">
        <v>87600</v>
      </c>
      <c r="C627" s="64">
        <v>31950</v>
      </c>
      <c r="D627" s="53">
        <v>0</v>
      </c>
      <c r="E627" s="64">
        <f t="shared" si="10255"/>
        <v>119550</v>
      </c>
      <c r="F627" s="64">
        <f t="shared" ref="F627" si="10376">AVERAGE(E624,E625,E626,E627)</f>
        <v>211259.25</v>
      </c>
      <c r="G627" s="71">
        <f t="shared" ref="G627" si="10377">AVERAGE(F575,F523,F471)</f>
        <v>250591.16666666666</v>
      </c>
      <c r="H627" s="64">
        <f t="shared" ref="H627" si="10378">((E627/E575)-1)*100</f>
        <v>-45.097588978185996</v>
      </c>
      <c r="I627" s="64">
        <f t="shared" ref="I627" si="10379">((F627/F575)-1)*100</f>
        <v>-13.036001518973272</v>
      </c>
      <c r="J627" s="64">
        <f t="shared" ref="J627" si="10380">((F627/G627)-1)*100</f>
        <v>-15.695651682321865</v>
      </c>
      <c r="L627" s="53">
        <v>0</v>
      </c>
      <c r="M627" s="53">
        <v>1750</v>
      </c>
      <c r="N627" s="53">
        <v>7000</v>
      </c>
      <c r="O627" s="53">
        <f t="shared" ref="O627" si="10381">SUM(L627:N627)</f>
        <v>8750</v>
      </c>
      <c r="P627" s="71">
        <f t="shared" ref="P627" si="10382">AVERAGE(O624,O625,O626,O627)</f>
        <v>11985</v>
      </c>
      <c r="Q627" s="71">
        <f t="shared" ref="Q627" si="10383">AVERAGE(P575,P523,P471)</f>
        <v>21947.333333333332</v>
      </c>
      <c r="R627" s="64">
        <f t="shared" ref="R627" si="10384">((O627/O575)-1)*100</f>
        <v>-61.95652173913043</v>
      </c>
      <c r="S627" s="73">
        <f t="shared" ref="S627" si="10385">((P627/P575)-1)*100</f>
        <v>-53.411078717201164</v>
      </c>
      <c r="T627" s="64">
        <f t="shared" ref="T627" si="10386">((P627/Q627)-1)*100</f>
        <v>-45.391999027976063</v>
      </c>
      <c r="V627" s="64">
        <v>357120</v>
      </c>
      <c r="W627" s="53">
        <v>284850</v>
      </c>
      <c r="X627" s="53">
        <v>49500</v>
      </c>
      <c r="Y627" s="64">
        <f t="shared" ref="Y627:Y632" si="10387">SUM(V627:X627)</f>
        <v>691470</v>
      </c>
      <c r="Z627" s="71">
        <f t="shared" ref="Z627:Z633" si="10388">AVERAGE(Y624,Y625,Y626,Y627)</f>
        <v>479405</v>
      </c>
      <c r="AA627" s="71">
        <f t="shared" ref="AA627:AA633" si="10389">AVERAGE(Z575,Z523,Z471)</f>
        <v>402926.25</v>
      </c>
      <c r="AB627" s="64">
        <f t="shared" ref="AB627:AC629" si="10390">((Y627/Y575)-1)*100</f>
        <v>13.109862822781949</v>
      </c>
      <c r="AC627" s="64">
        <f t="shared" si="10390"/>
        <v>5.8669533038635757</v>
      </c>
      <c r="AD627" s="64">
        <f t="shared" ref="AD627:AD632" si="10391">((Z627/AA627)-1)*100</f>
        <v>18.980830859245334</v>
      </c>
      <c r="AF627" s="53">
        <v>18700</v>
      </c>
      <c r="AG627" s="53">
        <v>0</v>
      </c>
      <c r="AH627" s="53">
        <v>0</v>
      </c>
      <c r="AI627" s="53">
        <f t="shared" si="10273"/>
        <v>18700</v>
      </c>
      <c r="AJ627" s="71">
        <f t="shared" ref="AJ627" si="10392">AVERAGE(AI624,AI625,AI626,AI627)</f>
        <v>7550</v>
      </c>
      <c r="AK627" s="71">
        <f t="shared" ref="AK627" si="10393">AVERAGE(AJ575,AJ523,AJ471)</f>
        <v>9621</v>
      </c>
      <c r="AL627" s="64">
        <f t="shared" ref="AL627" si="10394">((AI627/AI575)-1)*100</f>
        <v>310.98901098901092</v>
      </c>
      <c r="AM627" s="64">
        <f t="shared" ref="AM627" si="10395">((AJ627/AJ575)-1)*100</f>
        <v>-30.231483620570167</v>
      </c>
      <c r="AN627" s="64">
        <f t="shared" ref="AN627" si="10396">((AJ627/AK627)-1)*100</f>
        <v>-21.525828915913102</v>
      </c>
      <c r="AP627" s="60">
        <f t="shared" si="10357"/>
        <v>463420</v>
      </c>
      <c r="AQ627" s="60">
        <f t="shared" si="10358"/>
        <v>318550</v>
      </c>
      <c r="AR627" s="60">
        <f t="shared" si="10359"/>
        <v>56500</v>
      </c>
      <c r="AS627" s="60">
        <f t="shared" ref="AS627:AS632" si="10397">SUM(E627,O627,Y627,AI627)</f>
        <v>838470</v>
      </c>
      <c r="AT627" s="64">
        <f t="shared" ref="AT627" si="10398">AVERAGE(AS624,AS625,AS626,AS627)</f>
        <v>710199.25</v>
      </c>
      <c r="AU627" s="71">
        <f t="shared" ref="AU627" si="10399">AVERAGE(AT575,AT523,AT471)</f>
        <v>685085.75</v>
      </c>
      <c r="AV627" s="64">
        <f t="shared" ref="AV627" si="10400">((AS627/AS575)-1)*100</f>
        <v>-2.1194780452612916</v>
      </c>
      <c r="AW627" s="64">
        <f t="shared" ref="AW627" si="10401">((AT627/AT575)-1)*100</f>
        <v>-3.0194480214007391</v>
      </c>
      <c r="AX627" s="64">
        <f t="shared" ref="AX627" si="10402">((AT627/AU627)-1)*100</f>
        <v>3.6657454924438282</v>
      </c>
      <c r="AZ627" s="71">
        <f t="shared" ref="AZ627" si="10403">+E627/1000</f>
        <v>119.55</v>
      </c>
      <c r="BA627" s="53">
        <f t="shared" ref="BA627" si="10404">+O627/1000</f>
        <v>8.75</v>
      </c>
      <c r="BB627" s="53">
        <f t="shared" ref="BB627:BB632" si="10405">+Y627/1000</f>
        <v>691.47</v>
      </c>
      <c r="BC627" s="53">
        <f t="shared" ref="BC627" si="10406">+AI627/1000</f>
        <v>18.7</v>
      </c>
      <c r="BD627" s="53">
        <f t="shared" ref="BD627" si="10407">+AS627/1000</f>
        <v>838.47</v>
      </c>
      <c r="BE627" s="64">
        <f t="shared" ref="BE627" si="10408">BE626+AZ627</f>
        <v>18011.055000000004</v>
      </c>
      <c r="BF627" s="64">
        <f t="shared" ref="BF627" si="10409">BF626+BA627</f>
        <v>2101.1599999999994</v>
      </c>
      <c r="BG627" s="64">
        <f t="shared" ref="BG627" si="10410">BG626+BB627</f>
        <v>7387.448000000004</v>
      </c>
      <c r="BH627" s="64">
        <f t="shared" ref="BH627" si="10411">BH626+BC627</f>
        <v>216.39999999999995</v>
      </c>
      <c r="BI627" s="64">
        <f t="shared" ref="BI627" si="10412">BI626+BD627</f>
        <v>27716.063000000002</v>
      </c>
      <c r="BJ627" s="64">
        <f t="shared" si="10189"/>
        <v>44</v>
      </c>
    </row>
    <row r="628" spans="1:62" x14ac:dyDescent="0.3">
      <c r="A628" s="48">
        <f t="shared" si="8958"/>
        <v>41951</v>
      </c>
      <c r="B628" s="64">
        <v>171100</v>
      </c>
      <c r="C628" s="64">
        <v>72850</v>
      </c>
      <c r="D628" s="53">
        <v>0</v>
      </c>
      <c r="E628" s="64">
        <f t="shared" si="10255"/>
        <v>243950</v>
      </c>
      <c r="F628" s="64">
        <f t="shared" ref="F628" si="10413">AVERAGE(E625,E626,E627,E628)</f>
        <v>199211.75</v>
      </c>
      <c r="G628" s="71">
        <f t="shared" ref="G628" si="10414">AVERAGE(F576,F524,F472)</f>
        <v>269829.41666666669</v>
      </c>
      <c r="H628" s="64">
        <f t="shared" ref="H628" si="10415">((E628/E576)-1)*100</f>
        <v>-20.692457737321202</v>
      </c>
      <c r="I628" s="64">
        <f t="shared" ref="I628" si="10416">((F628/F576)-1)*100</f>
        <v>-25.313681842678726</v>
      </c>
      <c r="J628" s="64">
        <f t="shared" ref="J628" si="10417">((F628/G628)-1)*100</f>
        <v>-26.171226080180908</v>
      </c>
      <c r="L628" s="53">
        <v>3200</v>
      </c>
      <c r="M628" s="53">
        <v>1877</v>
      </c>
      <c r="N628" s="53">
        <v>2800</v>
      </c>
      <c r="O628" s="53">
        <f t="shared" ref="O628" si="10418">SUM(L628:N628)</f>
        <v>7877</v>
      </c>
      <c r="P628" s="71">
        <f t="shared" ref="P628" si="10419">AVERAGE(O625,O626,O627,O628)</f>
        <v>8956.75</v>
      </c>
      <c r="Q628" s="71">
        <f t="shared" ref="Q628" si="10420">AVERAGE(P576,P524,P472)</f>
        <v>17529.166666666668</v>
      </c>
      <c r="R628" s="64">
        <f t="shared" ref="R628" si="10421">((O628/O576)-1)*100</f>
        <v>-41.651851851851852</v>
      </c>
      <c r="S628" s="73">
        <f t="shared" ref="S628" si="10422">((P628/P576)-1)*100</f>
        <v>-57.424836601307192</v>
      </c>
      <c r="T628" s="64">
        <f t="shared" ref="T628" si="10423">((P628/Q628)-1)*100</f>
        <v>-48.903731875445686</v>
      </c>
      <c r="V628" s="64">
        <v>448400</v>
      </c>
      <c r="W628" s="53">
        <v>292508</v>
      </c>
      <c r="X628" s="53">
        <v>61600</v>
      </c>
      <c r="Y628" s="64">
        <f t="shared" si="10387"/>
        <v>802508</v>
      </c>
      <c r="Z628" s="71">
        <f t="shared" si="10388"/>
        <v>595082</v>
      </c>
      <c r="AA628" s="71">
        <f t="shared" si="10389"/>
        <v>433257.25</v>
      </c>
      <c r="AB628" s="64">
        <f t="shared" si="10390"/>
        <v>75.105389482871487</v>
      </c>
      <c r="AC628" s="64">
        <f t="shared" si="10390"/>
        <v>13.624952802020518</v>
      </c>
      <c r="AD628" s="64">
        <f t="shared" si="10391"/>
        <v>37.350731003347313</v>
      </c>
      <c r="AF628" s="53">
        <v>0</v>
      </c>
      <c r="AG628" s="53">
        <v>0</v>
      </c>
      <c r="AH628" s="53">
        <v>0</v>
      </c>
      <c r="AI628" s="53">
        <f t="shared" si="10273"/>
        <v>0</v>
      </c>
      <c r="AJ628" s="71">
        <f t="shared" ref="AJ628" si="10424">AVERAGE(AI625,AI626,AI627,AI628)</f>
        <v>6500</v>
      </c>
      <c r="AK628" s="71">
        <f t="shared" ref="AK628" si="10425">AVERAGE(AJ576,AJ524,AJ472)</f>
        <v>9397.1666666666661</v>
      </c>
      <c r="AL628" s="64">
        <f t="shared" ref="AL628" si="10426">((AI628/AI576)-1)*100</f>
        <v>-100</v>
      </c>
      <c r="AM628" s="64">
        <f t="shared" ref="AM628" si="10427">((AJ628/AJ576)-1)*100</f>
        <v>-36.816524908869987</v>
      </c>
      <c r="AN628" s="64">
        <f t="shared" ref="AN628" si="10428">((AJ628/AK628)-1)*100</f>
        <v>-30.830214781051023</v>
      </c>
      <c r="AP628" s="60">
        <f t="shared" si="10357"/>
        <v>622700</v>
      </c>
      <c r="AQ628" s="60">
        <f t="shared" si="10358"/>
        <v>367235</v>
      </c>
      <c r="AR628" s="60">
        <f t="shared" si="10359"/>
        <v>64400</v>
      </c>
      <c r="AS628" s="60">
        <f t="shared" si="10397"/>
        <v>1054335</v>
      </c>
      <c r="AT628" s="64">
        <f t="shared" ref="AT628" si="10429">AVERAGE(AS625,AS626,AS627,AS628)</f>
        <v>809750.5</v>
      </c>
      <c r="AU628" s="71">
        <f t="shared" ref="AU628" si="10430">AVERAGE(AT576,AT524,AT472)</f>
        <v>730013</v>
      </c>
      <c r="AV628" s="64">
        <f t="shared" ref="AV628" si="10431">((AS628/AS576)-1)*100</f>
        <v>33.358841386288887</v>
      </c>
      <c r="AW628" s="64">
        <f t="shared" ref="AW628" si="10432">((AT628/AT576)-1)*100</f>
        <v>-1.4639545085612826</v>
      </c>
      <c r="AX628" s="64">
        <f t="shared" ref="AX628" si="10433">((AT628/AU628)-1)*100</f>
        <v>10.922750690741134</v>
      </c>
      <c r="AZ628" s="71">
        <f t="shared" ref="AZ628" si="10434">+E628/1000</f>
        <v>243.95</v>
      </c>
      <c r="BA628" s="53">
        <f t="shared" ref="BA628" si="10435">+O628/1000</f>
        <v>7.8769999999999998</v>
      </c>
      <c r="BB628" s="53">
        <f t="shared" si="10405"/>
        <v>802.50800000000004</v>
      </c>
      <c r="BC628" s="53">
        <f t="shared" ref="BC628" si="10436">+AI628/1000</f>
        <v>0</v>
      </c>
      <c r="BD628" s="53">
        <f t="shared" ref="BD628" si="10437">+AS628/1000</f>
        <v>1054.335</v>
      </c>
      <c r="BE628" s="64">
        <f t="shared" ref="BE628" si="10438">BE627+AZ628</f>
        <v>18255.005000000005</v>
      </c>
      <c r="BF628" s="64">
        <f t="shared" ref="BF628" si="10439">BF627+BA628</f>
        <v>2109.0369999999994</v>
      </c>
      <c r="BG628" s="64">
        <f t="shared" ref="BG628" si="10440">BG627+BB628</f>
        <v>8189.9560000000038</v>
      </c>
      <c r="BH628" s="64">
        <f t="shared" ref="BH628" si="10441">BH627+BC628</f>
        <v>216.39999999999995</v>
      </c>
      <c r="BI628" s="64">
        <f t="shared" ref="BI628" si="10442">BI627+BD628</f>
        <v>28770.398000000001</v>
      </c>
      <c r="BJ628" s="64">
        <f t="shared" si="10189"/>
        <v>45</v>
      </c>
    </row>
    <row r="629" spans="1:62" x14ac:dyDescent="0.3">
      <c r="A629" s="48">
        <f t="shared" si="8958"/>
        <v>41958</v>
      </c>
      <c r="B629" s="64">
        <v>256174</v>
      </c>
      <c r="C629" s="64">
        <v>72250</v>
      </c>
      <c r="D629" s="53">
        <v>0</v>
      </c>
      <c r="E629" s="64">
        <f t="shared" si="10255"/>
        <v>328424</v>
      </c>
      <c r="F629" s="64">
        <f t="shared" ref="F629" si="10443">AVERAGE(E626,E627,E628,E629)</f>
        <v>220868</v>
      </c>
      <c r="G629" s="71">
        <f t="shared" ref="G629" si="10444">AVERAGE(F577,F525,F473)</f>
        <v>302744.5</v>
      </c>
      <c r="H629" s="64">
        <f t="shared" ref="H629" si="10445">((E629/E577)-1)*100</f>
        <v>-8.7837800305513127</v>
      </c>
      <c r="I629" s="64">
        <f t="shared" ref="I629" si="10446">((F629/F577)-1)*100</f>
        <v>-22.090698648559272</v>
      </c>
      <c r="J629" s="64">
        <f t="shared" ref="J629" si="10447">((F629/G629)-1)*100</f>
        <v>-27.04475225809222</v>
      </c>
      <c r="L629" s="53">
        <v>0</v>
      </c>
      <c r="M629" s="53">
        <v>1750</v>
      </c>
      <c r="N629" s="53">
        <v>1400</v>
      </c>
      <c r="O629" s="53">
        <f t="shared" ref="O629:O630" si="10448">SUM(L629:N629)</f>
        <v>3150</v>
      </c>
      <c r="P629" s="71">
        <f t="shared" ref="P629" si="10449">AVERAGE(O626,O627,O628,O629)</f>
        <v>6494.25</v>
      </c>
      <c r="Q629" s="71">
        <f t="shared" ref="Q629" si="10450">AVERAGE(P577,P525,P473)</f>
        <v>15868.083333333334</v>
      </c>
      <c r="R629" s="64">
        <f t="shared" ref="R629" si="10451">((O629/O577)-1)*100</f>
        <v>-87.4</v>
      </c>
      <c r="S629" s="73">
        <f t="shared" ref="S629" si="10452">((P629/P577)-1)*100</f>
        <v>-66.065316786414101</v>
      </c>
      <c r="T629" s="64">
        <f t="shared" ref="T629" si="10453">((P629/Q629)-1)*100</f>
        <v>-59.073507092328946</v>
      </c>
      <c r="V629" s="64">
        <v>298136</v>
      </c>
      <c r="W629" s="53">
        <v>329993</v>
      </c>
      <c r="X629" s="53">
        <v>99200</v>
      </c>
      <c r="Y629" s="64">
        <f t="shared" si="10387"/>
        <v>727329</v>
      </c>
      <c r="Z629" s="71">
        <f t="shared" si="10388"/>
        <v>689389.25</v>
      </c>
      <c r="AA629" s="71">
        <f t="shared" si="10389"/>
        <v>416772</v>
      </c>
      <c r="AB629" s="64">
        <f t="shared" si="10390"/>
        <v>57.104069466044585</v>
      </c>
      <c r="AC629" s="64">
        <f t="shared" si="10390"/>
        <v>30.835063926375184</v>
      </c>
      <c r="AD629" s="64">
        <f t="shared" si="10391"/>
        <v>65.41160394652232</v>
      </c>
      <c r="AF629" s="53">
        <v>1600</v>
      </c>
      <c r="AG629" s="53">
        <v>0</v>
      </c>
      <c r="AH629" s="53">
        <v>0</v>
      </c>
      <c r="AI629" s="53">
        <f t="shared" si="10273"/>
        <v>1600</v>
      </c>
      <c r="AJ629" s="71">
        <f t="shared" ref="AJ629" si="10454">AVERAGE(AI626,AI627,AI628,AI629)</f>
        <v>5850</v>
      </c>
      <c r="AK629" s="71">
        <f t="shared" ref="AK629" si="10455">AVERAGE(AJ577,AJ525,AJ473)</f>
        <v>7107.5</v>
      </c>
      <c r="AL629" s="64">
        <f t="shared" ref="AL629" si="10456">((AI629/AI577)-1)*100</f>
        <v>-89.403973509933778</v>
      </c>
      <c r="AM629" s="64">
        <f t="shared" ref="AM629" si="10457">((AJ629/AJ577)-1)*100</f>
        <v>-36.152796725784455</v>
      </c>
      <c r="AN629" s="64">
        <f t="shared" ref="AN629" si="10458">((AJ629/AK629)-1)*100</f>
        <v>-17.692578262398872</v>
      </c>
      <c r="AP629" s="60">
        <f t="shared" ref="AP629" si="10459">SUM(B629,L629,V629,AF629)</f>
        <v>555910</v>
      </c>
      <c r="AQ629" s="60">
        <f t="shared" ref="AQ629" si="10460">SUM(C629,M629,W629,AG629)</f>
        <v>403993</v>
      </c>
      <c r="AR629" s="60">
        <f t="shared" ref="AR629" si="10461">SUM(D629,N629,X629,AH629)</f>
        <v>100600</v>
      </c>
      <c r="AS629" s="60">
        <f t="shared" si="10397"/>
        <v>1060503</v>
      </c>
      <c r="AT629" s="64">
        <f t="shared" ref="AT629" si="10462">AVERAGE(AS626,AS627,AS628,AS629)</f>
        <v>922601.5</v>
      </c>
      <c r="AU629" s="71">
        <f t="shared" ref="AU629" si="10463">AVERAGE(AT577,AT525,AT473)</f>
        <v>742492.08333333337</v>
      </c>
      <c r="AV629" s="64">
        <f t="shared" ref="AV629" si="10464">((AS629/AS577)-1)*100</f>
        <v>22.869970223957559</v>
      </c>
      <c r="AW629" s="64">
        <f t="shared" ref="AW629" si="10465">((AT629/AT577)-1)*100</f>
        <v>10.002640965245968</v>
      </c>
      <c r="AX629" s="64">
        <f t="shared" ref="AX629" si="10466">((AT629/AU629)-1)*100</f>
        <v>24.257419130731471</v>
      </c>
      <c r="AZ629" s="71">
        <f t="shared" ref="AZ629" si="10467">+E629/1000</f>
        <v>328.42399999999998</v>
      </c>
      <c r="BA629" s="53">
        <f t="shared" ref="BA629" si="10468">+O629/1000</f>
        <v>3.15</v>
      </c>
      <c r="BB629" s="53">
        <f t="shared" si="10405"/>
        <v>727.32899999999995</v>
      </c>
      <c r="BC629" s="53">
        <f t="shared" ref="BC629" si="10469">+AI629/1000</f>
        <v>1.6</v>
      </c>
      <c r="BD629" s="53">
        <f t="shared" ref="BD629" si="10470">+AS629/1000</f>
        <v>1060.5029999999999</v>
      </c>
      <c r="BE629" s="64">
        <f t="shared" ref="BE629" si="10471">BE628+AZ629</f>
        <v>18583.429000000004</v>
      </c>
      <c r="BF629" s="64">
        <f t="shared" ref="BF629" si="10472">BF628+BA629</f>
        <v>2112.1869999999994</v>
      </c>
      <c r="BG629" s="64">
        <f t="shared" ref="BG629" si="10473">BG628+BB629</f>
        <v>8917.2850000000035</v>
      </c>
      <c r="BH629" s="64">
        <f t="shared" ref="BH629" si="10474">BH628+BC629</f>
        <v>217.99999999999994</v>
      </c>
      <c r="BI629" s="64">
        <f t="shared" ref="BI629" si="10475">BI628+BD629</f>
        <v>29830.901000000002</v>
      </c>
      <c r="BJ629" s="64">
        <f t="shared" si="10189"/>
        <v>46</v>
      </c>
    </row>
    <row r="630" spans="1:62" x14ac:dyDescent="0.3">
      <c r="A630" s="48">
        <f t="shared" si="8958"/>
        <v>41965</v>
      </c>
      <c r="B630" s="64">
        <v>310800</v>
      </c>
      <c r="C630" s="64">
        <v>112900</v>
      </c>
      <c r="D630" s="53">
        <v>0</v>
      </c>
      <c r="E630" s="64">
        <f t="shared" si="10255"/>
        <v>423700</v>
      </c>
      <c r="F630" s="64">
        <f t="shared" ref="F630" si="10476">AVERAGE(E627,E628,E629,E630)</f>
        <v>278906</v>
      </c>
      <c r="G630" s="71">
        <f t="shared" ref="G630" si="10477">AVERAGE(F578,F526,F474)</f>
        <v>359524.41666666669</v>
      </c>
      <c r="H630" s="64">
        <f t="shared" ref="H630" si="10478">((E630/E578)-1)*100</f>
        <v>8.5441708424277785</v>
      </c>
      <c r="I630" s="64">
        <f t="shared" ref="I630" si="10479">((F630/F578)-1)*100</f>
        <v>-12.551381620821667</v>
      </c>
      <c r="J630" s="64">
        <f t="shared" ref="J630" si="10480">((F630/G630)-1)*100</f>
        <v>-22.423627695198267</v>
      </c>
      <c r="L630" s="53">
        <v>1500</v>
      </c>
      <c r="M630" s="53">
        <v>0</v>
      </c>
      <c r="N630" s="53">
        <v>0</v>
      </c>
      <c r="O630" s="53">
        <f t="shared" si="10448"/>
        <v>1500</v>
      </c>
      <c r="P630" s="71">
        <f t="shared" ref="P630" si="10481">AVERAGE(O627,O628,O629,O630)</f>
        <v>5319.25</v>
      </c>
      <c r="Q630" s="71">
        <f t="shared" ref="Q630" si="10482">AVERAGE(P578,P526,P474)</f>
        <v>16955.583333333332</v>
      </c>
      <c r="R630" s="64">
        <f t="shared" ref="R630" si="10483">((O630/O578)-1)*100</f>
        <v>-89.726027397260282</v>
      </c>
      <c r="S630" s="73">
        <f t="shared" ref="S630" si="10484">((P630/P578)-1)*100</f>
        <v>-72.04073587385021</v>
      </c>
      <c r="T630" s="64">
        <f t="shared" ref="T630" si="10485">((P630/Q630)-1)*100</f>
        <v>-68.628327935242567</v>
      </c>
      <c r="V630" s="64">
        <v>211100</v>
      </c>
      <c r="W630" s="53">
        <v>286650</v>
      </c>
      <c r="X630" s="53">
        <v>43400</v>
      </c>
      <c r="Y630" s="64">
        <f t="shared" si="10387"/>
        <v>541150</v>
      </c>
      <c r="Z630" s="71">
        <f t="shared" si="10388"/>
        <v>690614.25</v>
      </c>
      <c r="AA630" s="71">
        <f t="shared" si="10389"/>
        <v>415825.16666666669</v>
      </c>
      <c r="AB630" s="64">
        <f t="shared" ref="AB630" si="10486">((Y630/Y578)-1)*100</f>
        <v>15.940010712372787</v>
      </c>
      <c r="AC630" s="64">
        <f t="shared" ref="AC630" si="10487">((Z630/Z578)-1)*100</f>
        <v>38.168722015709221</v>
      </c>
      <c r="AD630" s="64">
        <f t="shared" si="10391"/>
        <v>66.082840905492731</v>
      </c>
      <c r="AF630" s="53">
        <v>1600</v>
      </c>
      <c r="AG630" s="53">
        <v>0</v>
      </c>
      <c r="AH630" s="53">
        <v>0</v>
      </c>
      <c r="AI630" s="53">
        <f t="shared" si="10273"/>
        <v>1600</v>
      </c>
      <c r="AJ630" s="71">
        <f t="shared" ref="AJ630" si="10488">AVERAGE(AI627,AI628,AI629,AI630)</f>
        <v>5475</v>
      </c>
      <c r="AK630" s="71">
        <f t="shared" ref="AK630" si="10489">AVERAGE(AJ578,AJ526,AJ474)</f>
        <v>7337.5</v>
      </c>
      <c r="AL630" s="64">
        <f t="shared" ref="AL630" si="10490">((AI630/AI578)-1)*100</f>
        <v>-69.523809523809518</v>
      </c>
      <c r="AM630" s="64">
        <f t="shared" ref="AM630" si="10491">((AJ630/AJ578)-1)*100</f>
        <v>-39.335180055401665</v>
      </c>
      <c r="AN630" s="64">
        <f t="shared" ref="AN630" si="10492">((AJ630/AK630)-1)*100</f>
        <v>-25.383304940374785</v>
      </c>
      <c r="AP630" s="60">
        <f t="shared" ref="AP630" si="10493">SUM(B630,L630,V630,AF630)</f>
        <v>525000</v>
      </c>
      <c r="AQ630" s="60">
        <f t="shared" ref="AQ630" si="10494">SUM(C630,M630,W630,AG630)</f>
        <v>399550</v>
      </c>
      <c r="AR630" s="60">
        <f t="shared" ref="AR630" si="10495">SUM(D630,N630,X630,AH630)</f>
        <v>43400</v>
      </c>
      <c r="AS630" s="60">
        <f t="shared" si="10397"/>
        <v>967950</v>
      </c>
      <c r="AT630" s="64">
        <f t="shared" ref="AT630" si="10496">AVERAGE(AS627,AS628,AS629,AS630)</f>
        <v>980314.5</v>
      </c>
      <c r="AU630" s="71">
        <f t="shared" ref="AU630" si="10497">AVERAGE(AT578,AT526,AT474)</f>
        <v>799642.66666666663</v>
      </c>
      <c r="AV630" s="64">
        <f t="shared" ref="AV630" si="10498">((AS630/AS578)-1)*100</f>
        <v>10.377126123783853</v>
      </c>
      <c r="AW630" s="64">
        <f t="shared" ref="AW630" si="10499">((AT630/AT578)-1)*100</f>
        <v>15.764075288638324</v>
      </c>
      <c r="AX630" s="64">
        <f t="shared" ref="AX630:AX631" si="10500">((AT630/AU630)-1)*100</f>
        <v>22.594071185129373</v>
      </c>
      <c r="AZ630" s="71">
        <f t="shared" ref="AZ630" si="10501">+E630/1000</f>
        <v>423.7</v>
      </c>
      <c r="BA630" s="53">
        <f t="shared" ref="BA630" si="10502">+O630/1000</f>
        <v>1.5</v>
      </c>
      <c r="BB630" s="53">
        <f t="shared" si="10405"/>
        <v>541.15</v>
      </c>
      <c r="BC630" s="53">
        <f t="shared" ref="BC630" si="10503">+AI630/1000</f>
        <v>1.6</v>
      </c>
      <c r="BD630" s="53">
        <f t="shared" ref="BD630" si="10504">+AS630/1000</f>
        <v>967.95</v>
      </c>
      <c r="BE630" s="64">
        <f t="shared" ref="BE630" si="10505">BE629+AZ630</f>
        <v>19007.129000000004</v>
      </c>
      <c r="BF630" s="64">
        <f t="shared" ref="BF630" si="10506">BF629+BA630</f>
        <v>2113.6869999999994</v>
      </c>
      <c r="BG630" s="64">
        <f t="shared" ref="BG630" si="10507">BG629+BB630</f>
        <v>9458.4350000000031</v>
      </c>
      <c r="BH630" s="64">
        <f t="shared" ref="BH630" si="10508">BH629+BC630</f>
        <v>219.59999999999994</v>
      </c>
      <c r="BI630" s="64">
        <f t="shared" ref="BI630" si="10509">BI629+BD630</f>
        <v>30798.851000000002</v>
      </c>
      <c r="BJ630" s="64">
        <f t="shared" si="10189"/>
        <v>47</v>
      </c>
    </row>
    <row r="631" spans="1:62" x14ac:dyDescent="0.3">
      <c r="A631" s="48">
        <f t="shared" si="8958"/>
        <v>41972</v>
      </c>
      <c r="B631" s="64">
        <v>257000</v>
      </c>
      <c r="C631" s="64">
        <v>93850</v>
      </c>
      <c r="D631" s="53">
        <v>0</v>
      </c>
      <c r="E631" s="64">
        <f t="shared" si="10255"/>
        <v>350850</v>
      </c>
      <c r="F631" s="64">
        <f t="shared" ref="F631" si="10510">AVERAGE(E628,E629,E630,E631)</f>
        <v>336731</v>
      </c>
      <c r="G631" s="71">
        <f t="shared" ref="G631" si="10511">AVERAGE(F579,F527,F475)</f>
        <v>402421.25</v>
      </c>
      <c r="H631" s="64">
        <f t="shared" ref="H631" si="10512">((E631/E579)-1)*100</f>
        <v>-16.184902054467276</v>
      </c>
      <c r="I631" s="64">
        <f t="shared" ref="I631" si="10513">((F631/F579)-1)*100</f>
        <v>-8.7819433589914055</v>
      </c>
      <c r="J631" s="64">
        <f t="shared" ref="J631" si="10514">((F631/G631)-1)*100</f>
        <v>-16.32375278392978</v>
      </c>
      <c r="L631" s="53">
        <v>13000</v>
      </c>
      <c r="M631" s="53">
        <v>0</v>
      </c>
      <c r="N631" s="53">
        <v>4200</v>
      </c>
      <c r="O631" s="53">
        <f t="shared" ref="O631:O632" si="10515">SUM(L631:N631)</f>
        <v>17200</v>
      </c>
      <c r="P631" s="71">
        <f t="shared" ref="P631" si="10516">AVERAGE(O628,O629,O630,O631)</f>
        <v>7431.75</v>
      </c>
      <c r="Q631" s="71">
        <f t="shared" ref="Q631" si="10517">AVERAGE(P579,P527,P475)</f>
        <v>17863.916666666668</v>
      </c>
      <c r="R631" s="64">
        <f t="shared" ref="R631" si="10518">((O631/O579)-1)*100</f>
        <v>-12.690355329949243</v>
      </c>
      <c r="S631" s="73">
        <f t="shared" ref="S631" si="10519">((P631/P579)-1)*100</f>
        <v>-59.166208791208796</v>
      </c>
      <c r="T631" s="64">
        <f t="shared" ref="T631" si="10520">((P631/Q631)-1)*100</f>
        <v>-58.397981032528335</v>
      </c>
      <c r="V631" s="64">
        <v>268400</v>
      </c>
      <c r="W631" s="53">
        <v>191900</v>
      </c>
      <c r="X631" s="53">
        <v>96600</v>
      </c>
      <c r="Y631" s="64">
        <f t="shared" si="10387"/>
        <v>556900</v>
      </c>
      <c r="Z631" s="71">
        <f t="shared" si="10388"/>
        <v>656971.75</v>
      </c>
      <c r="AA631" s="71">
        <f t="shared" si="10389"/>
        <v>403597.25</v>
      </c>
      <c r="AB631" s="64">
        <f t="shared" ref="AB631" si="10521">((Y631/Y579)-1)*100</f>
        <v>20.67119969144229</v>
      </c>
      <c r="AC631" s="64">
        <f t="shared" ref="AC631" si="10522">((Z631/Z579)-1)*100</f>
        <v>42.085425777177974</v>
      </c>
      <c r="AD631" s="64">
        <f t="shared" si="10391"/>
        <v>62.779045199143454</v>
      </c>
      <c r="AF631" s="53">
        <v>0</v>
      </c>
      <c r="AG631" s="53">
        <v>0</v>
      </c>
      <c r="AH631" s="53">
        <v>1400</v>
      </c>
      <c r="AI631" s="53">
        <f t="shared" ref="AI631:AI633" si="10523">SUM(AF631:AH631)</f>
        <v>1400</v>
      </c>
      <c r="AJ631" s="71">
        <f t="shared" ref="AJ631" si="10524">AVERAGE(AI628,AI629,AI630,AI631)</f>
        <v>1150</v>
      </c>
      <c r="AK631" s="71">
        <f t="shared" ref="AK631" si="10525">AVERAGE(AJ579,AJ527,AJ475)</f>
        <v>9447.6666666666661</v>
      </c>
      <c r="AL631" s="64">
        <f t="shared" ref="AL631" si="10526">((AI631/AI579)-1)*100</f>
        <v>-70.526315789473685</v>
      </c>
      <c r="AM631" s="64">
        <f t="shared" ref="AM631" si="10527">((AJ631/AJ579)-1)*100</f>
        <v>-87.327823691460054</v>
      </c>
      <c r="AN631" s="64">
        <f t="shared" ref="AN631" si="10528">((AJ631/AK631)-1)*100</f>
        <v>-87.827682320149592</v>
      </c>
      <c r="AP631" s="60">
        <f t="shared" ref="AP631" si="10529">SUM(B631,L631,V631,AF631)</f>
        <v>538400</v>
      </c>
      <c r="AQ631" s="60">
        <f t="shared" ref="AQ631" si="10530">SUM(C631,M631,W631,AG631)</f>
        <v>285750</v>
      </c>
      <c r="AR631" s="60">
        <f t="shared" ref="AR631" si="10531">SUM(D631,N631,X631,AH631)</f>
        <v>102200</v>
      </c>
      <c r="AS631" s="60">
        <f t="shared" si="10397"/>
        <v>926350</v>
      </c>
      <c r="AT631" s="64">
        <f t="shared" ref="AT631" si="10532">AVERAGE(AS628,AS629,AS630,AS631)</f>
        <v>1002284.5</v>
      </c>
      <c r="AU631" s="71">
        <f t="shared" ref="AU631" si="10533">AVERAGE(AT579,AT527,AT475)</f>
        <v>833330.08333333337</v>
      </c>
      <c r="AV631" s="64">
        <f t="shared" ref="AV631" si="10534">((AS631/AS579)-1)*100</f>
        <v>2.409811707895182</v>
      </c>
      <c r="AW631" s="64">
        <f t="shared" ref="AW631" si="10535">((AT631/AT579)-1)*100</f>
        <v>16.707217317136358</v>
      </c>
      <c r="AX631" s="64">
        <f t="shared" si="10500"/>
        <v>20.27460907097538</v>
      </c>
      <c r="AZ631" s="71">
        <f t="shared" ref="AZ631" si="10536">+E631/1000</f>
        <v>350.85</v>
      </c>
      <c r="BA631" s="53">
        <f t="shared" ref="BA631" si="10537">+O631/1000</f>
        <v>17.2</v>
      </c>
      <c r="BB631" s="53">
        <f t="shared" si="10405"/>
        <v>556.9</v>
      </c>
      <c r="BC631" s="53">
        <f t="shared" ref="BC631" si="10538">+AI631/1000</f>
        <v>1.4</v>
      </c>
      <c r="BD631" s="53">
        <f t="shared" ref="BD631" si="10539">+AS631/1000</f>
        <v>926.35</v>
      </c>
      <c r="BE631" s="64">
        <f t="shared" ref="BE631" si="10540">BE630+AZ631</f>
        <v>19357.979000000003</v>
      </c>
      <c r="BF631" s="64">
        <f t="shared" ref="BF631" si="10541">BF630+BA631</f>
        <v>2130.8869999999993</v>
      </c>
      <c r="BG631" s="64">
        <f t="shared" ref="BG631" si="10542">BG630+BB631</f>
        <v>10015.335000000003</v>
      </c>
      <c r="BH631" s="64">
        <f t="shared" ref="BH631" si="10543">BH630+BC631</f>
        <v>220.99999999999994</v>
      </c>
      <c r="BI631" s="64">
        <f t="shared" ref="BI631" si="10544">BI630+BD631</f>
        <v>31725.201000000001</v>
      </c>
      <c r="BJ631" s="64">
        <f t="shared" si="10189"/>
        <v>48</v>
      </c>
    </row>
    <row r="632" spans="1:62" x14ac:dyDescent="0.3">
      <c r="A632" s="48">
        <f t="shared" si="8958"/>
        <v>41979</v>
      </c>
      <c r="B632" s="64">
        <v>228922</v>
      </c>
      <c r="C632" s="64">
        <v>87750</v>
      </c>
      <c r="D632" s="53">
        <v>0</v>
      </c>
      <c r="E632" s="64">
        <f t="shared" si="10255"/>
        <v>316672</v>
      </c>
      <c r="F632" s="64">
        <f t="shared" ref="F632" si="10545">AVERAGE(E629,E630,E631,E632)</f>
        <v>354911.5</v>
      </c>
      <c r="G632" s="71">
        <f t="shared" ref="G632" si="10546">AVERAGE(F580,F528,F476)</f>
        <v>440452.75</v>
      </c>
      <c r="H632" s="64">
        <f t="shared" ref="H632" si="10547">((E632/E580)-1)*100</f>
        <v>-8.1044689495066713</v>
      </c>
      <c r="I632" s="64">
        <f t="shared" ref="I632" si="10548">((F632/F580)-1)*100</f>
        <v>-6.2071963625744742</v>
      </c>
      <c r="J632" s="64">
        <f t="shared" ref="J632" si="10549">((F632/G632)-1)*100</f>
        <v>-19.42120919894359</v>
      </c>
      <c r="L632" s="53">
        <v>1500</v>
      </c>
      <c r="M632" s="53">
        <v>3200</v>
      </c>
      <c r="N632" s="53">
        <v>0</v>
      </c>
      <c r="O632" s="53">
        <f>SUM(L632:N632)</f>
        <v>4700</v>
      </c>
      <c r="P632" s="71">
        <f>AVERAGE(O629,O630,O631,O632)</f>
        <v>6637.5</v>
      </c>
      <c r="Q632" s="71">
        <f>AVERAGE(P580,P528,P476)</f>
        <v>18405.583333333332</v>
      </c>
      <c r="R632" s="64">
        <f>((O632/O580)-1)*100</f>
        <v>-80.578512396694208</v>
      </c>
      <c r="S632" s="73">
        <f>((P632/P580)-1)*100</f>
        <v>-68.203592814371248</v>
      </c>
      <c r="T632" s="64">
        <f t="shared" ref="T632" si="10550">((P632/Q632)-1)*100</f>
        <v>-63.937573290713409</v>
      </c>
      <c r="V632" s="64">
        <v>363846</v>
      </c>
      <c r="W632" s="53">
        <v>123808</v>
      </c>
      <c r="X632" s="53">
        <v>43400</v>
      </c>
      <c r="Y632" s="64">
        <f t="shared" si="10387"/>
        <v>531054</v>
      </c>
      <c r="Z632" s="71">
        <f t="shared" si="10388"/>
        <v>589108.25</v>
      </c>
      <c r="AA632" s="71">
        <f t="shared" si="10389"/>
        <v>399468.41666666669</v>
      </c>
      <c r="AB632" s="64">
        <f t="shared" ref="AB632" si="10551">((Y632/Y580)-1)*100</f>
        <v>33.851039697542532</v>
      </c>
      <c r="AC632" s="64">
        <f t="shared" ref="AC632" si="10552">((Z632/Z580)-1)*100</f>
        <v>31.794355808456775</v>
      </c>
      <c r="AD632" s="64">
        <f t="shared" si="10391"/>
        <v>47.473048036129683</v>
      </c>
      <c r="AF632" s="53">
        <v>1600</v>
      </c>
      <c r="AG632" s="53">
        <v>0</v>
      </c>
      <c r="AH632" s="53">
        <v>0</v>
      </c>
      <c r="AI632" s="53">
        <f t="shared" si="10523"/>
        <v>1600</v>
      </c>
      <c r="AJ632" s="71">
        <f t="shared" ref="AJ632" si="10553">AVERAGE(AI629,AI630,AI631,AI632)</f>
        <v>1550</v>
      </c>
      <c r="AK632" s="71">
        <f t="shared" ref="AK632" si="10554">AVERAGE(AJ580,AJ528,AJ476)</f>
        <v>7947.666666666667</v>
      </c>
      <c r="AL632" s="64">
        <f t="shared" ref="AL632" si="10555">((AI632/AI580)-1)*100</f>
        <v>-50</v>
      </c>
      <c r="AM632" s="64">
        <f t="shared" ref="AM632" si="10556">((AJ632/AJ580)-1)*100</f>
        <v>-78.091872791519435</v>
      </c>
      <c r="AN632" s="64">
        <f t="shared" ref="AN632" si="10557">((AJ632/AK632)-1)*100</f>
        <v>-80.497420626599009</v>
      </c>
      <c r="AP632" s="60">
        <f t="shared" ref="AP632" si="10558">SUM(B632,L632,V632,AF632)</f>
        <v>595868</v>
      </c>
      <c r="AQ632" s="60">
        <f t="shared" ref="AQ632" si="10559">SUM(C632,M632,W632,AG632)</f>
        <v>214758</v>
      </c>
      <c r="AR632" s="60">
        <f t="shared" ref="AR632:AR633" si="10560">SUM(D632,N632,X632,AH632)</f>
        <v>43400</v>
      </c>
      <c r="AS632" s="60">
        <f>SUM(E632,O632,Y632,AI632)</f>
        <v>854026</v>
      </c>
      <c r="AT632" s="64">
        <f t="shared" ref="AT632" si="10561">AVERAGE(AS629,AS630,AS631,AS632)</f>
        <v>952207.25</v>
      </c>
      <c r="AU632" s="71">
        <f t="shared" ref="AU632" si="10562">AVERAGE(AT580,AT528,AT476)</f>
        <v>866274.41666666663</v>
      </c>
      <c r="AV632" s="64">
        <f t="shared" ref="AV632" si="10563">((AS632/AS580)-1)*100</f>
        <v>11.092813008130076</v>
      </c>
      <c r="AW632" s="64">
        <f t="shared" ref="AW632" si="10564">((AT632/AT580)-1)*100</f>
        <v>11.585915344411379</v>
      </c>
      <c r="AX632" s="64">
        <f t="shared" ref="AX632" si="10565">((AT632/AU632)-1)*100</f>
        <v>9.919816593914188</v>
      </c>
      <c r="AZ632" s="71">
        <f t="shared" ref="AZ632:AZ633" si="10566">+E632/1000</f>
        <v>316.67200000000003</v>
      </c>
      <c r="BA632" s="53">
        <f>+O632/1000</f>
        <v>4.7</v>
      </c>
      <c r="BB632" s="53">
        <f t="shared" si="10405"/>
        <v>531.05399999999997</v>
      </c>
      <c r="BC632" s="53">
        <f t="shared" ref="BC632:BC633" si="10567">+AI632/1000</f>
        <v>1.6</v>
      </c>
      <c r="BD632" s="53">
        <f t="shared" ref="BD632:BD633" si="10568">+AS632/1000</f>
        <v>854.02599999999995</v>
      </c>
      <c r="BE632" s="64">
        <f t="shared" ref="BE632" si="10569">BE631+AZ632</f>
        <v>19674.651000000002</v>
      </c>
      <c r="BF632" s="64">
        <f t="shared" ref="BF632" si="10570">BF631+BA632</f>
        <v>2135.5869999999991</v>
      </c>
      <c r="BG632" s="64">
        <f t="shared" ref="BG632" si="10571">BG631+BB632</f>
        <v>10546.389000000003</v>
      </c>
      <c r="BH632" s="64">
        <f t="shared" ref="BH632" si="10572">BH631+BC632</f>
        <v>222.59999999999994</v>
      </c>
      <c r="BI632" s="64">
        <f t="shared" ref="BI632" si="10573">BI631+BD632</f>
        <v>32579.227000000003</v>
      </c>
      <c r="BJ632" s="64">
        <f t="shared" si="10189"/>
        <v>49</v>
      </c>
    </row>
    <row r="633" spans="1:62" x14ac:dyDescent="0.3">
      <c r="A633" s="48">
        <f t="shared" si="8958"/>
        <v>41986</v>
      </c>
      <c r="B633" s="64">
        <v>305400</v>
      </c>
      <c r="C633" s="64">
        <v>164304</v>
      </c>
      <c r="D633" s="53">
        <v>0</v>
      </c>
      <c r="E633" s="64">
        <f t="shared" si="10255"/>
        <v>469704</v>
      </c>
      <c r="F633" s="64">
        <f t="shared" ref="F633" si="10574">AVERAGE(E630,E631,E632,E633)</f>
        <v>390231.5</v>
      </c>
      <c r="G633" s="71">
        <f t="shared" ref="G633" si="10575">AVERAGE(F581,F529,F477)</f>
        <v>414980.33333333331</v>
      </c>
      <c r="H633" s="64">
        <f t="shared" ref="H633" si="10576">((E633/E581)-1)*100</f>
        <v>108.33603158058148</v>
      </c>
      <c r="I633" s="64">
        <f t="shared" ref="I633" si="10577">((F633/F581)-1)*100</f>
        <v>13.19235708696791</v>
      </c>
      <c r="J633" s="64">
        <f t="shared" ref="J633" si="10578">((F633/G633)-1)*100</f>
        <v>-5.963856921733635</v>
      </c>
      <c r="L633" s="53">
        <v>4500</v>
      </c>
      <c r="M633" s="53">
        <v>3500</v>
      </c>
      <c r="N633" s="53">
        <v>9800</v>
      </c>
      <c r="O633" s="53">
        <f>SUM(L633:N633)</f>
        <v>17800</v>
      </c>
      <c r="P633" s="71">
        <f>AVERAGE(O630,O631,O632,O633)</f>
        <v>10300</v>
      </c>
      <c r="Q633" s="71">
        <f>AVERAGE(P581,P529,P477)</f>
        <v>18683.333333333332</v>
      </c>
      <c r="R633" s="64">
        <f>((O633/O581)-1)*100</f>
        <v>-8.0103359173126609</v>
      </c>
      <c r="S633" s="73">
        <f>((P633/P581)-1)*100</f>
        <v>-47.077713551701997</v>
      </c>
      <c r="T633" s="64">
        <f t="shared" ref="T633" si="10579">((P633/Q633)-1)*100</f>
        <v>-44.870651204281884</v>
      </c>
      <c r="V633" s="64">
        <v>316700</v>
      </c>
      <c r="W633" s="53">
        <v>139750</v>
      </c>
      <c r="X633" s="53">
        <v>86600</v>
      </c>
      <c r="Y633" s="64">
        <f t="shared" ref="Y633" si="10580">SUM(V633:X633)</f>
        <v>543050</v>
      </c>
      <c r="Z633" s="71">
        <f t="shared" si="10388"/>
        <v>543038.5</v>
      </c>
      <c r="AA633" s="71">
        <f t="shared" si="10389"/>
        <v>407933.66666666669</v>
      </c>
      <c r="AB633" s="64">
        <f t="shared" ref="AB633" si="10581">((Y633/Y581)-1)*100</f>
        <v>5.7268293632637857</v>
      </c>
      <c r="AC633" s="64">
        <f t="shared" ref="AC633" si="10582">((Z633/Z581)-1)*100</f>
        <v>18.139360841753984</v>
      </c>
      <c r="AD633" s="64">
        <f t="shared" ref="AD633" si="10583">((Z633/AA633)-1)*100</f>
        <v>33.119314332967534</v>
      </c>
      <c r="AF633" s="53">
        <v>12500</v>
      </c>
      <c r="AG633" s="53">
        <v>5250</v>
      </c>
      <c r="AH633" s="53">
        <v>0</v>
      </c>
      <c r="AI633" s="53">
        <f t="shared" si="10523"/>
        <v>17750</v>
      </c>
      <c r="AJ633" s="71">
        <f t="shared" ref="AJ633" si="10584">AVERAGE(AI630,AI631,AI632,AI633)</f>
        <v>5587.5</v>
      </c>
      <c r="AK633" s="71">
        <f t="shared" ref="AK633" si="10585">AVERAGE(AJ581,AJ529,AJ477)</f>
        <v>6736</v>
      </c>
      <c r="AL633" s="64">
        <f t="shared" ref="AL633" si="10586">((AI633/AI581)-1)*100</f>
        <v>1167.8571428571429</v>
      </c>
      <c r="AM633" s="64">
        <f t="shared" ref="AM633" si="10587">((AJ633/AJ581)-1)*100</f>
        <v>53.082191780821915</v>
      </c>
      <c r="AN633" s="64">
        <f t="shared" ref="AN633" si="10588">((AJ633/AK633)-1)*100</f>
        <v>-17.050178147268412</v>
      </c>
      <c r="AP633" s="60">
        <f t="shared" ref="AP633" si="10589">SUM(B633,L633,V633,AF633)</f>
        <v>639100</v>
      </c>
      <c r="AQ633" s="60">
        <f t="shared" ref="AQ633" si="10590">SUM(C633,M633,W633,AG633)</f>
        <v>312804</v>
      </c>
      <c r="AR633" s="60">
        <f t="shared" ref="AR633" si="10591">SUM(D633,N633,X633,AH633)</f>
        <v>96400</v>
      </c>
      <c r="AS633" s="60">
        <f>SUM(E633,O633,Y633,AI633)</f>
        <v>1048304</v>
      </c>
      <c r="AT633" s="64">
        <f t="shared" ref="AT633" si="10592">AVERAGE(AS630,AS631,AS632,AS633)</f>
        <v>949157.5</v>
      </c>
      <c r="AU633" s="71">
        <f t="shared" ref="AU633" si="10593">AVERAGE(AT581,AT529,AT477)</f>
        <v>848333.33333333337</v>
      </c>
      <c r="AV633" s="64">
        <f t="shared" ref="AV633" si="10594">((AS633/AS581)-1)*100</f>
        <v>37.963781848810285</v>
      </c>
      <c r="AW633" s="64">
        <f t="shared" ref="AW633" si="10595">((AT633/AT581)-1)*100</f>
        <v>14.698693993214684</v>
      </c>
      <c r="AX633" s="64">
        <f t="shared" ref="AX633" si="10596">((AT633/AU633)-1)*100</f>
        <v>11.884970530451856</v>
      </c>
      <c r="AZ633" s="71">
        <f t="shared" ref="AZ633" si="10597">+E633/1000</f>
        <v>469.70400000000001</v>
      </c>
      <c r="BA633" s="53">
        <f>+O633/1000</f>
        <v>17.8</v>
      </c>
      <c r="BB633" s="53">
        <f t="shared" ref="BB633" si="10598">+Y633/1000</f>
        <v>543.04999999999995</v>
      </c>
      <c r="BC633" s="53">
        <f t="shared" ref="BC633" si="10599">+AI633/1000</f>
        <v>17.75</v>
      </c>
      <c r="BD633" s="53">
        <f t="shared" ref="BD633" si="10600">+AS633/1000</f>
        <v>1048.3040000000001</v>
      </c>
      <c r="BE633" s="64">
        <f t="shared" ref="BE633" si="10601">BE632+AZ633</f>
        <v>20144.355000000003</v>
      </c>
      <c r="BF633" s="64">
        <f t="shared" ref="BF633" si="10602">BF632+BA633</f>
        <v>2153.3869999999993</v>
      </c>
      <c r="BG633" s="64">
        <f t="shared" ref="BG633" si="10603">BG632+BB633</f>
        <v>11089.439000000002</v>
      </c>
      <c r="BH633" s="64">
        <f t="shared" ref="BH633" si="10604">BH632+BC633</f>
        <v>240.34999999999994</v>
      </c>
      <c r="BI633" s="64">
        <f t="shared" ref="BI633" si="10605">BI632+BD633</f>
        <v>33627.531000000003</v>
      </c>
      <c r="BJ633" s="64">
        <f t="shared" si="10189"/>
        <v>50</v>
      </c>
    </row>
    <row r="634" spans="1:62" x14ac:dyDescent="0.3">
      <c r="A634" s="48"/>
      <c r="B634" s="64"/>
      <c r="C634" s="64"/>
      <c r="D634" s="53"/>
      <c r="E634" s="64"/>
      <c r="F634" s="64"/>
      <c r="G634" s="71"/>
      <c r="H634" s="64"/>
      <c r="I634" s="64"/>
      <c r="J634" s="64"/>
      <c r="L634" s="53"/>
      <c r="M634" s="53"/>
      <c r="N634" s="53"/>
      <c r="O634" s="53"/>
      <c r="P634" s="71"/>
      <c r="Q634" s="71"/>
      <c r="R634" s="64"/>
      <c r="S634" s="73"/>
      <c r="T634" s="64"/>
      <c r="V634" s="64"/>
      <c r="W634" s="64"/>
      <c r="X634" s="53"/>
      <c r="Y634" s="64"/>
      <c r="Z634" s="71"/>
      <c r="AA634" s="71"/>
      <c r="AB634" s="64"/>
      <c r="AC634" s="64"/>
      <c r="AD634" s="64"/>
      <c r="AF634" s="53"/>
      <c r="AG634" s="53"/>
      <c r="AH634" s="53"/>
      <c r="AI634" s="53"/>
      <c r="AJ634" s="71"/>
      <c r="AK634" s="71"/>
      <c r="AL634" s="64"/>
      <c r="AM634" s="64"/>
      <c r="AN634" s="64"/>
      <c r="AP634" s="60"/>
      <c r="AQ634" s="60"/>
      <c r="AR634" s="60"/>
      <c r="AS634" s="60"/>
      <c r="AT634" s="64"/>
      <c r="AU634" s="71"/>
      <c r="AV634" s="64"/>
      <c r="AW634" s="64"/>
      <c r="AX634" s="64"/>
      <c r="AZ634" s="71"/>
      <c r="BA634" s="53"/>
      <c r="BB634" s="53"/>
      <c r="BC634" s="53"/>
      <c r="BD634" s="53"/>
      <c r="BE634" s="64"/>
      <c r="BF634" s="64"/>
      <c r="BG634" s="64"/>
      <c r="BH634" s="64"/>
      <c r="BI634" s="64"/>
      <c r="BJ634" s="64"/>
    </row>
    <row r="635" spans="1:62" x14ac:dyDescent="0.3">
      <c r="A635" s="51" t="s">
        <v>46</v>
      </c>
      <c r="B635" s="64"/>
      <c r="C635" s="64"/>
      <c r="D635" s="53"/>
      <c r="E635" s="64"/>
      <c r="L635" s="53"/>
      <c r="M635" s="53"/>
      <c r="N635" s="53"/>
      <c r="O635" s="71"/>
      <c r="V635" s="64"/>
      <c r="W635" s="64"/>
      <c r="X635" s="53"/>
      <c r="Y635" s="64"/>
      <c r="AS635" s="60"/>
    </row>
    <row r="636" spans="1:62" ht="13.25" customHeight="1" x14ac:dyDescent="0.3">
      <c r="A636" s="77" t="s">
        <v>47</v>
      </c>
      <c r="B636" s="64"/>
      <c r="C636" s="64"/>
      <c r="D636" s="53"/>
      <c r="E636" s="64"/>
      <c r="L636" s="53"/>
      <c r="M636" s="53"/>
      <c r="N636" s="53"/>
      <c r="O636" s="71"/>
      <c r="V636" s="64"/>
      <c r="W636" s="64"/>
      <c r="X636" s="53"/>
      <c r="Y636" s="64"/>
      <c r="AS636" s="60"/>
    </row>
    <row r="637" spans="1:62" x14ac:dyDescent="0.3">
      <c r="A637" s="77"/>
      <c r="B637" s="64"/>
      <c r="C637" s="64"/>
      <c r="D637" s="53"/>
      <c r="E637" s="64"/>
      <c r="F637"/>
      <c r="G637"/>
      <c r="L637" s="53"/>
      <c r="M637" s="53"/>
      <c r="N637" s="53"/>
      <c r="O637" s="71"/>
      <c r="V637" s="64"/>
      <c r="W637" s="64"/>
      <c r="X637" s="64"/>
      <c r="AS637" s="60"/>
    </row>
    <row r="638" spans="1:62" x14ac:dyDescent="0.3">
      <c r="A638" s="77" t="s">
        <v>48</v>
      </c>
      <c r="B638" s="64"/>
      <c r="C638" s="64"/>
      <c r="D638" s="53"/>
      <c r="E638" s="64"/>
      <c r="F638"/>
      <c r="G638"/>
      <c r="L638" s="53"/>
      <c r="M638" s="53"/>
      <c r="N638" s="53"/>
      <c r="O638" s="71"/>
      <c r="V638" s="64"/>
      <c r="W638" s="64"/>
      <c r="X638" s="64"/>
      <c r="AS638" s="60"/>
    </row>
    <row r="639" spans="1:62" x14ac:dyDescent="0.3">
      <c r="A639" s="77"/>
      <c r="B639" s="64"/>
      <c r="C639" s="64"/>
      <c r="D639" s="53"/>
      <c r="E639" s="64"/>
      <c r="F639"/>
      <c r="G639" s="70"/>
      <c r="L639" s="53"/>
      <c r="M639" s="53"/>
      <c r="N639" s="53"/>
      <c r="V639" s="64"/>
      <c r="W639" s="64"/>
      <c r="X639" s="64"/>
      <c r="AS639" s="60"/>
    </row>
    <row r="640" spans="1:62" x14ac:dyDescent="0.3">
      <c r="B640" s="64"/>
      <c r="C640" s="64"/>
      <c r="D640" s="53"/>
      <c r="E640" s="64"/>
      <c r="F640" s="69"/>
      <c r="G640" s="70"/>
      <c r="L640" s="53"/>
      <c r="M640" s="53"/>
      <c r="N640" s="53"/>
      <c r="V640" s="64"/>
      <c r="W640" s="64"/>
      <c r="X640" s="64"/>
      <c r="AS640" s="60"/>
    </row>
    <row r="641" spans="1:45" x14ac:dyDescent="0.3">
      <c r="A641" s="68" t="s">
        <v>52</v>
      </c>
      <c r="B641" s="64"/>
      <c r="C641" s="64"/>
      <c r="D641" s="53"/>
      <c r="E641" s="64"/>
      <c r="F641"/>
      <c r="G641" s="70"/>
      <c r="L641" s="53"/>
      <c r="M641" s="53"/>
      <c r="N641" s="53"/>
      <c r="V641" s="64"/>
      <c r="W641" s="64"/>
      <c r="X641" s="64"/>
      <c r="AS641" s="60"/>
    </row>
    <row r="642" spans="1:45" x14ac:dyDescent="0.3">
      <c r="B642" s="64"/>
      <c r="C642" s="64"/>
      <c r="D642" s="53"/>
      <c r="E642" s="64"/>
      <c r="F642"/>
      <c r="G642" s="70"/>
      <c r="L642" s="53"/>
      <c r="M642" s="53"/>
      <c r="N642" s="53"/>
      <c r="V642" s="64"/>
      <c r="W642" s="64"/>
      <c r="X642" s="64"/>
      <c r="AS642" s="60"/>
    </row>
    <row r="643" spans="1:45" x14ac:dyDescent="0.3">
      <c r="B643" s="64"/>
      <c r="C643" s="64"/>
      <c r="D643" s="53"/>
      <c r="E643" s="69"/>
      <c r="F643"/>
      <c r="G643" s="70"/>
      <c r="L643" s="53"/>
      <c r="M643" s="53"/>
      <c r="N643" s="53"/>
      <c r="V643" s="64"/>
      <c r="W643" s="64"/>
      <c r="X643" s="64"/>
      <c r="AS643" s="60"/>
    </row>
    <row r="644" spans="1:45" x14ac:dyDescent="0.3">
      <c r="B644" s="76"/>
      <c r="C644" s="69"/>
      <c r="D644" s="53"/>
      <c r="E644" s="69"/>
      <c r="F644"/>
      <c r="G644" s="70"/>
      <c r="L644" s="53"/>
      <c r="M644" s="53"/>
      <c r="N644" s="53"/>
      <c r="V644" s="64"/>
      <c r="W644" s="64"/>
      <c r="X644" s="64"/>
    </row>
    <row r="645" spans="1:45" x14ac:dyDescent="0.3">
      <c r="B645" s="76"/>
      <c r="C645" s="69"/>
      <c r="D645" s="53"/>
      <c r="E645" s="69"/>
      <c r="F645"/>
      <c r="L645" s="53"/>
      <c r="M645" s="53"/>
      <c r="N645" s="53"/>
    </row>
    <row r="646" spans="1:45" x14ac:dyDescent="0.3">
      <c r="B646" s="76"/>
      <c r="C646" s="69"/>
      <c r="D646" s="69"/>
      <c r="E646" s="69"/>
      <c r="F646"/>
    </row>
    <row r="647" spans="1:45" x14ac:dyDescent="0.3">
      <c r="B647" s="76"/>
      <c r="C647" s="69"/>
      <c r="D647" s="69"/>
      <c r="E647" s="69"/>
      <c r="F647" s="69"/>
    </row>
  </sheetData>
  <mergeCells count="7">
    <mergeCell ref="A638:A639"/>
    <mergeCell ref="A636:A637"/>
    <mergeCell ref="AP6:AS6"/>
    <mergeCell ref="AF6:AI6"/>
    <mergeCell ref="B6:E6"/>
    <mergeCell ref="L6:O6"/>
    <mergeCell ref="V6:Y6"/>
  </mergeCells>
  <phoneticPr fontId="5" type="noConversion"/>
  <pageMargins left="0.75" right="0.75" top="1" bottom="1" header="0.5" footer="0.5"/>
  <pageSetup orientation="landscape" r:id="rId1"/>
  <headerFooter alignWithMargins="0"/>
  <ignoredErrors>
    <ignoredError sqref="BE219:BI219 BE323:BI323 BE115:BI115 BE63:BI63 BE167:BI167 BE376:BI376 BE532:BI532 BE584:BI58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abSelected="1" zoomScale="105" zoomScaleNormal="105" workbookViewId="0">
      <selection sqref="A1:H23"/>
    </sheetView>
  </sheetViews>
  <sheetFormatPr defaultColWidth="9.1796875" defaultRowHeight="13" x14ac:dyDescent="0.3"/>
  <cols>
    <col min="1" max="1" width="23.1796875" style="1" customWidth="1"/>
    <col min="2" max="2" width="13" style="1" customWidth="1"/>
    <col min="3" max="3" width="13.81640625" style="38" customWidth="1"/>
    <col min="4" max="5" width="11.453125" style="1" customWidth="1"/>
    <col min="6" max="6" width="12.54296875" style="1" customWidth="1"/>
    <col min="7" max="7" width="9.1796875" style="1" hidden="1" customWidth="1"/>
    <col min="8" max="8" width="2.54296875" style="1" customWidth="1"/>
    <col min="9" max="16384" width="9.1796875" style="1"/>
  </cols>
  <sheetData>
    <row r="1" spans="1:15" x14ac:dyDescent="0.3">
      <c r="A1" s="5" t="s">
        <v>12</v>
      </c>
      <c r="B1" s="17"/>
      <c r="C1" s="33"/>
      <c r="D1" s="17"/>
      <c r="E1" s="17"/>
      <c r="F1" s="17"/>
      <c r="G1" s="17"/>
      <c r="H1" s="13"/>
      <c r="I1" s="13"/>
    </row>
    <row r="2" spans="1:15" s="2" customFormat="1" ht="15.75" customHeight="1" x14ac:dyDescent="0.3">
      <c r="A2" s="18" t="s">
        <v>11</v>
      </c>
      <c r="B2" s="7"/>
      <c r="C2" s="34"/>
      <c r="D2" s="7"/>
      <c r="E2" s="7"/>
      <c r="F2" s="7"/>
      <c r="G2" s="14"/>
      <c r="H2" s="14"/>
      <c r="I2" s="13"/>
    </row>
    <row r="3" spans="1:15" s="3" customFormat="1" ht="15" customHeight="1" x14ac:dyDescent="0.3">
      <c r="A3" s="19" t="s">
        <v>63</v>
      </c>
      <c r="B3" s="44" t="s">
        <v>40</v>
      </c>
      <c r="C3" s="44" t="s">
        <v>39</v>
      </c>
      <c r="D3" s="44" t="s">
        <v>42</v>
      </c>
      <c r="E3" s="44" t="s">
        <v>9</v>
      </c>
      <c r="F3" s="44" t="s">
        <v>14</v>
      </c>
      <c r="G3" s="15"/>
      <c r="H3" s="15"/>
      <c r="I3" s="13"/>
    </row>
    <row r="4" spans="1:15" s="3" customFormat="1" ht="12.75" customHeight="1" x14ac:dyDescent="0.3">
      <c r="A4" s="4" t="s">
        <v>0</v>
      </c>
      <c r="B4" s="35"/>
      <c r="C4" s="35"/>
      <c r="D4" s="35"/>
      <c r="E4" s="35"/>
      <c r="F4" s="35"/>
      <c r="G4" s="15"/>
      <c r="H4" s="15"/>
      <c r="I4" s="13"/>
    </row>
    <row r="5" spans="1:15" s="2" customFormat="1" ht="12.75" customHeight="1" x14ac:dyDescent="0.3">
      <c r="A5" s="8" t="s">
        <v>1</v>
      </c>
      <c r="B5" s="45">
        <f>18000/1000</f>
        <v>18</v>
      </c>
      <c r="C5" s="45">
        <v>0</v>
      </c>
      <c r="D5" s="45">
        <f>3200/1000</f>
        <v>3.2</v>
      </c>
      <c r="E5" s="45">
        <v>0</v>
      </c>
      <c r="F5" s="45">
        <f>SUM(B5:E5)</f>
        <v>21.2</v>
      </c>
      <c r="G5" s="14"/>
      <c r="H5" s="14"/>
      <c r="I5" s="13"/>
      <c r="J5" s="66"/>
      <c r="K5" s="74"/>
      <c r="L5" s="74"/>
      <c r="M5" s="74"/>
      <c r="N5" s="74"/>
      <c r="O5" s="74"/>
    </row>
    <row r="6" spans="1:15" s="2" customFormat="1" ht="12.75" customHeight="1" x14ac:dyDescent="0.3">
      <c r="A6" s="8" t="s">
        <v>2</v>
      </c>
      <c r="B6" s="72">
        <f>97000/1000</f>
        <v>97</v>
      </c>
      <c r="C6" s="72">
        <v>0</v>
      </c>
      <c r="D6" s="72">
        <f>177800/1000</f>
        <v>177.8</v>
      </c>
      <c r="E6" s="72">
        <f>12500/1000</f>
        <v>12.5</v>
      </c>
      <c r="F6" s="45">
        <f t="shared" ref="F6:F11" si="0">SUM(B6:E6)</f>
        <v>287.3</v>
      </c>
      <c r="G6" s="14"/>
      <c r="H6" s="14"/>
      <c r="I6" s="13"/>
      <c r="K6" s="74"/>
      <c r="L6" s="74"/>
      <c r="M6" s="74"/>
      <c r="N6" s="74"/>
      <c r="O6" s="74"/>
    </row>
    <row r="7" spans="1:15" s="2" customFormat="1" ht="12.75" customHeight="1" x14ac:dyDescent="0.3">
      <c r="A7" s="8" t="s">
        <v>3</v>
      </c>
      <c r="B7" s="45">
        <f>310500/1000</f>
        <v>310.5</v>
      </c>
      <c r="C7" s="45">
        <f>4500/1000</f>
        <v>4.5</v>
      </c>
      <c r="D7" s="45">
        <f>302700/1000</f>
        <v>302.7</v>
      </c>
      <c r="E7" s="45">
        <f>12500/1000</f>
        <v>12.5</v>
      </c>
      <c r="F7" s="45">
        <f t="shared" si="0"/>
        <v>630.20000000000005</v>
      </c>
      <c r="G7" s="14"/>
      <c r="H7" s="14"/>
      <c r="I7" s="13"/>
      <c r="K7" s="74"/>
      <c r="L7" s="74"/>
      <c r="M7" s="74"/>
      <c r="N7" s="74"/>
      <c r="O7" s="74"/>
    </row>
    <row r="8" spans="1:15" s="2" customFormat="1" ht="12.75" customHeight="1" x14ac:dyDescent="0.3">
      <c r="A8" s="8" t="s">
        <v>4</v>
      </c>
      <c r="B8" s="45">
        <f>Data!B633/1000</f>
        <v>305.39999999999998</v>
      </c>
      <c r="C8" s="45">
        <f>Data!L633/1000</f>
        <v>4.5</v>
      </c>
      <c r="D8" s="45">
        <f>Data!V633/1000</f>
        <v>316.7</v>
      </c>
      <c r="E8" s="45">
        <f>Data!AF633/1000</f>
        <v>12.5</v>
      </c>
      <c r="F8" s="45">
        <f t="shared" si="0"/>
        <v>639.09999999999991</v>
      </c>
      <c r="G8" s="14"/>
      <c r="H8" s="14"/>
      <c r="I8" s="13"/>
      <c r="K8" s="74"/>
      <c r="L8" s="74"/>
      <c r="M8" s="74"/>
      <c r="N8" s="74"/>
      <c r="O8" s="74"/>
    </row>
    <row r="9" spans="1:15" s="2" customFormat="1" ht="12.75" customHeight="1" x14ac:dyDescent="0.3">
      <c r="A9" s="4" t="s">
        <v>5</v>
      </c>
      <c r="B9" s="45">
        <f>128200/1000</f>
        <v>128.19999999999999</v>
      </c>
      <c r="C9" s="45">
        <v>0</v>
      </c>
      <c r="D9" s="45">
        <f>103700/1000</f>
        <v>103.7</v>
      </c>
      <c r="E9" s="45">
        <v>0</v>
      </c>
      <c r="F9" s="45">
        <f t="shared" si="0"/>
        <v>231.89999999999998</v>
      </c>
      <c r="G9" s="14"/>
      <c r="H9" s="14"/>
      <c r="I9" s="13"/>
      <c r="K9" s="74"/>
      <c r="L9" s="74"/>
      <c r="M9" s="74"/>
      <c r="N9" s="74"/>
      <c r="O9" s="74"/>
    </row>
    <row r="10" spans="1:15" s="2" customFormat="1" ht="12.75" customHeight="1" x14ac:dyDescent="0.3">
      <c r="A10" s="4" t="s">
        <v>6</v>
      </c>
      <c r="B10" s="45">
        <f>Data!C633/1000</f>
        <v>164.304</v>
      </c>
      <c r="C10" s="45">
        <f>Data!M633/1000</f>
        <v>3.5</v>
      </c>
      <c r="D10" s="45">
        <f>Data!W633/1000</f>
        <v>139.75</v>
      </c>
      <c r="E10" s="45">
        <f>Data!AG633/1000</f>
        <v>5.25</v>
      </c>
      <c r="F10" s="45">
        <f t="shared" si="0"/>
        <v>312.80399999999997</v>
      </c>
      <c r="G10" s="45" t="s">
        <v>51</v>
      </c>
      <c r="H10" s="14"/>
      <c r="I10" s="13"/>
      <c r="J10" s="45"/>
      <c r="K10" s="75"/>
      <c r="L10" s="75"/>
      <c r="M10" s="75"/>
      <c r="N10" s="75"/>
      <c r="O10" s="74"/>
    </row>
    <row r="11" spans="1:15" s="2" customFormat="1" ht="12.75" customHeight="1" x14ac:dyDescent="0.3">
      <c r="A11" s="4" t="s">
        <v>7</v>
      </c>
      <c r="B11" s="45">
        <f>Data!D633/1000</f>
        <v>0</v>
      </c>
      <c r="C11" s="45">
        <f>Data!N633/1000</f>
        <v>9.8000000000000007</v>
      </c>
      <c r="D11" s="45">
        <f>Data!X633/1000</f>
        <v>86.6</v>
      </c>
      <c r="E11" s="45">
        <f>Data!AH633/1000</f>
        <v>0</v>
      </c>
      <c r="F11" s="45">
        <f t="shared" si="0"/>
        <v>96.399999999999991</v>
      </c>
      <c r="G11" s="14"/>
      <c r="H11" s="14"/>
      <c r="I11" s="13"/>
      <c r="K11" s="74"/>
      <c r="L11" s="74"/>
      <c r="M11" s="74"/>
      <c r="N11" s="74"/>
      <c r="O11" s="74"/>
    </row>
    <row r="12" spans="1:15" s="2" customFormat="1" ht="11.4" customHeight="1" x14ac:dyDescent="0.3">
      <c r="A12" s="4"/>
      <c r="B12" s="10"/>
      <c r="C12" s="10"/>
      <c r="D12" s="10"/>
      <c r="E12" s="11"/>
      <c r="F12" s="11"/>
      <c r="G12" s="14"/>
      <c r="H12" s="14"/>
      <c r="I12" s="13"/>
    </row>
    <row r="13" spans="1:15" s="2" customFormat="1" ht="12.75" customHeight="1" x14ac:dyDescent="0.3">
      <c r="A13" s="5" t="s">
        <v>62</v>
      </c>
      <c r="B13" s="45">
        <f>Data!AZ633</f>
        <v>469.70400000000001</v>
      </c>
      <c r="C13" s="45">
        <f>+Data!BA633</f>
        <v>17.8</v>
      </c>
      <c r="D13" s="45">
        <f>+Data!BB633</f>
        <v>543.04999999999995</v>
      </c>
      <c r="E13" s="45">
        <f>+Data!BC633</f>
        <v>17.75</v>
      </c>
      <c r="F13" s="45">
        <f>SUM(B13:E13)</f>
        <v>1048.3040000000001</v>
      </c>
      <c r="G13" s="14"/>
      <c r="H13" s="40"/>
      <c r="I13" s="13"/>
      <c r="J13" s="2">
        <f>(+F13-F14)/F14</f>
        <v>0.3796378184881028</v>
      </c>
    </row>
    <row r="14" spans="1:15" s="2" customFormat="1" ht="12.75" customHeight="1" x14ac:dyDescent="0.3">
      <c r="A14" s="5" t="s">
        <v>54</v>
      </c>
      <c r="B14" s="45">
        <f>Data!AZ581</f>
        <v>225.45500000000001</v>
      </c>
      <c r="C14" s="45">
        <f>Data!BA581</f>
        <v>19.350000000000001</v>
      </c>
      <c r="D14" s="45">
        <f>Data!BB581</f>
        <v>513.63499999999999</v>
      </c>
      <c r="E14" s="45">
        <f>Data!BC581</f>
        <v>1.4</v>
      </c>
      <c r="F14" s="45">
        <f>Data!BD581</f>
        <v>759.84</v>
      </c>
      <c r="G14" s="14"/>
      <c r="H14" s="43"/>
      <c r="I14" s="13"/>
    </row>
    <row r="15" spans="1:15" s="2" customFormat="1" ht="12.75" customHeight="1" x14ac:dyDescent="0.3">
      <c r="A15" s="5" t="s">
        <v>59</v>
      </c>
      <c r="B15" s="46">
        <f>Data!BE633</f>
        <v>20144.355000000003</v>
      </c>
      <c r="C15" s="46">
        <f>Data!BF633</f>
        <v>2153.3869999999993</v>
      </c>
      <c r="D15" s="46">
        <f>Data!BG633</f>
        <v>11089.439000000002</v>
      </c>
      <c r="E15" s="46">
        <f>Data!BH633</f>
        <v>240.34999999999994</v>
      </c>
      <c r="F15" s="46">
        <f>Data!BI633</f>
        <v>33627.531000000003</v>
      </c>
      <c r="G15" s="14"/>
      <c r="H15" s="40"/>
      <c r="I15" s="13"/>
    </row>
    <row r="16" spans="1:15" s="2" customFormat="1" ht="12.75" customHeight="1" x14ac:dyDescent="0.3">
      <c r="A16" s="5" t="s">
        <v>60</v>
      </c>
      <c r="B16" s="45">
        <f>Data!BE581</f>
        <v>8989.146999999999</v>
      </c>
      <c r="C16" s="45">
        <f>Data!BF581</f>
        <v>4064.3919999999998</v>
      </c>
      <c r="D16" s="45">
        <f>Data!BG581</f>
        <v>9310.0649999999987</v>
      </c>
      <c r="E16" s="45">
        <f>Data!BH581</f>
        <v>228.22799999999998</v>
      </c>
      <c r="F16" s="45">
        <f>Data!BI581</f>
        <v>22591.831999999995</v>
      </c>
      <c r="G16" s="14"/>
      <c r="H16" s="14"/>
      <c r="I16" s="13"/>
    </row>
    <row r="17" spans="1:17" s="2" customFormat="1" ht="12.75" customHeight="1" x14ac:dyDescent="0.3">
      <c r="A17" s="5" t="s">
        <v>61</v>
      </c>
      <c r="B17" s="45">
        <f>(B15/B16)*100</f>
        <v>224.09640202791215</v>
      </c>
      <c r="C17" s="45">
        <f>(C15/C16)*100</f>
        <v>52.981774395776768</v>
      </c>
      <c r="D17" s="45">
        <f>(D15/D16)*100</f>
        <v>119.11236924769058</v>
      </c>
      <c r="E17" s="45">
        <f>(E15/E16)*100</f>
        <v>105.3113553113553</v>
      </c>
      <c r="F17" s="45">
        <f>(F15/F16)*100</f>
        <v>148.84818105942011</v>
      </c>
      <c r="G17" s="14"/>
      <c r="H17" s="14"/>
      <c r="I17" s="13"/>
    </row>
    <row r="18" spans="1:17" s="2" customFormat="1" ht="12.75" customHeight="1" x14ac:dyDescent="0.3">
      <c r="A18" s="5" t="s">
        <v>57</v>
      </c>
      <c r="B18" s="45">
        <f>+Data!I633+100</f>
        <v>113.19235708696792</v>
      </c>
      <c r="C18" s="45">
        <f>+Data!S633+100</f>
        <v>52.922286448298003</v>
      </c>
      <c r="D18" s="45">
        <f>+Data!AC633+100</f>
        <v>118.13936084175398</v>
      </c>
      <c r="E18" s="45">
        <f>+Data!AM633+100</f>
        <v>153.08219178082192</v>
      </c>
      <c r="F18" s="45">
        <f>+Data!AW633+100</f>
        <v>114.69869399321469</v>
      </c>
      <c r="G18" s="14"/>
      <c r="H18" s="14"/>
      <c r="I18" s="13"/>
    </row>
    <row r="19" spans="1:17" s="2" customFormat="1" ht="12.75" customHeight="1" x14ac:dyDescent="0.3">
      <c r="A19" s="7" t="s">
        <v>56</v>
      </c>
      <c r="B19" s="47">
        <f>Data!BE583</f>
        <v>9504.4449999999997</v>
      </c>
      <c r="C19" s="47">
        <f>Data!BF583</f>
        <v>4110.692</v>
      </c>
      <c r="D19" s="47">
        <f>Data!BG583</f>
        <v>10064.814999999999</v>
      </c>
      <c r="E19" s="47">
        <f>Data!BH583</f>
        <v>254.72799999999998</v>
      </c>
      <c r="F19" s="47">
        <f>Data!BI583</f>
        <v>23934.679999999993</v>
      </c>
      <c r="G19" s="14"/>
      <c r="H19" s="14"/>
      <c r="I19" s="13"/>
    </row>
    <row r="20" spans="1:17" s="9" customFormat="1" ht="12" customHeight="1" x14ac:dyDescent="0.3">
      <c r="A20" s="20" t="s">
        <v>37</v>
      </c>
      <c r="B20" s="12"/>
      <c r="C20" s="36"/>
      <c r="D20" s="6"/>
      <c r="E20" s="6"/>
      <c r="F20" s="6"/>
      <c r="G20" s="12"/>
      <c r="H20" s="12"/>
      <c r="I20" s="13"/>
    </row>
    <row r="21" spans="1:17" s="9" customFormat="1" x14ac:dyDescent="0.3">
      <c r="A21" s="21" t="s">
        <v>58</v>
      </c>
      <c r="B21" s="13"/>
      <c r="C21" s="36"/>
      <c r="D21" s="6"/>
      <c r="E21" s="6"/>
      <c r="F21" s="6"/>
      <c r="G21" s="12"/>
      <c r="H21" s="12"/>
      <c r="I21" s="13"/>
    </row>
    <row r="22" spans="1:17" s="9" customFormat="1" ht="11.9" customHeight="1" x14ac:dyDescent="0.3">
      <c r="A22" s="79" t="s">
        <v>10</v>
      </c>
      <c r="B22" s="80"/>
      <c r="C22" s="80"/>
      <c r="D22" s="80"/>
      <c r="E22" s="80"/>
      <c r="F22" s="80"/>
      <c r="G22" s="12"/>
      <c r="H22" s="12"/>
      <c r="I22" s="13"/>
    </row>
    <row r="23" spans="1:17" s="9" customFormat="1" ht="9.75" customHeight="1" x14ac:dyDescent="0.3">
      <c r="A23" s="6" t="s">
        <v>53</v>
      </c>
      <c r="B23" s="6"/>
      <c r="C23" s="36"/>
      <c r="D23" s="6"/>
      <c r="E23" s="6"/>
      <c r="F23" s="6"/>
      <c r="G23" s="12"/>
      <c r="H23" s="12"/>
      <c r="I23" s="13"/>
    </row>
    <row r="24" spans="1:17" ht="10.75" customHeight="1" x14ac:dyDescent="0.3">
      <c r="A24" s="6"/>
      <c r="B24" s="17"/>
      <c r="C24" s="33"/>
      <c r="D24" s="17"/>
      <c r="E24" s="17"/>
      <c r="F24" s="17"/>
      <c r="G24" s="13"/>
      <c r="H24" s="13"/>
      <c r="I24" s="13"/>
    </row>
    <row r="25" spans="1:17" ht="15.5" x14ac:dyDescent="0.3">
      <c r="A25" s="16"/>
      <c r="B25" s="13"/>
      <c r="C25" s="37"/>
      <c r="D25" s="13"/>
      <c r="E25" s="13"/>
      <c r="F25" s="13"/>
      <c r="G25" s="13"/>
      <c r="H25" s="13"/>
      <c r="I25" s="13"/>
    </row>
    <row r="26" spans="1:17" x14ac:dyDescent="0.3">
      <c r="A26" s="13"/>
      <c r="B26" s="13"/>
      <c r="C26" s="37"/>
      <c r="D26" s="13"/>
      <c r="E26" s="13"/>
      <c r="F26" s="13"/>
      <c r="G26" s="13"/>
      <c r="H26" s="13"/>
      <c r="I26" s="13"/>
    </row>
    <row r="27" spans="1:17" x14ac:dyDescent="0.3">
      <c r="A27" s="13"/>
      <c r="B27" s="13"/>
      <c r="C27" s="37"/>
      <c r="D27" s="13"/>
      <c r="E27" s="13"/>
      <c r="F27" s="13"/>
      <c r="G27" s="13"/>
      <c r="H27" s="13"/>
      <c r="I27" s="13"/>
    </row>
    <row r="28" spans="1:17" x14ac:dyDescent="0.3">
      <c r="A28" s="6"/>
      <c r="K28" s="9"/>
      <c r="L28" s="9"/>
      <c r="M28" s="9"/>
      <c r="P28" s="9"/>
      <c r="Q28" s="9"/>
    </row>
    <row r="29" spans="1:17" ht="12" customHeight="1" x14ac:dyDescent="0.3">
      <c r="K29" s="9"/>
      <c r="L29" s="9"/>
      <c r="M29" s="9"/>
    </row>
    <row r="30" spans="1:17" x14ac:dyDescent="0.3">
      <c r="K30" s="9"/>
      <c r="L30" s="9"/>
      <c r="M30" s="9"/>
    </row>
    <row r="31" spans="1:17" x14ac:dyDescent="0.3">
      <c r="K31" s="9"/>
      <c r="L31" s="9"/>
      <c r="M31" s="9"/>
    </row>
  </sheetData>
  <mergeCells count="1">
    <mergeCell ref="A22:F22"/>
  </mergeCells>
  <phoneticPr fontId="5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Table 10</vt:lpstr>
    </vt:vector>
  </TitlesOfParts>
  <Company>USDA - AMS TMD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April</cp:lastModifiedBy>
  <cp:lastPrinted>2013-12-17T13:50:26Z</cp:lastPrinted>
  <dcterms:created xsi:type="dcterms:W3CDTF">2003-12-08T15:51:24Z</dcterms:created>
  <dcterms:modified xsi:type="dcterms:W3CDTF">2014-12-16T14:31:24Z</dcterms:modified>
</cp:coreProperties>
</file>