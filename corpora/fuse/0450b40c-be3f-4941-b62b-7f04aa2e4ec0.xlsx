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codeName="ThisWorkbook"/>
  <bookViews>
    <workbookView xWindow="-375" yWindow="660" windowWidth="15480" windowHeight="8175"/>
  </bookViews>
  <sheets>
    <sheet name="Project Application" sheetId="1" r:id="rId1"/>
    <sheet name="drop-down for arrays" sheetId="5" r:id="rId2"/>
    <sheet name="drop-down menu data" sheetId="2" state="hidden" r:id="rId3"/>
    <sheet name="Sheet3" sheetId="3" state="hidden" r:id="rId4"/>
    <sheet name="ValidatedSpecies" sheetId="4" state="hidden" r:id="rId5"/>
    <sheet name="Sheet1" sheetId="6" r:id="rId6"/>
  </sheets>
  <definedNames>
    <definedName name="_xlnm._FilterDatabase" localSheetId="0" hidden="1">'Project Application'!$E$61:$H$61</definedName>
    <definedName name="Affilitaion">'drop-down menu data'!$E$38:$E$51</definedName>
    <definedName name="AI1_Email">'Project Application'!$E$23</definedName>
    <definedName name="AI1_Name">'Project Application'!$E$21</definedName>
    <definedName name="AI1_Phone">'Project Application'!$E$22</definedName>
    <definedName name="AI2_Email">'Project Application'!$E$27</definedName>
    <definedName name="AI2_Name">'Project Application'!$E$25</definedName>
    <definedName name="AI2_Phone">'Project Application'!$E$26</definedName>
    <definedName name="AnalysisAssist">'Project Application'!$K$123</definedName>
    <definedName name="AnalysisExperience">'drop-down menu data'!$C$35</definedName>
    <definedName name="AnalysisProgram">'drop-down menu data'!$C$36</definedName>
    <definedName name="AreComparisonProjects">'Project Application'!$F$121</definedName>
    <definedName name="ArrayDropDownInputRange">'drop-down for arrays'!$Z$10:$Z$35</definedName>
    <definedName name="BioanalyzerChipType">'drop-down menu data'!$U$2:$U$3</definedName>
    <definedName name="ComboIdToListIdEvaluationRange">'drop-down for arrays'!$X$10:$Y$46</definedName>
    <definedName name="Comparison_Projects">'Project Application'!$K$121</definedName>
    <definedName name="currentArrayOptionsindex">'drop-down for arrays'!$C$4</definedName>
    <definedName name="currentPlatformIndex">'drop-down for arrays'!$C$2</definedName>
    <definedName name="currentSelectedArrayComboIndex">'drop-down for arrays'!$C$5</definedName>
    <definedName name="currentSpeciesIndex">'drop-down for arrays'!$C$3</definedName>
    <definedName name="DA_Email">'Project Application'!$K$133</definedName>
    <definedName name="DA_Name">'Project Application'!$K$131</definedName>
    <definedName name="DA_Phone">'Project Application'!$K$132</definedName>
    <definedName name="DataUse_Grant">'Project Application'!$G$51</definedName>
    <definedName name="DataUse_Manuscript">'drop-down menu data'!$C$32</definedName>
    <definedName name="DataUse_Other">'drop-down menu data'!$C$34</definedName>
    <definedName name="DataUse_PreliminaryData">'drop-down menu data'!$C$33</definedName>
    <definedName name="ExpDesignType">'Project Application'!$E$61</definedName>
    <definedName name="GeneChip1">'drop-down for arrays'!$C$7</definedName>
    <definedName name="GenomeArrayAssay">'Project Application'!$F$92</definedName>
    <definedName name="Grant_Deadline">'Project Application'!$G$52</definedName>
    <definedName name="Grant_Title">'Project Application'!$J$51</definedName>
    <definedName name="Home">'Project Application'!$B$6</definedName>
    <definedName name="IdQueryString">'drop-down for arrays'!$S$10</definedName>
    <definedName name="IRB">'Project Application'!$E$57</definedName>
    <definedName name="IRBDate">'Project Application'!$E$59</definedName>
    <definedName name="is_other">'Project Application'!$BD$1</definedName>
    <definedName name="Isolation">'drop-down menu data'!$N$2:$N$10</definedName>
    <definedName name="location">'drop-down menu data'!$D$25:$D$28</definedName>
    <definedName name="MasterArrayList">'drop-down for arrays'!$A$10:$C$109</definedName>
    <definedName name="NumberOfSamples">'Project Application'!$F$80</definedName>
    <definedName name="PI_Affiliation">'Project Application'!$E$16</definedName>
    <definedName name="PI_Affiliation_Other">'Project Application'!$L$16</definedName>
    <definedName name="PI_Dept">'Project Application'!$E$14</definedName>
    <definedName name="PI_Email">'Project Application'!$E$19</definedName>
    <definedName name="PI_Fax">'Project Application'!$E$18</definedName>
    <definedName name="PI_MailCode">'Project Application'!$E$15</definedName>
    <definedName name="PI_Name">'Project Application'!$E$13</definedName>
    <definedName name="PI_Phone">'Project Application'!$E$17</definedName>
    <definedName name="_xlnm.Print_Area" localSheetId="2">'drop-down menu data'!$Q$30:$U$40</definedName>
    <definedName name="_xlnm.Print_Area" localSheetId="0">'Project Application'!$A$1:$Q$142</definedName>
    <definedName name="Project_Date">'Project Application'!$E$12</definedName>
    <definedName name="ProjectAims">'Project Application'!$E$36</definedName>
    <definedName name="ProjectExpPlan">'Project Application'!$E$41</definedName>
    <definedName name="ProjectSubmittor">'Project Application'!$E$10</definedName>
    <definedName name="ProjectTitle">'Project Application'!$E$32</definedName>
    <definedName name="rhesus">'drop-down menu data'!$A$3</definedName>
    <definedName name="RNAAmpAndLab">'Project Application'!$F$90</definedName>
    <definedName name="RNAIsolationMethod">'Project Application'!$F$74</definedName>
    <definedName name="RNAIsolationMethodOther">'Project Application'!$F$76</definedName>
    <definedName name="RNAQuality">'Project Application'!$F$87</definedName>
    <definedName name="rnatype">'drop-down menu data'!$Q$33:$Q$36</definedName>
    <definedName name="rnatype1">'drop-down menu data'!$Q$33:$Q$36</definedName>
    <definedName name="sampledesign">'drop-down menu data'!$Q$3:$Q$7</definedName>
    <definedName name="sampledesign1">'drop-down menu data'!$Q$2:$Q$23</definedName>
    <definedName name="samplesource">'drop-down menu data'!$I$21:$I$28</definedName>
    <definedName name="SamplesReady">'Project Application'!$F$82</definedName>
    <definedName name="SamplesResuspendedIn">'drop-down menu data'!$U$2:$U$3</definedName>
    <definedName name="samplestate">'drop-down menu data'!$O$21:$O$24</definedName>
    <definedName name="Species">ValidatedSpecies!$A$1</definedName>
    <definedName name="Species_raw">'Project Application'!$F$72</definedName>
    <definedName name="Species1">'drop-down menu data'!$G$21:$G$46</definedName>
    <definedName name="SS_Email">'Project Application'!$E$133</definedName>
    <definedName name="SS_Name">'Project Application'!$E$131</definedName>
    <definedName name="SS_Phone">'Project Application'!$E$132</definedName>
    <definedName name="StatisticianConsulted">'Project Application'!$G$55</definedName>
    <definedName name="stockedhuman">'drop-down menu data'!$D$3:$D$4</definedName>
    <definedName name="stockedmouse">'drop-down menu data'!$G$3</definedName>
    <definedName name="stockedmouse1">'drop-down menu data'!$G$3:$G$12</definedName>
    <definedName name="stockedmouse2">'drop-down menu data'!$G$3</definedName>
    <definedName name="stockedrat">'drop-down menu data'!$I$3</definedName>
    <definedName name="test">'Project Application'!$K$16</definedName>
    <definedName name="unstockedhuman">'drop-down menu data'!$D$12:$D$17</definedName>
    <definedName name="unstockedmouse">'drop-down menu data'!$G$9:$G$16</definedName>
    <definedName name="unstockedmouse1">'drop-down menu data'!$G$9:$G$14</definedName>
    <definedName name="unstockedother">'drop-down menu data'!$K$14:$K$27</definedName>
    <definedName name="unstockedrat">'drop-down menu data'!$I$8:$I$15</definedName>
    <definedName name="yesno">'drop-down menu data'!$D$20:$D$21</definedName>
    <definedName name="yesnopending">'drop-down menu data'!$B$12:$B$15</definedName>
  </definedNames>
  <calcPr calcId="145621"/>
  <customWorkbookViews>
    <customWorkbookView name="runyanc - Personal View" guid="{B3B1B15C-C8BB-4AE3-8B74-6F4E0F21E952}" mergeInterval="0" personalView="1" maximized="1" showSheetTabs="0" windowWidth="1020" windowHeight="553" activeSheetId="1"/>
  </customWorkbookViews>
</workbook>
</file>

<file path=xl/calcChain.xml><?xml version="1.0" encoding="utf-8"?>
<calcChain xmlns="http://schemas.openxmlformats.org/spreadsheetml/2006/main">
  <c r="N15" i="5" l="1"/>
  <c r="O15" i="5"/>
  <c r="P15" i="5"/>
  <c r="Q15" i="5"/>
  <c r="S15" i="5" s="1"/>
  <c r="X15" i="5"/>
  <c r="P109" i="5"/>
  <c r="O109" i="5"/>
  <c r="N109" i="5"/>
  <c r="P108" i="5"/>
  <c r="O108" i="5"/>
  <c r="N108" i="5"/>
  <c r="P107" i="5"/>
  <c r="O107" i="5"/>
  <c r="N107" i="5"/>
  <c r="P106" i="5"/>
  <c r="O106" i="5"/>
  <c r="N106" i="5"/>
  <c r="P105" i="5"/>
  <c r="O105" i="5"/>
  <c r="N105" i="5"/>
  <c r="P104" i="5"/>
  <c r="O104" i="5"/>
  <c r="N104" i="5"/>
  <c r="P103" i="5"/>
  <c r="O103" i="5"/>
  <c r="N103" i="5"/>
  <c r="P102" i="5"/>
  <c r="O102" i="5"/>
  <c r="N102" i="5"/>
  <c r="P101" i="5"/>
  <c r="O101" i="5"/>
  <c r="N101" i="5"/>
  <c r="P100" i="5"/>
  <c r="O100" i="5"/>
  <c r="N100" i="5"/>
  <c r="P99" i="5"/>
  <c r="O99" i="5"/>
  <c r="N99" i="5"/>
  <c r="P98" i="5"/>
  <c r="O98" i="5"/>
  <c r="N98" i="5"/>
  <c r="P97" i="5"/>
  <c r="O97" i="5"/>
  <c r="N97" i="5"/>
  <c r="P96" i="5"/>
  <c r="O96" i="5"/>
  <c r="N96" i="5"/>
  <c r="P95" i="5"/>
  <c r="O95" i="5"/>
  <c r="N95" i="5"/>
  <c r="P94" i="5"/>
  <c r="O94" i="5"/>
  <c r="N94" i="5"/>
  <c r="P93" i="5"/>
  <c r="O93" i="5"/>
  <c r="N93" i="5"/>
  <c r="P92" i="5"/>
  <c r="O92" i="5"/>
  <c r="N92" i="5"/>
  <c r="P91" i="5"/>
  <c r="O91" i="5"/>
  <c r="N91" i="5"/>
  <c r="P90" i="5"/>
  <c r="O90" i="5"/>
  <c r="N90" i="5"/>
  <c r="P89" i="5"/>
  <c r="O89" i="5"/>
  <c r="N89" i="5"/>
  <c r="P88" i="5"/>
  <c r="O88" i="5"/>
  <c r="N88" i="5"/>
  <c r="P87" i="5"/>
  <c r="O87" i="5"/>
  <c r="N87" i="5"/>
  <c r="P86" i="5"/>
  <c r="O86" i="5"/>
  <c r="N86" i="5"/>
  <c r="P85" i="5"/>
  <c r="O85" i="5"/>
  <c r="N85" i="5"/>
  <c r="P84" i="5"/>
  <c r="O84" i="5"/>
  <c r="N84" i="5"/>
  <c r="P83" i="5"/>
  <c r="O83" i="5"/>
  <c r="N83" i="5"/>
  <c r="P82" i="5"/>
  <c r="O82" i="5"/>
  <c r="N82" i="5"/>
  <c r="P81" i="5"/>
  <c r="O81" i="5"/>
  <c r="N81" i="5"/>
  <c r="P80" i="5"/>
  <c r="O80" i="5"/>
  <c r="N80" i="5"/>
  <c r="P79" i="5"/>
  <c r="O79" i="5"/>
  <c r="N79" i="5"/>
  <c r="P78" i="5"/>
  <c r="O78" i="5"/>
  <c r="N78" i="5"/>
  <c r="P77" i="5"/>
  <c r="O77" i="5"/>
  <c r="N77" i="5"/>
  <c r="P76" i="5"/>
  <c r="O76" i="5"/>
  <c r="N76" i="5"/>
  <c r="P75" i="5"/>
  <c r="O75" i="5"/>
  <c r="N75" i="5"/>
  <c r="P74" i="5"/>
  <c r="O74" i="5"/>
  <c r="N74" i="5"/>
  <c r="P73" i="5"/>
  <c r="O73" i="5"/>
  <c r="N73" i="5"/>
  <c r="P72" i="5"/>
  <c r="O72" i="5"/>
  <c r="N72" i="5"/>
  <c r="P71" i="5"/>
  <c r="O71" i="5"/>
  <c r="N71" i="5"/>
  <c r="P70" i="5"/>
  <c r="O70" i="5"/>
  <c r="N70" i="5"/>
  <c r="P69" i="5"/>
  <c r="O69" i="5"/>
  <c r="N69" i="5"/>
  <c r="P68" i="5"/>
  <c r="O68" i="5"/>
  <c r="N68" i="5"/>
  <c r="P67" i="5"/>
  <c r="O67" i="5"/>
  <c r="N67" i="5"/>
  <c r="P66" i="5"/>
  <c r="O66" i="5"/>
  <c r="N66" i="5"/>
  <c r="P65" i="5"/>
  <c r="O65" i="5"/>
  <c r="N65" i="5"/>
  <c r="P64" i="5"/>
  <c r="O64" i="5"/>
  <c r="N64" i="5"/>
  <c r="P63" i="5"/>
  <c r="O63" i="5"/>
  <c r="N63" i="5"/>
  <c r="P62" i="5"/>
  <c r="O62" i="5"/>
  <c r="N62" i="5"/>
  <c r="P61" i="5"/>
  <c r="O61" i="5"/>
  <c r="N61" i="5"/>
  <c r="P60" i="5"/>
  <c r="O60" i="5"/>
  <c r="N60" i="5"/>
  <c r="P59" i="5"/>
  <c r="O59" i="5"/>
  <c r="N59" i="5"/>
  <c r="P58" i="5"/>
  <c r="O58" i="5"/>
  <c r="N58" i="5"/>
  <c r="P57" i="5"/>
  <c r="O57" i="5"/>
  <c r="N57" i="5"/>
  <c r="P56" i="5"/>
  <c r="O56" i="5"/>
  <c r="N56" i="5"/>
  <c r="P55" i="5"/>
  <c r="O55" i="5"/>
  <c r="N55" i="5"/>
  <c r="P54" i="5"/>
  <c r="O54" i="5"/>
  <c r="N54" i="5"/>
  <c r="P53" i="5"/>
  <c r="O53" i="5"/>
  <c r="N53" i="5"/>
  <c r="P52" i="5"/>
  <c r="O52" i="5"/>
  <c r="N52" i="5"/>
  <c r="P51" i="5"/>
  <c r="O51" i="5"/>
  <c r="N51" i="5"/>
  <c r="P50" i="5"/>
  <c r="O50" i="5"/>
  <c r="N50" i="5"/>
  <c r="P49" i="5"/>
  <c r="O49" i="5"/>
  <c r="N49" i="5"/>
  <c r="P48" i="5"/>
  <c r="O48" i="5"/>
  <c r="N48" i="5"/>
  <c r="P47" i="5"/>
  <c r="O47" i="5"/>
  <c r="N47" i="5"/>
  <c r="P46" i="5"/>
  <c r="O46" i="5"/>
  <c r="N46" i="5"/>
  <c r="P45" i="5"/>
  <c r="O45" i="5"/>
  <c r="N45" i="5"/>
  <c r="P44" i="5"/>
  <c r="O44" i="5"/>
  <c r="N44" i="5"/>
  <c r="P43" i="5"/>
  <c r="O43" i="5"/>
  <c r="N43" i="5"/>
  <c r="P42" i="5"/>
  <c r="O42" i="5"/>
  <c r="N42" i="5"/>
  <c r="P41" i="5"/>
  <c r="O41" i="5"/>
  <c r="N41" i="5"/>
  <c r="P40" i="5"/>
  <c r="O40" i="5"/>
  <c r="N40" i="5"/>
  <c r="P39" i="5"/>
  <c r="O39" i="5"/>
  <c r="N39" i="5"/>
  <c r="P38" i="5"/>
  <c r="O38" i="5"/>
  <c r="N38" i="5"/>
  <c r="P37" i="5"/>
  <c r="O37" i="5"/>
  <c r="N37" i="5"/>
  <c r="P36" i="5"/>
  <c r="O36" i="5"/>
  <c r="N36" i="5"/>
  <c r="P35" i="5"/>
  <c r="O35" i="5"/>
  <c r="N35" i="5"/>
  <c r="P34" i="5"/>
  <c r="O34" i="5"/>
  <c r="N34" i="5"/>
  <c r="P33" i="5"/>
  <c r="O33" i="5"/>
  <c r="N33" i="5"/>
  <c r="P32" i="5"/>
  <c r="O32" i="5"/>
  <c r="N32" i="5"/>
  <c r="P31" i="5"/>
  <c r="O31" i="5"/>
  <c r="N31" i="5"/>
  <c r="P30" i="5"/>
  <c r="O30" i="5"/>
  <c r="N30" i="5"/>
  <c r="P29" i="5"/>
  <c r="O29" i="5"/>
  <c r="N29" i="5"/>
  <c r="P28" i="5"/>
  <c r="O28" i="5"/>
  <c r="N28" i="5"/>
  <c r="P27" i="5"/>
  <c r="O27" i="5"/>
  <c r="N27" i="5"/>
  <c r="P26" i="5"/>
  <c r="O26" i="5"/>
  <c r="N26" i="5"/>
  <c r="P25" i="5"/>
  <c r="O25" i="5"/>
  <c r="N25" i="5"/>
  <c r="P24" i="5"/>
  <c r="O24" i="5"/>
  <c r="N24" i="5"/>
  <c r="P23" i="5"/>
  <c r="O23" i="5"/>
  <c r="N23" i="5"/>
  <c r="P22" i="5"/>
  <c r="O22" i="5"/>
  <c r="N22" i="5"/>
  <c r="P21" i="5"/>
  <c r="O21" i="5"/>
  <c r="N21" i="5"/>
  <c r="P20" i="5"/>
  <c r="O20" i="5"/>
  <c r="N20" i="5"/>
  <c r="P19" i="5"/>
  <c r="O19" i="5"/>
  <c r="N19" i="5"/>
  <c r="P18" i="5"/>
  <c r="O18" i="5"/>
  <c r="N18" i="5"/>
  <c r="P17" i="5"/>
  <c r="O17" i="5"/>
  <c r="N17" i="5"/>
  <c r="P16" i="5"/>
  <c r="O16" i="5"/>
  <c r="N16" i="5"/>
  <c r="P14" i="5"/>
  <c r="O14" i="5"/>
  <c r="N14" i="5"/>
  <c r="P13" i="5"/>
  <c r="O13" i="5"/>
  <c r="N13" i="5"/>
  <c r="P12" i="5"/>
  <c r="O12" i="5"/>
  <c r="N12" i="5"/>
  <c r="X11" i="5"/>
  <c r="X12" i="5" s="1"/>
  <c r="X13" i="5" s="1"/>
  <c r="X14" i="5" s="1"/>
  <c r="X16" i="5" s="1"/>
  <c r="X17" i="5" s="1"/>
  <c r="X18" i="5" s="1"/>
  <c r="X19" i="5" s="1"/>
  <c r="X20" i="5" s="1"/>
  <c r="X21" i="5" s="1"/>
  <c r="X22" i="5" s="1"/>
  <c r="X23" i="5" s="1"/>
  <c r="X24" i="5" s="1"/>
  <c r="X25" i="5" s="1"/>
  <c r="X26" i="5" s="1"/>
  <c r="X27" i="5" s="1"/>
  <c r="X28" i="5" s="1"/>
  <c r="X29" i="5" s="1"/>
  <c r="X30" i="5" s="1"/>
  <c r="X31" i="5" s="1"/>
  <c r="X32" i="5" s="1"/>
  <c r="X33" i="5" s="1"/>
  <c r="X34" i="5" s="1"/>
  <c r="X35" i="5" s="1"/>
  <c r="X36" i="5" s="1"/>
  <c r="X37" i="5" s="1"/>
  <c r="X38" i="5" s="1"/>
  <c r="X39" i="5" s="1"/>
  <c r="X40" i="5" s="1"/>
  <c r="X41" i="5" s="1"/>
  <c r="X42" i="5" s="1"/>
  <c r="X43" i="5" s="1"/>
  <c r="X44" i="5" s="1"/>
  <c r="X45" i="5" s="1"/>
  <c r="X46" i="5" s="1"/>
  <c r="P11" i="5"/>
  <c r="O11" i="5"/>
  <c r="N11" i="5"/>
  <c r="P10" i="5"/>
  <c r="O10" i="5"/>
  <c r="N10" i="5"/>
  <c r="A1" i="4"/>
  <c r="Q54" i="5"/>
  <c r="Q85" i="5"/>
  <c r="Q56" i="5"/>
  <c r="Q84" i="5"/>
  <c r="Q96" i="5"/>
  <c r="Q95" i="5"/>
  <c r="Q60" i="5"/>
  <c r="Q87" i="5"/>
  <c r="Q98" i="5"/>
  <c r="Q100" i="5"/>
  <c r="Q102" i="5"/>
  <c r="Q72" i="5"/>
  <c r="Q83" i="5"/>
  <c r="Q92" i="5"/>
  <c r="Q107" i="5"/>
  <c r="Q20" i="5"/>
  <c r="Q104" i="5"/>
  <c r="Q70" i="5"/>
  <c r="Q103" i="5"/>
  <c r="Q48" i="5"/>
  <c r="Q52" i="5"/>
  <c r="Q76" i="5"/>
  <c r="Q80" i="5"/>
  <c r="Q89" i="5"/>
  <c r="Q64" i="5"/>
  <c r="Q68" i="5"/>
  <c r="Q94" i="5"/>
  <c r="Q62" i="5"/>
  <c r="Q78" i="5"/>
  <c r="Q88" i="5"/>
  <c r="Q91" i="5"/>
  <c r="Q99" i="5"/>
  <c r="Q109" i="5"/>
  <c r="Q10" i="5"/>
  <c r="Q22" i="5"/>
  <c r="Q50" i="5"/>
  <c r="Q51" i="5"/>
  <c r="Q58" i="5"/>
  <c r="Q59" i="5"/>
  <c r="Q66" i="5"/>
  <c r="Q67" i="5"/>
  <c r="Q74" i="5"/>
  <c r="Q75" i="5"/>
  <c r="Q82" i="5"/>
  <c r="Q86" i="5"/>
  <c r="Q90" i="5"/>
  <c r="Q93" i="5"/>
  <c r="Q97" i="5"/>
  <c r="Q101" i="5"/>
  <c r="Q105" i="5"/>
  <c r="Q106" i="5"/>
  <c r="Q31" i="5"/>
  <c r="Q33" i="5"/>
  <c r="Q35" i="5"/>
  <c r="Q37" i="5"/>
  <c r="Q39" i="5"/>
  <c r="Q41" i="5"/>
  <c r="Q43" i="5"/>
  <c r="Q45" i="5"/>
  <c r="Q47" i="5"/>
  <c r="Q55" i="5"/>
  <c r="Q63" i="5"/>
  <c r="Q71" i="5"/>
  <c r="Q79" i="5"/>
  <c r="Q30" i="5"/>
  <c r="Q34" i="5"/>
  <c r="Q36" i="5"/>
  <c r="Q40" i="5"/>
  <c r="Q42" i="5"/>
  <c r="Q44" i="5"/>
  <c r="Q46" i="5"/>
  <c r="Q49" i="5"/>
  <c r="Q53" i="5"/>
  <c r="Q57" i="5"/>
  <c r="Q61" i="5"/>
  <c r="Q65" i="5"/>
  <c r="Q69" i="5"/>
  <c r="Q73" i="5"/>
  <c r="Q77" i="5"/>
  <c r="Q81" i="5"/>
  <c r="Q108" i="5"/>
  <c r="S108" i="5" s="1"/>
  <c r="S107" i="5" s="1"/>
  <c r="S106" i="5" s="1"/>
  <c r="Q11" i="5" l="1"/>
  <c r="Q13" i="5"/>
  <c r="Q19" i="5"/>
  <c r="Q21" i="5"/>
  <c r="Q23" i="5"/>
  <c r="Q25" i="5"/>
  <c r="Q24" i="5"/>
  <c r="Q32" i="5"/>
  <c r="S105" i="5"/>
  <c r="S104" i="5" s="1"/>
  <c r="S103" i="5" s="1"/>
  <c r="S102" i="5" s="1"/>
  <c r="S101" i="5" s="1"/>
  <c r="S100" i="5" s="1"/>
  <c r="S99" i="5" s="1"/>
  <c r="S98" i="5" s="1"/>
  <c r="S97" i="5" s="1"/>
  <c r="S96" i="5" s="1"/>
  <c r="S95" i="5" s="1"/>
  <c r="S94" i="5" s="1"/>
  <c r="S93" i="5" s="1"/>
  <c r="S92" i="5" s="1"/>
  <c r="S91" i="5" s="1"/>
  <c r="S90" i="5" s="1"/>
  <c r="S89" i="5" s="1"/>
  <c r="S88" i="5" s="1"/>
  <c r="S87" i="5" s="1"/>
  <c r="S86" i="5" s="1"/>
  <c r="S85" i="5" s="1"/>
  <c r="S84" i="5" s="1"/>
  <c r="S83" i="5" s="1"/>
  <c r="S82" i="5" s="1"/>
  <c r="S81" i="5" s="1"/>
  <c r="S80" i="5" s="1"/>
  <c r="S79" i="5" s="1"/>
  <c r="S78" i="5" s="1"/>
  <c r="S77" i="5" s="1"/>
  <c r="S76" i="5" s="1"/>
  <c r="S75" i="5" s="1"/>
  <c r="S74" i="5" s="1"/>
  <c r="S73" i="5" s="1"/>
  <c r="S72" i="5" s="1"/>
  <c r="S71" i="5" s="1"/>
  <c r="S70" i="5" s="1"/>
  <c r="S69" i="5" s="1"/>
  <c r="S68" i="5" s="1"/>
  <c r="S67" i="5" s="1"/>
  <c r="S66" i="5" s="1"/>
  <c r="S65" i="5" s="1"/>
  <c r="S64" i="5" s="1"/>
  <c r="S63" i="5" s="1"/>
  <c r="S62" i="5" s="1"/>
  <c r="S61" i="5" s="1"/>
  <c r="S60" i="5" s="1"/>
  <c r="S59" i="5" s="1"/>
  <c r="S58" i="5" s="1"/>
  <c r="S57" i="5" s="1"/>
  <c r="S56" i="5" s="1"/>
  <c r="S55" i="5" s="1"/>
  <c r="S54" i="5" s="1"/>
  <c r="S53" i="5" s="1"/>
  <c r="S52" i="5" s="1"/>
  <c r="S51" i="5" s="1"/>
  <c r="S50" i="5" s="1"/>
  <c r="S49" i="5" s="1"/>
  <c r="S48" i="5" s="1"/>
  <c r="S47" i="5" s="1"/>
  <c r="S46" i="5" s="1"/>
  <c r="S45" i="5" s="1"/>
  <c r="S44" i="5" s="1"/>
  <c r="S43" i="5" s="1"/>
  <c r="S42" i="5" s="1"/>
  <c r="S41" i="5" s="1"/>
  <c r="S40" i="5" s="1"/>
  <c r="S39" i="5" s="1"/>
  <c r="Q12" i="5"/>
  <c r="Q14" i="5"/>
  <c r="Q16" i="5"/>
  <c r="Q29" i="5"/>
  <c r="Q38" i="5"/>
  <c r="Q18" i="5"/>
  <c r="Q26" i="5"/>
  <c r="Q28" i="5"/>
  <c r="Q27" i="5"/>
  <c r="Q17" i="5"/>
  <c r="S38" i="5" l="1"/>
  <c r="S37" i="5" s="1"/>
  <c r="S36" i="5" s="1"/>
  <c r="S35" i="5" s="1"/>
  <c r="S34" i="5" s="1"/>
  <c r="S33" i="5" s="1"/>
  <c r="S32" i="5" s="1"/>
  <c r="S31" i="5" s="1"/>
  <c r="S30" i="5" s="1"/>
  <c r="S29" i="5" s="1"/>
  <c r="S28" i="5" s="1"/>
  <c r="S27" i="5" s="1"/>
  <c r="S26" i="5" s="1"/>
  <c r="S25" i="5" s="1"/>
  <c r="S24" i="5" s="1"/>
  <c r="S23" i="5" s="1"/>
  <c r="S22" i="5" s="1"/>
  <c r="S21" i="5" s="1"/>
  <c r="S20" i="5" s="1"/>
  <c r="S19" i="5" s="1"/>
  <c r="S18" i="5" s="1"/>
  <c r="S17" i="5" s="1"/>
  <c r="S16" i="5" s="1"/>
  <c r="S14" i="5" s="1"/>
  <c r="S13" i="5" s="1"/>
  <c r="S12" i="5" s="1"/>
  <c r="S11" i="5" s="1"/>
  <c r="S10" i="5" s="1"/>
  <c r="V10" i="5" s="1"/>
  <c r="U10" i="5" l="1"/>
  <c r="Y10" i="5" s="1"/>
  <c r="U11" i="5"/>
  <c r="Y11" i="5" s="1"/>
  <c r="Z11" i="5" s="1"/>
  <c r="V11" i="5"/>
  <c r="Z10" i="5"/>
  <c r="V12" i="5" l="1"/>
  <c r="U12" i="5"/>
  <c r="Y12" i="5" s="1"/>
  <c r="Z12" i="5" s="1"/>
  <c r="V13" i="5" l="1"/>
  <c r="U13" i="5"/>
  <c r="Y13" i="5" s="1"/>
  <c r="Z13" i="5" s="1"/>
  <c r="V14" i="5" l="1"/>
  <c r="U14" i="5"/>
  <c r="Y14" i="5" s="1"/>
  <c r="Z14" i="5" s="1"/>
  <c r="V15" i="5" l="1"/>
  <c r="U15" i="5"/>
  <c r="Y15" i="5" s="1"/>
  <c r="Z15" i="5" s="1"/>
  <c r="U16" i="5"/>
  <c r="Y16" i="5" s="1"/>
  <c r="Z16" i="5" s="1"/>
  <c r="V16" i="5"/>
  <c r="U17" i="5" l="1"/>
  <c r="Y17" i="5" s="1"/>
  <c r="V17" i="5"/>
  <c r="Z17" i="5" l="1"/>
  <c r="U18" i="5"/>
  <c r="Y18" i="5" s="1"/>
  <c r="Z18" i="5" s="1"/>
  <c r="V18" i="5"/>
  <c r="U19" i="5" l="1"/>
  <c r="Y19" i="5" s="1"/>
  <c r="Z19" i="5" s="1"/>
  <c r="V19" i="5"/>
  <c r="U20" i="5" l="1"/>
  <c r="Y20" i="5" s="1"/>
  <c r="Z20" i="5" s="1"/>
  <c r="V20" i="5"/>
  <c r="U21" i="5" l="1"/>
  <c r="Y21" i="5" s="1"/>
  <c r="Z21" i="5" s="1"/>
  <c r="V21" i="5"/>
  <c r="U22" i="5" l="1"/>
  <c r="Y22" i="5" s="1"/>
  <c r="Z22" i="5" s="1"/>
  <c r="V22" i="5"/>
  <c r="U23" i="5" l="1"/>
  <c r="Y23" i="5" s="1"/>
  <c r="Z23" i="5" s="1"/>
  <c r="V23" i="5"/>
  <c r="U24" i="5" l="1"/>
  <c r="Y24" i="5" s="1"/>
  <c r="Z24" i="5" s="1"/>
  <c r="V24" i="5"/>
  <c r="U25" i="5" l="1"/>
  <c r="Y25" i="5" s="1"/>
  <c r="Z25" i="5" s="1"/>
  <c r="V25" i="5"/>
  <c r="U26" i="5" l="1"/>
  <c r="Y26" i="5" s="1"/>
  <c r="V26" i="5"/>
  <c r="Z26" i="5" l="1"/>
  <c r="C6" i="5"/>
  <c r="C7" i="5" s="1"/>
  <c r="BD1" i="1" s="1"/>
  <c r="U27" i="5"/>
  <c r="Y27" i="5" s="1"/>
  <c r="Z27" i="5" s="1"/>
  <c r="V27" i="5"/>
  <c r="U28" i="5" l="1"/>
  <c r="Y28" i="5" s="1"/>
  <c r="Z28" i="5" s="1"/>
  <c r="V28" i="5"/>
  <c r="U29" i="5" l="1"/>
  <c r="Y29" i="5" s="1"/>
  <c r="Z29" i="5" s="1"/>
  <c r="V29" i="5"/>
  <c r="U30" i="5" l="1"/>
  <c r="Y30" i="5" s="1"/>
  <c r="Z30" i="5" s="1"/>
  <c r="V30" i="5"/>
  <c r="U31" i="5" l="1"/>
  <c r="Y31" i="5" s="1"/>
  <c r="Z31" i="5" s="1"/>
  <c r="V31" i="5"/>
  <c r="U32" i="5" l="1"/>
  <c r="Y32" i="5" s="1"/>
  <c r="Z32" i="5" s="1"/>
  <c r="V32" i="5"/>
  <c r="U33" i="5" l="1"/>
  <c r="Y33" i="5" s="1"/>
  <c r="Z33" i="5" s="1"/>
  <c r="V33" i="5"/>
  <c r="U34" i="5" l="1"/>
  <c r="Y34" i="5" s="1"/>
  <c r="Z34" i="5" s="1"/>
  <c r="V34" i="5"/>
  <c r="U35" i="5" l="1"/>
  <c r="Y35" i="5" s="1"/>
  <c r="Z35" i="5" s="1"/>
  <c r="V35" i="5"/>
  <c r="U36" i="5" l="1"/>
  <c r="Y36" i="5" s="1"/>
  <c r="Z36" i="5" s="1"/>
  <c r="V36" i="5"/>
  <c r="U37" i="5" l="1"/>
  <c r="Y37" i="5" s="1"/>
  <c r="Z37" i="5" s="1"/>
  <c r="V37" i="5"/>
  <c r="U38" i="5" l="1"/>
  <c r="Y38" i="5" s="1"/>
  <c r="Z38" i="5" s="1"/>
  <c r="V38" i="5"/>
  <c r="U39" i="5" l="1"/>
  <c r="Y39" i="5" s="1"/>
  <c r="Z39" i="5" s="1"/>
  <c r="V39" i="5"/>
  <c r="U40" i="5" l="1"/>
  <c r="Y40" i="5" s="1"/>
  <c r="Z40" i="5" s="1"/>
  <c r="V40" i="5"/>
  <c r="U41" i="5" l="1"/>
  <c r="Y41" i="5" s="1"/>
  <c r="Z41" i="5" s="1"/>
  <c r="V41" i="5"/>
  <c r="U42" i="5" l="1"/>
  <c r="Y42" i="5" s="1"/>
  <c r="Z42" i="5" s="1"/>
  <c r="V42" i="5"/>
  <c r="U43" i="5" l="1"/>
  <c r="Y43" i="5" s="1"/>
  <c r="Z43" i="5" s="1"/>
  <c r="V43" i="5"/>
  <c r="U44" i="5" l="1"/>
  <c r="Y44" i="5" s="1"/>
  <c r="Z44" i="5" s="1"/>
  <c r="V44" i="5"/>
  <c r="U45" i="5" l="1"/>
  <c r="Y45" i="5" s="1"/>
  <c r="Z45" i="5" s="1"/>
  <c r="V45" i="5"/>
  <c r="U46" i="5" l="1"/>
  <c r="Y46" i="5" s="1"/>
  <c r="Z46" i="5" s="1"/>
  <c r="V46" i="5"/>
  <c r="U47" i="5" l="1"/>
  <c r="V47" i="5"/>
  <c r="V48" i="5" l="1"/>
  <c r="U48" i="5"/>
  <c r="U49" i="5" l="1"/>
  <c r="V49" i="5"/>
  <c r="V50" i="5" l="1"/>
  <c r="U50" i="5"/>
  <c r="U51" i="5" l="1"/>
  <c r="V51" i="5"/>
  <c r="U52" i="5" l="1"/>
  <c r="V52" i="5"/>
  <c r="V53" i="5" l="1"/>
  <c r="U53" i="5"/>
  <c r="U54" i="5" l="1"/>
  <c r="V54" i="5"/>
  <c r="V55" i="5" l="1"/>
  <c r="U55" i="5"/>
  <c r="U56" i="5" l="1"/>
  <c r="V56" i="5"/>
  <c r="V57" i="5" l="1"/>
  <c r="U57" i="5"/>
  <c r="U58" i="5" l="1"/>
  <c r="V58" i="5"/>
  <c r="V59" i="5" l="1"/>
  <c r="U59" i="5"/>
  <c r="U60" i="5" l="1"/>
  <c r="V60" i="5"/>
  <c r="V61" i="5" l="1"/>
  <c r="U61" i="5"/>
  <c r="U62" i="5" l="1"/>
  <c r="V62" i="5"/>
  <c r="V63" i="5" l="1"/>
  <c r="U63" i="5"/>
  <c r="U64" i="5" l="1"/>
  <c r="V64" i="5"/>
  <c r="V65" i="5" l="1"/>
  <c r="U65" i="5"/>
  <c r="U66" i="5" l="1"/>
  <c r="V66" i="5"/>
  <c r="U67" i="5" l="1"/>
  <c r="V67" i="5"/>
  <c r="U68" i="5" l="1"/>
  <c r="V68" i="5"/>
  <c r="U69" i="5" l="1"/>
  <c r="V69" i="5"/>
  <c r="U70" i="5" l="1"/>
  <c r="V70" i="5"/>
  <c r="U71" i="5" l="1"/>
  <c r="V71" i="5"/>
  <c r="U72" i="5" l="1"/>
  <c r="V72" i="5"/>
  <c r="V73" i="5" l="1"/>
  <c r="U73" i="5"/>
  <c r="V74" i="5" l="1"/>
  <c r="U74" i="5"/>
  <c r="V75" i="5" l="1"/>
  <c r="U75" i="5"/>
  <c r="V76" i="5" l="1"/>
  <c r="U76" i="5"/>
  <c r="V77" i="5" l="1"/>
  <c r="U77" i="5"/>
  <c r="V78" i="5" l="1"/>
  <c r="U78" i="5"/>
  <c r="V79" i="5" l="1"/>
  <c r="U79" i="5"/>
  <c r="V80" i="5" l="1"/>
  <c r="U80" i="5"/>
  <c r="V81" i="5" l="1"/>
  <c r="U81" i="5"/>
  <c r="V82" i="5" l="1"/>
  <c r="U82" i="5"/>
  <c r="V83" i="5" l="1"/>
  <c r="U83" i="5"/>
  <c r="U84" i="5" l="1"/>
  <c r="V84" i="5"/>
  <c r="U85" i="5" l="1"/>
  <c r="V85" i="5"/>
  <c r="U86" i="5" l="1"/>
  <c r="V86" i="5"/>
  <c r="V87" i="5" l="1"/>
  <c r="U87" i="5"/>
  <c r="V88" i="5" l="1"/>
  <c r="U88" i="5"/>
  <c r="V89" i="5" l="1"/>
  <c r="U89" i="5"/>
  <c r="U90" i="5" l="1"/>
  <c r="V90" i="5"/>
  <c r="U91" i="5" l="1"/>
  <c r="V91" i="5"/>
  <c r="U92" i="5" l="1"/>
  <c r="V92" i="5"/>
  <c r="U93" i="5" l="1"/>
  <c r="V93" i="5"/>
  <c r="U94" i="5" l="1"/>
  <c r="V94" i="5"/>
  <c r="U95" i="5" l="1"/>
  <c r="V95" i="5"/>
  <c r="U96" i="5" l="1"/>
  <c r="V96" i="5"/>
  <c r="U97" i="5" l="1"/>
  <c r="V97" i="5"/>
  <c r="U98" i="5" l="1"/>
  <c r="V98" i="5"/>
  <c r="V99" i="5" l="1"/>
  <c r="U99" i="5"/>
  <c r="V100" i="5" l="1"/>
  <c r="U100" i="5"/>
  <c r="V101" i="5" l="1"/>
  <c r="U101" i="5"/>
  <c r="V102" i="5" l="1"/>
  <c r="U102" i="5"/>
  <c r="V103" i="5" l="1"/>
  <c r="U103" i="5"/>
  <c r="V104" i="5" l="1"/>
  <c r="U104" i="5"/>
  <c r="V105" i="5" l="1"/>
  <c r="U105" i="5"/>
  <c r="V106" i="5" l="1"/>
  <c r="U106" i="5"/>
  <c r="V107" i="5" l="1"/>
  <c r="U107" i="5"/>
  <c r="V108" i="5" l="1"/>
  <c r="U108" i="5"/>
  <c r="U109" i="5" l="1"/>
  <c r="V109" i="5"/>
</calcChain>
</file>

<file path=xl/sharedStrings.xml><?xml version="1.0" encoding="utf-8"?>
<sst xmlns="http://schemas.openxmlformats.org/spreadsheetml/2006/main" count="508" uniqueCount="312">
  <si>
    <t>RNA Isolation</t>
  </si>
  <si>
    <t>Rneasy Total RNA Kit (Qiagen)</t>
  </si>
  <si>
    <t>Oligotex mRNA Kit (Qiagen)</t>
  </si>
  <si>
    <t>Other</t>
  </si>
  <si>
    <t>Date (MM/DD/YY):</t>
  </si>
  <si>
    <t>Human Arrays</t>
  </si>
  <si>
    <t>Mouse Arrays</t>
  </si>
  <si>
    <t>Rat Arrays</t>
  </si>
  <si>
    <t>Stocked</t>
  </si>
  <si>
    <t>Unstocked</t>
  </si>
  <si>
    <t>Human Genome U133 Plus 2.0</t>
  </si>
  <si>
    <t>Human Genome U133A 2.0</t>
  </si>
  <si>
    <t>Human Genome Focus HGFA</t>
  </si>
  <si>
    <t>Human Genome U133A</t>
  </si>
  <si>
    <t>Human Genome U133B</t>
  </si>
  <si>
    <t xml:space="preserve">Mouse Genome 430 2.0 </t>
  </si>
  <si>
    <t>Mouse Genome 430A 2.0</t>
  </si>
  <si>
    <t>Mouse Expression Array MOE 430A</t>
  </si>
  <si>
    <t>Mouse Expression Array MOE 430B</t>
  </si>
  <si>
    <t xml:space="preserve">Rat Genome 230 2.0 </t>
  </si>
  <si>
    <t>Rat Expression Array RAE 230A</t>
  </si>
  <si>
    <t>Rat Expression Array RAE 230B</t>
  </si>
  <si>
    <t>Human Genome U95A</t>
  </si>
  <si>
    <t>Murine Genome U74Av2</t>
  </si>
  <si>
    <t>Murine Genome U74B</t>
  </si>
  <si>
    <t>Murine Genome U74C</t>
  </si>
  <si>
    <t>Rat Genome U34A</t>
  </si>
  <si>
    <t>Rat Genome U34B</t>
  </si>
  <si>
    <t>Rat Genome U34C</t>
  </si>
  <si>
    <t>Rat Toxicology U34</t>
  </si>
  <si>
    <t>Rat Neurobiology U34</t>
  </si>
  <si>
    <t xml:space="preserve">Drosophila Genome 2.0 </t>
  </si>
  <si>
    <t>Drosophila Genome</t>
  </si>
  <si>
    <t>Yeast Genome S98</t>
  </si>
  <si>
    <t>Zebrafish Genome</t>
  </si>
  <si>
    <t>RNA Stat-60 (Tel-Test)</t>
  </si>
  <si>
    <t>RNAqueous Kit (Ambion)</t>
  </si>
  <si>
    <t>Sample Design Type</t>
  </si>
  <si>
    <t>Pooled Sample</t>
  </si>
  <si>
    <t>Technical Replicate 1: Source Sample</t>
  </si>
  <si>
    <t>Technical Replicate 2: Hybridization</t>
  </si>
  <si>
    <t>No Replicates</t>
  </si>
  <si>
    <t>Investigator Information</t>
  </si>
  <si>
    <t>Phone Number:</t>
  </si>
  <si>
    <t>E-mail:</t>
  </si>
  <si>
    <t>Sample Information</t>
  </si>
  <si>
    <t>species</t>
  </si>
  <si>
    <t>SampleSource</t>
  </si>
  <si>
    <t>SamplesResuspendedIn</t>
  </si>
  <si>
    <t>biopsy material</t>
  </si>
  <si>
    <t>water</t>
  </si>
  <si>
    <t>blood or bone marrow</t>
  </si>
  <si>
    <t xml:space="preserve">buffer </t>
  </si>
  <si>
    <t>dissected tissue</t>
  </si>
  <si>
    <t>established cell line</t>
  </si>
  <si>
    <t>FACS</t>
  </si>
  <si>
    <t>Thale Cress</t>
  </si>
  <si>
    <t>laser capture microdissection</t>
  </si>
  <si>
    <t>primary culture</t>
  </si>
  <si>
    <t>whole tissue</t>
  </si>
  <si>
    <t>Associate Investigator 2</t>
  </si>
  <si>
    <t>Associate Investigator 1</t>
  </si>
  <si>
    <t>Sample State</t>
  </si>
  <si>
    <t>fresh</t>
  </si>
  <si>
    <t>frozen</t>
  </si>
  <si>
    <t>formalin fixed</t>
  </si>
  <si>
    <t>other(please specify)</t>
  </si>
  <si>
    <t>RNA Type</t>
  </si>
  <si>
    <t>Total</t>
  </si>
  <si>
    <t xml:space="preserve">Polysomal </t>
  </si>
  <si>
    <t>Poly A+</t>
  </si>
  <si>
    <t>Affiliation</t>
  </si>
  <si>
    <t>Project Design Information</t>
  </si>
  <si>
    <t>Title of Project:</t>
  </si>
  <si>
    <t>Project Aims:</t>
  </si>
  <si>
    <t>Experimental Plan:</t>
  </si>
  <si>
    <t>IRB Approval Date:</t>
  </si>
  <si>
    <t>Type of Experimental Design:</t>
  </si>
  <si>
    <t>yes</t>
  </si>
  <si>
    <t>no</t>
  </si>
  <si>
    <t>Species:</t>
  </si>
  <si>
    <t>Method of RNA Isolation:</t>
  </si>
  <si>
    <t>Number of Samples:</t>
  </si>
  <si>
    <t>if other, please describe:</t>
  </si>
  <si>
    <t>(required for all new investigators)</t>
  </si>
  <si>
    <t>RNA Quality Assessment:</t>
  </si>
  <si>
    <t>RNA Amplification and Labeling:</t>
  </si>
  <si>
    <t>Data Analysis Information</t>
  </si>
  <si>
    <t>manuscript</t>
  </si>
  <si>
    <t>preliminary data</t>
  </si>
  <si>
    <t>other</t>
  </si>
  <si>
    <t>Have you consulted with a statistician about your experimental design?</t>
  </si>
  <si>
    <t>Locations</t>
  </si>
  <si>
    <t>N/A</t>
  </si>
  <si>
    <t>Investigator's Lab</t>
  </si>
  <si>
    <t>Contact Information</t>
  </si>
  <si>
    <t>List names and contact information for people in your laboratory who will be responsible for sample submission and data analysis.</t>
  </si>
  <si>
    <t>Sample Submission:</t>
  </si>
  <si>
    <t>Name:</t>
  </si>
  <si>
    <t>Phone Number</t>
  </si>
  <si>
    <t>E-mail Address</t>
  </si>
  <si>
    <t>Data Analysis:</t>
  </si>
  <si>
    <t>Date Samples Will Be Ready:</t>
  </si>
  <si>
    <t>Drosophila</t>
  </si>
  <si>
    <t>Biological Replicates</t>
  </si>
  <si>
    <t>Porcine Genome Array</t>
  </si>
  <si>
    <t>Rhesus Arrays</t>
  </si>
  <si>
    <t>Rhesus Macaque Genome</t>
  </si>
  <si>
    <t>Pooled Samples: with Replicates</t>
  </si>
  <si>
    <t>Time Series: with Replicates</t>
  </si>
  <si>
    <t>Time Series: without Replicates</t>
  </si>
  <si>
    <t>None of the listed designs match our experiment</t>
  </si>
  <si>
    <t>stocked</t>
  </si>
  <si>
    <t>Canine Genome 2.0</t>
  </si>
  <si>
    <t>C. elegans Genome</t>
  </si>
  <si>
    <t>Bovine Genome</t>
  </si>
  <si>
    <t>Human</t>
  </si>
  <si>
    <t>Mouse</t>
  </si>
  <si>
    <t>Norway Rat</t>
  </si>
  <si>
    <t>Rhesus Macaque</t>
  </si>
  <si>
    <t>Japanese Macaque</t>
  </si>
  <si>
    <t>Vervets</t>
  </si>
  <si>
    <t>Baboon</t>
  </si>
  <si>
    <t>Pig-Tailed Macaques</t>
  </si>
  <si>
    <t>Cynomologus Monkeys</t>
  </si>
  <si>
    <t>Stump-Tailed Macaque</t>
  </si>
  <si>
    <t>Crested-Black Macaque</t>
  </si>
  <si>
    <t xml:space="preserve">Pig </t>
  </si>
  <si>
    <t>Cow</t>
  </si>
  <si>
    <t>Sheep</t>
  </si>
  <si>
    <t>Dog</t>
  </si>
  <si>
    <t>C. Elegans</t>
  </si>
  <si>
    <t>Hamster</t>
  </si>
  <si>
    <t>Fruit Fly</t>
  </si>
  <si>
    <t>Zebrafish</t>
  </si>
  <si>
    <t>E. Coli</t>
  </si>
  <si>
    <t>Baker's Yeast</t>
  </si>
  <si>
    <t>Fission Yeast</t>
  </si>
  <si>
    <t>PicoPure RNA Isolation Kit (Arcturus)</t>
  </si>
  <si>
    <t>Absolutely RNA Nanoprep Kit (Stratagene)</t>
  </si>
  <si>
    <t>Trizol Reagent (Invitrogen) followed by RNeasy (Qiagen)</t>
  </si>
  <si>
    <t>Trizol Reagent (Invitrogen) followed by RNA precipitation</t>
  </si>
  <si>
    <t>OHSU Mail Code -OR- 
Non-OHSU Institution</t>
  </si>
  <si>
    <t>Examples of Experimental Design&gt;&gt;</t>
  </si>
  <si>
    <t>If answer above is yes, what kind of assistance do you require? (statistical assistance, training on microarray data analysis software, help with data annotation, other)</t>
  </si>
  <si>
    <t>Do you or someone in your laboratory have experience analyzing microarray data?</t>
  </si>
  <si>
    <t>Application Submitted By:</t>
  </si>
  <si>
    <t>Principle Investigator:</t>
  </si>
  <si>
    <t>Department:</t>
  </si>
  <si>
    <t>Yeast Genome 2.0</t>
  </si>
  <si>
    <t>treated vs. untreated</t>
  </si>
  <si>
    <t>treated vs untreated: with Replicates</t>
  </si>
  <si>
    <t>normal vs. diseased</t>
  </si>
  <si>
    <t>normal vs. diseased: with Replicates</t>
  </si>
  <si>
    <t>dose response</t>
  </si>
  <si>
    <t>dose response: with Replicates</t>
  </si>
  <si>
    <t>effect of gene knock-out</t>
  </si>
  <si>
    <t>effect of gene knock-out: with Replicates</t>
  </si>
  <si>
    <t>effect of gene knock-in (transgenics)</t>
  </si>
  <si>
    <t>effect of gene knock-in (transgenics): with Replicates</t>
  </si>
  <si>
    <t>Human Exon 1.0 ST</t>
  </si>
  <si>
    <t>Human Gene 1.0 ST</t>
  </si>
  <si>
    <t>Mouse Gene 1.0 ST</t>
  </si>
  <si>
    <t>Rat Gene 1.0 ST</t>
  </si>
  <si>
    <t>Mouse Exon 1.0 ST</t>
  </si>
  <si>
    <t>Xenopus laevis 2.0</t>
  </si>
  <si>
    <t>Xenopus laevis Genome</t>
  </si>
  <si>
    <t>CROET</t>
  </si>
  <si>
    <t>VGTI</t>
  </si>
  <si>
    <t xml:space="preserve"> Affiliation:</t>
  </si>
  <si>
    <t>Institution/Organization (if other):</t>
  </si>
  <si>
    <t>CEI</t>
  </si>
  <si>
    <t>NSI</t>
  </si>
  <si>
    <t>OGI</t>
  </si>
  <si>
    <t>ONPRC</t>
  </si>
  <si>
    <t>OSU</t>
  </si>
  <si>
    <t>PSU</t>
  </si>
  <si>
    <t>U of O</t>
  </si>
  <si>
    <t>Vollum</t>
  </si>
  <si>
    <t>IRB Approval:</t>
  </si>
  <si>
    <t>Do you plan to use your data for a grant submission?</t>
  </si>
  <si>
    <r>
      <rPr>
        <sz val="10"/>
        <rFont val="Arial"/>
        <family val="2"/>
      </rPr>
      <t xml:space="preserve">….. </t>
    </r>
    <r>
      <rPr>
        <b/>
        <sz val="10"/>
        <rFont val="Arial"/>
        <family val="2"/>
      </rPr>
      <t xml:space="preserve">  Grant Title:</t>
    </r>
  </si>
  <si>
    <t>If so, what is the date of your grant submission deadline?</t>
  </si>
  <si>
    <t>*experimental design consultation is available upon request</t>
  </si>
  <si>
    <t>You will be notified by email when your project has been accepted and scheduled.  A Sample Submission form will be provided at that time.</t>
  </si>
  <si>
    <t xml:space="preserve">pending </t>
  </si>
  <si>
    <t>n/a</t>
  </si>
  <si>
    <t>Chicken</t>
  </si>
  <si>
    <t>Chicken Genome Array</t>
  </si>
  <si>
    <t>Integrative Biosciences/SOD</t>
  </si>
  <si>
    <t>Shriner's Hospital</t>
  </si>
  <si>
    <t>Knight Cancer Institute</t>
  </si>
  <si>
    <t>Array Hybridization:</t>
  </si>
  <si>
    <t>Patient Samples: no replicates</t>
  </si>
  <si>
    <t>Low MW-enriched RNA</t>
  </si>
  <si>
    <t>Micro-RNA Array (miRNA)</t>
  </si>
  <si>
    <t>Services Required</t>
  </si>
  <si>
    <t>Selected Filter Indexes:</t>
  </si>
  <si>
    <t>Platform Index:</t>
  </si>
  <si>
    <t>Species Index:</t>
  </si>
  <si>
    <t>Array Options Index:</t>
  </si>
  <si>
    <t>Selected Array DropDownIndex:</t>
  </si>
  <si>
    <t>Selected Array List ID:</t>
  </si>
  <si>
    <t>Filter Mapping</t>
  </si>
  <si>
    <t>Selected Array Name:</t>
  </si>
  <si>
    <t>Platform</t>
  </si>
  <si>
    <t>Species</t>
  </si>
  <si>
    <t>Array Options</t>
  </si>
  <si>
    <t>List ID</t>
  </si>
  <si>
    <t>Display Name</t>
  </si>
  <si>
    <t>Array Name</t>
  </si>
  <si>
    <t>Affy</t>
  </si>
  <si>
    <t>Illumina</t>
  </si>
  <si>
    <t>Rhesus</t>
  </si>
  <si>
    <t>Rat</t>
  </si>
  <si>
    <t>Standard</t>
  </si>
  <si>
    <t>Custom</t>
  </si>
  <si>
    <t>ArrayOptions</t>
  </si>
  <si>
    <t>Evaluation</t>
  </si>
  <si>
    <t>Condensed ID query string</t>
  </si>
  <si>
    <t>ComboRowListIds</t>
  </si>
  <si>
    <t>Remaining query string</t>
  </si>
  <si>
    <t>DropDownIndex</t>
  </si>
  <si>
    <t>Array Drop-Down Input Range</t>
  </si>
  <si>
    <t>(Not Selected)</t>
  </si>
  <si>
    <t>NotSelected</t>
  </si>
  <si>
    <t>.</t>
  </si>
  <si>
    <t>empty cell</t>
  </si>
  <si>
    <t>Array:</t>
  </si>
  <si>
    <t>* - Arrays marked with an asterisk have minimum purchase quantity requirements. Contact shared resource director for details.</t>
  </si>
  <si>
    <t>Human Genome U133A *</t>
  </si>
  <si>
    <t>Human Genome U133B *</t>
  </si>
  <si>
    <t>Rat Genome 230 2.0</t>
  </si>
  <si>
    <t>Bovine Genome *</t>
  </si>
  <si>
    <t>C. elegans Genome *</t>
  </si>
  <si>
    <t>Canine Genome 2.0 *</t>
  </si>
  <si>
    <t>Chicken Genome Array *</t>
  </si>
  <si>
    <t>Drosophila Genome *</t>
  </si>
  <si>
    <t>Drosophila Genome 2.0 *</t>
  </si>
  <si>
    <t>Porcine Genome Array *</t>
  </si>
  <si>
    <t>Xenopus laevis 2.0 *</t>
  </si>
  <si>
    <t>Xenopus laevis Genome *</t>
  </si>
  <si>
    <t>Yeast Genome 2.0 *</t>
  </si>
  <si>
    <t>Yeast Genome S98 *</t>
  </si>
  <si>
    <t>Zebrafish Genome *</t>
  </si>
  <si>
    <t>Other Affymetrix Array</t>
  </si>
  <si>
    <t>Other Illumina Array</t>
  </si>
  <si>
    <t>HumanHT-12 v4 Expression BeadChip *</t>
  </si>
  <si>
    <t>HumanHT-12 v3 Expression BeadChip *</t>
  </si>
  <si>
    <t>HumanWG-6 v3 Expression BeadChip *</t>
  </si>
  <si>
    <t>HumanRef-8 v3 Expression BeadChip *</t>
  </si>
  <si>
    <t>MouseWG-6 v2 Expression BeadChip *</t>
  </si>
  <si>
    <t>MouseRef-8 v2 Expression BeadChip *</t>
  </si>
  <si>
    <t>RatRef-12 Expression BeadChip *</t>
  </si>
  <si>
    <t>HumanHT-12 v4 Expression BeadChip</t>
  </si>
  <si>
    <t>HumanHT-12 v3 Expression BeadChip</t>
  </si>
  <si>
    <t>HumanWG-6 v3 Expression BeadChip</t>
  </si>
  <si>
    <t>HumanRef-8 v3 Expression BeadChip</t>
  </si>
  <si>
    <t>MouseWG-6 v2 Expression BeadChip</t>
  </si>
  <si>
    <t>MouseRef-8 v2 Expression BeadChip</t>
  </si>
  <si>
    <t>RatRef-12 Expression BeadChip</t>
  </si>
  <si>
    <t>Mouse Genome 430 2.0</t>
  </si>
  <si>
    <t>Drosophila Genome 2.0</t>
  </si>
  <si>
    <t>Array (if other):</t>
  </si>
  <si>
    <t>Human Gene 1.0 ST GeneChip</t>
  </si>
  <si>
    <t>Human Exon 1.0 ST GeneChip</t>
  </si>
  <si>
    <t>Human Genome U133 Plus 2.0 GeneChip</t>
  </si>
  <si>
    <t>Human Genome U133A 2.0 GeneChip</t>
  </si>
  <si>
    <t>Human Genome Focus HGFA GeneChip *</t>
  </si>
  <si>
    <t>Rhesus Macaque Genome GeneChip</t>
  </si>
  <si>
    <t>Human Genome U95A GeneChip</t>
  </si>
  <si>
    <t>Human Genome U133A GeneChip *</t>
  </si>
  <si>
    <t>Human Genome U133B GeneChip *</t>
  </si>
  <si>
    <t>Mouse Gene 1.0 ST GeneChip</t>
  </si>
  <si>
    <t>Mouse Exon 1.0 ST GeneChip</t>
  </si>
  <si>
    <t>Mouse Genome 430 2.0 GeneChip</t>
  </si>
  <si>
    <t>Mouse Genome 430A 2.0 GeneChip</t>
  </si>
  <si>
    <t>Murine Genome U74Av2 GeneChip</t>
  </si>
  <si>
    <t>Murine Genome U74B GeneChip</t>
  </si>
  <si>
    <t>Murine Genome U74C GeneChip</t>
  </si>
  <si>
    <t>Mouse Expression Array MOE 430A GeneChip</t>
  </si>
  <si>
    <t>Mouse Expression Array MOE 430B GeneChip</t>
  </si>
  <si>
    <t>Rat Gene 1.0 ST GeneChip</t>
  </si>
  <si>
    <t>Rat Genome 230 2.0 GeneChip</t>
  </si>
  <si>
    <t>Rat Genome U34A GeneChip</t>
  </si>
  <si>
    <t>Rat Genome U34B GeneChip</t>
  </si>
  <si>
    <t>Rat Genome U34C GeneChip</t>
  </si>
  <si>
    <t>Rat Toxicology U34 GeneChip</t>
  </si>
  <si>
    <t>Rat Neurobiology U34 GeneChip</t>
  </si>
  <si>
    <t>Rat Expression Array RAE 230A GeneChip</t>
  </si>
  <si>
    <t>Rat Expression Array RAE 230B GeneChip</t>
  </si>
  <si>
    <t>Bovine Genome GeneChip *</t>
  </si>
  <si>
    <t>C. elegans Genome GeneChip *</t>
  </si>
  <si>
    <t>Canine Genome 2.0 GeneChip *</t>
  </si>
  <si>
    <t>Chicken Genome Array GeneChip *</t>
  </si>
  <si>
    <t>Drosophila Genome GeneChip *</t>
  </si>
  <si>
    <t>Drosophila Genome 2.0 GeneChip *</t>
  </si>
  <si>
    <t>Porcine Genome Array GeneChip *</t>
  </si>
  <si>
    <t>Xenopus laevis 2.0 GeneChip *</t>
  </si>
  <si>
    <t>Xenopus laevis Genome GeneChip *</t>
  </si>
  <si>
    <t>Yeast Genome 2.0 GeneChip *</t>
  </si>
  <si>
    <t>Yeast Genome S98 GeneChip *</t>
  </si>
  <si>
    <t>Zebrafish Genome GeneChip *</t>
  </si>
  <si>
    <t>Micro-RNA Array (miRNA) GeneChip</t>
  </si>
  <si>
    <t>… If yes, please list the previous project ID(s):</t>
  </si>
  <si>
    <t>Do you require biostatistical or bioinformatics assistance in analyzing the data from this project?</t>
  </si>
  <si>
    <t>Genetic variation with replicates</t>
  </si>
  <si>
    <t>Genetic variation</t>
  </si>
  <si>
    <t>Do you plan to perform direct comparisons to a previous GPSR (or GMSR) project?</t>
  </si>
  <si>
    <t>Arrays Required</t>
  </si>
  <si>
    <t>*If planning on hybridizing to multiple array types, please contact GPSR staff.</t>
  </si>
  <si>
    <t>ver 3.0.0_122412</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</si>
</sst>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mm/dd/yy"/>
    <numFmt numFmtId="165" formatCode="m/d/yy;@"/>
    <numFmt numFmtId="166" formatCode="mm/dd/yy;@"/>
  </numFmts>
  <fonts count="22" x14ac:knownFonts="1">
    <font>
      <sz val="10"/>
      <name val="Arial"/>
    </font>
    <font>
      <b/>
      <sz val="26"/>
      <name val="Arial"/>
      <family val="2"/>
    </font>
    <font>
      <b/>
      <sz val="10"/>
      <name val="Arial"/>
      <family val="2"/>
    </font>
    <font>
      <b/>
      <sz val="12"/>
      <name val="Arial"/>
      <family val="2"/>
    </font>
    <font>
      <sz val="10"/>
      <color indexed="55"/>
      <name val="Arial"/>
      <family val="2"/>
    </font>
    <font>
      <sz val="10"/>
      <color indexed="10"/>
      <name val="Arial"/>
      <family val="2"/>
    </font>
    <font>
      <sz val="10"/>
      <name val="Arial"/>
      <family val="2"/>
    </font>
    <font>
      <u/>
      <sz val="10"/>
      <color indexed="12"/>
      <name val="Arial"/>
      <family val="2"/>
    </font>
    <font>
      <i/>
      <sz val="10"/>
      <name val="Arial"/>
      <family val="2"/>
    </font>
    <font>
      <sz val="8"/>
      <name val="Arial"/>
      <family val="2"/>
    </font>
    <font>
      <b/>
      <sz val="10"/>
      <color indexed="10"/>
      <name val="Arial"/>
      <family val="2"/>
    </font>
    <font>
      <i/>
      <sz val="8"/>
      <name val="Arial"/>
      <family val="2"/>
    </font>
    <font>
      <strike/>
      <sz val="10"/>
      <name val="Arial"/>
      <family val="2"/>
    </font>
    <font>
      <b/>
      <strike/>
      <sz val="10"/>
      <name val="Arial"/>
      <family val="2"/>
    </font>
    <font>
      <sz val="10"/>
      <color theme="0" tint="-0.14999847407452621"/>
      <name val="Arial"/>
      <family val="2"/>
    </font>
    <font>
      <sz val="10"/>
      <color theme="0"/>
      <name val="Arial"/>
      <family val="2"/>
    </font>
    <font>
      <sz val="11"/>
      <color rgb="FF1F497D"/>
      <name val="Calibri"/>
      <family val="2"/>
    </font>
    <font>
      <i/>
      <sz val="10"/>
      <color theme="0"/>
      <name val="Arial"/>
      <family val="2"/>
    </font>
    <font>
      <sz val="10"/>
      <color rgb="FFC00000"/>
      <name val="Arial"/>
      <family val="2"/>
    </font>
    <font>
      <sz val="10"/>
      <color theme="0" tint="-0.34998626667073579"/>
      <name val="Arial"/>
      <family val="2"/>
    </font>
    <font>
      <sz val="11"/>
      <name val="Calibri"/>
      <family val="2"/>
    </font>
    <font>
      <sz val="8"/>
      <color rgb="FF000000"/>
      <name val="Tahoma"/>
      <family val="2"/>
    </font>
  </fonts>
  <fills count="33">
    <fill>
      <patternFill patternType="none"/>
    </fill>
    <fill>
      <patternFill patternType="gray125"/>
    </fill>
    <fill>
      <patternFill patternType="solid">
        <fgColor indexed="54"/>
        <bgColor indexed="64"/>
      </patternFill>
    </fill>
    <fill>
      <patternFill patternType="solid">
        <fgColor indexed="9"/>
        <bgColor indexed="64"/>
      </patternFill>
    </fill>
    <fill>
      <patternFill patternType="solid">
        <fgColor indexed="53"/>
        <bgColor indexed="64"/>
      </patternFill>
    </fill>
    <fill>
      <patternFill patternType="solid">
        <fgColor rgb="FFFF0000"/>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0" tint="-0.499984740745262"/>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theme="9" tint="-0.499984740745262"/>
        <bgColor indexed="64"/>
      </patternFill>
    </fill>
    <fill>
      <patternFill patternType="solid">
        <fgColor theme="1" tint="4.9989318521683403E-2"/>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5" tint="-0.249977111117893"/>
        <bgColor indexed="64"/>
      </patternFill>
    </fill>
    <fill>
      <patternFill patternType="solid">
        <fgColor rgb="FF0070C0"/>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rgb="FF7030A0"/>
        <bgColor indexed="64"/>
      </patternFill>
    </fill>
    <fill>
      <patternFill patternType="solid">
        <fgColor rgb="FF00B050"/>
        <bgColor indexed="64"/>
      </patternFill>
    </fill>
    <fill>
      <patternFill patternType="solid">
        <fgColor theme="8" tint="0.39997558519241921"/>
        <bgColor indexed="64"/>
      </patternFill>
    </fill>
    <fill>
      <patternFill patternType="solid">
        <fgColor rgb="FF00B0F0"/>
        <bgColor indexed="64"/>
      </patternFill>
    </fill>
    <fill>
      <patternFill patternType="solid">
        <fgColor theme="9"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5" tint="0.39997558519241921"/>
        <bgColor indexed="64"/>
      </patternFill>
    </fill>
  </fills>
  <borders count="27">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theme="0" tint="-0.14996795556505021"/>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s>
  <cellStyleXfs count="3">
    <xf numFmtId="0" fontId="0" fillId="0" borderId="0"/>
    <xf numFmtId="0" fontId="7" fillId="0" borderId="0" applyNumberFormat="0" applyFill="0" applyBorder="0" applyAlignment="0" applyProtection="0">
      <alignment vertical="top"/>
      <protection locked="0"/>
    </xf>
    <xf numFmtId="0" fontId="6" fillId="0" borderId="0"/>
  </cellStyleXfs>
  <cellXfs count="236">
    <xf numFmtId="0" fontId="0" fillId="0" borderId="0" xfId="0"/>
    <xf numFmtId="0" fontId="0" fillId="0" borderId="0" xfId="0" applyBorder="1"/>
    <xf numFmtId="0" fontId="1" fillId="0" borderId="0" xfId="0" applyFont="1" applyBorder="1"/>
    <xf numFmtId="0" fontId="2" fillId="0" borderId="0" xfId="0" applyFont="1"/>
    <xf numFmtId="0" fontId="3" fillId="2" borderId="0" xfId="0" applyFont="1" applyFill="1"/>
    <xf numFmtId="0" fontId="0" fillId="2" borderId="0" xfId="0" applyFill="1"/>
    <xf numFmtId="0" fontId="0" fillId="0" borderId="1" xfId="0" applyBorder="1"/>
    <xf numFmtId="0" fontId="0" fillId="0" borderId="2" xfId="0" applyBorder="1"/>
    <xf numFmtId="0" fontId="3" fillId="0" borderId="3" xfId="0" applyFont="1" applyBorder="1"/>
    <xf numFmtId="0" fontId="0" fillId="0" borderId="0" xfId="0" applyBorder="1" applyProtection="1">
      <protection locked="0"/>
    </xf>
    <xf numFmtId="0" fontId="0" fillId="3" borderId="0" xfId="0" applyFill="1"/>
    <xf numFmtId="0" fontId="0" fillId="0" borderId="0" xfId="0" applyBorder="1" applyAlignment="1">
      <alignment horizontal="left" vertical="top"/>
    </xf>
    <xf numFmtId="0" fontId="0" fillId="0" borderId="4" xfId="0" applyBorder="1" applyAlignment="1">
      <alignment horizontal="center" vertical="top"/>
    </xf>
    <xf numFmtId="0" fontId="6" fillId="0" borderId="0" xfId="0" applyFont="1"/>
    <xf numFmtId="0" fontId="3" fillId="0" borderId="3" xfId="0" applyFont="1" applyFill="1" applyBorder="1"/>
    <xf numFmtId="0" fontId="0" fillId="0" borderId="0" xfId="0" applyFill="1"/>
    <xf numFmtId="0" fontId="0" fillId="0" borderId="0" xfId="0" applyAlignment="1">
      <alignment horizontal="right"/>
    </xf>
    <xf numFmtId="0" fontId="0" fillId="0" borderId="0" xfId="0" applyBorder="1" applyAlignment="1"/>
    <xf numFmtId="164" fontId="0" fillId="0" borderId="0" xfId="0" applyNumberFormat="1" applyFill="1" applyBorder="1" applyAlignment="1" applyProtection="1">
      <protection locked="0"/>
    </xf>
    <xf numFmtId="0" fontId="0" fillId="0" borderId="0" xfId="0" applyBorder="1" applyAlignment="1" applyProtection="1">
      <protection locked="0"/>
    </xf>
    <xf numFmtId="0" fontId="0" fillId="0" borderId="0" xfId="0" applyBorder="1" applyAlignment="1">
      <alignment horizontal="left"/>
    </xf>
    <xf numFmtId="0" fontId="0" fillId="0" borderId="0" xfId="0" applyAlignment="1">
      <alignment horizontal="left"/>
    </xf>
    <xf numFmtId="0" fontId="0" fillId="0" borderId="0" xfId="0" applyBorder="1" applyAlignment="1">
      <alignment horizontal="center" vertical="top"/>
    </xf>
    <xf numFmtId="0" fontId="0" fillId="0" borderId="0" xfId="0" applyAlignment="1"/>
    <xf numFmtId="0" fontId="0" fillId="0" borderId="0" xfId="0" applyFill="1" applyAlignment="1">
      <alignment horizontal="right"/>
    </xf>
    <xf numFmtId="164" fontId="0" fillId="0" borderId="0" xfId="0" applyNumberFormat="1" applyFill="1" applyBorder="1" applyAlignment="1" applyProtection="1">
      <alignment horizontal="center"/>
      <protection locked="0"/>
    </xf>
    <xf numFmtId="0" fontId="0" fillId="0" borderId="4" xfId="0" applyBorder="1" applyAlignment="1">
      <alignment horizontal="center"/>
    </xf>
    <xf numFmtId="0" fontId="0" fillId="0" borderId="0" xfId="0" applyBorder="1" applyAlignment="1">
      <alignment vertical="top" wrapText="1"/>
    </xf>
    <xf numFmtId="0" fontId="2" fillId="0" borderId="0" xfId="0" applyFont="1" applyAlignment="1">
      <alignment horizontal="right"/>
    </xf>
    <xf numFmtId="0" fontId="0" fillId="0" borderId="4" xfId="0" applyBorder="1" applyAlignment="1">
      <alignment horizontal="center" vertical="top" wrapText="1"/>
    </xf>
    <xf numFmtId="0" fontId="2" fillId="0" borderId="0" xfId="0" applyFont="1" applyBorder="1" applyAlignment="1">
      <alignment horizontal="right" vertical="top"/>
    </xf>
    <xf numFmtId="165" fontId="0" fillId="0" borderId="0" xfId="0" applyNumberFormat="1" applyBorder="1" applyAlignment="1">
      <alignment horizontal="center" vertical="top"/>
    </xf>
    <xf numFmtId="0" fontId="0" fillId="0" borderId="0" xfId="0" applyBorder="1" applyAlignment="1">
      <alignment horizontal="right" vertical="top"/>
    </xf>
    <xf numFmtId="0" fontId="0" fillId="0" borderId="0" xfId="0" applyBorder="1" applyAlignment="1">
      <alignment vertical="top"/>
    </xf>
    <xf numFmtId="0" fontId="6" fillId="0" borderId="0" xfId="0" applyFont="1" applyBorder="1" applyAlignment="1">
      <alignment horizontal="right" vertical="top"/>
    </xf>
    <xf numFmtId="0" fontId="2" fillId="0" borderId="0" xfId="0" applyFont="1" applyBorder="1" applyAlignment="1">
      <alignment horizontal="right"/>
    </xf>
    <xf numFmtId="0" fontId="2" fillId="0" borderId="0" xfId="0" applyFont="1" applyFill="1" applyBorder="1" applyAlignment="1">
      <alignment horizontal="right"/>
    </xf>
    <xf numFmtId="0" fontId="0" fillId="0" borderId="5" xfId="0" applyBorder="1" applyAlignment="1">
      <alignment horizontal="center"/>
    </xf>
    <xf numFmtId="0" fontId="6" fillId="0" borderId="0" xfId="0" applyFont="1" applyBorder="1"/>
    <xf numFmtId="0" fontId="0" fillId="0" borderId="0" xfId="0" applyBorder="1" applyAlignment="1">
      <alignment horizontal="center" vertical="top" wrapText="1"/>
    </xf>
    <xf numFmtId="0" fontId="0" fillId="0" borderId="0" xfId="0" applyAlignment="1">
      <alignment vertical="top"/>
    </xf>
    <xf numFmtId="0" fontId="7" fillId="0" borderId="0" xfId="1" applyAlignment="1" applyProtection="1">
      <alignment horizontal="center"/>
    </xf>
    <xf numFmtId="0" fontId="5" fillId="0" borderId="0" xfId="0" applyFont="1" applyBorder="1" applyAlignment="1">
      <alignment horizontal="left" vertical="top"/>
    </xf>
    <xf numFmtId="0" fontId="0" fillId="0" borderId="0" xfId="0" applyBorder="1" applyAlignment="1" applyProtection="1">
      <alignment horizontal="center" vertical="top"/>
      <protection locked="0"/>
    </xf>
    <xf numFmtId="0" fontId="0" fillId="0" borderId="0" xfId="0" applyFill="1" applyAlignment="1"/>
    <xf numFmtId="166" fontId="0" fillId="0" borderId="4" xfId="0" applyNumberFormat="1" applyBorder="1" applyAlignment="1">
      <alignment horizontal="center" vertical="top"/>
    </xf>
    <xf numFmtId="0" fontId="0" fillId="0" borderId="0" xfId="0" applyBorder="1" applyAlignment="1">
      <alignment horizontal="center"/>
    </xf>
    <xf numFmtId="0" fontId="0" fillId="0" borderId="0" xfId="0" applyFill="1" applyBorder="1"/>
    <xf numFmtId="0" fontId="0" fillId="0" borderId="6" xfId="0" applyBorder="1"/>
    <xf numFmtId="0" fontId="0" fillId="0" borderId="0" xfId="0" applyAlignment="1">
      <alignment vertical="top" wrapText="1"/>
    </xf>
    <xf numFmtId="0" fontId="0" fillId="4" borderId="0" xfId="0" applyFill="1"/>
    <xf numFmtId="0" fontId="0" fillId="0" borderId="4" xfId="0" applyFill="1" applyBorder="1" applyAlignment="1">
      <alignment horizontal="center"/>
    </xf>
    <xf numFmtId="164" fontId="14" fillId="0" borderId="0" xfId="0" applyNumberFormat="1" applyFont="1" applyFill="1" applyBorder="1" applyAlignment="1" applyProtection="1">
      <alignment horizontal="right"/>
      <protection locked="0"/>
    </xf>
    <xf numFmtId="0" fontId="0" fillId="0" borderId="0" xfId="0" applyFill="1" applyAlignment="1">
      <alignment vertical="top" wrapText="1"/>
    </xf>
    <xf numFmtId="0" fontId="10" fillId="0" borderId="0" xfId="0" applyFont="1" applyAlignment="1">
      <alignment horizontal="right"/>
    </xf>
    <xf numFmtId="14" fontId="0" fillId="0" borderId="4" xfId="0" applyNumberFormat="1" applyBorder="1" applyAlignment="1">
      <alignment horizontal="center"/>
    </xf>
    <xf numFmtId="0" fontId="6" fillId="0" borderId="0" xfId="0" applyFont="1" applyAlignment="1">
      <alignment horizontal="right"/>
    </xf>
    <xf numFmtId="0" fontId="8" fillId="0" borderId="0" xfId="0" applyFont="1" applyAlignment="1">
      <alignment horizontal="left" indent="1"/>
    </xf>
    <xf numFmtId="0" fontId="0" fillId="0" borderId="7" xfId="0" applyBorder="1" applyAlignment="1">
      <alignment vertical="center" wrapText="1"/>
    </xf>
    <xf numFmtId="0" fontId="0" fillId="0" borderId="0" xfId="0" applyAlignment="1">
      <alignment horizontal="right" vertical="top"/>
    </xf>
    <xf numFmtId="0" fontId="0" fillId="0" borderId="4" xfId="0" applyBorder="1" applyAlignment="1">
      <alignment vertical="top" wrapText="1"/>
    </xf>
    <xf numFmtId="0" fontId="6" fillId="0" borderId="0" xfId="0" applyFont="1" applyFill="1"/>
    <xf numFmtId="0" fontId="6" fillId="0" borderId="5" xfId="0" applyFont="1" applyBorder="1"/>
    <xf numFmtId="0" fontId="6" fillId="0" borderId="8" xfId="0" applyFont="1" applyBorder="1"/>
    <xf numFmtId="0" fontId="0" fillId="0" borderId="8" xfId="0" applyBorder="1"/>
    <xf numFmtId="0" fontId="0" fillId="0" borderId="9" xfId="0" applyBorder="1"/>
    <xf numFmtId="0" fontId="7" fillId="0" borderId="0" xfId="1" applyAlignment="1" applyProtection="1">
      <alignment horizontal="left"/>
    </xf>
    <xf numFmtId="0" fontId="6" fillId="0" borderId="0" xfId="0" applyFont="1" applyAlignment="1">
      <alignment vertical="top" wrapText="1"/>
    </xf>
    <xf numFmtId="0" fontId="15" fillId="0" borderId="0" xfId="0" applyFont="1"/>
    <xf numFmtId="0" fontId="15" fillId="5" borderId="10" xfId="0" applyFont="1" applyFill="1" applyBorder="1"/>
    <xf numFmtId="0" fontId="16" fillId="0" borderId="0" xfId="0" applyFont="1"/>
    <xf numFmtId="0" fontId="6" fillId="0" borderId="0" xfId="2"/>
    <xf numFmtId="0" fontId="2" fillId="6" borderId="3" xfId="2" applyFont="1" applyFill="1" applyBorder="1" applyAlignment="1">
      <alignment horizontal="left"/>
    </xf>
    <xf numFmtId="0" fontId="6" fillId="6" borderId="2" xfId="2" applyFill="1" applyBorder="1"/>
    <xf numFmtId="0" fontId="6" fillId="7" borderId="4" xfId="2" applyFont="1" applyFill="1" applyBorder="1" applyAlignment="1">
      <alignment horizontal="right" indent="1"/>
    </xf>
    <xf numFmtId="0" fontId="6" fillId="7" borderId="4" xfId="2" applyFill="1" applyBorder="1" applyAlignment="1">
      <alignment horizontal="left" indent="1"/>
    </xf>
    <xf numFmtId="0" fontId="6" fillId="7" borderId="12" xfId="2" applyFont="1" applyFill="1" applyBorder="1" applyAlignment="1">
      <alignment horizontal="right" indent="1"/>
    </xf>
    <xf numFmtId="0" fontId="6" fillId="7" borderId="12" xfId="2" applyFill="1" applyBorder="1" applyAlignment="1">
      <alignment horizontal="left" indent="1"/>
    </xf>
    <xf numFmtId="0" fontId="2" fillId="6" borderId="13" xfId="2" applyFont="1" applyFill="1" applyBorder="1" applyAlignment="1"/>
    <xf numFmtId="0" fontId="6" fillId="6" borderId="13" xfId="2" applyFill="1" applyBorder="1" applyAlignment="1">
      <alignment horizontal="left" indent="1"/>
    </xf>
    <xf numFmtId="0" fontId="2" fillId="8" borderId="14" xfId="2" applyFont="1" applyFill="1" applyBorder="1" applyAlignment="1">
      <alignment horizontal="right" indent="1"/>
    </xf>
    <xf numFmtId="0" fontId="2" fillId="8" borderId="15" xfId="2" applyFont="1" applyFill="1" applyBorder="1" applyAlignment="1">
      <alignment horizontal="left" indent="1"/>
    </xf>
    <xf numFmtId="0" fontId="15" fillId="9" borderId="0" xfId="2" applyFont="1" applyFill="1"/>
    <xf numFmtId="0" fontId="15" fillId="10" borderId="0" xfId="2" applyFont="1" applyFill="1" applyAlignment="1">
      <alignment horizontal="center"/>
    </xf>
    <xf numFmtId="0" fontId="15" fillId="11" borderId="0" xfId="2" applyFont="1" applyFill="1" applyAlignment="1">
      <alignment horizontal="center"/>
    </xf>
    <xf numFmtId="0" fontId="15" fillId="12" borderId="0" xfId="2" applyFont="1" applyFill="1" applyAlignment="1">
      <alignment horizontal="center"/>
    </xf>
    <xf numFmtId="0" fontId="15" fillId="13" borderId="0" xfId="2" applyFont="1" applyFill="1" applyAlignment="1">
      <alignment horizontal="center"/>
    </xf>
    <xf numFmtId="0" fontId="6" fillId="14" borderId="0" xfId="2" applyFill="1"/>
    <xf numFmtId="0" fontId="6" fillId="15" borderId="0" xfId="2" applyFill="1"/>
    <xf numFmtId="0" fontId="6" fillId="16" borderId="0" xfId="2" applyFill="1"/>
    <xf numFmtId="0" fontId="6" fillId="17" borderId="0" xfId="2" applyFill="1"/>
    <xf numFmtId="0" fontId="17" fillId="9" borderId="0" xfId="2" applyFont="1" applyFill="1"/>
    <xf numFmtId="0" fontId="6" fillId="0" borderId="0" xfId="2" applyFill="1"/>
    <xf numFmtId="0" fontId="15" fillId="18" borderId="0" xfId="2" applyFont="1" applyFill="1"/>
    <xf numFmtId="0" fontId="6" fillId="0" borderId="0" xfId="2" applyFont="1" applyFill="1"/>
    <xf numFmtId="0" fontId="15" fillId="19" borderId="0" xfId="2" applyFont="1" applyFill="1"/>
    <xf numFmtId="0" fontId="6" fillId="0" borderId="0" xfId="2" applyAlignment="1">
      <alignment horizontal="center"/>
    </xf>
    <xf numFmtId="0" fontId="18" fillId="0" borderId="16" xfId="2" applyFont="1" applyFill="1" applyBorder="1" applyAlignment="1"/>
    <xf numFmtId="0" fontId="18" fillId="20" borderId="16" xfId="2" applyFont="1" applyFill="1" applyBorder="1"/>
    <xf numFmtId="0" fontId="18" fillId="21" borderId="16" xfId="2" applyFont="1" applyFill="1" applyBorder="1"/>
    <xf numFmtId="0" fontId="18" fillId="22" borderId="16" xfId="2" applyFont="1" applyFill="1" applyBorder="1"/>
    <xf numFmtId="0" fontId="6" fillId="23" borderId="0" xfId="2" applyFill="1"/>
    <xf numFmtId="0" fontId="8" fillId="5" borderId="0" xfId="2" applyFont="1" applyFill="1" applyAlignment="1">
      <alignment horizontal="center"/>
    </xf>
    <xf numFmtId="0" fontId="6" fillId="24" borderId="0" xfId="2" applyFill="1"/>
    <xf numFmtId="0" fontId="6" fillId="25" borderId="0" xfId="2" applyFill="1"/>
    <xf numFmtId="0" fontId="6" fillId="26" borderId="0" xfId="2" applyFill="1"/>
    <xf numFmtId="0" fontId="8" fillId="27" borderId="0" xfId="2" applyFont="1" applyFill="1"/>
    <xf numFmtId="0" fontId="6" fillId="28" borderId="0" xfId="2" applyFont="1" applyFill="1"/>
    <xf numFmtId="0" fontId="6" fillId="20" borderId="0" xfId="2" applyFill="1"/>
    <xf numFmtId="0" fontId="6" fillId="21" borderId="0" xfId="2" applyFill="1"/>
    <xf numFmtId="0" fontId="6" fillId="22" borderId="0" xfId="2" applyFill="1"/>
    <xf numFmtId="0" fontId="6" fillId="29" borderId="0" xfId="2" applyFill="1"/>
    <xf numFmtId="0" fontId="6" fillId="30" borderId="0" xfId="2" applyFill="1"/>
    <xf numFmtId="0" fontId="6" fillId="0" borderId="0" xfId="2" applyAlignment="1"/>
    <xf numFmtId="0" fontId="8" fillId="31" borderId="0" xfId="2" applyFont="1" applyFill="1"/>
    <xf numFmtId="0" fontId="6" fillId="31" borderId="0" xfId="2" applyFont="1" applyFill="1"/>
    <xf numFmtId="0" fontId="15" fillId="31" borderId="0" xfId="2" applyFont="1" applyFill="1"/>
    <xf numFmtId="0" fontId="6" fillId="0" borderId="0" xfId="2" applyFont="1"/>
    <xf numFmtId="0" fontId="6" fillId="32" borderId="0" xfId="2" applyFill="1"/>
    <xf numFmtId="0" fontId="15" fillId="5" borderId="0" xfId="2" applyFont="1" applyFill="1"/>
    <xf numFmtId="0" fontId="6" fillId="20" borderId="0" xfId="2" applyFont="1" applyFill="1"/>
    <xf numFmtId="0" fontId="6" fillId="21" borderId="0" xfId="2" applyFont="1" applyFill="1"/>
    <xf numFmtId="0" fontId="6" fillId="22" borderId="0" xfId="2" applyFont="1" applyFill="1"/>
    <xf numFmtId="0" fontId="8" fillId="0" borderId="0" xfId="2" applyFont="1"/>
    <xf numFmtId="0" fontId="6" fillId="0" borderId="0" xfId="0" applyFont="1" applyBorder="1" applyAlignment="1">
      <alignment horizontal="left" vertical="top"/>
    </xf>
    <xf numFmtId="0" fontId="11" fillId="0" borderId="0" xfId="0" applyFont="1" applyBorder="1" applyAlignment="1">
      <alignment vertical="top"/>
    </xf>
    <xf numFmtId="0" fontId="11" fillId="0" borderId="0" xfId="0" applyFont="1" applyBorder="1" applyAlignment="1">
      <alignment vertical="top" wrapText="1"/>
    </xf>
    <xf numFmtId="0" fontId="12" fillId="0" borderId="0" xfId="0" applyFont="1"/>
    <xf numFmtId="0" fontId="13" fillId="0" borderId="0" xfId="0" applyFont="1"/>
    <xf numFmtId="0" fontId="0" fillId="5" borderId="0" xfId="0" applyFill="1"/>
    <xf numFmtId="164" fontId="19" fillId="0" borderId="0" xfId="0" applyNumberFormat="1" applyFont="1" applyFill="1" applyBorder="1" applyAlignment="1" applyProtection="1">
      <alignment horizontal="right"/>
      <protection locked="0"/>
    </xf>
    <xf numFmtId="0" fontId="2" fillId="0" borderId="0" xfId="0" applyFont="1" applyBorder="1" applyAlignment="1">
      <alignment horizontal="right"/>
    </xf>
    <xf numFmtId="164" fontId="19" fillId="0" borderId="24" xfId="0" applyNumberFormat="1" applyFont="1" applyFill="1" applyBorder="1" applyAlignment="1" applyProtection="1">
      <alignment horizontal="center"/>
      <protection locked="0"/>
    </xf>
    <xf numFmtId="164" fontId="19" fillId="0" borderId="25" xfId="0" applyNumberFormat="1" applyFont="1" applyFill="1" applyBorder="1" applyAlignment="1" applyProtection="1">
      <alignment horizontal="center"/>
      <protection locked="0"/>
    </xf>
    <xf numFmtId="164" fontId="19" fillId="0" borderId="26" xfId="0" applyNumberFormat="1" applyFont="1" applyFill="1" applyBorder="1" applyAlignment="1" applyProtection="1">
      <alignment horizontal="center"/>
      <protection locked="0"/>
    </xf>
    <xf numFmtId="0" fontId="0" fillId="0" borderId="1" xfId="0" applyBorder="1"/>
    <xf numFmtId="0" fontId="20" fillId="0" borderId="0" xfId="0" applyFont="1"/>
    <xf numFmtId="0" fontId="0" fillId="0" borderId="3" xfId="0" applyBorder="1" applyAlignment="1">
      <alignment horizontal="left" vertical="top" indent="1"/>
    </xf>
    <xf numFmtId="0" fontId="0" fillId="0" borderId="1" xfId="0" applyBorder="1" applyAlignment="1">
      <alignment horizontal="left" vertical="top" indent="1"/>
    </xf>
    <xf numFmtId="0" fontId="0" fillId="0" borderId="2" xfId="0" applyBorder="1" applyAlignment="1">
      <alignment horizontal="left" vertical="top" indent="1"/>
    </xf>
    <xf numFmtId="0" fontId="0" fillId="0" borderId="0" xfId="0" applyAlignment="1">
      <alignment horizontal="right"/>
    </xf>
    <xf numFmtId="0" fontId="0" fillId="0" borderId="0" xfId="0" applyAlignment="1"/>
    <xf numFmtId="0" fontId="0" fillId="0" borderId="4" xfId="0" applyBorder="1" applyAlignment="1" applyProtection="1">
      <alignment horizontal="center"/>
      <protection locked="0"/>
    </xf>
    <xf numFmtId="0" fontId="6" fillId="0" borderId="3" xfId="0" applyFont="1" applyBorder="1" applyAlignment="1">
      <alignment horizontal="left" vertical="top" indent="1"/>
    </xf>
    <xf numFmtId="0" fontId="0" fillId="0" borderId="3" xfId="0" applyBorder="1" applyAlignment="1">
      <alignment horizontal="center" vertical="top" wrapText="1"/>
    </xf>
    <xf numFmtId="0" fontId="0" fillId="0" borderId="1" xfId="0" applyBorder="1"/>
    <xf numFmtId="0" fontId="0" fillId="0" borderId="2" xfId="0" applyBorder="1"/>
    <xf numFmtId="0" fontId="6" fillId="0" borderId="7" xfId="0" applyFont="1" applyBorder="1" applyAlignment="1">
      <alignment vertical="top" wrapText="1"/>
    </xf>
    <xf numFmtId="0" fontId="0" fillId="0" borderId="18" xfId="0" applyBorder="1" applyAlignment="1">
      <alignment vertical="top" wrapText="1"/>
    </xf>
    <xf numFmtId="0" fontId="0" fillId="0" borderId="19" xfId="0" applyBorder="1" applyAlignment="1">
      <alignment vertical="top" wrapText="1"/>
    </xf>
    <xf numFmtId="0" fontId="0" fillId="0" borderId="20" xfId="0" applyBorder="1" applyAlignment="1">
      <alignment vertical="top" wrapText="1"/>
    </xf>
    <xf numFmtId="0" fontId="0" fillId="0" borderId="0" xfId="0" applyBorder="1" applyAlignment="1">
      <alignment vertical="top" wrapText="1"/>
    </xf>
    <xf numFmtId="0" fontId="0" fillId="0" borderId="17" xfId="0" applyBorder="1" applyAlignment="1">
      <alignment vertical="top" wrapText="1"/>
    </xf>
    <xf numFmtId="0" fontId="0" fillId="0" borderId="14" xfId="0" applyBorder="1" applyAlignment="1">
      <alignment vertical="top" wrapText="1"/>
    </xf>
    <xf numFmtId="0" fontId="0" fillId="0" borderId="11" xfId="0" applyBorder="1" applyAlignment="1">
      <alignment vertical="top" wrapText="1"/>
    </xf>
    <xf numFmtId="0" fontId="0" fillId="0" borderId="15" xfId="0" applyBorder="1" applyAlignment="1">
      <alignment vertical="top" wrapText="1"/>
    </xf>
    <xf numFmtId="0" fontId="2" fillId="0" borderId="0" xfId="0" applyFont="1" applyAlignment="1">
      <alignment horizontal="right" wrapText="1"/>
    </xf>
    <xf numFmtId="0" fontId="6" fillId="0" borderId="7" xfId="0" applyFont="1" applyBorder="1" applyAlignment="1">
      <alignment horizontal="left" vertical="top" wrapText="1"/>
    </xf>
    <xf numFmtId="0" fontId="0" fillId="0" borderId="18" xfId="0" applyBorder="1" applyAlignment="1">
      <alignment horizontal="left" vertical="top"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0" xfId="0" applyBorder="1" applyAlignment="1">
      <alignment horizontal="left" vertical="top" wrapText="1"/>
    </xf>
    <xf numFmtId="0" fontId="0" fillId="0" borderId="17" xfId="0" applyBorder="1" applyAlignment="1">
      <alignment horizontal="left" vertical="top" wrapText="1"/>
    </xf>
    <xf numFmtId="0" fontId="0" fillId="0" borderId="14" xfId="0" applyBorder="1" applyAlignment="1">
      <alignment horizontal="left" vertical="top" wrapText="1"/>
    </xf>
    <xf numFmtId="0" fontId="0" fillId="0" borderId="11" xfId="0" applyBorder="1" applyAlignment="1">
      <alignment horizontal="left" vertical="top" wrapText="1"/>
    </xf>
    <xf numFmtId="0" fontId="0" fillId="0" borderId="15" xfId="0" applyBorder="1" applyAlignment="1">
      <alignment horizontal="left" vertical="top" wrapText="1"/>
    </xf>
    <xf numFmtId="0" fontId="7" fillId="0" borderId="0" xfId="1" applyAlignment="1" applyProtection="1">
      <alignment horizontal="left"/>
    </xf>
    <xf numFmtId="0" fontId="2" fillId="0" borderId="0" xfId="0" applyFont="1" applyBorder="1" applyAlignment="1">
      <alignment horizontal="right" vertical="top"/>
    </xf>
    <xf numFmtId="0" fontId="0" fillId="0" borderId="17" xfId="0" applyBorder="1" applyAlignment="1">
      <alignment horizontal="right" vertical="top"/>
    </xf>
    <xf numFmtId="0" fontId="0" fillId="0" borderId="0" xfId="0" applyFill="1" applyAlignment="1">
      <alignment horizontal="right"/>
    </xf>
    <xf numFmtId="164" fontId="6" fillId="0" borderId="4" xfId="0" applyNumberFormat="1" applyFont="1" applyFill="1" applyBorder="1" applyAlignment="1" applyProtection="1">
      <alignment horizontal="center"/>
      <protection locked="0"/>
    </xf>
    <xf numFmtId="164" fontId="0" fillId="0" borderId="4" xfId="0" applyNumberFormat="1" applyFill="1" applyBorder="1" applyAlignment="1" applyProtection="1">
      <alignment horizontal="center"/>
      <protection locked="0"/>
    </xf>
    <xf numFmtId="164" fontId="0" fillId="0" borderId="3" xfId="0" applyNumberFormat="1" applyFill="1" applyBorder="1" applyAlignment="1" applyProtection="1">
      <alignment horizontal="center" vertical="center"/>
      <protection locked="0"/>
    </xf>
    <xf numFmtId="164" fontId="0" fillId="0" borderId="1" xfId="0" applyNumberFormat="1" applyFill="1" applyBorder="1" applyAlignment="1" applyProtection="1">
      <alignment horizontal="center" vertical="center"/>
      <protection locked="0"/>
    </xf>
    <xf numFmtId="164" fontId="0" fillId="0" borderId="2" xfId="0" applyNumberFormat="1" applyFill="1" applyBorder="1" applyAlignment="1" applyProtection="1">
      <alignment horizontal="center" vertical="center"/>
      <protection locked="0"/>
    </xf>
    <xf numFmtId="0" fontId="0" fillId="0" borderId="4" xfId="0" applyNumberFormat="1" applyFill="1" applyBorder="1" applyAlignment="1" applyProtection="1">
      <alignment horizontal="center"/>
      <protection locked="0"/>
    </xf>
    <xf numFmtId="0" fontId="6" fillId="0" borderId="4" xfId="0" applyFont="1" applyBorder="1" applyAlignment="1" applyProtection="1">
      <alignment horizontal="center"/>
      <protection locked="0"/>
    </xf>
    <xf numFmtId="0" fontId="2" fillId="0" borderId="0" xfId="0" applyFont="1" applyFill="1" applyBorder="1" applyAlignment="1">
      <alignment horizontal="right"/>
    </xf>
    <xf numFmtId="0" fontId="6" fillId="0" borderId="7" xfId="0" applyFont="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2" fillId="0" borderId="0" xfId="0" applyFont="1" applyAlignment="1">
      <alignment horizontal="right"/>
    </xf>
    <xf numFmtId="0" fontId="9" fillId="0" borderId="3" xfId="0" applyNumberFormat="1" applyFont="1" applyBorder="1" applyAlignment="1">
      <alignment horizontal="center"/>
    </xf>
    <xf numFmtId="0" fontId="9" fillId="0" borderId="2" xfId="0" applyNumberFormat="1" applyFont="1" applyBorder="1" applyAlignment="1">
      <alignment horizontal="center"/>
    </xf>
    <xf numFmtId="0" fontId="7" fillId="0" borderId="14" xfId="1" applyBorder="1" applyAlignment="1" applyProtection="1">
      <alignment horizontal="center"/>
    </xf>
    <xf numFmtId="0" fontId="0" fillId="0" borderId="11" xfId="0" applyBorder="1" applyAlignment="1">
      <alignment horizontal="center"/>
    </xf>
    <xf numFmtId="0" fontId="0" fillId="0" borderId="15" xfId="0" applyBorder="1" applyAlignment="1">
      <alignment horizontal="center"/>
    </xf>
    <xf numFmtId="0" fontId="0" fillId="0" borderId="3" xfId="0"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7" fillId="0" borderId="3" xfId="1" applyBorder="1" applyAlignment="1" applyProtection="1">
      <alignment horizontal="center"/>
    </xf>
    <xf numFmtId="0" fontId="6" fillId="0" borderId="3" xfId="0" applyFont="1" applyBorder="1" applyAlignment="1">
      <alignment horizontal="left" indent="1"/>
    </xf>
    <xf numFmtId="0" fontId="0" fillId="0" borderId="1" xfId="0" applyBorder="1" applyAlignment="1">
      <alignment horizontal="left" indent="1"/>
    </xf>
    <xf numFmtId="0" fontId="0" fillId="0" borderId="2" xfId="0" applyBorder="1" applyAlignment="1">
      <alignment horizontal="left" indent="1"/>
    </xf>
    <xf numFmtId="0" fontId="6" fillId="0" borderId="0" xfId="0" applyFont="1" applyBorder="1" applyAlignment="1">
      <alignment horizontal="right" vertical="top"/>
    </xf>
    <xf numFmtId="0" fontId="6" fillId="0" borderId="7" xfId="0" applyFont="1" applyBorder="1" applyAlignment="1">
      <alignment horizontal="left" vertical="top" wrapText="1" indent="1"/>
    </xf>
    <xf numFmtId="0" fontId="0" fillId="0" borderId="18" xfId="0" applyBorder="1" applyAlignment="1">
      <alignment horizontal="left" vertical="top" indent="1"/>
    </xf>
    <xf numFmtId="0" fontId="0" fillId="0" borderId="19" xfId="0" applyBorder="1" applyAlignment="1">
      <alignment horizontal="left" vertical="top" indent="1"/>
    </xf>
    <xf numFmtId="0" fontId="0" fillId="0" borderId="20" xfId="0" applyBorder="1" applyAlignment="1">
      <alignment horizontal="left" vertical="top" indent="1"/>
    </xf>
    <xf numFmtId="0" fontId="0" fillId="0" borderId="0" xfId="0" applyBorder="1" applyAlignment="1">
      <alignment horizontal="left" vertical="top" indent="1"/>
    </xf>
    <xf numFmtId="0" fontId="0" fillId="0" borderId="17" xfId="0" applyBorder="1" applyAlignment="1">
      <alignment horizontal="left" vertical="top" indent="1"/>
    </xf>
    <xf numFmtId="0" fontId="0" fillId="0" borderId="14" xfId="0" applyBorder="1" applyAlignment="1">
      <alignment horizontal="left" vertical="top" indent="1"/>
    </xf>
    <xf numFmtId="0" fontId="0" fillId="0" borderId="11" xfId="0" applyBorder="1" applyAlignment="1">
      <alignment horizontal="left" vertical="top" indent="1"/>
    </xf>
    <xf numFmtId="0" fontId="0" fillId="0" borderId="15" xfId="0" applyBorder="1" applyAlignment="1">
      <alignment horizontal="left" vertical="top" indent="1"/>
    </xf>
    <xf numFmtId="0" fontId="0" fillId="0" borderId="0" xfId="0" applyAlignment="1">
      <alignment vertical="top"/>
    </xf>
    <xf numFmtId="0" fontId="0" fillId="0" borderId="17" xfId="0" applyBorder="1" applyAlignment="1">
      <alignment vertical="top"/>
    </xf>
    <xf numFmtId="0" fontId="11" fillId="0" borderId="0" xfId="0" applyFont="1" applyBorder="1" applyAlignment="1">
      <alignment horizontal="left" vertical="top" wrapText="1"/>
    </xf>
    <xf numFmtId="0" fontId="2" fillId="0" borderId="0" xfId="0" applyFont="1" applyAlignment="1">
      <alignment vertical="top"/>
    </xf>
    <xf numFmtId="0" fontId="4" fillId="0" borderId="0" xfId="0" applyFont="1" applyAlignment="1">
      <alignment horizontal="right"/>
    </xf>
    <xf numFmtId="164" fontId="0" fillId="0" borderId="0" xfId="0" applyNumberFormat="1" applyFill="1" applyBorder="1" applyAlignment="1" applyProtection="1">
      <alignment horizontal="center"/>
      <protection locked="0"/>
    </xf>
    <xf numFmtId="0" fontId="6" fillId="0" borderId="3" xfId="0" applyFont="1" applyFill="1" applyBorder="1" applyAlignment="1">
      <alignment horizontal="center"/>
    </xf>
    <xf numFmtId="0" fontId="0" fillId="0" borderId="1" xfId="0" applyFill="1" applyBorder="1" applyAlignment="1">
      <alignment horizontal="center"/>
    </xf>
    <xf numFmtId="0" fontId="0" fillId="0" borderId="2" xfId="0" applyFill="1" applyBorder="1" applyAlignment="1">
      <alignment horizontal="center"/>
    </xf>
    <xf numFmtId="0" fontId="2" fillId="0" borderId="0" xfId="0" applyFont="1" applyBorder="1" applyAlignment="1">
      <alignment horizontal="right"/>
    </xf>
    <xf numFmtId="0" fontId="2" fillId="0" borderId="17" xfId="0" applyFont="1" applyBorder="1" applyAlignment="1">
      <alignment horizontal="right"/>
    </xf>
    <xf numFmtId="0" fontId="0" fillId="0" borderId="0" xfId="0" applyBorder="1" applyAlignment="1" applyProtection="1">
      <alignment horizontal="center"/>
      <protection locked="0"/>
    </xf>
    <xf numFmtId="0" fontId="6" fillId="0" borderId="3" xfId="0" applyFont="1" applyBorder="1" applyAlignment="1">
      <alignment horizontal="center"/>
    </xf>
    <xf numFmtId="0" fontId="2" fillId="0" borderId="0" xfId="0" applyFont="1" applyBorder="1" applyAlignment="1">
      <alignment horizontal="center"/>
    </xf>
    <xf numFmtId="166" fontId="0" fillId="0" borderId="4" xfId="0" applyNumberFormat="1" applyFill="1" applyBorder="1" applyAlignment="1" applyProtection="1">
      <alignment horizontal="center"/>
      <protection locked="0"/>
    </xf>
    <xf numFmtId="0" fontId="6" fillId="0" borderId="0" xfId="0" applyFont="1" applyAlignment="1">
      <alignment horizontal="left" vertical="top" wrapText="1"/>
    </xf>
    <xf numFmtId="0" fontId="6" fillId="0" borderId="17" xfId="0" applyFont="1" applyBorder="1" applyAlignment="1">
      <alignment horizontal="left" vertical="top" wrapText="1"/>
    </xf>
    <xf numFmtId="0" fontId="6" fillId="0" borderId="0" xfId="0" applyFont="1" applyFill="1" applyAlignment="1">
      <alignment horizontal="right" vertical="center" wrapText="1"/>
    </xf>
    <xf numFmtId="0" fontId="0" fillId="0" borderId="17" xfId="0" applyFill="1" applyBorder="1" applyAlignment="1">
      <alignment horizontal="right" vertical="center" wrapText="1"/>
    </xf>
    <xf numFmtId="164" fontId="6" fillId="0" borderId="21" xfId="0" applyNumberFormat="1" applyFont="1" applyFill="1" applyBorder="1" applyAlignment="1" applyProtection="1">
      <alignment horizontal="center"/>
      <protection locked="0"/>
    </xf>
    <xf numFmtId="164" fontId="0" fillId="0" borderId="22" xfId="0" applyNumberFormat="1" applyFill="1" applyBorder="1" applyAlignment="1" applyProtection="1">
      <alignment horizontal="center"/>
      <protection locked="0"/>
    </xf>
    <xf numFmtId="164" fontId="0" fillId="0" borderId="23" xfId="0" applyNumberFormat="1" applyFill="1" applyBorder="1" applyAlignment="1" applyProtection="1">
      <alignment horizontal="center"/>
      <protection locked="0"/>
    </xf>
    <xf numFmtId="0" fontId="6" fillId="0" borderId="7" xfId="0" applyFont="1" applyBorder="1" applyAlignment="1">
      <alignment horizontal="left" vertical="top" indent="1"/>
    </xf>
    <xf numFmtId="0" fontId="2" fillId="0" borderId="0" xfId="0" applyFont="1" applyAlignment="1">
      <alignment horizontal="left" vertical="top" wrapText="1"/>
    </xf>
    <xf numFmtId="0" fontId="7" fillId="0" borderId="4" xfId="1" applyNumberFormat="1" applyFill="1" applyBorder="1" applyAlignment="1" applyProtection="1">
      <alignment horizontal="center"/>
      <protection locked="0"/>
    </xf>
    <xf numFmtId="164" fontId="0" fillId="0" borderId="3" xfId="0" applyNumberFormat="1" applyFill="1" applyBorder="1" applyAlignment="1" applyProtection="1">
      <alignment horizontal="center" shrinkToFit="1"/>
      <protection locked="0"/>
    </xf>
    <xf numFmtId="164" fontId="0" fillId="0" borderId="1" xfId="0" applyNumberFormat="1" applyFill="1" applyBorder="1" applyAlignment="1" applyProtection="1">
      <alignment horizontal="center" shrinkToFit="1"/>
      <protection locked="0"/>
    </xf>
    <xf numFmtId="164" fontId="0" fillId="0" borderId="2" xfId="0" applyNumberFormat="1" applyFill="1" applyBorder="1" applyAlignment="1" applyProtection="1">
      <alignment horizontal="center" shrinkToFit="1"/>
      <protection locked="0"/>
    </xf>
    <xf numFmtId="0" fontId="15" fillId="10" borderId="0" xfId="2" applyFont="1" applyFill="1" applyAlignment="1">
      <alignment horizontal="center"/>
    </xf>
    <xf numFmtId="0" fontId="15" fillId="11" borderId="0" xfId="2" applyFont="1" applyFill="1" applyAlignment="1">
      <alignment horizontal="center"/>
    </xf>
    <xf numFmtId="0" fontId="15" fillId="12" borderId="0" xfId="2" applyFont="1" applyFill="1" applyAlignment="1">
      <alignment horizontal="center"/>
    </xf>
    <xf numFmtId="0" fontId="0" fillId="0" borderId="17" xfId="0" applyBorder="1" applyAlignment="1">
      <alignment horizontal="right"/>
    </xf>
  </cellXfs>
  <cellStyles count="3">
    <cellStyle name="Hyperlink" xfId="1" builtinId="8"/>
    <cellStyle name="Normal" xfId="0" builtinId="0"/>
    <cellStyle name="Normal 2" xfId="2"/>
  </cellStyles>
  <dxfs count="6">
    <dxf>
      <font>
        <b/>
        <i val="0"/>
      </font>
    </dxf>
    <dxf>
      <font>
        <b/>
        <i val="0"/>
      </font>
    </dxf>
    <dxf>
      <font>
        <b/>
        <i val="0"/>
      </font>
    </dxf>
    <dxf>
      <font>
        <color auto="1"/>
      </font>
    </dxf>
    <dxf>
      <font>
        <color auto="1"/>
      </font>
    </dxf>
    <dxf>
      <font>
        <color auto="1"/>
      </font>
      <border>
        <left style="thin">
          <color auto="1"/>
        </left>
        <right style="thin">
          <color auto="1"/>
        </right>
        <top style="thin">
          <color auto="1"/>
        </top>
        <bottom style="thin">
          <color auto="1"/>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Drop" dropLines="6" dropStyle="combo" dx="15" fmlaLink="'drop-down for arrays'!$C$5" fmlaRange="ArrayDropDownInputRange" noThreeD="1" val="0"/>
</file>

<file path=xl/ctrlProps/ctrlProp2.xml><?xml version="1.0" encoding="utf-8"?>
<formControlPr xmlns="http://schemas.microsoft.com/office/spreadsheetml/2009/9/main" objectType="Radio" checked="Checked" firstButton="1" fmlaLink="'drop-down for arrays'!$C$3" lockText="1" noThreeD="1"/>
</file>

<file path=xl/ctrlProps/ctrlProp3.xml><?xml version="1.0" encoding="utf-8"?>
<formControlPr xmlns="http://schemas.microsoft.com/office/spreadsheetml/2009/9/main" objectType="GBox"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Radio" lockText="1" noThreeD="1"/>
</file>

<file path=xl/ctrlProps/ctrlProp6.xml><?xml version="1.0" encoding="utf-8"?>
<formControlPr xmlns="http://schemas.microsoft.com/office/spreadsheetml/2009/9/main" objectType="Radio" lockText="1" noThreeD="1"/>
</file>

<file path=xl/ctrlProps/ctrlProp7.xml><?xml version="1.0" encoding="utf-8"?>
<formControlPr xmlns="http://schemas.microsoft.com/office/spreadsheetml/2009/9/main" objectType="Radio" lockText="1" noThreeD="1"/>
</file>

<file path=xl/ctrlProps/ctrlProp8.xml><?xml version="1.0" encoding="utf-8"?>
<formControlPr xmlns="http://schemas.microsoft.com/office/spreadsheetml/2009/9/main" objectType="GBox" noThreeD="1"/>
</file>

<file path=xl/ctrlProps/ctrlProp9.xml><?xml version="1.0" encoding="utf-8"?>
<formControlPr xmlns="http://schemas.microsoft.com/office/spreadsheetml/2009/9/main" objectType="Radio" checked="Checked" firstButton="1" fmlaLink="'drop-down for arrays'!$C$2" lockText="1" noThreeD="1"/>
</file>

<file path=xl/ctrlProps/ctrlProp10.xml><?xml version="1.0" encoding="utf-8"?>
<formControlPr xmlns="http://schemas.microsoft.com/office/spreadsheetml/2009/9/main" objectType="Radio" lockText="1" noThreeD="1"/>
</file>

<file path=xl/ctrlProps/ctrlProp11.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47625</xdr:colOff>
      <xdr:row>0</xdr:row>
      <xdr:rowOff>85725</xdr:rowOff>
    </xdr:from>
    <xdr:to>
      <xdr:col>12</xdr:col>
      <xdr:colOff>447675</xdr:colOff>
      <xdr:row>4</xdr:row>
      <xdr:rowOff>142875</xdr:rowOff>
    </xdr:to>
    <xdr:sp macro="" textlink="">
      <xdr:nvSpPr>
        <xdr:cNvPr id="1027" name="Text Box 3"/>
        <xdr:cNvSpPr txBox="1">
          <a:spLocks noChangeArrowheads="1"/>
        </xdr:cNvSpPr>
      </xdr:nvSpPr>
      <xdr:spPr bwMode="auto">
        <a:xfrm>
          <a:off x="47625" y="85725"/>
          <a:ext cx="8020050" cy="1181100"/>
        </a:xfrm>
        <a:prstGeom prst="rect">
          <a:avLst/>
        </a:prstGeom>
        <a:solidFill>
          <a:srgbClr val="FFFFFF"/>
        </a:solidFill>
        <a:ln w="12700">
          <a:solidFill>
            <a:srgbClr val="000000"/>
          </a:solidFill>
          <a:miter lim="800000"/>
          <a:headEnd/>
          <a:tailEnd/>
        </a:ln>
      </xdr:spPr>
      <xdr:txBody>
        <a:bodyPr vertOverflow="clip" wrap="square" lIns="54864" tIns="50292" rIns="0" bIns="0" anchor="t" upright="1"/>
        <a:lstStyle/>
        <a:p>
          <a:pPr algn="l" rtl="0">
            <a:defRPr sz="1000"/>
          </a:pPr>
          <a:r>
            <a:rPr lang="en-US" sz="2600" b="1" i="0" strike="noStrike">
              <a:solidFill>
                <a:srgbClr val="000000"/>
              </a:solidFill>
              <a:latin typeface="Arial"/>
              <a:cs typeface="Arial"/>
            </a:rPr>
            <a:t>                   </a:t>
          </a:r>
          <a:r>
            <a:rPr lang="en-US" sz="2400" b="1" i="0" strike="noStrike">
              <a:solidFill>
                <a:srgbClr val="000000"/>
              </a:solidFill>
              <a:latin typeface="Arial"/>
              <a:cs typeface="Arial"/>
            </a:rPr>
            <a:t>Expression</a:t>
          </a:r>
          <a:r>
            <a:rPr lang="en-US" sz="2400" b="1" i="0" strike="noStrike" baseline="0">
              <a:solidFill>
                <a:srgbClr val="000000"/>
              </a:solidFill>
              <a:latin typeface="Arial"/>
              <a:cs typeface="Arial"/>
            </a:rPr>
            <a:t> Array </a:t>
          </a:r>
        </a:p>
        <a:p>
          <a:pPr algn="l" rtl="0">
            <a:defRPr sz="1000"/>
          </a:pPr>
          <a:r>
            <a:rPr lang="en-US" sz="2400" b="1" i="0" strike="noStrike" baseline="0">
              <a:solidFill>
                <a:srgbClr val="000000"/>
              </a:solidFill>
              <a:latin typeface="Arial"/>
              <a:cs typeface="Arial"/>
            </a:rPr>
            <a:t>			</a:t>
          </a:r>
          <a:r>
            <a:rPr lang="en-US" sz="2400" b="1" i="0" strike="noStrike">
              <a:solidFill>
                <a:srgbClr val="000000"/>
              </a:solidFill>
              <a:latin typeface="Arial"/>
              <a:cs typeface="Arial"/>
            </a:rPr>
            <a:t>Project Application Form</a:t>
          </a:r>
          <a:r>
            <a:rPr lang="en-US" sz="2800" b="1" i="0" strike="noStrike">
              <a:solidFill>
                <a:srgbClr val="000000"/>
              </a:solidFill>
              <a:latin typeface="Arial"/>
              <a:cs typeface="Arial"/>
            </a:rPr>
            <a:t>                                    </a:t>
          </a:r>
        </a:p>
        <a:p>
          <a:pPr algn="l" rtl="0">
            <a:defRPr sz="1000"/>
          </a:pPr>
          <a:endParaRPr lang="en-US" sz="1000" b="1" i="0" strike="noStrike">
            <a:solidFill>
              <a:srgbClr val="000000"/>
            </a:solidFill>
            <a:latin typeface="Arial"/>
            <a:cs typeface="Arial"/>
          </a:endParaRPr>
        </a:p>
        <a:p>
          <a:pPr algn="l" rtl="0">
            <a:defRPr sz="1000"/>
          </a:pPr>
          <a:r>
            <a:rPr lang="en-US" sz="1000" b="1" i="0" strike="noStrike">
              <a:solidFill>
                <a:srgbClr val="000000"/>
              </a:solidFill>
              <a:latin typeface="Arial"/>
              <a:cs typeface="Arial"/>
            </a:rPr>
            <a:t>                                                         </a:t>
          </a:r>
          <a:r>
            <a:rPr lang="en-US" sz="1000" b="1" i="1" strike="noStrike">
              <a:solidFill>
                <a:srgbClr val="000000"/>
              </a:solidFill>
              <a:latin typeface="Arial"/>
              <a:cs typeface="Arial"/>
            </a:rPr>
            <a:t>For</a:t>
          </a:r>
          <a:r>
            <a:rPr lang="en-US" sz="1000" b="1" i="1" strike="noStrike" baseline="0">
              <a:solidFill>
                <a:srgbClr val="000000"/>
              </a:solidFill>
              <a:latin typeface="Arial"/>
              <a:cs typeface="Arial"/>
            </a:rPr>
            <a:t> help with project design, please contact GPSR Director (harringc@ohsu.edu)</a:t>
          </a:r>
          <a:endParaRPr lang="en-US" sz="1000" b="1" i="1" strike="noStrike">
            <a:solidFill>
              <a:srgbClr val="000000"/>
            </a:solidFill>
            <a:latin typeface="Arial"/>
            <a:cs typeface="Arial"/>
          </a:endParaRPr>
        </a:p>
      </xdr:txBody>
    </xdr:sp>
    <xdr:clientData/>
  </xdr:twoCellAnchor>
  <xdr:twoCellAnchor>
    <xdr:from>
      <xdr:col>0</xdr:col>
      <xdr:colOff>142875</xdr:colOff>
      <xdr:row>135</xdr:row>
      <xdr:rowOff>76200</xdr:rowOff>
    </xdr:from>
    <xdr:to>
      <xdr:col>16</xdr:col>
      <xdr:colOff>0</xdr:colOff>
      <xdr:row>140</xdr:row>
      <xdr:rowOff>104775</xdr:rowOff>
    </xdr:to>
    <xdr:sp macro="" textlink="">
      <xdr:nvSpPr>
        <xdr:cNvPr id="1036" name="Text Box 12"/>
        <xdr:cNvSpPr txBox="1">
          <a:spLocks noChangeArrowheads="1"/>
        </xdr:cNvSpPr>
      </xdr:nvSpPr>
      <xdr:spPr bwMode="auto">
        <a:xfrm>
          <a:off x="142875" y="24860250"/>
          <a:ext cx="9867900" cy="771525"/>
        </a:xfrm>
        <a:prstGeom prst="rect">
          <a:avLst/>
        </a:prstGeom>
        <a:solidFill>
          <a:srgbClr val="FFFFFF"/>
        </a:solidFill>
        <a:ln w="9525">
          <a:solidFill>
            <a:srgbClr val="000000"/>
          </a:solidFill>
          <a:miter lim="800000"/>
          <a:headEnd/>
          <a:tailEnd/>
        </a:ln>
      </xdr:spPr>
      <xdr:txBody>
        <a:bodyPr vertOverflow="clip" wrap="square" lIns="36576" tIns="27432" rIns="36576" bIns="0" anchor="t" upright="1"/>
        <a:lstStyle/>
        <a:p>
          <a:pPr algn="ctr" rtl="0">
            <a:defRPr sz="1000"/>
          </a:pPr>
          <a:r>
            <a:rPr lang="en-US" sz="1200" b="1" i="0" strike="noStrike">
              <a:solidFill>
                <a:srgbClr val="FF6600"/>
              </a:solidFill>
              <a:latin typeface="Arial"/>
              <a:cs typeface="Arial"/>
            </a:rPr>
            <a:t>After filling out this form, please save it and email it to </a:t>
          </a:r>
        </a:p>
        <a:p>
          <a:pPr algn="ctr" rtl="0">
            <a:defRPr sz="1000"/>
          </a:pPr>
          <a:r>
            <a:rPr lang="en-US" sz="1200" b="1" i="0" strike="noStrike">
              <a:solidFill>
                <a:srgbClr val="FF6600"/>
              </a:solidFill>
              <a:latin typeface="Arial"/>
              <a:cs typeface="Arial"/>
            </a:rPr>
            <a:t>Amiee Potter (potteram@ohsu.edu)</a:t>
          </a:r>
        </a:p>
        <a:p>
          <a:pPr algn="ctr" rtl="0">
            <a:defRPr sz="1000"/>
          </a:pPr>
          <a:endParaRPr lang="en-US" sz="1000" b="1" i="0" strike="noStrike">
            <a:solidFill>
              <a:srgbClr val="FF6600"/>
            </a:solidFill>
            <a:latin typeface="Arial"/>
            <a:cs typeface="Arial"/>
          </a:endParaRPr>
        </a:p>
        <a:p>
          <a:pPr algn="ctr" rtl="0">
            <a:defRPr sz="1000"/>
          </a:pPr>
          <a:r>
            <a:rPr lang="en-US" sz="1000" b="1" i="1" strike="noStrike">
              <a:solidFill>
                <a:srgbClr val="FF6600"/>
              </a:solidFill>
              <a:latin typeface="Arial"/>
              <a:cs typeface="Arial"/>
            </a:rPr>
            <a:t>For help with this form, please contact the</a:t>
          </a:r>
          <a:r>
            <a:rPr lang="en-US" sz="1000" b="1" i="1" strike="noStrike" baseline="0">
              <a:solidFill>
                <a:srgbClr val="FF6600"/>
              </a:solidFill>
              <a:latin typeface="Arial"/>
              <a:cs typeface="Arial"/>
            </a:rPr>
            <a:t> GPSR</a:t>
          </a:r>
          <a:r>
            <a:rPr lang="en-US" sz="1000" b="1" i="1" strike="noStrike">
              <a:solidFill>
                <a:srgbClr val="FF6600"/>
              </a:solidFill>
              <a:latin typeface="Arial"/>
              <a:cs typeface="Arial"/>
            </a:rPr>
            <a:t>.</a:t>
          </a:r>
          <a:endParaRPr lang="en-US" sz="1000" b="0" i="1" strike="noStrike">
            <a:solidFill>
              <a:srgbClr val="000000"/>
            </a:solidFill>
            <a:latin typeface="Arial"/>
            <a:cs typeface="Arial"/>
          </a:endParaRPr>
        </a:p>
      </xdr:txBody>
    </xdr:sp>
    <xdr:clientData/>
  </xdr:twoCellAnchor>
  <xdr:twoCellAnchor>
    <xdr:from>
      <xdr:col>1</xdr:col>
      <xdr:colOff>9525</xdr:colOff>
      <xdr:row>113</xdr:row>
      <xdr:rowOff>19049</xdr:rowOff>
    </xdr:from>
    <xdr:to>
      <xdr:col>16</xdr:col>
      <xdr:colOff>0</xdr:colOff>
      <xdr:row>118</xdr:row>
      <xdr:rowOff>57150</xdr:rowOff>
    </xdr:to>
    <xdr:sp macro="" textlink="">
      <xdr:nvSpPr>
        <xdr:cNvPr id="1096" name="Text Box 72"/>
        <xdr:cNvSpPr txBox="1">
          <a:spLocks noChangeArrowheads="1"/>
        </xdr:cNvSpPr>
      </xdr:nvSpPr>
      <xdr:spPr bwMode="auto">
        <a:xfrm>
          <a:off x="161925" y="18992849"/>
          <a:ext cx="9848850" cy="847726"/>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Each </a:t>
          </a:r>
          <a:r>
            <a:rPr lang="en-US" sz="1000" b="0" i="0">
              <a:latin typeface="Arial" pitchFamily="34" charset="0"/>
              <a:ea typeface="+mn-ea"/>
              <a:cs typeface="Arial" pitchFamily="34" charset="0"/>
            </a:rPr>
            <a:t>Affymetrix</a:t>
          </a:r>
          <a:r>
            <a:rPr lang="en-US" sz="1000" b="0" i="0">
              <a:latin typeface="+mn-lt"/>
              <a:ea typeface="+mn-ea"/>
              <a:cs typeface="+mn-cs"/>
            </a:rPr>
            <a:t> </a:t>
          </a:r>
          <a:r>
            <a:rPr lang="en-US" sz="1000" b="0" i="0" strike="noStrike">
              <a:solidFill>
                <a:srgbClr val="000000"/>
              </a:solidFill>
              <a:latin typeface="Arial"/>
              <a:cs typeface="Arial"/>
            </a:rPr>
            <a:t>GeneChip</a:t>
          </a:r>
          <a:r>
            <a:rPr lang="en-US" sz="1000" b="0" i="0" strike="noStrike" baseline="0">
              <a:solidFill>
                <a:srgbClr val="000000"/>
              </a:solidFill>
              <a:latin typeface="Arial"/>
              <a:cs typeface="Arial"/>
            </a:rPr>
            <a:t> </a:t>
          </a:r>
          <a:r>
            <a:rPr lang="en-US" sz="1000" b="0" i="0" strike="noStrike">
              <a:solidFill>
                <a:srgbClr val="000000"/>
              </a:solidFill>
              <a:latin typeface="Arial"/>
              <a:cs typeface="Arial"/>
            </a:rPr>
            <a:t>array is processed in Affymetrix' GeneChip Command Console (AGCC).</a:t>
          </a:r>
          <a:r>
            <a:rPr lang="en-US" sz="1000" b="0" i="0" strike="noStrike" baseline="0">
              <a:solidFill>
                <a:srgbClr val="000000"/>
              </a:solidFill>
              <a:latin typeface="Arial"/>
              <a:cs typeface="Arial"/>
            </a:rPr>
            <a:t>  E</a:t>
          </a:r>
          <a:r>
            <a:rPr lang="en-US" sz="1000" b="0" i="0" strike="noStrike">
              <a:solidFill>
                <a:srgbClr val="000000"/>
              </a:solidFill>
              <a:latin typeface="Arial"/>
              <a:cs typeface="Arial"/>
            </a:rPr>
            <a:t>ach Illumina array is processed in Illumina</a:t>
          </a:r>
          <a:r>
            <a:rPr lang="en-US" sz="1000" b="0" i="0" strike="noStrike" baseline="0">
              <a:solidFill>
                <a:srgbClr val="000000"/>
              </a:solidFill>
              <a:latin typeface="Arial"/>
              <a:cs typeface="Arial"/>
            </a:rPr>
            <a:t> </a:t>
          </a:r>
          <a:r>
            <a:rPr lang="en-US" sz="1000" b="0" i="0" strike="noStrike">
              <a:solidFill>
                <a:srgbClr val="000000"/>
              </a:solidFill>
              <a:latin typeface="Arial"/>
              <a:cs typeface="Arial"/>
            </a:rPr>
            <a:t>GenomeStudio.</a:t>
          </a:r>
          <a:endParaRPr lang="en-US" sz="1000" b="0" i="0" strike="noStrike">
            <a:solidFill>
              <a:srgbClr val="0000FF"/>
            </a:solidFill>
            <a:latin typeface="Arial"/>
            <a:cs typeface="Arial"/>
          </a:endParaRPr>
        </a:p>
        <a:p>
          <a:pPr algn="l" rtl="0">
            <a:defRPr sz="1000"/>
          </a:pPr>
          <a:r>
            <a:rPr lang="en-US" sz="400" b="0" i="0" strike="noStrike">
              <a:solidFill>
                <a:srgbClr val="0000FF"/>
              </a:solidFill>
              <a:latin typeface="Arial"/>
              <a:cs typeface="Arial"/>
            </a:rPr>
            <a:t> </a:t>
          </a:r>
          <a:endParaRPr lang="en-US" sz="1000" b="0" i="0" strike="noStrike">
            <a:solidFill>
              <a:srgbClr val="0000FF"/>
            </a:solidFill>
            <a:latin typeface="Arial"/>
            <a:cs typeface="Arial"/>
          </a:endParaRPr>
        </a:p>
        <a:p>
          <a:pPr algn="l" rtl="0">
            <a:defRPr sz="1000"/>
          </a:pPr>
          <a:r>
            <a:rPr lang="en-US" sz="1000" b="0" i="0" strike="noStrike">
              <a:solidFill>
                <a:srgbClr val="000000"/>
              </a:solidFill>
              <a:latin typeface="Arial"/>
              <a:cs typeface="Arial"/>
            </a:rPr>
            <a:t>Note: The GPSR provides access to some software packages that are useful for microarray processing and analysis.  In addition to Affymetrix and Illumina software, current GPSR software options for downstream data analysis include </a:t>
          </a:r>
          <a:r>
            <a:rPr lang="en-US" sz="1000" b="1" i="0" strike="noStrike">
              <a:solidFill>
                <a:sysClr val="windowText" lastClr="000000"/>
              </a:solidFill>
              <a:latin typeface="Arial"/>
              <a:cs typeface="Arial"/>
            </a:rPr>
            <a:t>GeneSifter</a:t>
          </a:r>
          <a:r>
            <a:rPr lang="en-US" sz="1000" b="0" i="0" strike="noStrike">
              <a:solidFill>
                <a:sysClr val="windowText" lastClr="000000"/>
              </a:solidFill>
              <a:latin typeface="Arial"/>
              <a:cs typeface="Arial"/>
            </a:rPr>
            <a:t> </a:t>
          </a:r>
          <a:r>
            <a:rPr lang="en-US" sz="1000" b="0" i="0" u="sng" strike="noStrike">
              <a:solidFill>
                <a:sysClr val="windowText" lastClr="000000"/>
              </a:solidFill>
              <a:latin typeface="Arial"/>
              <a:cs typeface="Arial"/>
            </a:rPr>
            <a:t>(www.geospiza.com</a:t>
          </a:r>
          <a:r>
            <a:rPr lang="en-US" sz="1000" b="0" i="0" strike="noStrike">
              <a:solidFill>
                <a:sysClr val="windowText" lastClr="000000"/>
              </a:solidFill>
              <a:latin typeface="Arial"/>
              <a:cs typeface="Arial"/>
            </a:rPr>
            <a:t>) </a:t>
          </a:r>
          <a:r>
            <a:rPr lang="en-US" sz="1000" b="1" i="0" strike="noStrike">
              <a:solidFill>
                <a:sysClr val="windowText" lastClr="000000"/>
              </a:solidFill>
              <a:latin typeface="Arial"/>
              <a:cs typeface="Arial"/>
            </a:rPr>
            <a:t>Partek Genomics Suite </a:t>
          </a:r>
          <a:r>
            <a:rPr lang="en-US" sz="1000" b="0" i="0" strike="noStrike">
              <a:solidFill>
                <a:sysClr val="windowText" lastClr="000000"/>
              </a:solidFill>
              <a:latin typeface="Arial"/>
              <a:cs typeface="Arial"/>
            </a:rPr>
            <a:t>(</a:t>
          </a:r>
          <a:r>
            <a:rPr lang="en-US" sz="1000" b="0" i="0" u="sng" strike="noStrike">
              <a:solidFill>
                <a:sysClr val="windowText" lastClr="000000"/>
              </a:solidFill>
              <a:latin typeface="Arial"/>
              <a:cs typeface="Arial"/>
            </a:rPr>
            <a:t>www.partek.com</a:t>
          </a:r>
          <a:r>
            <a:rPr lang="en-US" sz="1000" b="0" i="0" strike="noStrike">
              <a:solidFill>
                <a:sysClr val="windowText" lastClr="000000"/>
              </a:solidFill>
              <a:latin typeface="Arial"/>
              <a:cs typeface="Arial"/>
            </a:rPr>
            <a:t>), and </a:t>
          </a:r>
          <a:r>
            <a:rPr lang="en-US" sz="1000" b="1" i="0" strike="noStrike">
              <a:solidFill>
                <a:sysClr val="windowText" lastClr="000000"/>
              </a:solidFill>
              <a:latin typeface="Arial"/>
              <a:cs typeface="Arial"/>
            </a:rPr>
            <a:t>MetaCore</a:t>
          </a:r>
          <a:r>
            <a:rPr lang="en-US" sz="1000" b="0" i="0" strike="noStrike">
              <a:solidFill>
                <a:sysClr val="windowText" lastClr="000000"/>
              </a:solidFill>
              <a:latin typeface="Arial"/>
              <a:cs typeface="Arial"/>
            </a:rPr>
            <a:t> (</a:t>
          </a:r>
          <a:r>
            <a:rPr lang="en-US" sz="1000" b="0" i="0" u="sng" strike="noStrike">
              <a:solidFill>
                <a:sysClr val="windowText" lastClr="000000"/>
              </a:solidFill>
              <a:latin typeface="Arial"/>
              <a:cs typeface="Arial"/>
            </a:rPr>
            <a:t>www.genego.com</a:t>
          </a:r>
          <a:r>
            <a:rPr lang="en-US" sz="1000" b="0" i="0" strike="noStrike">
              <a:solidFill>
                <a:sysClr val="windowText" lastClr="000000"/>
              </a:solidFill>
              <a:latin typeface="Arial"/>
              <a:cs typeface="Arial"/>
            </a:rPr>
            <a:t>);</a:t>
          </a:r>
          <a:r>
            <a:rPr lang="en-US" sz="1000" b="0" i="0" strike="noStrike" baseline="0">
              <a:solidFill>
                <a:sysClr val="windowText" lastClr="000000"/>
              </a:solidFill>
              <a:latin typeface="Arial"/>
              <a:cs typeface="Arial"/>
            </a:rPr>
            <a:t> </a:t>
          </a:r>
          <a:r>
            <a:rPr lang="en-US" sz="1000" b="0" i="0" u="none" strike="noStrike" baseline="0">
              <a:solidFill>
                <a:sysClr val="windowText" lastClr="000000"/>
              </a:solidFill>
              <a:latin typeface="Arial"/>
              <a:cs typeface="Arial"/>
            </a:rPr>
            <a:t>contact IGL User Support (potteram@ohsu.edu) </a:t>
          </a:r>
          <a:r>
            <a:rPr lang="en-US" sz="1000" b="0" i="0" strike="noStrike" baseline="0">
              <a:solidFill>
                <a:srgbClr val="000000"/>
              </a:solidFill>
              <a:latin typeface="Arial"/>
              <a:cs typeface="Arial"/>
            </a:rPr>
            <a:t>for details.  The OCTRI Biostatistics and Design Program and the OCTRI Biomedical Informatics Program provide consulting services for data analyses; </a:t>
          </a:r>
          <a:r>
            <a:rPr lang="en-US" sz="1000" b="0" i="0" u="sng" strike="noStrike" baseline="0">
              <a:solidFill>
                <a:srgbClr val="0070C0"/>
              </a:solidFill>
              <a:latin typeface="Arial"/>
              <a:cs typeface="Arial"/>
            </a:rPr>
            <a:t>see http://www.ohsu.edu/xd/research/centers-institutes/octri/index.cfm</a:t>
          </a:r>
          <a:r>
            <a:rPr lang="en-US" sz="1000" b="0" i="0" strike="noStrike" baseline="0">
              <a:solidFill>
                <a:srgbClr val="000000"/>
              </a:solidFill>
              <a:latin typeface="Arial"/>
              <a:cs typeface="Arial"/>
            </a:rPr>
            <a:t> for further details.</a:t>
          </a:r>
          <a:endParaRPr lang="en-US" sz="1000" b="0" i="0" strike="noStrike">
            <a:solidFill>
              <a:srgbClr val="000000"/>
            </a:solidFill>
            <a:latin typeface="Arial"/>
            <a:cs typeface="Arial"/>
          </a:endParaRPr>
        </a:p>
      </xdr:txBody>
    </xdr:sp>
    <xdr:clientData/>
  </xdr:twoCellAnchor>
  <xdr:twoCellAnchor>
    <xdr:from>
      <xdr:col>0</xdr:col>
      <xdr:colOff>47625</xdr:colOff>
      <xdr:row>0</xdr:row>
      <xdr:rowOff>85725</xdr:rowOff>
    </xdr:from>
    <xdr:to>
      <xdr:col>3</xdr:col>
      <xdr:colOff>552450</xdr:colOff>
      <xdr:row>4</xdr:row>
      <xdr:rowOff>142874</xdr:rowOff>
    </xdr:to>
    <xdr:sp macro="" textlink="">
      <xdr:nvSpPr>
        <xdr:cNvPr id="8" name="TextBox 7"/>
        <xdr:cNvSpPr txBox="1"/>
      </xdr:nvSpPr>
      <xdr:spPr>
        <a:xfrm>
          <a:off x="47625" y="85725"/>
          <a:ext cx="1562100" cy="1181099"/>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800" b="1" baseline="0">
              <a:solidFill>
                <a:schemeClr val="bg1"/>
              </a:solidFill>
            </a:rPr>
            <a:t>GENE PROFILING</a:t>
          </a:r>
        </a:p>
        <a:p>
          <a:r>
            <a:rPr lang="en-US" sz="1800" b="1" baseline="0">
              <a:solidFill>
                <a:schemeClr val="bg1"/>
              </a:solidFill>
            </a:rPr>
            <a:t>SHARED RESOURCE</a:t>
          </a:r>
        </a:p>
      </xdr:txBody>
    </xdr:sp>
    <xdr:clientData/>
  </xdr:twoCellAnchor>
  <xdr:twoCellAnchor editAs="oneCell">
    <xdr:from>
      <xdr:col>12</xdr:col>
      <xdr:colOff>466725</xdr:colOff>
      <xdr:row>0</xdr:row>
      <xdr:rowOff>19050</xdr:rowOff>
    </xdr:from>
    <xdr:to>
      <xdr:col>15</xdr:col>
      <xdr:colOff>542926</xdr:colOff>
      <xdr:row>5</xdr:row>
      <xdr:rowOff>4239</xdr:rowOff>
    </xdr:to>
    <xdr:pic>
      <xdr:nvPicPr>
        <xdr:cNvPr id="7" name="Picture 6" descr="OHSU_logo.JPG"/>
        <xdr:cNvPicPr>
          <a:picLocks noChangeAspect="1"/>
        </xdr:cNvPicPr>
      </xdr:nvPicPr>
      <xdr:blipFill>
        <a:blip xmlns:r="http://schemas.openxmlformats.org/officeDocument/2006/relationships" r:embed="rId1" cstate="print"/>
        <a:srcRect/>
        <a:stretch>
          <a:fillRect/>
        </a:stretch>
      </xdr:blipFill>
      <xdr:spPr bwMode="auto">
        <a:xfrm>
          <a:off x="8086725" y="19050"/>
          <a:ext cx="1905001" cy="1309164"/>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2</xdr:col>
          <xdr:colOff>85725</xdr:colOff>
          <xdr:row>97</xdr:row>
          <xdr:rowOff>0</xdr:rowOff>
        </xdr:from>
        <xdr:to>
          <xdr:col>3</xdr:col>
          <xdr:colOff>428625</xdr:colOff>
          <xdr:row>105</xdr:row>
          <xdr:rowOff>152400</xdr:rowOff>
        </xdr:to>
        <xdr:grpSp>
          <xdr:nvGrpSpPr>
            <xdr:cNvPr id="1876" name="Group 852"/>
            <xdr:cNvGrpSpPr>
              <a:grpSpLocks/>
            </xdr:cNvGrpSpPr>
          </xdr:nvGrpSpPr>
          <xdr:grpSpPr bwMode="auto">
            <a:xfrm>
              <a:off x="447675" y="16516350"/>
              <a:ext cx="1038225" cy="1447800"/>
              <a:chOff x="154" y="1731"/>
              <a:chExt cx="105" cy="152"/>
            </a:xfrm>
          </xdr:grpSpPr>
          <xdr:sp macro="" textlink="">
            <xdr:nvSpPr>
              <xdr:cNvPr id="1863" name="Option Button 839" hidden="1">
                <a:extLst>
                  <a:ext uri="{63B3BB69-23CF-44E3-9099-C40C66FF867C}">
                    <a14:compatExt spid="_x0000_s1863"/>
                  </a:ext>
                </a:extLst>
              </xdr:cNvPr>
              <xdr:cNvSpPr/>
            </xdr:nvSpPr>
            <xdr:spPr>
              <a:xfrm>
                <a:off x="170" y="1743"/>
                <a:ext cx="78" cy="23"/>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Human</a:t>
                </a:r>
              </a:p>
            </xdr:txBody>
          </xdr:sp>
          <xdr:sp macro="" textlink="">
            <xdr:nvSpPr>
              <xdr:cNvPr id="1864" name="Group Box 840" hidden="1">
                <a:extLst>
                  <a:ext uri="{63B3BB69-23CF-44E3-9099-C40C66FF867C}">
                    <a14:compatExt spid="_x0000_s1864"/>
                  </a:ext>
                </a:extLst>
              </xdr:cNvPr>
              <xdr:cNvSpPr/>
            </xdr:nvSpPr>
            <xdr:spPr>
              <a:xfrm>
                <a:off x="154" y="1731"/>
                <a:ext cx="105" cy="152"/>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Species</a:t>
                </a:r>
              </a:p>
            </xdr:txBody>
          </xdr:sp>
          <xdr:sp macro="" textlink="">
            <xdr:nvSpPr>
              <xdr:cNvPr id="1865" name="Option Button 841" hidden="1">
                <a:extLst>
                  <a:ext uri="{63B3BB69-23CF-44E3-9099-C40C66FF867C}">
                    <a14:compatExt spid="_x0000_s1865"/>
                  </a:ext>
                </a:extLst>
              </xdr:cNvPr>
              <xdr:cNvSpPr/>
            </xdr:nvSpPr>
            <xdr:spPr>
              <a:xfrm>
                <a:off x="170" y="1767"/>
                <a:ext cx="78" cy="23"/>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Rhesus</a:t>
                </a:r>
              </a:p>
            </xdr:txBody>
          </xdr:sp>
          <xdr:sp macro="" textlink="">
            <xdr:nvSpPr>
              <xdr:cNvPr id="1866" name="Option Button 842" hidden="1">
                <a:extLst>
                  <a:ext uri="{63B3BB69-23CF-44E3-9099-C40C66FF867C}">
                    <a14:compatExt spid="_x0000_s1866"/>
                  </a:ext>
                </a:extLst>
              </xdr:cNvPr>
              <xdr:cNvSpPr/>
            </xdr:nvSpPr>
            <xdr:spPr>
              <a:xfrm>
                <a:off x="170" y="1793"/>
                <a:ext cx="78" cy="23"/>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Mouse</a:t>
                </a:r>
              </a:p>
            </xdr:txBody>
          </xdr:sp>
          <xdr:sp macro="" textlink="">
            <xdr:nvSpPr>
              <xdr:cNvPr id="1867" name="Option Button 843" hidden="1">
                <a:extLst>
                  <a:ext uri="{63B3BB69-23CF-44E3-9099-C40C66FF867C}">
                    <a14:compatExt spid="_x0000_s1867"/>
                  </a:ext>
                </a:extLst>
              </xdr:cNvPr>
              <xdr:cNvSpPr/>
            </xdr:nvSpPr>
            <xdr:spPr>
              <a:xfrm>
                <a:off x="170" y="1819"/>
                <a:ext cx="78" cy="23"/>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Rat</a:t>
                </a:r>
              </a:p>
            </xdr:txBody>
          </xdr:sp>
          <xdr:sp macro="" textlink="">
            <xdr:nvSpPr>
              <xdr:cNvPr id="1868" name="Option Button 844" hidden="1">
                <a:extLst>
                  <a:ext uri="{63B3BB69-23CF-44E3-9099-C40C66FF867C}">
                    <a14:compatExt spid="_x0000_s1868"/>
                  </a:ext>
                </a:extLst>
              </xdr:cNvPr>
              <xdr:cNvSpPr/>
            </xdr:nvSpPr>
            <xdr:spPr>
              <a:xfrm>
                <a:off x="170" y="1845"/>
                <a:ext cx="79" cy="23"/>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Other</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3</xdr:col>
          <xdr:colOff>771525</xdr:colOff>
          <xdr:row>97</xdr:row>
          <xdr:rowOff>0</xdr:rowOff>
        </xdr:from>
        <xdr:to>
          <xdr:col>5</xdr:col>
          <xdr:colOff>104775</xdr:colOff>
          <xdr:row>102</xdr:row>
          <xdr:rowOff>152400</xdr:rowOff>
        </xdr:to>
        <xdr:grpSp>
          <xdr:nvGrpSpPr>
            <xdr:cNvPr id="1879" name="Group 855"/>
            <xdr:cNvGrpSpPr>
              <a:grpSpLocks/>
            </xdr:cNvGrpSpPr>
          </xdr:nvGrpSpPr>
          <xdr:grpSpPr bwMode="auto">
            <a:xfrm>
              <a:off x="1828800" y="16516350"/>
              <a:ext cx="1104900" cy="962025"/>
              <a:chOff x="139" y="1729"/>
              <a:chExt cx="116" cy="101"/>
            </a:xfrm>
          </xdr:grpSpPr>
          <xdr:sp macro="" textlink="">
            <xdr:nvSpPr>
              <xdr:cNvPr id="1855" name="Group Box 831" hidden="1">
                <a:extLst>
                  <a:ext uri="{63B3BB69-23CF-44E3-9099-C40C66FF867C}">
                    <a14:compatExt spid="_x0000_s1855"/>
                  </a:ext>
                </a:extLst>
              </xdr:cNvPr>
              <xdr:cNvSpPr/>
            </xdr:nvSpPr>
            <xdr:spPr>
              <a:xfrm>
                <a:off x="139" y="1729"/>
                <a:ext cx="116" cy="101"/>
              </a:xfrm>
              <a:prstGeom prst="rect">
                <a:avLst/>
              </a:prstGeom>
            </xdr:spPr>
            <xdr:txBody>
              <a:bodyPr vertOverflow="clip" wrap="none" lIns="27432" tIns="18288" rIns="0" bIns="0" anchor="t" upright="1"/>
              <a:lstStyle/>
              <a:p>
                <a:pPr algn="l" rtl="0">
                  <a:defRPr sz="1000"/>
                </a:pPr>
                <a:r>
                  <a:rPr lang="en-US" sz="800" b="0" i="0" u="none" strike="noStrike" baseline="0">
                    <a:solidFill>
                      <a:srgbClr val="000000"/>
                    </a:solidFill>
                    <a:latin typeface="Tahoma"/>
                    <a:ea typeface="Tahoma"/>
                    <a:cs typeface="Tahoma"/>
                  </a:rPr>
                  <a:t>Platform</a:t>
                </a:r>
              </a:p>
            </xdr:txBody>
          </xdr:sp>
          <xdr:sp macro="" textlink="">
            <xdr:nvSpPr>
              <xdr:cNvPr id="1856" name="obAffy" hidden="1">
                <a:extLst>
                  <a:ext uri="{63B3BB69-23CF-44E3-9099-C40C66FF867C}">
                    <a14:compatExt spid="_x0000_s1856"/>
                  </a:ext>
                </a:extLst>
              </xdr:cNvPr>
              <xdr:cNvSpPr/>
            </xdr:nvSpPr>
            <xdr:spPr>
              <a:xfrm>
                <a:off x="155" y="1743"/>
                <a:ext cx="87" cy="23"/>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Affymetrix</a:t>
                </a:r>
              </a:p>
            </xdr:txBody>
          </xdr:sp>
          <xdr:sp macro="" textlink="">
            <xdr:nvSpPr>
              <xdr:cNvPr id="1857" name="obIllumina" hidden="1">
                <a:extLst>
                  <a:ext uri="{63B3BB69-23CF-44E3-9099-C40C66FF867C}">
                    <a14:compatExt spid="_x0000_s1857"/>
                  </a:ext>
                </a:extLst>
              </xdr:cNvPr>
              <xdr:cNvSpPr/>
            </xdr:nvSpPr>
            <xdr:spPr>
              <a:xfrm>
                <a:off x="155" y="1770"/>
                <a:ext cx="87" cy="23"/>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Illumina</a:t>
                </a:r>
              </a:p>
            </xdr:txBody>
          </xdr:sp>
          <xdr:sp macro="" textlink="">
            <xdr:nvSpPr>
              <xdr:cNvPr id="1878" name="Option Button 854" hidden="1">
                <a:extLst>
                  <a:ext uri="{63B3BB69-23CF-44E3-9099-C40C66FF867C}">
                    <a14:compatExt spid="_x0000_s1878"/>
                  </a:ext>
                </a:extLst>
              </xdr:cNvPr>
              <xdr:cNvSpPr/>
            </xdr:nvSpPr>
            <xdr:spPr>
              <a:xfrm>
                <a:off x="155" y="1797"/>
                <a:ext cx="94" cy="23"/>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Not Sure</a:t>
                </a:r>
              </a:p>
            </xdr:txBody>
          </xdr:sp>
        </xdr:grp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98</xdr:row>
          <xdr:rowOff>152400</xdr:rowOff>
        </xdr:from>
        <xdr:to>
          <xdr:col>12</xdr:col>
          <xdr:colOff>28575</xdr:colOff>
          <xdr:row>100</xdr:row>
          <xdr:rowOff>28575</xdr:rowOff>
        </xdr:to>
        <xdr:sp macro="" textlink="">
          <xdr:nvSpPr>
            <xdr:cNvPr id="1882" name="Drop Down 858" hidden="1">
              <a:extLst>
                <a:ext uri="{63B3BB69-23CF-44E3-9099-C40C66FF867C}">
                  <a14:compatExt spid="_x0000_s1882"/>
                </a:ext>
              </a:extLst>
            </xdr:cNvPr>
            <xdr:cNvSpPr/>
          </xdr:nvSpPr>
          <xdr:spPr>
            <a:xfrm>
              <a:off x="0" y="0"/>
              <a:ext cx="0" cy="0"/>
            </a:xfrm>
            <a:prstGeom prst="rect">
              <a:avLst/>
            </a:prstGeom>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514350</xdr:colOff>
      <xdr:row>23</xdr:row>
      <xdr:rowOff>85725</xdr:rowOff>
    </xdr:from>
    <xdr:to>
      <xdr:col>2</xdr:col>
      <xdr:colOff>657225</xdr:colOff>
      <xdr:row>28</xdr:row>
      <xdr:rowOff>85725</xdr:rowOff>
    </xdr:to>
    <xdr:sp macro="" textlink="">
      <xdr:nvSpPr>
        <xdr:cNvPr id="2052" name="Text Box 4"/>
        <xdr:cNvSpPr txBox="1">
          <a:spLocks noChangeArrowheads="1"/>
        </xdr:cNvSpPr>
      </xdr:nvSpPr>
      <xdr:spPr bwMode="auto">
        <a:xfrm>
          <a:off x="1123950" y="3810000"/>
          <a:ext cx="752475" cy="80962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en-US" sz="1000" b="0" i="0" strike="noStrike">
              <a:solidFill>
                <a:srgbClr val="000000"/>
              </a:solidFill>
              <a:latin typeface="Arial"/>
              <a:cs typeface="Arial"/>
            </a:rPr>
            <a:t>Delete Locations (MW 7/27/07)</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acc.ohsu.edu:8893/amc/images/lrg_images/ExpDesign_IconList_1_0001.jpg" TargetMode="External"/><Relationship Id="rId13" Type="http://schemas.openxmlformats.org/officeDocument/2006/relationships/drawing" Target="../drawings/drawing1.xml"/><Relationship Id="rId18" Type="http://schemas.openxmlformats.org/officeDocument/2006/relationships/ctrlProp" Target="../ctrlProps/ctrlProp4.xml"/><Relationship Id="rId3" Type="http://schemas.openxmlformats.org/officeDocument/2006/relationships/hyperlink" Target="http://murdock3.ohsu.edu:8893/amc/images/lrg_images/ExpDesign_IconList_1_0001.jpg" TargetMode="External"/><Relationship Id="rId21" Type="http://schemas.openxmlformats.org/officeDocument/2006/relationships/ctrlProp" Target="../ctrlProps/ctrlProp7.xml"/><Relationship Id="rId7" Type="http://schemas.openxmlformats.org/officeDocument/2006/relationships/hyperlink" Target="http://acc.ohsu.edu:8893/amc/images/lrg_images/ExpDesign_IconList_5_0001.jpg" TargetMode="External"/><Relationship Id="rId12" Type="http://schemas.openxmlformats.org/officeDocument/2006/relationships/printerSettings" Target="../printerSettings/printerSettings2.bin"/><Relationship Id="rId17" Type="http://schemas.openxmlformats.org/officeDocument/2006/relationships/ctrlProp" Target="../ctrlProps/ctrlProp3.xml"/><Relationship Id="rId25" Type="http://schemas.openxmlformats.org/officeDocument/2006/relationships/ctrlProp" Target="../ctrlProps/ctrlProp11.xml"/><Relationship Id="rId2" Type="http://schemas.openxmlformats.org/officeDocument/2006/relationships/hyperlink" Target="http://murdock3.ohsu.edu:8893/amc/images/lrg_images/ExpDesign_IconList_5_0001.jpg" TargetMode="External"/><Relationship Id="rId16" Type="http://schemas.openxmlformats.org/officeDocument/2006/relationships/ctrlProp" Target="../ctrlProps/ctrlProp2.xml"/><Relationship Id="rId20" Type="http://schemas.openxmlformats.org/officeDocument/2006/relationships/ctrlProp" Target="../ctrlProps/ctrlProp6.xml"/><Relationship Id="rId1" Type="http://schemas.openxmlformats.org/officeDocument/2006/relationships/printerSettings" Target="../printerSettings/printerSettings1.bin"/><Relationship Id="rId6" Type="http://schemas.openxmlformats.org/officeDocument/2006/relationships/hyperlink" Target="http://murdock3.ohsu.edu:8893/amc/images/lrg_images/ExpDesign_IconList_6_0001.jpg" TargetMode="External"/><Relationship Id="rId11" Type="http://schemas.openxmlformats.org/officeDocument/2006/relationships/hyperlink" Target="http://acc.ohsu.edu:8893/amc/images/lrg_images/ExpDesign_IconList_6_0001.jpg" TargetMode="External"/><Relationship Id="rId24" Type="http://schemas.openxmlformats.org/officeDocument/2006/relationships/ctrlProp" Target="../ctrlProps/ctrlProp10.xml"/><Relationship Id="rId5" Type="http://schemas.openxmlformats.org/officeDocument/2006/relationships/hyperlink" Target="http://murdock3.ohsu.edu:8893/amc/images/lrg_images/ExpDesign_IconList_4_0001.jpg" TargetMode="External"/><Relationship Id="rId15" Type="http://schemas.openxmlformats.org/officeDocument/2006/relationships/ctrlProp" Target="../ctrlProps/ctrlProp1.xml"/><Relationship Id="rId23" Type="http://schemas.openxmlformats.org/officeDocument/2006/relationships/ctrlProp" Target="../ctrlProps/ctrlProp9.xml"/><Relationship Id="rId10" Type="http://schemas.openxmlformats.org/officeDocument/2006/relationships/hyperlink" Target="http://acc.ohsu.edu:8893/amc/images/lrg_images/ExpDesign_IconList_4_0001.jpg" TargetMode="External"/><Relationship Id="rId19" Type="http://schemas.openxmlformats.org/officeDocument/2006/relationships/ctrlProp" Target="../ctrlProps/ctrlProp5.xml"/><Relationship Id="rId4" Type="http://schemas.openxmlformats.org/officeDocument/2006/relationships/hyperlink" Target="http://murdock3.ohsu.edu:8893/amc/images/lrg_images/ExpDesign_IconList_3_0001.jpg" TargetMode="External"/><Relationship Id="rId9" Type="http://schemas.openxmlformats.org/officeDocument/2006/relationships/hyperlink" Target="http://acc.ohsu.edu:8893/amc/images/lrg_images/ExpDesign_IconList_3_0001.jpg" TargetMode="External"/><Relationship Id="rId14" Type="http://schemas.openxmlformats.org/officeDocument/2006/relationships/vmlDrawing" Target="../drawings/vmlDrawing1.vml"/><Relationship Id="rId22" Type="http://schemas.openxmlformats.org/officeDocument/2006/relationships/ctrlProp" Target="../ctrlProps/ctrlProp8.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pageSetUpPr fitToPage="1"/>
  </sheetPr>
  <dimension ref="B1:BD150"/>
  <sheetViews>
    <sheetView showGridLines="0" showZeros="0" tabSelected="1" showOutlineSymbols="0" zoomScaleNormal="100" workbookViewId="0">
      <selection activeCell="B6" sqref="B6"/>
    </sheetView>
  </sheetViews>
  <sheetFormatPr defaultRowHeight="12.75" x14ac:dyDescent="0.2"/>
  <cols>
    <col min="1" max="1" width="2.28515625" customWidth="1"/>
    <col min="2" max="2" width="3.140625" customWidth="1"/>
    <col min="3" max="3" width="10.42578125" customWidth="1"/>
    <col min="4" max="4" width="14.28515625" customWidth="1"/>
    <col min="5" max="6" width="12.28515625" customWidth="1"/>
    <col min="7" max="7" width="12.140625" customWidth="1"/>
    <col min="8" max="8" width="10.42578125" customWidth="1"/>
    <col min="9" max="9" width="8.42578125" customWidth="1"/>
    <col min="11" max="11" width="10.28515625" customWidth="1"/>
    <col min="16" max="16" width="8.42578125" customWidth="1"/>
    <col min="17" max="17" width="0.28515625" customWidth="1"/>
  </cols>
  <sheetData>
    <row r="1" spans="2:56" ht="15.75" customHeight="1" x14ac:dyDescent="0.2">
      <c r="H1" s="208"/>
      <c r="I1" s="208"/>
      <c r="J1" s="208"/>
      <c r="K1" s="1"/>
      <c r="BD1" s="129" t="b">
        <f>OR(NOT(ISERROR(SEARCH("other",'drop-down for arrays'!C7))),ISERROR('drop-down for arrays'!C7))</f>
        <v>0</v>
      </c>
    </row>
    <row r="2" spans="2:56" ht="30.75" customHeight="1" x14ac:dyDescent="0.5">
      <c r="C2" s="1"/>
      <c r="D2" s="2"/>
      <c r="E2" s="2"/>
      <c r="F2" s="2"/>
      <c r="G2" s="1"/>
      <c r="H2" s="1"/>
      <c r="I2" s="1"/>
      <c r="J2" s="1"/>
      <c r="K2" s="1"/>
      <c r="L2" s="1"/>
      <c r="M2" s="1"/>
      <c r="N2" s="1"/>
    </row>
    <row r="3" spans="2:56" ht="32.25" customHeight="1" x14ac:dyDescent="0.5">
      <c r="C3" s="1"/>
      <c r="D3" s="2"/>
      <c r="E3" s="2"/>
      <c r="F3" s="2"/>
      <c r="G3" s="1"/>
      <c r="H3" s="2"/>
      <c r="I3" s="2"/>
      <c r="J3" s="1"/>
      <c r="K3" s="1"/>
      <c r="L3" s="1"/>
      <c r="M3" s="1"/>
      <c r="N3" s="1"/>
    </row>
    <row r="4" spans="2:56" x14ac:dyDescent="0.2">
      <c r="C4" s="1"/>
      <c r="D4" s="1"/>
      <c r="E4" s="1"/>
      <c r="F4" s="1"/>
      <c r="G4" s="1"/>
      <c r="H4" s="1"/>
      <c r="I4" s="1"/>
      <c r="J4" s="1"/>
      <c r="K4" s="1"/>
      <c r="L4" s="1"/>
      <c r="M4" s="1"/>
      <c r="N4" s="1"/>
    </row>
    <row r="5" spans="2:56" x14ac:dyDescent="0.2">
      <c r="C5" s="1"/>
      <c r="D5" s="1"/>
      <c r="E5" s="1"/>
      <c r="F5" s="1"/>
      <c r="G5" s="1"/>
      <c r="H5" s="1"/>
      <c r="I5" s="1"/>
      <c r="J5" s="1"/>
      <c r="K5" s="1"/>
      <c r="L5" s="1"/>
      <c r="M5" s="1"/>
      <c r="N5" s="1"/>
    </row>
    <row r="6" spans="2:56" x14ac:dyDescent="0.2">
      <c r="B6" s="61" t="s">
        <v>311</v>
      </c>
      <c r="C6" s="1"/>
      <c r="D6" s="1"/>
      <c r="E6" s="1"/>
      <c r="F6" s="1"/>
      <c r="G6" s="1"/>
      <c r="H6" s="1"/>
      <c r="I6" s="1"/>
      <c r="J6" s="1"/>
      <c r="K6" s="1"/>
      <c r="L6" s="1"/>
      <c r="M6" s="1"/>
      <c r="N6" s="1"/>
    </row>
    <row r="7" spans="2:56" ht="15.75" x14ac:dyDescent="0.25">
      <c r="B7" s="14" t="s">
        <v>42</v>
      </c>
      <c r="C7" s="6"/>
      <c r="D7" s="6"/>
      <c r="E7" s="6"/>
      <c r="F7" s="6"/>
      <c r="G7" s="6"/>
      <c r="H7" s="6"/>
      <c r="I7" s="6"/>
      <c r="J7" s="6"/>
      <c r="K7" s="6"/>
      <c r="L7" s="6"/>
      <c r="M7" s="6"/>
      <c r="N7" s="6"/>
      <c r="O7" s="6"/>
      <c r="P7" s="7"/>
    </row>
    <row r="8" spans="2:56" ht="9" customHeight="1" x14ac:dyDescent="0.2">
      <c r="B8" s="5"/>
      <c r="C8" s="5"/>
      <c r="D8" s="5"/>
      <c r="E8" s="5"/>
      <c r="F8" s="5"/>
      <c r="G8" s="5"/>
      <c r="H8" s="5"/>
      <c r="I8" s="5"/>
      <c r="J8" s="5"/>
      <c r="K8" s="5"/>
      <c r="L8" s="5"/>
      <c r="M8" s="5"/>
      <c r="N8" s="5"/>
      <c r="O8" s="5"/>
      <c r="P8" s="5"/>
    </row>
    <row r="9" spans="2:56" s="15" customFormat="1" ht="9" customHeight="1" x14ac:dyDescent="0.2"/>
    <row r="10" spans="2:56" x14ac:dyDescent="0.2">
      <c r="B10" s="15"/>
      <c r="C10" s="15"/>
      <c r="D10" s="24" t="s">
        <v>146</v>
      </c>
      <c r="E10" s="210"/>
      <c r="F10" s="211"/>
      <c r="G10" s="212"/>
      <c r="H10" s="15"/>
      <c r="I10" s="15"/>
      <c r="J10" s="15"/>
      <c r="K10" s="15"/>
      <c r="L10" s="15"/>
      <c r="M10" s="15"/>
      <c r="N10" s="15"/>
      <c r="O10" s="15"/>
      <c r="P10" s="15"/>
    </row>
    <row r="11" spans="2:56" x14ac:dyDescent="0.2">
      <c r="B11" s="15"/>
      <c r="C11" s="15"/>
      <c r="D11" s="24"/>
      <c r="E11" s="15"/>
      <c r="F11" s="15"/>
      <c r="G11" s="15"/>
      <c r="H11" s="15"/>
      <c r="I11" s="15"/>
      <c r="J11" s="15"/>
      <c r="K11" s="15"/>
      <c r="L11" s="15"/>
      <c r="M11" s="15"/>
      <c r="N11" s="15"/>
      <c r="O11" s="15"/>
      <c r="P11" s="15"/>
    </row>
    <row r="12" spans="2:56" x14ac:dyDescent="0.2">
      <c r="B12" s="169" t="s">
        <v>4</v>
      </c>
      <c r="C12" s="141"/>
      <c r="D12" s="141"/>
      <c r="E12" s="218"/>
      <c r="F12" s="218"/>
      <c r="G12" s="218"/>
      <c r="H12" s="209"/>
      <c r="I12" s="209"/>
      <c r="J12" s="209"/>
      <c r="K12" s="15"/>
      <c r="L12" s="15"/>
      <c r="M12" s="15"/>
      <c r="N12" s="15"/>
      <c r="O12" s="15"/>
      <c r="P12" s="15"/>
    </row>
    <row r="13" spans="2:56" x14ac:dyDescent="0.2">
      <c r="B13" s="169" t="s">
        <v>147</v>
      </c>
      <c r="C13" s="141"/>
      <c r="D13" s="141"/>
      <c r="E13" s="170"/>
      <c r="F13" s="171"/>
      <c r="G13" s="171"/>
      <c r="H13" s="209"/>
      <c r="I13" s="209"/>
      <c r="J13" s="209"/>
      <c r="K13" s="15"/>
      <c r="L13" s="15"/>
      <c r="M13" s="15"/>
      <c r="N13" s="15"/>
      <c r="O13" s="15"/>
      <c r="P13" s="15"/>
    </row>
    <row r="14" spans="2:56" x14ac:dyDescent="0.2">
      <c r="B14" s="169" t="s">
        <v>148</v>
      </c>
      <c r="C14" s="141"/>
      <c r="D14" s="141"/>
      <c r="E14" s="170"/>
      <c r="F14" s="171"/>
      <c r="G14" s="171"/>
      <c r="H14" s="209"/>
      <c r="I14" s="209"/>
      <c r="J14" s="209"/>
      <c r="K14" s="15"/>
      <c r="L14" s="15"/>
      <c r="M14" s="15"/>
      <c r="N14" s="15"/>
      <c r="O14" s="15"/>
      <c r="P14" s="15"/>
    </row>
    <row r="15" spans="2:56" ht="33" customHeight="1" x14ac:dyDescent="0.2">
      <c r="B15" s="24"/>
      <c r="C15" s="221" t="s">
        <v>142</v>
      </c>
      <c r="D15" s="222"/>
      <c r="E15" s="172"/>
      <c r="F15" s="173"/>
      <c r="G15" s="174"/>
      <c r="H15" s="25"/>
      <c r="I15" s="25"/>
      <c r="J15" s="25"/>
      <c r="K15" s="15"/>
      <c r="L15" s="15"/>
      <c r="M15" s="15"/>
      <c r="N15" s="15"/>
      <c r="O15" s="15"/>
      <c r="P15" s="15"/>
    </row>
    <row r="16" spans="2:56" x14ac:dyDescent="0.2">
      <c r="B16" s="24"/>
      <c r="C16" s="23"/>
      <c r="D16" s="16" t="s">
        <v>169</v>
      </c>
      <c r="E16" s="229"/>
      <c r="F16" s="230"/>
      <c r="G16" s="231"/>
      <c r="H16" s="25"/>
      <c r="I16" s="25"/>
      <c r="J16" s="25"/>
      <c r="K16" s="52" t="s">
        <v>170</v>
      </c>
      <c r="L16" s="223"/>
      <c r="M16" s="224"/>
      <c r="N16" s="225"/>
      <c r="O16" s="15"/>
      <c r="P16" s="15"/>
    </row>
    <row r="17" spans="2:16" x14ac:dyDescent="0.2">
      <c r="B17" s="140" t="s">
        <v>43</v>
      </c>
      <c r="C17" s="141"/>
      <c r="D17" s="141"/>
      <c r="E17" s="175"/>
      <c r="F17" s="175"/>
      <c r="G17" s="175"/>
      <c r="H17" s="209"/>
      <c r="I17" s="209"/>
      <c r="J17" s="209"/>
      <c r="K17" s="15"/>
      <c r="L17" s="15"/>
      <c r="M17" s="15"/>
      <c r="N17" s="15"/>
      <c r="O17" s="15"/>
      <c r="P17" s="15"/>
    </row>
    <row r="18" spans="2:16" x14ac:dyDescent="0.2">
      <c r="D18" s="16"/>
      <c r="E18" s="175"/>
      <c r="F18" s="175"/>
      <c r="G18" s="175"/>
      <c r="H18" s="209"/>
      <c r="I18" s="209"/>
      <c r="J18" s="209"/>
      <c r="K18" s="15"/>
      <c r="L18" s="15"/>
      <c r="M18" s="15"/>
      <c r="N18" s="15"/>
      <c r="O18" s="15"/>
      <c r="P18" s="15"/>
    </row>
    <row r="19" spans="2:16" x14ac:dyDescent="0.2">
      <c r="B19" s="16"/>
      <c r="C19" s="23"/>
      <c r="D19" s="16" t="s">
        <v>44</v>
      </c>
      <c r="E19" s="228"/>
      <c r="F19" s="175"/>
      <c r="G19" s="175"/>
      <c r="H19" s="25"/>
      <c r="I19" s="25"/>
      <c r="J19" s="25"/>
      <c r="K19" s="15"/>
      <c r="L19" s="15"/>
      <c r="M19" s="15"/>
      <c r="N19" s="15"/>
      <c r="O19" s="15"/>
      <c r="P19" s="15"/>
    </row>
    <row r="20" spans="2:16" x14ac:dyDescent="0.2">
      <c r="B20" s="15"/>
      <c r="C20" s="16"/>
      <c r="G20" s="18"/>
      <c r="H20" s="18"/>
      <c r="I20" s="18"/>
      <c r="J20" s="18"/>
      <c r="K20" s="15"/>
      <c r="L20" s="15"/>
      <c r="M20" s="15"/>
      <c r="N20" s="15"/>
      <c r="O20" s="15"/>
      <c r="P20" s="15"/>
    </row>
    <row r="21" spans="2:16" x14ac:dyDescent="0.2">
      <c r="B21" s="140" t="s">
        <v>61</v>
      </c>
      <c r="C21" s="141"/>
      <c r="D21" s="141"/>
      <c r="E21" s="176"/>
      <c r="F21" s="142"/>
      <c r="G21" s="142"/>
      <c r="H21" s="215"/>
      <c r="I21" s="215"/>
      <c r="J21" s="215"/>
    </row>
    <row r="22" spans="2:16" x14ac:dyDescent="0.2">
      <c r="B22" s="140" t="s">
        <v>43</v>
      </c>
      <c r="C22" s="141"/>
      <c r="D22" s="141"/>
      <c r="E22" s="176"/>
      <c r="F22" s="142"/>
      <c r="G22" s="142"/>
      <c r="H22" s="215"/>
      <c r="I22" s="215"/>
      <c r="J22" s="215"/>
    </row>
    <row r="23" spans="2:16" x14ac:dyDescent="0.2">
      <c r="B23" s="140" t="s">
        <v>44</v>
      </c>
      <c r="C23" s="141"/>
      <c r="D23" s="141"/>
      <c r="E23" s="142"/>
      <c r="F23" s="142"/>
      <c r="G23" s="142"/>
      <c r="H23" s="215"/>
      <c r="I23" s="215"/>
      <c r="J23" s="215"/>
    </row>
    <row r="24" spans="2:16" x14ac:dyDescent="0.2">
      <c r="C24" s="16"/>
      <c r="D24" s="16"/>
      <c r="E24" s="19"/>
      <c r="F24" s="19"/>
      <c r="G24" s="19"/>
      <c r="H24" s="19"/>
      <c r="I24" s="19"/>
      <c r="J24" s="19"/>
    </row>
    <row r="25" spans="2:16" x14ac:dyDescent="0.2">
      <c r="B25" s="140" t="s">
        <v>60</v>
      </c>
      <c r="C25" s="141"/>
      <c r="D25" s="141"/>
      <c r="E25" s="176"/>
      <c r="F25" s="142"/>
      <c r="G25" s="142"/>
      <c r="H25" s="215"/>
      <c r="I25" s="215"/>
      <c r="J25" s="215"/>
    </row>
    <row r="26" spans="2:16" x14ac:dyDescent="0.2">
      <c r="B26" s="140" t="s">
        <v>43</v>
      </c>
      <c r="C26" s="141"/>
      <c r="D26" s="141"/>
      <c r="E26" s="142"/>
      <c r="F26" s="142"/>
      <c r="G26" s="142"/>
      <c r="H26" s="215"/>
      <c r="I26" s="215"/>
      <c r="J26" s="215"/>
    </row>
    <row r="27" spans="2:16" x14ac:dyDescent="0.2">
      <c r="B27" s="140" t="s">
        <v>44</v>
      </c>
      <c r="C27" s="141"/>
      <c r="D27" s="141"/>
      <c r="E27" s="142"/>
      <c r="F27" s="142"/>
      <c r="G27" s="142"/>
      <c r="H27" s="215"/>
      <c r="I27" s="215"/>
      <c r="J27" s="215"/>
    </row>
    <row r="28" spans="2:16" x14ac:dyDescent="0.2">
      <c r="C28" s="1"/>
      <c r="D28" s="1"/>
      <c r="E28" s="46"/>
      <c r="F28" s="46"/>
      <c r="G28" s="46"/>
      <c r="H28" s="1"/>
      <c r="I28" s="1"/>
      <c r="J28" s="1"/>
      <c r="K28" s="1"/>
      <c r="L28" s="1"/>
      <c r="M28" s="1"/>
      <c r="N28" s="1"/>
    </row>
    <row r="29" spans="2:16" ht="15.75" x14ac:dyDescent="0.25">
      <c r="B29" s="8" t="s">
        <v>72</v>
      </c>
      <c r="C29" s="6"/>
      <c r="D29" s="6"/>
      <c r="E29" s="6"/>
      <c r="F29" s="6"/>
      <c r="G29" s="6"/>
      <c r="H29" s="6"/>
      <c r="I29" s="6"/>
      <c r="J29" s="6"/>
      <c r="K29" s="6"/>
      <c r="L29" s="6"/>
      <c r="M29" s="6"/>
      <c r="N29" s="6"/>
      <c r="O29" s="6"/>
      <c r="P29" s="7"/>
    </row>
    <row r="30" spans="2:16" ht="7.5" customHeight="1" x14ac:dyDescent="0.2">
      <c r="B30" s="5"/>
      <c r="C30" s="5"/>
      <c r="D30" s="5"/>
      <c r="E30" s="5"/>
      <c r="F30" s="5"/>
      <c r="G30" s="5"/>
      <c r="H30" s="5"/>
      <c r="I30" s="5"/>
      <c r="J30" s="5"/>
      <c r="K30" s="5"/>
      <c r="L30" s="5"/>
      <c r="M30" s="5"/>
      <c r="N30" s="5"/>
      <c r="O30" s="5"/>
      <c r="P30" s="5"/>
    </row>
    <row r="32" spans="2:16" x14ac:dyDescent="0.2">
      <c r="D32" s="28" t="s">
        <v>73</v>
      </c>
      <c r="E32" s="147"/>
      <c r="F32" s="148"/>
      <c r="G32" s="148"/>
      <c r="H32" s="148"/>
      <c r="I32" s="148"/>
      <c r="J32" s="148"/>
      <c r="K32" s="148"/>
      <c r="L32" s="148"/>
      <c r="M32" s="148"/>
      <c r="N32" s="148"/>
      <c r="O32" s="148"/>
      <c r="P32" s="149"/>
    </row>
    <row r="33" spans="3:16" x14ac:dyDescent="0.2">
      <c r="E33" s="150"/>
      <c r="F33" s="151"/>
      <c r="G33" s="151"/>
      <c r="H33" s="151"/>
      <c r="I33" s="151"/>
      <c r="J33" s="151"/>
      <c r="K33" s="151"/>
      <c r="L33" s="151"/>
      <c r="M33" s="151"/>
      <c r="N33" s="151"/>
      <c r="O33" s="151"/>
      <c r="P33" s="152"/>
    </row>
    <row r="34" spans="3:16" x14ac:dyDescent="0.2">
      <c r="E34" s="153"/>
      <c r="F34" s="154"/>
      <c r="G34" s="154"/>
      <c r="H34" s="154"/>
      <c r="I34" s="154"/>
      <c r="J34" s="154"/>
      <c r="K34" s="154"/>
      <c r="L34" s="154"/>
      <c r="M34" s="154"/>
      <c r="N34" s="154"/>
      <c r="O34" s="154"/>
      <c r="P34" s="155"/>
    </row>
    <row r="36" spans="3:16" x14ac:dyDescent="0.2">
      <c r="D36" s="28" t="s">
        <v>74</v>
      </c>
      <c r="E36" s="157"/>
      <c r="F36" s="158"/>
      <c r="G36" s="158"/>
      <c r="H36" s="158"/>
      <c r="I36" s="158"/>
      <c r="J36" s="158"/>
      <c r="K36" s="158"/>
      <c r="L36" s="158"/>
      <c r="M36" s="158"/>
      <c r="N36" s="158"/>
      <c r="O36" s="158"/>
      <c r="P36" s="159"/>
    </row>
    <row r="37" spans="3:16" ht="9.75" customHeight="1" x14ac:dyDescent="0.2">
      <c r="E37" s="160"/>
      <c r="F37" s="161"/>
      <c r="G37" s="161"/>
      <c r="H37" s="161"/>
      <c r="I37" s="161"/>
      <c r="J37" s="161"/>
      <c r="K37" s="161"/>
      <c r="L37" s="161"/>
      <c r="M37" s="161"/>
      <c r="N37" s="161"/>
      <c r="O37" s="161"/>
      <c r="P37" s="162"/>
    </row>
    <row r="38" spans="3:16" ht="9.75" customHeight="1" x14ac:dyDescent="0.2">
      <c r="E38" s="160"/>
      <c r="F38" s="161"/>
      <c r="G38" s="161"/>
      <c r="H38" s="161"/>
      <c r="I38" s="161"/>
      <c r="J38" s="161"/>
      <c r="K38" s="161"/>
      <c r="L38" s="161"/>
      <c r="M38" s="161"/>
      <c r="N38" s="161"/>
      <c r="O38" s="161"/>
      <c r="P38" s="162"/>
    </row>
    <row r="39" spans="3:16" ht="9.75" customHeight="1" x14ac:dyDescent="0.2">
      <c r="E39" s="163"/>
      <c r="F39" s="164"/>
      <c r="G39" s="164"/>
      <c r="H39" s="164"/>
      <c r="I39" s="164"/>
      <c r="J39" s="164"/>
      <c r="K39" s="164"/>
      <c r="L39" s="164"/>
      <c r="M39" s="164"/>
      <c r="N39" s="164"/>
      <c r="O39" s="164"/>
      <c r="P39" s="165"/>
    </row>
    <row r="40" spans="3:16" x14ac:dyDescent="0.2">
      <c r="E40" s="20"/>
      <c r="F40" s="20"/>
      <c r="G40" s="20"/>
      <c r="H40" s="20"/>
      <c r="I40" s="20"/>
      <c r="J40" s="20"/>
      <c r="K40" s="20"/>
      <c r="L40" s="20"/>
      <c r="M40" s="20"/>
      <c r="N40" s="20"/>
      <c r="O40" s="20"/>
      <c r="P40" s="20"/>
    </row>
    <row r="41" spans="3:16" x14ac:dyDescent="0.2">
      <c r="C41" s="181" t="s">
        <v>75</v>
      </c>
      <c r="D41" s="214"/>
      <c r="E41" s="147"/>
      <c r="F41" s="148"/>
      <c r="G41" s="148"/>
      <c r="H41" s="148"/>
      <c r="I41" s="148"/>
      <c r="J41" s="148"/>
      <c r="K41" s="148"/>
      <c r="L41" s="148"/>
      <c r="M41" s="148"/>
      <c r="N41" s="148"/>
      <c r="O41" s="148"/>
      <c r="P41" s="149"/>
    </row>
    <row r="42" spans="3:16" x14ac:dyDescent="0.2">
      <c r="E42" s="150"/>
      <c r="F42" s="151"/>
      <c r="G42" s="151"/>
      <c r="H42" s="151"/>
      <c r="I42" s="151"/>
      <c r="J42" s="151"/>
      <c r="K42" s="151"/>
      <c r="L42" s="151"/>
      <c r="M42" s="151"/>
      <c r="N42" s="151"/>
      <c r="O42" s="151"/>
      <c r="P42" s="152"/>
    </row>
    <row r="43" spans="3:16" x14ac:dyDescent="0.2">
      <c r="E43" s="150"/>
      <c r="F43" s="151"/>
      <c r="G43" s="151"/>
      <c r="H43" s="151"/>
      <c r="I43" s="151"/>
      <c r="J43" s="151"/>
      <c r="K43" s="151"/>
      <c r="L43" s="151"/>
      <c r="M43" s="151"/>
      <c r="N43" s="151"/>
      <c r="O43" s="151"/>
      <c r="P43" s="152"/>
    </row>
    <row r="44" spans="3:16" x14ac:dyDescent="0.2">
      <c r="E44" s="150"/>
      <c r="F44" s="151"/>
      <c r="G44" s="151"/>
      <c r="H44" s="151"/>
      <c r="I44" s="151"/>
      <c r="J44" s="151"/>
      <c r="K44" s="151"/>
      <c r="L44" s="151"/>
      <c r="M44" s="151"/>
      <c r="N44" s="151"/>
      <c r="O44" s="151"/>
      <c r="P44" s="152"/>
    </row>
    <row r="45" spans="3:16" x14ac:dyDescent="0.2">
      <c r="E45" s="150"/>
      <c r="F45" s="151"/>
      <c r="G45" s="151"/>
      <c r="H45" s="151"/>
      <c r="I45" s="151"/>
      <c r="J45" s="151"/>
      <c r="K45" s="151"/>
      <c r="L45" s="151"/>
      <c r="M45" s="151"/>
      <c r="N45" s="151"/>
      <c r="O45" s="151"/>
      <c r="P45" s="152"/>
    </row>
    <row r="46" spans="3:16" x14ac:dyDescent="0.2">
      <c r="E46" s="150"/>
      <c r="F46" s="151"/>
      <c r="G46" s="151"/>
      <c r="H46" s="151"/>
      <c r="I46" s="151"/>
      <c r="J46" s="151"/>
      <c r="K46" s="151"/>
      <c r="L46" s="151"/>
      <c r="M46" s="151"/>
      <c r="N46" s="151"/>
      <c r="O46" s="151"/>
      <c r="P46" s="152"/>
    </row>
    <row r="47" spans="3:16" x14ac:dyDescent="0.2">
      <c r="E47" s="150"/>
      <c r="F47" s="151"/>
      <c r="G47" s="151"/>
      <c r="H47" s="151"/>
      <c r="I47" s="151"/>
      <c r="J47" s="151"/>
      <c r="K47" s="151"/>
      <c r="L47" s="151"/>
      <c r="M47" s="151"/>
      <c r="N47" s="151"/>
      <c r="O47" s="151"/>
      <c r="P47" s="152"/>
    </row>
    <row r="48" spans="3:16" x14ac:dyDescent="0.2">
      <c r="E48" s="150"/>
      <c r="F48" s="151"/>
      <c r="G48" s="151"/>
      <c r="H48" s="151"/>
      <c r="I48" s="151"/>
      <c r="J48" s="151"/>
      <c r="K48" s="151"/>
      <c r="L48" s="151"/>
      <c r="M48" s="151"/>
      <c r="N48" s="151"/>
      <c r="O48" s="151"/>
      <c r="P48" s="152"/>
    </row>
    <row r="49" spans="3:16" x14ac:dyDescent="0.2">
      <c r="E49" s="153"/>
      <c r="F49" s="154"/>
      <c r="G49" s="154"/>
      <c r="H49" s="154"/>
      <c r="I49" s="154"/>
      <c r="J49" s="154"/>
      <c r="K49" s="154"/>
      <c r="L49" s="154"/>
      <c r="M49" s="154"/>
      <c r="N49" s="154"/>
      <c r="O49" s="154"/>
      <c r="P49" s="155"/>
    </row>
    <row r="50" spans="3:16" x14ac:dyDescent="0.2">
      <c r="E50" s="27"/>
      <c r="F50" s="27"/>
      <c r="G50" s="27"/>
      <c r="H50" s="27"/>
      <c r="I50" s="27"/>
      <c r="J50" s="27"/>
      <c r="K50" s="27"/>
      <c r="L50" s="27"/>
      <c r="M50" s="27"/>
      <c r="N50" s="27"/>
      <c r="O50" s="27"/>
      <c r="P50" s="27"/>
    </row>
    <row r="51" spans="3:16" x14ac:dyDescent="0.2">
      <c r="C51" s="24"/>
      <c r="D51" s="53"/>
      <c r="E51" s="53"/>
      <c r="F51" s="28" t="s">
        <v>180</v>
      </c>
      <c r="G51" s="37"/>
      <c r="I51" s="28" t="s">
        <v>181</v>
      </c>
      <c r="J51" s="226"/>
      <c r="K51" s="196"/>
      <c r="L51" s="196"/>
      <c r="M51" s="196"/>
      <c r="N51" s="196"/>
      <c r="O51" s="196"/>
      <c r="P51" s="197"/>
    </row>
    <row r="52" spans="3:16" x14ac:dyDescent="0.2">
      <c r="C52" s="24"/>
      <c r="D52" s="53"/>
      <c r="E52" s="53"/>
      <c r="F52" s="54" t="s">
        <v>182</v>
      </c>
      <c r="G52" s="55"/>
      <c r="I52" s="56"/>
      <c r="J52" s="201"/>
      <c r="K52" s="202"/>
      <c r="L52" s="202"/>
      <c r="M52" s="202"/>
      <c r="N52" s="202"/>
      <c r="O52" s="202"/>
      <c r="P52" s="203"/>
    </row>
    <row r="53" spans="3:16" x14ac:dyDescent="0.2">
      <c r="C53" s="24"/>
      <c r="D53" s="53"/>
      <c r="E53" s="53"/>
    </row>
    <row r="54" spans="3:16" x14ac:dyDescent="0.2">
      <c r="D54" s="227" t="s">
        <v>91</v>
      </c>
      <c r="E54" s="227"/>
      <c r="F54" s="227"/>
      <c r="G54" s="21"/>
      <c r="H54" s="21"/>
      <c r="K54" s="1"/>
    </row>
    <row r="55" spans="3:16" x14ac:dyDescent="0.2">
      <c r="C55" s="21"/>
      <c r="D55" s="227"/>
      <c r="E55" s="227"/>
      <c r="F55" s="227"/>
      <c r="G55" s="26"/>
      <c r="H55" s="57" t="s">
        <v>183</v>
      </c>
      <c r="K55" s="1"/>
    </row>
    <row r="56" spans="3:16" x14ac:dyDescent="0.2">
      <c r="E56" s="27"/>
      <c r="F56" s="27"/>
      <c r="G56" s="27"/>
      <c r="H56" s="27"/>
      <c r="I56" s="27"/>
      <c r="J56" s="27"/>
      <c r="K56" s="27"/>
      <c r="L56" s="27"/>
      <c r="M56" s="27"/>
      <c r="N56" s="27"/>
      <c r="O56" s="27"/>
      <c r="P56" s="27"/>
    </row>
    <row r="57" spans="3:16" x14ac:dyDescent="0.2">
      <c r="D57" s="28" t="s">
        <v>179</v>
      </c>
      <c r="E57" s="29"/>
      <c r="F57" s="27"/>
      <c r="G57" s="27"/>
      <c r="H57" s="27"/>
      <c r="I57" s="27"/>
      <c r="J57" s="27"/>
      <c r="K57" s="27"/>
      <c r="L57" s="27"/>
      <c r="M57" s="27"/>
      <c r="N57" s="27"/>
      <c r="O57" s="27"/>
      <c r="P57" s="27"/>
    </row>
    <row r="58" spans="3:16" x14ac:dyDescent="0.2">
      <c r="D58" s="28"/>
      <c r="E58" s="27"/>
      <c r="F58" s="27"/>
      <c r="G58" s="27"/>
      <c r="H58" s="27"/>
      <c r="I58" s="27"/>
      <c r="J58" s="27"/>
      <c r="K58" s="27"/>
      <c r="L58" s="27"/>
      <c r="M58" s="27"/>
      <c r="N58" s="27"/>
      <c r="O58" s="27"/>
      <c r="P58" s="27"/>
    </row>
    <row r="59" spans="3:16" x14ac:dyDescent="0.2">
      <c r="D59" s="28" t="s">
        <v>76</v>
      </c>
      <c r="E59" s="45"/>
      <c r="F59" s="27"/>
      <c r="G59" s="27"/>
      <c r="H59" s="27"/>
      <c r="I59" s="27"/>
      <c r="J59" s="27"/>
      <c r="K59" s="27"/>
      <c r="L59" s="27"/>
      <c r="M59" s="27"/>
      <c r="N59" s="27"/>
      <c r="O59" s="27"/>
      <c r="P59" s="27"/>
    </row>
    <row r="60" spans="3:16" x14ac:dyDescent="0.2">
      <c r="D60" s="28"/>
      <c r="E60" s="27"/>
      <c r="F60" s="27"/>
      <c r="G60" s="27"/>
      <c r="H60" s="27"/>
      <c r="I60" s="27"/>
      <c r="J60" s="27"/>
      <c r="K60" s="27"/>
      <c r="L60" s="27"/>
      <c r="M60" s="27"/>
      <c r="N60" s="27"/>
      <c r="O60" s="27"/>
      <c r="P60" s="27"/>
    </row>
    <row r="61" spans="3:16" x14ac:dyDescent="0.2">
      <c r="D61" s="28" t="s">
        <v>77</v>
      </c>
      <c r="E61" s="144"/>
      <c r="F61" s="145"/>
      <c r="G61" s="146"/>
      <c r="H61" s="27"/>
      <c r="I61" s="27"/>
      <c r="J61" s="27"/>
      <c r="K61" s="27"/>
      <c r="L61" s="27"/>
      <c r="M61" s="27"/>
      <c r="N61" s="27"/>
      <c r="O61" s="27"/>
      <c r="P61" s="27"/>
    </row>
    <row r="62" spans="3:16" x14ac:dyDescent="0.2">
      <c r="C62" s="23"/>
      <c r="D62" s="23"/>
      <c r="E62" s="23"/>
      <c r="F62" s="23"/>
      <c r="G62" s="23"/>
      <c r="H62" s="23"/>
      <c r="I62" s="23"/>
      <c r="J62" s="23"/>
      <c r="K62" s="23"/>
      <c r="L62" s="23"/>
      <c r="M62" s="23"/>
      <c r="N62" s="23"/>
      <c r="O62" s="23"/>
      <c r="P62" s="23"/>
    </row>
    <row r="63" spans="3:16" ht="33" customHeight="1" x14ac:dyDescent="0.2">
      <c r="C63" s="156" t="s">
        <v>143</v>
      </c>
      <c r="D63" s="156"/>
      <c r="E63" s="166" t="s">
        <v>38</v>
      </c>
      <c r="F63" s="166"/>
      <c r="G63" s="166"/>
      <c r="H63" s="23"/>
      <c r="I63" s="66"/>
      <c r="J63" s="40"/>
      <c r="K63" s="40"/>
      <c r="L63" s="40"/>
      <c r="M63" s="40"/>
      <c r="N63" s="40"/>
    </row>
    <row r="64" spans="3:16" x14ac:dyDescent="0.2">
      <c r="C64" s="41"/>
      <c r="D64" s="41"/>
      <c r="E64" s="166" t="s">
        <v>104</v>
      </c>
      <c r="F64" s="166"/>
      <c r="G64" s="166"/>
      <c r="H64" s="40"/>
      <c r="I64" s="40"/>
      <c r="J64" s="40"/>
      <c r="K64" s="40"/>
      <c r="L64" s="40"/>
      <c r="M64" s="40"/>
      <c r="N64" s="40"/>
    </row>
    <row r="65" spans="2:16" x14ac:dyDescent="0.2">
      <c r="C65" s="41"/>
      <c r="D65" s="41"/>
      <c r="E65" s="166" t="s">
        <v>39</v>
      </c>
      <c r="F65" s="166"/>
      <c r="G65" s="166"/>
      <c r="H65" s="40"/>
      <c r="I65" s="40"/>
      <c r="J65" s="40"/>
      <c r="K65" s="40"/>
      <c r="L65" s="40"/>
      <c r="M65" s="40"/>
      <c r="N65" s="40"/>
    </row>
    <row r="66" spans="2:16" x14ac:dyDescent="0.2">
      <c r="C66" s="41"/>
      <c r="D66" s="41"/>
      <c r="E66" s="166" t="s">
        <v>40</v>
      </c>
      <c r="F66" s="166"/>
      <c r="G66" s="166"/>
      <c r="H66" s="40"/>
      <c r="I66" s="40"/>
      <c r="J66" s="40"/>
      <c r="K66" s="40"/>
      <c r="L66" s="40"/>
      <c r="M66" s="40"/>
      <c r="N66" s="40"/>
    </row>
    <row r="67" spans="2:16" x14ac:dyDescent="0.2">
      <c r="C67" s="41"/>
      <c r="D67" s="41"/>
      <c r="E67" s="166" t="s">
        <v>41</v>
      </c>
      <c r="F67" s="166"/>
      <c r="G67" s="166"/>
      <c r="H67" s="40"/>
      <c r="I67" s="40"/>
      <c r="J67" s="40"/>
      <c r="K67" s="40"/>
      <c r="L67" s="40"/>
      <c r="M67" s="40"/>
      <c r="N67" s="40"/>
    </row>
    <row r="68" spans="2:16" x14ac:dyDescent="0.2">
      <c r="D68" s="28"/>
      <c r="E68" s="39"/>
      <c r="F68" s="27"/>
      <c r="G68" s="27"/>
      <c r="H68" s="27"/>
      <c r="I68" s="27"/>
      <c r="J68" s="27"/>
      <c r="K68" s="27"/>
      <c r="L68" s="27"/>
      <c r="M68" s="27"/>
      <c r="N68" s="27"/>
      <c r="O68" s="27"/>
      <c r="P68" s="27"/>
    </row>
    <row r="69" spans="2:16" ht="15.75" x14ac:dyDescent="0.25">
      <c r="B69" s="8" t="s">
        <v>45</v>
      </c>
      <c r="C69" s="6"/>
      <c r="D69" s="6"/>
      <c r="E69" s="6"/>
      <c r="F69" s="6"/>
      <c r="G69" s="6"/>
      <c r="H69" s="6"/>
      <c r="I69" s="6"/>
      <c r="J69" s="6"/>
      <c r="K69" s="6"/>
      <c r="L69" s="6"/>
      <c r="M69" s="6"/>
      <c r="N69" s="6"/>
      <c r="O69" s="6"/>
      <c r="P69" s="7"/>
    </row>
    <row r="70" spans="2:16" ht="8.1" customHeight="1" x14ac:dyDescent="0.2">
      <c r="B70" s="5"/>
      <c r="C70" s="5"/>
      <c r="D70" s="5"/>
      <c r="E70" s="5"/>
      <c r="F70" s="5"/>
      <c r="G70" s="5"/>
      <c r="H70" s="5"/>
      <c r="I70" s="5"/>
      <c r="J70" s="5"/>
      <c r="K70" s="5"/>
      <c r="L70" s="5"/>
      <c r="M70" s="5"/>
      <c r="N70" s="5"/>
      <c r="O70" s="5"/>
      <c r="P70" s="5"/>
    </row>
    <row r="71" spans="2:16" x14ac:dyDescent="0.2">
      <c r="B71" s="11"/>
      <c r="C71" s="11"/>
      <c r="D71" s="11"/>
      <c r="E71" s="11"/>
      <c r="F71" s="11"/>
      <c r="G71" s="11"/>
      <c r="H71" s="11"/>
      <c r="I71" s="11"/>
      <c r="J71" s="11"/>
      <c r="K71" s="11"/>
      <c r="L71" s="11"/>
      <c r="M71" s="11"/>
      <c r="N71" s="11"/>
      <c r="O71" s="11"/>
      <c r="P71" s="11"/>
    </row>
    <row r="72" spans="2:16" x14ac:dyDescent="0.2">
      <c r="B72" s="11"/>
      <c r="C72" s="11"/>
      <c r="D72" s="11"/>
      <c r="E72" s="30" t="s">
        <v>80</v>
      </c>
      <c r="F72" s="143"/>
      <c r="G72" s="139"/>
      <c r="H72" s="11"/>
      <c r="I72" s="11"/>
      <c r="J72" s="11"/>
      <c r="K72" s="11"/>
      <c r="L72" s="11"/>
      <c r="M72" s="11"/>
      <c r="N72" s="11"/>
      <c r="O72" s="11"/>
      <c r="P72" s="11"/>
    </row>
    <row r="73" spans="2:16" x14ac:dyDescent="0.2">
      <c r="B73" s="11"/>
      <c r="C73" s="11"/>
      <c r="D73" s="11"/>
      <c r="E73" s="11"/>
      <c r="F73" s="11"/>
      <c r="G73" s="11"/>
      <c r="H73" s="11"/>
      <c r="I73" s="11"/>
      <c r="J73" s="11"/>
      <c r="K73" s="11"/>
      <c r="L73" s="11"/>
      <c r="M73" s="11"/>
      <c r="N73" s="11"/>
      <c r="O73" s="11"/>
      <c r="P73" s="11"/>
    </row>
    <row r="74" spans="2:16" x14ac:dyDescent="0.2">
      <c r="B74" s="11"/>
      <c r="C74" s="11"/>
      <c r="D74" s="167" t="s">
        <v>81</v>
      </c>
      <c r="E74" s="168"/>
      <c r="F74" s="137"/>
      <c r="G74" s="138"/>
      <c r="H74" s="138"/>
      <c r="I74" s="138"/>
      <c r="J74" s="139"/>
      <c r="K74" s="11"/>
      <c r="L74" s="11"/>
      <c r="M74" s="11"/>
      <c r="N74" s="11"/>
      <c r="O74" s="11"/>
      <c r="P74" s="11"/>
    </row>
    <row r="75" spans="2:16" x14ac:dyDescent="0.2">
      <c r="B75" s="11"/>
      <c r="C75" s="11"/>
      <c r="D75" s="30"/>
      <c r="E75" s="32"/>
      <c r="F75" s="22"/>
      <c r="G75" s="33"/>
      <c r="H75" s="33"/>
      <c r="I75" s="33"/>
      <c r="J75" s="33"/>
      <c r="K75" s="11"/>
      <c r="L75" s="11"/>
      <c r="M75" s="11"/>
      <c r="N75" s="11"/>
      <c r="O75" s="11"/>
      <c r="P75" s="11"/>
    </row>
    <row r="76" spans="2:16" x14ac:dyDescent="0.2">
      <c r="B76" s="11"/>
      <c r="C76" s="11"/>
      <c r="D76" s="194" t="s">
        <v>83</v>
      </c>
      <c r="E76" s="194"/>
      <c r="F76" s="195"/>
      <c r="G76" s="196"/>
      <c r="H76" s="196"/>
      <c r="I76" s="196"/>
      <c r="J76" s="196"/>
      <c r="K76" s="196"/>
      <c r="L76" s="196"/>
      <c r="M76" s="196"/>
      <c r="N76" s="196"/>
      <c r="O76" s="196"/>
      <c r="P76" s="197"/>
    </row>
    <row r="77" spans="2:16" x14ac:dyDescent="0.2">
      <c r="B77" s="11"/>
      <c r="C77" s="11"/>
      <c r="D77" s="34"/>
      <c r="E77" s="34"/>
      <c r="F77" s="198"/>
      <c r="G77" s="199"/>
      <c r="H77" s="199"/>
      <c r="I77" s="199"/>
      <c r="J77" s="199"/>
      <c r="K77" s="199"/>
      <c r="L77" s="199"/>
      <c r="M77" s="199"/>
      <c r="N77" s="199"/>
      <c r="O77" s="199"/>
      <c r="P77" s="200"/>
    </row>
    <row r="78" spans="2:16" x14ac:dyDescent="0.2">
      <c r="B78" s="11"/>
      <c r="C78" s="11"/>
      <c r="D78" s="34"/>
      <c r="E78" s="34"/>
      <c r="F78" s="201"/>
      <c r="G78" s="202"/>
      <c r="H78" s="202"/>
      <c r="I78" s="202"/>
      <c r="J78" s="202"/>
      <c r="K78" s="202"/>
      <c r="L78" s="202"/>
      <c r="M78" s="202"/>
      <c r="N78" s="202"/>
      <c r="O78" s="202"/>
      <c r="P78" s="203"/>
    </row>
    <row r="79" spans="2:16" x14ac:dyDescent="0.2">
      <c r="B79" s="11"/>
      <c r="C79" s="11"/>
      <c r="D79" s="11"/>
      <c r="E79" s="11"/>
      <c r="F79" s="11"/>
      <c r="G79" s="11"/>
      <c r="H79" s="11"/>
      <c r="I79" s="11"/>
      <c r="J79" s="11"/>
      <c r="K79" s="11"/>
      <c r="L79" s="11"/>
      <c r="M79" s="11"/>
      <c r="N79" s="11"/>
      <c r="O79" s="11"/>
      <c r="P79" s="11"/>
    </row>
    <row r="80" spans="2:16" x14ac:dyDescent="0.2">
      <c r="B80" s="11"/>
      <c r="C80" s="11"/>
      <c r="D80" s="167" t="s">
        <v>82</v>
      </c>
      <c r="E80" s="167"/>
      <c r="F80" s="12"/>
      <c r="G80" s="11"/>
      <c r="H80" s="11"/>
      <c r="I80" s="11"/>
      <c r="J80" s="11"/>
      <c r="K80" s="11"/>
      <c r="L80" s="11"/>
      <c r="M80" s="11"/>
      <c r="N80" s="11"/>
      <c r="O80" s="11"/>
      <c r="P80" s="11"/>
    </row>
    <row r="81" spans="2:16" x14ac:dyDescent="0.2">
      <c r="B81" s="11"/>
      <c r="C81" s="11"/>
      <c r="D81" s="11"/>
      <c r="E81" s="11"/>
      <c r="F81" s="11"/>
      <c r="G81" s="11"/>
      <c r="H81" s="11"/>
      <c r="I81" s="11"/>
      <c r="J81" s="11"/>
      <c r="K81" s="11"/>
      <c r="L81" s="11"/>
      <c r="M81" s="11"/>
      <c r="N81" s="11"/>
      <c r="O81" s="11"/>
      <c r="P81" s="11"/>
    </row>
    <row r="82" spans="2:16" x14ac:dyDescent="0.2">
      <c r="B82" s="11"/>
      <c r="C82" s="167" t="s">
        <v>102</v>
      </c>
      <c r="D82" s="204"/>
      <c r="E82" s="205"/>
      <c r="F82" s="45"/>
      <c r="G82" s="11"/>
      <c r="H82" s="11"/>
      <c r="I82" s="11"/>
      <c r="J82" s="11"/>
      <c r="K82" s="11"/>
      <c r="L82" s="11"/>
      <c r="M82" s="11"/>
      <c r="N82" s="11"/>
      <c r="O82" s="11"/>
      <c r="P82" s="11"/>
    </row>
    <row r="83" spans="2:16" x14ac:dyDescent="0.2">
      <c r="B83" s="11"/>
      <c r="C83" s="11"/>
      <c r="D83" s="30"/>
      <c r="E83" s="30"/>
      <c r="F83" s="31"/>
      <c r="G83" s="11"/>
      <c r="H83" s="11"/>
      <c r="I83" s="11"/>
      <c r="J83" s="11"/>
      <c r="K83" s="11"/>
      <c r="L83" s="11"/>
      <c r="M83" s="11"/>
      <c r="N83" s="11"/>
      <c r="O83" s="11"/>
      <c r="P83" s="11"/>
    </row>
    <row r="84" spans="2:16" ht="15.75" x14ac:dyDescent="0.25">
      <c r="B84" s="8" t="s">
        <v>196</v>
      </c>
      <c r="C84" s="6"/>
      <c r="D84" s="6"/>
      <c r="E84" s="6"/>
      <c r="F84" s="6"/>
      <c r="G84" s="6"/>
      <c r="H84" s="6"/>
      <c r="I84" s="6"/>
      <c r="J84" s="6"/>
      <c r="K84" s="6"/>
      <c r="L84" s="6"/>
      <c r="M84" s="6"/>
      <c r="N84" s="6"/>
      <c r="O84" s="6"/>
      <c r="P84" s="7"/>
    </row>
    <row r="85" spans="2:16" ht="7.5" customHeight="1" x14ac:dyDescent="0.2">
      <c r="B85" s="5"/>
      <c r="C85" s="5"/>
      <c r="D85" s="5"/>
      <c r="E85" s="5"/>
      <c r="F85" s="5"/>
      <c r="G85" s="5"/>
      <c r="H85" s="5"/>
      <c r="I85" s="5"/>
      <c r="J85" s="5"/>
      <c r="K85" s="5"/>
      <c r="L85" s="5"/>
      <c r="M85" s="5"/>
      <c r="N85" s="5"/>
      <c r="O85" s="5"/>
      <c r="P85" s="5"/>
    </row>
    <row r="86" spans="2:16" x14ac:dyDescent="0.2">
      <c r="B86" s="11"/>
      <c r="C86" s="11"/>
      <c r="D86" s="11"/>
      <c r="E86" s="11"/>
      <c r="F86" s="11"/>
      <c r="G86" s="11"/>
      <c r="H86" s="11"/>
      <c r="I86" s="11"/>
      <c r="J86" s="11"/>
      <c r="K86" s="11"/>
      <c r="L86" s="11"/>
      <c r="M86" s="11"/>
      <c r="N86" s="11"/>
      <c r="O86" s="11"/>
      <c r="P86" s="11"/>
    </row>
    <row r="87" spans="2:16" x14ac:dyDescent="0.2">
      <c r="B87" s="11"/>
      <c r="C87" s="11"/>
      <c r="D87" s="167" t="s">
        <v>85</v>
      </c>
      <c r="E87" s="167"/>
      <c r="F87" s="12"/>
      <c r="G87" s="11"/>
      <c r="H87" s="11"/>
      <c r="I87" s="11"/>
      <c r="J87" s="11"/>
      <c r="K87" s="11"/>
      <c r="L87" s="11"/>
      <c r="M87" s="11"/>
      <c r="N87" s="11"/>
      <c r="O87" s="11"/>
      <c r="P87" s="11"/>
    </row>
    <row r="88" spans="2:16" x14ac:dyDescent="0.2">
      <c r="B88" s="11"/>
      <c r="C88" s="11"/>
      <c r="D88" s="11" t="s">
        <v>84</v>
      </c>
      <c r="E88" s="11"/>
      <c r="F88" s="11"/>
      <c r="G88" s="11"/>
      <c r="H88" s="11"/>
      <c r="I88" s="11"/>
      <c r="J88" s="11"/>
      <c r="K88" s="11"/>
      <c r="L88" s="11"/>
      <c r="M88" s="11"/>
      <c r="N88" s="11"/>
      <c r="O88" s="11"/>
      <c r="P88" s="11"/>
    </row>
    <row r="89" spans="2:16" x14ac:dyDescent="0.2">
      <c r="B89" s="11"/>
      <c r="C89" s="11"/>
      <c r="D89" s="11"/>
      <c r="E89" s="11"/>
      <c r="F89" s="11"/>
      <c r="G89" s="11"/>
      <c r="H89" s="11"/>
      <c r="I89" s="11"/>
      <c r="J89" s="11"/>
      <c r="K89" s="11"/>
      <c r="L89" s="11"/>
      <c r="M89" s="11"/>
      <c r="N89" s="11"/>
      <c r="O89" s="11"/>
      <c r="P89" s="11"/>
    </row>
    <row r="90" spans="2:16" x14ac:dyDescent="0.2">
      <c r="B90" s="11"/>
      <c r="C90" s="167" t="s">
        <v>86</v>
      </c>
      <c r="D90" s="207"/>
      <c r="E90" s="207"/>
      <c r="F90" s="12"/>
      <c r="G90" s="11"/>
      <c r="H90" s="11"/>
      <c r="I90" s="11"/>
      <c r="J90" s="11"/>
      <c r="K90" s="11"/>
      <c r="L90" s="11"/>
      <c r="M90" s="11"/>
      <c r="N90" s="11"/>
      <c r="O90" s="11"/>
      <c r="P90" s="11"/>
    </row>
    <row r="91" spans="2:16" x14ac:dyDescent="0.2">
      <c r="B91" s="11"/>
      <c r="C91" s="11"/>
      <c r="D91" s="11"/>
      <c r="E91" s="11"/>
      <c r="F91" s="11"/>
      <c r="G91" s="11"/>
      <c r="H91" s="11"/>
      <c r="I91" s="11"/>
      <c r="J91" s="11"/>
      <c r="K91" s="11"/>
      <c r="L91" s="11"/>
      <c r="M91" s="11"/>
      <c r="N91" s="11"/>
      <c r="O91" s="11"/>
      <c r="P91" s="11"/>
    </row>
    <row r="92" spans="2:16" x14ac:dyDescent="0.2">
      <c r="B92" s="11"/>
      <c r="C92" s="11"/>
      <c r="D92" s="167" t="s">
        <v>192</v>
      </c>
      <c r="E92" s="167"/>
      <c r="F92" s="12"/>
      <c r="G92" s="11"/>
      <c r="H92" s="11"/>
      <c r="I92" s="11"/>
      <c r="J92" s="11"/>
      <c r="K92" s="11"/>
      <c r="L92" s="11"/>
      <c r="M92" s="11"/>
      <c r="N92" s="11"/>
      <c r="O92" s="11"/>
      <c r="P92" s="11"/>
    </row>
    <row r="93" spans="2:16" x14ac:dyDescent="0.2">
      <c r="B93" s="11"/>
      <c r="C93" s="11"/>
      <c r="D93" s="11"/>
      <c r="E93" s="11"/>
      <c r="F93" s="11"/>
      <c r="G93" s="11"/>
      <c r="H93" s="11"/>
      <c r="I93" s="11"/>
      <c r="J93" s="11"/>
      <c r="K93" s="11"/>
      <c r="L93" s="11"/>
      <c r="M93" s="11"/>
      <c r="N93" s="11"/>
      <c r="O93" s="11"/>
      <c r="P93" s="11"/>
    </row>
    <row r="94" spans="2:16" x14ac:dyDescent="0.2">
      <c r="B94" s="11"/>
      <c r="C94" s="11"/>
      <c r="D94" s="11"/>
      <c r="E94" s="11"/>
      <c r="F94" s="11"/>
      <c r="G94" s="11"/>
      <c r="H94" s="11"/>
      <c r="I94" s="11"/>
      <c r="J94" s="11"/>
      <c r="K94" s="11"/>
      <c r="L94" s="11"/>
      <c r="M94" s="11"/>
      <c r="N94" s="11"/>
      <c r="O94" s="11"/>
      <c r="P94" s="11"/>
    </row>
    <row r="95" spans="2:16" ht="15.75" x14ac:dyDescent="0.25">
      <c r="B95" s="8" t="s">
        <v>309</v>
      </c>
      <c r="C95" s="6"/>
      <c r="D95" s="6"/>
      <c r="E95" s="6"/>
      <c r="F95" s="6"/>
      <c r="G95" s="6"/>
      <c r="H95" s="6"/>
      <c r="I95" s="6"/>
      <c r="J95" s="6"/>
      <c r="K95" s="6"/>
      <c r="L95" s="6"/>
      <c r="M95" s="6"/>
      <c r="N95" s="6"/>
      <c r="O95" s="6"/>
      <c r="P95" s="7"/>
    </row>
    <row r="96" spans="2:16" x14ac:dyDescent="0.2">
      <c r="B96" s="5"/>
      <c r="C96" s="5"/>
      <c r="D96" s="5"/>
      <c r="E96" s="5"/>
      <c r="F96" s="5"/>
      <c r="G96" s="5"/>
      <c r="H96" s="5"/>
      <c r="I96" s="5"/>
      <c r="J96" s="5"/>
      <c r="K96" s="5"/>
      <c r="L96" s="5"/>
      <c r="M96" s="5"/>
      <c r="N96" s="5"/>
      <c r="O96" s="5"/>
      <c r="P96" s="5"/>
    </row>
    <row r="97" spans="2:16" x14ac:dyDescent="0.2">
      <c r="B97" s="11"/>
      <c r="C97" s="124"/>
      <c r="D97" s="11"/>
      <c r="E97" s="11"/>
      <c r="F97" s="11"/>
      <c r="G97" s="11"/>
      <c r="H97" s="11"/>
      <c r="I97" s="11"/>
      <c r="J97" s="11"/>
      <c r="K97" s="11"/>
      <c r="L97" s="11"/>
      <c r="M97" s="11"/>
      <c r="N97" s="11"/>
      <c r="O97" s="11"/>
      <c r="P97" s="11"/>
    </row>
    <row r="98" spans="2:16" x14ac:dyDescent="0.2">
      <c r="B98" s="11"/>
      <c r="C98" s="124"/>
      <c r="D98" s="11"/>
      <c r="E98" s="11"/>
      <c r="F98" s="11"/>
      <c r="K98" s="11"/>
      <c r="L98" s="11"/>
      <c r="M98" s="11"/>
      <c r="P98" s="11"/>
    </row>
    <row r="99" spans="2:16" ht="12.75" customHeight="1" x14ac:dyDescent="0.2">
      <c r="B99" s="11"/>
      <c r="F99" s="11"/>
      <c r="H99" s="125"/>
    </row>
    <row r="100" spans="2:16" ht="12.75" customHeight="1" x14ac:dyDescent="0.2">
      <c r="B100" s="11"/>
      <c r="F100" s="11"/>
      <c r="G100" s="131" t="s">
        <v>228</v>
      </c>
      <c r="H100" s="126"/>
      <c r="I100" s="126"/>
      <c r="J100" s="126"/>
      <c r="K100" s="126"/>
      <c r="L100" s="126"/>
      <c r="M100" s="126"/>
      <c r="P100" s="126"/>
    </row>
    <row r="101" spans="2:16" ht="12.75" customHeight="1" x14ac:dyDescent="0.2">
      <c r="B101" s="11"/>
      <c r="F101" s="11"/>
      <c r="M101" s="126"/>
      <c r="P101" s="126"/>
    </row>
    <row r="102" spans="2:16" ht="12.75" customHeight="1" x14ac:dyDescent="0.2">
      <c r="B102" s="11"/>
      <c r="F102" s="11"/>
      <c r="G102" s="126"/>
      <c r="H102" s="126"/>
      <c r="I102" s="126"/>
      <c r="K102" s="126"/>
    </row>
    <row r="103" spans="2:16" x14ac:dyDescent="0.2">
      <c r="B103" s="11"/>
      <c r="F103" s="11"/>
      <c r="G103" s="130" t="s">
        <v>263</v>
      </c>
      <c r="H103" s="132"/>
      <c r="I103" s="133"/>
      <c r="J103" s="133"/>
      <c r="K103" s="133"/>
      <c r="L103" s="134"/>
    </row>
    <row r="104" spans="2:16" ht="12.75" customHeight="1" x14ac:dyDescent="0.2">
      <c r="B104" s="11"/>
      <c r="C104" s="124"/>
      <c r="D104" s="11"/>
      <c r="E104" s="11"/>
      <c r="F104" s="11"/>
      <c r="G104" s="11"/>
      <c r="I104" s="126"/>
      <c r="J104" s="126"/>
      <c r="K104" s="126"/>
      <c r="L104" s="126"/>
      <c r="M104" s="126"/>
      <c r="P104" s="126"/>
    </row>
    <row r="105" spans="2:16" ht="12.75" customHeight="1" x14ac:dyDescent="0.2">
      <c r="B105" s="11"/>
      <c r="C105" s="124"/>
      <c r="D105" s="11"/>
      <c r="E105" s="11"/>
      <c r="F105" s="11"/>
      <c r="G105" s="11"/>
      <c r="H105" s="206" t="s">
        <v>229</v>
      </c>
      <c r="I105" s="206"/>
      <c r="J105" s="206"/>
      <c r="K105" s="206"/>
      <c r="L105" s="206"/>
      <c r="M105" s="206"/>
      <c r="P105" s="126"/>
    </row>
    <row r="106" spans="2:16" x14ac:dyDescent="0.2">
      <c r="B106" s="11"/>
      <c r="C106" s="124"/>
      <c r="D106" s="11"/>
      <c r="E106" s="11"/>
      <c r="F106" s="11"/>
      <c r="G106" s="11"/>
      <c r="H106" s="206"/>
      <c r="I106" s="206"/>
      <c r="J106" s="206"/>
      <c r="K106" s="206"/>
      <c r="L106" s="206"/>
      <c r="M106" s="206"/>
      <c r="P106" s="126"/>
    </row>
    <row r="107" spans="2:16" x14ac:dyDescent="0.2">
      <c r="B107" s="15"/>
      <c r="C107" s="11"/>
      <c r="D107" s="11"/>
      <c r="E107" s="11"/>
      <c r="F107" s="11"/>
      <c r="G107" s="11"/>
      <c r="H107" s="206"/>
      <c r="I107" s="206"/>
      <c r="J107" s="206"/>
      <c r="K107" s="206"/>
      <c r="L107" s="206"/>
      <c r="M107" s="206"/>
      <c r="P107" s="15"/>
    </row>
    <row r="108" spans="2:16" x14ac:dyDescent="0.2">
      <c r="B108" s="11"/>
      <c r="C108" s="11"/>
      <c r="D108" s="11"/>
      <c r="E108" s="11"/>
      <c r="F108" s="11"/>
      <c r="G108" s="11"/>
      <c r="H108" s="11"/>
      <c r="I108" s="11"/>
      <c r="J108" s="11"/>
      <c r="K108" s="11"/>
      <c r="L108" s="11"/>
      <c r="M108" s="11"/>
      <c r="N108" s="11"/>
      <c r="O108" s="44"/>
      <c r="P108" s="44"/>
    </row>
    <row r="109" spans="2:16" x14ac:dyDescent="0.2">
      <c r="B109" s="11"/>
      <c r="C109" s="42" t="s">
        <v>310</v>
      </c>
      <c r="D109" s="11"/>
      <c r="E109" s="11"/>
      <c r="F109" s="11"/>
      <c r="G109" s="11"/>
      <c r="H109" s="11"/>
      <c r="I109" s="11"/>
      <c r="J109" s="11"/>
      <c r="K109" s="11"/>
      <c r="L109" s="43"/>
      <c r="M109" s="43"/>
      <c r="N109" s="43"/>
      <c r="O109" s="44"/>
      <c r="P109" s="44"/>
    </row>
    <row r="110" spans="2:16" ht="15.75" x14ac:dyDescent="0.25">
      <c r="B110" s="8" t="s">
        <v>87</v>
      </c>
      <c r="C110" s="6"/>
      <c r="D110" s="6"/>
      <c r="E110" s="6"/>
      <c r="F110" s="6"/>
      <c r="G110" s="6"/>
      <c r="H110" s="6"/>
      <c r="I110" s="6"/>
      <c r="J110" s="6"/>
      <c r="K110" s="6"/>
      <c r="L110" s="6"/>
      <c r="M110" s="6"/>
      <c r="N110" s="6"/>
      <c r="O110" s="6"/>
      <c r="P110" s="7"/>
    </row>
    <row r="111" spans="2:16" ht="8.1" customHeight="1" x14ac:dyDescent="0.25">
      <c r="B111" s="4"/>
      <c r="C111" s="5"/>
      <c r="D111" s="5"/>
      <c r="E111" s="5"/>
      <c r="F111" s="5"/>
      <c r="G111" s="5"/>
      <c r="H111" s="5"/>
      <c r="I111" s="5"/>
      <c r="J111" s="5"/>
      <c r="K111" s="5"/>
      <c r="L111" s="5"/>
      <c r="M111" s="5"/>
      <c r="N111" s="5"/>
      <c r="O111" s="5"/>
      <c r="P111" s="5"/>
    </row>
    <row r="112" spans="2:16" ht="8.1" customHeight="1" x14ac:dyDescent="0.2"/>
    <row r="113" spans="2:16" x14ac:dyDescent="0.2">
      <c r="B113" s="9"/>
      <c r="C113" s="13"/>
    </row>
    <row r="118" spans="2:16" ht="12.75" customHeight="1" x14ac:dyDescent="0.2"/>
    <row r="120" spans="2:16" x14ac:dyDescent="0.2">
      <c r="C120" s="219" t="s">
        <v>308</v>
      </c>
      <c r="D120" s="219"/>
      <c r="E120" s="219"/>
      <c r="F120" s="67"/>
      <c r="G120" s="27"/>
      <c r="H120" s="27"/>
      <c r="I120" s="27"/>
      <c r="J120" s="27"/>
      <c r="K120" s="27"/>
      <c r="L120" s="27"/>
      <c r="M120" s="27"/>
      <c r="N120" s="27"/>
      <c r="O120" s="27"/>
      <c r="P120" s="27"/>
    </row>
    <row r="121" spans="2:16" ht="12.75" customHeight="1" x14ac:dyDescent="0.2">
      <c r="C121" s="219"/>
      <c r="D121" s="219"/>
      <c r="E121" s="219"/>
      <c r="F121" s="26"/>
      <c r="H121" s="27"/>
      <c r="I121" s="27"/>
      <c r="J121" s="56" t="s">
        <v>304</v>
      </c>
      <c r="K121" s="191"/>
      <c r="L121" s="192"/>
      <c r="M121" s="192"/>
      <c r="N121" s="192"/>
      <c r="O121" s="192"/>
      <c r="P121" s="193"/>
    </row>
    <row r="122" spans="2:16" ht="12.75" customHeight="1" x14ac:dyDescent="0.2">
      <c r="E122" s="27"/>
      <c r="F122" s="27"/>
      <c r="G122" s="27"/>
      <c r="H122" s="27"/>
      <c r="I122" s="27"/>
      <c r="J122" s="27"/>
      <c r="K122" s="27"/>
      <c r="L122" s="27"/>
      <c r="M122" s="27"/>
      <c r="N122" s="27"/>
      <c r="O122" s="27"/>
      <c r="P122" s="27"/>
    </row>
    <row r="123" spans="2:16" ht="12.75" customHeight="1" x14ac:dyDescent="0.2">
      <c r="C123" s="219" t="s">
        <v>305</v>
      </c>
      <c r="D123" s="219"/>
      <c r="E123" s="219"/>
      <c r="F123" s="219"/>
      <c r="G123" s="219"/>
      <c r="H123" s="219"/>
      <c r="I123" s="219"/>
      <c r="J123" s="220"/>
      <c r="K123" s="26"/>
      <c r="L123" s="49"/>
      <c r="M123" s="27"/>
    </row>
    <row r="124" spans="2:16" x14ac:dyDescent="0.2">
      <c r="H124" s="16"/>
    </row>
    <row r="125" spans="2:16" ht="15.75" x14ac:dyDescent="0.25">
      <c r="B125" s="8" t="s">
        <v>95</v>
      </c>
      <c r="C125" s="6"/>
      <c r="D125" s="6"/>
      <c r="E125" s="6"/>
      <c r="F125" s="6"/>
      <c r="G125" s="6"/>
      <c r="H125" s="6"/>
      <c r="I125" s="135"/>
      <c r="J125" s="6"/>
      <c r="K125" s="6"/>
      <c r="L125" s="6"/>
      <c r="M125" s="6"/>
      <c r="N125" s="6"/>
      <c r="O125" s="6"/>
      <c r="P125" s="7"/>
    </row>
    <row r="126" spans="2:16" ht="7.5" customHeight="1" x14ac:dyDescent="0.25">
      <c r="B126" s="4"/>
      <c r="C126" s="5"/>
      <c r="D126" s="5"/>
      <c r="E126" s="5"/>
      <c r="F126" s="5"/>
      <c r="G126" s="5"/>
      <c r="H126" s="5"/>
      <c r="I126" s="5"/>
      <c r="J126" s="5"/>
      <c r="K126" s="5"/>
      <c r="L126" s="5"/>
      <c r="M126" s="5"/>
      <c r="N126" s="5"/>
      <c r="O126" s="5"/>
      <c r="P126" s="5"/>
    </row>
    <row r="127" spans="2:16" x14ac:dyDescent="0.2">
      <c r="B127" s="1"/>
      <c r="C127" s="1"/>
      <c r="D127" s="1"/>
      <c r="E127" s="1"/>
      <c r="F127" s="1"/>
      <c r="G127" s="17"/>
      <c r="H127" s="17"/>
      <c r="I127" s="17"/>
      <c r="J127" s="1"/>
      <c r="K127" s="17"/>
      <c r="L127" s="17"/>
      <c r="M127" s="17"/>
    </row>
    <row r="128" spans="2:16" x14ac:dyDescent="0.2">
      <c r="B128" s="1"/>
      <c r="C128" s="1" t="s">
        <v>96</v>
      </c>
      <c r="D128" s="1"/>
      <c r="E128" s="1"/>
      <c r="F128" s="1"/>
      <c r="G128" s="17"/>
      <c r="H128" s="17"/>
      <c r="I128" s="17"/>
      <c r="J128" s="1"/>
      <c r="K128" s="17"/>
      <c r="L128" s="17"/>
      <c r="M128" s="17"/>
    </row>
    <row r="129" spans="2:13" x14ac:dyDescent="0.2">
      <c r="B129" s="1"/>
      <c r="C129" s="1"/>
      <c r="D129" s="1"/>
      <c r="E129" s="1"/>
      <c r="F129" s="1"/>
      <c r="G129" s="17"/>
      <c r="H129" s="17"/>
      <c r="I129" s="17"/>
      <c r="J129" s="1"/>
      <c r="K129" s="17"/>
      <c r="L129" s="17"/>
      <c r="M129" s="17"/>
    </row>
    <row r="130" spans="2:13" x14ac:dyDescent="0.2">
      <c r="B130" s="1"/>
      <c r="C130" s="217" t="s">
        <v>97</v>
      </c>
      <c r="D130" s="217"/>
      <c r="F130" s="1"/>
      <c r="G130" s="17"/>
      <c r="H130" s="217" t="s">
        <v>101</v>
      </c>
      <c r="I130" s="217"/>
      <c r="J130" s="217"/>
      <c r="K130" s="17"/>
      <c r="L130" s="17"/>
      <c r="M130" s="17"/>
    </row>
    <row r="131" spans="2:13" x14ac:dyDescent="0.2">
      <c r="B131" s="1"/>
      <c r="C131" s="213" t="s">
        <v>98</v>
      </c>
      <c r="D131" s="213"/>
      <c r="E131" s="216"/>
      <c r="F131" s="189"/>
      <c r="G131" s="17"/>
      <c r="H131" s="35"/>
      <c r="I131" s="213" t="s">
        <v>98</v>
      </c>
      <c r="J131" s="213"/>
      <c r="K131" s="178"/>
      <c r="L131" s="179"/>
      <c r="M131" s="180"/>
    </row>
    <row r="132" spans="2:13" x14ac:dyDescent="0.2">
      <c r="B132" s="1"/>
      <c r="C132" s="177" t="s">
        <v>99</v>
      </c>
      <c r="D132" s="140"/>
      <c r="E132" s="182"/>
      <c r="F132" s="183"/>
      <c r="G132" s="17"/>
      <c r="H132" s="36"/>
      <c r="I132" s="181" t="s">
        <v>99</v>
      </c>
      <c r="J132" s="181"/>
      <c r="K132" s="187"/>
      <c r="L132" s="188"/>
      <c r="M132" s="189"/>
    </row>
    <row r="133" spans="2:13" x14ac:dyDescent="0.2">
      <c r="B133" s="1"/>
      <c r="C133" s="177" t="s">
        <v>100</v>
      </c>
      <c r="D133" s="140"/>
      <c r="E133" s="190"/>
      <c r="F133" s="189"/>
      <c r="G133" s="17"/>
      <c r="H133" s="36"/>
      <c r="I133" s="181" t="s">
        <v>100</v>
      </c>
      <c r="J133" s="181"/>
      <c r="K133" s="184"/>
      <c r="L133" s="185"/>
      <c r="M133" s="186"/>
    </row>
    <row r="134" spans="2:13" x14ac:dyDescent="0.2">
      <c r="B134" s="1"/>
      <c r="C134" s="1"/>
      <c r="D134" s="1"/>
      <c r="E134" s="1"/>
      <c r="F134" s="1"/>
      <c r="G134" s="17"/>
      <c r="H134" s="17"/>
      <c r="I134" s="17"/>
      <c r="J134" s="38"/>
      <c r="K134" s="17"/>
      <c r="L134" s="17"/>
      <c r="M134" s="17"/>
    </row>
    <row r="135" spans="2:13" x14ac:dyDescent="0.2">
      <c r="B135" s="1"/>
      <c r="C135" s="1" t="s">
        <v>184</v>
      </c>
      <c r="D135" s="1"/>
      <c r="E135" s="1"/>
      <c r="F135" s="1"/>
      <c r="G135" s="17"/>
      <c r="H135" s="17"/>
      <c r="I135" s="17"/>
      <c r="J135" s="38"/>
      <c r="K135" s="17"/>
      <c r="L135" s="17"/>
      <c r="M135" s="17"/>
    </row>
    <row r="136" spans="2:13" x14ac:dyDescent="0.2">
      <c r="B136" s="1"/>
      <c r="C136" s="1"/>
      <c r="D136" s="1"/>
      <c r="E136" s="1"/>
      <c r="F136" s="1"/>
      <c r="G136" s="17"/>
      <c r="H136" s="17"/>
      <c r="I136" s="17"/>
      <c r="J136" s="1"/>
      <c r="K136" s="17"/>
      <c r="L136" s="17"/>
      <c r="M136" s="17"/>
    </row>
    <row r="139" spans="2:13" x14ac:dyDescent="0.2">
      <c r="B139" s="9"/>
      <c r="C139" s="3"/>
    </row>
    <row r="140" spans="2:13" ht="8.1" customHeight="1" x14ac:dyDescent="0.2"/>
    <row r="141" spans="2:13" x14ac:dyDescent="0.2">
      <c r="B141" s="9"/>
      <c r="C141" s="3"/>
    </row>
    <row r="144" spans="2:13" x14ac:dyDescent="0.2">
      <c r="C144" s="10"/>
    </row>
    <row r="145" spans="3:3" x14ac:dyDescent="0.2">
      <c r="C145" s="10"/>
    </row>
    <row r="146" spans="3:3" x14ac:dyDescent="0.2">
      <c r="C146" s="10"/>
    </row>
    <row r="147" spans="3:3" x14ac:dyDescent="0.2">
      <c r="C147" s="10"/>
    </row>
    <row r="148" spans="3:3" x14ac:dyDescent="0.2">
      <c r="C148" s="10"/>
    </row>
    <row r="149" spans="3:3" x14ac:dyDescent="0.2">
      <c r="C149" s="10"/>
    </row>
    <row r="150" spans="3:3" x14ac:dyDescent="0.2">
      <c r="C150" s="10"/>
    </row>
  </sheetData>
  <dataConsolidate/>
  <customSheetViews>
    <customSheetView guid="{B3B1B15C-C8BB-4AE3-8B74-6F4E0F21E952}" showPageBreaks="1" showGridLines="0" showRowCol="0" showRuler="0" topLeftCell="A19">
      <selection activeCell="J31" sqref="J31:N31"/>
      <pageMargins left="0.5" right="0.5" top="0.5" bottom="0.5" header="0.5" footer="0.5"/>
      <pageSetup orientation="landscape" r:id="rId1"/>
      <headerFooter alignWithMargins="0"/>
    </customSheetView>
  </customSheetViews>
  <mergeCells count="80">
    <mergeCell ref="L16:N16"/>
    <mergeCell ref="J51:P52"/>
    <mergeCell ref="D54:F55"/>
    <mergeCell ref="H23:J23"/>
    <mergeCell ref="H25:J25"/>
    <mergeCell ref="H26:J26"/>
    <mergeCell ref="E41:P49"/>
    <mergeCell ref="H27:J27"/>
    <mergeCell ref="B17:D17"/>
    <mergeCell ref="B21:D21"/>
    <mergeCell ref="E19:G19"/>
    <mergeCell ref="E16:G16"/>
    <mergeCell ref="B22:D22"/>
    <mergeCell ref="H18:J18"/>
    <mergeCell ref="E22:G22"/>
    <mergeCell ref="H21:J21"/>
    <mergeCell ref="E10:G10"/>
    <mergeCell ref="C131:D131"/>
    <mergeCell ref="E63:G63"/>
    <mergeCell ref="C41:D41"/>
    <mergeCell ref="H22:J22"/>
    <mergeCell ref="I131:J131"/>
    <mergeCell ref="E131:F131"/>
    <mergeCell ref="C130:D130"/>
    <mergeCell ref="E12:G12"/>
    <mergeCell ref="E13:G13"/>
    <mergeCell ref="B12:D12"/>
    <mergeCell ref="H130:J130"/>
    <mergeCell ref="C120:E121"/>
    <mergeCell ref="C123:J123"/>
    <mergeCell ref="B13:D13"/>
    <mergeCell ref="C15:D15"/>
    <mergeCell ref="H1:J1"/>
    <mergeCell ref="H13:J13"/>
    <mergeCell ref="H14:J14"/>
    <mergeCell ref="H17:J17"/>
    <mergeCell ref="H12:J12"/>
    <mergeCell ref="K121:P121"/>
    <mergeCell ref="D76:E76"/>
    <mergeCell ref="D80:E80"/>
    <mergeCell ref="F76:P78"/>
    <mergeCell ref="D87:E87"/>
    <mergeCell ref="C82:E82"/>
    <mergeCell ref="D92:E92"/>
    <mergeCell ref="H105:M107"/>
    <mergeCell ref="C90:E90"/>
    <mergeCell ref="C133:D133"/>
    <mergeCell ref="K131:M131"/>
    <mergeCell ref="C132:D132"/>
    <mergeCell ref="I132:J132"/>
    <mergeCell ref="E132:F132"/>
    <mergeCell ref="K133:M133"/>
    <mergeCell ref="K132:M132"/>
    <mergeCell ref="I133:J133"/>
    <mergeCell ref="E133:F133"/>
    <mergeCell ref="B14:D14"/>
    <mergeCell ref="E14:G14"/>
    <mergeCell ref="E15:G15"/>
    <mergeCell ref="B25:D25"/>
    <mergeCell ref="E17:G17"/>
    <mergeCell ref="E18:G18"/>
    <mergeCell ref="E21:G21"/>
    <mergeCell ref="B23:D23"/>
    <mergeCell ref="E23:G23"/>
    <mergeCell ref="E25:G25"/>
    <mergeCell ref="F74:J74"/>
    <mergeCell ref="B26:D26"/>
    <mergeCell ref="B27:D27"/>
    <mergeCell ref="E26:G26"/>
    <mergeCell ref="F72:G72"/>
    <mergeCell ref="E61:G61"/>
    <mergeCell ref="E32:P34"/>
    <mergeCell ref="E27:G27"/>
    <mergeCell ref="C63:D63"/>
    <mergeCell ref="E36:P39"/>
    <mergeCell ref="E66:G66"/>
    <mergeCell ref="E67:G67"/>
    <mergeCell ref="E64:G64"/>
    <mergeCell ref="E65:G65"/>
    <mergeCell ref="D74:E74"/>
  </mergeCells>
  <phoneticPr fontId="0" type="noConversion"/>
  <conditionalFormatting sqref="H103:O103">
    <cfRule type="expression" dxfId="5" priority="3">
      <formula>is_other=TRUE</formula>
    </cfRule>
  </conditionalFormatting>
  <conditionalFormatting sqref="J103">
    <cfRule type="expression" dxfId="4" priority="2">
      <formula>is_other=TRUE</formula>
    </cfRule>
  </conditionalFormatting>
  <conditionalFormatting sqref="G103">
    <cfRule type="expression" dxfId="3" priority="1">
      <formula>is_other=TRUE</formula>
    </cfRule>
  </conditionalFormatting>
  <dataValidations xWindow="964" yWindow="836" count="14">
    <dataValidation type="custom" allowBlank="1" showInputMessage="1" showErrorMessage="1" error="Please do not use the apostrophe (') character." sqref="K132:M133 E132:F133 F76:P78 E17:G19 E22:G23 E32:P34 E14:G15 E26:G27">
      <formula1>ISERROR(FIND("'",E14,1))</formula1>
    </dataValidation>
    <dataValidation type="custom" allowBlank="1" showInputMessage="1" showErrorMessage="1" errorTitle="First and Last Name Only" error="Please make sure that the name consists of &quot;First Name&quot; followed by a &quot;space character&quot;, followed by &quot;Last Name&quot;. Please omit honorifics such as &quot;Dr.&quot; or &quot;Ph.D.&quot; (There must be exactly one &quot;space&quot;.) Use of hypens is allowed." sqref="K131:M131 E131:F131 E13:G13 E21:G21 E25:G25 E10:G10">
      <formula1>LEN(E10)-LEN(SUBSTITUTE(E10," ",""))=1</formula1>
    </dataValidation>
    <dataValidation type="list" allowBlank="1" showInputMessage="1" showErrorMessage="1" sqref="F121 K123 F87 F90 F92 G51 G55">
      <formula1>yesno</formula1>
    </dataValidation>
    <dataValidation type="list" allowBlank="1" showInputMessage="1" showErrorMessage="1" promptTitle="Special Order" prompt="Listed arrays are not stocked in the AMC and must be purchased in packs of 2,5,6 or 30 arrays.  If this requirement does not fit your experimental design, please contact AMC staff for possible alternative solutions." sqref="L109:N109">
      <formula1>unstockedother</formula1>
    </dataValidation>
    <dataValidation allowBlank="1" showErrorMessage="1" sqref="H63:N67"/>
    <dataValidation type="whole" allowBlank="1" showInputMessage="1" showErrorMessage="1" error="Please enter a whole number without text." sqref="F80">
      <formula1>0</formula1>
      <formula2>1000000</formula2>
    </dataValidation>
    <dataValidation type="list" allowBlank="1" showInputMessage="1" showErrorMessage="1" promptTitle="RNA Isolation" prompt="Click arrow on right to view and select from list." sqref="F74:J75">
      <formula1>Isolation</formula1>
    </dataValidation>
    <dataValidation type="date" allowBlank="1" showInputMessage="1" showErrorMessage="1" error="Please enter a date." sqref="E59 F82 E12:G12">
      <formula1>32874</formula1>
      <formula2>401769</formula2>
    </dataValidation>
    <dataValidation type="list" allowBlank="1" showInputMessage="1" showErrorMessage="1" prompt="Click arrow on right to view and select from list." sqref="E57">
      <formula1>yesnopending</formula1>
    </dataValidation>
    <dataValidation type="list" allowBlank="1" showInputMessage="1" showErrorMessage="1" promptTitle="Experimental Design" prompt="If you are unsure of your experimental design please click on the links below for some examples of experimental designs." sqref="E61">
      <formula1>sampledesign1</formula1>
    </dataValidation>
    <dataValidation type="list" allowBlank="1" showInputMessage="1" showErrorMessage="1" promptTitle="Species" prompt="Click arrow on right to view and select from list." sqref="F72:G72">
      <formula1>Species1</formula1>
    </dataValidation>
    <dataValidation type="custom" allowBlank="1" showInputMessage="1" showErrorMessage="1" error="Please do not use the apostrophe (') character, and please ensure you have entered less than 2000 characters." sqref="E41:P49 E36:P39">
      <formula1>AND(ISERROR(FIND("'",E36,1)),LEN(E36)&lt;2000)</formula1>
    </dataValidation>
    <dataValidation type="date" allowBlank="1" showErrorMessage="1" errorTitle="Please enter a date." error="Please enter a date." sqref="G52">
      <formula1>18264</formula1>
      <formula2>401769</formula2>
    </dataValidation>
    <dataValidation type="list" errorStyle="warning" allowBlank="1" showInputMessage="1" showErrorMessage="1" errorTitle="Affiliation not in Standard List" error="Do you wish to continue using an &quot;Affiliation&quot; that is not in the standard list?" promptTitle="Affiliation" prompt="Click arrow on right to view and select from list." sqref="E16:G16">
      <formula1>Affilitaion</formula1>
    </dataValidation>
  </dataValidations>
  <hyperlinks>
    <hyperlink ref="E63" r:id="rId2"/>
    <hyperlink ref="E64" r:id="rId3"/>
    <hyperlink ref="E65" r:id="rId4"/>
    <hyperlink ref="E66" r:id="rId5"/>
    <hyperlink ref="E67" r:id="rId6"/>
    <hyperlink ref="E63:G63" r:id="rId7" display="Pooled Sample"/>
    <hyperlink ref="E64:G64" r:id="rId8" display="Biological Replicates"/>
    <hyperlink ref="E65:G65" r:id="rId9" display="Technical Replicate 1: Source Sample"/>
    <hyperlink ref="E66:G66" r:id="rId10" display="Technical Replicate 2: Hybridization"/>
    <hyperlink ref="E67:G67" r:id="rId11" display="No Replicates"/>
  </hyperlinks>
  <pageMargins left="0.5" right="0.5" top="0.5" bottom="0.17" header="0.17" footer="0.17"/>
  <pageSetup scale="62" fitToHeight="2" orientation="landscape" r:id="rId12"/>
  <headerFooter alignWithMargins="0">
    <oddHeader>&amp;RPage &amp;P of &amp;N</oddHeader>
  </headerFooter>
  <drawing r:id="rId13"/>
  <legacyDrawing r:id="rId14"/>
  <mc:AlternateContent xmlns:mc="http://schemas.openxmlformats.org/markup-compatibility/2006">
    <mc:Choice Requires="x14">
      <controls>
        <mc:AlternateContent xmlns:mc="http://schemas.openxmlformats.org/markup-compatibility/2006">
          <mc:Choice Requires="x14">
            <control shapeId="1882" r:id="rId15" name="Drop Down 858">
              <controlPr defaultSize="0" autoLine="0" autoPict="0">
                <anchor moveWithCells="1">
                  <from>
                    <xdr:col>7</xdr:col>
                    <xdr:colOff>9525</xdr:colOff>
                    <xdr:row>98</xdr:row>
                    <xdr:rowOff>152400</xdr:rowOff>
                  </from>
                  <to>
                    <xdr:col>12</xdr:col>
                    <xdr:colOff>28575</xdr:colOff>
                    <xdr:row>100</xdr:row>
                    <xdr:rowOff>28575</xdr:rowOff>
                  </to>
                </anchor>
              </controlPr>
            </control>
          </mc:Choice>
        </mc:AlternateContent>
        <mc:AlternateContent xmlns:mc="http://schemas.openxmlformats.org/markup-compatibility/2006">
          <mc:Choice Requires="x14">
            <control shapeId="1863" r:id="rId16" name="Option Button 839">
              <controlPr defaultSize="0" autoFill="0" autoLine="0" autoPict="0">
                <anchor moveWithCells="1" sizeWithCells="1">
                  <from>
                    <xdr:col>2</xdr:col>
                    <xdr:colOff>247650</xdr:colOff>
                    <xdr:row>97</xdr:row>
                    <xdr:rowOff>114300</xdr:rowOff>
                  </from>
                  <to>
                    <xdr:col>3</xdr:col>
                    <xdr:colOff>323850</xdr:colOff>
                    <xdr:row>99</xdr:row>
                    <xdr:rowOff>9525</xdr:rowOff>
                  </to>
                </anchor>
              </controlPr>
            </control>
          </mc:Choice>
        </mc:AlternateContent>
        <mc:AlternateContent xmlns:mc="http://schemas.openxmlformats.org/markup-compatibility/2006">
          <mc:Choice Requires="x14">
            <control shapeId="1864" r:id="rId17" name="Group Box 840">
              <controlPr defaultSize="0" autoFill="0" autoPict="0">
                <anchor moveWithCells="1" sizeWithCells="1">
                  <from>
                    <xdr:col>2</xdr:col>
                    <xdr:colOff>85725</xdr:colOff>
                    <xdr:row>97</xdr:row>
                    <xdr:rowOff>0</xdr:rowOff>
                  </from>
                  <to>
                    <xdr:col>3</xdr:col>
                    <xdr:colOff>428625</xdr:colOff>
                    <xdr:row>105</xdr:row>
                    <xdr:rowOff>152400</xdr:rowOff>
                  </to>
                </anchor>
              </controlPr>
            </control>
          </mc:Choice>
        </mc:AlternateContent>
        <mc:AlternateContent xmlns:mc="http://schemas.openxmlformats.org/markup-compatibility/2006">
          <mc:Choice Requires="x14">
            <control shapeId="1865" r:id="rId18" name="Option Button 841">
              <controlPr defaultSize="0" autoFill="0" autoLine="0" autoPict="0">
                <anchor moveWithCells="1" sizeWithCells="1">
                  <from>
                    <xdr:col>2</xdr:col>
                    <xdr:colOff>247650</xdr:colOff>
                    <xdr:row>99</xdr:row>
                    <xdr:rowOff>19050</xdr:rowOff>
                  </from>
                  <to>
                    <xdr:col>3</xdr:col>
                    <xdr:colOff>323850</xdr:colOff>
                    <xdr:row>100</xdr:row>
                    <xdr:rowOff>76200</xdr:rowOff>
                  </to>
                </anchor>
              </controlPr>
            </control>
          </mc:Choice>
        </mc:AlternateContent>
        <mc:AlternateContent xmlns:mc="http://schemas.openxmlformats.org/markup-compatibility/2006">
          <mc:Choice Requires="x14">
            <control shapeId="1866" r:id="rId19" name="Option Button 842">
              <controlPr defaultSize="0" autoFill="0" autoLine="0" autoPict="0">
                <anchor moveWithCells="1" sizeWithCells="1">
                  <from>
                    <xdr:col>2</xdr:col>
                    <xdr:colOff>247650</xdr:colOff>
                    <xdr:row>100</xdr:row>
                    <xdr:rowOff>104775</xdr:rowOff>
                  </from>
                  <to>
                    <xdr:col>3</xdr:col>
                    <xdr:colOff>323850</xdr:colOff>
                    <xdr:row>102</xdr:row>
                    <xdr:rowOff>0</xdr:rowOff>
                  </to>
                </anchor>
              </controlPr>
            </control>
          </mc:Choice>
        </mc:AlternateContent>
        <mc:AlternateContent xmlns:mc="http://schemas.openxmlformats.org/markup-compatibility/2006">
          <mc:Choice Requires="x14">
            <control shapeId="1867" r:id="rId20" name="Option Button 843">
              <controlPr defaultSize="0" autoFill="0" autoLine="0" autoPict="0">
                <anchor moveWithCells="1" sizeWithCells="1">
                  <from>
                    <xdr:col>2</xdr:col>
                    <xdr:colOff>247650</xdr:colOff>
                    <xdr:row>102</xdr:row>
                    <xdr:rowOff>28575</xdr:rowOff>
                  </from>
                  <to>
                    <xdr:col>3</xdr:col>
                    <xdr:colOff>323850</xdr:colOff>
                    <xdr:row>103</xdr:row>
                    <xdr:rowOff>85725</xdr:rowOff>
                  </to>
                </anchor>
              </controlPr>
            </control>
          </mc:Choice>
        </mc:AlternateContent>
        <mc:AlternateContent xmlns:mc="http://schemas.openxmlformats.org/markup-compatibility/2006">
          <mc:Choice Requires="x14">
            <control shapeId="1868" r:id="rId21" name="Option Button 844">
              <controlPr defaultSize="0" autoFill="0" autoLine="0" autoPict="0">
                <anchor moveWithCells="1" sizeWithCells="1">
                  <from>
                    <xdr:col>2</xdr:col>
                    <xdr:colOff>247650</xdr:colOff>
                    <xdr:row>103</xdr:row>
                    <xdr:rowOff>114300</xdr:rowOff>
                  </from>
                  <to>
                    <xdr:col>3</xdr:col>
                    <xdr:colOff>333375</xdr:colOff>
                    <xdr:row>105</xdr:row>
                    <xdr:rowOff>9525</xdr:rowOff>
                  </to>
                </anchor>
              </controlPr>
            </control>
          </mc:Choice>
        </mc:AlternateContent>
        <mc:AlternateContent xmlns:mc="http://schemas.openxmlformats.org/markup-compatibility/2006">
          <mc:Choice Requires="x14">
            <control shapeId="1855" r:id="rId22" name="Group Box 831">
              <controlPr defaultSize="0" autoFill="0" autoPict="0">
                <anchor moveWithCells="1" sizeWithCells="1">
                  <from>
                    <xdr:col>3</xdr:col>
                    <xdr:colOff>771525</xdr:colOff>
                    <xdr:row>97</xdr:row>
                    <xdr:rowOff>0</xdr:rowOff>
                  </from>
                  <to>
                    <xdr:col>5</xdr:col>
                    <xdr:colOff>104775</xdr:colOff>
                    <xdr:row>102</xdr:row>
                    <xdr:rowOff>152400</xdr:rowOff>
                  </to>
                </anchor>
              </controlPr>
            </control>
          </mc:Choice>
        </mc:AlternateContent>
        <mc:AlternateContent xmlns:mc="http://schemas.openxmlformats.org/markup-compatibility/2006">
          <mc:Choice Requires="x14">
            <control shapeId="1856" r:id="rId23" name="obAffy">
              <controlPr defaultSize="0" autoFill="0" autoLine="0" autoPict="0">
                <anchor moveWithCells="1" sizeWithCells="1">
                  <from>
                    <xdr:col>3</xdr:col>
                    <xdr:colOff>923925</xdr:colOff>
                    <xdr:row>97</xdr:row>
                    <xdr:rowOff>133350</xdr:rowOff>
                  </from>
                  <to>
                    <xdr:col>4</xdr:col>
                    <xdr:colOff>800100</xdr:colOff>
                    <xdr:row>99</xdr:row>
                    <xdr:rowOff>28575</xdr:rowOff>
                  </to>
                </anchor>
              </controlPr>
            </control>
          </mc:Choice>
        </mc:AlternateContent>
        <mc:AlternateContent xmlns:mc="http://schemas.openxmlformats.org/markup-compatibility/2006">
          <mc:Choice Requires="x14">
            <control shapeId="1857" r:id="rId24" name="obIllumina">
              <controlPr defaultSize="0" autoFill="0" autoLine="0" autoPict="0">
                <anchor moveWithCells="1" sizeWithCells="1">
                  <from>
                    <xdr:col>3</xdr:col>
                    <xdr:colOff>923925</xdr:colOff>
                    <xdr:row>99</xdr:row>
                    <xdr:rowOff>66675</xdr:rowOff>
                  </from>
                  <to>
                    <xdr:col>4</xdr:col>
                    <xdr:colOff>800100</xdr:colOff>
                    <xdr:row>100</xdr:row>
                    <xdr:rowOff>123825</xdr:rowOff>
                  </to>
                </anchor>
              </controlPr>
            </control>
          </mc:Choice>
        </mc:AlternateContent>
        <mc:AlternateContent xmlns:mc="http://schemas.openxmlformats.org/markup-compatibility/2006">
          <mc:Choice Requires="x14">
            <control shapeId="1878" r:id="rId25" name="Option Button 854">
              <controlPr defaultSize="0" autoFill="0" autoLine="0" autoPict="0">
                <anchor moveWithCells="1" sizeWithCells="1">
                  <from>
                    <xdr:col>3</xdr:col>
                    <xdr:colOff>923925</xdr:colOff>
                    <xdr:row>101</xdr:row>
                    <xdr:rowOff>0</xdr:rowOff>
                  </from>
                  <to>
                    <xdr:col>5</xdr:col>
                    <xdr:colOff>47625</xdr:colOff>
                    <xdr:row>102</xdr:row>
                    <xdr:rowOff>57150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Z199"/>
  <sheetViews>
    <sheetView zoomScale="85" zoomScaleNormal="85" workbookViewId="0">
      <pane xSplit="3" ySplit="9" topLeftCell="D10" activePane="bottomRight" state="frozen"/>
      <selection pane="topRight" activeCell="D1" sqref="D1"/>
      <selection pane="bottomLeft" activeCell="A8" sqref="A8"/>
      <selection pane="bottomRight" activeCell="A15" sqref="A15:XFD15"/>
    </sheetView>
  </sheetViews>
  <sheetFormatPr defaultRowHeight="12.75" x14ac:dyDescent="0.2"/>
  <cols>
    <col min="1" max="1" width="7.85546875" style="71" customWidth="1"/>
    <col min="2" max="2" width="31.85546875" style="71" customWidth="1"/>
    <col min="3" max="3" width="35.85546875" style="71" bestFit="1" customWidth="1"/>
    <col min="4" max="15" width="9.140625" style="71"/>
    <col min="16" max="16" width="12.28515625" style="71" customWidth="1"/>
    <col min="17" max="17" width="10.28515625" style="71" customWidth="1"/>
    <col min="18" max="18" width="9.140625" style="71"/>
    <col min="19" max="19" width="23.42578125" style="71" bestFit="1" customWidth="1"/>
    <col min="20" max="20" width="9.140625" style="71"/>
    <col min="21" max="21" width="16.140625" style="71" bestFit="1" customWidth="1"/>
    <col min="22" max="22" width="20.42578125" style="71" bestFit="1" customWidth="1"/>
    <col min="23" max="23" width="9.140625" style="71"/>
    <col min="24" max="24" width="14.42578125" style="71" bestFit="1" customWidth="1"/>
    <col min="25" max="25" width="27.85546875" style="71" customWidth="1"/>
    <col min="26" max="26" width="26.5703125" style="71" bestFit="1" customWidth="1"/>
    <col min="27" max="16384" width="9.140625" style="71"/>
  </cols>
  <sheetData>
    <row r="1" spans="1:26" x14ac:dyDescent="0.2">
      <c r="B1" s="72" t="s">
        <v>197</v>
      </c>
      <c r="C1" s="73"/>
      <c r="E1" s="13"/>
      <c r="F1" s="13"/>
      <c r="G1" s="13"/>
      <c r="I1"/>
      <c r="J1" s="13"/>
    </row>
    <row r="2" spans="1:26" x14ac:dyDescent="0.2">
      <c r="B2" s="74" t="s">
        <v>198</v>
      </c>
      <c r="C2" s="75">
        <v>1</v>
      </c>
      <c r="E2" s="13"/>
      <c r="F2" s="13"/>
      <c r="G2" s="13"/>
    </row>
    <row r="3" spans="1:26" x14ac:dyDescent="0.2">
      <c r="B3" s="74" t="s">
        <v>199</v>
      </c>
      <c r="C3" s="75">
        <v>1</v>
      </c>
      <c r="E3" s="13"/>
      <c r="F3" s="13"/>
    </row>
    <row r="4" spans="1:26" ht="13.5" thickBot="1" x14ac:dyDescent="0.25">
      <c r="B4" s="76" t="s">
        <v>200</v>
      </c>
      <c r="C4" s="77">
        <v>1</v>
      </c>
      <c r="E4" s="13"/>
      <c r="F4" s="13"/>
    </row>
    <row r="5" spans="1:26" ht="14.25" thickTop="1" thickBot="1" x14ac:dyDescent="0.25">
      <c r="B5" s="78" t="s">
        <v>201</v>
      </c>
      <c r="C5" s="79">
        <v>1</v>
      </c>
      <c r="E5" s="13"/>
      <c r="F5" s="13"/>
    </row>
    <row r="6" spans="1:26" ht="13.5" thickTop="1" x14ac:dyDescent="0.2">
      <c r="B6" s="80" t="s">
        <v>202</v>
      </c>
      <c r="C6" s="81" t="str">
        <f>LOOKUP(currentSelectedArrayComboIndex,ComboIdToListIdEvaluationRange)</f>
        <v>1</v>
      </c>
      <c r="N6" s="82" t="s">
        <v>203</v>
      </c>
      <c r="O6" s="82"/>
      <c r="P6" s="82"/>
      <c r="Q6" s="82"/>
    </row>
    <row r="7" spans="1:26" x14ac:dyDescent="0.2">
      <c r="B7" s="80" t="s">
        <v>204</v>
      </c>
      <c r="C7" s="81" t="str">
        <f>LOOKUP(C6*1,MasterArrayList)</f>
        <v>NotSelected</v>
      </c>
      <c r="D7" s="83"/>
      <c r="E7" s="83"/>
      <c r="F7" s="84"/>
      <c r="G7" s="84"/>
      <c r="H7" s="84"/>
      <c r="I7" s="84"/>
      <c r="J7" s="84"/>
      <c r="K7" s="85"/>
      <c r="L7" s="85"/>
      <c r="N7" s="82"/>
      <c r="O7" s="82"/>
      <c r="P7" s="82"/>
      <c r="Q7" s="82"/>
    </row>
    <row r="8" spans="1:26" x14ac:dyDescent="0.2">
      <c r="D8" s="232" t="s">
        <v>205</v>
      </c>
      <c r="E8" s="232"/>
      <c r="F8" s="233" t="s">
        <v>206</v>
      </c>
      <c r="G8" s="233"/>
      <c r="H8" s="233"/>
      <c r="I8" s="233"/>
      <c r="J8" s="233"/>
      <c r="K8" s="234" t="s">
        <v>207</v>
      </c>
      <c r="L8" s="234"/>
      <c r="N8" s="82"/>
      <c r="O8" s="82"/>
      <c r="P8" s="82"/>
      <c r="Q8" s="82"/>
    </row>
    <row r="9" spans="1:26" x14ac:dyDescent="0.2">
      <c r="A9" s="86" t="s">
        <v>208</v>
      </c>
      <c r="B9" s="87" t="s">
        <v>209</v>
      </c>
      <c r="C9" s="87" t="s">
        <v>210</v>
      </c>
      <c r="D9" s="88" t="s">
        <v>211</v>
      </c>
      <c r="E9" s="88" t="s">
        <v>212</v>
      </c>
      <c r="F9" s="89" t="s">
        <v>116</v>
      </c>
      <c r="G9" s="89" t="s">
        <v>213</v>
      </c>
      <c r="H9" s="89" t="s">
        <v>117</v>
      </c>
      <c r="I9" s="89" t="s">
        <v>214</v>
      </c>
      <c r="J9" s="89" t="s">
        <v>3</v>
      </c>
      <c r="K9" s="90" t="s">
        <v>215</v>
      </c>
      <c r="L9" s="90" t="s">
        <v>216</v>
      </c>
      <c r="N9" s="82" t="s">
        <v>205</v>
      </c>
      <c r="O9" s="82" t="s">
        <v>206</v>
      </c>
      <c r="P9" s="82" t="s">
        <v>217</v>
      </c>
      <c r="Q9" s="91" t="s">
        <v>218</v>
      </c>
      <c r="R9" s="92"/>
      <c r="S9" s="93" t="s">
        <v>219</v>
      </c>
      <c r="T9" s="92"/>
      <c r="U9" s="94" t="s">
        <v>220</v>
      </c>
      <c r="V9" s="94" t="s">
        <v>221</v>
      </c>
      <c r="X9" s="95" t="s">
        <v>222</v>
      </c>
      <c r="Y9" s="95" t="s">
        <v>223</v>
      </c>
      <c r="Z9" s="95" t="s">
        <v>223</v>
      </c>
    </row>
    <row r="10" spans="1:26" ht="13.5" thickBot="1" x14ac:dyDescent="0.25">
      <c r="A10" s="96">
        <v>1</v>
      </c>
      <c r="B10" s="97" t="s">
        <v>224</v>
      </c>
      <c r="C10" s="97" t="s">
        <v>225</v>
      </c>
      <c r="D10" s="98" t="b">
        <v>1</v>
      </c>
      <c r="E10" s="98" t="b">
        <v>1</v>
      </c>
      <c r="F10" s="99" t="b">
        <v>1</v>
      </c>
      <c r="G10" s="99" t="b">
        <v>1</v>
      </c>
      <c r="H10" s="99" t="b">
        <v>1</v>
      </c>
      <c r="I10" s="99" t="b">
        <v>1</v>
      </c>
      <c r="J10" s="99" t="b">
        <v>1</v>
      </c>
      <c r="K10" s="100" t="b">
        <v>1</v>
      </c>
      <c r="L10" s="100" t="b">
        <v>1</v>
      </c>
      <c r="N10" s="101" t="b">
        <f t="shared" ref="N10:N41" si="0">CHOOSE(currentPlatformIndex,D10,E10)</f>
        <v>1</v>
      </c>
      <c r="O10" s="101" t="b">
        <f t="shared" ref="O10:O41" si="1">CHOOSE(currentSpeciesIndex,F10,G10,H10,I10,J10)</f>
        <v>1</v>
      </c>
      <c r="P10" s="101" t="b">
        <f t="shared" ref="P10:P41" si="2">CHOOSE(currentArrayOptionsindex,K10,L10)</f>
        <v>1</v>
      </c>
      <c r="Q10" s="102" t="str">
        <f>IF(AND(N10,O10,P10),A10&amp;"|","")</f>
        <v>1|</v>
      </c>
      <c r="R10" s="92"/>
      <c r="S10" s="103" t="str">
        <f t="shared" ref="S10:S73" si="3">Q10&amp;S11</f>
        <v>1|2|3|4|5|6|42|43|</v>
      </c>
      <c r="T10" s="92"/>
      <c r="U10" s="104" t="str">
        <f>IF(LEN(IdQueryString)&gt;0,LEFT(IdQueryString,FIND("|",IdQueryString)-1),"")</f>
        <v>1</v>
      </c>
      <c r="V10" s="105" t="str">
        <f>MID(IdQueryString,FIND("|",IdQueryString)+1,500)</f>
        <v>2|3|4|5|6|42|43|</v>
      </c>
      <c r="X10" s="106">
        <v>1</v>
      </c>
      <c r="Y10" s="107" t="str">
        <f t="shared" ref="Y10:Y46" si="4">IFERROR(U10,"")</f>
        <v>1</v>
      </c>
      <c r="Z10" s="95" t="str">
        <f>IFERROR(LOOKUP(Y10*1,$A$10:$B$109),"")</f>
        <v>(Not Selected)</v>
      </c>
    </row>
    <row r="11" spans="1:26" ht="13.5" thickTop="1" x14ac:dyDescent="0.2">
      <c r="A11" s="96">
        <v>2</v>
      </c>
      <c r="B11" s="13" t="s">
        <v>264</v>
      </c>
      <c r="C11" s="13" t="s">
        <v>161</v>
      </c>
      <c r="D11" s="108" t="b">
        <v>1</v>
      </c>
      <c r="E11" s="108" t="b">
        <v>0</v>
      </c>
      <c r="F11" s="109" t="b">
        <v>1</v>
      </c>
      <c r="G11" s="109" t="b">
        <v>0</v>
      </c>
      <c r="H11" s="109" t="b">
        <v>0</v>
      </c>
      <c r="I11" s="109" t="b">
        <v>0</v>
      </c>
      <c r="J11" s="109" t="b">
        <v>0</v>
      </c>
      <c r="K11" s="110" t="b">
        <v>1</v>
      </c>
      <c r="L11" s="110" t="b">
        <v>0</v>
      </c>
      <c r="N11" s="101" t="b">
        <f t="shared" si="0"/>
        <v>1</v>
      </c>
      <c r="O11" s="101" t="b">
        <f t="shared" si="1"/>
        <v>1</v>
      </c>
      <c r="P11" s="101" t="b">
        <f t="shared" si="2"/>
        <v>1</v>
      </c>
      <c r="Q11" s="102" t="str">
        <f t="shared" ref="Q11:Q74" si="5">IF(AND(N11,O11,P11),A11&amp;"|","")</f>
        <v>2|</v>
      </c>
      <c r="R11" s="92"/>
      <c r="S11" s="103" t="str">
        <f t="shared" si="3"/>
        <v>2|3|4|5|6|42|43|</v>
      </c>
      <c r="T11" s="92"/>
      <c r="U11" s="111" t="str">
        <f>IF(LEN(V10)&gt;0,LEFT(V10,FIND("|",V10)-1),"")</f>
        <v>2</v>
      </c>
      <c r="V11" s="112" t="str">
        <f>MID(V10,FIND("|",V10)+1,500)</f>
        <v>3|4|5|6|42|43|</v>
      </c>
      <c r="X11" s="106">
        <f>X10+1</f>
        <v>2</v>
      </c>
      <c r="Y11" s="107" t="str">
        <f t="shared" si="4"/>
        <v>2</v>
      </c>
      <c r="Z11" s="95" t="str">
        <f>IFERROR(LOOKUP(Y11*1,$A$10:$B$109),"")</f>
        <v>Human Gene 1.0 ST GeneChip</v>
      </c>
    </row>
    <row r="12" spans="1:26" x14ac:dyDescent="0.2">
      <c r="A12" s="96">
        <v>3</v>
      </c>
      <c r="B12" s="13" t="s">
        <v>265</v>
      </c>
      <c r="C12" s="13" t="s">
        <v>160</v>
      </c>
      <c r="D12" s="108" t="b">
        <v>1</v>
      </c>
      <c r="E12" s="108" t="b">
        <v>0</v>
      </c>
      <c r="F12" s="109" t="b">
        <v>1</v>
      </c>
      <c r="G12" s="109" t="b">
        <v>0</v>
      </c>
      <c r="H12" s="109" t="b">
        <v>0</v>
      </c>
      <c r="I12" s="109" t="b">
        <v>0</v>
      </c>
      <c r="J12" s="109" t="b">
        <v>0</v>
      </c>
      <c r="K12" s="110" t="b">
        <v>1</v>
      </c>
      <c r="L12" s="110" t="b">
        <v>0</v>
      </c>
      <c r="N12" s="101" t="b">
        <f t="shared" si="0"/>
        <v>1</v>
      </c>
      <c r="O12" s="101" t="b">
        <f t="shared" si="1"/>
        <v>1</v>
      </c>
      <c r="P12" s="101" t="b">
        <f t="shared" si="2"/>
        <v>1</v>
      </c>
      <c r="Q12" s="102" t="str">
        <f t="shared" si="5"/>
        <v>3|</v>
      </c>
      <c r="R12" s="92"/>
      <c r="S12" s="103" t="str">
        <f t="shared" si="3"/>
        <v>3|4|5|6|42|43|</v>
      </c>
      <c r="T12" s="92"/>
      <c r="U12" s="111" t="str">
        <f t="shared" ref="U12:U75" si="6">IF(LEN(V11)&gt;0,LEFT(V11,FIND("|",V11)-1),"")</f>
        <v>3</v>
      </c>
      <c r="V12" s="112" t="str">
        <f t="shared" ref="V12:V75" si="7">MID(V11,FIND("|",V11)+1,500)</f>
        <v>4|5|6|42|43|</v>
      </c>
      <c r="X12" s="106">
        <f t="shared" ref="X12:X46" si="8">X11+1</f>
        <v>3</v>
      </c>
      <c r="Y12" s="107" t="str">
        <f t="shared" si="4"/>
        <v>3</v>
      </c>
      <c r="Z12" s="95" t="str">
        <f>IFERROR(LOOKUP(Y12*1,$A$10:$B$109),"")</f>
        <v>Human Exon 1.0 ST GeneChip</v>
      </c>
    </row>
    <row r="13" spans="1:26" x14ac:dyDescent="0.2">
      <c r="A13" s="96">
        <v>4</v>
      </c>
      <c r="B13" s="13" t="s">
        <v>266</v>
      </c>
      <c r="C13" s="13" t="s">
        <v>10</v>
      </c>
      <c r="D13" s="108" t="b">
        <v>1</v>
      </c>
      <c r="E13" s="108" t="b">
        <v>0</v>
      </c>
      <c r="F13" s="109" t="b">
        <v>1</v>
      </c>
      <c r="G13" s="109" t="b">
        <v>0</v>
      </c>
      <c r="H13" s="109" t="b">
        <v>0</v>
      </c>
      <c r="I13" s="109" t="b">
        <v>0</v>
      </c>
      <c r="J13" s="109" t="b">
        <v>0</v>
      </c>
      <c r="K13" s="110" t="b">
        <v>1</v>
      </c>
      <c r="L13" s="110" t="b">
        <v>0</v>
      </c>
      <c r="N13" s="101" t="b">
        <f t="shared" si="0"/>
        <v>1</v>
      </c>
      <c r="O13" s="101" t="b">
        <f t="shared" si="1"/>
        <v>1</v>
      </c>
      <c r="P13" s="101" t="b">
        <f t="shared" si="2"/>
        <v>1</v>
      </c>
      <c r="Q13" s="102" t="str">
        <f t="shared" si="5"/>
        <v>4|</v>
      </c>
      <c r="R13" s="92"/>
      <c r="S13" s="103" t="str">
        <f t="shared" si="3"/>
        <v>4|5|6|42|43|</v>
      </c>
      <c r="T13" s="92"/>
      <c r="U13" s="111" t="str">
        <f t="shared" si="6"/>
        <v>4</v>
      </c>
      <c r="V13" s="112" t="str">
        <f t="shared" si="7"/>
        <v>5|6|42|43|</v>
      </c>
      <c r="X13" s="106">
        <f t="shared" si="8"/>
        <v>4</v>
      </c>
      <c r="Y13" s="107" t="str">
        <f t="shared" si="4"/>
        <v>4</v>
      </c>
      <c r="Z13" s="95" t="str">
        <f>IFERROR(LOOKUP(Y13*1,$A$10:$B$109),"")</f>
        <v>Human Genome U133 Plus 2.0 GeneChip</v>
      </c>
    </row>
    <row r="14" spans="1:26" x14ac:dyDescent="0.2">
      <c r="A14" s="96">
        <v>5</v>
      </c>
      <c r="B14" s="13" t="s">
        <v>267</v>
      </c>
      <c r="C14" s="13" t="s">
        <v>11</v>
      </c>
      <c r="D14" s="108" t="b">
        <v>1</v>
      </c>
      <c r="E14" s="108" t="b">
        <v>0</v>
      </c>
      <c r="F14" s="109" t="b">
        <v>1</v>
      </c>
      <c r="G14" s="109" t="b">
        <v>0</v>
      </c>
      <c r="H14" s="109" t="b">
        <v>0</v>
      </c>
      <c r="I14" s="109" t="b">
        <v>0</v>
      </c>
      <c r="J14" s="109" t="b">
        <v>0</v>
      </c>
      <c r="K14" s="110" t="b">
        <v>1</v>
      </c>
      <c r="L14" s="110" t="b">
        <v>0</v>
      </c>
      <c r="N14" s="101" t="b">
        <f t="shared" si="0"/>
        <v>1</v>
      </c>
      <c r="O14" s="101" t="b">
        <f t="shared" si="1"/>
        <v>1</v>
      </c>
      <c r="P14" s="101" t="b">
        <f t="shared" si="2"/>
        <v>1</v>
      </c>
      <c r="Q14" s="102" t="str">
        <f t="shared" si="5"/>
        <v>5|</v>
      </c>
      <c r="R14" s="92"/>
      <c r="S14" s="103" t="str">
        <f>Q14&amp;S15</f>
        <v>5|6|42|43|</v>
      </c>
      <c r="T14" s="92"/>
      <c r="U14" s="111" t="str">
        <f t="shared" si="6"/>
        <v>5</v>
      </c>
      <c r="V14" s="112" t="str">
        <f t="shared" si="7"/>
        <v>6|42|43|</v>
      </c>
      <c r="X14" s="106">
        <f t="shared" si="8"/>
        <v>5</v>
      </c>
      <c r="Y14" s="107" t="str">
        <f t="shared" si="4"/>
        <v>5</v>
      </c>
      <c r="Z14" s="95" t="str">
        <f>IFERROR(LOOKUP(Y14*1,$A$10:$B$109),"")</f>
        <v>Human Genome U133A 2.0 GeneChip</v>
      </c>
    </row>
    <row r="15" spans="1:26" x14ac:dyDescent="0.2">
      <c r="A15" s="96">
        <v>6</v>
      </c>
      <c r="B15" s="13" t="s">
        <v>268</v>
      </c>
      <c r="C15" s="13" t="s">
        <v>12</v>
      </c>
      <c r="D15" s="108" t="b">
        <v>1</v>
      </c>
      <c r="E15" s="108" t="b">
        <v>0</v>
      </c>
      <c r="F15" s="109" t="b">
        <v>1</v>
      </c>
      <c r="G15" s="109" t="b">
        <v>0</v>
      </c>
      <c r="H15" s="109" t="b">
        <v>0</v>
      </c>
      <c r="I15" s="109" t="b">
        <v>0</v>
      </c>
      <c r="J15" s="109" t="b">
        <v>0</v>
      </c>
      <c r="K15" s="110" t="b">
        <v>1</v>
      </c>
      <c r="L15" s="110" t="b">
        <v>0</v>
      </c>
      <c r="N15" s="101" t="b">
        <f t="shared" si="0"/>
        <v>1</v>
      </c>
      <c r="O15" s="101" t="b">
        <f t="shared" si="1"/>
        <v>1</v>
      </c>
      <c r="P15" s="101" t="b">
        <f t="shared" si="2"/>
        <v>1</v>
      </c>
      <c r="Q15" s="102" t="str">
        <f t="shared" si="5"/>
        <v>6|</v>
      </c>
      <c r="R15" s="92"/>
      <c r="S15" s="103" t="str">
        <f t="shared" si="3"/>
        <v>6|42|43|</v>
      </c>
      <c r="T15" s="92"/>
      <c r="U15" s="111" t="str">
        <f t="shared" si="6"/>
        <v>6</v>
      </c>
      <c r="V15" s="112" t="str">
        <f t="shared" si="7"/>
        <v>42|43|</v>
      </c>
      <c r="X15" s="106">
        <f t="shared" si="8"/>
        <v>6</v>
      </c>
      <c r="Y15" s="107" t="str">
        <f t="shared" si="4"/>
        <v>6</v>
      </c>
      <c r="Z15" s="95" t="str">
        <f t="shared" ref="Z15" si="9">IFERROR(LOOKUP(Y15*1,$A$10:$B$109),"")</f>
        <v>Human Genome Focus HGFA GeneChip *</v>
      </c>
    </row>
    <row r="16" spans="1:26" x14ac:dyDescent="0.2">
      <c r="A16" s="96">
        <v>7</v>
      </c>
      <c r="B16" s="13" t="s">
        <v>269</v>
      </c>
      <c r="C16" s="13" t="s">
        <v>107</v>
      </c>
      <c r="D16" s="108" t="b">
        <v>1</v>
      </c>
      <c r="E16" s="108" t="b">
        <v>0</v>
      </c>
      <c r="F16" s="109" t="b">
        <v>0</v>
      </c>
      <c r="G16" s="109" t="b">
        <v>1</v>
      </c>
      <c r="H16" s="109" t="b">
        <v>0</v>
      </c>
      <c r="I16" s="109" t="b">
        <v>0</v>
      </c>
      <c r="J16" s="109" t="b">
        <v>0</v>
      </c>
      <c r="K16" s="110" t="b">
        <v>1</v>
      </c>
      <c r="L16" s="110" t="b">
        <v>0</v>
      </c>
      <c r="N16" s="101" t="b">
        <f t="shared" si="0"/>
        <v>1</v>
      </c>
      <c r="O16" s="101" t="b">
        <f t="shared" si="1"/>
        <v>0</v>
      </c>
      <c r="P16" s="101" t="b">
        <f t="shared" si="2"/>
        <v>1</v>
      </c>
      <c r="Q16" s="102" t="str">
        <f t="shared" si="5"/>
        <v/>
      </c>
      <c r="R16" s="92"/>
      <c r="S16" s="103" t="str">
        <f t="shared" si="3"/>
        <v>42|43|</v>
      </c>
      <c r="T16" s="92"/>
      <c r="U16" s="111" t="str">
        <f>IF(LEN(V15)&gt;0,LEFT(V15,FIND("|",V15)-1),"")</f>
        <v>42</v>
      </c>
      <c r="V16" s="112" t="str">
        <f>MID(V15,FIND("|",V15)+1,500)</f>
        <v>43|</v>
      </c>
      <c r="X16" s="106">
        <f>X15+1</f>
        <v>7</v>
      </c>
      <c r="Y16" s="107" t="str">
        <f t="shared" si="4"/>
        <v>42</v>
      </c>
      <c r="Z16" s="95" t="str">
        <f t="shared" ref="Z16:Z46" si="10">IFERROR(LOOKUP(Y16*1,$A$10:$B$109),"")</f>
        <v>Micro-RNA Array (miRNA) GeneChip</v>
      </c>
    </row>
    <row r="17" spans="1:26" x14ac:dyDescent="0.2">
      <c r="A17" s="96">
        <v>8</v>
      </c>
      <c r="B17" s="13" t="s">
        <v>270</v>
      </c>
      <c r="C17" s="13" t="s">
        <v>22</v>
      </c>
      <c r="D17" s="108" t="b">
        <v>0</v>
      </c>
      <c r="E17" s="108" t="b">
        <v>0</v>
      </c>
      <c r="F17" s="109" t="b">
        <v>1</v>
      </c>
      <c r="G17" s="109" t="b">
        <v>0</v>
      </c>
      <c r="H17" s="109" t="b">
        <v>0</v>
      </c>
      <c r="I17" s="109" t="b">
        <v>0</v>
      </c>
      <c r="J17" s="109" t="b">
        <v>0</v>
      </c>
      <c r="K17" s="110" t="b">
        <v>1</v>
      </c>
      <c r="L17" s="110" t="b">
        <v>0</v>
      </c>
      <c r="N17" s="101" t="b">
        <f t="shared" si="0"/>
        <v>0</v>
      </c>
      <c r="O17" s="101" t="b">
        <f t="shared" si="1"/>
        <v>1</v>
      </c>
      <c r="P17" s="101" t="b">
        <f t="shared" si="2"/>
        <v>1</v>
      </c>
      <c r="Q17" s="102" t="str">
        <f t="shared" si="5"/>
        <v/>
      </c>
      <c r="R17" s="92"/>
      <c r="S17" s="103" t="str">
        <f t="shared" si="3"/>
        <v>42|43|</v>
      </c>
      <c r="T17" s="92"/>
      <c r="U17" s="111" t="str">
        <f t="shared" si="6"/>
        <v>43</v>
      </c>
      <c r="V17" s="112" t="str">
        <f t="shared" si="7"/>
        <v/>
      </c>
      <c r="X17" s="106">
        <f t="shared" si="8"/>
        <v>8</v>
      </c>
      <c r="Y17" s="107" t="str">
        <f t="shared" si="4"/>
        <v>43</v>
      </c>
      <c r="Z17" s="95" t="str">
        <f t="shared" si="10"/>
        <v>Other Affymetrix Array</v>
      </c>
    </row>
    <row r="18" spans="1:26" x14ac:dyDescent="0.2">
      <c r="A18" s="96">
        <v>9</v>
      </c>
      <c r="B18" s="13" t="s">
        <v>271</v>
      </c>
      <c r="C18" s="13" t="s">
        <v>13</v>
      </c>
      <c r="D18" s="108" t="b">
        <v>0</v>
      </c>
      <c r="E18" s="108" t="b">
        <v>0</v>
      </c>
      <c r="F18" s="109" t="b">
        <v>1</v>
      </c>
      <c r="G18" s="109" t="b">
        <v>0</v>
      </c>
      <c r="H18" s="109" t="b">
        <v>0</v>
      </c>
      <c r="I18" s="109" t="b">
        <v>0</v>
      </c>
      <c r="J18" s="109" t="b">
        <v>0</v>
      </c>
      <c r="K18" s="110" t="b">
        <v>1</v>
      </c>
      <c r="L18" s="110" t="b">
        <v>0</v>
      </c>
      <c r="N18" s="101" t="b">
        <f t="shared" si="0"/>
        <v>0</v>
      </c>
      <c r="O18" s="101" t="b">
        <f t="shared" si="1"/>
        <v>1</v>
      </c>
      <c r="P18" s="101" t="b">
        <f t="shared" si="2"/>
        <v>1</v>
      </c>
      <c r="Q18" s="102" t="str">
        <f t="shared" si="5"/>
        <v/>
      </c>
      <c r="R18" s="92"/>
      <c r="S18" s="103" t="str">
        <f t="shared" si="3"/>
        <v>42|43|</v>
      </c>
      <c r="T18" s="92"/>
      <c r="U18" s="111" t="str">
        <f t="shared" si="6"/>
        <v/>
      </c>
      <c r="V18" s="112" t="e">
        <f t="shared" si="7"/>
        <v>#VALUE!</v>
      </c>
      <c r="X18" s="106">
        <f t="shared" si="8"/>
        <v>9</v>
      </c>
      <c r="Y18" s="107" t="str">
        <f t="shared" si="4"/>
        <v/>
      </c>
      <c r="Z18" s="95" t="str">
        <f t="shared" si="10"/>
        <v/>
      </c>
    </row>
    <row r="19" spans="1:26" x14ac:dyDescent="0.2">
      <c r="A19" s="96">
        <v>10</v>
      </c>
      <c r="B19" s="13" t="s">
        <v>272</v>
      </c>
      <c r="C19" s="13" t="s">
        <v>14</v>
      </c>
      <c r="D19" s="108" t="b">
        <v>0</v>
      </c>
      <c r="E19" s="108" t="b">
        <v>0</v>
      </c>
      <c r="F19" s="109" t="b">
        <v>1</v>
      </c>
      <c r="G19" s="109" t="b">
        <v>0</v>
      </c>
      <c r="H19" s="109" t="b">
        <v>0</v>
      </c>
      <c r="I19" s="109" t="b">
        <v>0</v>
      </c>
      <c r="J19" s="109" t="b">
        <v>0</v>
      </c>
      <c r="K19" s="110" t="b">
        <v>1</v>
      </c>
      <c r="L19" s="110" t="b">
        <v>0</v>
      </c>
      <c r="N19" s="101" t="b">
        <f t="shared" si="0"/>
        <v>0</v>
      </c>
      <c r="O19" s="101" t="b">
        <f t="shared" si="1"/>
        <v>1</v>
      </c>
      <c r="P19" s="101" t="b">
        <f t="shared" si="2"/>
        <v>1</v>
      </c>
      <c r="Q19" s="102" t="str">
        <f t="shared" si="5"/>
        <v/>
      </c>
      <c r="R19" s="92"/>
      <c r="S19" s="103" t="str">
        <f t="shared" si="3"/>
        <v>42|43|</v>
      </c>
      <c r="T19" s="92"/>
      <c r="U19" s="111" t="e">
        <f t="shared" si="6"/>
        <v>#VALUE!</v>
      </c>
      <c r="V19" s="112" t="e">
        <f t="shared" si="7"/>
        <v>#VALUE!</v>
      </c>
      <c r="X19" s="106">
        <f t="shared" si="8"/>
        <v>10</v>
      </c>
      <c r="Y19" s="107" t="str">
        <f t="shared" si="4"/>
        <v/>
      </c>
      <c r="Z19" s="95" t="str">
        <f t="shared" si="10"/>
        <v/>
      </c>
    </row>
    <row r="20" spans="1:26" x14ac:dyDescent="0.2">
      <c r="A20" s="96">
        <v>11</v>
      </c>
      <c r="B20" s="13" t="s">
        <v>273</v>
      </c>
      <c r="C20" s="13" t="s">
        <v>162</v>
      </c>
      <c r="D20" s="108" t="b">
        <v>1</v>
      </c>
      <c r="E20" s="108" t="b">
        <v>0</v>
      </c>
      <c r="F20" s="109" t="b">
        <v>0</v>
      </c>
      <c r="G20" s="109" t="b">
        <v>0</v>
      </c>
      <c r="H20" s="109" t="b">
        <v>1</v>
      </c>
      <c r="I20" s="109" t="b">
        <v>0</v>
      </c>
      <c r="J20" s="109" t="b">
        <v>0</v>
      </c>
      <c r="K20" s="110" t="b">
        <v>1</v>
      </c>
      <c r="L20" s="110" t="b">
        <v>0</v>
      </c>
      <c r="N20" s="101" t="b">
        <f t="shared" si="0"/>
        <v>1</v>
      </c>
      <c r="O20" s="101" t="b">
        <f t="shared" si="1"/>
        <v>0</v>
      </c>
      <c r="P20" s="101" t="b">
        <f t="shared" si="2"/>
        <v>1</v>
      </c>
      <c r="Q20" s="102" t="str">
        <f t="shared" si="5"/>
        <v/>
      </c>
      <c r="R20" s="92"/>
      <c r="S20" s="103" t="str">
        <f t="shared" si="3"/>
        <v>42|43|</v>
      </c>
      <c r="T20" s="92"/>
      <c r="U20" s="111" t="e">
        <f t="shared" si="6"/>
        <v>#VALUE!</v>
      </c>
      <c r="V20" s="112" t="e">
        <f t="shared" si="7"/>
        <v>#VALUE!</v>
      </c>
      <c r="X20" s="106">
        <f t="shared" si="8"/>
        <v>11</v>
      </c>
      <c r="Y20" s="107" t="str">
        <f t="shared" si="4"/>
        <v/>
      </c>
      <c r="Z20" s="95" t="str">
        <f t="shared" si="10"/>
        <v/>
      </c>
    </row>
    <row r="21" spans="1:26" x14ac:dyDescent="0.2">
      <c r="A21" s="96">
        <v>12</v>
      </c>
      <c r="B21" s="13" t="s">
        <v>274</v>
      </c>
      <c r="C21" s="13" t="s">
        <v>164</v>
      </c>
      <c r="D21" s="108" t="b">
        <v>1</v>
      </c>
      <c r="E21" s="108" t="b">
        <v>0</v>
      </c>
      <c r="F21" s="109" t="b">
        <v>0</v>
      </c>
      <c r="G21" s="109" t="b">
        <v>0</v>
      </c>
      <c r="H21" s="109" t="b">
        <v>1</v>
      </c>
      <c r="I21" s="109" t="b">
        <v>0</v>
      </c>
      <c r="J21" s="109" t="b">
        <v>0</v>
      </c>
      <c r="K21" s="110" t="b">
        <v>1</v>
      </c>
      <c r="L21" s="110" t="b">
        <v>0</v>
      </c>
      <c r="N21" s="101" t="b">
        <f t="shared" si="0"/>
        <v>1</v>
      </c>
      <c r="O21" s="101" t="b">
        <f t="shared" si="1"/>
        <v>0</v>
      </c>
      <c r="P21" s="101" t="b">
        <f t="shared" si="2"/>
        <v>1</v>
      </c>
      <c r="Q21" s="102" t="str">
        <f t="shared" si="5"/>
        <v/>
      </c>
      <c r="R21" s="92"/>
      <c r="S21" s="103" t="str">
        <f t="shared" si="3"/>
        <v>42|43|</v>
      </c>
      <c r="T21" s="92"/>
      <c r="U21" s="111" t="e">
        <f t="shared" si="6"/>
        <v>#VALUE!</v>
      </c>
      <c r="V21" s="112" t="e">
        <f t="shared" si="7"/>
        <v>#VALUE!</v>
      </c>
      <c r="X21" s="106">
        <f t="shared" si="8"/>
        <v>12</v>
      </c>
      <c r="Y21" s="107" t="str">
        <f t="shared" si="4"/>
        <v/>
      </c>
      <c r="Z21" s="95" t="str">
        <f t="shared" si="10"/>
        <v/>
      </c>
    </row>
    <row r="22" spans="1:26" x14ac:dyDescent="0.2">
      <c r="A22" s="96">
        <v>13</v>
      </c>
      <c r="B22" s="13" t="s">
        <v>275</v>
      </c>
      <c r="C22" s="13" t="s">
        <v>261</v>
      </c>
      <c r="D22" s="108" t="b">
        <v>1</v>
      </c>
      <c r="E22" s="108" t="b">
        <v>0</v>
      </c>
      <c r="F22" s="109" t="b">
        <v>0</v>
      </c>
      <c r="G22" s="109" t="b">
        <v>0</v>
      </c>
      <c r="H22" s="109" t="b">
        <v>1</v>
      </c>
      <c r="I22" s="109" t="b">
        <v>0</v>
      </c>
      <c r="J22" s="109" t="b">
        <v>0</v>
      </c>
      <c r="K22" s="110" t="b">
        <v>1</v>
      </c>
      <c r="L22" s="110" t="b">
        <v>0</v>
      </c>
      <c r="N22" s="101" t="b">
        <f t="shared" si="0"/>
        <v>1</v>
      </c>
      <c r="O22" s="101" t="b">
        <f t="shared" si="1"/>
        <v>0</v>
      </c>
      <c r="P22" s="101" t="b">
        <f t="shared" si="2"/>
        <v>1</v>
      </c>
      <c r="Q22" s="102" t="str">
        <f t="shared" si="5"/>
        <v/>
      </c>
      <c r="R22" s="92"/>
      <c r="S22" s="103" t="str">
        <f t="shared" si="3"/>
        <v>42|43|</v>
      </c>
      <c r="T22" s="92"/>
      <c r="U22" s="111" t="e">
        <f t="shared" si="6"/>
        <v>#VALUE!</v>
      </c>
      <c r="V22" s="112" t="e">
        <f t="shared" si="7"/>
        <v>#VALUE!</v>
      </c>
      <c r="X22" s="106">
        <f t="shared" si="8"/>
        <v>13</v>
      </c>
      <c r="Y22" s="107" t="str">
        <f t="shared" si="4"/>
        <v/>
      </c>
      <c r="Z22" s="95" t="str">
        <f t="shared" si="10"/>
        <v/>
      </c>
    </row>
    <row r="23" spans="1:26" x14ac:dyDescent="0.2">
      <c r="A23" s="96">
        <v>14</v>
      </c>
      <c r="B23" s="13" t="s">
        <v>276</v>
      </c>
      <c r="C23" s="13" t="s">
        <v>16</v>
      </c>
      <c r="D23" s="108" t="b">
        <v>1</v>
      </c>
      <c r="E23" s="108" t="b">
        <v>0</v>
      </c>
      <c r="F23" s="109" t="b">
        <v>0</v>
      </c>
      <c r="G23" s="109" t="b">
        <v>0</v>
      </c>
      <c r="H23" s="109" t="b">
        <v>1</v>
      </c>
      <c r="I23" s="109" t="b">
        <v>0</v>
      </c>
      <c r="J23" s="109" t="b">
        <v>0</v>
      </c>
      <c r="K23" s="110" t="b">
        <v>1</v>
      </c>
      <c r="L23" s="110" t="b">
        <v>0</v>
      </c>
      <c r="N23" s="101" t="b">
        <f t="shared" si="0"/>
        <v>1</v>
      </c>
      <c r="O23" s="101" t="b">
        <f t="shared" si="1"/>
        <v>0</v>
      </c>
      <c r="P23" s="101" t="b">
        <f t="shared" si="2"/>
        <v>1</v>
      </c>
      <c r="Q23" s="102" t="str">
        <f t="shared" si="5"/>
        <v/>
      </c>
      <c r="R23" s="92"/>
      <c r="S23" s="103" t="str">
        <f t="shared" si="3"/>
        <v>42|43|</v>
      </c>
      <c r="T23" s="92"/>
      <c r="U23" s="111" t="e">
        <f t="shared" si="6"/>
        <v>#VALUE!</v>
      </c>
      <c r="V23" s="112" t="e">
        <f t="shared" si="7"/>
        <v>#VALUE!</v>
      </c>
      <c r="X23" s="106">
        <f t="shared" si="8"/>
        <v>14</v>
      </c>
      <c r="Y23" s="107" t="str">
        <f t="shared" si="4"/>
        <v/>
      </c>
      <c r="Z23" s="95" t="str">
        <f t="shared" si="10"/>
        <v/>
      </c>
    </row>
    <row r="24" spans="1:26" x14ac:dyDescent="0.2">
      <c r="A24" s="96">
        <v>15</v>
      </c>
      <c r="B24" s="13" t="s">
        <v>277</v>
      </c>
      <c r="C24" s="13" t="s">
        <v>23</v>
      </c>
      <c r="D24" s="108" t="b">
        <v>0</v>
      </c>
      <c r="E24" s="108" t="b">
        <v>0</v>
      </c>
      <c r="F24" s="109" t="b">
        <v>0</v>
      </c>
      <c r="G24" s="109" t="b">
        <v>0</v>
      </c>
      <c r="H24" s="109" t="b">
        <v>1</v>
      </c>
      <c r="I24" s="109" t="b">
        <v>0</v>
      </c>
      <c r="J24" s="109" t="b">
        <v>0</v>
      </c>
      <c r="K24" s="110" t="b">
        <v>1</v>
      </c>
      <c r="L24" s="110" t="b">
        <v>0</v>
      </c>
      <c r="N24" s="101" t="b">
        <f t="shared" si="0"/>
        <v>0</v>
      </c>
      <c r="O24" s="101" t="b">
        <f t="shared" si="1"/>
        <v>0</v>
      </c>
      <c r="P24" s="101" t="b">
        <f t="shared" si="2"/>
        <v>1</v>
      </c>
      <c r="Q24" s="102" t="str">
        <f t="shared" si="5"/>
        <v/>
      </c>
      <c r="R24" s="92"/>
      <c r="S24" s="103" t="str">
        <f t="shared" si="3"/>
        <v>42|43|</v>
      </c>
      <c r="T24" s="92"/>
      <c r="U24" s="111" t="e">
        <f t="shared" si="6"/>
        <v>#VALUE!</v>
      </c>
      <c r="V24" s="112" t="e">
        <f t="shared" si="7"/>
        <v>#VALUE!</v>
      </c>
      <c r="X24" s="106">
        <f t="shared" si="8"/>
        <v>15</v>
      </c>
      <c r="Y24" s="107" t="str">
        <f t="shared" si="4"/>
        <v/>
      </c>
      <c r="Z24" s="95" t="str">
        <f t="shared" si="10"/>
        <v/>
      </c>
    </row>
    <row r="25" spans="1:26" x14ac:dyDescent="0.2">
      <c r="A25" s="96">
        <v>16</v>
      </c>
      <c r="B25" s="13" t="s">
        <v>278</v>
      </c>
      <c r="C25" s="13" t="s">
        <v>24</v>
      </c>
      <c r="D25" s="108" t="b">
        <v>0</v>
      </c>
      <c r="E25" s="108" t="b">
        <v>0</v>
      </c>
      <c r="F25" s="109" t="b">
        <v>0</v>
      </c>
      <c r="G25" s="109" t="b">
        <v>0</v>
      </c>
      <c r="H25" s="109" t="b">
        <v>1</v>
      </c>
      <c r="I25" s="109" t="b">
        <v>0</v>
      </c>
      <c r="J25" s="109" t="b">
        <v>0</v>
      </c>
      <c r="K25" s="110" t="b">
        <v>1</v>
      </c>
      <c r="L25" s="110" t="b">
        <v>0</v>
      </c>
      <c r="N25" s="101" t="b">
        <f t="shared" si="0"/>
        <v>0</v>
      </c>
      <c r="O25" s="101" t="b">
        <f t="shared" si="1"/>
        <v>0</v>
      </c>
      <c r="P25" s="101" t="b">
        <f t="shared" si="2"/>
        <v>1</v>
      </c>
      <c r="Q25" s="102" t="str">
        <f t="shared" si="5"/>
        <v/>
      </c>
      <c r="R25" s="92"/>
      <c r="S25" s="103" t="str">
        <f t="shared" si="3"/>
        <v>42|43|</v>
      </c>
      <c r="T25" s="92"/>
      <c r="U25" s="111" t="e">
        <f t="shared" si="6"/>
        <v>#VALUE!</v>
      </c>
      <c r="V25" s="112" t="e">
        <f t="shared" si="7"/>
        <v>#VALUE!</v>
      </c>
      <c r="X25" s="106">
        <f t="shared" si="8"/>
        <v>16</v>
      </c>
      <c r="Y25" s="107" t="str">
        <f t="shared" si="4"/>
        <v/>
      </c>
      <c r="Z25" s="95" t="str">
        <f t="shared" si="10"/>
        <v/>
      </c>
    </row>
    <row r="26" spans="1:26" x14ac:dyDescent="0.2">
      <c r="A26" s="96">
        <v>17</v>
      </c>
      <c r="B26" s="13" t="s">
        <v>279</v>
      </c>
      <c r="C26" s="13" t="s">
        <v>25</v>
      </c>
      <c r="D26" s="108" t="b">
        <v>0</v>
      </c>
      <c r="E26" s="108" t="b">
        <v>0</v>
      </c>
      <c r="F26" s="109" t="b">
        <v>0</v>
      </c>
      <c r="G26" s="109" t="b">
        <v>0</v>
      </c>
      <c r="H26" s="109" t="b">
        <v>1</v>
      </c>
      <c r="I26" s="109" t="b">
        <v>0</v>
      </c>
      <c r="J26" s="109" t="b">
        <v>0</v>
      </c>
      <c r="K26" s="110" t="b">
        <v>1</v>
      </c>
      <c r="L26" s="110" t="b">
        <v>0</v>
      </c>
      <c r="N26" s="101" t="b">
        <f t="shared" si="0"/>
        <v>0</v>
      </c>
      <c r="O26" s="101" t="b">
        <f t="shared" si="1"/>
        <v>0</v>
      </c>
      <c r="P26" s="101" t="b">
        <f t="shared" si="2"/>
        <v>1</v>
      </c>
      <c r="Q26" s="102" t="str">
        <f t="shared" si="5"/>
        <v/>
      </c>
      <c r="R26" s="92"/>
      <c r="S26" s="103" t="str">
        <f t="shared" si="3"/>
        <v>42|43|</v>
      </c>
      <c r="T26" s="92"/>
      <c r="U26" s="111" t="e">
        <f t="shared" si="6"/>
        <v>#VALUE!</v>
      </c>
      <c r="V26" s="112" t="e">
        <f t="shared" si="7"/>
        <v>#VALUE!</v>
      </c>
      <c r="X26" s="106">
        <f t="shared" si="8"/>
        <v>17</v>
      </c>
      <c r="Y26" s="107" t="str">
        <f t="shared" si="4"/>
        <v/>
      </c>
      <c r="Z26" s="95" t="str">
        <f t="shared" si="10"/>
        <v/>
      </c>
    </row>
    <row r="27" spans="1:26" x14ac:dyDescent="0.2">
      <c r="A27" s="96">
        <v>18</v>
      </c>
      <c r="B27" s="13" t="s">
        <v>280</v>
      </c>
      <c r="C27" s="13" t="s">
        <v>17</v>
      </c>
      <c r="D27" s="108" t="b">
        <v>0</v>
      </c>
      <c r="E27" s="108" t="b">
        <v>0</v>
      </c>
      <c r="F27" s="109" t="b">
        <v>0</v>
      </c>
      <c r="G27" s="109" t="b">
        <v>0</v>
      </c>
      <c r="H27" s="109" t="b">
        <v>1</v>
      </c>
      <c r="I27" s="109" t="b">
        <v>0</v>
      </c>
      <c r="J27" s="109" t="b">
        <v>0</v>
      </c>
      <c r="K27" s="110" t="b">
        <v>1</v>
      </c>
      <c r="L27" s="110" t="b">
        <v>0</v>
      </c>
      <c r="N27" s="101" t="b">
        <f t="shared" si="0"/>
        <v>0</v>
      </c>
      <c r="O27" s="101" t="b">
        <f t="shared" si="1"/>
        <v>0</v>
      </c>
      <c r="P27" s="101" t="b">
        <f t="shared" si="2"/>
        <v>1</v>
      </c>
      <c r="Q27" s="102" t="str">
        <f t="shared" si="5"/>
        <v/>
      </c>
      <c r="R27" s="92"/>
      <c r="S27" s="103" t="str">
        <f t="shared" si="3"/>
        <v>42|43|</v>
      </c>
      <c r="T27" s="92"/>
      <c r="U27" s="111" t="e">
        <f t="shared" si="6"/>
        <v>#VALUE!</v>
      </c>
      <c r="V27" s="112" t="e">
        <f t="shared" si="7"/>
        <v>#VALUE!</v>
      </c>
      <c r="X27" s="106">
        <f t="shared" si="8"/>
        <v>18</v>
      </c>
      <c r="Y27" s="107" t="str">
        <f t="shared" si="4"/>
        <v/>
      </c>
      <c r="Z27" s="95" t="str">
        <f t="shared" si="10"/>
        <v/>
      </c>
    </row>
    <row r="28" spans="1:26" x14ac:dyDescent="0.2">
      <c r="A28" s="96">
        <v>19</v>
      </c>
      <c r="B28" s="13" t="s">
        <v>281</v>
      </c>
      <c r="C28" s="13" t="s">
        <v>18</v>
      </c>
      <c r="D28" s="108" t="b">
        <v>0</v>
      </c>
      <c r="E28" s="108" t="b">
        <v>0</v>
      </c>
      <c r="F28" s="109" t="b">
        <v>0</v>
      </c>
      <c r="G28" s="109" t="b">
        <v>0</v>
      </c>
      <c r="H28" s="109" t="b">
        <v>0</v>
      </c>
      <c r="I28" s="109" t="b">
        <v>1</v>
      </c>
      <c r="J28" s="109" t="b">
        <v>0</v>
      </c>
      <c r="K28" s="110" t="b">
        <v>1</v>
      </c>
      <c r="L28" s="110" t="b">
        <v>0</v>
      </c>
      <c r="N28" s="101" t="b">
        <f t="shared" si="0"/>
        <v>0</v>
      </c>
      <c r="O28" s="101" t="b">
        <f t="shared" si="1"/>
        <v>0</v>
      </c>
      <c r="P28" s="101" t="b">
        <f t="shared" si="2"/>
        <v>1</v>
      </c>
      <c r="Q28" s="102" t="str">
        <f t="shared" si="5"/>
        <v/>
      </c>
      <c r="R28" s="92"/>
      <c r="S28" s="103" t="str">
        <f t="shared" si="3"/>
        <v>42|43|</v>
      </c>
      <c r="T28" s="92"/>
      <c r="U28" s="111" t="e">
        <f t="shared" si="6"/>
        <v>#VALUE!</v>
      </c>
      <c r="V28" s="112" t="e">
        <f t="shared" si="7"/>
        <v>#VALUE!</v>
      </c>
      <c r="X28" s="106">
        <f t="shared" si="8"/>
        <v>19</v>
      </c>
      <c r="Y28" s="107" t="str">
        <f t="shared" si="4"/>
        <v/>
      </c>
      <c r="Z28" s="95" t="str">
        <f t="shared" si="10"/>
        <v/>
      </c>
    </row>
    <row r="29" spans="1:26" x14ac:dyDescent="0.2">
      <c r="A29" s="96">
        <v>20</v>
      </c>
      <c r="B29" s="13" t="s">
        <v>282</v>
      </c>
      <c r="C29" s="13" t="s">
        <v>163</v>
      </c>
      <c r="D29" s="108" t="b">
        <v>1</v>
      </c>
      <c r="E29" s="108" t="b">
        <v>0</v>
      </c>
      <c r="F29" s="109" t="b">
        <v>0</v>
      </c>
      <c r="G29" s="109" t="b">
        <v>0</v>
      </c>
      <c r="H29" s="109" t="b">
        <v>0</v>
      </c>
      <c r="I29" s="109" t="b">
        <v>1</v>
      </c>
      <c r="J29" s="109" t="b">
        <v>0</v>
      </c>
      <c r="K29" s="110" t="b">
        <v>1</v>
      </c>
      <c r="L29" s="110" t="b">
        <v>0</v>
      </c>
      <c r="N29" s="101" t="b">
        <f t="shared" si="0"/>
        <v>1</v>
      </c>
      <c r="O29" s="101" t="b">
        <f t="shared" si="1"/>
        <v>0</v>
      </c>
      <c r="P29" s="101" t="b">
        <f t="shared" si="2"/>
        <v>1</v>
      </c>
      <c r="Q29" s="102" t="str">
        <f t="shared" si="5"/>
        <v/>
      </c>
      <c r="R29" s="92"/>
      <c r="S29" s="103" t="str">
        <f t="shared" si="3"/>
        <v>42|43|</v>
      </c>
      <c r="T29" s="92"/>
      <c r="U29" s="111" t="e">
        <f t="shared" si="6"/>
        <v>#VALUE!</v>
      </c>
      <c r="V29" s="112" t="e">
        <f t="shared" si="7"/>
        <v>#VALUE!</v>
      </c>
      <c r="X29" s="106">
        <f t="shared" si="8"/>
        <v>20</v>
      </c>
      <c r="Y29" s="107" t="str">
        <f t="shared" si="4"/>
        <v/>
      </c>
      <c r="Z29" s="95" t="str">
        <f t="shared" si="10"/>
        <v/>
      </c>
    </row>
    <row r="30" spans="1:26" x14ac:dyDescent="0.2">
      <c r="A30" s="96">
        <v>21</v>
      </c>
      <c r="B30" s="13" t="s">
        <v>283</v>
      </c>
      <c r="C30" s="13" t="s">
        <v>232</v>
      </c>
      <c r="D30" s="108" t="b">
        <v>1</v>
      </c>
      <c r="E30" s="108" t="b">
        <v>0</v>
      </c>
      <c r="F30" s="109" t="b">
        <v>0</v>
      </c>
      <c r="G30" s="109" t="b">
        <v>0</v>
      </c>
      <c r="H30" s="109" t="b">
        <v>0</v>
      </c>
      <c r="I30" s="109" t="b">
        <v>1</v>
      </c>
      <c r="J30" s="109" t="b">
        <v>0</v>
      </c>
      <c r="K30" s="110" t="b">
        <v>1</v>
      </c>
      <c r="L30" s="110" t="b">
        <v>0</v>
      </c>
      <c r="N30" s="101" t="b">
        <f t="shared" si="0"/>
        <v>1</v>
      </c>
      <c r="O30" s="101" t="b">
        <f t="shared" si="1"/>
        <v>0</v>
      </c>
      <c r="P30" s="101" t="b">
        <f t="shared" si="2"/>
        <v>1</v>
      </c>
      <c r="Q30" s="102" t="str">
        <f t="shared" si="5"/>
        <v/>
      </c>
      <c r="R30" s="92"/>
      <c r="S30" s="103" t="str">
        <f t="shared" si="3"/>
        <v>42|43|</v>
      </c>
      <c r="T30" s="92"/>
      <c r="U30" s="111" t="e">
        <f t="shared" si="6"/>
        <v>#VALUE!</v>
      </c>
      <c r="V30" s="112" t="e">
        <f t="shared" si="7"/>
        <v>#VALUE!</v>
      </c>
      <c r="X30" s="106">
        <f t="shared" si="8"/>
        <v>21</v>
      </c>
      <c r="Y30" s="107" t="str">
        <f t="shared" si="4"/>
        <v/>
      </c>
      <c r="Z30" s="95" t="str">
        <f t="shared" si="10"/>
        <v/>
      </c>
    </row>
    <row r="31" spans="1:26" x14ac:dyDescent="0.2">
      <c r="A31" s="96">
        <v>22</v>
      </c>
      <c r="B31" s="13" t="s">
        <v>284</v>
      </c>
      <c r="C31" s="13" t="s">
        <v>26</v>
      </c>
      <c r="D31" s="108" t="b">
        <v>0</v>
      </c>
      <c r="E31" s="108" t="b">
        <v>0</v>
      </c>
      <c r="F31" s="109" t="b">
        <v>0</v>
      </c>
      <c r="G31" s="109" t="b">
        <v>0</v>
      </c>
      <c r="H31" s="109" t="b">
        <v>0</v>
      </c>
      <c r="I31" s="109" t="b">
        <v>1</v>
      </c>
      <c r="J31" s="109" t="b">
        <v>0</v>
      </c>
      <c r="K31" s="110" t="b">
        <v>1</v>
      </c>
      <c r="L31" s="110" t="b">
        <v>0</v>
      </c>
      <c r="N31" s="101" t="b">
        <f t="shared" si="0"/>
        <v>0</v>
      </c>
      <c r="O31" s="101" t="b">
        <f t="shared" si="1"/>
        <v>0</v>
      </c>
      <c r="P31" s="101" t="b">
        <f t="shared" si="2"/>
        <v>1</v>
      </c>
      <c r="Q31" s="102" t="str">
        <f t="shared" si="5"/>
        <v/>
      </c>
      <c r="R31" s="92"/>
      <c r="S31" s="103" t="str">
        <f t="shared" si="3"/>
        <v>42|43|</v>
      </c>
      <c r="T31" s="92"/>
      <c r="U31" s="111" t="e">
        <f t="shared" si="6"/>
        <v>#VALUE!</v>
      </c>
      <c r="V31" s="112" t="e">
        <f t="shared" si="7"/>
        <v>#VALUE!</v>
      </c>
      <c r="X31" s="106">
        <f t="shared" si="8"/>
        <v>22</v>
      </c>
      <c r="Y31" s="107" t="str">
        <f t="shared" si="4"/>
        <v/>
      </c>
      <c r="Z31" s="95" t="str">
        <f t="shared" si="10"/>
        <v/>
      </c>
    </row>
    <row r="32" spans="1:26" x14ac:dyDescent="0.2">
      <c r="A32" s="96">
        <v>23</v>
      </c>
      <c r="B32" s="13" t="s">
        <v>285</v>
      </c>
      <c r="C32" s="13" t="s">
        <v>27</v>
      </c>
      <c r="D32" s="108" t="b">
        <v>0</v>
      </c>
      <c r="E32" s="108" t="b">
        <v>0</v>
      </c>
      <c r="F32" s="109" t="b">
        <v>0</v>
      </c>
      <c r="G32" s="109" t="b">
        <v>0</v>
      </c>
      <c r="H32" s="109" t="b">
        <v>0</v>
      </c>
      <c r="I32" s="109" t="b">
        <v>1</v>
      </c>
      <c r="J32" s="109" t="b">
        <v>0</v>
      </c>
      <c r="K32" s="110" t="b">
        <v>1</v>
      </c>
      <c r="L32" s="110" t="b">
        <v>0</v>
      </c>
      <c r="N32" s="101" t="b">
        <f t="shared" si="0"/>
        <v>0</v>
      </c>
      <c r="O32" s="101" t="b">
        <f t="shared" si="1"/>
        <v>0</v>
      </c>
      <c r="P32" s="101" t="b">
        <f t="shared" si="2"/>
        <v>1</v>
      </c>
      <c r="Q32" s="102" t="str">
        <f t="shared" si="5"/>
        <v/>
      </c>
      <c r="R32" s="92"/>
      <c r="S32" s="103" t="str">
        <f t="shared" si="3"/>
        <v>42|43|</v>
      </c>
      <c r="T32" s="92"/>
      <c r="U32" s="111" t="e">
        <f t="shared" si="6"/>
        <v>#VALUE!</v>
      </c>
      <c r="V32" s="112" t="e">
        <f t="shared" si="7"/>
        <v>#VALUE!</v>
      </c>
      <c r="X32" s="106">
        <f t="shared" si="8"/>
        <v>23</v>
      </c>
      <c r="Y32" s="107" t="str">
        <f t="shared" si="4"/>
        <v/>
      </c>
      <c r="Z32" s="95" t="str">
        <f t="shared" si="10"/>
        <v/>
      </c>
    </row>
    <row r="33" spans="1:26" x14ac:dyDescent="0.2">
      <c r="A33" s="96">
        <v>24</v>
      </c>
      <c r="B33" s="13" t="s">
        <v>286</v>
      </c>
      <c r="C33" s="13" t="s">
        <v>28</v>
      </c>
      <c r="D33" s="108" t="b">
        <v>0</v>
      </c>
      <c r="E33" s="108" t="b">
        <v>0</v>
      </c>
      <c r="F33" s="109" t="b">
        <v>0</v>
      </c>
      <c r="G33" s="109" t="b">
        <v>0</v>
      </c>
      <c r="H33" s="109" t="b">
        <v>0</v>
      </c>
      <c r="I33" s="109" t="b">
        <v>1</v>
      </c>
      <c r="J33" s="109" t="b">
        <v>0</v>
      </c>
      <c r="K33" s="110" t="b">
        <v>1</v>
      </c>
      <c r="L33" s="110" t="b">
        <v>0</v>
      </c>
      <c r="N33" s="101" t="b">
        <f t="shared" si="0"/>
        <v>0</v>
      </c>
      <c r="O33" s="101" t="b">
        <f t="shared" si="1"/>
        <v>0</v>
      </c>
      <c r="P33" s="101" t="b">
        <f t="shared" si="2"/>
        <v>1</v>
      </c>
      <c r="Q33" s="102" t="str">
        <f t="shared" si="5"/>
        <v/>
      </c>
      <c r="R33" s="92"/>
      <c r="S33" s="103" t="str">
        <f t="shared" si="3"/>
        <v>42|43|</v>
      </c>
      <c r="T33" s="92"/>
      <c r="U33" s="111" t="e">
        <f t="shared" si="6"/>
        <v>#VALUE!</v>
      </c>
      <c r="V33" s="112" t="e">
        <f t="shared" si="7"/>
        <v>#VALUE!</v>
      </c>
      <c r="X33" s="106">
        <f t="shared" si="8"/>
        <v>24</v>
      </c>
      <c r="Y33" s="107" t="str">
        <f t="shared" si="4"/>
        <v/>
      </c>
      <c r="Z33" s="95" t="str">
        <f t="shared" si="10"/>
        <v/>
      </c>
    </row>
    <row r="34" spans="1:26" x14ac:dyDescent="0.2">
      <c r="A34" s="96">
        <v>25</v>
      </c>
      <c r="B34" s="13" t="s">
        <v>287</v>
      </c>
      <c r="C34" s="13" t="s">
        <v>29</v>
      </c>
      <c r="D34" s="108" t="b">
        <v>0</v>
      </c>
      <c r="E34" s="108" t="b">
        <v>0</v>
      </c>
      <c r="F34" s="109" t="b">
        <v>0</v>
      </c>
      <c r="G34" s="109" t="b">
        <v>0</v>
      </c>
      <c r="H34" s="109" t="b">
        <v>0</v>
      </c>
      <c r="I34" s="109" t="b">
        <v>1</v>
      </c>
      <c r="J34" s="109" t="b">
        <v>0</v>
      </c>
      <c r="K34" s="110" t="b">
        <v>1</v>
      </c>
      <c r="L34" s="110" t="b">
        <v>0</v>
      </c>
      <c r="N34" s="101" t="b">
        <f t="shared" si="0"/>
        <v>0</v>
      </c>
      <c r="O34" s="101" t="b">
        <f t="shared" si="1"/>
        <v>0</v>
      </c>
      <c r="P34" s="101" t="b">
        <f t="shared" si="2"/>
        <v>1</v>
      </c>
      <c r="Q34" s="102" t="str">
        <f t="shared" si="5"/>
        <v/>
      </c>
      <c r="R34" s="92"/>
      <c r="S34" s="103" t="str">
        <f t="shared" si="3"/>
        <v>42|43|</v>
      </c>
      <c r="T34" s="92"/>
      <c r="U34" s="111" t="e">
        <f t="shared" si="6"/>
        <v>#VALUE!</v>
      </c>
      <c r="V34" s="112" t="e">
        <f t="shared" si="7"/>
        <v>#VALUE!</v>
      </c>
      <c r="X34" s="106">
        <f t="shared" si="8"/>
        <v>25</v>
      </c>
      <c r="Y34" s="107" t="str">
        <f t="shared" si="4"/>
        <v/>
      </c>
      <c r="Z34" s="95" t="str">
        <f t="shared" si="10"/>
        <v/>
      </c>
    </row>
    <row r="35" spans="1:26" x14ac:dyDescent="0.2">
      <c r="A35" s="96">
        <v>26</v>
      </c>
      <c r="B35" s="13" t="s">
        <v>288</v>
      </c>
      <c r="C35" s="13" t="s">
        <v>30</v>
      </c>
      <c r="D35" s="108" t="b">
        <v>0</v>
      </c>
      <c r="E35" s="108" t="b">
        <v>0</v>
      </c>
      <c r="F35" s="109" t="b">
        <v>0</v>
      </c>
      <c r="G35" s="109" t="b">
        <v>0</v>
      </c>
      <c r="H35" s="109" t="b">
        <v>0</v>
      </c>
      <c r="I35" s="109" t="b">
        <v>1</v>
      </c>
      <c r="J35" s="109" t="b">
        <v>0</v>
      </c>
      <c r="K35" s="110" t="b">
        <v>1</v>
      </c>
      <c r="L35" s="110" t="b">
        <v>0</v>
      </c>
      <c r="N35" s="101" t="b">
        <f t="shared" si="0"/>
        <v>0</v>
      </c>
      <c r="O35" s="101" t="b">
        <f t="shared" si="1"/>
        <v>0</v>
      </c>
      <c r="P35" s="101" t="b">
        <f t="shared" si="2"/>
        <v>1</v>
      </c>
      <c r="Q35" s="102" t="str">
        <f t="shared" si="5"/>
        <v/>
      </c>
      <c r="R35" s="92"/>
      <c r="S35" s="103" t="str">
        <f t="shared" si="3"/>
        <v>42|43|</v>
      </c>
      <c r="T35" s="92"/>
      <c r="U35" s="111" t="e">
        <f t="shared" si="6"/>
        <v>#VALUE!</v>
      </c>
      <c r="V35" s="112" t="e">
        <f t="shared" si="7"/>
        <v>#VALUE!</v>
      </c>
      <c r="X35" s="106">
        <f t="shared" si="8"/>
        <v>26</v>
      </c>
      <c r="Y35" s="107" t="str">
        <f t="shared" si="4"/>
        <v/>
      </c>
      <c r="Z35" s="95" t="str">
        <f t="shared" si="10"/>
        <v/>
      </c>
    </row>
    <row r="36" spans="1:26" x14ac:dyDescent="0.2">
      <c r="A36" s="96">
        <v>27</v>
      </c>
      <c r="B36" s="13" t="s">
        <v>289</v>
      </c>
      <c r="C36" s="13" t="s">
        <v>20</v>
      </c>
      <c r="D36" s="108" t="b">
        <v>0</v>
      </c>
      <c r="E36" s="108" t="b">
        <v>0</v>
      </c>
      <c r="F36" s="109" t="b">
        <v>0</v>
      </c>
      <c r="G36" s="109" t="b">
        <v>0</v>
      </c>
      <c r="H36" s="109" t="b">
        <v>0</v>
      </c>
      <c r="I36" s="109" t="b">
        <v>1</v>
      </c>
      <c r="J36" s="109" t="b">
        <v>0</v>
      </c>
      <c r="K36" s="110" t="b">
        <v>1</v>
      </c>
      <c r="L36" s="110" t="b">
        <v>0</v>
      </c>
      <c r="N36" s="101" t="b">
        <f t="shared" si="0"/>
        <v>0</v>
      </c>
      <c r="O36" s="101" t="b">
        <f t="shared" si="1"/>
        <v>0</v>
      </c>
      <c r="P36" s="101" t="b">
        <f t="shared" si="2"/>
        <v>1</v>
      </c>
      <c r="Q36" s="102" t="str">
        <f t="shared" si="5"/>
        <v/>
      </c>
      <c r="R36" s="92"/>
      <c r="S36" s="103" t="str">
        <f t="shared" si="3"/>
        <v>42|43|</v>
      </c>
      <c r="T36" s="92"/>
      <c r="U36" s="111" t="e">
        <f t="shared" si="6"/>
        <v>#VALUE!</v>
      </c>
      <c r="V36" s="112" t="e">
        <f t="shared" si="7"/>
        <v>#VALUE!</v>
      </c>
      <c r="X36" s="114">
        <f t="shared" si="8"/>
        <v>27</v>
      </c>
      <c r="Y36" s="115" t="str">
        <f t="shared" si="4"/>
        <v/>
      </c>
      <c r="Z36" s="116" t="str">
        <f t="shared" si="10"/>
        <v/>
      </c>
    </row>
    <row r="37" spans="1:26" x14ac:dyDescent="0.2">
      <c r="A37" s="96">
        <v>28</v>
      </c>
      <c r="B37" s="13" t="s">
        <v>290</v>
      </c>
      <c r="C37" s="13" t="s">
        <v>21</v>
      </c>
      <c r="D37" s="108" t="b">
        <v>0</v>
      </c>
      <c r="E37" s="108" t="b">
        <v>0</v>
      </c>
      <c r="F37" s="109" t="b">
        <v>0</v>
      </c>
      <c r="G37" s="109" t="b">
        <v>0</v>
      </c>
      <c r="H37" s="109" t="b">
        <v>0</v>
      </c>
      <c r="I37" s="109" t="b">
        <v>1</v>
      </c>
      <c r="J37" s="109" t="b">
        <v>0</v>
      </c>
      <c r="K37" s="110" t="b">
        <v>1</v>
      </c>
      <c r="L37" s="110" t="b">
        <v>0</v>
      </c>
      <c r="N37" s="101" t="b">
        <f t="shared" si="0"/>
        <v>0</v>
      </c>
      <c r="O37" s="101" t="b">
        <f t="shared" si="1"/>
        <v>0</v>
      </c>
      <c r="P37" s="101" t="b">
        <f t="shared" si="2"/>
        <v>1</v>
      </c>
      <c r="Q37" s="102" t="str">
        <f t="shared" si="5"/>
        <v/>
      </c>
      <c r="R37" s="92"/>
      <c r="S37" s="103" t="str">
        <f t="shared" si="3"/>
        <v>42|43|</v>
      </c>
      <c r="T37" s="92"/>
      <c r="U37" s="111" t="e">
        <f t="shared" si="6"/>
        <v>#VALUE!</v>
      </c>
      <c r="V37" s="112" t="e">
        <f t="shared" si="7"/>
        <v>#VALUE!</v>
      </c>
      <c r="X37" s="114">
        <f t="shared" si="8"/>
        <v>28</v>
      </c>
      <c r="Y37" s="115" t="str">
        <f t="shared" si="4"/>
        <v/>
      </c>
      <c r="Z37" s="116" t="str">
        <f t="shared" si="10"/>
        <v/>
      </c>
    </row>
    <row r="38" spans="1:26" x14ac:dyDescent="0.2">
      <c r="A38" s="96">
        <v>29</v>
      </c>
      <c r="B38" s="13" t="s">
        <v>291</v>
      </c>
      <c r="C38" s="13" t="s">
        <v>115</v>
      </c>
      <c r="D38" s="108" t="b">
        <v>1</v>
      </c>
      <c r="E38" s="108" t="b">
        <v>0</v>
      </c>
      <c r="F38" s="109" t="b">
        <v>0</v>
      </c>
      <c r="G38" s="109" t="b">
        <v>0</v>
      </c>
      <c r="H38" s="109" t="b">
        <v>0</v>
      </c>
      <c r="I38" s="109" t="b">
        <v>0</v>
      </c>
      <c r="J38" s="109" t="b">
        <v>1</v>
      </c>
      <c r="K38" s="110" t="b">
        <v>1</v>
      </c>
      <c r="L38" s="110" t="b">
        <v>0</v>
      </c>
      <c r="N38" s="101" t="b">
        <f t="shared" si="0"/>
        <v>1</v>
      </c>
      <c r="O38" s="101" t="b">
        <f t="shared" si="1"/>
        <v>0</v>
      </c>
      <c r="P38" s="101" t="b">
        <f t="shared" si="2"/>
        <v>1</v>
      </c>
      <c r="Q38" s="102" t="str">
        <f t="shared" si="5"/>
        <v/>
      </c>
      <c r="R38" s="92"/>
      <c r="S38" s="103" t="str">
        <f t="shared" si="3"/>
        <v>42|43|</v>
      </c>
      <c r="T38" s="92"/>
      <c r="U38" s="111" t="e">
        <f t="shared" si="6"/>
        <v>#VALUE!</v>
      </c>
      <c r="V38" s="112" t="e">
        <f t="shared" si="7"/>
        <v>#VALUE!</v>
      </c>
      <c r="X38" s="114">
        <f t="shared" si="8"/>
        <v>29</v>
      </c>
      <c r="Y38" s="115" t="str">
        <f t="shared" si="4"/>
        <v/>
      </c>
      <c r="Z38" s="116" t="str">
        <f t="shared" si="10"/>
        <v/>
      </c>
    </row>
    <row r="39" spans="1:26" x14ac:dyDescent="0.2">
      <c r="A39" s="96">
        <v>30</v>
      </c>
      <c r="B39" s="13" t="s">
        <v>292</v>
      </c>
      <c r="C39" s="13" t="s">
        <v>114</v>
      </c>
      <c r="D39" s="108" t="b">
        <v>1</v>
      </c>
      <c r="E39" s="108" t="b">
        <v>0</v>
      </c>
      <c r="F39" s="109" t="b">
        <v>0</v>
      </c>
      <c r="G39" s="109" t="b">
        <v>0</v>
      </c>
      <c r="H39" s="109" t="b">
        <v>0</v>
      </c>
      <c r="I39" s="109" t="b">
        <v>0</v>
      </c>
      <c r="J39" s="109" t="b">
        <v>1</v>
      </c>
      <c r="K39" s="110" t="b">
        <v>1</v>
      </c>
      <c r="L39" s="110" t="b">
        <v>0</v>
      </c>
      <c r="N39" s="101" t="b">
        <f t="shared" si="0"/>
        <v>1</v>
      </c>
      <c r="O39" s="101" t="b">
        <f t="shared" si="1"/>
        <v>0</v>
      </c>
      <c r="P39" s="101" t="b">
        <f t="shared" si="2"/>
        <v>1</v>
      </c>
      <c r="Q39" s="102" t="str">
        <f t="shared" si="5"/>
        <v/>
      </c>
      <c r="R39" s="92"/>
      <c r="S39" s="103" t="str">
        <f t="shared" si="3"/>
        <v>42|43|</v>
      </c>
      <c r="T39" s="92"/>
      <c r="U39" s="111" t="e">
        <f t="shared" si="6"/>
        <v>#VALUE!</v>
      </c>
      <c r="V39" s="112" t="e">
        <f t="shared" si="7"/>
        <v>#VALUE!</v>
      </c>
      <c r="X39" s="114">
        <f t="shared" si="8"/>
        <v>30</v>
      </c>
      <c r="Y39" s="115" t="str">
        <f t="shared" si="4"/>
        <v/>
      </c>
      <c r="Z39" s="116" t="str">
        <f t="shared" si="10"/>
        <v/>
      </c>
    </row>
    <row r="40" spans="1:26" x14ac:dyDescent="0.2">
      <c r="A40" s="96">
        <v>31</v>
      </c>
      <c r="B40" s="13" t="s">
        <v>293</v>
      </c>
      <c r="C40" s="13" t="s">
        <v>113</v>
      </c>
      <c r="D40" s="108" t="b">
        <v>1</v>
      </c>
      <c r="E40" s="108" t="b">
        <v>0</v>
      </c>
      <c r="F40" s="109" t="b">
        <v>0</v>
      </c>
      <c r="G40" s="109" t="b">
        <v>0</v>
      </c>
      <c r="H40" s="109" t="b">
        <v>0</v>
      </c>
      <c r="I40" s="109" t="b">
        <v>0</v>
      </c>
      <c r="J40" s="109" t="b">
        <v>1</v>
      </c>
      <c r="K40" s="110" t="b">
        <v>1</v>
      </c>
      <c r="L40" s="110" t="b">
        <v>0</v>
      </c>
      <c r="N40" s="101" t="b">
        <f t="shared" si="0"/>
        <v>1</v>
      </c>
      <c r="O40" s="101" t="b">
        <f t="shared" si="1"/>
        <v>0</v>
      </c>
      <c r="P40" s="101" t="b">
        <f t="shared" si="2"/>
        <v>1</v>
      </c>
      <c r="Q40" s="102" t="str">
        <f t="shared" si="5"/>
        <v/>
      </c>
      <c r="R40" s="92"/>
      <c r="S40" s="103" t="str">
        <f t="shared" si="3"/>
        <v>42|43|</v>
      </c>
      <c r="T40" s="92"/>
      <c r="U40" s="111" t="e">
        <f t="shared" si="6"/>
        <v>#VALUE!</v>
      </c>
      <c r="V40" s="112" t="e">
        <f t="shared" si="7"/>
        <v>#VALUE!</v>
      </c>
      <c r="X40" s="114">
        <f t="shared" si="8"/>
        <v>31</v>
      </c>
      <c r="Y40" s="115" t="str">
        <f t="shared" si="4"/>
        <v/>
      </c>
      <c r="Z40" s="116" t="str">
        <f t="shared" si="10"/>
        <v/>
      </c>
    </row>
    <row r="41" spans="1:26" x14ac:dyDescent="0.2">
      <c r="A41" s="96">
        <v>32</v>
      </c>
      <c r="B41" s="13" t="s">
        <v>294</v>
      </c>
      <c r="C41" s="13" t="s">
        <v>188</v>
      </c>
      <c r="D41" s="108" t="b">
        <v>1</v>
      </c>
      <c r="E41" s="108" t="b">
        <v>0</v>
      </c>
      <c r="F41" s="109" t="b">
        <v>0</v>
      </c>
      <c r="G41" s="109" t="b">
        <v>0</v>
      </c>
      <c r="H41" s="109" t="b">
        <v>0</v>
      </c>
      <c r="I41" s="109" t="b">
        <v>0</v>
      </c>
      <c r="J41" s="109" t="b">
        <v>1</v>
      </c>
      <c r="K41" s="110" t="b">
        <v>1</v>
      </c>
      <c r="L41" s="110" t="b">
        <v>0</v>
      </c>
      <c r="N41" s="101" t="b">
        <f t="shared" si="0"/>
        <v>1</v>
      </c>
      <c r="O41" s="101" t="b">
        <f t="shared" si="1"/>
        <v>0</v>
      </c>
      <c r="P41" s="101" t="b">
        <f t="shared" si="2"/>
        <v>1</v>
      </c>
      <c r="Q41" s="102" t="str">
        <f t="shared" si="5"/>
        <v/>
      </c>
      <c r="R41" s="92"/>
      <c r="S41" s="103" t="str">
        <f t="shared" si="3"/>
        <v>42|43|</v>
      </c>
      <c r="T41" s="92"/>
      <c r="U41" s="111" t="e">
        <f t="shared" si="6"/>
        <v>#VALUE!</v>
      </c>
      <c r="V41" s="112" t="e">
        <f t="shared" si="7"/>
        <v>#VALUE!</v>
      </c>
      <c r="X41" s="114">
        <f t="shared" si="8"/>
        <v>32</v>
      </c>
      <c r="Y41" s="115" t="str">
        <f t="shared" si="4"/>
        <v/>
      </c>
      <c r="Z41" s="116" t="str">
        <f t="shared" si="10"/>
        <v/>
      </c>
    </row>
    <row r="42" spans="1:26" x14ac:dyDescent="0.2">
      <c r="A42" s="96">
        <v>33</v>
      </c>
      <c r="B42" s="13" t="s">
        <v>295</v>
      </c>
      <c r="C42" s="13" t="s">
        <v>32</v>
      </c>
      <c r="D42" s="108" t="b">
        <v>1</v>
      </c>
      <c r="E42" s="108" t="b">
        <v>0</v>
      </c>
      <c r="F42" s="109" t="b">
        <v>0</v>
      </c>
      <c r="G42" s="109" t="b">
        <v>0</v>
      </c>
      <c r="H42" s="109" t="b">
        <v>0</v>
      </c>
      <c r="I42" s="109" t="b">
        <v>0</v>
      </c>
      <c r="J42" s="109" t="b">
        <v>1</v>
      </c>
      <c r="K42" s="110" t="b">
        <v>1</v>
      </c>
      <c r="L42" s="110" t="b">
        <v>0</v>
      </c>
      <c r="N42" s="101" t="b">
        <f t="shared" ref="N42:N73" si="11">CHOOSE(currentPlatformIndex,D42,E42)</f>
        <v>1</v>
      </c>
      <c r="O42" s="101" t="b">
        <f t="shared" ref="O42:O73" si="12">CHOOSE(currentSpeciesIndex,F42,G42,H42,I42,J42)</f>
        <v>0</v>
      </c>
      <c r="P42" s="101" t="b">
        <f t="shared" ref="P42:P73" si="13">CHOOSE(currentArrayOptionsindex,K42,L42)</f>
        <v>1</v>
      </c>
      <c r="Q42" s="102" t="str">
        <f t="shared" si="5"/>
        <v/>
      </c>
      <c r="R42" s="92"/>
      <c r="S42" s="103" t="str">
        <f t="shared" si="3"/>
        <v>42|43|</v>
      </c>
      <c r="T42" s="92"/>
      <c r="U42" s="111" t="e">
        <f t="shared" si="6"/>
        <v>#VALUE!</v>
      </c>
      <c r="V42" s="112" t="e">
        <f t="shared" si="7"/>
        <v>#VALUE!</v>
      </c>
      <c r="X42" s="114">
        <f t="shared" si="8"/>
        <v>33</v>
      </c>
      <c r="Y42" s="115" t="str">
        <f t="shared" si="4"/>
        <v/>
      </c>
      <c r="Z42" s="116" t="str">
        <f t="shared" si="10"/>
        <v/>
      </c>
    </row>
    <row r="43" spans="1:26" x14ac:dyDescent="0.2">
      <c r="A43" s="96">
        <v>34</v>
      </c>
      <c r="B43" s="13" t="s">
        <v>296</v>
      </c>
      <c r="C43" s="13" t="s">
        <v>262</v>
      </c>
      <c r="D43" s="108" t="b">
        <v>1</v>
      </c>
      <c r="E43" s="108" t="b">
        <v>0</v>
      </c>
      <c r="F43" s="109" t="b">
        <v>0</v>
      </c>
      <c r="G43" s="109" t="b">
        <v>0</v>
      </c>
      <c r="H43" s="109" t="b">
        <v>0</v>
      </c>
      <c r="I43" s="109" t="b">
        <v>0</v>
      </c>
      <c r="J43" s="109" t="b">
        <v>1</v>
      </c>
      <c r="K43" s="110" t="b">
        <v>1</v>
      </c>
      <c r="L43" s="110" t="b">
        <v>0</v>
      </c>
      <c r="N43" s="101" t="b">
        <f t="shared" si="11"/>
        <v>1</v>
      </c>
      <c r="O43" s="101" t="b">
        <f t="shared" si="12"/>
        <v>0</v>
      </c>
      <c r="P43" s="101" t="b">
        <f t="shared" si="13"/>
        <v>1</v>
      </c>
      <c r="Q43" s="102" t="str">
        <f t="shared" si="5"/>
        <v/>
      </c>
      <c r="R43" s="92"/>
      <c r="S43" s="103" t="str">
        <f t="shared" si="3"/>
        <v>42|43|</v>
      </c>
      <c r="T43" s="92"/>
      <c r="U43" s="111" t="e">
        <f t="shared" si="6"/>
        <v>#VALUE!</v>
      </c>
      <c r="V43" s="112" t="e">
        <f t="shared" si="7"/>
        <v>#VALUE!</v>
      </c>
      <c r="X43" s="114">
        <f t="shared" si="8"/>
        <v>34</v>
      </c>
      <c r="Y43" s="115" t="str">
        <f t="shared" si="4"/>
        <v/>
      </c>
      <c r="Z43" s="116" t="str">
        <f t="shared" si="10"/>
        <v/>
      </c>
    </row>
    <row r="44" spans="1:26" x14ac:dyDescent="0.2">
      <c r="A44" s="96">
        <v>35</v>
      </c>
      <c r="B44" s="13" t="s">
        <v>297</v>
      </c>
      <c r="C44" s="13" t="s">
        <v>105</v>
      </c>
      <c r="D44" s="108" t="b">
        <v>1</v>
      </c>
      <c r="E44" s="108" t="b">
        <v>0</v>
      </c>
      <c r="F44" s="109" t="b">
        <v>0</v>
      </c>
      <c r="G44" s="109" t="b">
        <v>0</v>
      </c>
      <c r="H44" s="109" t="b">
        <v>0</v>
      </c>
      <c r="I44" s="109" t="b">
        <v>0</v>
      </c>
      <c r="J44" s="109" t="b">
        <v>1</v>
      </c>
      <c r="K44" s="110" t="b">
        <v>1</v>
      </c>
      <c r="L44" s="110" t="b">
        <v>0</v>
      </c>
      <c r="N44" s="101" t="b">
        <f t="shared" si="11"/>
        <v>1</v>
      </c>
      <c r="O44" s="101" t="b">
        <f t="shared" si="12"/>
        <v>0</v>
      </c>
      <c r="P44" s="101" t="b">
        <f t="shared" si="13"/>
        <v>1</v>
      </c>
      <c r="Q44" s="102" t="str">
        <f t="shared" si="5"/>
        <v/>
      </c>
      <c r="R44" s="92"/>
      <c r="S44" s="103" t="str">
        <f t="shared" si="3"/>
        <v>42|43|</v>
      </c>
      <c r="T44" s="92"/>
      <c r="U44" s="111" t="e">
        <f t="shared" si="6"/>
        <v>#VALUE!</v>
      </c>
      <c r="V44" s="112" t="e">
        <f t="shared" si="7"/>
        <v>#VALUE!</v>
      </c>
      <c r="X44" s="114">
        <f t="shared" si="8"/>
        <v>35</v>
      </c>
      <c r="Y44" s="115" t="str">
        <f t="shared" si="4"/>
        <v/>
      </c>
      <c r="Z44" s="116" t="str">
        <f t="shared" si="10"/>
        <v/>
      </c>
    </row>
    <row r="45" spans="1:26" x14ac:dyDescent="0.2">
      <c r="A45" s="96">
        <v>36</v>
      </c>
      <c r="B45" s="13" t="s">
        <v>298</v>
      </c>
      <c r="C45" s="13" t="s">
        <v>165</v>
      </c>
      <c r="D45" s="108" t="b">
        <v>1</v>
      </c>
      <c r="E45" s="108" t="b">
        <v>0</v>
      </c>
      <c r="F45" s="109" t="b">
        <v>0</v>
      </c>
      <c r="G45" s="109" t="b">
        <v>0</v>
      </c>
      <c r="H45" s="109" t="b">
        <v>0</v>
      </c>
      <c r="I45" s="109" t="b">
        <v>0</v>
      </c>
      <c r="J45" s="109" t="b">
        <v>1</v>
      </c>
      <c r="K45" s="110" t="b">
        <v>1</v>
      </c>
      <c r="L45" s="110" t="b">
        <v>0</v>
      </c>
      <c r="N45" s="101" t="b">
        <f t="shared" si="11"/>
        <v>1</v>
      </c>
      <c r="O45" s="101" t="b">
        <f t="shared" si="12"/>
        <v>0</v>
      </c>
      <c r="P45" s="101" t="b">
        <f t="shared" si="13"/>
        <v>1</v>
      </c>
      <c r="Q45" s="102" t="str">
        <f t="shared" si="5"/>
        <v/>
      </c>
      <c r="R45" s="92"/>
      <c r="S45" s="103" t="str">
        <f t="shared" si="3"/>
        <v>42|43|</v>
      </c>
      <c r="T45" s="92"/>
      <c r="U45" s="111" t="e">
        <f t="shared" si="6"/>
        <v>#VALUE!</v>
      </c>
      <c r="V45" s="112" t="e">
        <f t="shared" si="7"/>
        <v>#VALUE!</v>
      </c>
      <c r="X45" s="114">
        <f t="shared" si="8"/>
        <v>36</v>
      </c>
      <c r="Y45" s="115" t="str">
        <f t="shared" si="4"/>
        <v/>
      </c>
      <c r="Z45" s="116" t="str">
        <f t="shared" si="10"/>
        <v/>
      </c>
    </row>
    <row r="46" spans="1:26" x14ac:dyDescent="0.2">
      <c r="A46" s="96">
        <v>37</v>
      </c>
      <c r="B46" s="13" t="s">
        <v>299</v>
      </c>
      <c r="C46" s="13" t="s">
        <v>166</v>
      </c>
      <c r="D46" s="108" t="b">
        <v>1</v>
      </c>
      <c r="E46" s="108" t="b">
        <v>0</v>
      </c>
      <c r="F46" s="109" t="b">
        <v>0</v>
      </c>
      <c r="G46" s="109" t="b">
        <v>0</v>
      </c>
      <c r="H46" s="109" t="b">
        <v>0</v>
      </c>
      <c r="I46" s="109" t="b">
        <v>0</v>
      </c>
      <c r="J46" s="109" t="b">
        <v>1</v>
      </c>
      <c r="K46" s="110" t="b">
        <v>1</v>
      </c>
      <c r="L46" s="110" t="b">
        <v>0</v>
      </c>
      <c r="N46" s="101" t="b">
        <f t="shared" si="11"/>
        <v>1</v>
      </c>
      <c r="O46" s="101" t="b">
        <f t="shared" si="12"/>
        <v>0</v>
      </c>
      <c r="P46" s="101" t="b">
        <f t="shared" si="13"/>
        <v>1</v>
      </c>
      <c r="Q46" s="102" t="str">
        <f t="shared" si="5"/>
        <v/>
      </c>
      <c r="R46" s="92"/>
      <c r="S46" s="103" t="str">
        <f t="shared" si="3"/>
        <v>42|43|</v>
      </c>
      <c r="T46" s="92"/>
      <c r="U46" s="111" t="e">
        <f t="shared" si="6"/>
        <v>#VALUE!</v>
      </c>
      <c r="V46" s="112" t="e">
        <f t="shared" si="7"/>
        <v>#VALUE!</v>
      </c>
      <c r="X46" s="114">
        <f t="shared" si="8"/>
        <v>37</v>
      </c>
      <c r="Y46" s="115" t="str">
        <f t="shared" si="4"/>
        <v/>
      </c>
      <c r="Z46" s="116" t="str">
        <f t="shared" si="10"/>
        <v/>
      </c>
    </row>
    <row r="47" spans="1:26" x14ac:dyDescent="0.2">
      <c r="A47" s="96">
        <v>38</v>
      </c>
      <c r="B47" s="13" t="s">
        <v>300</v>
      </c>
      <c r="C47" s="13" t="s">
        <v>149</v>
      </c>
      <c r="D47" s="108" t="b">
        <v>1</v>
      </c>
      <c r="E47" s="108" t="b">
        <v>0</v>
      </c>
      <c r="F47" s="109" t="b">
        <v>0</v>
      </c>
      <c r="G47" s="109" t="b">
        <v>0</v>
      </c>
      <c r="H47" s="109" t="b">
        <v>0</v>
      </c>
      <c r="I47" s="109" t="b">
        <v>0</v>
      </c>
      <c r="J47" s="109" t="b">
        <v>1</v>
      </c>
      <c r="K47" s="110" t="b">
        <v>1</v>
      </c>
      <c r="L47" s="110" t="b">
        <v>0</v>
      </c>
      <c r="N47" s="101" t="b">
        <f t="shared" si="11"/>
        <v>1</v>
      </c>
      <c r="O47" s="101" t="b">
        <f t="shared" si="12"/>
        <v>0</v>
      </c>
      <c r="P47" s="101" t="b">
        <f t="shared" si="13"/>
        <v>1</v>
      </c>
      <c r="Q47" s="102" t="str">
        <f t="shared" si="5"/>
        <v/>
      </c>
      <c r="R47" s="92"/>
      <c r="S47" s="103" t="str">
        <f t="shared" si="3"/>
        <v>42|43|</v>
      </c>
      <c r="T47" s="92"/>
      <c r="U47" s="111" t="e">
        <f t="shared" si="6"/>
        <v>#VALUE!</v>
      </c>
      <c r="V47" s="112" t="e">
        <f t="shared" si="7"/>
        <v>#VALUE!</v>
      </c>
      <c r="Y47" s="117" t="s">
        <v>226</v>
      </c>
      <c r="Z47" s="117" t="s">
        <v>226</v>
      </c>
    </row>
    <row r="48" spans="1:26" x14ac:dyDescent="0.2">
      <c r="A48" s="96">
        <v>39</v>
      </c>
      <c r="B48" s="13" t="s">
        <v>300</v>
      </c>
      <c r="C48" s="13" t="s">
        <v>149</v>
      </c>
      <c r="D48" s="108" t="b">
        <v>1</v>
      </c>
      <c r="E48" s="108" t="b">
        <v>0</v>
      </c>
      <c r="F48" s="109" t="b">
        <v>0</v>
      </c>
      <c r="G48" s="109" t="b">
        <v>0</v>
      </c>
      <c r="H48" s="109" t="b">
        <v>0</v>
      </c>
      <c r="I48" s="109" t="b">
        <v>0</v>
      </c>
      <c r="J48" s="109" t="b">
        <v>1</v>
      </c>
      <c r="K48" s="110" t="b">
        <v>1</v>
      </c>
      <c r="L48" s="110" t="b">
        <v>0</v>
      </c>
      <c r="N48" s="101" t="b">
        <f t="shared" si="11"/>
        <v>1</v>
      </c>
      <c r="O48" s="101" t="b">
        <f t="shared" si="12"/>
        <v>0</v>
      </c>
      <c r="P48" s="101" t="b">
        <f t="shared" si="13"/>
        <v>1</v>
      </c>
      <c r="Q48" s="102" t="str">
        <f t="shared" si="5"/>
        <v/>
      </c>
      <c r="R48" s="92"/>
      <c r="S48" s="103" t="str">
        <f t="shared" si="3"/>
        <v>42|43|</v>
      </c>
      <c r="T48" s="92"/>
      <c r="U48" s="111" t="e">
        <f t="shared" si="6"/>
        <v>#VALUE!</v>
      </c>
      <c r="V48" s="112" t="e">
        <f t="shared" si="7"/>
        <v>#VALUE!</v>
      </c>
    </row>
    <row r="49" spans="1:22" x14ac:dyDescent="0.2">
      <c r="A49" s="96">
        <v>40</v>
      </c>
      <c r="B49" s="13" t="s">
        <v>301</v>
      </c>
      <c r="C49" s="13" t="s">
        <v>33</v>
      </c>
      <c r="D49" s="108" t="b">
        <v>1</v>
      </c>
      <c r="E49" s="108" t="b">
        <v>0</v>
      </c>
      <c r="F49" s="109" t="b">
        <v>0</v>
      </c>
      <c r="G49" s="109" t="b">
        <v>0</v>
      </c>
      <c r="H49" s="109" t="b">
        <v>0</v>
      </c>
      <c r="I49" s="109" t="b">
        <v>0</v>
      </c>
      <c r="J49" s="109" t="b">
        <v>1</v>
      </c>
      <c r="K49" s="110" t="b">
        <v>1</v>
      </c>
      <c r="L49" s="110" t="b">
        <v>0</v>
      </c>
      <c r="N49" s="101" t="b">
        <f t="shared" si="11"/>
        <v>1</v>
      </c>
      <c r="O49" s="101" t="b">
        <f t="shared" si="12"/>
        <v>0</v>
      </c>
      <c r="P49" s="101" t="b">
        <f t="shared" si="13"/>
        <v>1</v>
      </c>
      <c r="Q49" s="102" t="str">
        <f t="shared" si="5"/>
        <v/>
      </c>
      <c r="R49" s="92"/>
      <c r="S49" s="103" t="str">
        <f t="shared" si="3"/>
        <v>42|43|</v>
      </c>
      <c r="T49" s="92"/>
      <c r="U49" s="111" t="e">
        <f t="shared" si="6"/>
        <v>#VALUE!</v>
      </c>
      <c r="V49" s="112" t="e">
        <f t="shared" si="7"/>
        <v>#VALUE!</v>
      </c>
    </row>
    <row r="50" spans="1:22" x14ac:dyDescent="0.2">
      <c r="A50" s="96">
        <v>41</v>
      </c>
      <c r="B50" s="13" t="s">
        <v>302</v>
      </c>
      <c r="C50" s="13" t="s">
        <v>34</v>
      </c>
      <c r="D50" s="108" t="b">
        <v>1</v>
      </c>
      <c r="E50" s="108" t="b">
        <v>0</v>
      </c>
      <c r="F50" s="109" t="b">
        <v>0</v>
      </c>
      <c r="G50" s="109" t="b">
        <v>0</v>
      </c>
      <c r="H50" s="109" t="b">
        <v>0</v>
      </c>
      <c r="I50" s="109" t="b">
        <v>0</v>
      </c>
      <c r="J50" s="109" t="b">
        <v>1</v>
      </c>
      <c r="K50" s="110" t="b">
        <v>1</v>
      </c>
      <c r="L50" s="110" t="b">
        <v>0</v>
      </c>
      <c r="N50" s="101" t="b">
        <f t="shared" si="11"/>
        <v>1</v>
      </c>
      <c r="O50" s="101" t="b">
        <f t="shared" si="12"/>
        <v>0</v>
      </c>
      <c r="P50" s="101" t="b">
        <f t="shared" si="13"/>
        <v>1</v>
      </c>
      <c r="Q50" s="102" t="str">
        <f t="shared" si="5"/>
        <v/>
      </c>
      <c r="R50" s="92"/>
      <c r="S50" s="103" t="str">
        <f t="shared" si="3"/>
        <v>42|43|</v>
      </c>
      <c r="T50" s="92"/>
      <c r="U50" s="111" t="e">
        <f t="shared" si="6"/>
        <v>#VALUE!</v>
      </c>
      <c r="V50" s="112" t="e">
        <f t="shared" si="7"/>
        <v>#VALUE!</v>
      </c>
    </row>
    <row r="51" spans="1:22" x14ac:dyDescent="0.2">
      <c r="A51" s="96">
        <v>42</v>
      </c>
      <c r="B51" s="13" t="s">
        <v>303</v>
      </c>
      <c r="C51" s="13" t="s">
        <v>195</v>
      </c>
      <c r="D51" s="108" t="b">
        <v>1</v>
      </c>
      <c r="E51" s="108" t="b">
        <v>0</v>
      </c>
      <c r="F51" s="109" t="b">
        <v>1</v>
      </c>
      <c r="G51" s="109" t="b">
        <v>1</v>
      </c>
      <c r="H51" s="109" t="b">
        <v>1</v>
      </c>
      <c r="I51" s="109" t="b">
        <v>1</v>
      </c>
      <c r="J51" s="109" t="b">
        <v>1</v>
      </c>
      <c r="K51" s="110" t="b">
        <v>1</v>
      </c>
      <c r="L51" s="110" t="b">
        <v>0</v>
      </c>
      <c r="N51" s="101" t="b">
        <f t="shared" si="11"/>
        <v>1</v>
      </c>
      <c r="O51" s="101" t="b">
        <f t="shared" si="12"/>
        <v>1</v>
      </c>
      <c r="P51" s="101" t="b">
        <f t="shared" si="13"/>
        <v>1</v>
      </c>
      <c r="Q51" s="102" t="str">
        <f t="shared" si="5"/>
        <v>42|</v>
      </c>
      <c r="R51" s="92"/>
      <c r="S51" s="103" t="str">
        <f t="shared" si="3"/>
        <v>42|43|</v>
      </c>
      <c r="T51" s="92"/>
      <c r="U51" s="111" t="e">
        <f t="shared" si="6"/>
        <v>#VALUE!</v>
      </c>
      <c r="V51" s="112" t="e">
        <f t="shared" si="7"/>
        <v>#VALUE!</v>
      </c>
    </row>
    <row r="52" spans="1:22" x14ac:dyDescent="0.2">
      <c r="A52" s="96">
        <v>43</v>
      </c>
      <c r="B52" s="113" t="s">
        <v>245</v>
      </c>
      <c r="C52" s="113" t="s">
        <v>245</v>
      </c>
      <c r="D52" s="108" t="b">
        <v>1</v>
      </c>
      <c r="E52" s="108" t="b">
        <v>0</v>
      </c>
      <c r="F52" s="109" t="b">
        <v>1</v>
      </c>
      <c r="G52" s="109" t="b">
        <v>1</v>
      </c>
      <c r="H52" s="109" t="b">
        <v>1</v>
      </c>
      <c r="I52" s="109" t="b">
        <v>1</v>
      </c>
      <c r="J52" s="109" t="b">
        <v>1</v>
      </c>
      <c r="K52" s="110" t="b">
        <v>1</v>
      </c>
      <c r="L52" s="110" t="b">
        <v>1</v>
      </c>
      <c r="N52" s="101" t="b">
        <f t="shared" si="11"/>
        <v>1</v>
      </c>
      <c r="O52" s="101" t="b">
        <f t="shared" si="12"/>
        <v>1</v>
      </c>
      <c r="P52" s="101" t="b">
        <f t="shared" si="13"/>
        <v>1</v>
      </c>
      <c r="Q52" s="102" t="str">
        <f t="shared" si="5"/>
        <v>43|</v>
      </c>
      <c r="R52" s="92"/>
      <c r="S52" s="103" t="str">
        <f t="shared" si="3"/>
        <v>43|</v>
      </c>
      <c r="T52" s="92"/>
      <c r="U52" s="111" t="e">
        <f t="shared" si="6"/>
        <v>#VALUE!</v>
      </c>
      <c r="V52" s="112" t="e">
        <f t="shared" si="7"/>
        <v>#VALUE!</v>
      </c>
    </row>
    <row r="53" spans="1:22" x14ac:dyDescent="0.2">
      <c r="A53" s="96">
        <v>44</v>
      </c>
      <c r="B53" s="13" t="s">
        <v>250</v>
      </c>
      <c r="C53" s="13" t="s">
        <v>257</v>
      </c>
      <c r="D53" s="108" t="b">
        <v>0</v>
      </c>
      <c r="E53" s="108" t="b">
        <v>1</v>
      </c>
      <c r="F53" s="109" t="b">
        <v>1</v>
      </c>
      <c r="G53" s="109" t="b">
        <v>0</v>
      </c>
      <c r="H53" s="109" t="b">
        <v>0</v>
      </c>
      <c r="I53" s="109" t="b">
        <v>0</v>
      </c>
      <c r="J53" s="109" t="b">
        <v>0</v>
      </c>
      <c r="K53" s="110" t="b">
        <v>1</v>
      </c>
      <c r="L53" s="110" t="b">
        <v>0</v>
      </c>
      <c r="N53" s="101" t="b">
        <f t="shared" si="11"/>
        <v>0</v>
      </c>
      <c r="O53" s="101" t="b">
        <f t="shared" si="12"/>
        <v>1</v>
      </c>
      <c r="P53" s="101" t="b">
        <f t="shared" si="13"/>
        <v>1</v>
      </c>
      <c r="Q53" s="102" t="str">
        <f t="shared" si="5"/>
        <v/>
      </c>
      <c r="R53" s="92"/>
      <c r="S53" s="103" t="str">
        <f t="shared" si="3"/>
        <v/>
      </c>
      <c r="T53" s="92"/>
      <c r="U53" s="111" t="e">
        <f t="shared" si="6"/>
        <v>#VALUE!</v>
      </c>
      <c r="V53" s="112" t="e">
        <f t="shared" si="7"/>
        <v>#VALUE!</v>
      </c>
    </row>
    <row r="54" spans="1:22" x14ac:dyDescent="0.2">
      <c r="A54" s="96">
        <v>45</v>
      </c>
      <c r="B54" s="13" t="s">
        <v>247</v>
      </c>
      <c r="C54" s="13" t="s">
        <v>254</v>
      </c>
      <c r="D54" s="108" t="b">
        <v>0</v>
      </c>
      <c r="E54" s="108" t="b">
        <v>1</v>
      </c>
      <c r="F54" s="109" t="b">
        <v>1</v>
      </c>
      <c r="G54" s="109" t="b">
        <v>0</v>
      </c>
      <c r="H54" s="109" t="b">
        <v>0</v>
      </c>
      <c r="I54" s="109" t="b">
        <v>0</v>
      </c>
      <c r="J54" s="109" t="b">
        <v>0</v>
      </c>
      <c r="K54" s="110" t="b">
        <v>1</v>
      </c>
      <c r="L54" s="110" t="b">
        <v>0</v>
      </c>
      <c r="N54" s="101" t="b">
        <f t="shared" si="11"/>
        <v>0</v>
      </c>
      <c r="O54" s="101" t="b">
        <f t="shared" si="12"/>
        <v>1</v>
      </c>
      <c r="P54" s="101" t="b">
        <f t="shared" si="13"/>
        <v>1</v>
      </c>
      <c r="Q54" s="102" t="str">
        <f t="shared" si="5"/>
        <v/>
      </c>
      <c r="R54" s="92"/>
      <c r="S54" s="103" t="str">
        <f t="shared" si="3"/>
        <v/>
      </c>
      <c r="T54" s="92"/>
      <c r="U54" s="111" t="e">
        <f t="shared" si="6"/>
        <v>#VALUE!</v>
      </c>
      <c r="V54" s="112" t="e">
        <f t="shared" si="7"/>
        <v>#VALUE!</v>
      </c>
    </row>
    <row r="55" spans="1:22" x14ac:dyDescent="0.2">
      <c r="A55" s="96">
        <v>46</v>
      </c>
      <c r="B55" s="13" t="s">
        <v>248</v>
      </c>
      <c r="C55" s="13" t="s">
        <v>255</v>
      </c>
      <c r="D55" s="108" t="b">
        <v>0</v>
      </c>
      <c r="E55" s="108" t="b">
        <v>1</v>
      </c>
      <c r="F55" s="109" t="b">
        <v>1</v>
      </c>
      <c r="G55" s="109" t="b">
        <v>0</v>
      </c>
      <c r="H55" s="109" t="b">
        <v>0</v>
      </c>
      <c r="I55" s="109" t="b">
        <v>0</v>
      </c>
      <c r="J55" s="109" t="b">
        <v>0</v>
      </c>
      <c r="K55" s="110" t="b">
        <v>1</v>
      </c>
      <c r="L55" s="110" t="b">
        <v>0</v>
      </c>
      <c r="N55" s="101" t="b">
        <f t="shared" si="11"/>
        <v>0</v>
      </c>
      <c r="O55" s="101" t="b">
        <f t="shared" si="12"/>
        <v>1</v>
      </c>
      <c r="P55" s="101" t="b">
        <f t="shared" si="13"/>
        <v>1</v>
      </c>
      <c r="Q55" s="102" t="str">
        <f t="shared" si="5"/>
        <v/>
      </c>
      <c r="R55" s="92"/>
      <c r="S55" s="103" t="str">
        <f t="shared" si="3"/>
        <v/>
      </c>
      <c r="T55" s="92"/>
      <c r="U55" s="111" t="e">
        <f t="shared" si="6"/>
        <v>#VALUE!</v>
      </c>
      <c r="V55" s="112" t="e">
        <f t="shared" si="7"/>
        <v>#VALUE!</v>
      </c>
    </row>
    <row r="56" spans="1:22" x14ac:dyDescent="0.2">
      <c r="A56" s="96">
        <v>47</v>
      </c>
      <c r="B56" s="13" t="s">
        <v>249</v>
      </c>
      <c r="C56" s="13" t="s">
        <v>256</v>
      </c>
      <c r="D56" s="108" t="b">
        <v>0</v>
      </c>
      <c r="E56" s="108" t="b">
        <v>1</v>
      </c>
      <c r="F56" s="109" t="b">
        <v>1</v>
      </c>
      <c r="G56" s="109" t="b">
        <v>0</v>
      </c>
      <c r="H56" s="109" t="b">
        <v>0</v>
      </c>
      <c r="I56" s="109" t="b">
        <v>0</v>
      </c>
      <c r="J56" s="109" t="b">
        <v>0</v>
      </c>
      <c r="K56" s="110" t="b">
        <v>1</v>
      </c>
      <c r="L56" s="110" t="b">
        <v>0</v>
      </c>
      <c r="N56" s="101" t="b">
        <f t="shared" si="11"/>
        <v>0</v>
      </c>
      <c r="O56" s="101" t="b">
        <f t="shared" si="12"/>
        <v>1</v>
      </c>
      <c r="P56" s="101" t="b">
        <f t="shared" si="13"/>
        <v>1</v>
      </c>
      <c r="Q56" s="102" t="str">
        <f t="shared" si="5"/>
        <v/>
      </c>
      <c r="R56" s="92"/>
      <c r="S56" s="103" t="str">
        <f t="shared" si="3"/>
        <v/>
      </c>
      <c r="T56" s="92"/>
      <c r="U56" s="111" t="e">
        <f t="shared" si="6"/>
        <v>#VALUE!</v>
      </c>
      <c r="V56" s="112" t="e">
        <f t="shared" si="7"/>
        <v>#VALUE!</v>
      </c>
    </row>
    <row r="57" spans="1:22" x14ac:dyDescent="0.2">
      <c r="A57" s="96">
        <v>48</v>
      </c>
      <c r="B57" s="13" t="s">
        <v>252</v>
      </c>
      <c r="C57" s="13" t="s">
        <v>259</v>
      </c>
      <c r="D57" s="108" t="b">
        <v>0</v>
      </c>
      <c r="E57" s="108" t="b">
        <v>1</v>
      </c>
      <c r="F57" s="109" t="b">
        <v>0</v>
      </c>
      <c r="G57" s="109" t="b">
        <v>0</v>
      </c>
      <c r="H57" s="109" t="b">
        <v>1</v>
      </c>
      <c r="I57" s="109" t="b">
        <v>0</v>
      </c>
      <c r="J57" s="109" t="b">
        <v>0</v>
      </c>
      <c r="K57" s="110" t="b">
        <v>1</v>
      </c>
      <c r="L57" s="110" t="b">
        <v>0</v>
      </c>
      <c r="N57" s="101" t="b">
        <f t="shared" si="11"/>
        <v>0</v>
      </c>
      <c r="O57" s="101" t="b">
        <f t="shared" si="12"/>
        <v>0</v>
      </c>
      <c r="P57" s="101" t="b">
        <f t="shared" si="13"/>
        <v>1</v>
      </c>
      <c r="Q57" s="102" t="str">
        <f t="shared" si="5"/>
        <v/>
      </c>
      <c r="R57" s="92"/>
      <c r="S57" s="103" t="str">
        <f t="shared" si="3"/>
        <v/>
      </c>
      <c r="T57" s="92"/>
      <c r="U57" s="111" t="e">
        <f t="shared" si="6"/>
        <v>#VALUE!</v>
      </c>
      <c r="V57" s="112" t="e">
        <f t="shared" si="7"/>
        <v>#VALUE!</v>
      </c>
    </row>
    <row r="58" spans="1:22" x14ac:dyDescent="0.2">
      <c r="A58" s="96">
        <v>49</v>
      </c>
      <c r="B58" s="13" t="s">
        <v>251</v>
      </c>
      <c r="C58" s="13" t="s">
        <v>258</v>
      </c>
      <c r="D58" s="108" t="b">
        <v>0</v>
      </c>
      <c r="E58" s="108" t="b">
        <v>1</v>
      </c>
      <c r="F58" s="109" t="b">
        <v>0</v>
      </c>
      <c r="G58" s="109" t="b">
        <v>0</v>
      </c>
      <c r="H58" s="109" t="b">
        <v>1</v>
      </c>
      <c r="I58" s="109" t="b">
        <v>0</v>
      </c>
      <c r="J58" s="109" t="b">
        <v>0</v>
      </c>
      <c r="K58" s="110" t="b">
        <v>1</v>
      </c>
      <c r="L58" s="110" t="b">
        <v>0</v>
      </c>
      <c r="N58" s="101" t="b">
        <f t="shared" si="11"/>
        <v>0</v>
      </c>
      <c r="O58" s="101" t="b">
        <f t="shared" si="12"/>
        <v>0</v>
      </c>
      <c r="P58" s="101" t="b">
        <f t="shared" si="13"/>
        <v>1</v>
      </c>
      <c r="Q58" s="102" t="str">
        <f t="shared" si="5"/>
        <v/>
      </c>
      <c r="R58" s="92"/>
      <c r="S58" s="103" t="str">
        <f t="shared" si="3"/>
        <v/>
      </c>
      <c r="T58" s="92"/>
      <c r="U58" s="111" t="e">
        <f t="shared" si="6"/>
        <v>#VALUE!</v>
      </c>
      <c r="V58" s="112" t="e">
        <f t="shared" si="7"/>
        <v>#VALUE!</v>
      </c>
    </row>
    <row r="59" spans="1:22" x14ac:dyDescent="0.2">
      <c r="A59" s="96">
        <v>50</v>
      </c>
      <c r="B59" s="13" t="s">
        <v>253</v>
      </c>
      <c r="C59" s="13" t="s">
        <v>260</v>
      </c>
      <c r="D59" s="108" t="b">
        <v>0</v>
      </c>
      <c r="E59" s="108" t="b">
        <v>1</v>
      </c>
      <c r="F59" s="109" t="b">
        <v>0</v>
      </c>
      <c r="G59" s="109" t="b">
        <v>0</v>
      </c>
      <c r="H59" s="109" t="b">
        <v>0</v>
      </c>
      <c r="I59" s="109" t="b">
        <v>1</v>
      </c>
      <c r="J59" s="109" t="b">
        <v>0</v>
      </c>
      <c r="K59" s="110" t="b">
        <v>1</v>
      </c>
      <c r="L59" s="110" t="b">
        <v>0</v>
      </c>
      <c r="N59" s="101" t="b">
        <f t="shared" si="11"/>
        <v>0</v>
      </c>
      <c r="O59" s="101" t="b">
        <f t="shared" si="12"/>
        <v>0</v>
      </c>
      <c r="P59" s="101" t="b">
        <f t="shared" si="13"/>
        <v>1</v>
      </c>
      <c r="Q59" s="102" t="str">
        <f t="shared" si="5"/>
        <v/>
      </c>
      <c r="R59" s="92"/>
      <c r="S59" s="103" t="str">
        <f t="shared" si="3"/>
        <v/>
      </c>
      <c r="T59" s="92"/>
      <c r="U59" s="111" t="e">
        <f t="shared" si="6"/>
        <v>#VALUE!</v>
      </c>
      <c r="V59" s="112" t="e">
        <f t="shared" si="7"/>
        <v>#VALUE!</v>
      </c>
    </row>
    <row r="60" spans="1:22" x14ac:dyDescent="0.2">
      <c r="A60" s="96">
        <v>51</v>
      </c>
      <c r="B60" s="113" t="s">
        <v>246</v>
      </c>
      <c r="C60" s="113" t="s">
        <v>246</v>
      </c>
      <c r="D60" s="108" t="b">
        <v>0</v>
      </c>
      <c r="E60" s="108" t="b">
        <v>1</v>
      </c>
      <c r="F60" s="109" t="b">
        <v>1</v>
      </c>
      <c r="G60" s="109" t="b">
        <v>1</v>
      </c>
      <c r="H60" s="109" t="b">
        <v>1</v>
      </c>
      <c r="I60" s="109" t="b">
        <v>1</v>
      </c>
      <c r="J60" s="109" t="b">
        <v>1</v>
      </c>
      <c r="K60" s="110" t="b">
        <v>1</v>
      </c>
      <c r="L60" s="110" t="b">
        <v>1</v>
      </c>
      <c r="N60" s="101" t="b">
        <f t="shared" si="11"/>
        <v>0</v>
      </c>
      <c r="O60" s="101" t="b">
        <f t="shared" si="12"/>
        <v>1</v>
      </c>
      <c r="P60" s="101" t="b">
        <f t="shared" si="13"/>
        <v>1</v>
      </c>
      <c r="Q60" s="102" t="str">
        <f t="shared" si="5"/>
        <v/>
      </c>
      <c r="R60" s="92"/>
      <c r="S60" s="103" t="str">
        <f t="shared" si="3"/>
        <v/>
      </c>
      <c r="T60" s="92"/>
      <c r="U60" s="111" t="e">
        <f t="shared" si="6"/>
        <v>#VALUE!</v>
      </c>
      <c r="V60" s="112" t="e">
        <f t="shared" si="7"/>
        <v>#VALUE!</v>
      </c>
    </row>
    <row r="61" spans="1:22" x14ac:dyDescent="0.2">
      <c r="A61" s="96">
        <v>52</v>
      </c>
      <c r="B61" s="113"/>
      <c r="D61" s="108" t="b">
        <v>0</v>
      </c>
      <c r="E61" s="108" t="b">
        <v>0</v>
      </c>
      <c r="F61" s="109" t="b">
        <v>0</v>
      </c>
      <c r="G61" s="109" t="b">
        <v>0</v>
      </c>
      <c r="H61" s="109" t="b">
        <v>0</v>
      </c>
      <c r="I61" s="109" t="b">
        <v>0</v>
      </c>
      <c r="J61" s="109" t="b">
        <v>0</v>
      </c>
      <c r="K61" s="110" t="b">
        <v>1</v>
      </c>
      <c r="L61" s="110" t="b">
        <v>0</v>
      </c>
      <c r="N61" s="101" t="b">
        <f t="shared" si="11"/>
        <v>0</v>
      </c>
      <c r="O61" s="101" t="b">
        <f t="shared" si="12"/>
        <v>0</v>
      </c>
      <c r="P61" s="101" t="b">
        <f t="shared" si="13"/>
        <v>1</v>
      </c>
      <c r="Q61" s="102" t="str">
        <f t="shared" si="5"/>
        <v/>
      </c>
      <c r="R61" s="92"/>
      <c r="S61" s="103" t="str">
        <f t="shared" si="3"/>
        <v/>
      </c>
      <c r="T61" s="92"/>
      <c r="U61" s="111" t="e">
        <f t="shared" si="6"/>
        <v>#VALUE!</v>
      </c>
      <c r="V61" s="112" t="e">
        <f t="shared" si="7"/>
        <v>#VALUE!</v>
      </c>
    </row>
    <row r="62" spans="1:22" x14ac:dyDescent="0.2">
      <c r="A62" s="96">
        <v>53</v>
      </c>
      <c r="B62" s="113"/>
      <c r="D62" s="108" t="b">
        <v>0</v>
      </c>
      <c r="E62" s="108" t="b">
        <v>0</v>
      </c>
      <c r="F62" s="109" t="b">
        <v>0</v>
      </c>
      <c r="G62" s="109" t="b">
        <v>0</v>
      </c>
      <c r="H62" s="109" t="b">
        <v>0</v>
      </c>
      <c r="I62" s="109" t="b">
        <v>0</v>
      </c>
      <c r="J62" s="109" t="b">
        <v>0</v>
      </c>
      <c r="K62" s="110" t="b">
        <v>1</v>
      </c>
      <c r="L62" s="110" t="b">
        <v>0</v>
      </c>
      <c r="N62" s="101" t="b">
        <f t="shared" si="11"/>
        <v>0</v>
      </c>
      <c r="O62" s="101" t="b">
        <f t="shared" si="12"/>
        <v>0</v>
      </c>
      <c r="P62" s="101" t="b">
        <f t="shared" si="13"/>
        <v>1</v>
      </c>
      <c r="Q62" s="102" t="str">
        <f t="shared" si="5"/>
        <v/>
      </c>
      <c r="R62" s="92"/>
      <c r="S62" s="103" t="str">
        <f t="shared" si="3"/>
        <v/>
      </c>
      <c r="T62" s="92"/>
      <c r="U62" s="111" t="e">
        <f t="shared" si="6"/>
        <v>#VALUE!</v>
      </c>
      <c r="V62" s="112" t="e">
        <f t="shared" si="7"/>
        <v>#VALUE!</v>
      </c>
    </row>
    <row r="63" spans="1:22" x14ac:dyDescent="0.2">
      <c r="A63" s="96">
        <v>54</v>
      </c>
      <c r="B63" s="113"/>
      <c r="D63" s="108" t="b">
        <v>0</v>
      </c>
      <c r="E63" s="108" t="b">
        <v>0</v>
      </c>
      <c r="F63" s="109" t="b">
        <v>0</v>
      </c>
      <c r="G63" s="109" t="b">
        <v>0</v>
      </c>
      <c r="H63" s="109" t="b">
        <v>0</v>
      </c>
      <c r="I63" s="109" t="b">
        <v>0</v>
      </c>
      <c r="J63" s="109" t="b">
        <v>0</v>
      </c>
      <c r="K63" s="110" t="b">
        <v>1</v>
      </c>
      <c r="L63" s="110" t="b">
        <v>0</v>
      </c>
      <c r="N63" s="101" t="b">
        <f t="shared" si="11"/>
        <v>0</v>
      </c>
      <c r="O63" s="101" t="b">
        <f t="shared" si="12"/>
        <v>0</v>
      </c>
      <c r="P63" s="101" t="b">
        <f t="shared" si="13"/>
        <v>1</v>
      </c>
      <c r="Q63" s="102" t="str">
        <f t="shared" si="5"/>
        <v/>
      </c>
      <c r="R63" s="92"/>
      <c r="S63" s="103" t="str">
        <f t="shared" si="3"/>
        <v/>
      </c>
      <c r="T63" s="92"/>
      <c r="U63" s="111" t="e">
        <f t="shared" si="6"/>
        <v>#VALUE!</v>
      </c>
      <c r="V63" s="112" t="e">
        <f t="shared" si="7"/>
        <v>#VALUE!</v>
      </c>
    </row>
    <row r="64" spans="1:22" x14ac:dyDescent="0.2">
      <c r="A64" s="96">
        <v>55</v>
      </c>
      <c r="B64" s="113"/>
      <c r="D64" s="108" t="b">
        <v>0</v>
      </c>
      <c r="E64" s="108" t="b">
        <v>0</v>
      </c>
      <c r="F64" s="109" t="b">
        <v>0</v>
      </c>
      <c r="G64" s="109" t="b">
        <v>0</v>
      </c>
      <c r="H64" s="109" t="b">
        <v>0</v>
      </c>
      <c r="I64" s="109" t="b">
        <v>0</v>
      </c>
      <c r="J64" s="109" t="b">
        <v>0</v>
      </c>
      <c r="K64" s="110" t="b">
        <v>1</v>
      </c>
      <c r="L64" s="110" t="b">
        <v>0</v>
      </c>
      <c r="N64" s="101" t="b">
        <f t="shared" si="11"/>
        <v>0</v>
      </c>
      <c r="O64" s="101" t="b">
        <f t="shared" si="12"/>
        <v>0</v>
      </c>
      <c r="P64" s="101" t="b">
        <f t="shared" si="13"/>
        <v>1</v>
      </c>
      <c r="Q64" s="102" t="str">
        <f t="shared" si="5"/>
        <v/>
      </c>
      <c r="R64" s="92"/>
      <c r="S64" s="103" t="str">
        <f t="shared" si="3"/>
        <v/>
      </c>
      <c r="T64" s="92"/>
      <c r="U64" s="111" t="e">
        <f t="shared" si="6"/>
        <v>#VALUE!</v>
      </c>
      <c r="V64" s="112" t="e">
        <f t="shared" si="7"/>
        <v>#VALUE!</v>
      </c>
    </row>
    <row r="65" spans="1:22" x14ac:dyDescent="0.2">
      <c r="A65" s="96">
        <v>56</v>
      </c>
      <c r="B65" s="113"/>
      <c r="D65" s="108" t="b">
        <v>0</v>
      </c>
      <c r="E65" s="108" t="b">
        <v>0</v>
      </c>
      <c r="F65" s="109" t="b">
        <v>0</v>
      </c>
      <c r="G65" s="109" t="b">
        <v>0</v>
      </c>
      <c r="H65" s="109" t="b">
        <v>0</v>
      </c>
      <c r="I65" s="109" t="b">
        <v>0</v>
      </c>
      <c r="J65" s="109" t="b">
        <v>0</v>
      </c>
      <c r="K65" s="110" t="b">
        <v>1</v>
      </c>
      <c r="L65" s="110" t="b">
        <v>0</v>
      </c>
      <c r="N65" s="101" t="b">
        <f t="shared" si="11"/>
        <v>0</v>
      </c>
      <c r="O65" s="101" t="b">
        <f t="shared" si="12"/>
        <v>0</v>
      </c>
      <c r="P65" s="101" t="b">
        <f t="shared" si="13"/>
        <v>1</v>
      </c>
      <c r="Q65" s="102" t="str">
        <f t="shared" si="5"/>
        <v/>
      </c>
      <c r="R65" s="92"/>
      <c r="S65" s="103" t="str">
        <f t="shared" si="3"/>
        <v/>
      </c>
      <c r="T65" s="92"/>
      <c r="U65" s="111" t="e">
        <f t="shared" si="6"/>
        <v>#VALUE!</v>
      </c>
      <c r="V65" s="112" t="e">
        <f t="shared" si="7"/>
        <v>#VALUE!</v>
      </c>
    </row>
    <row r="66" spans="1:22" x14ac:dyDescent="0.2">
      <c r="A66" s="96">
        <v>57</v>
      </c>
      <c r="B66" s="113"/>
      <c r="D66" s="108" t="b">
        <v>0</v>
      </c>
      <c r="E66" s="108" t="b">
        <v>0</v>
      </c>
      <c r="F66" s="109" t="b">
        <v>0</v>
      </c>
      <c r="G66" s="109" t="b">
        <v>0</v>
      </c>
      <c r="H66" s="109" t="b">
        <v>0</v>
      </c>
      <c r="I66" s="109" t="b">
        <v>0</v>
      </c>
      <c r="J66" s="109" t="b">
        <v>0</v>
      </c>
      <c r="K66" s="110" t="b">
        <v>1</v>
      </c>
      <c r="L66" s="110" t="b">
        <v>0</v>
      </c>
      <c r="N66" s="101" t="b">
        <f t="shared" si="11"/>
        <v>0</v>
      </c>
      <c r="O66" s="101" t="b">
        <f t="shared" si="12"/>
        <v>0</v>
      </c>
      <c r="P66" s="101" t="b">
        <f t="shared" si="13"/>
        <v>1</v>
      </c>
      <c r="Q66" s="102" t="str">
        <f t="shared" si="5"/>
        <v/>
      </c>
      <c r="R66" s="92"/>
      <c r="S66" s="103" t="str">
        <f t="shared" si="3"/>
        <v/>
      </c>
      <c r="T66" s="92"/>
      <c r="U66" s="111" t="e">
        <f t="shared" si="6"/>
        <v>#VALUE!</v>
      </c>
      <c r="V66" s="112" t="e">
        <f t="shared" si="7"/>
        <v>#VALUE!</v>
      </c>
    </row>
    <row r="67" spans="1:22" x14ac:dyDescent="0.2">
      <c r="A67" s="96">
        <v>58</v>
      </c>
      <c r="B67" s="113"/>
      <c r="D67" s="108" t="b">
        <v>0</v>
      </c>
      <c r="E67" s="108" t="b">
        <v>0</v>
      </c>
      <c r="F67" s="109" t="b">
        <v>0</v>
      </c>
      <c r="G67" s="109" t="b">
        <v>0</v>
      </c>
      <c r="H67" s="109" t="b">
        <v>0</v>
      </c>
      <c r="I67" s="109" t="b">
        <v>0</v>
      </c>
      <c r="J67" s="109" t="b">
        <v>0</v>
      </c>
      <c r="K67" s="110" t="b">
        <v>1</v>
      </c>
      <c r="L67" s="110" t="b">
        <v>0</v>
      </c>
      <c r="N67" s="101" t="b">
        <f t="shared" si="11"/>
        <v>0</v>
      </c>
      <c r="O67" s="101" t="b">
        <f t="shared" si="12"/>
        <v>0</v>
      </c>
      <c r="P67" s="101" t="b">
        <f t="shared" si="13"/>
        <v>1</v>
      </c>
      <c r="Q67" s="102" t="str">
        <f t="shared" si="5"/>
        <v/>
      </c>
      <c r="R67" s="92"/>
      <c r="S67" s="103" t="str">
        <f t="shared" si="3"/>
        <v/>
      </c>
      <c r="T67" s="92"/>
      <c r="U67" s="111" t="e">
        <f t="shared" si="6"/>
        <v>#VALUE!</v>
      </c>
      <c r="V67" s="112" t="e">
        <f t="shared" si="7"/>
        <v>#VALUE!</v>
      </c>
    </row>
    <row r="68" spans="1:22" x14ac:dyDescent="0.2">
      <c r="A68" s="96">
        <v>59</v>
      </c>
      <c r="B68" s="113"/>
      <c r="D68" s="108" t="b">
        <v>0</v>
      </c>
      <c r="E68" s="108" t="b">
        <v>0</v>
      </c>
      <c r="F68" s="109" t="b">
        <v>0</v>
      </c>
      <c r="G68" s="109" t="b">
        <v>0</v>
      </c>
      <c r="H68" s="109" t="b">
        <v>0</v>
      </c>
      <c r="I68" s="109" t="b">
        <v>0</v>
      </c>
      <c r="J68" s="109" t="b">
        <v>0</v>
      </c>
      <c r="K68" s="110" t="b">
        <v>1</v>
      </c>
      <c r="L68" s="110" t="b">
        <v>0</v>
      </c>
      <c r="N68" s="101" t="b">
        <f t="shared" si="11"/>
        <v>0</v>
      </c>
      <c r="O68" s="101" t="b">
        <f t="shared" si="12"/>
        <v>0</v>
      </c>
      <c r="P68" s="101" t="b">
        <f t="shared" si="13"/>
        <v>1</v>
      </c>
      <c r="Q68" s="102" t="str">
        <f t="shared" si="5"/>
        <v/>
      </c>
      <c r="R68" s="92"/>
      <c r="S68" s="103" t="str">
        <f t="shared" si="3"/>
        <v/>
      </c>
      <c r="T68" s="92"/>
      <c r="U68" s="111" t="e">
        <f t="shared" si="6"/>
        <v>#VALUE!</v>
      </c>
      <c r="V68" s="112" t="e">
        <f t="shared" si="7"/>
        <v>#VALUE!</v>
      </c>
    </row>
    <row r="69" spans="1:22" x14ac:dyDescent="0.2">
      <c r="A69" s="96">
        <v>60</v>
      </c>
      <c r="B69" s="113"/>
      <c r="D69" s="108" t="b">
        <v>0</v>
      </c>
      <c r="E69" s="108" t="b">
        <v>0</v>
      </c>
      <c r="F69" s="109" t="b">
        <v>0</v>
      </c>
      <c r="G69" s="109" t="b">
        <v>0</v>
      </c>
      <c r="H69" s="109" t="b">
        <v>0</v>
      </c>
      <c r="I69" s="109" t="b">
        <v>0</v>
      </c>
      <c r="J69" s="109" t="b">
        <v>0</v>
      </c>
      <c r="K69" s="110" t="b">
        <v>1</v>
      </c>
      <c r="L69" s="110" t="b">
        <v>0</v>
      </c>
      <c r="N69" s="101" t="b">
        <f t="shared" si="11"/>
        <v>0</v>
      </c>
      <c r="O69" s="101" t="b">
        <f t="shared" si="12"/>
        <v>0</v>
      </c>
      <c r="P69" s="101" t="b">
        <f t="shared" si="13"/>
        <v>1</v>
      </c>
      <c r="Q69" s="102" t="str">
        <f t="shared" si="5"/>
        <v/>
      </c>
      <c r="R69" s="92"/>
      <c r="S69" s="103" t="str">
        <f t="shared" si="3"/>
        <v/>
      </c>
      <c r="T69" s="92"/>
      <c r="U69" s="111" t="e">
        <f t="shared" si="6"/>
        <v>#VALUE!</v>
      </c>
      <c r="V69" s="112" t="e">
        <f t="shared" si="7"/>
        <v>#VALUE!</v>
      </c>
    </row>
    <row r="70" spans="1:22" x14ac:dyDescent="0.2">
      <c r="A70" s="96">
        <v>61</v>
      </c>
      <c r="B70" s="113"/>
      <c r="D70" s="108" t="b">
        <v>0</v>
      </c>
      <c r="E70" s="108" t="b">
        <v>0</v>
      </c>
      <c r="F70" s="109" t="b">
        <v>0</v>
      </c>
      <c r="G70" s="109" t="b">
        <v>0</v>
      </c>
      <c r="H70" s="109" t="b">
        <v>0</v>
      </c>
      <c r="I70" s="109" t="b">
        <v>0</v>
      </c>
      <c r="J70" s="109" t="b">
        <v>0</v>
      </c>
      <c r="K70" s="110" t="b">
        <v>1</v>
      </c>
      <c r="L70" s="110" t="b">
        <v>0</v>
      </c>
      <c r="N70" s="101" t="b">
        <f t="shared" si="11"/>
        <v>0</v>
      </c>
      <c r="O70" s="101" t="b">
        <f t="shared" si="12"/>
        <v>0</v>
      </c>
      <c r="P70" s="101" t="b">
        <f t="shared" si="13"/>
        <v>1</v>
      </c>
      <c r="Q70" s="102" t="str">
        <f t="shared" si="5"/>
        <v/>
      </c>
      <c r="R70" s="92"/>
      <c r="S70" s="103" t="str">
        <f t="shared" si="3"/>
        <v/>
      </c>
      <c r="T70" s="92"/>
      <c r="U70" s="111" t="e">
        <f t="shared" si="6"/>
        <v>#VALUE!</v>
      </c>
      <c r="V70" s="112" t="e">
        <f t="shared" si="7"/>
        <v>#VALUE!</v>
      </c>
    </row>
    <row r="71" spans="1:22" x14ac:dyDescent="0.2">
      <c r="A71" s="96">
        <v>62</v>
      </c>
      <c r="B71" s="113"/>
      <c r="D71" s="108" t="b">
        <v>0</v>
      </c>
      <c r="E71" s="108" t="b">
        <v>0</v>
      </c>
      <c r="F71" s="109" t="b">
        <v>0</v>
      </c>
      <c r="G71" s="109" t="b">
        <v>0</v>
      </c>
      <c r="H71" s="109" t="b">
        <v>0</v>
      </c>
      <c r="I71" s="109" t="b">
        <v>0</v>
      </c>
      <c r="J71" s="109" t="b">
        <v>0</v>
      </c>
      <c r="K71" s="110" t="b">
        <v>1</v>
      </c>
      <c r="L71" s="110" t="b">
        <v>0</v>
      </c>
      <c r="N71" s="101" t="b">
        <f t="shared" si="11"/>
        <v>0</v>
      </c>
      <c r="O71" s="101" t="b">
        <f t="shared" si="12"/>
        <v>0</v>
      </c>
      <c r="P71" s="101" t="b">
        <f t="shared" si="13"/>
        <v>1</v>
      </c>
      <c r="Q71" s="102" t="str">
        <f t="shared" si="5"/>
        <v/>
      </c>
      <c r="R71" s="92"/>
      <c r="S71" s="103" t="str">
        <f t="shared" si="3"/>
        <v/>
      </c>
      <c r="T71" s="92"/>
      <c r="U71" s="111" t="e">
        <f t="shared" si="6"/>
        <v>#VALUE!</v>
      </c>
      <c r="V71" s="112" t="e">
        <f t="shared" si="7"/>
        <v>#VALUE!</v>
      </c>
    </row>
    <row r="72" spans="1:22" x14ac:dyDescent="0.2">
      <c r="A72" s="96">
        <v>63</v>
      </c>
      <c r="B72" s="113"/>
      <c r="D72" s="108" t="b">
        <v>0</v>
      </c>
      <c r="E72" s="108" t="b">
        <v>0</v>
      </c>
      <c r="F72" s="109" t="b">
        <v>0</v>
      </c>
      <c r="G72" s="109" t="b">
        <v>0</v>
      </c>
      <c r="H72" s="109" t="b">
        <v>0</v>
      </c>
      <c r="I72" s="109" t="b">
        <v>0</v>
      </c>
      <c r="J72" s="109" t="b">
        <v>0</v>
      </c>
      <c r="K72" s="110" t="b">
        <v>1</v>
      </c>
      <c r="L72" s="110" t="b">
        <v>0</v>
      </c>
      <c r="N72" s="101" t="b">
        <f t="shared" si="11"/>
        <v>0</v>
      </c>
      <c r="O72" s="101" t="b">
        <f t="shared" si="12"/>
        <v>0</v>
      </c>
      <c r="P72" s="101" t="b">
        <f t="shared" si="13"/>
        <v>1</v>
      </c>
      <c r="Q72" s="102" t="str">
        <f t="shared" si="5"/>
        <v/>
      </c>
      <c r="R72" s="92"/>
      <c r="S72" s="103" t="str">
        <f t="shared" si="3"/>
        <v/>
      </c>
      <c r="T72" s="92"/>
      <c r="U72" s="111" t="e">
        <f t="shared" si="6"/>
        <v>#VALUE!</v>
      </c>
      <c r="V72" s="112" t="e">
        <f t="shared" si="7"/>
        <v>#VALUE!</v>
      </c>
    </row>
    <row r="73" spans="1:22" x14ac:dyDescent="0.2">
      <c r="A73" s="96">
        <v>64</v>
      </c>
      <c r="B73" s="113"/>
      <c r="D73" s="108" t="b">
        <v>0</v>
      </c>
      <c r="E73" s="108" t="b">
        <v>0</v>
      </c>
      <c r="F73" s="109" t="b">
        <v>0</v>
      </c>
      <c r="G73" s="109" t="b">
        <v>0</v>
      </c>
      <c r="H73" s="109" t="b">
        <v>0</v>
      </c>
      <c r="I73" s="109" t="b">
        <v>0</v>
      </c>
      <c r="J73" s="109" t="b">
        <v>0</v>
      </c>
      <c r="K73" s="110" t="b">
        <v>1</v>
      </c>
      <c r="L73" s="110" t="b">
        <v>0</v>
      </c>
      <c r="N73" s="101" t="b">
        <f t="shared" si="11"/>
        <v>0</v>
      </c>
      <c r="O73" s="101" t="b">
        <f t="shared" si="12"/>
        <v>0</v>
      </c>
      <c r="P73" s="101" t="b">
        <f t="shared" si="13"/>
        <v>1</v>
      </c>
      <c r="Q73" s="102" t="str">
        <f t="shared" si="5"/>
        <v/>
      </c>
      <c r="R73" s="92"/>
      <c r="S73" s="103" t="str">
        <f t="shared" si="3"/>
        <v/>
      </c>
      <c r="T73" s="92"/>
      <c r="U73" s="111" t="e">
        <f t="shared" si="6"/>
        <v>#VALUE!</v>
      </c>
      <c r="V73" s="112" t="e">
        <f t="shared" si="7"/>
        <v>#VALUE!</v>
      </c>
    </row>
    <row r="74" spans="1:22" x14ac:dyDescent="0.2">
      <c r="A74" s="96">
        <v>65</v>
      </c>
      <c r="B74" s="113"/>
      <c r="D74" s="108" t="b">
        <v>0</v>
      </c>
      <c r="E74" s="108" t="b">
        <v>0</v>
      </c>
      <c r="F74" s="109" t="b">
        <v>0</v>
      </c>
      <c r="G74" s="109" t="b">
        <v>0</v>
      </c>
      <c r="H74" s="109" t="b">
        <v>0</v>
      </c>
      <c r="I74" s="109" t="b">
        <v>0</v>
      </c>
      <c r="J74" s="109" t="b">
        <v>0</v>
      </c>
      <c r="K74" s="110" t="b">
        <v>1</v>
      </c>
      <c r="L74" s="110" t="b">
        <v>0</v>
      </c>
      <c r="N74" s="101" t="b">
        <f t="shared" ref="N74:N109" si="14">CHOOSE(currentPlatformIndex,D74,E74)</f>
        <v>0</v>
      </c>
      <c r="O74" s="101" t="b">
        <f t="shared" ref="O74:O109" si="15">CHOOSE(currentSpeciesIndex,F74,G74,H74,I74,J74)</f>
        <v>0</v>
      </c>
      <c r="P74" s="101" t="b">
        <f t="shared" ref="P74:P109" si="16">CHOOSE(currentArrayOptionsindex,K74,L74)</f>
        <v>1</v>
      </c>
      <c r="Q74" s="102" t="str">
        <f t="shared" si="5"/>
        <v/>
      </c>
      <c r="R74" s="92"/>
      <c r="S74" s="103" t="str">
        <f t="shared" ref="S74:S106" si="17">Q74&amp;S75</f>
        <v/>
      </c>
      <c r="T74" s="92"/>
      <c r="U74" s="111" t="e">
        <f t="shared" si="6"/>
        <v>#VALUE!</v>
      </c>
      <c r="V74" s="112" t="e">
        <f t="shared" si="7"/>
        <v>#VALUE!</v>
      </c>
    </row>
    <row r="75" spans="1:22" x14ac:dyDescent="0.2">
      <c r="A75" s="96">
        <v>66</v>
      </c>
      <c r="B75" s="113"/>
      <c r="D75" s="108" t="b">
        <v>0</v>
      </c>
      <c r="E75" s="108" t="b">
        <v>0</v>
      </c>
      <c r="F75" s="109" t="b">
        <v>0</v>
      </c>
      <c r="G75" s="109" t="b">
        <v>0</v>
      </c>
      <c r="H75" s="109" t="b">
        <v>0</v>
      </c>
      <c r="I75" s="109" t="b">
        <v>0</v>
      </c>
      <c r="J75" s="109" t="b">
        <v>0</v>
      </c>
      <c r="K75" s="110" t="b">
        <v>1</v>
      </c>
      <c r="L75" s="110" t="b">
        <v>0</v>
      </c>
      <c r="N75" s="101" t="b">
        <f t="shared" si="14"/>
        <v>0</v>
      </c>
      <c r="O75" s="101" t="b">
        <f t="shared" si="15"/>
        <v>0</v>
      </c>
      <c r="P75" s="101" t="b">
        <f t="shared" si="16"/>
        <v>1</v>
      </c>
      <c r="Q75" s="102" t="str">
        <f t="shared" ref="Q75:Q109" si="18">IF(AND(N75,O75,P75),A75&amp;"|","")</f>
        <v/>
      </c>
      <c r="R75" s="92"/>
      <c r="S75" s="103" t="str">
        <f t="shared" si="17"/>
        <v/>
      </c>
      <c r="T75" s="92"/>
      <c r="U75" s="111" t="e">
        <f t="shared" si="6"/>
        <v>#VALUE!</v>
      </c>
      <c r="V75" s="112" t="e">
        <f t="shared" si="7"/>
        <v>#VALUE!</v>
      </c>
    </row>
    <row r="76" spans="1:22" x14ac:dyDescent="0.2">
      <c r="A76" s="96">
        <v>67</v>
      </c>
      <c r="B76" s="113"/>
      <c r="D76" s="108" t="b">
        <v>0</v>
      </c>
      <c r="E76" s="108" t="b">
        <v>0</v>
      </c>
      <c r="F76" s="109" t="b">
        <v>0</v>
      </c>
      <c r="G76" s="109" t="b">
        <v>0</v>
      </c>
      <c r="H76" s="109" t="b">
        <v>0</v>
      </c>
      <c r="I76" s="109" t="b">
        <v>0</v>
      </c>
      <c r="J76" s="109" t="b">
        <v>0</v>
      </c>
      <c r="K76" s="110" t="b">
        <v>1</v>
      </c>
      <c r="L76" s="110" t="b">
        <v>0</v>
      </c>
      <c r="N76" s="101" t="b">
        <f t="shared" si="14"/>
        <v>0</v>
      </c>
      <c r="O76" s="101" t="b">
        <f t="shared" si="15"/>
        <v>0</v>
      </c>
      <c r="P76" s="101" t="b">
        <f t="shared" si="16"/>
        <v>1</v>
      </c>
      <c r="Q76" s="102" t="str">
        <f t="shared" si="18"/>
        <v/>
      </c>
      <c r="R76" s="92"/>
      <c r="S76" s="103" t="str">
        <f t="shared" si="17"/>
        <v/>
      </c>
      <c r="T76" s="92"/>
      <c r="U76" s="111" t="e">
        <f t="shared" ref="U76:U109" si="19">IF(LEN(V75)&gt;0,LEFT(V75,FIND("|",V75)-1),"")</f>
        <v>#VALUE!</v>
      </c>
      <c r="V76" s="112" t="e">
        <f t="shared" ref="V76:V109" si="20">MID(V75,FIND("|",V75)+1,500)</f>
        <v>#VALUE!</v>
      </c>
    </row>
    <row r="77" spans="1:22" x14ac:dyDescent="0.2">
      <c r="A77" s="96">
        <v>68</v>
      </c>
      <c r="B77" s="113"/>
      <c r="D77" s="108" t="b">
        <v>0</v>
      </c>
      <c r="E77" s="108" t="b">
        <v>0</v>
      </c>
      <c r="F77" s="109" t="b">
        <v>0</v>
      </c>
      <c r="G77" s="109" t="b">
        <v>0</v>
      </c>
      <c r="H77" s="109" t="b">
        <v>0</v>
      </c>
      <c r="I77" s="109" t="b">
        <v>0</v>
      </c>
      <c r="J77" s="109" t="b">
        <v>0</v>
      </c>
      <c r="K77" s="110" t="b">
        <v>1</v>
      </c>
      <c r="L77" s="110" t="b">
        <v>0</v>
      </c>
      <c r="N77" s="101" t="b">
        <f t="shared" si="14"/>
        <v>0</v>
      </c>
      <c r="O77" s="101" t="b">
        <f t="shared" si="15"/>
        <v>0</v>
      </c>
      <c r="P77" s="101" t="b">
        <f t="shared" si="16"/>
        <v>1</v>
      </c>
      <c r="Q77" s="102" t="str">
        <f t="shared" si="18"/>
        <v/>
      </c>
      <c r="R77" s="92"/>
      <c r="S77" s="103" t="str">
        <f t="shared" si="17"/>
        <v/>
      </c>
      <c r="T77" s="92"/>
      <c r="U77" s="111" t="e">
        <f t="shared" si="19"/>
        <v>#VALUE!</v>
      </c>
      <c r="V77" s="112" t="e">
        <f t="shared" si="20"/>
        <v>#VALUE!</v>
      </c>
    </row>
    <row r="78" spans="1:22" x14ac:dyDescent="0.2">
      <c r="A78" s="96">
        <v>69</v>
      </c>
      <c r="B78" s="113"/>
      <c r="D78" s="108" t="b">
        <v>0</v>
      </c>
      <c r="E78" s="108" t="b">
        <v>0</v>
      </c>
      <c r="F78" s="109" t="b">
        <v>0</v>
      </c>
      <c r="G78" s="109" t="b">
        <v>0</v>
      </c>
      <c r="H78" s="109" t="b">
        <v>0</v>
      </c>
      <c r="I78" s="109" t="b">
        <v>0</v>
      </c>
      <c r="J78" s="109" t="b">
        <v>0</v>
      </c>
      <c r="K78" s="110" t="b">
        <v>1</v>
      </c>
      <c r="L78" s="110" t="b">
        <v>0</v>
      </c>
      <c r="N78" s="101" t="b">
        <f t="shared" si="14"/>
        <v>0</v>
      </c>
      <c r="O78" s="101" t="b">
        <f t="shared" si="15"/>
        <v>0</v>
      </c>
      <c r="P78" s="101" t="b">
        <f t="shared" si="16"/>
        <v>1</v>
      </c>
      <c r="Q78" s="102" t="str">
        <f t="shared" si="18"/>
        <v/>
      </c>
      <c r="R78" s="92"/>
      <c r="S78" s="103" t="str">
        <f t="shared" si="17"/>
        <v/>
      </c>
      <c r="T78" s="92"/>
      <c r="U78" s="111" t="e">
        <f t="shared" si="19"/>
        <v>#VALUE!</v>
      </c>
      <c r="V78" s="112" t="e">
        <f t="shared" si="20"/>
        <v>#VALUE!</v>
      </c>
    </row>
    <row r="79" spans="1:22" x14ac:dyDescent="0.2">
      <c r="A79" s="96">
        <v>70</v>
      </c>
      <c r="B79" s="113"/>
      <c r="D79" s="108" t="b">
        <v>0</v>
      </c>
      <c r="E79" s="108" t="b">
        <v>0</v>
      </c>
      <c r="F79" s="109" t="b">
        <v>0</v>
      </c>
      <c r="G79" s="109" t="b">
        <v>0</v>
      </c>
      <c r="H79" s="109" t="b">
        <v>0</v>
      </c>
      <c r="I79" s="109" t="b">
        <v>0</v>
      </c>
      <c r="J79" s="109" t="b">
        <v>0</v>
      </c>
      <c r="K79" s="110" t="b">
        <v>1</v>
      </c>
      <c r="L79" s="110" t="b">
        <v>0</v>
      </c>
      <c r="N79" s="101" t="b">
        <f t="shared" si="14"/>
        <v>0</v>
      </c>
      <c r="O79" s="101" t="b">
        <f t="shared" si="15"/>
        <v>0</v>
      </c>
      <c r="P79" s="101" t="b">
        <f t="shared" si="16"/>
        <v>1</v>
      </c>
      <c r="Q79" s="102" t="str">
        <f t="shared" si="18"/>
        <v/>
      </c>
      <c r="R79" s="92"/>
      <c r="S79" s="103" t="str">
        <f t="shared" si="17"/>
        <v/>
      </c>
      <c r="T79" s="92"/>
      <c r="U79" s="111" t="e">
        <f t="shared" si="19"/>
        <v>#VALUE!</v>
      </c>
      <c r="V79" s="112" t="e">
        <f t="shared" si="20"/>
        <v>#VALUE!</v>
      </c>
    </row>
    <row r="80" spans="1:22" x14ac:dyDescent="0.2">
      <c r="A80" s="96">
        <v>71</v>
      </c>
      <c r="B80" s="113"/>
      <c r="D80" s="108" t="b">
        <v>0</v>
      </c>
      <c r="E80" s="108" t="b">
        <v>0</v>
      </c>
      <c r="F80" s="109" t="b">
        <v>0</v>
      </c>
      <c r="G80" s="109" t="b">
        <v>0</v>
      </c>
      <c r="H80" s="109" t="b">
        <v>0</v>
      </c>
      <c r="I80" s="109" t="b">
        <v>0</v>
      </c>
      <c r="J80" s="109" t="b">
        <v>0</v>
      </c>
      <c r="K80" s="110" t="b">
        <v>1</v>
      </c>
      <c r="L80" s="110" t="b">
        <v>0</v>
      </c>
      <c r="N80" s="101" t="b">
        <f t="shared" si="14"/>
        <v>0</v>
      </c>
      <c r="O80" s="101" t="b">
        <f t="shared" si="15"/>
        <v>0</v>
      </c>
      <c r="P80" s="101" t="b">
        <f t="shared" si="16"/>
        <v>1</v>
      </c>
      <c r="Q80" s="102" t="str">
        <f t="shared" si="18"/>
        <v/>
      </c>
      <c r="R80" s="92"/>
      <c r="S80" s="103" t="str">
        <f t="shared" si="17"/>
        <v/>
      </c>
      <c r="T80" s="92"/>
      <c r="U80" s="111" t="e">
        <f t="shared" si="19"/>
        <v>#VALUE!</v>
      </c>
      <c r="V80" s="112" t="e">
        <f t="shared" si="20"/>
        <v>#VALUE!</v>
      </c>
    </row>
    <row r="81" spans="1:22" x14ac:dyDescent="0.2">
      <c r="A81" s="96">
        <v>72</v>
      </c>
      <c r="B81" s="113"/>
      <c r="D81" s="108" t="b">
        <v>0</v>
      </c>
      <c r="E81" s="108" t="b">
        <v>0</v>
      </c>
      <c r="F81" s="109" t="b">
        <v>0</v>
      </c>
      <c r="G81" s="109" t="b">
        <v>0</v>
      </c>
      <c r="H81" s="109" t="b">
        <v>0</v>
      </c>
      <c r="I81" s="109" t="b">
        <v>0</v>
      </c>
      <c r="J81" s="109" t="b">
        <v>0</v>
      </c>
      <c r="K81" s="110" t="b">
        <v>1</v>
      </c>
      <c r="L81" s="110" t="b">
        <v>0</v>
      </c>
      <c r="N81" s="101" t="b">
        <f t="shared" si="14"/>
        <v>0</v>
      </c>
      <c r="O81" s="101" t="b">
        <f t="shared" si="15"/>
        <v>0</v>
      </c>
      <c r="P81" s="101" t="b">
        <f t="shared" si="16"/>
        <v>1</v>
      </c>
      <c r="Q81" s="102" t="str">
        <f t="shared" si="18"/>
        <v/>
      </c>
      <c r="R81" s="92"/>
      <c r="S81" s="103" t="str">
        <f t="shared" si="17"/>
        <v/>
      </c>
      <c r="T81" s="92"/>
      <c r="U81" s="111" t="e">
        <f t="shared" si="19"/>
        <v>#VALUE!</v>
      </c>
      <c r="V81" s="112" t="e">
        <f t="shared" si="20"/>
        <v>#VALUE!</v>
      </c>
    </row>
    <row r="82" spans="1:22" x14ac:dyDescent="0.2">
      <c r="A82" s="96">
        <v>73</v>
      </c>
      <c r="B82" s="113"/>
      <c r="D82" s="108" t="b">
        <v>0</v>
      </c>
      <c r="E82" s="108" t="b">
        <v>0</v>
      </c>
      <c r="F82" s="109" t="b">
        <v>0</v>
      </c>
      <c r="G82" s="109" t="b">
        <v>0</v>
      </c>
      <c r="H82" s="109" t="b">
        <v>0</v>
      </c>
      <c r="I82" s="109" t="b">
        <v>0</v>
      </c>
      <c r="J82" s="109" t="b">
        <v>0</v>
      </c>
      <c r="K82" s="110" t="b">
        <v>1</v>
      </c>
      <c r="L82" s="110" t="b">
        <v>0</v>
      </c>
      <c r="N82" s="101" t="b">
        <f t="shared" si="14"/>
        <v>0</v>
      </c>
      <c r="O82" s="101" t="b">
        <f t="shared" si="15"/>
        <v>0</v>
      </c>
      <c r="P82" s="101" t="b">
        <f t="shared" si="16"/>
        <v>1</v>
      </c>
      <c r="Q82" s="102" t="str">
        <f t="shared" si="18"/>
        <v/>
      </c>
      <c r="R82" s="92"/>
      <c r="S82" s="103" t="str">
        <f t="shared" si="17"/>
        <v/>
      </c>
      <c r="T82" s="92"/>
      <c r="U82" s="111" t="e">
        <f t="shared" si="19"/>
        <v>#VALUE!</v>
      </c>
      <c r="V82" s="112" t="e">
        <f t="shared" si="20"/>
        <v>#VALUE!</v>
      </c>
    </row>
    <row r="83" spans="1:22" x14ac:dyDescent="0.2">
      <c r="A83" s="96">
        <v>74</v>
      </c>
      <c r="B83" s="113"/>
      <c r="D83" s="108" t="b">
        <v>0</v>
      </c>
      <c r="E83" s="108" t="b">
        <v>0</v>
      </c>
      <c r="F83" s="109" t="b">
        <v>0</v>
      </c>
      <c r="G83" s="109" t="b">
        <v>0</v>
      </c>
      <c r="H83" s="109" t="b">
        <v>0</v>
      </c>
      <c r="I83" s="109" t="b">
        <v>0</v>
      </c>
      <c r="J83" s="109" t="b">
        <v>0</v>
      </c>
      <c r="K83" s="110" t="b">
        <v>1</v>
      </c>
      <c r="L83" s="110" t="b">
        <v>0</v>
      </c>
      <c r="N83" s="101" t="b">
        <f t="shared" si="14"/>
        <v>0</v>
      </c>
      <c r="O83" s="101" t="b">
        <f t="shared" si="15"/>
        <v>0</v>
      </c>
      <c r="P83" s="101" t="b">
        <f t="shared" si="16"/>
        <v>1</v>
      </c>
      <c r="Q83" s="102" t="str">
        <f t="shared" si="18"/>
        <v/>
      </c>
      <c r="R83" s="92"/>
      <c r="S83" s="103" t="str">
        <f t="shared" si="17"/>
        <v/>
      </c>
      <c r="T83" s="92"/>
      <c r="U83" s="111" t="e">
        <f t="shared" si="19"/>
        <v>#VALUE!</v>
      </c>
      <c r="V83" s="112" t="e">
        <f t="shared" si="20"/>
        <v>#VALUE!</v>
      </c>
    </row>
    <row r="84" spans="1:22" x14ac:dyDescent="0.2">
      <c r="A84" s="96">
        <v>75</v>
      </c>
      <c r="B84" s="113"/>
      <c r="D84" s="108" t="b">
        <v>0</v>
      </c>
      <c r="E84" s="108" t="b">
        <v>0</v>
      </c>
      <c r="F84" s="109" t="b">
        <v>0</v>
      </c>
      <c r="G84" s="109" t="b">
        <v>0</v>
      </c>
      <c r="H84" s="109" t="b">
        <v>0</v>
      </c>
      <c r="I84" s="109" t="b">
        <v>0</v>
      </c>
      <c r="J84" s="109" t="b">
        <v>0</v>
      </c>
      <c r="K84" s="110" t="b">
        <v>1</v>
      </c>
      <c r="L84" s="110" t="b">
        <v>0</v>
      </c>
      <c r="N84" s="101" t="b">
        <f t="shared" si="14"/>
        <v>0</v>
      </c>
      <c r="O84" s="101" t="b">
        <f t="shared" si="15"/>
        <v>0</v>
      </c>
      <c r="P84" s="101" t="b">
        <f t="shared" si="16"/>
        <v>1</v>
      </c>
      <c r="Q84" s="102" t="str">
        <f t="shared" si="18"/>
        <v/>
      </c>
      <c r="R84" s="92"/>
      <c r="S84" s="103" t="str">
        <f t="shared" si="17"/>
        <v/>
      </c>
      <c r="T84" s="92"/>
      <c r="U84" s="111" t="e">
        <f t="shared" si="19"/>
        <v>#VALUE!</v>
      </c>
      <c r="V84" s="112" t="e">
        <f t="shared" si="20"/>
        <v>#VALUE!</v>
      </c>
    </row>
    <row r="85" spans="1:22" x14ac:dyDescent="0.2">
      <c r="A85" s="96">
        <v>76</v>
      </c>
      <c r="B85" s="113"/>
      <c r="D85" s="108" t="b">
        <v>0</v>
      </c>
      <c r="E85" s="108" t="b">
        <v>0</v>
      </c>
      <c r="F85" s="109" t="b">
        <v>0</v>
      </c>
      <c r="G85" s="109" t="b">
        <v>0</v>
      </c>
      <c r="H85" s="109" t="b">
        <v>0</v>
      </c>
      <c r="I85" s="109" t="b">
        <v>0</v>
      </c>
      <c r="J85" s="109" t="b">
        <v>0</v>
      </c>
      <c r="K85" s="110" t="b">
        <v>1</v>
      </c>
      <c r="L85" s="110" t="b">
        <v>0</v>
      </c>
      <c r="N85" s="101" t="b">
        <f t="shared" si="14"/>
        <v>0</v>
      </c>
      <c r="O85" s="101" t="b">
        <f t="shared" si="15"/>
        <v>0</v>
      </c>
      <c r="P85" s="101" t="b">
        <f t="shared" si="16"/>
        <v>1</v>
      </c>
      <c r="Q85" s="102" t="str">
        <f t="shared" si="18"/>
        <v/>
      </c>
      <c r="R85" s="92"/>
      <c r="S85" s="103" t="str">
        <f t="shared" si="17"/>
        <v/>
      </c>
      <c r="T85" s="92"/>
      <c r="U85" s="111" t="e">
        <f t="shared" si="19"/>
        <v>#VALUE!</v>
      </c>
      <c r="V85" s="112" t="e">
        <f t="shared" si="20"/>
        <v>#VALUE!</v>
      </c>
    </row>
    <row r="86" spans="1:22" x14ac:dyDescent="0.2">
      <c r="A86" s="96">
        <v>77</v>
      </c>
      <c r="B86" s="113"/>
      <c r="D86" s="108" t="b">
        <v>0</v>
      </c>
      <c r="E86" s="108" t="b">
        <v>0</v>
      </c>
      <c r="F86" s="109" t="b">
        <v>0</v>
      </c>
      <c r="G86" s="109" t="b">
        <v>0</v>
      </c>
      <c r="H86" s="109" t="b">
        <v>0</v>
      </c>
      <c r="I86" s="109" t="b">
        <v>0</v>
      </c>
      <c r="J86" s="109" t="b">
        <v>0</v>
      </c>
      <c r="K86" s="110" t="b">
        <v>1</v>
      </c>
      <c r="L86" s="110" t="b">
        <v>0</v>
      </c>
      <c r="N86" s="101" t="b">
        <f t="shared" si="14"/>
        <v>0</v>
      </c>
      <c r="O86" s="101" t="b">
        <f t="shared" si="15"/>
        <v>0</v>
      </c>
      <c r="P86" s="101" t="b">
        <f t="shared" si="16"/>
        <v>1</v>
      </c>
      <c r="Q86" s="102" t="str">
        <f t="shared" si="18"/>
        <v/>
      </c>
      <c r="R86" s="92"/>
      <c r="S86" s="103" t="str">
        <f t="shared" si="17"/>
        <v/>
      </c>
      <c r="T86" s="92"/>
      <c r="U86" s="111" t="e">
        <f t="shared" si="19"/>
        <v>#VALUE!</v>
      </c>
      <c r="V86" s="112" t="e">
        <f t="shared" si="20"/>
        <v>#VALUE!</v>
      </c>
    </row>
    <row r="87" spans="1:22" x14ac:dyDescent="0.2">
      <c r="A87" s="96">
        <v>78</v>
      </c>
      <c r="B87" s="113"/>
      <c r="D87" s="108" t="b">
        <v>0</v>
      </c>
      <c r="E87" s="108" t="b">
        <v>0</v>
      </c>
      <c r="F87" s="109" t="b">
        <v>0</v>
      </c>
      <c r="G87" s="109" t="b">
        <v>0</v>
      </c>
      <c r="H87" s="109" t="b">
        <v>0</v>
      </c>
      <c r="I87" s="109" t="b">
        <v>0</v>
      </c>
      <c r="J87" s="109" t="b">
        <v>0</v>
      </c>
      <c r="K87" s="110" t="b">
        <v>1</v>
      </c>
      <c r="L87" s="110" t="b">
        <v>0</v>
      </c>
      <c r="N87" s="101" t="b">
        <f t="shared" si="14"/>
        <v>0</v>
      </c>
      <c r="O87" s="101" t="b">
        <f t="shared" si="15"/>
        <v>0</v>
      </c>
      <c r="P87" s="101" t="b">
        <f t="shared" si="16"/>
        <v>1</v>
      </c>
      <c r="Q87" s="102" t="str">
        <f t="shared" si="18"/>
        <v/>
      </c>
      <c r="R87" s="92"/>
      <c r="S87" s="103" t="str">
        <f t="shared" si="17"/>
        <v/>
      </c>
      <c r="T87" s="92"/>
      <c r="U87" s="111" t="e">
        <f t="shared" si="19"/>
        <v>#VALUE!</v>
      </c>
      <c r="V87" s="112" t="e">
        <f t="shared" si="20"/>
        <v>#VALUE!</v>
      </c>
    </row>
    <row r="88" spans="1:22" x14ac:dyDescent="0.2">
      <c r="A88" s="96">
        <v>79</v>
      </c>
      <c r="B88" s="113"/>
      <c r="D88" s="108" t="b">
        <v>0</v>
      </c>
      <c r="E88" s="108" t="b">
        <v>0</v>
      </c>
      <c r="F88" s="109" t="b">
        <v>0</v>
      </c>
      <c r="G88" s="109" t="b">
        <v>0</v>
      </c>
      <c r="H88" s="109" t="b">
        <v>0</v>
      </c>
      <c r="I88" s="109" t="b">
        <v>0</v>
      </c>
      <c r="J88" s="109" t="b">
        <v>0</v>
      </c>
      <c r="K88" s="110" t="b">
        <v>1</v>
      </c>
      <c r="L88" s="110" t="b">
        <v>0</v>
      </c>
      <c r="N88" s="101" t="b">
        <f t="shared" si="14"/>
        <v>0</v>
      </c>
      <c r="O88" s="101" t="b">
        <f t="shared" si="15"/>
        <v>0</v>
      </c>
      <c r="P88" s="101" t="b">
        <f t="shared" si="16"/>
        <v>1</v>
      </c>
      <c r="Q88" s="102" t="str">
        <f t="shared" si="18"/>
        <v/>
      </c>
      <c r="R88" s="92"/>
      <c r="S88" s="103" t="str">
        <f t="shared" si="17"/>
        <v/>
      </c>
      <c r="T88" s="92"/>
      <c r="U88" s="111" t="e">
        <f t="shared" si="19"/>
        <v>#VALUE!</v>
      </c>
      <c r="V88" s="112" t="e">
        <f t="shared" si="20"/>
        <v>#VALUE!</v>
      </c>
    </row>
    <row r="89" spans="1:22" x14ac:dyDescent="0.2">
      <c r="A89" s="96">
        <v>80</v>
      </c>
      <c r="B89" s="113"/>
      <c r="D89" s="108" t="b">
        <v>0</v>
      </c>
      <c r="E89" s="108" t="b">
        <v>0</v>
      </c>
      <c r="F89" s="109" t="b">
        <v>0</v>
      </c>
      <c r="G89" s="109" t="b">
        <v>0</v>
      </c>
      <c r="H89" s="109" t="b">
        <v>0</v>
      </c>
      <c r="I89" s="109" t="b">
        <v>0</v>
      </c>
      <c r="J89" s="109" t="b">
        <v>0</v>
      </c>
      <c r="K89" s="110" t="b">
        <v>1</v>
      </c>
      <c r="L89" s="110" t="b">
        <v>0</v>
      </c>
      <c r="N89" s="101" t="b">
        <f t="shared" si="14"/>
        <v>0</v>
      </c>
      <c r="O89" s="101" t="b">
        <f t="shared" si="15"/>
        <v>0</v>
      </c>
      <c r="P89" s="101" t="b">
        <f t="shared" si="16"/>
        <v>1</v>
      </c>
      <c r="Q89" s="102" t="str">
        <f t="shared" si="18"/>
        <v/>
      </c>
      <c r="R89" s="92"/>
      <c r="S89" s="103" t="str">
        <f t="shared" si="17"/>
        <v/>
      </c>
      <c r="T89" s="92"/>
      <c r="U89" s="111" t="e">
        <f t="shared" si="19"/>
        <v>#VALUE!</v>
      </c>
      <c r="V89" s="112" t="e">
        <f t="shared" si="20"/>
        <v>#VALUE!</v>
      </c>
    </row>
    <row r="90" spans="1:22" x14ac:dyDescent="0.2">
      <c r="A90" s="96">
        <v>81</v>
      </c>
      <c r="B90" s="113"/>
      <c r="D90" s="108" t="b">
        <v>0</v>
      </c>
      <c r="E90" s="108" t="b">
        <v>0</v>
      </c>
      <c r="F90" s="109" t="b">
        <v>0</v>
      </c>
      <c r="G90" s="109" t="b">
        <v>0</v>
      </c>
      <c r="H90" s="109" t="b">
        <v>0</v>
      </c>
      <c r="I90" s="109" t="b">
        <v>0</v>
      </c>
      <c r="J90" s="109" t="b">
        <v>0</v>
      </c>
      <c r="K90" s="110" t="b">
        <v>1</v>
      </c>
      <c r="L90" s="110" t="b">
        <v>0</v>
      </c>
      <c r="N90" s="101" t="b">
        <f t="shared" si="14"/>
        <v>0</v>
      </c>
      <c r="O90" s="101" t="b">
        <f t="shared" si="15"/>
        <v>0</v>
      </c>
      <c r="P90" s="101" t="b">
        <f t="shared" si="16"/>
        <v>1</v>
      </c>
      <c r="Q90" s="102" t="str">
        <f t="shared" si="18"/>
        <v/>
      </c>
      <c r="R90" s="92"/>
      <c r="S90" s="103" t="str">
        <f t="shared" si="17"/>
        <v/>
      </c>
      <c r="T90" s="92"/>
      <c r="U90" s="111" t="e">
        <f t="shared" si="19"/>
        <v>#VALUE!</v>
      </c>
      <c r="V90" s="112" t="e">
        <f t="shared" si="20"/>
        <v>#VALUE!</v>
      </c>
    </row>
    <row r="91" spans="1:22" x14ac:dyDescent="0.2">
      <c r="A91" s="96">
        <v>82</v>
      </c>
      <c r="B91" s="113"/>
      <c r="D91" s="108" t="b">
        <v>0</v>
      </c>
      <c r="E91" s="108" t="b">
        <v>0</v>
      </c>
      <c r="F91" s="109" t="b">
        <v>0</v>
      </c>
      <c r="G91" s="109" t="b">
        <v>0</v>
      </c>
      <c r="H91" s="109" t="b">
        <v>0</v>
      </c>
      <c r="I91" s="109" t="b">
        <v>0</v>
      </c>
      <c r="J91" s="109" t="b">
        <v>0</v>
      </c>
      <c r="K91" s="110" t="b">
        <v>1</v>
      </c>
      <c r="L91" s="110" t="b">
        <v>0</v>
      </c>
      <c r="N91" s="101" t="b">
        <f t="shared" si="14"/>
        <v>0</v>
      </c>
      <c r="O91" s="101" t="b">
        <f t="shared" si="15"/>
        <v>0</v>
      </c>
      <c r="P91" s="101" t="b">
        <f t="shared" si="16"/>
        <v>1</v>
      </c>
      <c r="Q91" s="102" t="str">
        <f t="shared" si="18"/>
        <v/>
      </c>
      <c r="R91" s="92"/>
      <c r="S91" s="103" t="str">
        <f t="shared" si="17"/>
        <v/>
      </c>
      <c r="T91" s="92"/>
      <c r="U91" s="111" t="e">
        <f t="shared" si="19"/>
        <v>#VALUE!</v>
      </c>
      <c r="V91" s="112" t="e">
        <f t="shared" si="20"/>
        <v>#VALUE!</v>
      </c>
    </row>
    <row r="92" spans="1:22" x14ac:dyDescent="0.2">
      <c r="A92" s="96">
        <v>83</v>
      </c>
      <c r="B92" s="113"/>
      <c r="D92" s="108" t="b">
        <v>0</v>
      </c>
      <c r="E92" s="108" t="b">
        <v>0</v>
      </c>
      <c r="F92" s="109" t="b">
        <v>0</v>
      </c>
      <c r="G92" s="109" t="b">
        <v>0</v>
      </c>
      <c r="H92" s="109" t="b">
        <v>0</v>
      </c>
      <c r="I92" s="109" t="b">
        <v>0</v>
      </c>
      <c r="J92" s="109" t="b">
        <v>0</v>
      </c>
      <c r="K92" s="110" t="b">
        <v>1</v>
      </c>
      <c r="L92" s="110" t="b">
        <v>0</v>
      </c>
      <c r="N92" s="101" t="b">
        <f t="shared" si="14"/>
        <v>0</v>
      </c>
      <c r="O92" s="101" t="b">
        <f t="shared" si="15"/>
        <v>0</v>
      </c>
      <c r="P92" s="101" t="b">
        <f t="shared" si="16"/>
        <v>1</v>
      </c>
      <c r="Q92" s="102" t="str">
        <f t="shared" si="18"/>
        <v/>
      </c>
      <c r="R92" s="92"/>
      <c r="S92" s="103" t="str">
        <f t="shared" si="17"/>
        <v/>
      </c>
      <c r="T92" s="92"/>
      <c r="U92" s="111" t="e">
        <f t="shared" si="19"/>
        <v>#VALUE!</v>
      </c>
      <c r="V92" s="112" t="e">
        <f t="shared" si="20"/>
        <v>#VALUE!</v>
      </c>
    </row>
    <row r="93" spans="1:22" x14ac:dyDescent="0.2">
      <c r="A93" s="96">
        <v>84</v>
      </c>
      <c r="B93" s="113"/>
      <c r="D93" s="108" t="b">
        <v>0</v>
      </c>
      <c r="E93" s="108" t="b">
        <v>0</v>
      </c>
      <c r="F93" s="109" t="b">
        <v>0</v>
      </c>
      <c r="G93" s="109" t="b">
        <v>0</v>
      </c>
      <c r="H93" s="109" t="b">
        <v>0</v>
      </c>
      <c r="I93" s="109" t="b">
        <v>0</v>
      </c>
      <c r="J93" s="109" t="b">
        <v>0</v>
      </c>
      <c r="K93" s="110" t="b">
        <v>1</v>
      </c>
      <c r="L93" s="110" t="b">
        <v>0</v>
      </c>
      <c r="N93" s="101" t="b">
        <f t="shared" si="14"/>
        <v>0</v>
      </c>
      <c r="O93" s="101" t="b">
        <f t="shared" si="15"/>
        <v>0</v>
      </c>
      <c r="P93" s="101" t="b">
        <f t="shared" si="16"/>
        <v>1</v>
      </c>
      <c r="Q93" s="102" t="str">
        <f t="shared" si="18"/>
        <v/>
      </c>
      <c r="R93" s="92"/>
      <c r="S93" s="103" t="str">
        <f t="shared" si="17"/>
        <v/>
      </c>
      <c r="T93" s="92"/>
      <c r="U93" s="111" t="e">
        <f t="shared" si="19"/>
        <v>#VALUE!</v>
      </c>
      <c r="V93" s="112" t="e">
        <f t="shared" si="20"/>
        <v>#VALUE!</v>
      </c>
    </row>
    <row r="94" spans="1:22" x14ac:dyDescent="0.2">
      <c r="A94" s="96">
        <v>85</v>
      </c>
      <c r="B94" s="113"/>
      <c r="D94" s="108" t="b">
        <v>0</v>
      </c>
      <c r="E94" s="108" t="b">
        <v>0</v>
      </c>
      <c r="F94" s="109" t="b">
        <v>0</v>
      </c>
      <c r="G94" s="109" t="b">
        <v>0</v>
      </c>
      <c r="H94" s="109" t="b">
        <v>0</v>
      </c>
      <c r="I94" s="109" t="b">
        <v>0</v>
      </c>
      <c r="J94" s="109" t="b">
        <v>0</v>
      </c>
      <c r="K94" s="110" t="b">
        <v>1</v>
      </c>
      <c r="L94" s="110" t="b">
        <v>0</v>
      </c>
      <c r="N94" s="101" t="b">
        <f t="shared" si="14"/>
        <v>0</v>
      </c>
      <c r="O94" s="101" t="b">
        <f t="shared" si="15"/>
        <v>0</v>
      </c>
      <c r="P94" s="101" t="b">
        <f t="shared" si="16"/>
        <v>1</v>
      </c>
      <c r="Q94" s="102" t="str">
        <f t="shared" si="18"/>
        <v/>
      </c>
      <c r="R94" s="92"/>
      <c r="S94" s="103" t="str">
        <f t="shared" si="17"/>
        <v/>
      </c>
      <c r="T94" s="92"/>
      <c r="U94" s="111" t="e">
        <f t="shared" si="19"/>
        <v>#VALUE!</v>
      </c>
      <c r="V94" s="112" t="e">
        <f t="shared" si="20"/>
        <v>#VALUE!</v>
      </c>
    </row>
    <row r="95" spans="1:22" x14ac:dyDescent="0.2">
      <c r="A95" s="96">
        <v>86</v>
      </c>
      <c r="B95" s="113"/>
      <c r="D95" s="108" t="b">
        <v>0</v>
      </c>
      <c r="E95" s="108" t="b">
        <v>0</v>
      </c>
      <c r="F95" s="109" t="b">
        <v>0</v>
      </c>
      <c r="G95" s="109" t="b">
        <v>0</v>
      </c>
      <c r="H95" s="109" t="b">
        <v>0</v>
      </c>
      <c r="I95" s="109" t="b">
        <v>0</v>
      </c>
      <c r="J95" s="109" t="b">
        <v>0</v>
      </c>
      <c r="K95" s="110" t="b">
        <v>1</v>
      </c>
      <c r="L95" s="110" t="b">
        <v>0</v>
      </c>
      <c r="N95" s="101" t="b">
        <f t="shared" si="14"/>
        <v>0</v>
      </c>
      <c r="O95" s="101" t="b">
        <f t="shared" si="15"/>
        <v>0</v>
      </c>
      <c r="P95" s="101" t="b">
        <f t="shared" si="16"/>
        <v>1</v>
      </c>
      <c r="Q95" s="102" t="str">
        <f t="shared" si="18"/>
        <v/>
      </c>
      <c r="R95" s="92"/>
      <c r="S95" s="103" t="str">
        <f t="shared" si="17"/>
        <v/>
      </c>
      <c r="T95" s="92"/>
      <c r="U95" s="111" t="e">
        <f t="shared" si="19"/>
        <v>#VALUE!</v>
      </c>
      <c r="V95" s="112" t="e">
        <f t="shared" si="20"/>
        <v>#VALUE!</v>
      </c>
    </row>
    <row r="96" spans="1:22" x14ac:dyDescent="0.2">
      <c r="A96" s="96">
        <v>87</v>
      </c>
      <c r="B96" s="113"/>
      <c r="D96" s="108" t="b">
        <v>0</v>
      </c>
      <c r="E96" s="108" t="b">
        <v>0</v>
      </c>
      <c r="F96" s="109" t="b">
        <v>0</v>
      </c>
      <c r="G96" s="109" t="b">
        <v>0</v>
      </c>
      <c r="H96" s="109" t="b">
        <v>0</v>
      </c>
      <c r="I96" s="109" t="b">
        <v>0</v>
      </c>
      <c r="J96" s="109" t="b">
        <v>0</v>
      </c>
      <c r="K96" s="110" t="b">
        <v>1</v>
      </c>
      <c r="L96" s="110" t="b">
        <v>0</v>
      </c>
      <c r="N96" s="101" t="b">
        <f t="shared" si="14"/>
        <v>0</v>
      </c>
      <c r="O96" s="101" t="b">
        <f t="shared" si="15"/>
        <v>0</v>
      </c>
      <c r="P96" s="101" t="b">
        <f t="shared" si="16"/>
        <v>1</v>
      </c>
      <c r="Q96" s="102" t="str">
        <f t="shared" si="18"/>
        <v/>
      </c>
      <c r="R96" s="92"/>
      <c r="S96" s="103" t="str">
        <f t="shared" si="17"/>
        <v/>
      </c>
      <c r="T96" s="92"/>
      <c r="U96" s="111" t="e">
        <f t="shared" si="19"/>
        <v>#VALUE!</v>
      </c>
      <c r="V96" s="112" t="e">
        <f t="shared" si="20"/>
        <v>#VALUE!</v>
      </c>
    </row>
    <row r="97" spans="1:25" x14ac:dyDescent="0.2">
      <c r="A97" s="96">
        <v>88</v>
      </c>
      <c r="B97" s="113"/>
      <c r="D97" s="108" t="b">
        <v>0</v>
      </c>
      <c r="E97" s="108" t="b">
        <v>0</v>
      </c>
      <c r="F97" s="109" t="b">
        <v>0</v>
      </c>
      <c r="G97" s="109" t="b">
        <v>0</v>
      </c>
      <c r="H97" s="109" t="b">
        <v>0</v>
      </c>
      <c r="I97" s="109" t="b">
        <v>0</v>
      </c>
      <c r="J97" s="109" t="b">
        <v>0</v>
      </c>
      <c r="K97" s="110" t="b">
        <v>1</v>
      </c>
      <c r="L97" s="110" t="b">
        <v>0</v>
      </c>
      <c r="N97" s="101" t="b">
        <f t="shared" si="14"/>
        <v>0</v>
      </c>
      <c r="O97" s="101" t="b">
        <f t="shared" si="15"/>
        <v>0</v>
      </c>
      <c r="P97" s="101" t="b">
        <f t="shared" si="16"/>
        <v>1</v>
      </c>
      <c r="Q97" s="102" t="str">
        <f t="shared" si="18"/>
        <v/>
      </c>
      <c r="R97" s="92"/>
      <c r="S97" s="103" t="str">
        <f t="shared" si="17"/>
        <v/>
      </c>
      <c r="T97" s="92"/>
      <c r="U97" s="111" t="e">
        <f t="shared" si="19"/>
        <v>#VALUE!</v>
      </c>
      <c r="V97" s="112" t="e">
        <f t="shared" si="20"/>
        <v>#VALUE!</v>
      </c>
    </row>
    <row r="98" spans="1:25" x14ac:dyDescent="0.2">
      <c r="A98" s="96">
        <v>89</v>
      </c>
      <c r="B98" s="113"/>
      <c r="D98" s="108" t="b">
        <v>0</v>
      </c>
      <c r="E98" s="108" t="b">
        <v>0</v>
      </c>
      <c r="F98" s="109" t="b">
        <v>0</v>
      </c>
      <c r="G98" s="109" t="b">
        <v>0</v>
      </c>
      <c r="H98" s="109" t="b">
        <v>0</v>
      </c>
      <c r="I98" s="109" t="b">
        <v>0</v>
      </c>
      <c r="J98" s="109" t="b">
        <v>0</v>
      </c>
      <c r="K98" s="110" t="b">
        <v>1</v>
      </c>
      <c r="L98" s="110" t="b">
        <v>0</v>
      </c>
      <c r="N98" s="101" t="b">
        <f t="shared" si="14"/>
        <v>0</v>
      </c>
      <c r="O98" s="101" t="b">
        <f t="shared" si="15"/>
        <v>0</v>
      </c>
      <c r="P98" s="101" t="b">
        <f t="shared" si="16"/>
        <v>1</v>
      </c>
      <c r="Q98" s="102" t="str">
        <f t="shared" si="18"/>
        <v/>
      </c>
      <c r="R98" s="92"/>
      <c r="S98" s="103" t="str">
        <f t="shared" si="17"/>
        <v/>
      </c>
      <c r="T98" s="92"/>
      <c r="U98" s="111" t="e">
        <f t="shared" si="19"/>
        <v>#VALUE!</v>
      </c>
      <c r="V98" s="112" t="e">
        <f t="shared" si="20"/>
        <v>#VALUE!</v>
      </c>
    </row>
    <row r="99" spans="1:25" x14ac:dyDescent="0.2">
      <c r="A99" s="96">
        <v>90</v>
      </c>
      <c r="B99" s="113"/>
      <c r="D99" s="108" t="b">
        <v>0</v>
      </c>
      <c r="E99" s="108" t="b">
        <v>0</v>
      </c>
      <c r="F99" s="109" t="b">
        <v>0</v>
      </c>
      <c r="G99" s="109" t="b">
        <v>0</v>
      </c>
      <c r="H99" s="109" t="b">
        <v>0</v>
      </c>
      <c r="I99" s="109" t="b">
        <v>0</v>
      </c>
      <c r="J99" s="109" t="b">
        <v>0</v>
      </c>
      <c r="K99" s="110" t="b">
        <v>1</v>
      </c>
      <c r="L99" s="110" t="b">
        <v>0</v>
      </c>
      <c r="N99" s="101" t="b">
        <f t="shared" si="14"/>
        <v>0</v>
      </c>
      <c r="O99" s="101" t="b">
        <f t="shared" si="15"/>
        <v>0</v>
      </c>
      <c r="P99" s="101" t="b">
        <f t="shared" si="16"/>
        <v>1</v>
      </c>
      <c r="Q99" s="102" t="str">
        <f t="shared" si="18"/>
        <v/>
      </c>
      <c r="R99" s="92"/>
      <c r="S99" s="103" t="str">
        <f t="shared" si="17"/>
        <v/>
      </c>
      <c r="T99" s="92"/>
      <c r="U99" s="111" t="e">
        <f t="shared" si="19"/>
        <v>#VALUE!</v>
      </c>
      <c r="V99" s="112" t="e">
        <f t="shared" si="20"/>
        <v>#VALUE!</v>
      </c>
    </row>
    <row r="100" spans="1:25" x14ac:dyDescent="0.2">
      <c r="A100" s="96">
        <v>91</v>
      </c>
      <c r="B100" s="113"/>
      <c r="D100" s="108" t="b">
        <v>0</v>
      </c>
      <c r="E100" s="108" t="b">
        <v>0</v>
      </c>
      <c r="F100" s="109" t="b">
        <v>0</v>
      </c>
      <c r="G100" s="109" t="b">
        <v>0</v>
      </c>
      <c r="H100" s="109" t="b">
        <v>0</v>
      </c>
      <c r="I100" s="109" t="b">
        <v>0</v>
      </c>
      <c r="J100" s="109" t="b">
        <v>0</v>
      </c>
      <c r="K100" s="110" t="b">
        <v>1</v>
      </c>
      <c r="L100" s="110" t="b">
        <v>0</v>
      </c>
      <c r="N100" s="101" t="b">
        <f t="shared" si="14"/>
        <v>0</v>
      </c>
      <c r="O100" s="101" t="b">
        <f t="shared" si="15"/>
        <v>0</v>
      </c>
      <c r="P100" s="101" t="b">
        <f t="shared" si="16"/>
        <v>1</v>
      </c>
      <c r="Q100" s="102" t="str">
        <f t="shared" si="18"/>
        <v/>
      </c>
      <c r="R100" s="92"/>
      <c r="S100" s="103" t="str">
        <f t="shared" si="17"/>
        <v/>
      </c>
      <c r="T100" s="92"/>
      <c r="U100" s="111" t="e">
        <f t="shared" si="19"/>
        <v>#VALUE!</v>
      </c>
      <c r="V100" s="112" t="e">
        <f t="shared" si="20"/>
        <v>#VALUE!</v>
      </c>
    </row>
    <row r="101" spans="1:25" x14ac:dyDescent="0.2">
      <c r="A101" s="96">
        <v>92</v>
      </c>
      <c r="B101" s="113"/>
      <c r="D101" s="108" t="b">
        <v>0</v>
      </c>
      <c r="E101" s="108" t="b">
        <v>0</v>
      </c>
      <c r="F101" s="109" t="b">
        <v>0</v>
      </c>
      <c r="G101" s="109" t="b">
        <v>0</v>
      </c>
      <c r="H101" s="109" t="b">
        <v>0</v>
      </c>
      <c r="I101" s="109" t="b">
        <v>0</v>
      </c>
      <c r="J101" s="109" t="b">
        <v>0</v>
      </c>
      <c r="K101" s="110" t="b">
        <v>1</v>
      </c>
      <c r="L101" s="110" t="b">
        <v>0</v>
      </c>
      <c r="N101" s="101" t="b">
        <f t="shared" si="14"/>
        <v>0</v>
      </c>
      <c r="O101" s="101" t="b">
        <f t="shared" si="15"/>
        <v>0</v>
      </c>
      <c r="P101" s="101" t="b">
        <f t="shared" si="16"/>
        <v>1</v>
      </c>
      <c r="Q101" s="102" t="str">
        <f t="shared" si="18"/>
        <v/>
      </c>
      <c r="R101" s="92"/>
      <c r="S101" s="103" t="str">
        <f t="shared" si="17"/>
        <v/>
      </c>
      <c r="T101" s="92"/>
      <c r="U101" s="111" t="e">
        <f t="shared" si="19"/>
        <v>#VALUE!</v>
      </c>
      <c r="V101" s="112" t="e">
        <f t="shared" si="20"/>
        <v>#VALUE!</v>
      </c>
    </row>
    <row r="102" spans="1:25" x14ac:dyDescent="0.2">
      <c r="A102" s="96">
        <v>93</v>
      </c>
      <c r="B102" s="113"/>
      <c r="D102" s="108" t="b">
        <v>0</v>
      </c>
      <c r="E102" s="108" t="b">
        <v>0</v>
      </c>
      <c r="F102" s="109" t="b">
        <v>0</v>
      </c>
      <c r="G102" s="109" t="b">
        <v>0</v>
      </c>
      <c r="H102" s="109" t="b">
        <v>0</v>
      </c>
      <c r="I102" s="109" t="b">
        <v>0</v>
      </c>
      <c r="J102" s="109" t="b">
        <v>0</v>
      </c>
      <c r="K102" s="110" t="b">
        <v>1</v>
      </c>
      <c r="L102" s="110" t="b">
        <v>0</v>
      </c>
      <c r="N102" s="101" t="b">
        <f t="shared" si="14"/>
        <v>0</v>
      </c>
      <c r="O102" s="101" t="b">
        <f t="shared" si="15"/>
        <v>0</v>
      </c>
      <c r="P102" s="101" t="b">
        <f t="shared" si="16"/>
        <v>1</v>
      </c>
      <c r="Q102" s="102" t="str">
        <f t="shared" si="18"/>
        <v/>
      </c>
      <c r="R102" s="92"/>
      <c r="S102" s="103" t="str">
        <f t="shared" si="17"/>
        <v/>
      </c>
      <c r="T102" s="92"/>
      <c r="U102" s="111" t="e">
        <f t="shared" si="19"/>
        <v>#VALUE!</v>
      </c>
      <c r="V102" s="112" t="e">
        <f t="shared" si="20"/>
        <v>#VALUE!</v>
      </c>
    </row>
    <row r="103" spans="1:25" x14ac:dyDescent="0.2">
      <c r="A103" s="96">
        <v>94</v>
      </c>
      <c r="B103" s="113"/>
      <c r="D103" s="108" t="b">
        <v>0</v>
      </c>
      <c r="E103" s="108" t="b">
        <v>0</v>
      </c>
      <c r="F103" s="109" t="b">
        <v>0</v>
      </c>
      <c r="G103" s="109" t="b">
        <v>0</v>
      </c>
      <c r="H103" s="109" t="b">
        <v>0</v>
      </c>
      <c r="I103" s="109" t="b">
        <v>0</v>
      </c>
      <c r="J103" s="109" t="b">
        <v>0</v>
      </c>
      <c r="K103" s="110" t="b">
        <v>1</v>
      </c>
      <c r="L103" s="110" t="b">
        <v>0</v>
      </c>
      <c r="N103" s="101" t="b">
        <f t="shared" si="14"/>
        <v>0</v>
      </c>
      <c r="O103" s="101" t="b">
        <f t="shared" si="15"/>
        <v>0</v>
      </c>
      <c r="P103" s="101" t="b">
        <f t="shared" si="16"/>
        <v>1</v>
      </c>
      <c r="Q103" s="102" t="str">
        <f t="shared" si="18"/>
        <v/>
      </c>
      <c r="R103" s="92"/>
      <c r="S103" s="103" t="str">
        <f t="shared" si="17"/>
        <v/>
      </c>
      <c r="T103" s="92"/>
      <c r="U103" s="111" t="e">
        <f t="shared" si="19"/>
        <v>#VALUE!</v>
      </c>
      <c r="V103" s="112" t="e">
        <f t="shared" si="20"/>
        <v>#VALUE!</v>
      </c>
    </row>
    <row r="104" spans="1:25" x14ac:dyDescent="0.2">
      <c r="A104" s="96">
        <v>95</v>
      </c>
      <c r="B104" s="113"/>
      <c r="D104" s="108" t="b">
        <v>0</v>
      </c>
      <c r="E104" s="108" t="b">
        <v>0</v>
      </c>
      <c r="F104" s="109" t="b">
        <v>0</v>
      </c>
      <c r="G104" s="109" t="b">
        <v>0</v>
      </c>
      <c r="H104" s="109" t="b">
        <v>0</v>
      </c>
      <c r="I104" s="109" t="b">
        <v>0</v>
      </c>
      <c r="J104" s="109" t="b">
        <v>0</v>
      </c>
      <c r="K104" s="110" t="b">
        <v>1</v>
      </c>
      <c r="L104" s="110" t="b">
        <v>0</v>
      </c>
      <c r="N104" s="101" t="b">
        <f t="shared" si="14"/>
        <v>0</v>
      </c>
      <c r="O104" s="101" t="b">
        <f t="shared" si="15"/>
        <v>0</v>
      </c>
      <c r="P104" s="101" t="b">
        <f t="shared" si="16"/>
        <v>1</v>
      </c>
      <c r="Q104" s="102" t="str">
        <f t="shared" si="18"/>
        <v/>
      </c>
      <c r="R104" s="92"/>
      <c r="S104" s="103" t="str">
        <f t="shared" si="17"/>
        <v/>
      </c>
      <c r="T104" s="92"/>
      <c r="U104" s="111" t="e">
        <f t="shared" si="19"/>
        <v>#VALUE!</v>
      </c>
      <c r="V104" s="112" t="e">
        <f t="shared" si="20"/>
        <v>#VALUE!</v>
      </c>
    </row>
    <row r="105" spans="1:25" x14ac:dyDescent="0.2">
      <c r="A105" s="96">
        <v>96</v>
      </c>
      <c r="B105" s="113"/>
      <c r="D105" s="108" t="b">
        <v>0</v>
      </c>
      <c r="E105" s="108" t="b">
        <v>0</v>
      </c>
      <c r="F105" s="109" t="b">
        <v>0</v>
      </c>
      <c r="G105" s="109" t="b">
        <v>0</v>
      </c>
      <c r="H105" s="109" t="b">
        <v>0</v>
      </c>
      <c r="I105" s="109" t="b">
        <v>0</v>
      </c>
      <c r="J105" s="109" t="b">
        <v>0</v>
      </c>
      <c r="K105" s="110" t="b">
        <v>1</v>
      </c>
      <c r="L105" s="110" t="b">
        <v>0</v>
      </c>
      <c r="N105" s="101" t="b">
        <f t="shared" si="14"/>
        <v>0</v>
      </c>
      <c r="O105" s="101" t="b">
        <f t="shared" si="15"/>
        <v>0</v>
      </c>
      <c r="P105" s="101" t="b">
        <f t="shared" si="16"/>
        <v>1</v>
      </c>
      <c r="Q105" s="102" t="str">
        <f t="shared" si="18"/>
        <v/>
      </c>
      <c r="R105" s="92"/>
      <c r="S105" s="103" t="str">
        <f t="shared" si="17"/>
        <v/>
      </c>
      <c r="T105" s="92"/>
      <c r="U105" s="111" t="e">
        <f t="shared" si="19"/>
        <v>#VALUE!</v>
      </c>
      <c r="V105" s="112" t="e">
        <f t="shared" si="20"/>
        <v>#VALUE!</v>
      </c>
    </row>
    <row r="106" spans="1:25" x14ac:dyDescent="0.2">
      <c r="A106" s="96">
        <v>97</v>
      </c>
      <c r="B106" s="113"/>
      <c r="D106" s="108" t="b">
        <v>0</v>
      </c>
      <c r="E106" s="108" t="b">
        <v>0</v>
      </c>
      <c r="F106" s="109" t="b">
        <v>0</v>
      </c>
      <c r="G106" s="109" t="b">
        <v>0</v>
      </c>
      <c r="H106" s="109" t="b">
        <v>0</v>
      </c>
      <c r="I106" s="109" t="b">
        <v>0</v>
      </c>
      <c r="J106" s="109" t="b">
        <v>0</v>
      </c>
      <c r="K106" s="110" t="b">
        <v>1</v>
      </c>
      <c r="L106" s="110" t="b">
        <v>0</v>
      </c>
      <c r="N106" s="101" t="b">
        <f t="shared" si="14"/>
        <v>0</v>
      </c>
      <c r="O106" s="101" t="b">
        <f t="shared" si="15"/>
        <v>0</v>
      </c>
      <c r="P106" s="101" t="b">
        <f t="shared" si="16"/>
        <v>1</v>
      </c>
      <c r="Q106" s="102" t="str">
        <f t="shared" si="18"/>
        <v/>
      </c>
      <c r="R106" s="92"/>
      <c r="S106" s="103" t="str">
        <f t="shared" si="17"/>
        <v/>
      </c>
      <c r="T106" s="92"/>
      <c r="U106" s="111" t="e">
        <f t="shared" si="19"/>
        <v>#VALUE!</v>
      </c>
      <c r="V106" s="112" t="e">
        <f t="shared" si="20"/>
        <v>#VALUE!</v>
      </c>
    </row>
    <row r="107" spans="1:25" x14ac:dyDescent="0.2">
      <c r="A107" s="96">
        <v>98</v>
      </c>
      <c r="B107" s="113"/>
      <c r="D107" s="108" t="b">
        <v>0</v>
      </c>
      <c r="E107" s="108" t="b">
        <v>0</v>
      </c>
      <c r="F107" s="109" t="b">
        <v>0</v>
      </c>
      <c r="G107" s="109" t="b">
        <v>0</v>
      </c>
      <c r="H107" s="109" t="b">
        <v>0</v>
      </c>
      <c r="I107" s="109" t="b">
        <v>0</v>
      </c>
      <c r="J107" s="109" t="b">
        <v>0</v>
      </c>
      <c r="K107" s="110" t="b">
        <v>1</v>
      </c>
      <c r="L107" s="110" t="b">
        <v>0</v>
      </c>
      <c r="N107" s="101" t="b">
        <f t="shared" si="14"/>
        <v>0</v>
      </c>
      <c r="O107" s="101" t="b">
        <f t="shared" si="15"/>
        <v>0</v>
      </c>
      <c r="P107" s="101" t="b">
        <f t="shared" si="16"/>
        <v>1</v>
      </c>
      <c r="Q107" s="102" t="str">
        <f t="shared" si="18"/>
        <v/>
      </c>
      <c r="R107" s="92"/>
      <c r="S107" s="103" t="str">
        <f>Q107&amp;S108</f>
        <v/>
      </c>
      <c r="T107" s="92"/>
      <c r="U107" s="111" t="e">
        <f t="shared" si="19"/>
        <v>#VALUE!</v>
      </c>
      <c r="V107" s="112" t="e">
        <f t="shared" si="20"/>
        <v>#VALUE!</v>
      </c>
    </row>
    <row r="108" spans="1:25" x14ac:dyDescent="0.2">
      <c r="A108" s="96">
        <v>99</v>
      </c>
      <c r="B108" s="113"/>
      <c r="D108" s="108" t="b">
        <v>0</v>
      </c>
      <c r="E108" s="108" t="b">
        <v>0</v>
      </c>
      <c r="F108" s="109" t="b">
        <v>0</v>
      </c>
      <c r="G108" s="109" t="b">
        <v>0</v>
      </c>
      <c r="H108" s="109" t="b">
        <v>0</v>
      </c>
      <c r="I108" s="109" t="b">
        <v>0</v>
      </c>
      <c r="J108" s="109" t="b">
        <v>0</v>
      </c>
      <c r="K108" s="110" t="b">
        <v>1</v>
      </c>
      <c r="L108" s="110" t="b">
        <v>0</v>
      </c>
      <c r="N108" s="101" t="b">
        <f t="shared" si="14"/>
        <v>0</v>
      </c>
      <c r="O108" s="101" t="b">
        <f t="shared" si="15"/>
        <v>0</v>
      </c>
      <c r="P108" s="101" t="b">
        <f t="shared" si="16"/>
        <v>1</v>
      </c>
      <c r="Q108" s="102" t="str">
        <f t="shared" si="18"/>
        <v/>
      </c>
      <c r="R108" s="92"/>
      <c r="S108" s="118" t="str">
        <f>Q108&amp;Q109</f>
        <v/>
      </c>
      <c r="T108" s="92"/>
      <c r="U108" s="111" t="e">
        <f t="shared" si="19"/>
        <v>#VALUE!</v>
      </c>
      <c r="V108" s="112" t="e">
        <f t="shared" si="20"/>
        <v>#VALUE!</v>
      </c>
    </row>
    <row r="109" spans="1:25" x14ac:dyDescent="0.2">
      <c r="A109" s="96">
        <v>100</v>
      </c>
      <c r="B109" s="113"/>
      <c r="D109" s="108" t="b">
        <v>0</v>
      </c>
      <c r="E109" s="108" t="b">
        <v>0</v>
      </c>
      <c r="F109" s="109" t="b">
        <v>0</v>
      </c>
      <c r="G109" s="109" t="b">
        <v>0</v>
      </c>
      <c r="H109" s="109" t="b">
        <v>0</v>
      </c>
      <c r="I109" s="109" t="b">
        <v>0</v>
      </c>
      <c r="J109" s="109" t="b">
        <v>0</v>
      </c>
      <c r="K109" s="110" t="b">
        <v>1</v>
      </c>
      <c r="L109" s="110" t="b">
        <v>0</v>
      </c>
      <c r="N109" s="101" t="b">
        <f t="shared" si="14"/>
        <v>0</v>
      </c>
      <c r="O109" s="101" t="b">
        <f t="shared" si="15"/>
        <v>0</v>
      </c>
      <c r="P109" s="101" t="b">
        <f t="shared" si="16"/>
        <v>1</v>
      </c>
      <c r="Q109" s="102" t="str">
        <f t="shared" si="18"/>
        <v/>
      </c>
      <c r="R109" s="92"/>
      <c r="S109" s="119" t="s">
        <v>227</v>
      </c>
      <c r="T109" s="92"/>
      <c r="U109" s="111" t="e">
        <f t="shared" si="19"/>
        <v>#VALUE!</v>
      </c>
      <c r="V109" s="112" t="e">
        <f t="shared" si="20"/>
        <v>#VALUE!</v>
      </c>
    </row>
    <row r="110" spans="1:25" x14ac:dyDescent="0.2">
      <c r="A110" s="117" t="s">
        <v>226</v>
      </c>
      <c r="B110" s="117" t="s">
        <v>226</v>
      </c>
      <c r="C110" s="117" t="s">
        <v>226</v>
      </c>
      <c r="D110" s="120" t="s">
        <v>226</v>
      </c>
      <c r="E110" s="120" t="s">
        <v>226</v>
      </c>
      <c r="F110" s="121" t="s">
        <v>226</v>
      </c>
      <c r="G110" s="121" t="s">
        <v>226</v>
      </c>
      <c r="H110" s="121" t="s">
        <v>226</v>
      </c>
      <c r="I110" s="121" t="s">
        <v>226</v>
      </c>
      <c r="J110" s="121" t="s">
        <v>226</v>
      </c>
      <c r="K110" s="122" t="s">
        <v>226</v>
      </c>
      <c r="L110" s="122" t="s">
        <v>226</v>
      </c>
      <c r="M110" s="117" t="s">
        <v>226</v>
      </c>
      <c r="N110" s="117" t="s">
        <v>226</v>
      </c>
      <c r="O110" s="117" t="s">
        <v>226</v>
      </c>
      <c r="P110" s="117" t="s">
        <v>226</v>
      </c>
      <c r="Q110" s="123" t="s">
        <v>226</v>
      </c>
      <c r="R110" s="117" t="s">
        <v>226</v>
      </c>
      <c r="S110" s="117" t="s">
        <v>226</v>
      </c>
      <c r="T110" s="117" t="s">
        <v>226</v>
      </c>
      <c r="U110" s="117" t="s">
        <v>226</v>
      </c>
      <c r="V110" s="117" t="s">
        <v>226</v>
      </c>
      <c r="W110" s="117" t="s">
        <v>226</v>
      </c>
      <c r="X110" s="117"/>
      <c r="Y110" s="117"/>
    </row>
    <row r="111" spans="1:25" x14ac:dyDescent="0.2">
      <c r="D111" s="108"/>
      <c r="E111" s="108"/>
      <c r="F111" s="109"/>
      <c r="G111" s="109"/>
      <c r="H111" s="109"/>
      <c r="I111" s="109"/>
      <c r="J111" s="109"/>
      <c r="K111" s="110"/>
      <c r="L111" s="110"/>
    </row>
    <row r="112" spans="1:25" x14ac:dyDescent="0.2">
      <c r="D112" s="108"/>
      <c r="E112" s="108"/>
      <c r="F112" s="109"/>
      <c r="G112" s="109"/>
      <c r="H112" s="109"/>
      <c r="I112" s="109"/>
      <c r="J112" s="109"/>
      <c r="K112" s="110"/>
      <c r="L112" s="110"/>
    </row>
    <row r="113" spans="4:12" x14ac:dyDescent="0.2">
      <c r="D113" s="108"/>
      <c r="E113" s="108"/>
      <c r="F113" s="109"/>
      <c r="G113" s="109"/>
      <c r="H113" s="109"/>
      <c r="I113" s="109"/>
      <c r="J113" s="109"/>
      <c r="K113" s="110"/>
      <c r="L113" s="110"/>
    </row>
    <row r="114" spans="4:12" x14ac:dyDescent="0.2">
      <c r="D114" s="108"/>
      <c r="E114" s="108"/>
      <c r="F114" s="109"/>
      <c r="G114" s="109"/>
      <c r="H114" s="109"/>
      <c r="I114" s="109"/>
      <c r="J114" s="109"/>
      <c r="K114" s="110"/>
      <c r="L114" s="110"/>
    </row>
    <row r="115" spans="4:12" x14ac:dyDescent="0.2">
      <c r="D115" s="108"/>
      <c r="E115" s="108"/>
      <c r="F115" s="109"/>
      <c r="G115" s="109"/>
      <c r="H115" s="109"/>
      <c r="I115" s="109"/>
      <c r="J115" s="109"/>
      <c r="K115" s="110"/>
      <c r="L115" s="110"/>
    </row>
    <row r="116" spans="4:12" x14ac:dyDescent="0.2">
      <c r="D116" s="108"/>
      <c r="E116" s="108"/>
      <c r="F116" s="109"/>
      <c r="G116" s="109"/>
      <c r="H116" s="109"/>
      <c r="I116" s="109"/>
      <c r="J116" s="109"/>
      <c r="K116" s="110"/>
      <c r="L116" s="110"/>
    </row>
    <row r="117" spans="4:12" x14ac:dyDescent="0.2">
      <c r="D117" s="108"/>
      <c r="E117" s="108"/>
      <c r="F117" s="109"/>
      <c r="G117" s="109"/>
      <c r="H117" s="109"/>
      <c r="I117" s="109"/>
      <c r="J117" s="109"/>
      <c r="K117" s="110"/>
      <c r="L117" s="110"/>
    </row>
    <row r="118" spans="4:12" x14ac:dyDescent="0.2">
      <c r="D118" s="108"/>
      <c r="E118" s="108"/>
      <c r="F118" s="109"/>
      <c r="G118" s="109"/>
      <c r="H118" s="109"/>
      <c r="I118" s="109"/>
      <c r="J118" s="109"/>
      <c r="K118" s="110"/>
      <c r="L118" s="110"/>
    </row>
    <row r="119" spans="4:12" x14ac:dyDescent="0.2">
      <c r="D119" s="108"/>
      <c r="E119" s="108"/>
      <c r="F119" s="109"/>
      <c r="G119" s="109"/>
      <c r="H119" s="109"/>
      <c r="I119" s="109"/>
      <c r="J119" s="109"/>
      <c r="K119" s="110"/>
      <c r="L119" s="110"/>
    </row>
    <row r="120" spans="4:12" x14ac:dyDescent="0.2">
      <c r="D120" s="108"/>
      <c r="E120" s="108"/>
      <c r="F120" s="109"/>
      <c r="G120" s="109"/>
      <c r="H120" s="109"/>
      <c r="I120" s="109"/>
      <c r="J120" s="109"/>
      <c r="K120" s="110"/>
      <c r="L120" s="110"/>
    </row>
    <row r="121" spans="4:12" x14ac:dyDescent="0.2">
      <c r="D121" s="108"/>
      <c r="E121" s="108"/>
      <c r="F121" s="109"/>
      <c r="G121" s="109"/>
      <c r="H121" s="109"/>
      <c r="I121" s="109"/>
      <c r="J121" s="109"/>
      <c r="K121" s="110"/>
      <c r="L121" s="110"/>
    </row>
    <row r="122" spans="4:12" x14ac:dyDescent="0.2">
      <c r="D122" s="108"/>
      <c r="E122" s="108"/>
      <c r="F122" s="109"/>
      <c r="G122" s="109"/>
      <c r="H122" s="109"/>
      <c r="I122" s="109"/>
      <c r="J122" s="109"/>
      <c r="K122" s="110"/>
      <c r="L122" s="110"/>
    </row>
    <row r="123" spans="4:12" x14ac:dyDescent="0.2">
      <c r="D123" s="108"/>
      <c r="E123" s="108"/>
      <c r="F123" s="109"/>
      <c r="G123" s="109"/>
      <c r="H123" s="109"/>
      <c r="I123" s="109"/>
      <c r="J123" s="109"/>
      <c r="K123" s="110"/>
      <c r="L123" s="110"/>
    </row>
    <row r="124" spans="4:12" x14ac:dyDescent="0.2">
      <c r="D124" s="108"/>
      <c r="E124" s="108"/>
      <c r="F124" s="109"/>
      <c r="G124" s="109"/>
      <c r="H124" s="109"/>
      <c r="I124" s="109"/>
      <c r="J124" s="109"/>
      <c r="K124" s="110"/>
      <c r="L124" s="110"/>
    </row>
    <row r="125" spans="4:12" x14ac:dyDescent="0.2">
      <c r="D125" s="108"/>
      <c r="E125" s="108"/>
      <c r="F125" s="109"/>
      <c r="G125" s="109"/>
      <c r="H125" s="109"/>
      <c r="I125" s="109"/>
      <c r="J125" s="109"/>
      <c r="K125" s="110"/>
      <c r="L125" s="110"/>
    </row>
    <row r="126" spans="4:12" x14ac:dyDescent="0.2">
      <c r="D126" s="108"/>
      <c r="E126" s="108"/>
      <c r="F126" s="109"/>
      <c r="G126" s="109"/>
      <c r="H126" s="109"/>
      <c r="I126" s="109"/>
      <c r="J126" s="109"/>
      <c r="K126" s="110"/>
      <c r="L126" s="110"/>
    </row>
    <row r="127" spans="4:12" x14ac:dyDescent="0.2">
      <c r="D127" s="108"/>
      <c r="E127" s="108"/>
      <c r="F127" s="109"/>
      <c r="G127" s="109"/>
      <c r="H127" s="109"/>
      <c r="I127" s="109"/>
      <c r="J127" s="109"/>
      <c r="K127" s="110"/>
      <c r="L127" s="110"/>
    </row>
    <row r="128" spans="4:12" x14ac:dyDescent="0.2">
      <c r="D128" s="108"/>
      <c r="E128" s="108"/>
      <c r="F128" s="109"/>
      <c r="G128" s="109"/>
      <c r="H128" s="109"/>
      <c r="I128" s="109"/>
      <c r="J128" s="109"/>
      <c r="K128" s="110"/>
      <c r="L128" s="110"/>
    </row>
    <row r="129" spans="4:12" x14ac:dyDescent="0.2">
      <c r="D129" s="108"/>
      <c r="E129" s="108"/>
      <c r="F129" s="109"/>
      <c r="G129" s="109"/>
      <c r="H129" s="109"/>
      <c r="I129" s="109"/>
      <c r="J129" s="109"/>
      <c r="K129" s="110"/>
      <c r="L129" s="110"/>
    </row>
    <row r="130" spans="4:12" x14ac:dyDescent="0.2">
      <c r="D130" s="108"/>
      <c r="E130" s="108"/>
      <c r="F130" s="109"/>
      <c r="G130" s="109"/>
      <c r="H130" s="109"/>
      <c r="I130" s="109"/>
      <c r="J130" s="109"/>
      <c r="K130" s="110"/>
      <c r="L130" s="110"/>
    </row>
    <row r="131" spans="4:12" x14ac:dyDescent="0.2">
      <c r="D131" s="108"/>
      <c r="E131" s="108"/>
      <c r="F131" s="109"/>
      <c r="G131" s="109"/>
      <c r="H131" s="109"/>
      <c r="I131" s="109"/>
      <c r="J131" s="109"/>
      <c r="K131" s="110"/>
      <c r="L131" s="110"/>
    </row>
    <row r="132" spans="4:12" x14ac:dyDescent="0.2">
      <c r="D132" s="108"/>
      <c r="E132" s="108"/>
      <c r="F132" s="109"/>
      <c r="G132" s="109"/>
      <c r="H132" s="109"/>
      <c r="I132" s="109"/>
      <c r="J132" s="109"/>
      <c r="K132" s="110"/>
      <c r="L132" s="110"/>
    </row>
    <row r="133" spans="4:12" x14ac:dyDescent="0.2">
      <c r="D133" s="108"/>
      <c r="E133" s="108"/>
      <c r="F133" s="109"/>
      <c r="G133" s="109"/>
      <c r="H133" s="109"/>
      <c r="I133" s="109"/>
      <c r="J133" s="109"/>
      <c r="K133" s="110"/>
      <c r="L133" s="110"/>
    </row>
    <row r="134" spans="4:12" x14ac:dyDescent="0.2">
      <c r="D134" s="108"/>
      <c r="E134" s="108"/>
      <c r="F134" s="109"/>
      <c r="G134" s="109"/>
      <c r="H134" s="109"/>
      <c r="I134" s="109"/>
      <c r="J134" s="109"/>
      <c r="K134" s="110"/>
      <c r="L134" s="110"/>
    </row>
    <row r="135" spans="4:12" x14ac:dyDescent="0.2">
      <c r="D135" s="108"/>
      <c r="E135" s="108"/>
      <c r="F135" s="109"/>
      <c r="G135" s="109"/>
      <c r="H135" s="109"/>
      <c r="I135" s="109"/>
      <c r="J135" s="109"/>
      <c r="K135" s="110"/>
      <c r="L135" s="110"/>
    </row>
    <row r="136" spans="4:12" x14ac:dyDescent="0.2">
      <c r="D136" s="108"/>
      <c r="E136" s="108"/>
      <c r="F136" s="109"/>
      <c r="G136" s="109"/>
      <c r="H136" s="109"/>
      <c r="I136" s="109"/>
      <c r="J136" s="109"/>
      <c r="K136" s="110"/>
      <c r="L136" s="110"/>
    </row>
    <row r="137" spans="4:12" x14ac:dyDescent="0.2">
      <c r="D137" s="108"/>
      <c r="E137" s="108"/>
      <c r="F137" s="109"/>
      <c r="G137" s="109"/>
      <c r="H137" s="109"/>
      <c r="I137" s="109"/>
      <c r="J137" s="109"/>
      <c r="K137" s="110"/>
      <c r="L137" s="110"/>
    </row>
    <row r="138" spans="4:12" x14ac:dyDescent="0.2">
      <c r="D138" s="108"/>
      <c r="E138" s="108"/>
      <c r="F138" s="109"/>
      <c r="G138" s="109"/>
      <c r="H138" s="109"/>
      <c r="I138" s="109"/>
      <c r="J138" s="109"/>
      <c r="K138" s="110"/>
      <c r="L138" s="110"/>
    </row>
    <row r="139" spans="4:12" x14ac:dyDescent="0.2">
      <c r="D139" s="108"/>
      <c r="E139" s="108"/>
      <c r="F139" s="109"/>
      <c r="G139" s="109"/>
      <c r="H139" s="109"/>
      <c r="I139" s="109"/>
      <c r="J139" s="109"/>
      <c r="K139" s="110"/>
      <c r="L139" s="110"/>
    </row>
    <row r="140" spans="4:12" x14ac:dyDescent="0.2">
      <c r="D140" s="108"/>
      <c r="E140" s="108"/>
      <c r="F140" s="109"/>
      <c r="G140" s="109"/>
      <c r="H140" s="109"/>
      <c r="I140" s="109"/>
      <c r="J140" s="109"/>
      <c r="K140" s="110"/>
      <c r="L140" s="110"/>
    </row>
    <row r="141" spans="4:12" x14ac:dyDescent="0.2">
      <c r="D141" s="108"/>
      <c r="E141" s="108"/>
      <c r="F141" s="109"/>
      <c r="G141" s="109"/>
      <c r="H141" s="109"/>
      <c r="I141" s="109"/>
      <c r="J141" s="109"/>
      <c r="K141" s="110"/>
      <c r="L141" s="110"/>
    </row>
    <row r="142" spans="4:12" x14ac:dyDescent="0.2">
      <c r="D142" s="108"/>
      <c r="E142" s="108"/>
      <c r="F142" s="109"/>
      <c r="G142" s="109"/>
      <c r="H142" s="109"/>
      <c r="I142" s="109"/>
      <c r="J142" s="109"/>
      <c r="K142" s="110"/>
      <c r="L142" s="110"/>
    </row>
    <row r="143" spans="4:12" x14ac:dyDescent="0.2">
      <c r="D143" s="108"/>
      <c r="E143" s="108"/>
      <c r="F143" s="109"/>
      <c r="G143" s="109"/>
      <c r="H143" s="109"/>
      <c r="I143" s="109"/>
      <c r="J143" s="109"/>
      <c r="K143" s="110"/>
      <c r="L143" s="110"/>
    </row>
    <row r="144" spans="4:12" x14ac:dyDescent="0.2">
      <c r="D144" s="108"/>
      <c r="E144" s="108"/>
      <c r="F144" s="109"/>
      <c r="G144" s="109"/>
      <c r="H144" s="109"/>
      <c r="I144" s="109"/>
      <c r="J144" s="109"/>
      <c r="K144" s="110"/>
      <c r="L144" s="110"/>
    </row>
    <row r="145" spans="4:12" x14ac:dyDescent="0.2">
      <c r="D145" s="108"/>
      <c r="E145" s="108"/>
      <c r="F145" s="109"/>
      <c r="G145" s="109"/>
      <c r="H145" s="109"/>
      <c r="I145" s="109"/>
      <c r="J145" s="109"/>
      <c r="K145" s="110"/>
      <c r="L145" s="110"/>
    </row>
    <row r="146" spans="4:12" x14ac:dyDescent="0.2">
      <c r="D146" s="108"/>
      <c r="E146" s="108"/>
      <c r="F146" s="109"/>
      <c r="G146" s="109"/>
      <c r="H146" s="109"/>
      <c r="I146" s="109"/>
      <c r="J146" s="109"/>
      <c r="K146" s="110"/>
      <c r="L146" s="110"/>
    </row>
    <row r="147" spans="4:12" x14ac:dyDescent="0.2">
      <c r="D147" s="108"/>
      <c r="E147" s="108"/>
      <c r="F147" s="109"/>
      <c r="G147" s="109"/>
      <c r="H147" s="109"/>
      <c r="I147" s="109"/>
      <c r="J147" s="109"/>
      <c r="K147" s="110"/>
      <c r="L147" s="110"/>
    </row>
    <row r="148" spans="4:12" x14ac:dyDescent="0.2">
      <c r="D148" s="108"/>
      <c r="E148" s="108"/>
      <c r="F148" s="109"/>
      <c r="G148" s="109"/>
      <c r="H148" s="109"/>
      <c r="I148" s="109"/>
      <c r="J148" s="109"/>
      <c r="K148" s="110"/>
      <c r="L148" s="110"/>
    </row>
    <row r="149" spans="4:12" x14ac:dyDescent="0.2">
      <c r="D149" s="108"/>
      <c r="E149" s="108"/>
      <c r="F149" s="109"/>
      <c r="G149" s="109"/>
      <c r="H149" s="109"/>
      <c r="I149" s="109"/>
      <c r="J149" s="109"/>
      <c r="K149" s="110"/>
      <c r="L149" s="110"/>
    </row>
    <row r="150" spans="4:12" x14ac:dyDescent="0.2">
      <c r="D150" s="108"/>
      <c r="E150" s="108"/>
      <c r="F150" s="109"/>
      <c r="G150" s="109"/>
      <c r="H150" s="109"/>
      <c r="I150" s="109"/>
      <c r="J150" s="109"/>
      <c r="K150" s="110"/>
      <c r="L150" s="110"/>
    </row>
    <row r="151" spans="4:12" x14ac:dyDescent="0.2">
      <c r="D151" s="108"/>
      <c r="E151" s="108"/>
      <c r="F151" s="109"/>
      <c r="G151" s="109"/>
      <c r="H151" s="109"/>
      <c r="I151" s="109"/>
      <c r="J151" s="109"/>
      <c r="K151" s="110"/>
      <c r="L151" s="110"/>
    </row>
    <row r="152" spans="4:12" x14ac:dyDescent="0.2">
      <c r="D152" s="108"/>
      <c r="E152" s="108"/>
      <c r="F152" s="109"/>
      <c r="G152" s="109"/>
      <c r="H152" s="109"/>
      <c r="I152" s="109"/>
      <c r="J152" s="109"/>
      <c r="K152" s="110"/>
      <c r="L152" s="110"/>
    </row>
    <row r="153" spans="4:12" x14ac:dyDescent="0.2">
      <c r="D153" s="108"/>
      <c r="E153" s="108"/>
      <c r="F153" s="109"/>
      <c r="G153" s="109"/>
      <c r="H153" s="109"/>
      <c r="I153" s="109"/>
      <c r="J153" s="109"/>
      <c r="K153" s="110"/>
      <c r="L153" s="110"/>
    </row>
    <row r="154" spans="4:12" x14ac:dyDescent="0.2">
      <c r="D154" s="108"/>
      <c r="E154" s="108"/>
      <c r="F154" s="109"/>
      <c r="G154" s="109"/>
      <c r="H154" s="109"/>
      <c r="I154" s="109"/>
      <c r="J154" s="109"/>
      <c r="K154" s="110"/>
      <c r="L154" s="110"/>
    </row>
    <row r="155" spans="4:12" x14ac:dyDescent="0.2">
      <c r="D155" s="108"/>
      <c r="E155" s="108"/>
      <c r="F155" s="109"/>
      <c r="G155" s="109"/>
      <c r="H155" s="109"/>
      <c r="I155" s="109"/>
      <c r="J155" s="109"/>
      <c r="K155" s="110"/>
      <c r="L155" s="110"/>
    </row>
    <row r="156" spans="4:12" x14ac:dyDescent="0.2">
      <c r="D156" s="108"/>
      <c r="E156" s="108"/>
      <c r="F156" s="109"/>
      <c r="G156" s="109"/>
      <c r="H156" s="109"/>
      <c r="I156" s="109"/>
      <c r="J156" s="109"/>
      <c r="K156" s="110"/>
      <c r="L156" s="110"/>
    </row>
    <row r="157" spans="4:12" x14ac:dyDescent="0.2">
      <c r="D157" s="108"/>
      <c r="E157" s="108"/>
      <c r="F157" s="109"/>
      <c r="G157" s="109"/>
      <c r="H157" s="109"/>
      <c r="I157" s="109"/>
      <c r="J157" s="109"/>
      <c r="K157" s="110"/>
      <c r="L157" s="110"/>
    </row>
    <row r="158" spans="4:12" x14ac:dyDescent="0.2">
      <c r="D158" s="108"/>
      <c r="E158" s="108"/>
      <c r="F158" s="109"/>
      <c r="G158" s="109"/>
      <c r="H158" s="109"/>
      <c r="I158" s="109"/>
      <c r="J158" s="109"/>
      <c r="K158" s="110"/>
      <c r="L158" s="110"/>
    </row>
    <row r="159" spans="4:12" x14ac:dyDescent="0.2">
      <c r="D159" s="108"/>
      <c r="E159" s="108"/>
      <c r="F159" s="109"/>
      <c r="G159" s="109"/>
      <c r="H159" s="109"/>
      <c r="I159" s="109"/>
      <c r="J159" s="109"/>
      <c r="K159" s="110"/>
      <c r="L159" s="110"/>
    </row>
    <row r="160" spans="4:12" x14ac:dyDescent="0.2">
      <c r="D160" s="108"/>
      <c r="E160" s="108"/>
      <c r="F160" s="109"/>
      <c r="G160" s="109"/>
      <c r="H160" s="109"/>
      <c r="I160" s="109"/>
      <c r="J160" s="109"/>
      <c r="K160" s="110"/>
      <c r="L160" s="110"/>
    </row>
    <row r="161" spans="4:12" x14ac:dyDescent="0.2">
      <c r="D161" s="108"/>
      <c r="E161" s="108"/>
      <c r="F161" s="109"/>
      <c r="G161" s="109"/>
      <c r="H161" s="109"/>
      <c r="I161" s="109"/>
      <c r="J161" s="109"/>
      <c r="K161" s="110"/>
      <c r="L161" s="110"/>
    </row>
    <row r="162" spans="4:12" x14ac:dyDescent="0.2">
      <c r="D162" s="108"/>
      <c r="E162" s="108"/>
      <c r="F162" s="109"/>
      <c r="G162" s="109"/>
      <c r="H162" s="109"/>
      <c r="I162" s="109"/>
      <c r="J162" s="109"/>
      <c r="K162" s="110"/>
      <c r="L162" s="110"/>
    </row>
    <row r="163" spans="4:12" x14ac:dyDescent="0.2">
      <c r="D163" s="108"/>
      <c r="E163" s="108"/>
      <c r="F163" s="109"/>
      <c r="G163" s="109"/>
      <c r="H163" s="109"/>
      <c r="I163" s="109"/>
      <c r="J163" s="109"/>
      <c r="K163" s="110"/>
      <c r="L163" s="110"/>
    </row>
    <row r="164" spans="4:12" x14ac:dyDescent="0.2">
      <c r="D164" s="108"/>
      <c r="E164" s="108"/>
      <c r="F164" s="109"/>
      <c r="G164" s="109"/>
      <c r="H164" s="109"/>
      <c r="I164" s="109"/>
      <c r="J164" s="109"/>
      <c r="K164" s="110"/>
      <c r="L164" s="110"/>
    </row>
    <row r="165" spans="4:12" x14ac:dyDescent="0.2">
      <c r="D165" s="108"/>
      <c r="E165" s="108"/>
      <c r="F165" s="109"/>
      <c r="G165" s="109"/>
      <c r="H165" s="109"/>
      <c r="I165" s="109"/>
      <c r="J165" s="109"/>
      <c r="K165" s="110"/>
      <c r="L165" s="110"/>
    </row>
    <row r="166" spans="4:12" x14ac:dyDescent="0.2">
      <c r="D166" s="108"/>
      <c r="E166" s="108"/>
      <c r="F166" s="109"/>
      <c r="G166" s="109"/>
      <c r="H166" s="109"/>
      <c r="I166" s="109"/>
      <c r="J166" s="109"/>
      <c r="K166" s="110"/>
      <c r="L166" s="110"/>
    </row>
    <row r="167" spans="4:12" x14ac:dyDescent="0.2">
      <c r="D167" s="108"/>
      <c r="E167" s="108"/>
      <c r="F167" s="109"/>
      <c r="G167" s="109"/>
      <c r="H167" s="109"/>
      <c r="I167" s="109"/>
      <c r="J167" s="109"/>
      <c r="K167" s="110"/>
      <c r="L167" s="110"/>
    </row>
    <row r="168" spans="4:12" x14ac:dyDescent="0.2">
      <c r="D168" s="108"/>
      <c r="E168" s="108"/>
      <c r="F168" s="109"/>
      <c r="G168" s="109"/>
      <c r="H168" s="109"/>
      <c r="I168" s="109"/>
      <c r="J168" s="109"/>
      <c r="K168" s="110"/>
      <c r="L168" s="110"/>
    </row>
    <row r="169" spans="4:12" x14ac:dyDescent="0.2">
      <c r="D169" s="108"/>
      <c r="E169" s="108"/>
      <c r="F169" s="109"/>
      <c r="G169" s="109"/>
      <c r="H169" s="109"/>
      <c r="I169" s="109"/>
      <c r="J169" s="109"/>
      <c r="K169" s="110"/>
      <c r="L169" s="110"/>
    </row>
    <row r="170" spans="4:12" x14ac:dyDescent="0.2">
      <c r="D170" s="108"/>
      <c r="E170" s="108"/>
      <c r="F170" s="109"/>
      <c r="G170" s="109"/>
      <c r="H170" s="109"/>
      <c r="I170" s="109"/>
      <c r="J170" s="109"/>
      <c r="K170" s="110"/>
      <c r="L170" s="110"/>
    </row>
    <row r="171" spans="4:12" x14ac:dyDescent="0.2">
      <c r="D171" s="108"/>
      <c r="E171" s="108"/>
      <c r="F171" s="109"/>
      <c r="G171" s="109"/>
      <c r="H171" s="109"/>
      <c r="I171" s="109"/>
      <c r="J171" s="109"/>
      <c r="K171" s="110"/>
      <c r="L171" s="110"/>
    </row>
    <row r="172" spans="4:12" x14ac:dyDescent="0.2">
      <c r="D172" s="108"/>
      <c r="E172" s="108"/>
      <c r="F172" s="109"/>
      <c r="G172" s="109"/>
      <c r="H172" s="109"/>
      <c r="I172" s="109"/>
      <c r="J172" s="109"/>
      <c r="K172" s="110"/>
      <c r="L172" s="110"/>
    </row>
    <row r="173" spans="4:12" x14ac:dyDescent="0.2">
      <c r="D173" s="108"/>
      <c r="E173" s="108"/>
      <c r="F173" s="109"/>
      <c r="G173" s="109"/>
      <c r="H173" s="109"/>
      <c r="I173" s="109"/>
      <c r="J173" s="109"/>
      <c r="K173" s="110"/>
      <c r="L173" s="110"/>
    </row>
    <row r="174" spans="4:12" x14ac:dyDescent="0.2">
      <c r="D174" s="108"/>
      <c r="E174" s="108"/>
      <c r="F174" s="109"/>
      <c r="G174" s="109"/>
      <c r="H174" s="109"/>
      <c r="I174" s="109"/>
      <c r="J174" s="109"/>
      <c r="K174" s="110"/>
      <c r="L174" s="110"/>
    </row>
    <row r="175" spans="4:12" x14ac:dyDescent="0.2">
      <c r="D175" s="108"/>
      <c r="E175" s="108"/>
      <c r="F175" s="109"/>
      <c r="G175" s="109"/>
      <c r="H175" s="109"/>
      <c r="I175" s="109"/>
      <c r="J175" s="109"/>
      <c r="K175" s="110"/>
      <c r="L175" s="110"/>
    </row>
    <row r="176" spans="4:12" x14ac:dyDescent="0.2">
      <c r="D176" s="108"/>
      <c r="E176" s="108"/>
      <c r="F176" s="109"/>
      <c r="G176" s="109"/>
      <c r="H176" s="109"/>
      <c r="I176" s="109"/>
      <c r="J176" s="109"/>
      <c r="K176" s="110"/>
      <c r="L176" s="110"/>
    </row>
    <row r="177" spans="4:12" x14ac:dyDescent="0.2">
      <c r="D177" s="108"/>
      <c r="E177" s="108"/>
      <c r="F177" s="109"/>
      <c r="G177" s="109"/>
      <c r="H177" s="109"/>
      <c r="I177" s="109"/>
      <c r="J177" s="109"/>
      <c r="K177" s="110"/>
      <c r="L177" s="110"/>
    </row>
    <row r="178" spans="4:12" x14ac:dyDescent="0.2">
      <c r="D178" s="108"/>
      <c r="E178" s="108"/>
      <c r="F178" s="109"/>
      <c r="G178" s="109"/>
      <c r="H178" s="109"/>
      <c r="I178" s="109"/>
      <c r="J178" s="109"/>
      <c r="K178" s="110"/>
      <c r="L178" s="110"/>
    </row>
    <row r="179" spans="4:12" x14ac:dyDescent="0.2">
      <c r="D179" s="108"/>
      <c r="E179" s="108"/>
      <c r="F179" s="109"/>
      <c r="G179" s="109"/>
      <c r="H179" s="109"/>
      <c r="I179" s="109"/>
      <c r="J179" s="109"/>
      <c r="K179" s="110"/>
      <c r="L179" s="110"/>
    </row>
    <row r="180" spans="4:12" x14ac:dyDescent="0.2">
      <c r="D180" s="108"/>
      <c r="E180" s="108"/>
      <c r="F180" s="109"/>
      <c r="G180" s="109"/>
      <c r="H180" s="109"/>
      <c r="I180" s="109"/>
      <c r="J180" s="109"/>
      <c r="K180" s="110"/>
      <c r="L180" s="110"/>
    </row>
    <row r="181" spans="4:12" x14ac:dyDescent="0.2">
      <c r="D181" s="108"/>
      <c r="E181" s="108"/>
      <c r="F181" s="109"/>
      <c r="G181" s="109"/>
      <c r="H181" s="109"/>
      <c r="I181" s="109"/>
      <c r="J181" s="109"/>
      <c r="K181" s="110"/>
      <c r="L181" s="110"/>
    </row>
    <row r="182" spans="4:12" x14ac:dyDescent="0.2">
      <c r="D182" s="108"/>
      <c r="E182" s="108"/>
      <c r="F182" s="109"/>
      <c r="G182" s="109"/>
      <c r="H182" s="109"/>
      <c r="I182" s="109"/>
      <c r="J182" s="109"/>
      <c r="K182" s="110"/>
      <c r="L182" s="110"/>
    </row>
    <row r="183" spans="4:12" x14ac:dyDescent="0.2">
      <c r="D183" s="108"/>
      <c r="E183" s="108"/>
      <c r="F183" s="109"/>
      <c r="G183" s="109"/>
      <c r="H183" s="109"/>
      <c r="I183" s="109"/>
      <c r="J183" s="109"/>
      <c r="K183" s="110"/>
      <c r="L183" s="110"/>
    </row>
    <row r="184" spans="4:12" x14ac:dyDescent="0.2">
      <c r="D184" s="108"/>
      <c r="E184" s="108"/>
      <c r="F184" s="109"/>
      <c r="G184" s="109"/>
      <c r="H184" s="109"/>
      <c r="I184" s="109"/>
      <c r="J184" s="109"/>
      <c r="K184" s="110"/>
      <c r="L184" s="110"/>
    </row>
    <row r="185" spans="4:12" x14ac:dyDescent="0.2">
      <c r="D185" s="108"/>
      <c r="E185" s="108"/>
      <c r="F185" s="109"/>
      <c r="G185" s="109"/>
      <c r="H185" s="109"/>
      <c r="I185" s="109"/>
      <c r="J185" s="109"/>
      <c r="K185" s="110"/>
      <c r="L185" s="110"/>
    </row>
    <row r="186" spans="4:12" x14ac:dyDescent="0.2">
      <c r="D186" s="108"/>
      <c r="E186" s="108"/>
      <c r="F186" s="109"/>
      <c r="G186" s="109"/>
      <c r="H186" s="109"/>
      <c r="I186" s="109"/>
      <c r="J186" s="109"/>
      <c r="K186" s="110"/>
      <c r="L186" s="110"/>
    </row>
    <row r="187" spans="4:12" x14ac:dyDescent="0.2">
      <c r="D187" s="108"/>
      <c r="E187" s="108"/>
      <c r="F187" s="109"/>
      <c r="G187" s="109"/>
      <c r="H187" s="109"/>
      <c r="I187" s="109"/>
      <c r="J187" s="109"/>
      <c r="K187" s="110"/>
      <c r="L187" s="110"/>
    </row>
    <row r="188" spans="4:12" x14ac:dyDescent="0.2">
      <c r="D188" s="108"/>
      <c r="E188" s="108"/>
      <c r="F188" s="109"/>
      <c r="G188" s="109"/>
      <c r="H188" s="109"/>
      <c r="I188" s="109"/>
      <c r="J188" s="109"/>
      <c r="K188" s="110"/>
      <c r="L188" s="110"/>
    </row>
    <row r="189" spans="4:12" x14ac:dyDescent="0.2">
      <c r="D189" s="108"/>
      <c r="E189" s="108"/>
      <c r="F189" s="109"/>
      <c r="G189" s="109"/>
      <c r="H189" s="109"/>
      <c r="I189" s="109"/>
      <c r="J189" s="109"/>
      <c r="K189" s="110"/>
      <c r="L189" s="110"/>
    </row>
    <row r="190" spans="4:12" x14ac:dyDescent="0.2">
      <c r="D190" s="108"/>
      <c r="E190" s="108"/>
      <c r="F190" s="109"/>
      <c r="G190" s="109"/>
      <c r="H190" s="109"/>
      <c r="I190" s="109"/>
      <c r="J190" s="109"/>
      <c r="K190" s="110"/>
      <c r="L190" s="110"/>
    </row>
    <row r="191" spans="4:12" x14ac:dyDescent="0.2">
      <c r="D191" s="108"/>
      <c r="E191" s="108"/>
      <c r="F191" s="109"/>
      <c r="G191" s="109"/>
      <c r="H191" s="109"/>
      <c r="I191" s="109"/>
      <c r="J191" s="109"/>
      <c r="K191" s="110"/>
      <c r="L191" s="110"/>
    </row>
    <row r="192" spans="4:12" x14ac:dyDescent="0.2">
      <c r="D192" s="108"/>
      <c r="E192" s="108"/>
      <c r="F192" s="109"/>
      <c r="G192" s="109"/>
      <c r="H192" s="109"/>
      <c r="I192" s="109"/>
      <c r="J192" s="109"/>
      <c r="K192" s="110"/>
      <c r="L192" s="110"/>
    </row>
    <row r="193" spans="4:12" x14ac:dyDescent="0.2">
      <c r="D193" s="108"/>
      <c r="E193" s="108"/>
      <c r="F193" s="109"/>
      <c r="G193" s="109"/>
      <c r="H193" s="109"/>
      <c r="I193" s="109"/>
      <c r="J193" s="109"/>
      <c r="K193" s="110"/>
      <c r="L193" s="110"/>
    </row>
    <row r="194" spans="4:12" x14ac:dyDescent="0.2">
      <c r="D194" s="108"/>
      <c r="E194" s="108"/>
      <c r="F194" s="109"/>
      <c r="G194" s="109"/>
      <c r="H194" s="109"/>
      <c r="I194" s="109"/>
      <c r="J194" s="109"/>
      <c r="K194" s="110"/>
      <c r="L194" s="110"/>
    </row>
    <row r="195" spans="4:12" x14ac:dyDescent="0.2">
      <c r="D195" s="108"/>
      <c r="E195" s="108"/>
      <c r="F195" s="109"/>
      <c r="G195" s="109"/>
      <c r="H195" s="109"/>
      <c r="I195" s="109"/>
      <c r="J195" s="109"/>
      <c r="K195" s="110"/>
      <c r="L195" s="110"/>
    </row>
    <row r="196" spans="4:12" x14ac:dyDescent="0.2">
      <c r="D196" s="108"/>
      <c r="E196" s="108"/>
      <c r="F196" s="109"/>
      <c r="G196" s="109"/>
      <c r="H196" s="109"/>
      <c r="I196" s="109"/>
      <c r="J196" s="109"/>
      <c r="K196" s="110"/>
      <c r="L196" s="110"/>
    </row>
    <row r="197" spans="4:12" x14ac:dyDescent="0.2">
      <c r="D197" s="108"/>
      <c r="E197" s="108"/>
      <c r="F197" s="109"/>
      <c r="G197" s="109"/>
      <c r="H197" s="109"/>
      <c r="I197" s="109"/>
      <c r="J197" s="109"/>
      <c r="K197" s="110"/>
      <c r="L197" s="110"/>
    </row>
    <row r="198" spans="4:12" x14ac:dyDescent="0.2">
      <c r="D198" s="108"/>
      <c r="E198" s="108"/>
      <c r="F198" s="109"/>
      <c r="G198" s="109"/>
      <c r="H198" s="109"/>
      <c r="I198" s="109"/>
      <c r="J198" s="109"/>
      <c r="K198" s="110"/>
      <c r="L198" s="110"/>
    </row>
    <row r="199" spans="4:12" x14ac:dyDescent="0.2">
      <c r="D199" s="120"/>
      <c r="E199" s="120"/>
      <c r="F199" s="121"/>
      <c r="G199" s="121"/>
      <c r="H199" s="121"/>
      <c r="I199" s="121"/>
      <c r="J199" s="121"/>
      <c r="K199" s="122"/>
      <c r="L199" s="122"/>
    </row>
  </sheetData>
  <mergeCells count="3">
    <mergeCell ref="D8:E8"/>
    <mergeCell ref="F8:J8"/>
    <mergeCell ref="K8:L8"/>
  </mergeCells>
  <conditionalFormatting sqref="D11:L109">
    <cfRule type="expression" dxfId="2" priority="2" stopIfTrue="1">
      <formula>D11=TRUE</formula>
    </cfRule>
  </conditionalFormatting>
  <conditionalFormatting sqref="D24:L52">
    <cfRule type="expression" dxfId="1" priority="1" stopIfTrue="1">
      <formula>D24=TRUE</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U51"/>
  <sheetViews>
    <sheetView zoomScale="70" zoomScaleNormal="70" workbookViewId="0">
      <selection activeCell="Q9" sqref="Q9:Q10"/>
    </sheetView>
  </sheetViews>
  <sheetFormatPr defaultRowHeight="12.75" x14ac:dyDescent="0.2"/>
  <cols>
    <col min="3" max="3" width="10.7109375" customWidth="1"/>
    <col min="4" max="4" width="29.140625" customWidth="1"/>
    <col min="5" max="5" width="10.42578125" customWidth="1"/>
    <col min="6" max="6" width="18.28515625" customWidth="1"/>
    <col min="7" max="7" width="31.85546875" bestFit="1" customWidth="1"/>
    <col min="8" max="8" width="22" customWidth="1"/>
    <col min="10" max="10" width="19.42578125" customWidth="1"/>
    <col min="14" max="14" width="11.7109375" customWidth="1"/>
    <col min="15" max="15" width="13" customWidth="1"/>
    <col min="16" max="16" width="23.28515625" customWidth="1"/>
    <col min="17" max="17" width="11.7109375" customWidth="1"/>
  </cols>
  <sheetData>
    <row r="1" spans="1:21" x14ac:dyDescent="0.2">
      <c r="A1" s="127" t="s">
        <v>106</v>
      </c>
      <c r="D1" s="128" t="s">
        <v>5</v>
      </c>
      <c r="E1" s="3"/>
      <c r="F1" s="3"/>
      <c r="G1" s="128" t="s">
        <v>6</v>
      </c>
      <c r="H1" s="3"/>
      <c r="I1" s="128" t="s">
        <v>7</v>
      </c>
      <c r="J1" s="3"/>
      <c r="K1" s="3" t="s">
        <v>3</v>
      </c>
      <c r="L1" s="3"/>
      <c r="M1" s="3"/>
      <c r="N1" s="3" t="s">
        <v>0</v>
      </c>
      <c r="Q1" s="3" t="s">
        <v>37</v>
      </c>
      <c r="U1" s="3" t="s">
        <v>48</v>
      </c>
    </row>
    <row r="2" spans="1:21" x14ac:dyDescent="0.2">
      <c r="A2" s="127" t="s">
        <v>112</v>
      </c>
      <c r="D2" s="127" t="s">
        <v>8</v>
      </c>
      <c r="G2" s="127" t="s">
        <v>8</v>
      </c>
      <c r="I2" s="127" t="s">
        <v>8</v>
      </c>
      <c r="N2" t="s">
        <v>1</v>
      </c>
      <c r="Q2" t="s">
        <v>104</v>
      </c>
      <c r="U2" t="s">
        <v>50</v>
      </c>
    </row>
    <row r="3" spans="1:21" x14ac:dyDescent="0.2">
      <c r="A3" s="127" t="s">
        <v>107</v>
      </c>
      <c r="D3" s="127" t="s">
        <v>10</v>
      </c>
      <c r="G3" s="127" t="s">
        <v>15</v>
      </c>
      <c r="I3" s="127" t="s">
        <v>19</v>
      </c>
      <c r="N3" t="s">
        <v>35</v>
      </c>
      <c r="Q3" t="s">
        <v>38</v>
      </c>
      <c r="U3" t="s">
        <v>52</v>
      </c>
    </row>
    <row r="4" spans="1:21" x14ac:dyDescent="0.2">
      <c r="D4" s="127" t="s">
        <v>11</v>
      </c>
      <c r="N4" t="s">
        <v>36</v>
      </c>
      <c r="Q4" t="s">
        <v>108</v>
      </c>
    </row>
    <row r="5" spans="1:21" x14ac:dyDescent="0.2">
      <c r="N5" t="s">
        <v>2</v>
      </c>
      <c r="Q5" t="s">
        <v>109</v>
      </c>
    </row>
    <row r="6" spans="1:21" x14ac:dyDescent="0.2">
      <c r="N6" t="s">
        <v>141</v>
      </c>
      <c r="Q6" t="s">
        <v>110</v>
      </c>
    </row>
    <row r="7" spans="1:21" x14ac:dyDescent="0.2">
      <c r="I7" s="127" t="s">
        <v>9</v>
      </c>
      <c r="N7" s="48" t="s">
        <v>140</v>
      </c>
      <c r="Q7" t="s">
        <v>39</v>
      </c>
    </row>
    <row r="8" spans="1:21" x14ac:dyDescent="0.2">
      <c r="G8" s="127" t="s">
        <v>9</v>
      </c>
      <c r="I8" s="127" t="s">
        <v>26</v>
      </c>
      <c r="N8" s="48" t="s">
        <v>138</v>
      </c>
      <c r="Q8" t="s">
        <v>40</v>
      </c>
    </row>
    <row r="9" spans="1:21" ht="15" x14ac:dyDescent="0.25">
      <c r="G9" s="127" t="s">
        <v>23</v>
      </c>
      <c r="I9" s="127" t="s">
        <v>27</v>
      </c>
      <c r="N9" s="48" t="s">
        <v>139</v>
      </c>
      <c r="Q9" s="136" t="s">
        <v>307</v>
      </c>
    </row>
    <row r="10" spans="1:21" ht="15" x14ac:dyDescent="0.25">
      <c r="G10" s="127" t="s">
        <v>24</v>
      </c>
      <c r="I10" s="127" t="s">
        <v>28</v>
      </c>
      <c r="N10" t="s">
        <v>3</v>
      </c>
      <c r="Q10" s="136" t="s">
        <v>306</v>
      </c>
    </row>
    <row r="11" spans="1:21" x14ac:dyDescent="0.2">
      <c r="D11" s="127" t="s">
        <v>9</v>
      </c>
      <c r="G11" s="127" t="s">
        <v>25</v>
      </c>
      <c r="I11" s="127" t="s">
        <v>29</v>
      </c>
      <c r="Q11" t="s">
        <v>41</v>
      </c>
    </row>
    <row r="12" spans="1:21" x14ac:dyDescent="0.2">
      <c r="B12" s="62" t="s">
        <v>78</v>
      </c>
      <c r="D12" s="127" t="s">
        <v>22</v>
      </c>
      <c r="G12" s="127" t="s">
        <v>16</v>
      </c>
      <c r="I12" s="127" t="s">
        <v>30</v>
      </c>
      <c r="Q12" t="s">
        <v>150</v>
      </c>
    </row>
    <row r="13" spans="1:21" x14ac:dyDescent="0.2">
      <c r="B13" s="63" t="s">
        <v>79</v>
      </c>
      <c r="D13" s="127" t="s">
        <v>12</v>
      </c>
      <c r="G13" s="127" t="s">
        <v>17</v>
      </c>
      <c r="I13" s="127" t="s">
        <v>20</v>
      </c>
      <c r="K13" s="127" t="s">
        <v>9</v>
      </c>
      <c r="Q13" t="s">
        <v>151</v>
      </c>
    </row>
    <row r="14" spans="1:21" x14ac:dyDescent="0.2">
      <c r="B14" s="64" t="s">
        <v>185</v>
      </c>
      <c r="D14" s="127" t="s">
        <v>13</v>
      </c>
      <c r="G14" s="127" t="s">
        <v>18</v>
      </c>
      <c r="I14" s="127" t="s">
        <v>21</v>
      </c>
      <c r="K14" s="127" t="s">
        <v>195</v>
      </c>
      <c r="Q14" t="s">
        <v>152</v>
      </c>
    </row>
    <row r="15" spans="1:21" x14ac:dyDescent="0.2">
      <c r="B15" s="65" t="s">
        <v>186</v>
      </c>
      <c r="D15" s="127" t="s">
        <v>14</v>
      </c>
      <c r="G15" s="127" t="s">
        <v>162</v>
      </c>
      <c r="I15" s="127" t="s">
        <v>163</v>
      </c>
      <c r="K15" s="127" t="s">
        <v>115</v>
      </c>
      <c r="Q15" t="s">
        <v>153</v>
      </c>
    </row>
    <row r="16" spans="1:21" x14ac:dyDescent="0.2">
      <c r="D16" s="127" t="s">
        <v>160</v>
      </c>
      <c r="G16" s="127" t="s">
        <v>164</v>
      </c>
      <c r="K16" s="127" t="s">
        <v>114</v>
      </c>
      <c r="Q16" t="s">
        <v>154</v>
      </c>
    </row>
    <row r="17" spans="1:17" x14ac:dyDescent="0.2">
      <c r="D17" s="127" t="s">
        <v>161</v>
      </c>
      <c r="K17" s="127" t="s">
        <v>113</v>
      </c>
      <c r="Q17" t="s">
        <v>155</v>
      </c>
    </row>
    <row r="18" spans="1:17" x14ac:dyDescent="0.2">
      <c r="K18" s="127" t="s">
        <v>188</v>
      </c>
      <c r="Q18" t="s">
        <v>156</v>
      </c>
    </row>
    <row r="19" spans="1:17" x14ac:dyDescent="0.2">
      <c r="K19" s="127" t="s">
        <v>32</v>
      </c>
      <c r="Q19" t="s">
        <v>157</v>
      </c>
    </row>
    <row r="20" spans="1:17" x14ac:dyDescent="0.2">
      <c r="D20" t="s">
        <v>78</v>
      </c>
      <c r="G20" s="3" t="s">
        <v>46</v>
      </c>
      <c r="I20" s="3" t="s">
        <v>47</v>
      </c>
      <c r="K20" s="127" t="s">
        <v>31</v>
      </c>
      <c r="L20" s="3" t="s">
        <v>48</v>
      </c>
      <c r="O20" s="3" t="s">
        <v>62</v>
      </c>
      <c r="Q20" t="s">
        <v>158</v>
      </c>
    </row>
    <row r="21" spans="1:17" x14ac:dyDescent="0.2">
      <c r="D21" t="s">
        <v>79</v>
      </c>
      <c r="G21" s="47" t="s">
        <v>116</v>
      </c>
      <c r="I21" s="10" t="s">
        <v>49</v>
      </c>
      <c r="K21" s="127" t="s">
        <v>105</v>
      </c>
      <c r="L21" t="s">
        <v>50</v>
      </c>
      <c r="O21" t="s">
        <v>63</v>
      </c>
      <c r="Q21" t="s">
        <v>159</v>
      </c>
    </row>
    <row r="22" spans="1:17" x14ac:dyDescent="0.2">
      <c r="G22" s="47" t="s">
        <v>117</v>
      </c>
      <c r="I22" s="10" t="s">
        <v>51</v>
      </c>
      <c r="K22" s="127" t="s">
        <v>165</v>
      </c>
      <c r="L22" t="s">
        <v>52</v>
      </c>
      <c r="O22" t="s">
        <v>64</v>
      </c>
      <c r="Q22" t="s">
        <v>193</v>
      </c>
    </row>
    <row r="23" spans="1:17" x14ac:dyDescent="0.2">
      <c r="G23" s="47" t="s">
        <v>118</v>
      </c>
      <c r="I23" s="10" t="s">
        <v>53</v>
      </c>
      <c r="K23" s="127" t="s">
        <v>166</v>
      </c>
      <c r="O23" t="s">
        <v>65</v>
      </c>
      <c r="Q23" t="s">
        <v>111</v>
      </c>
    </row>
    <row r="24" spans="1:17" x14ac:dyDescent="0.2">
      <c r="D24" s="3" t="s">
        <v>92</v>
      </c>
      <c r="G24" s="47" t="s">
        <v>119</v>
      </c>
      <c r="I24" s="10" t="s">
        <v>54</v>
      </c>
      <c r="K24" s="127" t="s">
        <v>149</v>
      </c>
      <c r="O24" t="s">
        <v>66</v>
      </c>
    </row>
    <row r="25" spans="1:17" x14ac:dyDescent="0.2">
      <c r="D25" t="s">
        <v>93</v>
      </c>
      <c r="G25" s="47" t="s">
        <v>120</v>
      </c>
      <c r="I25" s="10" t="s">
        <v>55</v>
      </c>
      <c r="K25" s="127" t="s">
        <v>149</v>
      </c>
    </row>
    <row r="26" spans="1:17" x14ac:dyDescent="0.2">
      <c r="D26" s="50"/>
      <c r="G26" s="47" t="s">
        <v>121</v>
      </c>
      <c r="I26" s="10" t="s">
        <v>57</v>
      </c>
      <c r="K26" s="127" t="s">
        <v>33</v>
      </c>
    </row>
    <row r="27" spans="1:17" x14ac:dyDescent="0.2">
      <c r="D27" s="50"/>
      <c r="G27" s="47" t="s">
        <v>122</v>
      </c>
      <c r="I27" s="10" t="s">
        <v>58</v>
      </c>
      <c r="K27" s="127" t="s">
        <v>34</v>
      </c>
    </row>
    <row r="28" spans="1:17" x14ac:dyDescent="0.2">
      <c r="D28" t="s">
        <v>94</v>
      </c>
      <c r="G28" s="47" t="s">
        <v>123</v>
      </c>
      <c r="I28" s="10" t="s">
        <v>59</v>
      </c>
    </row>
    <row r="29" spans="1:17" x14ac:dyDescent="0.2">
      <c r="G29" s="47" t="s">
        <v>124</v>
      </c>
    </row>
    <row r="30" spans="1:17" x14ac:dyDescent="0.2">
      <c r="G30" s="47" t="s">
        <v>125</v>
      </c>
    </row>
    <row r="31" spans="1:17" x14ac:dyDescent="0.2">
      <c r="G31" s="47" t="s">
        <v>126</v>
      </c>
    </row>
    <row r="32" spans="1:17" x14ac:dyDescent="0.2">
      <c r="A32" s="140" t="s">
        <v>88</v>
      </c>
      <c r="B32" s="235"/>
      <c r="C32" s="26"/>
      <c r="G32" s="47" t="s">
        <v>187</v>
      </c>
      <c r="Q32" s="3" t="s">
        <v>67</v>
      </c>
    </row>
    <row r="33" spans="1:17" x14ac:dyDescent="0.2">
      <c r="A33" s="140" t="s">
        <v>89</v>
      </c>
      <c r="B33" s="235"/>
      <c r="C33" s="37"/>
      <c r="G33" s="47" t="s">
        <v>128</v>
      </c>
      <c r="Q33" t="s">
        <v>68</v>
      </c>
    </row>
    <row r="34" spans="1:17" x14ac:dyDescent="0.2">
      <c r="A34" s="140" t="s">
        <v>90</v>
      </c>
      <c r="B34" s="235"/>
      <c r="C34" s="58"/>
      <c r="G34" s="47" t="s">
        <v>127</v>
      </c>
      <c r="Q34" t="s">
        <v>69</v>
      </c>
    </row>
    <row r="35" spans="1:17" x14ac:dyDescent="0.2">
      <c r="B35" s="16" t="s">
        <v>145</v>
      </c>
      <c r="C35" s="51"/>
      <c r="G35" s="47" t="s">
        <v>129</v>
      </c>
      <c r="Q35" t="s">
        <v>70</v>
      </c>
    </row>
    <row r="36" spans="1:17" x14ac:dyDescent="0.2">
      <c r="B36" s="59" t="s">
        <v>144</v>
      </c>
      <c r="C36" s="60"/>
      <c r="G36" s="47" t="s">
        <v>130</v>
      </c>
      <c r="Q36" s="13" t="s">
        <v>194</v>
      </c>
    </row>
    <row r="37" spans="1:17" ht="15" x14ac:dyDescent="0.25">
      <c r="E37" s="3" t="s">
        <v>71</v>
      </c>
      <c r="G37" s="47" t="s">
        <v>103</v>
      </c>
      <c r="Q37" s="70"/>
    </row>
    <row r="38" spans="1:17" ht="15" x14ac:dyDescent="0.25">
      <c r="E38" t="s">
        <v>171</v>
      </c>
      <c r="G38" s="47" t="s">
        <v>56</v>
      </c>
      <c r="Q38" s="70"/>
    </row>
    <row r="39" spans="1:17" x14ac:dyDescent="0.2">
      <c r="E39" t="s">
        <v>167</v>
      </c>
      <c r="G39" s="47" t="s">
        <v>131</v>
      </c>
    </row>
    <row r="40" spans="1:17" x14ac:dyDescent="0.2">
      <c r="E40" t="s">
        <v>189</v>
      </c>
      <c r="G40" s="47" t="s">
        <v>132</v>
      </c>
    </row>
    <row r="41" spans="1:17" x14ac:dyDescent="0.2">
      <c r="E41" t="s">
        <v>172</v>
      </c>
      <c r="G41" s="47" t="s">
        <v>133</v>
      </c>
    </row>
    <row r="42" spans="1:17" x14ac:dyDescent="0.2">
      <c r="E42" t="s">
        <v>191</v>
      </c>
      <c r="G42" s="47" t="s">
        <v>134</v>
      </c>
    </row>
    <row r="43" spans="1:17" x14ac:dyDescent="0.2">
      <c r="E43" t="s">
        <v>173</v>
      </c>
      <c r="G43" s="47" t="s">
        <v>135</v>
      </c>
    </row>
    <row r="44" spans="1:17" x14ac:dyDescent="0.2">
      <c r="E44" t="s">
        <v>174</v>
      </c>
      <c r="G44" s="47" t="s">
        <v>136</v>
      </c>
    </row>
    <row r="45" spans="1:17" x14ac:dyDescent="0.2">
      <c r="E45" s="13" t="s">
        <v>175</v>
      </c>
      <c r="G45" s="47" t="s">
        <v>137</v>
      </c>
    </row>
    <row r="46" spans="1:17" x14ac:dyDescent="0.2">
      <c r="E46" s="13" t="s">
        <v>176</v>
      </c>
      <c r="G46" s="47" t="s">
        <v>3</v>
      </c>
    </row>
    <row r="47" spans="1:17" x14ac:dyDescent="0.2">
      <c r="E47" t="s">
        <v>190</v>
      </c>
    </row>
    <row r="48" spans="1:17" x14ac:dyDescent="0.2">
      <c r="E48" t="s">
        <v>177</v>
      </c>
    </row>
    <row r="49" spans="5:5" x14ac:dyDescent="0.2">
      <c r="E49" t="s">
        <v>168</v>
      </c>
    </row>
    <row r="50" spans="5:5" x14ac:dyDescent="0.2">
      <c r="E50" t="s">
        <v>178</v>
      </c>
    </row>
    <row r="51" spans="5:5" x14ac:dyDescent="0.2">
      <c r="E51" s="13" t="s">
        <v>3</v>
      </c>
    </row>
  </sheetData>
  <customSheetViews>
    <customSheetView guid="{B3B1B15C-C8BB-4AE3-8B74-6F4E0F21E952}" showRuler="0">
      <selection activeCell="C2" sqref="C2:C6"/>
      <pageMargins left="0.75" right="0.75" top="1" bottom="1" header="0.5" footer="0.5"/>
      <headerFooter alignWithMargins="0"/>
    </customSheetView>
  </customSheetViews>
  <mergeCells count="3">
    <mergeCell ref="A32:B32"/>
    <mergeCell ref="A33:B33"/>
    <mergeCell ref="A34:B34"/>
  </mergeCells>
  <phoneticPr fontId="0" type="noConversion"/>
  <dataValidations count="4">
    <dataValidation type="list" allowBlank="1" showInputMessage="1" showErrorMessage="1" sqref="C32:C33 C35">
      <formula1>yesno</formula1>
    </dataValidation>
    <dataValidation type="list" allowBlank="1" showInputMessage="1" showErrorMessage="1" sqref="U5">
      <formula1>$U$1:$U$3</formula1>
    </dataValidation>
    <dataValidation type="list" allowBlank="1" showInputMessage="1" showErrorMessage="1" sqref="L24">
      <formula1>$K$1:$K$3</formula1>
    </dataValidation>
    <dataValidation type="custom" allowBlank="1" showInputMessage="1" showErrorMessage="1" error="Please do not use the apostrophe (') character." sqref="C34 C36">
      <formula1>ISERROR(FIND("'",C34,1))</formula1>
    </dataValidation>
  </dataValidations>
  <printOptions gridLines="1"/>
  <pageMargins left="0.75" right="0.75" top="1" bottom="1" header="0.5" footer="0.5"/>
  <pageSetup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
  <sheetViews>
    <sheetView workbookViewId="0"/>
  </sheetViews>
  <sheetFormatPr defaultRowHeight="12.75" x14ac:dyDescent="0.2"/>
  <sheetData/>
  <customSheetViews>
    <customSheetView guid="{B3B1B15C-C8BB-4AE3-8B74-6F4E0F21E952}" showRuler="0">
      <pageMargins left="0.75" right="0.75" top="1" bottom="1" header="0.5" footer="0.5"/>
      <headerFooter alignWithMargins="0"/>
    </customSheetView>
  </customSheetViews>
  <phoneticPr fontId="0" type="noConversion"/>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8"/>
  <sheetViews>
    <sheetView workbookViewId="0">
      <selection activeCell="B12" sqref="B12"/>
    </sheetView>
  </sheetViews>
  <sheetFormatPr defaultRowHeight="12.75" x14ac:dyDescent="0.2"/>
  <cols>
    <col min="1" max="1" width="26.5703125" customWidth="1"/>
  </cols>
  <sheetData>
    <row r="1" spans="1:1" ht="41.25" customHeight="1" thickBot="1" x14ac:dyDescent="0.25">
      <c r="A1" s="69" t="str">
        <f>PROPER('Project Application'!F72)</f>
        <v/>
      </c>
    </row>
    <row r="8" spans="1:1" x14ac:dyDescent="0.2">
      <c r="A8" s="68"/>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B2:L53"/>
  <sheetViews>
    <sheetView workbookViewId="0">
      <selection activeCell="A37" sqref="A37"/>
    </sheetView>
  </sheetViews>
  <sheetFormatPr defaultRowHeight="12.75" x14ac:dyDescent="0.2"/>
  <cols>
    <col min="2" max="2" width="21.42578125" customWidth="1"/>
  </cols>
  <sheetData>
    <row r="2" spans="2:12" x14ac:dyDescent="0.2">
      <c r="B2" s="87" t="s">
        <v>209</v>
      </c>
      <c r="C2" s="87" t="s">
        <v>210</v>
      </c>
      <c r="D2" s="88" t="s">
        <v>211</v>
      </c>
      <c r="E2" s="88" t="s">
        <v>212</v>
      </c>
      <c r="F2" s="89" t="s">
        <v>116</v>
      </c>
      <c r="G2" s="89" t="s">
        <v>213</v>
      </c>
      <c r="H2" s="89" t="s">
        <v>117</v>
      </c>
      <c r="I2" s="89" t="s">
        <v>214</v>
      </c>
      <c r="J2" s="89" t="s">
        <v>3</v>
      </c>
      <c r="K2" s="90" t="s">
        <v>215</v>
      </c>
      <c r="L2" s="90" t="s">
        <v>216</v>
      </c>
    </row>
    <row r="3" spans="2:12" ht="13.5" thickBot="1" x14ac:dyDescent="0.25">
      <c r="B3" s="97" t="s">
        <v>224</v>
      </c>
      <c r="C3" s="97" t="s">
        <v>225</v>
      </c>
      <c r="D3" s="98" t="b">
        <v>1</v>
      </c>
      <c r="E3" s="98" t="b">
        <v>1</v>
      </c>
      <c r="F3" s="99" t="b">
        <v>1</v>
      </c>
      <c r="G3" s="99" t="b">
        <v>1</v>
      </c>
      <c r="H3" s="99" t="b">
        <v>1</v>
      </c>
      <c r="I3" s="99" t="b">
        <v>1</v>
      </c>
      <c r="J3" s="99" t="b">
        <v>1</v>
      </c>
      <c r="K3" s="100" t="b">
        <v>1</v>
      </c>
      <c r="L3" s="100" t="b">
        <v>1</v>
      </c>
    </row>
    <row r="4" spans="2:12" ht="13.5" thickTop="1" x14ac:dyDescent="0.2">
      <c r="B4" t="s">
        <v>161</v>
      </c>
      <c r="C4" s="13" t="s">
        <v>161</v>
      </c>
      <c r="D4" s="108" t="b">
        <v>1</v>
      </c>
      <c r="E4" s="108" t="b">
        <v>0</v>
      </c>
      <c r="F4" s="109" t="b">
        <v>1</v>
      </c>
      <c r="G4" s="109" t="b">
        <v>0</v>
      </c>
      <c r="H4" s="109" t="b">
        <v>0</v>
      </c>
      <c r="I4" s="109" t="b">
        <v>0</v>
      </c>
      <c r="J4" s="109" t="b">
        <v>0</v>
      </c>
      <c r="K4" s="110" t="b">
        <v>1</v>
      </c>
      <c r="L4" s="110" t="b">
        <v>0</v>
      </c>
    </row>
    <row r="5" spans="2:12" x14ac:dyDescent="0.2">
      <c r="B5" t="s">
        <v>160</v>
      </c>
      <c r="C5" s="13" t="s">
        <v>160</v>
      </c>
      <c r="D5" s="108" t="b">
        <v>1</v>
      </c>
      <c r="E5" s="108" t="b">
        <v>0</v>
      </c>
      <c r="F5" s="109" t="b">
        <v>1</v>
      </c>
      <c r="G5" s="109" t="b">
        <v>0</v>
      </c>
      <c r="H5" s="109" t="b">
        <v>0</v>
      </c>
      <c r="I5" s="109" t="b">
        <v>0</v>
      </c>
      <c r="J5" s="109" t="b">
        <v>0</v>
      </c>
      <c r="K5" s="110" t="b">
        <v>1</v>
      </c>
      <c r="L5" s="110" t="b">
        <v>0</v>
      </c>
    </row>
    <row r="6" spans="2:12" x14ac:dyDescent="0.2">
      <c r="B6" t="s">
        <v>10</v>
      </c>
      <c r="C6" s="13" t="s">
        <v>10</v>
      </c>
      <c r="D6" s="108" t="b">
        <v>1</v>
      </c>
      <c r="E6" s="108" t="b">
        <v>0</v>
      </c>
      <c r="F6" s="109" t="b">
        <v>1</v>
      </c>
      <c r="G6" s="109" t="b">
        <v>0</v>
      </c>
      <c r="H6" s="109" t="b">
        <v>0</v>
      </c>
      <c r="I6" s="109" t="b">
        <v>0</v>
      </c>
      <c r="J6" s="109" t="b">
        <v>0</v>
      </c>
      <c r="K6" s="110" t="b">
        <v>1</v>
      </c>
      <c r="L6" s="110" t="b">
        <v>0</v>
      </c>
    </row>
    <row r="7" spans="2:12" x14ac:dyDescent="0.2">
      <c r="B7" t="s">
        <v>11</v>
      </c>
      <c r="C7" s="13" t="s">
        <v>11</v>
      </c>
      <c r="D7" s="108" t="b">
        <v>1</v>
      </c>
      <c r="E7" s="108" t="b">
        <v>0</v>
      </c>
      <c r="F7" s="109" t="b">
        <v>1</v>
      </c>
      <c r="G7" s="109" t="b">
        <v>0</v>
      </c>
      <c r="H7" s="109" t="b">
        <v>0</v>
      </c>
      <c r="I7" s="109" t="b">
        <v>0</v>
      </c>
      <c r="J7" s="109" t="b">
        <v>0</v>
      </c>
      <c r="K7" s="110" t="b">
        <v>1</v>
      </c>
      <c r="L7" s="110" t="b">
        <v>0</v>
      </c>
    </row>
    <row r="8" spans="2:12" x14ac:dyDescent="0.2">
      <c r="B8" s="13" t="s">
        <v>12</v>
      </c>
      <c r="C8" s="13" t="s">
        <v>12</v>
      </c>
      <c r="D8" s="108" t="b">
        <v>1</v>
      </c>
      <c r="E8" s="108" t="b">
        <v>0</v>
      </c>
      <c r="F8" s="109" t="b">
        <v>1</v>
      </c>
      <c r="G8" s="109" t="b">
        <v>0</v>
      </c>
      <c r="H8" s="109" t="b">
        <v>0</v>
      </c>
      <c r="I8" s="109" t="b">
        <v>0</v>
      </c>
      <c r="J8" s="109" t="b">
        <v>0</v>
      </c>
      <c r="K8" s="110" t="b">
        <v>1</v>
      </c>
      <c r="L8" s="110" t="b">
        <v>0</v>
      </c>
    </row>
    <row r="9" spans="2:12" x14ac:dyDescent="0.2">
      <c r="B9" t="s">
        <v>107</v>
      </c>
      <c r="C9" s="13" t="s">
        <v>107</v>
      </c>
      <c r="D9" s="108" t="b">
        <v>1</v>
      </c>
      <c r="E9" s="108" t="b">
        <v>0</v>
      </c>
      <c r="F9" s="109" t="b">
        <v>0</v>
      </c>
      <c r="G9" s="109" t="b">
        <v>1</v>
      </c>
      <c r="H9" s="109" t="b">
        <v>0</v>
      </c>
      <c r="I9" s="109" t="b">
        <v>0</v>
      </c>
      <c r="J9" s="109" t="b">
        <v>0</v>
      </c>
      <c r="K9" s="110" t="b">
        <v>1</v>
      </c>
      <c r="L9" s="110" t="b">
        <v>0</v>
      </c>
    </row>
    <row r="10" spans="2:12" x14ac:dyDescent="0.2">
      <c r="B10" t="s">
        <v>22</v>
      </c>
      <c r="C10" s="13" t="s">
        <v>22</v>
      </c>
      <c r="D10" s="108" t="b">
        <v>0</v>
      </c>
      <c r="E10" s="108" t="b">
        <v>0</v>
      </c>
      <c r="F10" s="109" t="b">
        <v>0</v>
      </c>
      <c r="G10" s="109" t="b">
        <v>0</v>
      </c>
      <c r="H10" s="109" t="b">
        <v>0</v>
      </c>
      <c r="I10" s="109" t="b">
        <v>0</v>
      </c>
      <c r="J10" s="109" t="b">
        <v>0</v>
      </c>
      <c r="K10" s="110" t="b">
        <v>1</v>
      </c>
      <c r="L10" s="110" t="b">
        <v>0</v>
      </c>
    </row>
    <row r="11" spans="2:12" x14ac:dyDescent="0.2">
      <c r="B11" s="13" t="s">
        <v>230</v>
      </c>
      <c r="C11" s="13" t="s">
        <v>13</v>
      </c>
      <c r="D11" s="108" t="b">
        <v>0</v>
      </c>
      <c r="E11" s="108" t="b">
        <v>0</v>
      </c>
      <c r="F11" s="109" t="b">
        <v>0</v>
      </c>
      <c r="G11" s="109" t="b">
        <v>0</v>
      </c>
      <c r="H11" s="109" t="b">
        <v>0</v>
      </c>
      <c r="I11" s="109" t="b">
        <v>0</v>
      </c>
      <c r="J11" s="109" t="b">
        <v>0</v>
      </c>
      <c r="K11" s="110" t="b">
        <v>1</v>
      </c>
      <c r="L11" s="110" t="b">
        <v>0</v>
      </c>
    </row>
    <row r="12" spans="2:12" x14ac:dyDescent="0.2">
      <c r="B12" s="13" t="s">
        <v>231</v>
      </c>
      <c r="C12" s="13" t="s">
        <v>14</v>
      </c>
      <c r="D12" s="108" t="b">
        <v>0</v>
      </c>
      <c r="E12" s="108" t="b">
        <v>0</v>
      </c>
      <c r="F12" s="109" t="b">
        <v>0</v>
      </c>
      <c r="G12" s="109" t="b">
        <v>0</v>
      </c>
      <c r="H12" s="109" t="b">
        <v>0</v>
      </c>
      <c r="I12" s="109" t="b">
        <v>0</v>
      </c>
      <c r="J12" s="109" t="b">
        <v>0</v>
      </c>
      <c r="K12" s="110" t="b">
        <v>1</v>
      </c>
      <c r="L12" s="110" t="b">
        <v>0</v>
      </c>
    </row>
    <row r="13" spans="2:12" x14ac:dyDescent="0.2">
      <c r="B13" t="s">
        <v>162</v>
      </c>
      <c r="C13" s="13" t="s">
        <v>162</v>
      </c>
      <c r="D13" s="108" t="b">
        <v>1</v>
      </c>
      <c r="E13" s="108" t="b">
        <v>0</v>
      </c>
      <c r="F13" s="109" t="b">
        <v>0</v>
      </c>
      <c r="G13" s="109" t="b">
        <v>0</v>
      </c>
      <c r="H13" s="109" t="b">
        <v>1</v>
      </c>
      <c r="I13" s="109" t="b">
        <v>0</v>
      </c>
      <c r="J13" s="109" t="b">
        <v>0</v>
      </c>
      <c r="K13" s="110" t="b">
        <v>1</v>
      </c>
      <c r="L13" s="110" t="b">
        <v>0</v>
      </c>
    </row>
    <row r="14" spans="2:12" x14ac:dyDescent="0.2">
      <c r="B14" t="s">
        <v>164</v>
      </c>
      <c r="C14" s="13" t="s">
        <v>164</v>
      </c>
      <c r="D14" s="108" t="b">
        <v>1</v>
      </c>
      <c r="E14" s="108" t="b">
        <v>0</v>
      </c>
      <c r="F14" s="109" t="b">
        <v>0</v>
      </c>
      <c r="G14" s="109" t="b">
        <v>0</v>
      </c>
      <c r="H14" s="109" t="b">
        <v>1</v>
      </c>
      <c r="I14" s="109" t="b">
        <v>0</v>
      </c>
      <c r="J14" s="109" t="b">
        <v>0</v>
      </c>
      <c r="K14" s="110" t="b">
        <v>1</v>
      </c>
      <c r="L14" s="110" t="b">
        <v>0</v>
      </c>
    </row>
    <row r="15" spans="2:12" x14ac:dyDescent="0.2">
      <c r="B15" t="s">
        <v>15</v>
      </c>
      <c r="C15" s="13" t="s">
        <v>261</v>
      </c>
      <c r="D15" s="108" t="b">
        <v>1</v>
      </c>
      <c r="E15" s="108" t="b">
        <v>0</v>
      </c>
      <c r="F15" s="109" t="b">
        <v>0</v>
      </c>
      <c r="G15" s="109" t="b">
        <v>0</v>
      </c>
      <c r="H15" s="109" t="b">
        <v>1</v>
      </c>
      <c r="I15" s="109" t="b">
        <v>0</v>
      </c>
      <c r="J15" s="109" t="b">
        <v>0</v>
      </c>
      <c r="K15" s="110" t="b">
        <v>1</v>
      </c>
      <c r="L15" s="110" t="b">
        <v>0</v>
      </c>
    </row>
    <row r="16" spans="2:12" x14ac:dyDescent="0.2">
      <c r="B16" s="13" t="s">
        <v>16</v>
      </c>
      <c r="C16" s="13" t="s">
        <v>16</v>
      </c>
      <c r="D16" s="108" t="b">
        <v>1</v>
      </c>
      <c r="E16" s="108" t="b">
        <v>0</v>
      </c>
      <c r="F16" s="109" t="b">
        <v>0</v>
      </c>
      <c r="G16" s="109" t="b">
        <v>0</v>
      </c>
      <c r="H16" s="109" t="b">
        <v>1</v>
      </c>
      <c r="I16" s="109" t="b">
        <v>0</v>
      </c>
      <c r="J16" s="109" t="b">
        <v>0</v>
      </c>
      <c r="K16" s="110" t="b">
        <v>1</v>
      </c>
      <c r="L16" s="110" t="b">
        <v>0</v>
      </c>
    </row>
    <row r="17" spans="2:12" x14ac:dyDescent="0.2">
      <c r="B17" s="13" t="s">
        <v>23</v>
      </c>
      <c r="C17" s="13" t="s">
        <v>23</v>
      </c>
      <c r="D17" s="108" t="b">
        <v>0</v>
      </c>
      <c r="E17" s="108" t="b">
        <v>0</v>
      </c>
      <c r="F17" s="109" t="b">
        <v>0</v>
      </c>
      <c r="G17" s="109" t="b">
        <v>0</v>
      </c>
      <c r="H17" s="109" t="b">
        <v>1</v>
      </c>
      <c r="I17" s="109" t="b">
        <v>0</v>
      </c>
      <c r="J17" s="109" t="b">
        <v>0</v>
      </c>
      <c r="K17" s="110" t="b">
        <v>1</v>
      </c>
      <c r="L17" s="110" t="b">
        <v>0</v>
      </c>
    </row>
    <row r="18" spans="2:12" x14ac:dyDescent="0.2">
      <c r="B18" s="13" t="s">
        <v>24</v>
      </c>
      <c r="C18" s="13" t="s">
        <v>24</v>
      </c>
      <c r="D18" s="108" t="b">
        <v>0</v>
      </c>
      <c r="E18" s="108" t="b">
        <v>0</v>
      </c>
      <c r="F18" s="109" t="b">
        <v>0</v>
      </c>
      <c r="G18" s="109" t="b">
        <v>0</v>
      </c>
      <c r="H18" s="109" t="b">
        <v>1</v>
      </c>
      <c r="I18" s="109" t="b">
        <v>0</v>
      </c>
      <c r="J18" s="109" t="b">
        <v>0</v>
      </c>
      <c r="K18" s="110" t="b">
        <v>1</v>
      </c>
      <c r="L18" s="110" t="b">
        <v>0</v>
      </c>
    </row>
    <row r="19" spans="2:12" x14ac:dyDescent="0.2">
      <c r="B19" s="13" t="s">
        <v>25</v>
      </c>
      <c r="C19" s="13" t="s">
        <v>25</v>
      </c>
      <c r="D19" s="108" t="b">
        <v>0</v>
      </c>
      <c r="E19" s="108" t="b">
        <v>0</v>
      </c>
      <c r="F19" s="109" t="b">
        <v>0</v>
      </c>
      <c r="G19" s="109" t="b">
        <v>0</v>
      </c>
      <c r="H19" s="109" t="b">
        <v>1</v>
      </c>
      <c r="I19" s="109" t="b">
        <v>0</v>
      </c>
      <c r="J19" s="109" t="b">
        <v>0</v>
      </c>
      <c r="K19" s="110" t="b">
        <v>1</v>
      </c>
      <c r="L19" s="110" t="b">
        <v>0</v>
      </c>
    </row>
    <row r="20" spans="2:12" x14ac:dyDescent="0.2">
      <c r="B20" s="13" t="s">
        <v>17</v>
      </c>
      <c r="C20" s="13" t="s">
        <v>17</v>
      </c>
      <c r="D20" s="108" t="b">
        <v>0</v>
      </c>
      <c r="E20" s="108" t="b">
        <v>0</v>
      </c>
      <c r="F20" s="109" t="b">
        <v>0</v>
      </c>
      <c r="G20" s="109" t="b">
        <v>0</v>
      </c>
      <c r="H20" s="109" t="b">
        <v>1</v>
      </c>
      <c r="I20" s="109" t="b">
        <v>0</v>
      </c>
      <c r="J20" s="109" t="b">
        <v>0</v>
      </c>
      <c r="K20" s="110" t="b">
        <v>1</v>
      </c>
      <c r="L20" s="110" t="b">
        <v>0</v>
      </c>
    </row>
    <row r="21" spans="2:12" x14ac:dyDescent="0.2">
      <c r="B21" s="13" t="s">
        <v>18</v>
      </c>
      <c r="C21" s="13" t="s">
        <v>18</v>
      </c>
      <c r="D21" s="108" t="b">
        <v>0</v>
      </c>
      <c r="E21" s="108" t="b">
        <v>0</v>
      </c>
      <c r="F21" s="109" t="b">
        <v>0</v>
      </c>
      <c r="G21" s="109" t="b">
        <v>0</v>
      </c>
      <c r="H21" s="109" t="b">
        <v>0</v>
      </c>
      <c r="I21" s="109" t="b">
        <v>1</v>
      </c>
      <c r="J21" s="109" t="b">
        <v>0</v>
      </c>
      <c r="K21" s="110" t="b">
        <v>1</v>
      </c>
      <c r="L21" s="110" t="b">
        <v>0</v>
      </c>
    </row>
    <row r="22" spans="2:12" x14ac:dyDescent="0.2">
      <c r="B22" s="13" t="s">
        <v>163</v>
      </c>
      <c r="C22" s="13" t="s">
        <v>163</v>
      </c>
      <c r="D22" s="108" t="b">
        <v>1</v>
      </c>
      <c r="E22" s="108" t="b">
        <v>0</v>
      </c>
      <c r="F22" s="109" t="b">
        <v>0</v>
      </c>
      <c r="G22" s="109" t="b">
        <v>0</v>
      </c>
      <c r="H22" s="109" t="b">
        <v>0</v>
      </c>
      <c r="I22" s="109" t="b">
        <v>1</v>
      </c>
      <c r="J22" s="109" t="b">
        <v>0</v>
      </c>
      <c r="K22" s="110" t="b">
        <v>1</v>
      </c>
      <c r="L22" s="110" t="b">
        <v>0</v>
      </c>
    </row>
    <row r="23" spans="2:12" x14ac:dyDescent="0.2">
      <c r="B23" s="13" t="s">
        <v>232</v>
      </c>
      <c r="C23" s="13" t="s">
        <v>232</v>
      </c>
      <c r="D23" s="108" t="b">
        <v>1</v>
      </c>
      <c r="E23" s="108" t="b">
        <v>0</v>
      </c>
      <c r="F23" s="109" t="b">
        <v>0</v>
      </c>
      <c r="G23" s="109" t="b">
        <v>0</v>
      </c>
      <c r="H23" s="109" t="b">
        <v>0</v>
      </c>
      <c r="I23" s="109" t="b">
        <v>1</v>
      </c>
      <c r="J23" s="109" t="b">
        <v>0</v>
      </c>
      <c r="K23" s="110" t="b">
        <v>1</v>
      </c>
      <c r="L23" s="110" t="b">
        <v>0</v>
      </c>
    </row>
    <row r="24" spans="2:12" x14ac:dyDescent="0.2">
      <c r="B24" s="13" t="s">
        <v>26</v>
      </c>
      <c r="C24" s="13" t="s">
        <v>26</v>
      </c>
      <c r="D24" s="108" t="b">
        <v>0</v>
      </c>
      <c r="E24" s="108" t="b">
        <v>0</v>
      </c>
      <c r="F24" s="109" t="b">
        <v>0</v>
      </c>
      <c r="G24" s="109" t="b">
        <v>0</v>
      </c>
      <c r="H24" s="109" t="b">
        <v>0</v>
      </c>
      <c r="I24" s="109" t="b">
        <v>1</v>
      </c>
      <c r="J24" s="109" t="b">
        <v>0</v>
      </c>
      <c r="K24" s="110" t="b">
        <v>1</v>
      </c>
      <c r="L24" s="110" t="b">
        <v>0</v>
      </c>
    </row>
    <row r="25" spans="2:12" x14ac:dyDescent="0.2">
      <c r="B25" s="13" t="s">
        <v>27</v>
      </c>
      <c r="C25" s="13" t="s">
        <v>27</v>
      </c>
      <c r="D25" s="108" t="b">
        <v>0</v>
      </c>
      <c r="E25" s="108" t="b">
        <v>0</v>
      </c>
      <c r="F25" s="109" t="b">
        <v>0</v>
      </c>
      <c r="G25" s="109" t="b">
        <v>0</v>
      </c>
      <c r="H25" s="109" t="b">
        <v>0</v>
      </c>
      <c r="I25" s="109" t="b">
        <v>1</v>
      </c>
      <c r="J25" s="109" t="b">
        <v>0</v>
      </c>
      <c r="K25" s="110" t="b">
        <v>1</v>
      </c>
      <c r="L25" s="110" t="b">
        <v>0</v>
      </c>
    </row>
    <row r="26" spans="2:12" x14ac:dyDescent="0.2">
      <c r="B26" s="13" t="s">
        <v>28</v>
      </c>
      <c r="C26" s="13" t="s">
        <v>28</v>
      </c>
      <c r="D26" s="108" t="b">
        <v>0</v>
      </c>
      <c r="E26" s="108" t="b">
        <v>0</v>
      </c>
      <c r="F26" s="109" t="b">
        <v>0</v>
      </c>
      <c r="G26" s="109" t="b">
        <v>0</v>
      </c>
      <c r="H26" s="109" t="b">
        <v>0</v>
      </c>
      <c r="I26" s="109" t="b">
        <v>1</v>
      </c>
      <c r="J26" s="109" t="b">
        <v>0</v>
      </c>
      <c r="K26" s="110" t="b">
        <v>1</v>
      </c>
      <c r="L26" s="110" t="b">
        <v>0</v>
      </c>
    </row>
    <row r="27" spans="2:12" x14ac:dyDescent="0.2">
      <c r="B27" s="13" t="s">
        <v>29</v>
      </c>
      <c r="C27" s="13" t="s">
        <v>29</v>
      </c>
      <c r="D27" s="108" t="b">
        <v>0</v>
      </c>
      <c r="E27" s="108" t="b">
        <v>0</v>
      </c>
      <c r="F27" s="109" t="b">
        <v>0</v>
      </c>
      <c r="G27" s="109" t="b">
        <v>0</v>
      </c>
      <c r="H27" s="109" t="b">
        <v>0</v>
      </c>
      <c r="I27" s="109" t="b">
        <v>1</v>
      </c>
      <c r="J27" s="109" t="b">
        <v>0</v>
      </c>
      <c r="K27" s="110" t="b">
        <v>1</v>
      </c>
      <c r="L27" s="110" t="b">
        <v>0</v>
      </c>
    </row>
    <row r="28" spans="2:12" x14ac:dyDescent="0.2">
      <c r="B28" s="13" t="s">
        <v>30</v>
      </c>
      <c r="C28" s="13" t="s">
        <v>30</v>
      </c>
      <c r="D28" s="108" t="b">
        <v>0</v>
      </c>
      <c r="E28" s="108" t="b">
        <v>0</v>
      </c>
      <c r="F28" s="109" t="b">
        <v>0</v>
      </c>
      <c r="G28" s="109" t="b">
        <v>0</v>
      </c>
      <c r="H28" s="109" t="b">
        <v>0</v>
      </c>
      <c r="I28" s="109" t="b">
        <v>1</v>
      </c>
      <c r="J28" s="109" t="b">
        <v>0</v>
      </c>
      <c r="K28" s="110" t="b">
        <v>1</v>
      </c>
      <c r="L28" s="110" t="b">
        <v>0</v>
      </c>
    </row>
    <row r="29" spans="2:12" x14ac:dyDescent="0.2">
      <c r="B29" s="13" t="s">
        <v>20</v>
      </c>
      <c r="C29" s="13" t="s">
        <v>20</v>
      </c>
      <c r="D29" s="108" t="b">
        <v>1</v>
      </c>
      <c r="E29" s="108" t="b">
        <v>0</v>
      </c>
      <c r="F29" s="109" t="b">
        <v>0</v>
      </c>
      <c r="G29" s="109" t="b">
        <v>0</v>
      </c>
      <c r="H29" s="109" t="b">
        <v>0</v>
      </c>
      <c r="I29" s="109" t="b">
        <v>1</v>
      </c>
      <c r="J29" s="109" t="b">
        <v>0</v>
      </c>
      <c r="K29" s="110" t="b">
        <v>1</v>
      </c>
      <c r="L29" s="110" t="b">
        <v>0</v>
      </c>
    </row>
    <row r="30" spans="2:12" x14ac:dyDescent="0.2">
      <c r="B30" s="13" t="s">
        <v>21</v>
      </c>
      <c r="C30" s="13" t="s">
        <v>21</v>
      </c>
      <c r="D30" s="108" t="b">
        <v>1</v>
      </c>
      <c r="E30" s="108" t="b">
        <v>0</v>
      </c>
      <c r="F30" s="109" t="b">
        <v>0</v>
      </c>
      <c r="G30" s="109" t="b">
        <v>0</v>
      </c>
      <c r="H30" s="109" t="b">
        <v>0</v>
      </c>
      <c r="I30" s="109" t="b">
        <v>0</v>
      </c>
      <c r="J30" s="109" t="b">
        <v>0</v>
      </c>
      <c r="K30" s="110" t="b">
        <v>1</v>
      </c>
      <c r="L30" s="110" t="b">
        <v>0</v>
      </c>
    </row>
    <row r="31" spans="2:12" x14ac:dyDescent="0.2">
      <c r="B31" s="13" t="s">
        <v>233</v>
      </c>
      <c r="C31" s="13" t="s">
        <v>115</v>
      </c>
      <c r="D31" s="108" t="b">
        <v>1</v>
      </c>
      <c r="E31" s="108" t="b">
        <v>0</v>
      </c>
      <c r="F31" s="109" t="b">
        <v>0</v>
      </c>
      <c r="G31" s="109" t="b">
        <v>0</v>
      </c>
      <c r="H31" s="109" t="b">
        <v>0</v>
      </c>
      <c r="I31" s="109" t="b">
        <v>0</v>
      </c>
      <c r="J31" s="109" t="b">
        <v>1</v>
      </c>
      <c r="K31" s="110" t="b">
        <v>1</v>
      </c>
      <c r="L31" s="110" t="b">
        <v>0</v>
      </c>
    </row>
    <row r="32" spans="2:12" x14ac:dyDescent="0.2">
      <c r="B32" s="13" t="s">
        <v>234</v>
      </c>
      <c r="C32" s="13" t="s">
        <v>114</v>
      </c>
      <c r="D32" s="108" t="b">
        <v>1</v>
      </c>
      <c r="E32" s="108" t="b">
        <v>0</v>
      </c>
      <c r="F32" s="109" t="b">
        <v>0</v>
      </c>
      <c r="G32" s="109" t="b">
        <v>0</v>
      </c>
      <c r="H32" s="109" t="b">
        <v>0</v>
      </c>
      <c r="I32" s="109" t="b">
        <v>0</v>
      </c>
      <c r="J32" s="109" t="b">
        <v>1</v>
      </c>
      <c r="K32" s="110" t="b">
        <v>1</v>
      </c>
      <c r="L32" s="110" t="b">
        <v>0</v>
      </c>
    </row>
    <row r="33" spans="2:12" x14ac:dyDescent="0.2">
      <c r="B33" s="13" t="s">
        <v>235</v>
      </c>
      <c r="C33" s="13" t="s">
        <v>113</v>
      </c>
      <c r="D33" s="108" t="b">
        <v>1</v>
      </c>
      <c r="E33" s="108" t="b">
        <v>0</v>
      </c>
      <c r="F33" s="109" t="b">
        <v>0</v>
      </c>
      <c r="G33" s="109" t="b">
        <v>0</v>
      </c>
      <c r="H33" s="109" t="b">
        <v>0</v>
      </c>
      <c r="I33" s="109" t="b">
        <v>0</v>
      </c>
      <c r="J33" s="109" t="b">
        <v>1</v>
      </c>
      <c r="K33" s="110" t="b">
        <v>1</v>
      </c>
      <c r="L33" s="110" t="b">
        <v>0</v>
      </c>
    </row>
    <row r="34" spans="2:12" x14ac:dyDescent="0.2">
      <c r="B34" s="13" t="s">
        <v>236</v>
      </c>
      <c r="C34" s="13" t="s">
        <v>188</v>
      </c>
      <c r="D34" s="108" t="b">
        <v>1</v>
      </c>
      <c r="E34" s="108" t="b">
        <v>0</v>
      </c>
      <c r="F34" s="109" t="b">
        <v>0</v>
      </c>
      <c r="G34" s="109" t="b">
        <v>0</v>
      </c>
      <c r="H34" s="109" t="b">
        <v>0</v>
      </c>
      <c r="I34" s="109" t="b">
        <v>0</v>
      </c>
      <c r="J34" s="109" t="b">
        <v>1</v>
      </c>
      <c r="K34" s="110" t="b">
        <v>1</v>
      </c>
      <c r="L34" s="110" t="b">
        <v>0</v>
      </c>
    </row>
    <row r="35" spans="2:12" x14ac:dyDescent="0.2">
      <c r="B35" s="13" t="s">
        <v>237</v>
      </c>
      <c r="C35" s="13" t="s">
        <v>32</v>
      </c>
      <c r="D35" s="108" t="b">
        <v>1</v>
      </c>
      <c r="E35" s="108" t="b">
        <v>0</v>
      </c>
      <c r="F35" s="109" t="b">
        <v>0</v>
      </c>
      <c r="G35" s="109" t="b">
        <v>0</v>
      </c>
      <c r="H35" s="109" t="b">
        <v>0</v>
      </c>
      <c r="I35" s="109" t="b">
        <v>0</v>
      </c>
      <c r="J35" s="109" t="b">
        <v>1</v>
      </c>
      <c r="K35" s="110" t="b">
        <v>1</v>
      </c>
      <c r="L35" s="110" t="b">
        <v>0</v>
      </c>
    </row>
    <row r="36" spans="2:12" x14ac:dyDescent="0.2">
      <c r="B36" s="13" t="s">
        <v>238</v>
      </c>
      <c r="C36" s="13" t="s">
        <v>262</v>
      </c>
      <c r="D36" s="108" t="b">
        <v>1</v>
      </c>
      <c r="E36" s="108" t="b">
        <v>0</v>
      </c>
      <c r="F36" s="109" t="b">
        <v>0</v>
      </c>
      <c r="G36" s="109" t="b">
        <v>0</v>
      </c>
      <c r="H36" s="109" t="b">
        <v>0</v>
      </c>
      <c r="I36" s="109" t="b">
        <v>0</v>
      </c>
      <c r="J36" s="109" t="b">
        <v>1</v>
      </c>
      <c r="K36" s="110" t="b">
        <v>1</v>
      </c>
      <c r="L36" s="110" t="b">
        <v>0</v>
      </c>
    </row>
    <row r="37" spans="2:12" x14ac:dyDescent="0.2">
      <c r="B37" s="13" t="s">
        <v>239</v>
      </c>
      <c r="C37" s="13" t="s">
        <v>105</v>
      </c>
      <c r="D37" s="108" t="b">
        <v>1</v>
      </c>
      <c r="E37" s="108" t="b">
        <v>0</v>
      </c>
      <c r="F37" s="109" t="b">
        <v>0</v>
      </c>
      <c r="G37" s="109" t="b">
        <v>0</v>
      </c>
      <c r="H37" s="109" t="b">
        <v>0</v>
      </c>
      <c r="I37" s="109" t="b">
        <v>0</v>
      </c>
      <c r="J37" s="109" t="b">
        <v>1</v>
      </c>
      <c r="K37" s="110" t="b">
        <v>1</v>
      </c>
      <c r="L37" s="110" t="b">
        <v>0</v>
      </c>
    </row>
    <row r="38" spans="2:12" x14ac:dyDescent="0.2">
      <c r="B38" s="13" t="s">
        <v>240</v>
      </c>
      <c r="C38" s="13" t="s">
        <v>165</v>
      </c>
      <c r="D38" s="108" t="b">
        <v>1</v>
      </c>
      <c r="E38" s="108" t="b">
        <v>0</v>
      </c>
      <c r="F38" s="109" t="b">
        <v>0</v>
      </c>
      <c r="G38" s="109" t="b">
        <v>0</v>
      </c>
      <c r="H38" s="109" t="b">
        <v>0</v>
      </c>
      <c r="I38" s="109" t="b">
        <v>0</v>
      </c>
      <c r="J38" s="109" t="b">
        <v>1</v>
      </c>
      <c r="K38" s="110" t="b">
        <v>1</v>
      </c>
      <c r="L38" s="110" t="b">
        <v>0</v>
      </c>
    </row>
    <row r="39" spans="2:12" x14ac:dyDescent="0.2">
      <c r="B39" s="13" t="s">
        <v>241</v>
      </c>
      <c r="C39" s="13" t="s">
        <v>166</v>
      </c>
      <c r="D39" s="108" t="b">
        <v>1</v>
      </c>
      <c r="E39" s="108" t="b">
        <v>0</v>
      </c>
      <c r="F39" s="109" t="b">
        <v>0</v>
      </c>
      <c r="G39" s="109" t="b">
        <v>0</v>
      </c>
      <c r="H39" s="109" t="b">
        <v>0</v>
      </c>
      <c r="I39" s="109" t="b">
        <v>0</v>
      </c>
      <c r="J39" s="109" t="b">
        <v>1</v>
      </c>
      <c r="K39" s="110" t="b">
        <v>1</v>
      </c>
      <c r="L39" s="110" t="b">
        <v>0</v>
      </c>
    </row>
    <row r="40" spans="2:12" x14ac:dyDescent="0.2">
      <c r="B40" s="13" t="s">
        <v>242</v>
      </c>
      <c r="C40" s="13" t="s">
        <v>149</v>
      </c>
      <c r="D40" s="108" t="b">
        <v>1</v>
      </c>
      <c r="E40" s="108" t="b">
        <v>0</v>
      </c>
      <c r="F40" s="109" t="b">
        <v>0</v>
      </c>
      <c r="G40" s="109" t="b">
        <v>0</v>
      </c>
      <c r="H40" s="109" t="b">
        <v>0</v>
      </c>
      <c r="I40" s="109" t="b">
        <v>0</v>
      </c>
      <c r="J40" s="109" t="b">
        <v>1</v>
      </c>
      <c r="K40" s="110" t="b">
        <v>1</v>
      </c>
      <c r="L40" s="110" t="b">
        <v>0</v>
      </c>
    </row>
    <row r="41" spans="2:12" x14ac:dyDescent="0.2">
      <c r="B41" s="13" t="s">
        <v>242</v>
      </c>
      <c r="C41" s="13" t="s">
        <v>149</v>
      </c>
      <c r="D41" s="108" t="b">
        <v>1</v>
      </c>
      <c r="E41" s="108" t="b">
        <v>0</v>
      </c>
      <c r="F41" s="109" t="b">
        <v>0</v>
      </c>
      <c r="G41" s="109" t="b">
        <v>0</v>
      </c>
      <c r="H41" s="109" t="b">
        <v>0</v>
      </c>
      <c r="I41" s="109" t="b">
        <v>0</v>
      </c>
      <c r="J41" s="109" t="b">
        <v>1</v>
      </c>
      <c r="K41" s="110" t="b">
        <v>1</v>
      </c>
      <c r="L41" s="110" t="b">
        <v>0</v>
      </c>
    </row>
    <row r="42" spans="2:12" x14ac:dyDescent="0.2">
      <c r="B42" s="13" t="s">
        <v>243</v>
      </c>
      <c r="C42" s="13" t="s">
        <v>33</v>
      </c>
      <c r="D42" s="108" t="b">
        <v>1</v>
      </c>
      <c r="E42" s="108" t="b">
        <v>0</v>
      </c>
      <c r="F42" s="109" t="b">
        <v>0</v>
      </c>
      <c r="G42" s="109" t="b">
        <v>0</v>
      </c>
      <c r="H42" s="109" t="b">
        <v>0</v>
      </c>
      <c r="I42" s="109" t="b">
        <v>0</v>
      </c>
      <c r="J42" s="109" t="b">
        <v>1</v>
      </c>
      <c r="K42" s="110" t="b">
        <v>1</v>
      </c>
      <c r="L42" s="110" t="b">
        <v>0</v>
      </c>
    </row>
    <row r="43" spans="2:12" x14ac:dyDescent="0.2">
      <c r="B43" s="13" t="s">
        <v>244</v>
      </c>
      <c r="C43" s="13" t="s">
        <v>34</v>
      </c>
      <c r="D43" s="108" t="b">
        <v>1</v>
      </c>
      <c r="E43" s="108" t="b">
        <v>0</v>
      </c>
      <c r="F43" s="109" t="b">
        <v>0</v>
      </c>
      <c r="G43" s="109" t="b">
        <v>0</v>
      </c>
      <c r="H43" s="109" t="b">
        <v>0</v>
      </c>
      <c r="I43" s="109" t="b">
        <v>0</v>
      </c>
      <c r="J43" s="109" t="b">
        <v>1</v>
      </c>
      <c r="K43" s="110" t="b">
        <v>1</v>
      </c>
      <c r="L43" s="110" t="b">
        <v>0</v>
      </c>
    </row>
    <row r="44" spans="2:12" x14ac:dyDescent="0.2">
      <c r="B44" s="13" t="s">
        <v>195</v>
      </c>
      <c r="C44" s="13" t="s">
        <v>195</v>
      </c>
      <c r="D44" s="108" t="b">
        <v>1</v>
      </c>
      <c r="E44" s="108" t="b">
        <v>0</v>
      </c>
      <c r="F44" s="109" t="b">
        <v>1</v>
      </c>
      <c r="G44" s="109" t="b">
        <v>1</v>
      </c>
      <c r="H44" s="109" t="b">
        <v>1</v>
      </c>
      <c r="I44" s="109" t="b">
        <v>1</v>
      </c>
      <c r="J44" s="109" t="b">
        <v>1</v>
      </c>
      <c r="K44" s="110" t="b">
        <v>1</v>
      </c>
      <c r="L44" s="110" t="b">
        <v>0</v>
      </c>
    </row>
    <row r="45" spans="2:12" x14ac:dyDescent="0.2">
      <c r="B45" s="113" t="s">
        <v>245</v>
      </c>
      <c r="C45" s="113" t="s">
        <v>245</v>
      </c>
      <c r="D45" s="108" t="b">
        <v>1</v>
      </c>
      <c r="E45" s="108" t="b">
        <v>0</v>
      </c>
      <c r="F45" s="109" t="b">
        <v>1</v>
      </c>
      <c r="G45" s="109" t="b">
        <v>1</v>
      </c>
      <c r="H45" s="109" t="b">
        <v>1</v>
      </c>
      <c r="I45" s="109" t="b">
        <v>1</v>
      </c>
      <c r="J45" s="109" t="b">
        <v>1</v>
      </c>
      <c r="K45" s="110" t="b">
        <v>1</v>
      </c>
      <c r="L45" s="110" t="b">
        <v>1</v>
      </c>
    </row>
    <row r="46" spans="2:12" x14ac:dyDescent="0.2">
      <c r="B46" s="13" t="s">
        <v>247</v>
      </c>
      <c r="C46" s="13" t="s">
        <v>254</v>
      </c>
      <c r="D46" s="108" t="b">
        <v>0</v>
      </c>
      <c r="E46" s="108" t="b">
        <v>1</v>
      </c>
      <c r="F46" s="109" t="b">
        <v>1</v>
      </c>
      <c r="G46" s="109" t="b">
        <v>0</v>
      </c>
      <c r="H46" s="109" t="b">
        <v>0</v>
      </c>
      <c r="I46" s="109" t="b">
        <v>0</v>
      </c>
      <c r="J46" s="109" t="b">
        <v>0</v>
      </c>
      <c r="K46" s="110" t="b">
        <v>1</v>
      </c>
      <c r="L46" s="110" t="b">
        <v>0</v>
      </c>
    </row>
    <row r="47" spans="2:12" x14ac:dyDescent="0.2">
      <c r="B47" s="13" t="s">
        <v>248</v>
      </c>
      <c r="C47" s="13" t="s">
        <v>255</v>
      </c>
      <c r="D47" s="108" t="b">
        <v>0</v>
      </c>
      <c r="E47" s="108" t="b">
        <v>1</v>
      </c>
      <c r="F47" s="109" t="b">
        <v>1</v>
      </c>
      <c r="G47" s="109" t="b">
        <v>0</v>
      </c>
      <c r="H47" s="109" t="b">
        <v>0</v>
      </c>
      <c r="I47" s="109" t="b">
        <v>0</v>
      </c>
      <c r="J47" s="109" t="b">
        <v>0</v>
      </c>
      <c r="K47" s="110" t="b">
        <v>1</v>
      </c>
      <c r="L47" s="110" t="b">
        <v>0</v>
      </c>
    </row>
    <row r="48" spans="2:12" x14ac:dyDescent="0.2">
      <c r="B48" s="13" t="s">
        <v>249</v>
      </c>
      <c r="C48" s="13" t="s">
        <v>256</v>
      </c>
      <c r="D48" s="108" t="b">
        <v>0</v>
      </c>
      <c r="E48" s="108" t="b">
        <v>1</v>
      </c>
      <c r="F48" s="109" t="b">
        <v>1</v>
      </c>
      <c r="G48" s="109" t="b">
        <v>0</v>
      </c>
      <c r="H48" s="109" t="b">
        <v>0</v>
      </c>
      <c r="I48" s="109" t="b">
        <v>0</v>
      </c>
      <c r="J48" s="109" t="b">
        <v>0</v>
      </c>
      <c r="K48" s="110" t="b">
        <v>1</v>
      </c>
      <c r="L48" s="110" t="b">
        <v>0</v>
      </c>
    </row>
    <row r="49" spans="2:12" x14ac:dyDescent="0.2">
      <c r="B49" s="13" t="s">
        <v>250</v>
      </c>
      <c r="C49" s="13" t="s">
        <v>257</v>
      </c>
      <c r="D49" s="108" t="b">
        <v>0</v>
      </c>
      <c r="E49" s="108" t="b">
        <v>1</v>
      </c>
      <c r="F49" s="109" t="b">
        <v>1</v>
      </c>
      <c r="G49" s="109" t="b">
        <v>0</v>
      </c>
      <c r="H49" s="109" t="b">
        <v>0</v>
      </c>
      <c r="I49" s="109" t="b">
        <v>0</v>
      </c>
      <c r="J49" s="109" t="b">
        <v>0</v>
      </c>
      <c r="K49" s="110" t="b">
        <v>1</v>
      </c>
      <c r="L49" s="110" t="b">
        <v>0</v>
      </c>
    </row>
    <row r="50" spans="2:12" x14ac:dyDescent="0.2">
      <c r="B50" s="13" t="s">
        <v>251</v>
      </c>
      <c r="C50" s="13" t="s">
        <v>258</v>
      </c>
      <c r="D50" s="108" t="b">
        <v>0</v>
      </c>
      <c r="E50" s="108" t="b">
        <v>1</v>
      </c>
      <c r="F50" s="109" t="b">
        <v>0</v>
      </c>
      <c r="G50" s="109" t="b">
        <v>0</v>
      </c>
      <c r="H50" s="109" t="b">
        <v>1</v>
      </c>
      <c r="I50" s="109" t="b">
        <v>0</v>
      </c>
      <c r="J50" s="109" t="b">
        <v>0</v>
      </c>
      <c r="K50" s="110" t="b">
        <v>1</v>
      </c>
      <c r="L50" s="110" t="b">
        <v>0</v>
      </c>
    </row>
    <row r="51" spans="2:12" x14ac:dyDescent="0.2">
      <c r="B51" s="13" t="s">
        <v>252</v>
      </c>
      <c r="C51" s="13" t="s">
        <v>259</v>
      </c>
      <c r="D51" s="108" t="b">
        <v>0</v>
      </c>
      <c r="E51" s="108" t="b">
        <v>1</v>
      </c>
      <c r="F51" s="109" t="b">
        <v>0</v>
      </c>
      <c r="G51" s="109" t="b">
        <v>0</v>
      </c>
      <c r="H51" s="109" t="b">
        <v>1</v>
      </c>
      <c r="I51" s="109" t="b">
        <v>0</v>
      </c>
      <c r="J51" s="109" t="b">
        <v>0</v>
      </c>
      <c r="K51" s="110" t="b">
        <v>1</v>
      </c>
      <c r="L51" s="110" t="b">
        <v>0</v>
      </c>
    </row>
    <row r="52" spans="2:12" x14ac:dyDescent="0.2">
      <c r="B52" s="13" t="s">
        <v>253</v>
      </c>
      <c r="C52" s="13" t="s">
        <v>260</v>
      </c>
      <c r="D52" s="108" t="b">
        <v>0</v>
      </c>
      <c r="E52" s="108" t="b">
        <v>1</v>
      </c>
      <c r="F52" s="109" t="b">
        <v>0</v>
      </c>
      <c r="G52" s="109" t="b">
        <v>0</v>
      </c>
      <c r="H52" s="109" t="b">
        <v>0</v>
      </c>
      <c r="I52" s="109" t="b">
        <v>1</v>
      </c>
      <c r="J52" s="109" t="b">
        <v>0</v>
      </c>
      <c r="K52" s="110" t="b">
        <v>1</v>
      </c>
      <c r="L52" s="110" t="b">
        <v>0</v>
      </c>
    </row>
    <row r="53" spans="2:12" x14ac:dyDescent="0.2">
      <c r="B53" s="113" t="s">
        <v>246</v>
      </c>
      <c r="C53" s="113" t="s">
        <v>246</v>
      </c>
      <c r="D53" s="108" t="b">
        <v>0</v>
      </c>
      <c r="E53" s="108" t="b">
        <v>1</v>
      </c>
      <c r="F53" s="109" t="b">
        <v>1</v>
      </c>
      <c r="G53" s="109" t="b">
        <v>1</v>
      </c>
      <c r="H53" s="109" t="b">
        <v>1</v>
      </c>
      <c r="I53" s="109" t="b">
        <v>1</v>
      </c>
      <c r="J53" s="109" t="b">
        <v>1</v>
      </c>
      <c r="K53" s="110" t="b">
        <v>1</v>
      </c>
      <c r="L53" s="110" t="b">
        <v>1</v>
      </c>
    </row>
  </sheetData>
  <conditionalFormatting sqref="D2:L53">
    <cfRule type="expression" dxfId="0" priority="3" stopIfTrue="1">
      <formula>D2=TRUE</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88</vt:i4>
      </vt:variant>
    </vt:vector>
  </HeadingPairs>
  <TitlesOfParts>
    <vt:vector size="94" baseType="lpstr">
      <vt:lpstr>Project Application</vt:lpstr>
      <vt:lpstr>drop-down for arrays</vt:lpstr>
      <vt:lpstr>drop-down menu data</vt:lpstr>
      <vt:lpstr>Sheet3</vt:lpstr>
      <vt:lpstr>ValidatedSpecies</vt:lpstr>
      <vt:lpstr>Sheet1</vt:lpstr>
      <vt:lpstr>Affilitaion</vt:lpstr>
      <vt:lpstr>AI1_Email</vt:lpstr>
      <vt:lpstr>AI1_Name</vt:lpstr>
      <vt:lpstr>AI1_Phone</vt:lpstr>
      <vt:lpstr>AI2_Email</vt:lpstr>
      <vt:lpstr>AI2_Name</vt:lpstr>
      <vt:lpstr>AI2_Phone</vt:lpstr>
      <vt:lpstr>AnalysisAssist</vt:lpstr>
      <vt:lpstr>AnalysisExperience</vt:lpstr>
      <vt:lpstr>AnalysisProgram</vt:lpstr>
      <vt:lpstr>AreComparisonProjects</vt:lpstr>
      <vt:lpstr>ArrayDropDownInputRange</vt:lpstr>
      <vt:lpstr>BioanalyzerChipType</vt:lpstr>
      <vt:lpstr>ComboIdToListIdEvaluationRange</vt:lpstr>
      <vt:lpstr>Comparison_Projects</vt:lpstr>
      <vt:lpstr>currentArrayOptionsindex</vt:lpstr>
      <vt:lpstr>currentPlatformIndex</vt:lpstr>
      <vt:lpstr>currentSelectedArrayComboIndex</vt:lpstr>
      <vt:lpstr>currentSpeciesIndex</vt:lpstr>
      <vt:lpstr>DA_Email</vt:lpstr>
      <vt:lpstr>DA_Name</vt:lpstr>
      <vt:lpstr>DA_Phone</vt:lpstr>
      <vt:lpstr>DataUse_Grant</vt:lpstr>
      <vt:lpstr>DataUse_Manuscript</vt:lpstr>
      <vt:lpstr>DataUse_Other</vt:lpstr>
      <vt:lpstr>DataUse_PreliminaryData</vt:lpstr>
      <vt:lpstr>ExpDesignType</vt:lpstr>
      <vt:lpstr>GeneChip1</vt:lpstr>
      <vt:lpstr>GenomeArrayAssay</vt:lpstr>
      <vt:lpstr>Grant_Deadline</vt:lpstr>
      <vt:lpstr>Grant_Title</vt:lpstr>
      <vt:lpstr>Home</vt:lpstr>
      <vt:lpstr>IdQueryString</vt:lpstr>
      <vt:lpstr>IRB</vt:lpstr>
      <vt:lpstr>IRBDate</vt:lpstr>
      <vt:lpstr>is_other</vt:lpstr>
      <vt:lpstr>Isolation</vt:lpstr>
      <vt:lpstr>location</vt:lpstr>
      <vt:lpstr>MasterArrayList</vt:lpstr>
      <vt:lpstr>NumberOfSamples</vt:lpstr>
      <vt:lpstr>PI_Affiliation</vt:lpstr>
      <vt:lpstr>PI_Affiliation_Other</vt:lpstr>
      <vt:lpstr>PI_Dept</vt:lpstr>
      <vt:lpstr>PI_Email</vt:lpstr>
      <vt:lpstr>PI_Fax</vt:lpstr>
      <vt:lpstr>PI_MailCode</vt:lpstr>
      <vt:lpstr>PI_Name</vt:lpstr>
      <vt:lpstr>PI_Phone</vt:lpstr>
      <vt:lpstr>'drop-down menu data'!Print_Area</vt:lpstr>
      <vt:lpstr>'Project Application'!Print_Area</vt:lpstr>
      <vt:lpstr>Project_Date</vt:lpstr>
      <vt:lpstr>ProjectAims</vt:lpstr>
      <vt:lpstr>ProjectExpPlan</vt:lpstr>
      <vt:lpstr>ProjectSubmittor</vt:lpstr>
      <vt:lpstr>ProjectTitle</vt:lpstr>
      <vt:lpstr>rhesus</vt:lpstr>
      <vt:lpstr>RNAAmpAndLab</vt:lpstr>
      <vt:lpstr>RNAIsolationMethod</vt:lpstr>
      <vt:lpstr>RNAIsolationMethodOther</vt:lpstr>
      <vt:lpstr>RNAQuality</vt:lpstr>
      <vt:lpstr>rnatype</vt:lpstr>
      <vt:lpstr>rnatype1</vt:lpstr>
      <vt:lpstr>sampledesign</vt:lpstr>
      <vt:lpstr>sampledesign1</vt:lpstr>
      <vt:lpstr>samplesource</vt:lpstr>
      <vt:lpstr>SamplesReady</vt:lpstr>
      <vt:lpstr>SamplesResuspendedIn</vt:lpstr>
      <vt:lpstr>samplestate</vt:lpstr>
      <vt:lpstr>Species</vt:lpstr>
      <vt:lpstr>Species_raw</vt:lpstr>
      <vt:lpstr>Species1</vt:lpstr>
      <vt:lpstr>SS_Email</vt:lpstr>
      <vt:lpstr>SS_Name</vt:lpstr>
      <vt:lpstr>SS_Phone</vt:lpstr>
      <vt:lpstr>StatisticianConsulted</vt:lpstr>
      <vt:lpstr>stockedhuman</vt:lpstr>
      <vt:lpstr>stockedmouse</vt:lpstr>
      <vt:lpstr>stockedmouse1</vt:lpstr>
      <vt:lpstr>stockedmouse2</vt:lpstr>
      <vt:lpstr>stockedrat</vt:lpstr>
      <vt:lpstr>test</vt:lpstr>
      <vt:lpstr>unstockedhuman</vt:lpstr>
      <vt:lpstr>unstockedmouse</vt:lpstr>
      <vt:lpstr>unstockedmouse1</vt:lpstr>
      <vt:lpstr>unstockedother</vt:lpstr>
      <vt:lpstr>unstockedrat</vt:lpstr>
      <vt:lpstr>yesno</vt:lpstr>
      <vt:lpstr>yesnopending</vt:lpstr>
    </vt:vector>
  </TitlesOfParts>
  <Company>Oregon Health and Science University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wintherm</dc:creator>
  <cp:lastModifiedBy>Chris Harrington</cp:lastModifiedBy>
  <cp:lastPrinted>2012-09-25T01:30:18Z</cp:lastPrinted>
  <dcterms:created xsi:type="dcterms:W3CDTF">2003-12-12T21:38:03Z</dcterms:created>
  <dcterms:modified xsi:type="dcterms:W3CDTF">2012-12-24T22:38:37Z</dcterms:modified>
</cp:coreProperties>
</file>