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865" windowWidth="9675" windowHeight="5355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R6" i="8" l="1"/>
  <c r="R5" i="8"/>
  <c r="R4" i="8"/>
  <c r="Q5" i="8"/>
  <c r="D11" i="6"/>
  <c r="O4" i="8"/>
  <c r="N6" i="8"/>
  <c r="N5" i="8"/>
  <c r="N4" i="8"/>
  <c r="M6" i="8"/>
  <c r="M5" i="8"/>
  <c r="M4" i="8"/>
  <c r="I6" i="8"/>
  <c r="I5" i="8"/>
  <c r="I4" i="8"/>
  <c r="H6" i="8"/>
  <c r="H5" i="8"/>
  <c r="H4" i="8"/>
  <c r="F6" i="8"/>
  <c r="F5" i="8"/>
  <c r="F4" i="8"/>
  <c r="D6" i="8"/>
  <c r="D5" i="8"/>
  <c r="D4" i="8"/>
  <c r="H9" i="6"/>
  <c r="H7" i="6"/>
  <c r="H6" i="6"/>
  <c r="F9" i="6"/>
  <c r="E9" i="6"/>
  <c r="F7" i="6"/>
  <c r="E7" i="6"/>
  <c r="D9" i="6"/>
  <c r="D7" i="6"/>
  <c r="D6" i="6"/>
  <c r="C9" i="6"/>
  <c r="C8" i="6"/>
  <c r="C10" i="6"/>
  <c r="C7" i="6"/>
  <c r="C6" i="6"/>
  <c r="B9" i="6"/>
  <c r="B7" i="6"/>
  <c r="B6" i="6"/>
  <c r="H1096" i="1"/>
  <c r="E6" i="6"/>
  <c r="E5" i="8"/>
  <c r="H1095" i="1"/>
  <c r="H1094" i="1"/>
  <c r="H1093" i="1"/>
  <c r="I1093" i="1"/>
  <c r="I1092" i="1"/>
  <c r="H1092" i="1"/>
  <c r="V1112" i="7"/>
  <c r="Y1113" i="7"/>
  <c r="S1115" i="7"/>
  <c r="S1117" i="7"/>
  <c r="Y1120" i="7"/>
  <c r="B1104" i="7"/>
  <c r="C1104" i="7"/>
  <c r="E1104" i="7"/>
  <c r="F1104" i="7"/>
  <c r="G1104" i="7"/>
  <c r="H1104" i="7"/>
  <c r="J1104" i="7"/>
  <c r="K1104" i="7"/>
  <c r="L1104" i="7"/>
  <c r="M1104" i="7"/>
  <c r="P1104" i="7"/>
  <c r="B1105" i="7"/>
  <c r="C1105" i="7"/>
  <c r="E1105" i="7"/>
  <c r="F1105" i="7"/>
  <c r="G1105" i="7"/>
  <c r="H1105" i="7"/>
  <c r="J1105" i="7"/>
  <c r="K1105" i="7"/>
  <c r="L1105" i="7"/>
  <c r="M1105" i="7"/>
  <c r="P1105" i="7"/>
  <c r="B1106" i="7"/>
  <c r="C1106" i="7"/>
  <c r="E1106" i="7"/>
  <c r="F1106" i="7"/>
  <c r="G1106" i="7"/>
  <c r="H1106" i="7"/>
  <c r="J1106" i="7"/>
  <c r="K1106" i="7"/>
  <c r="L1106" i="7"/>
  <c r="M1106" i="7"/>
  <c r="P1106" i="7"/>
  <c r="B1107" i="7"/>
  <c r="C1107" i="7"/>
  <c r="E1107" i="7"/>
  <c r="F1107" i="7"/>
  <c r="G1107" i="7"/>
  <c r="H1107" i="7"/>
  <c r="J1107" i="7"/>
  <c r="K1107" i="7"/>
  <c r="L1107" i="7"/>
  <c r="M1107" i="7"/>
  <c r="P1107" i="7"/>
  <c r="B1108" i="7"/>
  <c r="C1108" i="7"/>
  <c r="E1108" i="7"/>
  <c r="F1108" i="7"/>
  <c r="G1108" i="7"/>
  <c r="H1108" i="7"/>
  <c r="J1108" i="7"/>
  <c r="K1108" i="7"/>
  <c r="L1108" i="7"/>
  <c r="M1108" i="7"/>
  <c r="P1108" i="7"/>
  <c r="B1109" i="7"/>
  <c r="C1109" i="7"/>
  <c r="E1109" i="7"/>
  <c r="F1109" i="7"/>
  <c r="G1109" i="7"/>
  <c r="H1109" i="7"/>
  <c r="J1109" i="7"/>
  <c r="K1109" i="7"/>
  <c r="L1109" i="7"/>
  <c r="M1109" i="7"/>
  <c r="P1109" i="7"/>
  <c r="B1110" i="7"/>
  <c r="C1110" i="7"/>
  <c r="E1110" i="7"/>
  <c r="F1110" i="7"/>
  <c r="G1110" i="7"/>
  <c r="H1110" i="7"/>
  <c r="J1110" i="7"/>
  <c r="K1110" i="7"/>
  <c r="L1110" i="7"/>
  <c r="M1110" i="7"/>
  <c r="P1110" i="7"/>
  <c r="B1111" i="7"/>
  <c r="C1111" i="7"/>
  <c r="E1111" i="7"/>
  <c r="F1111" i="7"/>
  <c r="G1111" i="7"/>
  <c r="H1111" i="7"/>
  <c r="J1111" i="7"/>
  <c r="K1111" i="7"/>
  <c r="L1111" i="7"/>
  <c r="M1111" i="7"/>
  <c r="P1111" i="7"/>
  <c r="B1112" i="7"/>
  <c r="C1112" i="7"/>
  <c r="E1112" i="7"/>
  <c r="F1112" i="7"/>
  <c r="G1112" i="7"/>
  <c r="H1112" i="7"/>
  <c r="J1112" i="7"/>
  <c r="K1112" i="7"/>
  <c r="L1112" i="7"/>
  <c r="M1112" i="7"/>
  <c r="P1112" i="7"/>
  <c r="B1113" i="7"/>
  <c r="C1113" i="7"/>
  <c r="E1113" i="7"/>
  <c r="F1113" i="7"/>
  <c r="G1113" i="7"/>
  <c r="H1113" i="7"/>
  <c r="J1113" i="7"/>
  <c r="K1113" i="7"/>
  <c r="L1113" i="7"/>
  <c r="M1113" i="7"/>
  <c r="P1113" i="7"/>
  <c r="B1114" i="7"/>
  <c r="C1114" i="7"/>
  <c r="E1114" i="7"/>
  <c r="F1114" i="7"/>
  <c r="G1114" i="7"/>
  <c r="H1114" i="7"/>
  <c r="J1114" i="7"/>
  <c r="K1114" i="7"/>
  <c r="L1114" i="7"/>
  <c r="M1114" i="7"/>
  <c r="P1114" i="7"/>
  <c r="B1115" i="7"/>
  <c r="C1115" i="7"/>
  <c r="E1115" i="7"/>
  <c r="F1115" i="7"/>
  <c r="G1115" i="7"/>
  <c r="H1115" i="7"/>
  <c r="J1115" i="7"/>
  <c r="K1115" i="7"/>
  <c r="L1115" i="7"/>
  <c r="M1115" i="7"/>
  <c r="P1115" i="7"/>
  <c r="B1116" i="7"/>
  <c r="C1116" i="7"/>
  <c r="E1116" i="7"/>
  <c r="F1116" i="7"/>
  <c r="G1116" i="7"/>
  <c r="H1116" i="7"/>
  <c r="J1116" i="7"/>
  <c r="K1116" i="7"/>
  <c r="L1116" i="7"/>
  <c r="M1116" i="7"/>
  <c r="P1116" i="7"/>
  <c r="B1117" i="7"/>
  <c r="C1117" i="7"/>
  <c r="E1117" i="7"/>
  <c r="F1117" i="7"/>
  <c r="G1117" i="7"/>
  <c r="H1117" i="7"/>
  <c r="J1117" i="7"/>
  <c r="K1117" i="7"/>
  <c r="L1117" i="7"/>
  <c r="M1117" i="7"/>
  <c r="N1117" i="7"/>
  <c r="P1117" i="7"/>
  <c r="B1118" i="7"/>
  <c r="C1118" i="7"/>
  <c r="E1118" i="7"/>
  <c r="F1118" i="7"/>
  <c r="G1118" i="7"/>
  <c r="H1118" i="7"/>
  <c r="J1118" i="7"/>
  <c r="K1118" i="7"/>
  <c r="L1118" i="7"/>
  <c r="M1118" i="7"/>
  <c r="P1118" i="7"/>
  <c r="B1119" i="7"/>
  <c r="C1119" i="7"/>
  <c r="E1119" i="7"/>
  <c r="F1119" i="7"/>
  <c r="G1119" i="7"/>
  <c r="H1119" i="7"/>
  <c r="J1119" i="7"/>
  <c r="K1119" i="7"/>
  <c r="L1119" i="7"/>
  <c r="M1119" i="7"/>
  <c r="P1119" i="7"/>
  <c r="B1120" i="7"/>
  <c r="C1120" i="7"/>
  <c r="E1120" i="7"/>
  <c r="F1120" i="7"/>
  <c r="G1120" i="7"/>
  <c r="H1120" i="7"/>
  <c r="J1120" i="7"/>
  <c r="K1120" i="7"/>
  <c r="L1120" i="7"/>
  <c r="M1120" i="7"/>
  <c r="P1120" i="7"/>
  <c r="B1121" i="7"/>
  <c r="C1121" i="7"/>
  <c r="E1121" i="7"/>
  <c r="F1121" i="7"/>
  <c r="G1121" i="7"/>
  <c r="H1121" i="7"/>
  <c r="J1121" i="7"/>
  <c r="K1121" i="7"/>
  <c r="L1121" i="7"/>
  <c r="M1121" i="7"/>
  <c r="P1121" i="7"/>
  <c r="B1122" i="7"/>
  <c r="C1122" i="7"/>
  <c r="E1122" i="7"/>
  <c r="F1122" i="7"/>
  <c r="G1122" i="7"/>
  <c r="H1122" i="7"/>
  <c r="J1122" i="7"/>
  <c r="K1122" i="7"/>
  <c r="L1122" i="7"/>
  <c r="M1122" i="7"/>
  <c r="P1122" i="7"/>
  <c r="H1091" i="1"/>
  <c r="I1091" i="1"/>
  <c r="H1090" i="1"/>
  <c r="I1090" i="1"/>
  <c r="H1089" i="1"/>
  <c r="B1103" i="7"/>
  <c r="C1103" i="7"/>
  <c r="E1103" i="7"/>
  <c r="F1103" i="7"/>
  <c r="G1103" i="7"/>
  <c r="H1103" i="7"/>
  <c r="H1088" i="1"/>
  <c r="I1088" i="1"/>
  <c r="I1087" i="1"/>
  <c r="H1087" i="1"/>
  <c r="I1086" i="1"/>
  <c r="H1086" i="1"/>
  <c r="H1085" i="1"/>
  <c r="I1085" i="1"/>
  <c r="G1088" i="7"/>
  <c r="H1084" i="1"/>
  <c r="H11" i="8"/>
  <c r="F11" i="8"/>
  <c r="E11" i="8"/>
  <c r="D11" i="8"/>
  <c r="D12" i="8"/>
  <c r="H10" i="8"/>
  <c r="H12" i="8"/>
  <c r="F10" i="8"/>
  <c r="F12" i="8"/>
  <c r="E10" i="8"/>
  <c r="E12" i="8"/>
  <c r="D10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H1086" i="7"/>
  <c r="B1087" i="7"/>
  <c r="C1087" i="7"/>
  <c r="E1087" i="7"/>
  <c r="H1087" i="7"/>
  <c r="B1088" i="7"/>
  <c r="C1088" i="7"/>
  <c r="E1088" i="7"/>
  <c r="F1088" i="7"/>
  <c r="H1088" i="7"/>
  <c r="B1089" i="7"/>
  <c r="C1089" i="7"/>
  <c r="E1089" i="7"/>
  <c r="H1089" i="7"/>
  <c r="B1090" i="7"/>
  <c r="C1090" i="7"/>
  <c r="E1090" i="7"/>
  <c r="H1090" i="7"/>
  <c r="B1091" i="7"/>
  <c r="C1091" i="7"/>
  <c r="E1091" i="7"/>
  <c r="F1091" i="7"/>
  <c r="H1091" i="7"/>
  <c r="B1092" i="7"/>
  <c r="C1092" i="7"/>
  <c r="E1092" i="7"/>
  <c r="F1092" i="7"/>
  <c r="H1092" i="7"/>
  <c r="B1093" i="7"/>
  <c r="C1093" i="7"/>
  <c r="E1093" i="7"/>
  <c r="H1093" i="7"/>
  <c r="B1094" i="7"/>
  <c r="C1094" i="7"/>
  <c r="E1094" i="7"/>
  <c r="H1094" i="7"/>
  <c r="B1095" i="7"/>
  <c r="C1095" i="7"/>
  <c r="E1095" i="7"/>
  <c r="H1095" i="7"/>
  <c r="B1096" i="7"/>
  <c r="C1096" i="7"/>
  <c r="E1096" i="7"/>
  <c r="Q4" i="8"/>
  <c r="H1096" i="7"/>
  <c r="O5" i="8" s="1"/>
  <c r="H11" i="6" s="1"/>
  <c r="B1097" i="7"/>
  <c r="C1097" i="7"/>
  <c r="E1097" i="7"/>
  <c r="H1097" i="7"/>
  <c r="B1098" i="7"/>
  <c r="C1098" i="7"/>
  <c r="E1098" i="7"/>
  <c r="H1098" i="7"/>
  <c r="B1099" i="7"/>
  <c r="C1099" i="7"/>
  <c r="E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E6" i="8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S1120" i="7"/>
  <c r="C1068" i="7"/>
  <c r="E1068" i="7"/>
  <c r="H1068" i="7"/>
  <c r="J1068" i="7"/>
  <c r="K1068" i="7"/>
  <c r="L1068" i="7"/>
  <c r="M1068" i="7"/>
  <c r="B1067" i="7"/>
  <c r="S1119" i="7"/>
  <c r="C1067" i="7"/>
  <c r="E1067" i="7"/>
  <c r="H1067" i="7"/>
  <c r="J1067" i="7"/>
  <c r="K1067" i="7"/>
  <c r="L1067" i="7"/>
  <c r="M1067" i="7"/>
  <c r="H1067" i="1"/>
  <c r="B1066" i="7"/>
  <c r="C1066" i="7"/>
  <c r="E1066" i="7"/>
  <c r="V1118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T1116" i="7"/>
  <c r="E1064" i="7"/>
  <c r="H1064" i="7"/>
  <c r="Y1116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 s="1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N1111" i="7"/>
  <c r="B1058" i="7"/>
  <c r="C1058" i="7"/>
  <c r="T1110" i="7"/>
  <c r="E1058" i="7"/>
  <c r="V1110" i="7"/>
  <c r="H1058" i="7"/>
  <c r="J1058" i="7"/>
  <c r="K1058" i="7"/>
  <c r="L1058" i="7"/>
  <c r="M1058" i="7"/>
  <c r="P1058" i="7"/>
  <c r="H1058" i="1"/>
  <c r="B1057" i="7"/>
  <c r="C1057" i="7"/>
  <c r="E1057" i="7"/>
  <c r="H1057" i="7"/>
  <c r="Y1109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V1104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E1036" i="7"/>
  <c r="J1036" i="7"/>
  <c r="K1036" i="7"/>
  <c r="L1036" i="7"/>
  <c r="M1036" i="7"/>
  <c r="P1036" i="7"/>
  <c r="H1036" i="1"/>
  <c r="B1035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T1108" i="7"/>
  <c r="E1004" i="7"/>
  <c r="H1004" i="7"/>
  <c r="J1004" i="7"/>
  <c r="K1004" i="7"/>
  <c r="L1004" i="7"/>
  <c r="M1004" i="7"/>
  <c r="P1004" i="7"/>
  <c r="H1004" i="1"/>
  <c r="N1108" i="7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Y1107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H781" i="7"/>
  <c r="H782" i="7"/>
  <c r="H783" i="7"/>
  <c r="H784" i="7"/>
  <c r="H785" i="7"/>
  <c r="Y837" i="7"/>
  <c r="H786" i="7"/>
  <c r="Y890" i="7"/>
  <c r="H787" i="7"/>
  <c r="H788" i="7"/>
  <c r="H789" i="7"/>
  <c r="H790" i="7"/>
  <c r="H791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H816" i="7"/>
  <c r="H817" i="7"/>
  <c r="H818" i="7"/>
  <c r="H819" i="7"/>
  <c r="Y871" i="7"/>
  <c r="H820" i="7"/>
  <c r="Y872" i="7"/>
  <c r="H821" i="7"/>
  <c r="H822" i="7"/>
  <c r="H823" i="7"/>
  <c r="Y927" i="7"/>
  <c r="H824" i="7"/>
  <c r="H825" i="7"/>
  <c r="H826" i="7"/>
  <c r="H827" i="7"/>
  <c r="H828" i="7"/>
  <c r="H829" i="7"/>
  <c r="H830" i="7"/>
  <c r="H831" i="7"/>
  <c r="H832" i="7"/>
  <c r="H833" i="7"/>
  <c r="Y885" i="7"/>
  <c r="H834" i="7"/>
  <c r="H835" i="7"/>
  <c r="H836" i="7"/>
  <c r="H837" i="7"/>
  <c r="H838" i="7"/>
  <c r="H839" i="7"/>
  <c r="H840" i="7"/>
  <c r="H841" i="7"/>
  <c r="H842" i="7"/>
  <c r="H843" i="7"/>
  <c r="Y895" i="7"/>
  <c r="H844" i="7"/>
  <c r="H845" i="7"/>
  <c r="Y949" i="7"/>
  <c r="H846" i="7"/>
  <c r="H847" i="7"/>
  <c r="H848" i="7"/>
  <c r="H849" i="7"/>
  <c r="H850" i="7"/>
  <c r="Y902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Y1094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Y982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Y1104" i="7"/>
  <c r="H949" i="7"/>
  <c r="Y1105" i="7"/>
  <c r="H950" i="7"/>
  <c r="Y1002" i="7"/>
  <c r="H951" i="7"/>
  <c r="H952" i="7"/>
  <c r="H953" i="7"/>
  <c r="H954" i="7"/>
  <c r="H955" i="7"/>
  <c r="H956" i="7"/>
  <c r="Y1112" i="7"/>
  <c r="H957" i="7"/>
  <c r="H958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Y1031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S1087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S1122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V1120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T1118" i="7"/>
  <c r="D962" i="7"/>
  <c r="E962" i="7"/>
  <c r="J962" i="7"/>
  <c r="K962" i="7"/>
  <c r="L962" i="7"/>
  <c r="M962" i="7"/>
  <c r="H962" i="1"/>
  <c r="B961" i="7"/>
  <c r="C961" i="7"/>
  <c r="D961" i="7"/>
  <c r="U1117" i="7"/>
  <c r="E961" i="7"/>
  <c r="J961" i="7"/>
  <c r="K961" i="7"/>
  <c r="L961" i="7"/>
  <c r="M961" i="7"/>
  <c r="H961" i="1"/>
  <c r="B960" i="7"/>
  <c r="C960" i="7"/>
  <c r="D960" i="7"/>
  <c r="U1116" i="7"/>
  <c r="E960" i="7"/>
  <c r="J960" i="7"/>
  <c r="K960" i="7"/>
  <c r="L960" i="7"/>
  <c r="M960" i="7"/>
  <c r="H960" i="1"/>
  <c r="B959" i="7"/>
  <c r="C959" i="7"/>
  <c r="T1115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B956" i="7"/>
  <c r="C956" i="7"/>
  <c r="D956" i="7"/>
  <c r="U1112" i="7"/>
  <c r="E956" i="7"/>
  <c r="J956" i="7"/>
  <c r="K956" i="7"/>
  <c r="L956" i="7"/>
  <c r="M956" i="7"/>
  <c r="H952" i="1"/>
  <c r="I952" i="1"/>
  <c r="B952" i="7"/>
  <c r="C952" i="7"/>
  <c r="D952" i="7"/>
  <c r="U1108" i="7"/>
  <c r="E952" i="7"/>
  <c r="J952" i="7"/>
  <c r="K952" i="7"/>
  <c r="L952" i="7"/>
  <c r="M952" i="7"/>
  <c r="B953" i="7"/>
  <c r="S1109" i="7"/>
  <c r="C953" i="7"/>
  <c r="D953" i="7"/>
  <c r="E953" i="7"/>
  <c r="V1109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U1111" i="7"/>
  <c r="E955" i="7"/>
  <c r="J955" i="7"/>
  <c r="K955" i="7"/>
  <c r="L955" i="7"/>
  <c r="M955" i="7"/>
  <c r="B951" i="7"/>
  <c r="C951" i="7"/>
  <c r="T1107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U1105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U1101" i="7"/>
  <c r="E945" i="7"/>
  <c r="J945" i="7"/>
  <c r="K945" i="7"/>
  <c r="L945" i="7"/>
  <c r="M945" i="7"/>
  <c r="B946" i="7"/>
  <c r="C946" i="7"/>
  <c r="D946" i="7"/>
  <c r="U1102" i="7"/>
  <c r="E946" i="7"/>
  <c r="J946" i="7"/>
  <c r="K946" i="7"/>
  <c r="L946" i="7"/>
  <c r="M946" i="7"/>
  <c r="B944" i="7"/>
  <c r="C944" i="7"/>
  <c r="D944" i="7"/>
  <c r="U1100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E939" i="7"/>
  <c r="J939" i="7"/>
  <c r="K939" i="7"/>
  <c r="L939" i="7"/>
  <c r="M939" i="7"/>
  <c r="H939" i="1"/>
  <c r="I939" i="1"/>
  <c r="B938" i="7"/>
  <c r="C938" i="7"/>
  <c r="D938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V1085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H919" i="1"/>
  <c r="F922" i="7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U1109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S1106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E893" i="7"/>
  <c r="H893" i="1"/>
  <c r="B892" i="7"/>
  <c r="C892" i="7"/>
  <c r="D892" i="7"/>
  <c r="E892" i="7"/>
  <c r="H892" i="1"/>
  <c r="B891" i="7"/>
  <c r="C891" i="7"/>
  <c r="D891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U1095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T1091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U1085" i="7"/>
  <c r="C876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B873" i="7"/>
  <c r="H873" i="1"/>
  <c r="H872" i="1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V1001" i="7"/>
  <c r="D845" i="7"/>
  <c r="C845" i="7"/>
  <c r="B845" i="7"/>
  <c r="H845" i="1"/>
  <c r="E81" i="1"/>
  <c r="M844" i="7"/>
  <c r="L844" i="7"/>
  <c r="K844" i="7"/>
  <c r="J844" i="7"/>
  <c r="E844" i="7"/>
  <c r="D844" i="7"/>
  <c r="C844" i="7"/>
  <c r="B844" i="7"/>
  <c r="H844" i="1"/>
  <c r="H843" i="1"/>
  <c r="H842" i="1"/>
  <c r="I842" i="1"/>
  <c r="H841" i="1"/>
  <c r="H840" i="1"/>
  <c r="I840" i="1"/>
  <c r="H839" i="1"/>
  <c r="H838" i="1"/>
  <c r="H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T945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T943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S987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T984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T877" i="7"/>
  <c r="B825" i="7"/>
  <c r="M824" i="7"/>
  <c r="L824" i="7"/>
  <c r="K824" i="7"/>
  <c r="J824" i="7"/>
  <c r="E824" i="7"/>
  <c r="D824" i="7"/>
  <c r="C824" i="7"/>
  <c r="T928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U975" i="7"/>
  <c r="C819" i="7"/>
  <c r="T1028" i="7"/>
  <c r="B819" i="7"/>
  <c r="M818" i="7"/>
  <c r="L818" i="7"/>
  <c r="K818" i="7"/>
  <c r="J818" i="7"/>
  <c r="E818" i="7"/>
  <c r="D818" i="7"/>
  <c r="C818" i="7"/>
  <c r="T1027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U918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U963" i="7"/>
  <c r="C807" i="7"/>
  <c r="B807" i="7"/>
  <c r="M806" i="7"/>
  <c r="L806" i="7"/>
  <c r="K806" i="7"/>
  <c r="J806" i="7"/>
  <c r="E806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U1013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849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D792" i="7"/>
  <c r="C792" i="7"/>
  <c r="B792" i="7"/>
  <c r="M791" i="7"/>
  <c r="L791" i="7"/>
  <c r="K791" i="7"/>
  <c r="J791" i="7"/>
  <c r="E791" i="7"/>
  <c r="D791" i="7"/>
  <c r="U1000" i="7"/>
  <c r="C791" i="7"/>
  <c r="T1000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V996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B776" i="7"/>
  <c r="S985" i="7"/>
  <c r="M775" i="7"/>
  <c r="L775" i="7"/>
  <c r="K775" i="7"/>
  <c r="J775" i="7"/>
  <c r="E775" i="7"/>
  <c r="D775" i="7"/>
  <c r="U931" i="7"/>
  <c r="C775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U979" i="7"/>
  <c r="C770" i="7"/>
  <c r="B770" i="7"/>
  <c r="M769" i="7"/>
  <c r="L769" i="7"/>
  <c r="K769" i="7"/>
  <c r="J769" i="7"/>
  <c r="E769" i="7"/>
  <c r="V925" i="7"/>
  <c r="D769" i="7"/>
  <c r="C769" i="7"/>
  <c r="B769" i="7"/>
  <c r="M768" i="7"/>
  <c r="L768" i="7"/>
  <c r="K768" i="7"/>
  <c r="J768" i="7"/>
  <c r="E768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U812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T862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B756" i="7"/>
  <c r="S912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S806" i="7"/>
  <c r="M753" i="7"/>
  <c r="L753" i="7"/>
  <c r="K753" i="7"/>
  <c r="J753" i="7"/>
  <c r="E753" i="7"/>
  <c r="D753" i="7"/>
  <c r="C753" i="7"/>
  <c r="B753" i="7"/>
  <c r="S805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C751" i="7"/>
  <c r="B751" i="7"/>
  <c r="M750" i="7"/>
  <c r="L750" i="7"/>
  <c r="K750" i="7"/>
  <c r="J750" i="7"/>
  <c r="E750" i="7"/>
  <c r="D750" i="7"/>
  <c r="U802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D741" i="7"/>
  <c r="C741" i="7"/>
  <c r="B741" i="7"/>
  <c r="M740" i="7"/>
  <c r="L740" i="7"/>
  <c r="K740" i="7"/>
  <c r="J740" i="7"/>
  <c r="E740" i="7"/>
  <c r="V792" i="7"/>
  <c r="D740" i="7"/>
  <c r="C740" i="7"/>
  <c r="T896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T790" i="7"/>
  <c r="B738" i="7"/>
  <c r="M737" i="7"/>
  <c r="L737" i="7"/>
  <c r="K737" i="7"/>
  <c r="J737" i="7"/>
  <c r="E737" i="7"/>
  <c r="D737" i="7"/>
  <c r="U946" i="7"/>
  <c r="C737" i="7"/>
  <c r="B737" i="7"/>
  <c r="M736" i="7"/>
  <c r="L736" i="7"/>
  <c r="K736" i="7"/>
  <c r="J736" i="7"/>
  <c r="E736" i="7"/>
  <c r="D736" i="7"/>
  <c r="U945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U943" i="7"/>
  <c r="C734" i="7"/>
  <c r="B734" i="7"/>
  <c r="M733" i="7"/>
  <c r="L733" i="7"/>
  <c r="K733" i="7"/>
  <c r="J733" i="7"/>
  <c r="E733" i="7"/>
  <c r="D733" i="7"/>
  <c r="U942" i="7"/>
  <c r="C733" i="7"/>
  <c r="T785" i="7"/>
  <c r="B733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U883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V876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V921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U758" i="7"/>
  <c r="C706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D695" i="7"/>
  <c r="C695" i="7"/>
  <c r="B695" i="7"/>
  <c r="M694" i="7"/>
  <c r="L694" i="7"/>
  <c r="K694" i="7"/>
  <c r="J694" i="7"/>
  <c r="E694" i="7"/>
  <c r="D694" i="7"/>
  <c r="C694" i="7"/>
  <c r="B694" i="7"/>
  <c r="M693" i="7"/>
  <c r="L693" i="7"/>
  <c r="K693" i="7"/>
  <c r="J693" i="7"/>
  <c r="E693" i="7"/>
  <c r="D693" i="7"/>
  <c r="C693" i="7"/>
  <c r="B693" i="7"/>
  <c r="S745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S743" i="7"/>
  <c r="M690" i="7"/>
  <c r="L690" i="7"/>
  <c r="K690" i="7"/>
  <c r="J690" i="7"/>
  <c r="E690" i="7"/>
  <c r="D690" i="7"/>
  <c r="C690" i="7"/>
  <c r="T846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S737" i="7"/>
  <c r="M684" i="7"/>
  <c r="L684" i="7"/>
  <c r="K684" i="7"/>
  <c r="E684" i="7"/>
  <c r="D684" i="7"/>
  <c r="C684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T786" i="7"/>
  <c r="B682" i="7"/>
  <c r="M681" i="7"/>
  <c r="L681" i="7"/>
  <c r="K681" i="7"/>
  <c r="E681" i="7"/>
  <c r="D681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V728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T778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T828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773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S821" i="7"/>
  <c r="M664" i="7"/>
  <c r="L664" i="7"/>
  <c r="K664" i="7"/>
  <c r="E664" i="7"/>
  <c r="V820" i="7"/>
  <c r="D664" i="7"/>
  <c r="C664" i="7"/>
  <c r="B664" i="7"/>
  <c r="S873" i="7"/>
  <c r="M663" i="7"/>
  <c r="L663" i="7"/>
  <c r="K663" i="7"/>
  <c r="E663" i="7"/>
  <c r="V872" i="7"/>
  <c r="D663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U816" i="7"/>
  <c r="C660" i="7"/>
  <c r="B660" i="7"/>
  <c r="M659" i="7"/>
  <c r="L659" i="7"/>
  <c r="K659" i="7"/>
  <c r="E659" i="7"/>
  <c r="V711" i="7"/>
  <c r="D659" i="7"/>
  <c r="U711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S709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C639" i="7"/>
  <c r="B639" i="7"/>
  <c r="M638" i="7"/>
  <c r="L638" i="7"/>
  <c r="K638" i="7"/>
  <c r="E638" i="7"/>
  <c r="V742" i="7"/>
  <c r="D638" i="7"/>
  <c r="C638" i="7"/>
  <c r="B638" i="7"/>
  <c r="M637" i="7"/>
  <c r="L637" i="7"/>
  <c r="K637" i="7"/>
  <c r="E637" i="7"/>
  <c r="D637" i="7"/>
  <c r="C637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U685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V679" i="7"/>
  <c r="D627" i="7"/>
  <c r="C627" i="7"/>
  <c r="B627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M616" i="7"/>
  <c r="K616" i="7"/>
  <c r="E616" i="7"/>
  <c r="D616" i="7"/>
  <c r="C616" i="7"/>
  <c r="T825" i="7"/>
  <c r="B616" i="7"/>
  <c r="M615" i="7"/>
  <c r="K615" i="7"/>
  <c r="E615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D613" i="7"/>
  <c r="C613" i="7"/>
  <c r="B613" i="7"/>
  <c r="M612" i="7"/>
  <c r="K612" i="7"/>
  <c r="E612" i="7"/>
  <c r="D612" i="7"/>
  <c r="C612" i="7"/>
  <c r="B612" i="7"/>
  <c r="M611" i="7"/>
  <c r="K611" i="7"/>
  <c r="E611" i="7"/>
  <c r="D611" i="7"/>
  <c r="C611" i="7"/>
  <c r="T715" i="7"/>
  <c r="B611" i="7"/>
  <c r="S820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S711" i="7"/>
  <c r="M606" i="7"/>
  <c r="K606" i="7"/>
  <c r="E606" i="7"/>
  <c r="D606" i="7"/>
  <c r="U658" i="7"/>
  <c r="C606" i="7"/>
  <c r="B606" i="7"/>
  <c r="M605" i="7"/>
  <c r="K605" i="7"/>
  <c r="E605" i="7"/>
  <c r="D605" i="7"/>
  <c r="C605" i="7"/>
  <c r="B605" i="7"/>
  <c r="M604" i="7"/>
  <c r="K604" i="7"/>
  <c r="E604" i="7"/>
  <c r="V813" i="7"/>
  <c r="D604" i="7"/>
  <c r="U656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V652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C598" i="7"/>
  <c r="B598" i="7"/>
  <c r="S702" i="7"/>
  <c r="M597" i="7"/>
  <c r="K597" i="7"/>
  <c r="E597" i="7"/>
  <c r="D597" i="7"/>
  <c r="C597" i="7"/>
  <c r="B597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V749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U642" i="7"/>
  <c r="C590" i="7"/>
  <c r="B590" i="7"/>
  <c r="M589" i="7"/>
  <c r="K589" i="7"/>
  <c r="E589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V632" i="7"/>
  <c r="D580" i="7"/>
  <c r="C580" i="7"/>
  <c r="B580" i="7"/>
  <c r="E579" i="7"/>
  <c r="D579" i="7"/>
  <c r="C579" i="7"/>
  <c r="B579" i="7"/>
  <c r="E578" i="7"/>
  <c r="D578" i="7"/>
  <c r="C578" i="7"/>
  <c r="B578" i="7"/>
  <c r="E577" i="7"/>
  <c r="D577" i="7"/>
  <c r="C577" i="7"/>
  <c r="B577" i="7"/>
  <c r="S786" i="7"/>
  <c r="E576" i="7"/>
  <c r="V628" i="7"/>
  <c r="D576" i="7"/>
  <c r="C576" i="7"/>
  <c r="T628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S729" i="7"/>
  <c r="E572" i="7"/>
  <c r="D572" i="7"/>
  <c r="C572" i="7"/>
  <c r="B572" i="7"/>
  <c r="E571" i="7"/>
  <c r="D571" i="7"/>
  <c r="U780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U772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B559" i="7"/>
  <c r="E558" i="7"/>
  <c r="D558" i="7"/>
  <c r="U662" i="7"/>
  <c r="C558" i="7"/>
  <c r="B558" i="7"/>
  <c r="E557" i="7"/>
  <c r="D557" i="7"/>
  <c r="U661" i="7"/>
  <c r="C557" i="7"/>
  <c r="B557" i="7"/>
  <c r="S766" i="7"/>
  <c r="E556" i="7"/>
  <c r="D556" i="7"/>
  <c r="C556" i="7"/>
  <c r="T712" i="7"/>
  <c r="B556" i="7"/>
  <c r="E555" i="7"/>
  <c r="D555" i="7"/>
  <c r="C555" i="7"/>
  <c r="T711" i="7"/>
  <c r="B555" i="7"/>
  <c r="E554" i="7"/>
  <c r="D554" i="7"/>
  <c r="C554" i="7"/>
  <c r="B554" i="7"/>
  <c r="E553" i="7"/>
  <c r="D553" i="7"/>
  <c r="U657" i="7"/>
  <c r="C553" i="7"/>
  <c r="T657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T599" i="7"/>
  <c r="B547" i="7"/>
  <c r="E546" i="7"/>
  <c r="D546" i="7"/>
  <c r="C546" i="7"/>
  <c r="B546" i="7"/>
  <c r="E545" i="7"/>
  <c r="D545" i="7"/>
  <c r="U754" i="7"/>
  <c r="C545" i="7"/>
  <c r="B545" i="7"/>
  <c r="E544" i="7"/>
  <c r="D544" i="7"/>
  <c r="C544" i="7"/>
  <c r="B544" i="7"/>
  <c r="E543" i="7"/>
  <c r="D543" i="7"/>
  <c r="C543" i="7"/>
  <c r="B543" i="7"/>
  <c r="E542" i="7"/>
  <c r="D542" i="7"/>
  <c r="C542" i="7"/>
  <c r="B542" i="7"/>
  <c r="S751" i="7"/>
  <c r="E541" i="7"/>
  <c r="D541" i="7"/>
  <c r="C541" i="7"/>
  <c r="B541" i="7"/>
  <c r="E540" i="7"/>
  <c r="D540" i="7"/>
  <c r="C540" i="7"/>
  <c r="B540" i="7"/>
  <c r="E539" i="7"/>
  <c r="V695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E536" i="7"/>
  <c r="D536" i="7"/>
  <c r="U640" i="7"/>
  <c r="C536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U688" i="7"/>
  <c r="C532" i="7"/>
  <c r="B532" i="7"/>
  <c r="E531" i="7"/>
  <c r="D531" i="7"/>
  <c r="C531" i="7"/>
  <c r="E530" i="7"/>
  <c r="V582" i="7"/>
  <c r="D530" i="7"/>
  <c r="C530" i="7"/>
  <c r="E529" i="7"/>
  <c r="D529" i="7"/>
  <c r="C529" i="7"/>
  <c r="E528" i="7"/>
  <c r="D528" i="7"/>
  <c r="C528" i="7"/>
  <c r="T632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U668" i="7"/>
  <c r="C512" i="7"/>
  <c r="T616" i="7"/>
  <c r="E511" i="7"/>
  <c r="D511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T716" i="7"/>
  <c r="E506" i="7"/>
  <c r="D506" i="7"/>
  <c r="C506" i="7"/>
  <c r="E505" i="7"/>
  <c r="D505" i="7"/>
  <c r="C505" i="7"/>
  <c r="T661" i="7"/>
  <c r="E504" i="7"/>
  <c r="D504" i="7"/>
  <c r="C504" i="7"/>
  <c r="E503" i="7"/>
  <c r="D503" i="7"/>
  <c r="C503" i="7"/>
  <c r="E502" i="7"/>
  <c r="D502" i="7"/>
  <c r="C502" i="7"/>
  <c r="E501" i="7"/>
  <c r="D501" i="7"/>
  <c r="C501" i="7"/>
  <c r="E500" i="7"/>
  <c r="D500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U691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U678" i="7"/>
  <c r="C469" i="7"/>
  <c r="E468" i="7"/>
  <c r="D468" i="7"/>
  <c r="C468" i="7"/>
  <c r="E467" i="7"/>
  <c r="D467" i="7"/>
  <c r="C467" i="7"/>
  <c r="E466" i="7"/>
  <c r="D466" i="7"/>
  <c r="C466" i="7"/>
  <c r="T675" i="7"/>
  <c r="E465" i="7"/>
  <c r="D465" i="7"/>
  <c r="C465" i="7"/>
  <c r="E464" i="7"/>
  <c r="V620" i="7"/>
  <c r="D464" i="7"/>
  <c r="C464" i="7"/>
  <c r="E463" i="7"/>
  <c r="D463" i="7"/>
  <c r="C463" i="7"/>
  <c r="E462" i="7"/>
  <c r="D462" i="7"/>
  <c r="C462" i="7"/>
  <c r="E461" i="7"/>
  <c r="D461" i="7"/>
  <c r="U670" i="7"/>
  <c r="C461" i="7"/>
  <c r="E460" i="7"/>
  <c r="D460" i="7"/>
  <c r="C460" i="7"/>
  <c r="E459" i="7"/>
  <c r="D459" i="7"/>
  <c r="C459" i="7"/>
  <c r="T615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V609" i="7"/>
  <c r="D453" i="7"/>
  <c r="C453" i="7"/>
  <c r="E452" i="7"/>
  <c r="D452" i="7"/>
  <c r="C452" i="7"/>
  <c r="E451" i="7"/>
  <c r="D451" i="7"/>
  <c r="C451" i="7"/>
  <c r="T660" i="7"/>
  <c r="E450" i="7"/>
  <c r="D450" i="7"/>
  <c r="C450" i="7"/>
  <c r="E449" i="7"/>
  <c r="V605" i="7"/>
  <c r="D449" i="7"/>
  <c r="C449" i="7"/>
  <c r="T605" i="7"/>
  <c r="E448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U653" i="7"/>
  <c r="C444" i="7"/>
  <c r="T653" i="7"/>
  <c r="E443" i="7"/>
  <c r="D443" i="7"/>
  <c r="C443" i="7"/>
  <c r="E442" i="7"/>
  <c r="D442" i="7"/>
  <c r="C442" i="7"/>
  <c r="E441" i="7"/>
  <c r="D441" i="7"/>
  <c r="U650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U645" i="7"/>
  <c r="C436" i="7"/>
  <c r="T592" i="7"/>
  <c r="E435" i="7"/>
  <c r="D435" i="7"/>
  <c r="C435" i="7"/>
  <c r="E434" i="7"/>
  <c r="D434" i="7"/>
  <c r="C434" i="7"/>
  <c r="E433" i="7"/>
  <c r="V589" i="7"/>
  <c r="D433" i="7"/>
  <c r="C433" i="7"/>
  <c r="E432" i="7"/>
  <c r="V588" i="7"/>
  <c r="D432" i="7"/>
  <c r="C432" i="7"/>
  <c r="E431" i="7"/>
  <c r="D431" i="7"/>
  <c r="C431" i="7"/>
  <c r="E430" i="7"/>
  <c r="D430" i="7"/>
  <c r="C430" i="7"/>
  <c r="E429" i="7"/>
  <c r="D429" i="7"/>
  <c r="C429" i="7"/>
  <c r="T585" i="7"/>
  <c r="E428" i="7"/>
  <c r="D428" i="7"/>
  <c r="U637" i="7"/>
  <c r="C428" i="7"/>
  <c r="E427" i="7"/>
  <c r="D427" i="7"/>
  <c r="C427" i="7"/>
  <c r="E426" i="7"/>
  <c r="C426" i="7"/>
  <c r="T635" i="7"/>
  <c r="E425" i="7"/>
  <c r="C425" i="7"/>
  <c r="E424" i="7"/>
  <c r="C424" i="7"/>
  <c r="E423" i="7"/>
  <c r="C423" i="7"/>
  <c r="E422" i="7"/>
  <c r="C422" i="7"/>
  <c r="T630" i="7"/>
  <c r="E421" i="7"/>
  <c r="C421" i="7"/>
  <c r="T629" i="7"/>
  <c r="E420" i="7"/>
  <c r="C420" i="7"/>
  <c r="E419" i="7"/>
  <c r="C419" i="7"/>
  <c r="E418" i="7"/>
  <c r="C418" i="7"/>
  <c r="T626" i="7"/>
  <c r="E417" i="7"/>
  <c r="C417" i="7"/>
  <c r="T625" i="7"/>
  <c r="E416" i="7"/>
  <c r="C416" i="7"/>
  <c r="E415" i="7"/>
  <c r="C415" i="7"/>
  <c r="E414" i="7"/>
  <c r="C414" i="7"/>
  <c r="T622" i="7"/>
  <c r="E413" i="7"/>
  <c r="C413" i="7"/>
  <c r="T621" i="7"/>
  <c r="E412" i="7"/>
  <c r="C412" i="7"/>
  <c r="E411" i="7"/>
  <c r="C411" i="7"/>
  <c r="E410" i="7"/>
  <c r="V618" i="7"/>
  <c r="C410" i="7"/>
  <c r="E409" i="7"/>
  <c r="V617" i="7"/>
  <c r="C409" i="7"/>
  <c r="E408" i="7"/>
  <c r="C408" i="7"/>
  <c r="E407" i="7"/>
  <c r="V615" i="7"/>
  <c r="C407" i="7"/>
  <c r="E406" i="7"/>
  <c r="C406" i="7"/>
  <c r="E405" i="7"/>
  <c r="C405" i="7"/>
  <c r="E404" i="7"/>
  <c r="C404" i="7"/>
  <c r="E403" i="7"/>
  <c r="C403" i="7"/>
  <c r="E402" i="7"/>
  <c r="V610" i="7"/>
  <c r="C402" i="7"/>
  <c r="T610" i="7"/>
  <c r="E401" i="7"/>
  <c r="C401" i="7"/>
  <c r="E400" i="7"/>
  <c r="C400" i="7"/>
  <c r="E399" i="7"/>
  <c r="C399" i="7"/>
  <c r="E398" i="7"/>
  <c r="V606" i="7"/>
  <c r="C398" i="7"/>
  <c r="T606" i="7"/>
  <c r="E397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V598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V590" i="7"/>
  <c r="C382" i="7"/>
  <c r="E381" i="7"/>
  <c r="C381" i="7"/>
  <c r="E380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I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I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H804" i="1"/>
  <c r="H803" i="1"/>
  <c r="H802" i="1"/>
  <c r="H801" i="1"/>
  <c r="N1009" i="7"/>
  <c r="H800" i="1"/>
  <c r="I800" i="1"/>
  <c r="H799" i="1"/>
  <c r="H798" i="1"/>
  <c r="H797" i="1"/>
  <c r="H796" i="1"/>
  <c r="F799" i="7"/>
  <c r="H795" i="1"/>
  <c r="H794" i="1"/>
  <c r="N846" i="7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H786" i="1"/>
  <c r="H785" i="1"/>
  <c r="H784" i="1"/>
  <c r="H783" i="1"/>
  <c r="H782" i="1"/>
  <c r="H781" i="1"/>
  <c r="H780" i="1"/>
  <c r="H779" i="1"/>
  <c r="H778" i="1"/>
  <c r="I778" i="1"/>
  <c r="H777" i="1"/>
  <c r="N933" i="7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H766" i="1"/>
  <c r="H765" i="1"/>
  <c r="H764" i="1"/>
  <c r="H763" i="1"/>
  <c r="I763" i="1"/>
  <c r="H710" i="1"/>
  <c r="N814" i="7"/>
  <c r="H762" i="1"/>
  <c r="H761" i="1"/>
  <c r="H760" i="1"/>
  <c r="I760" i="1"/>
  <c r="H759" i="1"/>
  <c r="H758" i="1"/>
  <c r="N966" i="7"/>
  <c r="H757" i="1"/>
  <c r="I757" i="1"/>
  <c r="H756" i="1"/>
  <c r="H755" i="1"/>
  <c r="H754" i="1"/>
  <c r="N910" i="7"/>
  <c r="I754" i="1"/>
  <c r="O962" i="7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I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N820" i="7"/>
  <c r="H714" i="1"/>
  <c r="H715" i="1"/>
  <c r="I715" i="1"/>
  <c r="H713" i="1"/>
  <c r="I713" i="1"/>
  <c r="H712" i="1"/>
  <c r="I712" i="1"/>
  <c r="H711" i="1"/>
  <c r="H709" i="1"/>
  <c r="H708" i="1"/>
  <c r="I708" i="1"/>
  <c r="H707" i="1"/>
  <c r="H706" i="1"/>
  <c r="H705" i="1"/>
  <c r="H704" i="1"/>
  <c r="H703" i="1"/>
  <c r="I703" i="1"/>
  <c r="H702" i="1"/>
  <c r="H701" i="1"/>
  <c r="H700" i="1"/>
  <c r="H699" i="1"/>
  <c r="H698" i="1"/>
  <c r="H697" i="1"/>
  <c r="H692" i="1"/>
  <c r="H693" i="1"/>
  <c r="H694" i="1"/>
  <c r="H695" i="1"/>
  <c r="H696" i="1"/>
  <c r="N904" i="7"/>
  <c r="H691" i="1"/>
  <c r="H690" i="1"/>
  <c r="H689" i="1"/>
  <c r="I689" i="1"/>
  <c r="H688" i="1"/>
  <c r="H687" i="1"/>
  <c r="I687" i="1"/>
  <c r="O739" i="7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F671" i="7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I612" i="1"/>
  <c r="H613" i="1"/>
  <c r="H558" i="1"/>
  <c r="H559" i="1"/>
  <c r="H560" i="1"/>
  <c r="I560" i="1"/>
  <c r="H561" i="1"/>
  <c r="H506" i="1"/>
  <c r="H507" i="1"/>
  <c r="H508" i="1"/>
  <c r="H509" i="1"/>
  <c r="H454" i="1"/>
  <c r="H455" i="1"/>
  <c r="H456" i="1"/>
  <c r="H457" i="1"/>
  <c r="H661" i="1"/>
  <c r="H581" i="1"/>
  <c r="N633" i="7"/>
  <c r="H582" i="1"/>
  <c r="I582" i="1"/>
  <c r="H583" i="1"/>
  <c r="H584" i="1"/>
  <c r="H585" i="1"/>
  <c r="H586" i="1"/>
  <c r="F587" i="7"/>
  <c r="H587" i="1"/>
  <c r="H588" i="1"/>
  <c r="H589" i="1"/>
  <c r="H590" i="1"/>
  <c r="H591" i="1"/>
  <c r="I591" i="1"/>
  <c r="H592" i="1"/>
  <c r="H593" i="1"/>
  <c r="H594" i="1"/>
  <c r="H595" i="1"/>
  <c r="H596" i="1"/>
  <c r="H597" i="1"/>
  <c r="I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O740" i="7"/>
  <c r="H637" i="1"/>
  <c r="N845" i="7"/>
  <c r="H638" i="1"/>
  <c r="H639" i="1"/>
  <c r="H640" i="1"/>
  <c r="H641" i="1"/>
  <c r="H642" i="1"/>
  <c r="H643" i="1"/>
  <c r="H644" i="1"/>
  <c r="H645" i="1"/>
  <c r="H646" i="1"/>
  <c r="H647" i="1"/>
  <c r="I647" i="1"/>
  <c r="H648" i="1"/>
  <c r="I648" i="1"/>
  <c r="H649" i="1"/>
  <c r="H650" i="1"/>
  <c r="H651" i="1"/>
  <c r="F653" i="7"/>
  <c r="H652" i="1"/>
  <c r="H653" i="1"/>
  <c r="H654" i="1"/>
  <c r="N862" i="7"/>
  <c r="H655" i="1"/>
  <c r="H656" i="1"/>
  <c r="H657" i="1"/>
  <c r="H658" i="1"/>
  <c r="I658" i="1"/>
  <c r="H659" i="1"/>
  <c r="H660" i="1"/>
  <c r="H557" i="1"/>
  <c r="H505" i="1"/>
  <c r="H453" i="1"/>
  <c r="H556" i="1"/>
  <c r="H504" i="1"/>
  <c r="H452" i="1"/>
  <c r="H555" i="1"/>
  <c r="H503" i="1"/>
  <c r="H451" i="1"/>
  <c r="H554" i="1"/>
  <c r="H502" i="1"/>
  <c r="H450" i="1"/>
  <c r="H553" i="1"/>
  <c r="I553" i="1"/>
  <c r="H501" i="1"/>
  <c r="H449" i="1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I532" i="1"/>
  <c r="H533" i="1"/>
  <c r="H534" i="1"/>
  <c r="I534" i="1"/>
  <c r="H535" i="1"/>
  <c r="H536" i="1"/>
  <c r="H537" i="1"/>
  <c r="I537" i="1"/>
  <c r="H538" i="1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H569" i="1"/>
  <c r="I569" i="1"/>
  <c r="H570" i="1"/>
  <c r="H571" i="1"/>
  <c r="H572" i="1"/>
  <c r="I572" i="1"/>
  <c r="H573" i="1"/>
  <c r="I573" i="1"/>
  <c r="H574" i="1"/>
  <c r="I574" i="1"/>
  <c r="H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H621" i="1"/>
  <c r="H622" i="1"/>
  <c r="H623" i="1"/>
  <c r="I623" i="1"/>
  <c r="H624" i="1"/>
  <c r="H625" i="1"/>
  <c r="H626" i="1"/>
  <c r="F629" i="7"/>
  <c r="H627" i="1"/>
  <c r="H628" i="1"/>
  <c r="H629" i="1"/>
  <c r="I629" i="1"/>
  <c r="H630" i="1"/>
  <c r="H631" i="1"/>
  <c r="I631" i="1"/>
  <c r="H632" i="1"/>
  <c r="H8" i="1"/>
  <c r="F11" i="7"/>
  <c r="H9" i="1"/>
  <c r="H10" i="1"/>
  <c r="H11" i="1"/>
  <c r="H12" i="1"/>
  <c r="H13" i="1"/>
  <c r="H14" i="1"/>
  <c r="H15" i="1"/>
  <c r="H16" i="1"/>
  <c r="F19" i="7"/>
  <c r="H17" i="1"/>
  <c r="H18" i="1"/>
  <c r="H19" i="1"/>
  <c r="H20" i="1"/>
  <c r="H21" i="1"/>
  <c r="H22" i="1"/>
  <c r="H23" i="1"/>
  <c r="H24" i="1"/>
  <c r="F27" i="7"/>
  <c r="H25" i="1"/>
  <c r="H26" i="1"/>
  <c r="F28" i="7"/>
  <c r="H27" i="1"/>
  <c r="H28" i="1"/>
  <c r="H29" i="1"/>
  <c r="H30" i="1"/>
  <c r="H31" i="1"/>
  <c r="H32" i="1"/>
  <c r="H33" i="1"/>
  <c r="H34" i="1"/>
  <c r="H35" i="1"/>
  <c r="H36" i="1"/>
  <c r="F36" i="7"/>
  <c r="H37" i="1"/>
  <c r="H38" i="1"/>
  <c r="F38" i="7"/>
  <c r="H39" i="1"/>
  <c r="H40" i="1"/>
  <c r="F43" i="7"/>
  <c r="H41" i="1"/>
  <c r="H42" i="1"/>
  <c r="H43" i="1"/>
  <c r="H44" i="1"/>
  <c r="H45" i="1"/>
  <c r="H46" i="1"/>
  <c r="H47" i="1"/>
  <c r="F50" i="7"/>
  <c r="H48" i="1"/>
  <c r="H49" i="1"/>
  <c r="H50" i="1"/>
  <c r="H51" i="1"/>
  <c r="F54" i="7"/>
  <c r="H52" i="1"/>
  <c r="H53" i="1"/>
  <c r="H54" i="1"/>
  <c r="F57" i="7"/>
  <c r="H55" i="1"/>
  <c r="H56" i="1"/>
  <c r="H57" i="1"/>
  <c r="H58" i="1"/>
  <c r="H59" i="1"/>
  <c r="H60" i="1"/>
  <c r="H61" i="1"/>
  <c r="F64" i="7"/>
  <c r="H62" i="1"/>
  <c r="H63" i="1"/>
  <c r="H64" i="1"/>
  <c r="H65" i="1"/>
  <c r="H66" i="1"/>
  <c r="H67" i="1"/>
  <c r="H68" i="1"/>
  <c r="F71" i="7"/>
  <c r="H69" i="1"/>
  <c r="H70" i="1"/>
  <c r="H71" i="1"/>
  <c r="H72" i="1"/>
  <c r="H73" i="1"/>
  <c r="H74" i="1"/>
  <c r="H75" i="1"/>
  <c r="H76" i="1"/>
  <c r="H77" i="1"/>
  <c r="H78" i="1"/>
  <c r="H79" i="1"/>
  <c r="H80" i="1"/>
  <c r="C81" i="1"/>
  <c r="H81" i="1"/>
  <c r="H82" i="1"/>
  <c r="F85" i="7"/>
  <c r="H83" i="1"/>
  <c r="H84" i="1"/>
  <c r="H85" i="1"/>
  <c r="H86" i="1"/>
  <c r="H87" i="1"/>
  <c r="H88" i="1"/>
  <c r="H89" i="1"/>
  <c r="H90" i="1"/>
  <c r="F93" i="7"/>
  <c r="H91" i="1"/>
  <c r="H92" i="1"/>
  <c r="H93" i="1"/>
  <c r="H94" i="1"/>
  <c r="H95" i="1"/>
  <c r="H96" i="1"/>
  <c r="H97" i="1"/>
  <c r="H98" i="1"/>
  <c r="H99" i="1"/>
  <c r="F99" i="7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F129" i="7"/>
  <c r="H129" i="1"/>
  <c r="H130" i="1"/>
  <c r="H131" i="1"/>
  <c r="H132" i="1"/>
  <c r="H133" i="1"/>
  <c r="F136" i="7"/>
  <c r="H134" i="1"/>
  <c r="F137" i="7"/>
  <c r="H135" i="1"/>
  <c r="H136" i="1"/>
  <c r="H137" i="1"/>
  <c r="H138" i="1"/>
  <c r="H139" i="1"/>
  <c r="F141" i="7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F177" i="7"/>
  <c r="H178" i="1"/>
  <c r="F181" i="7"/>
  <c r="H179" i="1"/>
  <c r="H180" i="1"/>
  <c r="H181" i="1"/>
  <c r="H182" i="1"/>
  <c r="H183" i="1"/>
  <c r="H184" i="1"/>
  <c r="H185" i="1"/>
  <c r="F188" i="7"/>
  <c r="H186" i="1"/>
  <c r="H187" i="1"/>
  <c r="H188" i="1"/>
  <c r="H189" i="1"/>
  <c r="H190" i="1"/>
  <c r="H191" i="1"/>
  <c r="H192" i="1"/>
  <c r="F194" i="7"/>
  <c r="F195" i="7"/>
  <c r="H193" i="1"/>
  <c r="F196" i="7"/>
  <c r="H194" i="1"/>
  <c r="H195" i="1"/>
  <c r="H196" i="1"/>
  <c r="H197" i="1"/>
  <c r="H198" i="1"/>
  <c r="H199" i="1"/>
  <c r="F202" i="7"/>
  <c r="H200" i="1"/>
  <c r="H201" i="1"/>
  <c r="H202" i="1"/>
  <c r="H203" i="1"/>
  <c r="H204" i="1"/>
  <c r="F205" i="7"/>
  <c r="H205" i="1"/>
  <c r="H206" i="1"/>
  <c r="H207" i="1"/>
  <c r="F210" i="7"/>
  <c r="H208" i="1"/>
  <c r="H209" i="1"/>
  <c r="H210" i="1"/>
  <c r="H211" i="1"/>
  <c r="H212" i="1"/>
  <c r="H213" i="1"/>
  <c r="H214" i="1"/>
  <c r="F217" i="7"/>
  <c r="H215" i="1"/>
  <c r="H216" i="1"/>
  <c r="H217" i="1"/>
  <c r="H218" i="1"/>
  <c r="H219" i="1"/>
  <c r="H220" i="1"/>
  <c r="H221" i="1"/>
  <c r="H222" i="1"/>
  <c r="F225" i="7"/>
  <c r="H223" i="1"/>
  <c r="H224" i="1"/>
  <c r="H225" i="1"/>
  <c r="H226" i="1"/>
  <c r="H227" i="1"/>
  <c r="H228" i="1"/>
  <c r="H229" i="1"/>
  <c r="H230" i="1"/>
  <c r="F233" i="7"/>
  <c r="H231" i="1"/>
  <c r="F234" i="7"/>
  <c r="H232" i="1"/>
  <c r="H233" i="1"/>
  <c r="H234" i="1"/>
  <c r="H235" i="1"/>
  <c r="H236" i="1"/>
  <c r="H237" i="1"/>
  <c r="H238" i="1"/>
  <c r="F241" i="7"/>
  <c r="H239" i="1"/>
  <c r="F242" i="7"/>
  <c r="H240" i="1"/>
  <c r="H241" i="1"/>
  <c r="H242" i="1"/>
  <c r="H243" i="1"/>
  <c r="H244" i="1"/>
  <c r="H245" i="1"/>
  <c r="H246" i="1"/>
  <c r="F249" i="7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F263" i="7"/>
  <c r="H261" i="1"/>
  <c r="H262" i="1"/>
  <c r="H263" i="1"/>
  <c r="H264" i="1"/>
  <c r="H265" i="1"/>
  <c r="H266" i="1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F293" i="7"/>
  <c r="H291" i="1"/>
  <c r="H292" i="1"/>
  <c r="H293" i="1"/>
  <c r="H294" i="1"/>
  <c r="H295" i="1"/>
  <c r="H296" i="1"/>
  <c r="H297" i="1"/>
  <c r="F300" i="7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F333" i="7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F360" i="7"/>
  <c r="H360" i="1"/>
  <c r="H361" i="1"/>
  <c r="H362" i="1"/>
  <c r="H363" i="1"/>
  <c r="H364" i="1"/>
  <c r="H365" i="1"/>
  <c r="F366" i="7"/>
  <c r="F368" i="7"/>
  <c r="H366" i="1"/>
  <c r="H367" i="1"/>
  <c r="H368" i="1"/>
  <c r="H369" i="1"/>
  <c r="H370" i="1"/>
  <c r="H371" i="1"/>
  <c r="H372" i="1"/>
  <c r="H373" i="1"/>
  <c r="H374" i="1"/>
  <c r="H375" i="1"/>
  <c r="H376" i="1"/>
  <c r="H377" i="1"/>
  <c r="F378" i="7"/>
  <c r="H378" i="1"/>
  <c r="H379" i="1"/>
  <c r="H380" i="1"/>
  <c r="F383" i="7"/>
  <c r="H381" i="1"/>
  <c r="H382" i="1"/>
  <c r="H383" i="1"/>
  <c r="H384" i="1"/>
  <c r="F385" i="7"/>
  <c r="H385" i="1"/>
  <c r="F388" i="7"/>
  <c r="H386" i="1"/>
  <c r="H387" i="1"/>
  <c r="F387" i="7"/>
  <c r="H388" i="1"/>
  <c r="H389" i="1"/>
  <c r="H390" i="1"/>
  <c r="F391" i="7"/>
  <c r="H391" i="1"/>
  <c r="H392" i="1"/>
  <c r="F394" i="7"/>
  <c r="H393" i="1"/>
  <c r="H394" i="1"/>
  <c r="H395" i="1"/>
  <c r="F398" i="7"/>
  <c r="H396" i="1"/>
  <c r="H397" i="1"/>
  <c r="F397" i="7"/>
  <c r="H398" i="1"/>
  <c r="H399" i="1"/>
  <c r="H400" i="1"/>
  <c r="H401" i="1"/>
  <c r="H402" i="1"/>
  <c r="H403" i="1"/>
  <c r="H404" i="1"/>
  <c r="F406" i="7"/>
  <c r="H405" i="1"/>
  <c r="F408" i="7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F422" i="7"/>
  <c r="H420" i="1"/>
  <c r="H421" i="1"/>
  <c r="H422" i="1"/>
  <c r="H423" i="1"/>
  <c r="F424" i="7"/>
  <c r="H424" i="1"/>
  <c r="H425" i="1"/>
  <c r="H426" i="1"/>
  <c r="H427" i="1"/>
  <c r="H428" i="1"/>
  <c r="H429" i="1"/>
  <c r="H430" i="1"/>
  <c r="H431" i="1"/>
  <c r="H432" i="1"/>
  <c r="H433" i="1"/>
  <c r="F436" i="7"/>
  <c r="H434" i="1"/>
  <c r="H435" i="1"/>
  <c r="H436" i="1"/>
  <c r="H437" i="1"/>
  <c r="H438" i="1"/>
  <c r="H439" i="1"/>
  <c r="H440" i="1"/>
  <c r="H441" i="1"/>
  <c r="F443" i="7"/>
  <c r="H442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N628" i="7"/>
  <c r="H473" i="1"/>
  <c r="H474" i="1"/>
  <c r="H475" i="1"/>
  <c r="H476" i="1"/>
  <c r="H477" i="1"/>
  <c r="H478" i="1"/>
  <c r="H479" i="1"/>
  <c r="H480" i="1"/>
  <c r="F483" i="7"/>
  <c r="H481" i="1"/>
  <c r="H482" i="1"/>
  <c r="H483" i="1"/>
  <c r="H484" i="1"/>
  <c r="H485" i="1"/>
  <c r="H486" i="1"/>
  <c r="H487" i="1"/>
  <c r="F490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N621" i="7"/>
  <c r="H518" i="1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I541" i="1"/>
  <c r="I761" i="1"/>
  <c r="C83" i="7"/>
  <c r="I871" i="1"/>
  <c r="I904" i="1"/>
  <c r="F904" i="7"/>
  <c r="I957" i="1"/>
  <c r="Y843" i="7"/>
  <c r="Y912" i="7"/>
  <c r="I653" i="1"/>
  <c r="S862" i="7"/>
  <c r="I951" i="1"/>
  <c r="F995" i="7"/>
  <c r="W1099" i="7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S989" i="7"/>
  <c r="S993" i="7"/>
  <c r="I801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I675" i="1"/>
  <c r="F883" i="7"/>
  <c r="I681" i="1"/>
  <c r="I709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S933" i="7"/>
  <c r="I638" i="1"/>
  <c r="I599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895" i="1"/>
  <c r="I933" i="1"/>
  <c r="F935" i="7"/>
  <c r="F936" i="7"/>
  <c r="Y858" i="7"/>
  <c r="Y834" i="7"/>
  <c r="I790" i="1"/>
  <c r="I902" i="1"/>
  <c r="F903" i="7"/>
  <c r="I1010" i="1"/>
  <c r="O1114" i="7"/>
  <c r="F1010" i="7"/>
  <c r="I960" i="1"/>
  <c r="Y896" i="7"/>
  <c r="S968" i="7"/>
  <c r="I968" i="1"/>
  <c r="F1012" i="7"/>
  <c r="I959" i="1"/>
  <c r="T808" i="7"/>
  <c r="S876" i="7"/>
  <c r="U817" i="7"/>
  <c r="U876" i="7"/>
  <c r="U983" i="7"/>
  <c r="U934" i="7"/>
  <c r="U986" i="7"/>
  <c r="I846" i="1"/>
  <c r="N1002" i="7"/>
  <c r="T914" i="7"/>
  <c r="I814" i="1"/>
  <c r="O970" i="7"/>
  <c r="T739" i="7"/>
  <c r="V750" i="7"/>
  <c r="V768" i="7"/>
  <c r="U924" i="7"/>
  <c r="Y1014" i="7"/>
  <c r="Y1006" i="7"/>
  <c r="Y976" i="7"/>
  <c r="N1022" i="7"/>
  <c r="U1022" i="7"/>
  <c r="U921" i="7"/>
  <c r="U933" i="7"/>
  <c r="U881" i="7"/>
  <c r="U944" i="7"/>
  <c r="T969" i="7"/>
  <c r="T979" i="7"/>
  <c r="I976" i="1"/>
  <c r="F978" i="7"/>
  <c r="T1021" i="7"/>
  <c r="Y979" i="7"/>
  <c r="F873" i="7"/>
  <c r="T792" i="7"/>
  <c r="U889" i="7"/>
  <c r="S952" i="7"/>
  <c r="U982" i="7"/>
  <c r="U930" i="7"/>
  <c r="U935" i="7"/>
  <c r="U987" i="7"/>
  <c r="U939" i="7"/>
  <c r="S951" i="7"/>
  <c r="T968" i="7"/>
  <c r="V941" i="7"/>
  <c r="V906" i="7"/>
  <c r="F940" i="7"/>
  <c r="I946" i="1"/>
  <c r="F946" i="7"/>
  <c r="W1050" i="7"/>
  <c r="F948" i="7"/>
  <c r="F949" i="7"/>
  <c r="Y917" i="7"/>
  <c r="Y878" i="7"/>
  <c r="Y986" i="7"/>
  <c r="F954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T706" i="7"/>
  <c r="T811" i="7"/>
  <c r="S804" i="7"/>
  <c r="F950" i="7"/>
  <c r="I947" i="1"/>
  <c r="O1051" i="7"/>
  <c r="F941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W1101" i="7"/>
  <c r="S929" i="7"/>
  <c r="U1003" i="7"/>
  <c r="Y1013" i="7"/>
  <c r="Y909" i="7"/>
  <c r="Y961" i="7"/>
  <c r="F947" i="7"/>
  <c r="U993" i="7"/>
  <c r="I971" i="1"/>
  <c r="F974" i="7"/>
  <c r="I982" i="1"/>
  <c r="O1034" i="7"/>
  <c r="F982" i="7"/>
  <c r="Y994" i="7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I633" i="1"/>
  <c r="S984" i="7"/>
  <c r="U994" i="7"/>
  <c r="F1021" i="7"/>
  <c r="I667" i="1"/>
  <c r="F882" i="7"/>
  <c r="Y938" i="7"/>
  <c r="S1025" i="7"/>
  <c r="U1036" i="7"/>
  <c r="Y1027" i="7"/>
  <c r="Y923" i="7"/>
  <c r="T593" i="7"/>
  <c r="S937" i="7"/>
  <c r="F896" i="7"/>
  <c r="S995" i="7"/>
  <c r="U1050" i="7"/>
  <c r="F953" i="7"/>
  <c r="F977" i="7"/>
  <c r="Y950" i="7"/>
  <c r="T614" i="7"/>
  <c r="S986" i="7"/>
  <c r="T937" i="7"/>
  <c r="F890" i="7"/>
  <c r="S975" i="7"/>
  <c r="Y969" i="7"/>
  <c r="S939" i="7"/>
  <c r="S996" i="7"/>
  <c r="U840" i="7"/>
  <c r="V955" i="7"/>
  <c r="V851" i="7"/>
  <c r="V864" i="7"/>
  <c r="V976" i="7"/>
  <c r="V924" i="7"/>
  <c r="V879" i="7"/>
  <c r="T806" i="7"/>
  <c r="U839" i="7"/>
  <c r="U892" i="7"/>
  <c r="U1021" i="7"/>
  <c r="T766" i="7"/>
  <c r="T819" i="7"/>
  <c r="Y1005" i="7"/>
  <c r="V918" i="7"/>
  <c r="T891" i="7"/>
  <c r="I603" i="1"/>
  <c r="I695" i="1"/>
  <c r="I701" i="1"/>
  <c r="I716" i="1"/>
  <c r="T668" i="7"/>
  <c r="T729" i="7"/>
  <c r="V801" i="7"/>
  <c r="V854" i="7"/>
  <c r="V1014" i="7"/>
  <c r="V857" i="7"/>
  <c r="V909" i="7"/>
  <c r="V863" i="7"/>
  <c r="V915" i="7"/>
  <c r="V989" i="7"/>
  <c r="V1000" i="7"/>
  <c r="V1010" i="7"/>
  <c r="V917" i="7"/>
  <c r="F998" i="7"/>
  <c r="F1000" i="7"/>
  <c r="I669" i="1"/>
  <c r="V687" i="7"/>
  <c r="T753" i="7"/>
  <c r="V1004" i="7"/>
  <c r="F867" i="7"/>
  <c r="U922" i="7"/>
  <c r="U974" i="7"/>
  <c r="Y840" i="7"/>
  <c r="Y944" i="7"/>
  <c r="Y892" i="7"/>
  <c r="S1017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S807" i="7"/>
  <c r="U767" i="7"/>
  <c r="V956" i="7"/>
  <c r="Y841" i="7"/>
  <c r="Y945" i="7"/>
  <c r="U702" i="7"/>
  <c r="U814" i="7"/>
  <c r="S776" i="7"/>
  <c r="S881" i="7"/>
  <c r="U786" i="7"/>
  <c r="U838" i="7"/>
  <c r="U891" i="7"/>
  <c r="Y833" i="7"/>
  <c r="Y990" i="7"/>
  <c r="F1004" i="7"/>
  <c r="W1056" i="7"/>
  <c r="V1020" i="7"/>
  <c r="T821" i="7"/>
  <c r="T883" i="7"/>
  <c r="I825" i="1"/>
  <c r="S770" i="7"/>
  <c r="V799" i="7"/>
  <c r="V908" i="7"/>
  <c r="V873" i="7"/>
  <c r="U906" i="7"/>
  <c r="U966" i="7"/>
  <c r="I867" i="1"/>
  <c r="S979" i="7"/>
  <c r="I1000" i="1"/>
  <c r="F1002" i="7"/>
  <c r="F1001" i="7"/>
  <c r="W1053" i="7"/>
  <c r="T710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919" i="7"/>
  <c r="U726" i="7"/>
  <c r="I640" i="1"/>
  <c r="I694" i="1"/>
  <c r="I826" i="1"/>
  <c r="T663" i="7"/>
  <c r="T611" i="7"/>
  <c r="T637" i="7"/>
  <c r="S834" i="7"/>
  <c r="U835" i="7"/>
  <c r="S848" i="7"/>
  <c r="V883" i="7"/>
  <c r="S835" i="7"/>
  <c r="S888" i="7"/>
  <c r="V1008" i="7"/>
  <c r="F966" i="7"/>
  <c r="I973" i="1"/>
  <c r="F973" i="7"/>
  <c r="F976" i="7"/>
  <c r="W1080" i="7"/>
  <c r="I979" i="1"/>
  <c r="O1031" i="7"/>
  <c r="F979" i="7"/>
  <c r="Y899" i="7"/>
  <c r="Y951" i="7"/>
  <c r="Y876" i="7"/>
  <c r="Y928" i="7"/>
  <c r="Y870" i="7"/>
  <c r="Y922" i="7"/>
  <c r="T804" i="7"/>
  <c r="F243" i="7"/>
  <c r="T703" i="7"/>
  <c r="T647" i="7"/>
  <c r="I777" i="1"/>
  <c r="S794" i="7"/>
  <c r="S742" i="7"/>
  <c r="V949" i="7"/>
  <c r="F928" i="7"/>
  <c r="F929" i="7"/>
  <c r="U996" i="7"/>
  <c r="F983" i="7"/>
  <c r="I980" i="1"/>
  <c r="F135" i="7"/>
  <c r="F561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S976" i="7"/>
  <c r="F881" i="7"/>
  <c r="I558" i="1"/>
  <c r="S712" i="7"/>
  <c r="U830" i="7"/>
  <c r="U681" i="7"/>
  <c r="S705" i="7"/>
  <c r="S826" i="7"/>
  <c r="Y1023" i="7"/>
  <c r="F994" i="7"/>
  <c r="S721" i="7"/>
  <c r="U827" i="7"/>
  <c r="S798" i="7"/>
  <c r="S874" i="7"/>
  <c r="S830" i="7"/>
  <c r="Y946" i="7"/>
  <c r="V624" i="7"/>
  <c r="T849" i="7"/>
  <c r="U985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N1014" i="7"/>
  <c r="I835" i="1"/>
  <c r="T795" i="7"/>
  <c r="U700" i="7"/>
  <c r="N912" i="7"/>
  <c r="I860" i="1"/>
  <c r="I861" i="1"/>
  <c r="V1002" i="7"/>
  <c r="I887" i="1"/>
  <c r="S872" i="7"/>
  <c r="N591" i="7"/>
  <c r="I805" i="1"/>
  <c r="F876" i="7"/>
  <c r="F877" i="7"/>
  <c r="F880" i="7"/>
  <c r="F879" i="7"/>
  <c r="I1008" i="1"/>
  <c r="F1009" i="7"/>
  <c r="F1011" i="7"/>
  <c r="F888" i="7"/>
  <c r="N1007" i="7"/>
  <c r="I828" i="1"/>
  <c r="V678" i="7"/>
  <c r="S863" i="7"/>
  <c r="S810" i="7"/>
  <c r="F1048" i="7"/>
  <c r="F1045" i="7"/>
  <c r="F1046" i="7"/>
  <c r="W1098" i="7"/>
  <c r="U992" i="7"/>
  <c r="S944" i="7"/>
  <c r="I554" i="1"/>
  <c r="I827" i="1"/>
  <c r="V1018" i="7"/>
  <c r="U1029" i="7"/>
  <c r="U977" i="7"/>
  <c r="I1013" i="1"/>
  <c r="F1015" i="7"/>
  <c r="W1067" i="7"/>
  <c r="F1016" i="7"/>
  <c r="I546" i="1"/>
  <c r="O702" i="7"/>
  <c r="T789" i="7"/>
  <c r="U882" i="7"/>
  <c r="U733" i="7"/>
  <c r="U837" i="7"/>
  <c r="S915" i="7"/>
  <c r="S967" i="7"/>
  <c r="I865" i="1"/>
  <c r="O917" i="7"/>
  <c r="F868" i="7"/>
  <c r="W1077" i="7"/>
  <c r="N1021" i="7"/>
  <c r="I1045" i="1"/>
  <c r="V770" i="7"/>
  <c r="I806" i="1"/>
  <c r="N932" i="7"/>
  <c r="I1020" i="1"/>
  <c r="I894" i="1"/>
  <c r="G897" i="7"/>
  <c r="I859" i="1"/>
  <c r="F861" i="7"/>
  <c r="S971" i="7"/>
  <c r="T934" i="7"/>
  <c r="F1007" i="7"/>
  <c r="I1004" i="1"/>
  <c r="F878" i="7"/>
  <c r="W1034" i="7"/>
  <c r="N939" i="7"/>
  <c r="S991" i="7"/>
  <c r="T820" i="7"/>
  <c r="V897" i="7"/>
  <c r="F1027" i="7"/>
  <c r="N1015" i="7"/>
  <c r="N598" i="7"/>
  <c r="S783" i="7"/>
  <c r="T681" i="7"/>
  <c r="F815" i="7"/>
  <c r="F871" i="7"/>
  <c r="I815" i="1"/>
  <c r="I821" i="1"/>
  <c r="T742" i="7"/>
  <c r="S730" i="7"/>
  <c r="S887" i="7"/>
  <c r="V964" i="7"/>
  <c r="I985" i="1"/>
  <c r="G988" i="7"/>
  <c r="F987" i="7"/>
  <c r="I1005" i="1"/>
  <c r="F1008" i="7"/>
  <c r="N872" i="7"/>
  <c r="I822" i="1"/>
  <c r="V677" i="7"/>
  <c r="V781" i="7"/>
  <c r="T809" i="7"/>
  <c r="V708" i="7"/>
  <c r="S790" i="7"/>
  <c r="S902" i="7"/>
  <c r="S803" i="7"/>
  <c r="S752" i="7"/>
  <c r="S753" i="7"/>
  <c r="S809" i="7"/>
  <c r="S923" i="7"/>
  <c r="S818" i="7"/>
  <c r="S871" i="7"/>
  <c r="S774" i="7"/>
  <c r="S880" i="7"/>
  <c r="T835" i="7"/>
  <c r="T704" i="7"/>
  <c r="T829" i="7"/>
  <c r="N859" i="7"/>
  <c r="I762" i="1"/>
  <c r="I808" i="1"/>
  <c r="S900" i="7"/>
  <c r="S901" i="7"/>
  <c r="T888" i="7"/>
  <c r="U801" i="7"/>
  <c r="F996" i="7"/>
  <c r="I993" i="1"/>
  <c r="Y1048" i="7"/>
  <c r="I584" i="1"/>
  <c r="I702" i="1"/>
  <c r="N806" i="7"/>
  <c r="Y952" i="7"/>
  <c r="Y900" i="7"/>
  <c r="I994" i="1"/>
  <c r="F997" i="7"/>
  <c r="V958" i="7"/>
  <c r="Y920" i="7"/>
  <c r="F999" i="7"/>
  <c r="I996" i="1"/>
  <c r="I785" i="1"/>
  <c r="O837" i="7"/>
  <c r="S908" i="7"/>
  <c r="V1024" i="7"/>
  <c r="T773" i="7"/>
  <c r="T776" i="7"/>
  <c r="N985" i="7"/>
  <c r="Y1049" i="7"/>
  <c r="Y981" i="7"/>
  <c r="Y957" i="7"/>
  <c r="Y886" i="7"/>
  <c r="V700" i="7"/>
  <c r="V1011" i="7"/>
  <c r="Y996" i="7"/>
  <c r="Y1001" i="7"/>
  <c r="T1040" i="7"/>
  <c r="Y948" i="7"/>
  <c r="Y968" i="7"/>
  <c r="Y864" i="7"/>
  <c r="F1034" i="7"/>
  <c r="F133" i="7"/>
  <c r="T976" i="7"/>
  <c r="U1048" i="7"/>
  <c r="F960" i="7"/>
  <c r="S1040" i="7"/>
  <c r="Y1034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1031" i="7"/>
  <c r="T720" i="7"/>
  <c r="V830" i="7"/>
  <c r="V831" i="7"/>
  <c r="V833" i="7"/>
  <c r="S1030" i="7"/>
  <c r="Y1038" i="7"/>
  <c r="Y975" i="7"/>
  <c r="Y914" i="7"/>
  <c r="F1047" i="7"/>
  <c r="U923" i="7"/>
  <c r="S983" i="7"/>
  <c r="S931" i="7"/>
  <c r="V932" i="7"/>
  <c r="G907" i="7"/>
  <c r="I921" i="1"/>
  <c r="G924" i="7"/>
  <c r="F923" i="7"/>
  <c r="F924" i="7"/>
  <c r="U1047" i="7"/>
  <c r="U995" i="7"/>
  <c r="F956" i="7"/>
  <c r="F957" i="7"/>
  <c r="F958" i="7"/>
  <c r="I956" i="1"/>
  <c r="F959" i="7"/>
  <c r="N1016" i="7"/>
  <c r="I964" i="1"/>
  <c r="Y869" i="7"/>
  <c r="Y921" i="7"/>
  <c r="Y915" i="7"/>
  <c r="Y1020" i="7"/>
  <c r="Y863" i="7"/>
  <c r="Y967" i="7"/>
  <c r="F595" i="7"/>
  <c r="I594" i="1"/>
  <c r="F594" i="7"/>
  <c r="N720" i="7"/>
  <c r="I668" i="1"/>
  <c r="F669" i="7"/>
  <c r="I676" i="1"/>
  <c r="N728" i="7"/>
  <c r="I710" i="1"/>
  <c r="I891" i="1"/>
  <c r="F894" i="7"/>
  <c r="F893" i="7"/>
  <c r="W997" i="7"/>
  <c r="F891" i="7"/>
  <c r="T996" i="7"/>
  <c r="I897" i="1"/>
  <c r="G899" i="7"/>
  <c r="F900" i="7"/>
  <c r="F899" i="7"/>
  <c r="F898" i="7"/>
  <c r="T950" i="7"/>
  <c r="T1002" i="7"/>
  <c r="V1013" i="7"/>
  <c r="V961" i="7"/>
  <c r="U1020" i="7"/>
  <c r="V969" i="7"/>
  <c r="V1021" i="7"/>
  <c r="V970" i="7"/>
  <c r="V1022" i="7"/>
  <c r="F944" i="7"/>
  <c r="I942" i="1"/>
  <c r="F943" i="7"/>
  <c r="F942" i="7"/>
  <c r="S1046" i="7"/>
  <c r="S994" i="7"/>
  <c r="I568" i="1"/>
  <c r="I608" i="1"/>
  <c r="I586" i="1"/>
  <c r="N638" i="7"/>
  <c r="F750" i="7"/>
  <c r="F609" i="7"/>
  <c r="I750" i="1"/>
  <c r="F110" i="7"/>
  <c r="N828" i="7"/>
  <c r="I567" i="1"/>
  <c r="F567" i="7"/>
  <c r="N755" i="7"/>
  <c r="I644" i="1"/>
  <c r="N664" i="7"/>
  <c r="I691" i="1"/>
  <c r="I698" i="1"/>
  <c r="I770" i="1"/>
  <c r="T770" i="7"/>
  <c r="T613" i="7"/>
  <c r="T772" i="7"/>
  <c r="T774" i="7"/>
  <c r="T721" i="7"/>
  <c r="S778" i="7"/>
  <c r="S710" i="7"/>
  <c r="V817" i="7"/>
  <c r="I1003" i="1"/>
  <c r="G1005" i="7"/>
  <c r="F1006" i="7"/>
  <c r="F1005" i="7"/>
  <c r="F1003" i="7"/>
  <c r="I600" i="1"/>
  <c r="F601" i="7"/>
  <c r="F603" i="7"/>
  <c r="I1030" i="1"/>
  <c r="F1033" i="7"/>
  <c r="U703" i="7"/>
  <c r="T627" i="7"/>
  <c r="T733" i="7"/>
  <c r="T683" i="7"/>
  <c r="T631" i="7"/>
  <c r="T737" i="7"/>
  <c r="V738" i="7"/>
  <c r="T798" i="7"/>
  <c r="F412" i="7"/>
  <c r="F103" i="7"/>
  <c r="F104" i="7"/>
  <c r="N690" i="7"/>
  <c r="N794" i="7"/>
  <c r="I561" i="1"/>
  <c r="F562" i="7"/>
  <c r="N938" i="7"/>
  <c r="F153" i="7"/>
  <c r="I610" i="1"/>
  <c r="V674" i="7"/>
  <c r="V699" i="7"/>
  <c r="V649" i="7"/>
  <c r="V705" i="7"/>
  <c r="V1051" i="7"/>
  <c r="N582" i="7"/>
  <c r="I562" i="1"/>
  <c r="F152" i="7"/>
  <c r="I797" i="1"/>
  <c r="V717" i="7"/>
  <c r="V730" i="7"/>
  <c r="V625" i="7"/>
  <c r="S769" i="7"/>
  <c r="S716" i="7"/>
  <c r="F860" i="7"/>
  <c r="I857" i="1"/>
  <c r="F859" i="7"/>
  <c r="N961" i="7"/>
  <c r="V837" i="7"/>
  <c r="I841" i="1"/>
  <c r="G843" i="7"/>
  <c r="F842" i="7"/>
  <c r="T900" i="7"/>
  <c r="T901" i="7"/>
  <c r="T953" i="7"/>
  <c r="I847" i="1"/>
  <c r="N922" i="7"/>
  <c r="I818" i="1"/>
  <c r="S756" i="7"/>
  <c r="S861" i="7"/>
  <c r="S704" i="7"/>
  <c r="S833" i="7"/>
  <c r="U888" i="7"/>
  <c r="S832" i="7"/>
  <c r="S885" i="7"/>
  <c r="S728" i="7"/>
  <c r="T882" i="7"/>
  <c r="T832" i="7"/>
  <c r="T884" i="7"/>
  <c r="N1005" i="7"/>
  <c r="I849" i="1"/>
  <c r="U1007" i="7"/>
  <c r="F872" i="7"/>
  <c r="T833" i="7"/>
  <c r="N611" i="7"/>
  <c r="N793" i="7"/>
  <c r="I780" i="1"/>
  <c r="F783" i="7"/>
  <c r="U766" i="7"/>
  <c r="U775" i="7"/>
  <c r="U879" i="7"/>
  <c r="U828" i="7"/>
  <c r="I882" i="1"/>
  <c r="Y1041" i="7"/>
  <c r="Y992" i="7"/>
  <c r="Y887" i="7"/>
  <c r="I813" i="1"/>
  <c r="F892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2" i="7"/>
  <c r="N963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I613" i="1"/>
  <c r="T741" i="7"/>
  <c r="V1006" i="7"/>
  <c r="I885" i="1"/>
  <c r="F887" i="7"/>
  <c r="Y907" i="7"/>
  <c r="Y959" i="7"/>
  <c r="Y883" i="7"/>
  <c r="Y859" i="7"/>
  <c r="Y911" i="7"/>
  <c r="Y963" i="7"/>
  <c r="Y893" i="7"/>
  <c r="Y998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N923" i="7"/>
  <c r="U1051" i="7"/>
  <c r="S764" i="7"/>
  <c r="V751" i="7"/>
  <c r="I926" i="1"/>
  <c r="N978" i="7"/>
  <c r="T991" i="7"/>
  <c r="I945" i="1"/>
  <c r="N1049" i="7"/>
  <c r="S1050" i="7"/>
  <c r="V1023" i="7"/>
  <c r="S1035" i="7"/>
  <c r="Y1040" i="7"/>
  <c r="T760" i="7"/>
  <c r="T708" i="7"/>
  <c r="U797" i="7"/>
  <c r="U800" i="7"/>
  <c r="N1043" i="7"/>
  <c r="V1046" i="7"/>
  <c r="N1036" i="7"/>
  <c r="I1041" i="1"/>
  <c r="F1044" i="7"/>
  <c r="T623" i="7"/>
  <c r="S924" i="7"/>
  <c r="S953" i="7"/>
  <c r="N1037" i="7"/>
  <c r="U1038" i="7"/>
  <c r="V1030" i="7"/>
  <c r="N1045" i="7"/>
  <c r="T1046" i="7"/>
  <c r="V983" i="7"/>
  <c r="F964" i="7"/>
  <c r="U1023" i="7"/>
  <c r="S1029" i="7"/>
  <c r="S1028" i="7"/>
  <c r="V1031" i="7"/>
  <c r="N1035" i="7"/>
  <c r="I983" i="1"/>
  <c r="F989" i="7"/>
  <c r="S1047" i="7"/>
  <c r="T1048" i="7"/>
  <c r="T834" i="7"/>
  <c r="U1040" i="7"/>
  <c r="S1044" i="7"/>
  <c r="T1023" i="7"/>
  <c r="V1025" i="7"/>
  <c r="Y947" i="7"/>
  <c r="F1039" i="7"/>
  <c r="W1091" i="7"/>
  <c r="F1036" i="7"/>
  <c r="I1036" i="1"/>
  <c r="T754" i="7"/>
  <c r="I963" i="1"/>
  <c r="O1067" i="7"/>
  <c r="F965" i="7"/>
  <c r="S1023" i="7"/>
  <c r="V1026" i="7"/>
  <c r="T1031" i="7"/>
  <c r="U1033" i="7"/>
  <c r="U1032" i="7"/>
  <c r="S1041" i="7"/>
  <c r="Y1029" i="7"/>
  <c r="Y954" i="7"/>
  <c r="Y931" i="7"/>
  <c r="I1011" i="1"/>
  <c r="F1014" i="7"/>
  <c r="F1025" i="7"/>
  <c r="F1024" i="7"/>
  <c r="F1023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O1080" i="7"/>
  <c r="F1029" i="7"/>
  <c r="T1024" i="7"/>
  <c r="U1025" i="7"/>
  <c r="N1029" i="7"/>
  <c r="V1033" i="7"/>
  <c r="V1032" i="7"/>
  <c r="Y1025" i="7"/>
  <c r="N1046" i="7"/>
  <c r="T1047" i="7"/>
  <c r="T1049" i="7"/>
  <c r="F1022" i="7"/>
  <c r="W1074" i="7"/>
  <c r="I1019" i="1"/>
  <c r="F1026" i="7"/>
  <c r="I1024" i="1"/>
  <c r="N1030" i="7"/>
  <c r="S1031" i="7"/>
  <c r="T1033" i="7"/>
  <c r="V1041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I1025" i="1"/>
  <c r="V1045" i="7"/>
  <c r="Y1044" i="7"/>
  <c r="S1049" i="7"/>
  <c r="F1035" i="7"/>
  <c r="G901" i="7"/>
  <c r="G1007" i="7"/>
  <c r="G889" i="7"/>
  <c r="G1020" i="7"/>
  <c r="T765" i="7"/>
  <c r="T608" i="7"/>
  <c r="T767" i="7"/>
  <c r="T714" i="7"/>
  <c r="S718" i="7"/>
  <c r="S724" i="7"/>
  <c r="S722" i="7"/>
  <c r="I788" i="1"/>
  <c r="N840" i="7"/>
  <c r="N996" i="7"/>
  <c r="F335" i="7"/>
  <c r="F211" i="7"/>
  <c r="F203" i="7"/>
  <c r="S720" i="7"/>
  <c r="G959" i="7"/>
  <c r="I543" i="1"/>
  <c r="F545" i="7"/>
  <c r="I548" i="1"/>
  <c r="F548" i="7"/>
  <c r="N630" i="7"/>
  <c r="N614" i="7"/>
  <c r="G875" i="7"/>
  <c r="F430" i="7"/>
  <c r="F421" i="7"/>
  <c r="S758" i="7"/>
  <c r="S706" i="7"/>
  <c r="S723" i="7"/>
  <c r="S828" i="7"/>
  <c r="U724" i="7"/>
  <c r="U672" i="7"/>
  <c r="U829" i="7"/>
  <c r="S727" i="7"/>
  <c r="U728" i="7"/>
  <c r="V763" i="7"/>
  <c r="V920" i="7"/>
  <c r="V868" i="7"/>
  <c r="V764" i="7"/>
  <c r="V922" i="7"/>
  <c r="V818" i="7"/>
  <c r="V923" i="7"/>
  <c r="V766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634" i="7"/>
  <c r="T596" i="7"/>
  <c r="T667" i="7"/>
  <c r="T771" i="7"/>
  <c r="T723" i="7"/>
  <c r="N583" i="7"/>
  <c r="F474" i="7"/>
  <c r="T591" i="7"/>
  <c r="T695" i="7"/>
  <c r="T752" i="7"/>
  <c r="T700" i="7"/>
  <c r="F481" i="7"/>
  <c r="I580" i="1"/>
  <c r="T619" i="7"/>
  <c r="V663" i="7"/>
  <c r="V611" i="7"/>
  <c r="S941" i="7"/>
  <c r="S942" i="7"/>
  <c r="S837" i="7"/>
  <c r="S890" i="7"/>
  <c r="S838" i="7"/>
  <c r="S943" i="7"/>
  <c r="S891" i="7"/>
  <c r="S839" i="7"/>
  <c r="N919" i="7"/>
  <c r="N815" i="7"/>
  <c r="I711" i="1"/>
  <c r="I811" i="1"/>
  <c r="T601" i="7"/>
  <c r="T929" i="7"/>
  <c r="T824" i="7"/>
  <c r="T930" i="7"/>
  <c r="F344" i="7"/>
  <c r="I535" i="1"/>
  <c r="F536" i="7"/>
  <c r="N970" i="7"/>
  <c r="N976" i="7"/>
  <c r="N833" i="7"/>
  <c r="U654" i="7"/>
  <c r="T999" i="7"/>
  <c r="T843" i="7"/>
  <c r="T947" i="7"/>
  <c r="T895" i="7"/>
  <c r="T844" i="7"/>
  <c r="T948" i="7"/>
  <c r="T949" i="7"/>
  <c r="T897" i="7"/>
  <c r="T898" i="7"/>
  <c r="T954" i="7"/>
  <c r="T1008" i="7"/>
  <c r="N593" i="7"/>
  <c r="F437" i="7"/>
  <c r="N925" i="7"/>
  <c r="F777" i="7"/>
  <c r="V757" i="7"/>
  <c r="V600" i="7"/>
  <c r="V878" i="7"/>
  <c r="V825" i="7"/>
  <c r="U834" i="7"/>
  <c r="V783" i="7"/>
  <c r="V888" i="7"/>
  <c r="S842" i="7"/>
  <c r="I637" i="1"/>
  <c r="I585" i="1"/>
  <c r="N768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F925" i="7"/>
  <c r="V729" i="7"/>
  <c r="V747" i="7"/>
  <c r="V661" i="7"/>
  <c r="T886" i="7"/>
  <c r="V1019" i="7"/>
  <c r="I746" i="1"/>
  <c r="U938" i="7"/>
  <c r="U998" i="7"/>
  <c r="V786" i="7"/>
  <c r="V787" i="7"/>
  <c r="S932" i="7"/>
  <c r="F763" i="7"/>
  <c r="T982" i="7"/>
  <c r="T906" i="7"/>
  <c r="S949" i="7"/>
  <c r="V1017" i="7"/>
  <c r="F865" i="7"/>
  <c r="S981" i="7"/>
  <c r="S930" i="7"/>
  <c r="T1017" i="7"/>
  <c r="S1052" i="7"/>
  <c r="T922" i="7"/>
  <c r="S990" i="7"/>
  <c r="Y953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I1056" i="1"/>
  <c r="O1108" i="7"/>
  <c r="G1056" i="7"/>
  <c r="F1063" i="7"/>
  <c r="W1115" i="7"/>
  <c r="I1063" i="1"/>
  <c r="I1069" i="1"/>
  <c r="F1069" i="7"/>
  <c r="I10" i="8"/>
  <c r="F1075" i="7"/>
  <c r="I1075" i="1"/>
  <c r="F1076" i="7"/>
  <c r="I717" i="1"/>
  <c r="F719" i="7"/>
  <c r="N769" i="7"/>
  <c r="I723" i="1"/>
  <c r="I816" i="1"/>
  <c r="I823" i="1"/>
  <c r="V647" i="7"/>
  <c r="T664" i="7"/>
  <c r="T725" i="7"/>
  <c r="U695" i="7"/>
  <c r="U750" i="7"/>
  <c r="U697" i="7"/>
  <c r="U647" i="7"/>
  <c r="I803" i="1"/>
  <c r="G806" i="7"/>
  <c r="F806" i="7"/>
  <c r="N1032" i="7"/>
  <c r="N879" i="7"/>
  <c r="G861" i="7"/>
  <c r="F143" i="7"/>
  <c r="F691" i="7"/>
  <c r="I688" i="1"/>
  <c r="F689" i="7"/>
  <c r="F744" i="7"/>
  <c r="F743" i="7"/>
  <c r="I743" i="1"/>
  <c r="O710" i="7"/>
  <c r="F673" i="7"/>
  <c r="I670" i="1"/>
  <c r="G670" i="7"/>
  <c r="F670" i="7"/>
  <c r="I718" i="1"/>
  <c r="N874" i="7"/>
  <c r="N926" i="7"/>
  <c r="G603" i="7"/>
  <c r="O866" i="7"/>
  <c r="O762" i="7"/>
  <c r="I662" i="1"/>
  <c r="O766" i="7"/>
  <c r="F665" i="7"/>
  <c r="N818" i="7"/>
  <c r="N870" i="7"/>
  <c r="N766" i="7"/>
  <c r="N723" i="7"/>
  <c r="I671" i="1"/>
  <c r="F684" i="7"/>
  <c r="G925" i="7"/>
  <c r="I677" i="1"/>
  <c r="G677" i="7"/>
  <c r="F677" i="7"/>
  <c r="F679" i="7"/>
  <c r="F678" i="7"/>
  <c r="F697" i="7"/>
  <c r="I697" i="1"/>
  <c r="N749" i="7"/>
  <c r="N905" i="7"/>
  <c r="F713" i="7"/>
  <c r="F740" i="7"/>
  <c r="F741" i="7"/>
  <c r="I738" i="1"/>
  <c r="N946" i="7"/>
  <c r="O1033" i="7"/>
  <c r="G828" i="7"/>
  <c r="F200" i="7"/>
  <c r="F82" i="7"/>
  <c r="F83" i="7"/>
  <c r="T658" i="7"/>
  <c r="V607" i="7"/>
  <c r="V660" i="7"/>
  <c r="V684" i="7"/>
  <c r="U652" i="7"/>
  <c r="U809" i="7"/>
  <c r="U756" i="7"/>
  <c r="S759" i="7"/>
  <c r="S707" i="7"/>
  <c r="U708" i="7"/>
  <c r="G1006" i="7"/>
  <c r="G874" i="7"/>
  <c r="I571" i="1"/>
  <c r="N727" i="7"/>
  <c r="N648" i="7"/>
  <c r="N596" i="7"/>
  <c r="G873" i="7"/>
  <c r="I544" i="1"/>
  <c r="I576" i="1"/>
  <c r="N732" i="7"/>
  <c r="N697" i="7"/>
  <c r="F544" i="7"/>
  <c r="F497" i="7"/>
  <c r="N707" i="7"/>
  <c r="F710" i="7"/>
  <c r="F711" i="7"/>
  <c r="N866" i="7"/>
  <c r="N924" i="7"/>
  <c r="N944" i="7"/>
  <c r="S894" i="7"/>
  <c r="S897" i="7"/>
  <c r="S950" i="7"/>
  <c r="S846" i="7"/>
  <c r="S847" i="7"/>
  <c r="F807" i="7"/>
  <c r="F813" i="7"/>
  <c r="T595" i="7"/>
  <c r="T648" i="7"/>
  <c r="N671" i="7"/>
  <c r="G1057" i="7"/>
  <c r="G882" i="7"/>
  <c r="F120" i="7"/>
  <c r="I728" i="1"/>
  <c r="N832" i="7"/>
  <c r="F731" i="7"/>
  <c r="N809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244" i="7"/>
  <c r="F228" i="7"/>
  <c r="F1056" i="7"/>
  <c r="F1054" i="7"/>
  <c r="F1079" i="7"/>
  <c r="I1076" i="1"/>
  <c r="I1080" i="1"/>
  <c r="I804" i="1"/>
  <c r="S948" i="7"/>
  <c r="F367" i="7"/>
  <c r="N588" i="7"/>
  <c r="N756" i="7"/>
  <c r="N713" i="7"/>
  <c r="F262" i="7"/>
  <c r="F236" i="7"/>
  <c r="I565" i="1"/>
  <c r="I552" i="1"/>
  <c r="N949" i="7"/>
  <c r="F794" i="7"/>
  <c r="N903" i="7"/>
  <c r="I799" i="1"/>
  <c r="G1004" i="7"/>
  <c r="F801" i="7"/>
  <c r="N645" i="7"/>
  <c r="F511" i="7"/>
  <c r="N689" i="7"/>
  <c r="I542" i="1"/>
  <c r="F455" i="7"/>
  <c r="F297" i="7"/>
  <c r="I628" i="1"/>
  <c r="N911" i="7"/>
  <c r="I755" i="1"/>
  <c r="N825" i="7"/>
  <c r="T655" i="7"/>
  <c r="V644" i="7"/>
  <c r="V592" i="7"/>
  <c r="V608" i="7"/>
  <c r="V802" i="7"/>
  <c r="F863" i="7"/>
  <c r="I862" i="1"/>
  <c r="F862" i="7"/>
  <c r="F864" i="7"/>
  <c r="N1018" i="7"/>
  <c r="O1061" i="7"/>
  <c r="G960" i="7"/>
  <c r="F468" i="7"/>
  <c r="I627" i="1"/>
  <c r="N835" i="7"/>
  <c r="I748" i="1"/>
  <c r="N956" i="7"/>
  <c r="N989" i="7"/>
  <c r="T740" i="7"/>
  <c r="T687" i="7"/>
  <c r="T818" i="7"/>
  <c r="T975" i="7"/>
  <c r="T871" i="7"/>
  <c r="T923" i="7"/>
  <c r="T822" i="7"/>
  <c r="T980" i="7"/>
  <c r="N1012" i="7"/>
  <c r="U1014" i="7"/>
  <c r="U910" i="7"/>
  <c r="U962" i="7"/>
  <c r="F275" i="7"/>
  <c r="F618" i="7"/>
  <c r="I615" i="1"/>
  <c r="I684" i="1"/>
  <c r="I690" i="1"/>
  <c r="N898" i="7"/>
  <c r="F708" i="7"/>
  <c r="F707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U948" i="7"/>
  <c r="T1003" i="7"/>
  <c r="I621" i="1"/>
  <c r="I651" i="1"/>
  <c r="N744" i="7"/>
  <c r="I786" i="1"/>
  <c r="N942" i="7"/>
  <c r="T676" i="7"/>
  <c r="T624" i="7"/>
  <c r="V650" i="7"/>
  <c r="V823" i="7"/>
  <c r="U674" i="7"/>
  <c r="F119" i="7"/>
  <c r="F829" i="7"/>
  <c r="I829" i="1"/>
  <c r="T718" i="7"/>
  <c r="I914" i="1"/>
  <c r="I917" i="1"/>
  <c r="N773" i="7"/>
  <c r="N896" i="7"/>
  <c r="F742" i="7"/>
  <c r="S701" i="7"/>
  <c r="T747" i="7"/>
  <c r="T713" i="7"/>
  <c r="F303" i="7"/>
  <c r="F113" i="7"/>
  <c r="U932" i="7"/>
  <c r="N968" i="7"/>
  <c r="F703" i="7"/>
  <c r="V603" i="7"/>
  <c r="V761" i="7"/>
  <c r="U686" i="7"/>
  <c r="S883" i="7"/>
  <c r="S884" i="7"/>
  <c r="Y1068" i="7"/>
  <c r="U723" i="7"/>
  <c r="V676" i="7"/>
  <c r="V759" i="7"/>
  <c r="S964" i="7"/>
  <c r="S1020" i="7"/>
  <c r="S916" i="7"/>
  <c r="V637" i="7"/>
  <c r="U868" i="7"/>
  <c r="T981" i="7"/>
  <c r="I844" i="1"/>
  <c r="O1000" i="7"/>
  <c r="N1000" i="7"/>
  <c r="V1016" i="7"/>
  <c r="U1078" i="7"/>
  <c r="V626" i="7"/>
  <c r="U643" i="7"/>
  <c r="V777" i="7"/>
  <c r="U826" i="7"/>
  <c r="T831" i="7"/>
  <c r="T941" i="7"/>
  <c r="S726" i="7"/>
  <c r="S808" i="7"/>
  <c r="S816" i="7"/>
  <c r="S1079" i="7"/>
  <c r="S1069" i="7"/>
  <c r="T1076" i="7"/>
  <c r="T1069" i="7"/>
  <c r="S965" i="7"/>
  <c r="T1071" i="7"/>
  <c r="I950" i="1"/>
  <c r="G951" i="7"/>
  <c r="N1054" i="7"/>
  <c r="T1059" i="7"/>
  <c r="T1061" i="7"/>
  <c r="N1067" i="7"/>
  <c r="N1066" i="7"/>
  <c r="I962" i="1"/>
  <c r="O1014" i="7"/>
  <c r="T1073" i="7"/>
  <c r="N1080" i="7"/>
  <c r="Y1015" i="7"/>
  <c r="S1055" i="7"/>
  <c r="N1055" i="7"/>
  <c r="T1075" i="7"/>
  <c r="U1076" i="7"/>
  <c r="I978" i="1"/>
  <c r="F981" i="7"/>
  <c r="Y1021" i="7"/>
  <c r="N1060" i="7"/>
  <c r="S1077" i="7"/>
  <c r="F874" i="7"/>
  <c r="S1064" i="7"/>
  <c r="U1065" i="7"/>
  <c r="U1079" i="7"/>
  <c r="I1073" i="1"/>
  <c r="F1074" i="7"/>
  <c r="S1080" i="7"/>
  <c r="V1054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W1119" i="7"/>
  <c r="N1057" i="7"/>
  <c r="T1057" i="7"/>
  <c r="Y1058" i="7"/>
  <c r="S1060" i="7"/>
  <c r="V1064" i="7"/>
  <c r="S1070" i="7"/>
  <c r="V1071" i="7"/>
  <c r="S1074" i="7"/>
  <c r="V1078" i="7"/>
  <c r="F1061" i="7"/>
  <c r="I1058" i="1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N1058" i="7"/>
  <c r="U1071" i="7"/>
  <c r="N1076" i="7"/>
  <c r="V1059" i="7"/>
  <c r="S1072" i="7"/>
  <c r="F1080" i="7"/>
  <c r="U1066" i="7"/>
  <c r="V1067" i="7"/>
  <c r="T1078" i="7"/>
  <c r="T1054" i="7"/>
  <c r="V1056" i="7"/>
  <c r="V1063" i="7"/>
  <c r="N1073" i="7"/>
  <c r="I1021" i="1"/>
  <c r="V1077" i="7"/>
  <c r="V1080" i="7"/>
  <c r="F1059" i="7"/>
  <c r="W1111" i="7"/>
  <c r="F1062" i="7"/>
  <c r="W1114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W1107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885" i="7"/>
  <c r="G1021" i="7"/>
  <c r="G981" i="7"/>
  <c r="W1078" i="7"/>
  <c r="F442" i="7"/>
  <c r="F68" i="7"/>
  <c r="F58" i="7"/>
  <c r="F44" i="7"/>
  <c r="F14" i="7"/>
  <c r="F633" i="7"/>
  <c r="N682" i="7"/>
  <c r="F631" i="7"/>
  <c r="I622" i="1"/>
  <c r="F625" i="7"/>
  <c r="N772" i="7"/>
  <c r="I720" i="1"/>
  <c r="F721" i="7"/>
  <c r="F720" i="7"/>
  <c r="I727" i="1"/>
  <c r="N779" i="7"/>
  <c r="F728" i="7"/>
  <c r="O714" i="7"/>
  <c r="G992" i="7"/>
  <c r="G995" i="7"/>
  <c r="G934" i="7"/>
  <c r="T617" i="7"/>
  <c r="V672" i="7"/>
  <c r="T678" i="7"/>
  <c r="U651" i="7"/>
  <c r="U704" i="7"/>
  <c r="V656" i="7"/>
  <c r="V709" i="7"/>
  <c r="T609" i="7"/>
  <c r="T662" i="7"/>
  <c r="T654" i="7"/>
  <c r="T602" i="7"/>
  <c r="G829" i="7"/>
  <c r="O1037" i="7"/>
  <c r="I685" i="1"/>
  <c r="N789" i="7"/>
  <c r="F686" i="7"/>
  <c r="N841" i="7"/>
  <c r="F913" i="7"/>
  <c r="I913" i="1"/>
  <c r="F916" i="7"/>
  <c r="I967" i="1"/>
  <c r="F970" i="7"/>
  <c r="W1022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G1079" i="7"/>
  <c r="F1078" i="7"/>
  <c r="F317" i="7"/>
  <c r="F539" i="7"/>
  <c r="F538" i="7"/>
  <c r="T837" i="7"/>
  <c r="T732" i="7"/>
  <c r="T680" i="7"/>
  <c r="T784" i="7"/>
  <c r="T689" i="7"/>
  <c r="T793" i="7"/>
  <c r="Y1074" i="7"/>
  <c r="W1068" i="7"/>
  <c r="F914" i="7"/>
  <c r="W966" i="7"/>
  <c r="N914" i="7"/>
  <c r="F139" i="7"/>
  <c r="F699" i="7"/>
  <c r="F967" i="7"/>
  <c r="W1071" i="7"/>
  <c r="Y1035" i="7"/>
  <c r="I744" i="1"/>
  <c r="G957" i="7"/>
  <c r="F520" i="7"/>
  <c r="F238" i="7"/>
  <c r="F185" i="7"/>
  <c r="F182" i="7"/>
  <c r="F176" i="7"/>
  <c r="F600" i="7"/>
  <c r="W652" i="7"/>
  <c r="N649" i="7"/>
  <c r="F592" i="7"/>
  <c r="F676" i="7"/>
  <c r="N881" i="7"/>
  <c r="F682" i="7"/>
  <c r="I680" i="1"/>
  <c r="N953" i="7"/>
  <c r="F748" i="7"/>
  <c r="I745" i="1"/>
  <c r="I753" i="1"/>
  <c r="F756" i="7"/>
  <c r="N909" i="7"/>
  <c r="N805" i="7"/>
  <c r="I766" i="1"/>
  <c r="O818" i="7"/>
  <c r="N974" i="7"/>
  <c r="G716" i="7"/>
  <c r="I854" i="1"/>
  <c r="U1068" i="7"/>
  <c r="U911" i="7"/>
  <c r="T967" i="7"/>
  <c r="T915" i="7"/>
  <c r="T1019" i="7"/>
  <c r="O1048" i="7"/>
  <c r="F170" i="7"/>
  <c r="G1029" i="7"/>
  <c r="I672" i="1"/>
  <c r="N880" i="7"/>
  <c r="F672" i="7"/>
  <c r="V838" i="7"/>
  <c r="V733" i="7"/>
  <c r="V785" i="7"/>
  <c r="F747" i="7"/>
  <c r="N686" i="7"/>
  <c r="F530" i="7"/>
  <c r="F155" i="7"/>
  <c r="F537" i="7"/>
  <c r="O717" i="7"/>
  <c r="Y937" i="7"/>
  <c r="N1017" i="7"/>
  <c r="F529" i="7"/>
  <c r="F528" i="7"/>
  <c r="F527" i="7"/>
  <c r="I578" i="1"/>
  <c r="N675" i="7"/>
  <c r="F574" i="7"/>
  <c r="F599" i="7"/>
  <c r="N752" i="7"/>
  <c r="N700" i="7"/>
  <c r="I596" i="1"/>
  <c r="I581" i="1"/>
  <c r="F584" i="7"/>
  <c r="N685" i="7"/>
  <c r="N716" i="7"/>
  <c r="F797" i="7"/>
  <c r="I795" i="1"/>
  <c r="N1003" i="7"/>
  <c r="N951" i="7"/>
  <c r="N899" i="7"/>
  <c r="F812" i="7"/>
  <c r="I809" i="1"/>
  <c r="F811" i="7"/>
  <c r="F869" i="7"/>
  <c r="I869" i="1"/>
  <c r="G869" i="7"/>
  <c r="F870" i="7"/>
  <c r="G1053" i="7"/>
  <c r="G538" i="7"/>
  <c r="F142" i="7"/>
  <c r="F74" i="7"/>
  <c r="F75" i="7"/>
  <c r="I699" i="1"/>
  <c r="F702" i="7"/>
  <c r="N803" i="7"/>
  <c r="N907" i="7"/>
  <c r="T1018" i="7"/>
  <c r="T966" i="7"/>
  <c r="I916" i="1"/>
  <c r="F919" i="7"/>
  <c r="N1020" i="7"/>
  <c r="F917" i="7"/>
  <c r="F918" i="7"/>
  <c r="I919" i="1"/>
  <c r="F920" i="7"/>
  <c r="W1076" i="7"/>
  <c r="N971" i="7"/>
  <c r="N1023" i="7"/>
  <c r="V975" i="7"/>
  <c r="V1027" i="7"/>
  <c r="V1079" i="7"/>
  <c r="S1019" i="7"/>
  <c r="S1071" i="7"/>
  <c r="G884" i="7"/>
  <c r="O769" i="7"/>
  <c r="G1051" i="7"/>
  <c r="T1039" i="7"/>
  <c r="F856" i="7"/>
  <c r="N893" i="7"/>
  <c r="G893" i="7"/>
  <c r="G585" i="7"/>
  <c r="F309" i="7"/>
  <c r="F295" i="7"/>
  <c r="I758" i="1"/>
  <c r="F758" i="7"/>
  <c r="I764" i="1"/>
  <c r="N972" i="7"/>
  <c r="N920" i="7"/>
  <c r="F779" i="7"/>
  <c r="N830" i="7"/>
  <c r="O926" i="7"/>
  <c r="F915" i="7"/>
  <c r="G1052" i="7"/>
  <c r="F700" i="7"/>
  <c r="F447" i="7"/>
  <c r="N653" i="7"/>
  <c r="F585" i="7"/>
  <c r="I583" i="1"/>
  <c r="N635" i="7"/>
  <c r="F586" i="7"/>
  <c r="T684" i="7"/>
  <c r="T841" i="7"/>
  <c r="G844" i="7"/>
  <c r="T1070" i="7"/>
  <c r="N1075" i="7"/>
  <c r="N737" i="7"/>
  <c r="O1053" i="7"/>
  <c r="Y989" i="7"/>
  <c r="G842" i="7"/>
  <c r="F921" i="7"/>
  <c r="Y1024" i="7"/>
  <c r="V681" i="7"/>
  <c r="G890" i="7"/>
  <c r="F117" i="7"/>
  <c r="F115" i="7"/>
  <c r="F114" i="7"/>
  <c r="F91" i="7"/>
  <c r="F29" i="7"/>
  <c r="F32" i="7"/>
  <c r="I624" i="1"/>
  <c r="N780" i="7"/>
  <c r="N676" i="7"/>
  <c r="I645" i="1"/>
  <c r="F648" i="7"/>
  <c r="N801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I530" i="1"/>
  <c r="G533" i="7"/>
  <c r="F531" i="7"/>
  <c r="F753" i="7"/>
  <c r="N856" i="7"/>
  <c r="I752" i="1"/>
  <c r="N908" i="7"/>
  <c r="V842" i="7"/>
  <c r="V685" i="7"/>
  <c r="S740" i="7"/>
  <c r="S688" i="7"/>
  <c r="V743" i="7"/>
  <c r="V848" i="7"/>
  <c r="N804" i="7"/>
  <c r="N960" i="7"/>
  <c r="F755" i="7"/>
  <c r="N699" i="7"/>
  <c r="F685" i="7"/>
  <c r="F764" i="7"/>
  <c r="N1019" i="7"/>
  <c r="O1091" i="7"/>
  <c r="F301" i="7"/>
  <c r="G944" i="7"/>
  <c r="Y930" i="7"/>
  <c r="F435" i="7"/>
  <c r="F409" i="7"/>
  <c r="N616" i="7"/>
  <c r="F130" i="7"/>
  <c r="N760" i="7"/>
  <c r="N708" i="7"/>
  <c r="N609" i="7"/>
  <c r="V631" i="7"/>
  <c r="V735" i="7"/>
  <c r="S797" i="7"/>
  <c r="S692" i="7"/>
  <c r="U641" i="7"/>
  <c r="U693" i="7"/>
  <c r="S700" i="7"/>
  <c r="W1054" i="7"/>
  <c r="F310" i="7"/>
  <c r="N668" i="7"/>
  <c r="N785" i="7"/>
  <c r="I559" i="1"/>
  <c r="I696" i="1"/>
  <c r="N800" i="7"/>
  <c r="T586" i="7"/>
  <c r="S889" i="7"/>
  <c r="S732" i="7"/>
  <c r="S836" i="7"/>
  <c r="W1096" i="7"/>
  <c r="F183" i="7"/>
  <c r="F73" i="7"/>
  <c r="I539" i="1"/>
  <c r="N643" i="7"/>
  <c r="F445" i="7"/>
  <c r="N754" i="7"/>
  <c r="F647" i="7"/>
  <c r="I739" i="1"/>
  <c r="G742" i="7"/>
  <c r="C84" i="7"/>
  <c r="C81" i="7"/>
  <c r="I852" i="1"/>
  <c r="F852" i="7"/>
  <c r="W1008" i="7"/>
  <c r="N1008" i="7"/>
  <c r="T907" i="7"/>
  <c r="T1011" i="7"/>
  <c r="W1086" i="7"/>
  <c r="G936" i="7"/>
  <c r="I545" i="1"/>
  <c r="F604" i="7"/>
  <c r="F605" i="7"/>
  <c r="F602" i="7"/>
  <c r="I705" i="1"/>
  <c r="N948" i="7"/>
  <c r="I740" i="1"/>
  <c r="T656" i="7"/>
  <c r="T604" i="7"/>
  <c r="T643" i="7"/>
  <c r="T697" i="7"/>
  <c r="T645" i="7"/>
  <c r="T701" i="7"/>
  <c r="T762" i="7"/>
  <c r="T607" i="7"/>
  <c r="T764" i="7"/>
  <c r="S892" i="7"/>
  <c r="S735" i="7"/>
  <c r="T736" i="7"/>
  <c r="U791" i="7"/>
  <c r="U794" i="7"/>
  <c r="U901" i="7"/>
  <c r="T853" i="7"/>
  <c r="T856" i="7"/>
  <c r="T909" i="7"/>
  <c r="T912" i="7"/>
  <c r="T859" i="7"/>
  <c r="T756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U1011" i="7"/>
  <c r="G935" i="7"/>
  <c r="F722" i="7"/>
  <c r="F375" i="7"/>
  <c r="F304" i="7"/>
  <c r="F123" i="7"/>
  <c r="I632" i="1"/>
  <c r="F547" i="7"/>
  <c r="W599" i="7"/>
  <c r="I706" i="1"/>
  <c r="F709" i="7"/>
  <c r="F727" i="7"/>
  <c r="N1006" i="7"/>
  <c r="N902" i="7"/>
  <c r="V585" i="7"/>
  <c r="V689" i="7"/>
  <c r="U764" i="7"/>
  <c r="U788" i="7"/>
  <c r="U893" i="7"/>
  <c r="V739" i="7"/>
  <c r="V896" i="7"/>
  <c r="V740" i="7"/>
  <c r="V844" i="7"/>
  <c r="V845" i="7"/>
  <c r="V902" i="7"/>
  <c r="U855" i="7"/>
  <c r="U908" i="7"/>
  <c r="U752" i="7"/>
  <c r="U755" i="7"/>
  <c r="U859" i="7"/>
  <c r="U810" i="7"/>
  <c r="T916" i="7"/>
  <c r="T759" i="7"/>
  <c r="S819" i="7"/>
  <c r="S767" i="7"/>
  <c r="F843" i="7"/>
  <c r="N1048" i="7"/>
  <c r="F220" i="7"/>
  <c r="N733" i="7"/>
  <c r="U808" i="7"/>
  <c r="S823" i="7"/>
  <c r="S927" i="7"/>
  <c r="S824" i="7"/>
  <c r="N734" i="7"/>
  <c r="N853" i="7"/>
  <c r="I782" i="1"/>
  <c r="U648" i="7"/>
  <c r="S717" i="7"/>
  <c r="V779" i="7"/>
  <c r="V789" i="7"/>
  <c r="V791" i="7"/>
  <c r="V948" i="7"/>
  <c r="V846" i="7"/>
  <c r="V899" i="7"/>
  <c r="S970" i="7"/>
  <c r="O1097" i="7"/>
  <c r="O1042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F218" i="7"/>
  <c r="U639" i="7"/>
  <c r="T659" i="7"/>
  <c r="N955" i="7"/>
  <c r="F854" i="7"/>
  <c r="F116" i="7"/>
  <c r="F715" i="7"/>
  <c r="T940" i="7"/>
  <c r="S782" i="7"/>
  <c r="S775" i="7"/>
  <c r="S840" i="7"/>
  <c r="S788" i="7"/>
  <c r="N950" i="7"/>
  <c r="T956" i="7"/>
  <c r="U646" i="7"/>
  <c r="T878" i="7"/>
  <c r="S741" i="7"/>
  <c r="T973" i="7"/>
  <c r="U936" i="7"/>
  <c r="S974" i="7"/>
  <c r="Y835" i="7"/>
  <c r="Y939" i="7"/>
  <c r="I1037" i="1"/>
  <c r="N1089" i="7"/>
  <c r="S1021" i="7"/>
  <c r="V974" i="7"/>
  <c r="I1082" i="1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G1036" i="7"/>
  <c r="T1086" i="7"/>
  <c r="U1083" i="7"/>
  <c r="T1093" i="7"/>
  <c r="Y1089" i="7"/>
  <c r="Y850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Y1057" i="7"/>
  <c r="U1091" i="7"/>
  <c r="F969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Y1087" i="7"/>
  <c r="N1091" i="7"/>
  <c r="V1090" i="7"/>
  <c r="S1094" i="7"/>
  <c r="V1092" i="7"/>
  <c r="O1096" i="7"/>
  <c r="N1099" i="7"/>
  <c r="I1047" i="1"/>
  <c r="G1050" i="7"/>
  <c r="O1099" i="7"/>
  <c r="F1081" i="7"/>
  <c r="I1078" i="1"/>
  <c r="G1081" i="7"/>
  <c r="N1085" i="7"/>
  <c r="F1086" i="7"/>
  <c r="N1071" i="7"/>
  <c r="N1078" i="7"/>
  <c r="T1081" i="7"/>
  <c r="O1084" i="7"/>
  <c r="V1084" i="7"/>
  <c r="O1087" i="7"/>
  <c r="T1090" i="7"/>
  <c r="V1089" i="7"/>
  <c r="S1093" i="7"/>
  <c r="V1098" i="7"/>
  <c r="Y1100" i="7"/>
  <c r="V1082" i="7"/>
  <c r="Y1085" i="7"/>
  <c r="N1087" i="7"/>
  <c r="T1087" i="7"/>
  <c r="V1088" i="7"/>
  <c r="T1098" i="7"/>
  <c r="V1100" i="7"/>
  <c r="Y1103" i="7"/>
  <c r="G1049" i="7"/>
  <c r="G1037" i="7"/>
  <c r="G697" i="7"/>
  <c r="O948" i="7"/>
  <c r="G1034" i="7"/>
  <c r="O870" i="7"/>
  <c r="O922" i="7"/>
  <c r="O1071" i="7"/>
  <c r="O768" i="7"/>
  <c r="O716" i="7"/>
  <c r="G913" i="7"/>
  <c r="O965" i="7"/>
  <c r="G978" i="7"/>
  <c r="O1079" i="7"/>
  <c r="G539" i="7"/>
  <c r="G990" i="7"/>
  <c r="G991" i="7"/>
  <c r="O990" i="7"/>
  <c r="O938" i="7"/>
  <c r="O886" i="7"/>
  <c r="O779" i="7"/>
  <c r="G755" i="7"/>
  <c r="O971" i="7"/>
  <c r="W962" i="7"/>
  <c r="O772" i="7"/>
  <c r="G721" i="7"/>
  <c r="G1039" i="7"/>
  <c r="X1091" i="7"/>
  <c r="G764" i="7"/>
  <c r="G918" i="7"/>
  <c r="G919" i="7"/>
  <c r="O899" i="7"/>
  <c r="O951" i="7"/>
  <c r="G1080" i="7"/>
  <c r="O756" i="7"/>
  <c r="O979" i="7"/>
  <c r="G1038" i="7"/>
  <c r="O1089" i="7"/>
  <c r="G562" i="7"/>
  <c r="O953" i="7"/>
  <c r="O875" i="7"/>
  <c r="G714" i="7"/>
  <c r="G715" i="7"/>
  <c r="N618" i="7"/>
  <c r="N670" i="7"/>
  <c r="F427" i="7"/>
  <c r="F419" i="7"/>
  <c r="N608" i="7"/>
  <c r="F396" i="7"/>
  <c r="N601" i="7"/>
  <c r="N586" i="7"/>
  <c r="F357" i="7"/>
  <c r="F356" i="7"/>
  <c r="F358" i="7"/>
  <c r="F328" i="7"/>
  <c r="F325" i="7"/>
  <c r="F127" i="7"/>
  <c r="F126" i="7"/>
  <c r="F125" i="7"/>
  <c r="F86" i="7"/>
  <c r="F47" i="7"/>
  <c r="I660" i="1"/>
  <c r="F662" i="7"/>
  <c r="N712" i="7"/>
  <c r="F660" i="7"/>
  <c r="F661" i="7"/>
  <c r="F663" i="7"/>
  <c r="N816" i="7"/>
  <c r="I641" i="1"/>
  <c r="F641" i="7"/>
  <c r="N745" i="7"/>
  <c r="N797" i="7"/>
  <c r="N849" i="7"/>
  <c r="F638" i="7"/>
  <c r="W690" i="7"/>
  <c r="N843" i="7"/>
  <c r="N687" i="7"/>
  <c r="I635" i="1"/>
  <c r="N739" i="7"/>
  <c r="F790" i="7"/>
  <c r="I787" i="1"/>
  <c r="F788" i="7"/>
  <c r="N995" i="7"/>
  <c r="F789" i="7"/>
  <c r="O978" i="7"/>
  <c r="G927" i="7"/>
  <c r="G926" i="7"/>
  <c r="G929" i="7"/>
  <c r="O1030" i="7"/>
  <c r="G928" i="7"/>
  <c r="N679" i="7"/>
  <c r="F526" i="7"/>
  <c r="F438" i="7"/>
  <c r="F441" i="7"/>
  <c r="N594" i="7"/>
  <c r="F439" i="7"/>
  <c r="F426" i="7"/>
  <c r="F423" i="7"/>
  <c r="F425" i="7"/>
  <c r="F410" i="7"/>
  <c r="F407" i="7"/>
  <c r="F401" i="7"/>
  <c r="F400" i="7"/>
  <c r="F402" i="7"/>
  <c r="F386" i="7"/>
  <c r="F370" i="7"/>
  <c r="F369" i="7"/>
  <c r="F341" i="7"/>
  <c r="F340" i="7"/>
  <c r="F166" i="7"/>
  <c r="F134" i="7"/>
  <c r="F131" i="7"/>
  <c r="F94" i="7"/>
  <c r="F92" i="7"/>
  <c r="V669" i="7"/>
  <c r="V721" i="7"/>
  <c r="V690" i="7"/>
  <c r="V638" i="7"/>
  <c r="O856" i="7"/>
  <c r="O804" i="7"/>
  <c r="F440" i="7"/>
  <c r="W1055" i="7"/>
  <c r="T799" i="7"/>
  <c r="T904" i="7"/>
  <c r="G690" i="7"/>
  <c r="W1083" i="7"/>
  <c r="I654" i="1"/>
  <c r="N706" i="7"/>
  <c r="F654" i="7"/>
  <c r="N758" i="7"/>
  <c r="I772" i="1"/>
  <c r="F775" i="7"/>
  <c r="N824" i="7"/>
  <c r="N928" i="7"/>
  <c r="N876" i="7"/>
  <c r="G1031" i="7"/>
  <c r="G1009" i="7"/>
  <c r="G1008" i="7"/>
  <c r="N589" i="7"/>
  <c r="F485" i="7"/>
  <c r="F463" i="7"/>
  <c r="F461" i="7"/>
  <c r="N587" i="7"/>
  <c r="F432" i="7"/>
  <c r="F418" i="7"/>
  <c r="F417" i="7"/>
  <c r="N623" i="7"/>
  <c r="F393" i="7"/>
  <c r="F395" i="7"/>
  <c r="F392" i="7"/>
  <c r="F377" i="7"/>
  <c r="F380" i="7"/>
  <c r="N585" i="7"/>
  <c r="F363" i="7"/>
  <c r="F365" i="7"/>
  <c r="F364" i="7"/>
  <c r="F149" i="7"/>
  <c r="F147" i="7"/>
  <c r="F62" i="7"/>
  <c r="V671" i="7"/>
  <c r="V723" i="7"/>
  <c r="V619" i="7"/>
  <c r="U782" i="7"/>
  <c r="N810" i="7"/>
  <c r="O732" i="7"/>
  <c r="O1054" i="7"/>
  <c r="G952" i="7"/>
  <c r="G1010" i="7"/>
  <c r="O1066" i="7"/>
  <c r="F480" i="7"/>
  <c r="F477" i="7"/>
  <c r="F478" i="7"/>
  <c r="F479" i="7"/>
  <c r="W583" i="7"/>
  <c r="V778" i="7"/>
  <c r="V725" i="7"/>
  <c r="V673" i="7"/>
  <c r="V621" i="7"/>
  <c r="V623" i="7"/>
  <c r="V727" i="7"/>
  <c r="V780" i="7"/>
  <c r="U731" i="7"/>
  <c r="W1072" i="7"/>
  <c r="G1073" i="7"/>
  <c r="N868" i="7"/>
  <c r="G702" i="7"/>
  <c r="F523" i="7"/>
  <c r="W1085" i="7"/>
  <c r="G917" i="7"/>
  <c r="G916" i="7"/>
  <c r="G915" i="7"/>
  <c r="F326" i="7"/>
  <c r="F18" i="7"/>
  <c r="F20" i="7"/>
  <c r="F12" i="7"/>
  <c r="F571" i="7"/>
  <c r="N812" i="7"/>
  <c r="I656" i="1"/>
  <c r="O760" i="7"/>
  <c r="F659" i="7"/>
  <c r="N864" i="7"/>
  <c r="N640" i="7"/>
  <c r="I588" i="1"/>
  <c r="O692" i="7"/>
  <c r="F590" i="7"/>
  <c r="F588" i="7"/>
  <c r="F589" i="7"/>
  <c r="F591" i="7"/>
  <c r="N692" i="7"/>
  <c r="I661" i="1"/>
  <c r="N817" i="7"/>
  <c r="N765" i="7"/>
  <c r="F664" i="7"/>
  <c r="N663" i="7"/>
  <c r="I611" i="1"/>
  <c r="N767" i="7"/>
  <c r="F613" i="7"/>
  <c r="G938" i="7"/>
  <c r="G940" i="7"/>
  <c r="N636" i="7"/>
  <c r="F624" i="7"/>
  <c r="N777" i="7"/>
  <c r="I614" i="1"/>
  <c r="G615" i="7"/>
  <c r="F507" i="7"/>
  <c r="I1040" i="1"/>
  <c r="F1041" i="7"/>
  <c r="W1093" i="7"/>
  <c r="E13" i="6"/>
  <c r="F1042" i="7"/>
  <c r="W1094" i="7"/>
  <c r="F1043" i="7"/>
  <c r="N1092" i="7"/>
  <c r="F1040" i="7"/>
  <c r="G1045" i="7"/>
  <c r="O1098" i="7"/>
  <c r="G1047" i="7"/>
  <c r="G1046" i="7"/>
  <c r="G1048" i="7"/>
  <c r="O1072" i="7"/>
  <c r="G971" i="7"/>
  <c r="G903" i="7"/>
  <c r="O1058" i="7"/>
  <c r="G703" i="7"/>
  <c r="F312" i="7"/>
  <c r="F311" i="7"/>
  <c r="I579" i="1"/>
  <c r="F579" i="7"/>
  <c r="N735" i="7"/>
  <c r="N683" i="7"/>
  <c r="N631" i="7"/>
  <c r="F569" i="7"/>
  <c r="N620" i="7"/>
  <c r="N776" i="7"/>
  <c r="F568" i="7"/>
  <c r="N688" i="7"/>
  <c r="F535" i="7"/>
  <c r="N740" i="7"/>
  <c r="N584" i="7"/>
  <c r="F534" i="7"/>
  <c r="G534" i="7"/>
  <c r="F444" i="7"/>
  <c r="I550" i="1"/>
  <c r="G553" i="7"/>
  <c r="N654" i="7"/>
  <c r="F556" i="7"/>
  <c r="W765" i="7"/>
  <c r="N659" i="7"/>
  <c r="N711" i="7"/>
  <c r="N763" i="7"/>
  <c r="S817" i="7"/>
  <c r="S765" i="7"/>
  <c r="S922" i="7"/>
  <c r="S869" i="7"/>
  <c r="G939" i="7"/>
  <c r="I555" i="1"/>
  <c r="N673" i="7"/>
  <c r="F40" i="7"/>
  <c r="F41" i="7"/>
  <c r="O721" i="7"/>
  <c r="O773" i="7"/>
  <c r="F496" i="7"/>
  <c r="N704" i="7"/>
  <c r="N652" i="7"/>
  <c r="N600" i="7"/>
  <c r="F498" i="7"/>
  <c r="N603" i="7"/>
  <c r="N655" i="7"/>
  <c r="N605" i="7"/>
  <c r="F503" i="7"/>
  <c r="G1035" i="7"/>
  <c r="W1065" i="7"/>
  <c r="W1081" i="7"/>
  <c r="F175" i="7"/>
  <c r="F174" i="7"/>
  <c r="F159" i="7"/>
  <c r="F34" i="7"/>
  <c r="F35" i="7"/>
  <c r="F26" i="7"/>
  <c r="F564" i="7"/>
  <c r="N667" i="7"/>
  <c r="F541" i="7"/>
  <c r="I533" i="1"/>
  <c r="N637" i="7"/>
  <c r="N741" i="7"/>
  <c r="F506" i="7"/>
  <c r="F505" i="7"/>
  <c r="N746" i="7"/>
  <c r="I642" i="1"/>
  <c r="N798" i="7"/>
  <c r="I692" i="1"/>
  <c r="F695" i="7"/>
  <c r="F693" i="7"/>
  <c r="N796" i="7"/>
  <c r="F694" i="7"/>
  <c r="F692" i="7"/>
  <c r="N848" i="7"/>
  <c r="T761" i="7"/>
  <c r="T865" i="7"/>
  <c r="T867" i="7"/>
  <c r="T763" i="7"/>
  <c r="T868" i="7"/>
  <c r="G993" i="7"/>
  <c r="G996" i="7"/>
  <c r="X1100" i="7"/>
  <c r="G994" i="7"/>
  <c r="O1022" i="7"/>
  <c r="F235" i="7"/>
  <c r="F180" i="7"/>
  <c r="F179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74" i="7"/>
  <c r="T726" i="7"/>
  <c r="T779" i="7"/>
  <c r="S736" i="7"/>
  <c r="S789" i="7"/>
  <c r="T744" i="7"/>
  <c r="T696" i="7"/>
  <c r="T644" i="7"/>
  <c r="T748" i="7"/>
  <c r="T801" i="7"/>
  <c r="S849" i="7"/>
  <c r="S796" i="7"/>
  <c r="S744" i="7"/>
  <c r="T693" i="7"/>
  <c r="T797" i="7"/>
  <c r="U694" i="7"/>
  <c r="V853" i="7"/>
  <c r="V800" i="7"/>
  <c r="V901" i="7"/>
  <c r="V744" i="7"/>
  <c r="V796" i="7"/>
  <c r="V745" i="7"/>
  <c r="T847" i="7"/>
  <c r="T899" i="7"/>
  <c r="T951" i="7"/>
  <c r="S956" i="7"/>
  <c r="S1009" i="7"/>
  <c r="S1010" i="7"/>
  <c r="S905" i="7"/>
  <c r="S957" i="7"/>
  <c r="S1011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893" i="7"/>
  <c r="V997" i="7"/>
  <c r="V1050" i="7"/>
  <c r="U947" i="7"/>
  <c r="U999" i="7"/>
  <c r="I838" i="1"/>
  <c r="N994" i="7"/>
  <c r="F841" i="7"/>
  <c r="F840" i="7"/>
  <c r="N890" i="7"/>
  <c r="S1006" i="7"/>
  <c r="S954" i="7"/>
  <c r="O736" i="7"/>
  <c r="G568" i="7"/>
  <c r="G862" i="7"/>
  <c r="W1097" i="7"/>
  <c r="G914" i="7"/>
  <c r="O963" i="7"/>
  <c r="V682" i="7"/>
  <c r="T730" i="7"/>
  <c r="T677" i="7"/>
  <c r="T685" i="7"/>
  <c r="T738" i="7"/>
  <c r="T633" i="7"/>
  <c r="S713" i="7"/>
  <c r="V714" i="7"/>
  <c r="V767" i="7"/>
  <c r="U664" i="7"/>
  <c r="U769" i="7"/>
  <c r="U716" i="7"/>
  <c r="U718" i="7"/>
  <c r="U666" i="7"/>
  <c r="T734" i="7"/>
  <c r="T682" i="7"/>
  <c r="V793" i="7"/>
  <c r="V688" i="7"/>
  <c r="V636" i="7"/>
  <c r="S747" i="7"/>
  <c r="O770" i="7"/>
  <c r="G891" i="7"/>
  <c r="O1047" i="7"/>
  <c r="W1061" i="7"/>
  <c r="O1043" i="7"/>
  <c r="W1082" i="7"/>
  <c r="W1030" i="7"/>
  <c r="I736" i="1"/>
  <c r="N892" i="7"/>
  <c r="N788" i="7"/>
  <c r="F739" i="7"/>
  <c r="G763" i="7"/>
  <c r="G765" i="7"/>
  <c r="N977" i="7"/>
  <c r="F772" i="7"/>
  <c r="F769" i="7"/>
  <c r="I769" i="1"/>
  <c r="G771" i="7"/>
  <c r="N927" i="7"/>
  <c r="N1031" i="7"/>
  <c r="F823" i="7"/>
  <c r="F824" i="7"/>
  <c r="W928" i="7"/>
  <c r="W1033" i="7"/>
  <c r="F825" i="7"/>
  <c r="N875" i="7"/>
  <c r="N934" i="7"/>
  <c r="F830" i="7"/>
  <c r="F831" i="7"/>
  <c r="N986" i="7"/>
  <c r="I830" i="1"/>
  <c r="N1038" i="7"/>
  <c r="N882" i="7"/>
  <c r="T612" i="7"/>
  <c r="T717" i="7"/>
  <c r="U722" i="7"/>
  <c r="U705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783" i="7"/>
  <c r="U680" i="7"/>
  <c r="U785" i="7"/>
  <c r="U732" i="7"/>
  <c r="U682" i="7"/>
  <c r="U684" i="7"/>
  <c r="U736" i="7"/>
  <c r="S738" i="7"/>
  <c r="S686" i="7"/>
  <c r="U635" i="7"/>
  <c r="U792" i="7"/>
  <c r="U687" i="7"/>
  <c r="T691" i="7"/>
  <c r="T743" i="7"/>
  <c r="T639" i="7"/>
  <c r="T796" i="7"/>
  <c r="V640" i="7"/>
  <c r="V951" i="7"/>
  <c r="V847" i="7"/>
  <c r="V952" i="7"/>
  <c r="V1005" i="7"/>
  <c r="V900" i="7"/>
  <c r="U850" i="7"/>
  <c r="U954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F466" i="7"/>
  <c r="N619" i="7"/>
  <c r="F349" i="7"/>
  <c r="F351" i="7"/>
  <c r="F318" i="7"/>
  <c r="F319" i="7"/>
  <c r="F320" i="7"/>
  <c r="F112" i="7"/>
  <c r="F111" i="7"/>
  <c r="F95" i="7"/>
  <c r="F704" i="7"/>
  <c r="F705" i="7"/>
  <c r="W757" i="7"/>
  <c r="F714" i="7"/>
  <c r="N764" i="7"/>
  <c r="F718" i="7"/>
  <c r="F717" i="7"/>
  <c r="F745" i="7"/>
  <c r="F746" i="7"/>
  <c r="F751" i="7"/>
  <c r="I751" i="1"/>
  <c r="F752" i="7"/>
  <c r="N855" i="7"/>
  <c r="F754" i="7"/>
  <c r="W963" i="7"/>
  <c r="V587" i="7"/>
  <c r="V639" i="7"/>
  <c r="U649" i="7"/>
  <c r="V754" i="7"/>
  <c r="T757" i="7"/>
  <c r="T810" i="7"/>
  <c r="V758" i="7"/>
  <c r="V654" i="7"/>
  <c r="V658" i="7"/>
  <c r="V815" i="7"/>
  <c r="V710" i="7"/>
  <c r="V762" i="7"/>
  <c r="U869" i="7"/>
  <c r="U712" i="7"/>
  <c r="V765" i="7"/>
  <c r="V713" i="7"/>
  <c r="S875" i="7"/>
  <c r="S822" i="7"/>
  <c r="U824" i="7"/>
  <c r="U720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S748" i="7"/>
  <c r="U917" i="7"/>
  <c r="U864" i="7"/>
  <c r="U760" i="7"/>
  <c r="U813" i="7"/>
  <c r="U761" i="7"/>
  <c r="U919" i="7"/>
  <c r="U866" i="7"/>
  <c r="U920" i="7"/>
  <c r="U763" i="7"/>
  <c r="U815" i="7"/>
  <c r="U867" i="7"/>
  <c r="U897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3" i="7"/>
  <c r="T961" i="7"/>
  <c r="T857" i="7"/>
  <c r="T1014" i="7"/>
  <c r="T962" i="7"/>
  <c r="T910" i="7"/>
  <c r="T1015" i="7"/>
  <c r="T858" i="7"/>
  <c r="S859" i="7"/>
  <c r="S911" i="7"/>
  <c r="G945" i="7"/>
  <c r="G942" i="7"/>
  <c r="G711" i="7"/>
  <c r="G1017" i="7"/>
  <c r="G1016" i="7"/>
  <c r="G1014" i="7"/>
  <c r="G1015" i="7"/>
  <c r="G1018" i="7"/>
  <c r="G1019" i="7"/>
  <c r="F132" i="7"/>
  <c r="F124" i="7"/>
  <c r="F84" i="7"/>
  <c r="F78" i="7"/>
  <c r="F77" i="7"/>
  <c r="I707" i="1"/>
  <c r="N915" i="7"/>
  <c r="I726" i="1"/>
  <c r="G726" i="7"/>
  <c r="F726" i="7"/>
  <c r="F816" i="7"/>
  <c r="W868" i="7"/>
  <c r="N1024" i="7"/>
  <c r="I831" i="1"/>
  <c r="N1039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G943" i="7"/>
  <c r="G900" i="7"/>
  <c r="G898" i="7"/>
  <c r="F193" i="7"/>
  <c r="F191" i="7"/>
  <c r="I686" i="1"/>
  <c r="N894" i="7"/>
  <c r="N852" i="7"/>
  <c r="F698" i="7"/>
  <c r="F696" i="7"/>
  <c r="N964" i="7"/>
  <c r="N860" i="7"/>
  <c r="I756" i="1"/>
  <c r="N808" i="7"/>
  <c r="F757" i="7"/>
  <c r="W809" i="7"/>
  <c r="I774" i="1"/>
  <c r="N826" i="7"/>
  <c r="F782" i="7"/>
  <c r="I781" i="1"/>
  <c r="N945" i="7"/>
  <c r="I789" i="1"/>
  <c r="N997" i="7"/>
  <c r="F792" i="7"/>
  <c r="W896" i="7"/>
  <c r="F805" i="7"/>
  <c r="W961" i="7"/>
  <c r="F810" i="7"/>
  <c r="N965" i="7"/>
  <c r="V633" i="7"/>
  <c r="V597" i="7"/>
  <c r="S792" i="7"/>
  <c r="U699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O741" i="7"/>
  <c r="O814" i="7"/>
  <c r="G1002" i="7"/>
  <c r="F482" i="7"/>
  <c r="F484" i="7"/>
  <c r="W588" i="7"/>
  <c r="F475" i="7"/>
  <c r="F476" i="7"/>
  <c r="F342" i="7"/>
  <c r="F343" i="7"/>
  <c r="F292" i="7"/>
  <c r="F221" i="7"/>
  <c r="F197" i="7"/>
  <c r="N889" i="7"/>
  <c r="N837" i="7"/>
  <c r="N918" i="7"/>
  <c r="F712" i="7"/>
  <c r="N762" i="7"/>
  <c r="F771" i="7"/>
  <c r="I768" i="1"/>
  <c r="O976" i="7"/>
  <c r="N886" i="7"/>
  <c r="F785" i="7"/>
  <c r="V776" i="7"/>
  <c r="V724" i="7"/>
  <c r="T836" i="7"/>
  <c r="T731" i="7"/>
  <c r="V732" i="7"/>
  <c r="V784" i="7"/>
  <c r="F167" i="7"/>
  <c r="F128" i="7"/>
  <c r="F118" i="7"/>
  <c r="F501" i="7"/>
  <c r="N646" i="7"/>
  <c r="I587" i="1"/>
  <c r="N639" i="7"/>
  <c r="N662" i="7"/>
  <c r="N969" i="7"/>
  <c r="N917" i="7"/>
  <c r="F839" i="7"/>
  <c r="I836" i="1"/>
  <c r="N940" i="7"/>
  <c r="N888" i="7"/>
  <c r="F838" i="7"/>
  <c r="F836" i="7"/>
  <c r="V642" i="7"/>
  <c r="V803" i="7"/>
  <c r="V698" i="7"/>
  <c r="U706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3" i="7"/>
  <c r="W957" i="7"/>
  <c r="F415" i="7"/>
  <c r="F327" i="7"/>
  <c r="F190" i="7"/>
  <c r="N681" i="7"/>
  <c r="N650" i="7"/>
  <c r="I598" i="1"/>
  <c r="G601" i="7"/>
  <c r="G599" i="7"/>
  <c r="F766" i="7"/>
  <c r="W818" i="7"/>
  <c r="N867" i="7"/>
  <c r="S825" i="7"/>
  <c r="S772" i="7"/>
  <c r="S708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80" i="7"/>
  <c r="F399" i="7"/>
  <c r="F154" i="7"/>
  <c r="F76" i="7"/>
  <c r="I609" i="1"/>
  <c r="G612" i="7"/>
  <c r="F611" i="7"/>
  <c r="N750" i="7"/>
  <c r="F733" i="7"/>
  <c r="I732" i="1"/>
  <c r="F734" i="7"/>
  <c r="N967" i="7"/>
  <c r="F814" i="7"/>
  <c r="I819" i="1"/>
  <c r="G821" i="7"/>
  <c r="N982" i="7"/>
  <c r="U744" i="7"/>
  <c r="U692" i="7"/>
  <c r="V693" i="7"/>
  <c r="U798" i="7"/>
  <c r="T805" i="7"/>
  <c r="T812" i="7"/>
  <c r="T1004" i="7"/>
  <c r="S1016" i="7"/>
  <c r="S914" i="7"/>
  <c r="S1018" i="7"/>
  <c r="F986" i="7"/>
  <c r="I984" i="1"/>
  <c r="F985" i="7"/>
  <c r="F984" i="7"/>
  <c r="W1088" i="7"/>
  <c r="F189" i="7"/>
  <c r="F264" i="7"/>
  <c r="F226" i="7"/>
  <c r="F227" i="7"/>
  <c r="I650" i="1"/>
  <c r="N858" i="7"/>
  <c r="F701" i="7"/>
  <c r="I812" i="1"/>
  <c r="N916" i="7"/>
  <c r="V584" i="7"/>
  <c r="S687" i="7"/>
  <c r="T690" i="7"/>
  <c r="T794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F390" i="7"/>
  <c r="F37" i="7"/>
  <c r="N634" i="7"/>
  <c r="U698" i="7"/>
  <c r="V659" i="7"/>
  <c r="V984" i="7"/>
  <c r="F462" i="7"/>
  <c r="F302" i="7"/>
  <c r="F198" i="7"/>
  <c r="F178" i="7"/>
  <c r="V586" i="7"/>
  <c r="T590" i="7"/>
  <c r="V657" i="7"/>
  <c r="T688" i="7"/>
  <c r="T783" i="7"/>
  <c r="S780" i="7"/>
  <c r="U852" i="7"/>
  <c r="U853" i="7"/>
  <c r="S864" i="7"/>
  <c r="F204" i="7"/>
  <c r="F17" i="7"/>
  <c r="U734" i="7"/>
  <c r="U818" i="7"/>
  <c r="S907" i="7"/>
  <c r="T1089" i="7"/>
  <c r="N990" i="7"/>
  <c r="F939" i="7"/>
  <c r="F384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W1120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O916" i="7"/>
  <c r="G815" i="7"/>
  <c r="O968" i="7"/>
  <c r="G987" i="7"/>
  <c r="O1088" i="7"/>
  <c r="W803" i="7"/>
  <c r="G638" i="7"/>
  <c r="O687" i="7"/>
  <c r="W1038" i="7"/>
  <c r="W1090" i="7"/>
  <c r="W992" i="7"/>
  <c r="O945" i="7"/>
  <c r="G728" i="7"/>
  <c r="G727" i="7"/>
  <c r="O850" i="7"/>
  <c r="W631" i="7"/>
  <c r="O812" i="7"/>
  <c r="G611" i="7"/>
  <c r="G610" i="7"/>
  <c r="G1043" i="7"/>
  <c r="O1092" i="7"/>
  <c r="G1041" i="7"/>
  <c r="X1093" i="7"/>
  <c r="O808" i="7"/>
  <c r="O912" i="7"/>
  <c r="O964" i="7"/>
  <c r="O892" i="7"/>
  <c r="O944" i="7"/>
  <c r="O824" i="7"/>
  <c r="W1049" i="7"/>
  <c r="G664" i="7"/>
  <c r="G1068" i="7"/>
  <c r="G1065" i="7"/>
  <c r="G1066" i="7"/>
  <c r="G1067" i="7"/>
  <c r="O733" i="7"/>
  <c r="W935" i="7"/>
  <c r="W1032" i="7"/>
  <c r="O791" i="7"/>
  <c r="W956" i="7"/>
  <c r="W904" i="7"/>
  <c r="G536" i="7"/>
  <c r="O689" i="7"/>
  <c r="O688" i="7"/>
  <c r="O995" i="7"/>
  <c r="G663" i="7"/>
  <c r="G662" i="7"/>
  <c r="O1038" i="7"/>
  <c r="O986" i="7"/>
  <c r="G830" i="7"/>
  <c r="W994" i="7"/>
  <c r="O858" i="7"/>
  <c r="G653" i="7"/>
  <c r="W914" i="7"/>
  <c r="W1019" i="7"/>
  <c r="G710" i="7"/>
  <c r="G709" i="7"/>
  <c r="W980" i="7"/>
  <c r="W1047" i="7"/>
  <c r="G1040" i="7"/>
  <c r="O767" i="7"/>
  <c r="G665" i="7"/>
  <c r="O715" i="7"/>
  <c r="G733" i="7"/>
  <c r="G734" i="7"/>
  <c r="G852" i="7"/>
  <c r="W1025" i="7"/>
  <c r="W972" i="7"/>
  <c r="W1045" i="7"/>
  <c r="W1039" i="7"/>
  <c r="O1006" i="7"/>
  <c r="W1095" i="7"/>
  <c r="G613" i="7"/>
  <c r="G614" i="7"/>
  <c r="G600" i="7"/>
  <c r="W981" i="7"/>
  <c r="O735" i="7"/>
  <c r="G581" i="7"/>
  <c r="W905" i="7"/>
  <c r="O820" i="7"/>
  <c r="O872" i="7"/>
  <c r="F13" i="6"/>
  <c r="G836" i="7"/>
  <c r="G962" i="7"/>
  <c r="O1065" i="7"/>
  <c r="G964" i="7"/>
  <c r="W1089" i="7"/>
  <c r="O785" i="7"/>
  <c r="W950" i="7"/>
  <c r="W898" i="7"/>
  <c r="G753" i="7"/>
  <c r="O855" i="7"/>
  <c r="X1045" i="7"/>
  <c r="X1098" i="7"/>
  <c r="W998" i="7"/>
  <c r="W600" i="7"/>
  <c r="F1093" i="7"/>
  <c r="F1096" i="7"/>
  <c r="G1093" i="7"/>
  <c r="I1095" i="1"/>
  <c r="C11" i="6"/>
  <c r="W774" i="7"/>
  <c r="O988" i="7"/>
  <c r="O884" i="7"/>
  <c r="O936" i="7"/>
  <c r="G835" i="7"/>
  <c r="O1040" i="7"/>
  <c r="G833" i="7"/>
  <c r="X1030" i="7"/>
  <c r="X823" i="7"/>
  <c r="X1090" i="7"/>
  <c r="W958" i="7"/>
  <c r="W974" i="7"/>
  <c r="W910" i="7"/>
  <c r="W920" i="7"/>
  <c r="N869" i="7"/>
  <c r="N973" i="7"/>
  <c r="F820" i="7"/>
  <c r="N921" i="7"/>
  <c r="F819" i="7"/>
  <c r="N1025" i="7"/>
  <c r="W821" i="7"/>
  <c r="O890" i="7"/>
  <c r="O994" i="7"/>
  <c r="O942" i="7"/>
  <c r="G950" i="7"/>
  <c r="O758" i="7"/>
  <c r="O706" i="7"/>
  <c r="W693" i="7"/>
  <c r="W850" i="7"/>
  <c r="G661" i="7"/>
  <c r="O816" i="7"/>
  <c r="O764" i="7"/>
  <c r="W590" i="7"/>
  <c r="O955" i="7"/>
  <c r="G800" i="7"/>
  <c r="O903" i="7"/>
  <c r="G801" i="7"/>
  <c r="G799" i="7"/>
  <c r="X1108" i="7"/>
  <c r="O1078" i="7"/>
  <c r="O1026" i="7"/>
  <c r="G976" i="7"/>
  <c r="G977" i="7"/>
  <c r="G975" i="7"/>
  <c r="O1024" i="7"/>
  <c r="O1076" i="7"/>
  <c r="G973" i="7"/>
  <c r="O750" i="7"/>
  <c r="G701" i="7"/>
  <c r="O802" i="7"/>
  <c r="G700" i="7"/>
  <c r="F345" i="7"/>
  <c r="F346" i="7"/>
  <c r="F347" i="7"/>
  <c r="F348" i="7"/>
  <c r="F339" i="7"/>
  <c r="F338" i="7"/>
  <c r="F330" i="7"/>
  <c r="F331" i="7"/>
  <c r="F332" i="7"/>
  <c r="F321" i="7"/>
  <c r="F322" i="7"/>
  <c r="F323" i="7"/>
  <c r="F324" i="7"/>
  <c r="F315" i="7"/>
  <c r="F314" i="7"/>
  <c r="F316" i="7"/>
  <c r="F307" i="7"/>
  <c r="F305" i="7"/>
  <c r="F308" i="7"/>
  <c r="F245" i="7"/>
  <c r="F246" i="7"/>
  <c r="F247" i="7"/>
  <c r="F240" i="7"/>
  <c r="F239" i="7"/>
  <c r="F237" i="7"/>
  <c r="F232" i="7"/>
  <c r="F231" i="7"/>
  <c r="F224" i="7"/>
  <c r="F223" i="7"/>
  <c r="F216" i="7"/>
  <c r="F215" i="7"/>
  <c r="F213" i="7"/>
  <c r="F109" i="7"/>
  <c r="F108" i="7"/>
  <c r="F70" i="7"/>
  <c r="F69" i="7"/>
  <c r="F63" i="7"/>
  <c r="F60" i="7"/>
  <c r="G706" i="7"/>
  <c r="O807" i="7"/>
  <c r="O911" i="7"/>
  <c r="W1062" i="7"/>
  <c r="W858" i="7"/>
  <c r="O712" i="7"/>
  <c r="W586" i="7"/>
  <c r="O841" i="7"/>
  <c r="G791" i="7"/>
  <c r="O893" i="7"/>
  <c r="F817" i="7"/>
  <c r="G752" i="7"/>
  <c r="G754" i="7"/>
  <c r="O1073" i="7"/>
  <c r="G644" i="7"/>
  <c r="W737" i="7"/>
  <c r="W883" i="7"/>
  <c r="G584" i="7"/>
  <c r="G583" i="7"/>
  <c r="F67" i="7"/>
  <c r="G789" i="7"/>
  <c r="G1077" i="7"/>
  <c r="G1078" i="7"/>
  <c r="W986" i="7"/>
  <c r="O1093" i="7"/>
  <c r="G1044" i="7"/>
  <c r="F405" i="7"/>
  <c r="F404" i="7"/>
  <c r="F403" i="7"/>
  <c r="N610" i="7"/>
  <c r="F355" i="7"/>
  <c r="F354" i="7"/>
  <c r="F353" i="7"/>
  <c r="F299" i="7"/>
  <c r="F298" i="7"/>
  <c r="F291" i="7"/>
  <c r="F290" i="7"/>
  <c r="F284" i="7"/>
  <c r="F282" i="7"/>
  <c r="F283" i="7"/>
  <c r="F277" i="7"/>
  <c r="F276" i="7"/>
  <c r="F269" i="7"/>
  <c r="F270" i="7"/>
  <c r="F254" i="7"/>
  <c r="F255" i="7"/>
  <c r="X997" i="7"/>
  <c r="W587" i="7"/>
  <c r="X1106" i="7"/>
  <c r="O1069" i="7"/>
  <c r="O1017" i="7"/>
  <c r="G966" i="7"/>
  <c r="G965" i="7"/>
  <c r="X1121" i="7"/>
  <c r="G968" i="7"/>
  <c r="G967" i="7"/>
  <c r="O908" i="7"/>
  <c r="G859" i="7"/>
  <c r="G546" i="7"/>
  <c r="W1018" i="7"/>
  <c r="W1070" i="7"/>
  <c r="W1014" i="7"/>
  <c r="G948" i="7"/>
  <c r="O1103" i="7"/>
  <c r="G949" i="7"/>
  <c r="O780" i="7"/>
  <c r="O832" i="7"/>
  <c r="G741" i="7"/>
  <c r="G740" i="7"/>
  <c r="G739" i="7"/>
  <c r="O894" i="7"/>
  <c r="O998" i="7"/>
  <c r="O946" i="7"/>
  <c r="O1050" i="7"/>
  <c r="N906" i="7"/>
  <c r="N958" i="7"/>
  <c r="N854" i="7"/>
  <c r="F803" i="7"/>
  <c r="N1010" i="7"/>
  <c r="I802" i="1"/>
  <c r="F804" i="7"/>
  <c r="F802" i="7"/>
  <c r="W854" i="7"/>
  <c r="W932" i="7"/>
  <c r="W1037" i="7"/>
  <c r="G834" i="7"/>
  <c r="G831" i="7"/>
  <c r="O1039" i="7"/>
  <c r="O935" i="7"/>
  <c r="G832" i="7"/>
  <c r="X1041" i="7"/>
  <c r="G772" i="7"/>
  <c r="O737" i="7"/>
  <c r="F473" i="7"/>
  <c r="F471" i="7"/>
  <c r="F470" i="7"/>
  <c r="F472" i="7"/>
  <c r="F1084" i="7"/>
  <c r="F1083" i="7"/>
  <c r="F1085" i="7"/>
  <c r="O810" i="7"/>
  <c r="G636" i="7"/>
  <c r="X688" i="7"/>
  <c r="O821" i="7"/>
  <c r="I817" i="1"/>
  <c r="O907" i="7"/>
  <c r="O1063" i="7"/>
  <c r="O959" i="7"/>
  <c r="G858" i="7"/>
  <c r="X910" i="7"/>
  <c r="G617" i="7"/>
  <c r="O822" i="7"/>
  <c r="X742" i="7"/>
  <c r="X794" i="7"/>
  <c r="W715" i="7"/>
  <c r="W1010" i="7"/>
  <c r="G708" i="7"/>
  <c r="G707" i="7"/>
  <c r="O913" i="7"/>
  <c r="O809" i="7"/>
  <c r="O861" i="7"/>
  <c r="W808" i="7"/>
  <c r="W780" i="7"/>
  <c r="F248" i="7"/>
  <c r="O800" i="7"/>
  <c r="G751" i="7"/>
  <c r="G750" i="7"/>
  <c r="O954" i="7"/>
  <c r="G749" i="7"/>
  <c r="F296" i="7"/>
  <c r="F294" i="7"/>
  <c r="F286" i="7"/>
  <c r="F288" i="7"/>
  <c r="F289" i="7"/>
  <c r="F287" i="7"/>
  <c r="F274" i="7"/>
  <c r="F273" i="7"/>
  <c r="F272" i="7"/>
  <c r="F266" i="7"/>
  <c r="F265" i="7"/>
  <c r="F268" i="7"/>
  <c r="F261" i="7"/>
  <c r="F260" i="7"/>
  <c r="F258" i="7"/>
  <c r="F252" i="7"/>
  <c r="F253" i="7"/>
  <c r="F251" i="7"/>
  <c r="F575" i="7"/>
  <c r="I575" i="1"/>
  <c r="G578" i="7"/>
  <c r="F577" i="7"/>
  <c r="N627" i="7"/>
  <c r="F576" i="7"/>
  <c r="F578" i="7"/>
  <c r="W630" i="7"/>
  <c r="N622" i="7"/>
  <c r="N726" i="7"/>
  <c r="I570" i="1"/>
  <c r="N674" i="7"/>
  <c r="F573" i="7"/>
  <c r="F570" i="7"/>
  <c r="F572" i="7"/>
  <c r="N778" i="7"/>
  <c r="G535" i="7"/>
  <c r="G537" i="7"/>
  <c r="N710" i="7"/>
  <c r="F504" i="7"/>
  <c r="N658" i="7"/>
  <c r="F502" i="7"/>
  <c r="F651" i="7"/>
  <c r="W703" i="7"/>
  <c r="F652" i="7"/>
  <c r="I649" i="1"/>
  <c r="N701" i="7"/>
  <c r="N857" i="7"/>
  <c r="N753" i="7"/>
  <c r="F649" i="7"/>
  <c r="W753" i="7"/>
  <c r="F650" i="7"/>
  <c r="F643" i="7"/>
  <c r="I643" i="1"/>
  <c r="N695" i="7"/>
  <c r="N747" i="7"/>
  <c r="F644" i="7"/>
  <c r="F645" i="7"/>
  <c r="N851" i="7"/>
  <c r="F646" i="7"/>
  <c r="O711" i="7"/>
  <c r="G609" i="7"/>
  <c r="G605" i="7"/>
  <c r="G604" i="7"/>
  <c r="F597" i="7"/>
  <c r="I595" i="1"/>
  <c r="N751" i="7"/>
  <c r="F598" i="7"/>
  <c r="N647" i="7"/>
  <c r="F460" i="7"/>
  <c r="F459" i="7"/>
  <c r="F458" i="7"/>
  <c r="G685" i="7"/>
  <c r="G683" i="7"/>
  <c r="G686" i="7"/>
  <c r="I722" i="1"/>
  <c r="F723" i="7"/>
  <c r="F724" i="7"/>
  <c r="F725" i="7"/>
  <c r="N878" i="7"/>
  <c r="N930" i="7"/>
  <c r="N774" i="7"/>
  <c r="F730" i="7"/>
  <c r="F732" i="7"/>
  <c r="W784" i="7"/>
  <c r="I729" i="1"/>
  <c r="F729" i="7"/>
  <c r="N781" i="7"/>
  <c r="N885" i="7"/>
  <c r="N937" i="7"/>
  <c r="N943" i="7"/>
  <c r="F735" i="7"/>
  <c r="N839" i="7"/>
  <c r="F736" i="7"/>
  <c r="W892" i="7"/>
  <c r="I735" i="1"/>
  <c r="F737" i="7"/>
  <c r="N891" i="7"/>
  <c r="F738" i="7"/>
  <c r="N787" i="7"/>
  <c r="I767" i="1"/>
  <c r="F770" i="7"/>
  <c r="N975" i="7"/>
  <c r="N819" i="7"/>
  <c r="N871" i="7"/>
  <c r="N929" i="7"/>
  <c r="N877" i="7"/>
  <c r="N981" i="7"/>
  <c r="F776" i="7"/>
  <c r="W880" i="7"/>
  <c r="I773" i="1"/>
  <c r="F774" i="7"/>
  <c r="F773" i="7"/>
  <c r="N883" i="7"/>
  <c r="N831" i="7"/>
  <c r="F780" i="7"/>
  <c r="I779" i="1"/>
  <c r="O883" i="7"/>
  <c r="N987" i="7"/>
  <c r="F781" i="7"/>
  <c r="W833" i="7"/>
  <c r="V627" i="7"/>
  <c r="V680" i="7"/>
  <c r="T581" i="7"/>
  <c r="T686" i="7"/>
  <c r="V583" i="7"/>
  <c r="V635" i="7"/>
  <c r="T589" i="7"/>
  <c r="T694" i="7"/>
  <c r="T641" i="7"/>
  <c r="V591" i="7"/>
  <c r="V696" i="7"/>
  <c r="T646" i="7"/>
  <c r="T594" i="7"/>
  <c r="V648" i="7"/>
  <c r="V596" i="7"/>
  <c r="T588" i="7"/>
  <c r="T745" i="7"/>
  <c r="T640" i="7"/>
  <c r="T692" i="7"/>
  <c r="W1003" i="7"/>
  <c r="W899" i="7"/>
  <c r="W626" i="7"/>
  <c r="O985" i="7"/>
  <c r="G780" i="7"/>
  <c r="O829" i="7"/>
  <c r="O933" i="7"/>
  <c r="W1040" i="7"/>
  <c r="W1092" i="7"/>
  <c r="G982" i="7"/>
  <c r="G983" i="7"/>
  <c r="W1052" i="7"/>
  <c r="W1000" i="7"/>
  <c r="O784" i="7"/>
  <c r="G631" i="7"/>
  <c r="G1033" i="7"/>
  <c r="G1030" i="7"/>
  <c r="X1082" i="7"/>
  <c r="O1082" i="7"/>
  <c r="J11" i="8"/>
  <c r="G1032" i="7"/>
  <c r="G867" i="7"/>
  <c r="G868" i="7"/>
  <c r="G865" i="7"/>
  <c r="G813" i="7"/>
  <c r="O862" i="7"/>
  <c r="N988" i="7"/>
  <c r="N936" i="7"/>
  <c r="F835" i="7"/>
  <c r="N884" i="7"/>
  <c r="F832" i="7"/>
  <c r="F833" i="7"/>
  <c r="F834" i="7"/>
  <c r="N1040" i="7"/>
  <c r="T582" i="7"/>
  <c r="T634" i="7"/>
  <c r="G688" i="7"/>
  <c r="G689" i="7"/>
  <c r="G687" i="7"/>
  <c r="W873" i="7"/>
  <c r="X1068" i="7"/>
  <c r="O969" i="7"/>
  <c r="G812" i="7"/>
  <c r="W1103" i="7"/>
  <c r="W999" i="7"/>
  <c r="W1051" i="7"/>
  <c r="N590" i="7"/>
  <c r="F489" i="7"/>
  <c r="W593" i="7"/>
  <c r="F486" i="7"/>
  <c r="W642" i="7"/>
  <c r="F488" i="7"/>
  <c r="N694" i="7"/>
  <c r="F487" i="7"/>
  <c r="W643" i="7"/>
  <c r="F362" i="7"/>
  <c r="F361" i="7"/>
  <c r="G841" i="7"/>
  <c r="X1095" i="7"/>
  <c r="W797" i="7"/>
  <c r="F313" i="7"/>
  <c r="W944" i="7"/>
  <c r="W807" i="7"/>
  <c r="I1083" i="1"/>
  <c r="G1085" i="7"/>
  <c r="O1102" i="7"/>
  <c r="G896" i="7"/>
  <c r="W1069" i="7"/>
  <c r="G624" i="7"/>
  <c r="G554" i="7"/>
  <c r="G555" i="7"/>
  <c r="W783" i="7"/>
  <c r="W1009" i="7"/>
  <c r="O905" i="7"/>
  <c r="O853" i="7"/>
  <c r="G804" i="7"/>
  <c r="G803" i="7"/>
  <c r="O957" i="7"/>
  <c r="G906" i="7"/>
  <c r="O1008" i="7"/>
  <c r="G905" i="7"/>
  <c r="O956" i="7"/>
  <c r="O1060" i="7"/>
  <c r="G904" i="7"/>
  <c r="F522" i="7"/>
  <c r="N625" i="7"/>
  <c r="F521" i="7"/>
  <c r="N677" i="7"/>
  <c r="F524" i="7"/>
  <c r="F150" i="7"/>
  <c r="F151" i="7"/>
  <c r="F102" i="7"/>
  <c r="F97" i="7"/>
  <c r="F96" i="7"/>
  <c r="F98" i="7"/>
  <c r="F87" i="7"/>
  <c r="F88" i="7"/>
  <c r="F90" i="7"/>
  <c r="F89" i="7"/>
  <c r="F80" i="7"/>
  <c r="F81" i="7"/>
  <c r="F79" i="7"/>
  <c r="I620" i="1"/>
  <c r="N672" i="7"/>
  <c r="F623" i="7"/>
  <c r="W675" i="7"/>
  <c r="N724" i="7"/>
  <c r="F621" i="7"/>
  <c r="F616" i="7"/>
  <c r="F614" i="7"/>
  <c r="N666" i="7"/>
  <c r="F615" i="7"/>
  <c r="N718" i="7"/>
  <c r="F617" i="7"/>
  <c r="N822" i="7"/>
  <c r="G576" i="7"/>
  <c r="G577" i="7"/>
  <c r="G571" i="7"/>
  <c r="F563" i="7"/>
  <c r="N771" i="7"/>
  <c r="N615" i="7"/>
  <c r="F566" i="7"/>
  <c r="W618" i="7"/>
  <c r="I563" i="1"/>
  <c r="N719" i="7"/>
  <c r="F565" i="7"/>
  <c r="F542" i="7"/>
  <c r="I540" i="1"/>
  <c r="N748" i="7"/>
  <c r="F540" i="7"/>
  <c r="F543" i="7"/>
  <c r="N696" i="7"/>
  <c r="N644" i="7"/>
  <c r="N592" i="7"/>
  <c r="I549" i="1"/>
  <c r="O757" i="7"/>
  <c r="F550" i="7"/>
  <c r="N705" i="7"/>
  <c r="F552" i="7"/>
  <c r="F549" i="7"/>
  <c r="N757" i="7"/>
  <c r="F551" i="7"/>
  <c r="F451" i="7"/>
  <c r="F450" i="7"/>
  <c r="N656" i="7"/>
  <c r="F449" i="7"/>
  <c r="F656" i="7"/>
  <c r="I655" i="1"/>
  <c r="F658" i="7"/>
  <c r="F655" i="7"/>
  <c r="N759" i="7"/>
  <c r="F657" i="7"/>
  <c r="W639" i="7"/>
  <c r="V614" i="7"/>
  <c r="T620" i="7"/>
  <c r="T673" i="7"/>
  <c r="V622" i="7"/>
  <c r="V675" i="7"/>
  <c r="T649" i="7"/>
  <c r="T597" i="7"/>
  <c r="V651" i="7"/>
  <c r="V599" i="7"/>
  <c r="V704" i="7"/>
  <c r="U638" i="7"/>
  <c r="U690" i="7"/>
  <c r="U753" i="7"/>
  <c r="U806" i="7"/>
  <c r="G674" i="7"/>
  <c r="G672" i="7"/>
  <c r="X724" i="7"/>
  <c r="G671" i="7"/>
  <c r="W1001" i="7"/>
  <c r="W909" i="7"/>
  <c r="W857" i="7"/>
  <c r="G856" i="7"/>
  <c r="O1027" i="7"/>
  <c r="O871" i="7"/>
  <c r="G822" i="7"/>
  <c r="O975" i="7"/>
  <c r="W1024" i="7"/>
  <c r="G545" i="7"/>
  <c r="G544" i="7"/>
  <c r="I1094" i="1"/>
  <c r="F1094" i="7"/>
  <c r="G985" i="7"/>
  <c r="X717" i="7"/>
  <c r="G654" i="7"/>
  <c r="G857" i="7"/>
  <c r="G984" i="7"/>
  <c r="W834" i="7"/>
  <c r="W800" i="7"/>
  <c r="F1095" i="7"/>
  <c r="O1046" i="7"/>
  <c r="O1011" i="7"/>
  <c r="W1066" i="7"/>
  <c r="W786" i="7"/>
  <c r="W750" i="7"/>
  <c r="G788" i="7"/>
  <c r="W745" i="7"/>
  <c r="X1099" i="7"/>
  <c r="X1042" i="7"/>
  <c r="G1083" i="7"/>
  <c r="G1082" i="7"/>
  <c r="O1007" i="7"/>
  <c r="G958" i="7"/>
  <c r="O1059" i="7"/>
  <c r="O1110" i="7"/>
  <c r="G1060" i="7"/>
  <c r="G1059" i="7"/>
  <c r="G1058" i="7"/>
  <c r="G1061" i="7"/>
  <c r="X1113" i="7"/>
  <c r="F306" i="7"/>
  <c r="F229" i="7"/>
  <c r="W725" i="7"/>
  <c r="W1058" i="7"/>
  <c r="O690" i="7"/>
  <c r="O794" i="7"/>
  <c r="O742" i="7"/>
  <c r="G587" i="7"/>
  <c r="G588" i="7"/>
  <c r="W1100" i="7"/>
  <c r="W1048" i="7"/>
  <c r="G1003" i="7"/>
  <c r="O1052" i="7"/>
  <c r="G1000" i="7"/>
  <c r="G1001" i="7"/>
  <c r="X1053" i="7"/>
  <c r="W1012" i="7"/>
  <c r="W960" i="7"/>
  <c r="W1064" i="7"/>
  <c r="O972" i="7"/>
  <c r="G923" i="7"/>
  <c r="G847" i="7"/>
  <c r="G846" i="7"/>
  <c r="G845" i="7"/>
  <c r="N721" i="7"/>
  <c r="F515" i="7"/>
  <c r="W619" i="7"/>
  <c r="N617" i="7"/>
  <c r="F513" i="7"/>
  <c r="F516" i="7"/>
  <c r="N669" i="7"/>
  <c r="F514" i="7"/>
  <c r="F493" i="7"/>
  <c r="N595" i="7"/>
  <c r="F491" i="7"/>
  <c r="F492" i="7"/>
  <c r="W596" i="7"/>
  <c r="F494" i="7"/>
  <c r="N606" i="7"/>
  <c r="F381" i="7"/>
  <c r="F382" i="7"/>
  <c r="F379" i="7"/>
  <c r="F372" i="7"/>
  <c r="F374" i="7"/>
  <c r="W582" i="7"/>
  <c r="F371" i="7"/>
  <c r="U949" i="7"/>
  <c r="U1054" i="7"/>
  <c r="U1055" i="7"/>
  <c r="U1002" i="7"/>
  <c r="U950" i="7"/>
  <c r="U899" i="7"/>
  <c r="U951" i="7"/>
  <c r="U1004" i="7"/>
  <c r="U1057" i="7"/>
  <c r="U900" i="7"/>
  <c r="U952" i="7"/>
  <c r="U953" i="7"/>
  <c r="U1058" i="7"/>
  <c r="N1004" i="7"/>
  <c r="F849" i="7"/>
  <c r="N952" i="7"/>
  <c r="F851" i="7"/>
  <c r="N1056" i="7"/>
  <c r="N900" i="7"/>
  <c r="F848" i="7"/>
  <c r="F850" i="7"/>
  <c r="T955" i="7"/>
  <c r="T903" i="7"/>
  <c r="T1060" i="7"/>
  <c r="U956" i="7"/>
  <c r="U1008" i="7"/>
  <c r="T1065" i="7"/>
  <c r="T908" i="7"/>
  <c r="T1012" i="7"/>
  <c r="T960" i="7"/>
  <c r="O864" i="7"/>
  <c r="O1020" i="7"/>
  <c r="G814" i="7"/>
  <c r="U1005" i="7"/>
  <c r="X1097" i="7"/>
  <c r="W746" i="7"/>
  <c r="W641" i="7"/>
  <c r="U904" i="7"/>
  <c r="G921" i="7"/>
  <c r="G922" i="7"/>
  <c r="W683" i="7"/>
  <c r="G1022" i="7"/>
  <c r="G1023" i="7"/>
  <c r="U1056" i="7"/>
  <c r="U1061" i="7"/>
  <c r="G618" i="7"/>
  <c r="O771" i="7"/>
  <c r="N782" i="7"/>
  <c r="W793" i="7"/>
  <c r="G720" i="7"/>
  <c r="G717" i="7"/>
  <c r="G719" i="7"/>
  <c r="X771" i="7"/>
  <c r="O1115" i="7"/>
  <c r="G1063" i="7"/>
  <c r="X1115" i="7"/>
  <c r="G1064" i="7"/>
  <c r="J10" i="8"/>
  <c r="J12" i="8"/>
  <c r="G1013" i="7"/>
  <c r="G1011" i="7"/>
  <c r="G1012" i="7"/>
  <c r="G620" i="7"/>
  <c r="O722" i="7"/>
  <c r="G883" i="7"/>
  <c r="O1090" i="7"/>
  <c r="O934" i="7"/>
  <c r="G569" i="7"/>
  <c r="G570" i="7"/>
  <c r="I848" i="1"/>
  <c r="G848" i="7"/>
  <c r="O931" i="7"/>
  <c r="O879" i="7"/>
  <c r="G947" i="7"/>
  <c r="G946" i="7"/>
  <c r="X998" i="7"/>
  <c r="O996" i="7"/>
  <c r="G1025" i="7"/>
  <c r="O1074" i="7"/>
  <c r="G933" i="7"/>
  <c r="G932" i="7"/>
  <c r="G930" i="7"/>
  <c r="G931" i="7"/>
  <c r="O982" i="7"/>
  <c r="F525" i="7"/>
  <c r="W681" i="7"/>
  <c r="N626" i="7"/>
  <c r="F434" i="7"/>
  <c r="F431" i="7"/>
  <c r="W640" i="7"/>
  <c r="F416" i="7"/>
  <c r="N624" i="7"/>
  <c r="F376" i="7"/>
  <c r="N581" i="7"/>
  <c r="O852" i="7"/>
  <c r="O904" i="7"/>
  <c r="V686" i="7"/>
  <c r="V581" i="7"/>
  <c r="V641" i="7"/>
  <c r="V694" i="7"/>
  <c r="V646" i="7"/>
  <c r="V594" i="7"/>
  <c r="O1013" i="7"/>
  <c r="G963" i="7"/>
  <c r="O902" i="7"/>
  <c r="G756" i="7"/>
  <c r="G757" i="7"/>
  <c r="X809" i="7"/>
  <c r="O860" i="7"/>
  <c r="W770" i="7"/>
  <c r="W927" i="7"/>
  <c r="O840" i="7"/>
  <c r="O788" i="7"/>
  <c r="W810" i="7"/>
  <c r="O751" i="7"/>
  <c r="G870" i="7"/>
  <c r="G872" i="7"/>
  <c r="G871" i="7"/>
  <c r="O1010" i="7"/>
  <c r="O958" i="7"/>
  <c r="O1062" i="7"/>
  <c r="G855" i="7"/>
  <c r="X907" i="7"/>
  <c r="G748" i="7"/>
  <c r="G745" i="7"/>
  <c r="G747" i="7"/>
  <c r="G746" i="7"/>
  <c r="O966" i="7"/>
  <c r="G864" i="7"/>
  <c r="O914" i="7"/>
  <c r="O727" i="7"/>
  <c r="G574" i="7"/>
  <c r="G1042" i="7"/>
  <c r="X1094" i="7"/>
  <c r="G998" i="7"/>
  <c r="G999" i="7"/>
  <c r="O1100" i="7"/>
  <c r="G809" i="7"/>
  <c r="O859" i="7"/>
  <c r="G810" i="7"/>
  <c r="O983" i="7"/>
  <c r="O1035" i="7"/>
  <c r="G849" i="7"/>
  <c r="O898" i="7"/>
  <c r="F172" i="7"/>
  <c r="F173" i="7"/>
  <c r="F171" i="7"/>
  <c r="F162" i="7"/>
  <c r="F164" i="7"/>
  <c r="F165" i="7"/>
  <c r="F163" i="7"/>
  <c r="F157" i="7"/>
  <c r="F158" i="7"/>
  <c r="N678" i="7"/>
  <c r="N730" i="7"/>
  <c r="I626" i="1"/>
  <c r="N834" i="7"/>
  <c r="F628" i="7"/>
  <c r="F626" i="7"/>
  <c r="F622" i="7"/>
  <c r="W674" i="7"/>
  <c r="N827" i="7"/>
  <c r="N775" i="7"/>
  <c r="I619" i="1"/>
  <c r="F619" i="7"/>
  <c r="F620" i="7"/>
  <c r="W672" i="7"/>
  <c r="N632" i="7"/>
  <c r="F583" i="7"/>
  <c r="W635" i="7"/>
  <c r="F582" i="7"/>
  <c r="W634" i="7"/>
  <c r="F580" i="7"/>
  <c r="W632" i="7"/>
  <c r="F581" i="7"/>
  <c r="W633" i="7"/>
  <c r="N736" i="7"/>
  <c r="F453" i="7"/>
  <c r="N607" i="7"/>
  <c r="F454" i="7"/>
  <c r="F560" i="7"/>
  <c r="I557" i="1"/>
  <c r="N661" i="7"/>
  <c r="F559" i="7"/>
  <c r="F557" i="7"/>
  <c r="U715" i="7"/>
  <c r="U663" i="7"/>
  <c r="U768" i="7"/>
  <c r="U665" i="7"/>
  <c r="U717" i="7"/>
  <c r="U770" i="7"/>
  <c r="U774" i="7"/>
  <c r="U669" i="7"/>
  <c r="U671" i="7"/>
  <c r="U776" i="7"/>
  <c r="U725" i="7"/>
  <c r="U778" i="7"/>
  <c r="U673" i="7"/>
  <c r="U677" i="7"/>
  <c r="U729" i="7"/>
  <c r="S698" i="7"/>
  <c r="S802" i="7"/>
  <c r="S750" i="7"/>
  <c r="T803" i="7"/>
  <c r="T751" i="7"/>
  <c r="T699" i="7"/>
  <c r="U805" i="7"/>
  <c r="U701" i="7"/>
  <c r="V703" i="7"/>
  <c r="V755" i="7"/>
  <c r="V807" i="7"/>
  <c r="S812" i="7"/>
  <c r="S760" i="7"/>
  <c r="T813" i="7"/>
  <c r="T709" i="7"/>
  <c r="U762" i="7"/>
  <c r="U710" i="7"/>
  <c r="V869" i="7"/>
  <c r="V712" i="7"/>
  <c r="V816" i="7"/>
  <c r="T840" i="7"/>
  <c r="T893" i="7"/>
  <c r="U737" i="7"/>
  <c r="U841" i="7"/>
  <c r="U894" i="7"/>
  <c r="U789" i="7"/>
  <c r="U790" i="7"/>
  <c r="U895" i="7"/>
  <c r="U738" i="7"/>
  <c r="U842" i="7"/>
  <c r="U739" i="7"/>
  <c r="U843" i="7"/>
  <c r="U740" i="7"/>
  <c r="U844" i="7"/>
  <c r="U845" i="7"/>
  <c r="U793" i="7"/>
  <c r="U741" i="7"/>
  <c r="U742" i="7"/>
  <c r="U846" i="7"/>
  <c r="U795" i="7"/>
  <c r="U743" i="7"/>
  <c r="U847" i="7"/>
  <c r="U848" i="7"/>
  <c r="U796" i="7"/>
  <c r="U902" i="7"/>
  <c r="U849" i="7"/>
  <c r="U745" i="7"/>
  <c r="U746" i="7"/>
  <c r="U903" i="7"/>
  <c r="U747" i="7"/>
  <c r="U799" i="7"/>
  <c r="S813" i="7"/>
  <c r="S865" i="7"/>
  <c r="S761" i="7"/>
  <c r="S918" i="7"/>
  <c r="S919" i="7"/>
  <c r="S866" i="7"/>
  <c r="S814" i="7"/>
  <c r="S762" i="7"/>
  <c r="S920" i="7"/>
  <c r="S763" i="7"/>
  <c r="S867" i="7"/>
  <c r="S815" i="7"/>
  <c r="O830" i="7"/>
  <c r="O882" i="7"/>
  <c r="G729" i="7"/>
  <c r="O796" i="7"/>
  <c r="O744" i="7"/>
  <c r="O1122" i="7"/>
  <c r="G1071" i="7"/>
  <c r="G1070" i="7"/>
  <c r="X1122" i="7"/>
  <c r="O1018" i="7"/>
  <c r="O1070" i="7"/>
  <c r="G969" i="7"/>
  <c r="X1021" i="7"/>
  <c r="W984" i="7"/>
  <c r="U898" i="7"/>
  <c r="G699" i="7"/>
  <c r="G761" i="7"/>
  <c r="G691" i="7"/>
  <c r="O792" i="7"/>
  <c r="O920" i="7"/>
  <c r="G816" i="7"/>
  <c r="O868" i="7"/>
  <c r="G713" i="7"/>
  <c r="O815" i="7"/>
  <c r="O867" i="7"/>
  <c r="O919" i="7"/>
  <c r="O763" i="7"/>
  <c r="O1049" i="7"/>
  <c r="O1101" i="7"/>
  <c r="O997" i="7"/>
  <c r="G895" i="7"/>
  <c r="G894" i="7"/>
  <c r="W911" i="7"/>
  <c r="G602" i="7"/>
  <c r="O704" i="7"/>
  <c r="G705" i="7"/>
  <c r="G704" i="7"/>
  <c r="O806" i="7"/>
  <c r="O754" i="7"/>
  <c r="O910" i="7"/>
  <c r="O1029" i="7"/>
  <c r="G824" i="7"/>
  <c r="X876" i="7"/>
  <c r="O873" i="7"/>
  <c r="O977" i="7"/>
  <c r="O925" i="7"/>
  <c r="W1079" i="7"/>
  <c r="U1001" i="7"/>
  <c r="W925" i="7"/>
  <c r="O1023" i="7"/>
  <c r="G972" i="7"/>
  <c r="X1024" i="7"/>
  <c r="O1075" i="7"/>
  <c r="G974" i="7"/>
  <c r="W1016" i="7"/>
  <c r="G712" i="7"/>
  <c r="O813" i="7"/>
  <c r="G877" i="7"/>
  <c r="G876" i="7"/>
  <c r="O980" i="7"/>
  <c r="G879" i="7"/>
  <c r="O848" i="7"/>
  <c r="G798" i="7"/>
  <c r="F148" i="7"/>
  <c r="V752" i="7"/>
  <c r="V595" i="7"/>
  <c r="V691" i="7"/>
  <c r="V795" i="7"/>
  <c r="S696" i="7"/>
  <c r="S853" i="7"/>
  <c r="S800" i="7"/>
  <c r="S854" i="7"/>
  <c r="S801" i="7"/>
  <c r="T750" i="7"/>
  <c r="T698" i="7"/>
  <c r="T802" i="7"/>
  <c r="U751" i="7"/>
  <c r="U856" i="7"/>
  <c r="V805" i="7"/>
  <c r="V701" i="7"/>
  <c r="V859" i="7"/>
  <c r="V702" i="7"/>
  <c r="S829" i="7"/>
  <c r="S725" i="7"/>
  <c r="S777" i="7"/>
  <c r="S882" i="7"/>
  <c r="U884" i="7"/>
  <c r="U831" i="7"/>
  <c r="S785" i="7"/>
  <c r="S733" i="7"/>
  <c r="T787" i="7"/>
  <c r="T735" i="7"/>
  <c r="T839" i="7"/>
  <c r="V965" i="7"/>
  <c r="V912" i="7"/>
  <c r="V808" i="7"/>
  <c r="V809" i="7"/>
  <c r="V861" i="7"/>
  <c r="V966" i="7"/>
  <c r="V914" i="7"/>
  <c r="V862" i="7"/>
  <c r="V810" i="7"/>
  <c r="V967" i="7"/>
  <c r="U863" i="7"/>
  <c r="U968" i="7"/>
  <c r="U811" i="7"/>
  <c r="T971" i="7"/>
  <c r="T814" i="7"/>
  <c r="T918" i="7"/>
  <c r="T866" i="7"/>
  <c r="T972" i="7"/>
  <c r="T919" i="7"/>
  <c r="T815" i="7"/>
  <c r="T816" i="7"/>
  <c r="T920" i="7"/>
  <c r="T817" i="7"/>
  <c r="T869" i="7"/>
  <c r="T921" i="7"/>
  <c r="T974" i="7"/>
  <c r="G986" i="7"/>
  <c r="X1038" i="7"/>
  <c r="O1036" i="7"/>
  <c r="W1023" i="7"/>
  <c r="W970" i="7"/>
  <c r="G961" i="7"/>
  <c r="O817" i="7"/>
  <c r="G758" i="7"/>
  <c r="X810" i="7"/>
  <c r="O778" i="7"/>
  <c r="W948" i="7"/>
  <c r="G582" i="7"/>
  <c r="G1072" i="7"/>
  <c r="G790" i="7"/>
  <c r="O906" i="7"/>
  <c r="W1073" i="7"/>
  <c r="W1021" i="7"/>
  <c r="W1063" i="7"/>
  <c r="W1011" i="7"/>
  <c r="W804" i="7"/>
  <c r="X1044" i="7"/>
  <c r="G678" i="7"/>
  <c r="O775" i="7"/>
  <c r="O827" i="7"/>
  <c r="O1041" i="7"/>
  <c r="O989" i="7"/>
  <c r="G887" i="7"/>
  <c r="G888" i="7"/>
  <c r="G860" i="7"/>
  <c r="O909" i="7"/>
  <c r="O961" i="7"/>
  <c r="O748" i="7"/>
  <c r="O1077" i="7"/>
  <c r="G808" i="7"/>
  <c r="G793" i="7"/>
  <c r="F279" i="7"/>
  <c r="F278" i="7"/>
  <c r="F256" i="7"/>
  <c r="F257" i="7"/>
  <c r="F207" i="7"/>
  <c r="F209" i="7"/>
  <c r="F206" i="7"/>
  <c r="F208" i="7"/>
  <c r="F199" i="7"/>
  <c r="F201" i="7"/>
  <c r="F184" i="7"/>
  <c r="F187" i="7"/>
  <c r="F156" i="7"/>
  <c r="F56" i="7"/>
  <c r="F53" i="7"/>
  <c r="F55" i="7"/>
  <c r="F48" i="7"/>
  <c r="F49" i="7"/>
  <c r="F33" i="7"/>
  <c r="F25" i="7"/>
  <c r="F24" i="7"/>
  <c r="F22" i="7"/>
  <c r="F16" i="7"/>
  <c r="F642" i="7"/>
  <c r="F640" i="7"/>
  <c r="N795" i="7"/>
  <c r="I639" i="1"/>
  <c r="N691" i="7"/>
  <c r="F639" i="7"/>
  <c r="N743" i="7"/>
  <c r="N847" i="7"/>
  <c r="N842" i="7"/>
  <c r="N738" i="7"/>
  <c r="I634" i="1"/>
  <c r="N790" i="7"/>
  <c r="F636" i="7"/>
  <c r="F637" i="7"/>
  <c r="F635" i="7"/>
  <c r="F607" i="7"/>
  <c r="F606" i="7"/>
  <c r="I605" i="1"/>
  <c r="F608" i="7"/>
  <c r="N657" i="7"/>
  <c r="N613" i="7"/>
  <c r="N717" i="7"/>
  <c r="N665" i="7"/>
  <c r="F510" i="7"/>
  <c r="F512" i="7"/>
  <c r="W616" i="7"/>
  <c r="G669" i="7"/>
  <c r="G668" i="7"/>
  <c r="O718" i="7"/>
  <c r="G666" i="7"/>
  <c r="X718" i="7"/>
  <c r="N829" i="7"/>
  <c r="N725" i="7"/>
  <c r="F674" i="7"/>
  <c r="I673" i="1"/>
  <c r="F675" i="7"/>
  <c r="W727" i="7"/>
  <c r="N783" i="7"/>
  <c r="F681" i="7"/>
  <c r="W837" i="7"/>
  <c r="F680" i="7"/>
  <c r="N731" i="7"/>
  <c r="I679" i="1"/>
  <c r="O777" i="7"/>
  <c r="O823" i="7"/>
  <c r="O927" i="7"/>
  <c r="I776" i="1"/>
  <c r="N984" i="7"/>
  <c r="F778" i="7"/>
  <c r="F784" i="7"/>
  <c r="N887" i="7"/>
  <c r="F786" i="7"/>
  <c r="I783" i="1"/>
  <c r="V667" i="7"/>
  <c r="V771" i="7"/>
  <c r="S844" i="7"/>
  <c r="S791" i="7"/>
  <c r="S799" i="7"/>
  <c r="S695" i="7"/>
  <c r="S852" i="7"/>
  <c r="O1044" i="7"/>
  <c r="O924" i="7"/>
  <c r="G853" i="7"/>
  <c r="O708" i="7"/>
  <c r="O974" i="7"/>
  <c r="O700" i="7"/>
  <c r="O752" i="7"/>
  <c r="G807" i="7"/>
  <c r="G579" i="7"/>
  <c r="W729" i="7"/>
  <c r="W1087" i="7"/>
  <c r="W1075" i="7"/>
  <c r="O1015" i="7"/>
  <c r="G616" i="7"/>
  <c r="G561" i="7"/>
  <c r="G902" i="7"/>
  <c r="O1003" i="7"/>
  <c r="G718" i="7"/>
  <c r="W1044" i="7"/>
  <c r="G892" i="7"/>
  <c r="F389" i="7"/>
  <c r="W597" i="7"/>
  <c r="F337" i="7"/>
  <c r="F230" i="7"/>
  <c r="F222" i="7"/>
  <c r="F219" i="7"/>
  <c r="F212" i="7"/>
  <c r="F214" i="7"/>
  <c r="F192" i="7"/>
  <c r="F169" i="7"/>
  <c r="F168" i="7"/>
  <c r="F42" i="7"/>
  <c r="F634" i="7"/>
  <c r="N684" i="7"/>
  <c r="I625" i="1"/>
  <c r="G627" i="7"/>
  <c r="N729" i="7"/>
  <c r="F627" i="7"/>
  <c r="W679" i="7"/>
  <c r="N702" i="7"/>
  <c r="F546" i="7"/>
  <c r="W598" i="7"/>
  <c r="I547" i="1"/>
  <c r="G548" i="7"/>
  <c r="N599" i="7"/>
  <c r="N651" i="7"/>
  <c r="N602" i="7"/>
  <c r="F499" i="7"/>
  <c r="F500" i="7"/>
  <c r="F554" i="7"/>
  <c r="W606" i="7"/>
  <c r="N604" i="7"/>
  <c r="F553" i="7"/>
  <c r="F555" i="7"/>
  <c r="W607" i="7"/>
  <c r="I793" i="1"/>
  <c r="F796" i="7"/>
  <c r="W848" i="7"/>
  <c r="F795" i="7"/>
  <c r="W847" i="7"/>
  <c r="F809" i="7"/>
  <c r="N861" i="7"/>
  <c r="N913" i="7"/>
  <c r="F818" i="7"/>
  <c r="W922" i="7"/>
  <c r="I824" i="1"/>
  <c r="F827" i="7"/>
  <c r="F826" i="7"/>
  <c r="W878" i="7"/>
  <c r="N935" i="7"/>
  <c r="V602" i="7"/>
  <c r="T671" i="7"/>
  <c r="U676" i="7"/>
  <c r="T679" i="7"/>
  <c r="V629" i="7"/>
  <c r="O789" i="7"/>
  <c r="G1075" i="7"/>
  <c r="G1074" i="7"/>
  <c r="G920" i="7"/>
  <c r="G886" i="7"/>
  <c r="G692" i="7"/>
  <c r="O1016" i="7"/>
  <c r="O1068" i="7"/>
  <c r="O1021" i="7"/>
  <c r="G684" i="7"/>
  <c r="F359" i="7"/>
  <c r="F352" i="7"/>
  <c r="F334" i="7"/>
  <c r="F336" i="7"/>
  <c r="F281" i="7"/>
  <c r="F145" i="7"/>
  <c r="F146" i="7"/>
  <c r="F100" i="7"/>
  <c r="F101" i="7"/>
  <c r="N802" i="7"/>
  <c r="N698" i="7"/>
  <c r="I646" i="1"/>
  <c r="I590" i="1"/>
  <c r="N642" i="7"/>
  <c r="F593" i="7"/>
  <c r="N612" i="7"/>
  <c r="F509" i="7"/>
  <c r="W665" i="7"/>
  <c r="F508" i="7"/>
  <c r="W717" i="7"/>
  <c r="N770" i="7"/>
  <c r="F668" i="7"/>
  <c r="W720" i="7"/>
  <c r="F666" i="7"/>
  <c r="F667" i="7"/>
  <c r="N784" i="7"/>
  <c r="F683" i="7"/>
  <c r="W735" i="7"/>
  <c r="I693" i="1"/>
  <c r="N901" i="7"/>
  <c r="F706" i="7"/>
  <c r="W862" i="7"/>
  <c r="N807" i="7"/>
  <c r="N863" i="7"/>
  <c r="N811" i="7"/>
  <c r="F762" i="7"/>
  <c r="I759" i="1"/>
  <c r="F760" i="7"/>
  <c r="W864" i="7"/>
  <c r="F761" i="7"/>
  <c r="F759" i="7"/>
  <c r="F767" i="7"/>
  <c r="F765" i="7"/>
  <c r="N823" i="7"/>
  <c r="N979" i="7"/>
  <c r="I784" i="1"/>
  <c r="N992" i="7"/>
  <c r="N836" i="7"/>
  <c r="F787" i="7"/>
  <c r="I791" i="1"/>
  <c r="N895" i="7"/>
  <c r="F793" i="7"/>
  <c r="N999" i="7"/>
  <c r="F791" i="7"/>
  <c r="N947" i="7"/>
  <c r="U696" i="7"/>
  <c r="U748" i="7"/>
  <c r="U955" i="7"/>
  <c r="U851" i="7"/>
  <c r="U1010" i="7"/>
  <c r="U957" i="7"/>
  <c r="U958" i="7"/>
  <c r="U854" i="7"/>
  <c r="U1012" i="7"/>
  <c r="U907" i="7"/>
  <c r="U961" i="7"/>
  <c r="U909" i="7"/>
  <c r="U857" i="7"/>
  <c r="U858" i="7"/>
  <c r="U860" i="7"/>
  <c r="U912" i="7"/>
  <c r="U861" i="7"/>
  <c r="U1018" i="7"/>
  <c r="U914" i="7"/>
  <c r="U862" i="7"/>
  <c r="U969" i="7"/>
  <c r="U865" i="7"/>
  <c r="U971" i="7"/>
  <c r="U1024" i="7"/>
  <c r="T1029" i="7"/>
  <c r="T872" i="7"/>
  <c r="T924" i="7"/>
  <c r="T925" i="7"/>
  <c r="T873" i="7"/>
  <c r="T1030" i="7"/>
  <c r="T977" i="7"/>
  <c r="T874" i="7"/>
  <c r="T926" i="7"/>
  <c r="T1032" i="7"/>
  <c r="T875" i="7"/>
  <c r="T879" i="7"/>
  <c r="T1036" i="7"/>
  <c r="T931" i="7"/>
  <c r="I837" i="1"/>
  <c r="N941" i="7"/>
  <c r="O844" i="7"/>
  <c r="G698" i="7"/>
  <c r="W651" i="7"/>
  <c r="G970" i="7"/>
  <c r="O1019" i="7"/>
  <c r="O1113" i="7"/>
  <c r="G1062" i="7"/>
  <c r="X1114" i="7"/>
  <c r="O1116" i="7"/>
  <c r="O703" i="7"/>
  <c r="G1076" i="7"/>
  <c r="W1105" i="7"/>
  <c r="X1107" i="7"/>
  <c r="W801" i="7"/>
  <c r="G586" i="7"/>
  <c r="X690" i="7"/>
  <c r="W995" i="7"/>
  <c r="O728" i="7"/>
  <c r="G997" i="7"/>
  <c r="W919" i="7"/>
  <c r="G606" i="7"/>
  <c r="F467" i="7"/>
  <c r="W623" i="7"/>
  <c r="F465" i="7"/>
  <c r="F464" i="7"/>
  <c r="F428" i="7"/>
  <c r="F429" i="7"/>
  <c r="W638" i="7"/>
  <c r="F411" i="7"/>
  <c r="F414" i="7"/>
  <c r="F122" i="7"/>
  <c r="F121" i="7"/>
  <c r="F105" i="7"/>
  <c r="F106" i="7"/>
  <c r="F107" i="7"/>
  <c r="F59" i="7"/>
  <c r="F61" i="7"/>
  <c r="F51" i="7"/>
  <c r="F52" i="7"/>
  <c r="F45" i="7"/>
  <c r="F46" i="7"/>
  <c r="F30" i="7"/>
  <c r="F31" i="7"/>
  <c r="F23" i="7"/>
  <c r="F21" i="7"/>
  <c r="F15" i="7"/>
  <c r="F13" i="7"/>
  <c r="F630" i="7"/>
  <c r="F632" i="7"/>
  <c r="N838" i="7"/>
  <c r="I630" i="1"/>
  <c r="G630" i="7"/>
  <c r="N786" i="7"/>
  <c r="F612" i="7"/>
  <c r="F610" i="7"/>
  <c r="N641" i="7"/>
  <c r="I589" i="1"/>
  <c r="N693" i="7"/>
  <c r="F688" i="7"/>
  <c r="W740" i="7"/>
  <c r="F690" i="7"/>
  <c r="N792" i="7"/>
  <c r="N844" i="7"/>
  <c r="O793" i="7"/>
  <c r="G744" i="7"/>
  <c r="F768" i="7"/>
  <c r="T583" i="7"/>
  <c r="T636" i="7"/>
  <c r="S731" i="7"/>
  <c r="S784" i="7"/>
  <c r="S690" i="7"/>
  <c r="S795" i="7"/>
  <c r="V797" i="7"/>
  <c r="V692" i="7"/>
  <c r="V954" i="7"/>
  <c r="V850" i="7"/>
  <c r="V858" i="7"/>
  <c r="V910" i="7"/>
  <c r="V962" i="7"/>
  <c r="U990" i="7"/>
  <c r="U1043" i="7"/>
  <c r="U1044" i="7"/>
  <c r="U887" i="7"/>
  <c r="T994" i="7"/>
  <c r="T890" i="7"/>
  <c r="T892" i="7"/>
  <c r="T894" i="7"/>
  <c r="T946" i="7"/>
  <c r="T998" i="7"/>
  <c r="O1117" i="7"/>
  <c r="W747" i="7"/>
  <c r="O1086" i="7"/>
  <c r="G766" i="7"/>
  <c r="X818" i="7"/>
  <c r="O896" i="7"/>
  <c r="G743" i="7"/>
  <c r="G854" i="7"/>
  <c r="W967" i="7"/>
  <c r="X1105" i="7"/>
  <c r="G811" i="7"/>
  <c r="W1020" i="7"/>
  <c r="W968" i="7"/>
  <c r="G980" i="7"/>
  <c r="G979" i="7"/>
  <c r="X1083" i="7"/>
  <c r="O1104" i="7"/>
  <c r="G1028" i="7"/>
  <c r="X1080" i="7"/>
  <c r="G1026" i="7"/>
  <c r="X1078" i="7"/>
  <c r="O874" i="7"/>
  <c r="G863" i="7"/>
  <c r="W1015" i="7"/>
  <c r="O1009" i="7"/>
  <c r="F517" i="7"/>
  <c r="F518" i="7"/>
  <c r="N597" i="7"/>
  <c r="F413" i="7"/>
  <c r="F250" i="7"/>
  <c r="F144" i="7"/>
  <c r="F65" i="7"/>
  <c r="F66" i="7"/>
  <c r="O720" i="7"/>
  <c r="G567" i="7"/>
  <c r="I529" i="1"/>
  <c r="G532" i="7"/>
  <c r="F532" i="7"/>
  <c r="W584" i="7"/>
  <c r="F446" i="7"/>
  <c r="F448" i="7"/>
  <c r="I556" i="1"/>
  <c r="F558" i="7"/>
  <c r="N660" i="7"/>
  <c r="N865" i="7"/>
  <c r="N761" i="7"/>
  <c r="N813" i="7"/>
  <c r="N709" i="7"/>
  <c r="I657" i="1"/>
  <c r="O761" i="7"/>
  <c r="G823" i="7"/>
  <c r="O1028" i="7"/>
  <c r="T758" i="7"/>
  <c r="T705" i="7"/>
  <c r="T707" i="7"/>
  <c r="T603" i="7"/>
  <c r="V630" i="7"/>
  <c r="V734" i="7"/>
  <c r="S719" i="7"/>
  <c r="S771" i="7"/>
  <c r="U960" i="7"/>
  <c r="V937" i="7"/>
  <c r="V1042" i="7"/>
  <c r="W1116" i="7"/>
  <c r="F420" i="7"/>
  <c r="F373" i="7"/>
  <c r="W581" i="7"/>
  <c r="F329" i="7"/>
  <c r="F186" i="7"/>
  <c r="N714" i="7"/>
  <c r="N799" i="7"/>
  <c r="V726" i="7"/>
  <c r="T749" i="7"/>
  <c r="T1016" i="7"/>
  <c r="T964" i="7"/>
  <c r="W1110" i="7"/>
  <c r="W1117" i="7"/>
  <c r="W1113" i="7"/>
  <c r="W1106" i="7"/>
  <c r="G866" i="7"/>
  <c r="F433" i="7"/>
  <c r="F267" i="7"/>
  <c r="F457" i="7"/>
  <c r="F808" i="7"/>
  <c r="N1013" i="7"/>
  <c r="N1028" i="7"/>
  <c r="F822" i="7"/>
  <c r="F837" i="7"/>
  <c r="S754" i="7"/>
  <c r="U660" i="7"/>
  <c r="V950" i="7"/>
  <c r="V898" i="7"/>
  <c r="V953" i="7"/>
  <c r="W1109" i="7"/>
  <c r="W1118" i="7"/>
  <c r="O1119" i="7"/>
  <c r="W1108" i="7"/>
  <c r="W1121" i="7"/>
  <c r="O1106" i="7"/>
  <c r="F259" i="7"/>
  <c r="F140" i="7"/>
  <c r="F452" i="7"/>
  <c r="F596" i="7"/>
  <c r="W648" i="7"/>
  <c r="I593" i="1"/>
  <c r="U689" i="7"/>
  <c r="U636" i="7"/>
  <c r="T719" i="7"/>
  <c r="S781" i="7"/>
  <c r="S886" i="7"/>
  <c r="T788" i="7"/>
  <c r="T791" i="7"/>
  <c r="T842" i="7"/>
  <c r="W1112" i="7"/>
  <c r="O1111" i="7"/>
  <c r="W1122" i="7"/>
  <c r="O1055" i="7"/>
  <c r="O1121" i="7"/>
  <c r="W1104" i="7"/>
  <c r="N742" i="7"/>
  <c r="O918" i="7"/>
  <c r="N991" i="7"/>
  <c r="O1120" i="7"/>
  <c r="F469" i="7"/>
  <c r="F72" i="7"/>
  <c r="F533" i="7"/>
  <c r="T702" i="7"/>
  <c r="T650" i="7"/>
  <c r="U713" i="7"/>
  <c r="U870" i="7"/>
  <c r="S739" i="7"/>
  <c r="S746" i="7"/>
  <c r="S749" i="7"/>
  <c r="V828" i="7"/>
  <c r="V982" i="7"/>
  <c r="V929" i="7"/>
  <c r="T911" i="7"/>
  <c r="T963" i="7"/>
  <c r="T965" i="7"/>
  <c r="T913" i="7"/>
  <c r="O1112" i="7"/>
  <c r="T587" i="7"/>
  <c r="U659" i="7"/>
  <c r="U667" i="7"/>
  <c r="T845" i="7"/>
  <c r="T800" i="7"/>
  <c r="S893" i="7"/>
  <c r="I794" i="1"/>
  <c r="T652" i="7"/>
  <c r="V613" i="7"/>
  <c r="T638" i="7"/>
  <c r="T769" i="7"/>
  <c r="T665" i="7"/>
  <c r="V719" i="7"/>
  <c r="V746" i="7"/>
  <c r="V931" i="7"/>
  <c r="U890" i="7"/>
  <c r="F716" i="7"/>
  <c r="U807" i="7"/>
  <c r="V1009" i="7"/>
  <c r="V957" i="7"/>
  <c r="V1015" i="7"/>
  <c r="T584" i="7"/>
  <c r="V604" i="7"/>
  <c r="V665" i="7"/>
  <c r="S878" i="7"/>
  <c r="V832" i="7"/>
  <c r="Y879" i="7"/>
  <c r="Y983" i="7"/>
  <c r="V1117" i="7"/>
  <c r="S1107" i="7"/>
  <c r="I908" i="1"/>
  <c r="G908" i="7"/>
  <c r="N1116" i="7"/>
  <c r="T1097" i="7"/>
  <c r="U1074" i="7"/>
  <c r="Y955" i="7"/>
  <c r="N1104" i="7"/>
  <c r="T1104" i="7"/>
  <c r="O1107" i="7"/>
  <c r="V1107" i="7"/>
  <c r="N1110" i="7"/>
  <c r="Y1111" i="7"/>
  <c r="S1113" i="7"/>
  <c r="T1117" i="7"/>
  <c r="Y1118" i="7"/>
  <c r="N1122" i="7"/>
  <c r="I953" i="1"/>
  <c r="N1109" i="7"/>
  <c r="U1119" i="7"/>
  <c r="S1104" i="7"/>
  <c r="N1107" i="7"/>
  <c r="Y1108" i="7"/>
  <c r="S1110" i="7"/>
  <c r="V1111" i="7"/>
  <c r="Y1114" i="7"/>
  <c r="Y1119" i="7"/>
  <c r="F1090" i="7"/>
  <c r="I1089" i="1"/>
  <c r="G1089" i="7"/>
  <c r="F1089" i="7"/>
  <c r="N1119" i="7"/>
  <c r="T1085" i="7"/>
  <c r="Y997" i="7"/>
  <c r="Y1003" i="7"/>
  <c r="Y935" i="7"/>
  <c r="Y919" i="7"/>
  <c r="Y867" i="7"/>
  <c r="Y1121" i="7"/>
  <c r="S1105" i="7"/>
  <c r="Y1106" i="7"/>
  <c r="S1108" i="7"/>
  <c r="V1115" i="7"/>
  <c r="U1094" i="7"/>
  <c r="S1114" i="7"/>
  <c r="U1115" i="7"/>
  <c r="T1088" i="7"/>
  <c r="Y1062" i="7"/>
  <c r="Y942" i="7"/>
  <c r="Y832" i="7"/>
  <c r="Y884" i="7"/>
  <c r="Y1115" i="7"/>
  <c r="O1105" i="7"/>
  <c r="V1105" i="7"/>
  <c r="V1108" i="7"/>
  <c r="T1111" i="7"/>
  <c r="V1114" i="7"/>
  <c r="O1118" i="7"/>
  <c r="V1119" i="7"/>
  <c r="B12" i="6"/>
  <c r="B11" i="6"/>
  <c r="U1104" i="7"/>
  <c r="U1118" i="7"/>
  <c r="I11" i="8"/>
  <c r="I12" i="8"/>
  <c r="N1105" i="7"/>
  <c r="T1105" i="7"/>
  <c r="S1111" i="7"/>
  <c r="N1114" i="7"/>
  <c r="T1114" i="7"/>
  <c r="N1118" i="7"/>
  <c r="S1118" i="7"/>
  <c r="T1119" i="7"/>
  <c r="T1120" i="7"/>
  <c r="U1106" i="7"/>
  <c r="U1120" i="7"/>
  <c r="Y1102" i="7"/>
  <c r="V1106" i="7"/>
  <c r="N1112" i="7"/>
  <c r="T1112" i="7"/>
  <c r="N1115" i="7"/>
  <c r="V1116" i="7"/>
  <c r="N1120" i="7"/>
  <c r="V1121" i="7"/>
  <c r="Y1122" i="7"/>
  <c r="I1084" i="1"/>
  <c r="G1087" i="7"/>
  <c r="F1087" i="7"/>
  <c r="U1107" i="7"/>
  <c r="U1110" i="7"/>
  <c r="U1114" i="7"/>
  <c r="U1113" i="7"/>
  <c r="U1121" i="7"/>
  <c r="N1106" i="7"/>
  <c r="T1106" i="7"/>
  <c r="T1109" i="7"/>
  <c r="Y1110" i="7"/>
  <c r="S1112" i="7"/>
  <c r="V1113" i="7"/>
  <c r="Y1117" i="7"/>
  <c r="T1121" i="7"/>
  <c r="V1122" i="7"/>
  <c r="U1122" i="7"/>
  <c r="N1113" i="7"/>
  <c r="T1113" i="7"/>
  <c r="S1116" i="7"/>
  <c r="N1121" i="7"/>
  <c r="S1121" i="7"/>
  <c r="T1122" i="7"/>
  <c r="C12" i="6"/>
  <c r="X960" i="7"/>
  <c r="X1012" i="7"/>
  <c r="G696" i="7"/>
  <c r="O745" i="7"/>
  <c r="O797" i="7"/>
  <c r="G694" i="7"/>
  <c r="G695" i="7"/>
  <c r="O849" i="7"/>
  <c r="O828" i="7"/>
  <c r="O932" i="7"/>
  <c r="G779" i="7"/>
  <c r="G778" i="7"/>
  <c r="O984" i="7"/>
  <c r="O880" i="7"/>
  <c r="W595" i="7"/>
  <c r="X1081" i="7"/>
  <c r="X1002" i="7"/>
  <c r="X1054" i="7"/>
  <c r="W684" i="7"/>
  <c r="W736" i="7"/>
  <c r="W947" i="7"/>
  <c r="W843" i="7"/>
  <c r="W895" i="7"/>
  <c r="X736" i="7"/>
  <c r="W660" i="7"/>
  <c r="W712" i="7"/>
  <c r="W764" i="7"/>
  <c r="O686" i="7"/>
  <c r="G637" i="7"/>
  <c r="X689" i="7"/>
  <c r="G635" i="7"/>
  <c r="X687" i="7"/>
  <c r="X894" i="7"/>
  <c r="W636" i="7"/>
  <c r="X1037" i="7"/>
  <c r="X1089" i="7"/>
  <c r="W656" i="7"/>
  <c r="W604" i="7"/>
  <c r="W644" i="7"/>
  <c r="W592" i="7"/>
  <c r="X957" i="7"/>
  <c r="X959" i="7"/>
  <c r="W724" i="7"/>
  <c r="W789" i="7"/>
  <c r="W946" i="7"/>
  <c r="W881" i="7"/>
  <c r="W777" i="7"/>
  <c r="W670" i="7"/>
  <c r="X793" i="7"/>
  <c r="X1096" i="7"/>
  <c r="W921" i="7"/>
  <c r="W973" i="7"/>
  <c r="W869" i="7"/>
  <c r="W1026" i="7"/>
  <c r="X852" i="7"/>
  <c r="X904" i="7"/>
  <c r="W768" i="7"/>
  <c r="W820" i="7"/>
  <c r="W977" i="7"/>
  <c r="G592" i="7"/>
  <c r="G591" i="7"/>
  <c r="G590" i="7"/>
  <c r="X799" i="7"/>
  <c r="W682" i="7"/>
  <c r="W734" i="7"/>
  <c r="W971" i="7"/>
  <c r="W814" i="7"/>
  <c r="W866" i="7"/>
  <c r="W645" i="7"/>
  <c r="W913" i="7"/>
  <c r="W861" i="7"/>
  <c r="W965" i="7"/>
  <c r="O887" i="7"/>
  <c r="O835" i="7"/>
  <c r="O939" i="7"/>
  <c r="G786" i="7"/>
  <c r="O991" i="7"/>
  <c r="G784" i="7"/>
  <c r="G783" i="7"/>
  <c r="X835" i="7"/>
  <c r="G785" i="7"/>
  <c r="O725" i="7"/>
  <c r="G676" i="7"/>
  <c r="G675" i="7"/>
  <c r="G607" i="7"/>
  <c r="G608" i="7"/>
  <c r="W744" i="7"/>
  <c r="W692" i="7"/>
  <c r="W796" i="7"/>
  <c r="W849" i="7"/>
  <c r="W700" i="7"/>
  <c r="W680" i="7"/>
  <c r="X999" i="7"/>
  <c r="X987" i="7"/>
  <c r="X935" i="7"/>
  <c r="X1039" i="7"/>
  <c r="X1092" i="7"/>
  <c r="X1116" i="7"/>
  <c r="W824" i="7"/>
  <c r="W900" i="7"/>
  <c r="W1004" i="7"/>
  <c r="W952" i="7"/>
  <c r="W1057" i="7"/>
  <c r="G589" i="7"/>
  <c r="X1062" i="7"/>
  <c r="X1010" i="7"/>
  <c r="G673" i="7"/>
  <c r="O790" i="7"/>
  <c r="W886" i="7"/>
  <c r="W1043" i="7"/>
  <c r="W938" i="7"/>
  <c r="W990" i="7"/>
  <c r="X1085" i="7"/>
  <c r="X1087" i="7"/>
  <c r="W825" i="7"/>
  <c r="W877" i="7"/>
  <c r="W929" i="7"/>
  <c r="G738" i="7"/>
  <c r="G736" i="7"/>
  <c r="O787" i="7"/>
  <c r="O839" i="7"/>
  <c r="O943" i="7"/>
  <c r="G735" i="7"/>
  <c r="X787" i="7"/>
  <c r="G737" i="7"/>
  <c r="O891" i="7"/>
  <c r="W781" i="7"/>
  <c r="W776" i="7"/>
  <c r="W933" i="7"/>
  <c r="O695" i="7"/>
  <c r="G646" i="7"/>
  <c r="O799" i="7"/>
  <c r="O747" i="7"/>
  <c r="G643" i="7"/>
  <c r="X695" i="7"/>
  <c r="G645" i="7"/>
  <c r="W704" i="7"/>
  <c r="W756" i="7"/>
  <c r="X801" i="7"/>
  <c r="X1117" i="7"/>
  <c r="O685" i="7"/>
  <c r="X1071" i="7"/>
  <c r="X1019" i="7"/>
  <c r="O838" i="7"/>
  <c r="O693" i="7"/>
  <c r="X713" i="7"/>
  <c r="W924" i="7"/>
  <c r="W872" i="7"/>
  <c r="W976" i="7"/>
  <c r="W1029" i="7"/>
  <c r="W1035" i="7"/>
  <c r="G1090" i="7"/>
  <c r="G1091" i="7"/>
  <c r="G1092" i="7"/>
  <c r="X970" i="7"/>
  <c r="W812" i="7"/>
  <c r="W916" i="7"/>
  <c r="O847" i="7"/>
  <c r="O795" i="7"/>
  <c r="G641" i="7"/>
  <c r="X693" i="7"/>
  <c r="O691" i="7"/>
  <c r="G640" i="7"/>
  <c r="X692" i="7"/>
  <c r="G639" i="7"/>
  <c r="X691" i="7"/>
  <c r="O743" i="7"/>
  <c r="G642" i="7"/>
  <c r="G560" i="7"/>
  <c r="X716" i="7"/>
  <c r="O765" i="7"/>
  <c r="X922" i="7"/>
  <c r="W601" i="7"/>
  <c r="W705" i="7"/>
  <c r="W653" i="7"/>
  <c r="W722" i="7"/>
  <c r="X911" i="7"/>
  <c r="W923" i="7"/>
  <c r="W871" i="7"/>
  <c r="W975" i="7"/>
  <c r="W1028" i="7"/>
  <c r="W1031" i="7"/>
  <c r="W874" i="7"/>
  <c r="W978" i="7"/>
  <c r="W926" i="7"/>
  <c r="O941" i="7"/>
  <c r="G840" i="7"/>
  <c r="X892" i="7"/>
  <c r="G839" i="7"/>
  <c r="O889" i="7"/>
  <c r="O993" i="7"/>
  <c r="O836" i="7"/>
  <c r="O888" i="7"/>
  <c r="G787" i="7"/>
  <c r="O940" i="7"/>
  <c r="O992" i="7"/>
  <c r="G762" i="7"/>
  <c r="O811" i="7"/>
  <c r="O967" i="7"/>
  <c r="O915" i="7"/>
  <c r="G759" i="7"/>
  <c r="O863" i="7"/>
  <c r="W591" i="7"/>
  <c r="X980" i="7"/>
  <c r="X928" i="7"/>
  <c r="W612" i="7"/>
  <c r="W769" i="7"/>
  <c r="W678" i="7"/>
  <c r="W730" i="7"/>
  <c r="X1050" i="7"/>
  <c r="X1102" i="7"/>
  <c r="W1059" i="7"/>
  <c r="W1006" i="7"/>
  <c r="W954" i="7"/>
  <c r="W902" i="7"/>
  <c r="W760" i="7"/>
  <c r="W708" i="7"/>
  <c r="W721" i="7"/>
  <c r="W773" i="7"/>
  <c r="W669" i="7"/>
  <c r="G651" i="7"/>
  <c r="O753" i="7"/>
  <c r="G650" i="7"/>
  <c r="G652" i="7"/>
  <c r="X704" i="7"/>
  <c r="O701" i="7"/>
  <c r="O805" i="7"/>
  <c r="X1000" i="7"/>
  <c r="O1005" i="7"/>
  <c r="G954" i="7"/>
  <c r="G955" i="7"/>
  <c r="G953" i="7"/>
  <c r="G956" i="7"/>
  <c r="O1057" i="7"/>
  <c r="W585" i="7"/>
  <c r="W637" i="7"/>
  <c r="W621" i="7"/>
  <c r="X1031" i="7"/>
  <c r="X796" i="7"/>
  <c r="W897" i="7"/>
  <c r="W845" i="7"/>
  <c r="W1002" i="7"/>
  <c r="W719" i="7"/>
  <c r="W771" i="7"/>
  <c r="W823" i="7"/>
  <c r="W876" i="7"/>
  <c r="X944" i="7"/>
  <c r="X996" i="7"/>
  <c r="W890" i="7"/>
  <c r="W838" i="7"/>
  <c r="W942" i="7"/>
  <c r="W778" i="7"/>
  <c r="W726" i="7"/>
  <c r="W614" i="7"/>
  <c r="W658" i="7"/>
  <c r="W694" i="7"/>
  <c r="W798" i="7"/>
  <c r="W851" i="7"/>
  <c r="O842" i="7"/>
  <c r="X912" i="7"/>
  <c r="X964" i="7"/>
  <c r="X1016" i="7"/>
  <c r="O713" i="7"/>
  <c r="O901" i="7"/>
  <c r="X743" i="7"/>
  <c r="X897" i="7"/>
  <c r="X840" i="7"/>
  <c r="X1088" i="7"/>
  <c r="G693" i="7"/>
  <c r="X745" i="7"/>
  <c r="W602" i="7"/>
  <c r="W654" i="7"/>
  <c r="W706" i="7"/>
  <c r="G542" i="7"/>
  <c r="G540" i="7"/>
  <c r="G543" i="7"/>
  <c r="G541" i="7"/>
  <c r="O696" i="7"/>
  <c r="W615" i="7"/>
  <c r="W667" i="7"/>
  <c r="O724" i="7"/>
  <c r="G623" i="7"/>
  <c r="X832" i="7"/>
  <c r="O776" i="7"/>
  <c r="G1086" i="7"/>
  <c r="G1084" i="7"/>
  <c r="W893" i="7"/>
  <c r="X739" i="7"/>
  <c r="W885" i="7"/>
  <c r="W937" i="7"/>
  <c r="W1042" i="7"/>
  <c r="X917" i="7"/>
  <c r="X1086" i="7"/>
  <c r="W826" i="7"/>
  <c r="W788" i="7"/>
  <c r="O833" i="7"/>
  <c r="O781" i="7"/>
  <c r="O937" i="7"/>
  <c r="O885" i="7"/>
  <c r="G731" i="7"/>
  <c r="G732" i="7"/>
  <c r="G730" i="7"/>
  <c r="X782" i="7"/>
  <c r="W775" i="7"/>
  <c r="W827" i="7"/>
  <c r="W695" i="7"/>
  <c r="W852" i="7"/>
  <c r="W624" i="7"/>
  <c r="W676" i="7"/>
  <c r="W628" i="7"/>
  <c r="W728" i="7"/>
  <c r="X883" i="7"/>
  <c r="X1072" i="7"/>
  <c r="X1020" i="7"/>
  <c r="W829" i="7"/>
  <c r="X696" i="7"/>
  <c r="X895" i="7"/>
  <c r="X1073" i="7"/>
  <c r="X949" i="7"/>
  <c r="X1009" i="7"/>
  <c r="W993" i="7"/>
  <c r="W1046" i="7"/>
  <c r="W889" i="7"/>
  <c r="W941" i="7"/>
  <c r="X863" i="7"/>
  <c r="X1043" i="7"/>
  <c r="X1103" i="7"/>
  <c r="X1051" i="7"/>
  <c r="O759" i="7"/>
  <c r="O707" i="7"/>
  <c r="G658" i="7"/>
  <c r="X936" i="7"/>
  <c r="X884" i="7"/>
  <c r="X792" i="7"/>
  <c r="W792" i="7"/>
  <c r="O1064" i="7"/>
  <c r="G910" i="7"/>
  <c r="O1012" i="7"/>
  <c r="O960" i="7"/>
  <c r="G909" i="7"/>
  <c r="X1065" i="7"/>
  <c r="G911" i="7"/>
  <c r="O846" i="7"/>
  <c r="G797" i="7"/>
  <c r="X849" i="7"/>
  <c r="O1002" i="7"/>
  <c r="W912" i="7"/>
  <c r="W964" i="7"/>
  <c r="W860" i="7"/>
  <c r="W610" i="7"/>
  <c r="W767" i="7"/>
  <c r="X1032" i="7"/>
  <c r="G655" i="7"/>
  <c r="W766" i="7"/>
  <c r="W714" i="7"/>
  <c r="W662" i="7"/>
  <c r="X1022" i="7"/>
  <c r="W817" i="7"/>
  <c r="W718" i="7"/>
  <c r="W875" i="7"/>
  <c r="G593" i="7"/>
  <c r="O694" i="7"/>
  <c r="O746" i="7"/>
  <c r="W969" i="7"/>
  <c r="O729" i="7"/>
  <c r="G628" i="7"/>
  <c r="G626" i="7"/>
  <c r="O1045" i="7"/>
  <c r="O783" i="7"/>
  <c r="G681" i="7"/>
  <c r="O731" i="7"/>
  <c r="G682" i="7"/>
  <c r="G679" i="7"/>
  <c r="G680" i="7"/>
  <c r="X732" i="7"/>
  <c r="W659" i="7"/>
  <c r="W816" i="7"/>
  <c r="W763" i="7"/>
  <c r="X845" i="7"/>
  <c r="W835" i="7"/>
  <c r="X946" i="7"/>
  <c r="W723" i="7"/>
  <c r="W671" i="7"/>
  <c r="O730" i="7"/>
  <c r="O834" i="7"/>
  <c r="G629" i="7"/>
  <c r="O782" i="7"/>
  <c r="X914" i="7"/>
  <c r="X966" i="7"/>
  <c r="X862" i="7"/>
  <c r="X984" i="7"/>
  <c r="G777" i="7"/>
  <c r="X1052" i="7"/>
  <c r="X1104" i="7"/>
  <c r="X1033" i="7"/>
  <c r="G657" i="7"/>
  <c r="X866" i="7"/>
  <c r="G837" i="7"/>
  <c r="W761" i="7"/>
  <c r="W709" i="7"/>
  <c r="O705" i="7"/>
  <c r="G552" i="7"/>
  <c r="G551" i="7"/>
  <c r="W594" i="7"/>
  <c r="W646" i="7"/>
  <c r="W841" i="7"/>
  <c r="X741" i="7"/>
  <c r="W884" i="7"/>
  <c r="W988" i="7"/>
  <c r="W936" i="7"/>
  <c r="X920" i="7"/>
  <c r="O877" i="7"/>
  <c r="O981" i="7"/>
  <c r="G776" i="7"/>
  <c r="O929" i="7"/>
  <c r="G775" i="7"/>
  <c r="O825" i="7"/>
  <c r="G773" i="7"/>
  <c r="X825" i="7"/>
  <c r="G774" i="7"/>
  <c r="W822" i="7"/>
  <c r="W979" i="7"/>
  <c r="G724" i="7"/>
  <c r="X776" i="7"/>
  <c r="O774" i="7"/>
  <c r="G723" i="7"/>
  <c r="G725" i="7"/>
  <c r="G722" i="7"/>
  <c r="O826" i="7"/>
  <c r="O878" i="7"/>
  <c r="O930" i="7"/>
  <c r="W650" i="7"/>
  <c r="W698" i="7"/>
  <c r="W702" i="7"/>
  <c r="W754" i="7"/>
  <c r="W622" i="7"/>
  <c r="O798" i="7"/>
  <c r="O869" i="7"/>
  <c r="G820" i="7"/>
  <c r="X1029" i="7"/>
  <c r="O973" i="7"/>
  <c r="O921" i="7"/>
  <c r="O1025" i="7"/>
  <c r="G817" i="7"/>
  <c r="G818" i="7"/>
  <c r="X870" i="7"/>
  <c r="W859" i="7"/>
  <c r="W1013" i="7"/>
  <c r="W908" i="7"/>
  <c r="W856" i="7"/>
  <c r="O950" i="7"/>
  <c r="X1069" i="7"/>
  <c r="X1017" i="7"/>
  <c r="X1025" i="7"/>
  <c r="G596" i="7"/>
  <c r="G595" i="7"/>
  <c r="O697" i="7"/>
  <c r="O801" i="7"/>
  <c r="O749" i="7"/>
  <c r="X859" i="7"/>
  <c r="X800" i="7"/>
  <c r="X875" i="7"/>
  <c r="X927" i="7"/>
  <c r="G559" i="7"/>
  <c r="G557" i="7"/>
  <c r="X766" i="7"/>
  <c r="G558" i="7"/>
  <c r="G556" i="7"/>
  <c r="X765" i="7"/>
  <c r="G625" i="7"/>
  <c r="X781" i="7"/>
  <c r="X795" i="7"/>
  <c r="W716" i="7"/>
  <c r="W664" i="7"/>
  <c r="W949" i="7"/>
  <c r="O895" i="7"/>
  <c r="G794" i="7"/>
  <c r="X846" i="7"/>
  <c r="G792" i="7"/>
  <c r="X1001" i="7"/>
  <c r="O843" i="7"/>
  <c r="O947" i="7"/>
  <c r="W819" i="7"/>
  <c r="G648" i="7"/>
  <c r="X700" i="7"/>
  <c r="G649" i="7"/>
  <c r="X753" i="7"/>
  <c r="O698" i="7"/>
  <c r="G647" i="7"/>
  <c r="X699" i="7"/>
  <c r="X744" i="7"/>
  <c r="W752" i="7"/>
  <c r="W879" i="7"/>
  <c r="W931" i="7"/>
  <c r="W1036" i="7"/>
  <c r="O845" i="7"/>
  <c r="O1001" i="7"/>
  <c r="O949" i="7"/>
  <c r="G795" i="7"/>
  <c r="G796" i="7"/>
  <c r="X848" i="7"/>
  <c r="O897" i="7"/>
  <c r="G838" i="7"/>
  <c r="W836" i="7"/>
  <c r="W687" i="7"/>
  <c r="W791" i="7"/>
  <c r="W739" i="7"/>
  <c r="X860" i="7"/>
  <c r="W989" i="7"/>
  <c r="X1013" i="7"/>
  <c r="X850" i="7"/>
  <c r="X947" i="7"/>
  <c r="W815" i="7"/>
  <c r="W609" i="7"/>
  <c r="W661" i="7"/>
  <c r="W713" i="7"/>
  <c r="G622" i="7"/>
  <c r="X726" i="7"/>
  <c r="G621" i="7"/>
  <c r="X798" i="7"/>
  <c r="W799" i="7"/>
  <c r="X985" i="7"/>
  <c r="O1056" i="7"/>
  <c r="O952" i="7"/>
  <c r="O900" i="7"/>
  <c r="G850" i="7"/>
  <c r="X902" i="7"/>
  <c r="O1004" i="7"/>
  <c r="G851" i="7"/>
  <c r="G619" i="7"/>
  <c r="X723" i="7"/>
  <c r="W805" i="7"/>
  <c r="W903" i="7"/>
  <c r="W1060" i="7"/>
  <c r="W955" i="7"/>
  <c r="W1007" i="7"/>
  <c r="W620" i="7"/>
  <c r="X1003" i="7"/>
  <c r="X1110" i="7"/>
  <c r="W685" i="7"/>
  <c r="X1061" i="7"/>
  <c r="W844" i="7"/>
  <c r="W617" i="7"/>
  <c r="W666" i="7"/>
  <c r="X855" i="7"/>
  <c r="X893" i="7"/>
  <c r="X864" i="7"/>
  <c r="X740" i="7"/>
  <c r="X1023" i="7"/>
  <c r="X919" i="7"/>
  <c r="X971" i="7"/>
  <c r="W951" i="7"/>
  <c r="W828" i="7"/>
  <c r="W985" i="7"/>
  <c r="G769" i="7"/>
  <c r="G770" i="7"/>
  <c r="X822" i="7"/>
  <c r="G767" i="7"/>
  <c r="X819" i="7"/>
  <c r="O819" i="7"/>
  <c r="G768" i="7"/>
  <c r="O923" i="7"/>
  <c r="W787" i="7"/>
  <c r="W782" i="7"/>
  <c r="X738" i="7"/>
  <c r="W701" i="7"/>
  <c r="W625" i="7"/>
  <c r="W677" i="7"/>
  <c r="W629" i="7"/>
  <c r="X802" i="7"/>
  <c r="W918" i="7"/>
  <c r="W755" i="7"/>
  <c r="G805" i="7"/>
  <c r="X857" i="7"/>
  <c r="G802" i="7"/>
  <c r="X854" i="7"/>
  <c r="O854" i="7"/>
  <c r="F14" i="6"/>
  <c r="G549" i="7"/>
  <c r="X705" i="7"/>
  <c r="X1018" i="7"/>
  <c r="X858" i="7"/>
  <c r="O755" i="7"/>
  <c r="W751" i="7"/>
  <c r="X851" i="7"/>
  <c r="X988" i="7"/>
  <c r="X1070" i="7"/>
  <c r="O738" i="7"/>
  <c r="O1109" i="7"/>
  <c r="G660" i="7"/>
  <c r="O709" i="7"/>
  <c r="O865" i="7"/>
  <c r="G659" i="7"/>
  <c r="X868" i="7"/>
  <c r="X915" i="7"/>
  <c r="X967" i="7"/>
  <c r="X1101" i="7"/>
  <c r="X1049" i="7"/>
  <c r="W943" i="7"/>
  <c r="W891" i="7"/>
  <c r="W839" i="7"/>
  <c r="W863" i="7"/>
  <c r="W811" i="7"/>
  <c r="W915" i="7"/>
  <c r="W758" i="7"/>
  <c r="G827" i="7"/>
  <c r="X879" i="7"/>
  <c r="G826" i="7"/>
  <c r="X982" i="7"/>
  <c r="O1032" i="7"/>
  <c r="O928" i="7"/>
  <c r="G825" i="7"/>
  <c r="X981" i="7"/>
  <c r="O876" i="7"/>
  <c r="W738" i="7"/>
  <c r="W686" i="7"/>
  <c r="X770" i="7"/>
  <c r="W882" i="7"/>
  <c r="W934" i="7"/>
  <c r="W830" i="7"/>
  <c r="W732" i="7"/>
  <c r="W741" i="7"/>
  <c r="W689" i="7"/>
  <c r="W691" i="7"/>
  <c r="W795" i="7"/>
  <c r="O857" i="7"/>
  <c r="W1041" i="7"/>
  <c r="W743" i="7"/>
  <c r="W888" i="7"/>
  <c r="W663" i="7"/>
  <c r="W611" i="7"/>
  <c r="X913" i="7"/>
  <c r="X965" i="7"/>
  <c r="W840" i="7"/>
  <c r="X1067" i="7"/>
  <c r="X1015" i="7"/>
  <c r="X1064" i="7"/>
  <c r="X769" i="7"/>
  <c r="X1075" i="7"/>
  <c r="X1055" i="7"/>
  <c r="X1111" i="7"/>
  <c r="W772" i="7"/>
  <c r="W711" i="7"/>
  <c r="X1048" i="7"/>
  <c r="G1095" i="7"/>
  <c r="G1094" i="7"/>
  <c r="W707" i="7"/>
  <c r="W759" i="7"/>
  <c r="W603" i="7"/>
  <c r="W655" i="7"/>
  <c r="W668" i="7"/>
  <c r="X956" i="7"/>
  <c r="X856" i="7"/>
  <c r="W982" i="7"/>
  <c r="W939" i="7"/>
  <c r="W991" i="7"/>
  <c r="W887" i="7"/>
  <c r="X1084" i="7"/>
  <c r="O831" i="7"/>
  <c r="G782" i="7"/>
  <c r="X886" i="7"/>
  <c r="G781" i="7"/>
  <c r="O987" i="7"/>
  <c r="X735" i="7"/>
  <c r="O699" i="7"/>
  <c r="G597" i="7"/>
  <c r="X806" i="7"/>
  <c r="G598" i="7"/>
  <c r="W749" i="7"/>
  <c r="W697" i="7"/>
  <c r="W608" i="7"/>
  <c r="W906" i="7"/>
  <c r="X945" i="7"/>
  <c r="X804" i="7"/>
  <c r="X758" i="7"/>
  <c r="W647" i="7"/>
  <c r="X853" i="7"/>
  <c r="X1040" i="7"/>
  <c r="W983" i="7"/>
  <c r="X885" i="7"/>
  <c r="X989" i="7"/>
  <c r="W945" i="7"/>
  <c r="W589" i="7"/>
  <c r="W613" i="7"/>
  <c r="W794" i="7"/>
  <c r="W742" i="7"/>
  <c r="W846" i="7"/>
  <c r="G632" i="7"/>
  <c r="X841" i="7"/>
  <c r="O786" i="7"/>
  <c r="G633" i="7"/>
  <c r="X685" i="7"/>
  <c r="O734" i="7"/>
  <c r="W917" i="7"/>
  <c r="W813" i="7"/>
  <c r="W865" i="7"/>
  <c r="X972" i="7"/>
  <c r="W1027" i="7"/>
  <c r="W870" i="7"/>
  <c r="W605" i="7"/>
  <c r="W657" i="7"/>
  <c r="G550" i="7"/>
  <c r="X905" i="7"/>
  <c r="W733" i="7"/>
  <c r="G594" i="7"/>
  <c r="X803" i="7"/>
  <c r="W688" i="7"/>
  <c r="X940" i="7"/>
  <c r="X730" i="7"/>
  <c r="G634" i="7"/>
  <c r="X686" i="7"/>
  <c r="W940" i="7"/>
  <c r="X757" i="7"/>
  <c r="G819" i="7"/>
  <c r="X871" i="7"/>
  <c r="G760" i="7"/>
  <c r="X797" i="7"/>
  <c r="X924" i="7"/>
  <c r="X976" i="7"/>
  <c r="W987" i="7"/>
  <c r="X1077" i="7"/>
  <c r="X1063" i="7"/>
  <c r="X1074" i="7"/>
  <c r="W901" i="7"/>
  <c r="W1005" i="7"/>
  <c r="W953" i="7"/>
  <c r="W996" i="7"/>
  <c r="X1112" i="7"/>
  <c r="X1076" i="7"/>
  <c r="W802" i="7"/>
  <c r="E12" i="6"/>
  <c r="E11" i="6"/>
  <c r="X706" i="7"/>
  <c r="X908" i="7"/>
  <c r="W762" i="7"/>
  <c r="W867" i="7"/>
  <c r="W710" i="7"/>
  <c r="G563" i="7"/>
  <c r="X719" i="7"/>
  <c r="G565" i="7"/>
  <c r="X721" i="7"/>
  <c r="G564" i="7"/>
  <c r="X720" i="7"/>
  <c r="O719" i="7"/>
  <c r="G566" i="7"/>
  <c r="X722" i="7"/>
  <c r="G575" i="7"/>
  <c r="W673" i="7"/>
  <c r="W1017" i="7"/>
  <c r="G547" i="7"/>
  <c r="O881" i="7"/>
  <c r="W779" i="7"/>
  <c r="W832" i="7"/>
  <c r="W790" i="7"/>
  <c r="W894" i="7"/>
  <c r="W842" i="7"/>
  <c r="X737" i="7"/>
  <c r="W649" i="7"/>
  <c r="W696" i="7"/>
  <c r="W853" i="7"/>
  <c r="W748" i="7"/>
  <c r="O726" i="7"/>
  <c r="G573" i="7"/>
  <c r="G572" i="7"/>
  <c r="W627" i="7"/>
  <c r="X817" i="7"/>
  <c r="X824" i="7"/>
  <c r="W806" i="7"/>
  <c r="W855" i="7"/>
  <c r="W959" i="7"/>
  <c r="W907" i="7"/>
  <c r="X791" i="7"/>
  <c r="O999" i="7"/>
  <c r="W731" i="7"/>
  <c r="W831" i="7"/>
  <c r="O803" i="7"/>
  <c r="W930" i="7"/>
  <c r="W699" i="7"/>
  <c r="X1027" i="7"/>
  <c r="X1079" i="7"/>
  <c r="O851" i="7"/>
  <c r="X773" i="7"/>
  <c r="G656" i="7"/>
  <c r="X708" i="7"/>
  <c r="W785" i="7"/>
  <c r="X1056" i="7"/>
  <c r="O723" i="7"/>
  <c r="X733" i="7"/>
  <c r="X785" i="7"/>
  <c r="X812" i="7"/>
  <c r="X938" i="7"/>
  <c r="X750" i="7"/>
  <c r="X712" i="7"/>
  <c r="X714" i="7"/>
  <c r="X767" i="7"/>
  <c r="X777" i="7"/>
  <c r="X808" i="7"/>
  <c r="X707" i="7"/>
  <c r="X887" i="7"/>
  <c r="X843" i="7"/>
  <c r="X784" i="7"/>
  <c r="X1034" i="7"/>
  <c r="X906" i="7"/>
  <c r="X1007" i="7"/>
  <c r="X1059" i="7"/>
  <c r="X702" i="7"/>
  <c r="X754" i="7"/>
  <c r="X901" i="7"/>
  <c r="X839" i="7"/>
  <c r="X752" i="7"/>
  <c r="X805" i="7"/>
  <c r="X759" i="7"/>
  <c r="X698" i="7"/>
  <c r="X983" i="7"/>
  <c r="X836" i="7"/>
  <c r="X888" i="7"/>
  <c r="X882" i="7"/>
  <c r="X830" i="7"/>
  <c r="X934" i="7"/>
  <c r="X772" i="7"/>
  <c r="X992" i="7"/>
  <c r="X775" i="7"/>
  <c r="X827" i="7"/>
  <c r="X783" i="7"/>
  <c r="X974" i="7"/>
  <c r="X1058" i="7"/>
  <c r="X1006" i="7"/>
  <c r="X811" i="7"/>
  <c r="X1035" i="7"/>
  <c r="X725" i="7"/>
  <c r="X831" i="7"/>
  <c r="X748" i="7"/>
  <c r="X847" i="7"/>
  <c r="X951" i="7"/>
  <c r="X756" i="7"/>
  <c r="X899" i="7"/>
  <c r="X701" i="7"/>
  <c r="X715" i="7"/>
  <c r="X768" i="7"/>
  <c r="X963" i="7"/>
  <c r="X1120" i="7"/>
  <c r="X939" i="7"/>
  <c r="X1011" i="7"/>
  <c r="X778" i="7"/>
  <c r="X703" i="7"/>
  <c r="X755" i="7"/>
  <c r="X807" i="7"/>
  <c r="X838" i="7"/>
  <c r="X869" i="7"/>
  <c r="X921" i="7"/>
  <c r="X1057" i="7"/>
  <c r="X1005" i="7"/>
  <c r="X1109" i="7"/>
  <c r="X1026" i="7"/>
  <c r="X923" i="7"/>
  <c r="X877" i="7"/>
  <c r="X820" i="7"/>
  <c r="X977" i="7"/>
  <c r="X903" i="7"/>
  <c r="X955" i="7"/>
  <c r="X979" i="7"/>
  <c r="X872" i="7"/>
  <c r="X828" i="7"/>
  <c r="X932" i="7"/>
  <c r="X880" i="7"/>
  <c r="X889" i="7"/>
  <c r="X993" i="7"/>
  <c r="X941" i="7"/>
  <c r="X1046" i="7"/>
  <c r="X898" i="7"/>
  <c r="X961" i="7"/>
  <c r="X1118" i="7"/>
  <c r="X991" i="7"/>
  <c r="X969" i="7"/>
  <c r="X1028" i="7"/>
  <c r="X694" i="7"/>
  <c r="X788" i="7"/>
  <c r="X865" i="7"/>
  <c r="X929" i="7"/>
  <c r="X727" i="7"/>
  <c r="X779" i="7"/>
  <c r="X968" i="7"/>
  <c r="X844" i="7"/>
  <c r="X896" i="7"/>
  <c r="X931" i="7"/>
  <c r="X975" i="7"/>
  <c r="X890" i="7"/>
  <c r="X1047" i="7"/>
  <c r="X994" i="7"/>
  <c r="X942" i="7"/>
  <c r="X926" i="7"/>
  <c r="X950" i="7"/>
  <c r="X816" i="7"/>
  <c r="X731" i="7"/>
  <c r="X958" i="7"/>
  <c r="X953" i="7"/>
  <c r="X948" i="7"/>
  <c r="X749" i="7"/>
  <c r="X697" i="7"/>
  <c r="X790" i="7"/>
  <c r="X728" i="7"/>
  <c r="X780" i="7"/>
  <c r="X916" i="7"/>
  <c r="X952" i="7"/>
  <c r="X821" i="7"/>
  <c r="X925" i="7"/>
  <c r="X873" i="7"/>
  <c r="X709" i="7"/>
  <c r="X761" i="7"/>
  <c r="X833" i="7"/>
  <c r="X990" i="7"/>
  <c r="X937" i="7"/>
  <c r="X861" i="7"/>
  <c r="X711" i="7"/>
  <c r="X815" i="7"/>
  <c r="X763" i="7"/>
  <c r="X909" i="7"/>
  <c r="X760" i="7"/>
  <c r="X874" i="7"/>
  <c r="X829" i="7"/>
  <c r="X881" i="7"/>
  <c r="X933" i="7"/>
  <c r="X986" i="7"/>
  <c r="X764" i="7"/>
  <c r="X734" i="7"/>
  <c r="X786" i="7"/>
  <c r="X762" i="7"/>
  <c r="X710" i="7"/>
  <c r="X867" i="7"/>
  <c r="X1036" i="7"/>
  <c r="X814" i="7"/>
  <c r="X891" i="7"/>
  <c r="X995" i="7"/>
  <c r="X943" i="7"/>
  <c r="X751" i="7"/>
  <c r="X813" i="7"/>
  <c r="X747" i="7"/>
  <c r="X1004" i="7"/>
  <c r="X774" i="7"/>
  <c r="X834" i="7"/>
  <c r="X878" i="7"/>
  <c r="X930" i="7"/>
  <c r="X729" i="7"/>
  <c r="X826" i="7"/>
  <c r="X978" i="7"/>
  <c r="X973" i="7"/>
  <c r="X962" i="7"/>
  <c r="X1014" i="7"/>
  <c r="X1066" i="7"/>
  <c r="X1119" i="7"/>
  <c r="X954" i="7"/>
  <c r="X1008" i="7"/>
  <c r="X1060" i="7"/>
  <c r="X918" i="7"/>
  <c r="X789" i="7"/>
  <c r="X837" i="7"/>
  <c r="X842" i="7"/>
  <c r="X746" i="7"/>
  <c r="X900" i="7"/>
  <c r="Q6" i="8"/>
  <c r="D12" i="6"/>
  <c r="E8" i="6"/>
  <c r="E10" i="6"/>
  <c r="I1096" i="1"/>
  <c r="F1097" i="7"/>
  <c r="F1098" i="7"/>
  <c r="F1099" i="7"/>
  <c r="G1096" i="7"/>
  <c r="J4" i="8"/>
  <c r="J5" i="8"/>
  <c r="J6" i="8"/>
  <c r="G1098" i="7"/>
  <c r="F6" i="6"/>
  <c r="G1099" i="7"/>
  <c r="G1097" i="7"/>
  <c r="F8" i="6"/>
  <c r="F10" i="6"/>
  <c r="S6" i="8"/>
  <c r="F12" i="6"/>
  <c r="S4" i="8"/>
  <c r="S5" i="8"/>
  <c r="F11" i="6"/>
  <c r="O6" i="8" l="1"/>
  <c r="H12" i="6" s="1"/>
</calcChain>
</file>

<file path=xl/sharedStrings.xml><?xml version="1.0" encoding="utf-8"?>
<sst xmlns="http://schemas.openxmlformats.org/spreadsheetml/2006/main" count="879" uniqueCount="82">
  <si>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</si>
  <si>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</si>
  <si>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</si>
  <si>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</si>
  <si>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</si>
  <si>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</si>
  <si>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</si>
  <si>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</si>
  <si>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</si>
  <si>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</si>
  <si>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</si>
  <si>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</si>
  <si>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</si>
  <si>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</si>
  <si>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</si>
  <si>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</si>
  <si>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</si>
  <si>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</si>
  <si>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</si>
  <si>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</si>
  <si>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</si>
  <si>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</si>
  <si>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</si>
  <si>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</si>
  <si>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</si>
  <si>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</si>
  <si>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</si>
  <si>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</si>
  <si>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</si>
  <si>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</si>
  <si>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</si>
  <si>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</si>
  <si>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</si>
  <si>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</si>
  <si>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</si>
  <si>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</si>
  <si>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</si>
  <si>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</si>
  <si>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</si>
  <si>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</si>
  <si>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</si>
  <si>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</si>
  <si>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</si>
  <si>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</si>
  <si>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</si>
  <si>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</si>
  <si>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</si>
  <si>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</si>
  <si>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</si>
  <si>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</si>
  <si>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</si>
  <si>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</si>
  <si>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</si>
  <si>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</si>
  <si>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</si>
  <si>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</si>
  <si>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</si>
  <si>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</si>
  <si>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</si>
  <si>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</si>
  <si>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</si>
  <si>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</si>
  <si>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</si>
  <si>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</si>
  <si>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</si>
  <si>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</si>
  <si>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</si>
  <si>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</si>
  <si>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</si>
  <si>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</si>
  <si>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</si>
  <si>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</si>
  <si>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</si>
  <si>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</si>
  <si>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</si>
  <si>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</si>
  <si>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</si>
  <si>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</si>
  <si>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</si>
  <si>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</si>
  <si>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11/19/2014</t>
    </r>
    <r>
      <rPr>
        <vertAlign val="superscript"/>
        <sz val="9"/>
        <color indexed="8"/>
        <rFont val="Times New Roman"/>
        <family val="1"/>
      </rPr>
      <t>p</t>
    </r>
  </si>
  <si>
    <r>
      <t>11/12/2014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</si>
</sst>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60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5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59" fillId="0" borderId="0" xfId="0" applyFont="1"/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3023869963"/>
          <c:y val="4.30479736358833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08000"/>
        <c:axId val="131537664"/>
      </c:lineChart>
      <c:dateAx>
        <c:axId val="3980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304580510597"/>
              <c:y val="0.7723250568119880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766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1537664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8080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9339789918457"/>
          <c:y val="0.83389164213898181"/>
          <c:w val="0.84396902132613305"/>
          <c:h val="0.127799552212522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62260610961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7797</c:v>
                </c:pt>
                <c:pt idx="43">
                  <c:v>6308</c:v>
                </c:pt>
                <c:pt idx="44">
                  <c:v>8758</c:v>
                </c:pt>
                <c:pt idx="45">
                  <c:v>7278</c:v>
                </c:pt>
                <c:pt idx="46">
                  <c:v>5890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29568"/>
        <c:axId val="131538240"/>
      </c:lineChart>
      <c:dateAx>
        <c:axId val="13162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39759288646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82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15382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70388112133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62956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441663423250801"/>
          <c:y val="0.87793535982420801"/>
          <c:w val="0.73576559584044388"/>
          <c:h val="9.302630775804188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191516553"/>
          <c:y val="3.576456057179703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72753581858605"/>
          <c:y val="0.14598062338981824"/>
          <c:w val="0.8201714222341927"/>
          <c:h val="0.50468014078885304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81152"/>
        <c:axId val="131468672"/>
      </c:lineChart>
      <c:dateAx>
        <c:axId val="4088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6951842284"/>
              <c:y val="0.7985606989437739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4686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1468672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8811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42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078893307350667"/>
          <c:y val="0.86507987539619824"/>
          <c:w val="0.83101337684902066"/>
          <c:h val="9.688908263629680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48191024377"/>
          <c:y val="3.59480838091114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79616"/>
        <c:axId val="131470976"/>
      </c:lineChart>
      <c:dateAx>
        <c:axId val="40879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40874818777"/>
              <c:y val="0.8136230393881177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4709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1470976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8796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51225834963649E-2"/>
          <c:y val="0.89350109586817106"/>
          <c:w val="0.88093108484642713"/>
          <c:h val="9.622317828828097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  <c:pt idx="46" formatCode="#,##0_);[Red]\(#,##0\)">
                  <c:v>1453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32128"/>
        <c:axId val="154812416"/>
      </c:lineChart>
      <c:dateAx>
        <c:axId val="13163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12416"/>
        <c:crosses val="autoZero"/>
        <c:auto val="1"/>
        <c:lblOffset val="100"/>
        <c:baseTimeUnit val="days"/>
        <c:minorUnit val="7"/>
        <c:minorTimeUnit val="days"/>
      </c:dateAx>
      <c:valAx>
        <c:axId val="15481241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6321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000638155524675"/>
          <c:y val="0.87079959620432057"/>
          <c:w val="0.6843353404353868"/>
          <c:h val="0.1107731072077529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903908717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  <c:pt idx="46" formatCode="#,##0_);[Red]\(#,##0\)">
                  <c:v>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69472"/>
        <c:axId val="154814720"/>
      </c:lineChart>
      <c:dateAx>
        <c:axId val="4656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1036981156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1472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814720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5694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990514064529812"/>
          <c:y val="0.85931098433055142"/>
          <c:w val="0.75355953233118589"/>
          <c:h val="0.110782215097364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899131679684"/>
          <c:y val="3.623088190463444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71008"/>
        <c:axId val="154817024"/>
      </c:lineChart>
      <c:dateAx>
        <c:axId val="4657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1189090498"/>
              <c:y val="0.8511565657692222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170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817024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57100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601329972093409"/>
          <c:y val="0.91221044961447806"/>
          <c:w val="0.78461070824644952"/>
          <c:h val="4.532726610306858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8001372583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55615802515705"/>
          <c:y val="0.11951255271623357"/>
          <c:w val="0.80300669003200942"/>
          <c:h val="0.5265727764314236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11779</c:v>
                </c:pt>
                <c:pt idx="42">
                  <c:v>11131</c:v>
                </c:pt>
                <c:pt idx="43">
                  <c:v>10746</c:v>
                </c:pt>
                <c:pt idx="44">
                  <c:v>13486</c:v>
                </c:pt>
                <c:pt idx="45">
                  <c:v>11909</c:v>
                </c:pt>
                <c:pt idx="46">
                  <c:v>9011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67424"/>
        <c:axId val="154819328"/>
      </c:lineChart>
      <c:dateAx>
        <c:axId val="4656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33900178647"/>
              <c:y val="0.793297762121840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193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81932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567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950896108046375"/>
          <c:y val="0.86186904268545372"/>
          <c:w val="0.66069980773361414"/>
          <c:h val="0.1052666114104158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52915155268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  <c:pt idx="43">
                  <c:v>1028</c:v>
                </c:pt>
                <c:pt idx="44">
                  <c:v>1285</c:v>
                </c:pt>
                <c:pt idx="45">
                  <c:v>1018</c:v>
                </c:pt>
                <c:pt idx="46">
                  <c:v>1024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82592"/>
        <c:axId val="155253504"/>
      </c:lineChart>
      <c:dateAx>
        <c:axId val="16798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57558956819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535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253504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982592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3596233055137772"/>
          <c:y val="0.8781545275590551"/>
          <c:w val="0.64983278775546316"/>
          <c:h val="0.1125039370078739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60641539524"/>
          <c:y val="1.78570852704845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11779</c:v>
                </c:pt>
                <c:pt idx="42">
                  <c:v>11131</c:v>
                </c:pt>
                <c:pt idx="43">
                  <c:v>10746</c:v>
                </c:pt>
                <c:pt idx="44">
                  <c:v>13486</c:v>
                </c:pt>
                <c:pt idx="45">
                  <c:v>11909</c:v>
                </c:pt>
                <c:pt idx="46">
                  <c:v>9011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68448"/>
        <c:axId val="155042944"/>
      </c:lineChart>
      <c:dateAx>
        <c:axId val="4656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1163146863"/>
              <c:y val="0.8103582274058746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04294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042944"/>
        <c:scaling>
          <c:orientation val="minMax"/>
          <c:max val="15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5684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169943545789172"/>
          <c:y val="0.8669250132129388"/>
          <c:w val="0.65998151639495761"/>
          <c:h val="0.1228711940017737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32407036692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  <c:pt idx="43">
                  <c:v>1028</c:v>
                </c:pt>
                <c:pt idx="44">
                  <c:v>1285</c:v>
                </c:pt>
                <c:pt idx="45">
                  <c:v>1018</c:v>
                </c:pt>
                <c:pt idx="46">
                  <c:v>1024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52480"/>
        <c:axId val="155045248"/>
      </c:lineChart>
      <c:dateAx>
        <c:axId val="5845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8807380716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0452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045248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524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267993336991067"/>
          <c:y val="0.8686180092873006"/>
          <c:w val="0.70623643795937929"/>
          <c:h val="0.1025674675280974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31355973"/>
          <c:y val="2.6663107789492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7797</c:v>
                </c:pt>
                <c:pt idx="43">
                  <c:v>6308</c:v>
                </c:pt>
                <c:pt idx="44">
                  <c:v>8758</c:v>
                </c:pt>
                <c:pt idx="45">
                  <c:v>7278</c:v>
                </c:pt>
                <c:pt idx="46">
                  <c:v>5890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51456"/>
        <c:axId val="155047552"/>
      </c:lineChart>
      <c:dateAx>
        <c:axId val="5845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1199297935"/>
              <c:y val="0.7992857333511277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04755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047552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514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474845552281424"/>
          <c:y val="0.87460403042839974"/>
          <c:w val="0.78734639765121384"/>
          <c:h val="8.47486098136037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6691050027"/>
          <c:y val="1.79854937487652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49920"/>
        <c:axId val="155246592"/>
      </c:lineChart>
      <c:dateAx>
        <c:axId val="5844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7337475309"/>
              <c:y val="0.7985610400850432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465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246592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49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42307262302151"/>
          <c:y val="0.87458207509007613"/>
          <c:w val="0.81341276559497"/>
          <c:h val="0.1003618096125080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  <c:pt idx="46" formatCode="#,##0_);[Red]\(#,##0\)">
                  <c:v>1453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50432"/>
        <c:axId val="155248896"/>
      </c:lineChart>
      <c:catAx>
        <c:axId val="5845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4889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5248896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504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80453913849004"/>
          <c:y val="0.88926178073894613"/>
          <c:w val="0.6980612423447069"/>
          <c:h val="8.615675348273776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846672151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  <c:pt idx="46" formatCode="#,##0_);[Red]\(#,##0\)">
                  <c:v>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34752"/>
        <c:axId val="155251200"/>
      </c:lineChart>
      <c:dateAx>
        <c:axId val="16743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281975947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512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251200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43475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990514064529812"/>
          <c:y val="0.87465569788851016"/>
          <c:w val="0.70507319918343536"/>
          <c:h val="9.851059662318328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2028374254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Averages'!$H$1050:$H$1102</c:f>
              <c:numCache>
                <c:formatCode>#,##0_);\(#,##0\)</c:formatCode>
                <c:ptCount val="53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  <c:pt idx="37">
                  <c:v>2049.5</c:v>
                </c:pt>
                <c:pt idx="38">
                  <c:v>2048.75</c:v>
                </c:pt>
                <c:pt idx="39">
                  <c:v>1908</c:v>
                </c:pt>
                <c:pt idx="40">
                  <c:v>1922.75</c:v>
                </c:pt>
                <c:pt idx="41">
                  <c:v>1832.5</c:v>
                </c:pt>
                <c:pt idx="42">
                  <c:v>1793.5</c:v>
                </c:pt>
                <c:pt idx="43">
                  <c:v>1885</c:v>
                </c:pt>
                <c:pt idx="44">
                  <c:v>1723</c:v>
                </c:pt>
                <c:pt idx="45">
                  <c:v>1589.5</c:v>
                </c:pt>
                <c:pt idx="46">
                  <c:v>1699</c:v>
                </c:pt>
                <c:pt idx="47">
                  <c:v>1236.25</c:v>
                </c:pt>
                <c:pt idx="48">
                  <c:v>860.25</c:v>
                </c:pt>
                <c:pt idx="49">
                  <c:v>524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89632"/>
        <c:axId val="125858880"/>
      </c:lineChart>
      <c:dateAx>
        <c:axId val="1235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6013331832"/>
              <c:y val="0.8082618244148053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85888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5858880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735576331981E-2"/>
              <c:y val="0.153846483475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35896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330537603369845"/>
          <c:y val="0.88778509829128505"/>
          <c:w val="0.71692801128983108"/>
          <c:h val="0.1020443873087292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1472364498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Averages'!$E$1050:$E$1102</c:f>
              <c:numCache>
                <c:formatCode>#,##0_);\(#,##0\)</c:formatCode>
                <c:ptCount val="53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  <c:pt idx="35">
                  <c:v>4007.5</c:v>
                </c:pt>
                <c:pt idx="36">
                  <c:v>3913.25</c:v>
                </c:pt>
                <c:pt idx="37">
                  <c:v>3736.25</c:v>
                </c:pt>
                <c:pt idx="38">
                  <c:v>3421</c:v>
                </c:pt>
                <c:pt idx="39">
                  <c:v>3188.75</c:v>
                </c:pt>
                <c:pt idx="40">
                  <c:v>3473.5</c:v>
                </c:pt>
                <c:pt idx="41">
                  <c:v>4409.75</c:v>
                </c:pt>
                <c:pt idx="42">
                  <c:v>5610.25</c:v>
                </c:pt>
                <c:pt idx="43">
                  <c:v>6512.5</c:v>
                </c:pt>
                <c:pt idx="44">
                  <c:v>7540</c:v>
                </c:pt>
                <c:pt idx="45">
                  <c:v>7535.25</c:v>
                </c:pt>
                <c:pt idx="46">
                  <c:v>7058.5</c:v>
                </c:pt>
                <c:pt idx="47">
                  <c:v>5481.5</c:v>
                </c:pt>
                <c:pt idx="48">
                  <c:v>3292</c:v>
                </c:pt>
                <c:pt idx="49">
                  <c:v>1472.5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18944"/>
        <c:axId val="125860032"/>
      </c:lineChart>
      <c:dateAx>
        <c:axId val="10561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90963993577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86003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5860032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284229034476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618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311209642484012"/>
          <c:y val="0.90003091280256642"/>
          <c:w val="0.72429528833167689"/>
          <c:h val="8.889180519101780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11804621983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Averages'!$F$1050:$F$1102</c:f>
              <c:numCache>
                <c:formatCode>#,##0_);\(#,##0\)</c:formatCode>
                <c:ptCount val="53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  <c:pt idx="37">
                  <c:v>351.75</c:v>
                </c:pt>
                <c:pt idx="38">
                  <c:v>273.75</c:v>
                </c:pt>
                <c:pt idx="39">
                  <c:v>242.75</c:v>
                </c:pt>
                <c:pt idx="40">
                  <c:v>221.5</c:v>
                </c:pt>
                <c:pt idx="41">
                  <c:v>433.5</c:v>
                </c:pt>
                <c:pt idx="42">
                  <c:v>675.5</c:v>
                </c:pt>
                <c:pt idx="43">
                  <c:v>890</c:v>
                </c:pt>
                <c:pt idx="44">
                  <c:v>1109.25</c:v>
                </c:pt>
                <c:pt idx="45">
                  <c:v>1092.5</c:v>
                </c:pt>
                <c:pt idx="46">
                  <c:v>1088.75</c:v>
                </c:pt>
                <c:pt idx="47">
                  <c:v>831.75</c:v>
                </c:pt>
                <c:pt idx="48">
                  <c:v>510.5</c:v>
                </c:pt>
                <c:pt idx="49">
                  <c:v>256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96000"/>
        <c:axId val="131530752"/>
      </c:lineChart>
      <c:dateAx>
        <c:axId val="10969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14764312998"/>
              <c:y val="0.7683468137911332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075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53075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4987516804303E-2"/>
              <c:y val="0.135531629974824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960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276977572925337"/>
          <c:y val="0.84696734336779333"/>
          <c:w val="0.69311162324221676"/>
          <c:h val="0.1224532647704751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25028534762"/>
          <c:y val="1.82481840932674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Averages'!$G$1050:$G$1102</c:f>
              <c:numCache>
                <c:formatCode>#,##0_);\(#,##0\)</c:formatCode>
                <c:ptCount val="53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  <c:pt idx="35">
                  <c:v>6194.25</c:v>
                </c:pt>
                <c:pt idx="36">
                  <c:v>6055</c:v>
                </c:pt>
                <c:pt idx="37">
                  <c:v>5848</c:v>
                </c:pt>
                <c:pt idx="38">
                  <c:v>5223.75</c:v>
                </c:pt>
                <c:pt idx="39">
                  <c:v>5062.5</c:v>
                </c:pt>
                <c:pt idx="40">
                  <c:v>5554.25</c:v>
                </c:pt>
                <c:pt idx="41">
                  <c:v>7159.25</c:v>
                </c:pt>
                <c:pt idx="42">
                  <c:v>8887.5</c:v>
                </c:pt>
                <c:pt idx="43">
                  <c:v>10368.25</c:v>
                </c:pt>
                <c:pt idx="44">
                  <c:v>11785.5</c:v>
                </c:pt>
                <c:pt idx="45">
                  <c:v>11818</c:v>
                </c:pt>
                <c:pt idx="46">
                  <c:v>11288</c:v>
                </c:pt>
                <c:pt idx="47">
                  <c:v>8601.5</c:v>
                </c:pt>
                <c:pt idx="48">
                  <c:v>5230</c:v>
                </c:pt>
                <c:pt idx="49">
                  <c:v>2252.75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96512"/>
        <c:axId val="131531328"/>
      </c:lineChart>
      <c:dateAx>
        <c:axId val="10969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7146629217"/>
              <c:y val="0.803090660179105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132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531328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99316217738E-2"/>
              <c:y val="0.14598547274613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965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648030970076633"/>
          <c:y val="0.87710396665533097"/>
          <c:w val="0.64731457665988135"/>
          <c:h val="9.634865409265702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3598259587"/>
          <c:y val="1.831541057367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Averages'!$C$1050:$C$1102</c:f>
              <c:numCache>
                <c:formatCode>#,##0_);\(#,##0\)</c:formatCode>
                <c:ptCount val="53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  <c:pt idx="35">
                  <c:v>1642.25</c:v>
                </c:pt>
                <c:pt idx="36">
                  <c:v>1609.75</c:v>
                </c:pt>
                <c:pt idx="37">
                  <c:v>1501.75</c:v>
                </c:pt>
                <c:pt idx="38">
                  <c:v>1296.5</c:v>
                </c:pt>
                <c:pt idx="39">
                  <c:v>1400.25</c:v>
                </c:pt>
                <c:pt idx="40">
                  <c:v>1309</c:v>
                </c:pt>
                <c:pt idx="41">
                  <c:v>1365</c:v>
                </c:pt>
                <c:pt idx="42">
                  <c:v>1326.25</c:v>
                </c:pt>
                <c:pt idx="43">
                  <c:v>1309.25</c:v>
                </c:pt>
                <c:pt idx="44">
                  <c:v>1326.75</c:v>
                </c:pt>
                <c:pt idx="45">
                  <c:v>1325.25</c:v>
                </c:pt>
                <c:pt idx="46">
                  <c:v>1271</c:v>
                </c:pt>
                <c:pt idx="47">
                  <c:v>910.25</c:v>
                </c:pt>
                <c:pt idx="48">
                  <c:v>542.5</c:v>
                </c:pt>
                <c:pt idx="49">
                  <c:v>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97536"/>
        <c:axId val="131533056"/>
      </c:lineChart>
      <c:dateAx>
        <c:axId val="10969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5004340993"/>
              <c:y val="0.818106036745406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305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533056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006374203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975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488073551035567"/>
          <c:y val="0.87431391076115483"/>
          <c:w val="0.70174392636866845"/>
          <c:h val="9.14315710536183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3598259587"/>
          <c:y val="1.8315573801138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258.25</c:v>
                </c:pt>
                <c:pt idx="38">
                  <c:v>232.5</c:v>
                </c:pt>
                <c:pt idx="39">
                  <c:v>230.75</c:v>
                </c:pt>
                <c:pt idx="40">
                  <c:v>550.25</c:v>
                </c:pt>
                <c:pt idx="41">
                  <c:v>951</c:v>
                </c:pt>
                <c:pt idx="42">
                  <c:v>1275.5</c:v>
                </c:pt>
                <c:pt idx="43">
                  <c:v>1656.5</c:v>
                </c:pt>
                <c:pt idx="44">
                  <c:v>1809.5</c:v>
                </c:pt>
                <c:pt idx="45">
                  <c:v>1865</c:v>
                </c:pt>
                <c:pt idx="46">
                  <c:v>1869.75</c:v>
                </c:pt>
                <c:pt idx="47">
                  <c:v>1378</c:v>
                </c:pt>
                <c:pt idx="48">
                  <c:v>885</c:v>
                </c:pt>
                <c:pt idx="49">
                  <c:v>363.25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98560"/>
        <c:axId val="131534784"/>
      </c:lineChart>
      <c:dateAx>
        <c:axId val="10969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42995940041"/>
              <c:y val="0.8444812347174551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5347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1534784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510584681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6985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75967440016462"/>
          <c:y val="0.90601072301859698"/>
          <c:w val="0.77057998725302745"/>
          <c:h val="8.54727774412813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53504"/>
        <c:axId val="155869760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38304"/>
        <c:axId val="155870336"/>
      </c:lineChart>
      <c:dateAx>
        <c:axId val="58453504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69760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55869760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453504"/>
        <c:crosses val="autoZero"/>
        <c:crossBetween val="between"/>
      </c:valAx>
      <c:dateAx>
        <c:axId val="95138304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55870336"/>
        <c:crosses val="autoZero"/>
        <c:auto val="1"/>
        <c:lblOffset val="100"/>
        <c:baseTimeUnit val="days"/>
      </c:dateAx>
      <c:valAx>
        <c:axId val="155870336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8304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31563946009025046"/>
          <c:y val="6.8251438896547431E-2"/>
          <c:w val="0.35357684234842413"/>
          <c:h val="7.121910948075112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22</xdr:row>
      <xdr:rowOff>19050</xdr:rowOff>
    </xdr:from>
    <xdr:to>
      <xdr:col>20</xdr:col>
      <xdr:colOff>628650</xdr:colOff>
      <xdr:row>37</xdr:row>
      <xdr:rowOff>133350</xdr:rowOff>
    </xdr:to>
    <xdr:graphicFrame macro="">
      <xdr:nvGraphicFramePr>
        <xdr:cNvPr id="1331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571500</xdr:colOff>
      <xdr:row>2</xdr:row>
      <xdr:rowOff>104775</xdr:rowOff>
    </xdr:from>
    <xdr:to>
      <xdr:col>28</xdr:col>
      <xdr:colOff>247650</xdr:colOff>
      <xdr:row>19</xdr:row>
      <xdr:rowOff>133350</xdr:rowOff>
    </xdr:to>
    <xdr:graphicFrame macro="">
      <xdr:nvGraphicFramePr>
        <xdr:cNvPr id="1332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22</xdr:row>
      <xdr:rowOff>57150</xdr:rowOff>
    </xdr:from>
    <xdr:to>
      <xdr:col>28</xdr:col>
      <xdr:colOff>0</xdr:colOff>
      <xdr:row>36</xdr:row>
      <xdr:rowOff>133350</xdr:rowOff>
    </xdr:to>
    <xdr:graphicFrame macro="">
      <xdr:nvGraphicFramePr>
        <xdr:cNvPr id="1333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104775</xdr:colOff>
      <xdr:row>21</xdr:row>
      <xdr:rowOff>171450</xdr:rowOff>
    </xdr:from>
    <xdr:to>
      <xdr:col>35</xdr:col>
      <xdr:colOff>171450</xdr:colOff>
      <xdr:row>36</xdr:row>
      <xdr:rowOff>76200</xdr:rowOff>
    </xdr:to>
    <xdr:graphicFrame macro="">
      <xdr:nvGraphicFramePr>
        <xdr:cNvPr id="1334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2</xdr:row>
      <xdr:rowOff>9525</xdr:rowOff>
    </xdr:from>
    <xdr:to>
      <xdr:col>6</xdr:col>
      <xdr:colOff>695325</xdr:colOff>
      <xdr:row>18</xdr:row>
      <xdr:rowOff>47625</xdr:rowOff>
    </xdr:to>
    <xdr:graphicFrame macro="">
      <xdr:nvGraphicFramePr>
        <xdr:cNvPr id="1335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2</xdr:row>
      <xdr:rowOff>47625</xdr:rowOff>
    </xdr:from>
    <xdr:to>
      <xdr:col>14</xdr:col>
      <xdr:colOff>161925</xdr:colOff>
      <xdr:row>18</xdr:row>
      <xdr:rowOff>171450</xdr:rowOff>
    </xdr:to>
    <xdr:graphicFrame macro="">
      <xdr:nvGraphicFramePr>
        <xdr:cNvPr id="1336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</xdr:colOff>
      <xdr:row>1</xdr:row>
      <xdr:rowOff>114300</xdr:rowOff>
    </xdr:from>
    <xdr:to>
      <xdr:col>21</xdr:col>
      <xdr:colOff>304800</xdr:colOff>
      <xdr:row>19</xdr:row>
      <xdr:rowOff>38100</xdr:rowOff>
    </xdr:to>
    <xdr:graphicFrame macro="">
      <xdr:nvGraphicFramePr>
        <xdr:cNvPr id="1337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66675</xdr:colOff>
      <xdr:row>3</xdr:row>
      <xdr:rowOff>171450</xdr:rowOff>
    </xdr:from>
    <xdr:to>
      <xdr:col>42</xdr:col>
      <xdr:colOff>266700</xdr:colOff>
      <xdr:row>19</xdr:row>
      <xdr:rowOff>9525</xdr:rowOff>
    </xdr:to>
    <xdr:graphicFrame macro="">
      <xdr:nvGraphicFramePr>
        <xdr:cNvPr id="1338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9525</xdr:colOff>
      <xdr:row>2</xdr:row>
      <xdr:rowOff>28575</xdr:rowOff>
    </xdr:from>
    <xdr:to>
      <xdr:col>35</xdr:col>
      <xdr:colOff>523875</xdr:colOff>
      <xdr:row>18</xdr:row>
      <xdr:rowOff>19050</xdr:rowOff>
    </xdr:to>
    <xdr:grpSp>
      <xdr:nvGrpSpPr>
        <xdr:cNvPr id="1339" name="Group 77"/>
        <xdr:cNvGrpSpPr>
          <a:grpSpLocks/>
        </xdr:cNvGrpSpPr>
      </xdr:nvGrpSpPr>
      <xdr:grpSpPr bwMode="auto">
        <a:xfrm>
          <a:off x="22107525" y="419100"/>
          <a:ext cx="5086350" cy="3048000"/>
          <a:chOff x="2318" y="21"/>
          <a:chExt cx="494" cy="287"/>
        </a:xfrm>
      </xdr:grpSpPr>
      <xdr:graphicFrame macro="">
        <xdr:nvGraphicFramePr>
          <xdr:cNvPr id="1346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30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190500</xdr:colOff>
      <xdr:row>21</xdr:row>
      <xdr:rowOff>57150</xdr:rowOff>
    </xdr:from>
    <xdr:to>
      <xdr:col>42</xdr:col>
      <xdr:colOff>352425</xdr:colOff>
      <xdr:row>35</xdr:row>
      <xdr:rowOff>171450</xdr:rowOff>
    </xdr:to>
    <xdr:graphicFrame macro="">
      <xdr:nvGraphicFramePr>
        <xdr:cNvPr id="1340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47625</xdr:colOff>
      <xdr:row>37</xdr:row>
      <xdr:rowOff>76200</xdr:rowOff>
    </xdr:from>
    <xdr:to>
      <xdr:col>35</xdr:col>
      <xdr:colOff>533400</xdr:colOff>
      <xdr:row>52</xdr:row>
      <xdr:rowOff>190500</xdr:rowOff>
    </xdr:to>
    <xdr:graphicFrame macro="">
      <xdr:nvGraphicFramePr>
        <xdr:cNvPr id="1341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781050</xdr:colOff>
      <xdr:row>38</xdr:row>
      <xdr:rowOff>38100</xdr:rowOff>
    </xdr:from>
    <xdr:to>
      <xdr:col>28</xdr:col>
      <xdr:colOff>85725</xdr:colOff>
      <xdr:row>52</xdr:row>
      <xdr:rowOff>180975</xdr:rowOff>
    </xdr:to>
    <xdr:graphicFrame macro="">
      <xdr:nvGraphicFramePr>
        <xdr:cNvPr id="1342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533400</xdr:colOff>
      <xdr:row>37</xdr:row>
      <xdr:rowOff>180975</xdr:rowOff>
    </xdr:from>
    <xdr:to>
      <xdr:col>20</xdr:col>
      <xdr:colOff>657225</xdr:colOff>
      <xdr:row>51</xdr:row>
      <xdr:rowOff>171450</xdr:rowOff>
    </xdr:to>
    <xdr:graphicFrame macro="">
      <xdr:nvGraphicFramePr>
        <xdr:cNvPr id="1343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285750</xdr:colOff>
      <xdr:row>40</xdr:row>
      <xdr:rowOff>38100</xdr:rowOff>
    </xdr:to>
    <xdr:graphicFrame macro="">
      <xdr:nvGraphicFramePr>
        <xdr:cNvPr id="1344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57150</xdr:colOff>
      <xdr:row>22</xdr:row>
      <xdr:rowOff>76200</xdr:rowOff>
    </xdr:from>
    <xdr:to>
      <xdr:col>14</xdr:col>
      <xdr:colOff>200025</xdr:colOff>
      <xdr:row>39</xdr:row>
      <xdr:rowOff>19050</xdr:rowOff>
    </xdr:to>
    <xdr:graphicFrame macro="">
      <xdr:nvGraphicFramePr>
        <xdr:cNvPr id="1345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0.78749</cdr:y>
    </cdr:from>
    <cdr:to>
      <cdr:x>0.25849</cdr:x>
      <cdr:y>0.86607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0.22138</cdr:y>
    </cdr:from>
    <cdr:to>
      <cdr:x>0.06598</cdr:x>
      <cdr:y>0.56791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0.20358</cdr:x>
      <cdr:y>0.16794</cdr:y>
    </cdr:from>
    <cdr:to>
      <cdr:x>0.74268</cdr:x>
      <cdr:y>0.27258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0.05852</cdr:x>
      <cdr:y>0.80053</cdr:y>
    </cdr:from>
    <cdr:to>
      <cdr:x>0.32501</cdr:x>
      <cdr:y>0.88846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0.26081</cdr:x>
      <cdr:y>0.13081</cdr:y>
    </cdr:from>
    <cdr:to>
      <cdr:x>0.73824</cdr:x>
      <cdr:y>0.22736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0.00399</cdr:x>
      <cdr:y>0.80132</cdr:y>
    </cdr:from>
    <cdr:to>
      <cdr:x>0.25652</cdr:x>
      <cdr:y>0.88424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0.18068</cdr:y>
    </cdr:from>
    <cdr:to>
      <cdr:x>0.07331</cdr:x>
      <cdr:y>0.55186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0.24292</cdr:x>
      <cdr:y>0.17499</cdr:y>
    </cdr:from>
    <cdr:to>
      <cdr:x>0.75025</cdr:x>
      <cdr:y>0.31743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9972" y="482254"/>
          <a:ext cx="2401662" cy="39255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0.80689</cdr:y>
    </cdr:from>
    <cdr:to>
      <cdr:x>0.25675</cdr:x>
      <cdr:y>0.89272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0.00153</cdr:x>
      <cdr:y>0.20859</cdr:y>
    </cdr:from>
    <cdr:to>
      <cdr:x>0.07529</cdr:x>
      <cdr:y>0.54563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0.10936</cdr:x>
      <cdr:y>0.79781</cdr:y>
    </cdr:from>
    <cdr:to>
      <cdr:x>0.3533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0.05474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0.17983</cdr:x>
      <cdr:y>0.15345</cdr:y>
    </cdr:from>
    <cdr:to>
      <cdr:x>0.65814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0.80167</cdr:y>
    </cdr:from>
    <cdr:to>
      <cdr:x>0.25614</cdr:x>
      <cdr:y>0.87835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0.15182</cdr:y>
    </cdr:from>
    <cdr:to>
      <cdr:x>0.0959</cdr:x>
      <cdr:y>0.54835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0.14643</cdr:y>
    </cdr:from>
    <cdr:to>
      <cdr:x>0.68893</cdr:x>
      <cdr:y>0.24223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0.02241</cdr:x>
      <cdr:y>0.23273</cdr:y>
    </cdr:from>
    <cdr:to>
      <cdr:x>0.15834</cdr:x>
      <cdr:y>0.57436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0.24287</cdr:x>
      <cdr:y>0.12573</cdr:y>
    </cdr:from>
    <cdr:to>
      <cdr:x>0.79548</cdr:x>
      <cdr:y>0.22273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0.11832</cdr:x>
      <cdr:y>0.84752</cdr:y>
    </cdr:from>
    <cdr:to>
      <cdr:x>0.36837</cdr:x>
      <cdr:y>0.91616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0.09118</cdr:x>
      <cdr:y>0.77059</cdr:y>
    </cdr:from>
    <cdr:to>
      <cdr:x>0.32608</cdr:x>
      <cdr:y>0.85473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0.19938</cdr:y>
    </cdr:from>
    <cdr:to>
      <cdr:x>0.09142</cdr:x>
      <cdr:y>0.5629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0.23229</cdr:x>
      <cdr:y>0.13521</cdr:y>
    </cdr:from>
    <cdr:to>
      <cdr:x>0.79472</cdr:x>
      <cdr:y>0.24559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8494" y="391931"/>
          <a:ext cx="2683930" cy="31996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0.02194</cdr:x>
      <cdr:y>0.86448</cdr:y>
    </cdr:from>
    <cdr:to>
      <cdr:x>0.26981</cdr:x>
      <cdr:y>0.96055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0.01625</cdr:x>
      <cdr:y>0.23624</cdr:y>
    </cdr:from>
    <cdr:to>
      <cdr:x>0.10123</cdr:x>
      <cdr:y>0.52511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0.81875</cdr:y>
    </cdr:from>
    <cdr:to>
      <cdr:x>0.27511</cdr:x>
      <cdr:y>0.90023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</cdr:x>
      <cdr:y>0.1885</cdr:y>
    </cdr:from>
    <cdr:to>
      <cdr:x>0</cdr:x>
      <cdr:y>0.16658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0.26805</cdr:x>
      <cdr:y>0.13783</cdr:y>
    </cdr:from>
    <cdr:to>
      <cdr:x>0.72892</cdr:x>
      <cdr:y>0.25225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8929" y="385100"/>
          <a:ext cx="2181724" cy="3196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0.81876</cdr:y>
    </cdr:from>
    <cdr:to>
      <cdr:x>0.26353</cdr:x>
      <cdr:y>0.90007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0.00266</cdr:x>
      <cdr:y>0.20307</cdr:y>
    </cdr:from>
    <cdr:to>
      <cdr:x>0.07894</cdr:x>
      <cdr:y>0.555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0.1453</cdr:x>
      <cdr:y>0.13409</cdr:y>
    </cdr:from>
    <cdr:to>
      <cdr:x>0.62754</cdr:x>
      <cdr:y>0.22518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0.03769</cdr:x>
      <cdr:y>0.78355</cdr:y>
    </cdr:from>
    <cdr:to>
      <cdr:x>0.29708</cdr:x>
      <cdr:y>0.86142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0.21578</cdr:y>
    </cdr:from>
    <cdr:to>
      <cdr:x>0.07207</cdr:x>
      <cdr:y>0.57161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0.17054</cdr:x>
      <cdr:y>0.17644</cdr:y>
    </cdr:from>
    <cdr:to>
      <cdr:x>0.77521</cdr:x>
      <cdr:y>0.27119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328" y="495771"/>
          <a:ext cx="2816387" cy="26622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0.78976</cdr:y>
    </cdr:from>
    <cdr:to>
      <cdr:x>0.26754</cdr:x>
      <cdr:y>0.86712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0.22281</cdr:y>
    </cdr:from>
    <cdr:to>
      <cdr:x>0.06572</cdr:x>
      <cdr:y>0.5714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0.15789</cdr:x>
      <cdr:y>0.15283</cdr:y>
    </cdr:from>
    <cdr:to>
      <cdr:x>0.75556</cdr:x>
      <cdr:y>0.26335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0.11058</cdr:x>
      <cdr:y>0.79781</cdr:y>
    </cdr:from>
    <cdr:to>
      <cdr:x>0.35574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0.05547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0.18179</cdr:x>
      <cdr:y>0.15345</cdr:y>
    </cdr:from>
    <cdr:to>
      <cdr:x>0.66133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0.8007</cdr:y>
    </cdr:from>
    <cdr:to>
      <cdr:x>0.25614</cdr:x>
      <cdr:y>0.87762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0.15424</cdr:y>
    </cdr:from>
    <cdr:to>
      <cdr:x>0.0959</cdr:x>
      <cdr:y>0.54689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0.14885</cdr:y>
    </cdr:from>
    <cdr:to>
      <cdr:x>0.68893</cdr:x>
      <cdr:y>0.24368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47625</xdr:rowOff>
    </xdr:from>
    <xdr:to>
      <xdr:col>14</xdr:col>
      <xdr:colOff>114300</xdr:colOff>
      <xdr:row>16</xdr:row>
      <xdr:rowOff>180975</xdr:rowOff>
    </xdr:to>
    <xdr:graphicFrame macro="">
      <xdr:nvGraphicFramePr>
        <xdr:cNvPr id="215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20</xdr:row>
      <xdr:rowOff>28575</xdr:rowOff>
    </xdr:from>
    <xdr:to>
      <xdr:col>14</xdr:col>
      <xdr:colOff>361950</xdr:colOff>
      <xdr:row>38</xdr:row>
      <xdr:rowOff>28575</xdr:rowOff>
    </xdr:to>
    <xdr:graphicFrame macro="">
      <xdr:nvGraphicFramePr>
        <xdr:cNvPr id="21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114300</xdr:colOff>
      <xdr:row>16</xdr:row>
      <xdr:rowOff>133350</xdr:rowOff>
    </xdr:to>
    <xdr:graphicFrame macro="">
      <xdr:nvGraphicFramePr>
        <xdr:cNvPr id="215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257175</xdr:colOff>
      <xdr:row>38</xdr:row>
      <xdr:rowOff>47625</xdr:rowOff>
    </xdr:to>
    <xdr:graphicFrame macro="">
      <xdr:nvGraphicFramePr>
        <xdr:cNvPr id="216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695325</xdr:colOff>
      <xdr:row>21</xdr:row>
      <xdr:rowOff>104775</xdr:rowOff>
    </xdr:from>
    <xdr:to>
      <xdr:col>7</xdr:col>
      <xdr:colOff>342900</xdr:colOff>
      <xdr:row>39</xdr:row>
      <xdr:rowOff>9525</xdr:rowOff>
    </xdr:to>
    <xdr:graphicFrame macro="">
      <xdr:nvGraphicFramePr>
        <xdr:cNvPr id="216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342900</xdr:colOff>
      <xdr:row>0</xdr:row>
      <xdr:rowOff>85725</xdr:rowOff>
    </xdr:from>
    <xdr:to>
      <xdr:col>6</xdr:col>
      <xdr:colOff>752475</xdr:colOff>
      <xdr:row>17</xdr:row>
      <xdr:rowOff>171450</xdr:rowOff>
    </xdr:to>
    <xdr:graphicFrame macro="">
      <xdr:nvGraphicFramePr>
        <xdr:cNvPr id="216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0.80644</cdr:y>
    </cdr:from>
    <cdr:to>
      <cdr:x>0.37735</cdr:x>
      <cdr:y>0.87846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0.42666</cdr:x>
      <cdr:y>0.1072</cdr:y>
    </cdr:from>
    <cdr:to>
      <cdr:x>0.9368</cdr:x>
      <cdr:y>0.22896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0.00542</cdr:x>
      <cdr:y>0.82954</cdr:y>
    </cdr:from>
    <cdr:to>
      <cdr:x>0.41266</cdr:x>
      <cdr:y>0.91894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0.16923</cdr:x>
      <cdr:y>0.24318</cdr:y>
    </cdr:from>
    <cdr:to>
      <cdr:x>0.8946</cdr:x>
      <cdr:y>0.35627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0.00998</cdr:x>
      <cdr:y>0.76761</cdr:y>
    </cdr:from>
    <cdr:to>
      <cdr:x>0.39029</cdr:x>
      <cdr:y>0.84445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0.31144</cdr:x>
      <cdr:y>0.13621</cdr:y>
    </cdr:from>
    <cdr:to>
      <cdr:x>0.75405</cdr:x>
      <cdr:y>0.26049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0.02757</cdr:x>
      <cdr:y>0.7821</cdr:y>
    </cdr:from>
    <cdr:to>
      <cdr:x>0.36283</cdr:x>
      <cdr:y>0.85943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0.19852</cdr:x>
      <cdr:y>0.10713</cdr:y>
    </cdr:from>
    <cdr:to>
      <cdr:x>0.88939</cdr:x>
      <cdr:y>0.20495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3579" y="307150"/>
          <a:ext cx="3283688" cy="2804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0.81628</cdr:y>
    </cdr:from>
    <cdr:to>
      <cdr:x>0.36959</cdr:x>
      <cdr:y>0.90303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0.17479</cdr:x>
      <cdr:y>0.17072</cdr:y>
    </cdr:from>
    <cdr:to>
      <cdr:x>0.88398</cdr:x>
      <cdr:y>0.2763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0706" y="569143"/>
          <a:ext cx="3532883" cy="3519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0.85037</cdr:y>
    </cdr:from>
    <cdr:to>
      <cdr:x>0.36775</cdr:x>
      <cdr:y>0.93809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0.17443</cdr:x>
      <cdr:y>0.15848</cdr:y>
    </cdr:from>
    <cdr:to>
      <cdr:x>0.88117</cdr:x>
      <cdr:y>0.26454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104775</xdr:rowOff>
    </xdr:from>
    <xdr:to>
      <xdr:col>9</xdr:col>
      <xdr:colOff>266700</xdr:colOff>
      <xdr:row>19</xdr:row>
      <xdr:rowOff>76200</xdr:rowOff>
    </xdr:to>
    <xdr:graphicFrame macro="">
      <xdr:nvGraphicFramePr>
        <xdr:cNvPr id="309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C41" sqref="AC41"/>
    </sheetView>
  </sheetViews>
  <sheetFormatPr defaultRowHeight="15" x14ac:dyDescent="0.2"/>
  <sheetData>
    <row r="1" spans="1:43" ht="15.75" x14ac:dyDescent="0.25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75" x14ac:dyDescent="0.25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75" x14ac:dyDescent="0.25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92" activePane="bottomRight" state="frozen"/>
      <selection pane="topRight" activeCell="B1" sqref="B1"/>
      <selection pane="bottomLeft" activeCell="A9" sqref="A9"/>
      <selection pane="bottomRight" activeCell="I1097" sqref="I1097"/>
    </sheetView>
  </sheetViews>
  <sheetFormatPr defaultRowHeight="15" x14ac:dyDescent="0.2"/>
  <cols>
    <col min="1" max="1" width="10.109375" bestFit="1" customWidth="1"/>
    <col min="2" max="3" width="7.77734375" customWidth="1"/>
    <col min="4" max="4" width="10.77734375" customWidth="1"/>
    <col min="5" max="6" width="7.77734375" customWidth="1"/>
    <col min="7" max="7" width="9.21875" customWidth="1"/>
    <col min="8" max="8" width="9.88671875" customWidth="1"/>
    <col min="9" max="10" width="10.5546875" customWidth="1"/>
    <col min="11" max="11" width="9.77734375" customWidth="1"/>
    <col min="12" max="12" width="9.88671875" bestFit="1" customWidth="1"/>
    <col min="13" max="13" width="8.88671875" bestFit="1" customWidth="1"/>
    <col min="15" max="15" width="9.88671875" bestFit="1" customWidth="1"/>
  </cols>
  <sheetData>
    <row r="1" spans="1:11" x14ac:dyDescent="0.2">
      <c r="A1" s="39" t="s">
        <v>52</v>
      </c>
      <c r="B1" s="142"/>
      <c r="C1" s="143"/>
      <c r="D1" s="144"/>
      <c r="E1" s="144"/>
      <c r="F1" s="144"/>
      <c r="G1" s="144"/>
    </row>
    <row r="2" spans="1:11" x14ac:dyDescent="0.2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x14ac:dyDescent="0.2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75" x14ac:dyDescent="0.25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75" x14ac:dyDescent="0.25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96" si="49">B1069+C1069</f>
        <v>225</v>
      </c>
      <c r="I1069" s="113">
        <f t="shared" ref="I1069:I1096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">
      <c r="A1087" s="13">
        <f t="shared" si="46"/>
        <v>41899</v>
      </c>
      <c r="B1087" s="246">
        <v>226</v>
      </c>
      <c r="C1087" s="246">
        <v>11</v>
      </c>
      <c r="D1087" s="243">
        <v>262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5359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">
      <c r="A1088" s="13">
        <f t="shared" si="46"/>
        <v>41906</v>
      </c>
      <c r="B1088" s="246">
        <v>65</v>
      </c>
      <c r="C1088" s="246">
        <v>6</v>
      </c>
      <c r="D1088" s="243">
        <v>136</v>
      </c>
      <c r="E1088" s="246">
        <v>1016</v>
      </c>
      <c r="F1088" s="228" t="s">
        <v>34</v>
      </c>
      <c r="G1088" s="242">
        <v>2995</v>
      </c>
      <c r="H1088" s="30">
        <f t="shared" si="49"/>
        <v>71</v>
      </c>
      <c r="I1088" s="113">
        <f t="shared" si="50"/>
        <v>4218</v>
      </c>
      <c r="J1088" s="221">
        <v>1814</v>
      </c>
      <c r="K1088" s="47">
        <f t="shared" ref="K1088:K1108" si="51">K1087+1</f>
        <v>39</v>
      </c>
      <c r="L1088" s="220">
        <f t="shared" si="48"/>
        <v>41902</v>
      </c>
    </row>
    <row r="1089" spans="1:12" x14ac:dyDescent="0.2">
      <c r="A1089" s="13">
        <f t="shared" si="46"/>
        <v>41913</v>
      </c>
      <c r="B1089" s="246">
        <v>170</v>
      </c>
      <c r="C1089" s="246">
        <v>0</v>
      </c>
      <c r="D1089" s="243">
        <v>443</v>
      </c>
      <c r="E1089" s="246">
        <v>1511</v>
      </c>
      <c r="F1089" s="228" t="s">
        <v>34</v>
      </c>
      <c r="G1089" s="242">
        <v>2699</v>
      </c>
      <c r="H1089" s="30">
        <f t="shared" si="49"/>
        <v>170</v>
      </c>
      <c r="I1089" s="113">
        <f t="shared" si="50"/>
        <v>4823</v>
      </c>
      <c r="J1089" s="221">
        <v>1485</v>
      </c>
      <c r="K1089" s="47">
        <f t="shared" si="51"/>
        <v>40</v>
      </c>
      <c r="L1089" s="220">
        <f t="shared" si="48"/>
        <v>41909</v>
      </c>
    </row>
    <row r="1090" spans="1:12" x14ac:dyDescent="0.2">
      <c r="A1090" s="13">
        <f t="shared" si="46"/>
        <v>41920</v>
      </c>
      <c r="B1090" s="246">
        <v>179</v>
      </c>
      <c r="C1090" s="246">
        <v>229</v>
      </c>
      <c r="D1090" s="243">
        <v>1360</v>
      </c>
      <c r="E1090" s="246">
        <v>1401</v>
      </c>
      <c r="F1090" s="228" t="s">
        <v>34</v>
      </c>
      <c r="G1090" s="242">
        <v>4648</v>
      </c>
      <c r="H1090" s="30">
        <f t="shared" si="49"/>
        <v>408</v>
      </c>
      <c r="I1090" s="113">
        <f t="shared" si="50"/>
        <v>7817</v>
      </c>
      <c r="J1090" s="221">
        <v>2152</v>
      </c>
      <c r="K1090" s="47">
        <f t="shared" si="51"/>
        <v>41</v>
      </c>
      <c r="L1090" s="220">
        <f t="shared" si="48"/>
        <v>41916</v>
      </c>
    </row>
    <row r="1091" spans="1:12" x14ac:dyDescent="0.2">
      <c r="A1091" s="13">
        <f t="shared" si="46"/>
        <v>41927</v>
      </c>
      <c r="B1091" s="246">
        <v>398</v>
      </c>
      <c r="C1091" s="246">
        <v>687</v>
      </c>
      <c r="D1091" s="243">
        <v>1865</v>
      </c>
      <c r="E1091" s="246">
        <v>1532</v>
      </c>
      <c r="F1091" s="228" t="s">
        <v>34</v>
      </c>
      <c r="G1091" s="242">
        <v>7297</v>
      </c>
      <c r="H1091" s="30">
        <f t="shared" si="49"/>
        <v>1085</v>
      </c>
      <c r="I1091" s="113">
        <f t="shared" si="50"/>
        <v>11779</v>
      </c>
      <c r="J1091" s="221">
        <v>1879</v>
      </c>
      <c r="K1091" s="47">
        <f t="shared" si="51"/>
        <v>42</v>
      </c>
      <c r="L1091" s="220">
        <f t="shared" si="48"/>
        <v>41923</v>
      </c>
    </row>
    <row r="1092" spans="1:12" x14ac:dyDescent="0.2">
      <c r="A1092" s="13">
        <f t="shared" si="46"/>
        <v>41934</v>
      </c>
      <c r="B1092" s="150">
        <v>351</v>
      </c>
      <c r="C1092" s="150">
        <v>688</v>
      </c>
      <c r="D1092" s="150">
        <v>1434</v>
      </c>
      <c r="E1092" s="242">
        <v>861</v>
      </c>
      <c r="F1092" s="228" t="s">
        <v>34</v>
      </c>
      <c r="G1092" s="150">
        <v>7797</v>
      </c>
      <c r="H1092" s="150">
        <f t="shared" si="49"/>
        <v>1039</v>
      </c>
      <c r="I1092" s="113">
        <f t="shared" si="50"/>
        <v>11131</v>
      </c>
      <c r="J1092" s="221">
        <v>1658</v>
      </c>
      <c r="K1092" s="47">
        <f t="shared" si="51"/>
        <v>43</v>
      </c>
      <c r="L1092" s="220">
        <f t="shared" si="48"/>
        <v>41930</v>
      </c>
    </row>
    <row r="1093" spans="1:12" x14ac:dyDescent="0.2">
      <c r="A1093" s="13">
        <f t="shared" si="46"/>
        <v>41941</v>
      </c>
      <c r="B1093" s="246">
        <v>351</v>
      </c>
      <c r="C1093" s="246">
        <v>677</v>
      </c>
      <c r="D1093" s="243">
        <v>1967</v>
      </c>
      <c r="E1093" s="246">
        <v>1443</v>
      </c>
      <c r="F1093" s="228" t="s">
        <v>34</v>
      </c>
      <c r="G1093" s="150">
        <v>6308</v>
      </c>
      <c r="H1093" s="150">
        <f t="shared" si="49"/>
        <v>1028</v>
      </c>
      <c r="I1093" s="113">
        <f t="shared" si="50"/>
        <v>10746</v>
      </c>
      <c r="J1093" s="221">
        <v>1851</v>
      </c>
      <c r="K1093" s="47">
        <f t="shared" si="51"/>
        <v>44</v>
      </c>
      <c r="L1093" s="220">
        <f t="shared" si="48"/>
        <v>41937</v>
      </c>
    </row>
    <row r="1094" spans="1:12" x14ac:dyDescent="0.2">
      <c r="A1094" s="13">
        <f t="shared" si="46"/>
        <v>41948</v>
      </c>
      <c r="B1094" s="245">
        <v>489</v>
      </c>
      <c r="C1094" s="246">
        <v>796</v>
      </c>
      <c r="D1094" s="243">
        <v>1972</v>
      </c>
      <c r="E1094" s="246">
        <v>1471</v>
      </c>
      <c r="F1094" s="228" t="s">
        <v>34</v>
      </c>
      <c r="G1094" s="150">
        <v>8758</v>
      </c>
      <c r="H1094" s="150">
        <f t="shared" si="49"/>
        <v>1285</v>
      </c>
      <c r="I1094" s="113">
        <f t="shared" si="50"/>
        <v>13486</v>
      </c>
      <c r="J1094" s="221">
        <v>1504</v>
      </c>
      <c r="K1094" s="47">
        <f t="shared" si="51"/>
        <v>45</v>
      </c>
      <c r="L1094" s="220">
        <f t="shared" si="48"/>
        <v>41944</v>
      </c>
    </row>
    <row r="1095" spans="1:12" x14ac:dyDescent="0.2">
      <c r="A1095" s="13">
        <f t="shared" ref="A1095:A1108" si="52">A1094+7</f>
        <v>41955</v>
      </c>
      <c r="B1095" s="245">
        <v>429</v>
      </c>
      <c r="C1095" s="246">
        <v>589</v>
      </c>
      <c r="D1095" s="243">
        <v>2087</v>
      </c>
      <c r="E1095" s="246">
        <v>1526</v>
      </c>
      <c r="F1095" s="228" t="s">
        <v>34</v>
      </c>
      <c r="G1095" s="150">
        <v>7278</v>
      </c>
      <c r="H1095" s="150">
        <f t="shared" si="49"/>
        <v>1018</v>
      </c>
      <c r="I1095" s="113">
        <f t="shared" si="50"/>
        <v>11909</v>
      </c>
      <c r="J1095" s="221">
        <v>1345</v>
      </c>
      <c r="K1095" s="47">
        <f t="shared" si="51"/>
        <v>46</v>
      </c>
      <c r="L1095" s="220">
        <f t="shared" si="48"/>
        <v>41951</v>
      </c>
    </row>
    <row r="1096" spans="1:12" x14ac:dyDescent="0.2">
      <c r="A1096" s="13">
        <f t="shared" si="52"/>
        <v>41962</v>
      </c>
      <c r="B1096" s="245">
        <v>430</v>
      </c>
      <c r="C1096" s="246">
        <v>594</v>
      </c>
      <c r="D1096" s="243">
        <v>1453</v>
      </c>
      <c r="E1096" s="246">
        <v>644</v>
      </c>
      <c r="F1096" s="228" t="s">
        <v>34</v>
      </c>
      <c r="G1096" s="150">
        <v>5890</v>
      </c>
      <c r="H1096" s="150">
        <f t="shared" si="49"/>
        <v>1024</v>
      </c>
      <c r="I1096" s="113">
        <f t="shared" si="50"/>
        <v>9011</v>
      </c>
      <c r="J1096" s="221">
        <v>2096</v>
      </c>
      <c r="K1096" s="47">
        <f t="shared" si="51"/>
        <v>47</v>
      </c>
      <c r="L1096" s="220">
        <f t="shared" si="48"/>
        <v>41958</v>
      </c>
    </row>
    <row r="1097" spans="1:12" x14ac:dyDescent="0.2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101" activePane="bottomRight" state="frozen"/>
      <selection pane="topRight" activeCell="B1" sqref="B1"/>
      <selection pane="bottomLeft" activeCell="A8" sqref="A8"/>
      <selection pane="bottomRight" activeCell="B1122" sqref="B1122"/>
    </sheetView>
  </sheetViews>
  <sheetFormatPr defaultRowHeight="15" x14ac:dyDescent="0.2"/>
  <cols>
    <col min="1" max="1" width="16.5546875" customWidth="1"/>
    <col min="2" max="2" width="7.88671875" customWidth="1"/>
    <col min="3" max="3" width="9.109375" customWidth="1"/>
    <col min="4" max="4" width="10.77734375" customWidth="1"/>
    <col min="5" max="7" width="9.77734375" customWidth="1"/>
    <col min="8" max="8" width="13" customWidth="1"/>
    <col min="9" max="9" width="3.88671875" customWidth="1"/>
    <col min="10" max="12" width="9.77734375" customWidth="1"/>
    <col min="13" max="13" width="9.6640625" customWidth="1"/>
    <col min="14" max="15" width="9.77734375" customWidth="1"/>
    <col min="16" max="16" width="12.44140625" customWidth="1"/>
    <col min="17" max="17" width="1.77734375" customWidth="1"/>
    <col min="18" max="18" width="9.6640625" customWidth="1"/>
    <col min="19" max="20" width="9.77734375" customWidth="1"/>
    <col min="21" max="21" width="9.5546875" customWidth="1"/>
    <col min="22" max="24" width="9.77734375" customWidth="1"/>
    <col min="25" max="25" width="11.33203125" customWidth="1"/>
    <col min="26" max="26" width="1.77734375" customWidth="1"/>
    <col min="27" max="28" width="9.77734375" customWidth="1"/>
    <col min="29" max="29" width="1.77734375" customWidth="1"/>
    <col min="30" max="31" width="9.77734375" customWidth="1"/>
    <col min="32" max="32" width="1.77734375" customWidth="1"/>
  </cols>
  <sheetData>
    <row r="2" spans="1:34" x14ac:dyDescent="0.2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5" thickBot="1" x14ac:dyDescent="0.3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3"/>
      <c r="T4" s="263"/>
      <c r="U4" s="6"/>
      <c r="V4" s="263"/>
      <c r="W4" s="263"/>
      <c r="X4" s="263"/>
      <c r="Y4" s="263"/>
      <c r="AA4" s="263"/>
      <c r="AB4" s="263"/>
      <c r="AD4" s="263"/>
      <c r="AE4" s="263"/>
      <c r="AG4" s="263"/>
      <c r="AH4" s="263"/>
    </row>
    <row r="5" spans="1:34" ht="15.75" x14ac:dyDescent="0.25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5.75" thickBot="1" x14ac:dyDescent="0.2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3" t="s">
        <v>40</v>
      </c>
      <c r="K6" s="263"/>
      <c r="L6" s="263"/>
      <c r="M6" s="263"/>
      <c r="N6" s="263"/>
      <c r="O6" s="263"/>
      <c r="P6" s="187" t="s">
        <v>21</v>
      </c>
      <c r="Q6" s="6"/>
      <c r="S6" s="263" t="s">
        <v>41</v>
      </c>
      <c r="T6" s="263"/>
      <c r="U6" s="263"/>
      <c r="V6" s="263"/>
      <c r="W6" s="263"/>
      <c r="X6" s="263"/>
      <c r="Y6" s="187" t="s">
        <v>21</v>
      </c>
      <c r="AA6" s="41"/>
      <c r="AB6" s="41"/>
      <c r="AD6" s="41"/>
      <c r="AE6" s="41"/>
      <c r="AG6" s="41"/>
      <c r="AH6" s="41"/>
    </row>
    <row r="7" spans="1:34" x14ac:dyDescent="0.2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5.75" thickBot="1" x14ac:dyDescent="0.2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x14ac:dyDescent="0.2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x14ac:dyDescent="0.2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22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">
      <c r="A1087" s="104">
        <f t="shared" si="173"/>
        <v>41899</v>
      </c>
      <c r="B1087" s="59">
        <f>SUM('Weekly Data'!D1084:D1087)/4</f>
        <v>258.25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5848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">
      <c r="A1088" s="104">
        <f t="shared" si="173"/>
        <v>41906</v>
      </c>
      <c r="B1088" s="59">
        <f>SUM('Weekly Data'!D1085:D1088)/4</f>
        <v>232.5</v>
      </c>
      <c r="C1088" s="90">
        <f>SUM('Weekly Data'!E1085:E1088)/4</f>
        <v>1296.5</v>
      </c>
      <c r="D1088" s="90" t="s">
        <v>34</v>
      </c>
      <c r="E1088" s="90">
        <f>SUM('Weekly Data'!G1085:G1088)/4</f>
        <v>3421</v>
      </c>
      <c r="F1088" s="90">
        <f>SUM('Weekly Data'!H1085:H1088)/4</f>
        <v>273.75</v>
      </c>
      <c r="G1088" s="90">
        <f>SUM('Weekly Data'!I1085:I1088)/4</f>
        <v>5223.75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">
      <c r="A1089" s="104">
        <f t="shared" si="173"/>
        <v>41913</v>
      </c>
      <c r="B1089" s="59">
        <f>SUM('Weekly Data'!D1086:D1089)/4</f>
        <v>230.75</v>
      </c>
      <c r="C1089" s="90">
        <f>SUM('Weekly Data'!E1086:E1089)/4</f>
        <v>1400.25</v>
      </c>
      <c r="D1089" s="90" t="s">
        <v>34</v>
      </c>
      <c r="E1089" s="90">
        <f>SUM('Weekly Data'!G1086:G1089)/4</f>
        <v>3188.75</v>
      </c>
      <c r="F1089" s="90">
        <f>SUM('Weekly Data'!H1086:H1089)/4</f>
        <v>242.75</v>
      </c>
      <c r="G1089" s="90">
        <f>SUM('Weekly Data'!I1086:I1089)/4</f>
        <v>5062.5</v>
      </c>
      <c r="H1089" s="200">
        <f>SUM('Weekly Data'!J1086:J1089)/4</f>
        <v>1908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">
      <c r="A1090" s="104">
        <f t="shared" si="173"/>
        <v>41920</v>
      </c>
      <c r="B1090" s="59">
        <f>SUM('Weekly Data'!D1087:D1090)/4</f>
        <v>550.25</v>
      </c>
      <c r="C1090" s="90">
        <f>SUM('Weekly Data'!E1087:E1090)/4</f>
        <v>1309</v>
      </c>
      <c r="D1090" s="90" t="s">
        <v>34</v>
      </c>
      <c r="E1090" s="90">
        <f>SUM('Weekly Data'!G1087:G1090)/4</f>
        <v>3473.5</v>
      </c>
      <c r="F1090" s="90">
        <f>SUM('Weekly Data'!H1087:H1090)/4</f>
        <v>221.5</v>
      </c>
      <c r="G1090" s="90">
        <f>SUM('Weekly Data'!I1087:I1090)/4</f>
        <v>5554.25</v>
      </c>
      <c r="H1090" s="200">
        <f>SUM('Weekly Data'!J1087:J1090)/4</f>
        <v>1922.75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">
      <c r="A1091" s="104">
        <f t="shared" si="173"/>
        <v>41927</v>
      </c>
      <c r="B1091" s="59">
        <f>SUM('Weekly Data'!D1088:D1091)/4</f>
        <v>951</v>
      </c>
      <c r="C1091" s="90">
        <f>SUM('Weekly Data'!E1088:E1091)/4</f>
        <v>1365</v>
      </c>
      <c r="D1091" s="90" t="s">
        <v>34</v>
      </c>
      <c r="E1091" s="90">
        <f>SUM('Weekly Data'!G1088:G1091)/4</f>
        <v>4409.75</v>
      </c>
      <c r="F1091" s="90">
        <f>SUM('Weekly Data'!H1088:H1091)/4</f>
        <v>433.5</v>
      </c>
      <c r="G1091" s="90">
        <f>SUM('Weekly Data'!I1088:I1091)/4</f>
        <v>7159.25</v>
      </c>
      <c r="H1091" s="200">
        <f>SUM('Weekly Data'!J1088:J1091)/4</f>
        <v>1832.5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">
      <c r="A1092" s="104">
        <f t="shared" si="173"/>
        <v>41934</v>
      </c>
      <c r="B1092" s="59">
        <f>SUM('Weekly Data'!D1089:D1092)/4</f>
        <v>1275.5</v>
      </c>
      <c r="C1092" s="90">
        <f>SUM('Weekly Data'!E1089:E1092)/4</f>
        <v>1326.25</v>
      </c>
      <c r="D1092" s="90" t="s">
        <v>34</v>
      </c>
      <c r="E1092" s="90">
        <f>SUM('Weekly Data'!G1089:G1092)/4</f>
        <v>5610.25</v>
      </c>
      <c r="F1092" s="90">
        <f>SUM('Weekly Data'!H1089:H1092)/4</f>
        <v>675.5</v>
      </c>
      <c r="G1092" s="90">
        <f>SUM('Weekly Data'!I1089:I1092)/4</f>
        <v>8887.5</v>
      </c>
      <c r="H1092" s="200">
        <f>SUM('Weekly Data'!J1089:J1092)/4</f>
        <v>1793.5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">
      <c r="A1093" s="104">
        <f t="shared" si="173"/>
        <v>41941</v>
      </c>
      <c r="B1093" s="59">
        <f>SUM('Weekly Data'!D1090:D1093)/4</f>
        <v>1656.5</v>
      </c>
      <c r="C1093" s="90">
        <f>SUM('Weekly Data'!E1090:E1093)/4</f>
        <v>1309.25</v>
      </c>
      <c r="D1093" s="90" t="s">
        <v>34</v>
      </c>
      <c r="E1093" s="90">
        <f>SUM('Weekly Data'!G1090:G1093)/4</f>
        <v>6512.5</v>
      </c>
      <c r="F1093" s="90">
        <f>SUM('Weekly Data'!H1090:H1093)/4</f>
        <v>890</v>
      </c>
      <c r="G1093" s="90">
        <f>SUM('Weekly Data'!I1090:I1093)/4</f>
        <v>10368.25</v>
      </c>
      <c r="H1093" s="200">
        <f>SUM('Weekly Data'!J1090:J1093)/4</f>
        <v>1885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">
      <c r="A1094" s="104">
        <f t="shared" si="173"/>
        <v>41948</v>
      </c>
      <c r="B1094" s="59">
        <f>SUM('Weekly Data'!D1091:D1094)/4</f>
        <v>1809.5</v>
      </c>
      <c r="C1094" s="90">
        <f>SUM('Weekly Data'!E1091:E1094)/4</f>
        <v>1326.75</v>
      </c>
      <c r="D1094" s="90" t="s">
        <v>34</v>
      </c>
      <c r="E1094" s="90">
        <f>SUM('Weekly Data'!G1091:G1094)/4</f>
        <v>7540</v>
      </c>
      <c r="F1094" s="90">
        <f>SUM('Weekly Data'!H1091:H1094)/4</f>
        <v>1109.25</v>
      </c>
      <c r="G1094" s="90">
        <f>SUM('Weekly Data'!I1091:I1094)/4</f>
        <v>11785.5</v>
      </c>
      <c r="H1094" s="200">
        <f>SUM('Weekly Data'!J1091:J1094)/4</f>
        <v>1723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">
      <c r="A1095" s="104">
        <f t="shared" si="173"/>
        <v>41955</v>
      </c>
      <c r="B1095" s="59">
        <f>SUM('Weekly Data'!D1092:D1095)/4</f>
        <v>1865</v>
      </c>
      <c r="C1095" s="90">
        <f>SUM('Weekly Data'!E1092:E1095)/4</f>
        <v>1325.25</v>
      </c>
      <c r="D1095" s="90" t="s">
        <v>34</v>
      </c>
      <c r="E1095" s="90">
        <f>SUM('Weekly Data'!G1092:G1095)/4</f>
        <v>7535.25</v>
      </c>
      <c r="F1095" s="90">
        <f>SUM('Weekly Data'!H1092:H1095)/4</f>
        <v>1092.5</v>
      </c>
      <c r="G1095" s="90">
        <f>SUM('Weekly Data'!I1092:I1095)/4</f>
        <v>11818</v>
      </c>
      <c r="H1095" s="200">
        <f>SUM('Weekly Data'!J1092:J1095)/4</f>
        <v>1589.5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">
      <c r="A1096" s="104">
        <f t="shared" si="173"/>
        <v>41962</v>
      </c>
      <c r="B1096" s="59">
        <f>SUM('Weekly Data'!D1093:D1096)/4</f>
        <v>1869.75</v>
      </c>
      <c r="C1096" s="90">
        <f>SUM('Weekly Data'!E1093:E1096)/4</f>
        <v>1271</v>
      </c>
      <c r="D1096" s="90" t="s">
        <v>34</v>
      </c>
      <c r="E1096" s="90">
        <f>SUM('Weekly Data'!G1093:G1096)/4</f>
        <v>7058.5</v>
      </c>
      <c r="F1096" s="90">
        <f>SUM('Weekly Data'!H1093:H1096)/4</f>
        <v>1088.75</v>
      </c>
      <c r="G1096" s="90">
        <f>SUM('Weekly Data'!I1093:I1096)/4</f>
        <v>11288</v>
      </c>
      <c r="H1096" s="200">
        <f>SUM('Weekly Data'!J1093:J1096)/4</f>
        <v>1699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">
      <c r="A1097" s="104">
        <f t="shared" si="173"/>
        <v>41969</v>
      </c>
      <c r="B1097" s="59">
        <f>SUM('Weekly Data'!D1094:D1097)/4</f>
        <v>1378</v>
      </c>
      <c r="C1097" s="90">
        <f>SUM('Weekly Data'!E1094:E1097)/4</f>
        <v>910.25</v>
      </c>
      <c r="D1097" s="90" t="s">
        <v>34</v>
      </c>
      <c r="E1097" s="90">
        <f>SUM('Weekly Data'!G1094:G1097)/4</f>
        <v>5481.5</v>
      </c>
      <c r="F1097" s="90">
        <f>SUM('Weekly Data'!H1094:H1097)/4</f>
        <v>831.75</v>
      </c>
      <c r="G1097" s="90">
        <f>SUM('Weekly Data'!I1094:I1097)/4</f>
        <v>8601.5</v>
      </c>
      <c r="H1097" s="200">
        <f>SUM('Weekly Data'!J1094:J1097)/4</f>
        <v>1236.25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">
      <c r="A1098" s="104">
        <f t="shared" si="173"/>
        <v>41976</v>
      </c>
      <c r="B1098" s="59">
        <f>SUM('Weekly Data'!D1095:D1098)/4</f>
        <v>885</v>
      </c>
      <c r="C1098" s="90">
        <f>SUM('Weekly Data'!E1095:E1098)/4</f>
        <v>542.5</v>
      </c>
      <c r="D1098" s="90" t="s">
        <v>34</v>
      </c>
      <c r="E1098" s="90">
        <f>SUM('Weekly Data'!G1095:G1098)/4</f>
        <v>3292</v>
      </c>
      <c r="F1098" s="90">
        <f>SUM('Weekly Data'!H1095:H1098)/4</f>
        <v>510.5</v>
      </c>
      <c r="G1098" s="90">
        <f>SUM('Weekly Data'!I1095:I1098)/4</f>
        <v>5230</v>
      </c>
      <c r="H1098" s="200">
        <f>SUM('Weekly Data'!J1095:J1098)/4</f>
        <v>860.25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">
      <c r="A1099" s="104">
        <f t="shared" si="173"/>
        <v>41983</v>
      </c>
      <c r="B1099" s="59">
        <f>SUM('Weekly Data'!D1096:D1099)/4</f>
        <v>363.25</v>
      </c>
      <c r="C1099" s="90">
        <f>SUM('Weekly Data'!E1096:E1099)/4</f>
        <v>161</v>
      </c>
      <c r="D1099" s="90" t="s">
        <v>34</v>
      </c>
      <c r="E1099" s="90">
        <f>SUM('Weekly Data'!G1096:G1099)/4</f>
        <v>1472.5</v>
      </c>
      <c r="F1099" s="90">
        <f>SUM('Weekly Data'!H1096:H1099)/4</f>
        <v>256</v>
      </c>
      <c r="G1099" s="90">
        <f>SUM('Weekly Data'!I1096:I1099)/4</f>
        <v>2252.75</v>
      </c>
      <c r="H1099" s="200">
        <f>SUM('Weekly Data'!J1096:J1099)/4</f>
        <v>524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">
      <c r="A1104" s="104">
        <f t="shared" si="196"/>
        <v>42018</v>
      </c>
      <c r="B1104" s="59">
        <f>SUM('Weekly Data'!D1101:D1104)/4</f>
        <v>0</v>
      </c>
      <c r="C1104" s="90">
        <f>SUM('Weekly Data'!E1101:E1104)/4</f>
        <v>0</v>
      </c>
      <c r="D1104" s="90" t="s">
        <v>34</v>
      </c>
      <c r="E1104" s="90">
        <f>SUM('Weekly Data'!G1101:G1104)/4</f>
        <v>0</v>
      </c>
      <c r="F1104" s="90">
        <f>SUM('Weekly Data'!H1101:H1104)/4</f>
        <v>0</v>
      </c>
      <c r="G1104" s="90">
        <f>SUM('Weekly Data'!I1101:I1104)/4</f>
        <v>0</v>
      </c>
      <c r="H1104" s="200">
        <f>SUM('Weekly Data'!J1101:J1104)/4</f>
        <v>0</v>
      </c>
      <c r="J1104" s="100">
        <f>AVERAGE('Weekly Data'!D1052,'Weekly Data'!D1000,'Weekly Data'!D948,'Weekly Data'!D896)</f>
        <v>881.5</v>
      </c>
      <c r="K1104" s="16">
        <f>AVERAGE('Weekly Data'!E1052,'Weekly Data'!E1000,'Weekly Data'!E948,'Weekly Data'!E896)</f>
        <v>1341.25</v>
      </c>
      <c r="L1104" s="16">
        <f>AVERAGE('Weekly Data'!F1052,'Weekly Data'!F1000,'Weekly Data'!F948,'Weekly Data'!F896)</f>
        <v>775</v>
      </c>
      <c r="M1104" s="16">
        <f>AVERAGE('Weekly Data'!G1052,'Weekly Data'!G1000,'Weekly Data'!G948,'Weekly Data'!G896)</f>
        <v>4727</v>
      </c>
      <c r="N1104" s="16">
        <f>AVERAGE('Weekly Data'!H1052,'Weekly Data'!H1000,'Weekly Data'!H948,'Weekly Data'!H896)</f>
        <v>588.5</v>
      </c>
      <c r="O1104" s="100">
        <f>AVERAGE('Weekly Data'!I1052,'Weekly Data'!I1000,'Weekly Data'!I948,'Weekly Data'!I896)</f>
        <v>7538.25</v>
      </c>
      <c r="P1104" s="201">
        <f>AVERAGE('Weekly Data'!J1052,'Weekly Data'!J1000,'Weekly Data'!J948,'Weekly Data'!J896)</f>
        <v>1622.8297184078478</v>
      </c>
      <c r="R1104" s="13">
        <f t="shared" si="184"/>
        <v>42018</v>
      </c>
      <c r="S1104" s="105">
        <f t="shared" ref="S1104:S1122" si="197">AVERAGE(B1052,B1000,B948,B895)</f>
        <v>875.25</v>
      </c>
      <c r="T1104" s="105">
        <f t="shared" ref="T1104:T1122" si="198">AVERAGE(C1052,C1000,C948,C895)</f>
        <v>1123.0625</v>
      </c>
      <c r="U1104" s="108">
        <f t="shared" ref="U1104:U1122" si="199">AVERAGE(D1052,D1000,D948,D895)</f>
        <v>725.625</v>
      </c>
      <c r="V1104" s="108">
        <f t="shared" ref="V1104:V1122" si="200">AVERAGE(E1052,E1000,E948,E895)</f>
        <v>4306.75</v>
      </c>
      <c r="W1104" s="109">
        <f t="shared" ref="W1104:W1122" si="201">AVERAGE(F1052,F1000,F948,F895)</f>
        <v>633.1875</v>
      </c>
      <c r="X1104" s="105">
        <f t="shared" ref="X1104:X1122" si="202">AVERAGE(G1052,G1000,G948,G895)</f>
        <v>6938.25</v>
      </c>
      <c r="Y1104" s="202">
        <f t="shared" ref="Y1104:Y1122" si="203">AVERAGE(H1052,H1000,H948,H895)</f>
        <v>1577.3713787054762</v>
      </c>
    </row>
    <row r="1105" spans="1:25" x14ac:dyDescent="0.2">
      <c r="A1105" s="104">
        <f t="shared" si="196"/>
        <v>42025</v>
      </c>
      <c r="B1105" s="59">
        <f>SUM('Weekly Data'!D1102:D1105)/4</f>
        <v>0</v>
      </c>
      <c r="C1105" s="90">
        <f>SUM('Weekly Data'!E1102:E1105)/4</f>
        <v>0</v>
      </c>
      <c r="D1105" s="90" t="s">
        <v>34</v>
      </c>
      <c r="E1105" s="90">
        <f>SUM('Weekly Data'!G1102:G1105)/4</f>
        <v>0</v>
      </c>
      <c r="F1105" s="90">
        <f>SUM('Weekly Data'!H1102:H1105)/4</f>
        <v>0</v>
      </c>
      <c r="G1105" s="90">
        <f>SUM('Weekly Data'!I1102:I1105)/4</f>
        <v>0</v>
      </c>
      <c r="H1105" s="200">
        <f>SUM('Weekly Data'!J1102:J1105)/4</f>
        <v>0</v>
      </c>
      <c r="J1105" s="100">
        <f>AVERAGE('Weekly Data'!D1053,'Weekly Data'!D1001,'Weekly Data'!D949,'Weekly Data'!D897)</f>
        <v>944.75</v>
      </c>
      <c r="K1105" s="16">
        <f>AVERAGE('Weekly Data'!E1053,'Weekly Data'!E1001,'Weekly Data'!E949,'Weekly Data'!E897)</f>
        <v>1245</v>
      </c>
      <c r="L1105" s="16">
        <f>AVERAGE('Weekly Data'!F1053,'Weekly Data'!F1001,'Weekly Data'!F949,'Weekly Data'!F897)</f>
        <v>970</v>
      </c>
      <c r="M1105" s="16">
        <f>AVERAGE('Weekly Data'!G1053,'Weekly Data'!G1001,'Weekly Data'!G949,'Weekly Data'!G897)</f>
        <v>4723.5</v>
      </c>
      <c r="N1105" s="16">
        <f>AVERAGE('Weekly Data'!H1053,'Weekly Data'!H1001,'Weekly Data'!H949,'Weekly Data'!H897)</f>
        <v>819.75</v>
      </c>
      <c r="O1105" s="100">
        <f>AVERAGE('Weekly Data'!I1053,'Weekly Data'!I1001,'Weekly Data'!I949,'Weekly Data'!I897)</f>
        <v>7733</v>
      </c>
      <c r="P1105" s="201">
        <f>AVERAGE('Weekly Data'!J1053,'Weekly Data'!J1001,'Weekly Data'!J949,'Weekly Data'!J897)</f>
        <v>1435.1329827869645</v>
      </c>
      <c r="R1105" s="13">
        <f t="shared" si="184"/>
        <v>42025</v>
      </c>
      <c r="S1105" s="105">
        <f t="shared" si="197"/>
        <v>874.75</v>
      </c>
      <c r="T1105" s="105">
        <f t="shared" si="198"/>
        <v>1271.25</v>
      </c>
      <c r="U1105" s="108">
        <f t="shared" si="199"/>
        <v>779.125</v>
      </c>
      <c r="V1105" s="108">
        <f t="shared" si="200"/>
        <v>4365.625</v>
      </c>
      <c r="W1105" s="109">
        <f t="shared" si="201"/>
        <v>667.3125</v>
      </c>
      <c r="X1105" s="105">
        <f t="shared" si="202"/>
        <v>7178.9375</v>
      </c>
      <c r="Y1105" s="202">
        <f t="shared" si="203"/>
        <v>1478.4952333830749</v>
      </c>
    </row>
    <row r="1106" spans="1:25" x14ac:dyDescent="0.2">
      <c r="A1106" s="104">
        <f t="shared" si="196"/>
        <v>42032</v>
      </c>
      <c r="B1106" s="59">
        <f>SUM('Weekly Data'!D1103:D1106)/4</f>
        <v>0</v>
      </c>
      <c r="C1106" s="90">
        <f>SUM('Weekly Data'!E1103:E1106)/4</f>
        <v>0</v>
      </c>
      <c r="D1106" s="90" t="s">
        <v>34</v>
      </c>
      <c r="E1106" s="90">
        <f>SUM('Weekly Data'!G1103:G1106)/4</f>
        <v>0</v>
      </c>
      <c r="F1106" s="90">
        <f>SUM('Weekly Data'!H1103:H1106)/4</f>
        <v>0</v>
      </c>
      <c r="G1106" s="90">
        <f>SUM('Weekly Data'!I1103:I1106)/4</f>
        <v>0</v>
      </c>
      <c r="H1106" s="200">
        <f>SUM('Weekly Data'!J1103:J1106)/4</f>
        <v>0</v>
      </c>
      <c r="J1106" s="100">
        <f>AVERAGE('Weekly Data'!D1054,'Weekly Data'!D1002,'Weekly Data'!D950,'Weekly Data'!D898)</f>
        <v>926.75</v>
      </c>
      <c r="K1106" s="16">
        <f>AVERAGE('Weekly Data'!E1054,'Weekly Data'!E1002,'Weekly Data'!E950,'Weekly Data'!E898)</f>
        <v>1341.75</v>
      </c>
      <c r="L1106" s="16">
        <f>AVERAGE('Weekly Data'!F1054,'Weekly Data'!F1002,'Weekly Data'!F950,'Weekly Data'!F898)</f>
        <v>679</v>
      </c>
      <c r="M1106" s="16">
        <f>AVERAGE('Weekly Data'!G1054,'Weekly Data'!G1002,'Weekly Data'!G950,'Weekly Data'!G898)</f>
        <v>5063.75</v>
      </c>
      <c r="N1106" s="16">
        <f>AVERAGE('Weekly Data'!H1054,'Weekly Data'!H1002,'Weekly Data'!H950,'Weekly Data'!H898)</f>
        <v>654.5</v>
      </c>
      <c r="O1106" s="100">
        <f>AVERAGE('Weekly Data'!I1054,'Weekly Data'!I1002,'Weekly Data'!I950,'Weekly Data'!I898)</f>
        <v>7986.75</v>
      </c>
      <c r="P1106" s="201">
        <f>AVERAGE('Weekly Data'!J1054,'Weekly Data'!J1002,'Weekly Data'!J950,'Weekly Data'!J898)</f>
        <v>1605.1402597803781</v>
      </c>
      <c r="R1106" s="13">
        <f t="shared" si="184"/>
        <v>42032</v>
      </c>
      <c r="S1106" s="105">
        <f t="shared" si="197"/>
        <v>901.75</v>
      </c>
      <c r="T1106" s="105">
        <f t="shared" si="198"/>
        <v>1259.3125</v>
      </c>
      <c r="U1106" s="108">
        <f t="shared" si="199"/>
        <v>741.125</v>
      </c>
      <c r="V1106" s="108">
        <f t="shared" si="200"/>
        <v>4612.375</v>
      </c>
      <c r="W1106" s="109">
        <f t="shared" si="201"/>
        <v>690.3125</v>
      </c>
      <c r="X1106" s="105">
        <f t="shared" si="202"/>
        <v>7463.75</v>
      </c>
      <c r="Y1106" s="202">
        <f t="shared" si="203"/>
        <v>1530.9037664470943</v>
      </c>
    </row>
    <row r="1107" spans="1:25" x14ac:dyDescent="0.2">
      <c r="A1107" s="104">
        <f t="shared" si="196"/>
        <v>42039</v>
      </c>
      <c r="B1107" s="59">
        <f>SUM('Weekly Data'!D1104:D1107)/4</f>
        <v>0</v>
      </c>
      <c r="C1107" s="90">
        <f>SUM('Weekly Data'!E1104:E1107)/4</f>
        <v>0</v>
      </c>
      <c r="D1107" s="90" t="s">
        <v>34</v>
      </c>
      <c r="E1107" s="90">
        <f>SUM('Weekly Data'!G1104:G1107)/4</f>
        <v>0</v>
      </c>
      <c r="F1107" s="90">
        <f>SUM('Weekly Data'!H1104:H1107)/4</f>
        <v>0</v>
      </c>
      <c r="G1107" s="90">
        <f>SUM('Weekly Data'!I1104:I1107)/4</f>
        <v>0</v>
      </c>
      <c r="H1107" s="200">
        <f>SUM('Weekly Data'!J1104:J1107)/4</f>
        <v>0</v>
      </c>
      <c r="J1107" s="100">
        <f>AVERAGE('Weekly Data'!D1055,'Weekly Data'!D1003,'Weekly Data'!D951,'Weekly Data'!D899)</f>
        <v>670</v>
      </c>
      <c r="K1107" s="16">
        <f>AVERAGE('Weekly Data'!E1055,'Weekly Data'!E1003,'Weekly Data'!E951,'Weekly Data'!E899)</f>
        <v>1166.5</v>
      </c>
      <c r="L1107" s="16">
        <f>AVERAGE('Weekly Data'!F1055,'Weekly Data'!F1003,'Weekly Data'!F951,'Weekly Data'!F899)</f>
        <v>1103.5</v>
      </c>
      <c r="M1107" s="16">
        <f>AVERAGE('Weekly Data'!G1055,'Weekly Data'!G1003,'Weekly Data'!G951,'Weekly Data'!G899)</f>
        <v>4237</v>
      </c>
      <c r="N1107" s="16">
        <f>AVERAGE('Weekly Data'!H1055,'Weekly Data'!H1003,'Weekly Data'!H951,'Weekly Data'!H899)</f>
        <v>755.5</v>
      </c>
      <c r="O1107" s="100">
        <f>AVERAGE('Weekly Data'!I1055,'Weekly Data'!I1003,'Weekly Data'!I951,'Weekly Data'!I899)</f>
        <v>6829</v>
      </c>
      <c r="P1107" s="201">
        <f>AVERAGE('Weekly Data'!J1055,'Weekly Data'!J1003,'Weekly Data'!J951,'Weekly Data'!J899)</f>
        <v>1370.5291608913817</v>
      </c>
      <c r="R1107" s="13">
        <f t="shared" si="184"/>
        <v>42039</v>
      </c>
      <c r="S1107" s="105">
        <f t="shared" si="197"/>
        <v>863.5625</v>
      </c>
      <c r="T1107" s="105">
        <f t="shared" si="198"/>
        <v>1286.4375</v>
      </c>
      <c r="U1107" s="108">
        <f t="shared" si="199"/>
        <v>810.25</v>
      </c>
      <c r="V1107" s="108">
        <f t="shared" si="200"/>
        <v>4684.5</v>
      </c>
      <c r="W1107" s="109">
        <f t="shared" si="201"/>
        <v>707.4375</v>
      </c>
      <c r="X1107" s="105">
        <f t="shared" si="202"/>
        <v>7541.9375</v>
      </c>
      <c r="Y1107" s="202">
        <f t="shared" si="203"/>
        <v>1526.3693664109426</v>
      </c>
    </row>
    <row r="1108" spans="1:25" x14ac:dyDescent="0.2">
      <c r="A1108" s="104">
        <f t="shared" si="196"/>
        <v>42046</v>
      </c>
      <c r="B1108" s="59">
        <f>SUM('Weekly Data'!D1105:D1108)/4</f>
        <v>0</v>
      </c>
      <c r="C1108" s="90">
        <f>SUM('Weekly Data'!E1105:E1108)/4</f>
        <v>0</v>
      </c>
      <c r="D1108" s="90" t="s">
        <v>34</v>
      </c>
      <c r="E1108" s="90">
        <f>SUM('Weekly Data'!G1105:G1108)/4</f>
        <v>0</v>
      </c>
      <c r="F1108" s="90">
        <f>SUM('Weekly Data'!H1105:H1108)/4</f>
        <v>0</v>
      </c>
      <c r="G1108" s="90">
        <f>SUM('Weekly Data'!I1105:I1108)/4</f>
        <v>0</v>
      </c>
      <c r="H1108" s="200">
        <f>SUM('Weekly Data'!J1105:J1108)/4</f>
        <v>0</v>
      </c>
      <c r="J1108" s="100">
        <f>AVERAGE('Weekly Data'!D1056,'Weekly Data'!D1004,'Weekly Data'!D952,'Weekly Data'!D900)</f>
        <v>1118</v>
      </c>
      <c r="K1108" s="16">
        <f>AVERAGE('Weekly Data'!E1056,'Weekly Data'!E1004,'Weekly Data'!E952,'Weekly Data'!E900)</f>
        <v>1340.75</v>
      </c>
      <c r="L1108" s="16">
        <f>AVERAGE('Weekly Data'!F1056,'Weekly Data'!F1004,'Weekly Data'!F952,'Weekly Data'!F900)</f>
        <v>607.5</v>
      </c>
      <c r="M1108" s="16">
        <f>AVERAGE('Weekly Data'!G1056,'Weekly Data'!G1004,'Weekly Data'!G952,'Weekly Data'!G900)</f>
        <v>4428</v>
      </c>
      <c r="N1108" s="16">
        <f>AVERAGE('Weekly Data'!H1056,'Weekly Data'!H1004,'Weekly Data'!H952,'Weekly Data'!H900)</f>
        <v>858.75</v>
      </c>
      <c r="O1108" s="100">
        <f>AVERAGE('Weekly Data'!I1056,'Weekly Data'!I1004,'Weekly Data'!I952,'Weekly Data'!I900)</f>
        <v>7745.5</v>
      </c>
      <c r="P1108" s="201">
        <f>AVERAGE('Weekly Data'!J1056,'Weekly Data'!J1004,'Weekly Data'!J952,'Weekly Data'!J900)</f>
        <v>1611.5349904372024</v>
      </c>
      <c r="R1108" s="13">
        <f t="shared" si="184"/>
        <v>42046</v>
      </c>
      <c r="S1108" s="105">
        <f t="shared" si="197"/>
        <v>927.0625</v>
      </c>
      <c r="T1108" s="105">
        <f t="shared" si="198"/>
        <v>1281</v>
      </c>
      <c r="U1108" s="108">
        <f t="shared" si="199"/>
        <v>879.25</v>
      </c>
      <c r="V1108" s="108">
        <f t="shared" si="200"/>
        <v>4589.875</v>
      </c>
      <c r="W1108" s="109">
        <f t="shared" si="201"/>
        <v>804.0625</v>
      </c>
      <c r="X1108" s="105">
        <f t="shared" si="202"/>
        <v>7602</v>
      </c>
      <c r="Y1108" s="202">
        <f t="shared" si="203"/>
        <v>1543.779905466643</v>
      </c>
    </row>
    <row r="1109" spans="1:25" x14ac:dyDescent="0.2">
      <c r="A1109" s="104">
        <f t="shared" si="196"/>
        <v>42053</v>
      </c>
      <c r="B1109" s="59">
        <f>SUM('Weekly Data'!D1106:D1109)/4</f>
        <v>0</v>
      </c>
      <c r="C1109" s="90">
        <f>SUM('Weekly Data'!E1106:E1109)/4</f>
        <v>0</v>
      </c>
      <c r="D1109" s="90" t="s">
        <v>34</v>
      </c>
      <c r="E1109" s="90">
        <f>SUM('Weekly Data'!G1106:G1109)/4</f>
        <v>0</v>
      </c>
      <c r="F1109" s="90">
        <f>SUM('Weekly Data'!H1106:H1109)/4</f>
        <v>0</v>
      </c>
      <c r="G1109" s="90">
        <f>SUM('Weekly Data'!I1106:I1109)/4</f>
        <v>0</v>
      </c>
      <c r="H1109" s="200">
        <f>SUM('Weekly Data'!J1106:J1109)/4</f>
        <v>0</v>
      </c>
      <c r="J1109" s="100">
        <f>AVERAGE('Weekly Data'!D1057,'Weekly Data'!D1005,'Weekly Data'!D953,'Weekly Data'!D901)</f>
        <v>692.5</v>
      </c>
      <c r="K1109" s="16">
        <f>AVERAGE('Weekly Data'!E1057,'Weekly Data'!E1005,'Weekly Data'!E953,'Weekly Data'!E901)</f>
        <v>1322.75</v>
      </c>
      <c r="L1109" s="16">
        <f>AVERAGE('Weekly Data'!F1057,'Weekly Data'!F1005,'Weekly Data'!F953,'Weekly Data'!F901)</f>
        <v>1031</v>
      </c>
      <c r="M1109" s="16">
        <f>AVERAGE('Weekly Data'!G1057,'Weekly Data'!G1005,'Weekly Data'!G953,'Weekly Data'!G901)</f>
        <v>5048.5</v>
      </c>
      <c r="N1109" s="16">
        <f>AVERAGE('Weekly Data'!H1057,'Weekly Data'!H1005,'Weekly Data'!H953,'Weekly Data'!H901)</f>
        <v>734</v>
      </c>
      <c r="O1109" s="100">
        <f>AVERAGE('Weekly Data'!I1057,'Weekly Data'!I1005,'Weekly Data'!I953,'Weekly Data'!I901)</f>
        <v>7797.75</v>
      </c>
      <c r="P1109" s="201">
        <f>AVERAGE('Weekly Data'!J1057,'Weekly Data'!J1005,'Weekly Data'!J953,'Weekly Data'!J901)</f>
        <v>1490.3117768805939</v>
      </c>
      <c r="R1109" s="13">
        <f t="shared" si="184"/>
        <v>42053</v>
      </c>
      <c r="S1109" s="105">
        <f t="shared" si="197"/>
        <v>862.0625</v>
      </c>
      <c r="T1109" s="105">
        <f t="shared" si="198"/>
        <v>1280</v>
      </c>
      <c r="U1109" s="108">
        <f t="shared" si="199"/>
        <v>843</v>
      </c>
      <c r="V1109" s="108">
        <f t="shared" si="200"/>
        <v>4728.0625</v>
      </c>
      <c r="W1109" s="109">
        <f t="shared" si="201"/>
        <v>749.5625</v>
      </c>
      <c r="X1109" s="105">
        <f t="shared" si="202"/>
        <v>7619.6875</v>
      </c>
      <c r="Y1109" s="202">
        <f t="shared" si="203"/>
        <v>1509.0124734739816</v>
      </c>
    </row>
    <row r="1110" spans="1:25" x14ac:dyDescent="0.2">
      <c r="A1110" s="104">
        <f t="shared" si="196"/>
        <v>42060</v>
      </c>
      <c r="B1110" s="59">
        <f>SUM('Weekly Data'!D1107:D1110)/4</f>
        <v>0</v>
      </c>
      <c r="C1110" s="90">
        <f>SUM('Weekly Data'!E1107:E1110)/4</f>
        <v>0</v>
      </c>
      <c r="D1110" s="90" t="s">
        <v>34</v>
      </c>
      <c r="E1110" s="90">
        <f>SUM('Weekly Data'!G1107:G1110)/4</f>
        <v>0</v>
      </c>
      <c r="F1110" s="90">
        <f>SUM('Weekly Data'!H1107:H1110)/4</f>
        <v>0</v>
      </c>
      <c r="G1110" s="90">
        <f>SUM('Weekly Data'!I1107:I1110)/4</f>
        <v>0</v>
      </c>
      <c r="H1110" s="200">
        <f>SUM('Weekly Data'!J1107:J1110)/4</f>
        <v>0</v>
      </c>
      <c r="J1110" s="100">
        <f>AVERAGE('Weekly Data'!D1058,'Weekly Data'!D1006,'Weekly Data'!D954,'Weekly Data'!D902)</f>
        <v>712.5</v>
      </c>
      <c r="K1110" s="16">
        <f>AVERAGE('Weekly Data'!E1058,'Weekly Data'!E1006,'Weekly Data'!E954,'Weekly Data'!E902)</f>
        <v>1331.25</v>
      </c>
      <c r="L1110" s="16">
        <f>AVERAGE('Weekly Data'!F1058,'Weekly Data'!F1006,'Weekly Data'!F954,'Weekly Data'!F902)</f>
        <v>845.5</v>
      </c>
      <c r="M1110" s="16">
        <f>AVERAGE('Weekly Data'!G1058,'Weekly Data'!G1006,'Weekly Data'!G954,'Weekly Data'!G902)</f>
        <v>4238.5</v>
      </c>
      <c r="N1110" s="16">
        <f>AVERAGE('Weekly Data'!H1058,'Weekly Data'!H1006,'Weekly Data'!H954,'Weekly Data'!H902)</f>
        <v>782.25</v>
      </c>
      <c r="O1110" s="100">
        <f>AVERAGE('Weekly Data'!I1058,'Weekly Data'!I1006,'Weekly Data'!I954,'Weekly Data'!I902)</f>
        <v>7064.5</v>
      </c>
      <c r="P1110" s="201">
        <f>AVERAGE('Weekly Data'!J1058,'Weekly Data'!J1006,'Weekly Data'!J954,'Weekly Data'!J902)</f>
        <v>1477.9350367737916</v>
      </c>
      <c r="R1110" s="13">
        <f t="shared" si="184"/>
        <v>42060</v>
      </c>
      <c r="S1110" s="105">
        <f t="shared" si="197"/>
        <v>785.3125</v>
      </c>
      <c r="T1110" s="105">
        <f t="shared" si="198"/>
        <v>1303.875</v>
      </c>
      <c r="U1110" s="108">
        <f t="shared" si="199"/>
        <v>944.5</v>
      </c>
      <c r="V1110" s="108">
        <f t="shared" si="200"/>
        <v>4583.0625</v>
      </c>
      <c r="W1110" s="109">
        <f t="shared" si="201"/>
        <v>769.25</v>
      </c>
      <c r="X1110" s="105">
        <f t="shared" si="202"/>
        <v>7441.5</v>
      </c>
      <c r="Y1110" s="202">
        <f t="shared" si="203"/>
        <v>1496.0040469973892</v>
      </c>
    </row>
    <row r="1111" spans="1:25" x14ac:dyDescent="0.2">
      <c r="A1111" s="104">
        <f t="shared" si="196"/>
        <v>42067</v>
      </c>
      <c r="B1111" s="59">
        <f>SUM('Weekly Data'!D1108:D1111)/4</f>
        <v>0</v>
      </c>
      <c r="C1111" s="90">
        <f>SUM('Weekly Data'!E1108:E1111)/4</f>
        <v>0</v>
      </c>
      <c r="D1111" s="90" t="s">
        <v>34</v>
      </c>
      <c r="E1111" s="90">
        <f>SUM('Weekly Data'!G1108:G1111)/4</f>
        <v>0</v>
      </c>
      <c r="F1111" s="90">
        <f>SUM('Weekly Data'!H1108:H1111)/4</f>
        <v>0</v>
      </c>
      <c r="G1111" s="90">
        <f>SUM('Weekly Data'!I1108:I1111)/4</f>
        <v>0</v>
      </c>
      <c r="H1111" s="200">
        <f>SUM('Weekly Data'!J1108:J1111)/4</f>
        <v>0</v>
      </c>
      <c r="J1111" s="100">
        <f>AVERAGE('Weekly Data'!D1059,'Weekly Data'!D1007,'Weekly Data'!D955,'Weekly Data'!D903)</f>
        <v>715.25</v>
      </c>
      <c r="K1111" s="16">
        <f>AVERAGE('Weekly Data'!E1059,'Weekly Data'!E1007,'Weekly Data'!E955,'Weekly Data'!E903)</f>
        <v>1461</v>
      </c>
      <c r="L1111" s="16">
        <f>AVERAGE('Weekly Data'!F1059,'Weekly Data'!F1007,'Weekly Data'!F955,'Weekly Data'!F903)</f>
        <v>1066.5</v>
      </c>
      <c r="M1111" s="16">
        <f>AVERAGE('Weekly Data'!G1059,'Weekly Data'!G1007,'Weekly Data'!G955,'Weekly Data'!G903)</f>
        <v>4129.75</v>
      </c>
      <c r="N1111" s="16">
        <f>AVERAGE('Weekly Data'!H1059,'Weekly Data'!H1007,'Weekly Data'!H955,'Weekly Data'!H903)</f>
        <v>618.75</v>
      </c>
      <c r="O1111" s="100">
        <f>AVERAGE('Weekly Data'!I1059,'Weekly Data'!I1007,'Weekly Data'!I955,'Weekly Data'!I903)</f>
        <v>6924.75</v>
      </c>
      <c r="P1111" s="201">
        <f>AVERAGE('Weekly Data'!J1059,'Weekly Data'!J1007,'Weekly Data'!J955,'Weekly Data'!J903)</f>
        <v>1458.8350182391559</v>
      </c>
      <c r="R1111" s="13">
        <f t="shared" si="184"/>
        <v>42067</v>
      </c>
      <c r="S1111" s="105">
        <f t="shared" si="197"/>
        <v>785.5</v>
      </c>
      <c r="T1111" s="105">
        <f t="shared" si="198"/>
        <v>1308.9375</v>
      </c>
      <c r="U1111" s="108">
        <f t="shared" si="199"/>
        <v>894.375</v>
      </c>
      <c r="V1111" s="108">
        <f t="shared" si="200"/>
        <v>4462.0625</v>
      </c>
      <c r="W1111" s="109">
        <f t="shared" si="201"/>
        <v>751.375</v>
      </c>
      <c r="X1111" s="105">
        <f t="shared" si="202"/>
        <v>7307.875</v>
      </c>
      <c r="Y1111" s="202">
        <f t="shared" si="203"/>
        <v>1510.8183662457423</v>
      </c>
    </row>
    <row r="1112" spans="1:25" x14ac:dyDescent="0.2">
      <c r="A1112" s="104">
        <f t="shared" si="196"/>
        <v>42074</v>
      </c>
      <c r="B1112" s="59">
        <f>SUM('Weekly Data'!D1109:D1112)/4</f>
        <v>0</v>
      </c>
      <c r="C1112" s="90">
        <f>SUM('Weekly Data'!E1109:E1112)/4</f>
        <v>0</v>
      </c>
      <c r="D1112" s="90" t="s">
        <v>34</v>
      </c>
      <c r="E1112" s="90">
        <f>SUM('Weekly Data'!G1109:G1112)/4</f>
        <v>0</v>
      </c>
      <c r="F1112" s="90">
        <f>SUM('Weekly Data'!H1109:H1112)/4</f>
        <v>0</v>
      </c>
      <c r="G1112" s="90">
        <f>SUM('Weekly Data'!I1109:I1112)/4</f>
        <v>0</v>
      </c>
      <c r="H1112" s="200">
        <f>SUM('Weekly Data'!J1109:J1112)/4</f>
        <v>0</v>
      </c>
      <c r="J1112" s="100">
        <f>AVERAGE('Weekly Data'!D1060,'Weekly Data'!D1008,'Weekly Data'!D956,'Weekly Data'!D904)</f>
        <v>591.75</v>
      </c>
      <c r="K1112" s="16">
        <f>AVERAGE('Weekly Data'!E1060,'Weekly Data'!E1008,'Weekly Data'!E956,'Weekly Data'!E904)</f>
        <v>1428.75</v>
      </c>
      <c r="L1112" s="16">
        <f>AVERAGE('Weekly Data'!F1060,'Weekly Data'!F1008,'Weekly Data'!F956,'Weekly Data'!F904)</f>
        <v>1037</v>
      </c>
      <c r="M1112" s="16">
        <f>AVERAGE('Weekly Data'!G1060,'Weekly Data'!G1008,'Weekly Data'!G956,'Weekly Data'!G904)</f>
        <v>4425.75</v>
      </c>
      <c r="N1112" s="16">
        <f>AVERAGE('Weekly Data'!H1060,'Weekly Data'!H1008,'Weekly Data'!H956,'Weekly Data'!H904)</f>
        <v>526</v>
      </c>
      <c r="O1112" s="100">
        <f>AVERAGE('Weekly Data'!I1060,'Weekly Data'!I1008,'Weekly Data'!I956,'Weekly Data'!I904)</f>
        <v>6972.25</v>
      </c>
      <c r="P1112" s="201">
        <f>AVERAGE('Weekly Data'!J1060,'Weekly Data'!J1008,'Weekly Data'!J956,'Weekly Data'!J904)</f>
        <v>1991.5770671491046</v>
      </c>
      <c r="R1112" s="13">
        <f t="shared" si="184"/>
        <v>42074</v>
      </c>
      <c r="S1112" s="105">
        <f t="shared" si="197"/>
        <v>684.0625</v>
      </c>
      <c r="T1112" s="105">
        <f t="shared" si="198"/>
        <v>1398.9375</v>
      </c>
      <c r="U1112" s="108">
        <f t="shared" si="199"/>
        <v>946.75</v>
      </c>
      <c r="V1112" s="108">
        <f t="shared" si="200"/>
        <v>4477.5</v>
      </c>
      <c r="W1112" s="109">
        <f t="shared" si="201"/>
        <v>656.5625</v>
      </c>
      <c r="X1112" s="105">
        <f t="shared" si="202"/>
        <v>7217.0625</v>
      </c>
      <c r="Y1112" s="202">
        <f t="shared" si="203"/>
        <v>1518.7385805826862</v>
      </c>
    </row>
    <row r="1113" spans="1:25" x14ac:dyDescent="0.2">
      <c r="A1113" s="104">
        <f t="shared" si="196"/>
        <v>42081</v>
      </c>
      <c r="B1113" s="59">
        <f>SUM('Weekly Data'!D1110:D1113)/4</f>
        <v>0</v>
      </c>
      <c r="C1113" s="90">
        <f>SUM('Weekly Data'!E1110:E1113)/4</f>
        <v>0</v>
      </c>
      <c r="D1113" s="90" t="s">
        <v>34</v>
      </c>
      <c r="E1113" s="90">
        <f>SUM('Weekly Data'!G1110:G1113)/4</f>
        <v>0</v>
      </c>
      <c r="F1113" s="90">
        <f>SUM('Weekly Data'!H1110:H1113)/4</f>
        <v>0</v>
      </c>
      <c r="G1113" s="90">
        <f>SUM('Weekly Data'!I1110:I1113)/4</f>
        <v>0</v>
      </c>
      <c r="H1113" s="200">
        <f>SUM('Weekly Data'!J1110:J1113)/4</f>
        <v>0</v>
      </c>
      <c r="J1113" s="100">
        <f>AVERAGE('Weekly Data'!D1061,'Weekly Data'!D1009,'Weekly Data'!D957,'Weekly Data'!D905)</f>
        <v>670.5</v>
      </c>
      <c r="K1113" s="16">
        <f>AVERAGE('Weekly Data'!E1061,'Weekly Data'!E1009,'Weekly Data'!E957,'Weekly Data'!E905)</f>
        <v>1429.5</v>
      </c>
      <c r="L1113" s="16">
        <f>AVERAGE('Weekly Data'!F1061,'Weekly Data'!F1009,'Weekly Data'!F957,'Weekly Data'!F905)</f>
        <v>1039</v>
      </c>
      <c r="M1113" s="16">
        <f>AVERAGE('Weekly Data'!G1061,'Weekly Data'!G1009,'Weekly Data'!G957,'Weekly Data'!G905)</f>
        <v>4274.25</v>
      </c>
      <c r="N1113" s="16">
        <f>AVERAGE('Weekly Data'!H1061,'Weekly Data'!H1009,'Weekly Data'!H957,'Weekly Data'!H905)</f>
        <v>624.25</v>
      </c>
      <c r="O1113" s="100">
        <f>AVERAGE('Weekly Data'!I1061,'Weekly Data'!I1009,'Weekly Data'!I957,'Weekly Data'!I905)</f>
        <v>6998.5</v>
      </c>
      <c r="P1113" s="201">
        <f>AVERAGE('Weekly Data'!J1061,'Weekly Data'!J1009,'Weekly Data'!J957,'Weekly Data'!J905)</f>
        <v>1669.3664423707141</v>
      </c>
      <c r="R1113" s="13">
        <f t="shared" si="184"/>
        <v>42081</v>
      </c>
      <c r="S1113" s="105">
        <f t="shared" si="197"/>
        <v>630.625</v>
      </c>
      <c r="T1113" s="105">
        <f t="shared" si="198"/>
        <v>1393.0625</v>
      </c>
      <c r="U1113" s="108">
        <f t="shared" si="199"/>
        <v>956.625</v>
      </c>
      <c r="V1113" s="108">
        <f t="shared" si="200"/>
        <v>4232.375</v>
      </c>
      <c r="W1113" s="109">
        <f t="shared" si="201"/>
        <v>636.125</v>
      </c>
      <c r="X1113" s="105">
        <f t="shared" si="202"/>
        <v>6892.1875</v>
      </c>
      <c r="Y1113" s="202">
        <f t="shared" si="203"/>
        <v>1662.0678497606614</v>
      </c>
    </row>
    <row r="1114" spans="1:25" x14ac:dyDescent="0.2">
      <c r="A1114" s="104">
        <f t="shared" si="196"/>
        <v>42088</v>
      </c>
      <c r="B1114" s="59">
        <f>SUM('Weekly Data'!D1111:D1114)/4</f>
        <v>0</v>
      </c>
      <c r="C1114" s="90">
        <f>SUM('Weekly Data'!E1111:E1114)/4</f>
        <v>0</v>
      </c>
      <c r="D1114" s="90" t="s">
        <v>34</v>
      </c>
      <c r="E1114" s="90">
        <f>SUM('Weekly Data'!G1111:G1114)/4</f>
        <v>0</v>
      </c>
      <c r="F1114" s="90">
        <f>SUM('Weekly Data'!H1111:H1114)/4</f>
        <v>0</v>
      </c>
      <c r="G1114" s="90">
        <f>SUM('Weekly Data'!I1111:I1114)/4</f>
        <v>0</v>
      </c>
      <c r="H1114" s="200">
        <f>SUM('Weekly Data'!J1111:J1114)/4</f>
        <v>0</v>
      </c>
      <c r="J1114" s="100">
        <f>AVERAGE('Weekly Data'!D1062,'Weekly Data'!D1010,'Weekly Data'!D958,'Weekly Data'!D906)</f>
        <v>552.25</v>
      </c>
      <c r="K1114" s="16">
        <f>AVERAGE('Weekly Data'!E1062,'Weekly Data'!E1010,'Weekly Data'!E958,'Weekly Data'!E906)</f>
        <v>1542.5</v>
      </c>
      <c r="L1114" s="16">
        <f>AVERAGE('Weekly Data'!F1062,'Weekly Data'!F1010,'Weekly Data'!F958,'Weekly Data'!F906)</f>
        <v>1406</v>
      </c>
      <c r="M1114" s="16">
        <f>AVERAGE('Weekly Data'!G1062,'Weekly Data'!G1010,'Weekly Data'!G958,'Weekly Data'!G906)</f>
        <v>4758.75</v>
      </c>
      <c r="N1114" s="16">
        <f>AVERAGE('Weekly Data'!H1062,'Weekly Data'!H1010,'Weekly Data'!H958,'Weekly Data'!H906)</f>
        <v>598.5</v>
      </c>
      <c r="O1114" s="100">
        <f>AVERAGE('Weekly Data'!I1062,'Weekly Data'!I1010,'Weekly Data'!I958,'Weekly Data'!I906)</f>
        <v>7452</v>
      </c>
      <c r="P1114" s="201">
        <f>AVERAGE('Weekly Data'!J1062,'Weekly Data'!J1010,'Weekly Data'!J958,'Weekly Data'!J906)</f>
        <v>1960.1848831243487</v>
      </c>
      <c r="R1114" s="13">
        <f t="shared" si="184"/>
        <v>42088</v>
      </c>
      <c r="S1114" s="105">
        <f t="shared" si="197"/>
        <v>624</v>
      </c>
      <c r="T1114" s="105">
        <f t="shared" si="198"/>
        <v>1445.375</v>
      </c>
      <c r="U1114" s="108">
        <f t="shared" si="199"/>
        <v>1019.125</v>
      </c>
      <c r="V1114" s="108">
        <f t="shared" si="200"/>
        <v>4280.3125</v>
      </c>
      <c r="W1114" s="109">
        <f t="shared" si="201"/>
        <v>597.8125</v>
      </c>
      <c r="X1114" s="105">
        <f t="shared" si="202"/>
        <v>6947.5</v>
      </c>
      <c r="Y1114" s="202">
        <f t="shared" si="203"/>
        <v>1708.6783911331913</v>
      </c>
    </row>
    <row r="1115" spans="1:25" x14ac:dyDescent="0.2">
      <c r="A1115" s="104">
        <f t="shared" si="196"/>
        <v>42095</v>
      </c>
      <c r="B1115" s="59">
        <f>SUM('Weekly Data'!D1112:D1115)/4</f>
        <v>0</v>
      </c>
      <c r="C1115" s="90">
        <f>SUM('Weekly Data'!E1112:E1115)/4</f>
        <v>0</v>
      </c>
      <c r="D1115" s="90" t="s">
        <v>34</v>
      </c>
      <c r="E1115" s="90">
        <f>SUM('Weekly Data'!G1112:G1115)/4</f>
        <v>0</v>
      </c>
      <c r="F1115" s="90">
        <f>SUM('Weekly Data'!H1112:H1115)/4</f>
        <v>0</v>
      </c>
      <c r="G1115" s="90">
        <f>SUM('Weekly Data'!I1112:I1115)/4</f>
        <v>0</v>
      </c>
      <c r="H1115" s="200">
        <f>SUM('Weekly Data'!J1112:J1115)/4</f>
        <v>0</v>
      </c>
      <c r="J1115" s="100">
        <f>AVERAGE('Weekly Data'!D1063,'Weekly Data'!D1011,'Weekly Data'!D959,'Weekly Data'!D907)</f>
        <v>647.25</v>
      </c>
      <c r="K1115" s="16">
        <f>AVERAGE('Weekly Data'!E1063,'Weekly Data'!E1011,'Weekly Data'!E959,'Weekly Data'!E907)</f>
        <v>1757</v>
      </c>
      <c r="L1115" s="16">
        <f>AVERAGE('Weekly Data'!F1063,'Weekly Data'!F1011,'Weekly Data'!F959,'Weekly Data'!F907)</f>
        <v>1875.5</v>
      </c>
      <c r="M1115" s="16">
        <f>AVERAGE('Weekly Data'!G1063,'Weekly Data'!G1011,'Weekly Data'!G959,'Weekly Data'!G907)</f>
        <v>4010.75</v>
      </c>
      <c r="N1115" s="16">
        <f>AVERAGE('Weekly Data'!H1063,'Weekly Data'!H1011,'Weekly Data'!H959,'Weekly Data'!H907)</f>
        <v>432.75</v>
      </c>
      <c r="O1115" s="100">
        <f>AVERAGE('Weekly Data'!I1063,'Weekly Data'!I1011,'Weekly Data'!I959,'Weekly Data'!I907)</f>
        <v>6847.75</v>
      </c>
      <c r="P1115" s="201">
        <f>AVERAGE('Weekly Data'!J1063,'Weekly Data'!J1011,'Weekly Data'!J959,'Weekly Data'!J907)</f>
        <v>1925.2404292782774</v>
      </c>
      <c r="R1115" s="13">
        <f t="shared" si="184"/>
        <v>42095</v>
      </c>
      <c r="S1115" s="105">
        <f t="shared" si="197"/>
        <v>616</v>
      </c>
      <c r="T1115" s="105">
        <f t="shared" si="198"/>
        <v>1533.25</v>
      </c>
      <c r="U1115" s="108">
        <f t="shared" si="199"/>
        <v>1265.875</v>
      </c>
      <c r="V1115" s="108">
        <f t="shared" si="200"/>
        <v>4351.5</v>
      </c>
      <c r="W1115" s="109">
        <f t="shared" si="201"/>
        <v>554.625</v>
      </c>
      <c r="X1115" s="105">
        <f t="shared" si="202"/>
        <v>7055.375</v>
      </c>
      <c r="Y1115" s="202">
        <f t="shared" si="203"/>
        <v>1844.9596027208308</v>
      </c>
    </row>
    <row r="1116" spans="1:25" x14ac:dyDescent="0.2">
      <c r="A1116" s="104">
        <f t="shared" si="196"/>
        <v>42102</v>
      </c>
      <c r="B1116" s="59">
        <f>SUM('Weekly Data'!D1113:D1116)/4</f>
        <v>0</v>
      </c>
      <c r="C1116" s="90">
        <f>SUM('Weekly Data'!E1113:E1116)/4</f>
        <v>0</v>
      </c>
      <c r="D1116" s="90" t="s">
        <v>34</v>
      </c>
      <c r="E1116" s="90">
        <f>SUM('Weekly Data'!G1113:G1116)/4</f>
        <v>0</v>
      </c>
      <c r="F1116" s="90">
        <f>SUM('Weekly Data'!H1113:H1116)/4</f>
        <v>0</v>
      </c>
      <c r="G1116" s="90">
        <f>SUM('Weekly Data'!I1113:I1116)/4</f>
        <v>0</v>
      </c>
      <c r="H1116" s="200">
        <f>SUM('Weekly Data'!J1113:J1116)/4</f>
        <v>0</v>
      </c>
      <c r="J1116" s="100">
        <f>AVERAGE('Weekly Data'!D1064,'Weekly Data'!D1012,'Weekly Data'!D960,'Weekly Data'!D908)</f>
        <v>483.75</v>
      </c>
      <c r="K1116" s="16">
        <f>AVERAGE('Weekly Data'!E1064,'Weekly Data'!E1012,'Weekly Data'!E960,'Weekly Data'!E908)</f>
        <v>1661</v>
      </c>
      <c r="L1116" s="16">
        <f>AVERAGE('Weekly Data'!F1064,'Weekly Data'!F1012,'Weekly Data'!F960,'Weekly Data'!F908)</f>
        <v>1068.5</v>
      </c>
      <c r="M1116" s="16">
        <f>AVERAGE('Weekly Data'!G1064,'Weekly Data'!G1012,'Weekly Data'!G960,'Weekly Data'!G908)</f>
        <v>3750.5</v>
      </c>
      <c r="N1116" s="16">
        <f>AVERAGE('Weekly Data'!H1064,'Weekly Data'!H1012,'Weekly Data'!H960,'Weekly Data'!H908)</f>
        <v>394.25</v>
      </c>
      <c r="O1116" s="100">
        <f>AVERAGE('Weekly Data'!I1064,'Weekly Data'!I1012,'Weekly Data'!I960,'Weekly Data'!I908)</f>
        <v>6289.5</v>
      </c>
      <c r="P1116" s="201">
        <f>AVERAGE('Weekly Data'!J1064,'Weekly Data'!J1012,'Weekly Data'!J960,'Weekly Data'!J908)</f>
        <v>2473.9702218246675</v>
      </c>
      <c r="R1116" s="13">
        <f t="shared" si="184"/>
        <v>42102</v>
      </c>
      <c r="S1116" s="105">
        <f t="shared" si="197"/>
        <v>613.9375</v>
      </c>
      <c r="T1116" s="105">
        <f t="shared" si="198"/>
        <v>1573.875</v>
      </c>
      <c r="U1116" s="108">
        <f t="shared" si="199"/>
        <v>1291.625</v>
      </c>
      <c r="V1116" s="108">
        <f t="shared" si="200"/>
        <v>4189.1875</v>
      </c>
      <c r="W1116" s="109">
        <f t="shared" si="201"/>
        <v>518.4375</v>
      </c>
      <c r="X1116" s="105">
        <f t="shared" si="202"/>
        <v>6895.4375</v>
      </c>
      <c r="Y1116" s="202">
        <f t="shared" si="203"/>
        <v>1900.420330480611</v>
      </c>
    </row>
    <row r="1117" spans="1:25" x14ac:dyDescent="0.2">
      <c r="A1117" s="104">
        <f t="shared" si="196"/>
        <v>42109</v>
      </c>
      <c r="B1117" s="59">
        <f>SUM('Weekly Data'!D1114:D1117)/4</f>
        <v>0</v>
      </c>
      <c r="C1117" s="90">
        <f>SUM('Weekly Data'!E1114:E1117)/4</f>
        <v>0</v>
      </c>
      <c r="D1117" s="90" t="s">
        <v>34</v>
      </c>
      <c r="E1117" s="90">
        <f>SUM('Weekly Data'!G1114:G1117)/4</f>
        <v>0</v>
      </c>
      <c r="F1117" s="90">
        <f>SUM('Weekly Data'!H1114:H1117)/4</f>
        <v>0</v>
      </c>
      <c r="G1117" s="90">
        <f>SUM('Weekly Data'!I1114:I1117)/4</f>
        <v>0</v>
      </c>
      <c r="H1117" s="200">
        <f>SUM('Weekly Data'!J1114:J1117)/4</f>
        <v>0</v>
      </c>
      <c r="J1117" s="100">
        <f>AVERAGE('Weekly Data'!D1065,'Weekly Data'!D1013,'Weekly Data'!D961,'Weekly Data'!D909)</f>
        <v>248.75</v>
      </c>
      <c r="K1117" s="16">
        <f>AVERAGE('Weekly Data'!E1065,'Weekly Data'!E1013,'Weekly Data'!E961,'Weekly Data'!E909)</f>
        <v>1703.75</v>
      </c>
      <c r="L1117" s="16">
        <f>AVERAGE('Weekly Data'!F1065,'Weekly Data'!F1013,'Weekly Data'!F961,'Weekly Data'!F909)</f>
        <v>1483.5</v>
      </c>
      <c r="M1117" s="16">
        <f>AVERAGE('Weekly Data'!G1065,'Weekly Data'!G1013,'Weekly Data'!G961,'Weekly Data'!G909)</f>
        <v>3637.25</v>
      </c>
      <c r="N1117" s="16">
        <f>AVERAGE('Weekly Data'!H1065,'Weekly Data'!H1013,'Weekly Data'!H961,'Weekly Data'!H909)</f>
        <v>448.5</v>
      </c>
      <c r="O1117" s="100">
        <f>AVERAGE('Weekly Data'!I1065,'Weekly Data'!I1013,'Weekly Data'!I961,'Weekly Data'!I909)</f>
        <v>6038.25</v>
      </c>
      <c r="P1117" s="201">
        <f>AVERAGE('Weekly Data'!J1065,'Weekly Data'!J1013,'Weekly Data'!J961,'Weekly Data'!J909)</f>
        <v>2109.6320716350237</v>
      </c>
      <c r="R1117" s="13">
        <f t="shared" si="184"/>
        <v>42109</v>
      </c>
      <c r="S1117" s="105">
        <f t="shared" si="197"/>
        <v>575.375</v>
      </c>
      <c r="T1117" s="105">
        <f t="shared" si="198"/>
        <v>1675.6875</v>
      </c>
      <c r="U1117" s="108">
        <f t="shared" si="199"/>
        <v>1394.75</v>
      </c>
      <c r="V1117" s="108">
        <f t="shared" si="200"/>
        <v>4077.75</v>
      </c>
      <c r="W1117" s="109">
        <f t="shared" si="201"/>
        <v>485.5625</v>
      </c>
      <c r="X1117" s="105">
        <f t="shared" si="202"/>
        <v>6814.375</v>
      </c>
      <c r="Y1117" s="202">
        <f t="shared" si="203"/>
        <v>2040.034244149502</v>
      </c>
    </row>
    <row r="1118" spans="1:25" x14ac:dyDescent="0.2">
      <c r="A1118" s="104">
        <f t="shared" si="196"/>
        <v>42116</v>
      </c>
      <c r="B1118" s="59">
        <f>SUM('Weekly Data'!D1115:D1118)/4</f>
        <v>0</v>
      </c>
      <c r="C1118" s="90">
        <f>SUM('Weekly Data'!E1115:E1118)/4</f>
        <v>0</v>
      </c>
      <c r="D1118" s="90" t="s">
        <v>34</v>
      </c>
      <c r="E1118" s="90">
        <f>SUM('Weekly Data'!G1115:G1118)/4</f>
        <v>0</v>
      </c>
      <c r="F1118" s="90">
        <f>SUM('Weekly Data'!H1115:H1118)/4</f>
        <v>0</v>
      </c>
      <c r="G1118" s="90">
        <f>SUM('Weekly Data'!I1115:I1118)/4</f>
        <v>0</v>
      </c>
      <c r="H1118" s="200">
        <f>SUM('Weekly Data'!J1115:J1118)/4</f>
        <v>0</v>
      </c>
      <c r="J1118" s="100">
        <f>AVERAGE('Weekly Data'!D1066,'Weekly Data'!D1014,'Weekly Data'!D962,'Weekly Data'!D910)</f>
        <v>265.5</v>
      </c>
      <c r="K1118" s="16">
        <f>AVERAGE('Weekly Data'!E1066,'Weekly Data'!E1014,'Weekly Data'!E962,'Weekly Data'!E910)</f>
        <v>1653.75</v>
      </c>
      <c r="L1118" s="16">
        <f>AVERAGE('Weekly Data'!F1066,'Weekly Data'!F1014,'Weekly Data'!F962,'Weekly Data'!F910)</f>
        <v>1113.5</v>
      </c>
      <c r="M1118" s="16">
        <f>AVERAGE('Weekly Data'!G1066,'Weekly Data'!G1014,'Weekly Data'!G962,'Weekly Data'!G910)</f>
        <v>3471.5</v>
      </c>
      <c r="N1118" s="16">
        <f>AVERAGE('Weekly Data'!H1066,'Weekly Data'!H1014,'Weekly Data'!H962,'Weekly Data'!H910)</f>
        <v>457.25</v>
      </c>
      <c r="O1118" s="100">
        <f>AVERAGE('Weekly Data'!I1066,'Weekly Data'!I1014,'Weekly Data'!I962,'Weekly Data'!I910)</f>
        <v>5848</v>
      </c>
      <c r="P1118" s="201">
        <f>AVERAGE('Weekly Data'!J1066,'Weekly Data'!J1014,'Weekly Data'!J962,'Weekly Data'!J910)</f>
        <v>2034.4083588520343</v>
      </c>
      <c r="R1118" s="13">
        <f t="shared" si="184"/>
        <v>42116</v>
      </c>
      <c r="S1118" s="105">
        <f t="shared" si="197"/>
        <v>461.3125</v>
      </c>
      <c r="T1118" s="105">
        <f t="shared" si="198"/>
        <v>1688.5625</v>
      </c>
      <c r="U1118" s="108">
        <f t="shared" si="199"/>
        <v>1401.5</v>
      </c>
      <c r="V1118" s="108">
        <f t="shared" si="200"/>
        <v>3779.1875</v>
      </c>
      <c r="W1118" s="109">
        <f t="shared" si="201"/>
        <v>439.5</v>
      </c>
      <c r="X1118" s="105">
        <f t="shared" si="202"/>
        <v>6368.5625</v>
      </c>
      <c r="Y1118" s="202">
        <f t="shared" si="203"/>
        <v>2113.8600264655793</v>
      </c>
    </row>
    <row r="1119" spans="1:25" x14ac:dyDescent="0.2">
      <c r="A1119" s="104">
        <f t="shared" si="196"/>
        <v>42123</v>
      </c>
      <c r="B1119" s="59">
        <f>SUM('Weekly Data'!D1116:D1119)/4</f>
        <v>0</v>
      </c>
      <c r="C1119" s="90">
        <f>SUM('Weekly Data'!E1116:E1119)/4</f>
        <v>0</v>
      </c>
      <c r="D1119" s="90" t="s">
        <v>34</v>
      </c>
      <c r="E1119" s="90">
        <f>SUM('Weekly Data'!G1116:G1119)/4</f>
        <v>0</v>
      </c>
      <c r="F1119" s="90">
        <f>SUM('Weekly Data'!H1116:H1119)/4</f>
        <v>0</v>
      </c>
      <c r="G1119" s="90">
        <f>SUM('Weekly Data'!I1116:I1119)/4</f>
        <v>0</v>
      </c>
      <c r="H1119" s="200">
        <f>SUM('Weekly Data'!J1116:J1119)/4</f>
        <v>0</v>
      </c>
      <c r="J1119" s="100">
        <f>AVERAGE('Weekly Data'!D1067,'Weekly Data'!D1015,'Weekly Data'!D963,'Weekly Data'!D911)</f>
        <v>286.75</v>
      </c>
      <c r="K1119" s="16">
        <f>AVERAGE('Weekly Data'!E1067,'Weekly Data'!E1015,'Weekly Data'!E963,'Weekly Data'!E911)</f>
        <v>1657.5</v>
      </c>
      <c r="L1119" s="16">
        <f>AVERAGE('Weekly Data'!F1067,'Weekly Data'!F1015,'Weekly Data'!F963,'Weekly Data'!F911)</f>
        <v>1425.5</v>
      </c>
      <c r="M1119" s="16">
        <f>AVERAGE('Weekly Data'!G1067,'Weekly Data'!G1015,'Weekly Data'!G963,'Weekly Data'!G911)</f>
        <v>3310</v>
      </c>
      <c r="N1119" s="16">
        <f>AVERAGE('Weekly Data'!H1067,'Weekly Data'!H1015,'Weekly Data'!H963,'Weekly Data'!H911)</f>
        <v>343</v>
      </c>
      <c r="O1119" s="100">
        <f>AVERAGE('Weekly Data'!I1067,'Weekly Data'!I1015,'Weekly Data'!I963,'Weekly Data'!I911)</f>
        <v>5597.25</v>
      </c>
      <c r="P1119" s="201">
        <f>AVERAGE('Weekly Data'!J1067,'Weekly Data'!J1015,'Weekly Data'!J963,'Weekly Data'!J911)</f>
        <v>2085.2541674725207</v>
      </c>
      <c r="R1119" s="13">
        <f t="shared" si="184"/>
        <v>42123</v>
      </c>
      <c r="S1119" s="105">
        <f t="shared" si="197"/>
        <v>364.9375</v>
      </c>
      <c r="T1119" s="105">
        <f t="shared" si="198"/>
        <v>1697.5625</v>
      </c>
      <c r="U1119" s="108">
        <f t="shared" si="199"/>
        <v>1331.125</v>
      </c>
      <c r="V1119" s="108">
        <f t="shared" si="200"/>
        <v>3582.875</v>
      </c>
      <c r="W1119" s="109">
        <f t="shared" si="201"/>
        <v>423.8125</v>
      </c>
      <c r="X1119" s="105">
        <f t="shared" si="202"/>
        <v>6069.1875</v>
      </c>
      <c r="Y1119" s="202">
        <f t="shared" si="203"/>
        <v>2137.7315203975008</v>
      </c>
    </row>
    <row r="1120" spans="1:25" x14ac:dyDescent="0.2">
      <c r="A1120" s="104">
        <f t="shared" si="196"/>
        <v>42130</v>
      </c>
      <c r="B1120" s="59">
        <f>SUM('Weekly Data'!D1117:D1120)/4</f>
        <v>0</v>
      </c>
      <c r="C1120" s="90">
        <f>SUM('Weekly Data'!E1117:E1120)/4</f>
        <v>0</v>
      </c>
      <c r="D1120" s="90" t="s">
        <v>34</v>
      </c>
      <c r="E1120" s="90">
        <f>SUM('Weekly Data'!G1117:G1120)/4</f>
        <v>0</v>
      </c>
      <c r="F1120" s="90">
        <f>SUM('Weekly Data'!H1117:H1120)/4</f>
        <v>0</v>
      </c>
      <c r="G1120" s="90">
        <f>SUM('Weekly Data'!I1117:I1120)/4</f>
        <v>0</v>
      </c>
      <c r="H1120" s="200">
        <f>SUM('Weekly Data'!J1117:J1120)/4</f>
        <v>0</v>
      </c>
      <c r="J1120" s="100">
        <f>AVERAGE('Weekly Data'!D1068,'Weekly Data'!D1016,'Weekly Data'!D964,'Weekly Data'!D912)</f>
        <v>307.75</v>
      </c>
      <c r="K1120" s="16">
        <f>AVERAGE('Weekly Data'!E1068,'Weekly Data'!E1016,'Weekly Data'!E964,'Weekly Data'!E912)</f>
        <v>1709.75</v>
      </c>
      <c r="L1120" s="16">
        <f>AVERAGE('Weekly Data'!F1068,'Weekly Data'!F1016,'Weekly Data'!F964,'Weekly Data'!F912)</f>
        <v>1235.5</v>
      </c>
      <c r="M1120" s="16">
        <f>AVERAGE('Weekly Data'!G1068,'Weekly Data'!G1016,'Weekly Data'!G964,'Weekly Data'!G912)</f>
        <v>3312.5</v>
      </c>
      <c r="N1120" s="16">
        <f>AVERAGE('Weekly Data'!H1068,'Weekly Data'!H1016,'Weekly Data'!H964,'Weekly Data'!H912)</f>
        <v>306</v>
      </c>
      <c r="O1120" s="100">
        <f>AVERAGE('Weekly Data'!I1068,'Weekly Data'!I1016,'Weekly Data'!I964,'Weekly Data'!I912)</f>
        <v>5636</v>
      </c>
      <c r="P1120" s="201">
        <f>AVERAGE('Weekly Data'!J1068,'Weekly Data'!J1016,'Weekly Data'!J964,'Weekly Data'!J912)</f>
        <v>2089.6843997464248</v>
      </c>
      <c r="R1120" s="13">
        <f t="shared" si="184"/>
        <v>42130</v>
      </c>
      <c r="S1120" s="105">
        <f t="shared" si="197"/>
        <v>272.5</v>
      </c>
      <c r="T1120" s="105">
        <f t="shared" si="198"/>
        <v>1715.875</v>
      </c>
      <c r="U1120" s="108">
        <f t="shared" si="199"/>
        <v>1317.125</v>
      </c>
      <c r="V1120" s="108">
        <f t="shared" si="200"/>
        <v>3433.5</v>
      </c>
      <c r="W1120" s="109">
        <f t="shared" si="201"/>
        <v>383.0625</v>
      </c>
      <c r="X1120" s="105">
        <f t="shared" si="202"/>
        <v>5804.9375</v>
      </c>
      <c r="Y1120" s="202">
        <f t="shared" si="203"/>
        <v>2163.009954946062</v>
      </c>
    </row>
    <row r="1121" spans="1:25" x14ac:dyDescent="0.2">
      <c r="A1121" s="104">
        <f t="shared" si="196"/>
        <v>42137</v>
      </c>
      <c r="B1121" s="59">
        <f>SUM('Weekly Data'!D1118:D1121)/4</f>
        <v>0</v>
      </c>
      <c r="C1121" s="90">
        <f>SUM('Weekly Data'!E1118:E1121)/4</f>
        <v>0</v>
      </c>
      <c r="D1121" s="90" t="s">
        <v>34</v>
      </c>
      <c r="E1121" s="90">
        <f>SUM('Weekly Data'!G1118:G1121)/4</f>
        <v>0</v>
      </c>
      <c r="F1121" s="90">
        <f>SUM('Weekly Data'!H1118:H1121)/4</f>
        <v>0</v>
      </c>
      <c r="G1121" s="90">
        <f>SUM('Weekly Data'!I1118:I1121)/4</f>
        <v>0</v>
      </c>
      <c r="H1121" s="200">
        <f>SUM('Weekly Data'!J1118:J1121)/4</f>
        <v>0</v>
      </c>
      <c r="J1121" s="100">
        <f>AVERAGE('Weekly Data'!D1069,'Weekly Data'!D1017,'Weekly Data'!D965,'Weekly Data'!D913)</f>
        <v>266.75</v>
      </c>
      <c r="K1121" s="16">
        <f>AVERAGE('Weekly Data'!E1069,'Weekly Data'!E1017,'Weekly Data'!E965,'Weekly Data'!E913)</f>
        <v>1084.25</v>
      </c>
      <c r="L1121" s="16">
        <f>AVERAGE('Weekly Data'!F1069,'Weekly Data'!F1017,'Weekly Data'!F965,'Weekly Data'!F913)</f>
        <v>1156</v>
      </c>
      <c r="M1121" s="16">
        <f>AVERAGE('Weekly Data'!G1069,'Weekly Data'!G1017,'Weekly Data'!G965,'Weekly Data'!G913)</f>
        <v>2974.25</v>
      </c>
      <c r="N1121" s="16">
        <f>AVERAGE('Weekly Data'!H1069,'Weekly Data'!H1017,'Weekly Data'!H965,'Weekly Data'!H913)</f>
        <v>302.75</v>
      </c>
      <c r="O1121" s="100">
        <f>AVERAGE('Weekly Data'!I1069,'Weekly Data'!I1017,'Weekly Data'!I965,'Weekly Data'!I913)</f>
        <v>4628</v>
      </c>
      <c r="P1121" s="201">
        <f>AVERAGE('Weekly Data'!J1069,'Weekly Data'!J1017,'Weekly Data'!J965,'Weekly Data'!J913)</f>
        <v>2014.3345163265963</v>
      </c>
      <c r="R1121" s="13">
        <f t="shared" si="184"/>
        <v>42137</v>
      </c>
      <c r="S1121" s="105">
        <f t="shared" si="197"/>
        <v>262.375</v>
      </c>
      <c r="T1121" s="105">
        <f t="shared" si="198"/>
        <v>1564.875</v>
      </c>
      <c r="U1121" s="108">
        <f t="shared" si="199"/>
        <v>1262.375</v>
      </c>
      <c r="V1121" s="108">
        <f t="shared" si="200"/>
        <v>3287</v>
      </c>
      <c r="W1121" s="109">
        <f t="shared" si="201"/>
        <v>361.875</v>
      </c>
      <c r="X1121" s="105">
        <f t="shared" si="202"/>
        <v>5476.125</v>
      </c>
      <c r="Y1121" s="202">
        <f t="shared" si="203"/>
        <v>2147.500999426501</v>
      </c>
    </row>
    <row r="1122" spans="1:25" x14ac:dyDescent="0.2">
      <c r="A1122" s="104">
        <f t="shared" si="196"/>
        <v>42144</v>
      </c>
      <c r="B1122" s="59">
        <f>SUM('Weekly Data'!D1119:D1122)/4</f>
        <v>0</v>
      </c>
      <c r="C1122" s="90">
        <f>SUM('Weekly Data'!E1119:E1122)/4</f>
        <v>0</v>
      </c>
      <c r="D1122" s="90" t="s">
        <v>34</v>
      </c>
      <c r="E1122" s="90">
        <f>SUM('Weekly Data'!G1119:G1122)/4</f>
        <v>0</v>
      </c>
      <c r="F1122" s="90">
        <f>SUM('Weekly Data'!H1119:H1122)/4</f>
        <v>0</v>
      </c>
      <c r="G1122" s="90">
        <f>SUM('Weekly Data'!I1119:I1122)/4</f>
        <v>0</v>
      </c>
      <c r="H1122" s="200">
        <f>SUM('Weekly Data'!J1119:J1122)/4</f>
        <v>0</v>
      </c>
      <c r="J1122" s="100">
        <f>AVERAGE('Weekly Data'!D1070,'Weekly Data'!D1018,'Weekly Data'!D966,'Weekly Data'!D914)</f>
        <v>219</v>
      </c>
      <c r="K1122" s="16">
        <f>AVERAGE('Weekly Data'!E1070,'Weekly Data'!E1018,'Weekly Data'!E966,'Weekly Data'!E914)</f>
        <v>1846.25</v>
      </c>
      <c r="L1122" s="16">
        <f>AVERAGE('Weekly Data'!F1070,'Weekly Data'!F1018,'Weekly Data'!F966,'Weekly Data'!F914)</f>
        <v>1204</v>
      </c>
      <c r="M1122" s="16">
        <f>AVERAGE('Weekly Data'!G1070,'Weekly Data'!G1018,'Weekly Data'!G966,'Weekly Data'!G914)</f>
        <v>3083.25</v>
      </c>
      <c r="N1122" s="16">
        <f>AVERAGE('Weekly Data'!H1070,'Weekly Data'!H1018,'Weekly Data'!H966,'Weekly Data'!H914)</f>
        <v>286.5</v>
      </c>
      <c r="O1122" s="100">
        <f>AVERAGE('Weekly Data'!I1070,'Weekly Data'!I1018,'Weekly Data'!I966,'Weekly Data'!I914)</f>
        <v>5435</v>
      </c>
      <c r="P1122" s="201">
        <f>AVERAGE('Weekly Data'!J1070,'Weekly Data'!J1018,'Weekly Data'!J966,'Weekly Data'!J914)</f>
        <v>1881.3507799320935</v>
      </c>
      <c r="R1122" s="13">
        <f t="shared" si="184"/>
        <v>42144</v>
      </c>
      <c r="S1122" s="105">
        <f t="shared" si="197"/>
        <v>265.5625</v>
      </c>
      <c r="T1122" s="105">
        <f t="shared" si="198"/>
        <v>1614.3125</v>
      </c>
      <c r="U1122" s="108">
        <f t="shared" si="199"/>
        <v>1236.5</v>
      </c>
      <c r="V1122" s="108">
        <f t="shared" si="200"/>
        <v>3144.6875</v>
      </c>
      <c r="W1122" s="109">
        <f t="shared" si="201"/>
        <v>321.625</v>
      </c>
      <c r="X1122" s="105">
        <f t="shared" si="202"/>
        <v>5346.1875</v>
      </c>
      <c r="Y1122" s="202">
        <f t="shared" si="203"/>
        <v>2033.0672355993941</v>
      </c>
    </row>
    <row r="1123" spans="1:25" x14ac:dyDescent="0.2">
      <c r="A1123" s="104">
        <f t="shared" si="196"/>
        <v>42151</v>
      </c>
    </row>
    <row r="1124" spans="1:25" x14ac:dyDescent="0.2">
      <c r="A1124" s="104">
        <f t="shared" si="196"/>
        <v>42158</v>
      </c>
    </row>
    <row r="1125" spans="1:25" x14ac:dyDescent="0.2">
      <c r="A1125" s="104">
        <f t="shared" si="196"/>
        <v>42165</v>
      </c>
    </row>
    <row r="1126" spans="1:25" x14ac:dyDescent="0.2">
      <c r="A1126" s="104">
        <f t="shared" si="196"/>
        <v>42172</v>
      </c>
    </row>
    <row r="1127" spans="1:25" x14ac:dyDescent="0.2">
      <c r="A1127" s="104">
        <f t="shared" si="196"/>
        <v>42179</v>
      </c>
    </row>
    <row r="1128" spans="1:25" x14ac:dyDescent="0.2">
      <c r="A1128" s="104">
        <f t="shared" si="196"/>
        <v>42186</v>
      </c>
    </row>
    <row r="1129" spans="1:25" x14ac:dyDescent="0.2">
      <c r="A1129" s="104">
        <f t="shared" si="196"/>
        <v>42193</v>
      </c>
    </row>
    <row r="1130" spans="1:25" x14ac:dyDescent="0.2">
      <c r="A1130" s="104">
        <f t="shared" si="196"/>
        <v>42200</v>
      </c>
    </row>
    <row r="1131" spans="1:25" x14ac:dyDescent="0.2">
      <c r="A1131" s="104">
        <f t="shared" si="196"/>
        <v>42207</v>
      </c>
    </row>
    <row r="1132" spans="1:25" x14ac:dyDescent="0.2">
      <c r="A1132" s="104">
        <f t="shared" si="196"/>
        <v>42214</v>
      </c>
    </row>
    <row r="1133" spans="1:25" x14ac:dyDescent="0.2">
      <c r="A1133" s="104">
        <f t="shared" si="196"/>
        <v>42221</v>
      </c>
    </row>
    <row r="1134" spans="1:25" x14ac:dyDescent="0.2">
      <c r="A1134" s="104">
        <f t="shared" si="196"/>
        <v>42228</v>
      </c>
    </row>
    <row r="1135" spans="1:25" x14ac:dyDescent="0.2">
      <c r="A1135" s="104">
        <f t="shared" si="196"/>
        <v>42235</v>
      </c>
    </row>
    <row r="1136" spans="1:25" x14ac:dyDescent="0.2">
      <c r="A1136" s="104">
        <f t="shared" si="196"/>
        <v>42242</v>
      </c>
    </row>
    <row r="1137" spans="1:1" x14ac:dyDescent="0.2">
      <c r="A1137" s="104">
        <f t="shared" si="196"/>
        <v>42249</v>
      </c>
    </row>
    <row r="1138" spans="1:1" x14ac:dyDescent="0.2">
      <c r="A1138" s="104">
        <f t="shared" si="196"/>
        <v>42256</v>
      </c>
    </row>
    <row r="1139" spans="1:1" x14ac:dyDescent="0.2">
      <c r="A1139" s="104">
        <f t="shared" si="196"/>
        <v>42263</v>
      </c>
    </row>
    <row r="1140" spans="1:1" x14ac:dyDescent="0.2">
      <c r="A1140" s="104">
        <f t="shared" si="196"/>
        <v>42270</v>
      </c>
    </row>
    <row r="1141" spans="1:1" x14ac:dyDescent="0.2">
      <c r="A1141" s="104">
        <f t="shared" si="196"/>
        <v>42277</v>
      </c>
    </row>
    <row r="1142" spans="1:1" x14ac:dyDescent="0.2">
      <c r="A1142" s="104">
        <f t="shared" si="196"/>
        <v>42284</v>
      </c>
    </row>
    <row r="1143" spans="1:1" x14ac:dyDescent="0.2">
      <c r="A1143" s="104">
        <f t="shared" si="196"/>
        <v>42291</v>
      </c>
    </row>
    <row r="1144" spans="1:1" x14ac:dyDescent="0.2">
      <c r="A1144" s="104">
        <f t="shared" si="196"/>
        <v>42298</v>
      </c>
    </row>
    <row r="1145" spans="1:1" x14ac:dyDescent="0.2">
      <c r="A1145" s="104">
        <f t="shared" si="196"/>
        <v>42305</v>
      </c>
    </row>
    <row r="1146" spans="1:1" x14ac:dyDescent="0.2">
      <c r="A1146" s="104">
        <f t="shared" si="196"/>
        <v>42312</v>
      </c>
    </row>
    <row r="1147" spans="1:1" x14ac:dyDescent="0.2">
      <c r="A1147" s="104">
        <f t="shared" si="196"/>
        <v>42319</v>
      </c>
    </row>
    <row r="1148" spans="1:1" x14ac:dyDescent="0.2">
      <c r="A1148" s="104">
        <f t="shared" si="196"/>
        <v>42326</v>
      </c>
    </row>
    <row r="1149" spans="1:1" x14ac:dyDescent="0.2">
      <c r="A1149" s="104">
        <f t="shared" si="196"/>
        <v>42333</v>
      </c>
    </row>
    <row r="1150" spans="1:1" x14ac:dyDescent="0.2">
      <c r="A1150" s="104">
        <f t="shared" si="196"/>
        <v>42340</v>
      </c>
    </row>
    <row r="1151" spans="1:1" x14ac:dyDescent="0.2">
      <c r="A1151" s="104">
        <f t="shared" si="196"/>
        <v>42347</v>
      </c>
    </row>
    <row r="1152" spans="1:1" x14ac:dyDescent="0.2">
      <c r="A1152" s="104">
        <f t="shared" si="196"/>
        <v>42354</v>
      </c>
    </row>
    <row r="1153" spans="1:1" x14ac:dyDescent="0.2">
      <c r="A1153" s="104">
        <f t="shared" si="196"/>
        <v>42361</v>
      </c>
    </row>
    <row r="1154" spans="1:1" x14ac:dyDescent="0.2">
      <c r="A1154" s="104">
        <f t="shared" si="196"/>
        <v>42368</v>
      </c>
    </row>
    <row r="1155" spans="1:1" x14ac:dyDescent="0.2">
      <c r="A1155" s="104">
        <f t="shared" si="196"/>
        <v>42375</v>
      </c>
    </row>
    <row r="1156" spans="1:1" x14ac:dyDescent="0.2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 B1093:H1093 B1094:G1094 B1095:G109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H1" zoomScale="125" zoomScaleNormal="125" workbookViewId="0">
      <selection activeCell="M11" sqref="M11"/>
    </sheetView>
  </sheetViews>
  <sheetFormatPr defaultRowHeight="15" x14ac:dyDescent="0.2"/>
  <cols>
    <col min="1" max="1" width="15.21875" customWidth="1"/>
    <col min="2" max="2" width="10.5546875" customWidth="1"/>
    <col min="3" max="3" width="9.77734375" customWidth="1"/>
    <col min="6" max="6" width="10.77734375" customWidth="1"/>
    <col min="7" max="7" width="9.44140625" customWidth="1"/>
    <col min="12" max="12" width="15.88671875" customWidth="1"/>
    <col min="13" max="13" width="7.33203125" customWidth="1"/>
    <col min="14" max="14" width="7.44140625" customWidth="1"/>
    <col min="15" max="15" width="10.88671875" customWidth="1"/>
    <col min="16" max="16" width="7.109375" customWidth="1"/>
    <col min="17" max="17" width="6.88671875" customWidth="1"/>
    <col min="18" max="18" width="7.44140625" customWidth="1"/>
    <col min="19" max="19" width="7.33203125" customWidth="1"/>
  </cols>
  <sheetData>
    <row r="2" spans="1:20" ht="15.75" thickBot="1" x14ac:dyDescent="0.25">
      <c r="A2" s="13"/>
      <c r="B2" s="39"/>
      <c r="C2" s="39"/>
      <c r="D2" s="264" t="s">
        <v>39</v>
      </c>
      <c r="E2" s="264"/>
      <c r="F2" s="264"/>
      <c r="G2" s="264"/>
      <c r="H2" s="264"/>
      <c r="I2" s="264"/>
      <c r="J2" s="264"/>
      <c r="L2" s="86"/>
      <c r="M2" s="264" t="s">
        <v>38</v>
      </c>
      <c r="N2" s="264"/>
      <c r="O2" s="264"/>
      <c r="P2" s="264"/>
      <c r="Q2" s="264"/>
      <c r="R2" s="264"/>
      <c r="S2" s="264"/>
      <c r="T2" s="199"/>
    </row>
    <row r="3" spans="1:20" x14ac:dyDescent="0.2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ht="15.75" x14ac:dyDescent="0.25">
      <c r="A4" s="99" t="s">
        <v>28</v>
      </c>
      <c r="B4" s="99"/>
      <c r="C4" s="39"/>
      <c r="D4" s="85">
        <f>('Weekly Data'!D1096/'Weekly Data'!D1095)*100</f>
        <v>69.621466219453765</v>
      </c>
      <c r="E4" s="262">
        <v>100</v>
      </c>
      <c r="F4" s="85">
        <f>('Weekly Data'!J1096/'Weekly Data'!J1095)*100</f>
        <v>155.8364312267658</v>
      </c>
      <c r="G4" s="186" t="s">
        <v>34</v>
      </c>
      <c r="H4" s="85">
        <f>('Weekly Data'!G1096/'Weekly Data'!G1095)*100</f>
        <v>80.928826600714487</v>
      </c>
      <c r="I4" s="85">
        <f>('Weekly Data'!H1096/'Weekly Data'!H1095)*100</f>
        <v>100.5893909626719</v>
      </c>
      <c r="J4" s="85">
        <f>('Weekly Data'!I1096/'Weekly Data'!I1095)*100</f>
        <v>75.665463095138136</v>
      </c>
      <c r="L4" s="39" t="s">
        <v>28</v>
      </c>
      <c r="M4" s="85">
        <f>('Weekly Averages'!B1096/'Weekly Averages'!B1095)*100</f>
        <v>100.25469168900804</v>
      </c>
      <c r="N4" s="85">
        <f>('Weekly Averages'!C1096/'Weekly Averages'!C1095)*100</f>
        <v>95.906432748538009</v>
      </c>
      <c r="O4" s="85">
        <f>('Weekly Averages'!H1096/'Weekly Averages'!H1095)*100</f>
        <v>106.88895879207298</v>
      </c>
      <c r="P4" s="186" t="s">
        <v>34</v>
      </c>
      <c r="Q4" s="85">
        <f>('Weekly Averages'!E1096/'Weekly Averages'!E1095)*100</f>
        <v>93.67306990478086</v>
      </c>
      <c r="R4" s="85">
        <f>('Weekly Averages'!F1096/'Weekly Averages'!F1095)*100</f>
        <v>99.656750572082373</v>
      </c>
      <c r="S4" s="85">
        <f>('Weekly Averages'!G1096/'Weekly Averages'!G1095)*100</f>
        <v>95.515315620240315</v>
      </c>
      <c r="T4" s="171"/>
    </row>
    <row r="5" spans="1:20" x14ac:dyDescent="0.2">
      <c r="A5" s="97" t="s">
        <v>29</v>
      </c>
      <c r="B5" s="39"/>
      <c r="C5" s="39"/>
      <c r="D5" s="85">
        <f>('Weekly Data'!D1096/'Weekly Data'!D1044)*100</f>
        <v>62.791702679343132</v>
      </c>
      <c r="E5" s="85">
        <f>('Weekly Data'!E1095/'Weekly Data'!E1043)*100</f>
        <v>143.96226415094338</v>
      </c>
      <c r="F5" s="85">
        <f>('Weekly Data'!J1096/'Weekly Data'!J1044)*100</f>
        <v>89.381663113006397</v>
      </c>
      <c r="G5" s="186" t="s">
        <v>34</v>
      </c>
      <c r="H5" s="85">
        <f>('Weekly Data'!G1096/'Weekly Data'!G1044)*100</f>
        <v>80.851063829787222</v>
      </c>
      <c r="I5" s="85">
        <f>('Weekly Data'!H1096/'Weekly Data'!H1044)*100</f>
        <v>80.12519561815337</v>
      </c>
      <c r="J5" s="85">
        <f>('Weekly Data'!I1096/'Weekly Data'!I1044)*100</f>
        <v>75.399548154966112</v>
      </c>
      <c r="L5" s="39" t="s">
        <v>29</v>
      </c>
      <c r="M5" s="171">
        <f>('Weekly Averages'!B1096/'Weekly Averages'!B1044)*100</f>
        <v>93.440779610194909</v>
      </c>
      <c r="N5" s="171">
        <f>('Weekly Averages'!C1096/'Weekly Averages'!C1044)*100</f>
        <v>127.73869346733669</v>
      </c>
      <c r="O5" s="171">
        <f>('Weekly Averages'!H1096/'Weekly Averages'!H1044)*100</f>
        <v>84.886335248563583</v>
      </c>
      <c r="P5" s="186" t="s">
        <v>34</v>
      </c>
      <c r="Q5" s="171">
        <f>('Weekly Averages'!E1096/'Weekly Averages'!E1044)*100</f>
        <v>103.79002315921038</v>
      </c>
      <c r="R5" s="171">
        <f>('Weekly Averages'!F1096/'Weekly Averages'!F1044)*100</f>
        <v>83.717800845828521</v>
      </c>
      <c r="S5" s="171">
        <f>('Weekly Averages'!G1096/'Weekly Averages'!G1044)*100</f>
        <v>101.71889432066503</v>
      </c>
      <c r="T5" s="171"/>
    </row>
    <row r="6" spans="1:20" x14ac:dyDescent="0.2">
      <c r="A6" s="97" t="s">
        <v>30</v>
      </c>
      <c r="B6" s="39"/>
      <c r="C6" s="39"/>
      <c r="D6" s="85">
        <f>('Weekly Data'!D1096/'Weekly Averages'!J1096)*100</f>
        <v>116.96518414167841</v>
      </c>
      <c r="E6" s="85">
        <f>('Weekly Data'!E1095/'Weekly Averages'!K1095)*100</f>
        <v>125.08196721311475</v>
      </c>
      <c r="F6" s="85">
        <f>('Weekly Data'!J1096/'Weekly Averages'!P1096)*100</f>
        <v>116.89872951763343</v>
      </c>
      <c r="G6" s="186" t="s">
        <v>34</v>
      </c>
      <c r="H6" s="85">
        <f>('Weekly Data'!G1096/'Weekly Averages'!M1096)*100</f>
        <v>129.52883610973663</v>
      </c>
      <c r="I6" s="85">
        <f>('Weekly Data'!H1096/'Weekly Averages'!N1096)*100</f>
        <v>94.61769461769461</v>
      </c>
      <c r="J6" s="85">
        <f>('Weekly Data'!I1096/'Weekly Averages'!O1096)*100</f>
        <v>110.42215550517737</v>
      </c>
      <c r="L6" s="39" t="s">
        <v>30</v>
      </c>
      <c r="M6" s="171">
        <f>('Weekly Averages'!B1096/'Weekly Averages'!S1096)*100</f>
        <v>153.74653098982424</v>
      </c>
      <c r="N6" s="171">
        <f>('Weekly Averages'!C1096/'Weekly Averages'!T1096)*100</f>
        <v>113.33667725575434</v>
      </c>
      <c r="O6" s="171">
        <f>('Weekly Averages'!H1096/'Weekly Averages'!Y1096)*100</f>
        <v>93.728638796856671</v>
      </c>
      <c r="P6" s="186" t="s">
        <v>34</v>
      </c>
      <c r="Q6" s="171">
        <f>('Weekly Averages'!E1096/'Weekly Averages'!V1096)*100</f>
        <v>146.45710135906214</v>
      </c>
      <c r="R6" s="171">
        <f>('Weekly Averages'!F1096/'Weekly Averages'!W1096)*100</f>
        <v>102.63964176290361</v>
      </c>
      <c r="S6" s="171">
        <f>('Weekly Averages'!G1096/'Weekly Averages'!X1096)*100</f>
        <v>137.36015515077767</v>
      </c>
      <c r="T6" s="171"/>
    </row>
    <row r="7" spans="1:20" x14ac:dyDescent="0.2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">
      <c r="A10" s="39" t="s">
        <v>78</v>
      </c>
      <c r="B10" s="39"/>
      <c r="C10" s="39"/>
      <c r="D10" s="254">
        <f>SUM('Weekly Data'!D1076:D1088)</f>
        <v>1953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45810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">
      <c r="A12" s="39" t="s">
        <v>42</v>
      </c>
      <c r="B12" s="39"/>
      <c r="C12" s="39"/>
      <c r="D12" s="40">
        <f>(D10/D11)-1</f>
        <v>1.0134020618556701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0.89830929885629041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3" zoomScale="150" zoomScaleNormal="150" workbookViewId="0">
      <selection sqref="A1:H21"/>
    </sheetView>
  </sheetViews>
  <sheetFormatPr defaultRowHeight="15" x14ac:dyDescent="0.2"/>
  <cols>
    <col min="1" max="1" width="21.21875" customWidth="1"/>
    <col min="2" max="2" width="8.77734375" customWidth="1"/>
    <col min="3" max="3" width="7.44140625" customWidth="1"/>
    <col min="4" max="4" width="8.21875" customWidth="1"/>
    <col min="5" max="5" width="7.33203125" customWidth="1"/>
    <col min="6" max="6" width="8.33203125" customWidth="1"/>
    <col min="7" max="7" width="11.77734375" customWidth="1"/>
    <col min="8" max="8" width="10.77734375" customWidth="1"/>
    <col min="9" max="9" width="9.21875" customWidth="1"/>
    <col min="10" max="10" width="9" customWidth="1"/>
  </cols>
  <sheetData>
    <row r="1" spans="1:12" x14ac:dyDescent="0.2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">
      <c r="A6" s="25" t="s">
        <v>80</v>
      </c>
      <c r="B6" s="173">
        <f>'Weekly Data'!D1096</f>
        <v>1453</v>
      </c>
      <c r="C6" s="173">
        <f>'Weekly Data'!E1096</f>
        <v>644</v>
      </c>
      <c r="D6" s="173">
        <f>'Weekly Data'!G1096</f>
        <v>5890</v>
      </c>
      <c r="E6" s="173">
        <f>'Weekly Data'!H1096</f>
        <v>1024</v>
      </c>
      <c r="F6" s="173">
        <f>'Weekly Data'!I1096</f>
        <v>9011</v>
      </c>
      <c r="G6" s="256">
        <v>41958</v>
      </c>
      <c r="H6" s="173">
        <f>'Weekly Data'!J1096</f>
        <v>2096</v>
      </c>
      <c r="I6" s="204"/>
    </row>
    <row r="7" spans="1:12" ht="12.6" customHeight="1" x14ac:dyDescent="0.2">
      <c r="A7" s="25" t="s">
        <v>81</v>
      </c>
      <c r="B7" s="173">
        <f>'Weekly Data'!D1095</f>
        <v>2087</v>
      </c>
      <c r="C7" s="173">
        <f>'Weekly Data'!E1095</f>
        <v>1526</v>
      </c>
      <c r="D7" s="173">
        <f>'Weekly Data'!G1095</f>
        <v>7278</v>
      </c>
      <c r="E7" s="173">
        <f>'Weekly Data'!H1095</f>
        <v>1018</v>
      </c>
      <c r="F7" s="173">
        <f>'Weekly Data'!I1095</f>
        <v>11909</v>
      </c>
      <c r="G7" s="256">
        <v>41951</v>
      </c>
      <c r="H7" s="173">
        <f>'Weekly Data'!J1095</f>
        <v>1345</v>
      </c>
      <c r="I7" s="204"/>
    </row>
    <row r="8" spans="1:12" ht="12.6" customHeight="1" x14ac:dyDescent="0.2">
      <c r="A8" s="25" t="s">
        <v>70</v>
      </c>
      <c r="B8" s="173">
        <f>SUM('Weekly Data'!D1050:D1102)</f>
        <v>34808</v>
      </c>
      <c r="C8" s="173">
        <f>SUM('Weekly Data'!E1050:E1102)</f>
        <v>73139</v>
      </c>
      <c r="D8" s="173">
        <f>SUM('Weekly Data'!G1050:G1102)</f>
        <v>219299</v>
      </c>
      <c r="E8" s="173">
        <f>SUM('Weekly Data'!H1050:H1102)</f>
        <v>26035</v>
      </c>
      <c r="F8" s="173">
        <f>SUM('Weekly Data'!I1050:I1102)</f>
        <v>353281</v>
      </c>
      <c r="G8" s="227" t="s">
        <v>75</v>
      </c>
      <c r="H8" s="198">
        <f>SUM('Weekly Data'!J1050:J1102)</f>
        <v>88055</v>
      </c>
      <c r="I8" s="204"/>
    </row>
    <row r="9" spans="1:12" ht="12.6" customHeight="1" x14ac:dyDescent="0.2">
      <c r="A9" s="25" t="s">
        <v>61</v>
      </c>
      <c r="B9" s="166">
        <f>SUM('Weekly Data'!D998:D1044)</f>
        <v>23706</v>
      </c>
      <c r="C9" s="166">
        <f>SUM('Weekly Data'!E998:E1044)</f>
        <v>65670</v>
      </c>
      <c r="D9" s="166">
        <f>SUM('Weekly Data'!G998:G1044)</f>
        <v>141922</v>
      </c>
      <c r="E9" s="166">
        <f>SUM('Weekly Data'!H998:H1044)</f>
        <v>19600</v>
      </c>
      <c r="F9" s="166">
        <f>SUM('Weekly Data'!I998:I1044)</f>
        <v>250898</v>
      </c>
      <c r="G9" s="227" t="s">
        <v>63</v>
      </c>
      <c r="H9" s="223">
        <f>SUM('Weekly Data'!J998:J1044)</f>
        <v>62080</v>
      </c>
      <c r="I9" s="204"/>
    </row>
    <row r="10" spans="1:12" ht="12.75" customHeight="1" x14ac:dyDescent="0.2">
      <c r="A10" s="25" t="s">
        <v>71</v>
      </c>
      <c r="B10" s="173">
        <f>B8/B9*100</f>
        <v>146.83202564751539</v>
      </c>
      <c r="C10" s="175">
        <f>C8/C9*100</f>
        <v>111.37353433835845</v>
      </c>
      <c r="D10" s="175">
        <f>D8/D9*100</f>
        <v>154.52079311170925</v>
      </c>
      <c r="E10" s="175">
        <f>E8/E9*100</f>
        <v>132.83163265306121</v>
      </c>
      <c r="F10" s="194">
        <f>F8/F9*100</f>
        <v>140.8066226115792</v>
      </c>
      <c r="G10" s="23" t="s">
        <v>56</v>
      </c>
      <c r="H10" s="198">
        <f>H8/H9*100</f>
        <v>141.84117268041237</v>
      </c>
      <c r="I10" s="205"/>
    </row>
    <row r="11" spans="1:12" ht="13.5" customHeight="1" x14ac:dyDescent="0.2">
      <c r="A11" s="87" t="s">
        <v>72</v>
      </c>
      <c r="B11" s="166">
        <f>'Weekly Changes'!M5</f>
        <v>93.440779610194909</v>
      </c>
      <c r="C11" s="29">
        <f>'Weekly Changes'!N5</f>
        <v>127.73869346733669</v>
      </c>
      <c r="D11" s="29">
        <f>'Weekly Changes'!Q5</f>
        <v>103.79002315921038</v>
      </c>
      <c r="E11" s="29">
        <f>'Weekly Changes'!R5</f>
        <v>83.717800845828521</v>
      </c>
      <c r="F11" s="194">
        <f>'Weekly Changes'!S5</f>
        <v>101.71889432066503</v>
      </c>
      <c r="G11" s="37" t="s">
        <v>76</v>
      </c>
      <c r="H11" s="198">
        <f>'Weekly Changes'!O5</f>
        <v>84.886335248563583</v>
      </c>
      <c r="I11" s="204"/>
    </row>
    <row r="12" spans="1:12" ht="13.5" customHeight="1" x14ac:dyDescent="0.2">
      <c r="A12" s="87" t="s">
        <v>47</v>
      </c>
      <c r="B12" s="166">
        <f>'Weekly Changes'!M6</f>
        <v>153.74653098982424</v>
      </c>
      <c r="C12" s="88">
        <f>'Weekly Changes'!N6</f>
        <v>113.33667725575434</v>
      </c>
      <c r="D12" s="88">
        <f>'Weekly Changes'!Q6</f>
        <v>146.45710135906214</v>
      </c>
      <c r="E12" s="88">
        <f>'Weekly Changes'!R6</f>
        <v>102.63964176290361</v>
      </c>
      <c r="F12" s="195">
        <f>'Weekly Changes'!S6</f>
        <v>137.36015515077767</v>
      </c>
      <c r="G12" s="37" t="s">
        <v>55</v>
      </c>
      <c r="H12" s="203">
        <f>'Weekly Changes'!O6</f>
        <v>93.728638796856671</v>
      </c>
      <c r="I12" s="204"/>
    </row>
    <row r="13" spans="1:12" ht="12.75" customHeight="1" x14ac:dyDescent="0.2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 G9:H9 H8 D8:D9 B9 C8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W31" sqref="W31"/>
    </sheetView>
  </sheetViews>
  <sheetFormatPr defaultRowHeight="15" x14ac:dyDescent="0.2"/>
  <sheetData>
    <row r="1" spans="1:22" ht="15.75" x14ac:dyDescent="0.25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75" x14ac:dyDescent="0.25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"/>
  <cols>
    <col min="4" max="4" width="9.21875" bestFit="1" customWidth="1"/>
  </cols>
  <sheetData>
    <row r="24" spans="2:4" x14ac:dyDescent="0.2">
      <c r="B24" s="145" t="s">
        <v>57</v>
      </c>
    </row>
    <row r="25" spans="2:4" x14ac:dyDescent="0.2">
      <c r="B25" s="145">
        <v>2009</v>
      </c>
      <c r="C25">
        <v>2010</v>
      </c>
      <c r="D25">
        <v>2011</v>
      </c>
    </row>
    <row r="27" spans="2:4" x14ac:dyDescent="0.2">
      <c r="B27" s="207">
        <v>1814.1448093683048</v>
      </c>
      <c r="C27" s="208">
        <v>2185.333180800244</v>
      </c>
      <c r="D27" s="208">
        <v>1739.0574148414694</v>
      </c>
    </row>
    <row r="28" spans="2:4" x14ac:dyDescent="0.2">
      <c r="B28" s="207">
        <v>1880.1930930243843</v>
      </c>
      <c r="C28" s="208">
        <v>2427.9968245384139</v>
      </c>
      <c r="D28" s="208">
        <v>2532.1406632416056</v>
      </c>
    </row>
    <row r="29" spans="2:4" x14ac:dyDescent="0.2">
      <c r="B29" s="207">
        <v>2225.0744292142467</v>
      </c>
      <c r="C29" s="208">
        <v>2537.1322392550837</v>
      </c>
      <c r="D29" s="208">
        <v>2502.7315209628996</v>
      </c>
    </row>
    <row r="30" spans="2:4" x14ac:dyDescent="0.2">
      <c r="B30" s="207">
        <v>2072.7846995444806</v>
      </c>
      <c r="C30" s="208">
        <v>2733.2895840699989</v>
      </c>
      <c r="D30" s="208">
        <v>2616.5514348510374</v>
      </c>
    </row>
    <row r="31" spans="2:4" x14ac:dyDescent="0.2">
      <c r="B31" s="207">
        <v>2622.7555795910725</v>
      </c>
      <c r="C31" s="208">
        <v>2362.666763733178</v>
      </c>
      <c r="D31" s="208">
        <v>2789.5674993586672</v>
      </c>
    </row>
    <row r="32" spans="2:4" x14ac:dyDescent="0.2">
      <c r="B32" s="207">
        <v>2440.4707725800972</v>
      </c>
      <c r="C32" s="208">
        <v>2144.2429852112236</v>
      </c>
      <c r="D32" s="208">
        <v>2294.6458112333685</v>
      </c>
    </row>
    <row r="33" spans="2:4" x14ac:dyDescent="0.2">
      <c r="B33" s="207">
        <v>1842.4063481498429</v>
      </c>
      <c r="C33" s="208">
        <v>2810.2658235746821</v>
      </c>
      <c r="D33" s="208">
        <v>3004.8830001871997</v>
      </c>
    </row>
    <row r="34" spans="2:4" x14ac:dyDescent="0.2">
      <c r="B34" s="207">
        <v>1956.0605556364444</v>
      </c>
      <c r="C34" s="208">
        <v>2691.9692021826095</v>
      </c>
      <c r="D34" s="208">
        <v>2547.7993635210182</v>
      </c>
    </row>
    <row r="35" spans="2:4" x14ac:dyDescent="0.2">
      <c r="B35" s="207">
        <v>2314.2895078034544</v>
      </c>
      <c r="C35" s="208">
        <v>2498.9138950711013</v>
      </c>
      <c r="D35" s="208">
        <v>2475.1506957588867</v>
      </c>
    </row>
    <row r="36" spans="2:4" x14ac:dyDescent="0.2">
      <c r="B36" s="207">
        <v>1840.228522301031</v>
      </c>
      <c r="C36" s="208">
        <v>2116.6360213823655</v>
      </c>
      <c r="D36" s="208">
        <v>2657.138895244434</v>
      </c>
    </row>
    <row r="37" spans="2:4" x14ac:dyDescent="0.2">
      <c r="B37" s="207">
        <v>2003.1701229278033</v>
      </c>
      <c r="C37" s="208">
        <v>2599.1251533997547</v>
      </c>
      <c r="D37" s="208">
        <v>2313.5964529123416</v>
      </c>
    </row>
    <row r="38" spans="2:4" x14ac:dyDescent="0.2">
      <c r="B38" s="207">
        <v>2103.9280043818599</v>
      </c>
      <c r="C38" s="208">
        <v>2252.3397882563386</v>
      </c>
      <c r="D38" s="208">
        <v>2721.4059390838306</v>
      </c>
    </row>
    <row r="39" spans="2:4" x14ac:dyDescent="0.2">
      <c r="B39" s="207">
        <v>2181.3280085418533</v>
      </c>
      <c r="C39" s="208">
        <v>2143.3770825966681</v>
      </c>
      <c r="D39" s="208">
        <v>2501.1451768343836</v>
      </c>
    </row>
    <row r="40" spans="2:4" x14ac:dyDescent="0.2">
      <c r="B40" s="207">
        <v>2075.9919850794904</v>
      </c>
      <c r="C40" s="208">
        <v>1853.0727790835535</v>
      </c>
      <c r="D40" s="208">
        <v>2396.8750129999789</v>
      </c>
    </row>
    <row r="41" spans="2:4" x14ac:dyDescent="0.2">
      <c r="B41" s="207">
        <v>2050.5645110967821</v>
      </c>
      <c r="C41" s="208">
        <v>1966.1176862117022</v>
      </c>
      <c r="D41" s="208">
        <v>2464.2302972315247</v>
      </c>
    </row>
    <row r="42" spans="2:4" x14ac:dyDescent="0.2">
      <c r="B42" s="207">
        <v>1469.3761396648433</v>
      </c>
      <c r="C42" s="208">
        <v>1504.5258647586165</v>
      </c>
      <c r="D42" s="208">
        <v>2018.4529678085846</v>
      </c>
    </row>
    <row r="43" spans="2:4" x14ac:dyDescent="0.2">
      <c r="B43" s="207">
        <v>1693.8516685039972</v>
      </c>
      <c r="C43" s="208">
        <v>1611.0743876143131</v>
      </c>
      <c r="D43" s="208">
        <v>2137.5877585262529</v>
      </c>
    </row>
    <row r="44" spans="2:4" x14ac:dyDescent="0.2">
      <c r="B44" s="207">
        <v>1798.172445590754</v>
      </c>
      <c r="C44" s="208">
        <v>1818.2189681829843</v>
      </c>
      <c r="D44" s="208">
        <v>1996.2810352836768</v>
      </c>
    </row>
    <row r="45" spans="2:4" x14ac:dyDescent="0.2">
      <c r="B45" s="207">
        <v>1651.0592036386074</v>
      </c>
      <c r="C45" s="208">
        <v>1600.0059626571265</v>
      </c>
      <c r="D45" s="208">
        <v>1961.3899231094563</v>
      </c>
    </row>
    <row r="46" spans="2:4" x14ac:dyDescent="0.2">
      <c r="B46" s="207">
        <v>1835.5757777454223</v>
      </c>
      <c r="C46" s="208">
        <v>1852.8412754539593</v>
      </c>
      <c r="D46" s="208">
        <v>2025.4102793435529</v>
      </c>
    </row>
    <row r="47" spans="2:4" x14ac:dyDescent="0.2">
      <c r="B47" s="207">
        <v>1379.2398998828271</v>
      </c>
      <c r="C47" s="208">
        <v>1748.3482746427605</v>
      </c>
      <c r="D47" s="208">
        <v>1935.5754310793104</v>
      </c>
    </row>
    <row r="48" spans="2:4" x14ac:dyDescent="0.2">
      <c r="B48" s="207">
        <v>1445.5651004291724</v>
      </c>
      <c r="C48" s="208">
        <v>1486.1872967669919</v>
      </c>
      <c r="D48" s="208">
        <v>1705.291580866804</v>
      </c>
    </row>
    <row r="49" spans="2:4" x14ac:dyDescent="0.2">
      <c r="B49" s="207">
        <v>1557.7910435343304</v>
      </c>
      <c r="C49" s="208">
        <v>1611.5303228848168</v>
      </c>
      <c r="D49" s="208">
        <v>1787.7993635210184</v>
      </c>
    </row>
    <row r="50" spans="2:4" x14ac:dyDescent="0.2">
      <c r="B50" s="207">
        <v>1880.147125097933</v>
      </c>
      <c r="C50" s="208">
        <v>1377.7266329707206</v>
      </c>
      <c r="D50" s="208">
        <v>1807.4267667838396</v>
      </c>
    </row>
    <row r="51" spans="2:4" x14ac:dyDescent="0.2">
      <c r="B51" s="207">
        <v>1447.6518224237507</v>
      </c>
      <c r="C51" s="208">
        <v>1635.502284529678</v>
      </c>
      <c r="D51" s="208">
        <v>1671.7222372444205</v>
      </c>
    </row>
    <row r="52" spans="2:4" x14ac:dyDescent="0.2">
      <c r="B52" s="207">
        <v>1709.7113657951481</v>
      </c>
      <c r="C52" s="208">
        <v>1634.4882168188531</v>
      </c>
      <c r="D52" s="208">
        <v>1792.4816440293694</v>
      </c>
    </row>
    <row r="53" spans="2:4" x14ac:dyDescent="0.2">
      <c r="B53" s="207">
        <v>1576.9294395795632</v>
      </c>
      <c r="C53" s="208">
        <v>1568.1873522335698</v>
      </c>
      <c r="D53" s="208">
        <v>1649.536160742143</v>
      </c>
    </row>
    <row r="54" spans="2:4" x14ac:dyDescent="0.2">
      <c r="B54" s="207">
        <v>1769.4788221672179</v>
      </c>
      <c r="C54" s="208">
        <v>1956.123371535939</v>
      </c>
      <c r="D54" s="208">
        <v>1546.5992747744938</v>
      </c>
    </row>
    <row r="55" spans="2:4" x14ac:dyDescent="0.2">
      <c r="B55" s="207">
        <v>1984.0840041322601</v>
      </c>
      <c r="C55" s="208">
        <v>1725.1133944852354</v>
      </c>
      <c r="D55" s="208">
        <v>1782.0207167668532</v>
      </c>
    </row>
    <row r="56" spans="2:4" x14ac:dyDescent="0.2">
      <c r="B56" s="207">
        <v>1766.0202730342298</v>
      </c>
      <c r="C56" s="208">
        <v>1815.5869403942288</v>
      </c>
      <c r="D56" s="208">
        <v>1567.0534073812148</v>
      </c>
    </row>
    <row r="57" spans="2:4" x14ac:dyDescent="0.2">
      <c r="B57" s="207">
        <v>1647.5187026367425</v>
      </c>
      <c r="C57" s="208">
        <v>1745.7959800597653</v>
      </c>
      <c r="D57" s="208">
        <v>1837.5643932303042</v>
      </c>
    </row>
    <row r="58" spans="2:4" x14ac:dyDescent="0.2">
      <c r="B58" s="207">
        <v>1790.5527937821967</v>
      </c>
      <c r="C58" s="208">
        <v>1891.4788083005733</v>
      </c>
      <c r="D58" s="208">
        <v>1797.9595925979852</v>
      </c>
    </row>
    <row r="59" spans="2:4" x14ac:dyDescent="0.2">
      <c r="B59" s="207">
        <v>1866.5506721855911</v>
      </c>
      <c r="C59" s="208">
        <v>2134.4636728581231</v>
      </c>
      <c r="D59" s="208">
        <v>1604.9392294305662</v>
      </c>
    </row>
    <row r="60" spans="2:4" x14ac:dyDescent="0.2">
      <c r="B60" s="207">
        <v>1874.5104727832436</v>
      </c>
      <c r="C60" s="208">
        <v>2345.9428278248088</v>
      </c>
      <c r="D60" s="208">
        <v>1648.4698157816281</v>
      </c>
    </row>
    <row r="61" spans="2:4" x14ac:dyDescent="0.2">
      <c r="B61" s="207">
        <v>2067.0375300732853</v>
      </c>
      <c r="C61" s="208">
        <v>2077.9237473220046</v>
      </c>
      <c r="D61" s="208">
        <v>1523.3883839119189</v>
      </c>
    </row>
    <row r="62" spans="2:4" x14ac:dyDescent="0.2">
      <c r="B62" s="207">
        <v>1984.782952347276</v>
      </c>
      <c r="C62" s="208">
        <v>2179.1315320562153</v>
      </c>
      <c r="D62" s="208">
        <v>1242.4751267064639</v>
      </c>
    </row>
    <row r="63" spans="2:4" x14ac:dyDescent="0.2">
      <c r="B63" s="207">
        <v>1797.5729905498818</v>
      </c>
      <c r="C63" s="208">
        <v>2176.6253440661162</v>
      </c>
      <c r="D63" s="208">
        <v>1849.9839840256254</v>
      </c>
    </row>
    <row r="64" spans="2:4" x14ac:dyDescent="0.2">
      <c r="B64" s="207">
        <v>1706.9973861375156</v>
      </c>
      <c r="C64" s="208">
        <v>2146.7286505674924</v>
      </c>
      <c r="D64" s="208">
        <v>1748.6348981841627</v>
      </c>
    </row>
    <row r="65" spans="2:4" x14ac:dyDescent="0.2">
      <c r="B65" s="207">
        <v>2148.7653139754975</v>
      </c>
      <c r="C65" s="208">
        <v>2475.9235531889817</v>
      </c>
      <c r="D65" s="208">
        <v>1656.9964154724018</v>
      </c>
    </row>
    <row r="66" spans="2:4" x14ac:dyDescent="0.2">
      <c r="B66" s="207">
        <v>1813.888761777981</v>
      </c>
      <c r="C66" s="208">
        <v>2838.857943160624</v>
      </c>
      <c r="D66" s="208">
        <v>1800.0351519437568</v>
      </c>
    </row>
    <row r="67" spans="2:4" x14ac:dyDescent="0.2">
      <c r="B67" s="207">
        <v>2406.8416637200048</v>
      </c>
      <c r="C67" s="208">
        <v>3106.7303838980524</v>
      </c>
      <c r="D67" s="208">
        <v>2228.2926000651732</v>
      </c>
    </row>
    <row r="68" spans="2:4" x14ac:dyDescent="0.2">
      <c r="B68" s="207">
        <v>2401.5894641235241</v>
      </c>
      <c r="C68" s="208">
        <v>3210.2792048866049</v>
      </c>
      <c r="D68" s="208">
        <v>2432.7040650068293</v>
      </c>
    </row>
    <row r="69" spans="2:4" x14ac:dyDescent="0.2">
      <c r="B69" s="207">
        <v>2789.216742586545</v>
      </c>
      <c r="C69" s="208">
        <v>3207.140420575327</v>
      </c>
      <c r="D69" s="208">
        <v>2712.07146868565</v>
      </c>
    </row>
    <row r="70" spans="2:4" x14ac:dyDescent="0.2">
      <c r="B70" s="207">
        <v>2899.3036171142126</v>
      </c>
      <c r="C70" s="208">
        <v>3000.1468477650433</v>
      </c>
      <c r="D70" s="208">
        <v>2332.7666035734342</v>
      </c>
    </row>
    <row r="71" spans="2:4" x14ac:dyDescent="0.2">
      <c r="B71" s="207">
        <v>2775.0131386456451</v>
      </c>
      <c r="C71" s="208">
        <v>3269.0217082319332</v>
      </c>
      <c r="D71" s="208">
        <v>2783.996228272701</v>
      </c>
    </row>
    <row r="72" spans="2:4" x14ac:dyDescent="0.2">
      <c r="B72" s="207">
        <v>3389.5098834508531</v>
      </c>
      <c r="C72" s="208">
        <v>2913.9022817563491</v>
      </c>
      <c r="D72" s="208">
        <v>2394.740797748057</v>
      </c>
    </row>
    <row r="73" spans="2:4" x14ac:dyDescent="0.2">
      <c r="B73" s="207">
        <v>2508.3852292502997</v>
      </c>
      <c r="C73" s="208">
        <v>3115.600668372264</v>
      </c>
      <c r="D73" s="208">
        <v>2507.1016633040053</v>
      </c>
    </row>
    <row r="74" spans="2:4" x14ac:dyDescent="0.2">
      <c r="B74" s="207">
        <v>2767.0493167210934</v>
      </c>
      <c r="C74" s="208">
        <v>2594.9976080038268</v>
      </c>
      <c r="D74" s="208">
        <v>2261.6517253572392</v>
      </c>
    </row>
    <row r="75" spans="2:4" x14ac:dyDescent="0.2">
      <c r="B75" s="207">
        <v>2788.9768496370407</v>
      </c>
      <c r="C75" s="208">
        <v>2706.4470190181028</v>
      </c>
      <c r="D75" s="208">
        <v>2214.8910428409981</v>
      </c>
    </row>
    <row r="76" spans="2:4" x14ac:dyDescent="0.2">
      <c r="B76" s="207">
        <v>1717.6168091464388</v>
      </c>
      <c r="C76" s="208">
        <v>3015.3919060396165</v>
      </c>
      <c r="D76" s="208">
        <v>2406.7110399290027</v>
      </c>
    </row>
    <row r="77" spans="2:4" x14ac:dyDescent="0.2">
      <c r="B77" s="207">
        <v>2771.8906476416305</v>
      </c>
      <c r="C77" s="208">
        <v>2650.2417649465096</v>
      </c>
      <c r="D77" s="208">
        <v>2560.0009706651135</v>
      </c>
    </row>
    <row r="78" spans="2:4" x14ac:dyDescent="0.2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mabrown</cp:lastModifiedBy>
  <cp:lastPrinted>2014-04-15T13:31:18Z</cp:lastPrinted>
  <dcterms:created xsi:type="dcterms:W3CDTF">2003-12-04T20:28:17Z</dcterms:created>
  <dcterms:modified xsi:type="dcterms:W3CDTF">2014-11-21T16:52:01Z</dcterms:modified>
</cp:coreProperties>
</file>