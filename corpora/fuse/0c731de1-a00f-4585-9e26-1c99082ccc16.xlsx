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120" yWindow="90" windowWidth="10560" windowHeight="5745"/>
  </bookViews>
  <sheets>
    <sheet name="Sheet1" sheetId="1" r:id="rId1"/>
  </sheets>
  <calcPr calcId="145621"/>
</workbook>
</file>

<file path=xl/calcChain.xml><?xml version="1.0" encoding="utf-8"?>
<calcChain xmlns="http://schemas.openxmlformats.org/spreadsheetml/2006/main">
  <c r="B5" i="1" l="1"/>
  <c r="B7" i="1"/>
  <c r="T13" i="1"/>
  <c r="C13" i="1" s="1"/>
  <c r="B13" i="1" s="1"/>
  <c r="A14" i="1"/>
  <c r="T14" i="1"/>
  <c r="C14" i="1" s="1"/>
  <c r="B14" i="1" s="1"/>
  <c r="A15" i="1"/>
  <c r="T15" i="1"/>
  <c r="C15" i="1" s="1"/>
  <c r="B15" i="1" s="1"/>
  <c r="A16" i="1"/>
  <c r="T16" i="1"/>
  <c r="C16" i="1" s="1"/>
  <c r="B16" i="1" s="1"/>
  <c r="A17" i="1"/>
  <c r="T17" i="1"/>
  <c r="C17" i="1" s="1"/>
  <c r="B17" i="1" s="1"/>
  <c r="A18" i="1"/>
  <c r="T18" i="1"/>
  <c r="C18" i="1" s="1"/>
  <c r="B18" i="1" s="1"/>
  <c r="A19" i="1"/>
  <c r="T19" i="1"/>
  <c r="C19" i="1" s="1"/>
  <c r="B19" i="1" s="1"/>
  <c r="A20" i="1"/>
  <c r="T20" i="1"/>
  <c r="C20" i="1" s="1"/>
  <c r="B20" i="1" s="1"/>
  <c r="A21" i="1"/>
  <c r="T21" i="1"/>
  <c r="C21" i="1" s="1"/>
  <c r="B21" i="1" s="1"/>
  <c r="A22" i="1"/>
  <c r="T22" i="1"/>
  <c r="C22" i="1" s="1"/>
  <c r="B22" i="1" s="1"/>
  <c r="A23" i="1"/>
  <c r="T23" i="1"/>
  <c r="C23" i="1" s="1"/>
  <c r="B23" i="1" s="1"/>
  <c r="A24" i="1"/>
  <c r="T24" i="1"/>
  <c r="C24" i="1" s="1"/>
  <c r="B24" i="1" s="1"/>
  <c r="A25" i="1"/>
  <c r="T25" i="1"/>
  <c r="C25" i="1" s="1"/>
  <c r="B25" i="1" s="1"/>
  <c r="A26" i="1"/>
  <c r="T26" i="1"/>
  <c r="C26" i="1" s="1"/>
  <c r="B26" i="1" s="1"/>
  <c r="A27" i="1"/>
  <c r="T27" i="1"/>
  <c r="C27" i="1" s="1"/>
  <c r="B27" i="1" s="1"/>
  <c r="A28" i="1"/>
  <c r="T28" i="1"/>
  <c r="C28" i="1" s="1"/>
  <c r="B28" i="1" s="1"/>
  <c r="A29" i="1"/>
  <c r="T29" i="1"/>
  <c r="C29" i="1" s="1"/>
  <c r="B29" i="1" s="1"/>
  <c r="A30" i="1"/>
  <c r="T30" i="1"/>
  <c r="C30" i="1" s="1"/>
  <c r="B30" i="1" s="1"/>
  <c r="A31" i="1"/>
  <c r="T31" i="1"/>
  <c r="C31" i="1" s="1"/>
  <c r="B31" i="1" s="1"/>
  <c r="A32" i="1"/>
  <c r="T32" i="1"/>
  <c r="C32" i="1" s="1"/>
  <c r="B32" i="1" s="1"/>
  <c r="A33" i="1"/>
  <c r="T33" i="1"/>
  <c r="C33" i="1" s="1"/>
  <c r="B33" i="1" s="1"/>
  <c r="A34" i="1"/>
  <c r="T34" i="1"/>
  <c r="C34" i="1" s="1"/>
  <c r="B34" i="1" s="1"/>
  <c r="A35" i="1"/>
  <c r="T35" i="1"/>
  <c r="C35" i="1" s="1"/>
  <c r="B35" i="1" s="1"/>
  <c r="A36" i="1"/>
  <c r="T36" i="1"/>
  <c r="C36" i="1" s="1"/>
  <c r="B36" i="1" s="1"/>
  <c r="A37" i="1"/>
  <c r="T37" i="1"/>
  <c r="C37" i="1" s="1"/>
  <c r="B37" i="1" s="1"/>
  <c r="A38" i="1"/>
  <c r="T38" i="1"/>
  <c r="C38" i="1" s="1"/>
  <c r="B38" i="1" s="1"/>
  <c r="A39" i="1"/>
  <c r="T39" i="1"/>
  <c r="C39" i="1" s="1"/>
  <c r="B39" i="1" s="1"/>
  <c r="A40" i="1"/>
  <c r="T40" i="1"/>
  <c r="C40" i="1" s="1"/>
  <c r="B40" i="1" s="1"/>
  <c r="A41" i="1"/>
  <c r="T41" i="1"/>
  <c r="C41" i="1" s="1"/>
  <c r="B41" i="1" s="1"/>
  <c r="A42" i="1"/>
  <c r="T42" i="1"/>
  <c r="C42" i="1" s="1"/>
  <c r="B42" i="1" s="1"/>
  <c r="A43" i="1"/>
  <c r="T43" i="1"/>
  <c r="C43" i="1" s="1"/>
  <c r="B43" i="1" s="1"/>
  <c r="A44" i="1"/>
  <c r="T44" i="1"/>
  <c r="C44" i="1" s="1"/>
  <c r="B44" i="1" s="1"/>
  <c r="A45" i="1"/>
  <c r="T45" i="1"/>
  <c r="C45" i="1" s="1"/>
  <c r="B45" i="1" s="1"/>
  <c r="A46" i="1"/>
  <c r="T46" i="1"/>
  <c r="C46" i="1" s="1"/>
  <c r="B46" i="1" s="1"/>
  <c r="A47" i="1"/>
  <c r="T47" i="1"/>
  <c r="C47" i="1" s="1"/>
  <c r="B47" i="1" s="1"/>
  <c r="A48" i="1"/>
  <c r="T48" i="1"/>
  <c r="C48" i="1" s="1"/>
  <c r="B48" i="1" s="1"/>
  <c r="A49" i="1"/>
  <c r="T49" i="1"/>
  <c r="C49" i="1" s="1"/>
  <c r="B49" i="1" s="1"/>
  <c r="A50" i="1"/>
  <c r="T50" i="1"/>
  <c r="C50" i="1" s="1"/>
  <c r="B50" i="1" s="1"/>
  <c r="A51" i="1"/>
  <c r="T51" i="1"/>
  <c r="C51" i="1" s="1"/>
  <c r="B51" i="1" s="1"/>
  <c r="A52" i="1"/>
  <c r="T52" i="1"/>
  <c r="C52" i="1" s="1"/>
  <c r="B52" i="1" s="1"/>
  <c r="A53" i="1"/>
  <c r="T53" i="1"/>
  <c r="C53" i="1" s="1"/>
  <c r="B53" i="1" s="1"/>
  <c r="A54" i="1"/>
  <c r="T54" i="1"/>
  <c r="C54" i="1" s="1"/>
  <c r="B54" i="1" s="1"/>
  <c r="A55" i="1"/>
  <c r="T55" i="1"/>
  <c r="C55" i="1" s="1"/>
  <c r="B55" i="1" s="1"/>
  <c r="A56" i="1"/>
  <c r="T56" i="1"/>
  <c r="C56" i="1" s="1"/>
  <c r="B56" i="1" s="1"/>
  <c r="A57" i="1"/>
  <c r="T57" i="1"/>
  <c r="C57" i="1" s="1"/>
  <c r="B57" i="1" s="1"/>
  <c r="A58" i="1"/>
  <c r="T58" i="1"/>
  <c r="C58" i="1" s="1"/>
  <c r="B58" i="1" s="1"/>
  <c r="A59" i="1"/>
  <c r="T59" i="1"/>
  <c r="C59" i="1" s="1"/>
  <c r="B59" i="1" s="1"/>
  <c r="A60" i="1"/>
  <c r="T60" i="1"/>
  <c r="C60" i="1" s="1"/>
  <c r="B60" i="1" s="1"/>
  <c r="A61" i="1"/>
  <c r="T61" i="1"/>
  <c r="C61" i="1" s="1"/>
  <c r="B61" i="1" s="1"/>
  <c r="A62" i="1"/>
  <c r="T62" i="1"/>
  <c r="C62" i="1" s="1"/>
  <c r="B62" i="1" s="1"/>
  <c r="A63" i="1"/>
  <c r="T63" i="1"/>
  <c r="C63" i="1" s="1"/>
  <c r="B63" i="1" s="1"/>
  <c r="A64" i="1"/>
  <c r="B64" i="1"/>
  <c r="T64" i="1"/>
  <c r="C64" i="1" s="1"/>
  <c r="A65" i="1"/>
  <c r="T65" i="1"/>
  <c r="C65" i="1" s="1"/>
  <c r="B65" i="1" s="1"/>
  <c r="A66" i="1"/>
  <c r="B66" i="1"/>
  <c r="T66" i="1"/>
  <c r="C66" i="1" s="1"/>
  <c r="A67" i="1"/>
  <c r="T67" i="1"/>
  <c r="C67" i="1" s="1"/>
  <c r="B67" i="1" s="1"/>
  <c r="A68" i="1"/>
  <c r="B68" i="1"/>
  <c r="T68" i="1"/>
  <c r="C68" i="1" s="1"/>
  <c r="A69" i="1"/>
  <c r="T69" i="1"/>
  <c r="C69" i="1" s="1"/>
  <c r="B69" i="1" s="1"/>
  <c r="A70" i="1"/>
  <c r="B70" i="1"/>
  <c r="T70" i="1"/>
  <c r="C70" i="1" s="1"/>
  <c r="A71" i="1"/>
  <c r="T71" i="1"/>
  <c r="C71" i="1" s="1"/>
  <c r="B71" i="1" s="1"/>
  <c r="A72" i="1"/>
  <c r="B72" i="1"/>
  <c r="T72" i="1"/>
  <c r="C72" i="1" s="1"/>
  <c r="A73" i="1"/>
  <c r="T73" i="1"/>
  <c r="C73" i="1" s="1"/>
  <c r="B73" i="1" s="1"/>
  <c r="A74" i="1"/>
  <c r="B74" i="1"/>
  <c r="T74" i="1"/>
  <c r="C74" i="1" s="1"/>
  <c r="A75" i="1"/>
  <c r="T75" i="1"/>
  <c r="C75" i="1" s="1"/>
  <c r="B75" i="1" s="1"/>
  <c r="A76" i="1"/>
  <c r="B76" i="1"/>
  <c r="T76" i="1"/>
  <c r="C76" i="1" s="1"/>
  <c r="A77" i="1"/>
  <c r="T77" i="1"/>
  <c r="C77" i="1" s="1"/>
  <c r="B77" i="1" s="1"/>
  <c r="A78" i="1"/>
  <c r="B78" i="1"/>
  <c r="T78" i="1"/>
  <c r="C78" i="1" s="1"/>
  <c r="A79" i="1"/>
  <c r="T79" i="1"/>
  <c r="C79" i="1" s="1"/>
  <c r="B79" i="1" s="1"/>
  <c r="A80" i="1"/>
  <c r="B80" i="1"/>
  <c r="T80" i="1"/>
  <c r="C80" i="1" s="1"/>
  <c r="A81" i="1"/>
  <c r="T81" i="1"/>
  <c r="C81" i="1" s="1"/>
  <c r="B81" i="1" s="1"/>
  <c r="A82" i="1"/>
  <c r="B82" i="1"/>
  <c r="T82" i="1"/>
  <c r="C82" i="1" s="1"/>
  <c r="A83" i="1"/>
  <c r="T83" i="1"/>
  <c r="C83" i="1" s="1"/>
  <c r="B83" i="1" s="1"/>
  <c r="A84" i="1"/>
  <c r="B84" i="1"/>
  <c r="T84" i="1"/>
  <c r="C84" i="1" s="1"/>
  <c r="A85" i="1"/>
  <c r="T85" i="1"/>
  <c r="C85" i="1" s="1"/>
  <c r="B85" i="1" s="1"/>
  <c r="A86" i="1"/>
  <c r="B86" i="1"/>
  <c r="T86" i="1"/>
  <c r="C86" i="1" s="1"/>
  <c r="A87" i="1"/>
  <c r="T87" i="1"/>
  <c r="C87" i="1" s="1"/>
  <c r="B87" i="1" s="1"/>
  <c r="A88" i="1"/>
  <c r="B88" i="1"/>
  <c r="T88" i="1"/>
  <c r="C88" i="1" s="1"/>
  <c r="A89" i="1"/>
  <c r="T89" i="1"/>
  <c r="C89" i="1" s="1"/>
  <c r="B89" i="1" s="1"/>
  <c r="A90" i="1"/>
  <c r="B90" i="1"/>
  <c r="T90" i="1"/>
  <c r="C90" i="1" s="1"/>
  <c r="A91" i="1"/>
  <c r="T91" i="1"/>
  <c r="C91" i="1" s="1"/>
  <c r="B91" i="1" s="1"/>
  <c r="A92" i="1"/>
  <c r="B92" i="1"/>
  <c r="T92" i="1"/>
  <c r="C92" i="1" s="1"/>
  <c r="A93" i="1"/>
  <c r="T93" i="1"/>
  <c r="C93" i="1" s="1"/>
  <c r="B93" i="1" s="1"/>
  <c r="A94" i="1"/>
  <c r="B94" i="1"/>
  <c r="T94" i="1"/>
  <c r="C94" i="1" s="1"/>
  <c r="A95" i="1"/>
  <c r="T95" i="1"/>
  <c r="C95" i="1" s="1"/>
  <c r="B95" i="1" s="1"/>
  <c r="A96" i="1"/>
  <c r="B96" i="1"/>
  <c r="T96" i="1"/>
  <c r="C96" i="1" s="1"/>
  <c r="A97" i="1"/>
  <c r="T97" i="1"/>
  <c r="C97" i="1" s="1"/>
  <c r="B97" i="1" s="1"/>
  <c r="A98" i="1"/>
  <c r="T98" i="1"/>
  <c r="C98" i="1" s="1"/>
  <c r="B98" i="1" s="1"/>
  <c r="A99" i="1"/>
  <c r="T99" i="1"/>
  <c r="C99" i="1" s="1"/>
  <c r="B99" i="1" s="1"/>
  <c r="A100" i="1"/>
  <c r="T100" i="1"/>
  <c r="C100" i="1" s="1"/>
  <c r="B100" i="1" s="1"/>
  <c r="A101" i="1"/>
  <c r="T101" i="1"/>
  <c r="C101" i="1" s="1"/>
  <c r="B101" i="1" s="1"/>
  <c r="A102" i="1"/>
  <c r="T102" i="1"/>
  <c r="C102" i="1" s="1"/>
  <c r="B102" i="1" s="1"/>
  <c r="A103" i="1"/>
  <c r="T103" i="1"/>
  <c r="C103" i="1" s="1"/>
  <c r="B103" i="1" s="1"/>
  <c r="A104" i="1"/>
  <c r="T104" i="1"/>
  <c r="C104" i="1" s="1"/>
  <c r="B104" i="1" s="1"/>
  <c r="A105" i="1"/>
  <c r="T105" i="1"/>
  <c r="C105" i="1" s="1"/>
  <c r="B105" i="1" s="1"/>
  <c r="A106" i="1"/>
  <c r="T106" i="1"/>
  <c r="C106" i="1" s="1"/>
  <c r="B106" i="1" s="1"/>
  <c r="A107" i="1"/>
  <c r="T107" i="1"/>
  <c r="C107" i="1" s="1"/>
  <c r="B107" i="1" s="1"/>
  <c r="A108" i="1"/>
  <c r="T108" i="1"/>
  <c r="C108" i="1" s="1"/>
  <c r="B108" i="1" s="1"/>
  <c r="A109" i="1"/>
  <c r="T109" i="1"/>
  <c r="C109" i="1" s="1"/>
  <c r="B109" i="1" s="1"/>
  <c r="A110" i="1"/>
  <c r="T110" i="1"/>
  <c r="C110" i="1" s="1"/>
  <c r="B110" i="1" s="1"/>
  <c r="A111" i="1"/>
  <c r="T111" i="1"/>
  <c r="C111" i="1" s="1"/>
  <c r="B111" i="1" s="1"/>
  <c r="A112" i="1"/>
  <c r="T112" i="1"/>
  <c r="C112" i="1" s="1"/>
  <c r="B112" i="1" s="1"/>
</calcChain>
</file>

<file path=xl/sharedStrings.xml><?xml version="1.0" encoding="utf-8"?>
<sst xmlns="http://schemas.openxmlformats.org/spreadsheetml/2006/main" count="11" uniqueCount="10">
  <si>
    <t>a</t>
  </si>
  <si>
    <t>S</t>
  </si>
  <si>
    <t>T</t>
  </si>
  <si>
    <t>Pumping</t>
  </si>
  <si>
    <t>4T/S</t>
  </si>
  <si>
    <t>River_a</t>
  </si>
  <si>
    <t xml:space="preserve"> </t>
  </si>
  <si>
    <t>(to river) (ft)</t>
  </si>
  <si>
    <t>ft^2/day</t>
  </si>
  <si>
    <t>t (days)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</si>
</sst>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fill>
        <patternFill>
          <bgColor indexed="34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Sheet1!$B$12</c:f>
              <c:strCache>
                <c:ptCount val="1"/>
                <c:pt idx="0">
                  <c:v>River_a</c:v>
                </c:pt>
              </c:strCache>
            </c:strRef>
          </c:tx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Sheet1!$A$13:$A$112</c:f>
              <c:numCache>
                <c:formatCode>General</c:formatCode>
                <c:ptCount val="100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110</c:v>
                </c:pt>
                <c:pt idx="11">
                  <c:v>120</c:v>
                </c:pt>
                <c:pt idx="12">
                  <c:v>130</c:v>
                </c:pt>
                <c:pt idx="13">
                  <c:v>140</c:v>
                </c:pt>
                <c:pt idx="14">
                  <c:v>150</c:v>
                </c:pt>
                <c:pt idx="15">
                  <c:v>160</c:v>
                </c:pt>
                <c:pt idx="16">
                  <c:v>170</c:v>
                </c:pt>
                <c:pt idx="17">
                  <c:v>180</c:v>
                </c:pt>
                <c:pt idx="18">
                  <c:v>190</c:v>
                </c:pt>
                <c:pt idx="19">
                  <c:v>200</c:v>
                </c:pt>
                <c:pt idx="20">
                  <c:v>210</c:v>
                </c:pt>
                <c:pt idx="21">
                  <c:v>220</c:v>
                </c:pt>
                <c:pt idx="22">
                  <c:v>230</c:v>
                </c:pt>
                <c:pt idx="23">
                  <c:v>240</c:v>
                </c:pt>
                <c:pt idx="24">
                  <c:v>250</c:v>
                </c:pt>
                <c:pt idx="25">
                  <c:v>260</c:v>
                </c:pt>
                <c:pt idx="26">
                  <c:v>270</c:v>
                </c:pt>
                <c:pt idx="27">
                  <c:v>280</c:v>
                </c:pt>
                <c:pt idx="28">
                  <c:v>290</c:v>
                </c:pt>
                <c:pt idx="29">
                  <c:v>300</c:v>
                </c:pt>
                <c:pt idx="30">
                  <c:v>310</c:v>
                </c:pt>
                <c:pt idx="31">
                  <c:v>320</c:v>
                </c:pt>
                <c:pt idx="32">
                  <c:v>330</c:v>
                </c:pt>
                <c:pt idx="33">
                  <c:v>340</c:v>
                </c:pt>
                <c:pt idx="34">
                  <c:v>350</c:v>
                </c:pt>
                <c:pt idx="35">
                  <c:v>360</c:v>
                </c:pt>
                <c:pt idx="36">
                  <c:v>370</c:v>
                </c:pt>
                <c:pt idx="37">
                  <c:v>380</c:v>
                </c:pt>
                <c:pt idx="38">
                  <c:v>390</c:v>
                </c:pt>
                <c:pt idx="39">
                  <c:v>400</c:v>
                </c:pt>
                <c:pt idx="40">
                  <c:v>410</c:v>
                </c:pt>
                <c:pt idx="41">
                  <c:v>420</c:v>
                </c:pt>
                <c:pt idx="42">
                  <c:v>430</c:v>
                </c:pt>
                <c:pt idx="43">
                  <c:v>440</c:v>
                </c:pt>
                <c:pt idx="44">
                  <c:v>450</c:v>
                </c:pt>
                <c:pt idx="45">
                  <c:v>460</c:v>
                </c:pt>
                <c:pt idx="46">
                  <c:v>470</c:v>
                </c:pt>
                <c:pt idx="47">
                  <c:v>480</c:v>
                </c:pt>
                <c:pt idx="48">
                  <c:v>490</c:v>
                </c:pt>
                <c:pt idx="49">
                  <c:v>500</c:v>
                </c:pt>
                <c:pt idx="50">
                  <c:v>510</c:v>
                </c:pt>
                <c:pt idx="51">
                  <c:v>520</c:v>
                </c:pt>
                <c:pt idx="52">
                  <c:v>530</c:v>
                </c:pt>
                <c:pt idx="53">
                  <c:v>540</c:v>
                </c:pt>
                <c:pt idx="54">
                  <c:v>550</c:v>
                </c:pt>
                <c:pt idx="55">
                  <c:v>560</c:v>
                </c:pt>
                <c:pt idx="56">
                  <c:v>570</c:v>
                </c:pt>
                <c:pt idx="57">
                  <c:v>580</c:v>
                </c:pt>
                <c:pt idx="58">
                  <c:v>590</c:v>
                </c:pt>
                <c:pt idx="59">
                  <c:v>600</c:v>
                </c:pt>
                <c:pt idx="60">
                  <c:v>610</c:v>
                </c:pt>
                <c:pt idx="61">
                  <c:v>620</c:v>
                </c:pt>
                <c:pt idx="62">
                  <c:v>630</c:v>
                </c:pt>
                <c:pt idx="63">
                  <c:v>640</c:v>
                </c:pt>
                <c:pt idx="64">
                  <c:v>650</c:v>
                </c:pt>
                <c:pt idx="65">
                  <c:v>660</c:v>
                </c:pt>
                <c:pt idx="66">
                  <c:v>670</c:v>
                </c:pt>
                <c:pt idx="67">
                  <c:v>680</c:v>
                </c:pt>
                <c:pt idx="68">
                  <c:v>690</c:v>
                </c:pt>
                <c:pt idx="69">
                  <c:v>700</c:v>
                </c:pt>
                <c:pt idx="70">
                  <c:v>710</c:v>
                </c:pt>
                <c:pt idx="71">
                  <c:v>720</c:v>
                </c:pt>
                <c:pt idx="72">
                  <c:v>730</c:v>
                </c:pt>
                <c:pt idx="73">
                  <c:v>740</c:v>
                </c:pt>
                <c:pt idx="74">
                  <c:v>750</c:v>
                </c:pt>
                <c:pt idx="75">
                  <c:v>760</c:v>
                </c:pt>
                <c:pt idx="76">
                  <c:v>770</c:v>
                </c:pt>
                <c:pt idx="77">
                  <c:v>780</c:v>
                </c:pt>
                <c:pt idx="78">
                  <c:v>790</c:v>
                </c:pt>
                <c:pt idx="79">
                  <c:v>800</c:v>
                </c:pt>
                <c:pt idx="80">
                  <c:v>810</c:v>
                </c:pt>
                <c:pt idx="81">
                  <c:v>820</c:v>
                </c:pt>
                <c:pt idx="82">
                  <c:v>830</c:v>
                </c:pt>
                <c:pt idx="83">
                  <c:v>840</c:v>
                </c:pt>
                <c:pt idx="84">
                  <c:v>850</c:v>
                </c:pt>
                <c:pt idx="85">
                  <c:v>860</c:v>
                </c:pt>
                <c:pt idx="86">
                  <c:v>870</c:v>
                </c:pt>
                <c:pt idx="87">
                  <c:v>880</c:v>
                </c:pt>
                <c:pt idx="88">
                  <c:v>890</c:v>
                </c:pt>
                <c:pt idx="89">
                  <c:v>900</c:v>
                </c:pt>
                <c:pt idx="90">
                  <c:v>910</c:v>
                </c:pt>
                <c:pt idx="91">
                  <c:v>920</c:v>
                </c:pt>
                <c:pt idx="92">
                  <c:v>930</c:v>
                </c:pt>
                <c:pt idx="93">
                  <c:v>940</c:v>
                </c:pt>
                <c:pt idx="94">
                  <c:v>950</c:v>
                </c:pt>
                <c:pt idx="95">
                  <c:v>960</c:v>
                </c:pt>
                <c:pt idx="96">
                  <c:v>970</c:v>
                </c:pt>
                <c:pt idx="97">
                  <c:v>980</c:v>
                </c:pt>
                <c:pt idx="98">
                  <c:v>990</c:v>
                </c:pt>
                <c:pt idx="99">
                  <c:v>1000</c:v>
                </c:pt>
              </c:numCache>
            </c:numRef>
          </c:xVal>
          <c:yVal>
            <c:numRef>
              <c:f>Sheet1!$B$13:$B$112</c:f>
              <c:numCache>
                <c:formatCode>General</c:formatCode>
                <c:ptCount val="100"/>
                <c:pt idx="0">
                  <c:v>3.4433798490486256E-3</c:v>
                </c:pt>
                <c:pt idx="1">
                  <c:v>3.8605913070703039E-2</c:v>
                </c:pt>
                <c:pt idx="2">
                  <c:v>9.1255613168990599E-2</c:v>
                </c:pt>
                <c:pt idx="3">
                  <c:v>0.14358961746974888</c:v>
                </c:pt>
                <c:pt idx="4">
                  <c:v>0.19082326968597743</c:v>
                </c:pt>
                <c:pt idx="5">
                  <c:v>0.23241152842341797</c:v>
                </c:pt>
                <c:pt idx="6">
                  <c:v>0.26890555141182965</c:v>
                </c:pt>
                <c:pt idx="7">
                  <c:v>0.30105134931851724</c:v>
                </c:pt>
                <c:pt idx="8">
                  <c:v>0.329542595438575</c:v>
                </c:pt>
                <c:pt idx="9">
                  <c:v>0.35496590744646467</c:v>
                </c:pt>
                <c:pt idx="10">
                  <c:v>0.3778022809420904</c:v>
                </c:pt>
                <c:pt idx="11">
                  <c:v>0.39844278884618123</c:v>
                </c:pt>
                <c:pt idx="12">
                  <c:v>0.41720565764244305</c:v>
                </c:pt>
                <c:pt idx="13">
                  <c:v>0.4343511151453347</c:v>
                </c:pt>
                <c:pt idx="14">
                  <c:v>0.45009339165182499</c:v>
                </c:pt>
                <c:pt idx="15">
                  <c:v>0.46461015388609594</c:v>
                </c:pt>
                <c:pt idx="16">
                  <c:v>0.47804985066450023</c:v>
                </c:pt>
                <c:pt idx="17">
                  <c:v>0.49053742702214265</c:v>
                </c:pt>
                <c:pt idx="18">
                  <c:v>0.50217878389327208</c:v>
                </c:pt>
                <c:pt idx="19">
                  <c:v>0.5130642778583272</c:v>
                </c:pt>
                <c:pt idx="20">
                  <c:v>0.5232714856259304</c:v>
                </c:pt>
                <c:pt idx="21">
                  <c:v>0.53286740308988589</c:v>
                </c:pt>
                <c:pt idx="22">
                  <c:v>0.54191020713055837</c:v>
                </c:pt>
                <c:pt idx="23">
                  <c:v>0.55045067709864903</c:v>
                </c:pt>
                <c:pt idx="24">
                  <c:v>0.55853334962315315</c:v>
                </c:pt>
                <c:pt idx="25">
                  <c:v>0.56619746300389029</c:v>
                </c:pt>
                <c:pt idx="26">
                  <c:v>0.573477734440762</c:v>
                </c:pt>
                <c:pt idx="27">
                  <c:v>0.58040500357063607</c:v>
                </c:pt>
                <c:pt idx="28">
                  <c:v>0.58700676838644839</c:v>
                </c:pt>
                <c:pt idx="29">
                  <c:v>0.5933076339858554</c:v>
                </c:pt>
                <c:pt idx="30">
                  <c:v>0.5993296902881291</c:v>
                </c:pt>
                <c:pt idx="31">
                  <c:v>0.60509283153772397</c:v>
                </c:pt>
                <c:pt idx="32">
                  <c:v>0.61061502783795552</c:v>
                </c:pt>
                <c:pt idx="33">
                  <c:v>0.61591255694869174</c:v>
                </c:pt>
                <c:pt idx="34">
                  <c:v>0.62100020300408088</c:v>
                </c:pt>
                <c:pt idx="35">
                  <c:v>0.62589142756004668</c:v>
                </c:pt>
                <c:pt idx="36">
                  <c:v>0.63059851739122585</c:v>
                </c:pt>
                <c:pt idx="37">
                  <c:v>0.63513271266617155</c:v>
                </c:pt>
                <c:pt idx="38">
                  <c:v>0.63950431849453748</c:v>
                </c:pt>
                <c:pt idx="39">
                  <c:v>0.64372280232730805</c:v>
                </c:pt>
                <c:pt idx="40">
                  <c:v>0.64779687927528862</c:v>
                </c:pt>
                <c:pt idx="41">
                  <c:v>0.65173458707214693</c:v>
                </c:pt>
                <c:pt idx="42">
                  <c:v>0.65554335213080117</c:v>
                </c:pt>
                <c:pt idx="43">
                  <c:v>0.6592300479137595</c:v>
                </c:pt>
                <c:pt idx="44">
                  <c:v>0.66280104664958162</c:v>
                </c:pt>
                <c:pt idx="45">
                  <c:v>0.6662622652713901</c:v>
                </c:pt>
                <c:pt idx="46">
                  <c:v>0.66961920632331084</c:v>
                </c:pt>
                <c:pt idx="47">
                  <c:v>0.67287699447207028</c:v>
                </c:pt>
                <c:pt idx="48">
                  <c:v>0.67604040916986818</c:v>
                </c:pt>
                <c:pt idx="49">
                  <c:v>0.67911391393799059</c:v>
                </c:pt>
                <c:pt idx="50">
                  <c:v>0.68210168267591098</c:v>
                </c:pt>
                <c:pt idx="51">
                  <c:v>0.685007623345818</c:v>
                </c:pt>
                <c:pt idx="52">
                  <c:v>0.68783539933594029</c:v>
                </c:pt>
                <c:pt idx="53">
                  <c:v>0.69058844876636272</c:v>
                </c:pt>
                <c:pt idx="54">
                  <c:v>0.69327000196711364</c:v>
                </c:pt>
                <c:pt idx="55">
                  <c:v>0.69588309732924847</c:v>
                </c:pt>
                <c:pt idx="56">
                  <c:v>0.69843059570467747</c:v>
                </c:pt>
                <c:pt idx="57">
                  <c:v>0.70091519350897524</c:v>
                </c:pt>
                <c:pt idx="58">
                  <c:v>0.70333943466282711</c:v>
                </c:pt>
                <c:pt idx="59">
                  <c:v>0.70570572149167776</c:v>
                </c:pt>
                <c:pt idx="60">
                  <c:v>0.70801632468918663</c:v>
                </c:pt>
                <c:pt idx="61">
                  <c:v>0.71027339243794474</c:v>
                </c:pt>
                <c:pt idx="62">
                  <c:v>0.71247895877032497</c:v>
                </c:pt>
                <c:pt idx="63">
                  <c:v>0.71463495124307896</c:v>
                </c:pt>
                <c:pt idx="64">
                  <c:v>0.71674319799120445</c:v>
                </c:pt>
                <c:pt idx="65">
                  <c:v>0.71880543421949039</c:v>
                </c:pt>
                <c:pt idx="66">
                  <c:v>0.72082330818391194</c:v>
                </c:pt>
                <c:pt idx="67">
                  <c:v>0.72279838670954155</c:v>
                </c:pt>
                <c:pt idx="68">
                  <c:v>0.72473216028679177</c:v>
                </c:pt>
                <c:pt idx="69">
                  <c:v>0.72662604778351403</c:v>
                </c:pt>
                <c:pt idx="70">
                  <c:v>0.72848140080668577</c:v>
                </c:pt>
                <c:pt idx="71">
                  <c:v>0.73029950774403973</c:v>
                </c:pt>
                <c:pt idx="72">
                  <c:v>0.73208159751300883</c:v>
                </c:pt>
                <c:pt idx="73">
                  <c:v>0.73382884304168683</c:v>
                </c:pt>
                <c:pt idx="74">
                  <c:v>0.73554236450413779</c:v>
                </c:pt>
                <c:pt idx="75">
                  <c:v>0.73722323233026632</c:v>
                </c:pt>
                <c:pt idx="76">
                  <c:v>0.73887247000857026</c:v>
                </c:pt>
                <c:pt idx="77">
                  <c:v>0.74049105669839621</c:v>
                </c:pt>
                <c:pt idx="78">
                  <c:v>0.74207992966680492</c:v>
                </c:pt>
                <c:pt idx="79">
                  <c:v>0.74363998656378727</c:v>
                </c:pt>
                <c:pt idx="80">
                  <c:v>0.74517208754834163</c:v>
                </c:pt>
                <c:pt idx="81">
                  <c:v>0.7466770572768251</c:v>
                </c:pt>
                <c:pt idx="82">
                  <c:v>0.7481556867639928</c:v>
                </c:pt>
                <c:pt idx="83">
                  <c:v>0.7496087351262426</c:v>
                </c:pt>
                <c:pt idx="84">
                  <c:v>0.75103693121577042</c:v>
                </c:pt>
                <c:pt idx="85">
                  <c:v>0.75244097515361041</c:v>
                </c:pt>
                <c:pt idx="86">
                  <c:v>0.75382153976886668</c:v>
                </c:pt>
                <c:pt idx="87">
                  <c:v>0.75517927195084322</c:v>
                </c:pt>
                <c:pt idx="88">
                  <c:v>0.75651479392022924</c:v>
                </c:pt>
                <c:pt idx="89">
                  <c:v>0.75782870442500427</c:v>
                </c:pt>
                <c:pt idx="90">
                  <c:v>0.75912157986627116</c:v>
                </c:pt>
                <c:pt idx="91">
                  <c:v>0.76039397535881748</c:v>
                </c:pt>
                <c:pt idx="92">
                  <c:v>0.76164642573082642</c:v>
                </c:pt>
                <c:pt idx="93">
                  <c:v>0.76287944646682204</c:v>
                </c:pt>
                <c:pt idx="94">
                  <c:v>0.76409353459761475</c:v>
                </c:pt>
                <c:pt idx="95">
                  <c:v>0.76528916954073245</c:v>
                </c:pt>
                <c:pt idx="96">
                  <c:v>0.76646681389455684</c:v>
                </c:pt>
                <c:pt idx="97">
                  <c:v>0.76762691418915074</c:v>
                </c:pt>
                <c:pt idx="98">
                  <c:v>0.76876990159653602</c:v>
                </c:pt>
                <c:pt idx="99">
                  <c:v>0.76989619260298625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Sheet1!#REF!</c:f>
              <c:strCache>
                <c:ptCount val="1"/>
                <c:pt idx="0">
                  <c:v>#REF!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xVal>
            <c:numRef>
              <c:f>Sheet1!$A$13:$A$112</c:f>
              <c:numCache>
                <c:formatCode>General</c:formatCode>
                <c:ptCount val="100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110</c:v>
                </c:pt>
                <c:pt idx="11">
                  <c:v>120</c:v>
                </c:pt>
                <c:pt idx="12">
                  <c:v>130</c:v>
                </c:pt>
                <c:pt idx="13">
                  <c:v>140</c:v>
                </c:pt>
                <c:pt idx="14">
                  <c:v>150</c:v>
                </c:pt>
                <c:pt idx="15">
                  <c:v>160</c:v>
                </c:pt>
                <c:pt idx="16">
                  <c:v>170</c:v>
                </c:pt>
                <c:pt idx="17">
                  <c:v>180</c:v>
                </c:pt>
                <c:pt idx="18">
                  <c:v>190</c:v>
                </c:pt>
                <c:pt idx="19">
                  <c:v>200</c:v>
                </c:pt>
                <c:pt idx="20">
                  <c:v>210</c:v>
                </c:pt>
                <c:pt idx="21">
                  <c:v>220</c:v>
                </c:pt>
                <c:pt idx="22">
                  <c:v>230</c:v>
                </c:pt>
                <c:pt idx="23">
                  <c:v>240</c:v>
                </c:pt>
                <c:pt idx="24">
                  <c:v>250</c:v>
                </c:pt>
                <c:pt idx="25">
                  <c:v>260</c:v>
                </c:pt>
                <c:pt idx="26">
                  <c:v>270</c:v>
                </c:pt>
                <c:pt idx="27">
                  <c:v>280</c:v>
                </c:pt>
                <c:pt idx="28">
                  <c:v>290</c:v>
                </c:pt>
                <c:pt idx="29">
                  <c:v>300</c:v>
                </c:pt>
                <c:pt idx="30">
                  <c:v>310</c:v>
                </c:pt>
                <c:pt idx="31">
                  <c:v>320</c:v>
                </c:pt>
                <c:pt idx="32">
                  <c:v>330</c:v>
                </c:pt>
                <c:pt idx="33">
                  <c:v>340</c:v>
                </c:pt>
                <c:pt idx="34">
                  <c:v>350</c:v>
                </c:pt>
                <c:pt idx="35">
                  <c:v>360</c:v>
                </c:pt>
                <c:pt idx="36">
                  <c:v>370</c:v>
                </c:pt>
                <c:pt idx="37">
                  <c:v>380</c:v>
                </c:pt>
                <c:pt idx="38">
                  <c:v>390</c:v>
                </c:pt>
                <c:pt idx="39">
                  <c:v>400</c:v>
                </c:pt>
                <c:pt idx="40">
                  <c:v>410</c:v>
                </c:pt>
                <c:pt idx="41">
                  <c:v>420</c:v>
                </c:pt>
                <c:pt idx="42">
                  <c:v>430</c:v>
                </c:pt>
                <c:pt idx="43">
                  <c:v>440</c:v>
                </c:pt>
                <c:pt idx="44">
                  <c:v>450</c:v>
                </c:pt>
                <c:pt idx="45">
                  <c:v>460</c:v>
                </c:pt>
                <c:pt idx="46">
                  <c:v>470</c:v>
                </c:pt>
                <c:pt idx="47">
                  <c:v>480</c:v>
                </c:pt>
                <c:pt idx="48">
                  <c:v>490</c:v>
                </c:pt>
                <c:pt idx="49">
                  <c:v>500</c:v>
                </c:pt>
                <c:pt idx="50">
                  <c:v>510</c:v>
                </c:pt>
                <c:pt idx="51">
                  <c:v>520</c:v>
                </c:pt>
                <c:pt idx="52">
                  <c:v>530</c:v>
                </c:pt>
                <c:pt idx="53">
                  <c:v>540</c:v>
                </c:pt>
                <c:pt idx="54">
                  <c:v>550</c:v>
                </c:pt>
                <c:pt idx="55">
                  <c:v>560</c:v>
                </c:pt>
                <c:pt idx="56">
                  <c:v>570</c:v>
                </c:pt>
                <c:pt idx="57">
                  <c:v>580</c:v>
                </c:pt>
                <c:pt idx="58">
                  <c:v>590</c:v>
                </c:pt>
                <c:pt idx="59">
                  <c:v>600</c:v>
                </c:pt>
                <c:pt idx="60">
                  <c:v>610</c:v>
                </c:pt>
                <c:pt idx="61">
                  <c:v>620</c:v>
                </c:pt>
                <c:pt idx="62">
                  <c:v>630</c:v>
                </c:pt>
                <c:pt idx="63">
                  <c:v>640</c:v>
                </c:pt>
                <c:pt idx="64">
                  <c:v>650</c:v>
                </c:pt>
                <c:pt idx="65">
                  <c:v>660</c:v>
                </c:pt>
                <c:pt idx="66">
                  <c:v>670</c:v>
                </c:pt>
                <c:pt idx="67">
                  <c:v>680</c:v>
                </c:pt>
                <c:pt idx="68">
                  <c:v>690</c:v>
                </c:pt>
                <c:pt idx="69">
                  <c:v>700</c:v>
                </c:pt>
                <c:pt idx="70">
                  <c:v>710</c:v>
                </c:pt>
                <c:pt idx="71">
                  <c:v>720</c:v>
                </c:pt>
                <c:pt idx="72">
                  <c:v>730</c:v>
                </c:pt>
                <c:pt idx="73">
                  <c:v>740</c:v>
                </c:pt>
                <c:pt idx="74">
                  <c:v>750</c:v>
                </c:pt>
                <c:pt idx="75">
                  <c:v>760</c:v>
                </c:pt>
                <c:pt idx="76">
                  <c:v>770</c:v>
                </c:pt>
                <c:pt idx="77">
                  <c:v>780</c:v>
                </c:pt>
                <c:pt idx="78">
                  <c:v>790</c:v>
                </c:pt>
                <c:pt idx="79">
                  <c:v>800</c:v>
                </c:pt>
                <c:pt idx="80">
                  <c:v>810</c:v>
                </c:pt>
                <c:pt idx="81">
                  <c:v>820</c:v>
                </c:pt>
                <c:pt idx="82">
                  <c:v>830</c:v>
                </c:pt>
                <c:pt idx="83">
                  <c:v>840</c:v>
                </c:pt>
                <c:pt idx="84">
                  <c:v>850</c:v>
                </c:pt>
                <c:pt idx="85">
                  <c:v>860</c:v>
                </c:pt>
                <c:pt idx="86">
                  <c:v>870</c:v>
                </c:pt>
                <c:pt idx="87">
                  <c:v>880</c:v>
                </c:pt>
                <c:pt idx="88">
                  <c:v>890</c:v>
                </c:pt>
                <c:pt idx="89">
                  <c:v>900</c:v>
                </c:pt>
                <c:pt idx="90">
                  <c:v>910</c:v>
                </c:pt>
                <c:pt idx="91">
                  <c:v>920</c:v>
                </c:pt>
                <c:pt idx="92">
                  <c:v>930</c:v>
                </c:pt>
                <c:pt idx="93">
                  <c:v>940</c:v>
                </c:pt>
                <c:pt idx="94">
                  <c:v>950</c:v>
                </c:pt>
                <c:pt idx="95">
                  <c:v>960</c:v>
                </c:pt>
                <c:pt idx="96">
                  <c:v>970</c:v>
                </c:pt>
                <c:pt idx="97">
                  <c:v>980</c:v>
                </c:pt>
                <c:pt idx="98">
                  <c:v>990</c:v>
                </c:pt>
                <c:pt idx="99">
                  <c:v>1000</c:v>
                </c:pt>
              </c:numCache>
            </c:numRef>
          </c:xVal>
          <c:yVal>
            <c:numRef>
              <c:f>Sheet1!#REF!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Sheet1!#REF!</c:f>
              <c:strCache>
                <c:ptCount val="1"/>
                <c:pt idx="0">
                  <c:v>#REF!</c:v>
                </c:pt>
              </c:strCache>
            </c:strRef>
          </c:tx>
          <c:spPr>
            <a:ln w="28575">
              <a:noFill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xVal>
            <c:numRef>
              <c:f>Sheet1!$A$13:$A$112</c:f>
              <c:numCache>
                <c:formatCode>General</c:formatCode>
                <c:ptCount val="100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110</c:v>
                </c:pt>
                <c:pt idx="11">
                  <c:v>120</c:v>
                </c:pt>
                <c:pt idx="12">
                  <c:v>130</c:v>
                </c:pt>
                <c:pt idx="13">
                  <c:v>140</c:v>
                </c:pt>
                <c:pt idx="14">
                  <c:v>150</c:v>
                </c:pt>
                <c:pt idx="15">
                  <c:v>160</c:v>
                </c:pt>
                <c:pt idx="16">
                  <c:v>170</c:v>
                </c:pt>
                <c:pt idx="17">
                  <c:v>180</c:v>
                </c:pt>
                <c:pt idx="18">
                  <c:v>190</c:v>
                </c:pt>
                <c:pt idx="19">
                  <c:v>200</c:v>
                </c:pt>
                <c:pt idx="20">
                  <c:v>210</c:v>
                </c:pt>
                <c:pt idx="21">
                  <c:v>220</c:v>
                </c:pt>
                <c:pt idx="22">
                  <c:v>230</c:v>
                </c:pt>
                <c:pt idx="23">
                  <c:v>240</c:v>
                </c:pt>
                <c:pt idx="24">
                  <c:v>250</c:v>
                </c:pt>
                <c:pt idx="25">
                  <c:v>260</c:v>
                </c:pt>
                <c:pt idx="26">
                  <c:v>270</c:v>
                </c:pt>
                <c:pt idx="27">
                  <c:v>280</c:v>
                </c:pt>
                <c:pt idx="28">
                  <c:v>290</c:v>
                </c:pt>
                <c:pt idx="29">
                  <c:v>300</c:v>
                </c:pt>
                <c:pt idx="30">
                  <c:v>310</c:v>
                </c:pt>
                <c:pt idx="31">
                  <c:v>320</c:v>
                </c:pt>
                <c:pt idx="32">
                  <c:v>330</c:v>
                </c:pt>
                <c:pt idx="33">
                  <c:v>340</c:v>
                </c:pt>
                <c:pt idx="34">
                  <c:v>350</c:v>
                </c:pt>
                <c:pt idx="35">
                  <c:v>360</c:v>
                </c:pt>
                <c:pt idx="36">
                  <c:v>370</c:v>
                </c:pt>
                <c:pt idx="37">
                  <c:v>380</c:v>
                </c:pt>
                <c:pt idx="38">
                  <c:v>390</c:v>
                </c:pt>
                <c:pt idx="39">
                  <c:v>400</c:v>
                </c:pt>
                <c:pt idx="40">
                  <c:v>410</c:v>
                </c:pt>
                <c:pt idx="41">
                  <c:v>420</c:v>
                </c:pt>
                <c:pt idx="42">
                  <c:v>430</c:v>
                </c:pt>
                <c:pt idx="43">
                  <c:v>440</c:v>
                </c:pt>
                <c:pt idx="44">
                  <c:v>450</c:v>
                </c:pt>
                <c:pt idx="45">
                  <c:v>460</c:v>
                </c:pt>
                <c:pt idx="46">
                  <c:v>470</c:v>
                </c:pt>
                <c:pt idx="47">
                  <c:v>480</c:v>
                </c:pt>
                <c:pt idx="48">
                  <c:v>490</c:v>
                </c:pt>
                <c:pt idx="49">
                  <c:v>500</c:v>
                </c:pt>
                <c:pt idx="50">
                  <c:v>510</c:v>
                </c:pt>
                <c:pt idx="51">
                  <c:v>520</c:v>
                </c:pt>
                <c:pt idx="52">
                  <c:v>530</c:v>
                </c:pt>
                <c:pt idx="53">
                  <c:v>540</c:v>
                </c:pt>
                <c:pt idx="54">
                  <c:v>550</c:v>
                </c:pt>
                <c:pt idx="55">
                  <c:v>560</c:v>
                </c:pt>
                <c:pt idx="56">
                  <c:v>570</c:v>
                </c:pt>
                <c:pt idx="57">
                  <c:v>580</c:v>
                </c:pt>
                <c:pt idx="58">
                  <c:v>590</c:v>
                </c:pt>
                <c:pt idx="59">
                  <c:v>600</c:v>
                </c:pt>
                <c:pt idx="60">
                  <c:v>610</c:v>
                </c:pt>
                <c:pt idx="61">
                  <c:v>620</c:v>
                </c:pt>
                <c:pt idx="62">
                  <c:v>630</c:v>
                </c:pt>
                <c:pt idx="63">
                  <c:v>640</c:v>
                </c:pt>
                <c:pt idx="64">
                  <c:v>650</c:v>
                </c:pt>
                <c:pt idx="65">
                  <c:v>660</c:v>
                </c:pt>
                <c:pt idx="66">
                  <c:v>670</c:v>
                </c:pt>
                <c:pt idx="67">
                  <c:v>680</c:v>
                </c:pt>
                <c:pt idx="68">
                  <c:v>690</c:v>
                </c:pt>
                <c:pt idx="69">
                  <c:v>700</c:v>
                </c:pt>
                <c:pt idx="70">
                  <c:v>710</c:v>
                </c:pt>
                <c:pt idx="71">
                  <c:v>720</c:v>
                </c:pt>
                <c:pt idx="72">
                  <c:v>730</c:v>
                </c:pt>
                <c:pt idx="73">
                  <c:v>740</c:v>
                </c:pt>
                <c:pt idx="74">
                  <c:v>750</c:v>
                </c:pt>
                <c:pt idx="75">
                  <c:v>760</c:v>
                </c:pt>
                <c:pt idx="76">
                  <c:v>770</c:v>
                </c:pt>
                <c:pt idx="77">
                  <c:v>780</c:v>
                </c:pt>
                <c:pt idx="78">
                  <c:v>790</c:v>
                </c:pt>
                <c:pt idx="79">
                  <c:v>800</c:v>
                </c:pt>
                <c:pt idx="80">
                  <c:v>810</c:v>
                </c:pt>
                <c:pt idx="81">
                  <c:v>820</c:v>
                </c:pt>
                <c:pt idx="82">
                  <c:v>830</c:v>
                </c:pt>
                <c:pt idx="83">
                  <c:v>840</c:v>
                </c:pt>
                <c:pt idx="84">
                  <c:v>850</c:v>
                </c:pt>
                <c:pt idx="85">
                  <c:v>860</c:v>
                </c:pt>
                <c:pt idx="86">
                  <c:v>870</c:v>
                </c:pt>
                <c:pt idx="87">
                  <c:v>880</c:v>
                </c:pt>
                <c:pt idx="88">
                  <c:v>890</c:v>
                </c:pt>
                <c:pt idx="89">
                  <c:v>900</c:v>
                </c:pt>
                <c:pt idx="90">
                  <c:v>910</c:v>
                </c:pt>
                <c:pt idx="91">
                  <c:v>920</c:v>
                </c:pt>
                <c:pt idx="92">
                  <c:v>930</c:v>
                </c:pt>
                <c:pt idx="93">
                  <c:v>940</c:v>
                </c:pt>
                <c:pt idx="94">
                  <c:v>950</c:v>
                </c:pt>
                <c:pt idx="95">
                  <c:v>960</c:v>
                </c:pt>
                <c:pt idx="96">
                  <c:v>970</c:v>
                </c:pt>
                <c:pt idx="97">
                  <c:v>980</c:v>
                </c:pt>
                <c:pt idx="98">
                  <c:v>990</c:v>
                </c:pt>
                <c:pt idx="99">
                  <c:v>1000</c:v>
                </c:pt>
              </c:numCache>
            </c:numRef>
          </c:xVal>
          <c:yVal>
            <c:numRef>
              <c:f>Sheet1!#REF!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229888"/>
        <c:axId val="189230464"/>
      </c:scatterChart>
      <c:valAx>
        <c:axId val="189229888"/>
        <c:scaling>
          <c:orientation val="minMax"/>
        </c:scaling>
        <c:delete val="0"/>
        <c:axPos val="b"/>
        <c:majorGridlines>
          <c:spPr>
            <a:ln w="3175">
              <a:solidFill>
                <a:srgbClr val="969696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89230464"/>
        <c:crosses val="autoZero"/>
        <c:crossBetween val="midCat"/>
      </c:valAx>
      <c:valAx>
        <c:axId val="189230464"/>
        <c:scaling>
          <c:orientation val="minMax"/>
        </c:scaling>
        <c:delete val="0"/>
        <c:axPos val="l"/>
        <c:majorGridlines>
          <c:spPr>
            <a:ln w="3175">
              <a:solidFill>
                <a:srgbClr val="969696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89229888"/>
        <c:crosses val="autoZero"/>
        <c:crossBetween val="midCat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C0C0C0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294797687861271"/>
          <c:y val="8.2111436950146624E-2"/>
          <c:w val="0.66907514450867056"/>
          <c:h val="0.68328445747800581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Sheet1!$B$12</c:f>
              <c:strCache>
                <c:ptCount val="1"/>
                <c:pt idx="0">
                  <c:v>River_a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Sheet1!$A$13:$A$112</c:f>
              <c:numCache>
                <c:formatCode>General</c:formatCode>
                <c:ptCount val="100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110</c:v>
                </c:pt>
                <c:pt idx="11">
                  <c:v>120</c:v>
                </c:pt>
                <c:pt idx="12">
                  <c:v>130</c:v>
                </c:pt>
                <c:pt idx="13">
                  <c:v>140</c:v>
                </c:pt>
                <c:pt idx="14">
                  <c:v>150</c:v>
                </c:pt>
                <c:pt idx="15">
                  <c:v>160</c:v>
                </c:pt>
                <c:pt idx="16">
                  <c:v>170</c:v>
                </c:pt>
                <c:pt idx="17">
                  <c:v>180</c:v>
                </c:pt>
                <c:pt idx="18">
                  <c:v>190</c:v>
                </c:pt>
                <c:pt idx="19">
                  <c:v>200</c:v>
                </c:pt>
                <c:pt idx="20">
                  <c:v>210</c:v>
                </c:pt>
                <c:pt idx="21">
                  <c:v>220</c:v>
                </c:pt>
                <c:pt idx="22">
                  <c:v>230</c:v>
                </c:pt>
                <c:pt idx="23">
                  <c:v>240</c:v>
                </c:pt>
                <c:pt idx="24">
                  <c:v>250</c:v>
                </c:pt>
                <c:pt idx="25">
                  <c:v>260</c:v>
                </c:pt>
                <c:pt idx="26">
                  <c:v>270</c:v>
                </c:pt>
                <c:pt idx="27">
                  <c:v>280</c:v>
                </c:pt>
                <c:pt idx="28">
                  <c:v>290</c:v>
                </c:pt>
                <c:pt idx="29">
                  <c:v>300</c:v>
                </c:pt>
                <c:pt idx="30">
                  <c:v>310</c:v>
                </c:pt>
                <c:pt idx="31">
                  <c:v>320</c:v>
                </c:pt>
                <c:pt idx="32">
                  <c:v>330</c:v>
                </c:pt>
                <c:pt idx="33">
                  <c:v>340</c:v>
                </c:pt>
                <c:pt idx="34">
                  <c:v>350</c:v>
                </c:pt>
                <c:pt idx="35">
                  <c:v>360</c:v>
                </c:pt>
                <c:pt idx="36">
                  <c:v>370</c:v>
                </c:pt>
                <c:pt idx="37">
                  <c:v>380</c:v>
                </c:pt>
                <c:pt idx="38">
                  <c:v>390</c:v>
                </c:pt>
                <c:pt idx="39">
                  <c:v>400</c:v>
                </c:pt>
                <c:pt idx="40">
                  <c:v>410</c:v>
                </c:pt>
                <c:pt idx="41">
                  <c:v>420</c:v>
                </c:pt>
                <c:pt idx="42">
                  <c:v>430</c:v>
                </c:pt>
                <c:pt idx="43">
                  <c:v>440</c:v>
                </c:pt>
                <c:pt idx="44">
                  <c:v>450</c:v>
                </c:pt>
                <c:pt idx="45">
                  <c:v>460</c:v>
                </c:pt>
                <c:pt idx="46">
                  <c:v>470</c:v>
                </c:pt>
                <c:pt idx="47">
                  <c:v>480</c:v>
                </c:pt>
                <c:pt idx="48">
                  <c:v>490</c:v>
                </c:pt>
                <c:pt idx="49">
                  <c:v>500</c:v>
                </c:pt>
                <c:pt idx="50">
                  <c:v>510</c:v>
                </c:pt>
                <c:pt idx="51">
                  <c:v>520</c:v>
                </c:pt>
                <c:pt idx="52">
                  <c:v>530</c:v>
                </c:pt>
                <c:pt idx="53">
                  <c:v>540</c:v>
                </c:pt>
                <c:pt idx="54">
                  <c:v>550</c:v>
                </c:pt>
                <c:pt idx="55">
                  <c:v>560</c:v>
                </c:pt>
                <c:pt idx="56">
                  <c:v>570</c:v>
                </c:pt>
                <c:pt idx="57">
                  <c:v>580</c:v>
                </c:pt>
                <c:pt idx="58">
                  <c:v>590</c:v>
                </c:pt>
                <c:pt idx="59">
                  <c:v>600</c:v>
                </c:pt>
                <c:pt idx="60">
                  <c:v>610</c:v>
                </c:pt>
                <c:pt idx="61">
                  <c:v>620</c:v>
                </c:pt>
                <c:pt idx="62">
                  <c:v>630</c:v>
                </c:pt>
                <c:pt idx="63">
                  <c:v>640</c:v>
                </c:pt>
                <c:pt idx="64">
                  <c:v>650</c:v>
                </c:pt>
                <c:pt idx="65">
                  <c:v>660</c:v>
                </c:pt>
                <c:pt idx="66">
                  <c:v>670</c:v>
                </c:pt>
                <c:pt idx="67">
                  <c:v>680</c:v>
                </c:pt>
                <c:pt idx="68">
                  <c:v>690</c:v>
                </c:pt>
                <c:pt idx="69">
                  <c:v>700</c:v>
                </c:pt>
                <c:pt idx="70">
                  <c:v>710</c:v>
                </c:pt>
                <c:pt idx="71">
                  <c:v>720</c:v>
                </c:pt>
                <c:pt idx="72">
                  <c:v>730</c:v>
                </c:pt>
                <c:pt idx="73">
                  <c:v>740</c:v>
                </c:pt>
                <c:pt idx="74">
                  <c:v>750</c:v>
                </c:pt>
                <c:pt idx="75">
                  <c:v>760</c:v>
                </c:pt>
                <c:pt idx="76">
                  <c:v>770</c:v>
                </c:pt>
                <c:pt idx="77">
                  <c:v>780</c:v>
                </c:pt>
                <c:pt idx="78">
                  <c:v>790</c:v>
                </c:pt>
                <c:pt idx="79">
                  <c:v>800</c:v>
                </c:pt>
                <c:pt idx="80">
                  <c:v>810</c:v>
                </c:pt>
                <c:pt idx="81">
                  <c:v>820</c:v>
                </c:pt>
                <c:pt idx="82">
                  <c:v>830</c:v>
                </c:pt>
                <c:pt idx="83">
                  <c:v>840</c:v>
                </c:pt>
                <c:pt idx="84">
                  <c:v>850</c:v>
                </c:pt>
                <c:pt idx="85">
                  <c:v>860</c:v>
                </c:pt>
                <c:pt idx="86">
                  <c:v>870</c:v>
                </c:pt>
                <c:pt idx="87">
                  <c:v>880</c:v>
                </c:pt>
                <c:pt idx="88">
                  <c:v>890</c:v>
                </c:pt>
                <c:pt idx="89">
                  <c:v>900</c:v>
                </c:pt>
                <c:pt idx="90">
                  <c:v>910</c:v>
                </c:pt>
                <c:pt idx="91">
                  <c:v>920</c:v>
                </c:pt>
                <c:pt idx="92">
                  <c:v>930</c:v>
                </c:pt>
                <c:pt idx="93">
                  <c:v>940</c:v>
                </c:pt>
                <c:pt idx="94">
                  <c:v>950</c:v>
                </c:pt>
                <c:pt idx="95">
                  <c:v>960</c:v>
                </c:pt>
                <c:pt idx="96">
                  <c:v>970</c:v>
                </c:pt>
                <c:pt idx="97">
                  <c:v>980</c:v>
                </c:pt>
                <c:pt idx="98">
                  <c:v>990</c:v>
                </c:pt>
                <c:pt idx="99">
                  <c:v>1000</c:v>
                </c:pt>
              </c:numCache>
            </c:numRef>
          </c:xVal>
          <c:yVal>
            <c:numRef>
              <c:f>Sheet1!$B$13:$B$112</c:f>
              <c:numCache>
                <c:formatCode>General</c:formatCode>
                <c:ptCount val="100"/>
                <c:pt idx="0">
                  <c:v>3.4433798490486256E-3</c:v>
                </c:pt>
                <c:pt idx="1">
                  <c:v>3.8605913070703039E-2</c:v>
                </c:pt>
                <c:pt idx="2">
                  <c:v>9.1255613168990599E-2</c:v>
                </c:pt>
                <c:pt idx="3">
                  <c:v>0.14358961746974888</c:v>
                </c:pt>
                <c:pt idx="4">
                  <c:v>0.19082326968597743</c:v>
                </c:pt>
                <c:pt idx="5">
                  <c:v>0.23241152842341797</c:v>
                </c:pt>
                <c:pt idx="6">
                  <c:v>0.26890555141182965</c:v>
                </c:pt>
                <c:pt idx="7">
                  <c:v>0.30105134931851724</c:v>
                </c:pt>
                <c:pt idx="8">
                  <c:v>0.329542595438575</c:v>
                </c:pt>
                <c:pt idx="9">
                  <c:v>0.35496590744646467</c:v>
                </c:pt>
                <c:pt idx="10">
                  <c:v>0.3778022809420904</c:v>
                </c:pt>
                <c:pt idx="11">
                  <c:v>0.39844278884618123</c:v>
                </c:pt>
                <c:pt idx="12">
                  <c:v>0.41720565764244305</c:v>
                </c:pt>
                <c:pt idx="13">
                  <c:v>0.4343511151453347</c:v>
                </c:pt>
                <c:pt idx="14">
                  <c:v>0.45009339165182499</c:v>
                </c:pt>
                <c:pt idx="15">
                  <c:v>0.46461015388609594</c:v>
                </c:pt>
                <c:pt idx="16">
                  <c:v>0.47804985066450023</c:v>
                </c:pt>
                <c:pt idx="17">
                  <c:v>0.49053742702214265</c:v>
                </c:pt>
                <c:pt idx="18">
                  <c:v>0.50217878389327208</c:v>
                </c:pt>
                <c:pt idx="19">
                  <c:v>0.5130642778583272</c:v>
                </c:pt>
                <c:pt idx="20">
                  <c:v>0.5232714856259304</c:v>
                </c:pt>
                <c:pt idx="21">
                  <c:v>0.53286740308988589</c:v>
                </c:pt>
                <c:pt idx="22">
                  <c:v>0.54191020713055837</c:v>
                </c:pt>
                <c:pt idx="23">
                  <c:v>0.55045067709864903</c:v>
                </c:pt>
                <c:pt idx="24">
                  <c:v>0.55853334962315315</c:v>
                </c:pt>
                <c:pt idx="25">
                  <c:v>0.56619746300389029</c:v>
                </c:pt>
                <c:pt idx="26">
                  <c:v>0.573477734440762</c:v>
                </c:pt>
                <c:pt idx="27">
                  <c:v>0.58040500357063607</c:v>
                </c:pt>
                <c:pt idx="28">
                  <c:v>0.58700676838644839</c:v>
                </c:pt>
                <c:pt idx="29">
                  <c:v>0.5933076339858554</c:v>
                </c:pt>
                <c:pt idx="30">
                  <c:v>0.5993296902881291</c:v>
                </c:pt>
                <c:pt idx="31">
                  <c:v>0.60509283153772397</c:v>
                </c:pt>
                <c:pt idx="32">
                  <c:v>0.61061502783795552</c:v>
                </c:pt>
                <c:pt idx="33">
                  <c:v>0.61591255694869174</c:v>
                </c:pt>
                <c:pt idx="34">
                  <c:v>0.62100020300408088</c:v>
                </c:pt>
                <c:pt idx="35">
                  <c:v>0.62589142756004668</c:v>
                </c:pt>
                <c:pt idx="36">
                  <c:v>0.63059851739122585</c:v>
                </c:pt>
                <c:pt idx="37">
                  <c:v>0.63513271266617155</c:v>
                </c:pt>
                <c:pt idx="38">
                  <c:v>0.63950431849453748</c:v>
                </c:pt>
                <c:pt idx="39">
                  <c:v>0.64372280232730805</c:v>
                </c:pt>
                <c:pt idx="40">
                  <c:v>0.64779687927528862</c:v>
                </c:pt>
                <c:pt idx="41">
                  <c:v>0.65173458707214693</c:v>
                </c:pt>
                <c:pt idx="42">
                  <c:v>0.65554335213080117</c:v>
                </c:pt>
                <c:pt idx="43">
                  <c:v>0.6592300479137595</c:v>
                </c:pt>
                <c:pt idx="44">
                  <c:v>0.66280104664958162</c:v>
                </c:pt>
                <c:pt idx="45">
                  <c:v>0.6662622652713901</c:v>
                </c:pt>
                <c:pt idx="46">
                  <c:v>0.66961920632331084</c:v>
                </c:pt>
                <c:pt idx="47">
                  <c:v>0.67287699447207028</c:v>
                </c:pt>
                <c:pt idx="48">
                  <c:v>0.67604040916986818</c:v>
                </c:pt>
                <c:pt idx="49">
                  <c:v>0.67911391393799059</c:v>
                </c:pt>
                <c:pt idx="50">
                  <c:v>0.68210168267591098</c:v>
                </c:pt>
                <c:pt idx="51">
                  <c:v>0.685007623345818</c:v>
                </c:pt>
                <c:pt idx="52">
                  <c:v>0.68783539933594029</c:v>
                </c:pt>
                <c:pt idx="53">
                  <c:v>0.69058844876636272</c:v>
                </c:pt>
                <c:pt idx="54">
                  <c:v>0.69327000196711364</c:v>
                </c:pt>
                <c:pt idx="55">
                  <c:v>0.69588309732924847</c:v>
                </c:pt>
                <c:pt idx="56">
                  <c:v>0.69843059570467747</c:v>
                </c:pt>
                <c:pt idx="57">
                  <c:v>0.70091519350897524</c:v>
                </c:pt>
                <c:pt idx="58">
                  <c:v>0.70333943466282711</c:v>
                </c:pt>
                <c:pt idx="59">
                  <c:v>0.70570572149167776</c:v>
                </c:pt>
                <c:pt idx="60">
                  <c:v>0.70801632468918663</c:v>
                </c:pt>
                <c:pt idx="61">
                  <c:v>0.71027339243794474</c:v>
                </c:pt>
                <c:pt idx="62">
                  <c:v>0.71247895877032497</c:v>
                </c:pt>
                <c:pt idx="63">
                  <c:v>0.71463495124307896</c:v>
                </c:pt>
                <c:pt idx="64">
                  <c:v>0.71674319799120445</c:v>
                </c:pt>
                <c:pt idx="65">
                  <c:v>0.71880543421949039</c:v>
                </c:pt>
                <c:pt idx="66">
                  <c:v>0.72082330818391194</c:v>
                </c:pt>
                <c:pt idx="67">
                  <c:v>0.72279838670954155</c:v>
                </c:pt>
                <c:pt idx="68">
                  <c:v>0.72473216028679177</c:v>
                </c:pt>
                <c:pt idx="69">
                  <c:v>0.72662604778351403</c:v>
                </c:pt>
                <c:pt idx="70">
                  <c:v>0.72848140080668577</c:v>
                </c:pt>
                <c:pt idx="71">
                  <c:v>0.73029950774403973</c:v>
                </c:pt>
                <c:pt idx="72">
                  <c:v>0.73208159751300883</c:v>
                </c:pt>
                <c:pt idx="73">
                  <c:v>0.73382884304168683</c:v>
                </c:pt>
                <c:pt idx="74">
                  <c:v>0.73554236450413779</c:v>
                </c:pt>
                <c:pt idx="75">
                  <c:v>0.73722323233026632</c:v>
                </c:pt>
                <c:pt idx="76">
                  <c:v>0.73887247000857026</c:v>
                </c:pt>
                <c:pt idx="77">
                  <c:v>0.74049105669839621</c:v>
                </c:pt>
                <c:pt idx="78">
                  <c:v>0.74207992966680492</c:v>
                </c:pt>
                <c:pt idx="79">
                  <c:v>0.74363998656378727</c:v>
                </c:pt>
                <c:pt idx="80">
                  <c:v>0.74517208754834163</c:v>
                </c:pt>
                <c:pt idx="81">
                  <c:v>0.7466770572768251</c:v>
                </c:pt>
                <c:pt idx="82">
                  <c:v>0.7481556867639928</c:v>
                </c:pt>
                <c:pt idx="83">
                  <c:v>0.7496087351262426</c:v>
                </c:pt>
                <c:pt idx="84">
                  <c:v>0.75103693121577042</c:v>
                </c:pt>
                <c:pt idx="85">
                  <c:v>0.75244097515361041</c:v>
                </c:pt>
                <c:pt idx="86">
                  <c:v>0.75382153976886668</c:v>
                </c:pt>
                <c:pt idx="87">
                  <c:v>0.75517927195084322</c:v>
                </c:pt>
                <c:pt idx="88">
                  <c:v>0.75651479392022924</c:v>
                </c:pt>
                <c:pt idx="89">
                  <c:v>0.75782870442500427</c:v>
                </c:pt>
                <c:pt idx="90">
                  <c:v>0.75912157986627116</c:v>
                </c:pt>
                <c:pt idx="91">
                  <c:v>0.76039397535881748</c:v>
                </c:pt>
                <c:pt idx="92">
                  <c:v>0.76164642573082642</c:v>
                </c:pt>
                <c:pt idx="93">
                  <c:v>0.76287944646682204</c:v>
                </c:pt>
                <c:pt idx="94">
                  <c:v>0.76409353459761475</c:v>
                </c:pt>
                <c:pt idx="95">
                  <c:v>0.76528916954073245</c:v>
                </c:pt>
                <c:pt idx="96">
                  <c:v>0.76646681389455684</c:v>
                </c:pt>
                <c:pt idx="97">
                  <c:v>0.76762691418915074</c:v>
                </c:pt>
                <c:pt idx="98">
                  <c:v>0.76876990159653602</c:v>
                </c:pt>
                <c:pt idx="99">
                  <c:v>0.76989619260298625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232768"/>
        <c:axId val="189233344"/>
      </c:scatterChart>
      <c:valAx>
        <c:axId val="1892327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Days</a:t>
                </a:r>
              </a:p>
            </c:rich>
          </c:tx>
          <c:layout>
            <c:manualLayout>
              <c:xMode val="edge"/>
              <c:yMode val="edge"/>
              <c:x val="0.43497109826589597"/>
              <c:y val="0.8709677419354838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89233344"/>
        <c:crosses val="autoZero"/>
        <c:crossBetween val="midCat"/>
      </c:valAx>
      <c:valAx>
        <c:axId val="189233344"/>
        <c:scaling>
          <c:orientation val="minMax"/>
          <c:max val="1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q/Q</a:t>
                </a:r>
              </a:p>
            </c:rich>
          </c:tx>
          <c:layout>
            <c:manualLayout>
              <c:xMode val="edge"/>
              <c:yMode val="edge"/>
              <c:x val="2.3121387283236993E-2"/>
              <c:y val="0.37536656891495601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89232768"/>
        <c:crosses val="autoZero"/>
        <c:crossBetween val="midCat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4826589595375723"/>
          <c:y val="0.38709677419354838"/>
          <c:w val="0.14017341040462428"/>
          <c:h val="7.331378299120235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eg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112</xdr:row>
      <xdr:rowOff>0</xdr:rowOff>
    </xdr:from>
    <xdr:to>
      <xdr:col>3</xdr:col>
      <xdr:colOff>0</xdr:colOff>
      <xdr:row>112</xdr:row>
      <xdr:rowOff>0</xdr:rowOff>
    </xdr:to>
    <xdr:graphicFrame macro="">
      <xdr:nvGraphicFramePr>
        <xdr:cNvPr id="1032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457200</xdr:colOff>
      <xdr:row>18</xdr:row>
      <xdr:rowOff>152400</xdr:rowOff>
    </xdr:from>
    <xdr:to>
      <xdr:col>12</xdr:col>
      <xdr:colOff>190500</xdr:colOff>
      <xdr:row>35</xdr:row>
      <xdr:rowOff>161925</xdr:rowOff>
    </xdr:to>
    <xdr:graphicFrame macro="">
      <xdr:nvGraphicFramePr>
        <xdr:cNvPr id="1034" name="Chart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4</xdr:col>
      <xdr:colOff>552450</xdr:colOff>
      <xdr:row>1</xdr:row>
      <xdr:rowOff>95250</xdr:rowOff>
    </xdr:from>
    <xdr:to>
      <xdr:col>9</xdr:col>
      <xdr:colOff>752475</xdr:colOff>
      <xdr:row>17</xdr:row>
      <xdr:rowOff>57150</xdr:rowOff>
    </xdr:to>
    <xdr:pic>
      <xdr:nvPicPr>
        <xdr:cNvPr id="5711" name="Picture 3663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00450" y="285750"/>
          <a:ext cx="4010025" cy="3009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12"/>
  <sheetViews>
    <sheetView tabSelected="1" workbookViewId="0">
      <selection activeCell="B8" sqref="B8"/>
    </sheetView>
  </sheetViews>
  <sheetFormatPr defaultRowHeight="15" x14ac:dyDescent="0.2"/>
  <sheetData>
    <row r="1" spans="1:20" x14ac:dyDescent="0.2">
      <c r="A1" t="s">
        <v>0</v>
      </c>
      <c r="B1">
        <v>1850</v>
      </c>
      <c r="C1" t="s">
        <v>7</v>
      </c>
    </row>
    <row r="3" spans="1:20" x14ac:dyDescent="0.2">
      <c r="A3" t="s">
        <v>1</v>
      </c>
      <c r="B3">
        <v>0.05</v>
      </c>
    </row>
    <row r="4" spans="1:20" x14ac:dyDescent="0.2">
      <c r="A4" t="s">
        <v>2</v>
      </c>
      <c r="B4">
        <v>1000</v>
      </c>
      <c r="C4" t="s">
        <v>8</v>
      </c>
    </row>
    <row r="5" spans="1:20" x14ac:dyDescent="0.2">
      <c r="A5" t="s">
        <v>4</v>
      </c>
      <c r="B5">
        <f>4*B4/B3</f>
        <v>80000</v>
      </c>
    </row>
    <row r="7" spans="1:20" x14ac:dyDescent="0.2">
      <c r="B7">
        <f>B1^2*B3/B4</f>
        <v>171.125</v>
      </c>
    </row>
    <row r="8" spans="1:20" x14ac:dyDescent="0.2">
      <c r="T8" t="s">
        <v>3</v>
      </c>
    </row>
    <row r="9" spans="1:20" x14ac:dyDescent="0.2">
      <c r="T9">
        <v>1</v>
      </c>
    </row>
    <row r="10" spans="1:20" x14ac:dyDescent="0.2">
      <c r="T10">
        <v>0</v>
      </c>
    </row>
    <row r="11" spans="1:20" x14ac:dyDescent="0.2">
      <c r="C11" t="s">
        <v>6</v>
      </c>
    </row>
    <row r="12" spans="1:20" x14ac:dyDescent="0.2">
      <c r="A12" t="s">
        <v>9</v>
      </c>
      <c r="B12" t="s">
        <v>5</v>
      </c>
      <c r="C12" t="s">
        <v>6</v>
      </c>
      <c r="T12">
        <v>1</v>
      </c>
    </row>
    <row r="13" spans="1:20" x14ac:dyDescent="0.2">
      <c r="A13">
        <v>10</v>
      </c>
      <c r="B13">
        <f t="shared" ref="B13:B44" si="0">SUM(C13:C13)</f>
        <v>3.4433798490486256E-3</v>
      </c>
      <c r="C13">
        <f t="shared" ref="C13:C44" si="1">IF(T13&lt;9,ERFC(T13),0)</f>
        <v>3.4433798490486256E-3</v>
      </c>
      <c r="T13">
        <f>(T$9*$B$1)/SQRT($A13*$B$5)</f>
        <v>2.0683628791873057</v>
      </c>
    </row>
    <row r="14" spans="1:20" x14ac:dyDescent="0.2">
      <c r="A14">
        <f>+A13+10</f>
        <v>20</v>
      </c>
      <c r="B14">
        <f t="shared" si="0"/>
        <v>3.8605913070703039E-2</v>
      </c>
      <c r="C14">
        <f t="shared" si="1"/>
        <v>3.8605913070703039E-2</v>
      </c>
      <c r="T14">
        <f>(T$9*$B$1)/SQRT($A14*$B$5)</f>
        <v>1.4625534178278754</v>
      </c>
    </row>
    <row r="15" spans="1:20" x14ac:dyDescent="0.2">
      <c r="A15">
        <f t="shared" ref="A15:A78" si="2">+A14+10</f>
        <v>30</v>
      </c>
      <c r="B15">
        <f t="shared" si="0"/>
        <v>9.1255613168990599E-2</v>
      </c>
      <c r="C15">
        <f t="shared" si="1"/>
        <v>9.1255613168990599E-2</v>
      </c>
      <c r="T15">
        <f t="shared" ref="T15:T78" si="3">(T$9*$B$1)/SQRT($A15*$B$5)</f>
        <v>1.1941698650806203</v>
      </c>
    </row>
    <row r="16" spans="1:20" x14ac:dyDescent="0.2">
      <c r="A16">
        <f t="shared" si="2"/>
        <v>40</v>
      </c>
      <c r="B16">
        <f t="shared" si="0"/>
        <v>0.14358961746974888</v>
      </c>
      <c r="C16">
        <f t="shared" si="1"/>
        <v>0.14358961746974888</v>
      </c>
      <c r="T16">
        <f t="shared" si="3"/>
        <v>1.0341814395936528</v>
      </c>
    </row>
    <row r="17" spans="1:20" x14ac:dyDescent="0.2">
      <c r="A17">
        <f t="shared" si="2"/>
        <v>50</v>
      </c>
      <c r="B17">
        <f t="shared" si="0"/>
        <v>0.19082326968597743</v>
      </c>
      <c r="C17">
        <f t="shared" si="1"/>
        <v>0.19082326968597743</v>
      </c>
      <c r="T17">
        <f t="shared" si="3"/>
        <v>0.92500000000000004</v>
      </c>
    </row>
    <row r="18" spans="1:20" x14ac:dyDescent="0.2">
      <c r="A18">
        <f t="shared" si="2"/>
        <v>60</v>
      </c>
      <c r="B18">
        <f t="shared" si="0"/>
        <v>0.23241152842341797</v>
      </c>
      <c r="C18">
        <f t="shared" si="1"/>
        <v>0.23241152842341797</v>
      </c>
      <c r="T18">
        <f t="shared" si="3"/>
        <v>0.84440560948713106</v>
      </c>
    </row>
    <row r="19" spans="1:20" x14ac:dyDescent="0.2">
      <c r="A19">
        <f t="shared" si="2"/>
        <v>70</v>
      </c>
      <c r="B19">
        <f t="shared" si="0"/>
        <v>0.26890555141182965</v>
      </c>
      <c r="C19">
        <f t="shared" si="1"/>
        <v>0.26890555141182965</v>
      </c>
      <c r="T19">
        <f t="shared" si="3"/>
        <v>0.78176768562387788</v>
      </c>
    </row>
    <row r="20" spans="1:20" x14ac:dyDescent="0.2">
      <c r="A20">
        <f t="shared" si="2"/>
        <v>80</v>
      </c>
      <c r="B20">
        <f t="shared" si="0"/>
        <v>0.30105134931851724</v>
      </c>
      <c r="C20">
        <f t="shared" si="1"/>
        <v>0.30105134931851724</v>
      </c>
      <c r="T20">
        <f t="shared" si="3"/>
        <v>0.7312767089139377</v>
      </c>
    </row>
    <row r="21" spans="1:20" x14ac:dyDescent="0.2">
      <c r="A21">
        <f t="shared" si="2"/>
        <v>90</v>
      </c>
      <c r="B21">
        <f t="shared" si="0"/>
        <v>0.329542595438575</v>
      </c>
      <c r="C21">
        <f t="shared" si="1"/>
        <v>0.329542595438575</v>
      </c>
      <c r="T21">
        <f t="shared" si="3"/>
        <v>0.68945429306243511</v>
      </c>
    </row>
    <row r="22" spans="1:20" x14ac:dyDescent="0.2">
      <c r="A22">
        <f t="shared" si="2"/>
        <v>100</v>
      </c>
      <c r="B22">
        <f t="shared" si="0"/>
        <v>0.35496590744646467</v>
      </c>
      <c r="C22">
        <f t="shared" si="1"/>
        <v>0.35496590744646467</v>
      </c>
      <c r="T22">
        <f t="shared" si="3"/>
        <v>0.65407377259755639</v>
      </c>
    </row>
    <row r="23" spans="1:20" x14ac:dyDescent="0.2">
      <c r="A23">
        <f t="shared" si="2"/>
        <v>110</v>
      </c>
      <c r="B23">
        <f t="shared" si="0"/>
        <v>0.3778022809420904</v>
      </c>
      <c r="C23">
        <f t="shared" si="1"/>
        <v>0.3778022809420904</v>
      </c>
      <c r="T23">
        <f t="shared" si="3"/>
        <v>0.62363487277849894</v>
      </c>
    </row>
    <row r="24" spans="1:20" x14ac:dyDescent="0.2">
      <c r="A24">
        <f t="shared" si="2"/>
        <v>120</v>
      </c>
      <c r="B24">
        <f t="shared" si="0"/>
        <v>0.39844278884618123</v>
      </c>
      <c r="C24">
        <f t="shared" si="1"/>
        <v>0.39844278884618123</v>
      </c>
      <c r="T24">
        <f t="shared" si="3"/>
        <v>0.59708493254031014</v>
      </c>
    </row>
    <row r="25" spans="1:20" x14ac:dyDescent="0.2">
      <c r="A25">
        <f t="shared" si="2"/>
        <v>130</v>
      </c>
      <c r="B25">
        <f t="shared" si="0"/>
        <v>0.41720565764244305</v>
      </c>
      <c r="C25">
        <f t="shared" si="1"/>
        <v>0.41720565764244305</v>
      </c>
      <c r="T25">
        <f t="shared" si="3"/>
        <v>0.57366064747508916</v>
      </c>
    </row>
    <row r="26" spans="1:20" x14ac:dyDescent="0.2">
      <c r="A26">
        <f t="shared" si="2"/>
        <v>140</v>
      </c>
      <c r="B26">
        <f t="shared" si="0"/>
        <v>0.4343511151453347</v>
      </c>
      <c r="C26">
        <f t="shared" si="1"/>
        <v>0.4343511151453347</v>
      </c>
      <c r="T26">
        <f t="shared" si="3"/>
        <v>0.55279323181715712</v>
      </c>
    </row>
    <row r="27" spans="1:20" x14ac:dyDescent="0.2">
      <c r="A27">
        <f t="shared" si="2"/>
        <v>150</v>
      </c>
      <c r="B27">
        <f t="shared" si="0"/>
        <v>0.45009339165182499</v>
      </c>
      <c r="C27">
        <f t="shared" si="1"/>
        <v>0.45009339165182499</v>
      </c>
      <c r="T27">
        <f t="shared" si="3"/>
        <v>0.53404899900040381</v>
      </c>
    </row>
    <row r="28" spans="1:20" x14ac:dyDescent="0.2">
      <c r="A28">
        <f t="shared" si="2"/>
        <v>160</v>
      </c>
      <c r="B28">
        <f t="shared" si="0"/>
        <v>0.46461015388609594</v>
      </c>
      <c r="C28">
        <f t="shared" si="1"/>
        <v>0.46461015388609594</v>
      </c>
      <c r="T28">
        <f t="shared" si="3"/>
        <v>0.51709071979682641</v>
      </c>
    </row>
    <row r="29" spans="1:20" x14ac:dyDescent="0.2">
      <c r="A29">
        <f t="shared" si="2"/>
        <v>170</v>
      </c>
      <c r="B29">
        <f t="shared" si="0"/>
        <v>0.47804985066450023</v>
      </c>
      <c r="C29">
        <f t="shared" si="1"/>
        <v>0.47804985066450023</v>
      </c>
      <c r="T29">
        <f t="shared" si="3"/>
        <v>0.50165168370564239</v>
      </c>
    </row>
    <row r="30" spans="1:20" x14ac:dyDescent="0.2">
      <c r="A30">
        <f t="shared" si="2"/>
        <v>180</v>
      </c>
      <c r="B30">
        <f t="shared" si="0"/>
        <v>0.49053742702214265</v>
      </c>
      <c r="C30">
        <f t="shared" si="1"/>
        <v>0.49053742702214265</v>
      </c>
      <c r="T30">
        <f t="shared" si="3"/>
        <v>0.48751780594262512</v>
      </c>
    </row>
    <row r="31" spans="1:20" x14ac:dyDescent="0.2">
      <c r="A31">
        <f t="shared" si="2"/>
        <v>190</v>
      </c>
      <c r="B31">
        <f t="shared" si="0"/>
        <v>0.50217878389327208</v>
      </c>
      <c r="C31">
        <f t="shared" si="1"/>
        <v>0.50217878389327208</v>
      </c>
      <c r="T31">
        <f t="shared" si="3"/>
        <v>0.47451498783938378</v>
      </c>
    </row>
    <row r="32" spans="1:20" x14ac:dyDescent="0.2">
      <c r="A32">
        <f t="shared" si="2"/>
        <v>200</v>
      </c>
      <c r="B32">
        <f t="shared" si="0"/>
        <v>0.5130642778583272</v>
      </c>
      <c r="C32">
        <f t="shared" si="1"/>
        <v>0.5130642778583272</v>
      </c>
      <c r="T32">
        <f t="shared" si="3"/>
        <v>0.46250000000000002</v>
      </c>
    </row>
    <row r="33" spans="1:20" x14ac:dyDescent="0.2">
      <c r="A33">
        <f t="shared" si="2"/>
        <v>210</v>
      </c>
      <c r="B33">
        <f t="shared" si="0"/>
        <v>0.5232714856259304</v>
      </c>
      <c r="C33">
        <f t="shared" si="1"/>
        <v>0.5232714856259304</v>
      </c>
      <c r="T33">
        <f t="shared" si="3"/>
        <v>0.45135378373869661</v>
      </c>
    </row>
    <row r="34" spans="1:20" x14ac:dyDescent="0.2">
      <c r="A34">
        <f t="shared" si="2"/>
        <v>220</v>
      </c>
      <c r="B34">
        <f t="shared" si="0"/>
        <v>0.53286740308988589</v>
      </c>
      <c r="C34">
        <f t="shared" si="1"/>
        <v>0.53286740308988589</v>
      </c>
      <c r="T34">
        <f t="shared" si="3"/>
        <v>0.44097644752608645</v>
      </c>
    </row>
    <row r="35" spans="1:20" x14ac:dyDescent="0.2">
      <c r="A35">
        <f t="shared" si="2"/>
        <v>230</v>
      </c>
      <c r="B35">
        <f t="shared" si="0"/>
        <v>0.54191020713055837</v>
      </c>
      <c r="C35">
        <f t="shared" si="1"/>
        <v>0.54191020713055837</v>
      </c>
      <c r="T35">
        <f t="shared" si="3"/>
        <v>0.43128347381114512</v>
      </c>
    </row>
    <row r="36" spans="1:20" x14ac:dyDescent="0.2">
      <c r="A36">
        <f t="shared" si="2"/>
        <v>240</v>
      </c>
      <c r="B36">
        <f t="shared" si="0"/>
        <v>0.55045067709864903</v>
      </c>
      <c r="C36">
        <f t="shared" si="1"/>
        <v>0.55045067709864903</v>
      </c>
      <c r="T36">
        <f t="shared" si="3"/>
        <v>0.42220280474356553</v>
      </c>
    </row>
    <row r="37" spans="1:20" x14ac:dyDescent="0.2">
      <c r="A37">
        <f t="shared" si="2"/>
        <v>250</v>
      </c>
      <c r="B37">
        <f t="shared" si="0"/>
        <v>0.55853334962315315</v>
      </c>
      <c r="C37">
        <f t="shared" si="1"/>
        <v>0.55853334962315315</v>
      </c>
      <c r="T37">
        <f t="shared" si="3"/>
        <v>0.41367257583746109</v>
      </c>
    </row>
    <row r="38" spans="1:20" x14ac:dyDescent="0.2">
      <c r="A38">
        <f t="shared" si="2"/>
        <v>260</v>
      </c>
      <c r="B38">
        <f t="shared" si="0"/>
        <v>0.56619746300389029</v>
      </c>
      <c r="C38">
        <f t="shared" si="1"/>
        <v>0.56619746300389029</v>
      </c>
      <c r="T38">
        <f t="shared" si="3"/>
        <v>0.40563933392950102</v>
      </c>
    </row>
    <row r="39" spans="1:20" x14ac:dyDescent="0.2">
      <c r="A39">
        <f t="shared" si="2"/>
        <v>270</v>
      </c>
      <c r="B39">
        <f t="shared" si="0"/>
        <v>0.573477734440762</v>
      </c>
      <c r="C39">
        <f t="shared" si="1"/>
        <v>0.573477734440762</v>
      </c>
      <c r="T39">
        <f t="shared" si="3"/>
        <v>0.39805662169354006</v>
      </c>
    </row>
    <row r="40" spans="1:20" x14ac:dyDescent="0.2">
      <c r="A40">
        <f t="shared" si="2"/>
        <v>280</v>
      </c>
      <c r="B40">
        <f t="shared" si="0"/>
        <v>0.58040500357063607</v>
      </c>
      <c r="C40">
        <f t="shared" si="1"/>
        <v>0.58040500357063607</v>
      </c>
      <c r="T40">
        <f t="shared" si="3"/>
        <v>0.39088384281193894</v>
      </c>
    </row>
    <row r="41" spans="1:20" x14ac:dyDescent="0.2">
      <c r="A41">
        <f t="shared" si="2"/>
        <v>290</v>
      </c>
      <c r="B41">
        <f t="shared" si="0"/>
        <v>0.58700676838644839</v>
      </c>
      <c r="C41">
        <f t="shared" si="1"/>
        <v>0.58700676838644839</v>
      </c>
      <c r="T41">
        <f t="shared" si="3"/>
        <v>0.38408534432354735</v>
      </c>
    </row>
    <row r="42" spans="1:20" x14ac:dyDescent="0.2">
      <c r="A42">
        <f t="shared" si="2"/>
        <v>300</v>
      </c>
      <c r="B42">
        <f t="shared" si="0"/>
        <v>0.5933076339858554</v>
      </c>
      <c r="C42">
        <f t="shared" si="1"/>
        <v>0.5933076339858554</v>
      </c>
      <c r="T42">
        <f t="shared" si="3"/>
        <v>0.37762966867907333</v>
      </c>
    </row>
    <row r="43" spans="1:20" x14ac:dyDescent="0.2">
      <c r="A43">
        <f t="shared" si="2"/>
        <v>310</v>
      </c>
      <c r="B43">
        <f t="shared" si="0"/>
        <v>0.5993296902881291</v>
      </c>
      <c r="C43">
        <f t="shared" si="1"/>
        <v>0.5993296902881291</v>
      </c>
      <c r="T43">
        <f t="shared" si="3"/>
        <v>0.3714889396174057</v>
      </c>
    </row>
    <row r="44" spans="1:20" x14ac:dyDescent="0.2">
      <c r="A44">
        <f t="shared" si="2"/>
        <v>320</v>
      </c>
      <c r="B44">
        <f t="shared" si="0"/>
        <v>0.60509283153772397</v>
      </c>
      <c r="C44">
        <f t="shared" si="1"/>
        <v>0.60509283153772397</v>
      </c>
      <c r="T44">
        <f t="shared" si="3"/>
        <v>0.36563835445696885</v>
      </c>
    </row>
    <row r="45" spans="1:20" x14ac:dyDescent="0.2">
      <c r="A45">
        <f t="shared" si="2"/>
        <v>330</v>
      </c>
      <c r="B45">
        <f t="shared" ref="B45:B76" si="4">SUM(C45:C45)</f>
        <v>0.61061502783795552</v>
      </c>
      <c r="C45">
        <f t="shared" ref="C45:C76" si="5">IF(T45&lt;9,ERFC(T45),0)</f>
        <v>0.61061502783795552</v>
      </c>
      <c r="T45">
        <f t="shared" si="3"/>
        <v>0.36005576167470438</v>
      </c>
    </row>
    <row r="46" spans="1:20" x14ac:dyDescent="0.2">
      <c r="A46">
        <f t="shared" si="2"/>
        <v>340</v>
      </c>
      <c r="B46">
        <f t="shared" si="4"/>
        <v>0.61591255694869174</v>
      </c>
      <c r="C46">
        <f t="shared" si="5"/>
        <v>0.61591255694869174</v>
      </c>
      <c r="T46">
        <f t="shared" si="3"/>
        <v>0.35472130734190882</v>
      </c>
    </row>
    <row r="47" spans="1:20" x14ac:dyDescent="0.2">
      <c r="A47">
        <f t="shared" si="2"/>
        <v>350</v>
      </c>
      <c r="B47">
        <f t="shared" si="4"/>
        <v>0.62100020300408088</v>
      </c>
      <c r="C47">
        <f t="shared" si="5"/>
        <v>0.62100020300408088</v>
      </c>
      <c r="T47">
        <f t="shared" si="3"/>
        <v>0.34961713753353518</v>
      </c>
    </row>
    <row r="48" spans="1:20" x14ac:dyDescent="0.2">
      <c r="A48">
        <f t="shared" si="2"/>
        <v>360</v>
      </c>
      <c r="B48">
        <f t="shared" si="4"/>
        <v>0.62589142756004668</v>
      </c>
      <c r="C48">
        <f t="shared" si="5"/>
        <v>0.62589142756004668</v>
      </c>
      <c r="T48">
        <f t="shared" si="3"/>
        <v>0.34472714653121755</v>
      </c>
    </row>
    <row r="49" spans="1:20" x14ac:dyDescent="0.2">
      <c r="A49">
        <f t="shared" si="2"/>
        <v>370</v>
      </c>
      <c r="B49">
        <f t="shared" si="4"/>
        <v>0.63059851739122585</v>
      </c>
      <c r="C49">
        <f t="shared" si="5"/>
        <v>0.63059851739122585</v>
      </c>
      <c r="T49">
        <f t="shared" si="3"/>
        <v>0.34003676271838612</v>
      </c>
    </row>
    <row r="50" spans="1:20" x14ac:dyDescent="0.2">
      <c r="A50">
        <f t="shared" si="2"/>
        <v>380</v>
      </c>
      <c r="B50">
        <f t="shared" si="4"/>
        <v>0.63513271266617155</v>
      </c>
      <c r="C50">
        <f t="shared" si="5"/>
        <v>0.63513271266617155</v>
      </c>
      <c r="T50">
        <f t="shared" si="3"/>
        <v>0.33553276567588042</v>
      </c>
    </row>
    <row r="51" spans="1:20" x14ac:dyDescent="0.2">
      <c r="A51">
        <f t="shared" si="2"/>
        <v>390</v>
      </c>
      <c r="B51">
        <f t="shared" si="4"/>
        <v>0.63950431849453748</v>
      </c>
      <c r="C51">
        <f t="shared" si="5"/>
        <v>0.63950431849453748</v>
      </c>
      <c r="T51">
        <f t="shared" si="3"/>
        <v>0.33120312924323769</v>
      </c>
    </row>
    <row r="52" spans="1:20" x14ac:dyDescent="0.2">
      <c r="A52">
        <f t="shared" si="2"/>
        <v>400</v>
      </c>
      <c r="B52">
        <f t="shared" si="4"/>
        <v>0.64372280232730805</v>
      </c>
      <c r="C52">
        <f t="shared" si="5"/>
        <v>0.64372280232730805</v>
      </c>
      <c r="T52">
        <f t="shared" si="3"/>
        <v>0.3270368862987782</v>
      </c>
    </row>
    <row r="53" spans="1:20" x14ac:dyDescent="0.2">
      <c r="A53">
        <f t="shared" si="2"/>
        <v>410</v>
      </c>
      <c r="B53">
        <f t="shared" si="4"/>
        <v>0.64779687927528862</v>
      </c>
      <c r="C53">
        <f t="shared" si="5"/>
        <v>0.64779687927528862</v>
      </c>
      <c r="T53">
        <f t="shared" si="3"/>
        <v>0.32302401179342993</v>
      </c>
    </row>
    <row r="54" spans="1:20" x14ac:dyDescent="0.2">
      <c r="A54">
        <f t="shared" si="2"/>
        <v>420</v>
      </c>
      <c r="B54">
        <f t="shared" si="4"/>
        <v>0.65173458707214693</v>
      </c>
      <c r="C54">
        <f t="shared" si="5"/>
        <v>0.65173458707214693</v>
      </c>
      <c r="T54">
        <f t="shared" si="3"/>
        <v>0.31915532119583878</v>
      </c>
    </row>
    <row r="55" spans="1:20" x14ac:dyDescent="0.2">
      <c r="A55">
        <f t="shared" si="2"/>
        <v>430</v>
      </c>
      <c r="B55">
        <f t="shared" si="4"/>
        <v>0.65554335213080117</v>
      </c>
      <c r="C55">
        <f t="shared" si="5"/>
        <v>0.65554335213080117</v>
      </c>
      <c r="T55">
        <f t="shared" si="3"/>
        <v>0.31542238200509398</v>
      </c>
    </row>
    <row r="56" spans="1:20" x14ac:dyDescent="0.2">
      <c r="A56">
        <f t="shared" si="2"/>
        <v>440</v>
      </c>
      <c r="B56">
        <f t="shared" si="4"/>
        <v>0.6592300479137595</v>
      </c>
      <c r="C56">
        <f t="shared" si="5"/>
        <v>0.6592300479137595</v>
      </c>
      <c r="T56">
        <f t="shared" si="3"/>
        <v>0.31181743638924947</v>
      </c>
    </row>
    <row r="57" spans="1:20" x14ac:dyDescent="0.2">
      <c r="A57">
        <f t="shared" si="2"/>
        <v>450</v>
      </c>
      <c r="B57">
        <f t="shared" si="4"/>
        <v>0.66280104664958162</v>
      </c>
      <c r="C57">
        <f t="shared" si="5"/>
        <v>0.66280104664958162</v>
      </c>
      <c r="T57">
        <f t="shared" si="3"/>
        <v>0.30833333333333335</v>
      </c>
    </row>
    <row r="58" spans="1:20" x14ac:dyDescent="0.2">
      <c r="A58">
        <f t="shared" si="2"/>
        <v>460</v>
      </c>
      <c r="B58">
        <f t="shared" si="4"/>
        <v>0.6662622652713901</v>
      </c>
      <c r="C58">
        <f t="shared" si="5"/>
        <v>0.6662622652713901</v>
      </c>
      <c r="T58">
        <f t="shared" si="3"/>
        <v>0.30496346894555149</v>
      </c>
    </row>
    <row r="59" spans="1:20" x14ac:dyDescent="0.2">
      <c r="A59">
        <f t="shared" si="2"/>
        <v>470</v>
      </c>
      <c r="B59">
        <f t="shared" si="4"/>
        <v>0.66961920632331084</v>
      </c>
      <c r="C59">
        <f t="shared" si="5"/>
        <v>0.66961920632331084</v>
      </c>
      <c r="T59">
        <f t="shared" si="3"/>
        <v>0.30170173378721699</v>
      </c>
    </row>
    <row r="60" spans="1:20" x14ac:dyDescent="0.2">
      <c r="A60">
        <f t="shared" si="2"/>
        <v>480</v>
      </c>
      <c r="B60">
        <f t="shared" si="4"/>
        <v>0.67287699447207028</v>
      </c>
      <c r="C60">
        <f t="shared" si="5"/>
        <v>0.67287699447207028</v>
      </c>
      <c r="T60">
        <f t="shared" si="3"/>
        <v>0.29854246627015507</v>
      </c>
    </row>
    <row r="61" spans="1:20" x14ac:dyDescent="0.2">
      <c r="A61">
        <f t="shared" si="2"/>
        <v>490</v>
      </c>
      <c r="B61">
        <f t="shared" si="4"/>
        <v>0.67604040916986818</v>
      </c>
      <c r="C61">
        <f t="shared" si="5"/>
        <v>0.67604040916986818</v>
      </c>
      <c r="T61">
        <f t="shared" si="3"/>
        <v>0.29548041131247221</v>
      </c>
    </row>
    <row r="62" spans="1:20" x14ac:dyDescent="0.2">
      <c r="A62">
        <f t="shared" si="2"/>
        <v>500</v>
      </c>
      <c r="B62">
        <f t="shared" si="4"/>
        <v>0.67911391393799059</v>
      </c>
      <c r="C62">
        <f t="shared" si="5"/>
        <v>0.67911391393799059</v>
      </c>
      <c r="T62">
        <f t="shared" si="3"/>
        <v>0.29251068356557508</v>
      </c>
    </row>
    <row r="63" spans="1:20" x14ac:dyDescent="0.2">
      <c r="A63">
        <f t="shared" si="2"/>
        <v>510</v>
      </c>
      <c r="B63">
        <f t="shared" si="4"/>
        <v>0.68210168267591098</v>
      </c>
      <c r="C63">
        <f t="shared" si="5"/>
        <v>0.68210168267591098</v>
      </c>
      <c r="T63">
        <f t="shared" si="3"/>
        <v>0.28962873462688166</v>
      </c>
    </row>
    <row r="64" spans="1:20" x14ac:dyDescent="0.2">
      <c r="A64">
        <f t="shared" si="2"/>
        <v>520</v>
      </c>
      <c r="B64">
        <f t="shared" si="4"/>
        <v>0.685007623345818</v>
      </c>
      <c r="C64">
        <f t="shared" si="5"/>
        <v>0.685007623345818</v>
      </c>
      <c r="T64">
        <f t="shared" si="3"/>
        <v>0.28683032373754458</v>
      </c>
    </row>
    <row r="65" spans="1:20" x14ac:dyDescent="0.2">
      <c r="A65">
        <f t="shared" si="2"/>
        <v>530</v>
      </c>
      <c r="B65">
        <f t="shared" si="4"/>
        <v>0.68783539933594029</v>
      </c>
      <c r="C65">
        <f t="shared" si="5"/>
        <v>0.68783539933594029</v>
      </c>
      <c r="T65">
        <f t="shared" si="3"/>
        <v>0.28411149153570242</v>
      </c>
    </row>
    <row r="66" spans="1:20" x14ac:dyDescent="0.2">
      <c r="A66">
        <f t="shared" si="2"/>
        <v>540</v>
      </c>
      <c r="B66">
        <f t="shared" si="4"/>
        <v>0.69058844876636272</v>
      </c>
      <c r="C66">
        <f t="shared" si="5"/>
        <v>0.69058844876636272</v>
      </c>
      <c r="T66">
        <f t="shared" si="3"/>
        <v>0.28146853649571035</v>
      </c>
    </row>
    <row r="67" spans="1:20" x14ac:dyDescent="0.2">
      <c r="A67">
        <f t="shared" si="2"/>
        <v>550</v>
      </c>
      <c r="B67">
        <f t="shared" si="4"/>
        <v>0.69327000196711364</v>
      </c>
      <c r="C67">
        <f t="shared" si="5"/>
        <v>0.69327000196711364</v>
      </c>
      <c r="T67">
        <f t="shared" si="3"/>
        <v>0.27889799373443136</v>
      </c>
    </row>
    <row r="68" spans="1:20" x14ac:dyDescent="0.2">
      <c r="A68">
        <f t="shared" si="2"/>
        <v>560</v>
      </c>
      <c r="B68">
        <f t="shared" si="4"/>
        <v>0.69588309732924847</v>
      </c>
      <c r="C68">
        <f t="shared" si="5"/>
        <v>0.69588309732924847</v>
      </c>
      <c r="T68">
        <f t="shared" si="3"/>
        <v>0.27639661590857856</v>
      </c>
    </row>
    <row r="69" spans="1:20" x14ac:dyDescent="0.2">
      <c r="A69">
        <f t="shared" si="2"/>
        <v>570</v>
      </c>
      <c r="B69">
        <f t="shared" si="4"/>
        <v>0.69843059570467747</v>
      </c>
      <c r="C69">
        <f t="shared" si="5"/>
        <v>0.69843059570467747</v>
      </c>
      <c r="T69">
        <f t="shared" si="3"/>
        <v>0.27396135596358023</v>
      </c>
    </row>
    <row r="70" spans="1:20" x14ac:dyDescent="0.2">
      <c r="A70">
        <f t="shared" si="2"/>
        <v>580</v>
      </c>
      <c r="B70">
        <f t="shared" si="4"/>
        <v>0.70091519350897524</v>
      </c>
      <c r="C70">
        <f t="shared" si="5"/>
        <v>0.70091519350897524</v>
      </c>
      <c r="T70">
        <f t="shared" si="3"/>
        <v>0.27158935152555036</v>
      </c>
    </row>
    <row r="71" spans="1:20" x14ac:dyDescent="0.2">
      <c r="A71">
        <f t="shared" si="2"/>
        <v>590</v>
      </c>
      <c r="B71">
        <f t="shared" si="4"/>
        <v>0.70333943466282711</v>
      </c>
      <c r="C71">
        <f t="shared" si="5"/>
        <v>0.70333943466282711</v>
      </c>
      <c r="T71">
        <f t="shared" si="3"/>
        <v>0.26927791075455665</v>
      </c>
    </row>
    <row r="72" spans="1:20" x14ac:dyDescent="0.2">
      <c r="A72">
        <f t="shared" si="2"/>
        <v>600</v>
      </c>
      <c r="B72">
        <f t="shared" si="4"/>
        <v>0.70570572149167776</v>
      </c>
      <c r="C72">
        <f t="shared" si="5"/>
        <v>0.70570572149167776</v>
      </c>
      <c r="T72">
        <f t="shared" si="3"/>
        <v>0.26702449950020191</v>
      </c>
    </row>
    <row r="73" spans="1:20" x14ac:dyDescent="0.2">
      <c r="A73">
        <f t="shared" si="2"/>
        <v>610</v>
      </c>
      <c r="B73">
        <f t="shared" si="4"/>
        <v>0.70801632468918663</v>
      </c>
      <c r="C73">
        <f t="shared" si="5"/>
        <v>0.70801632468918663</v>
      </c>
      <c r="T73">
        <f t="shared" si="3"/>
        <v>0.26482672962016407</v>
      </c>
    </row>
    <row r="74" spans="1:20" x14ac:dyDescent="0.2">
      <c r="A74">
        <f t="shared" si="2"/>
        <v>620</v>
      </c>
      <c r="B74">
        <f t="shared" si="4"/>
        <v>0.71027339243794474</v>
      </c>
      <c r="C74">
        <f t="shared" si="5"/>
        <v>0.71027339243794474</v>
      </c>
      <c r="T74">
        <f t="shared" si="3"/>
        <v>0.26268234833926751</v>
      </c>
    </row>
    <row r="75" spans="1:20" x14ac:dyDescent="0.2">
      <c r="A75">
        <f t="shared" si="2"/>
        <v>630</v>
      </c>
      <c r="B75">
        <f t="shared" si="4"/>
        <v>0.71247895877032497</v>
      </c>
      <c r="C75">
        <f t="shared" si="5"/>
        <v>0.71247895877032497</v>
      </c>
      <c r="T75">
        <f t="shared" si="3"/>
        <v>0.26058922854129257</v>
      </c>
    </row>
    <row r="76" spans="1:20" x14ac:dyDescent="0.2">
      <c r="A76">
        <f t="shared" si="2"/>
        <v>640</v>
      </c>
      <c r="B76">
        <f t="shared" si="4"/>
        <v>0.71463495124307896</v>
      </c>
      <c r="C76">
        <f t="shared" si="5"/>
        <v>0.71463495124307896</v>
      </c>
      <c r="T76">
        <f t="shared" si="3"/>
        <v>0.25854535989841321</v>
      </c>
    </row>
    <row r="77" spans="1:20" x14ac:dyDescent="0.2">
      <c r="A77">
        <f t="shared" si="2"/>
        <v>650</v>
      </c>
      <c r="B77">
        <f t="shared" ref="B77:B108" si="6">SUM(C77:C77)</f>
        <v>0.71674319799120445</v>
      </c>
      <c r="C77">
        <f t="shared" ref="C77:C112" si="7">IF(T77&lt;9,ERFC(T77),0)</f>
        <v>0.71674319799120445</v>
      </c>
      <c r="T77">
        <f t="shared" si="3"/>
        <v>0.25654884075416845</v>
      </c>
    </row>
    <row r="78" spans="1:20" x14ac:dyDescent="0.2">
      <c r="A78">
        <f t="shared" si="2"/>
        <v>660</v>
      </c>
      <c r="B78">
        <f t="shared" si="6"/>
        <v>0.71880543421949039</v>
      </c>
      <c r="C78">
        <f t="shared" si="7"/>
        <v>0.71880543421949039</v>
      </c>
      <c r="T78">
        <f t="shared" si="3"/>
        <v>0.25459787068547091</v>
      </c>
    </row>
    <row r="79" spans="1:20" x14ac:dyDescent="0.2">
      <c r="A79">
        <f t="shared" ref="A79:A112" si="8">+A78+10</f>
        <v>670</v>
      </c>
      <c r="B79">
        <f t="shared" si="6"/>
        <v>0.72082330818391194</v>
      </c>
      <c r="C79">
        <f t="shared" si="7"/>
        <v>0.72082330818391194</v>
      </c>
      <c r="T79">
        <f t="shared" ref="T79:T112" si="9">(T$9*$B$1)/SQRT($A79*$B$5)</f>
        <v>0.25269074367752076</v>
      </c>
    </row>
    <row r="80" spans="1:20" x14ac:dyDescent="0.2">
      <c r="A80">
        <f t="shared" si="8"/>
        <v>680</v>
      </c>
      <c r="B80">
        <f t="shared" si="6"/>
        <v>0.72279838670954155</v>
      </c>
      <c r="C80">
        <f t="shared" si="7"/>
        <v>0.72279838670954155</v>
      </c>
      <c r="T80">
        <f t="shared" si="9"/>
        <v>0.2508258418528212</v>
      </c>
    </row>
    <row r="81" spans="1:20" x14ac:dyDescent="0.2">
      <c r="A81">
        <f t="shared" si="8"/>
        <v>690</v>
      </c>
      <c r="B81">
        <f t="shared" si="6"/>
        <v>0.72473216028679177</v>
      </c>
      <c r="C81">
        <f t="shared" si="7"/>
        <v>0.72473216028679177</v>
      </c>
      <c r="T81">
        <f t="shared" si="9"/>
        <v>0.24900162970190157</v>
      </c>
    </row>
    <row r="82" spans="1:20" x14ac:dyDescent="0.2">
      <c r="A82">
        <f t="shared" si="8"/>
        <v>700</v>
      </c>
      <c r="B82">
        <f t="shared" si="6"/>
        <v>0.72662604778351403</v>
      </c>
      <c r="C82">
        <f t="shared" si="7"/>
        <v>0.72662604778351403</v>
      </c>
      <c r="T82">
        <f t="shared" si="9"/>
        <v>0.24721664876899258</v>
      </c>
    </row>
    <row r="83" spans="1:20" x14ac:dyDescent="0.2">
      <c r="A83">
        <f t="shared" si="8"/>
        <v>710</v>
      </c>
      <c r="B83">
        <f t="shared" si="6"/>
        <v>0.72848140080668577</v>
      </c>
      <c r="C83">
        <f t="shared" si="7"/>
        <v>0.72848140080668577</v>
      </c>
      <c r="T83">
        <f t="shared" si="9"/>
        <v>0.2454695127508523</v>
      </c>
    </row>
    <row r="84" spans="1:20" x14ac:dyDescent="0.2">
      <c r="A84">
        <f t="shared" si="8"/>
        <v>720</v>
      </c>
      <c r="B84">
        <f t="shared" si="6"/>
        <v>0.73029950774403973</v>
      </c>
      <c r="C84">
        <f t="shared" si="7"/>
        <v>0.73029950774403973</v>
      </c>
      <c r="T84">
        <f t="shared" si="9"/>
        <v>0.24375890297131256</v>
      </c>
    </row>
    <row r="85" spans="1:20" x14ac:dyDescent="0.2">
      <c r="A85">
        <f t="shared" si="8"/>
        <v>730</v>
      </c>
      <c r="B85">
        <f t="shared" si="6"/>
        <v>0.73208159751300883</v>
      </c>
      <c r="C85">
        <f t="shared" si="7"/>
        <v>0.73208159751300883</v>
      </c>
      <c r="T85">
        <f t="shared" si="9"/>
        <v>0.24208356419797386</v>
      </c>
    </row>
    <row r="86" spans="1:20" x14ac:dyDescent="0.2">
      <c r="A86">
        <f t="shared" si="8"/>
        <v>740</v>
      </c>
      <c r="B86">
        <f t="shared" si="6"/>
        <v>0.73382884304168683</v>
      </c>
      <c r="C86">
        <f t="shared" si="7"/>
        <v>0.73382884304168683</v>
      </c>
      <c r="T86">
        <f t="shared" si="9"/>
        <v>0.24044230077089179</v>
      </c>
    </row>
    <row r="87" spans="1:20" x14ac:dyDescent="0.2">
      <c r="A87">
        <f t="shared" si="8"/>
        <v>750</v>
      </c>
      <c r="B87">
        <f t="shared" si="6"/>
        <v>0.73554236450413779</v>
      </c>
      <c r="C87">
        <f t="shared" si="7"/>
        <v>0.73554236450413779</v>
      </c>
      <c r="T87">
        <f t="shared" si="9"/>
        <v>0.23883397301612402</v>
      </c>
    </row>
    <row r="88" spans="1:20" x14ac:dyDescent="0.2">
      <c r="A88">
        <f t="shared" si="8"/>
        <v>760</v>
      </c>
      <c r="B88">
        <f t="shared" si="6"/>
        <v>0.73722323233026632</v>
      </c>
      <c r="C88">
        <f t="shared" si="7"/>
        <v>0.73722323233026632</v>
      </c>
      <c r="T88">
        <f t="shared" si="9"/>
        <v>0.23725749391969189</v>
      </c>
    </row>
    <row r="89" spans="1:20" x14ac:dyDescent="0.2">
      <c r="A89">
        <f t="shared" si="8"/>
        <v>770</v>
      </c>
      <c r="B89">
        <f t="shared" si="6"/>
        <v>0.73887247000857026</v>
      </c>
      <c r="C89">
        <f t="shared" si="7"/>
        <v>0.73887247000857026</v>
      </c>
      <c r="T89">
        <f t="shared" si="9"/>
        <v>0.23571182603990182</v>
      </c>
    </row>
    <row r="90" spans="1:20" x14ac:dyDescent="0.2">
      <c r="A90">
        <f t="shared" si="8"/>
        <v>780</v>
      </c>
      <c r="B90">
        <f t="shared" si="6"/>
        <v>0.74049105669839621</v>
      </c>
      <c r="C90">
        <f t="shared" si="7"/>
        <v>0.74049105669839621</v>
      </c>
      <c r="T90">
        <f t="shared" si="9"/>
        <v>0.23419597863809788</v>
      </c>
    </row>
    <row r="91" spans="1:20" x14ac:dyDescent="0.2">
      <c r="A91">
        <f t="shared" si="8"/>
        <v>790</v>
      </c>
      <c r="B91">
        <f t="shared" si="6"/>
        <v>0.74207992966680492</v>
      </c>
      <c r="C91">
        <f t="shared" si="7"/>
        <v>0.74207992966680492</v>
      </c>
      <c r="T91">
        <f t="shared" si="9"/>
        <v>0.23270900500981526</v>
      </c>
    </row>
    <row r="92" spans="1:20" x14ac:dyDescent="0.2">
      <c r="A92">
        <f t="shared" si="8"/>
        <v>800</v>
      </c>
      <c r="B92">
        <f t="shared" si="6"/>
        <v>0.74363998656378727</v>
      </c>
      <c r="C92">
        <f t="shared" si="7"/>
        <v>0.74363998656378727</v>
      </c>
      <c r="T92">
        <f t="shared" si="9"/>
        <v>0.23125000000000001</v>
      </c>
    </row>
    <row r="93" spans="1:20" x14ac:dyDescent="0.2">
      <c r="A93">
        <f t="shared" si="8"/>
        <v>810</v>
      </c>
      <c r="B93">
        <f t="shared" si="6"/>
        <v>0.74517208754834163</v>
      </c>
      <c r="C93">
        <f t="shared" si="7"/>
        <v>0.74517208754834163</v>
      </c>
      <c r="T93">
        <f t="shared" si="9"/>
        <v>0.22981809768747838</v>
      </c>
    </row>
    <row r="94" spans="1:20" x14ac:dyDescent="0.2">
      <c r="A94">
        <f t="shared" si="8"/>
        <v>820</v>
      </c>
      <c r="B94">
        <f t="shared" si="6"/>
        <v>0.7466770572768251</v>
      </c>
      <c r="C94">
        <f t="shared" si="7"/>
        <v>0.7466770572768251</v>
      </c>
      <c r="T94">
        <f t="shared" si="9"/>
        <v>0.2284124692252176</v>
      </c>
    </row>
    <row r="95" spans="1:20" x14ac:dyDescent="0.2">
      <c r="A95">
        <f t="shared" si="8"/>
        <v>830</v>
      </c>
      <c r="B95">
        <f t="shared" si="6"/>
        <v>0.7481556867639928</v>
      </c>
      <c r="C95">
        <f t="shared" si="7"/>
        <v>0.7481556867639928</v>
      </c>
      <c r="T95">
        <f t="shared" si="9"/>
        <v>0.2270323208241399</v>
      </c>
    </row>
    <row r="96" spans="1:20" x14ac:dyDescent="0.2">
      <c r="A96">
        <f t="shared" si="8"/>
        <v>840</v>
      </c>
      <c r="B96">
        <f t="shared" si="6"/>
        <v>0.7496087351262426</v>
      </c>
      <c r="C96">
        <f t="shared" si="7"/>
        <v>0.7496087351262426</v>
      </c>
      <c r="T96">
        <f t="shared" si="9"/>
        <v>0.22567689186934831</v>
      </c>
    </row>
    <row r="97" spans="1:20" x14ac:dyDescent="0.2">
      <c r="A97">
        <f t="shared" si="8"/>
        <v>850</v>
      </c>
      <c r="B97">
        <f t="shared" si="6"/>
        <v>0.75103693121577042</v>
      </c>
      <c r="C97">
        <f t="shared" si="7"/>
        <v>0.75103693121577042</v>
      </c>
      <c r="T97">
        <f t="shared" si="9"/>
        <v>0.22434545315860799</v>
      </c>
    </row>
    <row r="98" spans="1:20" x14ac:dyDescent="0.2">
      <c r="A98">
        <f t="shared" si="8"/>
        <v>860</v>
      </c>
      <c r="B98">
        <f t="shared" si="6"/>
        <v>0.75244097515361041</v>
      </c>
      <c r="C98">
        <f t="shared" si="7"/>
        <v>0.75244097515361041</v>
      </c>
      <c r="T98">
        <f t="shared" si="9"/>
        <v>0.22303730525381557</v>
      </c>
    </row>
    <row r="99" spans="1:20" x14ac:dyDescent="0.2">
      <c r="A99">
        <f t="shared" si="8"/>
        <v>870</v>
      </c>
      <c r="B99">
        <f t="shared" si="6"/>
        <v>0.75382153976886668</v>
      </c>
      <c r="C99">
        <f t="shared" si="7"/>
        <v>0.75382153976886668</v>
      </c>
      <c r="T99">
        <f t="shared" si="9"/>
        <v>0.22175177693699016</v>
      </c>
    </row>
    <row r="100" spans="1:20" x14ac:dyDescent="0.2">
      <c r="A100">
        <f t="shared" si="8"/>
        <v>880</v>
      </c>
      <c r="B100">
        <f t="shared" si="6"/>
        <v>0.75517927195084322</v>
      </c>
      <c r="C100">
        <f t="shared" si="7"/>
        <v>0.75517927195084322</v>
      </c>
      <c r="T100">
        <f t="shared" si="9"/>
        <v>0.22048822376304322</v>
      </c>
    </row>
    <row r="101" spans="1:20" x14ac:dyDescent="0.2">
      <c r="A101">
        <f t="shared" si="8"/>
        <v>890</v>
      </c>
      <c r="B101">
        <f t="shared" si="6"/>
        <v>0.75651479392022924</v>
      </c>
      <c r="C101">
        <f t="shared" si="7"/>
        <v>0.75651479392022924</v>
      </c>
      <c r="T101">
        <f t="shared" si="9"/>
        <v>0.21924602670223947</v>
      </c>
    </row>
    <row r="102" spans="1:20" x14ac:dyDescent="0.2">
      <c r="A102">
        <f t="shared" si="8"/>
        <v>900</v>
      </c>
      <c r="B102">
        <f t="shared" si="6"/>
        <v>0.75782870442500427</v>
      </c>
      <c r="C102">
        <f t="shared" si="7"/>
        <v>0.75782870442500427</v>
      </c>
      <c r="T102">
        <f t="shared" si="9"/>
        <v>0.21802459086585216</v>
      </c>
    </row>
    <row r="103" spans="1:20" x14ac:dyDescent="0.2">
      <c r="A103">
        <f t="shared" si="8"/>
        <v>910</v>
      </c>
      <c r="B103">
        <f t="shared" si="6"/>
        <v>0.75912157986627116</v>
      </c>
      <c r="C103">
        <f t="shared" si="7"/>
        <v>0.75912157986627116</v>
      </c>
      <c r="T103">
        <f t="shared" si="9"/>
        <v>0.21682334430905412</v>
      </c>
    </row>
    <row r="104" spans="1:20" x14ac:dyDescent="0.2">
      <c r="A104">
        <f t="shared" si="8"/>
        <v>920</v>
      </c>
      <c r="B104">
        <f t="shared" si="6"/>
        <v>0.76039397535881748</v>
      </c>
      <c r="C104">
        <f t="shared" si="7"/>
        <v>0.76039397535881748</v>
      </c>
      <c r="T104">
        <f t="shared" si="9"/>
        <v>0.21564173690557256</v>
      </c>
    </row>
    <row r="105" spans="1:20" x14ac:dyDescent="0.2">
      <c r="A105">
        <f t="shared" si="8"/>
        <v>930</v>
      </c>
      <c r="B105">
        <f t="shared" si="6"/>
        <v>0.76164642573082642</v>
      </c>
      <c r="C105">
        <f t="shared" si="7"/>
        <v>0.76164642573082642</v>
      </c>
      <c r="T105">
        <f t="shared" si="9"/>
        <v>0.21447923928907781</v>
      </c>
    </row>
    <row r="106" spans="1:20" x14ac:dyDescent="0.2">
      <c r="A106">
        <f t="shared" si="8"/>
        <v>940</v>
      </c>
      <c r="B106">
        <f t="shared" si="6"/>
        <v>0.76287944646682204</v>
      </c>
      <c r="C106">
        <f t="shared" si="7"/>
        <v>0.76287944646682204</v>
      </c>
      <c r="T106">
        <f t="shared" si="9"/>
        <v>0.21333534185667966</v>
      </c>
    </row>
    <row r="107" spans="1:20" x14ac:dyDescent="0.2">
      <c r="A107">
        <f t="shared" si="8"/>
        <v>950</v>
      </c>
      <c r="B107">
        <f t="shared" si="6"/>
        <v>0.76409353459761475</v>
      </c>
      <c r="C107">
        <f t="shared" si="7"/>
        <v>0.76409353459761475</v>
      </c>
      <c r="T107">
        <f t="shared" si="9"/>
        <v>0.21220955383026963</v>
      </c>
    </row>
    <row r="108" spans="1:20" x14ac:dyDescent="0.2">
      <c r="A108">
        <f t="shared" si="8"/>
        <v>960</v>
      </c>
      <c r="B108">
        <f t="shared" si="6"/>
        <v>0.76528916954073245</v>
      </c>
      <c r="C108">
        <f t="shared" si="7"/>
        <v>0.76528916954073245</v>
      </c>
      <c r="T108">
        <f t="shared" si="9"/>
        <v>0.21110140237178276</v>
      </c>
    </row>
    <row r="109" spans="1:20" x14ac:dyDescent="0.2">
      <c r="A109">
        <f t="shared" si="8"/>
        <v>970</v>
      </c>
      <c r="B109">
        <f>SUM(C109:C109)</f>
        <v>0.76646681389455684</v>
      </c>
      <c r="C109">
        <f t="shared" si="7"/>
        <v>0.76646681389455684</v>
      </c>
      <c r="T109">
        <f t="shared" si="9"/>
        <v>0.21001043174875617</v>
      </c>
    </row>
    <row r="110" spans="1:20" x14ac:dyDescent="0.2">
      <c r="A110">
        <f t="shared" si="8"/>
        <v>980</v>
      </c>
      <c r="B110">
        <f>SUM(C110:C110)</f>
        <v>0.76762691418915074</v>
      </c>
      <c r="C110">
        <f t="shared" si="7"/>
        <v>0.76762691418915074</v>
      </c>
      <c r="T110">
        <f t="shared" si="9"/>
        <v>0.20893620254683937</v>
      </c>
    </row>
    <row r="111" spans="1:20" x14ac:dyDescent="0.2">
      <c r="A111">
        <f t="shared" si="8"/>
        <v>990</v>
      </c>
      <c r="B111">
        <f>SUM(C111:C111)</f>
        <v>0.76876990159653602</v>
      </c>
      <c r="C111">
        <f t="shared" si="7"/>
        <v>0.76876990159653602</v>
      </c>
      <c r="T111">
        <f t="shared" si="9"/>
        <v>0.2078782909261663</v>
      </c>
    </row>
    <row r="112" spans="1:20" x14ac:dyDescent="0.2">
      <c r="A112">
        <f t="shared" si="8"/>
        <v>1000</v>
      </c>
      <c r="B112">
        <f>SUM(C112:C112)</f>
        <v>0.76989619260298625</v>
      </c>
      <c r="C112">
        <f t="shared" si="7"/>
        <v>0.76989619260298625</v>
      </c>
      <c r="T112">
        <f t="shared" si="9"/>
        <v>0.20683628791873054</v>
      </c>
    </row>
  </sheetData>
  <conditionalFormatting sqref="C13:C112">
    <cfRule type="cellIs" dxfId="0" priority="1" stopIfTrue="1" operator="greaterThanOrEqual">
      <formula>0.5</formula>
    </cfRule>
  </conditionalFormatting>
  <pageMargins left="0.75" right="0.75" top="1" bottom="1" header="0.5" footer="0.5"/>
  <pageSetup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Bryce Contor</dc:creator>
  <cp:lastModifiedBy>Ryan Parsons</cp:lastModifiedBy>
  <dcterms:created xsi:type="dcterms:W3CDTF">2010-12-09T15:09:48Z</dcterms:created>
  <dcterms:modified xsi:type="dcterms:W3CDTF">2013-10-23T20:19:07Z</dcterms:modified>
</cp:coreProperties>
</file>