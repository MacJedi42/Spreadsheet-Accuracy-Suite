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0" windowWidth="15480" windowHeight="11640"/>
  </bookViews>
  <sheets>
    <sheet name="Sheet1" sheetId="1" r:id="rId1"/>
    <sheet name="Sheet2" sheetId="2" r:id="rId2"/>
    <sheet name="Sheet3" sheetId="3" r:id="rId3"/>
  </sheets>
  <calcPr calcId="145621"/>
</workbook>
</file>

<file path=xl/calcChain.xml><?xml version="1.0" encoding="utf-8"?>
<calcChain xmlns="http://schemas.openxmlformats.org/spreadsheetml/2006/main">
  <c r="O9" i="1" l="1"/>
  <c r="O7" i="1"/>
  <c r="O18" i="1"/>
  <c r="O12" i="1"/>
  <c r="O15" i="1"/>
  <c r="O14" i="1"/>
  <c r="R18" i="1"/>
  <c r="R22" i="1" s="1"/>
  <c r="R5" i="1" s="1"/>
  <c r="L21" i="1"/>
  <c r="L22" i="1" s="1"/>
  <c r="L3" i="1" s="1"/>
  <c r="I14" i="1"/>
  <c r="I21" i="1"/>
  <c r="I7" i="1"/>
  <c r="I16" i="1"/>
  <c r="I12" i="1"/>
  <c r="F12" i="1"/>
  <c r="F10" i="1"/>
  <c r="C10" i="1"/>
  <c r="C12" i="1"/>
  <c r="C5" i="1"/>
  <c r="F5" i="1"/>
  <c r="O22" i="1" l="1"/>
  <c r="O5" i="1"/>
  <c r="L5" i="1"/>
  <c r="C24" i="1"/>
  <c r="C25" i="1" s="1"/>
  <c r="I22" i="1"/>
  <c r="I23" i="1" s="1"/>
  <c r="F24" i="1"/>
  <c r="F25" i="1" s="1"/>
</calcChain>
</file>

<file path=xl/sharedStrings.xml><?xml version="1.0" encoding="utf-8"?>
<sst xmlns="http://schemas.openxmlformats.org/spreadsheetml/2006/main" count="288" uniqueCount="128">
  <si>
    <t>Amounts</t>
  </si>
  <si>
    <t>Sources of Income</t>
  </si>
  <si>
    <t>1.)</t>
  </si>
  <si>
    <t>2.)</t>
  </si>
  <si>
    <t>3.)</t>
  </si>
  <si>
    <t>4.)</t>
  </si>
  <si>
    <t>5.)</t>
  </si>
  <si>
    <t>6.)</t>
  </si>
  <si>
    <t>7.)</t>
  </si>
  <si>
    <t>8.)</t>
  </si>
  <si>
    <t>9.)</t>
  </si>
  <si>
    <t>10.)</t>
  </si>
  <si>
    <t>Total</t>
  </si>
  <si>
    <t>Costs of Events</t>
  </si>
  <si>
    <t>MUB Board 2009 - 2010 Budget</t>
  </si>
  <si>
    <t>MUB Board 2008 - 2009 Budget</t>
  </si>
  <si>
    <t>Poster Sale (estimated)</t>
  </si>
  <si>
    <t>Family Weekend Glow Bowling</t>
  </si>
  <si>
    <t>7 Days of MUB</t>
  </si>
  <si>
    <t>Poetry Slam w/NSBE</t>
  </si>
  <si>
    <t>Sweetest Day Lecture w/ HOWL</t>
  </si>
  <si>
    <t>Involvement Fair</t>
  </si>
  <si>
    <t>Bowling &amp; Billiards Tournament</t>
  </si>
  <si>
    <t>Spring Card Tournament</t>
  </si>
  <si>
    <t>Spring Fling Booth</t>
  </si>
  <si>
    <t>11.)</t>
  </si>
  <si>
    <t>12.)</t>
  </si>
  <si>
    <t>13.)</t>
  </si>
  <si>
    <t>14.)</t>
  </si>
  <si>
    <t>15.)</t>
  </si>
  <si>
    <t>16.)</t>
  </si>
  <si>
    <t>17.)</t>
  </si>
  <si>
    <t>18.)</t>
  </si>
  <si>
    <t>19.)</t>
  </si>
  <si>
    <t>Big Band Bash Win Carn w/HOWL</t>
  </si>
  <si>
    <t xml:space="preserve">USG/SBG Allocation </t>
  </si>
  <si>
    <t>USG/SBG Request</t>
  </si>
  <si>
    <t>Comedians/Professional Performers</t>
  </si>
  <si>
    <t>Big Band Bash</t>
  </si>
  <si>
    <t>Speed Dating</t>
  </si>
  <si>
    <t>Open Mic Night (4)</t>
  </si>
  <si>
    <t>Tournament Tuesdays (4)</t>
  </si>
  <si>
    <t>Eat Your Art Out</t>
  </si>
  <si>
    <t>How - To (4)</t>
  </si>
  <si>
    <t>K-Day</t>
  </si>
  <si>
    <t>ZOMB</t>
  </si>
  <si>
    <t>Office, Conferences &amp; Equip etc.</t>
  </si>
  <si>
    <t>Music in the MUB</t>
  </si>
  <si>
    <t>MTU Idol</t>
  </si>
  <si>
    <t>March Madness</t>
  </si>
  <si>
    <t>Club MUB</t>
  </si>
  <si>
    <t>Recruitment Drive (2)</t>
  </si>
  <si>
    <t>F'All Night Booth</t>
  </si>
  <si>
    <t xml:space="preserve">K-Day Booth </t>
  </si>
  <si>
    <t>Welcome Week MUB Open Golf Tourn</t>
  </si>
  <si>
    <r>
      <t xml:space="preserve">Poster Sale </t>
    </r>
    <r>
      <rPr>
        <sz val="9"/>
        <rFont val="Times New Roman"/>
        <family val="1"/>
      </rPr>
      <t>(estimated)</t>
    </r>
  </si>
  <si>
    <r>
      <t>HOWL</t>
    </r>
    <r>
      <rPr>
        <sz val="9"/>
        <rFont val="Times New Roman"/>
        <family val="1"/>
      </rPr>
      <t xml:space="preserve"> (co-sponsorship SW - $500 &amp; $230)</t>
    </r>
  </si>
  <si>
    <r>
      <t xml:space="preserve">HOWL </t>
    </r>
    <r>
      <rPr>
        <sz val="8"/>
        <rFont val="Times New Roman"/>
        <family val="1"/>
      </rPr>
      <t>(co-sponsorship WC - $2,000 Est)</t>
    </r>
  </si>
  <si>
    <t>Tech Arts Festival</t>
  </si>
  <si>
    <t>Study Break (2)</t>
  </si>
  <si>
    <t>Card Tournament (2)</t>
  </si>
  <si>
    <t>MUB Board 2010 - 2011 Budget</t>
  </si>
  <si>
    <t>Other/Office/Conferences</t>
  </si>
  <si>
    <t>Unplugged Concerts (2)</t>
  </si>
  <si>
    <t>2010 Carryover</t>
  </si>
  <si>
    <t>2009 Carryover</t>
  </si>
  <si>
    <t>Other/Office/Conference</t>
  </si>
  <si>
    <t>This accounts for all expenses involved with the 7 Days of MUB, a recruitment event involving prizes and awareness about the mubs services for students</t>
  </si>
  <si>
    <t>Music In the MUB (2)</t>
  </si>
  <si>
    <t>This accounts for all expenses involved with putting on two study breaks, on each semester. These events take place during finals week and include food and activities for students to participate in while taking a break from studying for finals</t>
  </si>
  <si>
    <t>This accounts for all expenses involved with putting on the bowling and billiards tournament in the MUB Basement each year including room rental, shoes, refreshments and advertising</t>
  </si>
  <si>
    <r>
      <t xml:space="preserve">Co-Sponsor Comedian w/ </t>
    </r>
    <r>
      <rPr>
        <b/>
        <sz val="11"/>
        <color rgb="FFFF0000"/>
        <rFont val="Times New Roman"/>
        <family val="1"/>
      </rPr>
      <t>SACS</t>
    </r>
  </si>
  <si>
    <r>
      <rPr>
        <b/>
        <sz val="11"/>
        <color rgb="FFFF0000"/>
        <rFont val="Times New Roman"/>
        <family val="1"/>
      </rPr>
      <t>Family Weekend</t>
    </r>
    <r>
      <rPr>
        <sz val="11"/>
        <rFont val="Times New Roman"/>
        <family val="1"/>
      </rPr>
      <t xml:space="preserve"> Glow Bowling</t>
    </r>
  </si>
  <si>
    <r>
      <t xml:space="preserve">Poetry Slam w/ </t>
    </r>
    <r>
      <rPr>
        <b/>
        <sz val="11"/>
        <color rgb="FFFF0000"/>
        <rFont val="Times New Roman"/>
        <family val="1"/>
      </rPr>
      <t>NSBE</t>
    </r>
  </si>
  <si>
    <r>
      <rPr>
        <b/>
        <sz val="11"/>
        <color rgb="FFFF0000"/>
        <rFont val="Times New Roman"/>
        <family val="1"/>
      </rPr>
      <t xml:space="preserve">Winter Carnival </t>
    </r>
    <r>
      <rPr>
        <sz val="11"/>
        <rFont val="Times New Roman"/>
        <family val="1"/>
      </rPr>
      <t>All Nighter Band</t>
    </r>
  </si>
  <si>
    <r>
      <rPr>
        <b/>
        <sz val="11"/>
        <color rgb="FFFF0000"/>
        <rFont val="Times New Roman"/>
        <family val="1"/>
      </rPr>
      <t>Spring Fling</t>
    </r>
    <r>
      <rPr>
        <sz val="11"/>
        <rFont val="Times New Roman"/>
        <family val="1"/>
      </rPr>
      <t xml:space="preserve"> Booth</t>
    </r>
  </si>
  <si>
    <t>This fundraising efforts cover expenses that are not covered by USG, including specific rider requests, open bar, t-shirts and last minute expenses</t>
  </si>
  <si>
    <r>
      <t>This accounts for materials and giveaways for</t>
    </r>
    <r>
      <rPr>
        <b/>
        <sz val="11"/>
        <color rgb="FFFF0000"/>
        <rFont val="Times New Roman"/>
        <family val="1"/>
      </rPr>
      <t xml:space="preserve"> K-Day</t>
    </r>
    <r>
      <rPr>
        <sz val="11"/>
        <color theme="1"/>
        <rFont val="Times New Roman"/>
        <family val="1"/>
      </rPr>
      <t xml:space="preserve"> &amp; The involvement fair for the purposes of recruitment</t>
    </r>
  </si>
  <si>
    <r>
      <t>This accounts for the room rental, shoes and refreshments for students and their parents during</t>
    </r>
    <r>
      <rPr>
        <b/>
        <sz val="11"/>
        <color rgb="FFFF0000"/>
        <rFont val="Times New Roman"/>
        <family val="1"/>
      </rPr>
      <t xml:space="preserve"> Parents Weekend</t>
    </r>
  </si>
  <si>
    <r>
      <t>This accounts for all expenses involved with our booth for</t>
    </r>
    <r>
      <rPr>
        <b/>
        <sz val="11"/>
        <color rgb="FFFF0000"/>
        <rFont val="Times New Roman"/>
        <family val="1"/>
      </rPr>
      <t xml:space="preserve"> Spring Fling</t>
    </r>
    <r>
      <rPr>
        <sz val="11"/>
        <color theme="1"/>
        <rFont val="Times New Roman"/>
        <family val="1"/>
      </rPr>
      <t>, where we give away prizes and food each year for students.</t>
    </r>
  </si>
  <si>
    <r>
      <t xml:space="preserve">Poster Sale Fundraiser </t>
    </r>
    <r>
      <rPr>
        <sz val="9"/>
        <rFont val="Times New Roman"/>
        <family val="1"/>
      </rPr>
      <t>(estimated)</t>
    </r>
  </si>
  <si>
    <t>MUB Board 2011 - 2012 Request</t>
  </si>
  <si>
    <t>MUB Board 2011 - 2012 Expenses</t>
  </si>
  <si>
    <t>MUB Board 12-13 Request/Plans</t>
  </si>
  <si>
    <t>USG/SBG Allocation</t>
  </si>
  <si>
    <t xml:space="preserve">Poster Sale Fundraiser </t>
  </si>
  <si>
    <t>2011-2012 Notes:</t>
  </si>
  <si>
    <t>Performers</t>
  </si>
  <si>
    <t>Printing/Marketing</t>
  </si>
  <si>
    <t>Fall Conference (ACUI in GB, WI)</t>
  </si>
  <si>
    <t>Spring Conference (NACA in MN)</t>
  </si>
  <si>
    <t>Other</t>
  </si>
  <si>
    <t>Spring Conference (APCA in FL)</t>
  </si>
  <si>
    <t>Golf Tourney</t>
  </si>
  <si>
    <t>TAF</t>
  </si>
  <si>
    <t>Card Tournaments</t>
  </si>
  <si>
    <t>Spring Study Break</t>
  </si>
  <si>
    <t>Fall Study Break</t>
  </si>
  <si>
    <t>Card Tournament (4)</t>
  </si>
  <si>
    <t>100+</t>
  </si>
  <si>
    <t>"Likes" on Facebook</t>
  </si>
  <si>
    <t>Request</t>
  </si>
  <si>
    <r>
      <t xml:space="preserve">Poster Sale Fundraiser </t>
    </r>
    <r>
      <rPr>
        <b/>
        <sz val="11"/>
        <color rgb="FFFF0000"/>
        <rFont val="Times New Roman"/>
        <family val="1"/>
      </rPr>
      <t>Welcome Week</t>
    </r>
    <r>
      <rPr>
        <sz val="11"/>
        <rFont val="Times New Roman"/>
        <family val="1"/>
      </rPr>
      <t xml:space="preserve"> </t>
    </r>
    <r>
      <rPr>
        <sz val="9"/>
        <rFont val="Times New Roman"/>
        <family val="1"/>
      </rPr>
      <t>(estimated)</t>
    </r>
  </si>
  <si>
    <t>500+</t>
  </si>
  <si>
    <t>At each Study Break</t>
  </si>
  <si>
    <t>Families participated in Glow Bowling on Family Weekend</t>
  </si>
  <si>
    <t>Assessment &amp; Notes</t>
  </si>
  <si>
    <t>Views of MUB Board Facebook page during 7 days of MUB</t>
  </si>
  <si>
    <t>Unique students viewing our Social Marketing</t>
  </si>
  <si>
    <r>
      <t xml:space="preserve">This accounts for all expenses involved with bringing in a band to perform in the MUB Commons during </t>
    </r>
    <r>
      <rPr>
        <b/>
        <sz val="11"/>
        <color rgb="FFFF0000"/>
        <rFont val="Times New Roman"/>
        <family val="1"/>
      </rPr>
      <t>all nighter</t>
    </r>
    <r>
      <rPr>
        <sz val="11"/>
        <color theme="1"/>
        <rFont val="Times New Roman"/>
        <family val="1"/>
      </rPr>
      <t xml:space="preserve"> and also providing complimentary hot cocoa and cookies. </t>
    </r>
  </si>
  <si>
    <t>This accounts for all expenses involve with putting on the Tech Arts Festival, a week long series of events including daily workshops, an art show and opportunities for students to learn new skills</t>
  </si>
  <si>
    <r>
      <t xml:space="preserve">This accounts for all expenses involved with bringing in a performer as part of </t>
    </r>
    <r>
      <rPr>
        <b/>
        <sz val="11"/>
        <color rgb="FFFF0000"/>
        <rFont val="Times New Roman"/>
        <family val="1"/>
      </rPr>
      <t>standathon</t>
    </r>
    <r>
      <rPr>
        <sz val="11"/>
        <color theme="1"/>
        <rFont val="Times New Roman"/>
        <family val="1"/>
      </rPr>
      <t>, including their rider and accommodations and any sound or lighting</t>
    </r>
  </si>
  <si>
    <t>This accounts for all expenses involved with maintaining our office space and equipment, attending the regional and national conference each year.</t>
  </si>
  <si>
    <t>Recruitment (K-Day &amp; Involvement Fair)</t>
  </si>
  <si>
    <r>
      <rPr>
        <b/>
        <sz val="11"/>
        <color rgb="FFFF0000"/>
        <rFont val="Times New Roman"/>
        <family val="1"/>
      </rPr>
      <t>Welcome Week</t>
    </r>
    <r>
      <rPr>
        <sz val="11"/>
        <rFont val="Times New Roman"/>
        <family val="1"/>
      </rPr>
      <t xml:space="preserve"> Golf Tournament</t>
    </r>
  </si>
  <si>
    <r>
      <rPr>
        <b/>
        <sz val="11"/>
        <color rgb="FFFF0000"/>
        <rFont val="Times New Roman"/>
        <family val="1"/>
      </rPr>
      <t>Standathon</t>
    </r>
    <r>
      <rPr>
        <sz val="11"/>
        <rFont val="Times New Roman"/>
        <family val="1"/>
      </rPr>
      <t xml:space="preserve"> Performer </t>
    </r>
  </si>
  <si>
    <t>Involvement Fair Booth</t>
  </si>
  <si>
    <t>Collaboration/Sponsorship with other organizations and departments &amp; Campus Traditions in Red</t>
  </si>
  <si>
    <t>Attendance at each card tournament</t>
  </si>
  <si>
    <t>This accounts for the expenses involved with putting on two card tournaments, two each semester. This includes supplies, advertising, refreshments and prizes.</t>
  </si>
  <si>
    <t>This accounts for all expenses involved with bringing in two musicians to perform in the MUB, 1 each semester. This includes their rider, expenses, sound, lighting, etc.</t>
  </si>
  <si>
    <t>****</t>
  </si>
  <si>
    <r>
      <t xml:space="preserve">MUB Board would like to request that any remaining balance after the end of the year be saved &amp; used for a </t>
    </r>
    <r>
      <rPr>
        <b/>
        <sz val="11"/>
        <color rgb="FFFF0000"/>
        <rFont val="Times New Roman"/>
        <family val="1"/>
      </rPr>
      <t>Welcome Week</t>
    </r>
    <r>
      <rPr>
        <sz val="11"/>
        <color rgb="FF00B0F0"/>
        <rFont val="Times New Roman"/>
        <family val="1"/>
      </rPr>
      <t xml:space="preserve"> event with</t>
    </r>
    <r>
      <rPr>
        <b/>
        <sz val="11"/>
        <color rgb="FF00B0F0"/>
        <rFont val="Times New Roman"/>
        <family val="1"/>
      </rPr>
      <t xml:space="preserve"> </t>
    </r>
    <r>
      <rPr>
        <b/>
        <sz val="11"/>
        <color rgb="FFFF0000"/>
        <rFont val="Times New Roman"/>
        <family val="1"/>
      </rPr>
      <t>AES</t>
    </r>
    <r>
      <rPr>
        <sz val="11"/>
        <color rgb="FFFF0000"/>
        <rFont val="Times New Roman"/>
        <family val="1"/>
      </rPr>
      <t xml:space="preserve">. </t>
    </r>
    <r>
      <rPr>
        <sz val="11"/>
        <color rgb="FF00B0F0"/>
        <rFont val="Times New Roman"/>
        <family val="1"/>
      </rPr>
      <t xml:space="preserve"> The plan is to have music near Princes Point similar to the Winter Carnival entertainment. </t>
    </r>
  </si>
  <si>
    <t>10)</t>
  </si>
  <si>
    <t>11)</t>
  </si>
  <si>
    <t>12)</t>
  </si>
  <si>
    <t>13)</t>
  </si>
  <si>
    <t>14)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</si>
</sst>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Red]&quot;$&quot;#,##0.00"/>
    <numFmt numFmtId="165" formatCode="&quot;$&quot;#,##0.00"/>
  </numFmts>
  <fonts count="14" x14ac:knownFonts="1">
    <font>
      <sz val="11"/>
      <color theme="1"/>
      <name val="Calibri"/>
      <family val="2"/>
      <scheme val="minor"/>
    </font>
    <font>
      <b/>
      <sz val="11"/>
      <color theme="1"/>
      <name val="Times New Roman"/>
      <family val="1"/>
    </font>
    <font>
      <sz val="11"/>
      <color theme="1"/>
      <name val="Times New Roman"/>
      <family val="1"/>
    </font>
    <font>
      <b/>
      <u/>
      <sz val="11"/>
      <color theme="1"/>
      <name val="Times New Roman"/>
      <family val="1"/>
    </font>
    <font>
      <sz val="11"/>
      <name val="Times New Roman"/>
      <family val="1"/>
    </font>
    <font>
      <sz val="9"/>
      <name val="Times New Roman"/>
      <family val="1"/>
    </font>
    <font>
      <sz val="8"/>
      <name val="Times New Roman"/>
      <family val="1"/>
    </font>
    <font>
      <b/>
      <sz val="11"/>
      <color rgb="FFFF0000"/>
      <name val="Times New Roman"/>
      <family val="1"/>
    </font>
    <font>
      <b/>
      <sz val="11"/>
      <color rgb="FFFF0000"/>
      <name val="Calibri"/>
      <family val="2"/>
      <scheme val="minor"/>
    </font>
    <font>
      <sz val="11"/>
      <color rgb="FFFF0000"/>
      <name val="Times New Roman"/>
      <family val="1"/>
    </font>
    <font>
      <b/>
      <sz val="11"/>
      <name val="Times New Roman"/>
      <family val="1"/>
    </font>
    <font>
      <b/>
      <sz val="11"/>
      <color rgb="FF00B0F0"/>
      <name val="Times New Roman"/>
      <family val="1"/>
    </font>
    <font>
      <sz val="11"/>
      <color rgb="FF00B0F0"/>
      <name val="Times New Roman"/>
      <family val="1"/>
    </font>
    <font>
      <sz val="11"/>
      <color rgb="FF00B0F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auto="1"/>
      </left>
      <right style="medium">
        <color indexed="64"/>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right style="medium">
        <color indexed="64"/>
      </right>
      <top/>
      <bottom style="medium">
        <color indexed="64"/>
      </bottom>
      <diagonal/>
    </border>
  </borders>
  <cellStyleXfs count="1">
    <xf numFmtId="0" fontId="0" fillId="0" borderId="0"/>
  </cellStyleXfs>
  <cellXfs count="55">
    <xf numFmtId="0" fontId="0" fillId="0" borderId="0" xfId="0"/>
    <xf numFmtId="0" fontId="2" fillId="0" borderId="0" xfId="0" applyFont="1"/>
    <xf numFmtId="0" fontId="3" fillId="0" borderId="0" xfId="0" applyFont="1" applyBorder="1"/>
    <xf numFmtId="0" fontId="2" fillId="0" borderId="0" xfId="0" applyFont="1" applyBorder="1"/>
    <xf numFmtId="0" fontId="1" fillId="0" borderId="0" xfId="0" applyFont="1" applyBorder="1" applyAlignment="1">
      <alignment horizontal="right"/>
    </xf>
    <xf numFmtId="164" fontId="2" fillId="0" borderId="0" xfId="0" applyNumberFormat="1" applyFont="1" applyBorder="1"/>
    <xf numFmtId="0" fontId="2" fillId="0" borderId="0" xfId="0" applyFont="1" applyBorder="1" applyAlignment="1">
      <alignment horizontal="right"/>
    </xf>
    <xf numFmtId="0" fontId="4" fillId="0" borderId="0" xfId="0" applyFont="1" applyBorder="1"/>
    <xf numFmtId="165" fontId="2" fillId="0" borderId="0" xfId="0" applyNumberFormat="1" applyFont="1"/>
    <xf numFmtId="0" fontId="2" fillId="0" borderId="0" xfId="0" applyFont="1" applyAlignment="1">
      <alignment horizontal="center" vertical="center"/>
    </xf>
    <xf numFmtId="0" fontId="2" fillId="0" borderId="0" xfId="0" applyFont="1" applyBorder="1" applyAlignment="1">
      <alignment horizontal="center" vertical="center"/>
    </xf>
    <xf numFmtId="0" fontId="2" fillId="0" borderId="2" xfId="0" applyFont="1" applyBorder="1"/>
    <xf numFmtId="0" fontId="1" fillId="0" borderId="3" xfId="0" applyFont="1" applyBorder="1" applyAlignment="1">
      <alignment horizontal="center" vertical="center"/>
    </xf>
    <xf numFmtId="0" fontId="2" fillId="0" borderId="4" xfId="0" applyFont="1" applyBorder="1"/>
    <xf numFmtId="0" fontId="2" fillId="0" borderId="5" xfId="0" applyFont="1" applyBorder="1"/>
    <xf numFmtId="0" fontId="2" fillId="0" borderId="5" xfId="0" applyFont="1" applyBorder="1" applyAlignment="1">
      <alignment horizontal="right"/>
    </xf>
    <xf numFmtId="164" fontId="2" fillId="0" borderId="7" xfId="0" applyNumberFormat="1" applyFont="1" applyBorder="1"/>
    <xf numFmtId="164" fontId="2" fillId="0" borderId="6" xfId="0" applyNumberFormat="1" applyFont="1" applyBorder="1"/>
    <xf numFmtId="0" fontId="2" fillId="0" borderId="7" xfId="0" applyFont="1" applyBorder="1"/>
    <xf numFmtId="165" fontId="2" fillId="0" borderId="7" xfId="0" applyNumberFormat="1" applyFont="1" applyBorder="1"/>
    <xf numFmtId="0" fontId="2" fillId="0" borderId="8" xfId="0" applyFont="1" applyBorder="1"/>
    <xf numFmtId="0" fontId="2" fillId="0" borderId="9" xfId="0" applyFont="1" applyBorder="1"/>
    <xf numFmtId="164" fontId="2" fillId="0" borderId="10" xfId="0" applyNumberFormat="1" applyFont="1" applyBorder="1"/>
    <xf numFmtId="165" fontId="2" fillId="0" borderId="4" xfId="0" applyNumberFormat="1" applyFont="1" applyBorder="1"/>
    <xf numFmtId="165" fontId="2" fillId="0" borderId="6" xfId="0" applyNumberFormat="1" applyFont="1" applyBorder="1"/>
    <xf numFmtId="165" fontId="2" fillId="0" borderId="10" xfId="0" applyNumberFormat="1" applyFont="1" applyBorder="1"/>
    <xf numFmtId="0" fontId="4" fillId="0" borderId="5" xfId="0" applyFont="1" applyBorder="1" applyAlignment="1">
      <alignment horizontal="right"/>
    </xf>
    <xf numFmtId="165" fontId="4" fillId="0" borderId="7" xfId="0" applyNumberFormat="1" applyFont="1" applyBorder="1"/>
    <xf numFmtId="0" fontId="2" fillId="2" borderId="8" xfId="0" applyFont="1" applyFill="1" applyBorder="1"/>
    <xf numFmtId="0" fontId="2" fillId="2" borderId="9" xfId="0" applyFont="1" applyFill="1" applyBorder="1"/>
    <xf numFmtId="165" fontId="2" fillId="2" borderId="10" xfId="0" applyNumberFormat="1" applyFont="1" applyFill="1" applyBorder="1"/>
    <xf numFmtId="0" fontId="2" fillId="3" borderId="6" xfId="0" applyFont="1" applyFill="1" applyBorder="1"/>
    <xf numFmtId="0" fontId="2" fillId="3" borderId="5" xfId="0" applyFont="1" applyFill="1" applyBorder="1"/>
    <xf numFmtId="0" fontId="3" fillId="3" borderId="0" xfId="0" applyFont="1" applyFill="1" applyBorder="1"/>
    <xf numFmtId="0" fontId="3" fillId="0" borderId="0" xfId="0" applyFont="1"/>
    <xf numFmtId="0" fontId="2" fillId="2" borderId="6" xfId="0" applyFont="1" applyFill="1" applyBorder="1"/>
    <xf numFmtId="164" fontId="2" fillId="0" borderId="11" xfId="0" applyNumberFormat="1" applyFont="1" applyBorder="1"/>
    <xf numFmtId="164" fontId="2" fillId="0" borderId="12" xfId="0" applyNumberFormat="1" applyFont="1" applyBorder="1"/>
    <xf numFmtId="0" fontId="2" fillId="0" borderId="3" xfId="0" applyFont="1" applyBorder="1"/>
    <xf numFmtId="0" fontId="2" fillId="0" borderId="1" xfId="0" applyFont="1" applyBorder="1" applyAlignment="1">
      <alignment wrapText="1"/>
    </xf>
    <xf numFmtId="0" fontId="0" fillId="0" borderId="1" xfId="0" applyBorder="1" applyAlignment="1"/>
    <xf numFmtId="0" fontId="0" fillId="0" borderId="1" xfId="0"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10" fillId="0" borderId="5" xfId="0" applyFont="1" applyBorder="1" applyAlignment="1">
      <alignment horizontal="right"/>
    </xf>
    <xf numFmtId="0" fontId="10" fillId="0" borderId="0" xfId="0" applyFont="1" applyBorder="1"/>
    <xf numFmtId="165" fontId="10" fillId="0" borderId="7" xfId="0" applyNumberFormat="1" applyFont="1" applyBorder="1"/>
    <xf numFmtId="165" fontId="11" fillId="0" borderId="10" xfId="0" applyNumberFormat="1" applyFont="1" applyBorder="1" applyAlignment="1">
      <alignment horizontal="center"/>
    </xf>
    <xf numFmtId="0" fontId="11" fillId="0" borderId="0" xfId="0" applyFont="1"/>
    <xf numFmtId="0" fontId="12" fillId="0" borderId="0" xfId="0" applyFont="1" applyAlignment="1">
      <alignment wrapText="1"/>
    </xf>
    <xf numFmtId="0" fontId="13" fillId="0" borderId="0" xfId="0" applyFont="1" applyAlignment="1"/>
    <xf numFmtId="0" fontId="2" fillId="4" borderId="1" xfId="0" applyFont="1" applyFill="1" applyBorder="1" applyAlignment="1">
      <alignment wrapText="1"/>
    </xf>
    <xf numFmtId="0" fontId="2" fillId="4" borderId="1" xfId="0" applyFont="1" applyFill="1" applyBorder="1" applyAlignment="1"/>
    <xf numFmtId="165" fontId="2" fillId="4" borderId="1" xfId="0" applyNumberFormat="1" applyFont="1" applyFill="1" applyBorder="1" applyAlignment="1"/>
    <xf numFmtId="0" fontId="0" fillId="4" borderId="1"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1"/>
  <sheetViews>
    <sheetView tabSelected="1" topLeftCell="E1" zoomScale="80" zoomScaleNormal="80" workbookViewId="0">
      <selection activeCell="N35" sqref="N35"/>
    </sheetView>
  </sheetViews>
  <sheetFormatPr defaultRowHeight="15" x14ac:dyDescent="0.25"/>
  <cols>
    <col min="1" max="1" width="7" style="1" customWidth="1"/>
    <col min="2" max="2" width="35.5703125" style="1" customWidth="1"/>
    <col min="3" max="3" width="11.140625" style="1" bestFit="1" customWidth="1"/>
    <col min="4" max="4" width="9.140625" style="1"/>
    <col min="5" max="5" width="38.85546875" style="1" customWidth="1"/>
    <col min="6" max="6" width="11.140625" style="1" bestFit="1" customWidth="1"/>
    <col min="7" max="7" width="4.5703125" style="1" bestFit="1" customWidth="1"/>
    <col min="8" max="8" width="42.140625" style="1" bestFit="1" customWidth="1"/>
    <col min="9" max="9" width="11.5703125" style="1" bestFit="1" customWidth="1"/>
    <col min="10" max="10" width="4.5703125" style="1" bestFit="1" customWidth="1"/>
    <col min="11" max="11" width="37.28515625" style="1" bestFit="1" customWidth="1"/>
    <col min="12" max="12" width="18.5703125" style="8" customWidth="1"/>
    <col min="13" max="13" width="4.85546875" style="1" customWidth="1"/>
    <col min="14" max="14" width="37.140625" style="1" customWidth="1"/>
    <col min="15" max="15" width="11.42578125" style="1" customWidth="1"/>
    <col min="16" max="16" width="5.7109375" style="1" customWidth="1"/>
    <col min="17" max="17" width="46.28515625" style="1" customWidth="1"/>
    <col min="18" max="18" width="11.85546875" style="1" customWidth="1"/>
    <col min="19" max="16384" width="9.140625" style="1"/>
  </cols>
  <sheetData>
    <row r="1" spans="1:18" ht="36" customHeight="1" x14ac:dyDescent="0.25">
      <c r="A1" s="11"/>
      <c r="B1" s="12" t="s">
        <v>15</v>
      </c>
      <c r="C1" s="13"/>
      <c r="D1" s="11"/>
      <c r="E1" s="12" t="s">
        <v>14</v>
      </c>
      <c r="F1" s="13"/>
      <c r="G1" s="38"/>
      <c r="H1" s="12" t="s">
        <v>61</v>
      </c>
      <c r="I1" s="13"/>
      <c r="J1" s="11"/>
      <c r="K1" s="12" t="s">
        <v>81</v>
      </c>
      <c r="L1" s="23"/>
      <c r="M1" s="11"/>
      <c r="N1" s="12" t="s">
        <v>82</v>
      </c>
      <c r="O1" s="23"/>
      <c r="P1" s="11"/>
      <c r="Q1" s="12" t="s">
        <v>83</v>
      </c>
      <c r="R1" s="23"/>
    </row>
    <row r="2" spans="1:18" x14ac:dyDescent="0.25">
      <c r="A2" s="14"/>
      <c r="B2" s="2" t="s">
        <v>1</v>
      </c>
      <c r="C2" s="35" t="s">
        <v>0</v>
      </c>
      <c r="D2" s="14"/>
      <c r="E2" s="2" t="s">
        <v>1</v>
      </c>
      <c r="F2" s="35" t="s">
        <v>0</v>
      </c>
      <c r="G2" s="3"/>
      <c r="H2" s="2" t="s">
        <v>1</v>
      </c>
      <c r="I2" s="31" t="s">
        <v>0</v>
      </c>
      <c r="J2" s="32"/>
      <c r="K2" s="33" t="s">
        <v>1</v>
      </c>
      <c r="L2" s="31" t="s">
        <v>0</v>
      </c>
      <c r="M2" s="32"/>
      <c r="N2" s="33" t="s">
        <v>1</v>
      </c>
      <c r="O2" s="31" t="s">
        <v>0</v>
      </c>
      <c r="P2" s="32"/>
      <c r="Q2" s="33" t="s">
        <v>1</v>
      </c>
      <c r="R2" s="31" t="s">
        <v>0</v>
      </c>
    </row>
    <row r="3" spans="1:18" x14ac:dyDescent="0.25">
      <c r="A3" s="15" t="s">
        <v>2</v>
      </c>
      <c r="B3" s="3" t="s">
        <v>35</v>
      </c>
      <c r="C3" s="16">
        <v>34485</v>
      </c>
      <c r="D3" s="15" t="s">
        <v>2</v>
      </c>
      <c r="E3" s="3" t="s">
        <v>35</v>
      </c>
      <c r="F3" s="16">
        <v>33085</v>
      </c>
      <c r="G3" s="6" t="s">
        <v>2</v>
      </c>
      <c r="H3" s="7" t="s">
        <v>36</v>
      </c>
      <c r="I3" s="16">
        <v>26675</v>
      </c>
      <c r="J3" s="15" t="s">
        <v>2</v>
      </c>
      <c r="K3" s="7" t="s">
        <v>36</v>
      </c>
      <c r="L3" s="19">
        <f>L22-L4</f>
        <v>29880</v>
      </c>
      <c r="M3" s="15" t="s">
        <v>2</v>
      </c>
      <c r="N3" s="7" t="s">
        <v>84</v>
      </c>
      <c r="O3" s="19">
        <v>29000</v>
      </c>
      <c r="P3" s="15" t="s">
        <v>2</v>
      </c>
      <c r="Q3" s="7" t="s">
        <v>36</v>
      </c>
      <c r="R3" s="19"/>
    </row>
    <row r="4" spans="1:18" x14ac:dyDescent="0.25">
      <c r="A4" s="15" t="s">
        <v>3</v>
      </c>
      <c r="B4" s="3" t="s">
        <v>16</v>
      </c>
      <c r="C4" s="16">
        <v>1500</v>
      </c>
      <c r="D4" s="15" t="s">
        <v>3</v>
      </c>
      <c r="E4" s="3" t="s">
        <v>16</v>
      </c>
      <c r="F4" s="16">
        <v>1500</v>
      </c>
      <c r="G4" s="6" t="s">
        <v>3</v>
      </c>
      <c r="H4" s="7" t="s">
        <v>55</v>
      </c>
      <c r="I4" s="16">
        <v>1000</v>
      </c>
      <c r="J4" s="15" t="s">
        <v>3</v>
      </c>
      <c r="K4" s="7" t="s">
        <v>80</v>
      </c>
      <c r="L4" s="19">
        <v>1000</v>
      </c>
      <c r="M4" s="15" t="s">
        <v>3</v>
      </c>
      <c r="N4" s="7" t="s">
        <v>85</v>
      </c>
      <c r="O4" s="19"/>
      <c r="P4" s="15" t="s">
        <v>3</v>
      </c>
      <c r="Q4" s="7" t="s">
        <v>102</v>
      </c>
      <c r="R4" s="19">
        <v>1000</v>
      </c>
    </row>
    <row r="5" spans="1:18" x14ac:dyDescent="0.25">
      <c r="A5" s="14"/>
      <c r="B5" s="4" t="s">
        <v>12</v>
      </c>
      <c r="C5" s="17">
        <f>C3+C4</f>
        <v>35985</v>
      </c>
      <c r="D5" s="14"/>
      <c r="E5" s="4" t="s">
        <v>12</v>
      </c>
      <c r="F5" s="17">
        <f>F3+F4</f>
        <v>34585</v>
      </c>
      <c r="G5" s="6" t="s">
        <v>4</v>
      </c>
      <c r="H5" s="7" t="s">
        <v>56</v>
      </c>
      <c r="I5" s="16">
        <v>730</v>
      </c>
      <c r="J5" s="14"/>
      <c r="K5" s="4" t="s">
        <v>12</v>
      </c>
      <c r="L5" s="24">
        <f>SUM(L3:L4)</f>
        <v>30880</v>
      </c>
      <c r="M5" s="14"/>
      <c r="N5" s="4" t="s">
        <v>12</v>
      </c>
      <c r="O5" s="24">
        <f>SUM(O3:O4)</f>
        <v>29000</v>
      </c>
      <c r="P5" s="14"/>
      <c r="Q5" s="4" t="s">
        <v>12</v>
      </c>
      <c r="R5" s="24">
        <f>SUM(R3:R4)</f>
        <v>1000</v>
      </c>
    </row>
    <row r="6" spans="1:18" x14ac:dyDescent="0.25">
      <c r="A6" s="14"/>
      <c r="B6" s="2" t="s">
        <v>13</v>
      </c>
      <c r="C6" s="18"/>
      <c r="D6" s="14"/>
      <c r="E6" s="2" t="s">
        <v>13</v>
      </c>
      <c r="F6" s="18"/>
      <c r="G6" s="6" t="s">
        <v>5</v>
      </c>
      <c r="H6" s="7" t="s">
        <v>57</v>
      </c>
      <c r="I6" s="16">
        <v>2000</v>
      </c>
      <c r="J6" s="14"/>
      <c r="K6" s="2" t="s">
        <v>13</v>
      </c>
      <c r="L6" s="19"/>
      <c r="M6" s="14"/>
      <c r="N6" s="2" t="s">
        <v>13</v>
      </c>
      <c r="O6" s="19"/>
      <c r="P6" s="14"/>
      <c r="Q6" s="2" t="s">
        <v>13</v>
      </c>
      <c r="R6" s="19"/>
    </row>
    <row r="7" spans="1:18" x14ac:dyDescent="0.25">
      <c r="A7" s="15" t="s">
        <v>2</v>
      </c>
      <c r="B7" s="3" t="s">
        <v>37</v>
      </c>
      <c r="C7" s="16">
        <v>10000</v>
      </c>
      <c r="D7" s="15" t="s">
        <v>2</v>
      </c>
      <c r="E7" s="3" t="s">
        <v>37</v>
      </c>
      <c r="F7" s="16">
        <v>12000</v>
      </c>
      <c r="G7" s="3"/>
      <c r="H7" s="4" t="s">
        <v>12</v>
      </c>
      <c r="I7" s="17">
        <f>SUM(I3:I6)</f>
        <v>30405</v>
      </c>
      <c r="J7" s="15" t="s">
        <v>4</v>
      </c>
      <c r="K7" s="7" t="s">
        <v>71</v>
      </c>
      <c r="L7" s="19">
        <v>2000</v>
      </c>
      <c r="M7" s="15" t="s">
        <v>4</v>
      </c>
      <c r="N7" s="7" t="s">
        <v>87</v>
      </c>
      <c r="O7" s="19">
        <f>6750+89+24+58.25+99+740+2000</f>
        <v>9760.25</v>
      </c>
      <c r="P7" s="15" t="s">
        <v>4</v>
      </c>
      <c r="Q7" s="7" t="s">
        <v>113</v>
      </c>
      <c r="R7" s="19">
        <v>500</v>
      </c>
    </row>
    <row r="8" spans="1:18" x14ac:dyDescent="0.25">
      <c r="A8" s="15" t="s">
        <v>3</v>
      </c>
      <c r="B8" s="3" t="s">
        <v>38</v>
      </c>
      <c r="C8" s="16">
        <v>2485</v>
      </c>
      <c r="D8" s="15" t="s">
        <v>3</v>
      </c>
      <c r="E8" s="3" t="s">
        <v>38</v>
      </c>
      <c r="F8" s="16">
        <v>2485</v>
      </c>
      <c r="G8" s="3"/>
      <c r="H8" s="2" t="s">
        <v>13</v>
      </c>
      <c r="I8" s="18"/>
      <c r="J8" s="15" t="s">
        <v>5</v>
      </c>
      <c r="K8" s="7" t="s">
        <v>114</v>
      </c>
      <c r="L8" s="19">
        <v>1500</v>
      </c>
      <c r="M8" s="26" t="s">
        <v>5</v>
      </c>
      <c r="N8" s="7" t="s">
        <v>97</v>
      </c>
      <c r="O8" s="27">
        <v>572</v>
      </c>
      <c r="P8" s="15" t="s">
        <v>5</v>
      </c>
      <c r="Q8" s="7" t="s">
        <v>72</v>
      </c>
      <c r="R8" s="19">
        <v>250</v>
      </c>
    </row>
    <row r="9" spans="1:18" x14ac:dyDescent="0.25">
      <c r="A9" s="15" t="s">
        <v>4</v>
      </c>
      <c r="B9" s="3" t="s">
        <v>47</v>
      </c>
      <c r="C9" s="16">
        <v>900</v>
      </c>
      <c r="D9" s="15" t="s">
        <v>4</v>
      </c>
      <c r="E9" s="3" t="s">
        <v>39</v>
      </c>
      <c r="F9" s="16">
        <v>200</v>
      </c>
      <c r="G9" s="6" t="s">
        <v>2</v>
      </c>
      <c r="H9" s="7" t="s">
        <v>54</v>
      </c>
      <c r="I9" s="16">
        <v>1500</v>
      </c>
      <c r="J9" s="15" t="s">
        <v>6</v>
      </c>
      <c r="K9" s="7" t="s">
        <v>113</v>
      </c>
      <c r="L9" s="19">
        <v>100</v>
      </c>
      <c r="M9" s="15" t="s">
        <v>6</v>
      </c>
      <c r="N9" s="7" t="s">
        <v>88</v>
      </c>
      <c r="O9" s="19">
        <f>21.3+29.25+131.56+6.66+25.05+500</f>
        <v>713.82</v>
      </c>
      <c r="P9" s="15" t="s">
        <v>6</v>
      </c>
      <c r="Q9" s="7" t="s">
        <v>98</v>
      </c>
      <c r="R9" s="19">
        <v>4000</v>
      </c>
    </row>
    <row r="10" spans="1:18" x14ac:dyDescent="0.25">
      <c r="A10" s="15" t="s">
        <v>5</v>
      </c>
      <c r="B10" s="3" t="s">
        <v>58</v>
      </c>
      <c r="C10" s="16">
        <f>2200+1500</f>
        <v>3700</v>
      </c>
      <c r="D10" s="15" t="s">
        <v>5</v>
      </c>
      <c r="E10" s="3" t="s">
        <v>58</v>
      </c>
      <c r="F10" s="16">
        <f>1520+1200</f>
        <v>2720</v>
      </c>
      <c r="G10" s="6" t="s">
        <v>3</v>
      </c>
      <c r="H10" s="7" t="s">
        <v>17</v>
      </c>
      <c r="I10" s="16">
        <v>250</v>
      </c>
      <c r="J10" s="15" t="s">
        <v>7</v>
      </c>
      <c r="K10" s="7" t="s">
        <v>72</v>
      </c>
      <c r="L10" s="19">
        <v>250</v>
      </c>
      <c r="M10" s="15" t="s">
        <v>7</v>
      </c>
      <c r="N10" s="7" t="s">
        <v>18</v>
      </c>
      <c r="O10" s="19">
        <v>750</v>
      </c>
      <c r="P10" s="15" t="s">
        <v>7</v>
      </c>
      <c r="Q10" s="7" t="s">
        <v>18</v>
      </c>
      <c r="R10" s="19">
        <v>1000</v>
      </c>
    </row>
    <row r="11" spans="1:18" x14ac:dyDescent="0.25">
      <c r="A11" s="15" t="s">
        <v>7</v>
      </c>
      <c r="B11" s="3" t="s">
        <v>23</v>
      </c>
      <c r="C11" s="16">
        <v>600</v>
      </c>
      <c r="D11" s="15" t="s">
        <v>7</v>
      </c>
      <c r="E11" s="3" t="s">
        <v>23</v>
      </c>
      <c r="F11" s="16">
        <v>600</v>
      </c>
      <c r="G11" s="6" t="s">
        <v>4</v>
      </c>
      <c r="H11" s="7" t="s">
        <v>20</v>
      </c>
      <c r="I11" s="16">
        <v>2730</v>
      </c>
      <c r="J11" s="15" t="s">
        <v>8</v>
      </c>
      <c r="K11" s="7" t="s">
        <v>60</v>
      </c>
      <c r="L11" s="19">
        <v>1000</v>
      </c>
      <c r="M11" s="15" t="s">
        <v>8</v>
      </c>
      <c r="N11" s="7" t="s">
        <v>95</v>
      </c>
      <c r="O11" s="19">
        <v>600</v>
      </c>
      <c r="P11" s="15" t="s">
        <v>8</v>
      </c>
      <c r="Q11" s="7" t="s">
        <v>68</v>
      </c>
      <c r="R11" s="19">
        <v>5000</v>
      </c>
    </row>
    <row r="12" spans="1:18" x14ac:dyDescent="0.25">
      <c r="A12" s="15" t="s">
        <v>8</v>
      </c>
      <c r="B12" s="3" t="s">
        <v>59</v>
      </c>
      <c r="C12" s="16">
        <f>1060*2</f>
        <v>2120</v>
      </c>
      <c r="D12" s="15" t="s">
        <v>8</v>
      </c>
      <c r="E12" s="3" t="s">
        <v>59</v>
      </c>
      <c r="F12" s="16">
        <f>1060*2</f>
        <v>2120</v>
      </c>
      <c r="G12" s="6" t="s">
        <v>5</v>
      </c>
      <c r="H12" s="7" t="s">
        <v>60</v>
      </c>
      <c r="I12" s="16">
        <f>210*2</f>
        <v>420</v>
      </c>
      <c r="J12" s="15" t="s">
        <v>9</v>
      </c>
      <c r="K12" s="7" t="s">
        <v>18</v>
      </c>
      <c r="L12" s="19">
        <v>1100</v>
      </c>
      <c r="M12" s="15" t="s">
        <v>9</v>
      </c>
      <c r="N12" s="7" t="s">
        <v>94</v>
      </c>
      <c r="O12" s="19">
        <f>185.85+1000+308.46+107.71+296.01+66.75+50+100+50+237+300</f>
        <v>2701.7799999999997</v>
      </c>
      <c r="P12" s="15" t="s">
        <v>9</v>
      </c>
      <c r="Q12" s="7" t="s">
        <v>59</v>
      </c>
      <c r="R12" s="19">
        <v>1500</v>
      </c>
    </row>
    <row r="13" spans="1:18" x14ac:dyDescent="0.25">
      <c r="A13" s="15" t="s">
        <v>10</v>
      </c>
      <c r="B13" s="3" t="s">
        <v>40</v>
      </c>
      <c r="C13" s="16">
        <v>600</v>
      </c>
      <c r="D13" s="15" t="s">
        <v>10</v>
      </c>
      <c r="E13" s="3" t="s">
        <v>40</v>
      </c>
      <c r="F13" s="16">
        <v>800</v>
      </c>
      <c r="G13" s="6" t="s">
        <v>6</v>
      </c>
      <c r="H13" s="7" t="s">
        <v>18</v>
      </c>
      <c r="I13" s="16">
        <v>1060</v>
      </c>
      <c r="J13" s="15" t="s">
        <v>10</v>
      </c>
      <c r="K13" s="7" t="s">
        <v>68</v>
      </c>
      <c r="L13" s="19">
        <v>5000</v>
      </c>
      <c r="M13" s="15" t="s">
        <v>10</v>
      </c>
      <c r="N13" s="7" t="s">
        <v>93</v>
      </c>
      <c r="O13" s="19">
        <v>1264</v>
      </c>
      <c r="P13" s="15" t="s">
        <v>10</v>
      </c>
      <c r="Q13" s="7" t="s">
        <v>74</v>
      </c>
      <c r="R13" s="19">
        <v>5000</v>
      </c>
    </row>
    <row r="14" spans="1:18" x14ac:dyDescent="0.25">
      <c r="A14" s="15" t="s">
        <v>11</v>
      </c>
      <c r="B14" s="3" t="s">
        <v>48</v>
      </c>
      <c r="C14" s="16">
        <v>850</v>
      </c>
      <c r="D14" s="15" t="s">
        <v>11</v>
      </c>
      <c r="E14" s="3" t="s">
        <v>22</v>
      </c>
      <c r="F14" s="16">
        <v>300</v>
      </c>
      <c r="G14" s="6" t="s">
        <v>7</v>
      </c>
      <c r="H14" s="7" t="s">
        <v>63</v>
      </c>
      <c r="I14" s="16">
        <f>5120</f>
        <v>5120</v>
      </c>
      <c r="J14" s="15" t="s">
        <v>11</v>
      </c>
      <c r="K14" s="7" t="s">
        <v>73</v>
      </c>
      <c r="L14" s="19">
        <v>900</v>
      </c>
      <c r="M14" s="15" t="s">
        <v>11</v>
      </c>
      <c r="N14" s="7" t="s">
        <v>89</v>
      </c>
      <c r="O14" s="19">
        <f>894.06+450+56.33+8.45+12.48+19.1+21.66+440.38+12.27</f>
        <v>1914.73</v>
      </c>
      <c r="P14" s="15" t="s">
        <v>11</v>
      </c>
      <c r="Q14" s="7" t="s">
        <v>22</v>
      </c>
      <c r="R14" s="19">
        <v>500</v>
      </c>
    </row>
    <row r="15" spans="1:18" x14ac:dyDescent="0.25">
      <c r="A15" s="15" t="s">
        <v>25</v>
      </c>
      <c r="B15" s="3" t="s">
        <v>49</v>
      </c>
      <c r="C15" s="19">
        <v>1200</v>
      </c>
      <c r="D15" s="15" t="s">
        <v>25</v>
      </c>
      <c r="E15" s="3" t="s">
        <v>41</v>
      </c>
      <c r="F15" s="19">
        <v>1100</v>
      </c>
      <c r="G15" s="6" t="s">
        <v>8</v>
      </c>
      <c r="H15" s="7" t="s">
        <v>19</v>
      </c>
      <c r="I15" s="16">
        <v>900</v>
      </c>
      <c r="J15" s="15" t="s">
        <v>25</v>
      </c>
      <c r="K15" s="7" t="s">
        <v>59</v>
      </c>
      <c r="L15" s="19">
        <v>1120</v>
      </c>
      <c r="M15" s="15" t="s">
        <v>25</v>
      </c>
      <c r="N15" s="1" t="s">
        <v>91</v>
      </c>
      <c r="O15" s="8">
        <f>72.48+6.12</f>
        <v>78.600000000000009</v>
      </c>
      <c r="P15" s="15" t="s">
        <v>25</v>
      </c>
      <c r="Q15" s="7" t="s">
        <v>58</v>
      </c>
      <c r="R15" s="19">
        <v>3000</v>
      </c>
    </row>
    <row r="16" spans="1:18" x14ac:dyDescent="0.25">
      <c r="A16" s="15" t="s">
        <v>26</v>
      </c>
      <c r="B16" s="3" t="s">
        <v>50</v>
      </c>
      <c r="C16" s="19">
        <v>260</v>
      </c>
      <c r="D16" s="15" t="s">
        <v>26</v>
      </c>
      <c r="E16" s="3" t="s">
        <v>24</v>
      </c>
      <c r="F16" s="19">
        <v>500</v>
      </c>
      <c r="G16" s="6" t="s">
        <v>9</v>
      </c>
      <c r="H16" s="7" t="s">
        <v>59</v>
      </c>
      <c r="I16" s="19">
        <f>560*2</f>
        <v>1120</v>
      </c>
      <c r="J16" s="15" t="s">
        <v>26</v>
      </c>
      <c r="K16" s="7" t="s">
        <v>74</v>
      </c>
      <c r="L16" s="19">
        <v>5000</v>
      </c>
      <c r="M16" s="44" t="s">
        <v>26</v>
      </c>
      <c r="N16" s="45" t="s">
        <v>94</v>
      </c>
      <c r="O16" s="46">
        <v>2000</v>
      </c>
      <c r="P16" s="15" t="s">
        <v>26</v>
      </c>
      <c r="Q16" s="7" t="s">
        <v>115</v>
      </c>
      <c r="R16" s="19">
        <v>2000</v>
      </c>
    </row>
    <row r="17" spans="1:18" x14ac:dyDescent="0.25">
      <c r="A17" s="15" t="s">
        <v>27</v>
      </c>
      <c r="B17" s="3" t="s">
        <v>24</v>
      </c>
      <c r="C17" s="19">
        <v>500</v>
      </c>
      <c r="D17" s="15" t="s">
        <v>27</v>
      </c>
      <c r="E17" s="3" t="s">
        <v>19</v>
      </c>
      <c r="F17" s="19">
        <v>500</v>
      </c>
      <c r="G17" s="6" t="s">
        <v>10</v>
      </c>
      <c r="H17" s="7" t="s">
        <v>34</v>
      </c>
      <c r="I17" s="19">
        <v>5000</v>
      </c>
      <c r="J17" s="15" t="s">
        <v>27</v>
      </c>
      <c r="K17" s="7" t="s">
        <v>22</v>
      </c>
      <c r="L17" s="19">
        <v>410</v>
      </c>
      <c r="M17" s="44" t="s">
        <v>27</v>
      </c>
      <c r="N17" s="45" t="s">
        <v>92</v>
      </c>
      <c r="O17" s="46">
        <v>1500</v>
      </c>
      <c r="P17" s="15" t="s">
        <v>27</v>
      </c>
      <c r="Q17" s="7" t="s">
        <v>75</v>
      </c>
      <c r="R17" s="19">
        <v>500</v>
      </c>
    </row>
    <row r="18" spans="1:18" x14ac:dyDescent="0.25">
      <c r="A18" s="15" t="s">
        <v>28</v>
      </c>
      <c r="B18" s="3" t="s">
        <v>19</v>
      </c>
      <c r="C18" s="19">
        <v>500</v>
      </c>
      <c r="D18" s="15" t="s">
        <v>28</v>
      </c>
      <c r="E18" s="3" t="s">
        <v>42</v>
      </c>
      <c r="F18" s="19">
        <v>360</v>
      </c>
      <c r="G18" s="6" t="s">
        <v>11</v>
      </c>
      <c r="H18" s="7" t="s">
        <v>22</v>
      </c>
      <c r="I18" s="19">
        <v>410</v>
      </c>
      <c r="J18" s="15" t="s">
        <v>28</v>
      </c>
      <c r="K18" s="7" t="s">
        <v>58</v>
      </c>
      <c r="L18" s="19">
        <v>3000</v>
      </c>
      <c r="M18" s="44" t="s">
        <v>28</v>
      </c>
      <c r="N18" s="45" t="s">
        <v>90</v>
      </c>
      <c r="O18" s="46">
        <f>1708.65+500+1000</f>
        <v>3208.65</v>
      </c>
      <c r="P18" s="15" t="s">
        <v>28</v>
      </c>
      <c r="Q18" s="3" t="s">
        <v>66</v>
      </c>
      <c r="R18" s="19">
        <f>6000</f>
        <v>6000</v>
      </c>
    </row>
    <row r="19" spans="1:18" x14ac:dyDescent="0.25">
      <c r="A19" s="15" t="s">
        <v>29</v>
      </c>
      <c r="B19" s="3" t="s">
        <v>51</v>
      </c>
      <c r="C19" s="19">
        <v>620</v>
      </c>
      <c r="D19" s="15" t="s">
        <v>29</v>
      </c>
      <c r="E19" s="3" t="s">
        <v>43</v>
      </c>
      <c r="F19" s="19">
        <v>600</v>
      </c>
      <c r="G19" s="6" t="s">
        <v>25</v>
      </c>
      <c r="H19" s="7" t="s">
        <v>58</v>
      </c>
      <c r="I19" s="19">
        <v>2760</v>
      </c>
      <c r="J19" s="15" t="s">
        <v>29</v>
      </c>
      <c r="K19" s="7" t="s">
        <v>115</v>
      </c>
      <c r="L19" s="19">
        <v>3000</v>
      </c>
      <c r="M19" s="44" t="s">
        <v>29</v>
      </c>
      <c r="N19" s="45" t="s">
        <v>22</v>
      </c>
      <c r="O19" s="46">
        <v>500</v>
      </c>
      <c r="P19" s="15" t="s">
        <v>29</v>
      </c>
      <c r="Q19" s="3"/>
      <c r="R19" s="18"/>
    </row>
    <row r="20" spans="1:18" x14ac:dyDescent="0.25">
      <c r="A20" s="15" t="s">
        <v>30</v>
      </c>
      <c r="B20" s="3" t="s">
        <v>52</v>
      </c>
      <c r="C20" s="19">
        <v>350</v>
      </c>
      <c r="D20" s="15" t="s">
        <v>30</v>
      </c>
      <c r="E20" s="3" t="s">
        <v>21</v>
      </c>
      <c r="F20" s="19">
        <v>50</v>
      </c>
      <c r="G20" s="6" t="s">
        <v>26</v>
      </c>
      <c r="H20" s="7" t="s">
        <v>24</v>
      </c>
      <c r="I20" s="19">
        <v>500</v>
      </c>
      <c r="J20" s="15" t="s">
        <v>30</v>
      </c>
      <c r="K20" s="7" t="s">
        <v>75</v>
      </c>
      <c r="L20" s="19">
        <v>500</v>
      </c>
      <c r="M20" s="44" t="s">
        <v>30</v>
      </c>
      <c r="N20" s="45" t="s">
        <v>96</v>
      </c>
      <c r="O20" s="46">
        <v>600</v>
      </c>
      <c r="P20" s="15" t="s">
        <v>30</v>
      </c>
      <c r="Q20" s="3"/>
      <c r="R20" s="18"/>
    </row>
    <row r="21" spans="1:18" x14ac:dyDescent="0.25">
      <c r="A21" s="15" t="s">
        <v>31</v>
      </c>
      <c r="B21" s="3" t="s">
        <v>116</v>
      </c>
      <c r="C21" s="19">
        <v>50</v>
      </c>
      <c r="D21" s="15" t="s">
        <v>31</v>
      </c>
      <c r="E21" s="3" t="s">
        <v>44</v>
      </c>
      <c r="F21" s="19">
        <v>50</v>
      </c>
      <c r="G21" s="6" t="s">
        <v>27</v>
      </c>
      <c r="H21" s="3" t="s">
        <v>62</v>
      </c>
      <c r="I21" s="19">
        <f>1550+5000</f>
        <v>6550</v>
      </c>
      <c r="J21" s="15" t="s">
        <v>31</v>
      </c>
      <c r="K21" s="3" t="s">
        <v>66</v>
      </c>
      <c r="L21" s="19">
        <f>6000</f>
        <v>6000</v>
      </c>
      <c r="M21" s="44" t="s">
        <v>31</v>
      </c>
      <c r="N21" s="45" t="s">
        <v>24</v>
      </c>
      <c r="O21" s="46">
        <v>1000</v>
      </c>
      <c r="P21" s="15" t="s">
        <v>31</v>
      </c>
      <c r="Q21" s="3"/>
      <c r="R21" s="18"/>
    </row>
    <row r="22" spans="1:18" x14ac:dyDescent="0.25">
      <c r="A22" s="15" t="s">
        <v>32</v>
      </c>
      <c r="B22" s="3" t="s">
        <v>53</v>
      </c>
      <c r="C22" s="19">
        <v>50</v>
      </c>
      <c r="D22" s="15" t="s">
        <v>32</v>
      </c>
      <c r="E22" s="3" t="s">
        <v>45</v>
      </c>
      <c r="F22" s="19">
        <v>260</v>
      </c>
      <c r="G22" s="3"/>
      <c r="H22" s="4" t="s">
        <v>12</v>
      </c>
      <c r="I22" s="17">
        <f>SUM(I9:I21)</f>
        <v>28320</v>
      </c>
      <c r="J22" s="14"/>
      <c r="K22" s="4" t="s">
        <v>12</v>
      </c>
      <c r="L22" s="24">
        <f>SUM(L7:L21)</f>
        <v>30880</v>
      </c>
      <c r="M22" s="14"/>
      <c r="N22" s="4" t="s">
        <v>12</v>
      </c>
      <c r="O22" s="24">
        <f>SUM(O7:O18)</f>
        <v>25063.829999999998</v>
      </c>
      <c r="P22" s="14"/>
      <c r="Q22" s="4" t="s">
        <v>12</v>
      </c>
      <c r="R22" s="24">
        <f>SUM(R7:R18)</f>
        <v>29250</v>
      </c>
    </row>
    <row r="23" spans="1:18" ht="15.75" thickBot="1" x14ac:dyDescent="0.3">
      <c r="A23" s="15" t="s">
        <v>33</v>
      </c>
      <c r="B23" s="3" t="s">
        <v>46</v>
      </c>
      <c r="C23" s="19">
        <v>9750</v>
      </c>
      <c r="D23" s="15" t="s">
        <v>33</v>
      </c>
      <c r="E23" s="3" t="s">
        <v>46</v>
      </c>
      <c r="F23" s="19">
        <v>8750</v>
      </c>
      <c r="G23" s="21"/>
      <c r="H23" s="21"/>
      <c r="I23" s="22">
        <f>I7-I22</f>
        <v>2085</v>
      </c>
      <c r="J23" s="20"/>
      <c r="K23" s="21"/>
      <c r="L23" s="25"/>
      <c r="M23" s="20"/>
      <c r="N23" s="21"/>
      <c r="O23" s="47" t="s">
        <v>121</v>
      </c>
      <c r="P23" s="28"/>
      <c r="Q23" s="29" t="s">
        <v>101</v>
      </c>
      <c r="R23" s="30">
        <v>28000</v>
      </c>
    </row>
    <row r="24" spans="1:18" x14ac:dyDescent="0.25">
      <c r="A24" s="14"/>
      <c r="B24" s="4" t="s">
        <v>12</v>
      </c>
      <c r="C24" s="36">
        <f>SUM(C7:C23)</f>
        <v>34535</v>
      </c>
      <c r="D24" s="14"/>
      <c r="E24" s="4" t="s">
        <v>12</v>
      </c>
      <c r="F24" s="17">
        <f>SUM(F7:F23)</f>
        <v>33395</v>
      </c>
    </row>
    <row r="25" spans="1:18" ht="15.75" customHeight="1" thickBot="1" x14ac:dyDescent="0.3">
      <c r="A25" s="20"/>
      <c r="B25" s="21" t="s">
        <v>65</v>
      </c>
      <c r="C25" s="37">
        <f>C5-C24</f>
        <v>1450</v>
      </c>
      <c r="D25" s="20"/>
      <c r="E25" s="21" t="s">
        <v>64</v>
      </c>
      <c r="F25" s="22">
        <f>F5-F24</f>
        <v>1190</v>
      </c>
      <c r="J25" s="42" t="s">
        <v>117</v>
      </c>
      <c r="K25" s="43"/>
      <c r="L25" s="43"/>
      <c r="Q25" s="34" t="s">
        <v>106</v>
      </c>
    </row>
    <row r="26" spans="1:18" x14ac:dyDescent="0.25">
      <c r="H26" s="1" t="s">
        <v>86</v>
      </c>
      <c r="J26" s="43"/>
      <c r="K26" s="43"/>
      <c r="L26" s="43"/>
      <c r="N26" s="48" t="s">
        <v>121</v>
      </c>
      <c r="P26" s="1" t="s">
        <v>99</v>
      </c>
      <c r="Q26" s="1" t="s">
        <v>118</v>
      </c>
    </row>
    <row r="27" spans="1:18" ht="29.25" customHeight="1" x14ac:dyDescent="0.25">
      <c r="C27" s="3"/>
      <c r="F27" s="5"/>
      <c r="G27" s="9" t="s">
        <v>3</v>
      </c>
      <c r="H27" s="39" t="s">
        <v>76</v>
      </c>
      <c r="I27" s="41"/>
      <c r="J27" s="41"/>
      <c r="K27" s="41"/>
      <c r="L27" s="41"/>
      <c r="N27" s="49" t="s">
        <v>122</v>
      </c>
      <c r="P27" s="1">
        <v>625</v>
      </c>
      <c r="Q27" s="1" t="s">
        <v>100</v>
      </c>
    </row>
    <row r="28" spans="1:18" x14ac:dyDescent="0.25">
      <c r="C28" s="3"/>
      <c r="F28" s="3"/>
      <c r="H28" s="51"/>
      <c r="I28" s="52"/>
      <c r="J28" s="52"/>
      <c r="K28" s="52"/>
      <c r="L28" s="53"/>
      <c r="N28" s="50"/>
      <c r="P28" s="1" t="s">
        <v>103</v>
      </c>
      <c r="Q28" s="1" t="s">
        <v>104</v>
      </c>
    </row>
    <row r="29" spans="1:18" x14ac:dyDescent="0.25">
      <c r="C29" s="3"/>
      <c r="H29" s="51"/>
      <c r="I29" s="54"/>
      <c r="J29" s="54"/>
      <c r="K29" s="54"/>
      <c r="L29" s="54"/>
      <c r="N29" s="50"/>
      <c r="P29" s="1">
        <v>30</v>
      </c>
      <c r="Q29" s="1" t="s">
        <v>105</v>
      </c>
    </row>
    <row r="30" spans="1:18" x14ac:dyDescent="0.25">
      <c r="C30" s="3"/>
      <c r="G30" s="10" t="s">
        <v>4</v>
      </c>
      <c r="H30" s="39" t="s">
        <v>77</v>
      </c>
      <c r="I30" s="40"/>
      <c r="J30" s="40"/>
      <c r="K30" s="40"/>
      <c r="L30" s="40"/>
      <c r="N30" s="50"/>
      <c r="P30" s="1">
        <v>1122</v>
      </c>
      <c r="Q30" s="1" t="s">
        <v>107</v>
      </c>
    </row>
    <row r="31" spans="1:18" x14ac:dyDescent="0.25">
      <c r="C31" s="3"/>
      <c r="G31" s="10" t="s">
        <v>5</v>
      </c>
      <c r="H31" s="39" t="s">
        <v>78</v>
      </c>
      <c r="I31" s="40"/>
      <c r="J31" s="40"/>
      <c r="K31" s="40"/>
      <c r="L31" s="40"/>
      <c r="N31" s="50"/>
      <c r="P31" s="1">
        <v>1267</v>
      </c>
      <c r="Q31" s="1" t="s">
        <v>108</v>
      </c>
    </row>
    <row r="32" spans="1:18" ht="33.75" customHeight="1" x14ac:dyDescent="0.25">
      <c r="C32" s="3"/>
      <c r="G32" s="10" t="s">
        <v>6</v>
      </c>
      <c r="H32" s="39" t="s">
        <v>119</v>
      </c>
      <c r="I32" s="40"/>
      <c r="J32" s="40"/>
      <c r="K32" s="40"/>
      <c r="L32" s="40"/>
    </row>
    <row r="33" spans="7:12" ht="33.75" customHeight="1" x14ac:dyDescent="0.25">
      <c r="G33" s="10" t="s">
        <v>7</v>
      </c>
      <c r="H33" s="39" t="s">
        <v>67</v>
      </c>
      <c r="I33" s="40"/>
      <c r="J33" s="40"/>
      <c r="K33" s="40"/>
      <c r="L33" s="40"/>
    </row>
    <row r="34" spans="7:12" ht="31.5" customHeight="1" x14ac:dyDescent="0.25">
      <c r="G34" s="10" t="s">
        <v>8</v>
      </c>
      <c r="H34" s="39" t="s">
        <v>120</v>
      </c>
      <c r="I34" s="41"/>
      <c r="J34" s="41"/>
      <c r="K34" s="41"/>
      <c r="L34" s="41"/>
    </row>
    <row r="35" spans="7:12" ht="33" customHeight="1" x14ac:dyDescent="0.25">
      <c r="G35" s="10" t="s">
        <v>9</v>
      </c>
      <c r="H35" s="39" t="s">
        <v>69</v>
      </c>
      <c r="I35" s="41"/>
      <c r="J35" s="41"/>
      <c r="K35" s="41"/>
      <c r="L35" s="41"/>
    </row>
    <row r="36" spans="7:12" ht="29.25" customHeight="1" x14ac:dyDescent="0.25">
      <c r="G36" s="10" t="s">
        <v>10</v>
      </c>
      <c r="H36" s="39" t="s">
        <v>109</v>
      </c>
      <c r="I36" s="41"/>
      <c r="J36" s="41"/>
      <c r="K36" s="41"/>
      <c r="L36" s="41"/>
    </row>
    <row r="37" spans="7:12" ht="35.25" customHeight="1" x14ac:dyDescent="0.25">
      <c r="G37" s="10" t="s">
        <v>123</v>
      </c>
      <c r="H37" s="39" t="s">
        <v>70</v>
      </c>
      <c r="I37" s="41"/>
      <c r="J37" s="41"/>
      <c r="K37" s="41"/>
      <c r="L37" s="41"/>
    </row>
    <row r="38" spans="7:12" ht="39.75" customHeight="1" x14ac:dyDescent="0.25">
      <c r="G38" s="10" t="s">
        <v>124</v>
      </c>
      <c r="H38" s="39" t="s">
        <v>110</v>
      </c>
      <c r="I38" s="41"/>
      <c r="J38" s="41"/>
      <c r="K38" s="41"/>
      <c r="L38" s="41"/>
    </row>
    <row r="39" spans="7:12" ht="30" customHeight="1" x14ac:dyDescent="0.25">
      <c r="G39" s="10" t="s">
        <v>125</v>
      </c>
      <c r="H39" s="39" t="s">
        <v>111</v>
      </c>
      <c r="I39" s="41"/>
      <c r="J39" s="41"/>
      <c r="K39" s="41"/>
      <c r="L39" s="41"/>
    </row>
    <row r="40" spans="7:12" x14ac:dyDescent="0.25">
      <c r="G40" s="10" t="s">
        <v>126</v>
      </c>
      <c r="H40" s="39" t="s">
        <v>79</v>
      </c>
      <c r="I40" s="41"/>
      <c r="J40" s="41"/>
      <c r="K40" s="41"/>
      <c r="L40" s="41"/>
    </row>
    <row r="41" spans="7:12" ht="43.5" customHeight="1" x14ac:dyDescent="0.25">
      <c r="G41" s="10" t="s">
        <v>127</v>
      </c>
      <c r="H41" s="39" t="s">
        <v>112</v>
      </c>
      <c r="I41" s="41"/>
      <c r="J41" s="41"/>
      <c r="K41" s="41"/>
      <c r="L41" s="41"/>
    </row>
  </sheetData>
  <mergeCells count="17">
    <mergeCell ref="N27:N31"/>
    <mergeCell ref="H39:L39"/>
    <mergeCell ref="H40:L40"/>
    <mergeCell ref="H41:L41"/>
    <mergeCell ref="H34:L34"/>
    <mergeCell ref="H35:L35"/>
    <mergeCell ref="H36:L36"/>
    <mergeCell ref="H37:L37"/>
    <mergeCell ref="H38:L38"/>
    <mergeCell ref="H33:L33"/>
    <mergeCell ref="H27:L27"/>
    <mergeCell ref="J25:L26"/>
    <mergeCell ref="H28:L28"/>
    <mergeCell ref="H29:L29"/>
    <mergeCell ref="H30:L30"/>
    <mergeCell ref="H31:L31"/>
    <mergeCell ref="H32:L32"/>
  </mergeCells>
  <pageMargins left="0.7" right="0.7" top="0.75" bottom="0.75" header="0.3" footer="0.3"/>
  <pageSetup paperSize="5" scale="4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Michigan Tech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Michael Holmes</dc:creator>
  <cp:lastModifiedBy>Rachel L. Wussow</cp:lastModifiedBy>
  <cp:lastPrinted>2012-02-28T21:19:10Z</cp:lastPrinted>
  <dcterms:created xsi:type="dcterms:W3CDTF">2010-01-11T16:31:29Z</dcterms:created>
  <dcterms:modified xsi:type="dcterms:W3CDTF">2012-03-01T14:30:12Z</dcterms:modified>
</cp:coreProperties>
</file>