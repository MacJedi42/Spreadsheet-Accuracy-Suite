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8910" yWindow="-195" windowWidth="12900" windowHeight="13080" firstSheet="3" activeTab="3"/>
  </bookViews>
  <sheets>
    <sheet name="Data" sheetId="1" state="hidden" r:id="rId1"/>
    <sheet name="Pivot Table" sheetId="15" state="hidden" r:id="rId2"/>
    <sheet name="Options" sheetId="2" state="hidden" r:id="rId3"/>
    <sheet name="Introduction" sheetId="22" r:id="rId4"/>
    <sheet name="Main" sheetId="3" r:id="rId5"/>
    <sheet name="Success" sheetId="20" r:id="rId6"/>
  </sheets>
  <definedNames>
    <definedName name="_xlnm._FilterDatabase" localSheetId="0" hidden="1">Data!$A$1:$Y$225</definedName>
    <definedName name="_xlnm.Print_Area" localSheetId="5">Success!$B$1:$T$38</definedName>
  </definedNames>
  <calcPr calcId="145621"/>
  <pivotCaches>
    <pivotCache cacheId="6" r:id="rId7"/>
  </pivotCaches>
</workbook>
</file>

<file path=xl/calcChain.xml><?xml version="1.0" encoding="utf-8"?>
<calcChain xmlns="http://schemas.openxmlformats.org/spreadsheetml/2006/main">
  <c r="A14" i="1" l="1"/>
  <c r="X14" i="1"/>
  <c r="Y14" i="1"/>
  <c r="A15" i="1"/>
  <c r="X15" i="1"/>
  <c r="Y15" i="1"/>
  <c r="A16" i="1"/>
  <c r="X16" i="1"/>
  <c r="Y16" i="1"/>
  <c r="A17" i="1"/>
  <c r="X17" i="1"/>
  <c r="Y17" i="1"/>
  <c r="S20" i="2"/>
  <c r="J14" i="2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8" i="1"/>
  <c r="Y18" i="1"/>
  <c r="X19" i="1"/>
  <c r="Y19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Y2" i="1"/>
  <c r="X2" i="1"/>
  <c r="A2" i="1"/>
  <c r="A3" i="1"/>
  <c r="A4" i="1"/>
  <c r="A5" i="1"/>
  <c r="A6" i="1"/>
  <c r="A7" i="1"/>
  <c r="A8" i="1"/>
  <c r="A9" i="1"/>
  <c r="A10" i="1"/>
  <c r="A11" i="1"/>
  <c r="A12" i="1"/>
  <c r="A13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S14" i="2" l="1"/>
  <c r="AM30" i="2" l="1"/>
  <c r="O14" i="2" l="1"/>
  <c r="L1" i="3" s="1"/>
  <c r="AM26" i="2"/>
  <c r="L1" i="20" l="1"/>
  <c r="X35" i="1" l="1"/>
  <c r="Y35" i="1"/>
  <c r="X36" i="1"/>
  <c r="Y36" i="1"/>
  <c r="X37" i="1"/>
  <c r="Y37" i="1"/>
  <c r="X38" i="1"/>
  <c r="Y38" i="1"/>
  <c r="X39" i="1"/>
  <c r="Y39" i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Y51" i="1"/>
  <c r="X52" i="1"/>
  <c r="Y52" i="1"/>
  <c r="X53" i="1"/>
  <c r="Y53" i="1"/>
  <c r="X54" i="1"/>
  <c r="Y54" i="1"/>
  <c r="X55" i="1"/>
  <c r="Y55" i="1"/>
  <c r="X56" i="1"/>
  <c r="Y56" i="1"/>
  <c r="X57" i="1"/>
  <c r="Y57" i="1"/>
  <c r="X58" i="1"/>
  <c r="Y58" i="1"/>
  <c r="X59" i="1"/>
  <c r="Y59" i="1"/>
  <c r="X60" i="1"/>
  <c r="Y60" i="1"/>
  <c r="X61" i="1"/>
  <c r="Y61" i="1"/>
  <c r="X62" i="1"/>
  <c r="Y62" i="1"/>
  <c r="X63" i="1"/>
  <c r="Y63" i="1"/>
  <c r="X64" i="1"/>
  <c r="Y64" i="1"/>
  <c r="X65" i="1"/>
  <c r="Y65" i="1"/>
  <c r="X66" i="1"/>
  <c r="Y66" i="1"/>
  <c r="X67" i="1"/>
  <c r="Y67" i="1"/>
  <c r="X68" i="1"/>
  <c r="Y68" i="1"/>
  <c r="X69" i="1"/>
  <c r="Y69" i="1"/>
  <c r="X70" i="1"/>
  <c r="Y70" i="1"/>
  <c r="X71" i="1"/>
  <c r="Y71" i="1"/>
  <c r="X72" i="1"/>
  <c r="Y72" i="1"/>
  <c r="X73" i="1"/>
  <c r="Y73" i="1"/>
  <c r="X74" i="1"/>
  <c r="Y74" i="1"/>
  <c r="X75" i="1"/>
  <c r="Y75" i="1"/>
  <c r="X76" i="1"/>
  <c r="Y76" i="1"/>
  <c r="X77" i="1"/>
  <c r="Y77" i="1"/>
  <c r="X78" i="1"/>
  <c r="Y78" i="1"/>
  <c r="X79" i="1"/>
  <c r="Y79" i="1"/>
  <c r="X80" i="1"/>
  <c r="Y80" i="1"/>
  <c r="X81" i="1"/>
  <c r="Y81" i="1"/>
  <c r="X82" i="1"/>
  <c r="Y82" i="1"/>
  <c r="X83" i="1"/>
  <c r="Y83" i="1"/>
  <c r="X84" i="1"/>
  <c r="Y84" i="1"/>
  <c r="X85" i="1"/>
  <c r="Y85" i="1"/>
  <c r="X86" i="1"/>
  <c r="Y86" i="1"/>
  <c r="X87" i="1"/>
  <c r="Y87" i="1"/>
  <c r="X88" i="1"/>
  <c r="Y88" i="1"/>
  <c r="X89" i="1"/>
  <c r="Y89" i="1"/>
  <c r="X90" i="1"/>
  <c r="Y90" i="1"/>
  <c r="X91" i="1"/>
  <c r="Y91" i="1"/>
  <c r="X92" i="1"/>
  <c r="Y92" i="1"/>
  <c r="X93" i="1"/>
  <c r="Y93" i="1"/>
  <c r="X94" i="1"/>
  <c r="Y94" i="1"/>
  <c r="X95" i="1"/>
  <c r="Y95" i="1"/>
  <c r="X96" i="1"/>
  <c r="Y96" i="1"/>
  <c r="X97" i="1"/>
  <c r="Y97" i="1"/>
  <c r="X98" i="1"/>
  <c r="Y98" i="1"/>
  <c r="X99" i="1"/>
  <c r="Y99" i="1"/>
  <c r="X100" i="1"/>
  <c r="Y100" i="1"/>
  <c r="X101" i="1"/>
  <c r="Y101" i="1"/>
  <c r="X102" i="1"/>
  <c r="Y102" i="1"/>
  <c r="X103" i="1"/>
  <c r="Y103" i="1"/>
  <c r="X104" i="1"/>
  <c r="Y104" i="1"/>
  <c r="X105" i="1"/>
  <c r="Y105" i="1"/>
  <c r="X106" i="1"/>
  <c r="Y106" i="1"/>
  <c r="X107" i="1"/>
  <c r="Y107" i="1"/>
  <c r="X108" i="1"/>
  <c r="Y108" i="1"/>
  <c r="X109" i="1"/>
  <c r="Y109" i="1"/>
  <c r="X110" i="1"/>
  <c r="Y110" i="1"/>
  <c r="X111" i="1"/>
  <c r="Y111" i="1"/>
  <c r="X112" i="1"/>
  <c r="Y112" i="1"/>
  <c r="X113" i="1"/>
  <c r="Y113" i="1"/>
  <c r="X114" i="1"/>
  <c r="Y114" i="1"/>
  <c r="X115" i="1"/>
  <c r="Y115" i="1"/>
  <c r="X116" i="1"/>
  <c r="Y116" i="1"/>
  <c r="X117" i="1"/>
  <c r="Y117" i="1"/>
  <c r="X118" i="1"/>
  <c r="Y118" i="1"/>
  <c r="X119" i="1"/>
  <c r="Y119" i="1"/>
  <c r="X120" i="1"/>
  <c r="Y120" i="1"/>
  <c r="X121" i="1"/>
  <c r="Y121" i="1"/>
  <c r="X122" i="1"/>
  <c r="Y122" i="1"/>
  <c r="X123" i="1"/>
  <c r="Y123" i="1"/>
  <c r="X124" i="1"/>
  <c r="Y124" i="1"/>
  <c r="X125" i="1"/>
  <c r="Y125" i="1"/>
  <c r="X126" i="1"/>
  <c r="Y126" i="1"/>
  <c r="X127" i="1"/>
  <c r="Y127" i="1"/>
  <c r="X128" i="1"/>
  <c r="Y128" i="1"/>
  <c r="X129" i="1"/>
  <c r="Y129" i="1"/>
  <c r="X130" i="1"/>
  <c r="Y130" i="1"/>
  <c r="X131" i="1"/>
  <c r="Y131" i="1"/>
  <c r="X132" i="1"/>
  <c r="Y132" i="1"/>
  <c r="X133" i="1"/>
  <c r="Y133" i="1"/>
  <c r="X134" i="1"/>
  <c r="Y134" i="1"/>
  <c r="X135" i="1"/>
  <c r="Y135" i="1"/>
  <c r="X136" i="1"/>
  <c r="Y136" i="1"/>
  <c r="X137" i="1"/>
  <c r="Y137" i="1"/>
  <c r="X138" i="1"/>
  <c r="Y138" i="1"/>
  <c r="X139" i="1"/>
  <c r="Y139" i="1"/>
  <c r="X140" i="1"/>
  <c r="Y140" i="1"/>
  <c r="X141" i="1"/>
  <c r="Y141" i="1"/>
  <c r="X142" i="1"/>
  <c r="Y142" i="1"/>
  <c r="X143" i="1"/>
  <c r="Y143" i="1"/>
  <c r="X144" i="1"/>
  <c r="Y144" i="1"/>
  <c r="X145" i="1"/>
  <c r="Y145" i="1"/>
  <c r="X146" i="1"/>
  <c r="Y146" i="1"/>
  <c r="X147" i="1"/>
  <c r="Y147" i="1"/>
  <c r="X148" i="1"/>
  <c r="Y148" i="1"/>
  <c r="X149" i="1"/>
  <c r="Y149" i="1"/>
  <c r="X150" i="1"/>
  <c r="Y150" i="1"/>
  <c r="X151" i="1"/>
  <c r="Y151" i="1"/>
  <c r="X152" i="1"/>
  <c r="Y152" i="1"/>
  <c r="X153" i="1"/>
  <c r="Y153" i="1"/>
  <c r="X154" i="1"/>
  <c r="Y154" i="1"/>
  <c r="X155" i="1"/>
  <c r="Y155" i="1"/>
  <c r="X156" i="1"/>
  <c r="Y156" i="1"/>
  <c r="X157" i="1"/>
  <c r="Y157" i="1"/>
  <c r="X158" i="1"/>
  <c r="Y158" i="1"/>
  <c r="X159" i="1"/>
  <c r="Y159" i="1"/>
  <c r="X160" i="1"/>
  <c r="Y160" i="1"/>
  <c r="X161" i="1"/>
  <c r="Y161" i="1"/>
  <c r="X162" i="1"/>
  <c r="Y162" i="1"/>
  <c r="X163" i="1"/>
  <c r="Y163" i="1"/>
  <c r="X164" i="1"/>
  <c r="Y164" i="1"/>
  <c r="X165" i="1"/>
  <c r="Y165" i="1"/>
  <c r="X166" i="1"/>
  <c r="Y166" i="1"/>
  <c r="X167" i="1"/>
  <c r="Y167" i="1"/>
  <c r="X168" i="1"/>
  <c r="Y168" i="1"/>
  <c r="X169" i="1"/>
  <c r="Y169" i="1"/>
  <c r="X170" i="1"/>
  <c r="Y170" i="1"/>
  <c r="X171" i="1"/>
  <c r="Y171" i="1"/>
  <c r="X172" i="1"/>
  <c r="Y172" i="1"/>
  <c r="X173" i="1"/>
  <c r="Y173" i="1"/>
  <c r="X174" i="1"/>
  <c r="Y174" i="1"/>
  <c r="X175" i="1"/>
  <c r="Y175" i="1"/>
  <c r="X176" i="1"/>
  <c r="Y176" i="1"/>
  <c r="X177" i="1"/>
  <c r="Y177" i="1"/>
  <c r="X178" i="1"/>
  <c r="Y178" i="1"/>
  <c r="X179" i="1"/>
  <c r="Y179" i="1"/>
  <c r="X180" i="1"/>
  <c r="Y180" i="1"/>
  <c r="X181" i="1"/>
  <c r="Y181" i="1"/>
  <c r="X182" i="1"/>
  <c r="Y182" i="1"/>
  <c r="X183" i="1"/>
  <c r="Y183" i="1"/>
  <c r="X184" i="1"/>
  <c r="Y184" i="1"/>
  <c r="X185" i="1"/>
  <c r="Y185" i="1"/>
  <c r="X186" i="1"/>
  <c r="Y186" i="1"/>
  <c r="X187" i="1"/>
  <c r="Y187" i="1"/>
  <c r="X188" i="1"/>
  <c r="Y188" i="1"/>
  <c r="X189" i="1"/>
  <c r="Y189" i="1"/>
  <c r="X190" i="1"/>
  <c r="Y190" i="1"/>
  <c r="X191" i="1"/>
  <c r="Y191" i="1"/>
  <c r="X192" i="1"/>
  <c r="Y192" i="1"/>
  <c r="X193" i="1"/>
  <c r="Y193" i="1"/>
  <c r="X194" i="1"/>
  <c r="Y194" i="1"/>
  <c r="X195" i="1"/>
  <c r="Y195" i="1"/>
  <c r="X196" i="1"/>
  <c r="Y196" i="1"/>
  <c r="X197" i="1"/>
  <c r="Y197" i="1"/>
  <c r="X198" i="1"/>
  <c r="Y198" i="1"/>
  <c r="X199" i="1"/>
  <c r="Y199" i="1"/>
  <c r="X200" i="1"/>
  <c r="Y200" i="1"/>
  <c r="X201" i="1"/>
  <c r="Y201" i="1"/>
  <c r="X202" i="1"/>
  <c r="Y202" i="1"/>
  <c r="X203" i="1"/>
  <c r="Y203" i="1"/>
  <c r="X204" i="1"/>
  <c r="Y204" i="1"/>
  <c r="X205" i="1"/>
  <c r="Y205" i="1"/>
  <c r="X206" i="1"/>
  <c r="Y206" i="1"/>
  <c r="X207" i="1"/>
  <c r="Y207" i="1"/>
  <c r="X208" i="1"/>
  <c r="Y208" i="1"/>
  <c r="X209" i="1"/>
  <c r="Y209" i="1"/>
  <c r="X210" i="1"/>
  <c r="Y210" i="1"/>
  <c r="X211" i="1"/>
  <c r="Y211" i="1"/>
  <c r="X212" i="1"/>
  <c r="Y212" i="1"/>
  <c r="X213" i="1"/>
  <c r="Y213" i="1"/>
  <c r="X214" i="1"/>
  <c r="Y214" i="1"/>
  <c r="X215" i="1"/>
  <c r="Y215" i="1"/>
  <c r="X216" i="1"/>
  <c r="Y216" i="1"/>
  <c r="X217" i="1"/>
  <c r="Y217" i="1"/>
  <c r="X218" i="1"/>
  <c r="Y218" i="1"/>
  <c r="X219" i="1"/>
  <c r="Y219" i="1"/>
  <c r="X220" i="1"/>
  <c r="Y220" i="1"/>
  <c r="X221" i="1"/>
  <c r="Y221" i="1"/>
  <c r="X222" i="1"/>
  <c r="Y222" i="1"/>
  <c r="X223" i="1"/>
  <c r="Y223" i="1"/>
  <c r="X224" i="1"/>
  <c r="Y224" i="1"/>
  <c r="X225" i="1"/>
  <c r="Y225" i="1"/>
  <c r="Y34" i="1"/>
  <c r="X34" i="1"/>
  <c r="AM32" i="2" l="1"/>
  <c r="AM24" i="2"/>
  <c r="AM16" i="2"/>
  <c r="AM14" i="2"/>
  <c r="AM18" i="2" l="1"/>
  <c r="AM20" i="2"/>
  <c r="A61" i="1"/>
  <c r="A62" i="1"/>
  <c r="A63" i="1"/>
  <c r="A64" i="1"/>
  <c r="A65" i="1"/>
  <c r="S19" i="2" l="1"/>
  <c r="S18" i="2"/>
  <c r="S17" i="2"/>
  <c r="S16" i="2"/>
  <c r="S15" i="2"/>
  <c r="E14" i="2" l="1"/>
  <c r="J225" i="1"/>
  <c r="J223" i="1"/>
  <c r="J222" i="1"/>
  <c r="J221" i="1"/>
  <c r="J219" i="1"/>
  <c r="J218" i="1"/>
  <c r="J217" i="1"/>
  <c r="J215" i="1"/>
  <c r="J214" i="1"/>
  <c r="J213" i="1"/>
  <c r="J211" i="1"/>
  <c r="J210" i="1"/>
  <c r="J209" i="1"/>
  <c r="J206" i="1"/>
  <c r="J201" i="1"/>
  <c r="J195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B20" i="2"/>
  <c r="AH20" i="2"/>
  <c r="Z20" i="2"/>
  <c r="AJ20" i="2"/>
  <c r="AD20" i="2"/>
  <c r="U20" i="2"/>
  <c r="Y20" i="2"/>
  <c r="W20" i="2"/>
  <c r="AJ16" i="2"/>
  <c r="T20" i="2"/>
  <c r="AF20" i="2"/>
  <c r="V20" i="2" l="1"/>
  <c r="AK20" i="2"/>
  <c r="AE20" i="2"/>
  <c r="AA20" i="2"/>
  <c r="AG20" i="2"/>
  <c r="AC20" i="2"/>
  <c r="X20" i="2"/>
  <c r="AI20" i="2"/>
  <c r="AM22" i="2"/>
  <c r="AM28" i="2"/>
  <c r="D1" i="20"/>
  <c r="D1" i="3"/>
  <c r="Z17" i="2"/>
  <c r="AB16" i="2"/>
  <c r="T15" i="2"/>
  <c r="U19" i="2"/>
  <c r="Z16" i="2"/>
  <c r="AF16" i="2"/>
  <c r="AJ18" i="2"/>
  <c r="AF19" i="2"/>
  <c r="AF15" i="2"/>
  <c r="Y17" i="2"/>
  <c r="U14" i="2"/>
  <c r="T19" i="2"/>
  <c r="AF18" i="2"/>
  <c r="W17" i="2"/>
  <c r="AD16" i="2"/>
  <c r="AH16" i="2"/>
  <c r="AF17" i="2"/>
  <c r="T14" i="2"/>
  <c r="U18" i="2"/>
  <c r="Z15" i="2"/>
  <c r="AJ19" i="2"/>
  <c r="Z19" i="2"/>
  <c r="AD19" i="2"/>
  <c r="AH15" i="2"/>
  <c r="AB17" i="2"/>
  <c r="Y18" i="2"/>
  <c r="AD18" i="2"/>
  <c r="Z14" i="2"/>
  <c r="AD14" i="2"/>
  <c r="Y19" i="2"/>
  <c r="AH17" i="2"/>
  <c r="AB19" i="2"/>
  <c r="AB14" i="2"/>
  <c r="AD15" i="2"/>
  <c r="W15" i="2"/>
  <c r="W14" i="2"/>
  <c r="U15" i="2"/>
  <c r="Y16" i="2"/>
  <c r="AJ15" i="2"/>
  <c r="AF14" i="2"/>
  <c r="W19" i="2"/>
  <c r="AH19" i="2"/>
  <c r="AH14" i="2"/>
  <c r="Y14" i="2"/>
  <c r="U16" i="2"/>
  <c r="AD17" i="2"/>
  <c r="AJ14" i="2"/>
  <c r="AB18" i="2"/>
  <c r="Y15" i="2"/>
  <c r="U17" i="2"/>
  <c r="T18" i="2"/>
  <c r="T16" i="2"/>
  <c r="AH18" i="2"/>
  <c r="AB15" i="2"/>
  <c r="W18" i="2"/>
  <c r="Z18" i="2"/>
  <c r="W16" i="2"/>
  <c r="AJ17" i="2"/>
  <c r="T17" i="2"/>
  <c r="AI15" i="2" l="1"/>
  <c r="AI14" i="2"/>
  <c r="V18" i="2"/>
  <c r="AK16" i="2"/>
  <c r="AG16" i="2"/>
  <c r="AE16" i="2"/>
  <c r="AC16" i="2"/>
  <c r="AA16" i="2"/>
  <c r="X16" i="2"/>
  <c r="AK15" i="2"/>
  <c r="AE15" i="2"/>
  <c r="AA15" i="2"/>
  <c r="AG15" i="2"/>
  <c r="AC15" i="2"/>
  <c r="X15" i="2"/>
  <c r="AK19" i="2"/>
  <c r="AE19" i="2"/>
  <c r="AA19" i="2"/>
  <c r="AG19" i="2"/>
  <c r="AC19" i="2"/>
  <c r="X19" i="2"/>
  <c r="AI18" i="2"/>
  <c r="V17" i="2"/>
  <c r="AI19" i="2"/>
  <c r="V15" i="2"/>
  <c r="AG17" i="2"/>
  <c r="AC17" i="2"/>
  <c r="X17" i="2"/>
  <c r="AK17" i="2"/>
  <c r="AE17" i="2"/>
  <c r="AA17" i="2"/>
  <c r="AK14" i="2"/>
  <c r="AG14" i="2"/>
  <c r="AE14" i="2"/>
  <c r="AC14" i="2"/>
  <c r="AA14" i="2"/>
  <c r="X14" i="2"/>
  <c r="AI16" i="2"/>
  <c r="V14" i="2"/>
  <c r="AK18" i="2"/>
  <c r="AG18" i="2"/>
  <c r="AE18" i="2"/>
  <c r="AC18" i="2"/>
  <c r="AA18" i="2"/>
  <c r="X18" i="2"/>
  <c r="V19" i="2"/>
  <c r="AI17" i="2"/>
  <c r="V16" i="2"/>
</calcChain>
</file>

<file path=xl/sharedStrings.xml><?xml version="1.0" encoding="utf-8"?>
<sst xmlns="http://schemas.openxmlformats.org/spreadsheetml/2006/main" count="844" uniqueCount="111">
  <si>
    <t>Program</t>
  </si>
  <si>
    <t>Program Completers</t>
  </si>
  <si>
    <t>Respondents</t>
  </si>
  <si>
    <t>Respondents Employed, Related To Training</t>
  </si>
  <si>
    <t>Median Hourly Wage of Emp., Related To Training</t>
  </si>
  <si>
    <t>Respondents Employed, Unrelated To Training</t>
  </si>
  <si>
    <t>Total Employed</t>
  </si>
  <si>
    <t>Unemployed, Seeking Employment</t>
  </si>
  <si>
    <t>Unemployed, Not Seeking Employment</t>
  </si>
  <si>
    <t>Military Full-time</t>
  </si>
  <si>
    <t>Military  Part-Time</t>
  </si>
  <si>
    <t>Total in Military</t>
  </si>
  <si>
    <t>Continuing Education (Secondary or Post-Secondary)</t>
  </si>
  <si>
    <t>Total in Apprenticeships</t>
  </si>
  <si>
    <t>Took State Licensing Exam</t>
  </si>
  <si>
    <t>Passed State Licensing Exam</t>
  </si>
  <si>
    <t>Instructional Program Met Educational Goals</t>
  </si>
  <si>
    <t>Accounting</t>
  </si>
  <si>
    <t>Automotive Technology</t>
  </si>
  <si>
    <t>Business</t>
  </si>
  <si>
    <t>Emergency Medical Services</t>
  </si>
  <si>
    <t>Nurse Aide</t>
  </si>
  <si>
    <t>Practical Nursing</t>
  </si>
  <si>
    <t>Registered Nursing</t>
  </si>
  <si>
    <t>Computer Information Systems</t>
  </si>
  <si>
    <t>Year</t>
  </si>
  <si>
    <t xml:space="preserve">Priority Campus </t>
  </si>
  <si>
    <t>Apprenticeship related to FRCC training</t>
  </si>
  <si>
    <t>Apprenticeship unrelated to FRCC training</t>
  </si>
  <si>
    <t>Row Labels</t>
  </si>
  <si>
    <t>Grand Total</t>
  </si>
  <si>
    <t>AVAILABLE YEARS</t>
  </si>
  <si>
    <t>AVAILABLE PROGRAMS</t>
  </si>
  <si>
    <t>AVAILABLE CAMPUSES</t>
  </si>
  <si>
    <t>SELECTED CAMPUS</t>
  </si>
  <si>
    <t>SELECTED YEAR</t>
  </si>
  <si>
    <t>SELECTED PROGRAM</t>
  </si>
  <si>
    <t>CHART DATA</t>
  </si>
  <si>
    <t>COMPLETES</t>
  </si>
  <si>
    <t>RESPONDENTS</t>
  </si>
  <si>
    <t>RESPONSE RATE</t>
  </si>
  <si>
    <t>MEDIAN SALARY</t>
  </si>
  <si>
    <t>TOOK STATE LICENSING EXAM</t>
  </si>
  <si>
    <t>TOOK EXAM %</t>
  </si>
  <si>
    <t>PASSED LICENSING EXAM</t>
  </si>
  <si>
    <t>PASSED EXAM %</t>
  </si>
  <si>
    <t>Values</t>
  </si>
  <si>
    <t>Sum of Passed State Licensing Exam</t>
  </si>
  <si>
    <t>Sum of Took State Licensing Exam</t>
  </si>
  <si>
    <t>Sum of Total in Apprenticeships</t>
  </si>
  <si>
    <t>Sum of Continuing Education (Secondary or Post-Secondary)</t>
  </si>
  <si>
    <t>Sum of Total in Military</t>
  </si>
  <si>
    <t>Sum of Total Employed</t>
  </si>
  <si>
    <t>Sum of Median Hourly Wage of Emp., Related To Training</t>
  </si>
  <si>
    <t>Sum of Respondents</t>
  </si>
  <si>
    <t>Sum of Program Completers</t>
  </si>
  <si>
    <t>CONTINUING ED</t>
  </si>
  <si>
    <t>CONTIN ED %</t>
  </si>
  <si>
    <t xml:space="preserve"> EMPLOYED</t>
  </si>
  <si>
    <t>EMPLOYED %</t>
  </si>
  <si>
    <t>MILITARY</t>
  </si>
  <si>
    <t>MILITARY%</t>
  </si>
  <si>
    <t>APPRENTICESHIPS</t>
  </si>
  <si>
    <t>APPRENTICESHIP %</t>
  </si>
  <si>
    <t>INSTRUCTIONAL GOALS</t>
  </si>
  <si>
    <t>INSTRUCTIONALGOALS MET %</t>
  </si>
  <si>
    <t>Completers Chart Title</t>
  </si>
  <si>
    <t>Response Rate Chart Title</t>
  </si>
  <si>
    <t>Employed  Chart Title</t>
  </si>
  <si>
    <t xml:space="preserve"> Military Chart Title</t>
  </si>
  <si>
    <t>Continuing Education</t>
  </si>
  <si>
    <t>Apprenticeships</t>
  </si>
  <si>
    <t>Passed Exam</t>
  </si>
  <si>
    <t>Instructional Goals Met</t>
  </si>
  <si>
    <t xml:space="preserve"> Average Hourly Wage Chart Title</t>
  </si>
  <si>
    <t>State Licensing Exam</t>
  </si>
  <si>
    <t>Boulder County Campus</t>
  </si>
  <si>
    <t>Larimer Campus</t>
  </si>
  <si>
    <t>Online Campus</t>
  </si>
  <si>
    <t>Westminster Campus</t>
  </si>
  <si>
    <t>Because the listed priority campus is based on the last term prior to graduation, it may not necessarily reflect where the majority of a degree was earned.</t>
  </si>
  <si>
    <t>Sum of Instructional Program Met Educational Goals</t>
  </si>
  <si>
    <t>If less than 5 respondents, no data reported.</t>
  </si>
  <si>
    <t>*</t>
  </si>
  <si>
    <t xml:space="preserve">A priority campus reflects where the majority of hours are earned per term. </t>
  </si>
  <si>
    <r>
      <rPr>
        <i/>
        <sz val="14"/>
        <color theme="1" tint="0.249977111117893"/>
        <rFont val="Calibri"/>
        <family val="2"/>
        <scheme val="minor"/>
      </rPr>
      <t>*</t>
    </r>
    <r>
      <rPr>
        <i/>
        <sz val="11"/>
        <color theme="1" tint="0.249977111117893"/>
        <rFont val="Calibri"/>
        <family val="2"/>
        <scheme val="minor"/>
      </rPr>
      <t>Priority campus may not actually have the program in existence</t>
    </r>
  </si>
  <si>
    <r>
      <t>*</t>
    </r>
    <r>
      <rPr>
        <i/>
        <sz val="11"/>
        <color theme="1" tint="0.249977111117893"/>
        <rFont val="Calibri"/>
        <family val="2"/>
        <scheme val="minor"/>
      </rPr>
      <t>Priority campus may not actually have the program in existence</t>
    </r>
  </si>
  <si>
    <r>
      <t xml:space="preserve">Introduction to the VE-135 Interactive Dashboard by </t>
    </r>
    <r>
      <rPr>
        <b/>
        <u/>
        <sz val="14"/>
        <color theme="1"/>
        <rFont val="Calibri"/>
        <family val="2"/>
        <scheme val="minor"/>
      </rPr>
      <t>Campus</t>
    </r>
  </si>
  <si>
    <t>1. At any time between October 1st and December 31st of (the preceding year) were you:</t>
  </si>
  <si>
    <t>Employed in an occupation related to your FRCC training</t>
  </si>
  <si>
    <t>Employed in an occupation NOT related to your FRCC training</t>
  </si>
  <si>
    <t>Unemployed and actively seeking employment</t>
  </si>
  <si>
    <t>Unemployed and NOT actively seeking employment</t>
  </si>
  <si>
    <t>2. In order to help future students interested in your program know what they</t>
  </si>
  <si>
    <t>might expect, what is your hourly wage? (You will not be identified with this</t>
  </si>
  <si>
    <t>Information!)</t>
  </si>
  <si>
    <t>3. Since completing your program last year (or as part of your graduation</t>
  </si>
  <si>
    <t>requirements), have you taken a state licensing test or an industry certification</t>
  </si>
  <si>
    <t>test related to your program</t>
  </si>
  <si>
    <t>Example of test might be (but not limited to) National Registry of EMT</t>
  </si>
  <si>
    <t>(the name of test is customized to the program of the graduate)</t>
  </si>
  <si>
    <t>4. If Yes, did you meet the requirements for licensure/certification?</t>
  </si>
  <si>
    <t>5. At any time between October 1st and December 31st of (the preceding year) were you:</t>
  </si>
  <si>
    <t xml:space="preserve">Participating in an apprenticeship or volunteer program related to the </t>
  </si>
  <si>
    <t>program you completed last year?</t>
  </si>
  <si>
    <t xml:space="preserve">Participating in an apprenticeship or volunteer program NOT related to the </t>
  </si>
  <si>
    <t>Did not participate in apprenticeship or volunteer program.</t>
  </si>
  <si>
    <t>6. At any time between October 1st and December 31st of (the preceding year) were you</t>
  </si>
  <si>
    <t>Continuing your secondary (high school) education</t>
  </si>
  <si>
    <t>Continuing your post-secondary (college) education</t>
  </si>
  <si>
    <t>Not currently continuing your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</si>
</sst>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61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 tint="0.249977111117893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24"/>
      <color theme="1" tint="0.249977111117893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indexed="2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E97BF"/>
        <bgColor indexed="64"/>
      </patternFill>
    </fill>
    <fill>
      <patternFill patternType="solid">
        <fgColor theme="2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rgb="FFB2B2B2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rgb="FFB2B2B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indexed="64"/>
      </left>
      <right/>
      <top style="thin">
        <color rgb="FFB2B2B2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442">
    <xf numFmtId="0" fontId="0" fillId="0" borderId="0" xfId="0"/>
    <xf numFmtId="0" fontId="0" fillId="0" borderId="2" xfId="0" applyBorder="1"/>
    <xf numFmtId="164" fontId="7" fillId="0" borderId="8" xfId="1" applyNumberFormat="1" applyFont="1" applyFill="1" applyBorder="1" applyAlignment="1">
      <alignment horizontal="center" vertical="center" wrapText="1"/>
    </xf>
    <xf numFmtId="164" fontId="5" fillId="5" borderId="8" xfId="1" applyNumberFormat="1" applyFont="1" applyFill="1" applyBorder="1" applyAlignment="1">
      <alignment horizontal="center" vertical="center" wrapText="1"/>
    </xf>
    <xf numFmtId="164" fontId="5" fillId="5" borderId="9" xfId="1" applyNumberFormat="1" applyFont="1" applyFill="1" applyBorder="1" applyAlignment="1">
      <alignment horizontal="center" vertical="center" wrapText="1"/>
    </xf>
    <xf numFmtId="164" fontId="7" fillId="6" borderId="8" xfId="1" applyNumberFormat="1" applyFont="1" applyFill="1" applyBorder="1" applyAlignment="1">
      <alignment horizontal="center" vertical="center" wrapText="1"/>
    </xf>
    <xf numFmtId="164" fontId="7" fillId="0" borderId="9" xfId="1" applyNumberFormat="1" applyFont="1" applyFill="1" applyBorder="1" applyAlignment="1">
      <alignment horizontal="center" vertical="center" wrapText="1"/>
    </xf>
    <xf numFmtId="3" fontId="5" fillId="5" borderId="7" xfId="4" applyNumberFormat="1" applyFont="1" applyFill="1" applyBorder="1" applyAlignment="1">
      <alignment horizontal="center" vertical="center" wrapText="1"/>
    </xf>
    <xf numFmtId="3" fontId="5" fillId="5" borderId="8" xfId="4" applyNumberFormat="1" applyFont="1" applyFill="1" applyBorder="1" applyAlignment="1">
      <alignment horizontal="center" vertical="center" wrapText="1"/>
    </xf>
    <xf numFmtId="3" fontId="7" fillId="0" borderId="8" xfId="4" applyNumberFormat="1" applyFont="1" applyFill="1" applyBorder="1" applyAlignment="1">
      <alignment horizontal="center" vertical="center" wrapText="1"/>
    </xf>
    <xf numFmtId="3" fontId="7" fillId="6" borderId="8" xfId="4" applyNumberFormat="1" applyFont="1" applyFill="1" applyBorder="1" applyAlignment="1">
      <alignment horizontal="center" vertical="center" wrapText="1"/>
    </xf>
    <xf numFmtId="3" fontId="5" fillId="5" borderId="9" xfId="4" applyNumberFormat="1" applyFont="1" applyFill="1" applyBorder="1" applyAlignment="1">
      <alignment horizontal="center" vertical="center" wrapText="1"/>
    </xf>
    <xf numFmtId="3" fontId="5" fillId="5" borderId="10" xfId="4" applyNumberFormat="1" applyFont="1" applyFill="1" applyBorder="1" applyAlignment="1">
      <alignment horizontal="center" vertical="center" wrapText="1"/>
    </xf>
    <xf numFmtId="3" fontId="5" fillId="5" borderId="11" xfId="4" applyNumberFormat="1" applyFont="1" applyFill="1" applyBorder="1" applyAlignment="1">
      <alignment horizontal="center" vertical="center" wrapText="1"/>
    </xf>
    <xf numFmtId="3" fontId="5" fillId="0" borderId="8" xfId="4" applyNumberFormat="1" applyFont="1" applyFill="1" applyBorder="1" applyAlignment="1">
      <alignment horizontal="center" vertical="center" wrapText="1"/>
    </xf>
    <xf numFmtId="0" fontId="3" fillId="0" borderId="8" xfId="4" applyBorder="1" applyAlignment="1">
      <alignment horizontal="center" vertical="center"/>
    </xf>
    <xf numFmtId="3" fontId="5" fillId="3" borderId="8" xfId="3" applyNumberFormat="1" applyFont="1" applyBorder="1" applyAlignment="1">
      <alignment horizontal="center" vertical="center" wrapText="1"/>
    </xf>
    <xf numFmtId="3" fontId="5" fillId="3" borderId="9" xfId="3" applyNumberFormat="1" applyFont="1" applyBorder="1" applyAlignment="1">
      <alignment horizontal="center" vertical="center" wrapText="1"/>
    </xf>
    <xf numFmtId="164" fontId="3" fillId="0" borderId="7" xfId="4" applyNumberFormat="1" applyFont="1" applyBorder="1" applyAlignment="1">
      <alignment horizontal="center" vertical="center" wrapText="1"/>
    </xf>
    <xf numFmtId="164" fontId="3" fillId="0" borderId="8" xfId="4" applyNumberFormat="1" applyFont="1" applyBorder="1" applyAlignment="1">
      <alignment horizontal="center" vertical="center" wrapText="1"/>
    </xf>
    <xf numFmtId="164" fontId="5" fillId="0" borderId="8" xfId="1" applyNumberFormat="1" applyFont="1" applyFill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164" fontId="3" fillId="7" borderId="7" xfId="0" applyNumberFormat="1" applyFont="1" applyFill="1" applyBorder="1" applyAlignment="1">
      <alignment horizontal="center"/>
    </xf>
    <xf numFmtId="164" fontId="3" fillId="0" borderId="8" xfId="0" applyNumberFormat="1" applyFont="1" applyFill="1" applyBorder="1" applyAlignment="1">
      <alignment horizontal="center"/>
    </xf>
    <xf numFmtId="164" fontId="3" fillId="7" borderId="8" xfId="0" applyNumberFormat="1" applyFont="1" applyFill="1" applyBorder="1" applyAlignment="1">
      <alignment horizontal="center"/>
    </xf>
    <xf numFmtId="164" fontId="3" fillId="0" borderId="8" xfId="4" applyNumberFormat="1" applyBorder="1" applyAlignment="1">
      <alignment horizontal="center" vertical="center" wrapText="1"/>
    </xf>
    <xf numFmtId="164" fontId="3" fillId="3" borderId="9" xfId="3" applyNumberFormat="1" applyFont="1" applyBorder="1" applyAlignment="1">
      <alignment horizontal="center"/>
    </xf>
    <xf numFmtId="164" fontId="3" fillId="0" borderId="10" xfId="4" applyNumberFormat="1" applyFont="1" applyBorder="1" applyAlignment="1">
      <alignment horizontal="center" vertical="center" wrapText="1"/>
    </xf>
    <xf numFmtId="164" fontId="5" fillId="5" borderId="7" xfId="1" applyNumberFormat="1" applyFont="1" applyFill="1" applyBorder="1" applyAlignment="1">
      <alignment horizontal="center" vertical="center" wrapText="1"/>
    </xf>
    <xf numFmtId="164" fontId="5" fillId="3" borderId="8" xfId="3" applyNumberFormat="1" applyFont="1" applyBorder="1" applyAlignment="1">
      <alignment horizontal="center" vertical="center" wrapText="1"/>
    </xf>
    <xf numFmtId="164" fontId="3" fillId="5" borderId="8" xfId="0" applyNumberFormat="1" applyFont="1" applyFill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3" borderId="8" xfId="3" applyNumberFormat="1" applyFont="1" applyBorder="1" applyAlignment="1">
      <alignment horizontal="center" vertical="center" wrapText="1"/>
    </xf>
    <xf numFmtId="164" fontId="3" fillId="3" borderId="8" xfId="3" applyNumberFormat="1" applyFont="1" applyBorder="1" applyAlignment="1">
      <alignment horizontal="center"/>
    </xf>
    <xf numFmtId="0" fontId="0" fillId="0" borderId="5" xfId="0" applyBorder="1"/>
    <xf numFmtId="0" fontId="0" fillId="0" borderId="4" xfId="0" applyBorder="1"/>
    <xf numFmtId="3" fontId="3" fillId="5" borderId="8" xfId="0" applyNumberFormat="1" applyFont="1" applyFill="1" applyBorder="1" applyAlignment="1">
      <alignment horizontal="center" vertical="center" wrapText="1"/>
    </xf>
    <xf numFmtId="3" fontId="3" fillId="3" borderId="8" xfId="3" applyNumberFormat="1" applyFont="1" applyBorder="1" applyAlignment="1">
      <alignment horizontal="center" vertical="center" wrapText="1"/>
    </xf>
    <xf numFmtId="3" fontId="3" fillId="3" borderId="10" xfId="3" applyNumberFormat="1" applyFont="1" applyBorder="1" applyAlignment="1">
      <alignment horizontal="center" vertical="center" wrapText="1"/>
    </xf>
    <xf numFmtId="1" fontId="3" fillId="0" borderId="8" xfId="0" applyNumberFormat="1" applyFont="1" applyFill="1" applyBorder="1" applyAlignment="1">
      <alignment horizontal="center"/>
    </xf>
    <xf numFmtId="1" fontId="3" fillId="7" borderId="8" xfId="0" applyNumberFormat="1" applyFont="1" applyFill="1" applyBorder="1" applyAlignment="1">
      <alignment horizontal="center"/>
    </xf>
    <xf numFmtId="1" fontId="3" fillId="3" borderId="8" xfId="3" applyNumberFormat="1" applyFont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3" borderId="8" xfId="3" applyFont="1" applyBorder="1" applyAlignment="1">
      <alignment horizontal="center"/>
    </xf>
    <xf numFmtId="3" fontId="7" fillId="6" borderId="14" xfId="4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3" borderId="8" xfId="3" applyFont="1" applyBorder="1" applyAlignment="1">
      <alignment horizontal="center" vertical="center" wrapText="1"/>
    </xf>
    <xf numFmtId="3" fontId="7" fillId="0" borderId="14" xfId="4" applyNumberFormat="1" applyFont="1" applyFill="1" applyBorder="1" applyAlignment="1">
      <alignment horizontal="center" vertical="center" wrapText="1"/>
    </xf>
    <xf numFmtId="0" fontId="3" fillId="0" borderId="14" xfId="4" applyBorder="1" applyAlignment="1">
      <alignment horizontal="center" vertical="center"/>
    </xf>
    <xf numFmtId="3" fontId="5" fillId="5" borderId="14" xfId="4" applyNumberFormat="1" applyFont="1" applyFill="1" applyBorder="1" applyAlignment="1">
      <alignment horizontal="center" vertical="center" wrapText="1"/>
    </xf>
    <xf numFmtId="3" fontId="5" fillId="0" borderId="14" xfId="4" applyNumberFormat="1" applyFont="1" applyFill="1" applyBorder="1" applyAlignment="1">
      <alignment horizontal="center" vertical="center" wrapText="1"/>
    </xf>
    <xf numFmtId="3" fontId="5" fillId="3" borderId="14" xfId="3" applyNumberFormat="1" applyFont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3" borderId="14" xfId="3" applyFont="1" applyBorder="1" applyAlignment="1">
      <alignment horizontal="center" vertical="center" wrapText="1"/>
    </xf>
    <xf numFmtId="1" fontId="3" fillId="0" borderId="14" xfId="0" applyNumberFormat="1" applyFont="1" applyFill="1" applyBorder="1" applyAlignment="1">
      <alignment horizontal="center"/>
    </xf>
    <xf numFmtId="1" fontId="3" fillId="7" borderId="14" xfId="0" applyNumberFormat="1" applyFont="1" applyFill="1" applyBorder="1" applyAlignment="1">
      <alignment horizontal="center"/>
    </xf>
    <xf numFmtId="1" fontId="3" fillId="3" borderId="14" xfId="3" applyNumberFormat="1" applyFont="1" applyBorder="1" applyAlignment="1">
      <alignment horizontal="center"/>
    </xf>
    <xf numFmtId="0" fontId="0" fillId="0" borderId="3" xfId="0" applyBorder="1"/>
    <xf numFmtId="3" fontId="7" fillId="6" borderId="7" xfId="4" applyNumberFormat="1" applyFont="1" applyFill="1" applyBorder="1" applyAlignment="1">
      <alignment horizontal="center" vertical="center" wrapText="1"/>
    </xf>
    <xf numFmtId="1" fontId="3" fillId="7" borderId="9" xfId="0" applyNumberFormat="1" applyFont="1" applyFill="1" applyBorder="1" applyAlignment="1">
      <alignment horizontal="center"/>
    </xf>
    <xf numFmtId="3" fontId="7" fillId="6" borderId="13" xfId="4" applyNumberFormat="1" applyFont="1" applyFill="1" applyBorder="1" applyAlignment="1">
      <alignment horizontal="center" vertical="center" wrapText="1"/>
    </xf>
    <xf numFmtId="3" fontId="7" fillId="0" borderId="13" xfId="4" applyNumberFormat="1" applyFont="1" applyFill="1" applyBorder="1" applyAlignment="1">
      <alignment horizontal="center" vertical="center" wrapText="1"/>
    </xf>
    <xf numFmtId="0" fontId="3" fillId="0" borderId="13" xfId="4" applyBorder="1" applyAlignment="1">
      <alignment horizontal="center" vertical="center"/>
    </xf>
    <xf numFmtId="3" fontId="5" fillId="5" borderId="13" xfId="4" applyNumberFormat="1" applyFont="1" applyFill="1" applyBorder="1" applyAlignment="1">
      <alignment horizontal="center" vertical="center" wrapText="1"/>
    </xf>
    <xf numFmtId="3" fontId="5" fillId="0" borderId="13" xfId="4" applyNumberFormat="1" applyFont="1" applyFill="1" applyBorder="1" applyAlignment="1">
      <alignment horizontal="center" vertical="center" wrapText="1"/>
    </xf>
    <xf numFmtId="3" fontId="5" fillId="3" borderId="13" xfId="3" applyNumberFormat="1" applyFont="1" applyBorder="1" applyAlignment="1">
      <alignment horizontal="center" vertical="center" wrapText="1"/>
    </xf>
    <xf numFmtId="3" fontId="3" fillId="5" borderId="13" xfId="0" applyNumberFormat="1" applyFont="1" applyFill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3" borderId="13" xfId="3" applyNumberFormat="1" applyFont="1" applyBorder="1" applyAlignment="1">
      <alignment horizontal="center" vertical="center" wrapText="1"/>
    </xf>
    <xf numFmtId="1" fontId="3" fillId="0" borderId="13" xfId="0" applyNumberFormat="1" applyFont="1" applyFill="1" applyBorder="1" applyAlignment="1">
      <alignment horizontal="center"/>
    </xf>
    <xf numFmtId="1" fontId="3" fillId="7" borderId="13" xfId="0" applyNumberFormat="1" applyFont="1" applyFill="1" applyBorder="1" applyAlignment="1">
      <alignment horizontal="center"/>
    </xf>
    <xf numFmtId="1" fontId="3" fillId="3" borderId="13" xfId="3" applyNumberFormat="1" applyFont="1" applyBorder="1" applyAlignment="1">
      <alignment horizontal="center"/>
    </xf>
    <xf numFmtId="3" fontId="7" fillId="6" borderId="11" xfId="4" applyNumberFormat="1" applyFont="1" applyFill="1" applyBorder="1" applyAlignment="1">
      <alignment horizontal="center" vertical="center" wrapText="1"/>
    </xf>
    <xf numFmtId="164" fontId="3" fillId="4" borderId="6" xfId="0" applyNumberFormat="1" applyFont="1" applyFill="1" applyBorder="1" applyAlignment="1">
      <alignment horizontal="center" vertical="center" textRotation="90" wrapText="1"/>
    </xf>
    <xf numFmtId="1" fontId="3" fillId="4" borderId="6" xfId="0" applyNumberFormat="1" applyFont="1" applyFill="1" applyBorder="1" applyAlignment="1">
      <alignment horizontal="center" vertical="center" textRotation="90" wrapText="1"/>
    </xf>
    <xf numFmtId="1" fontId="3" fillId="4" borderId="16" xfId="0" applyNumberFormat="1" applyFont="1" applyFill="1" applyBorder="1" applyAlignment="1">
      <alignment horizontal="center" vertical="center" textRotation="90" wrapText="1"/>
    </xf>
    <xf numFmtId="3" fontId="3" fillId="4" borderId="6" xfId="0" applyNumberFormat="1" applyFont="1" applyFill="1" applyBorder="1" applyAlignment="1">
      <alignment horizontal="center" vertical="center" textRotation="90" wrapText="1"/>
    </xf>
    <xf numFmtId="1" fontId="3" fillId="4" borderId="17" xfId="0" applyNumberFormat="1" applyFont="1" applyFill="1" applyBorder="1" applyAlignment="1">
      <alignment horizontal="center" vertical="center" textRotation="90" wrapText="1"/>
    </xf>
    <xf numFmtId="164" fontId="7" fillId="0" borderId="11" xfId="1" applyNumberFormat="1" applyFont="1" applyFill="1" applyBorder="1" applyAlignment="1">
      <alignment horizontal="center" vertical="center" wrapText="1"/>
    </xf>
    <xf numFmtId="3" fontId="7" fillId="0" borderId="11" xfId="4" applyNumberFormat="1" applyFont="1" applyFill="1" applyBorder="1" applyAlignment="1">
      <alignment horizontal="center" vertical="center" wrapText="1"/>
    </xf>
    <xf numFmtId="3" fontId="7" fillId="0" borderId="15" xfId="4" applyNumberFormat="1" applyFont="1" applyFill="1" applyBorder="1" applyAlignment="1">
      <alignment horizontal="center" vertical="center" wrapText="1"/>
    </xf>
    <xf numFmtId="3" fontId="7" fillId="0" borderId="18" xfId="4" applyNumberFormat="1" applyFont="1" applyFill="1" applyBorder="1" applyAlignment="1">
      <alignment horizontal="center" vertical="center" wrapText="1"/>
    </xf>
    <xf numFmtId="164" fontId="7" fillId="6" borderId="9" xfId="1" applyNumberFormat="1" applyFont="1" applyFill="1" applyBorder="1" applyAlignment="1">
      <alignment horizontal="center" vertical="center" wrapText="1"/>
    </xf>
    <xf numFmtId="3" fontId="7" fillId="6" borderId="9" xfId="4" applyNumberFormat="1" applyFont="1" applyFill="1" applyBorder="1" applyAlignment="1">
      <alignment horizontal="center" vertical="center" wrapText="1"/>
    </xf>
    <xf numFmtId="3" fontId="7" fillId="6" borderId="19" xfId="4" applyNumberFormat="1" applyFont="1" applyFill="1" applyBorder="1" applyAlignment="1">
      <alignment horizontal="center" vertical="center" wrapText="1"/>
    </xf>
    <xf numFmtId="3" fontId="7" fillId="6" borderId="20" xfId="4" applyNumberFormat="1" applyFont="1" applyFill="1" applyBorder="1" applyAlignment="1">
      <alignment horizontal="center" vertical="center" wrapText="1"/>
    </xf>
    <xf numFmtId="3" fontId="7" fillId="0" borderId="9" xfId="4" applyNumberFormat="1" applyFont="1" applyFill="1" applyBorder="1" applyAlignment="1">
      <alignment horizontal="center" vertical="center" wrapText="1"/>
    </xf>
    <xf numFmtId="3" fontId="7" fillId="0" borderId="19" xfId="4" applyNumberFormat="1" applyFont="1" applyFill="1" applyBorder="1" applyAlignment="1">
      <alignment horizontal="center" vertical="center" wrapText="1"/>
    </xf>
    <xf numFmtId="3" fontId="7" fillId="0" borderId="20" xfId="4" applyNumberFormat="1" applyFont="1" applyFill="1" applyBorder="1" applyAlignment="1">
      <alignment horizontal="center" vertical="center" wrapText="1"/>
    </xf>
    <xf numFmtId="164" fontId="3" fillId="0" borderId="11" xfId="4" applyNumberFormat="1" applyFont="1" applyBorder="1" applyAlignment="1">
      <alignment horizontal="center" vertical="center" wrapText="1"/>
    </xf>
    <xf numFmtId="0" fontId="3" fillId="0" borderId="11" xfId="4" applyBorder="1" applyAlignment="1">
      <alignment horizontal="center" vertical="center"/>
    </xf>
    <xf numFmtId="0" fontId="3" fillId="0" borderId="15" xfId="4" applyBorder="1" applyAlignment="1">
      <alignment horizontal="center" vertical="center"/>
    </xf>
    <xf numFmtId="0" fontId="3" fillId="0" borderId="18" xfId="4" applyBorder="1" applyAlignment="1">
      <alignment horizontal="center" vertical="center"/>
    </xf>
    <xf numFmtId="164" fontId="7" fillId="6" borderId="7" xfId="1" applyNumberFormat="1" applyFont="1" applyFill="1" applyBorder="1" applyAlignment="1">
      <alignment horizontal="center" vertical="center" wrapText="1"/>
    </xf>
    <xf numFmtId="3" fontId="7" fillId="6" borderId="21" xfId="4" applyNumberFormat="1" applyFont="1" applyFill="1" applyBorder="1" applyAlignment="1">
      <alignment horizontal="center" vertical="center" wrapText="1"/>
    </xf>
    <xf numFmtId="3" fontId="7" fillId="6" borderId="12" xfId="4" applyNumberFormat="1" applyFont="1" applyFill="1" applyBorder="1" applyAlignment="1">
      <alignment horizontal="center" vertical="center" wrapText="1"/>
    </xf>
    <xf numFmtId="164" fontId="5" fillId="5" borderId="11" xfId="1" applyNumberFormat="1" applyFont="1" applyFill="1" applyBorder="1" applyAlignment="1">
      <alignment horizontal="center" vertical="center" wrapText="1"/>
    </xf>
    <xf numFmtId="3" fontId="5" fillId="5" borderId="15" xfId="4" applyNumberFormat="1" applyFont="1" applyFill="1" applyBorder="1" applyAlignment="1">
      <alignment horizontal="center" vertical="center" wrapText="1"/>
    </xf>
    <xf numFmtId="3" fontId="5" fillId="5" borderId="18" xfId="4" applyNumberFormat="1" applyFont="1" applyFill="1" applyBorder="1" applyAlignment="1">
      <alignment horizontal="center" vertical="center" wrapText="1"/>
    </xf>
    <xf numFmtId="0" fontId="3" fillId="0" borderId="7" xfId="4" applyBorder="1" applyAlignment="1">
      <alignment horizontal="center" vertical="center"/>
    </xf>
    <xf numFmtId="0" fontId="3" fillId="0" borderId="21" xfId="4" applyBorder="1" applyAlignment="1">
      <alignment horizontal="center" vertical="center"/>
    </xf>
    <xf numFmtId="0" fontId="3" fillId="0" borderId="12" xfId="4" applyBorder="1" applyAlignment="1">
      <alignment horizontal="center" vertical="center"/>
    </xf>
    <xf numFmtId="164" fontId="3" fillId="0" borderId="9" xfId="4" applyNumberFormat="1" applyFont="1" applyBorder="1" applyAlignment="1">
      <alignment horizontal="center" vertical="center" wrapText="1"/>
    </xf>
    <xf numFmtId="0" fontId="3" fillId="0" borderId="9" xfId="4" applyBorder="1" applyAlignment="1">
      <alignment horizontal="center" vertical="center"/>
    </xf>
    <xf numFmtId="0" fontId="3" fillId="0" borderId="19" xfId="4" applyBorder="1" applyAlignment="1">
      <alignment horizontal="center" vertical="center"/>
    </xf>
    <xf numFmtId="0" fontId="3" fillId="0" borderId="20" xfId="4" applyBorder="1" applyAlignment="1">
      <alignment horizontal="center" vertical="center"/>
    </xf>
    <xf numFmtId="3" fontId="5" fillId="5" borderId="21" xfId="4" applyNumberFormat="1" applyFont="1" applyFill="1" applyBorder="1" applyAlignment="1">
      <alignment horizontal="center" vertical="center" wrapText="1"/>
    </xf>
    <xf numFmtId="3" fontId="5" fillId="5" borderId="12" xfId="4" applyNumberFormat="1" applyFont="1" applyFill="1" applyBorder="1" applyAlignment="1">
      <alignment horizontal="center" vertical="center" wrapText="1"/>
    </xf>
    <xf numFmtId="3" fontId="5" fillId="5" borderId="19" xfId="4" applyNumberFormat="1" applyFont="1" applyFill="1" applyBorder="1" applyAlignment="1">
      <alignment horizontal="center" vertical="center" wrapText="1"/>
    </xf>
    <xf numFmtId="3" fontId="5" fillId="5" borderId="20" xfId="4" applyNumberFormat="1" applyFont="1" applyFill="1" applyBorder="1" applyAlignment="1">
      <alignment horizontal="center" vertical="center" wrapText="1"/>
    </xf>
    <xf numFmtId="164" fontId="7" fillId="0" borderId="10" xfId="1" applyNumberFormat="1" applyFont="1" applyFill="1" applyBorder="1" applyAlignment="1">
      <alignment horizontal="center" vertical="center" wrapText="1"/>
    </xf>
    <xf numFmtId="3" fontId="7" fillId="0" borderId="10" xfId="4" applyNumberFormat="1" applyFont="1" applyFill="1" applyBorder="1" applyAlignment="1">
      <alignment horizontal="center" vertical="center" wrapText="1"/>
    </xf>
    <xf numFmtId="3" fontId="7" fillId="0" borderId="22" xfId="4" applyNumberFormat="1" applyFont="1" applyFill="1" applyBorder="1" applyAlignment="1">
      <alignment horizontal="center" vertical="center" wrapText="1"/>
    </xf>
    <xf numFmtId="3" fontId="7" fillId="0" borderId="23" xfId="4" applyNumberFormat="1" applyFont="1" applyFill="1" applyBorder="1" applyAlignment="1">
      <alignment horizontal="center" vertical="center" wrapText="1"/>
    </xf>
    <xf numFmtId="164" fontId="5" fillId="0" borderId="11" xfId="1" applyNumberFormat="1" applyFont="1" applyFill="1" applyBorder="1" applyAlignment="1">
      <alignment horizontal="center" vertical="center" wrapText="1"/>
    </xf>
    <xf numFmtId="3" fontId="5" fillId="0" borderId="11" xfId="4" applyNumberFormat="1" applyFont="1" applyFill="1" applyBorder="1" applyAlignment="1">
      <alignment horizontal="center" vertical="center" wrapText="1"/>
    </xf>
    <xf numFmtId="3" fontId="5" fillId="0" borderId="15" xfId="4" applyNumberFormat="1" applyFont="1" applyFill="1" applyBorder="1" applyAlignment="1">
      <alignment horizontal="center" vertical="center" wrapText="1"/>
    </xf>
    <xf numFmtId="3" fontId="5" fillId="0" borderId="18" xfId="4" applyNumberFormat="1" applyFont="1" applyFill="1" applyBorder="1" applyAlignment="1">
      <alignment horizontal="center" vertical="center" wrapText="1"/>
    </xf>
    <xf numFmtId="164" fontId="5" fillId="0" borderId="10" xfId="1" applyNumberFormat="1" applyFont="1" applyFill="1" applyBorder="1" applyAlignment="1">
      <alignment horizontal="center" vertical="center" wrapText="1"/>
    </xf>
    <xf numFmtId="3" fontId="5" fillId="0" borderId="10" xfId="4" applyNumberFormat="1" applyFont="1" applyFill="1" applyBorder="1" applyAlignment="1">
      <alignment horizontal="center" vertical="center" wrapText="1"/>
    </xf>
    <xf numFmtId="3" fontId="5" fillId="0" borderId="22" xfId="4" applyNumberFormat="1" applyFont="1" applyFill="1" applyBorder="1" applyAlignment="1">
      <alignment horizontal="center" vertical="center" wrapText="1"/>
    </xf>
    <xf numFmtId="3" fontId="5" fillId="0" borderId="23" xfId="4" applyNumberFormat="1" applyFont="1" applyFill="1" applyBorder="1" applyAlignment="1">
      <alignment horizontal="center" vertical="center" wrapText="1"/>
    </xf>
    <xf numFmtId="0" fontId="3" fillId="0" borderId="10" xfId="4" applyBorder="1" applyAlignment="1">
      <alignment horizontal="center" vertical="center"/>
    </xf>
    <xf numFmtId="0" fontId="3" fillId="0" borderId="22" xfId="4" applyBorder="1" applyAlignment="1">
      <alignment horizontal="center" vertical="center"/>
    </xf>
    <xf numFmtId="0" fontId="3" fillId="0" borderId="23" xfId="4" applyBorder="1" applyAlignment="1">
      <alignment horizontal="center" vertical="center"/>
    </xf>
    <xf numFmtId="164" fontId="5" fillId="3" borderId="7" xfId="3" applyNumberFormat="1" applyFont="1" applyBorder="1" applyAlignment="1">
      <alignment horizontal="center" vertical="center" wrapText="1"/>
    </xf>
    <xf numFmtId="3" fontId="5" fillId="3" borderId="7" xfId="3" applyNumberFormat="1" applyFont="1" applyBorder="1" applyAlignment="1">
      <alignment horizontal="center" vertical="center" wrapText="1"/>
    </xf>
    <xf numFmtId="3" fontId="5" fillId="3" borderId="21" xfId="3" applyNumberFormat="1" applyFont="1" applyBorder="1" applyAlignment="1">
      <alignment horizontal="center" vertical="center" wrapText="1"/>
    </xf>
    <xf numFmtId="3" fontId="5" fillId="3" borderId="12" xfId="3" applyNumberFormat="1" applyFont="1" applyBorder="1" applyAlignment="1">
      <alignment horizontal="center" vertical="center" wrapText="1"/>
    </xf>
    <xf numFmtId="164" fontId="5" fillId="3" borderId="9" xfId="3" applyNumberFormat="1" applyFont="1" applyBorder="1" applyAlignment="1">
      <alignment horizontal="center" vertical="center" wrapText="1"/>
    </xf>
    <xf numFmtId="3" fontId="5" fillId="3" borderId="19" xfId="3" applyNumberFormat="1" applyFont="1" applyBorder="1" applyAlignment="1">
      <alignment horizontal="center" vertical="center" wrapText="1"/>
    </xf>
    <xf numFmtId="3" fontId="5" fillId="3" borderId="20" xfId="3" applyNumberFormat="1" applyFont="1" applyBorder="1" applyAlignment="1">
      <alignment horizontal="center" vertical="center" wrapText="1"/>
    </xf>
    <xf numFmtId="164" fontId="5" fillId="0" borderId="7" xfId="1" applyNumberFormat="1" applyFont="1" applyFill="1" applyBorder="1" applyAlignment="1">
      <alignment horizontal="center" vertical="center" wrapText="1"/>
    </xf>
    <xf numFmtId="3" fontId="5" fillId="0" borderId="7" xfId="4" applyNumberFormat="1" applyFont="1" applyFill="1" applyBorder="1" applyAlignment="1">
      <alignment horizontal="center" vertical="center" wrapText="1"/>
    </xf>
    <xf numFmtId="3" fontId="5" fillId="0" borderId="21" xfId="4" applyNumberFormat="1" applyFont="1" applyFill="1" applyBorder="1" applyAlignment="1">
      <alignment horizontal="center" vertical="center" wrapText="1"/>
    </xf>
    <xf numFmtId="3" fontId="5" fillId="0" borderId="12" xfId="4" applyNumberFormat="1" applyFont="1" applyFill="1" applyBorder="1" applyAlignment="1">
      <alignment horizontal="center" vertical="center" wrapText="1"/>
    </xf>
    <xf numFmtId="164" fontId="5" fillId="0" borderId="9" xfId="1" applyNumberFormat="1" applyFont="1" applyFill="1" applyBorder="1" applyAlignment="1">
      <alignment horizontal="center" vertical="center" wrapText="1"/>
    </xf>
    <xf numFmtId="3" fontId="5" fillId="0" borderId="9" xfId="4" applyNumberFormat="1" applyFont="1" applyFill="1" applyBorder="1" applyAlignment="1">
      <alignment horizontal="center" vertical="center" wrapText="1"/>
    </xf>
    <xf numFmtId="3" fontId="5" fillId="0" borderId="19" xfId="4" applyNumberFormat="1" applyFont="1" applyFill="1" applyBorder="1" applyAlignment="1">
      <alignment horizontal="center" vertical="center" wrapText="1"/>
    </xf>
    <xf numFmtId="3" fontId="5" fillId="0" borderId="20" xfId="4" applyNumberFormat="1" applyFont="1" applyFill="1" applyBorder="1" applyAlignment="1">
      <alignment horizontal="center" vertical="center" wrapText="1"/>
    </xf>
    <xf numFmtId="164" fontId="5" fillId="5" borderId="10" xfId="1" applyNumberFormat="1" applyFont="1" applyFill="1" applyBorder="1" applyAlignment="1">
      <alignment horizontal="center" vertical="center" wrapText="1"/>
    </xf>
    <xf numFmtId="3" fontId="5" fillId="5" borderId="22" xfId="4" applyNumberFormat="1" applyFont="1" applyFill="1" applyBorder="1" applyAlignment="1">
      <alignment horizontal="center" vertical="center" wrapText="1"/>
    </xf>
    <xf numFmtId="3" fontId="5" fillId="5" borderId="23" xfId="4" applyNumberFormat="1" applyFont="1" applyFill="1" applyBorder="1" applyAlignment="1">
      <alignment horizontal="center" vertical="center" wrapText="1"/>
    </xf>
    <xf numFmtId="164" fontId="5" fillId="3" borderId="11" xfId="3" applyNumberFormat="1" applyFont="1" applyBorder="1" applyAlignment="1">
      <alignment horizontal="center" vertical="center" wrapText="1"/>
    </xf>
    <xf numFmtId="3" fontId="5" fillId="3" borderId="11" xfId="3" applyNumberFormat="1" applyFont="1" applyBorder="1" applyAlignment="1">
      <alignment horizontal="center" vertical="center" wrapText="1"/>
    </xf>
    <xf numFmtId="3" fontId="5" fillId="3" borderId="15" xfId="3" applyNumberFormat="1" applyFont="1" applyBorder="1" applyAlignment="1">
      <alignment horizontal="center" vertical="center" wrapText="1"/>
    </xf>
    <xf numFmtId="3" fontId="5" fillId="3" borderId="18" xfId="3" applyNumberFormat="1" applyFont="1" applyBorder="1" applyAlignment="1">
      <alignment horizontal="center" vertical="center" wrapText="1"/>
    </xf>
    <xf numFmtId="164" fontId="5" fillId="3" borderId="10" xfId="3" applyNumberFormat="1" applyFont="1" applyBorder="1" applyAlignment="1">
      <alignment horizontal="center" vertical="center" wrapText="1"/>
    </xf>
    <xf numFmtId="3" fontId="5" fillId="3" borderId="10" xfId="3" applyNumberFormat="1" applyFont="1" applyBorder="1" applyAlignment="1">
      <alignment horizontal="center" vertical="center" wrapText="1"/>
    </xf>
    <xf numFmtId="3" fontId="5" fillId="3" borderId="22" xfId="3" applyNumberFormat="1" applyFont="1" applyBorder="1" applyAlignment="1">
      <alignment horizontal="center" vertical="center" wrapText="1"/>
    </xf>
    <xf numFmtId="3" fontId="5" fillId="3" borderId="23" xfId="3" applyNumberFormat="1" applyFont="1" applyBorder="1" applyAlignment="1">
      <alignment horizontal="center" vertical="center" wrapText="1"/>
    </xf>
    <xf numFmtId="164" fontId="3" fillId="5" borderId="11" xfId="0" applyNumberFormat="1" applyFont="1" applyFill="1" applyBorder="1" applyAlignment="1">
      <alignment horizontal="center" vertical="center" wrapText="1"/>
    </xf>
    <xf numFmtId="3" fontId="3" fillId="5" borderId="11" xfId="0" applyNumberFormat="1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3" fontId="3" fillId="5" borderId="18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3" fontId="3" fillId="5" borderId="10" xfId="0" applyNumberFormat="1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3" fontId="3" fillId="5" borderId="23" xfId="0" applyNumberFormat="1" applyFont="1" applyFill="1" applyBorder="1" applyAlignment="1">
      <alignment horizontal="center" vertical="center" wrapText="1"/>
    </xf>
    <xf numFmtId="164" fontId="3" fillId="3" borderId="11" xfId="3" applyNumberFormat="1" applyFont="1" applyBorder="1" applyAlignment="1">
      <alignment horizontal="center" vertical="center" wrapText="1"/>
    </xf>
    <xf numFmtId="3" fontId="3" fillId="3" borderId="11" xfId="3" applyNumberFormat="1" applyFont="1" applyBorder="1" applyAlignment="1">
      <alignment horizontal="center" vertical="center" wrapText="1"/>
    </xf>
    <xf numFmtId="0" fontId="3" fillId="3" borderId="11" xfId="3" applyFont="1" applyBorder="1" applyAlignment="1">
      <alignment horizontal="center" vertical="center" wrapText="1"/>
    </xf>
    <xf numFmtId="0" fontId="3" fillId="3" borderId="15" xfId="3" applyFont="1" applyBorder="1" applyAlignment="1">
      <alignment horizontal="center" vertical="center" wrapText="1"/>
    </xf>
    <xf numFmtId="3" fontId="3" fillId="3" borderId="18" xfId="3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3" fontId="3" fillId="0" borderId="12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3" fontId="3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3" fontId="3" fillId="0" borderId="20" xfId="0" applyNumberFormat="1" applyFont="1" applyBorder="1" applyAlignment="1">
      <alignment horizontal="center" vertical="center" wrapText="1"/>
    </xf>
    <xf numFmtId="164" fontId="3" fillId="3" borderId="10" xfId="3" applyNumberFormat="1" applyFont="1" applyBorder="1" applyAlignment="1">
      <alignment horizontal="center" vertical="center" wrapText="1"/>
    </xf>
    <xf numFmtId="0" fontId="3" fillId="3" borderId="10" xfId="3" applyFont="1" applyBorder="1" applyAlignment="1">
      <alignment horizontal="center" vertical="center" wrapText="1"/>
    </xf>
    <xf numFmtId="0" fontId="3" fillId="3" borderId="22" xfId="3" applyFont="1" applyBorder="1" applyAlignment="1">
      <alignment horizontal="center" vertical="center" wrapText="1"/>
    </xf>
    <xf numFmtId="3" fontId="3" fillId="3" borderId="23" xfId="3" applyNumberFormat="1" applyFont="1" applyBorder="1" applyAlignment="1">
      <alignment horizontal="center" vertical="center" wrapText="1"/>
    </xf>
    <xf numFmtId="164" fontId="3" fillId="0" borderId="10" xfId="4" applyNumberFormat="1" applyBorder="1" applyAlignment="1">
      <alignment horizontal="center" vertical="center" wrapText="1"/>
    </xf>
    <xf numFmtId="164" fontId="3" fillId="0" borderId="11" xfId="0" applyNumberFormat="1" applyFont="1" applyFill="1" applyBorder="1" applyAlignment="1">
      <alignment horizontal="center"/>
    </xf>
    <xf numFmtId="1" fontId="3" fillId="0" borderId="11" xfId="0" applyNumberFormat="1" applyFont="1" applyFill="1" applyBorder="1" applyAlignment="1">
      <alignment horizontal="center"/>
    </xf>
    <xf numFmtId="1" fontId="4" fillId="0" borderId="11" xfId="0" applyNumberFormat="1" applyFont="1" applyFill="1" applyBorder="1" applyAlignment="1">
      <alignment horizontal="center"/>
    </xf>
    <xf numFmtId="1" fontId="3" fillId="0" borderId="15" xfId="0" applyNumberFormat="1" applyFont="1" applyFill="1" applyBorder="1" applyAlignment="1">
      <alignment horizontal="center"/>
    </xf>
    <xf numFmtId="1" fontId="3" fillId="0" borderId="18" xfId="0" applyNumberFormat="1" applyFont="1" applyFill="1" applyBorder="1" applyAlignment="1">
      <alignment horizontal="center"/>
    </xf>
    <xf numFmtId="164" fontId="3" fillId="3" borderId="7" xfId="3" applyNumberFormat="1" applyFont="1" applyBorder="1" applyAlignment="1">
      <alignment horizontal="center" vertical="center" wrapText="1"/>
    </xf>
    <xf numFmtId="3" fontId="3" fillId="3" borderId="7" xfId="3" applyNumberFormat="1" applyFont="1" applyBorder="1" applyAlignment="1">
      <alignment horizontal="center" vertical="center" wrapText="1"/>
    </xf>
    <xf numFmtId="0" fontId="3" fillId="3" borderId="7" xfId="3" applyFont="1" applyBorder="1" applyAlignment="1">
      <alignment horizontal="center" vertical="center" wrapText="1"/>
    </xf>
    <xf numFmtId="0" fontId="3" fillId="3" borderId="21" xfId="3" applyFont="1" applyBorder="1" applyAlignment="1">
      <alignment horizontal="center" vertical="center" wrapText="1"/>
    </xf>
    <xf numFmtId="3" fontId="3" fillId="3" borderId="12" xfId="3" applyNumberFormat="1" applyFont="1" applyBorder="1" applyAlignment="1">
      <alignment horizontal="center" vertical="center" wrapText="1"/>
    </xf>
    <xf numFmtId="164" fontId="3" fillId="3" borderId="9" xfId="3" applyNumberFormat="1" applyFont="1" applyBorder="1" applyAlignment="1">
      <alignment horizontal="center" vertical="center" wrapText="1"/>
    </xf>
    <xf numFmtId="3" fontId="3" fillId="3" borderId="9" xfId="3" applyNumberFormat="1" applyFont="1" applyBorder="1" applyAlignment="1">
      <alignment horizontal="center" vertical="center" wrapText="1"/>
    </xf>
    <xf numFmtId="0" fontId="3" fillId="3" borderId="9" xfId="3" applyFont="1" applyBorder="1" applyAlignment="1">
      <alignment horizontal="center" vertical="center" wrapText="1"/>
    </xf>
    <xf numFmtId="0" fontId="3" fillId="3" borderId="19" xfId="3" applyFont="1" applyBorder="1" applyAlignment="1">
      <alignment horizontal="center" vertical="center" wrapText="1"/>
    </xf>
    <xf numFmtId="3" fontId="3" fillId="3" borderId="20" xfId="3" applyNumberFormat="1" applyFont="1" applyBorder="1" applyAlignment="1">
      <alignment horizontal="center" vertical="center" wrapText="1"/>
    </xf>
    <xf numFmtId="164" fontId="3" fillId="0" borderId="10" xfId="0" applyNumberFormat="1" applyFont="1" applyFill="1" applyBorder="1" applyAlignment="1">
      <alignment horizontal="center"/>
    </xf>
    <xf numFmtId="1" fontId="3" fillId="0" borderId="10" xfId="0" applyNumberFormat="1" applyFont="1" applyFill="1" applyBorder="1" applyAlignment="1">
      <alignment horizontal="center"/>
    </xf>
    <xf numFmtId="1" fontId="3" fillId="0" borderId="22" xfId="0" applyNumberFormat="1" applyFont="1" applyFill="1" applyBorder="1" applyAlignment="1">
      <alignment horizontal="center"/>
    </xf>
    <xf numFmtId="1" fontId="3" fillId="0" borderId="23" xfId="0" applyNumberFormat="1" applyFont="1" applyFill="1" applyBorder="1" applyAlignment="1">
      <alignment horizontal="center"/>
    </xf>
    <xf numFmtId="1" fontId="3" fillId="7" borderId="7" xfId="0" applyNumberFormat="1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1" fontId="3" fillId="7" borderId="21" xfId="0" applyNumberFormat="1" applyFont="1" applyFill="1" applyBorder="1" applyAlignment="1">
      <alignment horizontal="center"/>
    </xf>
    <xf numFmtId="1" fontId="3" fillId="7" borderId="12" xfId="0" applyNumberFormat="1" applyFont="1" applyFill="1" applyBorder="1" applyAlignment="1">
      <alignment horizontal="center"/>
    </xf>
    <xf numFmtId="164" fontId="3" fillId="7" borderId="9" xfId="0" applyNumberFormat="1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1" fontId="3" fillId="7" borderId="19" xfId="0" applyNumberFormat="1" applyFont="1" applyFill="1" applyBorder="1" applyAlignment="1">
      <alignment horizontal="center"/>
    </xf>
    <xf numFmtId="1" fontId="3" fillId="7" borderId="20" xfId="0" applyNumberFormat="1" applyFont="1" applyFill="1" applyBorder="1" applyAlignment="1">
      <alignment horizontal="center"/>
    </xf>
    <xf numFmtId="164" fontId="3" fillId="0" borderId="11" xfId="4" applyNumberFormat="1" applyBorder="1" applyAlignment="1">
      <alignment horizontal="center" vertical="center" wrapText="1"/>
    </xf>
    <xf numFmtId="164" fontId="3" fillId="3" borderId="7" xfId="3" applyNumberFormat="1" applyFont="1" applyBorder="1" applyAlignment="1">
      <alignment horizontal="center"/>
    </xf>
    <xf numFmtId="1" fontId="3" fillId="3" borderId="7" xfId="3" applyNumberFormat="1" applyFont="1" applyBorder="1" applyAlignment="1">
      <alignment horizontal="center"/>
    </xf>
    <xf numFmtId="0" fontId="3" fillId="3" borderId="7" xfId="3" applyFont="1" applyBorder="1" applyAlignment="1">
      <alignment horizontal="center"/>
    </xf>
    <xf numFmtId="1" fontId="3" fillId="3" borderId="21" xfId="3" applyNumberFormat="1" applyFont="1" applyBorder="1" applyAlignment="1">
      <alignment horizontal="center"/>
    </xf>
    <xf numFmtId="1" fontId="3" fillId="3" borderId="12" xfId="3" applyNumberFormat="1" applyFont="1" applyBorder="1" applyAlignment="1">
      <alignment horizontal="center"/>
    </xf>
    <xf numFmtId="1" fontId="3" fillId="3" borderId="9" xfId="3" applyNumberFormat="1" applyFont="1" applyBorder="1" applyAlignment="1">
      <alignment horizontal="center"/>
    </xf>
    <xf numFmtId="0" fontId="3" fillId="3" borderId="9" xfId="3" applyFont="1" applyBorder="1" applyAlignment="1">
      <alignment horizontal="center"/>
    </xf>
    <xf numFmtId="1" fontId="3" fillId="3" borderId="19" xfId="3" applyNumberFormat="1" applyFont="1" applyBorder="1" applyAlignment="1">
      <alignment horizontal="center"/>
    </xf>
    <xf numFmtId="1" fontId="3" fillId="3" borderId="20" xfId="3" applyNumberFormat="1" applyFont="1" applyBorder="1" applyAlignment="1">
      <alignment horizontal="center"/>
    </xf>
    <xf numFmtId="0" fontId="0" fillId="4" borderId="26" xfId="0" applyFill="1" applyBorder="1" applyAlignment="1">
      <alignment vertical="center"/>
    </xf>
    <xf numFmtId="0" fontId="3" fillId="4" borderId="6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164" fontId="0" fillId="0" borderId="2" xfId="0" applyNumberFormat="1" applyBorder="1"/>
    <xf numFmtId="164" fontId="0" fillId="0" borderId="3" xfId="0" applyNumberFormat="1" applyBorder="1"/>
    <xf numFmtId="164" fontId="7" fillId="0" borderId="10" xfId="4" applyNumberFormat="1" applyFont="1" applyFill="1" applyBorder="1" applyAlignment="1">
      <alignment horizontal="center" vertical="center" wrapText="1"/>
    </xf>
    <xf numFmtId="0" fontId="0" fillId="0" borderId="4" xfId="0" applyFill="1" applyBorder="1"/>
    <xf numFmtId="0" fontId="0" fillId="0" borderId="2" xfId="0" applyFill="1" applyBorder="1"/>
    <xf numFmtId="3" fontId="7" fillId="3" borderId="31" xfId="3" applyNumberFormat="1" applyFont="1" applyBorder="1" applyAlignment="1">
      <alignment horizontal="center" vertical="center" wrapText="1"/>
    </xf>
    <xf numFmtId="3" fontId="7" fillId="3" borderId="34" xfId="3" applyNumberFormat="1" applyFont="1" applyBorder="1" applyAlignment="1">
      <alignment horizontal="center" vertical="center" wrapText="1"/>
    </xf>
    <xf numFmtId="3" fontId="7" fillId="3" borderId="35" xfId="3" applyNumberFormat="1" applyFont="1" applyBorder="1" applyAlignment="1">
      <alignment horizontal="center" vertical="center" wrapText="1"/>
    </xf>
    <xf numFmtId="0" fontId="0" fillId="0" borderId="36" xfId="0" applyFill="1" applyBorder="1"/>
    <xf numFmtId="0" fontId="3" fillId="0" borderId="10" xfId="4" applyFill="1" applyBorder="1" applyAlignment="1">
      <alignment horizontal="center" vertical="center"/>
    </xf>
    <xf numFmtId="164" fontId="3" fillId="0" borderId="10" xfId="4" applyNumberFormat="1" applyFill="1" applyBorder="1" applyAlignment="1">
      <alignment horizontal="center" vertical="center"/>
    </xf>
    <xf numFmtId="164" fontId="5" fillId="0" borderId="10" xfId="4" applyNumberFormat="1" applyFont="1" applyFill="1" applyBorder="1" applyAlignment="1">
      <alignment horizontal="center" vertical="center" wrapText="1"/>
    </xf>
    <xf numFmtId="3" fontId="5" fillId="3" borderId="31" xfId="3" applyNumberFormat="1" applyFont="1" applyBorder="1" applyAlignment="1">
      <alignment horizontal="center" vertical="center" wrapText="1"/>
    </xf>
    <xf numFmtId="3" fontId="5" fillId="3" borderId="35" xfId="3" applyNumberFormat="1" applyFont="1" applyBorder="1" applyAlignment="1">
      <alignment horizontal="center" vertical="center" wrapText="1"/>
    </xf>
    <xf numFmtId="3" fontId="5" fillId="3" borderId="34" xfId="3" applyNumberFormat="1" applyFont="1" applyBorder="1" applyAlignment="1">
      <alignment horizontal="center" vertical="center" wrapText="1"/>
    </xf>
    <xf numFmtId="164" fontId="5" fillId="3" borderId="35" xfId="3" applyNumberFormat="1" applyFont="1" applyBorder="1" applyAlignment="1">
      <alignment horizontal="center" vertical="center" wrapText="1"/>
    </xf>
    <xf numFmtId="3" fontId="5" fillId="3" borderId="32" xfId="3" applyNumberFormat="1" applyFont="1" applyBorder="1" applyAlignment="1">
      <alignment horizontal="center" vertical="center" wrapText="1"/>
    </xf>
    <xf numFmtId="0" fontId="0" fillId="0" borderId="1" xfId="3" applyFont="1" applyFill="1"/>
    <xf numFmtId="0" fontId="0" fillId="0" borderId="33" xfId="3" applyFont="1" applyFill="1" applyBorder="1"/>
    <xf numFmtId="3" fontId="7" fillId="0" borderId="31" xfId="3" applyNumberFormat="1" applyFont="1" applyFill="1" applyBorder="1" applyAlignment="1">
      <alignment horizontal="center" vertical="center" wrapText="1"/>
    </xf>
    <xf numFmtId="3" fontId="7" fillId="0" borderId="32" xfId="3" applyNumberFormat="1" applyFont="1" applyFill="1" applyBorder="1" applyAlignment="1">
      <alignment horizontal="center" vertical="center" wrapText="1"/>
    </xf>
    <xf numFmtId="164" fontId="5" fillId="3" borderId="31" xfId="3" applyNumberFormat="1" applyFont="1" applyBorder="1" applyAlignment="1">
      <alignment horizontal="center" vertical="center" wrapText="1"/>
    </xf>
    <xf numFmtId="164" fontId="7" fillId="0" borderId="31" xfId="3" applyNumberFormat="1" applyFont="1" applyFill="1" applyBorder="1" applyAlignment="1">
      <alignment horizontal="center" vertical="center" wrapText="1"/>
    </xf>
    <xf numFmtId="3" fontId="3" fillId="0" borderId="10" xfId="0" applyNumberFormat="1" applyFont="1" applyFill="1" applyBorder="1" applyAlignment="1">
      <alignment horizontal="center" vertical="center" wrapText="1"/>
    </xf>
    <xf numFmtId="164" fontId="3" fillId="0" borderId="10" xfId="0" applyNumberFormat="1" applyFont="1" applyFill="1" applyBorder="1" applyAlignment="1">
      <alignment horizontal="center" vertical="center" wrapText="1"/>
    </xf>
    <xf numFmtId="0" fontId="3" fillId="3" borderId="31" xfId="3" applyFont="1" applyBorder="1" applyAlignment="1">
      <alignment horizontal="center"/>
    </xf>
    <xf numFmtId="0" fontId="3" fillId="3" borderId="34" xfId="3" applyFont="1" applyBorder="1" applyAlignment="1">
      <alignment horizontal="center"/>
    </xf>
    <xf numFmtId="1" fontId="3" fillId="3" borderId="31" xfId="3" applyNumberFormat="1" applyFont="1" applyBorder="1" applyAlignment="1">
      <alignment horizontal="center"/>
    </xf>
    <xf numFmtId="164" fontId="3" fillId="3" borderId="34" xfId="3" applyNumberFormat="1" applyFont="1" applyBorder="1" applyAlignment="1">
      <alignment horizontal="center"/>
    </xf>
    <xf numFmtId="1" fontId="3" fillId="3" borderId="34" xfId="3" applyNumberFormat="1" applyFont="1" applyBorder="1" applyAlignment="1">
      <alignment horizontal="center"/>
    </xf>
    <xf numFmtId="0" fontId="3" fillId="3" borderId="35" xfId="3" applyFont="1" applyBorder="1" applyAlignment="1">
      <alignment horizontal="center"/>
    </xf>
    <xf numFmtId="1" fontId="3" fillId="3" borderId="35" xfId="3" applyNumberFormat="1" applyFont="1" applyBorder="1" applyAlignment="1">
      <alignment horizontal="center"/>
    </xf>
    <xf numFmtId="164" fontId="3" fillId="3" borderId="31" xfId="3" applyNumberFormat="1" applyFont="1" applyBorder="1" applyAlignment="1">
      <alignment horizontal="center"/>
    </xf>
    <xf numFmtId="164" fontId="3" fillId="3" borderId="35" xfId="3" applyNumberFormat="1" applyFont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/>
    </xf>
    <xf numFmtId="1" fontId="3" fillId="0" borderId="20" xfId="0" applyNumberFormat="1" applyFont="1" applyFill="1" applyBorder="1" applyAlignment="1">
      <alignment horizontal="center"/>
    </xf>
    <xf numFmtId="164" fontId="3" fillId="7" borderId="11" xfId="0" applyNumberFormat="1" applyFont="1" applyFill="1" applyBorder="1" applyAlignment="1">
      <alignment horizontal="center"/>
    </xf>
    <xf numFmtId="1" fontId="3" fillId="7" borderId="15" xfId="0" applyNumberFormat="1" applyFont="1" applyFill="1" applyBorder="1" applyAlignment="1">
      <alignment horizontal="center"/>
    </xf>
    <xf numFmtId="164" fontId="3" fillId="0" borderId="9" xfId="0" applyNumberFormat="1" applyFont="1" applyFill="1" applyBorder="1" applyAlignment="1">
      <alignment horizontal="center"/>
    </xf>
    <xf numFmtId="1" fontId="3" fillId="0" borderId="19" xfId="0" applyNumberFormat="1" applyFont="1" applyFill="1" applyBorder="1" applyAlignment="1">
      <alignment horizontal="center"/>
    </xf>
    <xf numFmtId="3" fontId="3" fillId="3" borderId="35" xfId="3" applyNumberFormat="1" applyFont="1" applyBorder="1" applyAlignment="1">
      <alignment horizontal="center" vertical="center" wrapText="1"/>
    </xf>
    <xf numFmtId="164" fontId="3" fillId="3" borderId="35" xfId="3" applyNumberFormat="1" applyFont="1" applyBorder="1" applyAlignment="1">
      <alignment horizontal="center" vertical="center" wrapText="1"/>
    </xf>
    <xf numFmtId="3" fontId="3" fillId="3" borderId="31" xfId="3" applyNumberFormat="1" applyFont="1" applyBorder="1" applyAlignment="1">
      <alignment horizontal="center" vertical="center" wrapText="1"/>
    </xf>
    <xf numFmtId="3" fontId="3" fillId="3" borderId="34" xfId="3" applyNumberFormat="1" applyFont="1" applyBorder="1" applyAlignment="1">
      <alignment horizontal="center" vertical="center" wrapText="1"/>
    </xf>
    <xf numFmtId="3" fontId="5" fillId="3" borderId="37" xfId="3" applyNumberFormat="1" applyFont="1" applyBorder="1" applyAlignment="1">
      <alignment horizontal="center" vertical="center" wrapText="1"/>
    </xf>
    <xf numFmtId="3" fontId="5" fillId="5" borderId="0" xfId="4" applyNumberFormat="1" applyFont="1" applyFill="1" applyBorder="1" applyAlignment="1">
      <alignment horizontal="center" vertical="center" wrapText="1"/>
    </xf>
    <xf numFmtId="164" fontId="5" fillId="5" borderId="20" xfId="1" applyNumberFormat="1" applyFont="1" applyFill="1" applyBorder="1" applyAlignment="1">
      <alignment horizontal="center" vertical="center" wrapText="1"/>
    </xf>
    <xf numFmtId="3" fontId="5" fillId="5" borderId="24" xfId="4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3" borderId="30" xfId="3" applyFont="1" applyBorder="1" applyAlignment="1">
      <alignment horizontal="center"/>
    </xf>
    <xf numFmtId="164" fontId="3" fillId="3" borderId="37" xfId="3" applyNumberFormat="1" applyFont="1" applyBorder="1" applyAlignment="1">
      <alignment horizontal="center"/>
    </xf>
    <xf numFmtId="0" fontId="3" fillId="3" borderId="39" xfId="3" applyFont="1" applyBorder="1" applyAlignment="1">
      <alignment horizontal="center"/>
    </xf>
    <xf numFmtId="3" fontId="7" fillId="0" borderId="27" xfId="4" applyNumberFormat="1" applyFont="1" applyFill="1" applyBorder="1" applyAlignment="1">
      <alignment horizontal="center" vertical="center" wrapText="1"/>
    </xf>
    <xf numFmtId="3" fontId="7" fillId="0" borderId="38" xfId="4" applyNumberFormat="1" applyFont="1" applyFill="1" applyBorder="1" applyAlignment="1">
      <alignment horizontal="center" vertical="center" wrapText="1"/>
    </xf>
    <xf numFmtId="164" fontId="7" fillId="0" borderId="27" xfId="1" applyNumberFormat="1" applyFont="1" applyFill="1" applyBorder="1" applyAlignment="1">
      <alignment horizontal="center" vertical="center" wrapText="1"/>
    </xf>
    <xf numFmtId="3" fontId="7" fillId="0" borderId="0" xfId="4" applyNumberFormat="1" applyFont="1" applyFill="1" applyBorder="1" applyAlignment="1">
      <alignment horizontal="center" vertical="center" wrapText="1"/>
    </xf>
    <xf numFmtId="3" fontId="7" fillId="6" borderId="32" xfId="4" applyNumberFormat="1" applyFont="1" applyFill="1" applyBorder="1" applyAlignment="1">
      <alignment horizontal="center" vertical="center" wrapText="1"/>
    </xf>
    <xf numFmtId="3" fontId="7" fillId="6" borderId="40" xfId="4" applyNumberFormat="1" applyFont="1" applyFill="1" applyBorder="1" applyAlignment="1">
      <alignment horizontal="center" vertical="center" wrapText="1"/>
    </xf>
    <xf numFmtId="3" fontId="7" fillId="3" borderId="37" xfId="3" applyNumberFormat="1" applyFont="1" applyBorder="1" applyAlignment="1">
      <alignment horizontal="center" vertical="center" wrapText="1"/>
    </xf>
    <xf numFmtId="164" fontId="7" fillId="3" borderId="31" xfId="3" applyNumberFormat="1" applyFont="1" applyBorder="1" applyAlignment="1">
      <alignment horizontal="center" vertical="center" wrapText="1"/>
    </xf>
    <xf numFmtId="3" fontId="7" fillId="0" borderId="41" xfId="4" applyNumberFormat="1" applyFont="1" applyFill="1" applyBorder="1" applyAlignment="1">
      <alignment horizontal="center" vertical="center" wrapText="1"/>
    </xf>
    <xf numFmtId="3" fontId="7" fillId="0" borderId="28" xfId="4" applyNumberFormat="1" applyFont="1" applyFill="1" applyBorder="1" applyAlignment="1">
      <alignment horizontal="center" vertical="center" wrapText="1"/>
    </xf>
    <xf numFmtId="3" fontId="3" fillId="5" borderId="9" xfId="0" applyNumberFormat="1" applyFont="1" applyFill="1" applyBorder="1" applyAlignment="1">
      <alignment horizontal="center" vertical="center" wrapText="1"/>
    </xf>
    <xf numFmtId="3" fontId="3" fillId="5" borderId="20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3" fontId="5" fillId="5" borderId="27" xfId="4" applyNumberFormat="1" applyFont="1" applyFill="1" applyBorder="1" applyAlignment="1">
      <alignment horizontal="center" vertical="center" wrapText="1"/>
    </xf>
    <xf numFmtId="3" fontId="5" fillId="5" borderId="38" xfId="4" applyNumberFormat="1" applyFont="1" applyFill="1" applyBorder="1" applyAlignment="1">
      <alignment horizontal="center" vertical="center" wrapText="1"/>
    </xf>
    <xf numFmtId="164" fontId="5" fillId="5" borderId="27" xfId="1" applyNumberFormat="1" applyFont="1" applyFill="1" applyBorder="1" applyAlignment="1">
      <alignment horizontal="center" vertical="center" wrapText="1"/>
    </xf>
    <xf numFmtId="3" fontId="5" fillId="3" borderId="39" xfId="3" applyNumberFormat="1" applyFont="1" applyBorder="1" applyAlignment="1">
      <alignment horizontal="center" vertical="center" wrapText="1"/>
    </xf>
    <xf numFmtId="3" fontId="5" fillId="3" borderId="30" xfId="3" applyNumberFormat="1" applyFont="1" applyBorder="1" applyAlignment="1">
      <alignment horizontal="center" vertical="center" wrapText="1"/>
    </xf>
    <xf numFmtId="164" fontId="5" fillId="3" borderId="32" xfId="3" applyNumberFormat="1" applyFont="1" applyBorder="1" applyAlignment="1">
      <alignment horizontal="center" vertical="center" wrapText="1"/>
    </xf>
    <xf numFmtId="164" fontId="7" fillId="0" borderId="32" xfId="3" applyNumberFormat="1" applyFont="1" applyFill="1" applyBorder="1" applyAlignment="1">
      <alignment horizontal="center" vertical="center" wrapText="1"/>
    </xf>
    <xf numFmtId="164" fontId="5" fillId="0" borderId="9" xfId="4" applyNumberFormat="1" applyFont="1" applyFill="1" applyBorder="1" applyAlignment="1">
      <alignment horizontal="center" vertical="center" wrapText="1"/>
    </xf>
    <xf numFmtId="164" fontId="5" fillId="3" borderId="34" xfId="3" applyNumberFormat="1" applyFont="1" applyBorder="1" applyAlignment="1">
      <alignment horizontal="center" vertical="center" wrapText="1"/>
    </xf>
    <xf numFmtId="164" fontId="3" fillId="3" borderId="30" xfId="3" applyNumberFormat="1" applyFont="1" applyBorder="1" applyAlignment="1">
      <alignment horizontal="center"/>
    </xf>
    <xf numFmtId="0" fontId="9" fillId="0" borderId="6" xfId="0" applyFont="1" applyBorder="1" applyAlignment="1">
      <alignment vertical="center" wrapText="1"/>
    </xf>
    <xf numFmtId="0" fontId="10" fillId="6" borderId="6" xfId="4" applyFont="1" applyFill="1" applyBorder="1" applyAlignment="1">
      <alignment vertical="center" wrapText="1"/>
    </xf>
    <xf numFmtId="0" fontId="10" fillId="0" borderId="6" xfId="4" applyFont="1" applyFill="1" applyBorder="1" applyAlignment="1">
      <alignment vertical="center" wrapText="1"/>
    </xf>
    <xf numFmtId="0" fontId="11" fillId="0" borderId="6" xfId="4" applyFont="1" applyBorder="1" applyAlignment="1">
      <alignment vertical="center" wrapText="1"/>
    </xf>
    <xf numFmtId="0" fontId="12" fillId="5" borderId="6" xfId="4" applyFont="1" applyFill="1" applyBorder="1" applyAlignment="1">
      <alignment vertical="center" wrapText="1"/>
    </xf>
    <xf numFmtId="0" fontId="12" fillId="0" borderId="6" xfId="4" applyFont="1" applyFill="1" applyBorder="1" applyAlignment="1">
      <alignment vertical="center" wrapText="1"/>
    </xf>
    <xf numFmtId="0" fontId="12" fillId="3" borderId="6" xfId="3" applyFont="1" applyBorder="1" applyAlignment="1">
      <alignment vertical="center" wrapText="1"/>
    </xf>
    <xf numFmtId="0" fontId="12" fillId="0" borderId="6" xfId="4" applyFont="1" applyFill="1" applyBorder="1" applyAlignment="1">
      <alignment horizontal="left" vertical="top" wrapText="1"/>
    </xf>
    <xf numFmtId="0" fontId="11" fillId="0" borderId="6" xfId="4" applyFont="1" applyBorder="1" applyAlignment="1">
      <alignment vertical="center"/>
    </xf>
    <xf numFmtId="0" fontId="11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3" borderId="6" xfId="3" applyFont="1" applyBorder="1" applyAlignment="1">
      <alignment vertical="center" wrapText="1"/>
    </xf>
    <xf numFmtId="0" fontId="10" fillId="3" borderId="6" xfId="3" applyFont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0" fillId="11" borderId="6" xfId="4" applyFont="1" applyFill="1" applyBorder="1" applyAlignment="1">
      <alignment vertical="center" wrapText="1"/>
    </xf>
    <xf numFmtId="0" fontId="2" fillId="9" borderId="6" xfId="2" applyFill="1" applyBorder="1" applyAlignment="1">
      <alignment horizontal="center" vertical="center" wrapText="1"/>
    </xf>
    <xf numFmtId="0" fontId="2" fillId="10" borderId="6" xfId="2" applyFill="1" applyBorder="1" applyAlignment="1">
      <alignment horizontal="center" vertical="center" wrapText="1"/>
    </xf>
    <xf numFmtId="0" fontId="13" fillId="14" borderId="6" xfId="4" applyFont="1" applyFill="1" applyBorder="1" applyAlignment="1">
      <alignment vertical="center" wrapText="1"/>
    </xf>
    <xf numFmtId="0" fontId="13" fillId="15" borderId="6" xfId="4" applyFont="1" applyFill="1" applyBorder="1" applyAlignment="1">
      <alignment vertical="center" wrapText="1"/>
    </xf>
    <xf numFmtId="0" fontId="14" fillId="15" borderId="6" xfId="4" applyFont="1" applyFill="1" applyBorder="1" applyAlignment="1">
      <alignment vertical="center" wrapText="1"/>
    </xf>
    <xf numFmtId="0" fontId="15" fillId="15" borderId="6" xfId="4" applyFont="1" applyFill="1" applyBorder="1" applyAlignment="1">
      <alignment vertical="center" wrapText="1"/>
    </xf>
    <xf numFmtId="0" fontId="13" fillId="14" borderId="29" xfId="4" applyFont="1" applyFill="1" applyBorder="1" applyAlignment="1">
      <alignment vertical="center" wrapText="1"/>
    </xf>
    <xf numFmtId="0" fontId="0" fillId="13" borderId="6" xfId="0" applyFill="1" applyBorder="1"/>
    <xf numFmtId="0" fontId="0" fillId="0" borderId="0" xfId="0" applyBorder="1"/>
    <xf numFmtId="0" fontId="14" fillId="15" borderId="6" xfId="2" applyFont="1" applyFill="1" applyBorder="1" applyAlignment="1">
      <alignment horizontal="center" vertical="center" wrapText="1"/>
    </xf>
    <xf numFmtId="0" fontId="14" fillId="15" borderId="6" xfId="2" applyFont="1" applyFill="1" applyBorder="1" applyAlignment="1">
      <alignment horizontal="center" vertical="top" wrapText="1"/>
    </xf>
    <xf numFmtId="3" fontId="6" fillId="0" borderId="0" xfId="4" applyNumberFormat="1" applyFont="1" applyFill="1" applyBorder="1" applyAlignment="1">
      <alignment horizontal="center" vertical="center" wrapText="1"/>
    </xf>
    <xf numFmtId="3" fontId="6" fillId="14" borderId="6" xfId="4" applyNumberFormat="1" applyFont="1" applyFill="1" applyBorder="1" applyAlignment="1">
      <alignment horizontal="center" vertical="center" wrapText="1"/>
    </xf>
    <xf numFmtId="3" fontId="6" fillId="16" borderId="6" xfId="3" applyNumberFormat="1" applyFont="1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/>
    </xf>
    <xf numFmtId="0" fontId="0" fillId="13" borderId="17" xfId="0" applyFill="1" applyBorder="1" applyAlignment="1">
      <alignment horizontal="center"/>
    </xf>
    <xf numFmtId="0" fontId="0" fillId="12" borderId="6" xfId="0" applyFill="1" applyBorder="1"/>
    <xf numFmtId="0" fontId="0" fillId="13" borderId="6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13" borderId="0" xfId="0" applyFill="1"/>
    <xf numFmtId="0" fontId="0" fillId="0" borderId="0" xfId="0" applyNumberFormat="1"/>
    <xf numFmtId="0" fontId="3" fillId="13" borderId="6" xfId="4" applyFill="1" applyBorder="1"/>
    <xf numFmtId="0" fontId="3" fillId="0" borderId="0" xfId="4" applyBorder="1" applyAlignment="1">
      <alignment horizontal="center" vertical="center"/>
    </xf>
    <xf numFmtId="0" fontId="3" fillId="0" borderId="28" xfId="4" applyBorder="1" applyAlignment="1">
      <alignment horizontal="center" vertical="center"/>
    </xf>
    <xf numFmtId="0" fontId="3" fillId="0" borderId="27" xfId="4" applyBorder="1" applyAlignment="1">
      <alignment horizontal="center" vertical="center"/>
    </xf>
    <xf numFmtId="0" fontId="3" fillId="0" borderId="38" xfId="4" applyBorder="1" applyAlignment="1">
      <alignment horizontal="center" vertical="center"/>
    </xf>
    <xf numFmtId="0" fontId="3" fillId="0" borderId="42" xfId="4" applyBorder="1" applyAlignment="1">
      <alignment horizontal="center" vertical="center"/>
    </xf>
    <xf numFmtId="0" fontId="3" fillId="0" borderId="43" xfId="4" applyBorder="1" applyAlignment="1">
      <alignment horizontal="center" vertical="center"/>
    </xf>
    <xf numFmtId="0" fontId="3" fillId="0" borderId="44" xfId="4" applyBorder="1" applyAlignment="1">
      <alignment horizontal="center" vertical="center"/>
    </xf>
    <xf numFmtId="0" fontId="3" fillId="0" borderId="29" xfId="4" applyBorder="1" applyAlignment="1">
      <alignment horizontal="center" vertical="center"/>
    </xf>
    <xf numFmtId="0" fontId="3" fillId="0" borderId="45" xfId="4" applyBorder="1" applyAlignment="1">
      <alignment horizontal="center" vertical="center"/>
    </xf>
    <xf numFmtId="0" fontId="11" fillId="0" borderId="38" xfId="4" applyFont="1" applyBorder="1" applyAlignment="1">
      <alignment vertical="center" wrapText="1"/>
    </xf>
    <xf numFmtId="0" fontId="11" fillId="0" borderId="43" xfId="4" applyFont="1" applyBorder="1" applyAlignment="1">
      <alignment vertical="center" wrapText="1"/>
    </xf>
    <xf numFmtId="0" fontId="11" fillId="0" borderId="45" xfId="4" applyFont="1" applyBorder="1" applyAlignment="1">
      <alignment vertical="center" wrapText="1"/>
    </xf>
    <xf numFmtId="164" fontId="0" fillId="0" borderId="0" xfId="0" applyNumberFormat="1"/>
    <xf numFmtId="164" fontId="3" fillId="13" borderId="6" xfId="4" applyNumberFormat="1" applyFill="1" applyBorder="1"/>
    <xf numFmtId="9" fontId="3" fillId="13" borderId="6" xfId="4" applyNumberFormat="1" applyFill="1" applyBorder="1"/>
    <xf numFmtId="9" fontId="3" fillId="13" borderId="6" xfId="5" applyFont="1" applyFill="1" applyBorder="1"/>
    <xf numFmtId="9" fontId="0" fillId="13" borderId="6" xfId="5" applyFont="1" applyFill="1" applyBorder="1"/>
    <xf numFmtId="0" fontId="3" fillId="0" borderId="0" xfId="4"/>
    <xf numFmtId="0" fontId="11" fillId="3" borderId="31" xfId="3" applyFont="1" applyBorder="1" applyAlignment="1">
      <alignment vertical="center" wrapText="1"/>
    </xf>
    <xf numFmtId="0" fontId="11" fillId="3" borderId="32" xfId="3" applyFont="1" applyBorder="1" applyAlignment="1">
      <alignment vertical="center" wrapText="1"/>
    </xf>
    <xf numFmtId="0" fontId="3" fillId="3" borderId="34" xfId="3" applyFont="1" applyBorder="1" applyAlignment="1">
      <alignment horizontal="center" vertical="center"/>
    </xf>
    <xf numFmtId="0" fontId="3" fillId="0" borderId="41" xfId="4" applyBorder="1" applyAlignment="1">
      <alignment horizontal="center" vertical="center"/>
    </xf>
    <xf numFmtId="0" fontId="3" fillId="0" borderId="46" xfId="4" applyBorder="1" applyAlignment="1">
      <alignment horizontal="center" vertical="center"/>
    </xf>
    <xf numFmtId="3" fontId="7" fillId="6" borderId="24" xfId="4" applyNumberFormat="1" applyFont="1" applyFill="1" applyBorder="1" applyAlignment="1">
      <alignment horizontal="center" vertical="center" wrapText="1"/>
    </xf>
    <xf numFmtId="3" fontId="7" fillId="6" borderId="47" xfId="4" applyNumberFormat="1" applyFont="1" applyFill="1" applyBorder="1" applyAlignment="1">
      <alignment horizontal="center" vertical="center" wrapText="1"/>
    </xf>
    <xf numFmtId="3" fontId="7" fillId="6" borderId="25" xfId="4" applyNumberFormat="1" applyFont="1" applyFill="1" applyBorder="1" applyAlignment="1">
      <alignment horizontal="center" vertical="center" wrapText="1"/>
    </xf>
    <xf numFmtId="3" fontId="7" fillId="0" borderId="47" xfId="4" applyNumberFormat="1" applyFont="1" applyFill="1" applyBorder="1" applyAlignment="1">
      <alignment horizontal="center" vertical="center" wrapText="1"/>
    </xf>
    <xf numFmtId="3" fontId="7" fillId="0" borderId="25" xfId="4" applyNumberFormat="1" applyFont="1" applyFill="1" applyBorder="1" applyAlignment="1">
      <alignment horizontal="center" vertical="center" wrapText="1"/>
    </xf>
    <xf numFmtId="0" fontId="3" fillId="3" borderId="30" xfId="3" applyFont="1" applyBorder="1" applyAlignment="1">
      <alignment horizontal="center" vertical="center"/>
    </xf>
    <xf numFmtId="0" fontId="3" fillId="3" borderId="31" xfId="3" applyFont="1" applyBorder="1" applyAlignment="1">
      <alignment horizontal="center" vertical="center"/>
    </xf>
    <xf numFmtId="0" fontId="11" fillId="0" borderId="28" xfId="4" applyFont="1" applyBorder="1" applyAlignment="1">
      <alignment vertical="center" wrapText="1"/>
    </xf>
    <xf numFmtId="0" fontId="11" fillId="0" borderId="27" xfId="4" applyFont="1" applyBorder="1" applyAlignment="1">
      <alignment vertical="center" wrapText="1"/>
    </xf>
    <xf numFmtId="0" fontId="11" fillId="0" borderId="29" xfId="4" applyFont="1" applyBorder="1" applyAlignment="1">
      <alignment vertical="center" wrapText="1"/>
    </xf>
    <xf numFmtId="0" fontId="3" fillId="0" borderId="48" xfId="4" applyFill="1" applyBorder="1" applyAlignment="1">
      <alignment horizontal="center" vertical="center"/>
    </xf>
    <xf numFmtId="3" fontId="5" fillId="3" borderId="49" xfId="3" applyNumberFormat="1" applyFont="1" applyBorder="1" applyAlignment="1">
      <alignment horizontal="center" vertical="center" wrapText="1"/>
    </xf>
    <xf numFmtId="3" fontId="7" fillId="0" borderId="50" xfId="4" applyNumberFormat="1" applyFont="1" applyFill="1" applyBorder="1" applyAlignment="1">
      <alignment horizontal="center" vertical="center" wrapText="1"/>
    </xf>
    <xf numFmtId="3" fontId="7" fillId="0" borderId="35" xfId="3" applyNumberFormat="1" applyFont="1" applyFill="1" applyBorder="1" applyAlignment="1">
      <alignment horizontal="center" vertical="center" wrapText="1"/>
    </xf>
    <xf numFmtId="3" fontId="7" fillId="0" borderId="49" xfId="3" applyNumberFormat="1" applyFont="1" applyFill="1" applyBorder="1" applyAlignment="1">
      <alignment horizontal="center" vertical="center" wrapText="1"/>
    </xf>
    <xf numFmtId="3" fontId="7" fillId="0" borderId="48" xfId="4" applyNumberFormat="1" applyFont="1" applyFill="1" applyBorder="1" applyAlignment="1">
      <alignment horizontal="center" vertical="center" wrapText="1"/>
    </xf>
    <xf numFmtId="3" fontId="5" fillId="5" borderId="47" xfId="4" applyNumberFormat="1" applyFont="1" applyFill="1" applyBorder="1" applyAlignment="1">
      <alignment horizontal="center" vertical="center" wrapText="1"/>
    </xf>
    <xf numFmtId="3" fontId="5" fillId="5" borderId="25" xfId="4" applyNumberFormat="1" applyFont="1" applyFill="1" applyBorder="1" applyAlignment="1">
      <alignment horizontal="center" vertical="center" wrapText="1"/>
    </xf>
    <xf numFmtId="3" fontId="5" fillId="0" borderId="47" xfId="4" applyNumberFormat="1" applyFont="1" applyFill="1" applyBorder="1" applyAlignment="1">
      <alignment horizontal="center" vertical="center" wrapText="1"/>
    </xf>
    <xf numFmtId="3" fontId="5" fillId="0" borderId="48" xfId="4" applyNumberFormat="1" applyFont="1" applyFill="1" applyBorder="1" applyAlignment="1">
      <alignment horizontal="center" vertical="center" wrapText="1"/>
    </xf>
    <xf numFmtId="0" fontId="3" fillId="0" borderId="23" xfId="4" applyFill="1" applyBorder="1" applyAlignment="1">
      <alignment horizontal="center" vertical="center"/>
    </xf>
    <xf numFmtId="3" fontId="5" fillId="3" borderId="40" xfId="3" applyNumberFormat="1" applyFont="1" applyBorder="1" applyAlignment="1">
      <alignment horizontal="center" vertical="center" wrapText="1"/>
    </xf>
    <xf numFmtId="3" fontId="7" fillId="0" borderId="37" xfId="3" applyNumberFormat="1" applyFont="1" applyFill="1" applyBorder="1" applyAlignment="1">
      <alignment horizontal="center" vertical="center" wrapText="1"/>
    </xf>
    <xf numFmtId="3" fontId="7" fillId="0" borderId="40" xfId="3" applyNumberFormat="1" applyFont="1" applyFill="1" applyBorder="1" applyAlignment="1">
      <alignment horizontal="center" vertical="center" wrapText="1"/>
    </xf>
    <xf numFmtId="164" fontId="5" fillId="0" borderId="27" xfId="1" applyNumberFormat="1" applyFont="1" applyFill="1" applyBorder="1" applyAlignment="1">
      <alignment horizontal="center" vertical="center" wrapText="1"/>
    </xf>
    <xf numFmtId="164" fontId="3" fillId="3" borderId="30" xfId="3" applyNumberFormat="1" applyFont="1" applyBorder="1" applyAlignment="1">
      <alignment horizontal="center" vertical="center"/>
    </xf>
    <xf numFmtId="164" fontId="3" fillId="3" borderId="31" xfId="3" applyNumberFormat="1" applyFont="1" applyBorder="1" applyAlignment="1">
      <alignment horizontal="center" vertical="center"/>
    </xf>
    <xf numFmtId="164" fontId="3" fillId="0" borderId="28" xfId="4" applyNumberFormat="1" applyBorder="1" applyAlignment="1">
      <alignment horizontal="center" vertical="center"/>
    </xf>
    <xf numFmtId="164" fontId="3" fillId="0" borderId="27" xfId="4" applyNumberFormat="1" applyBorder="1" applyAlignment="1">
      <alignment horizontal="center" vertical="center"/>
    </xf>
    <xf numFmtId="164" fontId="3" fillId="0" borderId="29" xfId="4" applyNumberFormat="1" applyBorder="1" applyAlignment="1">
      <alignment horizontal="center" vertical="center"/>
    </xf>
    <xf numFmtId="0" fontId="3" fillId="3" borderId="32" xfId="3" applyFont="1" applyBorder="1" applyAlignment="1">
      <alignment horizontal="center" vertical="center"/>
    </xf>
    <xf numFmtId="0" fontId="3" fillId="3" borderId="51" xfId="3" applyFont="1" applyBorder="1" applyAlignment="1">
      <alignment horizontal="center" vertical="center"/>
    </xf>
    <xf numFmtId="0" fontId="3" fillId="3" borderId="31" xfId="3" applyFont="1" applyBorder="1"/>
    <xf numFmtId="0" fontId="3" fillId="3" borderId="29" xfId="3" applyFont="1" applyBorder="1" applyAlignment="1">
      <alignment horizontal="center" vertical="center"/>
    </xf>
    <xf numFmtId="3" fontId="7" fillId="6" borderId="28" xfId="4" applyNumberFormat="1" applyFont="1" applyFill="1" applyBorder="1" applyAlignment="1">
      <alignment horizontal="center" vertical="center" wrapText="1"/>
    </xf>
    <xf numFmtId="3" fontId="7" fillId="3" borderId="52" xfId="3" applyNumberFormat="1" applyFont="1" applyBorder="1" applyAlignment="1">
      <alignment horizontal="center" vertical="center" wrapText="1"/>
    </xf>
    <xf numFmtId="0" fontId="11" fillId="3" borderId="30" xfId="3" applyFont="1" applyBorder="1" applyAlignment="1">
      <alignment vertical="center" wrapText="1"/>
    </xf>
    <xf numFmtId="0" fontId="0" fillId="12" borderId="0" xfId="0" applyFill="1" applyAlignment="1">
      <alignment horizontal="center" vertical="center"/>
    </xf>
    <xf numFmtId="0" fontId="16" fillId="8" borderId="6" xfId="0" applyFont="1" applyFill="1" applyBorder="1" applyAlignment="1">
      <alignment horizontal="center" vertical="center" wrapText="1"/>
    </xf>
    <xf numFmtId="0" fontId="2" fillId="18" borderId="6" xfId="2" applyFill="1" applyBorder="1" applyAlignment="1">
      <alignment horizontal="center" vertical="center" wrapText="1"/>
    </xf>
    <xf numFmtId="0" fontId="2" fillId="19" borderId="6" xfId="2" applyFill="1" applyBorder="1" applyAlignment="1">
      <alignment horizontal="center" vertical="center" wrapText="1"/>
    </xf>
    <xf numFmtId="0" fontId="8" fillId="20" borderId="6" xfId="2" applyFont="1" applyFill="1" applyBorder="1" applyAlignment="1">
      <alignment horizontal="center" vertical="top" wrapText="1"/>
    </xf>
    <xf numFmtId="0" fontId="14" fillId="13" borderId="6" xfId="4" applyFont="1" applyFill="1" applyBorder="1" applyAlignment="1">
      <alignment horizontal="left" vertical="top"/>
    </xf>
    <xf numFmtId="0" fontId="14" fillId="13" borderId="6" xfId="4" applyFont="1" applyFill="1" applyBorder="1" applyAlignment="1">
      <alignment horizontal="left" vertical="top" wrapText="1"/>
    </xf>
    <xf numFmtId="0" fontId="14" fillId="13" borderId="6" xfId="0" applyFont="1" applyFill="1" applyBorder="1" applyAlignment="1">
      <alignment horizontal="left" vertical="top"/>
    </xf>
    <xf numFmtId="0" fontId="14" fillId="13" borderId="6" xfId="0" applyFont="1" applyFill="1" applyBorder="1" applyAlignment="1">
      <alignment horizontal="left" vertical="top" wrapText="1"/>
    </xf>
    <xf numFmtId="0" fontId="17" fillId="0" borderId="0" xfId="0" applyFont="1"/>
    <xf numFmtId="0" fontId="18" fillId="0" borderId="0" xfId="0" applyFont="1" applyAlignment="1">
      <alignment horizontal="right" vertical="center"/>
    </xf>
    <xf numFmtId="0" fontId="19" fillId="0" borderId="0" xfId="0" applyFont="1"/>
    <xf numFmtId="0" fontId="21" fillId="0" borderId="0" xfId="0" applyFont="1"/>
    <xf numFmtId="0" fontId="22" fillId="0" borderId="0" xfId="0" applyFont="1"/>
    <xf numFmtId="0" fontId="16" fillId="21" borderId="6" xfId="0" applyFont="1" applyFill="1" applyBorder="1" applyAlignment="1">
      <alignment horizontal="center" vertical="center" wrapText="1"/>
    </xf>
    <xf numFmtId="3" fontId="3" fillId="4" borderId="16" xfId="0" applyNumberFormat="1" applyFont="1" applyFill="1" applyBorder="1" applyAlignment="1">
      <alignment horizontal="left" vertical="center" textRotation="90" wrapText="1"/>
    </xf>
    <xf numFmtId="3" fontId="6" fillId="3" borderId="53" xfId="3" applyNumberFormat="1" applyFont="1" applyBorder="1" applyAlignment="1">
      <alignment horizontal="left" vertical="center" wrapText="1"/>
    </xf>
    <xf numFmtId="3" fontId="6" fillId="3" borderId="37" xfId="3" applyNumberFormat="1" applyFont="1" applyBorder="1" applyAlignment="1">
      <alignment horizontal="left" vertical="center" wrapText="1"/>
    </xf>
    <xf numFmtId="3" fontId="6" fillId="3" borderId="54" xfId="3" applyNumberFormat="1" applyFont="1" applyBorder="1" applyAlignment="1">
      <alignment horizontal="left" vertical="center" wrapText="1"/>
    </xf>
    <xf numFmtId="3" fontId="6" fillId="0" borderId="53" xfId="3" applyNumberFormat="1" applyFont="1" applyFill="1" applyBorder="1" applyAlignment="1">
      <alignment horizontal="left" vertical="center" wrapText="1"/>
    </xf>
    <xf numFmtId="3" fontId="6" fillId="0" borderId="37" xfId="3" applyNumberFormat="1" applyFont="1" applyFill="1" applyBorder="1" applyAlignment="1">
      <alignment horizontal="left" vertical="center" wrapText="1"/>
    </xf>
    <xf numFmtId="3" fontId="6" fillId="0" borderId="54" xfId="3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3" fontId="24" fillId="22" borderId="6" xfId="0" applyNumberFormat="1" applyFont="1" applyFill="1" applyBorder="1" applyAlignment="1">
      <alignment horizontal="center"/>
    </xf>
    <xf numFmtId="0" fontId="24" fillId="22" borderId="6" xfId="0" applyFont="1" applyFill="1" applyBorder="1" applyAlignment="1">
      <alignment horizontal="center"/>
    </xf>
    <xf numFmtId="164" fontId="24" fillId="22" borderId="6" xfId="0" applyNumberFormat="1" applyFont="1" applyFill="1" applyBorder="1" applyAlignment="1">
      <alignment horizontal="center"/>
    </xf>
    <xf numFmtId="0" fontId="24" fillId="22" borderId="6" xfId="0" applyFont="1" applyFill="1" applyBorder="1"/>
    <xf numFmtId="3" fontId="24" fillId="0" borderId="6" xfId="0" applyNumberFormat="1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164" fontId="24" fillId="0" borderId="6" xfId="0" applyNumberFormat="1" applyFont="1" applyBorder="1" applyAlignment="1">
      <alignment horizontal="center"/>
    </xf>
    <xf numFmtId="0" fontId="24" fillId="0" borderId="6" xfId="0" applyFont="1" applyBorder="1"/>
    <xf numFmtId="0" fontId="3" fillId="13" borderId="26" xfId="4" applyFill="1" applyBorder="1" applyAlignment="1">
      <alignment horizontal="left" vertical="center"/>
    </xf>
    <xf numFmtId="0" fontId="3" fillId="13" borderId="16" xfId="4" applyFill="1" applyBorder="1" applyAlignment="1">
      <alignment horizontal="left" vertical="center"/>
    </xf>
    <xf numFmtId="0" fontId="3" fillId="13" borderId="17" xfId="4" applyFill="1" applyBorder="1" applyAlignment="1">
      <alignment horizontal="left" vertical="center"/>
    </xf>
    <xf numFmtId="0" fontId="20" fillId="0" borderId="0" xfId="0" applyFont="1" applyAlignment="1">
      <alignment horizontal="center" vertical="center"/>
    </xf>
  </cellXfs>
  <cellStyles count="6">
    <cellStyle name="Currency" xfId="1" builtinId="4"/>
    <cellStyle name="Good" xfId="2" builtinId="26"/>
    <cellStyle name="Normal" xfId="0" builtinId="0"/>
    <cellStyle name="Normal 2" xfId="4"/>
    <cellStyle name="Note" xfId="3" builtinId="10"/>
    <cellStyle name="Percent" xfId="5" builtinId="5"/>
  </cellStyles>
  <dxfs count="1">
    <dxf>
      <numFmt numFmtId="164" formatCode="&quot;$&quot;#,##0.00"/>
    </dxf>
  </dxfs>
  <tableStyles count="0" defaultTableStyle="TableStyleMedium9" defaultPivotStyle="PivotStyleLight16"/>
  <colors>
    <mruColors>
      <color rgb="FFBE97BF"/>
      <color rgb="FF754976"/>
      <color rgb="FF0C4976"/>
      <color rgb="FF758FC2"/>
      <color rgb="FFAFCF7B"/>
      <color rgb="FF869F2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Options!$AM$14</c:f>
          <c:strCache>
            <c:ptCount val="1"/>
            <c:pt idx="0">
              <c:v>Program Completers and Respondents</c:v>
            </c:pt>
          </c:strCache>
        </c:strRef>
      </c:tx>
      <c:layout>
        <c:manualLayout>
          <c:xMode val="edge"/>
          <c:yMode val="edge"/>
          <c:x val="0.20311041848935546"/>
          <c:y val="3.0864197530864196E-2"/>
        </c:manualLayout>
      </c:layout>
      <c:overlay val="0"/>
      <c:txPr>
        <a:bodyPr/>
        <a:lstStyle/>
        <a:p>
          <a:pPr algn="ctr">
            <a:defRPr sz="1200" b="0">
              <a:solidFill>
                <a:schemeClr val="tx1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419036162146402E-2"/>
          <c:y val="0.24851106574641132"/>
          <c:w val="0.84212059430071262"/>
          <c:h val="0.62461642526165706"/>
        </c:manualLayout>
      </c:layout>
      <c:lineChart>
        <c:grouping val="standard"/>
        <c:varyColors val="0"/>
        <c:ser>
          <c:idx val="0"/>
          <c:order val="0"/>
          <c:tx>
            <c:v>Completers</c:v>
          </c:tx>
          <c:spPr>
            <a:ln>
              <a:solidFill>
                <a:srgbClr val="758FC2"/>
              </a:solidFill>
            </a:ln>
          </c:spPr>
          <c:marker>
            <c:symbol val="circle"/>
            <c:size val="7"/>
            <c:spPr>
              <a:solidFill>
                <a:srgbClr val="0C4976">
                  <a:alpha val="79000"/>
                </a:srgbClr>
              </a:solidFill>
              <a:ln>
                <a:noFill/>
              </a:ln>
            </c:spPr>
          </c:marker>
          <c:dLbls>
            <c:txPr>
              <a:bodyPr/>
              <a:lstStyle/>
              <a:p>
                <a:pPr>
                  <a:defRPr sz="1000" b="0" baseline="0">
                    <a:solidFill>
                      <a:srgbClr val="0C4976"/>
                    </a:solidFill>
                    <a:latin typeface="Lucida Sans" pitchFamily="34" charset="0"/>
                    <a:cs typeface="Lucida Sans Unicode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Options!$S$14:$S$20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Options!$T$14:$T$20</c:f>
              <c:numCache>
                <c:formatCode>General</c:formatCode>
                <c:ptCount val="7"/>
                <c:pt idx="0">
                  <c:v>153</c:v>
                </c:pt>
                <c:pt idx="1">
                  <c:v>141</c:v>
                </c:pt>
                <c:pt idx="2">
                  <c:v>196</c:v>
                </c:pt>
                <c:pt idx="3">
                  <c:v>148</c:v>
                </c:pt>
                <c:pt idx="4">
                  <c:v>171</c:v>
                </c:pt>
                <c:pt idx="5">
                  <c:v>191</c:v>
                </c:pt>
                <c:pt idx="6">
                  <c:v>135</c:v>
                </c:pt>
              </c:numCache>
            </c:numRef>
          </c:val>
          <c:smooth val="0"/>
        </c:ser>
        <c:ser>
          <c:idx val="1"/>
          <c:order val="1"/>
          <c:tx>
            <c:v>Respondents</c:v>
          </c:tx>
          <c:spPr>
            <a:ln>
              <a:solidFill>
                <a:srgbClr val="AFCF7B"/>
              </a:solidFill>
            </a:ln>
          </c:spPr>
          <c:marker>
            <c:symbol val="circle"/>
            <c:size val="7"/>
            <c:spPr>
              <a:solidFill>
                <a:srgbClr val="869F29"/>
              </a:solidFill>
              <a:ln>
                <a:noFill/>
              </a:ln>
            </c:spPr>
          </c:marker>
          <c:dLbls>
            <c:txPr>
              <a:bodyPr/>
              <a:lstStyle/>
              <a:p>
                <a:pPr>
                  <a:defRPr baseline="0">
                    <a:solidFill>
                      <a:schemeClr val="accent3">
                        <a:lumMod val="50000"/>
                      </a:schemeClr>
                    </a:solidFill>
                    <a:latin typeface="Lucida Sans" pitchFamily="34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Options!$S$14:$S$20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Options!$U$14:$U$20</c:f>
              <c:numCache>
                <c:formatCode>General</c:formatCode>
                <c:ptCount val="7"/>
                <c:pt idx="0">
                  <c:v>84</c:v>
                </c:pt>
                <c:pt idx="1">
                  <c:v>89</c:v>
                </c:pt>
                <c:pt idx="2">
                  <c:v>106</c:v>
                </c:pt>
                <c:pt idx="3">
                  <c:v>97</c:v>
                </c:pt>
                <c:pt idx="4">
                  <c:v>105</c:v>
                </c:pt>
                <c:pt idx="5">
                  <c:v>112</c:v>
                </c:pt>
                <c:pt idx="6">
                  <c:v>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31328"/>
        <c:axId val="125332864"/>
      </c:lineChart>
      <c:catAx>
        <c:axId val="12533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>
            <a:solidFill>
              <a:schemeClr val="tx1">
                <a:lumMod val="50000"/>
                <a:lumOff val="50000"/>
              </a:schemeClr>
            </a:solidFill>
            <a:prstDash val="solid"/>
          </a:ln>
        </c:spPr>
        <c:txPr>
          <a:bodyPr/>
          <a:lstStyle/>
          <a:p>
            <a:pPr>
              <a:defRPr sz="800" i="0" baseline="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125332864"/>
        <c:crosses val="autoZero"/>
        <c:auto val="1"/>
        <c:lblAlgn val="ctr"/>
        <c:lblOffset val="100"/>
        <c:noMultiLvlLbl val="0"/>
      </c:catAx>
      <c:valAx>
        <c:axId val="125332864"/>
        <c:scaling>
          <c:orientation val="minMax"/>
        </c:scaling>
        <c:delete val="0"/>
        <c:axPos val="l"/>
        <c:majorGridlines>
          <c:spPr>
            <a:ln w="6350" cap="rnd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  <a:prstDash val="solid"/>
          </a:ln>
        </c:spPr>
        <c:txPr>
          <a:bodyPr/>
          <a:lstStyle/>
          <a:p>
            <a:pPr>
              <a:defRPr sz="800" baseline="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12533132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226560221638961"/>
          <c:y val="0.13081275720164609"/>
          <c:w val="0.49546879556722168"/>
          <c:h val="9.301910177894430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Options!$AM$16</c:f>
          <c:strCache>
            <c:ptCount val="1"/>
            <c:pt idx="0">
              <c:v>Program Completers and Response Rate %</c:v>
            </c:pt>
          </c:strCache>
        </c:strRef>
      </c:tx>
      <c:layout>
        <c:manualLayout>
          <c:xMode val="edge"/>
          <c:yMode val="edge"/>
          <c:x val="0.15258958515602217"/>
          <c:y val="4.6296296296296294E-2"/>
        </c:manualLayout>
      </c:layout>
      <c:overlay val="0"/>
      <c:txPr>
        <a:bodyPr/>
        <a:lstStyle/>
        <a:p>
          <a:pPr>
            <a:defRPr sz="12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06560536142252"/>
          <c:y val="0.20927099737532945"/>
          <c:w val="0.67935086545554668"/>
          <c:h val="0.668173422766598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Options!$V$13</c:f>
              <c:strCache>
                <c:ptCount val="1"/>
                <c:pt idx="0">
                  <c:v>RESPONSE RATE</c:v>
                </c:pt>
              </c:strCache>
            </c:strRef>
          </c:tx>
          <c:spPr>
            <a:solidFill>
              <a:srgbClr val="AFCF7B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numRef>
              <c:f>Options!$S$14:$S$20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Options!$V$14:$V$20</c:f>
              <c:numCache>
                <c:formatCode>0%</c:formatCode>
                <c:ptCount val="7"/>
                <c:pt idx="0">
                  <c:v>0.5490196078431373</c:v>
                </c:pt>
                <c:pt idx="1">
                  <c:v>0.63120567375886527</c:v>
                </c:pt>
                <c:pt idx="2">
                  <c:v>0.54081632653061229</c:v>
                </c:pt>
                <c:pt idx="3">
                  <c:v>0.65540540540540537</c:v>
                </c:pt>
                <c:pt idx="4">
                  <c:v>0.61403508771929827</c:v>
                </c:pt>
                <c:pt idx="5">
                  <c:v>0.58638743455497377</c:v>
                </c:pt>
                <c:pt idx="6">
                  <c:v>0.49629629629629629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5387904"/>
        <c:axId val="125389824"/>
      </c:barChart>
      <c:lineChart>
        <c:grouping val="standard"/>
        <c:varyColors val="0"/>
        <c:ser>
          <c:idx val="1"/>
          <c:order val="1"/>
          <c:tx>
            <c:v># of Completers</c:v>
          </c:tx>
          <c:spPr>
            <a:ln w="22225" cmpd="sng">
              <a:solidFill>
                <a:srgbClr val="758FC2"/>
              </a:solidFill>
              <a:prstDash val="solid"/>
              <a:headEnd type="none" w="sm" len="sm"/>
              <a:tailEnd type="none" w="med" len="lg"/>
            </a:ln>
          </c:spPr>
          <c:marker>
            <c:symbol val="circle"/>
            <c:size val="7"/>
            <c:spPr>
              <a:solidFill>
                <a:srgbClr val="0C4976"/>
              </a:solidFill>
              <a:ln>
                <a:noFill/>
              </a:ln>
            </c:spPr>
          </c:marker>
          <c:val>
            <c:numRef>
              <c:f>Options!$T$14:$T$20</c:f>
              <c:numCache>
                <c:formatCode>General</c:formatCode>
                <c:ptCount val="7"/>
                <c:pt idx="0">
                  <c:v>153</c:v>
                </c:pt>
                <c:pt idx="1">
                  <c:v>141</c:v>
                </c:pt>
                <c:pt idx="2">
                  <c:v>196</c:v>
                </c:pt>
                <c:pt idx="3">
                  <c:v>148</c:v>
                </c:pt>
                <c:pt idx="4">
                  <c:v>171</c:v>
                </c:pt>
                <c:pt idx="5">
                  <c:v>191</c:v>
                </c:pt>
                <c:pt idx="6">
                  <c:v>135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10304"/>
        <c:axId val="125408384"/>
      </c:lineChart>
      <c:catAx>
        <c:axId val="125387904"/>
        <c:scaling>
          <c:orientation val="minMax"/>
        </c:scaling>
        <c:delete val="0"/>
        <c:axPos val="b"/>
        <c:majorGridlines>
          <c:spPr>
            <a:ln w="6350" cap="rnd">
              <a:solidFill>
                <a:sysClr val="window" lastClr="FFFFFF">
                  <a:lumMod val="75000"/>
                </a:sysClr>
              </a:solidFill>
              <a:prstDash val="dash"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prstDash val="sysDash"/>
          </a:ln>
        </c:spPr>
        <c:txPr>
          <a:bodyPr/>
          <a:lstStyle/>
          <a:p>
            <a:pPr>
              <a:defRPr sz="800" i="0"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5389824"/>
        <c:crossesAt val="0"/>
        <c:auto val="1"/>
        <c:lblAlgn val="ctr"/>
        <c:lblOffset val="100"/>
        <c:noMultiLvlLbl val="0"/>
      </c:catAx>
      <c:valAx>
        <c:axId val="125389824"/>
        <c:scaling>
          <c:orientation val="minMax"/>
          <c:max val="1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 b="1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cs typeface="Lucida Sans Unicode" pitchFamily="34" charset="0"/>
                  </a:defRPr>
                </a:pPr>
                <a:r>
                  <a:rPr lang="en-US" b="1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</a:rPr>
                  <a:t>Response Rate %</a:t>
                </a:r>
              </a:p>
            </c:rich>
          </c:tx>
          <c:layout/>
          <c:overlay val="0"/>
          <c:spPr>
            <a:noFill/>
          </c:spPr>
        </c:title>
        <c:numFmt formatCode="0%" sourceLinked="1"/>
        <c:majorTickMark val="out"/>
        <c:minorTickMark val="none"/>
        <c:tickLblPos val="low"/>
        <c:spPr>
          <a:ln>
            <a:prstDash val="sysDash"/>
          </a:ln>
        </c:spPr>
        <c:txPr>
          <a:bodyPr/>
          <a:lstStyle/>
          <a:p>
            <a:pPr>
              <a:defRPr sz="800"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5387904"/>
        <c:crosses val="autoZero"/>
        <c:crossBetween val="between"/>
      </c:valAx>
      <c:valAx>
        <c:axId val="12540838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 algn="ctr">
                  <a:defRPr sz="1100" b="1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</a:defRPr>
                </a:pPr>
                <a:r>
                  <a:rPr lang="en-US" b="1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</a:rPr>
                  <a:t># of Completers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5410304"/>
        <c:crosses val="max"/>
        <c:crossBetween val="between"/>
      </c:valAx>
      <c:catAx>
        <c:axId val="125410304"/>
        <c:scaling>
          <c:orientation val="minMax"/>
        </c:scaling>
        <c:delete val="1"/>
        <c:axPos val="b"/>
        <c:majorTickMark val="out"/>
        <c:minorTickMark val="none"/>
        <c:tickLblPos val="none"/>
        <c:crossAx val="125408384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txPr>
    <a:bodyPr/>
    <a:lstStyle/>
    <a:p>
      <a:pPr>
        <a:defRPr baseline="0">
          <a:solidFill>
            <a:schemeClr val="tx1">
              <a:lumMod val="75000"/>
              <a:lumOff val="25000"/>
            </a:schemeClr>
          </a:solidFill>
          <a:latin typeface="Lucida Sans Unicode" pitchFamily="34" charset="0"/>
        </a:defRPr>
      </a:pPr>
      <a:endParaRPr lang="en-US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Options!$AM$18</c:f>
          <c:strCache>
            <c:ptCount val="1"/>
            <c:pt idx="0">
              <c:v>Total Employed %</c:v>
            </c:pt>
          </c:strCache>
        </c:strRef>
      </c:tx>
      <c:layout/>
      <c:overlay val="0"/>
      <c:txPr>
        <a:bodyPr/>
        <a:lstStyle/>
        <a:p>
          <a:pPr>
            <a:defRPr sz="1200" b="0">
              <a:solidFill>
                <a:schemeClr val="tx1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Options!$X$13</c:f>
              <c:strCache>
                <c:ptCount val="1"/>
                <c:pt idx="0">
                  <c:v>EMPLOYED %</c:v>
                </c:pt>
              </c:strCache>
            </c:strRef>
          </c:tx>
          <c:spPr>
            <a:solidFill>
              <a:srgbClr val="AFCF7B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txPr>
              <a:bodyPr/>
              <a:lstStyle/>
              <a:p>
                <a:pPr>
                  <a:defRPr b="0" baseline="0">
                    <a:solidFill>
                      <a:sysClr val="windowText" lastClr="000000"/>
                    </a:solidFill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Options!$S$14:$S$20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Options!$X$14:$X$20</c:f>
              <c:numCache>
                <c:formatCode>0%</c:formatCode>
                <c:ptCount val="7"/>
                <c:pt idx="0">
                  <c:v>0.77380952380952384</c:v>
                </c:pt>
                <c:pt idx="1">
                  <c:v>0.9213483146067416</c:v>
                </c:pt>
                <c:pt idx="2">
                  <c:v>0.77358490566037741</c:v>
                </c:pt>
                <c:pt idx="3">
                  <c:v>0.74226804123711343</c:v>
                </c:pt>
                <c:pt idx="4">
                  <c:v>0.76190476190476186</c:v>
                </c:pt>
                <c:pt idx="5">
                  <c:v>0.6785714285714286</c:v>
                </c:pt>
                <c:pt idx="6">
                  <c:v>0.77611940298507465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5425536"/>
        <c:axId val="129176320"/>
      </c:barChart>
      <c:catAx>
        <c:axId val="12542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solidFill>
              <a:schemeClr val="tx1">
                <a:lumMod val="50000"/>
                <a:lumOff val="50000"/>
              </a:schemeClr>
            </a:solidFill>
            <a:prstDash val="solid"/>
          </a:ln>
        </c:spPr>
        <c:txPr>
          <a:bodyPr/>
          <a:lstStyle/>
          <a:p>
            <a:pPr>
              <a:defRPr sz="800" i="0" baseline="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129176320"/>
        <c:crosses val="autoZero"/>
        <c:auto val="1"/>
        <c:lblAlgn val="ctr"/>
        <c:lblOffset val="100"/>
        <c:noMultiLvlLbl val="0"/>
      </c:catAx>
      <c:valAx>
        <c:axId val="129176320"/>
        <c:scaling>
          <c:orientation val="minMax"/>
          <c:max val="1"/>
        </c:scaling>
        <c:delete val="0"/>
        <c:axPos val="l"/>
        <c:majorGridlines>
          <c:spPr>
            <a:ln w="6350" cap="rnd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txPr>
          <a:bodyPr/>
          <a:lstStyle/>
          <a:p>
            <a:pPr>
              <a:defRPr sz="800" baseline="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125425536"/>
        <c:crosses val="autoZero"/>
        <c:crossBetween val="between"/>
        <c:minorUnit val="2.0000000000000011E-2"/>
      </c:valAx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Options!$AM$20</c:f>
          <c:strCache>
            <c:ptCount val="1"/>
            <c:pt idx="0">
              <c:v>Average Hourly Wage</c:v>
            </c:pt>
          </c:strCache>
        </c:strRef>
      </c:tx>
      <c:layout/>
      <c:overlay val="0"/>
      <c:txPr>
        <a:bodyPr/>
        <a:lstStyle/>
        <a:p>
          <a:pPr>
            <a:defRPr sz="12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Options!$Y$13</c:f>
              <c:strCache>
                <c:ptCount val="1"/>
                <c:pt idx="0">
                  <c:v>MEDIAN SALARY</c:v>
                </c:pt>
              </c:strCache>
            </c:strRef>
          </c:tx>
          <c:spPr>
            <a:solidFill>
              <a:srgbClr val="758FC2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_(&quot;$&quot;* #,##0.00_);_(&quot;$&quot;* \(#,##0.00\);_(&quot;$&quot;* &quot;-&quot;??_);_(@_)" sourceLinked="0"/>
            <c:txPr>
              <a:bodyPr/>
              <a:lstStyle/>
              <a:p>
                <a:pPr>
                  <a:defRPr b="0" baseline="0">
                    <a:solidFill>
                      <a:schemeClr val="tx1"/>
                    </a:solidFill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Options!$S$14:$S$20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Options!$Y$14:$Y$20</c:f>
              <c:numCache>
                <c:formatCode>"$"#,##0.00</c:formatCode>
                <c:ptCount val="7"/>
                <c:pt idx="0">
                  <c:v>14.7194</c:v>
                </c:pt>
                <c:pt idx="1">
                  <c:v>11.8608333333333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11.625</c:v>
                </c:pt>
                <c:pt idx="6">
                  <c:v>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9232256"/>
        <c:axId val="129292544"/>
      </c:barChart>
      <c:catAx>
        <c:axId val="12923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i="0" baseline="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129292544"/>
        <c:crosses val="autoZero"/>
        <c:auto val="1"/>
        <c:lblAlgn val="ctr"/>
        <c:lblOffset val="100"/>
        <c:noMultiLvlLbl val="0"/>
      </c:catAx>
      <c:valAx>
        <c:axId val="129292544"/>
        <c:scaling>
          <c:orientation val="minMax"/>
          <c:min val="0"/>
        </c:scaling>
        <c:delete val="0"/>
        <c:axPos val="l"/>
        <c:majorGridlines>
          <c:spPr>
            <a:ln w="6350" cap="rnd">
              <a:solidFill>
                <a:sysClr val="window" lastClr="FFFFFF">
                  <a:lumMod val="75000"/>
                </a:sysClr>
              </a:solidFill>
              <a:prstDash val="dash"/>
            </a:ln>
          </c:spPr>
        </c:majorGridlines>
        <c:numFmt formatCode="&quot;$&quot;#,##0.00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  <a:prstDash val="solid"/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129232256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ln>
      <a:solidFill>
        <a:sysClr val="windowText" lastClr="000000">
          <a:tint val="75000"/>
          <a:shade val="95000"/>
          <a:satMod val="105000"/>
        </a:sysClr>
      </a:solidFill>
    </a:ln>
  </c:sp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Options!$AM$24</c:f>
          <c:strCache>
            <c:ptCount val="1"/>
            <c:pt idx="0">
              <c:v>Students Continuing their Education %</c:v>
            </c:pt>
          </c:strCache>
        </c:strRef>
      </c:tx>
      <c:overlay val="0"/>
      <c:txPr>
        <a:bodyPr/>
        <a:lstStyle/>
        <a:p>
          <a:pPr>
            <a:defRPr sz="1200" b="0">
              <a:solidFill>
                <a:schemeClr val="tx1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00603933739712"/>
          <c:y val="0.1874710213752464"/>
          <c:w val="0.83871126242324046"/>
          <c:h val="0.675138524351122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Options!$AC$13</c:f>
              <c:strCache>
                <c:ptCount val="1"/>
                <c:pt idx="0">
                  <c:v>CONTIN ED %</c:v>
                </c:pt>
              </c:strCache>
            </c:strRef>
          </c:tx>
          <c:spPr>
            <a:solidFill>
              <a:srgbClr val="AFCF7B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aseline="0">
                    <a:solidFill>
                      <a:schemeClr val="tx1"/>
                    </a:solidFill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Options!$S$14:$S$20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Options!$AC$14:$AC$20</c:f>
              <c:numCache>
                <c:formatCode>0%</c:formatCode>
                <c:ptCount val="7"/>
                <c:pt idx="0">
                  <c:v>0.6785714285714286</c:v>
                </c:pt>
                <c:pt idx="1">
                  <c:v>0.29213483146067415</c:v>
                </c:pt>
                <c:pt idx="2">
                  <c:v>0.6132075471698113</c:v>
                </c:pt>
                <c:pt idx="3">
                  <c:v>0.7010309278350515</c:v>
                </c:pt>
                <c:pt idx="4">
                  <c:v>0.50476190476190474</c:v>
                </c:pt>
                <c:pt idx="5">
                  <c:v>0.7767857142857143</c:v>
                </c:pt>
                <c:pt idx="6">
                  <c:v>0.64179104477611937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11592960"/>
        <c:axId val="125251968"/>
      </c:barChart>
      <c:catAx>
        <c:axId val="111592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txPr>
          <a:bodyPr/>
          <a:lstStyle/>
          <a:p>
            <a:pPr>
              <a:defRPr sz="800" i="0" baseline="0">
                <a:solidFill>
                  <a:schemeClr val="tx1">
                    <a:lumMod val="85000"/>
                    <a:lumOff val="15000"/>
                  </a:schemeClr>
                </a:solidFill>
              </a:defRPr>
            </a:pPr>
            <a:endParaRPr lang="en-US"/>
          </a:p>
        </c:txPr>
        <c:crossAx val="125251968"/>
        <c:crosses val="autoZero"/>
        <c:auto val="1"/>
        <c:lblAlgn val="ctr"/>
        <c:lblOffset val="100"/>
        <c:noMultiLvlLbl val="0"/>
      </c:catAx>
      <c:valAx>
        <c:axId val="125251968"/>
        <c:scaling>
          <c:orientation val="minMax"/>
          <c:max val="1"/>
        </c:scaling>
        <c:delete val="0"/>
        <c:axPos val="b"/>
        <c:majorGridlines>
          <c:spPr>
            <a:ln w="6350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spPr>
          <a:ln w="6350">
            <a:solidFill>
              <a:schemeClr val="tx1">
                <a:lumMod val="50000"/>
                <a:lumOff val="50000"/>
              </a:schemeClr>
            </a:solidFill>
            <a:prstDash val="solid"/>
          </a:ln>
        </c:spPr>
        <c:txPr>
          <a:bodyPr/>
          <a:lstStyle/>
          <a:p>
            <a:pPr>
              <a:defRPr sz="800" baseline="0">
                <a:solidFill>
                  <a:schemeClr val="tx1">
                    <a:lumMod val="85000"/>
                    <a:lumOff val="15000"/>
                  </a:schemeClr>
                </a:solidFill>
              </a:defRPr>
            </a:pPr>
            <a:endParaRPr lang="en-US"/>
          </a:p>
        </c:txPr>
        <c:crossAx val="1115929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aseline="0">
          <a:solidFill>
            <a:schemeClr val="tx1">
              <a:lumMod val="75000"/>
              <a:lumOff val="25000"/>
            </a:schemeClr>
          </a:solidFill>
          <a:latin typeface="Lucida Sans Unicode" pitchFamily="34" charset="0"/>
        </a:defRPr>
      </a:pPr>
      <a:endParaRPr lang="en-US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Options!$AM$26</c:f>
          <c:strCache>
            <c:ptCount val="1"/>
            <c:pt idx="0">
              <c:v>Total Apprenticeships %</c:v>
            </c:pt>
          </c:strCache>
        </c:strRef>
      </c:tx>
      <c:overlay val="0"/>
      <c:txPr>
        <a:bodyPr/>
        <a:lstStyle/>
        <a:p>
          <a:pPr>
            <a:defRPr sz="1200" b="0">
              <a:solidFill>
                <a:schemeClr val="tx1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Options!$AE$13</c:f>
              <c:strCache>
                <c:ptCount val="1"/>
                <c:pt idx="0">
                  <c:v>APPRENTICESHIP %</c:v>
                </c:pt>
              </c:strCache>
            </c:strRef>
          </c:tx>
          <c:spPr>
            <a:solidFill>
              <a:srgbClr val="4F81BD">
                <a:lumMod val="60000"/>
                <a:lumOff val="40000"/>
              </a:srgbClr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aseline="0">
                    <a:solidFill>
                      <a:sysClr val="windowText" lastClr="000000"/>
                    </a:solidFill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Options!$S$14:$S$20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Options!$AE$14:$AE$20</c:f>
              <c:numCache>
                <c:formatCode>0%</c:formatCode>
                <c:ptCount val="7"/>
                <c:pt idx="0">
                  <c:v>0</c:v>
                </c:pt>
                <c:pt idx="1">
                  <c:v>0.1348314606741573</c:v>
                </c:pt>
                <c:pt idx="2">
                  <c:v>0.16037735849056603</c:v>
                </c:pt>
                <c:pt idx="3">
                  <c:v>0.31958762886597936</c:v>
                </c:pt>
                <c:pt idx="4">
                  <c:v>0.17142857142857143</c:v>
                </c:pt>
                <c:pt idx="5">
                  <c:v>0.10714285714285714</c:v>
                </c:pt>
                <c:pt idx="6">
                  <c:v>0.14925373134328357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31591552"/>
        <c:axId val="131877120"/>
      </c:barChart>
      <c:catAx>
        <c:axId val="1315915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ysClr val="windowText" lastClr="000000">
                <a:lumMod val="50000"/>
                <a:lumOff val="50000"/>
              </a:sysClr>
            </a:solidFill>
          </a:ln>
        </c:spPr>
        <c:txPr>
          <a:bodyPr/>
          <a:lstStyle/>
          <a:p>
            <a:pPr>
              <a:defRPr sz="800" baseline="0">
                <a:solidFill>
                  <a:schemeClr val="tx1">
                    <a:lumMod val="85000"/>
                    <a:lumOff val="1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131877120"/>
        <c:crosses val="autoZero"/>
        <c:auto val="1"/>
        <c:lblAlgn val="ctr"/>
        <c:lblOffset val="100"/>
        <c:noMultiLvlLbl val="0"/>
      </c:catAx>
      <c:valAx>
        <c:axId val="131877120"/>
        <c:scaling>
          <c:orientation val="minMax"/>
          <c:max val="1"/>
          <c:min val="0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</a:sysClr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spPr>
          <a:ln w="6350">
            <a:solidFill>
              <a:sysClr val="windowText" lastClr="000000">
                <a:lumMod val="50000"/>
                <a:lumOff val="50000"/>
              </a:sysClr>
            </a:solidFill>
            <a:prstDash val="solid"/>
          </a:ln>
        </c:spPr>
        <c:txPr>
          <a:bodyPr/>
          <a:lstStyle/>
          <a:p>
            <a:pPr>
              <a:defRPr sz="800" baseline="0">
                <a:solidFill>
                  <a:schemeClr val="tx1">
                    <a:lumMod val="85000"/>
                    <a:lumOff val="1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131591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744" l="0.70000000000000062" r="0.70000000000000062" t="0.750000000000007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Options!$AM$32</c:f>
          <c:strCache>
            <c:ptCount val="1"/>
            <c:pt idx="0">
              <c:v>State Licensing Exam %</c:v>
            </c:pt>
          </c:strCache>
        </c:strRef>
      </c:tx>
      <c:overlay val="0"/>
      <c:txPr>
        <a:bodyPr/>
        <a:lstStyle/>
        <a:p>
          <a:pPr>
            <a:defRPr sz="1200" b="0">
              <a:solidFill>
                <a:schemeClr val="tx1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173447069116354E-2"/>
          <c:y val="0.17231983733514791"/>
          <c:w val="0.91082655293088655"/>
          <c:h val="0.62388370435177098"/>
        </c:manualLayout>
      </c:layout>
      <c:barChart>
        <c:barDir val="col"/>
        <c:grouping val="clustered"/>
        <c:varyColors val="0"/>
        <c:ser>
          <c:idx val="0"/>
          <c:order val="0"/>
          <c:tx>
            <c:v>Took Exam</c:v>
          </c:tx>
          <c:spPr>
            <a:solidFill>
              <a:srgbClr val="AFCF7B"/>
            </a:solidFill>
            <a:ln>
              <a:noFill/>
            </a:ln>
            <a:effectLst/>
          </c:spPr>
          <c:invertIfNegative val="0"/>
          <c:dLbls>
            <c:txPr>
              <a:bodyPr/>
              <a:lstStyle/>
              <a:p>
                <a:pPr>
                  <a:defRPr sz="800"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Options!$S$14:$S$20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Options!$AG$14:$AG$20</c:f>
              <c:numCache>
                <c:formatCode>0%</c:formatCode>
                <c:ptCount val="7"/>
                <c:pt idx="0">
                  <c:v>0</c:v>
                </c:pt>
                <c:pt idx="1">
                  <c:v>0.6853932584269663</c:v>
                </c:pt>
                <c:pt idx="2">
                  <c:v>0.8867924528301887</c:v>
                </c:pt>
                <c:pt idx="3">
                  <c:v>0.87628865979381443</c:v>
                </c:pt>
                <c:pt idx="4">
                  <c:v>0.90476190476190477</c:v>
                </c:pt>
                <c:pt idx="5">
                  <c:v>0.8660714285714286</c:v>
                </c:pt>
                <c:pt idx="6">
                  <c:v>0.74626865671641796</c:v>
                </c:pt>
              </c:numCache>
            </c:numRef>
          </c:val>
        </c:ser>
        <c:ser>
          <c:idx val="1"/>
          <c:order val="1"/>
          <c:tx>
            <c:v>Passed Exam</c:v>
          </c:tx>
          <c:spPr>
            <a:solidFill>
              <a:srgbClr val="758FC2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txPr>
              <a:bodyPr/>
              <a:lstStyle/>
              <a:p>
                <a:pPr>
                  <a:defRPr sz="800"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Options!$S$14:$S$20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Options!$AI$14:$AI$20</c:f>
              <c:numCache>
                <c:formatCode>0%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0.97872340425531912</c:v>
                </c:pt>
                <c:pt idx="3">
                  <c:v>1</c:v>
                </c:pt>
                <c:pt idx="4">
                  <c:v>0.97894736842105268</c:v>
                </c:pt>
                <c:pt idx="5">
                  <c:v>0.97938144329896903</c:v>
                </c:pt>
                <c:pt idx="6">
                  <c:v>0.98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46750848"/>
        <c:axId val="146936960"/>
      </c:barChart>
      <c:catAx>
        <c:axId val="1467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i="0" baseline="0">
                <a:solidFill>
                  <a:schemeClr val="tx1">
                    <a:lumMod val="85000"/>
                    <a:lumOff val="1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146936960"/>
        <c:crosses val="autoZero"/>
        <c:auto val="1"/>
        <c:lblAlgn val="ctr"/>
        <c:lblOffset val="100"/>
        <c:noMultiLvlLbl val="0"/>
      </c:catAx>
      <c:valAx>
        <c:axId val="14693696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" lastClr="FFFFFF">
                  <a:lumMod val="75000"/>
                </a:sys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chemeClr val="tx1">
                    <a:lumMod val="85000"/>
                    <a:lumOff val="1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146750848"/>
        <c:crosses val="autoZero"/>
        <c:crossBetween val="between"/>
      </c:valAx>
    </c:plotArea>
    <c:legend>
      <c:legendPos val="b"/>
      <c:legendEntry>
        <c:idx val="0"/>
        <c:txPr>
          <a:bodyPr/>
          <a:lstStyle/>
          <a:p>
            <a:pPr>
              <a:defRPr sz="800"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27971216097988005"/>
          <c:y val="0.895345919597891"/>
          <c:w val="0.40106376676873723"/>
          <c:h val="9.347760928032145E-2"/>
        </c:manualLayout>
      </c:layout>
      <c:overlay val="0"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Options!$AM$30</c:f>
          <c:strCache>
            <c:ptCount val="1"/>
            <c:pt idx="0">
              <c:v>Program Met Students Instructional Goals</c:v>
            </c:pt>
          </c:strCache>
        </c:strRef>
      </c:tx>
      <c:overlay val="0"/>
      <c:spPr>
        <a:ln>
          <a:noFill/>
        </a:ln>
      </c:spPr>
      <c:txPr>
        <a:bodyPr/>
        <a:lstStyle/>
        <a:p>
          <a:pPr>
            <a:defRPr sz="1200" b="0">
              <a:solidFill>
                <a:schemeClr val="tx1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46308143773694"/>
          <c:y val="0.21580514241275395"/>
          <c:w val="0.86370821485855931"/>
          <c:h val="0.58540390784485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Options!$AK$13</c:f>
              <c:strCache>
                <c:ptCount val="1"/>
                <c:pt idx="0">
                  <c:v>INSTRUCTIONALGOALS MET %</c:v>
                </c:pt>
              </c:strCache>
            </c:strRef>
          </c:tx>
          <c:spPr>
            <a:solidFill>
              <a:srgbClr val="758FC2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txPr>
              <a:bodyPr/>
              <a:lstStyle/>
              <a:p>
                <a:pPr>
                  <a:defRPr sz="1000"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Options!$S$14:$S$20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Options!$AK$14:$AK$20</c:f>
              <c:numCache>
                <c:formatCode>0%</c:formatCode>
                <c:ptCount val="7"/>
                <c:pt idx="0">
                  <c:v>0.95238095238095233</c:v>
                </c:pt>
                <c:pt idx="1">
                  <c:v>0.97752808988764039</c:v>
                </c:pt>
                <c:pt idx="2">
                  <c:v>0.93396226415094341</c:v>
                </c:pt>
                <c:pt idx="3">
                  <c:v>0.96907216494845361</c:v>
                </c:pt>
                <c:pt idx="4">
                  <c:v>0.96190476190476193</c:v>
                </c:pt>
                <c:pt idx="5">
                  <c:v>0.9821428571428571</c:v>
                </c:pt>
                <c:pt idx="6">
                  <c:v>0.91044776119402981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7117952"/>
        <c:axId val="147119488"/>
      </c:barChart>
      <c:catAx>
        <c:axId val="14711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solidFill>
                  <a:schemeClr val="tx1">
                    <a:lumMod val="85000"/>
                    <a:lumOff val="1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147119488"/>
        <c:crosses val="autoZero"/>
        <c:auto val="1"/>
        <c:lblAlgn val="ctr"/>
        <c:lblOffset val="100"/>
        <c:noMultiLvlLbl val="0"/>
      </c:catAx>
      <c:valAx>
        <c:axId val="147119488"/>
        <c:scaling>
          <c:orientation val="minMax"/>
          <c:max val="1"/>
          <c:min val="0"/>
        </c:scaling>
        <c:delete val="0"/>
        <c:axPos val="l"/>
        <c:majorGridlines>
          <c:spPr>
            <a:ln w="6350" cap="rnd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solidFill>
                  <a:schemeClr val="tx1">
                    <a:lumMod val="85000"/>
                    <a:lumOff val="1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147117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16" fmlaLink="Options!$E$13" fmlaRange="Options!$D$13:$D$20" noThreeD="1" sel="6" val="0"/>
</file>

<file path=xl/ctrlProps/ctrlProp2.xml><?xml version="1.0" encoding="utf-8"?>
<formControlPr xmlns="http://schemas.microsoft.com/office/spreadsheetml/2009/9/main" objectType="Drop" dropStyle="combo" dx="16" fmlaLink="Options!$O$13" fmlaRange="Options!$N$13:$N$16" noThreeD="1" sel="4" val="0"/>
</file>

<file path=xl/ctrlProps/ctrlProp3.xml><?xml version="1.0" encoding="utf-8"?>
<formControlPr xmlns="http://schemas.microsoft.com/office/spreadsheetml/2009/9/main" objectType="Drop" dropStyle="combo" dx="16" fmlaLink="Options!$E$13" fmlaRange="Options!$D$13:$D$20" noThreeD="1" sel="6" val="0"/>
</file>

<file path=xl/ctrlProps/ctrlProp4.xml><?xml version="1.0" encoding="utf-8"?>
<formControlPr xmlns="http://schemas.microsoft.com/office/spreadsheetml/2009/9/main" objectType="Drop" dropStyle="combo" dx="16" fmlaLink="Options!$O$13" fmlaRange="Options!$N$13:$N$16" noThreeD="1" sel="4" val="0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jpeg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image" Target="../media/image1.jpeg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9527</xdr:colOff>
      <xdr:row>1</xdr:row>
      <xdr:rowOff>9524</xdr:rowOff>
    </xdr:from>
    <xdr:ext cx="5886448" cy="4352926"/>
    <xdr:sp macro="" textlink="">
      <xdr:nvSpPr>
        <xdr:cNvPr id="5" name="TextBox 4"/>
        <xdr:cNvSpPr txBox="1"/>
      </xdr:nvSpPr>
      <xdr:spPr>
        <a:xfrm>
          <a:off x="619127" y="561974"/>
          <a:ext cx="5886448" cy="43529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The VE-135 Survey is distributed every year to graduates of vocational education programs at FRCC.  The survey is meant to help track student success in these programs by asking a series of survey questions based on criteria such as hourly wage, gainful employment, and satisfaction with educational objectives. The VE-135 is distributed by email, phone, or postage, and all information concerning criteria on the survey is self-reported by respondents. Questions, like the one about employment, ask about a very specific time frame, and are not indicative of overall gainful employment that may take place in the future. </a:t>
          </a:r>
          <a:endParaRPr lang="en-US" sz="1300">
            <a:solidFill>
              <a:schemeClr val="tx1">
                <a:lumMod val="85000"/>
                <a:lumOff val="15000"/>
              </a:schemeClr>
            </a:solidFill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300">
            <a:solidFill>
              <a:schemeClr val="tx1">
                <a:lumMod val="85000"/>
                <a:lumOff val="1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The Institutional Research Department is now formatting the results of this survey in the form of an interactive dashboard. This dashboard consists of a series of bar and line graphs which can be sorted by program*</a:t>
          </a:r>
          <a:r>
            <a:rPr lang="en-US" sz="1300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 and</a:t>
          </a:r>
          <a:r>
            <a:rPr lang="en-US" sz="130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3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campus</a:t>
          </a:r>
          <a:r>
            <a:rPr lang="en-US" sz="130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, showing trends in student success over a 6 year span</a:t>
          </a:r>
          <a:r>
            <a:rPr lang="en-US" sz="1300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. Also, a priority campus reflects where the majority of hours are earned </a:t>
          </a:r>
          <a:r>
            <a:rPr lang="en-US" sz="1300" i="1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per term</a:t>
          </a:r>
          <a:r>
            <a:rPr lang="en-US" sz="1300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. Because the listed priority campus is based on the last term prior to graduation, it may not necessarily reflect where the </a:t>
          </a:r>
          <a:r>
            <a:rPr lang="en-US" sz="1300" i="1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majority</a:t>
          </a:r>
          <a:r>
            <a:rPr lang="en-US" sz="1300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 of a degree was earned, so the priority campus for a student may not actually be where the degree was held. (*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campus dashboard only includes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larger programs offered at Front Range Community College.)</a:t>
          </a:r>
          <a:endParaRPr lang="en-US" sz="1200" baseline="0">
            <a:solidFill>
              <a:schemeClr val="tx1">
                <a:lumMod val="85000"/>
                <a:lumOff val="1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300" baseline="0">
            <a:solidFill>
              <a:schemeClr val="tx1">
                <a:lumMod val="85000"/>
                <a:lumOff val="1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Each table corresponds with questions from the VE-135 Survey. The questions are as followed:</a:t>
          </a:r>
        </a:p>
        <a:p>
          <a:endParaRPr lang="en-US" sz="13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oneCellAnchor>
  <xdr:oneCellAnchor>
    <xdr:from>
      <xdr:col>11</xdr:col>
      <xdr:colOff>361950</xdr:colOff>
      <xdr:row>2</xdr:row>
      <xdr:rowOff>76200</xdr:rowOff>
    </xdr:from>
    <xdr:ext cx="184731" cy="264560"/>
    <xdr:sp macro="" textlink="">
      <xdr:nvSpPr>
        <xdr:cNvPr id="2" name="TextBox 1"/>
        <xdr:cNvSpPr txBox="1"/>
      </xdr:nvSpPr>
      <xdr:spPr>
        <a:xfrm>
          <a:off x="6877050" y="81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38100</xdr:colOff>
      <xdr:row>55</xdr:row>
      <xdr:rowOff>123825</xdr:rowOff>
    </xdr:from>
    <xdr:ext cx="5895975" cy="1109919"/>
    <xdr:sp macro="" textlink="">
      <xdr:nvSpPr>
        <xdr:cNvPr id="4" name="TextBox 3"/>
        <xdr:cNvSpPr txBox="1"/>
      </xdr:nvSpPr>
      <xdr:spPr>
        <a:xfrm>
          <a:off x="647700" y="10963275"/>
          <a:ext cx="5895975" cy="1109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300"/>
            <a:t>The first two graphs on the dashboard pertain to program completers and response rates. The first table shows the</a:t>
          </a:r>
          <a:r>
            <a:rPr lang="en-US" sz="1300" baseline="0"/>
            <a:t> number of students who completed a program,  accompanied by the number of people who actually responded to the survey. The second table shows the number of program completers as compared to the percentage of respondents, or the </a:t>
          </a:r>
          <a:r>
            <a:rPr lang="en-US" sz="1300" i="1" baseline="0"/>
            <a:t>response rate.</a:t>
          </a:r>
          <a:endParaRPr lang="en-US" sz="1300" i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114299</xdr:colOff>
      <xdr:row>3</xdr:row>
      <xdr:rowOff>0</xdr:rowOff>
    </xdr:from>
    <xdr:to>
      <xdr:col>9</xdr:col>
      <xdr:colOff>617219</xdr:colOff>
      <xdr:row>15</xdr:row>
      <xdr:rowOff>182880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</xdr:row>
      <xdr:rowOff>7620</xdr:rowOff>
    </xdr:from>
    <xdr:to>
      <xdr:col>17</xdr:col>
      <xdr:colOff>617220</xdr:colOff>
      <xdr:row>16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11430</xdr:colOff>
      <xdr:row>17</xdr:row>
      <xdr:rowOff>7620</xdr:rowOff>
    </xdr:from>
    <xdr:to>
      <xdr:col>10</xdr:col>
      <xdr:colOff>0</xdr:colOff>
      <xdr:row>30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17</xdr:row>
      <xdr:rowOff>7620</xdr:rowOff>
    </xdr:from>
    <xdr:to>
      <xdr:col>17</xdr:col>
      <xdr:colOff>617220</xdr:colOff>
      <xdr:row>30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9525</xdr:rowOff>
        </xdr:from>
        <xdr:to>
          <xdr:col>6</xdr:col>
          <xdr:colOff>0</xdr:colOff>
          <xdr:row>2</xdr:row>
          <xdr:rowOff>0</xdr:rowOff>
        </xdr:to>
        <xdr:sp macro="" textlink="">
          <xdr:nvSpPr>
            <xdr:cNvPr id="4100" name="Drop Down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9525</xdr:rowOff>
        </xdr:from>
        <xdr:to>
          <xdr:col>13</xdr:col>
          <xdr:colOff>619125</xdr:colOff>
          <xdr:row>2</xdr:row>
          <xdr:rowOff>0</xdr:rowOff>
        </xdr:to>
        <xdr:sp macro="" textlink="">
          <xdr:nvSpPr>
            <xdr:cNvPr id="4102" name="Drop Down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34</xdr:row>
      <xdr:rowOff>0</xdr:rowOff>
    </xdr:from>
    <xdr:to>
      <xdr:col>4</xdr:col>
      <xdr:colOff>608838</xdr:colOff>
      <xdr:row>37</xdr:row>
      <xdr:rowOff>68580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667500"/>
          <a:ext cx="1237488" cy="6400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17</xdr:row>
      <xdr:rowOff>7620</xdr:rowOff>
    </xdr:from>
    <xdr:to>
      <xdr:col>17</xdr:col>
      <xdr:colOff>617220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9</xdr:col>
      <xdr:colOff>617220</xdr:colOff>
      <xdr:row>29</xdr:row>
      <xdr:rowOff>182880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11430</xdr:colOff>
      <xdr:row>3</xdr:row>
      <xdr:rowOff>0</xdr:rowOff>
    </xdr:from>
    <xdr:to>
      <xdr:col>10</xdr:col>
      <xdr:colOff>0</xdr:colOff>
      <xdr:row>15</xdr:row>
      <xdr:rowOff>182880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0</xdr:row>
          <xdr:rowOff>323850</xdr:rowOff>
        </xdr:from>
        <xdr:to>
          <xdr:col>5</xdr:col>
          <xdr:colOff>266700</xdr:colOff>
          <xdr:row>1</xdr:row>
          <xdr:rowOff>95250</xdr:rowOff>
        </xdr:to>
        <xdr:sp macro="" textlink="">
          <xdr:nvSpPr>
            <xdr:cNvPr id="10241" name="Drop Down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0</xdr:row>
          <xdr:rowOff>323850</xdr:rowOff>
        </xdr:from>
        <xdr:to>
          <xdr:col>12</xdr:col>
          <xdr:colOff>133350</xdr:colOff>
          <xdr:row>1</xdr:row>
          <xdr:rowOff>95250</xdr:rowOff>
        </xdr:to>
        <xdr:sp macro="" textlink="">
          <xdr:nvSpPr>
            <xdr:cNvPr id="10242" name="Drop Down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11</xdr:col>
      <xdr:colOff>11430</xdr:colOff>
      <xdr:row>3</xdr:row>
      <xdr:rowOff>0</xdr:rowOff>
    </xdr:from>
    <xdr:to>
      <xdr:col>18</xdr:col>
      <xdr:colOff>0</xdr:colOff>
      <xdr:row>15</xdr:row>
      <xdr:rowOff>182880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0</xdr:colOff>
      <xdr:row>34</xdr:row>
      <xdr:rowOff>0</xdr:rowOff>
    </xdr:from>
    <xdr:to>
      <xdr:col>4</xdr:col>
      <xdr:colOff>608838</xdr:colOff>
      <xdr:row>37</xdr:row>
      <xdr:rowOff>68580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667500"/>
          <a:ext cx="1237488" cy="6400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allace, Kim" refreshedDate="41745.673287731479" createdVersion="3" refreshedVersion="4" minRefreshableVersion="3" recordCount="224">
  <cacheSource type="worksheet">
    <worksheetSource ref="B1:V225" sheet="Data"/>
  </cacheSource>
  <cacheFields count="21">
    <cacheField name="Year" numFmtId="0">
      <sharedItems containsSemiMixedTypes="0" containsString="0" containsNumber="1" containsInteger="1" minValue="2007" maxValue="2013" count="7">
        <n v="2013"/>
        <n v="2012"/>
        <n v="2011"/>
        <n v="2010"/>
        <n v="2009"/>
        <n v="2008"/>
        <n v="2007"/>
      </sharedItems>
    </cacheField>
    <cacheField name="Program" numFmtId="0">
      <sharedItems containsBlank="1" count="10">
        <s v="Accounting"/>
        <s v="Automotive Technology"/>
        <s v="Business"/>
        <s v="Computer Information Systems"/>
        <s v="Emergency Medical Services"/>
        <s v="Nurse Aide"/>
        <s v="Practical Nursing"/>
        <s v="Registered Nursing"/>
        <m u="1"/>
        <s v="Nursing" u="1"/>
      </sharedItems>
    </cacheField>
    <cacheField name="Priority Campus " numFmtId="3">
      <sharedItems count="9">
        <s v="Boulder County Campus"/>
        <s v="Larimer Campus"/>
        <s v="Online Campus"/>
        <s v="Westminster Campus"/>
        <s v="FLC" u="1"/>
        <s v="Onl" u="1"/>
        <s v="FWC" u="1"/>
        <s v="FBC" u="1"/>
        <s v="FON" u="1"/>
      </sharedItems>
    </cacheField>
    <cacheField name="Program Completers" numFmtId="0">
      <sharedItems containsString="0" containsBlank="1" containsNumber="1" containsInteger="1" minValue="0" maxValue="375"/>
    </cacheField>
    <cacheField name="Respondents" numFmtId="0">
      <sharedItems containsString="0" containsBlank="1" containsNumber="1" containsInteger="1" minValue="0" maxValue="162"/>
    </cacheField>
    <cacheField name="Respondents Employed, Related To Training" numFmtId="0">
      <sharedItems containsString="0" containsBlank="1" containsNumber="1" containsInteger="1" minValue="0" maxValue="91"/>
    </cacheField>
    <cacheField name="Median Hourly Wage of Emp., Related To Training" numFmtId="0">
      <sharedItems containsString="0" containsBlank="1" containsNumber="1" minValue="10.130000000000001" maxValue="39.629999999999995"/>
    </cacheField>
    <cacheField name="Respondents Employed, Unrelated To Training" numFmtId="0">
      <sharedItems containsString="0" containsBlank="1" containsNumber="1" containsInteger="1" minValue="0" maxValue="58"/>
    </cacheField>
    <cacheField name="Total Employed" numFmtId="0">
      <sharedItems containsString="0" containsBlank="1" containsNumber="1" containsInteger="1" minValue="0" maxValue="132"/>
    </cacheField>
    <cacheField name="Unemployed, Seeking Employment" numFmtId="0">
      <sharedItems containsString="0" containsBlank="1" containsNumber="1" containsInteger="1" minValue="0" maxValue="18"/>
    </cacheField>
    <cacheField name="Unemployed, Not Seeking Employment" numFmtId="0">
      <sharedItems containsString="0" containsBlank="1" containsNumber="1" containsInteger="1" minValue="0" maxValue="41"/>
    </cacheField>
    <cacheField name="Military Full-time" numFmtId="0">
      <sharedItems containsString="0" containsBlank="1" containsNumber="1" containsInteger="1" minValue="0" maxValue="3"/>
    </cacheField>
    <cacheField name="Military  Part-Time" numFmtId="0">
      <sharedItems containsString="0" containsBlank="1" containsNumber="1" containsInteger="1" minValue="0" maxValue="5"/>
    </cacheField>
    <cacheField name="Total in Military" numFmtId="0">
      <sharedItems containsString="0" containsBlank="1" containsNumber="1" containsInteger="1" minValue="0" maxValue="6"/>
    </cacheField>
    <cacheField name="Continuing Education (Secondary or Post-Secondary)" numFmtId="0">
      <sharedItems containsString="0" containsBlank="1" containsNumber="1" containsInteger="1" minValue="0" maxValue="113"/>
    </cacheField>
    <cacheField name="Apprenticeship related to FRCC training" numFmtId="0">
      <sharedItems containsString="0" containsBlank="1" containsNumber="1" containsInteger="1" minValue="0" maxValue="43"/>
    </cacheField>
    <cacheField name="Apprenticeship unrelated to FRCC training" numFmtId="0">
      <sharedItems containsString="0" containsBlank="1" containsNumber="1" containsInteger="1" minValue="0" maxValue="17"/>
    </cacheField>
    <cacheField name="Total in Apprenticeships" numFmtId="0">
      <sharedItems containsString="0" containsBlank="1" containsNumber="1" containsInteger="1" minValue="0" maxValue="46"/>
    </cacheField>
    <cacheField name="Took State Licensing Exam" numFmtId="0">
      <sharedItems containsString="0" containsBlank="1" containsNumber="1" containsInteger="1" minValue="0" maxValue="148"/>
    </cacheField>
    <cacheField name="Passed State Licensing Exam" numFmtId="0">
      <sharedItems containsString="0" containsBlank="1" containsNumber="1" containsInteger="1" minValue="0" maxValue="144"/>
    </cacheField>
    <cacheField name="Instructional Program Met Educational Goals" numFmtId="0">
      <sharedItems containsString="0" containsBlank="1" containsNumber="1" containsInteger="1" minValue="0" maxValue="1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4">
  <r>
    <x v="0"/>
    <x v="0"/>
    <x v="0"/>
    <n v="7"/>
    <n v="5"/>
    <n v="4"/>
    <m/>
    <n v="0"/>
    <n v="4"/>
    <n v="0"/>
    <n v="1"/>
    <n v="0"/>
    <n v="0"/>
    <n v="0"/>
    <n v="0"/>
    <n v="0"/>
    <n v="0"/>
    <n v="0"/>
    <n v="0"/>
    <n v="0"/>
    <n v="5"/>
  </r>
  <r>
    <x v="0"/>
    <x v="0"/>
    <x v="1"/>
    <n v="13"/>
    <n v="9"/>
    <n v="3"/>
    <m/>
    <n v="2"/>
    <n v="5"/>
    <n v="0"/>
    <n v="4"/>
    <n v="0"/>
    <n v="0"/>
    <n v="0"/>
    <n v="8"/>
    <n v="2"/>
    <n v="1"/>
    <n v="3"/>
    <n v="0"/>
    <n v="0"/>
    <n v="9"/>
  </r>
  <r>
    <x v="0"/>
    <x v="0"/>
    <x v="2"/>
    <n v="36"/>
    <n v="16"/>
    <n v="3"/>
    <m/>
    <n v="5"/>
    <n v="8"/>
    <n v="2"/>
    <n v="2"/>
    <n v="0"/>
    <n v="0"/>
    <n v="0"/>
    <n v="6"/>
    <n v="1"/>
    <n v="0"/>
    <n v="1"/>
    <n v="0"/>
    <n v="0"/>
    <n v="9"/>
  </r>
  <r>
    <x v="0"/>
    <x v="0"/>
    <x v="3"/>
    <n v="6"/>
    <n v="4"/>
    <m/>
    <m/>
    <m/>
    <m/>
    <m/>
    <m/>
    <m/>
    <m/>
    <m/>
    <m/>
    <m/>
    <m/>
    <m/>
    <m/>
    <m/>
    <m/>
  </r>
  <r>
    <x v="0"/>
    <x v="1"/>
    <x v="0"/>
    <m/>
    <m/>
    <m/>
    <m/>
    <m/>
    <m/>
    <m/>
    <m/>
    <m/>
    <m/>
    <m/>
    <m/>
    <m/>
    <m/>
    <m/>
    <m/>
    <m/>
    <m/>
  </r>
  <r>
    <x v="0"/>
    <x v="1"/>
    <x v="1"/>
    <n v="32"/>
    <n v="10"/>
    <n v="5"/>
    <n v="14.72"/>
    <n v="2"/>
    <n v="7"/>
    <n v="1"/>
    <n v="2"/>
    <n v="0"/>
    <n v="0"/>
    <n v="0"/>
    <n v="4"/>
    <n v="0"/>
    <n v="0"/>
    <n v="0"/>
    <n v="2"/>
    <n v="2"/>
    <n v="10"/>
  </r>
  <r>
    <x v="0"/>
    <x v="1"/>
    <x v="2"/>
    <m/>
    <m/>
    <m/>
    <m/>
    <m/>
    <m/>
    <m/>
    <m/>
    <m/>
    <m/>
    <m/>
    <m/>
    <m/>
    <m/>
    <m/>
    <m/>
    <m/>
    <m/>
  </r>
  <r>
    <x v="0"/>
    <x v="1"/>
    <x v="3"/>
    <n v="77"/>
    <n v="33"/>
    <n v="14"/>
    <n v="12"/>
    <n v="10"/>
    <n v="24"/>
    <n v="5"/>
    <n v="3"/>
    <n v="1"/>
    <n v="0"/>
    <n v="1"/>
    <n v="16"/>
    <n v="3"/>
    <n v="1"/>
    <n v="4"/>
    <n v="8"/>
    <n v="8"/>
    <n v="32"/>
  </r>
  <r>
    <x v="0"/>
    <x v="2"/>
    <x v="0"/>
    <n v="9"/>
    <n v="6"/>
    <n v="2"/>
    <m/>
    <n v="3"/>
    <n v="5"/>
    <n v="0"/>
    <n v="1"/>
    <n v="0"/>
    <n v="1"/>
    <n v="1"/>
    <n v="3"/>
    <n v="2"/>
    <n v="0"/>
    <n v="2"/>
    <n v="2"/>
    <n v="2"/>
    <n v="6"/>
  </r>
  <r>
    <x v="0"/>
    <x v="2"/>
    <x v="1"/>
    <n v="28"/>
    <n v="19"/>
    <n v="14"/>
    <n v="14.75"/>
    <n v="5"/>
    <n v="19"/>
    <n v="0"/>
    <n v="0"/>
    <n v="0"/>
    <n v="0"/>
    <n v="0"/>
    <n v="12"/>
    <n v="2"/>
    <n v="1"/>
    <n v="3"/>
    <n v="3"/>
    <n v="3"/>
    <n v="18"/>
  </r>
  <r>
    <x v="0"/>
    <x v="2"/>
    <x v="2"/>
    <n v="55"/>
    <n v="26"/>
    <n v="13"/>
    <n v="16"/>
    <n v="7"/>
    <n v="20"/>
    <n v="3"/>
    <n v="2"/>
    <n v="0"/>
    <n v="0"/>
    <n v="0"/>
    <n v="14"/>
    <n v="0"/>
    <n v="1"/>
    <n v="1"/>
    <n v="2"/>
    <n v="2"/>
    <n v="25"/>
  </r>
  <r>
    <x v="0"/>
    <x v="2"/>
    <x v="3"/>
    <n v="16"/>
    <n v="10"/>
    <n v="3"/>
    <m/>
    <n v="1"/>
    <n v="4"/>
    <n v="5"/>
    <n v="1"/>
    <n v="0"/>
    <n v="0"/>
    <n v="0"/>
    <n v="8"/>
    <n v="3"/>
    <n v="1"/>
    <n v="4"/>
    <n v="1"/>
    <n v="1"/>
    <n v="8"/>
  </r>
  <r>
    <x v="0"/>
    <x v="3"/>
    <x v="0"/>
    <n v="31"/>
    <n v="24"/>
    <n v="6"/>
    <n v="13"/>
    <n v="10"/>
    <n v="16"/>
    <n v="5"/>
    <n v="3"/>
    <n v="0"/>
    <n v="0"/>
    <n v="0"/>
    <n v="15"/>
    <n v="3"/>
    <n v="1"/>
    <n v="4"/>
    <n v="3"/>
    <n v="3"/>
    <n v="18"/>
  </r>
  <r>
    <x v="0"/>
    <x v="3"/>
    <x v="1"/>
    <n v="53"/>
    <n v="38"/>
    <n v="14"/>
    <n v="17"/>
    <n v="8"/>
    <n v="22"/>
    <n v="5"/>
    <n v="11"/>
    <n v="0"/>
    <n v="0"/>
    <n v="0"/>
    <n v="24"/>
    <n v="1"/>
    <n v="1"/>
    <n v="2"/>
    <n v="13"/>
    <n v="11"/>
    <n v="36"/>
  </r>
  <r>
    <x v="0"/>
    <x v="3"/>
    <x v="2"/>
    <n v="55"/>
    <n v="33"/>
    <n v="17"/>
    <n v="22.41"/>
    <n v="7"/>
    <n v="24"/>
    <n v="8"/>
    <n v="1"/>
    <n v="0"/>
    <n v="0"/>
    <n v="0"/>
    <n v="11"/>
    <n v="4"/>
    <n v="0"/>
    <n v="4"/>
    <n v="3"/>
    <n v="3"/>
    <n v="29"/>
  </r>
  <r>
    <x v="0"/>
    <x v="3"/>
    <x v="3"/>
    <n v="30"/>
    <n v="17"/>
    <n v="2"/>
    <m/>
    <n v="5"/>
    <n v="7"/>
    <n v="7"/>
    <n v="3"/>
    <n v="0"/>
    <n v="0"/>
    <n v="0"/>
    <n v="11"/>
    <n v="0"/>
    <n v="2"/>
    <n v="2"/>
    <n v="4"/>
    <n v="3"/>
    <n v="13"/>
  </r>
  <r>
    <x v="0"/>
    <x v="4"/>
    <x v="0"/>
    <n v="91"/>
    <n v="47"/>
    <n v="10"/>
    <n v="12.43"/>
    <n v="19"/>
    <n v="29"/>
    <n v="10"/>
    <n v="8"/>
    <n v="1"/>
    <n v="1"/>
    <n v="2"/>
    <n v="27"/>
    <n v="16"/>
    <n v="5"/>
    <n v="21"/>
    <n v="38"/>
    <n v="34"/>
    <n v="46"/>
  </r>
  <r>
    <x v="0"/>
    <x v="4"/>
    <x v="1"/>
    <n v="140"/>
    <n v="66"/>
    <n v="28"/>
    <n v="14"/>
    <n v="24"/>
    <n v="52"/>
    <n v="7"/>
    <n v="7"/>
    <n v="1"/>
    <n v="1"/>
    <n v="2"/>
    <n v="36"/>
    <n v="19"/>
    <n v="2"/>
    <n v="21"/>
    <n v="56"/>
    <n v="53"/>
    <n v="66"/>
  </r>
  <r>
    <x v="0"/>
    <x v="4"/>
    <x v="2"/>
    <n v="21"/>
    <n v="13"/>
    <n v="5"/>
    <n v="13"/>
    <n v="4"/>
    <n v="9"/>
    <n v="0"/>
    <n v="0"/>
    <n v="0"/>
    <n v="0"/>
    <n v="0"/>
    <n v="6"/>
    <n v="2"/>
    <n v="1"/>
    <n v="3"/>
    <n v="7"/>
    <n v="7"/>
    <n v="8"/>
  </r>
  <r>
    <x v="0"/>
    <x v="4"/>
    <x v="3"/>
    <n v="73"/>
    <n v="26"/>
    <n v="11"/>
    <n v="12"/>
    <n v="9"/>
    <n v="20"/>
    <n v="1"/>
    <n v="3"/>
    <n v="1"/>
    <n v="0"/>
    <n v="1"/>
    <n v="14"/>
    <n v="6"/>
    <n v="1"/>
    <n v="7"/>
    <n v="23"/>
    <n v="23"/>
    <n v="24"/>
  </r>
  <r>
    <x v="0"/>
    <x v="5"/>
    <x v="0"/>
    <n v="66"/>
    <n v="42"/>
    <n v="16"/>
    <n v="11.75"/>
    <n v="12"/>
    <n v="28"/>
    <n v="7"/>
    <n v="7"/>
    <n v="0"/>
    <n v="1"/>
    <n v="1"/>
    <n v="28"/>
    <n v="7"/>
    <n v="3"/>
    <n v="10"/>
    <n v="33"/>
    <n v="33"/>
    <n v="41"/>
  </r>
  <r>
    <x v="0"/>
    <x v="5"/>
    <x v="1"/>
    <n v="154"/>
    <n v="96"/>
    <n v="49"/>
    <n v="10.5"/>
    <n v="29"/>
    <n v="78"/>
    <n v="6"/>
    <n v="12"/>
    <n v="0"/>
    <n v="1"/>
    <n v="1"/>
    <n v="67"/>
    <n v="4"/>
    <n v="17"/>
    <n v="21"/>
    <n v="87"/>
    <n v="86"/>
    <n v="95"/>
  </r>
  <r>
    <x v="0"/>
    <x v="5"/>
    <x v="2"/>
    <n v="67"/>
    <n v="27"/>
    <n v="8"/>
    <n v="11"/>
    <n v="9"/>
    <n v="17"/>
    <n v="2"/>
    <n v="7"/>
    <n v="0"/>
    <n v="0"/>
    <n v="0"/>
    <n v="20"/>
    <n v="3"/>
    <n v="0"/>
    <n v="3"/>
    <n v="20"/>
    <n v="20"/>
    <n v="25"/>
  </r>
  <r>
    <x v="0"/>
    <x v="5"/>
    <x v="3"/>
    <n v="135"/>
    <n v="67"/>
    <n v="24"/>
    <n v="12"/>
    <n v="28"/>
    <n v="52"/>
    <n v="7"/>
    <n v="6"/>
    <n v="0"/>
    <n v="0"/>
    <n v="0"/>
    <n v="43"/>
    <n v="3"/>
    <n v="7"/>
    <n v="10"/>
    <n v="50"/>
    <n v="49"/>
    <n v="61"/>
  </r>
  <r>
    <x v="0"/>
    <x v="6"/>
    <x v="0"/>
    <n v="19"/>
    <n v="10"/>
    <n v="8"/>
    <n v="19"/>
    <n v="2"/>
    <n v="10"/>
    <n v="0"/>
    <n v="0"/>
    <n v="0"/>
    <n v="0"/>
    <n v="0"/>
    <n v="4"/>
    <n v="0"/>
    <n v="1"/>
    <n v="1"/>
    <n v="9"/>
    <n v="9"/>
    <n v="9"/>
  </r>
  <r>
    <x v="0"/>
    <x v="6"/>
    <x v="1"/>
    <n v="8"/>
    <n v="6"/>
    <n v="6"/>
    <n v="25"/>
    <n v="0"/>
    <n v="6"/>
    <n v="0"/>
    <n v="0"/>
    <n v="0"/>
    <n v="0"/>
    <n v="0"/>
    <n v="3"/>
    <n v="0"/>
    <n v="0"/>
    <n v="0"/>
    <n v="6"/>
    <n v="6"/>
    <n v="6"/>
  </r>
  <r>
    <x v="0"/>
    <x v="6"/>
    <x v="2"/>
    <n v="10"/>
    <n v="6"/>
    <n v="0"/>
    <m/>
    <n v="0"/>
    <n v="0"/>
    <n v="0"/>
    <n v="0"/>
    <n v="0"/>
    <n v="0"/>
    <n v="0"/>
    <n v="0"/>
    <n v="0"/>
    <n v="0"/>
    <n v="0"/>
    <n v="0"/>
    <n v="0"/>
    <n v="0"/>
  </r>
  <r>
    <x v="0"/>
    <x v="6"/>
    <x v="3"/>
    <n v="10"/>
    <n v="2"/>
    <m/>
    <m/>
    <m/>
    <m/>
    <m/>
    <m/>
    <m/>
    <m/>
    <m/>
    <m/>
    <m/>
    <m/>
    <m/>
    <m/>
    <m/>
    <m/>
  </r>
  <r>
    <x v="0"/>
    <x v="7"/>
    <x v="0"/>
    <n v="18"/>
    <n v="11"/>
    <n v="10"/>
    <n v="25.5"/>
    <n v="0"/>
    <n v="10"/>
    <n v="1"/>
    <n v="0"/>
    <n v="0"/>
    <n v="0"/>
    <n v="0"/>
    <n v="2"/>
    <n v="3"/>
    <n v="1"/>
    <n v="4"/>
    <n v="11"/>
    <n v="11"/>
    <n v="10"/>
  </r>
  <r>
    <x v="0"/>
    <x v="7"/>
    <x v="1"/>
    <n v="64"/>
    <n v="59"/>
    <n v="52"/>
    <n v="24.594999999999999"/>
    <n v="5"/>
    <n v="57"/>
    <n v="0"/>
    <n v="2"/>
    <n v="0"/>
    <n v="0"/>
    <n v="0"/>
    <n v="20"/>
    <n v="8"/>
    <n v="4"/>
    <n v="12"/>
    <n v="59"/>
    <n v="59"/>
    <n v="59"/>
  </r>
  <r>
    <x v="0"/>
    <x v="7"/>
    <x v="2"/>
    <n v="2"/>
    <n v="1"/>
    <m/>
    <m/>
    <m/>
    <m/>
    <m/>
    <m/>
    <m/>
    <m/>
    <m/>
    <m/>
    <m/>
    <m/>
    <m/>
    <m/>
    <m/>
    <m/>
  </r>
  <r>
    <x v="0"/>
    <x v="7"/>
    <x v="3"/>
    <n v="83"/>
    <n v="38"/>
    <n v="31"/>
    <m/>
    <n v="3"/>
    <n v="34"/>
    <n v="1"/>
    <n v="3"/>
    <n v="0"/>
    <n v="0"/>
    <n v="0"/>
    <n v="22"/>
    <n v="5"/>
    <n v="1"/>
    <n v="6"/>
    <n v="38"/>
    <n v="36"/>
    <n v="37"/>
  </r>
  <r>
    <x v="1"/>
    <x v="0"/>
    <x v="0"/>
    <n v="12"/>
    <n v="10"/>
    <n v="4"/>
    <m/>
    <n v="1"/>
    <n v="5"/>
    <n v="3"/>
    <n v="2"/>
    <m/>
    <m/>
    <n v="0"/>
    <n v="4"/>
    <n v="1"/>
    <m/>
    <n v="1"/>
    <n v="2"/>
    <n v="2"/>
    <n v="8"/>
  </r>
  <r>
    <x v="1"/>
    <x v="0"/>
    <x v="1"/>
    <n v="12"/>
    <n v="12"/>
    <n v="3"/>
    <m/>
    <n v="8"/>
    <n v="11"/>
    <m/>
    <n v="1"/>
    <m/>
    <m/>
    <n v="0"/>
    <n v="2"/>
    <m/>
    <m/>
    <n v="0"/>
    <n v="1"/>
    <n v="1"/>
    <n v="12"/>
  </r>
  <r>
    <x v="1"/>
    <x v="0"/>
    <x v="2"/>
    <n v="55"/>
    <n v="40"/>
    <n v="20"/>
    <n v="18.2"/>
    <n v="13"/>
    <n v="33"/>
    <n v="5"/>
    <n v="2"/>
    <m/>
    <m/>
    <n v="0"/>
    <n v="17"/>
    <n v="2"/>
    <n v="1"/>
    <n v="3"/>
    <n v="5"/>
    <n v="5"/>
    <n v="38"/>
  </r>
  <r>
    <x v="1"/>
    <x v="0"/>
    <x v="3"/>
    <n v="9"/>
    <n v="5"/>
    <n v="1"/>
    <m/>
    <n v="1"/>
    <n v="2"/>
    <n v="2"/>
    <n v="1"/>
    <m/>
    <m/>
    <n v="0"/>
    <n v="3"/>
    <m/>
    <m/>
    <n v="0"/>
    <m/>
    <m/>
    <n v="3"/>
  </r>
  <r>
    <x v="1"/>
    <x v="1"/>
    <x v="0"/>
    <m/>
    <m/>
    <m/>
    <m/>
    <m/>
    <m/>
    <m/>
    <m/>
    <m/>
    <m/>
    <m/>
    <m/>
    <m/>
    <m/>
    <m/>
    <m/>
    <m/>
    <m/>
  </r>
  <r>
    <x v="1"/>
    <x v="1"/>
    <x v="1"/>
    <n v="48"/>
    <n v="27"/>
    <n v="16"/>
    <m/>
    <n v="5"/>
    <n v="21"/>
    <n v="2"/>
    <n v="4"/>
    <m/>
    <m/>
    <n v="0"/>
    <n v="6"/>
    <m/>
    <n v="2"/>
    <n v="2"/>
    <n v="12"/>
    <n v="12"/>
    <n v="27"/>
  </r>
  <r>
    <x v="1"/>
    <x v="1"/>
    <x v="2"/>
    <n v="2"/>
    <n v="2"/>
    <m/>
    <m/>
    <m/>
    <m/>
    <m/>
    <m/>
    <m/>
    <m/>
    <m/>
    <m/>
    <m/>
    <m/>
    <m/>
    <m/>
    <m/>
    <m/>
  </r>
  <r>
    <x v="1"/>
    <x v="1"/>
    <x v="3"/>
    <n v="87"/>
    <n v="50"/>
    <n v="28"/>
    <n v="15.865"/>
    <n v="12"/>
    <n v="40"/>
    <n v="7"/>
    <n v="3"/>
    <n v="0"/>
    <n v="1"/>
    <n v="1"/>
    <n v="16"/>
    <n v="2"/>
    <n v="3"/>
    <n v="5"/>
    <n v="33"/>
    <n v="30"/>
    <n v="48"/>
  </r>
  <r>
    <x v="1"/>
    <x v="2"/>
    <x v="0"/>
    <n v="2"/>
    <n v="2"/>
    <m/>
    <m/>
    <m/>
    <m/>
    <m/>
    <m/>
    <m/>
    <m/>
    <m/>
    <m/>
    <m/>
    <m/>
    <m/>
    <m/>
    <m/>
    <m/>
  </r>
  <r>
    <x v="1"/>
    <x v="2"/>
    <x v="1"/>
    <n v="21"/>
    <n v="18"/>
    <n v="8"/>
    <n v="12"/>
    <n v="5"/>
    <n v="13"/>
    <n v="3"/>
    <n v="2"/>
    <m/>
    <n v="1"/>
    <n v="1"/>
    <n v="11"/>
    <n v="5"/>
    <m/>
    <n v="5"/>
    <n v="2"/>
    <n v="2"/>
    <n v="18"/>
  </r>
  <r>
    <x v="1"/>
    <x v="2"/>
    <x v="2"/>
    <n v="32"/>
    <n v="29"/>
    <n v="15"/>
    <n v="13.5"/>
    <n v="6"/>
    <n v="21"/>
    <n v="5"/>
    <n v="2"/>
    <m/>
    <m/>
    <n v="0"/>
    <n v="6"/>
    <m/>
    <m/>
    <n v="0"/>
    <n v="12"/>
    <n v="12"/>
    <n v="28"/>
  </r>
  <r>
    <x v="1"/>
    <x v="2"/>
    <x v="3"/>
    <n v="10"/>
    <n v="6"/>
    <n v="1"/>
    <m/>
    <n v="4"/>
    <n v="5"/>
    <n v="1"/>
    <m/>
    <m/>
    <m/>
    <n v="0"/>
    <n v="3"/>
    <m/>
    <m/>
    <n v="0"/>
    <n v="1"/>
    <n v="1"/>
    <n v="5"/>
  </r>
  <r>
    <x v="1"/>
    <x v="3"/>
    <x v="0"/>
    <n v="12"/>
    <n v="10"/>
    <n v="3"/>
    <m/>
    <n v="5"/>
    <n v="8"/>
    <n v="2"/>
    <m/>
    <m/>
    <m/>
    <n v="0"/>
    <n v="7"/>
    <n v="1"/>
    <m/>
    <n v="1"/>
    <m/>
    <m/>
    <n v="10"/>
  </r>
  <r>
    <x v="1"/>
    <x v="3"/>
    <x v="1"/>
    <n v="36"/>
    <n v="32"/>
    <n v="18"/>
    <n v="15"/>
    <n v="10"/>
    <n v="28"/>
    <n v="3"/>
    <n v="1"/>
    <m/>
    <m/>
    <n v="0"/>
    <n v="18"/>
    <n v="5"/>
    <m/>
    <n v="5"/>
    <n v="8"/>
    <n v="6"/>
    <n v="26"/>
  </r>
  <r>
    <x v="1"/>
    <x v="3"/>
    <x v="2"/>
    <n v="33"/>
    <n v="18"/>
    <n v="11"/>
    <n v="13.8"/>
    <n v="4"/>
    <n v="15"/>
    <n v="2"/>
    <n v="1"/>
    <m/>
    <m/>
    <n v="0"/>
    <n v="8"/>
    <m/>
    <m/>
    <n v="0"/>
    <m/>
    <m/>
    <n v="16"/>
  </r>
  <r>
    <x v="1"/>
    <x v="3"/>
    <x v="3"/>
    <n v="39"/>
    <n v="22"/>
    <n v="8"/>
    <n v="11.135"/>
    <n v="6"/>
    <n v="14"/>
    <n v="6"/>
    <n v="2"/>
    <n v="1"/>
    <m/>
    <n v="1"/>
    <n v="15"/>
    <n v="4"/>
    <n v="1"/>
    <n v="5"/>
    <n v="3"/>
    <n v="3"/>
    <n v="21"/>
  </r>
  <r>
    <x v="1"/>
    <x v="4"/>
    <x v="0"/>
    <n v="116"/>
    <n v="65"/>
    <n v="28"/>
    <n v="13"/>
    <n v="22"/>
    <n v="50"/>
    <n v="5"/>
    <n v="9"/>
    <n v="1"/>
    <n v="1"/>
    <n v="2"/>
    <n v="29"/>
    <n v="22"/>
    <n v="7"/>
    <n v="29"/>
    <n v="59"/>
    <n v="58"/>
    <n v="64"/>
  </r>
  <r>
    <x v="1"/>
    <x v="4"/>
    <x v="1"/>
    <n v="149"/>
    <n v="100"/>
    <n v="30"/>
    <n v="12.88"/>
    <n v="58"/>
    <n v="88"/>
    <n v="7"/>
    <n v="5"/>
    <n v="2"/>
    <n v="2"/>
    <n v="4"/>
    <n v="53"/>
    <n v="40"/>
    <n v="4"/>
    <n v="44"/>
    <n v="87"/>
    <n v="83"/>
    <n v="97"/>
  </r>
  <r>
    <x v="1"/>
    <x v="4"/>
    <x v="2"/>
    <m/>
    <m/>
    <m/>
    <m/>
    <m/>
    <m/>
    <m/>
    <m/>
    <m/>
    <m/>
    <m/>
    <m/>
    <m/>
    <m/>
    <m/>
    <m/>
    <m/>
    <m/>
  </r>
  <r>
    <x v="1"/>
    <x v="4"/>
    <x v="3"/>
    <n v="98"/>
    <n v="50"/>
    <n v="14"/>
    <n v="11"/>
    <n v="22"/>
    <n v="36"/>
    <n v="8"/>
    <n v="6"/>
    <m/>
    <n v="1"/>
    <n v="1"/>
    <n v="30"/>
    <n v="21"/>
    <n v="2"/>
    <n v="23"/>
    <n v="49"/>
    <n v="46"/>
    <n v="48"/>
  </r>
  <r>
    <x v="1"/>
    <x v="5"/>
    <x v="0"/>
    <n v="80"/>
    <n v="54"/>
    <n v="30"/>
    <n v="12"/>
    <n v="17"/>
    <n v="47"/>
    <n v="3"/>
    <n v="4"/>
    <m/>
    <n v="1"/>
    <n v="1"/>
    <n v="32"/>
    <n v="5"/>
    <n v="3"/>
    <n v="8"/>
    <n v="49"/>
    <n v="48"/>
    <n v="54"/>
  </r>
  <r>
    <x v="1"/>
    <x v="5"/>
    <x v="1"/>
    <n v="251"/>
    <n v="143"/>
    <n v="54"/>
    <n v="11"/>
    <n v="43"/>
    <n v="97"/>
    <n v="10"/>
    <n v="35"/>
    <m/>
    <n v="3"/>
    <n v="3"/>
    <n v="95"/>
    <n v="8"/>
    <n v="10"/>
    <n v="18"/>
    <n v="126"/>
    <n v="126"/>
    <n v="139"/>
  </r>
  <r>
    <x v="1"/>
    <x v="5"/>
    <x v="2"/>
    <n v="22"/>
    <n v="13"/>
    <n v="2"/>
    <m/>
    <n v="9"/>
    <n v="11"/>
    <n v="1"/>
    <m/>
    <m/>
    <m/>
    <n v="0"/>
    <n v="11"/>
    <m/>
    <m/>
    <n v="0"/>
    <n v="9"/>
    <n v="9"/>
    <n v="11"/>
  </r>
  <r>
    <x v="1"/>
    <x v="5"/>
    <x v="3"/>
    <n v="191"/>
    <n v="112"/>
    <n v="39"/>
    <n v="11.625"/>
    <n v="37"/>
    <n v="76"/>
    <n v="16"/>
    <n v="20"/>
    <n v="0"/>
    <n v="0"/>
    <n v="0"/>
    <n v="87"/>
    <n v="8"/>
    <n v="4"/>
    <n v="12"/>
    <n v="97"/>
    <n v="95"/>
    <n v="110"/>
  </r>
  <r>
    <x v="1"/>
    <x v="6"/>
    <x v="0"/>
    <n v="38"/>
    <n v="22"/>
    <n v="15"/>
    <n v="18"/>
    <n v="4"/>
    <n v="19"/>
    <n v="1"/>
    <n v="2"/>
    <m/>
    <m/>
    <n v="0"/>
    <n v="8"/>
    <m/>
    <m/>
    <n v="0"/>
    <n v="19"/>
    <n v="17"/>
    <n v="17"/>
  </r>
  <r>
    <x v="1"/>
    <x v="6"/>
    <x v="1"/>
    <n v="14"/>
    <n v="10"/>
    <n v="10"/>
    <n v="24.6"/>
    <m/>
    <n v="10"/>
    <m/>
    <m/>
    <m/>
    <m/>
    <n v="0"/>
    <n v="5"/>
    <m/>
    <n v="1"/>
    <n v="1"/>
    <n v="10"/>
    <n v="10"/>
    <n v="10"/>
  </r>
  <r>
    <x v="1"/>
    <x v="6"/>
    <x v="2"/>
    <m/>
    <m/>
    <m/>
    <m/>
    <m/>
    <m/>
    <m/>
    <m/>
    <m/>
    <m/>
    <m/>
    <m/>
    <m/>
    <m/>
    <m/>
    <m/>
    <m/>
    <m/>
  </r>
  <r>
    <x v="1"/>
    <x v="6"/>
    <x v="3"/>
    <n v="11"/>
    <n v="10"/>
    <n v="9"/>
    <m/>
    <m/>
    <n v="9"/>
    <m/>
    <n v="1"/>
    <m/>
    <m/>
    <n v="0"/>
    <n v="3"/>
    <n v="2"/>
    <m/>
    <n v="2"/>
    <n v="9"/>
    <n v="9"/>
    <n v="9"/>
  </r>
  <r>
    <x v="1"/>
    <x v="7"/>
    <x v="0"/>
    <n v="20"/>
    <n v="13"/>
    <n v="11"/>
    <n v="25.454999999999998"/>
    <n v="1"/>
    <n v="12"/>
    <n v="1"/>
    <m/>
    <m/>
    <m/>
    <n v="0"/>
    <n v="2"/>
    <n v="1"/>
    <m/>
    <n v="1"/>
    <n v="13"/>
    <n v="13"/>
    <n v="13"/>
  </r>
  <r>
    <x v="1"/>
    <x v="7"/>
    <x v="1"/>
    <n v="75"/>
    <n v="63"/>
    <n v="57"/>
    <n v="23.875"/>
    <n v="3"/>
    <n v="60"/>
    <m/>
    <n v="2"/>
    <m/>
    <m/>
    <n v="0"/>
    <n v="17"/>
    <n v="4"/>
    <n v="2"/>
    <n v="6"/>
    <n v="61"/>
    <n v="61"/>
    <n v="61"/>
  </r>
  <r>
    <x v="1"/>
    <x v="7"/>
    <x v="2"/>
    <m/>
    <m/>
    <m/>
    <m/>
    <m/>
    <m/>
    <m/>
    <m/>
    <m/>
    <m/>
    <m/>
    <m/>
    <m/>
    <m/>
    <m/>
    <m/>
    <m/>
    <m/>
  </r>
  <r>
    <x v="1"/>
    <x v="7"/>
    <x v="3"/>
    <n v="81"/>
    <n v="71"/>
    <n v="58"/>
    <n v="25"/>
    <n v="8"/>
    <n v="66"/>
    <n v="2"/>
    <n v="3"/>
    <m/>
    <m/>
    <n v="0"/>
    <n v="23"/>
    <n v="7"/>
    <n v="1"/>
    <n v="8"/>
    <n v="70"/>
    <n v="70"/>
    <n v="68"/>
  </r>
  <r>
    <x v="2"/>
    <x v="0"/>
    <x v="0"/>
    <n v="11"/>
    <n v="9"/>
    <n v="4"/>
    <m/>
    <n v="1"/>
    <n v="5"/>
    <n v="2"/>
    <n v="1"/>
    <m/>
    <m/>
    <n v="0"/>
    <n v="2"/>
    <n v="1"/>
    <m/>
    <n v="1"/>
    <m/>
    <m/>
    <n v="7"/>
  </r>
  <r>
    <x v="2"/>
    <x v="0"/>
    <x v="1"/>
    <n v="20"/>
    <n v="15"/>
    <n v="10"/>
    <n v="13"/>
    <n v="2"/>
    <n v="12"/>
    <n v="0"/>
    <n v="3"/>
    <m/>
    <m/>
    <n v="0"/>
    <n v="4"/>
    <n v="1"/>
    <m/>
    <n v="1"/>
    <n v="2"/>
    <n v="1"/>
    <n v="13"/>
  </r>
  <r>
    <x v="2"/>
    <x v="0"/>
    <x v="2"/>
    <n v="32"/>
    <n v="23"/>
    <n v="6"/>
    <n v="18"/>
    <n v="9"/>
    <n v="15"/>
    <n v="5"/>
    <n v="3"/>
    <n v="0"/>
    <n v="0"/>
    <n v="0"/>
    <n v="8"/>
    <n v="0"/>
    <n v="0"/>
    <n v="0"/>
    <n v="0"/>
    <n v="0"/>
    <n v="22"/>
  </r>
  <r>
    <x v="2"/>
    <x v="0"/>
    <x v="3"/>
    <n v="3"/>
    <n v="2"/>
    <m/>
    <m/>
    <m/>
    <m/>
    <m/>
    <m/>
    <m/>
    <m/>
    <m/>
    <m/>
    <m/>
    <m/>
    <m/>
    <m/>
    <m/>
    <m/>
  </r>
  <r>
    <x v="2"/>
    <x v="1"/>
    <x v="0"/>
    <m/>
    <m/>
    <m/>
    <m/>
    <m/>
    <m/>
    <m/>
    <m/>
    <m/>
    <m/>
    <m/>
    <m/>
    <m/>
    <m/>
    <m/>
    <m/>
    <m/>
    <m/>
  </r>
  <r>
    <x v="2"/>
    <x v="1"/>
    <x v="1"/>
    <n v="45"/>
    <n v="38"/>
    <n v="26"/>
    <n v="11.13"/>
    <n v="5"/>
    <n v="31"/>
    <n v="4"/>
    <n v="3"/>
    <m/>
    <m/>
    <n v="0"/>
    <n v="23"/>
    <n v="2"/>
    <n v="1"/>
    <n v="3"/>
    <n v="9"/>
    <n v="9"/>
    <n v="37"/>
  </r>
  <r>
    <x v="2"/>
    <x v="1"/>
    <x v="2"/>
    <n v="3"/>
    <n v="1"/>
    <m/>
    <m/>
    <m/>
    <m/>
    <m/>
    <m/>
    <m/>
    <m/>
    <m/>
    <m/>
    <m/>
    <m/>
    <m/>
    <m/>
    <m/>
    <m/>
  </r>
  <r>
    <x v="2"/>
    <x v="1"/>
    <x v="3"/>
    <n v="56"/>
    <n v="21"/>
    <n v="8"/>
    <n v="10.130000000000001"/>
    <n v="6"/>
    <n v="14"/>
    <n v="5"/>
    <n v="2"/>
    <n v="1"/>
    <m/>
    <n v="1"/>
    <n v="14"/>
    <n v="0"/>
    <n v="1"/>
    <n v="1"/>
    <n v="4"/>
    <n v="4"/>
    <n v="21"/>
  </r>
  <r>
    <x v="2"/>
    <x v="2"/>
    <x v="0"/>
    <n v="22"/>
    <n v="13"/>
    <n v="7"/>
    <n v="15"/>
    <n v="3"/>
    <n v="10"/>
    <n v="1"/>
    <n v="2"/>
    <m/>
    <m/>
    <n v="0"/>
    <n v="6"/>
    <n v="1"/>
    <m/>
    <n v="1"/>
    <m/>
    <m/>
    <n v="13"/>
  </r>
  <r>
    <x v="2"/>
    <x v="2"/>
    <x v="1"/>
    <n v="32"/>
    <n v="15"/>
    <n v="8"/>
    <n v="15"/>
    <n v="6"/>
    <n v="14"/>
    <n v="0"/>
    <n v="1"/>
    <m/>
    <m/>
    <n v="0"/>
    <n v="7"/>
    <n v="3"/>
    <m/>
    <n v="3"/>
    <n v="1"/>
    <n v="1"/>
    <n v="13"/>
  </r>
  <r>
    <x v="2"/>
    <x v="2"/>
    <x v="2"/>
    <n v="66"/>
    <n v="37"/>
    <n v="12"/>
    <n v="18"/>
    <n v="8"/>
    <n v="20"/>
    <n v="7"/>
    <n v="10"/>
    <n v="0"/>
    <n v="0"/>
    <n v="0"/>
    <n v="14"/>
    <n v="2"/>
    <n v="5"/>
    <n v="7"/>
    <n v="5"/>
    <n v="3"/>
    <n v="21"/>
  </r>
  <r>
    <x v="2"/>
    <x v="2"/>
    <x v="3"/>
    <n v="36"/>
    <n v="20"/>
    <n v="4"/>
    <m/>
    <n v="2"/>
    <n v="6"/>
    <n v="4"/>
    <n v="10"/>
    <m/>
    <m/>
    <n v="0"/>
    <n v="9"/>
    <n v="0"/>
    <n v="2"/>
    <n v="2"/>
    <n v="6"/>
    <n v="6"/>
    <n v="11"/>
  </r>
  <r>
    <x v="2"/>
    <x v="3"/>
    <x v="0"/>
    <n v="17"/>
    <n v="9"/>
    <n v="6"/>
    <n v="15.38"/>
    <n v="1"/>
    <n v="7"/>
    <n v="1"/>
    <n v="1"/>
    <m/>
    <m/>
    <n v="0"/>
    <n v="6"/>
    <n v="4"/>
    <m/>
    <n v="4"/>
    <n v="5"/>
    <n v="5"/>
    <n v="9"/>
  </r>
  <r>
    <x v="2"/>
    <x v="3"/>
    <x v="1"/>
    <n v="18"/>
    <n v="14"/>
    <n v="7"/>
    <n v="15.38"/>
    <n v="6"/>
    <n v="13"/>
    <n v="0"/>
    <n v="1"/>
    <m/>
    <m/>
    <n v="0"/>
    <n v="4"/>
    <n v="1"/>
    <n v="1"/>
    <n v="2"/>
    <n v="2"/>
    <n v="2"/>
    <n v="9"/>
  </r>
  <r>
    <x v="2"/>
    <x v="3"/>
    <x v="2"/>
    <n v="21"/>
    <n v="12"/>
    <n v="5"/>
    <n v="20"/>
    <n v="2"/>
    <n v="7"/>
    <n v="0"/>
    <n v="1"/>
    <n v="0"/>
    <n v="0"/>
    <n v="0"/>
    <n v="3"/>
    <n v="0"/>
    <n v="0"/>
    <n v="0"/>
    <n v="0"/>
    <n v="0"/>
    <n v="7"/>
  </r>
  <r>
    <x v="2"/>
    <x v="3"/>
    <x v="3"/>
    <n v="28"/>
    <n v="13"/>
    <n v="4"/>
    <m/>
    <n v="3"/>
    <n v="7"/>
    <n v="5"/>
    <n v="1"/>
    <m/>
    <m/>
    <n v="0"/>
    <n v="7"/>
    <n v="0"/>
    <n v="1"/>
    <n v="1"/>
    <n v="1"/>
    <n v="1"/>
    <n v="11"/>
  </r>
  <r>
    <x v="2"/>
    <x v="4"/>
    <x v="0"/>
    <n v="101"/>
    <n v="67"/>
    <n v="21"/>
    <n v="12"/>
    <n v="29"/>
    <n v="50"/>
    <n v="10"/>
    <n v="7"/>
    <m/>
    <m/>
    <n v="0"/>
    <n v="36"/>
    <n v="22"/>
    <n v="3"/>
    <n v="25"/>
    <n v="57"/>
    <n v="57"/>
    <n v="64"/>
  </r>
  <r>
    <x v="2"/>
    <x v="4"/>
    <x v="1"/>
    <n v="186"/>
    <n v="67"/>
    <n v="21"/>
    <n v="13"/>
    <n v="36"/>
    <n v="57"/>
    <n v="6"/>
    <n v="4"/>
    <n v="1"/>
    <n v="2"/>
    <n v="3"/>
    <n v="37"/>
    <n v="31"/>
    <n v="8"/>
    <n v="39"/>
    <n v="58"/>
    <n v="56"/>
    <n v="64"/>
  </r>
  <r>
    <x v="2"/>
    <x v="4"/>
    <x v="2"/>
    <n v="6"/>
    <n v="0"/>
    <m/>
    <m/>
    <m/>
    <m/>
    <m/>
    <m/>
    <m/>
    <m/>
    <m/>
    <m/>
    <m/>
    <m/>
    <m/>
    <m/>
    <m/>
    <m/>
  </r>
  <r>
    <x v="2"/>
    <x v="4"/>
    <x v="3"/>
    <n v="102"/>
    <n v="51"/>
    <n v="10"/>
    <n v="12"/>
    <n v="26"/>
    <n v="36"/>
    <n v="9"/>
    <n v="6"/>
    <n v="1"/>
    <n v="5"/>
    <n v="6"/>
    <n v="34"/>
    <n v="10"/>
    <n v="3"/>
    <n v="13"/>
    <n v="45"/>
    <n v="44"/>
    <n v="47"/>
  </r>
  <r>
    <x v="2"/>
    <x v="5"/>
    <x v="0"/>
    <n v="94"/>
    <n v="53"/>
    <n v="30"/>
    <n v="12.28"/>
    <n v="11"/>
    <n v="41"/>
    <n v="4"/>
    <n v="8"/>
    <n v="1"/>
    <m/>
    <n v="1"/>
    <n v="35"/>
    <n v="9"/>
    <n v="4"/>
    <n v="13"/>
    <n v="43"/>
    <n v="43"/>
    <n v="50"/>
  </r>
  <r>
    <x v="2"/>
    <x v="5"/>
    <x v="1"/>
    <n v="244"/>
    <n v="114"/>
    <n v="50"/>
    <n v="12.28"/>
    <n v="37"/>
    <n v="87"/>
    <n v="7"/>
    <n v="18"/>
    <m/>
    <m/>
    <n v="0"/>
    <n v="71"/>
    <n v="6"/>
    <n v="2"/>
    <n v="8"/>
    <n v="104"/>
    <n v="103"/>
    <n v="110"/>
  </r>
  <r>
    <x v="2"/>
    <x v="5"/>
    <x v="2"/>
    <n v="47"/>
    <n v="23"/>
    <n v="11"/>
    <n v="13"/>
    <n v="7"/>
    <n v="18"/>
    <n v="3"/>
    <n v="2"/>
    <n v="0"/>
    <n v="0"/>
    <n v="0"/>
    <n v="17"/>
    <n v="3"/>
    <n v="0"/>
    <n v="3"/>
    <n v="21"/>
    <n v="21"/>
    <n v="23"/>
  </r>
  <r>
    <x v="2"/>
    <x v="5"/>
    <x v="3"/>
    <n v="171"/>
    <n v="105"/>
    <n v="55"/>
    <n v="13"/>
    <n v="25"/>
    <n v="80"/>
    <n v="11"/>
    <n v="13"/>
    <n v="0"/>
    <n v="0"/>
    <n v="0"/>
    <n v="53"/>
    <n v="10"/>
    <n v="8"/>
    <n v="18"/>
    <n v="95"/>
    <n v="93"/>
    <n v="101"/>
  </r>
  <r>
    <x v="2"/>
    <x v="6"/>
    <x v="0"/>
    <n v="34"/>
    <n v="15"/>
    <n v="11"/>
    <n v="22"/>
    <n v="1"/>
    <n v="12"/>
    <n v="1"/>
    <n v="2"/>
    <m/>
    <m/>
    <n v="0"/>
    <n v="8"/>
    <n v="1"/>
    <m/>
    <n v="1"/>
    <n v="14"/>
    <n v="14"/>
    <n v="13"/>
  </r>
  <r>
    <x v="2"/>
    <x v="6"/>
    <x v="1"/>
    <n v="17"/>
    <n v="10"/>
    <n v="8"/>
    <n v="22"/>
    <n v="0"/>
    <n v="8"/>
    <n v="1"/>
    <n v="0"/>
    <m/>
    <m/>
    <n v="0"/>
    <n v="0"/>
    <n v="2"/>
    <m/>
    <n v="2"/>
    <n v="10"/>
    <n v="10"/>
    <n v="9"/>
  </r>
  <r>
    <x v="2"/>
    <x v="6"/>
    <x v="2"/>
    <n v="6"/>
    <n v="3"/>
    <m/>
    <m/>
    <m/>
    <m/>
    <m/>
    <m/>
    <m/>
    <m/>
    <m/>
    <m/>
    <m/>
    <m/>
    <m/>
    <m/>
    <m/>
    <m/>
  </r>
  <r>
    <x v="2"/>
    <x v="6"/>
    <x v="3"/>
    <n v="7"/>
    <n v="5"/>
    <n v="4"/>
    <m/>
    <n v="1"/>
    <n v="5"/>
    <n v="0"/>
    <n v="0"/>
    <m/>
    <m/>
    <n v="0"/>
    <n v="1"/>
    <n v="0"/>
    <m/>
    <n v="0"/>
    <n v="5"/>
    <n v="5"/>
    <n v="5"/>
  </r>
  <r>
    <x v="2"/>
    <x v="7"/>
    <x v="0"/>
    <n v="23"/>
    <n v="12"/>
    <n v="10"/>
    <n v="24.5"/>
    <n v="0"/>
    <n v="10"/>
    <n v="1"/>
    <n v="1"/>
    <m/>
    <m/>
    <n v="0"/>
    <n v="2"/>
    <n v="2"/>
    <m/>
    <n v="2"/>
    <n v="12"/>
    <n v="11"/>
    <n v="12"/>
  </r>
  <r>
    <x v="2"/>
    <x v="7"/>
    <x v="1"/>
    <n v="79"/>
    <n v="46"/>
    <n v="34"/>
    <n v="24.5"/>
    <n v="4"/>
    <n v="38"/>
    <n v="2"/>
    <n v="1"/>
    <n v="1"/>
    <m/>
    <n v="1"/>
    <n v="8"/>
    <n v="7"/>
    <m/>
    <n v="7"/>
    <n v="46"/>
    <n v="46"/>
    <n v="39"/>
  </r>
  <r>
    <x v="2"/>
    <x v="7"/>
    <x v="2"/>
    <n v="4"/>
    <n v="4"/>
    <m/>
    <m/>
    <m/>
    <m/>
    <m/>
    <m/>
    <m/>
    <m/>
    <m/>
    <m/>
    <m/>
    <m/>
    <m/>
    <m/>
    <m/>
    <m/>
  </r>
  <r>
    <x v="2"/>
    <x v="7"/>
    <x v="3"/>
    <n v="74"/>
    <n v="49"/>
    <n v="39"/>
    <n v="24.5"/>
    <n v="4"/>
    <n v="43"/>
    <n v="3"/>
    <n v="2"/>
    <m/>
    <m/>
    <n v="0"/>
    <n v="12"/>
    <n v="4"/>
    <n v="1"/>
    <n v="5"/>
    <n v="48"/>
    <n v="48"/>
    <n v="48"/>
  </r>
  <r>
    <x v="3"/>
    <x v="0"/>
    <x v="0"/>
    <n v="5"/>
    <n v="2"/>
    <m/>
    <m/>
    <m/>
    <m/>
    <m/>
    <m/>
    <m/>
    <m/>
    <m/>
    <m/>
    <m/>
    <m/>
    <m/>
    <m/>
    <m/>
    <m/>
  </r>
  <r>
    <x v="3"/>
    <x v="0"/>
    <x v="1"/>
    <n v="11"/>
    <n v="9"/>
    <n v="4"/>
    <m/>
    <n v="3"/>
    <n v="7"/>
    <n v="1"/>
    <m/>
    <m/>
    <m/>
    <n v="0"/>
    <n v="4"/>
    <m/>
    <m/>
    <n v="0"/>
    <n v="4"/>
    <n v="4"/>
    <n v="8"/>
  </r>
  <r>
    <x v="3"/>
    <x v="0"/>
    <x v="2"/>
    <n v="27"/>
    <n v="24"/>
    <n v="6"/>
    <n v="24.5"/>
    <n v="11"/>
    <n v="17"/>
    <n v="2"/>
    <n v="2"/>
    <n v="0"/>
    <n v="0"/>
    <n v="0"/>
    <n v="15"/>
    <n v="0"/>
    <n v="0"/>
    <n v="0"/>
    <n v="2"/>
    <n v="2"/>
    <n v="19"/>
  </r>
  <r>
    <x v="3"/>
    <x v="0"/>
    <x v="3"/>
    <n v="3"/>
    <n v="2"/>
    <m/>
    <m/>
    <m/>
    <m/>
    <m/>
    <m/>
    <m/>
    <m/>
    <m/>
    <m/>
    <m/>
    <m/>
    <m/>
    <m/>
    <m/>
    <m/>
  </r>
  <r>
    <x v="3"/>
    <x v="1"/>
    <x v="0"/>
    <m/>
    <m/>
    <m/>
    <m/>
    <m/>
    <m/>
    <m/>
    <m/>
    <m/>
    <m/>
    <m/>
    <m/>
    <m/>
    <m/>
    <m/>
    <m/>
    <m/>
    <m/>
  </r>
  <r>
    <x v="3"/>
    <x v="1"/>
    <x v="1"/>
    <n v="17"/>
    <n v="17"/>
    <n v="11"/>
    <n v="15"/>
    <n v="1"/>
    <n v="12"/>
    <n v="2"/>
    <n v="3"/>
    <m/>
    <m/>
    <n v="0"/>
    <n v="12"/>
    <m/>
    <m/>
    <n v="0"/>
    <n v="10"/>
    <n v="10"/>
    <n v="16"/>
  </r>
  <r>
    <x v="3"/>
    <x v="1"/>
    <x v="2"/>
    <n v="6"/>
    <n v="2"/>
    <m/>
    <m/>
    <m/>
    <m/>
    <m/>
    <m/>
    <m/>
    <m/>
    <m/>
    <m/>
    <m/>
    <m/>
    <m/>
    <m/>
    <m/>
    <m/>
  </r>
  <r>
    <x v="3"/>
    <x v="1"/>
    <x v="3"/>
    <n v="49"/>
    <n v="19"/>
    <n v="4"/>
    <m/>
    <n v="5"/>
    <n v="9"/>
    <n v="7"/>
    <n v="3"/>
    <m/>
    <n v="1"/>
    <n v="1"/>
    <n v="15"/>
    <n v="1"/>
    <n v="1"/>
    <n v="2"/>
    <n v="5"/>
    <n v="5"/>
    <n v="16"/>
  </r>
  <r>
    <x v="3"/>
    <x v="2"/>
    <x v="0"/>
    <n v="5"/>
    <n v="3"/>
    <m/>
    <m/>
    <m/>
    <m/>
    <m/>
    <m/>
    <m/>
    <m/>
    <m/>
    <m/>
    <m/>
    <m/>
    <m/>
    <m/>
    <m/>
    <m/>
  </r>
  <r>
    <x v="3"/>
    <x v="2"/>
    <x v="1"/>
    <n v="9"/>
    <n v="6"/>
    <n v="3"/>
    <m/>
    <n v="3"/>
    <n v="6"/>
    <m/>
    <m/>
    <m/>
    <m/>
    <n v="0"/>
    <n v="3"/>
    <m/>
    <m/>
    <n v="0"/>
    <m/>
    <m/>
    <n v="6"/>
  </r>
  <r>
    <x v="3"/>
    <x v="2"/>
    <x v="2"/>
    <n v="28"/>
    <n v="17"/>
    <n v="6"/>
    <n v="36"/>
    <n v="5"/>
    <n v="11"/>
    <n v="1"/>
    <n v="1"/>
    <n v="0"/>
    <n v="1"/>
    <n v="1"/>
    <n v="7"/>
    <n v="0"/>
    <n v="1"/>
    <n v="1"/>
    <n v="1"/>
    <n v="1"/>
    <n v="13"/>
  </r>
  <r>
    <x v="3"/>
    <x v="2"/>
    <x v="3"/>
    <n v="8"/>
    <n v="7"/>
    <n v="3"/>
    <m/>
    <n v="4"/>
    <n v="7"/>
    <m/>
    <m/>
    <m/>
    <m/>
    <n v="0"/>
    <n v="4"/>
    <m/>
    <m/>
    <n v="0"/>
    <n v="3"/>
    <n v="3"/>
    <n v="6"/>
  </r>
  <r>
    <x v="3"/>
    <x v="3"/>
    <x v="0"/>
    <n v="25"/>
    <n v="13"/>
    <n v="3"/>
    <m/>
    <n v="4"/>
    <n v="10"/>
    <n v="1"/>
    <n v="5"/>
    <m/>
    <m/>
    <n v="0"/>
    <n v="6"/>
    <n v="2"/>
    <m/>
    <n v="2"/>
    <n v="2"/>
    <n v="2"/>
    <n v="11"/>
  </r>
  <r>
    <x v="3"/>
    <x v="3"/>
    <x v="1"/>
    <n v="14"/>
    <n v="10"/>
    <n v="5"/>
    <n v="17.5"/>
    <n v="3"/>
    <n v="8"/>
    <n v="1"/>
    <n v="1"/>
    <m/>
    <n v="1"/>
    <n v="1"/>
    <n v="2"/>
    <n v="1"/>
    <n v="1"/>
    <n v="2"/>
    <n v="2"/>
    <n v="2"/>
    <n v="8"/>
  </r>
  <r>
    <x v="3"/>
    <x v="3"/>
    <x v="2"/>
    <n v="20"/>
    <n v="7"/>
    <n v="2"/>
    <m/>
    <n v="2"/>
    <n v="4"/>
    <n v="1"/>
    <n v="0"/>
    <n v="0"/>
    <n v="1"/>
    <n v="1"/>
    <n v="6"/>
    <n v="0"/>
    <n v="1"/>
    <n v="1"/>
    <n v="2"/>
    <n v="2"/>
    <n v="4"/>
  </r>
  <r>
    <x v="3"/>
    <x v="3"/>
    <x v="3"/>
    <n v="13"/>
    <n v="9"/>
    <n v="5"/>
    <n v="17.5"/>
    <n v="3"/>
    <n v="8"/>
    <n v="1"/>
    <m/>
    <m/>
    <m/>
    <n v="0"/>
    <n v="3"/>
    <m/>
    <n v="1"/>
    <n v="3"/>
    <n v="3"/>
    <n v="3"/>
    <n v="8"/>
  </r>
  <r>
    <x v="3"/>
    <x v="4"/>
    <x v="0"/>
    <n v="155"/>
    <n v="94"/>
    <n v="28"/>
    <n v="11.75"/>
    <n v="45"/>
    <n v="73"/>
    <n v="7"/>
    <n v="14"/>
    <m/>
    <n v="2"/>
    <n v="2"/>
    <n v="50"/>
    <n v="33"/>
    <n v="6"/>
    <n v="39"/>
    <n v="78"/>
    <n v="75"/>
    <n v="92"/>
  </r>
  <r>
    <x v="3"/>
    <x v="4"/>
    <x v="1"/>
    <n v="173"/>
    <n v="50"/>
    <n v="13"/>
    <n v="11.75"/>
    <n v="20"/>
    <n v="33"/>
    <n v="7"/>
    <n v="10"/>
    <m/>
    <n v="2"/>
    <n v="2"/>
    <n v="34"/>
    <n v="22"/>
    <m/>
    <n v="22"/>
    <n v="43"/>
    <n v="41"/>
    <n v="48"/>
  </r>
  <r>
    <x v="3"/>
    <x v="4"/>
    <x v="2"/>
    <n v="24"/>
    <n v="14"/>
    <n v="1"/>
    <m/>
    <n v="4"/>
    <n v="5"/>
    <n v="3"/>
    <n v="2"/>
    <n v="0"/>
    <n v="1"/>
    <n v="1"/>
    <n v="8"/>
    <n v="5"/>
    <n v="0"/>
    <n v="5"/>
    <n v="10"/>
    <n v="10"/>
    <n v="10"/>
  </r>
  <r>
    <x v="3"/>
    <x v="4"/>
    <x v="3"/>
    <n v="115"/>
    <n v="66"/>
    <n v="19"/>
    <n v="11.75"/>
    <n v="31"/>
    <n v="50"/>
    <n v="15"/>
    <m/>
    <m/>
    <m/>
    <n v="0"/>
    <n v="29"/>
    <n v="19"/>
    <n v="5"/>
    <n v="24"/>
    <n v="56"/>
    <n v="55"/>
    <n v="58"/>
  </r>
  <r>
    <x v="3"/>
    <x v="5"/>
    <x v="0"/>
    <n v="85"/>
    <n v="48"/>
    <n v="22"/>
    <n v="11.5"/>
    <n v="16"/>
    <n v="38"/>
    <n v="4"/>
    <n v="5"/>
    <m/>
    <n v="1"/>
    <n v="1"/>
    <n v="32"/>
    <n v="4"/>
    <n v="3"/>
    <n v="7"/>
    <n v="41"/>
    <n v="41"/>
    <n v="47"/>
  </r>
  <r>
    <x v="3"/>
    <x v="5"/>
    <x v="1"/>
    <n v="375"/>
    <n v="161"/>
    <n v="67"/>
    <n v="11.5"/>
    <n v="34"/>
    <n v="101"/>
    <n v="18"/>
    <n v="41"/>
    <m/>
    <n v="3"/>
    <n v="3"/>
    <n v="113"/>
    <n v="7"/>
    <n v="10"/>
    <n v="17"/>
    <n v="146"/>
    <n v="144"/>
    <n v="159"/>
  </r>
  <r>
    <x v="3"/>
    <x v="5"/>
    <x v="2"/>
    <n v="73"/>
    <n v="43"/>
    <n v="15"/>
    <n v="12"/>
    <n v="15"/>
    <n v="30"/>
    <n v="3"/>
    <n v="10"/>
    <n v="0"/>
    <n v="0"/>
    <n v="0"/>
    <n v="35"/>
    <n v="1"/>
    <n v="2"/>
    <n v="3"/>
    <n v="33"/>
    <n v="33"/>
    <n v="40"/>
  </r>
  <r>
    <x v="3"/>
    <x v="5"/>
    <x v="3"/>
    <n v="148"/>
    <n v="97"/>
    <n v="47"/>
    <n v="12"/>
    <n v="25"/>
    <n v="72"/>
    <n v="16"/>
    <n v="7"/>
    <n v="0"/>
    <n v="1"/>
    <n v="1"/>
    <n v="68"/>
    <n v="21"/>
    <n v="10"/>
    <n v="31"/>
    <n v="85"/>
    <n v="85"/>
    <n v="94"/>
  </r>
  <r>
    <x v="3"/>
    <x v="6"/>
    <x v="0"/>
    <n v="36"/>
    <n v="25"/>
    <n v="17"/>
    <n v="20"/>
    <n v="4"/>
    <n v="21"/>
    <n v="4"/>
    <m/>
    <m/>
    <m/>
    <n v="0"/>
    <n v="12"/>
    <n v="3"/>
    <m/>
    <n v="3"/>
    <n v="23"/>
    <n v="22"/>
    <n v="24"/>
  </r>
  <r>
    <x v="3"/>
    <x v="6"/>
    <x v="1"/>
    <n v="10"/>
    <n v="8"/>
    <n v="5"/>
    <n v="20"/>
    <m/>
    <n v="5"/>
    <n v="1"/>
    <n v="2"/>
    <m/>
    <m/>
    <n v="0"/>
    <n v="3"/>
    <n v="1"/>
    <n v="1"/>
    <n v="2"/>
    <n v="8"/>
    <n v="7"/>
    <n v="6"/>
  </r>
  <r>
    <x v="3"/>
    <x v="6"/>
    <x v="2"/>
    <n v="4"/>
    <n v="2"/>
    <m/>
    <m/>
    <m/>
    <m/>
    <m/>
    <m/>
    <m/>
    <m/>
    <m/>
    <m/>
    <m/>
    <m/>
    <m/>
    <m/>
    <m/>
    <m/>
  </r>
  <r>
    <x v="3"/>
    <x v="6"/>
    <x v="3"/>
    <n v="6"/>
    <n v="5"/>
    <n v="2"/>
    <m/>
    <n v="2"/>
    <n v="4"/>
    <n v="1"/>
    <m/>
    <m/>
    <m/>
    <n v="0"/>
    <n v="4"/>
    <m/>
    <n v="1"/>
    <n v="1"/>
    <n v="4"/>
    <n v="4"/>
    <n v="3"/>
  </r>
  <r>
    <x v="3"/>
    <x v="7"/>
    <x v="0"/>
    <n v="24"/>
    <n v="14"/>
    <n v="10"/>
    <n v="24.07"/>
    <m/>
    <n v="10"/>
    <n v="3"/>
    <n v="1"/>
    <m/>
    <m/>
    <n v="0"/>
    <n v="3"/>
    <n v="2"/>
    <m/>
    <n v="2"/>
    <n v="14"/>
    <n v="12"/>
    <n v="12"/>
  </r>
  <r>
    <x v="3"/>
    <x v="7"/>
    <x v="1"/>
    <n v="71"/>
    <n v="51"/>
    <n v="44"/>
    <n v="24.07"/>
    <n v="3"/>
    <n v="47"/>
    <n v="1"/>
    <n v="3"/>
    <n v="1"/>
    <m/>
    <n v="1"/>
    <n v="10"/>
    <n v="8"/>
    <m/>
    <n v="8"/>
    <n v="51"/>
    <n v="51"/>
    <n v="51"/>
  </r>
  <r>
    <x v="3"/>
    <x v="7"/>
    <x v="2"/>
    <n v="2"/>
    <n v="2"/>
    <m/>
    <m/>
    <m/>
    <m/>
    <m/>
    <m/>
    <m/>
    <m/>
    <m/>
    <m/>
    <m/>
    <m/>
    <m/>
    <m/>
    <m/>
    <m/>
  </r>
  <r>
    <x v="3"/>
    <x v="7"/>
    <x v="3"/>
    <n v="77"/>
    <n v="56"/>
    <n v="36"/>
    <n v="24.07"/>
    <n v="17"/>
    <n v="53"/>
    <n v="3"/>
    <m/>
    <m/>
    <n v="4"/>
    <n v="4"/>
    <n v="14"/>
    <n v="14"/>
    <n v="3"/>
    <n v="17"/>
    <n v="53"/>
    <n v="53"/>
    <n v="53"/>
  </r>
  <r>
    <x v="4"/>
    <x v="0"/>
    <x v="0"/>
    <n v="12"/>
    <n v="10"/>
    <n v="4"/>
    <m/>
    <n v="3"/>
    <n v="7"/>
    <n v="3"/>
    <m/>
    <m/>
    <m/>
    <m/>
    <n v="2"/>
    <n v="1"/>
    <m/>
    <n v="1"/>
    <m/>
    <m/>
    <n v="7"/>
  </r>
  <r>
    <x v="4"/>
    <x v="0"/>
    <x v="1"/>
    <n v="11"/>
    <n v="9"/>
    <n v="3"/>
    <m/>
    <n v="2"/>
    <n v="5"/>
    <n v="2"/>
    <n v="2"/>
    <m/>
    <m/>
    <m/>
    <n v="4"/>
    <m/>
    <m/>
    <m/>
    <m/>
    <m/>
    <n v="9"/>
  </r>
  <r>
    <x v="4"/>
    <x v="0"/>
    <x v="2"/>
    <n v="19"/>
    <n v="12"/>
    <n v="4"/>
    <m/>
    <n v="4"/>
    <n v="8"/>
    <n v="2"/>
    <n v="2"/>
    <m/>
    <m/>
    <m/>
    <n v="6"/>
    <m/>
    <m/>
    <m/>
    <n v="1"/>
    <n v="1"/>
    <n v="12"/>
  </r>
  <r>
    <x v="4"/>
    <x v="0"/>
    <x v="3"/>
    <n v="4"/>
    <n v="3"/>
    <m/>
    <m/>
    <m/>
    <m/>
    <m/>
    <m/>
    <m/>
    <m/>
    <m/>
    <m/>
    <m/>
    <m/>
    <m/>
    <m/>
    <m/>
    <m/>
  </r>
  <r>
    <x v="4"/>
    <x v="1"/>
    <x v="0"/>
    <m/>
    <m/>
    <m/>
    <m/>
    <m/>
    <m/>
    <m/>
    <m/>
    <m/>
    <m/>
    <m/>
    <m/>
    <m/>
    <m/>
    <m/>
    <m/>
    <m/>
    <m/>
  </r>
  <r>
    <x v="4"/>
    <x v="1"/>
    <x v="1"/>
    <n v="8"/>
    <n v="8"/>
    <n v="4"/>
    <m/>
    <n v="2"/>
    <n v="6"/>
    <n v="1"/>
    <n v="1"/>
    <m/>
    <m/>
    <m/>
    <n v="5"/>
    <m/>
    <m/>
    <m/>
    <n v="2"/>
    <n v="2"/>
    <n v="8"/>
  </r>
  <r>
    <x v="4"/>
    <x v="1"/>
    <x v="2"/>
    <m/>
    <m/>
    <m/>
    <m/>
    <m/>
    <m/>
    <m/>
    <m/>
    <m/>
    <m/>
    <m/>
    <m/>
    <m/>
    <m/>
    <m/>
    <m/>
    <m/>
    <m/>
  </r>
  <r>
    <x v="4"/>
    <x v="1"/>
    <x v="3"/>
    <n v="51"/>
    <n v="20"/>
    <n v="9"/>
    <n v="16"/>
    <n v="8"/>
    <n v="17"/>
    <n v="2"/>
    <n v="1"/>
    <m/>
    <n v="1"/>
    <n v="1"/>
    <n v="6"/>
    <n v="1"/>
    <n v="3"/>
    <n v="4"/>
    <n v="10"/>
    <n v="10"/>
    <n v="19"/>
  </r>
  <r>
    <x v="4"/>
    <x v="2"/>
    <x v="0"/>
    <n v="2"/>
    <n v="2"/>
    <m/>
    <m/>
    <m/>
    <m/>
    <m/>
    <m/>
    <m/>
    <m/>
    <m/>
    <m/>
    <m/>
    <m/>
    <m/>
    <m/>
    <m/>
    <m/>
  </r>
  <r>
    <x v="4"/>
    <x v="2"/>
    <x v="1"/>
    <n v="2"/>
    <n v="2"/>
    <m/>
    <m/>
    <m/>
    <m/>
    <m/>
    <m/>
    <m/>
    <m/>
    <m/>
    <m/>
    <m/>
    <m/>
    <m/>
    <m/>
    <m/>
    <m/>
  </r>
  <r>
    <x v="4"/>
    <x v="2"/>
    <x v="2"/>
    <n v="10"/>
    <n v="8"/>
    <n v="3"/>
    <m/>
    <n v="1"/>
    <n v="4"/>
    <n v="3"/>
    <n v="1"/>
    <m/>
    <m/>
    <m/>
    <n v="3"/>
    <m/>
    <m/>
    <m/>
    <m/>
    <m/>
    <n v="7"/>
  </r>
  <r>
    <x v="4"/>
    <x v="2"/>
    <x v="3"/>
    <n v="2"/>
    <n v="2"/>
    <m/>
    <m/>
    <m/>
    <m/>
    <m/>
    <m/>
    <m/>
    <m/>
    <m/>
    <m/>
    <m/>
    <m/>
    <m/>
    <m/>
    <m/>
    <m/>
  </r>
  <r>
    <x v="4"/>
    <x v="3"/>
    <x v="0"/>
    <n v="11"/>
    <n v="7"/>
    <n v="2"/>
    <m/>
    <n v="1"/>
    <n v="3"/>
    <m/>
    <n v="4"/>
    <n v="1"/>
    <m/>
    <n v="1"/>
    <n v="3"/>
    <m/>
    <m/>
    <m/>
    <m/>
    <m/>
    <n v="7"/>
  </r>
  <r>
    <x v="4"/>
    <x v="3"/>
    <x v="1"/>
    <n v="19"/>
    <n v="9"/>
    <n v="3"/>
    <m/>
    <n v="2"/>
    <n v="5"/>
    <n v="2"/>
    <n v="1"/>
    <n v="1"/>
    <m/>
    <n v="1"/>
    <n v="4"/>
    <n v="1"/>
    <m/>
    <n v="1"/>
    <n v="2"/>
    <n v="2"/>
    <n v="7"/>
  </r>
  <r>
    <x v="4"/>
    <x v="3"/>
    <x v="2"/>
    <n v="12"/>
    <n v="11"/>
    <n v="2"/>
    <m/>
    <n v="7"/>
    <n v="9"/>
    <n v="1"/>
    <n v="0"/>
    <n v="0"/>
    <n v="0"/>
    <n v="0"/>
    <n v="5"/>
    <n v="2"/>
    <n v="0"/>
    <n v="2"/>
    <n v="1"/>
    <n v="1"/>
    <n v="10"/>
  </r>
  <r>
    <x v="4"/>
    <x v="3"/>
    <x v="3"/>
    <n v="18"/>
    <n v="7"/>
    <n v="3"/>
    <m/>
    <n v="2"/>
    <n v="5"/>
    <n v="1"/>
    <n v="2"/>
    <m/>
    <m/>
    <m/>
    <n v="6"/>
    <m/>
    <m/>
    <m/>
    <n v="3"/>
    <n v="2"/>
    <n v="7"/>
  </r>
  <r>
    <x v="4"/>
    <x v="4"/>
    <x v="0"/>
    <n v="144"/>
    <n v="112"/>
    <n v="33"/>
    <n v="13"/>
    <n v="48"/>
    <n v="81"/>
    <n v="17"/>
    <n v="14"/>
    <n v="1"/>
    <n v="1"/>
    <n v="2"/>
    <n v="68"/>
    <n v="30"/>
    <n v="9"/>
    <n v="39"/>
    <n v="92"/>
    <n v="87"/>
    <n v="107"/>
  </r>
  <r>
    <x v="4"/>
    <x v="4"/>
    <x v="1"/>
    <n v="148"/>
    <n v="89"/>
    <n v="42"/>
    <n v="12.5"/>
    <n v="33"/>
    <n v="75"/>
    <n v="1"/>
    <n v="13"/>
    <n v="3"/>
    <n v="3"/>
    <n v="6"/>
    <n v="58"/>
    <n v="34"/>
    <n v="2"/>
    <n v="36"/>
    <n v="68"/>
    <n v="60"/>
    <n v="87"/>
  </r>
  <r>
    <x v="4"/>
    <x v="4"/>
    <x v="2"/>
    <n v="1"/>
    <n v="1"/>
    <m/>
    <m/>
    <m/>
    <m/>
    <m/>
    <m/>
    <m/>
    <m/>
    <m/>
    <m/>
    <m/>
    <m/>
    <m/>
    <m/>
    <m/>
    <m/>
  </r>
  <r>
    <x v="4"/>
    <x v="4"/>
    <x v="3"/>
    <n v="94"/>
    <n v="51"/>
    <n v="17"/>
    <n v="16"/>
    <n v="24"/>
    <n v="41"/>
    <n v="5"/>
    <n v="5"/>
    <n v="2"/>
    <n v="2"/>
    <n v="4"/>
    <n v="29"/>
    <n v="13"/>
    <n v="1"/>
    <n v="14"/>
    <n v="43"/>
    <n v="40"/>
    <n v="49"/>
  </r>
  <r>
    <x v="4"/>
    <x v="5"/>
    <x v="0"/>
    <n v="84"/>
    <n v="67"/>
    <n v="40"/>
    <n v="13"/>
    <n v="14"/>
    <n v="54"/>
    <n v="4"/>
    <n v="9"/>
    <n v="1"/>
    <n v="1"/>
    <n v="2"/>
    <n v="42"/>
    <n v="7"/>
    <n v="6"/>
    <n v="13"/>
    <n v="59"/>
    <n v="58"/>
    <n v="64"/>
  </r>
  <r>
    <x v="4"/>
    <x v="5"/>
    <x v="1"/>
    <n v="309"/>
    <n v="106"/>
    <n v="44"/>
    <n v="12"/>
    <n v="23"/>
    <n v="67"/>
    <n v="13"/>
    <n v="26"/>
    <m/>
    <m/>
    <m/>
    <n v="74"/>
    <n v="7"/>
    <n v="8"/>
    <n v="15"/>
    <n v="93"/>
    <n v="93"/>
    <n v="101"/>
  </r>
  <r>
    <x v="4"/>
    <x v="5"/>
    <x v="2"/>
    <n v="14"/>
    <n v="8"/>
    <n v="3"/>
    <m/>
    <n v="1"/>
    <n v="4"/>
    <n v="1"/>
    <n v="0"/>
    <n v="0"/>
    <n v="0"/>
    <n v="0"/>
    <n v="2"/>
    <n v="1"/>
    <n v="0"/>
    <n v="1"/>
    <n v="4"/>
    <n v="4"/>
    <n v="5"/>
  </r>
  <r>
    <x v="4"/>
    <x v="5"/>
    <x v="3"/>
    <n v="196"/>
    <n v="106"/>
    <n v="52"/>
    <n v="13"/>
    <n v="30"/>
    <n v="82"/>
    <n v="12"/>
    <n v="11"/>
    <m/>
    <m/>
    <m/>
    <n v="65"/>
    <n v="11"/>
    <n v="6"/>
    <n v="17"/>
    <n v="94"/>
    <n v="92"/>
    <n v="99"/>
  </r>
  <r>
    <x v="4"/>
    <x v="6"/>
    <x v="0"/>
    <n v="52"/>
    <n v="45"/>
    <n v="24"/>
    <n v="18.240000000000002"/>
    <n v="7"/>
    <n v="31"/>
    <n v="7"/>
    <n v="7"/>
    <m/>
    <m/>
    <m/>
    <n v="25"/>
    <n v="4"/>
    <n v="2"/>
    <n v="6"/>
    <n v="41"/>
    <n v="40"/>
    <n v="40"/>
  </r>
  <r>
    <x v="4"/>
    <x v="6"/>
    <x v="1"/>
    <n v="11"/>
    <n v="7"/>
    <n v="4"/>
    <m/>
    <n v="2"/>
    <n v="6"/>
    <n v="1"/>
    <m/>
    <m/>
    <n v="1"/>
    <n v="1"/>
    <n v="1"/>
    <n v="2"/>
    <n v="1"/>
    <n v="3"/>
    <n v="6"/>
    <n v="6"/>
    <n v="6"/>
  </r>
  <r>
    <x v="4"/>
    <x v="6"/>
    <x v="2"/>
    <m/>
    <m/>
    <m/>
    <m/>
    <m/>
    <m/>
    <m/>
    <m/>
    <m/>
    <m/>
    <m/>
    <m/>
    <m/>
    <m/>
    <m/>
    <m/>
    <m/>
    <m/>
  </r>
  <r>
    <x v="4"/>
    <x v="6"/>
    <x v="3"/>
    <n v="1"/>
    <m/>
    <m/>
    <m/>
    <m/>
    <m/>
    <m/>
    <m/>
    <m/>
    <m/>
    <m/>
    <m/>
    <m/>
    <m/>
    <m/>
    <m/>
    <m/>
    <m/>
  </r>
  <r>
    <x v="4"/>
    <x v="7"/>
    <x v="0"/>
    <n v="20"/>
    <n v="13"/>
    <n v="11"/>
    <n v="25.475000000000001"/>
    <n v="1"/>
    <n v="12"/>
    <n v="1"/>
    <m/>
    <m/>
    <m/>
    <m/>
    <n v="4"/>
    <n v="1"/>
    <n v="2"/>
    <n v="3"/>
    <n v="13"/>
    <n v="12"/>
    <n v="13"/>
  </r>
  <r>
    <x v="4"/>
    <x v="7"/>
    <x v="1"/>
    <n v="85"/>
    <n v="51"/>
    <n v="46"/>
    <n v="24.175000000000001"/>
    <n v="2"/>
    <n v="48"/>
    <n v="2"/>
    <n v="1"/>
    <m/>
    <n v="1"/>
    <n v="1"/>
    <n v="6"/>
    <n v="5"/>
    <n v="6"/>
    <n v="11"/>
    <n v="51"/>
    <n v="51"/>
    <n v="49"/>
  </r>
  <r>
    <x v="4"/>
    <x v="7"/>
    <x v="2"/>
    <m/>
    <m/>
    <m/>
    <m/>
    <m/>
    <m/>
    <m/>
    <m/>
    <m/>
    <m/>
    <m/>
    <m/>
    <m/>
    <m/>
    <m/>
    <m/>
    <m/>
    <m/>
  </r>
  <r>
    <x v="4"/>
    <x v="7"/>
    <x v="3"/>
    <n v="69"/>
    <n v="42"/>
    <n v="34"/>
    <n v="25"/>
    <n v="4"/>
    <n v="38"/>
    <n v="3"/>
    <n v="1"/>
    <m/>
    <m/>
    <m/>
    <n v="10"/>
    <n v="3"/>
    <m/>
    <n v="3"/>
    <n v="42"/>
    <n v="42"/>
    <n v="41"/>
  </r>
  <r>
    <x v="5"/>
    <x v="0"/>
    <x v="0"/>
    <n v="7"/>
    <n v="7"/>
    <n v="6"/>
    <n v="14.75"/>
    <n v="1"/>
    <n v="7"/>
    <n v="0"/>
    <n v="0"/>
    <n v="0"/>
    <n v="0"/>
    <n v="0"/>
    <n v="3"/>
    <n v="0"/>
    <n v="1"/>
    <n v="1"/>
    <n v="0"/>
    <n v="0"/>
    <n v="6"/>
  </r>
  <r>
    <x v="5"/>
    <x v="0"/>
    <x v="1"/>
    <n v="14"/>
    <n v="12"/>
    <n v="5"/>
    <m/>
    <n v="2"/>
    <n v="7"/>
    <n v="2"/>
    <n v="3"/>
    <n v="0"/>
    <n v="0"/>
    <n v="0"/>
    <n v="4"/>
    <n v="1"/>
    <n v="0"/>
    <n v="1"/>
    <n v="0"/>
    <n v="0"/>
    <n v="11"/>
  </r>
  <r>
    <x v="5"/>
    <x v="0"/>
    <x v="2"/>
    <n v="30"/>
    <n v="20"/>
    <n v="10"/>
    <n v="17.25"/>
    <n v="4"/>
    <n v="14"/>
    <n v="1"/>
    <n v="1"/>
    <n v="0"/>
    <n v="0"/>
    <n v="0"/>
    <n v="1"/>
    <n v="1"/>
    <n v="0"/>
    <n v="1"/>
    <n v="0"/>
    <n v="0"/>
    <n v="16"/>
  </r>
  <r>
    <x v="5"/>
    <x v="0"/>
    <x v="3"/>
    <n v="5"/>
    <n v="4"/>
    <m/>
    <m/>
    <m/>
    <m/>
    <m/>
    <m/>
    <m/>
    <m/>
    <m/>
    <m/>
    <m/>
    <m/>
    <m/>
    <m/>
    <m/>
    <m/>
  </r>
  <r>
    <x v="5"/>
    <x v="1"/>
    <x v="0"/>
    <n v="2"/>
    <n v="1"/>
    <m/>
    <m/>
    <m/>
    <m/>
    <m/>
    <m/>
    <m/>
    <m/>
    <m/>
    <m/>
    <m/>
    <m/>
    <m/>
    <m/>
    <m/>
    <m/>
  </r>
  <r>
    <x v="5"/>
    <x v="1"/>
    <x v="1"/>
    <n v="8"/>
    <n v="5"/>
    <n v="4"/>
    <m/>
    <n v="1"/>
    <n v="5"/>
    <n v="0"/>
    <n v="0"/>
    <n v="0"/>
    <n v="0"/>
    <n v="0"/>
    <n v="0"/>
    <n v="0"/>
    <n v="0"/>
    <n v="0"/>
    <n v="1"/>
    <n v="1"/>
    <n v="5"/>
  </r>
  <r>
    <x v="5"/>
    <x v="1"/>
    <x v="2"/>
    <n v="2"/>
    <n v="2"/>
    <m/>
    <m/>
    <m/>
    <m/>
    <m/>
    <m/>
    <m/>
    <m/>
    <m/>
    <m/>
    <m/>
    <m/>
    <m/>
    <m/>
    <m/>
    <m/>
  </r>
  <r>
    <x v="5"/>
    <x v="1"/>
    <x v="3"/>
    <n v="8"/>
    <n v="2"/>
    <m/>
    <m/>
    <m/>
    <m/>
    <m/>
    <m/>
    <m/>
    <m/>
    <m/>
    <m/>
    <m/>
    <m/>
    <m/>
    <m/>
    <m/>
    <m/>
  </r>
  <r>
    <x v="5"/>
    <x v="2"/>
    <x v="0"/>
    <n v="3"/>
    <n v="2"/>
    <m/>
    <m/>
    <m/>
    <m/>
    <m/>
    <m/>
    <m/>
    <m/>
    <m/>
    <m/>
    <m/>
    <m/>
    <m/>
    <m/>
    <m/>
    <m/>
  </r>
  <r>
    <x v="5"/>
    <x v="2"/>
    <x v="1"/>
    <n v="2"/>
    <n v="2"/>
    <m/>
    <m/>
    <m/>
    <m/>
    <m/>
    <m/>
    <m/>
    <m/>
    <m/>
    <m/>
    <m/>
    <m/>
    <m/>
    <m/>
    <m/>
    <m/>
  </r>
  <r>
    <x v="5"/>
    <x v="2"/>
    <x v="2"/>
    <n v="4"/>
    <n v="4"/>
    <m/>
    <m/>
    <m/>
    <m/>
    <m/>
    <m/>
    <m/>
    <m/>
    <m/>
    <m/>
    <m/>
    <m/>
    <m/>
    <m/>
    <m/>
    <m/>
  </r>
  <r>
    <x v="5"/>
    <x v="2"/>
    <x v="3"/>
    <n v="7"/>
    <n v="4"/>
    <m/>
    <m/>
    <m/>
    <m/>
    <m/>
    <m/>
    <m/>
    <m/>
    <m/>
    <m/>
    <m/>
    <m/>
    <m/>
    <m/>
    <m/>
    <m/>
  </r>
  <r>
    <x v="5"/>
    <x v="3"/>
    <x v="0"/>
    <n v="22"/>
    <n v="11"/>
    <n v="4"/>
    <m/>
    <n v="3"/>
    <n v="7"/>
    <n v="2"/>
    <n v="2"/>
    <n v="0"/>
    <n v="0"/>
    <n v="0"/>
    <n v="7"/>
    <n v="0"/>
    <n v="0"/>
    <n v="0"/>
    <n v="1"/>
    <n v="1"/>
    <n v="10"/>
  </r>
  <r>
    <x v="5"/>
    <x v="3"/>
    <x v="1"/>
    <n v="20"/>
    <n v="16"/>
    <n v="7"/>
    <n v="14"/>
    <n v="5"/>
    <n v="12"/>
    <n v="3"/>
    <n v="1"/>
    <n v="0"/>
    <n v="0"/>
    <n v="0"/>
    <n v="7"/>
    <n v="1"/>
    <n v="0"/>
    <n v="1"/>
    <n v="7"/>
    <n v="7"/>
    <n v="13"/>
  </r>
  <r>
    <x v="5"/>
    <x v="3"/>
    <x v="2"/>
    <n v="15"/>
    <n v="13"/>
    <n v="3"/>
    <m/>
    <n v="6"/>
    <n v="9"/>
    <n v="1"/>
    <n v="1"/>
    <n v="0"/>
    <n v="0"/>
    <n v="0"/>
    <n v="1"/>
    <n v="0"/>
    <n v="0"/>
    <n v="0"/>
    <n v="2"/>
    <n v="2"/>
    <n v="11"/>
  </r>
  <r>
    <x v="5"/>
    <x v="3"/>
    <x v="3"/>
    <n v="5"/>
    <n v="5"/>
    <n v="1"/>
    <m/>
    <n v="3"/>
    <n v="4"/>
    <n v="0"/>
    <n v="1"/>
    <n v="0"/>
    <n v="0"/>
    <n v="0"/>
    <n v="0"/>
    <n v="0"/>
    <n v="0"/>
    <n v="0"/>
    <n v="0"/>
    <n v="0"/>
    <n v="5"/>
  </r>
  <r>
    <x v="5"/>
    <x v="4"/>
    <x v="0"/>
    <n v="136"/>
    <n v="114"/>
    <n v="45"/>
    <n v="12.305"/>
    <n v="49"/>
    <n v="94"/>
    <n v="5"/>
    <n v="14"/>
    <n v="0"/>
    <n v="2"/>
    <n v="2"/>
    <n v="60"/>
    <n v="43"/>
    <n v="3"/>
    <n v="46"/>
    <n v="96"/>
    <n v="95"/>
    <n v="107"/>
  </r>
  <r>
    <x v="5"/>
    <x v="4"/>
    <x v="1"/>
    <n v="164"/>
    <n v="82"/>
    <n v="26"/>
    <n v="14"/>
    <n v="39"/>
    <n v="65"/>
    <n v="6"/>
    <n v="11"/>
    <n v="1"/>
    <n v="2"/>
    <n v="3"/>
    <n v="47"/>
    <n v="37"/>
    <n v="0"/>
    <n v="37"/>
    <n v="68"/>
    <n v="62"/>
    <n v="75"/>
  </r>
  <r>
    <x v="5"/>
    <x v="4"/>
    <x v="2"/>
    <n v="27"/>
    <n v="17"/>
    <n v="7"/>
    <m/>
    <n v="6"/>
    <n v="13"/>
    <n v="3"/>
    <n v="1"/>
    <n v="0"/>
    <n v="0"/>
    <n v="0"/>
    <n v="10"/>
    <n v="4"/>
    <n v="0"/>
    <n v="4"/>
    <n v="13"/>
    <n v="13"/>
    <n v="16"/>
  </r>
  <r>
    <x v="5"/>
    <x v="4"/>
    <x v="3"/>
    <n v="92"/>
    <n v="58"/>
    <n v="23"/>
    <n v="11.548333333333334"/>
    <n v="24"/>
    <n v="47"/>
    <n v="7"/>
    <n v="4"/>
    <n v="0"/>
    <n v="1"/>
    <n v="1"/>
    <n v="27"/>
    <n v="10"/>
    <n v="1"/>
    <n v="11"/>
    <n v="46"/>
    <n v="44"/>
    <n v="57"/>
  </r>
  <r>
    <x v="5"/>
    <x v="5"/>
    <x v="0"/>
    <n v="68"/>
    <n v="49"/>
    <n v="30"/>
    <n v="13.08"/>
    <n v="11"/>
    <n v="41"/>
    <n v="0"/>
    <n v="8"/>
    <n v="0"/>
    <n v="0"/>
    <n v="0"/>
    <n v="26"/>
    <n v="3"/>
    <n v="1"/>
    <n v="4"/>
    <n v="41"/>
    <n v="41"/>
    <n v="48"/>
  </r>
  <r>
    <x v="5"/>
    <x v="5"/>
    <x v="1"/>
    <n v="243"/>
    <n v="162"/>
    <n v="91"/>
    <n v="12.9884615384615"/>
    <n v="41"/>
    <n v="132"/>
    <n v="8"/>
    <n v="21"/>
    <n v="1"/>
    <n v="1"/>
    <n v="2"/>
    <n v="111"/>
    <n v="3"/>
    <n v="5"/>
    <n v="8"/>
    <n v="148"/>
    <n v="144"/>
    <n v="157"/>
  </r>
  <r>
    <x v="5"/>
    <x v="5"/>
    <x v="2"/>
    <n v="50"/>
    <n v="38"/>
    <n v="19"/>
    <n v="12.4925"/>
    <n v="16"/>
    <n v="35"/>
    <n v="2"/>
    <n v="1"/>
    <n v="0"/>
    <n v="0"/>
    <n v="0"/>
    <n v="12"/>
    <n v="3"/>
    <n v="0"/>
    <n v="3"/>
    <n v="35"/>
    <n v="34"/>
    <n v="38"/>
  </r>
  <r>
    <x v="5"/>
    <x v="5"/>
    <x v="3"/>
    <n v="141"/>
    <n v="89"/>
    <n v="41"/>
    <n v="11.8608333333333"/>
    <n v="41"/>
    <n v="82"/>
    <n v="6"/>
    <n v="1"/>
    <n v="0"/>
    <n v="0"/>
    <n v="0"/>
    <n v="26"/>
    <n v="7"/>
    <n v="5"/>
    <n v="12"/>
    <n v="61"/>
    <n v="61"/>
    <n v="87"/>
  </r>
  <r>
    <x v="5"/>
    <x v="6"/>
    <x v="0"/>
    <n v="35"/>
    <n v="27"/>
    <n v="20"/>
    <n v="18.1444444444444"/>
    <n v="2"/>
    <n v="22"/>
    <n v="1"/>
    <n v="4"/>
    <n v="0"/>
    <n v="0"/>
    <n v="0"/>
    <n v="16"/>
    <n v="3"/>
    <n v="1"/>
    <n v="4"/>
    <n v="24"/>
    <n v="22"/>
    <n v="25"/>
  </r>
  <r>
    <x v="5"/>
    <x v="6"/>
    <x v="1"/>
    <n v="2"/>
    <n v="2"/>
    <m/>
    <m/>
    <m/>
    <m/>
    <m/>
    <m/>
    <m/>
    <m/>
    <m/>
    <m/>
    <m/>
    <m/>
    <m/>
    <m/>
    <m/>
    <m/>
  </r>
  <r>
    <x v="5"/>
    <x v="6"/>
    <x v="2"/>
    <n v="5"/>
    <n v="3"/>
    <m/>
    <m/>
    <m/>
    <m/>
    <m/>
    <m/>
    <m/>
    <m/>
    <m/>
    <m/>
    <m/>
    <m/>
    <m/>
    <m/>
    <m/>
    <m/>
  </r>
  <r>
    <x v="5"/>
    <x v="6"/>
    <x v="3"/>
    <n v="8"/>
    <n v="4"/>
    <m/>
    <m/>
    <m/>
    <m/>
    <m/>
    <m/>
    <m/>
    <m/>
    <m/>
    <m/>
    <m/>
    <m/>
    <m/>
    <m/>
    <m/>
    <m/>
  </r>
  <r>
    <x v="5"/>
    <x v="7"/>
    <x v="0"/>
    <n v="20"/>
    <n v="15"/>
    <n v="12"/>
    <n v="26.5"/>
    <n v="0"/>
    <n v="12"/>
    <n v="2"/>
    <n v="1"/>
    <n v="0"/>
    <n v="0"/>
    <n v="0"/>
    <n v="1"/>
    <n v="1"/>
    <n v="1"/>
    <n v="2"/>
    <n v="14"/>
    <n v="14"/>
    <n v="13"/>
  </r>
  <r>
    <x v="5"/>
    <x v="7"/>
    <x v="1"/>
    <n v="90"/>
    <n v="60"/>
    <n v="56"/>
    <n v="23.4"/>
    <n v="2"/>
    <n v="58"/>
    <n v="1"/>
    <n v="1"/>
    <n v="0"/>
    <n v="0"/>
    <n v="0"/>
    <n v="12"/>
    <n v="12"/>
    <n v="2"/>
    <n v="14"/>
    <n v="60"/>
    <n v="60"/>
    <n v="54"/>
  </r>
  <r>
    <x v="5"/>
    <x v="7"/>
    <x v="2"/>
    <n v="4"/>
    <n v="2"/>
    <m/>
    <m/>
    <m/>
    <m/>
    <m/>
    <m/>
    <m/>
    <m/>
    <m/>
    <m/>
    <m/>
    <m/>
    <m/>
    <m/>
    <m/>
    <m/>
  </r>
  <r>
    <x v="5"/>
    <x v="7"/>
    <x v="3"/>
    <n v="67"/>
    <n v="36"/>
    <n v="24"/>
    <n v="24.054545454545501"/>
    <n v="6"/>
    <n v="30"/>
    <n v="4"/>
    <n v="2"/>
    <n v="0"/>
    <n v="0"/>
    <n v="0"/>
    <n v="6"/>
    <n v="2"/>
    <n v="0"/>
    <n v="2"/>
    <n v="30"/>
    <n v="30"/>
    <n v="33"/>
  </r>
  <r>
    <x v="6"/>
    <x v="0"/>
    <x v="0"/>
    <n v="9"/>
    <n v="4"/>
    <m/>
    <m/>
    <m/>
    <m/>
    <m/>
    <m/>
    <m/>
    <m/>
    <m/>
    <m/>
    <m/>
    <m/>
    <m/>
    <m/>
    <m/>
    <m/>
  </r>
  <r>
    <x v="6"/>
    <x v="0"/>
    <x v="1"/>
    <n v="10"/>
    <n v="6"/>
    <n v="4"/>
    <m/>
    <n v="1"/>
    <n v="5"/>
    <n v="1"/>
    <m/>
    <m/>
    <m/>
    <m/>
    <m/>
    <m/>
    <m/>
    <m/>
    <m/>
    <m/>
    <n v="6"/>
  </r>
  <r>
    <x v="6"/>
    <x v="0"/>
    <x v="2"/>
    <n v="20"/>
    <n v="11"/>
    <n v="8"/>
    <n v="39.629999999999995"/>
    <n v="1"/>
    <n v="9"/>
    <n v="1"/>
    <n v="1"/>
    <n v="0"/>
    <n v="0"/>
    <n v="0"/>
    <n v="3"/>
    <n v="0"/>
    <n v="0"/>
    <n v="0"/>
    <n v="0"/>
    <n v="0"/>
    <n v="11"/>
  </r>
  <r>
    <x v="6"/>
    <x v="0"/>
    <x v="3"/>
    <n v="3"/>
    <n v="1"/>
    <m/>
    <m/>
    <m/>
    <m/>
    <m/>
    <m/>
    <m/>
    <m/>
    <m/>
    <m/>
    <m/>
    <m/>
    <m/>
    <m/>
    <m/>
    <m/>
  </r>
  <r>
    <x v="6"/>
    <x v="1"/>
    <x v="0"/>
    <n v="0"/>
    <n v="0"/>
    <m/>
    <m/>
    <m/>
    <m/>
    <m/>
    <m/>
    <m/>
    <m/>
    <m/>
    <m/>
    <m/>
    <m/>
    <m/>
    <m/>
    <m/>
    <m/>
  </r>
  <r>
    <x v="6"/>
    <x v="1"/>
    <x v="1"/>
    <n v="4"/>
    <n v="4"/>
    <m/>
    <m/>
    <m/>
    <m/>
    <m/>
    <m/>
    <m/>
    <m/>
    <m/>
    <m/>
    <m/>
    <m/>
    <m/>
    <m/>
    <m/>
    <m/>
  </r>
  <r>
    <x v="6"/>
    <x v="1"/>
    <x v="2"/>
    <n v="3"/>
    <n v="1"/>
    <m/>
    <m/>
    <m/>
    <m/>
    <m/>
    <m/>
    <m/>
    <m/>
    <m/>
    <m/>
    <m/>
    <m/>
    <m/>
    <m/>
    <m/>
    <m/>
  </r>
  <r>
    <x v="6"/>
    <x v="1"/>
    <x v="3"/>
    <n v="16"/>
    <n v="6"/>
    <n v="4"/>
    <m/>
    <n v="2"/>
    <n v="6"/>
    <m/>
    <m/>
    <m/>
    <m/>
    <m/>
    <n v="1"/>
    <m/>
    <m/>
    <m/>
    <m/>
    <m/>
    <n v="6"/>
  </r>
  <r>
    <x v="6"/>
    <x v="2"/>
    <x v="0"/>
    <n v="4"/>
    <n v="2"/>
    <m/>
    <m/>
    <m/>
    <m/>
    <m/>
    <m/>
    <m/>
    <m/>
    <m/>
    <m/>
    <m/>
    <m/>
    <m/>
    <m/>
    <m/>
    <m/>
  </r>
  <r>
    <x v="6"/>
    <x v="2"/>
    <x v="1"/>
    <n v="4"/>
    <m/>
    <m/>
    <m/>
    <m/>
    <m/>
    <m/>
    <m/>
    <m/>
    <m/>
    <m/>
    <m/>
    <m/>
    <m/>
    <m/>
    <m/>
    <m/>
    <m/>
  </r>
  <r>
    <x v="6"/>
    <x v="2"/>
    <x v="2"/>
    <n v="3"/>
    <n v="2"/>
    <m/>
    <m/>
    <m/>
    <m/>
    <m/>
    <m/>
    <m/>
    <m/>
    <m/>
    <m/>
    <m/>
    <m/>
    <m/>
    <m/>
    <m/>
    <m/>
  </r>
  <r>
    <x v="6"/>
    <x v="2"/>
    <x v="3"/>
    <n v="6"/>
    <n v="2"/>
    <m/>
    <m/>
    <m/>
    <m/>
    <m/>
    <m/>
    <m/>
    <m/>
    <m/>
    <m/>
    <m/>
    <m/>
    <m/>
    <m/>
    <m/>
    <m/>
  </r>
  <r>
    <x v="6"/>
    <x v="3"/>
    <x v="0"/>
    <n v="17"/>
    <n v="11"/>
    <n v="4"/>
    <m/>
    <n v="4"/>
    <n v="8"/>
    <n v="2"/>
    <n v="1"/>
    <m/>
    <m/>
    <n v="2"/>
    <n v="9"/>
    <m/>
    <m/>
    <m/>
    <m/>
    <m/>
    <n v="10"/>
  </r>
  <r>
    <x v="6"/>
    <x v="3"/>
    <x v="1"/>
    <n v="11"/>
    <n v="3"/>
    <m/>
    <m/>
    <m/>
    <m/>
    <m/>
    <m/>
    <m/>
    <m/>
    <m/>
    <m/>
    <m/>
    <m/>
    <m/>
    <m/>
    <m/>
    <m/>
  </r>
  <r>
    <x v="6"/>
    <x v="3"/>
    <x v="2"/>
    <n v="17"/>
    <n v="5"/>
    <n v="3"/>
    <m/>
    <n v="2"/>
    <n v="5"/>
    <n v="0"/>
    <n v="0"/>
    <n v="0"/>
    <n v="0"/>
    <n v="0"/>
    <n v="2"/>
    <n v="0"/>
    <n v="0"/>
    <n v="0"/>
    <n v="0"/>
    <n v="0"/>
    <n v="3"/>
  </r>
  <r>
    <x v="6"/>
    <x v="3"/>
    <x v="3"/>
    <n v="8"/>
    <n v="6"/>
    <n v="4"/>
    <m/>
    <n v="1"/>
    <n v="5"/>
    <m/>
    <n v="1"/>
    <m/>
    <m/>
    <m/>
    <n v="3"/>
    <m/>
    <m/>
    <m/>
    <m/>
    <m/>
    <n v="6"/>
  </r>
  <r>
    <x v="6"/>
    <x v="4"/>
    <x v="0"/>
    <n v="115"/>
    <n v="45"/>
    <n v="17"/>
    <n v="13.204000000000001"/>
    <n v="16"/>
    <n v="33"/>
    <n v="8"/>
    <n v="4"/>
    <m/>
    <m/>
    <n v="2"/>
    <n v="32"/>
    <m/>
    <m/>
    <m/>
    <m/>
    <m/>
    <n v="45"/>
  </r>
  <r>
    <x v="6"/>
    <x v="4"/>
    <x v="1"/>
    <n v="125"/>
    <n v="59"/>
    <n v="21"/>
    <n v="14.284000000000001"/>
    <n v="29"/>
    <n v="50"/>
    <n v="4"/>
    <n v="5"/>
    <m/>
    <m/>
    <m/>
    <n v="32"/>
    <m/>
    <m/>
    <m/>
    <m/>
    <m/>
    <n v="58"/>
  </r>
  <r>
    <x v="6"/>
    <x v="4"/>
    <x v="2"/>
    <n v="4"/>
    <n v="4"/>
    <m/>
    <m/>
    <m/>
    <m/>
    <m/>
    <m/>
    <m/>
    <m/>
    <m/>
    <m/>
    <m/>
    <m/>
    <m/>
    <m/>
    <m/>
    <m/>
  </r>
  <r>
    <x v="6"/>
    <x v="4"/>
    <x v="3"/>
    <n v="80"/>
    <n v="42"/>
    <n v="21"/>
    <n v="13.9796"/>
    <n v="10"/>
    <n v="31"/>
    <n v="9"/>
    <n v="2"/>
    <m/>
    <m/>
    <m/>
    <n v="23"/>
    <m/>
    <m/>
    <m/>
    <m/>
    <m/>
    <n v="42"/>
  </r>
  <r>
    <x v="6"/>
    <x v="5"/>
    <x v="0"/>
    <n v="80"/>
    <n v="33"/>
    <n v="19"/>
    <n v="13.1927"/>
    <n v="8"/>
    <n v="27"/>
    <n v="2"/>
    <n v="4"/>
    <m/>
    <m/>
    <m/>
    <n v="19"/>
    <m/>
    <m/>
    <m/>
    <m/>
    <m/>
    <n v="33"/>
  </r>
  <r>
    <x v="6"/>
    <x v="5"/>
    <x v="1"/>
    <n v="224"/>
    <n v="75"/>
    <n v="39"/>
    <n v="12.1509"/>
    <n v="24"/>
    <n v="63"/>
    <n v="1"/>
    <n v="11"/>
    <m/>
    <m/>
    <m/>
    <n v="57"/>
    <m/>
    <m/>
    <m/>
    <m/>
    <m/>
    <n v="74"/>
  </r>
  <r>
    <x v="6"/>
    <x v="5"/>
    <x v="2"/>
    <n v="26"/>
    <n v="14"/>
    <n v="10"/>
    <n v="25.606299999999997"/>
    <n v="1"/>
    <n v="11"/>
    <n v="1"/>
    <n v="2"/>
    <n v="0"/>
    <n v="0"/>
    <n v="0"/>
    <n v="10"/>
    <n v="0"/>
    <n v="0"/>
    <n v="0"/>
    <n v="0"/>
    <n v="0"/>
    <n v="14"/>
  </r>
  <r>
    <x v="6"/>
    <x v="5"/>
    <x v="3"/>
    <n v="153"/>
    <n v="84"/>
    <n v="46"/>
    <n v="14.7194"/>
    <n v="19"/>
    <n v="65"/>
    <n v="9"/>
    <n v="10"/>
    <m/>
    <m/>
    <m/>
    <n v="57"/>
    <m/>
    <m/>
    <m/>
    <m/>
    <m/>
    <n v="80"/>
  </r>
  <r>
    <x v="6"/>
    <x v="6"/>
    <x v="0"/>
    <n v="35"/>
    <n v="26"/>
    <n v="19"/>
    <n v="17.130700000000001"/>
    <n v="1"/>
    <n v="20"/>
    <n v="3"/>
    <n v="3"/>
    <m/>
    <m/>
    <m/>
    <n v="13"/>
    <m/>
    <m/>
    <m/>
    <m/>
    <m/>
    <n v="23"/>
  </r>
  <r>
    <x v="6"/>
    <x v="6"/>
    <x v="1"/>
    <n v="58"/>
    <n v="38"/>
    <n v="18"/>
    <n v="18.580500000000001"/>
    <n v="9"/>
    <n v="27"/>
    <n v="10"/>
    <n v="1"/>
    <m/>
    <m/>
    <m/>
    <n v="12"/>
    <m/>
    <m/>
    <m/>
    <m/>
    <m/>
    <n v="34"/>
  </r>
  <r>
    <x v="6"/>
    <x v="6"/>
    <x v="2"/>
    <n v="7"/>
    <n v="5"/>
    <n v="3"/>
    <m/>
    <n v="1"/>
    <n v="4"/>
    <n v="1"/>
    <n v="0"/>
    <n v="0"/>
    <n v="0"/>
    <n v="0"/>
    <n v="5"/>
    <n v="0"/>
    <n v="0"/>
    <n v="0"/>
    <n v="0"/>
    <n v="0"/>
    <n v="4"/>
  </r>
  <r>
    <x v="6"/>
    <x v="6"/>
    <x v="3"/>
    <n v="56"/>
    <n v="33"/>
    <n v="17"/>
    <n v="18.368500000000001"/>
    <n v="4"/>
    <n v="21"/>
    <n v="7"/>
    <n v="5"/>
    <m/>
    <m/>
    <m/>
    <n v="12"/>
    <m/>
    <m/>
    <m/>
    <m/>
    <m/>
    <n v="31"/>
  </r>
  <r>
    <x v="6"/>
    <x v="7"/>
    <x v="0"/>
    <n v="19"/>
    <n v="11"/>
    <n v="10"/>
    <n v="23.6"/>
    <m/>
    <n v="10"/>
    <n v="1"/>
    <m/>
    <m/>
    <m/>
    <m/>
    <m/>
    <m/>
    <m/>
    <m/>
    <m/>
    <m/>
    <n v="11"/>
  </r>
  <r>
    <x v="6"/>
    <x v="7"/>
    <x v="1"/>
    <n v="73"/>
    <n v="43"/>
    <n v="39"/>
    <n v="23.276199999999999"/>
    <n v="3"/>
    <n v="42"/>
    <n v="1"/>
    <m/>
    <m/>
    <m/>
    <m/>
    <n v="8"/>
    <m/>
    <m/>
    <m/>
    <m/>
    <m/>
    <n v="43"/>
  </r>
  <r>
    <x v="6"/>
    <x v="7"/>
    <x v="2"/>
    <n v="14"/>
    <n v="10"/>
    <n v="8"/>
    <n v="30"/>
    <n v="0"/>
    <n v="8"/>
    <n v="1"/>
    <n v="1"/>
    <n v="0"/>
    <n v="0"/>
    <n v="0"/>
    <n v="1"/>
    <n v="0"/>
    <n v="0"/>
    <n v="0"/>
    <n v="0"/>
    <n v="0"/>
    <n v="10"/>
  </r>
  <r>
    <x v="6"/>
    <x v="7"/>
    <x v="3"/>
    <n v="91"/>
    <n v="69"/>
    <n v="64"/>
    <n v="25.558599999999998"/>
    <m/>
    <n v="64"/>
    <n v="5"/>
    <m/>
    <m/>
    <m/>
    <m/>
    <n v="5"/>
    <m/>
    <m/>
    <m/>
    <m/>
    <m/>
    <n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4" minRefreshableVersion="3" showCalcMbrs="0" useAutoFormatting="1" itemPrintTitles="1" createdVersion="3" indent="0" outline="1" outlineData="1" multipleFieldFilters="0">
  <location ref="A1:K290" firstHeaderRow="1" firstDataRow="2" firstDataCol="1"/>
  <pivotFields count="21"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m="1" x="8"/>
        <item m="1" x="9"/>
        <item t="default"/>
      </items>
    </pivotField>
    <pivotField axis="axisRow" showAll="0">
      <items count="10">
        <item m="1" x="7"/>
        <item m="1" x="4"/>
        <item m="1" x="8"/>
        <item m="1" x="6"/>
        <item m="1" x="5"/>
        <item x="0"/>
        <item x="1"/>
        <item x="2"/>
        <item x="3"/>
        <item t="default"/>
      </items>
    </pivotField>
    <pivotField dataField="1"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3">
    <field x="0"/>
    <field x="1"/>
    <field x="2"/>
  </rowFields>
  <rowItems count="288">
    <i>
      <x/>
    </i>
    <i r="1">
      <x/>
    </i>
    <i r="2">
      <x v="5"/>
    </i>
    <i r="2">
      <x v="6"/>
    </i>
    <i r="2">
      <x v="7"/>
    </i>
    <i r="2">
      <x v="8"/>
    </i>
    <i r="1">
      <x v="1"/>
    </i>
    <i r="2">
      <x v="5"/>
    </i>
    <i r="2">
      <x v="6"/>
    </i>
    <i r="2">
      <x v="7"/>
    </i>
    <i r="2">
      <x v="8"/>
    </i>
    <i r="1">
      <x v="2"/>
    </i>
    <i r="2">
      <x v="5"/>
    </i>
    <i r="2">
      <x v="6"/>
    </i>
    <i r="2">
      <x v="7"/>
    </i>
    <i r="2">
      <x v="8"/>
    </i>
    <i r="1">
      <x v="3"/>
    </i>
    <i r="2">
      <x v="5"/>
    </i>
    <i r="2">
      <x v="6"/>
    </i>
    <i r="2">
      <x v="7"/>
    </i>
    <i r="2">
      <x v="8"/>
    </i>
    <i r="1">
      <x v="4"/>
    </i>
    <i r="2">
      <x v="5"/>
    </i>
    <i r="2">
      <x v="6"/>
    </i>
    <i r="2">
      <x v="7"/>
    </i>
    <i r="2">
      <x v="8"/>
    </i>
    <i r="1">
      <x v="5"/>
    </i>
    <i r="2">
      <x v="5"/>
    </i>
    <i r="2">
      <x v="6"/>
    </i>
    <i r="2">
      <x v="7"/>
    </i>
    <i r="2">
      <x v="8"/>
    </i>
    <i r="1">
      <x v="6"/>
    </i>
    <i r="2">
      <x v="5"/>
    </i>
    <i r="2">
      <x v="6"/>
    </i>
    <i r="2">
      <x v="7"/>
    </i>
    <i r="2">
      <x v="8"/>
    </i>
    <i r="1">
      <x v="7"/>
    </i>
    <i r="2">
      <x v="5"/>
    </i>
    <i r="2">
      <x v="6"/>
    </i>
    <i r="2">
      <x v="7"/>
    </i>
    <i r="2">
      <x v="8"/>
    </i>
    <i>
      <x v="1"/>
    </i>
    <i r="1">
      <x/>
    </i>
    <i r="2">
      <x v="5"/>
    </i>
    <i r="2">
      <x v="6"/>
    </i>
    <i r="2">
      <x v="7"/>
    </i>
    <i r="2">
      <x v="8"/>
    </i>
    <i r="1">
      <x v="1"/>
    </i>
    <i r="2">
      <x v="5"/>
    </i>
    <i r="2">
      <x v="6"/>
    </i>
    <i r="2">
      <x v="7"/>
    </i>
    <i r="2">
      <x v="8"/>
    </i>
    <i r="1">
      <x v="2"/>
    </i>
    <i r="2">
      <x v="5"/>
    </i>
    <i r="2">
      <x v="6"/>
    </i>
    <i r="2">
      <x v="7"/>
    </i>
    <i r="2">
      <x v="8"/>
    </i>
    <i r="1">
      <x v="3"/>
    </i>
    <i r="2">
      <x v="5"/>
    </i>
    <i r="2">
      <x v="6"/>
    </i>
    <i r="2">
      <x v="7"/>
    </i>
    <i r="2">
      <x v="8"/>
    </i>
    <i r="1">
      <x v="4"/>
    </i>
    <i r="2">
      <x v="5"/>
    </i>
    <i r="2">
      <x v="6"/>
    </i>
    <i r="2">
      <x v="7"/>
    </i>
    <i r="2">
      <x v="8"/>
    </i>
    <i r="1">
      <x v="5"/>
    </i>
    <i r="2">
      <x v="5"/>
    </i>
    <i r="2">
      <x v="6"/>
    </i>
    <i r="2">
      <x v="7"/>
    </i>
    <i r="2">
      <x v="8"/>
    </i>
    <i r="1">
      <x v="6"/>
    </i>
    <i r="2">
      <x v="5"/>
    </i>
    <i r="2">
      <x v="6"/>
    </i>
    <i r="2">
      <x v="7"/>
    </i>
    <i r="2">
      <x v="8"/>
    </i>
    <i r="1">
      <x v="7"/>
    </i>
    <i r="2">
      <x v="5"/>
    </i>
    <i r="2">
      <x v="6"/>
    </i>
    <i r="2">
      <x v="7"/>
    </i>
    <i r="2">
      <x v="8"/>
    </i>
    <i>
      <x v="2"/>
    </i>
    <i r="1">
      <x/>
    </i>
    <i r="2">
      <x v="5"/>
    </i>
    <i r="2">
      <x v="6"/>
    </i>
    <i r="2">
      <x v="7"/>
    </i>
    <i r="2">
      <x v="8"/>
    </i>
    <i r="1">
      <x v="1"/>
    </i>
    <i r="2">
      <x v="5"/>
    </i>
    <i r="2">
      <x v="6"/>
    </i>
    <i r="2">
      <x v="7"/>
    </i>
    <i r="2">
      <x v="8"/>
    </i>
    <i r="1">
      <x v="2"/>
    </i>
    <i r="2">
      <x v="5"/>
    </i>
    <i r="2">
      <x v="6"/>
    </i>
    <i r="2">
      <x v="7"/>
    </i>
    <i r="2">
      <x v="8"/>
    </i>
    <i r="1">
      <x v="3"/>
    </i>
    <i r="2">
      <x v="5"/>
    </i>
    <i r="2">
      <x v="6"/>
    </i>
    <i r="2">
      <x v="7"/>
    </i>
    <i r="2">
      <x v="8"/>
    </i>
    <i r="1">
      <x v="4"/>
    </i>
    <i r="2">
      <x v="5"/>
    </i>
    <i r="2">
      <x v="6"/>
    </i>
    <i r="2">
      <x v="7"/>
    </i>
    <i r="2">
      <x v="8"/>
    </i>
    <i r="1">
      <x v="5"/>
    </i>
    <i r="2">
      <x v="5"/>
    </i>
    <i r="2">
      <x v="6"/>
    </i>
    <i r="2">
      <x v="7"/>
    </i>
    <i r="2">
      <x v="8"/>
    </i>
    <i r="1">
      <x v="6"/>
    </i>
    <i r="2">
      <x v="5"/>
    </i>
    <i r="2">
      <x v="6"/>
    </i>
    <i r="2">
      <x v="7"/>
    </i>
    <i r="2">
      <x v="8"/>
    </i>
    <i r="1">
      <x v="7"/>
    </i>
    <i r="2">
      <x v="5"/>
    </i>
    <i r="2">
      <x v="6"/>
    </i>
    <i r="2">
      <x v="7"/>
    </i>
    <i r="2">
      <x v="8"/>
    </i>
    <i>
      <x v="3"/>
    </i>
    <i r="1">
      <x/>
    </i>
    <i r="2">
      <x v="5"/>
    </i>
    <i r="2">
      <x v="6"/>
    </i>
    <i r="2">
      <x v="7"/>
    </i>
    <i r="2">
      <x v="8"/>
    </i>
    <i r="1">
      <x v="1"/>
    </i>
    <i r="2">
      <x v="5"/>
    </i>
    <i r="2">
      <x v="6"/>
    </i>
    <i r="2">
      <x v="7"/>
    </i>
    <i r="2">
      <x v="8"/>
    </i>
    <i r="1">
      <x v="2"/>
    </i>
    <i r="2">
      <x v="5"/>
    </i>
    <i r="2">
      <x v="6"/>
    </i>
    <i r="2">
      <x v="7"/>
    </i>
    <i r="2">
      <x v="8"/>
    </i>
    <i r="1">
      <x v="3"/>
    </i>
    <i r="2">
      <x v="5"/>
    </i>
    <i r="2">
      <x v="6"/>
    </i>
    <i r="2">
      <x v="7"/>
    </i>
    <i r="2">
      <x v="8"/>
    </i>
    <i r="1">
      <x v="4"/>
    </i>
    <i r="2">
      <x v="5"/>
    </i>
    <i r="2">
      <x v="6"/>
    </i>
    <i r="2">
      <x v="7"/>
    </i>
    <i r="2">
      <x v="8"/>
    </i>
    <i r="1">
      <x v="5"/>
    </i>
    <i r="2">
      <x v="5"/>
    </i>
    <i r="2">
      <x v="6"/>
    </i>
    <i r="2">
      <x v="7"/>
    </i>
    <i r="2">
      <x v="8"/>
    </i>
    <i r="1">
      <x v="6"/>
    </i>
    <i r="2">
      <x v="5"/>
    </i>
    <i r="2">
      <x v="6"/>
    </i>
    <i r="2">
      <x v="7"/>
    </i>
    <i r="2">
      <x v="8"/>
    </i>
    <i r="1">
      <x v="7"/>
    </i>
    <i r="2">
      <x v="5"/>
    </i>
    <i r="2">
      <x v="6"/>
    </i>
    <i r="2">
      <x v="7"/>
    </i>
    <i r="2">
      <x v="8"/>
    </i>
    <i>
      <x v="4"/>
    </i>
    <i r="1">
      <x/>
    </i>
    <i r="2">
      <x v="5"/>
    </i>
    <i r="2">
      <x v="6"/>
    </i>
    <i r="2">
      <x v="7"/>
    </i>
    <i r="2">
      <x v="8"/>
    </i>
    <i r="1">
      <x v="1"/>
    </i>
    <i r="2">
      <x v="5"/>
    </i>
    <i r="2">
      <x v="6"/>
    </i>
    <i r="2">
      <x v="7"/>
    </i>
    <i r="2">
      <x v="8"/>
    </i>
    <i r="1">
      <x v="2"/>
    </i>
    <i r="2">
      <x v="5"/>
    </i>
    <i r="2">
      <x v="6"/>
    </i>
    <i r="2">
      <x v="7"/>
    </i>
    <i r="2">
      <x v="8"/>
    </i>
    <i r="1">
      <x v="3"/>
    </i>
    <i r="2">
      <x v="5"/>
    </i>
    <i r="2">
      <x v="6"/>
    </i>
    <i r="2">
      <x v="7"/>
    </i>
    <i r="2">
      <x v="8"/>
    </i>
    <i r="1">
      <x v="4"/>
    </i>
    <i r="2">
      <x v="5"/>
    </i>
    <i r="2">
      <x v="6"/>
    </i>
    <i r="2">
      <x v="7"/>
    </i>
    <i r="2">
      <x v="8"/>
    </i>
    <i r="1">
      <x v="5"/>
    </i>
    <i r="2">
      <x v="5"/>
    </i>
    <i r="2">
      <x v="6"/>
    </i>
    <i r="2">
      <x v="7"/>
    </i>
    <i r="2">
      <x v="8"/>
    </i>
    <i r="1">
      <x v="6"/>
    </i>
    <i r="2">
      <x v="5"/>
    </i>
    <i r="2">
      <x v="6"/>
    </i>
    <i r="2">
      <x v="7"/>
    </i>
    <i r="2">
      <x v="8"/>
    </i>
    <i r="1">
      <x v="7"/>
    </i>
    <i r="2">
      <x v="5"/>
    </i>
    <i r="2">
      <x v="6"/>
    </i>
    <i r="2">
      <x v="7"/>
    </i>
    <i r="2">
      <x v="8"/>
    </i>
    <i>
      <x v="5"/>
    </i>
    <i r="1">
      <x/>
    </i>
    <i r="2">
      <x v="5"/>
    </i>
    <i r="2">
      <x v="6"/>
    </i>
    <i r="2">
      <x v="7"/>
    </i>
    <i r="2">
      <x v="8"/>
    </i>
    <i r="1">
      <x v="1"/>
    </i>
    <i r="2">
      <x v="5"/>
    </i>
    <i r="2">
      <x v="6"/>
    </i>
    <i r="2">
      <x v="7"/>
    </i>
    <i r="2">
      <x v="8"/>
    </i>
    <i r="1">
      <x v="2"/>
    </i>
    <i r="2">
      <x v="5"/>
    </i>
    <i r="2">
      <x v="6"/>
    </i>
    <i r="2">
      <x v="7"/>
    </i>
    <i r="2">
      <x v="8"/>
    </i>
    <i r="1">
      <x v="3"/>
    </i>
    <i r="2">
      <x v="5"/>
    </i>
    <i r="2">
      <x v="6"/>
    </i>
    <i r="2">
      <x v="7"/>
    </i>
    <i r="2">
      <x v="8"/>
    </i>
    <i r="1">
      <x v="4"/>
    </i>
    <i r="2">
      <x v="5"/>
    </i>
    <i r="2">
      <x v="6"/>
    </i>
    <i r="2">
      <x v="7"/>
    </i>
    <i r="2">
      <x v="8"/>
    </i>
    <i r="1">
      <x v="5"/>
    </i>
    <i r="2">
      <x v="5"/>
    </i>
    <i r="2">
      <x v="6"/>
    </i>
    <i r="2">
      <x v="7"/>
    </i>
    <i r="2">
      <x v="8"/>
    </i>
    <i r="1">
      <x v="6"/>
    </i>
    <i r="2">
      <x v="5"/>
    </i>
    <i r="2">
      <x v="6"/>
    </i>
    <i r="2">
      <x v="7"/>
    </i>
    <i r="2">
      <x v="8"/>
    </i>
    <i r="1">
      <x v="7"/>
    </i>
    <i r="2">
      <x v="5"/>
    </i>
    <i r="2">
      <x v="6"/>
    </i>
    <i r="2">
      <x v="7"/>
    </i>
    <i r="2">
      <x v="8"/>
    </i>
    <i>
      <x v="6"/>
    </i>
    <i r="1">
      <x/>
    </i>
    <i r="2">
      <x v="5"/>
    </i>
    <i r="2">
      <x v="6"/>
    </i>
    <i r="2">
      <x v="7"/>
    </i>
    <i r="2">
      <x v="8"/>
    </i>
    <i r="1">
      <x v="1"/>
    </i>
    <i r="2">
      <x v="5"/>
    </i>
    <i r="2">
      <x v="6"/>
    </i>
    <i r="2">
      <x v="7"/>
    </i>
    <i r="2">
      <x v="8"/>
    </i>
    <i r="1">
      <x v="2"/>
    </i>
    <i r="2">
      <x v="5"/>
    </i>
    <i r="2">
      <x v="6"/>
    </i>
    <i r="2">
      <x v="7"/>
    </i>
    <i r="2">
      <x v="8"/>
    </i>
    <i r="1">
      <x v="3"/>
    </i>
    <i r="2">
      <x v="5"/>
    </i>
    <i r="2">
      <x v="6"/>
    </i>
    <i r="2">
      <x v="7"/>
    </i>
    <i r="2">
      <x v="8"/>
    </i>
    <i r="1">
      <x v="4"/>
    </i>
    <i r="2">
      <x v="5"/>
    </i>
    <i r="2">
      <x v="6"/>
    </i>
    <i r="2">
      <x v="7"/>
    </i>
    <i r="2">
      <x v="8"/>
    </i>
    <i r="1">
      <x v="5"/>
    </i>
    <i r="2">
      <x v="5"/>
    </i>
    <i r="2">
      <x v="6"/>
    </i>
    <i r="2">
      <x v="7"/>
    </i>
    <i r="2">
      <x v="8"/>
    </i>
    <i r="1">
      <x v="6"/>
    </i>
    <i r="2">
      <x v="5"/>
    </i>
    <i r="2">
      <x v="6"/>
    </i>
    <i r="2">
      <x v="7"/>
    </i>
    <i r="2">
      <x v="8"/>
    </i>
    <i r="1">
      <x v="7"/>
    </i>
    <i r="2">
      <x v="5"/>
    </i>
    <i r="2">
      <x v="6"/>
    </i>
    <i r="2">
      <x v="7"/>
    </i>
    <i r="2">
      <x v="8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Program Completers" fld="3" baseField="0" baseItem="0"/>
    <dataField name="Sum of Respondents" fld="4" baseField="0" baseItem="0"/>
    <dataField name="Sum of Median Hourly Wage of Emp., Related To Training" fld="6" baseField="0" baseItem="0" numFmtId="164"/>
    <dataField name="Sum of Total Employed" fld="8" baseField="0" baseItem="0"/>
    <dataField name="Sum of Total in Military" fld="13" baseField="0" baseItem="0"/>
    <dataField name="Sum of Continuing Education (Secondary or Post-Secondary)" fld="14" baseField="0" baseItem="0"/>
    <dataField name="Sum of Total in Apprenticeships" fld="17" baseField="0" baseItem="0"/>
    <dataField name="Sum of Took State Licensing Exam" fld="18" baseField="0" baseItem="0"/>
    <dataField name="Sum of Passed State Licensing Exam" fld="19" baseField="0" baseItem="0"/>
    <dataField name="Sum of Instructional Program Met Educational Goals" fld="20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_rels/themeOverride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_rels/themeOverride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Office Theme">
  <a:themeElements>
    <a:clrScheme name="FRCC">
      <a:dk1>
        <a:srgbClr val="000000"/>
      </a:dk1>
      <a:lt1>
        <a:srgbClr val="FFFFFF"/>
      </a:lt1>
      <a:dk2>
        <a:srgbClr val="869F29"/>
      </a:dk2>
      <a:lt2>
        <a:srgbClr val="AFCF7B"/>
      </a:lt2>
      <a:accent1>
        <a:srgbClr val="70A399"/>
      </a:accent1>
      <a:accent2>
        <a:srgbClr val="E3B11F"/>
      </a:accent2>
      <a:accent3>
        <a:srgbClr val="0C4976"/>
      </a:accent3>
      <a:accent4>
        <a:srgbClr val="B70005"/>
      </a:accent4>
      <a:accent5>
        <a:srgbClr val="758FC2"/>
      </a:accent5>
      <a:accent6>
        <a:srgbClr val="46402D"/>
      </a:accent6>
      <a:hlink>
        <a:srgbClr val="A33100"/>
      </a:hlink>
      <a:folHlink>
        <a:srgbClr val="A178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Module">
    <a:dk1>
      <a:sysClr val="windowText" lastClr="000000"/>
    </a:dk1>
    <a:lt1>
      <a:sysClr val="window" lastClr="FFFFFF"/>
    </a:lt1>
    <a:dk2>
      <a:srgbClr val="5A6378"/>
    </a:dk2>
    <a:lt2>
      <a:srgbClr val="D4D4D6"/>
    </a:lt2>
    <a:accent1>
      <a:srgbClr val="F0AD00"/>
    </a:accent1>
    <a:accent2>
      <a:srgbClr val="60B5CC"/>
    </a:accent2>
    <a:accent3>
      <a:srgbClr val="E66C7D"/>
    </a:accent3>
    <a:accent4>
      <a:srgbClr val="6BB76D"/>
    </a:accent4>
    <a:accent5>
      <a:srgbClr val="E88651"/>
    </a:accent5>
    <a:accent6>
      <a:srgbClr val="C64847"/>
    </a:accent6>
    <a:hlink>
      <a:srgbClr val="168BBA"/>
    </a:hlink>
    <a:folHlink>
      <a:srgbClr val="680000"/>
    </a:folHlink>
  </a:clrScheme>
  <a:fontScheme name="Concourse">
    <a:majorFont>
      <a:latin typeface="Lucida Sans Unicode"/>
      <a:ea typeface=""/>
      <a:cs typeface=""/>
      <a:font script="Jpan" typeface="ＭＳ Ｐゴシック"/>
      <a:font script="Hang" typeface="맑은 고딕"/>
      <a:font script="Hans" typeface="黑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Uigh" typeface="Microsoft Uighur"/>
    </a:majorFont>
    <a:minorFont>
      <a:latin typeface="Lucida Sans Unicode"/>
      <a:ea typeface=""/>
      <a:cs typeface=""/>
      <a:font script="Jpan" typeface="ＭＳ Ｐゴシック"/>
      <a:font script="Hang" typeface="맑은 고딕"/>
      <a:font script="Hans" typeface="黑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Uigh" typeface="Microsoft Uighur"/>
    </a:minorFont>
  </a:fontScheme>
  <a:fmtScheme name="Modul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7500"/>
              <a:satMod val="137000"/>
            </a:schemeClr>
          </a:gs>
          <a:gs pos="55000">
            <a:schemeClr val="phClr">
              <a:shade val="69000"/>
              <a:satMod val="137000"/>
            </a:schemeClr>
          </a:gs>
          <a:gs pos="100000">
            <a:schemeClr val="phClr">
              <a:shade val="98000"/>
              <a:satMod val="137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48000" cap="flat" cmpd="thickThin" algn="ctr">
        <a:solidFill>
          <a:schemeClr val="phClr"/>
        </a:solidFill>
        <a:prstDash val="solid"/>
      </a:ln>
      <a:ln w="48500" cap="flat" cmpd="thickThin" algn="ctr">
        <a:solidFill>
          <a:schemeClr val="phClr"/>
        </a:solidFill>
        <a:prstDash val="solid"/>
      </a:ln>
    </a:lnStyleLst>
    <a:effectStyleLst>
      <a:effectStyle>
        <a:effectLst>
          <a:outerShdw blurRad="45000" dist="25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1800000"/>
          </a:lightRig>
        </a:scene3d>
        <a:sp3d prstMaterial="matte">
          <a:bevelT h="200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8000"/>
              <a:satMod val="300000"/>
            </a:schemeClr>
          </a:gs>
          <a:gs pos="12000">
            <a:schemeClr val="phClr">
              <a:tint val="48000"/>
              <a:satMod val="300000"/>
            </a:schemeClr>
          </a:gs>
          <a:gs pos="20000">
            <a:schemeClr val="phClr">
              <a:tint val="49000"/>
              <a:satMod val="30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10000" t="-25000" r="10000" b="125000"/>
        </a:path>
      </a:gradFill>
      <a:blipFill>
        <a:blip xmlns:r="http://schemas.openxmlformats.org/officeDocument/2006/relationships" r:embed="rId1">
          <a:duotone>
            <a:schemeClr val="phClr">
              <a:shade val="75000"/>
              <a:satMod val="105000"/>
            </a:schemeClr>
            <a:schemeClr val="phClr">
              <a:tint val="95000"/>
              <a:satMod val="105000"/>
            </a:schemeClr>
          </a:duotone>
        </a:blip>
        <a:tile tx="0" ty="0" sx="38000" sy="38000" flip="none" algn="tl"/>
      </a:blipFill>
    </a:bgFillStyleLst>
  </a:fmtScheme>
</a:themeOverride>
</file>

<file path=xl/theme/themeOverride7.xml><?xml version="1.0" encoding="utf-8"?>
<a:themeOverride xmlns:a="http://schemas.openxmlformats.org/drawingml/2006/main">
  <a:clrScheme name="Module">
    <a:dk1>
      <a:sysClr val="windowText" lastClr="000000"/>
    </a:dk1>
    <a:lt1>
      <a:sysClr val="window" lastClr="FFFFFF"/>
    </a:lt1>
    <a:dk2>
      <a:srgbClr val="5A6378"/>
    </a:dk2>
    <a:lt2>
      <a:srgbClr val="D4D4D6"/>
    </a:lt2>
    <a:accent1>
      <a:srgbClr val="F0AD00"/>
    </a:accent1>
    <a:accent2>
      <a:srgbClr val="60B5CC"/>
    </a:accent2>
    <a:accent3>
      <a:srgbClr val="E66C7D"/>
    </a:accent3>
    <a:accent4>
      <a:srgbClr val="6BB76D"/>
    </a:accent4>
    <a:accent5>
      <a:srgbClr val="E88651"/>
    </a:accent5>
    <a:accent6>
      <a:srgbClr val="C64847"/>
    </a:accent6>
    <a:hlink>
      <a:srgbClr val="168BBA"/>
    </a:hlink>
    <a:folHlink>
      <a:srgbClr val="680000"/>
    </a:folHlink>
  </a:clrScheme>
  <a:fontScheme name="Concourse">
    <a:majorFont>
      <a:latin typeface="Lucida Sans Unicode"/>
      <a:ea typeface=""/>
      <a:cs typeface=""/>
      <a:font script="Jpan" typeface="ＭＳ Ｐゴシック"/>
      <a:font script="Hang" typeface="맑은 고딕"/>
      <a:font script="Hans" typeface="黑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Uigh" typeface="Microsoft Uighur"/>
    </a:majorFont>
    <a:minorFont>
      <a:latin typeface="Lucida Sans Unicode"/>
      <a:ea typeface=""/>
      <a:cs typeface=""/>
      <a:font script="Jpan" typeface="ＭＳ Ｐゴシック"/>
      <a:font script="Hang" typeface="맑은 고딕"/>
      <a:font script="Hans" typeface="黑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Uigh" typeface="Microsoft Uighur"/>
    </a:minorFont>
  </a:fontScheme>
  <a:fmtScheme name="Modul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7500"/>
              <a:satMod val="137000"/>
            </a:schemeClr>
          </a:gs>
          <a:gs pos="55000">
            <a:schemeClr val="phClr">
              <a:shade val="69000"/>
              <a:satMod val="137000"/>
            </a:schemeClr>
          </a:gs>
          <a:gs pos="100000">
            <a:schemeClr val="phClr">
              <a:shade val="98000"/>
              <a:satMod val="137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48000" cap="flat" cmpd="thickThin" algn="ctr">
        <a:solidFill>
          <a:schemeClr val="phClr"/>
        </a:solidFill>
        <a:prstDash val="solid"/>
      </a:ln>
      <a:ln w="48500" cap="flat" cmpd="thickThin" algn="ctr">
        <a:solidFill>
          <a:schemeClr val="phClr"/>
        </a:solidFill>
        <a:prstDash val="solid"/>
      </a:ln>
    </a:lnStyleLst>
    <a:effectStyleLst>
      <a:effectStyle>
        <a:effectLst>
          <a:outerShdw blurRad="45000" dist="25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1800000"/>
          </a:lightRig>
        </a:scene3d>
        <a:sp3d prstMaterial="matte">
          <a:bevelT h="200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8000"/>
              <a:satMod val="300000"/>
            </a:schemeClr>
          </a:gs>
          <a:gs pos="12000">
            <a:schemeClr val="phClr">
              <a:tint val="48000"/>
              <a:satMod val="300000"/>
            </a:schemeClr>
          </a:gs>
          <a:gs pos="20000">
            <a:schemeClr val="phClr">
              <a:tint val="49000"/>
              <a:satMod val="30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10000" t="-25000" r="10000" b="125000"/>
        </a:path>
      </a:gradFill>
      <a:blipFill>
        <a:blip xmlns:r="http://schemas.openxmlformats.org/officeDocument/2006/relationships" r:embed="rId1">
          <a:duotone>
            <a:schemeClr val="phClr">
              <a:shade val="75000"/>
              <a:satMod val="105000"/>
            </a:schemeClr>
            <a:schemeClr val="phClr">
              <a:tint val="95000"/>
              <a:satMod val="105000"/>
            </a:schemeClr>
          </a:duotone>
        </a:blip>
        <a:tile tx="0" ty="0" sx="38000" sy="38000" flip="none" algn="tl"/>
      </a:blip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1"/>
  <sheetViews>
    <sheetView topLeftCell="B1" zoomScaleNormal="100" workbookViewId="0">
      <pane ySplit="1" topLeftCell="A2" activePane="bottomLeft" state="frozen"/>
      <selection activeCell="Q31" sqref="Q31"/>
      <selection pane="bottomLeft" activeCell="S1" sqref="S1"/>
    </sheetView>
  </sheetViews>
  <sheetFormatPr defaultRowHeight="15" x14ac:dyDescent="0.25"/>
  <cols>
    <col min="1" max="2" width="9.140625" style="1"/>
    <col min="3" max="3" width="25.28515625" style="1" customWidth="1"/>
    <col min="4" max="4" width="27.42578125" style="429" bestFit="1" customWidth="1"/>
    <col min="5" max="6" width="1.85546875" style="1" customWidth="1"/>
    <col min="7" max="7" width="6.85546875" style="1" customWidth="1"/>
    <col min="8" max="8" width="13.7109375" style="225" customWidth="1"/>
    <col min="9" max="22" width="13.7109375" style="1" customWidth="1"/>
    <col min="23" max="16384" width="9.140625" style="1"/>
  </cols>
  <sheetData>
    <row r="1" spans="1:25" ht="120.75" x14ac:dyDescent="0.25">
      <c r="A1" s="331"/>
      <c r="B1" s="220" t="s">
        <v>25</v>
      </c>
      <c r="C1" s="221" t="s">
        <v>0</v>
      </c>
      <c r="D1" s="421" t="s">
        <v>26</v>
      </c>
      <c r="E1" s="79" t="s">
        <v>1</v>
      </c>
      <c r="F1" s="79" t="s">
        <v>2</v>
      </c>
      <c r="G1" s="80" t="s">
        <v>3</v>
      </c>
      <c r="H1" s="76" t="s">
        <v>4</v>
      </c>
      <c r="I1" s="77" t="s">
        <v>5</v>
      </c>
      <c r="J1" s="77" t="s">
        <v>6</v>
      </c>
      <c r="K1" s="77" t="s">
        <v>7</v>
      </c>
      <c r="L1" s="78" t="s">
        <v>8</v>
      </c>
      <c r="M1" s="79" t="s">
        <v>9</v>
      </c>
      <c r="N1" s="79" t="s">
        <v>10</v>
      </c>
      <c r="O1" s="77" t="s">
        <v>11</v>
      </c>
      <c r="P1" s="77" t="s">
        <v>12</v>
      </c>
      <c r="Q1" s="79" t="s">
        <v>27</v>
      </c>
      <c r="R1" s="79" t="s">
        <v>28</v>
      </c>
      <c r="S1" s="77" t="s">
        <v>13</v>
      </c>
      <c r="T1" s="80" t="s">
        <v>14</v>
      </c>
      <c r="U1" s="77" t="s">
        <v>15</v>
      </c>
      <c r="V1" s="80" t="s">
        <v>16</v>
      </c>
      <c r="W1" s="36"/>
    </row>
    <row r="2" spans="1:25" x14ac:dyDescent="0.25">
      <c r="A2" s="331" t="b">
        <f t="shared" ref="A2:A32" si="0">C2=C34</f>
        <v>1</v>
      </c>
      <c r="B2" s="420">
        <v>2013</v>
      </c>
      <c r="C2" s="405" t="s">
        <v>17</v>
      </c>
      <c r="D2" s="422" t="s">
        <v>76</v>
      </c>
      <c r="E2" s="430">
        <v>7</v>
      </c>
      <c r="F2" s="430">
        <v>5</v>
      </c>
      <c r="G2" s="431">
        <v>4</v>
      </c>
      <c r="H2" s="432"/>
      <c r="I2" s="431">
        <v>0</v>
      </c>
      <c r="J2" s="431">
        <v>4</v>
      </c>
      <c r="K2" s="431">
        <v>0</v>
      </c>
      <c r="L2" s="431">
        <v>1</v>
      </c>
      <c r="M2" s="433">
        <v>0</v>
      </c>
      <c r="N2" s="433">
        <v>0</v>
      </c>
      <c r="O2" s="431">
        <v>0</v>
      </c>
      <c r="P2" s="431">
        <v>0</v>
      </c>
      <c r="Q2" s="433">
        <v>0</v>
      </c>
      <c r="R2" s="433">
        <v>0</v>
      </c>
      <c r="S2" s="431">
        <v>0</v>
      </c>
      <c r="T2" s="431">
        <v>0</v>
      </c>
      <c r="U2" s="431">
        <v>0</v>
      </c>
      <c r="V2" s="431">
        <v>5</v>
      </c>
      <c r="W2" s="36"/>
      <c r="X2" s="1">
        <f>T2-F2</f>
        <v>-5</v>
      </c>
      <c r="Y2" s="1">
        <f>U2-T2</f>
        <v>0</v>
      </c>
    </row>
    <row r="3" spans="1:25" x14ac:dyDescent="0.25">
      <c r="A3" s="331" t="b">
        <f t="shared" si="0"/>
        <v>1</v>
      </c>
      <c r="B3" s="420">
        <v>2013</v>
      </c>
      <c r="C3" s="364" t="s">
        <v>17</v>
      </c>
      <c r="D3" s="423" t="s">
        <v>77</v>
      </c>
      <c r="E3" s="430">
        <v>13</v>
      </c>
      <c r="F3" s="430">
        <v>9</v>
      </c>
      <c r="G3" s="431">
        <v>3</v>
      </c>
      <c r="H3" s="432"/>
      <c r="I3" s="431">
        <v>2</v>
      </c>
      <c r="J3" s="431">
        <v>5</v>
      </c>
      <c r="K3" s="431">
        <v>0</v>
      </c>
      <c r="L3" s="431">
        <v>4</v>
      </c>
      <c r="M3" s="433">
        <v>0</v>
      </c>
      <c r="N3" s="433">
        <v>0</v>
      </c>
      <c r="O3" s="431">
        <v>0</v>
      </c>
      <c r="P3" s="431">
        <v>8</v>
      </c>
      <c r="Q3" s="433">
        <v>2</v>
      </c>
      <c r="R3" s="433">
        <v>1</v>
      </c>
      <c r="S3" s="431">
        <v>3</v>
      </c>
      <c r="T3" s="431">
        <v>0</v>
      </c>
      <c r="U3" s="431">
        <v>0</v>
      </c>
      <c r="V3" s="431">
        <v>9</v>
      </c>
      <c r="W3" s="36"/>
      <c r="X3" s="1">
        <f t="shared" ref="X3:X33" si="1">T3-F3</f>
        <v>-9</v>
      </c>
      <c r="Y3" s="1">
        <f t="shared" ref="Y3:Y33" si="2">U3-T3</f>
        <v>0</v>
      </c>
    </row>
    <row r="4" spans="1:25" x14ac:dyDescent="0.25">
      <c r="A4" s="331" t="b">
        <f t="shared" si="0"/>
        <v>1</v>
      </c>
      <c r="B4" s="420">
        <v>2013</v>
      </c>
      <c r="C4" s="364" t="s">
        <v>17</v>
      </c>
      <c r="D4" s="424" t="s">
        <v>78</v>
      </c>
      <c r="E4" s="430">
        <v>36</v>
      </c>
      <c r="F4" s="430">
        <v>16</v>
      </c>
      <c r="G4" s="430">
        <v>3</v>
      </c>
      <c r="H4" s="430"/>
      <c r="I4" s="430">
        <v>5</v>
      </c>
      <c r="J4" s="430">
        <v>8</v>
      </c>
      <c r="K4" s="430">
        <v>2</v>
      </c>
      <c r="L4" s="430">
        <v>2</v>
      </c>
      <c r="M4" s="430">
        <v>0</v>
      </c>
      <c r="N4" s="430">
        <v>0</v>
      </c>
      <c r="O4" s="430">
        <v>0</v>
      </c>
      <c r="P4" s="430">
        <v>6</v>
      </c>
      <c r="Q4" s="430">
        <v>1</v>
      </c>
      <c r="R4" s="430">
        <v>0</v>
      </c>
      <c r="S4" s="430">
        <v>1</v>
      </c>
      <c r="T4" s="430">
        <v>0</v>
      </c>
      <c r="U4" s="430">
        <v>0</v>
      </c>
      <c r="V4" s="430">
        <v>9</v>
      </c>
      <c r="W4" s="36"/>
      <c r="X4" s="1">
        <f t="shared" si="1"/>
        <v>-16</v>
      </c>
      <c r="Y4" s="1">
        <f t="shared" si="2"/>
        <v>0</v>
      </c>
    </row>
    <row r="5" spans="1:25" x14ac:dyDescent="0.25">
      <c r="A5" s="331" t="b">
        <f t="shared" si="0"/>
        <v>1</v>
      </c>
      <c r="B5" s="420">
        <v>2013</v>
      </c>
      <c r="C5" s="365" t="s">
        <v>17</v>
      </c>
      <c r="D5" s="424" t="s">
        <v>79</v>
      </c>
      <c r="E5" s="430">
        <v>6</v>
      </c>
      <c r="F5" s="430">
        <v>4</v>
      </c>
      <c r="G5" s="431"/>
      <c r="H5" s="432"/>
      <c r="I5" s="431"/>
      <c r="J5" s="431"/>
      <c r="K5" s="431"/>
      <c r="L5" s="431"/>
      <c r="M5" s="433"/>
      <c r="N5" s="433"/>
      <c r="O5" s="431"/>
      <c r="P5" s="431"/>
      <c r="Q5" s="433"/>
      <c r="R5" s="433"/>
      <c r="S5" s="431"/>
      <c r="T5" s="431"/>
      <c r="U5" s="431"/>
      <c r="V5" s="431"/>
      <c r="W5" s="36"/>
      <c r="X5" s="1">
        <f t="shared" si="1"/>
        <v>-4</v>
      </c>
      <c r="Y5" s="1">
        <f t="shared" si="2"/>
        <v>0</v>
      </c>
    </row>
    <row r="6" spans="1:25" ht="12.75" customHeight="1" x14ac:dyDescent="0.25">
      <c r="A6" s="331" t="b">
        <f t="shared" si="0"/>
        <v>1</v>
      </c>
      <c r="B6" s="420">
        <v>2013</v>
      </c>
      <c r="C6" s="356" t="s">
        <v>18</v>
      </c>
      <c r="D6" s="425" t="s">
        <v>76</v>
      </c>
      <c r="E6" s="430"/>
      <c r="F6" s="430"/>
      <c r="G6" s="431"/>
      <c r="H6" s="432"/>
      <c r="I6" s="431"/>
      <c r="J6" s="431"/>
      <c r="K6" s="431"/>
      <c r="L6" s="431"/>
      <c r="M6" s="433"/>
      <c r="N6" s="433"/>
      <c r="O6" s="431"/>
      <c r="P6" s="431"/>
      <c r="Q6" s="433"/>
      <c r="R6" s="433"/>
      <c r="S6" s="431"/>
      <c r="T6" s="431"/>
      <c r="U6" s="431"/>
      <c r="V6" s="431"/>
      <c r="W6" s="36"/>
      <c r="X6" s="1">
        <f t="shared" si="1"/>
        <v>0</v>
      </c>
      <c r="Y6" s="1">
        <f t="shared" si="2"/>
        <v>0</v>
      </c>
    </row>
    <row r="7" spans="1:25" x14ac:dyDescent="0.25">
      <c r="A7" s="331" t="b">
        <f t="shared" si="0"/>
        <v>1</v>
      </c>
      <c r="B7" s="420">
        <v>2013</v>
      </c>
      <c r="C7" s="355" t="s">
        <v>18</v>
      </c>
      <c r="D7" s="426" t="s">
        <v>77</v>
      </c>
      <c r="E7" s="430">
        <v>32</v>
      </c>
      <c r="F7" s="430">
        <v>10</v>
      </c>
      <c r="G7" s="431">
        <v>5</v>
      </c>
      <c r="H7" s="432">
        <v>14.72</v>
      </c>
      <c r="I7" s="431">
        <v>2</v>
      </c>
      <c r="J7" s="431">
        <v>7</v>
      </c>
      <c r="K7" s="431">
        <v>1</v>
      </c>
      <c r="L7" s="431">
        <v>2</v>
      </c>
      <c r="M7" s="433">
        <v>0</v>
      </c>
      <c r="N7" s="433">
        <v>0</v>
      </c>
      <c r="O7" s="431">
        <v>0</v>
      </c>
      <c r="P7" s="431">
        <v>4</v>
      </c>
      <c r="Q7" s="433">
        <v>0</v>
      </c>
      <c r="R7" s="433">
        <v>0</v>
      </c>
      <c r="S7" s="431">
        <v>0</v>
      </c>
      <c r="T7" s="431">
        <v>2</v>
      </c>
      <c r="U7" s="431">
        <v>2</v>
      </c>
      <c r="V7" s="431">
        <v>10</v>
      </c>
      <c r="W7" s="36"/>
      <c r="X7" s="1">
        <f t="shared" si="1"/>
        <v>-8</v>
      </c>
      <c r="Y7" s="1">
        <f t="shared" si="2"/>
        <v>0</v>
      </c>
    </row>
    <row r="8" spans="1:25" x14ac:dyDescent="0.25">
      <c r="A8" s="331" t="b">
        <f t="shared" si="0"/>
        <v>1</v>
      </c>
      <c r="B8" s="420">
        <v>2013</v>
      </c>
      <c r="C8" s="355" t="s">
        <v>18</v>
      </c>
      <c r="D8" s="427" t="s">
        <v>78</v>
      </c>
      <c r="E8" s="430"/>
      <c r="F8" s="430"/>
      <c r="G8" s="431"/>
      <c r="H8" s="432"/>
      <c r="I8" s="431"/>
      <c r="J8" s="431"/>
      <c r="K8" s="431"/>
      <c r="L8" s="431"/>
      <c r="M8" s="433"/>
      <c r="N8" s="433"/>
      <c r="O8" s="431"/>
      <c r="P8" s="431"/>
      <c r="Q8" s="433"/>
      <c r="R8" s="433"/>
      <c r="S8" s="431"/>
      <c r="T8" s="431"/>
      <c r="U8" s="431"/>
      <c r="V8" s="431"/>
      <c r="W8" s="36"/>
      <c r="X8" s="1">
        <f t="shared" si="1"/>
        <v>0</v>
      </c>
      <c r="Y8" s="1">
        <f t="shared" si="2"/>
        <v>0</v>
      </c>
    </row>
    <row r="9" spans="1:25" x14ac:dyDescent="0.25">
      <c r="A9" s="331" t="b">
        <f t="shared" si="0"/>
        <v>1</v>
      </c>
      <c r="B9" s="420">
        <v>2013</v>
      </c>
      <c r="C9" s="357" t="s">
        <v>18</v>
      </c>
      <c r="D9" s="427" t="s">
        <v>79</v>
      </c>
      <c r="E9" s="430">
        <v>77</v>
      </c>
      <c r="F9" s="430">
        <v>33</v>
      </c>
      <c r="G9" s="431">
        <v>14</v>
      </c>
      <c r="H9" s="432">
        <v>12</v>
      </c>
      <c r="I9" s="431">
        <v>10</v>
      </c>
      <c r="J9" s="431">
        <v>24</v>
      </c>
      <c r="K9" s="431">
        <v>5</v>
      </c>
      <c r="L9" s="431">
        <v>3</v>
      </c>
      <c r="M9" s="433">
        <v>1</v>
      </c>
      <c r="N9" s="433">
        <v>0</v>
      </c>
      <c r="O9" s="431">
        <v>1</v>
      </c>
      <c r="P9" s="431">
        <v>16</v>
      </c>
      <c r="Q9" s="433">
        <v>3</v>
      </c>
      <c r="R9" s="433">
        <v>1</v>
      </c>
      <c r="S9" s="431">
        <v>4</v>
      </c>
      <c r="T9" s="431">
        <v>8</v>
      </c>
      <c r="U9" s="431">
        <v>8</v>
      </c>
      <c r="V9" s="431">
        <v>32</v>
      </c>
      <c r="W9" s="36"/>
      <c r="X9" s="1">
        <f t="shared" si="1"/>
        <v>-25</v>
      </c>
      <c r="Y9" s="1">
        <f t="shared" si="2"/>
        <v>0</v>
      </c>
    </row>
    <row r="10" spans="1:25" x14ac:dyDescent="0.25">
      <c r="A10" s="331" t="b">
        <f t="shared" si="0"/>
        <v>1</v>
      </c>
      <c r="B10" s="420">
        <v>2013</v>
      </c>
      <c r="C10" s="405" t="s">
        <v>19</v>
      </c>
      <c r="D10" s="422" t="s">
        <v>76</v>
      </c>
      <c r="E10" s="434">
        <v>9</v>
      </c>
      <c r="F10" s="434">
        <v>6</v>
      </c>
      <c r="G10" s="435">
        <v>2</v>
      </c>
      <c r="H10" s="436"/>
      <c r="I10" s="435">
        <v>3</v>
      </c>
      <c r="J10" s="435">
        <v>5</v>
      </c>
      <c r="K10" s="435">
        <v>0</v>
      </c>
      <c r="L10" s="435">
        <v>1</v>
      </c>
      <c r="M10" s="437">
        <v>0</v>
      </c>
      <c r="N10" s="437">
        <v>1</v>
      </c>
      <c r="O10" s="435">
        <v>1</v>
      </c>
      <c r="P10" s="435">
        <v>3</v>
      </c>
      <c r="Q10" s="437">
        <v>2</v>
      </c>
      <c r="R10" s="437">
        <v>0</v>
      </c>
      <c r="S10" s="435">
        <v>2</v>
      </c>
      <c r="T10" s="435">
        <v>2</v>
      </c>
      <c r="U10" s="435">
        <v>2</v>
      </c>
      <c r="V10" s="435">
        <v>6</v>
      </c>
      <c r="W10" s="36"/>
      <c r="X10" s="1">
        <f t="shared" si="1"/>
        <v>-4</v>
      </c>
      <c r="Y10" s="1">
        <f t="shared" si="2"/>
        <v>0</v>
      </c>
    </row>
    <row r="11" spans="1:25" x14ac:dyDescent="0.25">
      <c r="A11" s="331" t="b">
        <f t="shared" si="0"/>
        <v>1</v>
      </c>
      <c r="B11" s="420">
        <v>2013</v>
      </c>
      <c r="C11" s="364" t="s">
        <v>19</v>
      </c>
      <c r="D11" s="423" t="s">
        <v>77</v>
      </c>
      <c r="E11" s="434">
        <v>28</v>
      </c>
      <c r="F11" s="434">
        <v>19</v>
      </c>
      <c r="G11" s="435">
        <v>14</v>
      </c>
      <c r="H11" s="436">
        <v>14.75</v>
      </c>
      <c r="I11" s="435">
        <v>5</v>
      </c>
      <c r="J11" s="435">
        <v>19</v>
      </c>
      <c r="K11" s="435">
        <v>0</v>
      </c>
      <c r="L11" s="435">
        <v>0</v>
      </c>
      <c r="M11" s="437">
        <v>0</v>
      </c>
      <c r="N11" s="437">
        <v>0</v>
      </c>
      <c r="O11" s="435">
        <v>0</v>
      </c>
      <c r="P11" s="435">
        <v>12</v>
      </c>
      <c r="Q11" s="437">
        <v>2</v>
      </c>
      <c r="R11" s="437">
        <v>1</v>
      </c>
      <c r="S11" s="435">
        <v>3</v>
      </c>
      <c r="T11" s="435">
        <v>3</v>
      </c>
      <c r="U11" s="435">
        <v>3</v>
      </c>
      <c r="V11" s="435">
        <v>18</v>
      </c>
      <c r="W11" s="36"/>
      <c r="X11" s="1">
        <f t="shared" si="1"/>
        <v>-16</v>
      </c>
      <c r="Y11" s="1">
        <f t="shared" si="2"/>
        <v>0</v>
      </c>
    </row>
    <row r="12" spans="1:25" x14ac:dyDescent="0.25">
      <c r="A12" s="331" t="b">
        <f t="shared" si="0"/>
        <v>1</v>
      </c>
      <c r="B12" s="420">
        <v>2013</v>
      </c>
      <c r="C12" s="364" t="s">
        <v>19</v>
      </c>
      <c r="D12" s="424" t="s">
        <v>78</v>
      </c>
      <c r="E12" s="430">
        <v>55</v>
      </c>
      <c r="F12" s="430">
        <v>26</v>
      </c>
      <c r="G12" s="430">
        <v>13</v>
      </c>
      <c r="H12" s="430">
        <v>16</v>
      </c>
      <c r="I12" s="430">
        <v>7</v>
      </c>
      <c r="J12" s="430">
        <v>20</v>
      </c>
      <c r="K12" s="430">
        <v>3</v>
      </c>
      <c r="L12" s="430">
        <v>2</v>
      </c>
      <c r="M12" s="430">
        <v>0</v>
      </c>
      <c r="N12" s="430">
        <v>0</v>
      </c>
      <c r="O12" s="430">
        <v>0</v>
      </c>
      <c r="P12" s="430">
        <v>14</v>
      </c>
      <c r="Q12" s="430">
        <v>0</v>
      </c>
      <c r="R12" s="430">
        <v>1</v>
      </c>
      <c r="S12" s="430">
        <v>1</v>
      </c>
      <c r="T12" s="430">
        <v>2</v>
      </c>
      <c r="U12" s="430">
        <v>2</v>
      </c>
      <c r="V12" s="430">
        <v>25</v>
      </c>
      <c r="W12" s="36"/>
      <c r="X12" s="1">
        <f t="shared" si="1"/>
        <v>-24</v>
      </c>
      <c r="Y12" s="1">
        <f t="shared" si="2"/>
        <v>0</v>
      </c>
    </row>
    <row r="13" spans="1:25" x14ac:dyDescent="0.25">
      <c r="A13" s="331" t="b">
        <f t="shared" si="0"/>
        <v>1</v>
      </c>
      <c r="B13" s="420">
        <v>2013</v>
      </c>
      <c r="C13" s="365" t="s">
        <v>19</v>
      </c>
      <c r="D13" s="424" t="s">
        <v>79</v>
      </c>
      <c r="E13" s="434">
        <v>16</v>
      </c>
      <c r="F13" s="434">
        <v>10</v>
      </c>
      <c r="G13" s="435">
        <v>3</v>
      </c>
      <c r="H13" s="436"/>
      <c r="I13" s="435">
        <v>1</v>
      </c>
      <c r="J13" s="435">
        <v>4</v>
      </c>
      <c r="K13" s="435">
        <v>5</v>
      </c>
      <c r="L13" s="435">
        <v>1</v>
      </c>
      <c r="M13" s="437">
        <v>0</v>
      </c>
      <c r="N13" s="437">
        <v>0</v>
      </c>
      <c r="O13" s="435">
        <v>0</v>
      </c>
      <c r="P13" s="435">
        <v>8</v>
      </c>
      <c r="Q13" s="437">
        <v>3</v>
      </c>
      <c r="R13" s="437">
        <v>1</v>
      </c>
      <c r="S13" s="435">
        <v>4</v>
      </c>
      <c r="T13" s="435">
        <v>1</v>
      </c>
      <c r="U13" s="435">
        <v>1</v>
      </c>
      <c r="V13" s="435">
        <v>8</v>
      </c>
      <c r="W13" s="36"/>
      <c r="X13" s="1">
        <f t="shared" si="1"/>
        <v>-9</v>
      </c>
      <c r="Y13" s="1">
        <f t="shared" si="2"/>
        <v>0</v>
      </c>
    </row>
    <row r="14" spans="1:25" x14ac:dyDescent="0.25">
      <c r="A14" s="331" t="b">
        <f t="shared" si="0"/>
        <v>1</v>
      </c>
      <c r="B14" s="420">
        <v>2013</v>
      </c>
      <c r="C14" s="356" t="s">
        <v>24</v>
      </c>
      <c r="D14" s="425" t="s">
        <v>76</v>
      </c>
      <c r="E14" s="430">
        <v>31</v>
      </c>
      <c r="F14" s="430">
        <v>24</v>
      </c>
      <c r="G14" s="431">
        <v>6</v>
      </c>
      <c r="H14" s="432">
        <v>13</v>
      </c>
      <c r="I14" s="431">
        <v>10</v>
      </c>
      <c r="J14" s="431">
        <v>16</v>
      </c>
      <c r="K14" s="431">
        <v>5</v>
      </c>
      <c r="L14" s="431">
        <v>3</v>
      </c>
      <c r="M14" s="433">
        <v>0</v>
      </c>
      <c r="N14" s="433">
        <v>0</v>
      </c>
      <c r="O14" s="431">
        <v>0</v>
      </c>
      <c r="P14" s="431">
        <v>15</v>
      </c>
      <c r="Q14" s="433">
        <v>3</v>
      </c>
      <c r="R14" s="433">
        <v>1</v>
      </c>
      <c r="S14" s="431">
        <v>4</v>
      </c>
      <c r="T14" s="431">
        <v>3</v>
      </c>
      <c r="U14" s="431">
        <v>3</v>
      </c>
      <c r="V14" s="431">
        <v>18</v>
      </c>
      <c r="W14" s="36"/>
      <c r="X14" s="1">
        <f t="shared" si="1"/>
        <v>-21</v>
      </c>
      <c r="Y14" s="1">
        <f t="shared" si="2"/>
        <v>0</v>
      </c>
    </row>
    <row r="15" spans="1:25" x14ac:dyDescent="0.25">
      <c r="A15" s="331" t="b">
        <f t="shared" si="0"/>
        <v>1</v>
      </c>
      <c r="B15" s="420">
        <v>2013</v>
      </c>
      <c r="C15" s="355" t="s">
        <v>24</v>
      </c>
      <c r="D15" s="426" t="s">
        <v>77</v>
      </c>
      <c r="E15" s="430">
        <v>53</v>
      </c>
      <c r="F15" s="430">
        <v>38</v>
      </c>
      <c r="G15" s="431">
        <v>14</v>
      </c>
      <c r="H15" s="432">
        <v>17</v>
      </c>
      <c r="I15" s="431">
        <v>8</v>
      </c>
      <c r="J15" s="431">
        <v>22</v>
      </c>
      <c r="K15" s="431">
        <v>5</v>
      </c>
      <c r="L15" s="431">
        <v>11</v>
      </c>
      <c r="M15" s="433">
        <v>0</v>
      </c>
      <c r="N15" s="433">
        <v>0</v>
      </c>
      <c r="O15" s="431">
        <v>0</v>
      </c>
      <c r="P15" s="431">
        <v>24</v>
      </c>
      <c r="Q15" s="433">
        <v>1</v>
      </c>
      <c r="R15" s="433">
        <v>1</v>
      </c>
      <c r="S15" s="431">
        <v>2</v>
      </c>
      <c r="T15" s="431">
        <v>13</v>
      </c>
      <c r="U15" s="431">
        <v>11</v>
      </c>
      <c r="V15" s="431">
        <v>36</v>
      </c>
      <c r="W15" s="36"/>
      <c r="X15" s="1">
        <f t="shared" si="1"/>
        <v>-25</v>
      </c>
      <c r="Y15" s="1">
        <f t="shared" si="2"/>
        <v>-2</v>
      </c>
    </row>
    <row r="16" spans="1:25" x14ac:dyDescent="0.25">
      <c r="A16" s="331" t="b">
        <f t="shared" si="0"/>
        <v>1</v>
      </c>
      <c r="B16" s="420">
        <v>2013</v>
      </c>
      <c r="C16" s="355" t="s">
        <v>24</v>
      </c>
      <c r="D16" s="427" t="s">
        <v>78</v>
      </c>
      <c r="E16" s="430">
        <v>55</v>
      </c>
      <c r="F16" s="430">
        <v>33</v>
      </c>
      <c r="G16" s="430">
        <v>17</v>
      </c>
      <c r="H16" s="430">
        <v>22.41</v>
      </c>
      <c r="I16" s="430">
        <v>7</v>
      </c>
      <c r="J16" s="430">
        <v>24</v>
      </c>
      <c r="K16" s="430">
        <v>8</v>
      </c>
      <c r="L16" s="430">
        <v>1</v>
      </c>
      <c r="M16" s="430">
        <v>0</v>
      </c>
      <c r="N16" s="430">
        <v>0</v>
      </c>
      <c r="O16" s="430">
        <v>0</v>
      </c>
      <c r="P16" s="430">
        <v>11</v>
      </c>
      <c r="Q16" s="430">
        <v>4</v>
      </c>
      <c r="R16" s="430">
        <v>0</v>
      </c>
      <c r="S16" s="430">
        <v>4</v>
      </c>
      <c r="T16" s="430">
        <v>3</v>
      </c>
      <c r="U16" s="430">
        <v>3</v>
      </c>
      <c r="V16" s="430">
        <v>29</v>
      </c>
      <c r="W16" s="36"/>
      <c r="X16" s="1">
        <f t="shared" si="1"/>
        <v>-30</v>
      </c>
      <c r="Y16" s="1">
        <f t="shared" si="2"/>
        <v>0</v>
      </c>
    </row>
    <row r="17" spans="1:25" x14ac:dyDescent="0.25">
      <c r="A17" s="331" t="b">
        <f t="shared" si="0"/>
        <v>1</v>
      </c>
      <c r="B17" s="420">
        <v>2013</v>
      </c>
      <c r="C17" s="357" t="s">
        <v>24</v>
      </c>
      <c r="D17" s="427" t="s">
        <v>79</v>
      </c>
      <c r="E17" s="430">
        <v>30</v>
      </c>
      <c r="F17" s="430">
        <v>17</v>
      </c>
      <c r="G17" s="431">
        <v>2</v>
      </c>
      <c r="H17" s="432"/>
      <c r="I17" s="431">
        <v>5</v>
      </c>
      <c r="J17" s="431">
        <v>7</v>
      </c>
      <c r="K17" s="431">
        <v>7</v>
      </c>
      <c r="L17" s="431">
        <v>3</v>
      </c>
      <c r="M17" s="433">
        <v>0</v>
      </c>
      <c r="N17" s="433">
        <v>0</v>
      </c>
      <c r="O17" s="431">
        <v>0</v>
      </c>
      <c r="P17" s="431">
        <v>11</v>
      </c>
      <c r="Q17" s="433">
        <v>0</v>
      </c>
      <c r="R17" s="433">
        <v>2</v>
      </c>
      <c r="S17" s="431">
        <v>2</v>
      </c>
      <c r="T17" s="431">
        <v>4</v>
      </c>
      <c r="U17" s="431">
        <v>3</v>
      </c>
      <c r="V17" s="431">
        <v>13</v>
      </c>
      <c r="W17" s="36"/>
      <c r="X17" s="1">
        <f t="shared" si="1"/>
        <v>-13</v>
      </c>
      <c r="Y17" s="1">
        <f t="shared" si="2"/>
        <v>-1</v>
      </c>
    </row>
    <row r="18" spans="1:25" x14ac:dyDescent="0.25">
      <c r="A18" s="331" t="b">
        <f t="shared" si="0"/>
        <v>1</v>
      </c>
      <c r="B18" s="420">
        <v>2013</v>
      </c>
      <c r="C18" s="405" t="s">
        <v>20</v>
      </c>
      <c r="D18" s="422" t="s">
        <v>76</v>
      </c>
      <c r="E18" s="434">
        <v>91</v>
      </c>
      <c r="F18" s="434">
        <v>47</v>
      </c>
      <c r="G18" s="435">
        <v>10</v>
      </c>
      <c r="H18" s="436">
        <v>12.43</v>
      </c>
      <c r="I18" s="435">
        <v>19</v>
      </c>
      <c r="J18" s="435">
        <v>29</v>
      </c>
      <c r="K18" s="435">
        <v>10</v>
      </c>
      <c r="L18" s="435">
        <v>8</v>
      </c>
      <c r="M18" s="437">
        <v>1</v>
      </c>
      <c r="N18" s="437">
        <v>1</v>
      </c>
      <c r="O18" s="435">
        <v>2</v>
      </c>
      <c r="P18" s="435">
        <v>27</v>
      </c>
      <c r="Q18" s="437">
        <v>16</v>
      </c>
      <c r="R18" s="437">
        <v>5</v>
      </c>
      <c r="S18" s="435">
        <v>21</v>
      </c>
      <c r="T18" s="435">
        <v>38</v>
      </c>
      <c r="U18" s="435">
        <v>34</v>
      </c>
      <c r="V18" s="435">
        <v>46</v>
      </c>
      <c r="W18" s="36"/>
      <c r="X18" s="1">
        <f t="shared" si="1"/>
        <v>-9</v>
      </c>
      <c r="Y18" s="1">
        <f t="shared" si="2"/>
        <v>-4</v>
      </c>
    </row>
    <row r="19" spans="1:25" x14ac:dyDescent="0.25">
      <c r="A19" s="331" t="b">
        <f t="shared" si="0"/>
        <v>1</v>
      </c>
      <c r="B19" s="420">
        <v>2013</v>
      </c>
      <c r="C19" s="364" t="s">
        <v>20</v>
      </c>
      <c r="D19" s="423" t="s">
        <v>77</v>
      </c>
      <c r="E19" s="434">
        <v>140</v>
      </c>
      <c r="F19" s="434">
        <v>66</v>
      </c>
      <c r="G19" s="435">
        <v>28</v>
      </c>
      <c r="H19" s="436">
        <v>14</v>
      </c>
      <c r="I19" s="435">
        <v>24</v>
      </c>
      <c r="J19" s="435">
        <v>52</v>
      </c>
      <c r="K19" s="435">
        <v>7</v>
      </c>
      <c r="L19" s="435">
        <v>7</v>
      </c>
      <c r="M19" s="437">
        <v>1</v>
      </c>
      <c r="N19" s="437">
        <v>1</v>
      </c>
      <c r="O19" s="435">
        <v>2</v>
      </c>
      <c r="P19" s="435">
        <v>36</v>
      </c>
      <c r="Q19" s="437">
        <v>19</v>
      </c>
      <c r="R19" s="437">
        <v>2</v>
      </c>
      <c r="S19" s="435">
        <v>21</v>
      </c>
      <c r="T19" s="435">
        <v>56</v>
      </c>
      <c r="U19" s="435">
        <v>53</v>
      </c>
      <c r="V19" s="435">
        <v>66</v>
      </c>
      <c r="W19" s="36"/>
      <c r="X19" s="1">
        <f t="shared" si="1"/>
        <v>-10</v>
      </c>
      <c r="Y19" s="1">
        <f t="shared" si="2"/>
        <v>-3</v>
      </c>
    </row>
    <row r="20" spans="1:25" x14ac:dyDescent="0.25">
      <c r="A20" s="331" t="b">
        <f t="shared" si="0"/>
        <v>1</v>
      </c>
      <c r="B20" s="420">
        <v>2013</v>
      </c>
      <c r="C20" s="364" t="s">
        <v>20</v>
      </c>
      <c r="D20" s="424" t="s">
        <v>78</v>
      </c>
      <c r="E20" s="430">
        <v>21</v>
      </c>
      <c r="F20" s="430">
        <v>13</v>
      </c>
      <c r="G20" s="430">
        <v>5</v>
      </c>
      <c r="H20" s="430">
        <v>13</v>
      </c>
      <c r="I20" s="430">
        <v>4</v>
      </c>
      <c r="J20" s="430">
        <v>9</v>
      </c>
      <c r="K20" s="430">
        <v>0</v>
      </c>
      <c r="L20" s="430">
        <v>0</v>
      </c>
      <c r="M20" s="430">
        <v>0</v>
      </c>
      <c r="N20" s="430">
        <v>0</v>
      </c>
      <c r="O20" s="430">
        <v>0</v>
      </c>
      <c r="P20" s="430">
        <v>6</v>
      </c>
      <c r="Q20" s="430">
        <v>2</v>
      </c>
      <c r="R20" s="430">
        <v>1</v>
      </c>
      <c r="S20" s="430">
        <v>3</v>
      </c>
      <c r="T20" s="430">
        <v>7</v>
      </c>
      <c r="U20" s="430">
        <v>7</v>
      </c>
      <c r="V20" s="430">
        <v>8</v>
      </c>
      <c r="W20" s="36"/>
      <c r="X20" s="1">
        <f t="shared" si="1"/>
        <v>-6</v>
      </c>
      <c r="Y20" s="1">
        <f t="shared" si="2"/>
        <v>0</v>
      </c>
    </row>
    <row r="21" spans="1:25" x14ac:dyDescent="0.25">
      <c r="A21" s="331" t="b">
        <f t="shared" si="0"/>
        <v>1</v>
      </c>
      <c r="B21" s="420">
        <v>2013</v>
      </c>
      <c r="C21" s="364" t="s">
        <v>20</v>
      </c>
      <c r="D21" s="424" t="s">
        <v>79</v>
      </c>
      <c r="E21" s="434">
        <v>73</v>
      </c>
      <c r="F21" s="434">
        <v>26</v>
      </c>
      <c r="G21" s="435">
        <v>11</v>
      </c>
      <c r="H21" s="436">
        <v>12</v>
      </c>
      <c r="I21" s="435">
        <v>9</v>
      </c>
      <c r="J21" s="435">
        <v>20</v>
      </c>
      <c r="K21" s="435">
        <v>1</v>
      </c>
      <c r="L21" s="435">
        <v>3</v>
      </c>
      <c r="M21" s="437">
        <v>1</v>
      </c>
      <c r="N21" s="437">
        <v>0</v>
      </c>
      <c r="O21" s="435">
        <v>1</v>
      </c>
      <c r="P21" s="435">
        <v>14</v>
      </c>
      <c r="Q21" s="437">
        <v>6</v>
      </c>
      <c r="R21" s="437">
        <v>1</v>
      </c>
      <c r="S21" s="435">
        <v>7</v>
      </c>
      <c r="T21" s="435">
        <v>23</v>
      </c>
      <c r="U21" s="435">
        <v>23</v>
      </c>
      <c r="V21" s="435">
        <v>24</v>
      </c>
      <c r="W21" s="36"/>
      <c r="X21" s="1">
        <f t="shared" si="1"/>
        <v>-3</v>
      </c>
      <c r="Y21" s="1">
        <f t="shared" si="2"/>
        <v>0</v>
      </c>
    </row>
    <row r="22" spans="1:25" x14ac:dyDescent="0.25">
      <c r="A22" s="331" t="b">
        <f t="shared" si="0"/>
        <v>1</v>
      </c>
      <c r="B22" s="420">
        <v>2013</v>
      </c>
      <c r="C22" s="376" t="s">
        <v>21</v>
      </c>
      <c r="D22" s="425" t="s">
        <v>76</v>
      </c>
      <c r="E22" s="434">
        <v>66</v>
      </c>
      <c r="F22" s="434">
        <v>42</v>
      </c>
      <c r="G22" s="435">
        <v>16</v>
      </c>
      <c r="H22" s="436">
        <v>11.75</v>
      </c>
      <c r="I22" s="435">
        <v>12</v>
      </c>
      <c r="J22" s="435">
        <v>28</v>
      </c>
      <c r="K22" s="435">
        <v>7</v>
      </c>
      <c r="L22" s="435">
        <v>7</v>
      </c>
      <c r="M22" s="437">
        <v>0</v>
      </c>
      <c r="N22" s="437">
        <v>1</v>
      </c>
      <c r="O22" s="435">
        <v>1</v>
      </c>
      <c r="P22" s="435">
        <v>28</v>
      </c>
      <c r="Q22" s="437">
        <v>7</v>
      </c>
      <c r="R22" s="437">
        <v>3</v>
      </c>
      <c r="S22" s="435">
        <v>10</v>
      </c>
      <c r="T22" s="435">
        <v>33</v>
      </c>
      <c r="U22" s="435">
        <v>33</v>
      </c>
      <c r="V22" s="435">
        <v>41</v>
      </c>
      <c r="W22" s="36"/>
      <c r="X22" s="1">
        <f t="shared" si="1"/>
        <v>-9</v>
      </c>
      <c r="Y22" s="1">
        <f t="shared" si="2"/>
        <v>0</v>
      </c>
    </row>
    <row r="23" spans="1:25" x14ac:dyDescent="0.25">
      <c r="A23" s="331" t="b">
        <f t="shared" si="0"/>
        <v>1</v>
      </c>
      <c r="B23" s="420">
        <v>2013</v>
      </c>
      <c r="C23" s="377" t="s">
        <v>21</v>
      </c>
      <c r="D23" s="426" t="s">
        <v>77</v>
      </c>
      <c r="E23" s="434">
        <v>154</v>
      </c>
      <c r="F23" s="434">
        <v>96</v>
      </c>
      <c r="G23" s="435">
        <v>49</v>
      </c>
      <c r="H23" s="436">
        <v>10.5</v>
      </c>
      <c r="I23" s="435">
        <v>29</v>
      </c>
      <c r="J23" s="435">
        <v>78</v>
      </c>
      <c r="K23" s="435">
        <v>6</v>
      </c>
      <c r="L23" s="435">
        <v>12</v>
      </c>
      <c r="M23" s="437">
        <v>0</v>
      </c>
      <c r="N23" s="437">
        <v>1</v>
      </c>
      <c r="O23" s="435">
        <v>1</v>
      </c>
      <c r="P23" s="435">
        <v>67</v>
      </c>
      <c r="Q23" s="437">
        <v>4</v>
      </c>
      <c r="R23" s="437">
        <v>17</v>
      </c>
      <c r="S23" s="435">
        <v>21</v>
      </c>
      <c r="T23" s="435">
        <v>87</v>
      </c>
      <c r="U23" s="435">
        <v>86</v>
      </c>
      <c r="V23" s="435">
        <v>95</v>
      </c>
      <c r="W23" s="36"/>
      <c r="X23" s="1">
        <f t="shared" si="1"/>
        <v>-9</v>
      </c>
      <c r="Y23" s="1">
        <f t="shared" si="2"/>
        <v>-1</v>
      </c>
    </row>
    <row r="24" spans="1:25" x14ac:dyDescent="0.25">
      <c r="A24" s="331" t="b">
        <f t="shared" si="0"/>
        <v>1</v>
      </c>
      <c r="B24" s="420">
        <v>2013</v>
      </c>
      <c r="C24" s="377" t="s">
        <v>21</v>
      </c>
      <c r="D24" s="427" t="s">
        <v>78</v>
      </c>
      <c r="E24" s="430">
        <v>67</v>
      </c>
      <c r="F24" s="430">
        <v>27</v>
      </c>
      <c r="G24" s="430">
        <v>8</v>
      </c>
      <c r="H24" s="430">
        <v>11</v>
      </c>
      <c r="I24" s="430">
        <v>9</v>
      </c>
      <c r="J24" s="430">
        <v>17</v>
      </c>
      <c r="K24" s="430">
        <v>2</v>
      </c>
      <c r="L24" s="430">
        <v>7</v>
      </c>
      <c r="M24" s="430">
        <v>0</v>
      </c>
      <c r="N24" s="430">
        <v>0</v>
      </c>
      <c r="O24" s="430">
        <v>0</v>
      </c>
      <c r="P24" s="430">
        <v>20</v>
      </c>
      <c r="Q24" s="430">
        <v>3</v>
      </c>
      <c r="R24" s="430">
        <v>0</v>
      </c>
      <c r="S24" s="430">
        <v>3</v>
      </c>
      <c r="T24" s="430">
        <v>20</v>
      </c>
      <c r="U24" s="430">
        <v>20</v>
      </c>
      <c r="V24" s="430">
        <v>25</v>
      </c>
      <c r="W24" s="36"/>
      <c r="X24" s="1">
        <f t="shared" si="1"/>
        <v>-7</v>
      </c>
      <c r="Y24" s="1">
        <f t="shared" si="2"/>
        <v>0</v>
      </c>
    </row>
    <row r="25" spans="1:25" x14ac:dyDescent="0.25">
      <c r="A25" s="331" t="b">
        <f t="shared" si="0"/>
        <v>1</v>
      </c>
      <c r="B25" s="420">
        <v>2013</v>
      </c>
      <c r="C25" s="378" t="s">
        <v>21</v>
      </c>
      <c r="D25" s="427" t="s">
        <v>79</v>
      </c>
      <c r="E25" s="434">
        <v>135</v>
      </c>
      <c r="F25" s="434">
        <v>67</v>
      </c>
      <c r="G25" s="435">
        <v>24</v>
      </c>
      <c r="H25" s="436">
        <v>12</v>
      </c>
      <c r="I25" s="435">
        <v>28</v>
      </c>
      <c r="J25" s="435">
        <v>52</v>
      </c>
      <c r="K25" s="435">
        <v>7</v>
      </c>
      <c r="L25" s="435">
        <v>6</v>
      </c>
      <c r="M25" s="437">
        <v>0</v>
      </c>
      <c r="N25" s="437">
        <v>0</v>
      </c>
      <c r="O25" s="435">
        <v>0</v>
      </c>
      <c r="P25" s="435">
        <v>43</v>
      </c>
      <c r="Q25" s="437">
        <v>3</v>
      </c>
      <c r="R25" s="437">
        <v>7</v>
      </c>
      <c r="S25" s="435">
        <v>10</v>
      </c>
      <c r="T25" s="435">
        <v>50</v>
      </c>
      <c r="U25" s="435">
        <v>49</v>
      </c>
      <c r="V25" s="435">
        <v>61</v>
      </c>
      <c r="W25" s="36"/>
      <c r="X25" s="1">
        <f t="shared" si="1"/>
        <v>-17</v>
      </c>
      <c r="Y25" s="1">
        <f t="shared" si="2"/>
        <v>-1</v>
      </c>
    </row>
    <row r="26" spans="1:25" x14ac:dyDescent="0.25">
      <c r="A26" s="331" t="b">
        <f t="shared" si="0"/>
        <v>1</v>
      </c>
      <c r="B26" s="420">
        <v>2013</v>
      </c>
      <c r="C26" s="364" t="s">
        <v>22</v>
      </c>
      <c r="D26" s="422" t="s">
        <v>76</v>
      </c>
      <c r="E26" s="434">
        <v>19</v>
      </c>
      <c r="F26" s="434">
        <v>10</v>
      </c>
      <c r="G26" s="435">
        <v>8</v>
      </c>
      <c r="H26" s="436">
        <v>19</v>
      </c>
      <c r="I26" s="435">
        <v>2</v>
      </c>
      <c r="J26" s="435">
        <v>10</v>
      </c>
      <c r="K26" s="435">
        <v>0</v>
      </c>
      <c r="L26" s="435">
        <v>0</v>
      </c>
      <c r="M26" s="437">
        <v>0</v>
      </c>
      <c r="N26" s="437">
        <v>0</v>
      </c>
      <c r="O26" s="435">
        <v>0</v>
      </c>
      <c r="P26" s="435">
        <v>4</v>
      </c>
      <c r="Q26" s="437">
        <v>0</v>
      </c>
      <c r="R26" s="437">
        <v>1</v>
      </c>
      <c r="S26" s="435">
        <v>1</v>
      </c>
      <c r="T26" s="435">
        <v>9</v>
      </c>
      <c r="U26" s="435">
        <v>9</v>
      </c>
      <c r="V26" s="435">
        <v>9</v>
      </c>
      <c r="W26" s="36"/>
      <c r="X26" s="1">
        <f t="shared" si="1"/>
        <v>-1</v>
      </c>
      <c r="Y26" s="1">
        <f t="shared" si="2"/>
        <v>0</v>
      </c>
    </row>
    <row r="27" spans="1:25" x14ac:dyDescent="0.25">
      <c r="A27" s="331" t="b">
        <f t="shared" si="0"/>
        <v>1</v>
      </c>
      <c r="B27" s="420">
        <v>2013</v>
      </c>
      <c r="C27" s="364" t="s">
        <v>22</v>
      </c>
      <c r="D27" s="423" t="s">
        <v>77</v>
      </c>
      <c r="E27" s="434">
        <v>8</v>
      </c>
      <c r="F27" s="434">
        <v>6</v>
      </c>
      <c r="G27" s="435">
        <v>6</v>
      </c>
      <c r="H27" s="436">
        <v>25</v>
      </c>
      <c r="I27" s="435">
        <v>0</v>
      </c>
      <c r="J27" s="435">
        <v>6</v>
      </c>
      <c r="K27" s="435">
        <v>0</v>
      </c>
      <c r="L27" s="435">
        <v>0</v>
      </c>
      <c r="M27" s="437">
        <v>0</v>
      </c>
      <c r="N27" s="437">
        <v>0</v>
      </c>
      <c r="O27" s="435">
        <v>0</v>
      </c>
      <c r="P27" s="435">
        <v>3</v>
      </c>
      <c r="Q27" s="437">
        <v>0</v>
      </c>
      <c r="R27" s="437">
        <v>0</v>
      </c>
      <c r="S27" s="435">
        <v>0</v>
      </c>
      <c r="T27" s="435">
        <v>6</v>
      </c>
      <c r="U27" s="435">
        <v>6</v>
      </c>
      <c r="V27" s="435">
        <v>6</v>
      </c>
      <c r="W27" s="36"/>
      <c r="X27" s="1">
        <f t="shared" si="1"/>
        <v>0</v>
      </c>
      <c r="Y27" s="1">
        <f t="shared" si="2"/>
        <v>0</v>
      </c>
    </row>
    <row r="28" spans="1:25" x14ac:dyDescent="0.25">
      <c r="A28" s="331" t="b">
        <f t="shared" si="0"/>
        <v>1</v>
      </c>
      <c r="B28" s="420">
        <v>2013</v>
      </c>
      <c r="C28" s="364" t="s">
        <v>22</v>
      </c>
      <c r="D28" s="424" t="s">
        <v>78</v>
      </c>
      <c r="E28" s="430">
        <v>10</v>
      </c>
      <c r="F28" s="430">
        <v>6</v>
      </c>
      <c r="G28" s="430">
        <v>0</v>
      </c>
      <c r="H28" s="430"/>
      <c r="I28" s="430">
        <v>0</v>
      </c>
      <c r="J28" s="430">
        <v>0</v>
      </c>
      <c r="K28" s="430">
        <v>0</v>
      </c>
      <c r="L28" s="430">
        <v>0</v>
      </c>
      <c r="M28" s="430">
        <v>0</v>
      </c>
      <c r="N28" s="430">
        <v>0</v>
      </c>
      <c r="O28" s="430">
        <v>0</v>
      </c>
      <c r="P28" s="430">
        <v>0</v>
      </c>
      <c r="Q28" s="430">
        <v>0</v>
      </c>
      <c r="R28" s="430">
        <v>0</v>
      </c>
      <c r="S28" s="430">
        <v>0</v>
      </c>
      <c r="T28" s="430">
        <v>0</v>
      </c>
      <c r="U28" s="430">
        <v>0</v>
      </c>
      <c r="V28" s="430">
        <v>0</v>
      </c>
      <c r="W28" s="36"/>
      <c r="X28" s="1">
        <f t="shared" si="1"/>
        <v>-6</v>
      </c>
      <c r="Y28" s="1">
        <f t="shared" si="2"/>
        <v>0</v>
      </c>
    </row>
    <row r="29" spans="1:25" x14ac:dyDescent="0.25">
      <c r="A29" s="331" t="b">
        <f t="shared" si="0"/>
        <v>1</v>
      </c>
      <c r="B29" s="420">
        <v>2013</v>
      </c>
      <c r="C29" s="364" t="s">
        <v>22</v>
      </c>
      <c r="D29" s="424" t="s">
        <v>79</v>
      </c>
      <c r="E29" s="434">
        <v>10</v>
      </c>
      <c r="F29" s="434">
        <v>2</v>
      </c>
      <c r="G29" s="435"/>
      <c r="H29" s="436"/>
      <c r="I29" s="435"/>
      <c r="J29" s="435"/>
      <c r="K29" s="435"/>
      <c r="L29" s="435"/>
      <c r="M29" s="437"/>
      <c r="N29" s="437"/>
      <c r="O29" s="435"/>
      <c r="P29" s="435"/>
      <c r="Q29" s="437"/>
      <c r="R29" s="437"/>
      <c r="S29" s="435"/>
      <c r="T29" s="435"/>
      <c r="U29" s="435"/>
      <c r="V29" s="435"/>
      <c r="W29" s="36"/>
      <c r="X29" s="1">
        <f t="shared" si="1"/>
        <v>-2</v>
      </c>
      <c r="Y29" s="1">
        <f t="shared" si="2"/>
        <v>0</v>
      </c>
    </row>
    <row r="30" spans="1:25" x14ac:dyDescent="0.25">
      <c r="A30" s="331" t="b">
        <f t="shared" si="0"/>
        <v>1</v>
      </c>
      <c r="B30" s="420">
        <v>2013</v>
      </c>
      <c r="C30" s="310" t="s">
        <v>23</v>
      </c>
      <c r="D30" s="425" t="s">
        <v>76</v>
      </c>
      <c r="E30" s="430">
        <v>18</v>
      </c>
      <c r="F30" s="430">
        <v>11</v>
      </c>
      <c r="G30" s="431">
        <v>10</v>
      </c>
      <c r="H30" s="432">
        <v>25.5</v>
      </c>
      <c r="I30" s="431">
        <v>0</v>
      </c>
      <c r="J30" s="431">
        <v>10</v>
      </c>
      <c r="K30" s="431">
        <v>1</v>
      </c>
      <c r="L30" s="431">
        <v>0</v>
      </c>
      <c r="M30" s="433">
        <v>0</v>
      </c>
      <c r="N30" s="433">
        <v>0</v>
      </c>
      <c r="O30" s="431">
        <v>0</v>
      </c>
      <c r="P30" s="431">
        <v>2</v>
      </c>
      <c r="Q30" s="433">
        <v>3</v>
      </c>
      <c r="R30" s="433">
        <v>1</v>
      </c>
      <c r="S30" s="431">
        <v>4</v>
      </c>
      <c r="T30" s="431">
        <v>11</v>
      </c>
      <c r="U30" s="431">
        <v>11</v>
      </c>
      <c r="V30" s="431">
        <v>10</v>
      </c>
      <c r="W30" s="36"/>
      <c r="X30" s="1">
        <f t="shared" si="1"/>
        <v>0</v>
      </c>
      <c r="Y30" s="1">
        <f t="shared" si="2"/>
        <v>0</v>
      </c>
    </row>
    <row r="31" spans="1:25" x14ac:dyDescent="0.25">
      <c r="A31" s="331" t="b">
        <f t="shared" si="0"/>
        <v>1</v>
      </c>
      <c r="B31" s="420">
        <v>2013</v>
      </c>
      <c r="C31" s="310" t="s">
        <v>23</v>
      </c>
      <c r="D31" s="426" t="s">
        <v>77</v>
      </c>
      <c r="E31" s="430">
        <v>64</v>
      </c>
      <c r="F31" s="430">
        <v>59</v>
      </c>
      <c r="G31" s="431">
        <v>52</v>
      </c>
      <c r="H31" s="432">
        <v>24.594999999999999</v>
      </c>
      <c r="I31" s="431">
        <v>5</v>
      </c>
      <c r="J31" s="431">
        <v>57</v>
      </c>
      <c r="K31" s="431">
        <v>0</v>
      </c>
      <c r="L31" s="431">
        <v>2</v>
      </c>
      <c r="M31" s="433">
        <v>0</v>
      </c>
      <c r="N31" s="433">
        <v>0</v>
      </c>
      <c r="O31" s="431">
        <v>0</v>
      </c>
      <c r="P31" s="431">
        <v>20</v>
      </c>
      <c r="Q31" s="433">
        <v>8</v>
      </c>
      <c r="R31" s="433">
        <v>4</v>
      </c>
      <c r="S31" s="431">
        <v>12</v>
      </c>
      <c r="T31" s="431">
        <v>59</v>
      </c>
      <c r="U31" s="431">
        <v>59</v>
      </c>
      <c r="V31" s="431">
        <v>59</v>
      </c>
      <c r="W31" s="36"/>
      <c r="X31" s="1">
        <f t="shared" si="1"/>
        <v>0</v>
      </c>
      <c r="Y31" s="1">
        <f t="shared" si="2"/>
        <v>0</v>
      </c>
    </row>
    <row r="32" spans="1:25" x14ac:dyDescent="0.25">
      <c r="A32" s="331" t="b">
        <f t="shared" si="0"/>
        <v>1</v>
      </c>
      <c r="B32" s="420">
        <v>2013</v>
      </c>
      <c r="C32" s="310" t="s">
        <v>23</v>
      </c>
      <c r="D32" s="427" t="s">
        <v>78</v>
      </c>
      <c r="E32" s="430">
        <v>2</v>
      </c>
      <c r="F32" s="430">
        <v>1</v>
      </c>
      <c r="G32" s="430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430"/>
      <c r="S32" s="430"/>
      <c r="T32" s="430"/>
      <c r="U32" s="430"/>
      <c r="V32" s="430"/>
      <c r="W32" s="36"/>
      <c r="X32" s="1">
        <f t="shared" si="1"/>
        <v>-1</v>
      </c>
      <c r="Y32" s="1">
        <f t="shared" si="2"/>
        <v>0</v>
      </c>
    </row>
    <row r="33" spans="1:25" x14ac:dyDescent="0.25">
      <c r="A33" s="331" t="b">
        <f>C33=C65</f>
        <v>1</v>
      </c>
      <c r="B33" s="420">
        <v>2013</v>
      </c>
      <c r="C33" s="310" t="s">
        <v>23</v>
      </c>
      <c r="D33" s="427" t="s">
        <v>79</v>
      </c>
      <c r="E33" s="430">
        <v>83</v>
      </c>
      <c r="F33" s="430">
        <v>38</v>
      </c>
      <c r="G33" s="431">
        <v>31</v>
      </c>
      <c r="H33" s="432"/>
      <c r="I33" s="431">
        <v>3</v>
      </c>
      <c r="J33" s="431">
        <v>34</v>
      </c>
      <c r="K33" s="431">
        <v>1</v>
      </c>
      <c r="L33" s="431">
        <v>3</v>
      </c>
      <c r="M33" s="433">
        <v>0</v>
      </c>
      <c r="N33" s="433">
        <v>0</v>
      </c>
      <c r="O33" s="431">
        <v>0</v>
      </c>
      <c r="P33" s="431">
        <v>22</v>
      </c>
      <c r="Q33" s="433">
        <v>5</v>
      </c>
      <c r="R33" s="433">
        <v>1</v>
      </c>
      <c r="S33" s="431">
        <v>6</v>
      </c>
      <c r="T33" s="431">
        <v>38</v>
      </c>
      <c r="U33" s="431">
        <v>36</v>
      </c>
      <c r="V33" s="431">
        <v>37</v>
      </c>
      <c r="W33" s="36"/>
      <c r="X33" s="1">
        <f t="shared" si="1"/>
        <v>0</v>
      </c>
      <c r="Y33" s="1">
        <f t="shared" si="2"/>
        <v>-2</v>
      </c>
    </row>
    <row r="34" spans="1:25" x14ac:dyDescent="0.25">
      <c r="A34" s="331" t="b">
        <f>C34=C66</f>
        <v>1</v>
      </c>
      <c r="B34" s="407">
        <v>2012</v>
      </c>
      <c r="C34" s="405" t="s">
        <v>17</v>
      </c>
      <c r="D34" s="422" t="s">
        <v>76</v>
      </c>
      <c r="E34" s="366">
        <v>12</v>
      </c>
      <c r="F34" s="374">
        <v>10</v>
      </c>
      <c r="G34" s="366">
        <v>4</v>
      </c>
      <c r="H34" s="394"/>
      <c r="I34" s="366">
        <v>1</v>
      </c>
      <c r="J34" s="374">
        <v>5</v>
      </c>
      <c r="K34" s="366">
        <v>3</v>
      </c>
      <c r="L34" s="374">
        <v>2</v>
      </c>
      <c r="M34" s="366"/>
      <c r="N34" s="374"/>
      <c r="O34" s="366">
        <v>0</v>
      </c>
      <c r="P34" s="374">
        <v>4</v>
      </c>
      <c r="Q34" s="366">
        <v>1</v>
      </c>
      <c r="R34" s="374"/>
      <c r="S34" s="366">
        <v>1</v>
      </c>
      <c r="T34" s="374">
        <v>2</v>
      </c>
      <c r="U34" s="366">
        <v>2</v>
      </c>
      <c r="V34" s="374">
        <v>8</v>
      </c>
      <c r="W34" s="36"/>
      <c r="X34" s="1">
        <f>T34-F34</f>
        <v>-8</v>
      </c>
      <c r="Y34" s="1">
        <f>U34-T34</f>
        <v>0</v>
      </c>
    </row>
    <row r="35" spans="1:25" x14ac:dyDescent="0.25">
      <c r="A35" s="331" t="b">
        <f t="shared" ref="A35:A98" si="3">C35=C67</f>
        <v>1</v>
      </c>
      <c r="B35" s="407">
        <v>2012</v>
      </c>
      <c r="C35" s="364" t="s">
        <v>17</v>
      </c>
      <c r="D35" s="423" t="s">
        <v>77</v>
      </c>
      <c r="E35" s="366">
        <v>12</v>
      </c>
      <c r="F35" s="375">
        <v>12</v>
      </c>
      <c r="G35" s="366">
        <v>3</v>
      </c>
      <c r="H35" s="395"/>
      <c r="I35" s="366">
        <v>8</v>
      </c>
      <c r="J35" s="375">
        <v>11</v>
      </c>
      <c r="K35" s="366"/>
      <c r="L35" s="375">
        <v>1</v>
      </c>
      <c r="M35" s="366"/>
      <c r="N35" s="375"/>
      <c r="O35" s="366">
        <v>0</v>
      </c>
      <c r="P35" s="375">
        <v>2</v>
      </c>
      <c r="Q35" s="366"/>
      <c r="R35" s="375"/>
      <c r="S35" s="366">
        <v>0</v>
      </c>
      <c r="T35" s="375">
        <v>1</v>
      </c>
      <c r="U35" s="366">
        <v>1</v>
      </c>
      <c r="V35" s="375">
        <v>12</v>
      </c>
      <c r="W35" s="36"/>
      <c r="X35" s="1">
        <f t="shared" ref="X35:X98" si="4">T35-F35</f>
        <v>-11</v>
      </c>
      <c r="Y35" s="1">
        <f t="shared" ref="Y35:Y98" si="5">U35-T35</f>
        <v>0</v>
      </c>
    </row>
    <row r="36" spans="1:25" x14ac:dyDescent="0.25">
      <c r="A36" s="331" t="b">
        <f t="shared" si="3"/>
        <v>1</v>
      </c>
      <c r="B36" s="407">
        <v>2012</v>
      </c>
      <c r="C36" s="364" t="s">
        <v>17</v>
      </c>
      <c r="D36" s="424" t="s">
        <v>78</v>
      </c>
      <c r="E36" s="366">
        <v>55</v>
      </c>
      <c r="F36" s="375">
        <v>40</v>
      </c>
      <c r="G36" s="366">
        <v>20</v>
      </c>
      <c r="H36" s="395">
        <v>18.2</v>
      </c>
      <c r="I36" s="366">
        <v>13</v>
      </c>
      <c r="J36" s="375">
        <v>33</v>
      </c>
      <c r="K36" s="366">
        <v>5</v>
      </c>
      <c r="L36" s="375">
        <v>2</v>
      </c>
      <c r="M36" s="366"/>
      <c r="N36" s="375"/>
      <c r="O36" s="366">
        <v>0</v>
      </c>
      <c r="P36" s="375">
        <v>17</v>
      </c>
      <c r="Q36" s="366">
        <v>2</v>
      </c>
      <c r="R36" s="375">
        <v>1</v>
      </c>
      <c r="S36" s="366">
        <v>3</v>
      </c>
      <c r="T36" s="375">
        <v>5</v>
      </c>
      <c r="U36" s="366">
        <v>5</v>
      </c>
      <c r="V36" s="375">
        <v>38</v>
      </c>
      <c r="W36" s="36"/>
      <c r="X36" s="1">
        <f t="shared" si="4"/>
        <v>-35</v>
      </c>
      <c r="Y36" s="1">
        <f t="shared" si="5"/>
        <v>0</v>
      </c>
    </row>
    <row r="37" spans="1:25" s="229" customFormat="1" x14ac:dyDescent="0.25">
      <c r="A37" s="331" t="b">
        <f t="shared" si="3"/>
        <v>1</v>
      </c>
      <c r="B37" s="407">
        <v>2012</v>
      </c>
      <c r="C37" s="365" t="s">
        <v>17</v>
      </c>
      <c r="D37" s="424" t="s">
        <v>79</v>
      </c>
      <c r="E37" s="366">
        <v>9</v>
      </c>
      <c r="F37" s="375">
        <v>5</v>
      </c>
      <c r="G37" s="366">
        <v>1</v>
      </c>
      <c r="H37" s="395"/>
      <c r="I37" s="366">
        <v>1</v>
      </c>
      <c r="J37" s="375">
        <v>2</v>
      </c>
      <c r="K37" s="366">
        <v>2</v>
      </c>
      <c r="L37" s="375">
        <v>1</v>
      </c>
      <c r="M37" s="366"/>
      <c r="N37" s="375"/>
      <c r="O37" s="366">
        <v>0</v>
      </c>
      <c r="P37" s="375">
        <v>3</v>
      </c>
      <c r="Q37" s="366"/>
      <c r="R37" s="375"/>
      <c r="S37" s="366">
        <v>0</v>
      </c>
      <c r="T37" s="375"/>
      <c r="U37" s="366"/>
      <c r="V37" s="375">
        <v>3</v>
      </c>
      <c r="W37" s="228"/>
      <c r="X37" s="1">
        <f t="shared" si="4"/>
        <v>-5</v>
      </c>
      <c r="Y37" s="1">
        <f t="shared" si="5"/>
        <v>0</v>
      </c>
    </row>
    <row r="38" spans="1:25" x14ac:dyDescent="0.25">
      <c r="A38" s="331" t="b">
        <f t="shared" si="3"/>
        <v>1</v>
      </c>
      <c r="B38" s="407">
        <v>2012</v>
      </c>
      <c r="C38" s="356" t="s">
        <v>18</v>
      </c>
      <c r="D38" s="425" t="s">
        <v>76</v>
      </c>
      <c r="E38" s="350"/>
      <c r="F38" s="347"/>
      <c r="G38" s="350"/>
      <c r="H38" s="396"/>
      <c r="I38" s="350"/>
      <c r="J38" s="347"/>
      <c r="K38" s="350"/>
      <c r="L38" s="347"/>
      <c r="M38" s="350"/>
      <c r="N38" s="347"/>
      <c r="O38" s="350"/>
      <c r="P38" s="347"/>
      <c r="Q38" s="350"/>
      <c r="R38" s="347"/>
      <c r="S38" s="350"/>
      <c r="T38" s="347"/>
      <c r="U38" s="350"/>
      <c r="V38" s="347"/>
      <c r="W38" s="36"/>
      <c r="X38" s="1">
        <f t="shared" si="4"/>
        <v>0</v>
      </c>
      <c r="Y38" s="1">
        <f t="shared" si="5"/>
        <v>0</v>
      </c>
    </row>
    <row r="39" spans="1:25" x14ac:dyDescent="0.25">
      <c r="A39" s="331" t="b">
        <f t="shared" si="3"/>
        <v>1</v>
      </c>
      <c r="B39" s="407">
        <v>2012</v>
      </c>
      <c r="C39" s="355" t="s">
        <v>18</v>
      </c>
      <c r="D39" s="426" t="s">
        <v>77</v>
      </c>
      <c r="E39" s="346">
        <v>48</v>
      </c>
      <c r="F39" s="348">
        <v>27</v>
      </c>
      <c r="G39" s="346">
        <v>16</v>
      </c>
      <c r="H39" s="397"/>
      <c r="I39" s="346">
        <v>5</v>
      </c>
      <c r="J39" s="348">
        <v>21</v>
      </c>
      <c r="K39" s="346">
        <v>2</v>
      </c>
      <c r="L39" s="348">
        <v>4</v>
      </c>
      <c r="M39" s="346"/>
      <c r="N39" s="348"/>
      <c r="O39" s="346">
        <v>0</v>
      </c>
      <c r="P39" s="348">
        <v>6</v>
      </c>
      <c r="Q39" s="346"/>
      <c r="R39" s="348">
        <v>2</v>
      </c>
      <c r="S39" s="346">
        <v>2</v>
      </c>
      <c r="T39" s="348">
        <v>12</v>
      </c>
      <c r="U39" s="346">
        <v>12</v>
      </c>
      <c r="V39" s="348">
        <v>27</v>
      </c>
      <c r="W39" s="36"/>
      <c r="X39" s="1">
        <f t="shared" si="4"/>
        <v>-15</v>
      </c>
      <c r="Y39" s="1">
        <f t="shared" si="5"/>
        <v>0</v>
      </c>
    </row>
    <row r="40" spans="1:25" x14ac:dyDescent="0.25">
      <c r="A40" s="331" t="b">
        <f t="shared" si="3"/>
        <v>1</v>
      </c>
      <c r="B40" s="407">
        <v>2012</v>
      </c>
      <c r="C40" s="355" t="s">
        <v>18</v>
      </c>
      <c r="D40" s="427" t="s">
        <v>78</v>
      </c>
      <c r="E40" s="346">
        <v>2</v>
      </c>
      <c r="F40" s="348">
        <v>2</v>
      </c>
      <c r="G40" s="346"/>
      <c r="H40" s="397"/>
      <c r="I40" s="346"/>
      <c r="J40" s="348"/>
      <c r="K40" s="346"/>
      <c r="L40" s="348"/>
      <c r="M40" s="346"/>
      <c r="N40" s="348"/>
      <c r="O40" s="346"/>
      <c r="P40" s="348"/>
      <c r="Q40" s="346"/>
      <c r="R40" s="348"/>
      <c r="S40" s="346"/>
      <c r="T40" s="348"/>
      <c r="U40" s="346"/>
      <c r="V40" s="348"/>
      <c r="W40" s="36"/>
      <c r="X40" s="1">
        <f t="shared" si="4"/>
        <v>-2</v>
      </c>
      <c r="Y40" s="1">
        <f t="shared" si="5"/>
        <v>0</v>
      </c>
    </row>
    <row r="41" spans="1:25" x14ac:dyDescent="0.25">
      <c r="A41" s="331" t="b">
        <f t="shared" si="3"/>
        <v>1</v>
      </c>
      <c r="B41" s="407">
        <v>2012</v>
      </c>
      <c r="C41" s="357" t="s">
        <v>18</v>
      </c>
      <c r="D41" s="427" t="s">
        <v>79</v>
      </c>
      <c r="E41" s="352">
        <v>87</v>
      </c>
      <c r="F41" s="353">
        <v>50</v>
      </c>
      <c r="G41" s="352">
        <v>28</v>
      </c>
      <c r="H41" s="398">
        <v>15.865</v>
      </c>
      <c r="I41" s="352">
        <v>12</v>
      </c>
      <c r="J41" s="353">
        <v>40</v>
      </c>
      <c r="K41" s="352">
        <v>7</v>
      </c>
      <c r="L41" s="353">
        <v>3</v>
      </c>
      <c r="M41" s="352">
        <v>0</v>
      </c>
      <c r="N41" s="353">
        <v>1</v>
      </c>
      <c r="O41" s="352">
        <v>1</v>
      </c>
      <c r="P41" s="353">
        <v>16</v>
      </c>
      <c r="Q41" s="352">
        <v>2</v>
      </c>
      <c r="R41" s="353">
        <v>3</v>
      </c>
      <c r="S41" s="352">
        <v>5</v>
      </c>
      <c r="T41" s="353">
        <v>33</v>
      </c>
      <c r="U41" s="352">
        <v>30</v>
      </c>
      <c r="V41" s="353">
        <v>48</v>
      </c>
      <c r="W41" s="36"/>
      <c r="X41" s="1">
        <f t="shared" si="4"/>
        <v>-17</v>
      </c>
      <c r="Y41" s="1">
        <f t="shared" si="5"/>
        <v>-3</v>
      </c>
    </row>
    <row r="42" spans="1:25" x14ac:dyDescent="0.25">
      <c r="A42" s="331" t="b">
        <f>C42=C74</f>
        <v>1</v>
      </c>
      <c r="B42" s="407">
        <v>2012</v>
      </c>
      <c r="C42" s="405" t="s">
        <v>19</v>
      </c>
      <c r="D42" s="422" t="s">
        <v>76</v>
      </c>
      <c r="E42" s="366">
        <v>2</v>
      </c>
      <c r="F42" s="375">
        <v>2</v>
      </c>
      <c r="G42" s="366"/>
      <c r="H42" s="395"/>
      <c r="I42" s="366"/>
      <c r="J42" s="375"/>
      <c r="K42" s="366"/>
      <c r="L42" s="375"/>
      <c r="M42" s="366"/>
      <c r="N42" s="375"/>
      <c r="O42" s="366"/>
      <c r="P42" s="375"/>
      <c r="Q42" s="366"/>
      <c r="R42" s="375"/>
      <c r="S42" s="366"/>
      <c r="T42" s="375"/>
      <c r="U42" s="366"/>
      <c r="V42" s="375"/>
      <c r="W42" s="36"/>
      <c r="X42" s="1">
        <f t="shared" si="4"/>
        <v>-2</v>
      </c>
      <c r="Y42" s="1">
        <f t="shared" si="5"/>
        <v>0</v>
      </c>
    </row>
    <row r="43" spans="1:25" x14ac:dyDescent="0.25">
      <c r="A43" s="331" t="b">
        <f t="shared" si="3"/>
        <v>1</v>
      </c>
      <c r="B43" s="407">
        <v>2012</v>
      </c>
      <c r="C43" s="364" t="s">
        <v>19</v>
      </c>
      <c r="D43" s="423" t="s">
        <v>77</v>
      </c>
      <c r="E43" s="366">
        <v>21</v>
      </c>
      <c r="F43" s="375">
        <v>18</v>
      </c>
      <c r="G43" s="366">
        <v>8</v>
      </c>
      <c r="H43" s="395">
        <v>12</v>
      </c>
      <c r="I43" s="366">
        <v>5</v>
      </c>
      <c r="J43" s="375">
        <v>13</v>
      </c>
      <c r="K43" s="366">
        <v>3</v>
      </c>
      <c r="L43" s="375">
        <v>2</v>
      </c>
      <c r="M43" s="366"/>
      <c r="N43" s="375">
        <v>1</v>
      </c>
      <c r="O43" s="366">
        <v>1</v>
      </c>
      <c r="P43" s="375">
        <v>11</v>
      </c>
      <c r="Q43" s="366">
        <v>5</v>
      </c>
      <c r="R43" s="375"/>
      <c r="S43" s="366">
        <v>5</v>
      </c>
      <c r="T43" s="375">
        <v>2</v>
      </c>
      <c r="U43" s="366">
        <v>2</v>
      </c>
      <c r="V43" s="375">
        <v>18</v>
      </c>
      <c r="W43" s="36"/>
      <c r="X43" s="1">
        <f t="shared" si="4"/>
        <v>-16</v>
      </c>
      <c r="Y43" s="1">
        <f t="shared" si="5"/>
        <v>0</v>
      </c>
    </row>
    <row r="44" spans="1:25" x14ac:dyDescent="0.25">
      <c r="A44" s="331" t="b">
        <f t="shared" si="3"/>
        <v>1</v>
      </c>
      <c r="B44" s="407">
        <v>2012</v>
      </c>
      <c r="C44" s="364" t="s">
        <v>19</v>
      </c>
      <c r="D44" s="424" t="s">
        <v>78</v>
      </c>
      <c r="E44" s="366">
        <v>32</v>
      </c>
      <c r="F44" s="375">
        <v>29</v>
      </c>
      <c r="G44" s="366">
        <v>15</v>
      </c>
      <c r="H44" s="395">
        <v>13.5</v>
      </c>
      <c r="I44" s="366">
        <v>6</v>
      </c>
      <c r="J44" s="375">
        <v>21</v>
      </c>
      <c r="K44" s="366">
        <v>5</v>
      </c>
      <c r="L44" s="375">
        <v>2</v>
      </c>
      <c r="M44" s="366"/>
      <c r="N44" s="375"/>
      <c r="O44" s="366">
        <v>0</v>
      </c>
      <c r="P44" s="375">
        <v>6</v>
      </c>
      <c r="Q44" s="366"/>
      <c r="R44" s="375"/>
      <c r="S44" s="366">
        <v>0</v>
      </c>
      <c r="T44" s="375">
        <v>12</v>
      </c>
      <c r="U44" s="366">
        <v>12</v>
      </c>
      <c r="V44" s="375">
        <v>28</v>
      </c>
      <c r="W44" s="36"/>
      <c r="X44" s="1">
        <f t="shared" si="4"/>
        <v>-17</v>
      </c>
      <c r="Y44" s="1">
        <f t="shared" si="5"/>
        <v>0</v>
      </c>
    </row>
    <row r="45" spans="1:25" s="229" customFormat="1" x14ac:dyDescent="0.25">
      <c r="A45" s="331" t="b">
        <f t="shared" si="3"/>
        <v>1</v>
      </c>
      <c r="B45" s="407">
        <v>2012</v>
      </c>
      <c r="C45" s="365" t="s">
        <v>19</v>
      </c>
      <c r="D45" s="424" t="s">
        <v>79</v>
      </c>
      <c r="E45" s="366">
        <v>10</v>
      </c>
      <c r="F45" s="375">
        <v>6</v>
      </c>
      <c r="G45" s="366">
        <v>1</v>
      </c>
      <c r="H45" s="395"/>
      <c r="I45" s="366">
        <v>4</v>
      </c>
      <c r="J45" s="375">
        <v>5</v>
      </c>
      <c r="K45" s="366">
        <v>1</v>
      </c>
      <c r="L45" s="375"/>
      <c r="M45" s="366"/>
      <c r="N45" s="375"/>
      <c r="O45" s="366">
        <v>0</v>
      </c>
      <c r="P45" s="375">
        <v>3</v>
      </c>
      <c r="Q45" s="366"/>
      <c r="R45" s="375"/>
      <c r="S45" s="366">
        <v>0</v>
      </c>
      <c r="T45" s="375">
        <v>1</v>
      </c>
      <c r="U45" s="366">
        <v>1</v>
      </c>
      <c r="V45" s="375">
        <v>5</v>
      </c>
      <c r="W45" s="228"/>
      <c r="X45" s="1">
        <f t="shared" si="4"/>
        <v>-5</v>
      </c>
      <c r="Y45" s="1">
        <f t="shared" si="5"/>
        <v>0</v>
      </c>
    </row>
    <row r="46" spans="1:25" x14ac:dyDescent="0.25">
      <c r="A46" s="331" t="b">
        <f t="shared" si="3"/>
        <v>1</v>
      </c>
      <c r="B46" s="407">
        <v>2012</v>
      </c>
      <c r="C46" s="356" t="s">
        <v>24</v>
      </c>
      <c r="D46" s="425" t="s">
        <v>76</v>
      </c>
      <c r="E46" s="367">
        <v>12</v>
      </c>
      <c r="F46" s="347">
        <v>10</v>
      </c>
      <c r="G46" s="350">
        <v>3</v>
      </c>
      <c r="H46" s="396"/>
      <c r="I46" s="350">
        <v>5</v>
      </c>
      <c r="J46" s="347">
        <v>8</v>
      </c>
      <c r="K46" s="350">
        <v>2</v>
      </c>
      <c r="L46" s="347"/>
      <c r="M46" s="350"/>
      <c r="N46" s="347"/>
      <c r="O46" s="350">
        <v>0</v>
      </c>
      <c r="P46" s="347">
        <v>7</v>
      </c>
      <c r="Q46" s="350">
        <v>1</v>
      </c>
      <c r="R46" s="347"/>
      <c r="S46" s="350">
        <v>1</v>
      </c>
      <c r="T46" s="347"/>
      <c r="U46" s="350"/>
      <c r="V46" s="347">
        <v>10</v>
      </c>
      <c r="W46" s="36"/>
      <c r="X46" s="1">
        <f t="shared" si="4"/>
        <v>-10</v>
      </c>
      <c r="Y46" s="1">
        <f t="shared" si="5"/>
        <v>0</v>
      </c>
    </row>
    <row r="47" spans="1:25" x14ac:dyDescent="0.25">
      <c r="A47" s="331" t="b">
        <f t="shared" si="3"/>
        <v>1</v>
      </c>
      <c r="B47" s="407">
        <v>2012</v>
      </c>
      <c r="C47" s="355" t="s">
        <v>24</v>
      </c>
      <c r="D47" s="426" t="s">
        <v>77</v>
      </c>
      <c r="E47" s="368">
        <v>36</v>
      </c>
      <c r="F47" s="348">
        <v>32</v>
      </c>
      <c r="G47" s="346">
        <v>18</v>
      </c>
      <c r="H47" s="397">
        <v>15</v>
      </c>
      <c r="I47" s="346">
        <v>10</v>
      </c>
      <c r="J47" s="348">
        <v>28</v>
      </c>
      <c r="K47" s="346">
        <v>3</v>
      </c>
      <c r="L47" s="348">
        <v>1</v>
      </c>
      <c r="M47" s="346"/>
      <c r="N47" s="348"/>
      <c r="O47" s="346">
        <v>0</v>
      </c>
      <c r="P47" s="348">
        <v>18</v>
      </c>
      <c r="Q47" s="346">
        <v>5</v>
      </c>
      <c r="R47" s="348"/>
      <c r="S47" s="346">
        <v>5</v>
      </c>
      <c r="T47" s="348">
        <v>8</v>
      </c>
      <c r="U47" s="346">
        <v>6</v>
      </c>
      <c r="V47" s="348">
        <v>26</v>
      </c>
      <c r="W47" s="36"/>
      <c r="X47" s="1">
        <f t="shared" si="4"/>
        <v>-24</v>
      </c>
      <c r="Y47" s="1">
        <f t="shared" si="5"/>
        <v>-2</v>
      </c>
    </row>
    <row r="48" spans="1:25" x14ac:dyDescent="0.25">
      <c r="A48" s="331" t="b">
        <f t="shared" si="3"/>
        <v>1</v>
      </c>
      <c r="B48" s="407">
        <v>2012</v>
      </c>
      <c r="C48" s="355" t="s">
        <v>24</v>
      </c>
      <c r="D48" s="427" t="s">
        <v>78</v>
      </c>
      <c r="E48" s="368">
        <v>33</v>
      </c>
      <c r="F48" s="348">
        <v>18</v>
      </c>
      <c r="G48" s="346">
        <v>11</v>
      </c>
      <c r="H48" s="397">
        <v>13.8</v>
      </c>
      <c r="I48" s="346">
        <v>4</v>
      </c>
      <c r="J48" s="348">
        <v>15</v>
      </c>
      <c r="K48" s="346">
        <v>2</v>
      </c>
      <c r="L48" s="348">
        <v>1</v>
      </c>
      <c r="M48" s="346"/>
      <c r="N48" s="348"/>
      <c r="O48" s="346">
        <v>0</v>
      </c>
      <c r="P48" s="348">
        <v>8</v>
      </c>
      <c r="Q48" s="346"/>
      <c r="R48" s="348"/>
      <c r="S48" s="346">
        <v>0</v>
      </c>
      <c r="T48" s="348"/>
      <c r="U48" s="346"/>
      <c r="V48" s="348">
        <v>16</v>
      </c>
      <c r="W48" s="36"/>
      <c r="X48" s="1">
        <f t="shared" si="4"/>
        <v>-18</v>
      </c>
      <c r="Y48" s="1">
        <f t="shared" si="5"/>
        <v>0</v>
      </c>
    </row>
    <row r="49" spans="1:25" s="229" customFormat="1" x14ac:dyDescent="0.25">
      <c r="A49" s="331" t="b">
        <f>C49=C81</f>
        <v>1</v>
      </c>
      <c r="B49" s="407">
        <v>2012</v>
      </c>
      <c r="C49" s="357" t="s">
        <v>24</v>
      </c>
      <c r="D49" s="427" t="s">
        <v>79</v>
      </c>
      <c r="E49" s="352">
        <v>39</v>
      </c>
      <c r="F49" s="353">
        <v>22</v>
      </c>
      <c r="G49" s="352">
        <v>8</v>
      </c>
      <c r="H49" s="398">
        <v>11.135</v>
      </c>
      <c r="I49" s="352">
        <v>6</v>
      </c>
      <c r="J49" s="353">
        <v>14</v>
      </c>
      <c r="K49" s="352">
        <v>6</v>
      </c>
      <c r="L49" s="353">
        <v>2</v>
      </c>
      <c r="M49" s="352">
        <v>1</v>
      </c>
      <c r="N49" s="353"/>
      <c r="O49" s="352">
        <v>1</v>
      </c>
      <c r="P49" s="353">
        <v>15</v>
      </c>
      <c r="Q49" s="352">
        <v>4</v>
      </c>
      <c r="R49" s="353">
        <v>1</v>
      </c>
      <c r="S49" s="352">
        <v>5</v>
      </c>
      <c r="T49" s="353">
        <v>3</v>
      </c>
      <c r="U49" s="352">
        <v>3</v>
      </c>
      <c r="V49" s="353">
        <v>21</v>
      </c>
      <c r="W49" s="228"/>
      <c r="X49" s="1">
        <f t="shared" si="4"/>
        <v>-19</v>
      </c>
      <c r="Y49" s="1">
        <f t="shared" si="5"/>
        <v>0</v>
      </c>
    </row>
    <row r="50" spans="1:25" x14ac:dyDescent="0.25">
      <c r="A50" s="331" t="b">
        <f t="shared" si="3"/>
        <v>1</v>
      </c>
      <c r="B50" s="407">
        <v>2012</v>
      </c>
      <c r="C50" s="405" t="s">
        <v>20</v>
      </c>
      <c r="D50" s="422" t="s">
        <v>76</v>
      </c>
      <c r="E50" s="366">
        <v>116</v>
      </c>
      <c r="F50" s="375">
        <v>65</v>
      </c>
      <c r="G50" s="366">
        <v>28</v>
      </c>
      <c r="H50" s="395">
        <v>13</v>
      </c>
      <c r="I50" s="366">
        <v>22</v>
      </c>
      <c r="J50" s="374">
        <v>50</v>
      </c>
      <c r="K50" s="366">
        <v>5</v>
      </c>
      <c r="L50" s="375">
        <v>9</v>
      </c>
      <c r="M50" s="366">
        <v>1</v>
      </c>
      <c r="N50" s="375">
        <v>1</v>
      </c>
      <c r="O50" s="366">
        <v>2</v>
      </c>
      <c r="P50" s="375">
        <v>29</v>
      </c>
      <c r="Q50" s="366">
        <v>22</v>
      </c>
      <c r="R50" s="375">
        <v>7</v>
      </c>
      <c r="S50" s="366">
        <v>29</v>
      </c>
      <c r="T50" s="375">
        <v>59</v>
      </c>
      <c r="U50" s="366">
        <v>58</v>
      </c>
      <c r="V50" s="375">
        <v>64</v>
      </c>
      <c r="W50" s="36"/>
      <c r="X50" s="1">
        <f t="shared" si="4"/>
        <v>-6</v>
      </c>
      <c r="Y50" s="1">
        <f t="shared" si="5"/>
        <v>-1</v>
      </c>
    </row>
    <row r="51" spans="1:25" x14ac:dyDescent="0.25">
      <c r="A51" s="331" t="b">
        <f t="shared" si="3"/>
        <v>1</v>
      </c>
      <c r="B51" s="407">
        <v>2012</v>
      </c>
      <c r="C51" s="364" t="s">
        <v>20</v>
      </c>
      <c r="D51" s="423" t="s">
        <v>77</v>
      </c>
      <c r="E51" s="366">
        <v>149</v>
      </c>
      <c r="F51" s="375">
        <v>100</v>
      </c>
      <c r="G51" s="366">
        <v>30</v>
      </c>
      <c r="H51" s="395">
        <v>12.88</v>
      </c>
      <c r="I51" s="366">
        <v>58</v>
      </c>
      <c r="J51" s="375">
        <v>88</v>
      </c>
      <c r="K51" s="366">
        <v>7</v>
      </c>
      <c r="L51" s="375">
        <v>5</v>
      </c>
      <c r="M51" s="366">
        <v>2</v>
      </c>
      <c r="N51" s="375">
        <v>2</v>
      </c>
      <c r="O51" s="366">
        <v>4</v>
      </c>
      <c r="P51" s="375">
        <v>53</v>
      </c>
      <c r="Q51" s="366">
        <v>40</v>
      </c>
      <c r="R51" s="375">
        <v>4</v>
      </c>
      <c r="S51" s="366">
        <v>44</v>
      </c>
      <c r="T51" s="375">
        <v>87</v>
      </c>
      <c r="U51" s="366">
        <v>83</v>
      </c>
      <c r="V51" s="375">
        <v>97</v>
      </c>
      <c r="W51" s="36"/>
      <c r="X51" s="1">
        <f t="shared" si="4"/>
        <v>-13</v>
      </c>
      <c r="Y51" s="1">
        <f t="shared" si="5"/>
        <v>-4</v>
      </c>
    </row>
    <row r="52" spans="1:25" x14ac:dyDescent="0.25">
      <c r="A52" s="331" t="b">
        <f t="shared" si="3"/>
        <v>1</v>
      </c>
      <c r="B52" s="407">
        <v>2012</v>
      </c>
      <c r="C52" s="364" t="s">
        <v>20</v>
      </c>
      <c r="D52" s="424" t="s">
        <v>78</v>
      </c>
      <c r="E52" s="366"/>
      <c r="F52" s="375"/>
      <c r="G52" s="366"/>
      <c r="H52" s="395"/>
      <c r="I52" s="366"/>
      <c r="J52" s="375"/>
      <c r="K52" s="366"/>
      <c r="L52" s="375"/>
      <c r="M52" s="366"/>
      <c r="N52" s="375"/>
      <c r="O52" s="366"/>
      <c r="P52" s="375"/>
      <c r="Q52" s="366"/>
      <c r="R52" s="375"/>
      <c r="S52" s="366"/>
      <c r="T52" s="375"/>
      <c r="U52" s="366"/>
      <c r="V52" s="375"/>
      <c r="W52" s="36"/>
      <c r="X52" s="1">
        <f t="shared" si="4"/>
        <v>0</v>
      </c>
      <c r="Y52" s="1">
        <f t="shared" si="5"/>
        <v>0</v>
      </c>
    </row>
    <row r="53" spans="1:25" s="242" customFormat="1" x14ac:dyDescent="0.25">
      <c r="A53" s="331" t="b">
        <f t="shared" si="3"/>
        <v>1</v>
      </c>
      <c r="B53" s="407">
        <v>2012</v>
      </c>
      <c r="C53" s="364" t="s">
        <v>20</v>
      </c>
      <c r="D53" s="424" t="s">
        <v>79</v>
      </c>
      <c r="E53" s="366">
        <v>98</v>
      </c>
      <c r="F53" s="375">
        <v>50</v>
      </c>
      <c r="G53" s="366">
        <v>14</v>
      </c>
      <c r="H53" s="395">
        <v>11</v>
      </c>
      <c r="I53" s="366">
        <v>22</v>
      </c>
      <c r="J53" s="375">
        <v>36</v>
      </c>
      <c r="K53" s="366">
        <v>8</v>
      </c>
      <c r="L53" s="375">
        <v>6</v>
      </c>
      <c r="M53" s="366"/>
      <c r="N53" s="375">
        <v>1</v>
      </c>
      <c r="O53" s="366">
        <v>1</v>
      </c>
      <c r="P53" s="375">
        <v>30</v>
      </c>
      <c r="Q53" s="366">
        <v>21</v>
      </c>
      <c r="R53" s="375">
        <v>2</v>
      </c>
      <c r="S53" s="366">
        <v>23</v>
      </c>
      <c r="T53" s="375">
        <v>49</v>
      </c>
      <c r="U53" s="366">
        <v>46</v>
      </c>
      <c r="V53" s="375">
        <v>48</v>
      </c>
      <c r="W53" s="243"/>
      <c r="X53" s="1">
        <f t="shared" si="4"/>
        <v>-1</v>
      </c>
      <c r="Y53" s="1">
        <f t="shared" si="5"/>
        <v>-3</v>
      </c>
    </row>
    <row r="54" spans="1:25" s="242" customFormat="1" x14ac:dyDescent="0.25">
      <c r="A54" s="331" t="b">
        <f t="shared" si="3"/>
        <v>1</v>
      </c>
      <c r="B54" s="407">
        <v>2012</v>
      </c>
      <c r="C54" s="376" t="s">
        <v>21</v>
      </c>
      <c r="D54" s="425" t="s">
        <v>76</v>
      </c>
      <c r="E54" s="350">
        <v>80</v>
      </c>
      <c r="F54" s="347">
        <v>54</v>
      </c>
      <c r="G54" s="350">
        <v>30</v>
      </c>
      <c r="H54" s="396">
        <v>12</v>
      </c>
      <c r="I54" s="350">
        <v>17</v>
      </c>
      <c r="J54" s="347">
        <v>47</v>
      </c>
      <c r="K54" s="350">
        <v>3</v>
      </c>
      <c r="L54" s="347">
        <v>4</v>
      </c>
      <c r="M54" s="350"/>
      <c r="N54" s="347">
        <v>1</v>
      </c>
      <c r="O54" s="350">
        <v>1</v>
      </c>
      <c r="P54" s="347">
        <v>32</v>
      </c>
      <c r="Q54" s="350">
        <v>5</v>
      </c>
      <c r="R54" s="347">
        <v>3</v>
      </c>
      <c r="S54" s="350">
        <v>8</v>
      </c>
      <c r="T54" s="347">
        <v>49</v>
      </c>
      <c r="U54" s="350">
        <v>48</v>
      </c>
      <c r="V54" s="347">
        <v>54</v>
      </c>
      <c r="W54" s="243"/>
      <c r="X54" s="1">
        <f t="shared" si="4"/>
        <v>-5</v>
      </c>
      <c r="Y54" s="1">
        <f t="shared" si="5"/>
        <v>-1</v>
      </c>
    </row>
    <row r="55" spans="1:25" x14ac:dyDescent="0.25">
      <c r="A55" s="331" t="b">
        <f t="shared" si="3"/>
        <v>1</v>
      </c>
      <c r="B55" s="407">
        <v>2012</v>
      </c>
      <c r="C55" s="377" t="s">
        <v>21</v>
      </c>
      <c r="D55" s="426" t="s">
        <v>77</v>
      </c>
      <c r="E55" s="346">
        <v>251</v>
      </c>
      <c r="F55" s="348">
        <v>143</v>
      </c>
      <c r="G55" s="346">
        <v>54</v>
      </c>
      <c r="H55" s="397">
        <v>11</v>
      </c>
      <c r="I55" s="346">
        <v>43</v>
      </c>
      <c r="J55" s="348">
        <v>97</v>
      </c>
      <c r="K55" s="346">
        <v>10</v>
      </c>
      <c r="L55" s="348">
        <v>35</v>
      </c>
      <c r="M55" s="346"/>
      <c r="N55" s="348">
        <v>3</v>
      </c>
      <c r="O55" s="346">
        <v>3</v>
      </c>
      <c r="P55" s="348">
        <v>95</v>
      </c>
      <c r="Q55" s="346">
        <v>8</v>
      </c>
      <c r="R55" s="348">
        <v>10</v>
      </c>
      <c r="S55" s="346">
        <v>18</v>
      </c>
      <c r="T55" s="348">
        <v>126</v>
      </c>
      <c r="U55" s="346">
        <v>126</v>
      </c>
      <c r="V55" s="348">
        <v>139</v>
      </c>
      <c r="W55" s="36"/>
      <c r="X55" s="1">
        <f t="shared" si="4"/>
        <v>-17</v>
      </c>
      <c r="Y55" s="1">
        <f t="shared" si="5"/>
        <v>0</v>
      </c>
    </row>
    <row r="56" spans="1:25" x14ac:dyDescent="0.25">
      <c r="A56" s="331" t="b">
        <f t="shared" si="3"/>
        <v>1</v>
      </c>
      <c r="B56" s="407">
        <v>2012</v>
      </c>
      <c r="C56" s="377" t="s">
        <v>21</v>
      </c>
      <c r="D56" s="427" t="s">
        <v>78</v>
      </c>
      <c r="E56" s="346">
        <v>22</v>
      </c>
      <c r="F56" s="348">
        <v>13</v>
      </c>
      <c r="G56" s="346">
        <v>2</v>
      </c>
      <c r="H56" s="397"/>
      <c r="I56" s="346">
        <v>9</v>
      </c>
      <c r="J56" s="348">
        <v>11</v>
      </c>
      <c r="K56" s="346">
        <v>1</v>
      </c>
      <c r="L56" s="348"/>
      <c r="M56" s="346"/>
      <c r="N56" s="348"/>
      <c r="O56" s="346">
        <v>0</v>
      </c>
      <c r="P56" s="348">
        <v>11</v>
      </c>
      <c r="Q56" s="346"/>
      <c r="R56" s="348"/>
      <c r="S56" s="346">
        <v>0</v>
      </c>
      <c r="T56" s="348">
        <v>9</v>
      </c>
      <c r="U56" s="346">
        <v>9</v>
      </c>
      <c r="V56" s="348">
        <v>11</v>
      </c>
      <c r="W56" s="36"/>
      <c r="X56" s="1">
        <f t="shared" si="4"/>
        <v>-4</v>
      </c>
      <c r="Y56" s="1">
        <f t="shared" si="5"/>
        <v>0</v>
      </c>
    </row>
    <row r="57" spans="1:25" s="229" customFormat="1" x14ac:dyDescent="0.25">
      <c r="A57" s="331" t="b">
        <f>C57=C89</f>
        <v>1</v>
      </c>
      <c r="B57" s="407">
        <v>2012</v>
      </c>
      <c r="C57" s="378" t="s">
        <v>21</v>
      </c>
      <c r="D57" s="427" t="s">
        <v>79</v>
      </c>
      <c r="E57" s="352">
        <v>191</v>
      </c>
      <c r="F57" s="353">
        <v>112</v>
      </c>
      <c r="G57" s="352">
        <v>39</v>
      </c>
      <c r="H57" s="398">
        <v>11.625</v>
      </c>
      <c r="I57" s="352">
        <v>37</v>
      </c>
      <c r="J57" s="353">
        <v>76</v>
      </c>
      <c r="K57" s="352">
        <v>16</v>
      </c>
      <c r="L57" s="353">
        <v>20</v>
      </c>
      <c r="M57" s="352">
        <v>0</v>
      </c>
      <c r="N57" s="353">
        <v>0</v>
      </c>
      <c r="O57" s="352">
        <v>0</v>
      </c>
      <c r="P57" s="353">
        <v>87</v>
      </c>
      <c r="Q57" s="352">
        <v>8</v>
      </c>
      <c r="R57" s="353">
        <v>4</v>
      </c>
      <c r="S57" s="352">
        <v>12</v>
      </c>
      <c r="T57" s="353">
        <v>97</v>
      </c>
      <c r="U57" s="352">
        <v>95</v>
      </c>
      <c r="V57" s="353">
        <v>110</v>
      </c>
      <c r="W57" s="228"/>
      <c r="X57" s="1">
        <f t="shared" si="4"/>
        <v>-15</v>
      </c>
      <c r="Y57" s="1">
        <f t="shared" si="5"/>
        <v>-2</v>
      </c>
    </row>
    <row r="58" spans="1:25" s="242" customFormat="1" x14ac:dyDescent="0.25">
      <c r="A58" s="331" t="b">
        <f t="shared" si="3"/>
        <v>1</v>
      </c>
      <c r="B58" s="407">
        <v>2012</v>
      </c>
      <c r="C58" s="364" t="s">
        <v>22</v>
      </c>
      <c r="D58" s="422" t="s">
        <v>76</v>
      </c>
      <c r="E58" s="366">
        <v>38</v>
      </c>
      <c r="F58" s="375">
        <v>22</v>
      </c>
      <c r="G58" s="366">
        <v>15</v>
      </c>
      <c r="H58" s="395">
        <v>18</v>
      </c>
      <c r="I58" s="366">
        <v>4</v>
      </c>
      <c r="J58" s="375">
        <v>19</v>
      </c>
      <c r="K58" s="366">
        <v>1</v>
      </c>
      <c r="L58" s="375">
        <v>2</v>
      </c>
      <c r="M58" s="366"/>
      <c r="N58" s="375"/>
      <c r="O58" s="366">
        <v>0</v>
      </c>
      <c r="P58" s="375">
        <v>8</v>
      </c>
      <c r="Q58" s="366"/>
      <c r="R58" s="374"/>
      <c r="S58" s="366">
        <v>0</v>
      </c>
      <c r="T58" s="375">
        <v>19</v>
      </c>
      <c r="U58" s="366">
        <v>17</v>
      </c>
      <c r="V58" s="375">
        <v>17</v>
      </c>
      <c r="W58" s="243"/>
      <c r="X58" s="1">
        <f t="shared" si="4"/>
        <v>-3</v>
      </c>
      <c r="Y58" s="1">
        <f t="shared" si="5"/>
        <v>-2</v>
      </c>
    </row>
    <row r="59" spans="1:25" x14ac:dyDescent="0.25">
      <c r="A59" s="331" t="b">
        <f t="shared" si="3"/>
        <v>1</v>
      </c>
      <c r="B59" s="407">
        <v>2012</v>
      </c>
      <c r="C59" s="364" t="s">
        <v>22</v>
      </c>
      <c r="D59" s="423" t="s">
        <v>77</v>
      </c>
      <c r="E59" s="366">
        <v>14</v>
      </c>
      <c r="F59" s="375">
        <v>10</v>
      </c>
      <c r="G59" s="366">
        <v>10</v>
      </c>
      <c r="H59" s="395">
        <v>24.6</v>
      </c>
      <c r="I59" s="366"/>
      <c r="J59" s="375">
        <v>10</v>
      </c>
      <c r="K59" s="366"/>
      <c r="L59" s="375"/>
      <c r="M59" s="366"/>
      <c r="N59" s="375"/>
      <c r="O59" s="366">
        <v>0</v>
      </c>
      <c r="P59" s="375">
        <v>5</v>
      </c>
      <c r="Q59" s="366"/>
      <c r="R59" s="400">
        <v>1</v>
      </c>
      <c r="S59" s="366">
        <v>1</v>
      </c>
      <c r="T59" s="375">
        <v>10</v>
      </c>
      <c r="U59" s="366">
        <v>10</v>
      </c>
      <c r="V59" s="375">
        <v>10</v>
      </c>
      <c r="W59" s="36"/>
      <c r="X59" s="1">
        <f t="shared" si="4"/>
        <v>0</v>
      </c>
      <c r="Y59" s="1">
        <f t="shared" si="5"/>
        <v>0</v>
      </c>
    </row>
    <row r="60" spans="1:25" x14ac:dyDescent="0.25">
      <c r="A60" s="331" t="b">
        <f t="shared" si="3"/>
        <v>1</v>
      </c>
      <c r="B60" s="407">
        <v>2012</v>
      </c>
      <c r="C60" s="364" t="s">
        <v>22</v>
      </c>
      <c r="D60" s="424" t="s">
        <v>78</v>
      </c>
      <c r="E60" s="366"/>
      <c r="F60" s="375"/>
      <c r="G60" s="366"/>
      <c r="H60" s="395"/>
      <c r="I60" s="366"/>
      <c r="J60" s="375"/>
      <c r="K60" s="366"/>
      <c r="L60" s="375"/>
      <c r="M60" s="366"/>
      <c r="N60" s="375"/>
      <c r="O60" s="366"/>
      <c r="P60" s="375"/>
      <c r="Q60" s="366"/>
      <c r="R60" s="401"/>
      <c r="S60" s="366"/>
      <c r="T60" s="375"/>
      <c r="U60" s="366"/>
      <c r="V60" s="375"/>
      <c r="W60" s="36"/>
      <c r="X60" s="1">
        <f t="shared" si="4"/>
        <v>0</v>
      </c>
      <c r="Y60" s="1">
        <f t="shared" si="5"/>
        <v>0</v>
      </c>
    </row>
    <row r="61" spans="1:25" s="229" customFormat="1" x14ac:dyDescent="0.25">
      <c r="A61" s="331" t="b">
        <f t="shared" si="3"/>
        <v>1</v>
      </c>
      <c r="B61" s="407">
        <v>2012</v>
      </c>
      <c r="C61" s="364" t="s">
        <v>22</v>
      </c>
      <c r="D61" s="424" t="s">
        <v>79</v>
      </c>
      <c r="E61" s="366">
        <v>11</v>
      </c>
      <c r="F61" s="375">
        <v>10</v>
      </c>
      <c r="G61" s="366">
        <v>9</v>
      </c>
      <c r="H61" s="395"/>
      <c r="I61" s="366"/>
      <c r="J61" s="399">
        <v>9</v>
      </c>
      <c r="K61" s="366"/>
      <c r="L61" s="399">
        <v>1</v>
      </c>
      <c r="M61" s="366"/>
      <c r="N61" s="399"/>
      <c r="O61" s="366">
        <v>0</v>
      </c>
      <c r="P61" s="399">
        <v>3</v>
      </c>
      <c r="Q61" s="366">
        <v>2</v>
      </c>
      <c r="R61" s="402"/>
      <c r="S61" s="366">
        <v>2</v>
      </c>
      <c r="T61" s="399">
        <v>9</v>
      </c>
      <c r="U61" s="366">
        <v>9</v>
      </c>
      <c r="V61" s="399">
        <v>9</v>
      </c>
      <c r="W61" s="228"/>
      <c r="X61" s="1">
        <f t="shared" si="4"/>
        <v>-1</v>
      </c>
      <c r="Y61" s="1">
        <f t="shared" si="5"/>
        <v>0</v>
      </c>
    </row>
    <row r="62" spans="1:25" x14ac:dyDescent="0.25">
      <c r="A62" s="331" t="b">
        <f t="shared" si="3"/>
        <v>1</v>
      </c>
      <c r="B62" s="407">
        <v>2012</v>
      </c>
      <c r="C62" s="310" t="s">
        <v>23</v>
      </c>
      <c r="D62" s="425" t="s">
        <v>76</v>
      </c>
      <c r="E62" s="350">
        <v>20</v>
      </c>
      <c r="F62" s="347">
        <v>13</v>
      </c>
      <c r="G62" s="350">
        <v>11</v>
      </c>
      <c r="H62" s="396">
        <v>25.454999999999998</v>
      </c>
      <c r="I62" s="351">
        <v>1</v>
      </c>
      <c r="J62" s="350">
        <v>12</v>
      </c>
      <c r="K62" s="347">
        <v>1</v>
      </c>
      <c r="L62" s="350"/>
      <c r="M62" s="347"/>
      <c r="N62" s="350"/>
      <c r="O62" s="347">
        <v>0</v>
      </c>
      <c r="P62" s="347">
        <v>2</v>
      </c>
      <c r="Q62" s="351">
        <v>1</v>
      </c>
      <c r="R62" s="350"/>
      <c r="S62" s="347">
        <v>1</v>
      </c>
      <c r="T62" s="350">
        <v>13</v>
      </c>
      <c r="U62" s="347">
        <v>13</v>
      </c>
      <c r="V62" s="351">
        <v>13</v>
      </c>
      <c r="W62" s="36"/>
      <c r="X62" s="1">
        <f t="shared" si="4"/>
        <v>0</v>
      </c>
      <c r="Y62" s="1">
        <f t="shared" si="5"/>
        <v>0</v>
      </c>
    </row>
    <row r="63" spans="1:25" x14ac:dyDescent="0.25">
      <c r="A63" s="331" t="b">
        <f t="shared" si="3"/>
        <v>1</v>
      </c>
      <c r="B63" s="407">
        <v>2012</v>
      </c>
      <c r="C63" s="310" t="s">
        <v>23</v>
      </c>
      <c r="D63" s="426" t="s">
        <v>77</v>
      </c>
      <c r="E63" s="346">
        <v>75</v>
      </c>
      <c r="F63" s="348">
        <v>63</v>
      </c>
      <c r="G63" s="346">
        <v>57</v>
      </c>
      <c r="H63" s="397">
        <v>23.875</v>
      </c>
      <c r="I63" s="349">
        <v>3</v>
      </c>
      <c r="J63" s="346">
        <v>60</v>
      </c>
      <c r="K63" s="348"/>
      <c r="L63" s="346">
        <v>2</v>
      </c>
      <c r="M63" s="348"/>
      <c r="N63" s="346"/>
      <c r="O63" s="348">
        <v>0</v>
      </c>
      <c r="P63" s="348">
        <v>17</v>
      </c>
      <c r="Q63" s="349">
        <v>4</v>
      </c>
      <c r="R63" s="346">
        <v>2</v>
      </c>
      <c r="S63" s="348">
        <v>6</v>
      </c>
      <c r="T63" s="346">
        <v>61</v>
      </c>
      <c r="U63" s="348">
        <v>61</v>
      </c>
      <c r="V63" s="349">
        <v>61</v>
      </c>
      <c r="W63" s="36"/>
      <c r="X63" s="1">
        <f t="shared" si="4"/>
        <v>-2</v>
      </c>
      <c r="Y63" s="1">
        <f t="shared" si="5"/>
        <v>0</v>
      </c>
    </row>
    <row r="64" spans="1:25" x14ac:dyDescent="0.25">
      <c r="A64" s="331" t="b">
        <f t="shared" si="3"/>
        <v>1</v>
      </c>
      <c r="B64" s="407">
        <v>2012</v>
      </c>
      <c r="C64" s="310" t="s">
        <v>23</v>
      </c>
      <c r="D64" s="427" t="s">
        <v>78</v>
      </c>
      <c r="E64" s="346"/>
      <c r="F64" s="348"/>
      <c r="G64" s="346"/>
      <c r="H64" s="397"/>
      <c r="I64" s="349"/>
      <c r="J64" s="346"/>
      <c r="K64" s="348"/>
      <c r="L64" s="346"/>
      <c r="M64" s="348"/>
      <c r="N64" s="346"/>
      <c r="O64" s="348"/>
      <c r="P64" s="348"/>
      <c r="Q64" s="349"/>
      <c r="R64" s="346"/>
      <c r="S64" s="348"/>
      <c r="T64" s="346"/>
      <c r="U64" s="348"/>
      <c r="V64" s="349"/>
      <c r="W64" s="36"/>
      <c r="X64" s="1">
        <f t="shared" si="4"/>
        <v>0</v>
      </c>
      <c r="Y64" s="1">
        <f t="shared" si="5"/>
        <v>0</v>
      </c>
    </row>
    <row r="65" spans="1:25" s="229" customFormat="1" x14ac:dyDescent="0.25">
      <c r="A65" s="331" t="b">
        <f t="shared" si="3"/>
        <v>1</v>
      </c>
      <c r="B65" s="407">
        <v>2012</v>
      </c>
      <c r="C65" s="310" t="s">
        <v>23</v>
      </c>
      <c r="D65" s="427" t="s">
        <v>79</v>
      </c>
      <c r="E65" s="352">
        <v>81</v>
      </c>
      <c r="F65" s="353">
        <v>71</v>
      </c>
      <c r="G65" s="352">
        <v>58</v>
      </c>
      <c r="H65" s="398">
        <v>25</v>
      </c>
      <c r="I65" s="354">
        <v>8</v>
      </c>
      <c r="J65" s="352">
        <v>66</v>
      </c>
      <c r="K65" s="353">
        <v>2</v>
      </c>
      <c r="L65" s="352">
        <v>3</v>
      </c>
      <c r="M65" s="353"/>
      <c r="N65" s="352"/>
      <c r="O65" s="353">
        <v>0</v>
      </c>
      <c r="P65" s="353">
        <v>23</v>
      </c>
      <c r="Q65" s="354">
        <v>7</v>
      </c>
      <c r="R65" s="352">
        <v>1</v>
      </c>
      <c r="S65" s="353">
        <v>8</v>
      </c>
      <c r="T65" s="352">
        <v>70</v>
      </c>
      <c r="U65" s="353">
        <v>70</v>
      </c>
      <c r="V65" s="354">
        <v>68</v>
      </c>
      <c r="W65" s="228"/>
      <c r="X65" s="1">
        <f t="shared" si="4"/>
        <v>-1</v>
      </c>
      <c r="Y65" s="1">
        <f t="shared" si="5"/>
        <v>0</v>
      </c>
    </row>
    <row r="66" spans="1:25" x14ac:dyDescent="0.25">
      <c r="A66" s="331" t="b">
        <f t="shared" si="3"/>
        <v>1</v>
      </c>
      <c r="B66" s="323">
        <v>2011</v>
      </c>
      <c r="C66" s="309" t="s">
        <v>17</v>
      </c>
      <c r="D66" s="422" t="s">
        <v>76</v>
      </c>
      <c r="E66" s="97">
        <v>11</v>
      </c>
      <c r="F66" s="61">
        <v>9</v>
      </c>
      <c r="G66" s="97">
        <v>4</v>
      </c>
      <c r="H66" s="96"/>
      <c r="I66" s="97">
        <v>1</v>
      </c>
      <c r="J66" s="61">
        <v>5</v>
      </c>
      <c r="K66" s="97">
        <v>2</v>
      </c>
      <c r="L66" s="61">
        <v>1</v>
      </c>
      <c r="M66" s="98"/>
      <c r="N66" s="98"/>
      <c r="O66" s="61">
        <v>0</v>
      </c>
      <c r="P66" s="61">
        <v>2</v>
      </c>
      <c r="Q66" s="61">
        <v>1</v>
      </c>
      <c r="R66" s="61"/>
      <c r="S66" s="61">
        <v>1</v>
      </c>
      <c r="T66" s="98"/>
      <c r="U66" s="75"/>
      <c r="V66" s="75">
        <v>7</v>
      </c>
      <c r="W66" s="36"/>
      <c r="X66" s="1">
        <f t="shared" si="4"/>
        <v>-9</v>
      </c>
      <c r="Y66" s="1">
        <f t="shared" si="5"/>
        <v>0</v>
      </c>
    </row>
    <row r="67" spans="1:25" x14ac:dyDescent="0.25">
      <c r="A67" s="331" t="b">
        <f t="shared" si="3"/>
        <v>1</v>
      </c>
      <c r="B67" s="323">
        <v>2011</v>
      </c>
      <c r="C67" s="309" t="s">
        <v>17</v>
      </c>
      <c r="D67" s="423" t="s">
        <v>77</v>
      </c>
      <c r="E67" s="45">
        <v>20</v>
      </c>
      <c r="F67" s="10">
        <v>15</v>
      </c>
      <c r="G67" s="45">
        <v>10</v>
      </c>
      <c r="H67" s="5">
        <v>13</v>
      </c>
      <c r="I67" s="45">
        <v>2</v>
      </c>
      <c r="J67" s="10">
        <v>12</v>
      </c>
      <c r="K67" s="45">
        <v>0</v>
      </c>
      <c r="L67" s="10">
        <v>3</v>
      </c>
      <c r="M67" s="63"/>
      <c r="N67" s="10"/>
      <c r="O67" s="63">
        <v>0</v>
      </c>
      <c r="P67" s="10">
        <v>4</v>
      </c>
      <c r="Q67" s="10">
        <v>1</v>
      </c>
      <c r="R67" s="10"/>
      <c r="S67" s="10">
        <v>1</v>
      </c>
      <c r="T67" s="63">
        <v>2</v>
      </c>
      <c r="U67" s="10">
        <v>1</v>
      </c>
      <c r="V67" s="63">
        <v>13</v>
      </c>
      <c r="W67" s="36"/>
      <c r="X67" s="1">
        <f t="shared" si="4"/>
        <v>-13</v>
      </c>
      <c r="Y67" s="1">
        <f t="shared" si="5"/>
        <v>-1</v>
      </c>
    </row>
    <row r="68" spans="1:25" s="229" customFormat="1" x14ac:dyDescent="0.25">
      <c r="A68" s="331" t="b">
        <f>C68=C100</f>
        <v>1</v>
      </c>
      <c r="B68" s="323">
        <v>2011</v>
      </c>
      <c r="C68" s="309" t="s">
        <v>17</v>
      </c>
      <c r="D68" s="424" t="s">
        <v>78</v>
      </c>
      <c r="E68" s="231">
        <v>32</v>
      </c>
      <c r="F68" s="230">
        <v>23</v>
      </c>
      <c r="G68" s="231">
        <v>6</v>
      </c>
      <c r="H68" s="290">
        <v>18</v>
      </c>
      <c r="I68" s="231">
        <v>9</v>
      </c>
      <c r="J68" s="230">
        <v>15</v>
      </c>
      <c r="K68" s="231">
        <v>5</v>
      </c>
      <c r="L68" s="230">
        <v>3</v>
      </c>
      <c r="M68" s="289">
        <v>0</v>
      </c>
      <c r="N68" s="230">
        <v>0</v>
      </c>
      <c r="O68" s="231">
        <v>0</v>
      </c>
      <c r="P68" s="230">
        <v>8</v>
      </c>
      <c r="Q68" s="231">
        <v>0</v>
      </c>
      <c r="R68" s="232">
        <v>0</v>
      </c>
      <c r="S68" s="232">
        <v>0</v>
      </c>
      <c r="T68" s="230">
        <v>0</v>
      </c>
      <c r="U68" s="231">
        <v>0</v>
      </c>
      <c r="V68" s="232">
        <v>22</v>
      </c>
      <c r="W68" s="228"/>
      <c r="X68" s="1">
        <f t="shared" si="4"/>
        <v>-23</v>
      </c>
      <c r="Y68" s="1">
        <f t="shared" si="5"/>
        <v>0</v>
      </c>
    </row>
    <row r="69" spans="1:25" x14ac:dyDescent="0.25">
      <c r="A69" s="331" t="b">
        <f t="shared" si="3"/>
        <v>1</v>
      </c>
      <c r="B69" s="323">
        <v>2011</v>
      </c>
      <c r="C69" s="309" t="s">
        <v>17</v>
      </c>
      <c r="D69" s="424" t="s">
        <v>79</v>
      </c>
      <c r="E69" s="87">
        <v>3</v>
      </c>
      <c r="F69" s="86">
        <v>2</v>
      </c>
      <c r="G69" s="87"/>
      <c r="H69" s="85"/>
      <c r="I69" s="87"/>
      <c r="J69" s="86"/>
      <c r="K69" s="87"/>
      <c r="L69" s="86"/>
      <c r="M69" s="88"/>
      <c r="N69" s="86"/>
      <c r="O69" s="287"/>
      <c r="P69" s="287"/>
      <c r="Q69" s="287"/>
      <c r="R69" s="88"/>
      <c r="S69" s="86"/>
      <c r="T69" s="88"/>
      <c r="U69" s="287"/>
      <c r="V69" s="288"/>
      <c r="W69" s="36"/>
      <c r="X69" s="1">
        <f t="shared" si="4"/>
        <v>-2</v>
      </c>
      <c r="Y69" s="1">
        <f t="shared" si="5"/>
        <v>0</v>
      </c>
    </row>
    <row r="70" spans="1:25" x14ac:dyDescent="0.25">
      <c r="A70" s="331" t="b">
        <f t="shared" si="3"/>
        <v>1</v>
      </c>
      <c r="B70" s="323">
        <v>2011</v>
      </c>
      <c r="C70" s="310" t="s">
        <v>18</v>
      </c>
      <c r="D70" s="425" t="s">
        <v>76</v>
      </c>
      <c r="E70" s="286"/>
      <c r="F70" s="283"/>
      <c r="G70" s="286"/>
      <c r="H70" s="285"/>
      <c r="I70" s="286"/>
      <c r="J70" s="283"/>
      <c r="K70" s="286"/>
      <c r="L70" s="283"/>
      <c r="M70" s="284"/>
      <c r="N70" s="283"/>
      <c r="O70" s="283"/>
      <c r="P70" s="283"/>
      <c r="Q70" s="283"/>
      <c r="R70" s="286"/>
      <c r="S70" s="292"/>
      <c r="T70" s="286"/>
      <c r="U70" s="291"/>
      <c r="V70" s="291"/>
      <c r="W70" s="36"/>
      <c r="X70" s="1">
        <f t="shared" si="4"/>
        <v>0</v>
      </c>
      <c r="Y70" s="1">
        <f t="shared" si="5"/>
        <v>0</v>
      </c>
    </row>
    <row r="71" spans="1:25" x14ac:dyDescent="0.25">
      <c r="A71" s="331" t="b">
        <f t="shared" si="3"/>
        <v>1</v>
      </c>
      <c r="B71" s="323">
        <v>2011</v>
      </c>
      <c r="C71" s="310" t="s">
        <v>18</v>
      </c>
      <c r="D71" s="426" t="s">
        <v>77</v>
      </c>
      <c r="E71" s="83">
        <v>45</v>
      </c>
      <c r="F71" s="82">
        <v>38</v>
      </c>
      <c r="G71" s="83">
        <v>26</v>
      </c>
      <c r="H71" s="81">
        <v>11.13</v>
      </c>
      <c r="I71" s="83">
        <v>5</v>
      </c>
      <c r="J71" s="82">
        <v>31</v>
      </c>
      <c r="K71" s="83">
        <v>4</v>
      </c>
      <c r="L71" s="82">
        <v>3</v>
      </c>
      <c r="M71" s="82"/>
      <c r="N71" s="82"/>
      <c r="O71" s="82">
        <v>0</v>
      </c>
      <c r="P71" s="82">
        <v>23</v>
      </c>
      <c r="Q71" s="82">
        <v>2</v>
      </c>
      <c r="R71" s="84">
        <v>1</v>
      </c>
      <c r="S71" s="82">
        <v>3</v>
      </c>
      <c r="T71" s="83">
        <v>9</v>
      </c>
      <c r="U71" s="82">
        <v>9</v>
      </c>
      <c r="V71" s="84">
        <v>37</v>
      </c>
      <c r="W71" s="36"/>
      <c r="X71" s="1">
        <f t="shared" si="4"/>
        <v>-29</v>
      </c>
      <c r="Y71" s="1">
        <f t="shared" si="5"/>
        <v>0</v>
      </c>
    </row>
    <row r="72" spans="1:25" s="229" customFormat="1" x14ac:dyDescent="0.25">
      <c r="A72" s="331" t="b">
        <f t="shared" si="3"/>
        <v>1</v>
      </c>
      <c r="B72" s="323">
        <v>2011</v>
      </c>
      <c r="C72" s="310" t="s">
        <v>18</v>
      </c>
      <c r="D72" s="427" t="s">
        <v>78</v>
      </c>
      <c r="E72" s="372">
        <v>3</v>
      </c>
      <c r="F72" s="9">
        <v>1</v>
      </c>
      <c r="G72" s="49"/>
      <c r="H72" s="2"/>
      <c r="I72" s="49"/>
      <c r="J72" s="9"/>
      <c r="K72" s="49"/>
      <c r="L72" s="9"/>
      <c r="M72" s="9"/>
      <c r="N72" s="64"/>
      <c r="O72" s="9"/>
      <c r="P72" s="9"/>
      <c r="Q72" s="9"/>
      <c r="R72" s="9"/>
      <c r="S72" s="9"/>
      <c r="T72" s="49"/>
      <c r="U72" s="9"/>
      <c r="V72" s="64"/>
      <c r="W72" s="228"/>
      <c r="X72" s="1">
        <f t="shared" si="4"/>
        <v>-1</v>
      </c>
      <c r="Y72" s="1">
        <f t="shared" si="5"/>
        <v>0</v>
      </c>
    </row>
    <row r="73" spans="1:25" x14ac:dyDescent="0.25">
      <c r="A73" s="331" t="b">
        <f t="shared" si="3"/>
        <v>1</v>
      </c>
      <c r="B73" s="323">
        <v>2011</v>
      </c>
      <c r="C73" s="310" t="s">
        <v>18</v>
      </c>
      <c r="D73" s="427" t="s">
        <v>79</v>
      </c>
      <c r="E73" s="373">
        <v>56</v>
      </c>
      <c r="F73" s="89">
        <v>21</v>
      </c>
      <c r="G73" s="90">
        <v>8</v>
      </c>
      <c r="H73" s="6">
        <v>10.130000000000001</v>
      </c>
      <c r="I73" s="90">
        <v>6</v>
      </c>
      <c r="J73" s="89">
        <v>14</v>
      </c>
      <c r="K73" s="90">
        <v>5</v>
      </c>
      <c r="L73" s="89">
        <v>2</v>
      </c>
      <c r="M73" s="89">
        <v>1</v>
      </c>
      <c r="N73" s="91"/>
      <c r="O73" s="89">
        <v>1</v>
      </c>
      <c r="P73" s="89">
        <v>14</v>
      </c>
      <c r="Q73" s="89">
        <v>0</v>
      </c>
      <c r="R73" s="89">
        <v>1</v>
      </c>
      <c r="S73" s="89">
        <v>1</v>
      </c>
      <c r="T73" s="90">
        <v>4</v>
      </c>
      <c r="U73" s="89">
        <v>4</v>
      </c>
      <c r="V73" s="91">
        <v>21</v>
      </c>
      <c r="W73" s="36"/>
      <c r="X73" s="1">
        <f t="shared" si="4"/>
        <v>-17</v>
      </c>
      <c r="Y73" s="1">
        <f t="shared" si="5"/>
        <v>0</v>
      </c>
    </row>
    <row r="74" spans="1:25" x14ac:dyDescent="0.25">
      <c r="A74" s="331" t="b">
        <f t="shared" si="3"/>
        <v>1</v>
      </c>
      <c r="B74" s="323">
        <v>2011</v>
      </c>
      <c r="C74" s="309" t="s">
        <v>19</v>
      </c>
      <c r="D74" s="422" t="s">
        <v>76</v>
      </c>
      <c r="E74" s="369">
        <v>22</v>
      </c>
      <c r="F74" s="403">
        <v>13</v>
      </c>
      <c r="G74" s="97">
        <v>7</v>
      </c>
      <c r="H74" s="96">
        <v>15</v>
      </c>
      <c r="I74" s="98">
        <v>3</v>
      </c>
      <c r="J74" s="61">
        <v>10</v>
      </c>
      <c r="K74" s="61">
        <v>1</v>
      </c>
      <c r="L74" s="61">
        <v>2</v>
      </c>
      <c r="M74" s="61"/>
      <c r="N74" s="61"/>
      <c r="O74" s="61">
        <v>0</v>
      </c>
      <c r="P74" s="61">
        <v>6</v>
      </c>
      <c r="Q74" s="61">
        <v>1</v>
      </c>
      <c r="R74" s="61"/>
      <c r="S74" s="61">
        <v>1</v>
      </c>
      <c r="T74" s="97"/>
      <c r="U74" s="61"/>
      <c r="V74" s="98">
        <v>13</v>
      </c>
      <c r="W74" s="36"/>
      <c r="X74" s="1">
        <f t="shared" si="4"/>
        <v>-13</v>
      </c>
      <c r="Y74" s="1">
        <f t="shared" si="5"/>
        <v>0</v>
      </c>
    </row>
    <row r="75" spans="1:25" x14ac:dyDescent="0.25">
      <c r="A75" s="331" t="b">
        <f>C75=C107</f>
        <v>1</v>
      </c>
      <c r="B75" s="323">
        <v>2011</v>
      </c>
      <c r="C75" s="309" t="s">
        <v>19</v>
      </c>
      <c r="D75" s="423" t="s">
        <v>77</v>
      </c>
      <c r="E75" s="10">
        <v>32</v>
      </c>
      <c r="F75" s="375">
        <v>15</v>
      </c>
      <c r="G75" s="45">
        <v>8</v>
      </c>
      <c r="H75" s="5">
        <v>15</v>
      </c>
      <c r="I75" s="63">
        <v>6</v>
      </c>
      <c r="J75" s="10">
        <v>14</v>
      </c>
      <c r="K75" s="10">
        <v>0</v>
      </c>
      <c r="L75" s="10">
        <v>1</v>
      </c>
      <c r="M75" s="10"/>
      <c r="N75" s="10"/>
      <c r="O75" s="10">
        <v>0</v>
      </c>
      <c r="P75" s="10">
        <v>7</v>
      </c>
      <c r="Q75" s="10">
        <v>3</v>
      </c>
      <c r="R75" s="10"/>
      <c r="S75" s="10">
        <v>3</v>
      </c>
      <c r="T75" s="45">
        <v>1</v>
      </c>
      <c r="U75" s="10">
        <v>1</v>
      </c>
      <c r="V75" s="63">
        <v>13</v>
      </c>
      <c r="W75" s="36"/>
      <c r="X75" s="1">
        <f t="shared" si="4"/>
        <v>-14</v>
      </c>
      <c r="Y75" s="1">
        <f t="shared" si="5"/>
        <v>0</v>
      </c>
    </row>
    <row r="76" spans="1:25" s="229" customFormat="1" x14ac:dyDescent="0.25">
      <c r="A76" s="331" t="b">
        <f t="shared" si="3"/>
        <v>1</v>
      </c>
      <c r="B76" s="323">
        <v>2011</v>
      </c>
      <c r="C76" s="309" t="s">
        <v>19</v>
      </c>
      <c r="D76" s="424" t="s">
        <v>78</v>
      </c>
      <c r="E76" s="230">
        <v>66</v>
      </c>
      <c r="F76" s="404">
        <v>37</v>
      </c>
      <c r="G76" s="231">
        <v>12</v>
      </c>
      <c r="H76" s="290">
        <v>18</v>
      </c>
      <c r="I76" s="289">
        <v>8</v>
      </c>
      <c r="J76" s="231">
        <v>20</v>
      </c>
      <c r="K76" s="230">
        <v>7</v>
      </c>
      <c r="L76" s="230">
        <v>10</v>
      </c>
      <c r="M76" s="231">
        <v>0</v>
      </c>
      <c r="N76" s="230">
        <v>0</v>
      </c>
      <c r="O76" s="230">
        <v>0</v>
      </c>
      <c r="P76" s="230">
        <v>14</v>
      </c>
      <c r="Q76" s="230">
        <v>2</v>
      </c>
      <c r="R76" s="230">
        <v>5</v>
      </c>
      <c r="S76" s="230">
        <v>7</v>
      </c>
      <c r="T76" s="230">
        <v>5</v>
      </c>
      <c r="U76" s="231">
        <v>3</v>
      </c>
      <c r="V76" s="230">
        <v>21</v>
      </c>
      <c r="W76" s="228"/>
      <c r="X76" s="1">
        <f t="shared" si="4"/>
        <v>-32</v>
      </c>
      <c r="Y76" s="1">
        <f t="shared" si="5"/>
        <v>-2</v>
      </c>
    </row>
    <row r="77" spans="1:25" x14ac:dyDescent="0.25">
      <c r="A77" s="331" t="b">
        <f t="shared" si="3"/>
        <v>1</v>
      </c>
      <c r="B77" s="323">
        <v>2011</v>
      </c>
      <c r="C77" s="309" t="s">
        <v>19</v>
      </c>
      <c r="D77" s="424" t="s">
        <v>79</v>
      </c>
      <c r="E77" s="86">
        <v>36</v>
      </c>
      <c r="F77" s="86">
        <v>20</v>
      </c>
      <c r="G77" s="87">
        <v>4</v>
      </c>
      <c r="H77" s="85"/>
      <c r="I77" s="88">
        <v>2</v>
      </c>
      <c r="J77" s="86">
        <v>6</v>
      </c>
      <c r="K77" s="86">
        <v>4</v>
      </c>
      <c r="L77" s="86">
        <v>10</v>
      </c>
      <c r="M77" s="86"/>
      <c r="N77" s="86"/>
      <c r="O77" s="86">
        <v>0</v>
      </c>
      <c r="P77" s="86">
        <v>9</v>
      </c>
      <c r="Q77" s="86">
        <v>0</v>
      </c>
      <c r="R77" s="86">
        <v>2</v>
      </c>
      <c r="S77" s="86">
        <v>2</v>
      </c>
      <c r="T77" s="87">
        <v>6</v>
      </c>
      <c r="U77" s="86">
        <v>6</v>
      </c>
      <c r="V77" s="88">
        <v>11</v>
      </c>
      <c r="W77" s="36"/>
      <c r="X77" s="1">
        <f t="shared" si="4"/>
        <v>-14</v>
      </c>
      <c r="Y77" s="1">
        <f t="shared" si="5"/>
        <v>0</v>
      </c>
    </row>
    <row r="78" spans="1:25" x14ac:dyDescent="0.25">
      <c r="A78" s="331" t="b">
        <f t="shared" si="3"/>
        <v>1</v>
      </c>
      <c r="B78" s="323">
        <v>2011</v>
      </c>
      <c r="C78" s="311" t="s">
        <v>24</v>
      </c>
      <c r="D78" s="425" t="s">
        <v>76</v>
      </c>
      <c r="E78" s="102">
        <v>17</v>
      </c>
      <c r="F78" s="102">
        <v>9</v>
      </c>
      <c r="G78" s="103">
        <v>6</v>
      </c>
      <c r="H78" s="18">
        <v>15.38</v>
      </c>
      <c r="I78" s="104">
        <v>1</v>
      </c>
      <c r="J78" s="102">
        <v>7</v>
      </c>
      <c r="K78" s="102">
        <v>1</v>
      </c>
      <c r="L78" s="102">
        <v>1</v>
      </c>
      <c r="M78" s="102"/>
      <c r="N78" s="102"/>
      <c r="O78" s="102">
        <v>0</v>
      </c>
      <c r="P78" s="102">
        <v>6</v>
      </c>
      <c r="Q78" s="102">
        <v>4</v>
      </c>
      <c r="R78" s="102"/>
      <c r="S78" s="102">
        <v>4</v>
      </c>
      <c r="T78" s="103">
        <v>5</v>
      </c>
      <c r="U78" s="102">
        <v>5</v>
      </c>
      <c r="V78" s="104">
        <v>9</v>
      </c>
      <c r="W78" s="36"/>
      <c r="X78" s="1">
        <f t="shared" si="4"/>
        <v>-4</v>
      </c>
      <c r="Y78" s="1">
        <f t="shared" si="5"/>
        <v>0</v>
      </c>
    </row>
    <row r="79" spans="1:25" x14ac:dyDescent="0.25">
      <c r="A79" s="331" t="b">
        <f t="shared" si="3"/>
        <v>1</v>
      </c>
      <c r="B79" s="323">
        <v>2011</v>
      </c>
      <c r="C79" s="311" t="s">
        <v>24</v>
      </c>
      <c r="D79" s="426" t="s">
        <v>77</v>
      </c>
      <c r="E79" s="15">
        <v>18</v>
      </c>
      <c r="F79" s="15">
        <v>14</v>
      </c>
      <c r="G79" s="50">
        <v>7</v>
      </c>
      <c r="H79" s="19">
        <v>15.38</v>
      </c>
      <c r="I79" s="65">
        <v>6</v>
      </c>
      <c r="J79" s="15">
        <v>13</v>
      </c>
      <c r="K79" s="15">
        <v>0</v>
      </c>
      <c r="L79" s="15">
        <v>1</v>
      </c>
      <c r="M79" s="15"/>
      <c r="N79" s="15"/>
      <c r="O79" s="15">
        <v>0</v>
      </c>
      <c r="P79" s="15">
        <v>4</v>
      </c>
      <c r="Q79" s="15">
        <v>1</v>
      </c>
      <c r="R79" s="15">
        <v>1</v>
      </c>
      <c r="S79" s="15">
        <v>2</v>
      </c>
      <c r="T79" s="50">
        <v>2</v>
      </c>
      <c r="U79" s="15">
        <v>2</v>
      </c>
      <c r="V79" s="65">
        <v>9</v>
      </c>
      <c r="W79" s="36"/>
      <c r="X79" s="1">
        <f t="shared" si="4"/>
        <v>-12</v>
      </c>
      <c r="Y79" s="1">
        <f t="shared" si="5"/>
        <v>0</v>
      </c>
    </row>
    <row r="80" spans="1:25" s="229" customFormat="1" x14ac:dyDescent="0.25">
      <c r="A80" s="331" t="b">
        <f t="shared" si="3"/>
        <v>1</v>
      </c>
      <c r="B80" s="323">
        <v>2011</v>
      </c>
      <c r="C80" s="311" t="s">
        <v>24</v>
      </c>
      <c r="D80" s="427" t="s">
        <v>78</v>
      </c>
      <c r="E80" s="234">
        <v>21</v>
      </c>
      <c r="F80" s="234">
        <v>12</v>
      </c>
      <c r="G80" s="379">
        <v>5</v>
      </c>
      <c r="H80" s="235">
        <v>20</v>
      </c>
      <c r="I80" s="389">
        <v>2</v>
      </c>
      <c r="J80" s="234">
        <v>7</v>
      </c>
      <c r="K80" s="234">
        <v>0</v>
      </c>
      <c r="L80" s="234">
        <v>1</v>
      </c>
      <c r="M80" s="234">
        <v>0</v>
      </c>
      <c r="N80" s="234">
        <v>0</v>
      </c>
      <c r="O80" s="234">
        <v>0</v>
      </c>
      <c r="P80" s="234">
        <v>3</v>
      </c>
      <c r="Q80" s="234">
        <v>0</v>
      </c>
      <c r="R80" s="234">
        <v>0</v>
      </c>
      <c r="S80" s="234">
        <v>0</v>
      </c>
      <c r="T80" s="234">
        <v>0</v>
      </c>
      <c r="U80" s="234">
        <v>0</v>
      </c>
      <c r="V80" s="234">
        <v>7</v>
      </c>
      <c r="W80" s="228"/>
      <c r="X80" s="1">
        <f t="shared" si="4"/>
        <v>-12</v>
      </c>
      <c r="Y80" s="1">
        <f t="shared" si="5"/>
        <v>0</v>
      </c>
    </row>
    <row r="81" spans="1:25" x14ac:dyDescent="0.25">
      <c r="A81" s="331" t="b">
        <f t="shared" si="3"/>
        <v>1</v>
      </c>
      <c r="B81" s="323">
        <v>2011</v>
      </c>
      <c r="C81" s="311" t="s">
        <v>24</v>
      </c>
      <c r="D81" s="427" t="s">
        <v>79</v>
      </c>
      <c r="E81" s="106">
        <v>28</v>
      </c>
      <c r="F81" s="106">
        <v>13</v>
      </c>
      <c r="G81" s="107">
        <v>4</v>
      </c>
      <c r="H81" s="105"/>
      <c r="I81" s="108">
        <v>3</v>
      </c>
      <c r="J81" s="106">
        <v>7</v>
      </c>
      <c r="K81" s="106">
        <v>5</v>
      </c>
      <c r="L81" s="106">
        <v>1</v>
      </c>
      <c r="M81" s="106"/>
      <c r="N81" s="106"/>
      <c r="O81" s="106">
        <v>0</v>
      </c>
      <c r="P81" s="106">
        <v>7</v>
      </c>
      <c r="Q81" s="106">
        <v>0</v>
      </c>
      <c r="R81" s="106">
        <v>1</v>
      </c>
      <c r="S81" s="106">
        <v>1</v>
      </c>
      <c r="T81" s="107">
        <v>1</v>
      </c>
      <c r="U81" s="106">
        <v>1</v>
      </c>
      <c r="V81" s="108">
        <v>11</v>
      </c>
      <c r="W81" s="36"/>
      <c r="X81" s="1">
        <f t="shared" si="4"/>
        <v>-12</v>
      </c>
      <c r="Y81" s="1">
        <f t="shared" si="5"/>
        <v>0</v>
      </c>
    </row>
    <row r="82" spans="1:25" x14ac:dyDescent="0.25">
      <c r="A82" s="331" t="b">
        <f t="shared" si="3"/>
        <v>1</v>
      </c>
      <c r="B82" s="323">
        <v>2011</v>
      </c>
      <c r="C82" s="312" t="s">
        <v>20</v>
      </c>
      <c r="D82" s="422" t="s">
        <v>76</v>
      </c>
      <c r="E82" s="7">
        <v>101</v>
      </c>
      <c r="F82" s="7">
        <v>67</v>
      </c>
      <c r="G82" s="109">
        <v>21</v>
      </c>
      <c r="H82" s="29">
        <v>12</v>
      </c>
      <c r="I82" s="110">
        <v>29</v>
      </c>
      <c r="J82" s="7">
        <v>50</v>
      </c>
      <c r="K82" s="7">
        <v>10</v>
      </c>
      <c r="L82" s="7">
        <v>7</v>
      </c>
      <c r="M82" s="7"/>
      <c r="N82" s="7"/>
      <c r="O82" s="7">
        <v>0</v>
      </c>
      <c r="P82" s="7">
        <v>36</v>
      </c>
      <c r="Q82" s="7">
        <v>22</v>
      </c>
      <c r="R82" s="7">
        <v>3</v>
      </c>
      <c r="S82" s="7">
        <v>25</v>
      </c>
      <c r="T82" s="109">
        <v>57</v>
      </c>
      <c r="U82" s="7">
        <v>57</v>
      </c>
      <c r="V82" s="110">
        <v>64</v>
      </c>
      <c r="W82" s="36"/>
      <c r="X82" s="1">
        <f t="shared" si="4"/>
        <v>-10</v>
      </c>
      <c r="Y82" s="1">
        <f t="shared" si="5"/>
        <v>0</v>
      </c>
    </row>
    <row r="83" spans="1:25" x14ac:dyDescent="0.25">
      <c r="A83" s="331" t="b">
        <f t="shared" si="3"/>
        <v>1</v>
      </c>
      <c r="B83" s="323">
        <v>2011</v>
      </c>
      <c r="C83" s="312" t="s">
        <v>20</v>
      </c>
      <c r="D83" s="423" t="s">
        <v>77</v>
      </c>
      <c r="E83" s="8">
        <v>186</v>
      </c>
      <c r="F83" s="66">
        <v>67</v>
      </c>
      <c r="G83" s="51">
        <v>21</v>
      </c>
      <c r="H83" s="3">
        <v>13</v>
      </c>
      <c r="I83" s="66">
        <v>36</v>
      </c>
      <c r="J83" s="8">
        <v>57</v>
      </c>
      <c r="K83" s="66">
        <v>6</v>
      </c>
      <c r="L83" s="8">
        <v>4</v>
      </c>
      <c r="M83" s="8">
        <v>1</v>
      </c>
      <c r="N83" s="8">
        <v>2</v>
      </c>
      <c r="O83" s="8">
        <v>3</v>
      </c>
      <c r="P83" s="66">
        <v>37</v>
      </c>
      <c r="Q83" s="8">
        <v>31</v>
      </c>
      <c r="R83" s="8">
        <v>8</v>
      </c>
      <c r="S83" s="66">
        <v>39</v>
      </c>
      <c r="T83" s="51">
        <v>58</v>
      </c>
      <c r="U83" s="8">
        <v>56</v>
      </c>
      <c r="V83" s="8">
        <v>64</v>
      </c>
      <c r="W83" s="36"/>
      <c r="X83" s="1">
        <f t="shared" si="4"/>
        <v>-9</v>
      </c>
      <c r="Y83" s="1">
        <f t="shared" si="5"/>
        <v>-2</v>
      </c>
    </row>
    <row r="84" spans="1:25" s="229" customFormat="1" x14ac:dyDescent="0.25">
      <c r="A84" s="331" t="b">
        <f t="shared" si="3"/>
        <v>1</v>
      </c>
      <c r="B84" s="323">
        <v>2011</v>
      </c>
      <c r="C84" s="312" t="s">
        <v>20</v>
      </c>
      <c r="D84" s="424" t="s">
        <v>78</v>
      </c>
      <c r="E84" s="237">
        <v>6</v>
      </c>
      <c r="F84" s="237">
        <v>0</v>
      </c>
      <c r="G84" s="238"/>
      <c r="H84" s="246"/>
      <c r="I84" s="272"/>
      <c r="J84" s="237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28"/>
      <c r="X84" s="1">
        <f t="shared" si="4"/>
        <v>0</v>
      </c>
      <c r="Y84" s="1">
        <f t="shared" si="5"/>
        <v>0</v>
      </c>
    </row>
    <row r="85" spans="1:25" x14ac:dyDescent="0.25">
      <c r="A85" s="331" t="b">
        <f t="shared" si="3"/>
        <v>1</v>
      </c>
      <c r="B85" s="323">
        <v>2011</v>
      </c>
      <c r="C85" s="312" t="s">
        <v>20</v>
      </c>
      <c r="D85" s="424" t="s">
        <v>79</v>
      </c>
      <c r="E85" s="241">
        <v>102</v>
      </c>
      <c r="F85" s="241">
        <v>51</v>
      </c>
      <c r="G85" s="380">
        <v>10</v>
      </c>
      <c r="H85" s="303">
        <v>12</v>
      </c>
      <c r="I85" s="390">
        <v>26</v>
      </c>
      <c r="J85" s="241">
        <v>36</v>
      </c>
      <c r="K85" s="241">
        <v>9</v>
      </c>
      <c r="L85" s="241">
        <v>6</v>
      </c>
      <c r="M85" s="241">
        <v>1</v>
      </c>
      <c r="N85" s="241">
        <v>5</v>
      </c>
      <c r="O85" s="241">
        <v>6</v>
      </c>
      <c r="P85" s="241">
        <v>34</v>
      </c>
      <c r="Q85" s="241">
        <v>10</v>
      </c>
      <c r="R85" s="241">
        <v>3</v>
      </c>
      <c r="S85" s="241">
        <v>13</v>
      </c>
      <c r="T85" s="241">
        <v>45</v>
      </c>
      <c r="U85" s="241">
        <v>44</v>
      </c>
      <c r="V85" s="241">
        <v>47</v>
      </c>
      <c r="W85" s="36"/>
      <c r="X85" s="1">
        <f t="shared" si="4"/>
        <v>-6</v>
      </c>
      <c r="Y85" s="1">
        <f t="shared" si="5"/>
        <v>-1</v>
      </c>
    </row>
    <row r="86" spans="1:25" x14ac:dyDescent="0.25">
      <c r="A86" s="331" t="b">
        <f t="shared" si="3"/>
        <v>1</v>
      </c>
      <c r="B86" s="323">
        <v>2011</v>
      </c>
      <c r="C86" s="310" t="s">
        <v>21</v>
      </c>
      <c r="D86" s="425" t="s">
        <v>76</v>
      </c>
      <c r="E86" s="82">
        <v>94</v>
      </c>
      <c r="F86" s="82">
        <v>53</v>
      </c>
      <c r="G86" s="381">
        <v>30</v>
      </c>
      <c r="H86" s="81">
        <v>12.28</v>
      </c>
      <c r="I86" s="84">
        <v>11</v>
      </c>
      <c r="J86" s="82">
        <v>41</v>
      </c>
      <c r="K86" s="82">
        <v>4</v>
      </c>
      <c r="L86" s="82">
        <v>8</v>
      </c>
      <c r="M86" s="82">
        <v>1</v>
      </c>
      <c r="N86" s="82"/>
      <c r="O86" s="82">
        <v>1</v>
      </c>
      <c r="P86" s="82">
        <v>35</v>
      </c>
      <c r="Q86" s="82">
        <v>9</v>
      </c>
      <c r="R86" s="82">
        <v>4</v>
      </c>
      <c r="S86" s="82">
        <v>13</v>
      </c>
      <c r="T86" s="82">
        <v>43</v>
      </c>
      <c r="U86" s="82">
        <v>43</v>
      </c>
      <c r="V86" s="82">
        <v>50</v>
      </c>
      <c r="W86" s="36"/>
      <c r="X86" s="1">
        <f t="shared" si="4"/>
        <v>-10</v>
      </c>
      <c r="Y86" s="1">
        <f t="shared" si="5"/>
        <v>0</v>
      </c>
    </row>
    <row r="87" spans="1:25" x14ac:dyDescent="0.25">
      <c r="A87" s="331" t="b">
        <f t="shared" si="3"/>
        <v>1</v>
      </c>
      <c r="B87" s="323">
        <v>2011</v>
      </c>
      <c r="C87" s="310" t="s">
        <v>21</v>
      </c>
      <c r="D87" s="426" t="s">
        <v>77</v>
      </c>
      <c r="E87" s="9">
        <v>244</v>
      </c>
      <c r="F87" s="9">
        <v>114</v>
      </c>
      <c r="G87" s="372">
        <v>50</v>
      </c>
      <c r="H87" s="2">
        <v>12.28</v>
      </c>
      <c r="I87" s="64">
        <v>37</v>
      </c>
      <c r="J87" s="9">
        <v>87</v>
      </c>
      <c r="K87" s="9">
        <v>7</v>
      </c>
      <c r="L87" s="9">
        <v>18</v>
      </c>
      <c r="M87" s="9"/>
      <c r="N87" s="9"/>
      <c r="O87" s="9">
        <v>0</v>
      </c>
      <c r="P87" s="9">
        <v>71</v>
      </c>
      <c r="Q87" s="9">
        <v>6</v>
      </c>
      <c r="R87" s="9">
        <v>2</v>
      </c>
      <c r="S87" s="9">
        <v>8</v>
      </c>
      <c r="T87" s="9">
        <v>104</v>
      </c>
      <c r="U87" s="9">
        <v>103</v>
      </c>
      <c r="V87" s="9">
        <v>110</v>
      </c>
      <c r="W87" s="36"/>
      <c r="X87" s="1">
        <f t="shared" si="4"/>
        <v>-10</v>
      </c>
      <c r="Y87" s="1">
        <f t="shared" si="5"/>
        <v>-1</v>
      </c>
    </row>
    <row r="88" spans="1:25" s="229" customFormat="1" x14ac:dyDescent="0.25">
      <c r="A88" s="331" t="b">
        <f t="shared" si="3"/>
        <v>1</v>
      </c>
      <c r="B88" s="323">
        <v>2011</v>
      </c>
      <c r="C88" s="310" t="s">
        <v>21</v>
      </c>
      <c r="D88" s="427" t="s">
        <v>78</v>
      </c>
      <c r="E88" s="244">
        <v>47</v>
      </c>
      <c r="F88" s="244">
        <v>23</v>
      </c>
      <c r="G88" s="382">
        <v>11</v>
      </c>
      <c r="H88" s="247">
        <v>13</v>
      </c>
      <c r="I88" s="391">
        <v>7</v>
      </c>
      <c r="J88" s="244">
        <v>18</v>
      </c>
      <c r="K88" s="244">
        <v>3</v>
      </c>
      <c r="L88" s="244">
        <v>2</v>
      </c>
      <c r="M88" s="244">
        <v>0</v>
      </c>
      <c r="N88" s="244">
        <v>0</v>
      </c>
      <c r="O88" s="244">
        <v>0</v>
      </c>
      <c r="P88" s="244">
        <v>17</v>
      </c>
      <c r="Q88" s="244">
        <v>3</v>
      </c>
      <c r="R88" s="244">
        <v>0</v>
      </c>
      <c r="S88" s="244">
        <v>3</v>
      </c>
      <c r="T88" s="244">
        <v>21</v>
      </c>
      <c r="U88" s="244">
        <v>21</v>
      </c>
      <c r="V88" s="244">
        <v>23</v>
      </c>
      <c r="W88" s="228"/>
      <c r="X88" s="1">
        <f t="shared" si="4"/>
        <v>-2</v>
      </c>
      <c r="Y88" s="1">
        <f t="shared" si="5"/>
        <v>0</v>
      </c>
    </row>
    <row r="89" spans="1:25" s="229" customFormat="1" x14ac:dyDescent="0.25">
      <c r="A89" s="331" t="b">
        <f t="shared" si="3"/>
        <v>1</v>
      </c>
      <c r="B89" s="323">
        <v>2011</v>
      </c>
      <c r="C89" s="310" t="s">
        <v>21</v>
      </c>
      <c r="D89" s="427" t="s">
        <v>79</v>
      </c>
      <c r="E89" s="245">
        <v>171</v>
      </c>
      <c r="F89" s="244">
        <v>105</v>
      </c>
      <c r="G89" s="383">
        <v>55</v>
      </c>
      <c r="H89" s="304">
        <v>13</v>
      </c>
      <c r="I89" s="392">
        <v>25</v>
      </c>
      <c r="J89" s="245">
        <v>80</v>
      </c>
      <c r="K89" s="245">
        <v>11</v>
      </c>
      <c r="L89" s="245">
        <v>13</v>
      </c>
      <c r="M89" s="245">
        <v>0</v>
      </c>
      <c r="N89" s="245">
        <v>0</v>
      </c>
      <c r="O89" s="245">
        <v>0</v>
      </c>
      <c r="P89" s="244">
        <v>53</v>
      </c>
      <c r="Q89" s="245">
        <v>10</v>
      </c>
      <c r="R89" s="245">
        <v>8</v>
      </c>
      <c r="S89" s="244">
        <v>18</v>
      </c>
      <c r="T89" s="245">
        <v>95</v>
      </c>
      <c r="U89" s="244">
        <v>93</v>
      </c>
      <c r="V89" s="244">
        <v>101</v>
      </c>
      <c r="W89" s="228"/>
      <c r="X89" s="1">
        <f t="shared" si="4"/>
        <v>-10</v>
      </c>
      <c r="Y89" s="1">
        <f t="shared" si="5"/>
        <v>-2</v>
      </c>
    </row>
    <row r="90" spans="1:25" x14ac:dyDescent="0.25">
      <c r="A90" s="331" t="b">
        <f t="shared" si="3"/>
        <v>1</v>
      </c>
      <c r="B90" s="323">
        <v>2011</v>
      </c>
      <c r="C90" s="309" t="s">
        <v>22</v>
      </c>
      <c r="D90" s="422" t="s">
        <v>76</v>
      </c>
      <c r="E90" s="61">
        <v>34</v>
      </c>
      <c r="F90" s="97">
        <v>15</v>
      </c>
      <c r="G90" s="369">
        <v>11</v>
      </c>
      <c r="H90" s="96">
        <v>22</v>
      </c>
      <c r="I90" s="98">
        <v>1</v>
      </c>
      <c r="J90" s="97">
        <v>12</v>
      </c>
      <c r="K90" s="61">
        <v>1</v>
      </c>
      <c r="L90" s="97">
        <v>2</v>
      </c>
      <c r="M90" s="61"/>
      <c r="N90" s="97"/>
      <c r="O90" s="61">
        <v>0</v>
      </c>
      <c r="P90" s="97">
        <v>8</v>
      </c>
      <c r="Q90" s="61">
        <v>1</v>
      </c>
      <c r="R90" s="97"/>
      <c r="S90" s="61">
        <v>1</v>
      </c>
      <c r="T90" s="97">
        <v>14</v>
      </c>
      <c r="U90" s="61">
        <v>14</v>
      </c>
      <c r="V90" s="61">
        <v>13</v>
      </c>
      <c r="W90" s="36"/>
      <c r="X90" s="1">
        <f t="shared" si="4"/>
        <v>-1</v>
      </c>
      <c r="Y90" s="1">
        <f t="shared" si="5"/>
        <v>0</v>
      </c>
    </row>
    <row r="91" spans="1:25" x14ac:dyDescent="0.25">
      <c r="A91" s="331" t="b">
        <f t="shared" si="3"/>
        <v>1</v>
      </c>
      <c r="B91" s="323">
        <v>2011</v>
      </c>
      <c r="C91" s="309" t="s">
        <v>22</v>
      </c>
      <c r="D91" s="423" t="s">
        <v>77</v>
      </c>
      <c r="E91" s="10">
        <v>17</v>
      </c>
      <c r="F91" s="45">
        <v>10</v>
      </c>
      <c r="G91" s="370">
        <v>8</v>
      </c>
      <c r="H91" s="5">
        <v>22</v>
      </c>
      <c r="I91" s="63">
        <v>0</v>
      </c>
      <c r="J91" s="45">
        <v>8</v>
      </c>
      <c r="K91" s="10">
        <v>1</v>
      </c>
      <c r="L91" s="45">
        <v>0</v>
      </c>
      <c r="M91" s="10"/>
      <c r="N91" s="45"/>
      <c r="O91" s="10">
        <v>0</v>
      </c>
      <c r="P91" s="45">
        <v>0</v>
      </c>
      <c r="Q91" s="10">
        <v>2</v>
      </c>
      <c r="R91" s="45"/>
      <c r="S91" s="10">
        <v>2</v>
      </c>
      <c r="T91" s="45">
        <v>10</v>
      </c>
      <c r="U91" s="10">
        <v>10</v>
      </c>
      <c r="V91" s="10">
        <v>9</v>
      </c>
      <c r="W91" s="36"/>
      <c r="X91" s="1">
        <f t="shared" si="4"/>
        <v>0</v>
      </c>
      <c r="Y91" s="1">
        <f t="shared" si="5"/>
        <v>0</v>
      </c>
    </row>
    <row r="92" spans="1:25" s="229" customFormat="1" x14ac:dyDescent="0.25">
      <c r="A92" s="331" t="b">
        <f t="shared" si="3"/>
        <v>1</v>
      </c>
      <c r="B92" s="323">
        <v>2011</v>
      </c>
      <c r="C92" s="309" t="s">
        <v>22</v>
      </c>
      <c r="D92" s="424" t="s">
        <v>78</v>
      </c>
      <c r="E92" s="230">
        <v>6</v>
      </c>
      <c r="F92" s="231">
        <v>3</v>
      </c>
      <c r="G92" s="232"/>
      <c r="H92" s="290"/>
      <c r="I92" s="289"/>
      <c r="J92" s="231"/>
      <c r="K92" s="230"/>
      <c r="L92" s="231"/>
      <c r="M92" s="230"/>
      <c r="N92" s="231"/>
      <c r="O92" s="230"/>
      <c r="P92" s="231"/>
      <c r="Q92" s="230"/>
      <c r="R92" s="231"/>
      <c r="S92" s="230"/>
      <c r="T92" s="231"/>
      <c r="U92" s="230"/>
      <c r="V92" s="230"/>
      <c r="W92" s="233"/>
      <c r="X92" s="1">
        <f t="shared" si="4"/>
        <v>-3</v>
      </c>
      <c r="Y92" s="1">
        <f t="shared" si="5"/>
        <v>0</v>
      </c>
    </row>
    <row r="93" spans="1:25" x14ac:dyDescent="0.25">
      <c r="A93" s="331" t="b">
        <f t="shared" si="3"/>
        <v>1</v>
      </c>
      <c r="B93" s="323">
        <v>2011</v>
      </c>
      <c r="C93" s="309" t="s">
        <v>22</v>
      </c>
      <c r="D93" s="424" t="s">
        <v>79</v>
      </c>
      <c r="E93" s="86">
        <v>7</v>
      </c>
      <c r="F93" s="87">
        <v>5</v>
      </c>
      <c r="G93" s="371">
        <v>4</v>
      </c>
      <c r="H93" s="85"/>
      <c r="I93" s="88">
        <v>1</v>
      </c>
      <c r="J93" s="87">
        <v>5</v>
      </c>
      <c r="K93" s="86">
        <v>0</v>
      </c>
      <c r="L93" s="87">
        <v>0</v>
      </c>
      <c r="M93" s="86"/>
      <c r="N93" s="87"/>
      <c r="O93" s="86">
        <v>0</v>
      </c>
      <c r="P93" s="87">
        <v>1</v>
      </c>
      <c r="Q93" s="86">
        <v>0</v>
      </c>
      <c r="R93" s="87"/>
      <c r="S93" s="86">
        <v>0</v>
      </c>
      <c r="T93" s="87">
        <v>5</v>
      </c>
      <c r="U93" s="86">
        <v>5</v>
      </c>
      <c r="V93" s="86">
        <v>5</v>
      </c>
      <c r="W93" s="36"/>
      <c r="X93" s="1">
        <f t="shared" si="4"/>
        <v>0</v>
      </c>
      <c r="Y93" s="1">
        <f t="shared" si="5"/>
        <v>0</v>
      </c>
    </row>
    <row r="94" spans="1:25" x14ac:dyDescent="0.25">
      <c r="A94" s="331" t="b">
        <f t="shared" si="3"/>
        <v>1</v>
      </c>
      <c r="B94" s="323">
        <v>2011</v>
      </c>
      <c r="C94" s="310" t="s">
        <v>23</v>
      </c>
      <c r="D94" s="425" t="s">
        <v>76</v>
      </c>
      <c r="E94" s="82">
        <v>23</v>
      </c>
      <c r="F94" s="82">
        <v>12</v>
      </c>
      <c r="G94" s="83">
        <v>10</v>
      </c>
      <c r="H94" s="81">
        <v>24.5</v>
      </c>
      <c r="I94" s="84">
        <v>0</v>
      </c>
      <c r="J94" s="82">
        <v>10</v>
      </c>
      <c r="K94" s="82">
        <v>1</v>
      </c>
      <c r="L94" s="82">
        <v>1</v>
      </c>
      <c r="M94" s="82"/>
      <c r="N94" s="82"/>
      <c r="O94" s="82">
        <v>0</v>
      </c>
      <c r="P94" s="82">
        <v>2</v>
      </c>
      <c r="Q94" s="82">
        <v>2</v>
      </c>
      <c r="R94" s="82"/>
      <c r="S94" s="82">
        <v>2</v>
      </c>
      <c r="T94" s="83">
        <v>12</v>
      </c>
      <c r="U94" s="82">
        <v>11</v>
      </c>
      <c r="V94" s="84">
        <v>12</v>
      </c>
      <c r="W94" s="36"/>
      <c r="X94" s="1">
        <f t="shared" si="4"/>
        <v>0</v>
      </c>
      <c r="Y94" s="1">
        <f t="shared" si="5"/>
        <v>-1</v>
      </c>
    </row>
    <row r="95" spans="1:25" x14ac:dyDescent="0.25">
      <c r="A95" s="331" t="b">
        <f t="shared" si="3"/>
        <v>1</v>
      </c>
      <c r="B95" s="323">
        <v>2011</v>
      </c>
      <c r="C95" s="310" t="s">
        <v>23</v>
      </c>
      <c r="D95" s="426" t="s">
        <v>77</v>
      </c>
      <c r="E95" s="9">
        <v>79</v>
      </c>
      <c r="F95" s="9">
        <v>46</v>
      </c>
      <c r="G95" s="49">
        <v>34</v>
      </c>
      <c r="H95" s="2">
        <v>24.5</v>
      </c>
      <c r="I95" s="64">
        <v>4</v>
      </c>
      <c r="J95" s="9">
        <v>38</v>
      </c>
      <c r="K95" s="9">
        <v>2</v>
      </c>
      <c r="L95" s="9">
        <v>1</v>
      </c>
      <c r="M95" s="9">
        <v>1</v>
      </c>
      <c r="N95" s="9"/>
      <c r="O95" s="9">
        <v>1</v>
      </c>
      <c r="P95" s="9">
        <v>8</v>
      </c>
      <c r="Q95" s="9">
        <v>7</v>
      </c>
      <c r="R95" s="9"/>
      <c r="S95" s="9">
        <v>7</v>
      </c>
      <c r="T95" s="49">
        <v>46</v>
      </c>
      <c r="U95" s="9">
        <v>46</v>
      </c>
      <c r="V95" s="64">
        <v>39</v>
      </c>
      <c r="W95" s="36"/>
      <c r="X95" s="1">
        <f t="shared" si="4"/>
        <v>0</v>
      </c>
      <c r="Y95" s="1">
        <f t="shared" si="5"/>
        <v>0</v>
      </c>
    </row>
    <row r="96" spans="1:25" s="229" customFormat="1" x14ac:dyDescent="0.25">
      <c r="A96" s="331" t="b">
        <f t="shared" si="3"/>
        <v>1</v>
      </c>
      <c r="B96" s="323">
        <v>2011</v>
      </c>
      <c r="C96" s="310" t="s">
        <v>23</v>
      </c>
      <c r="D96" s="427" t="s">
        <v>78</v>
      </c>
      <c r="E96" s="114">
        <v>4</v>
      </c>
      <c r="F96" s="114">
        <v>4</v>
      </c>
      <c r="G96" s="384"/>
      <c r="H96" s="227"/>
      <c r="I96" s="116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228"/>
      <c r="X96" s="1">
        <f t="shared" si="4"/>
        <v>-4</v>
      </c>
      <c r="Y96" s="1">
        <f t="shared" si="5"/>
        <v>0</v>
      </c>
    </row>
    <row r="97" spans="1:25" x14ac:dyDescent="0.25">
      <c r="A97" s="331" t="b">
        <f t="shared" si="3"/>
        <v>1</v>
      </c>
      <c r="B97" s="323">
        <v>2011</v>
      </c>
      <c r="C97" s="310" t="s">
        <v>23</v>
      </c>
      <c r="D97" s="427" t="s">
        <v>79</v>
      </c>
      <c r="E97" s="114">
        <v>74</v>
      </c>
      <c r="F97" s="114">
        <v>49</v>
      </c>
      <c r="G97" s="115">
        <v>39</v>
      </c>
      <c r="H97" s="113">
        <v>24.5</v>
      </c>
      <c r="I97" s="116">
        <v>4</v>
      </c>
      <c r="J97" s="114">
        <v>43</v>
      </c>
      <c r="K97" s="114">
        <v>3</v>
      </c>
      <c r="L97" s="114">
        <v>2</v>
      </c>
      <c r="M97" s="114"/>
      <c r="N97" s="114"/>
      <c r="O97" s="114">
        <v>0</v>
      </c>
      <c r="P97" s="114">
        <v>12</v>
      </c>
      <c r="Q97" s="114">
        <v>4</v>
      </c>
      <c r="R97" s="114">
        <v>1</v>
      </c>
      <c r="S97" s="114">
        <v>5</v>
      </c>
      <c r="T97" s="115">
        <v>48</v>
      </c>
      <c r="U97" s="114">
        <v>48</v>
      </c>
      <c r="V97" s="116">
        <v>48</v>
      </c>
      <c r="W97" s="36"/>
      <c r="X97" s="1">
        <f t="shared" si="4"/>
        <v>-1</v>
      </c>
      <c r="Y97" s="1">
        <f t="shared" si="5"/>
        <v>0</v>
      </c>
    </row>
    <row r="98" spans="1:25" x14ac:dyDescent="0.25">
      <c r="A98" s="331" t="b">
        <f t="shared" si="3"/>
        <v>1</v>
      </c>
      <c r="B98" s="408">
        <v>2010</v>
      </c>
      <c r="C98" s="312" t="s">
        <v>17</v>
      </c>
      <c r="D98" s="422" t="s">
        <v>76</v>
      </c>
      <c r="E98" s="7">
        <v>5</v>
      </c>
      <c r="F98" s="7">
        <v>2</v>
      </c>
      <c r="G98" s="109"/>
      <c r="H98" s="29"/>
      <c r="I98" s="110"/>
      <c r="J98" s="275"/>
      <c r="K98" s="7"/>
      <c r="L98" s="109"/>
      <c r="M98" s="7"/>
      <c r="N98" s="109"/>
      <c r="O98" s="7"/>
      <c r="P98" s="109"/>
      <c r="Q98" s="7"/>
      <c r="R98" s="109"/>
      <c r="S98" s="7"/>
      <c r="T98" s="109"/>
      <c r="U98" s="7"/>
      <c r="V98" s="110"/>
      <c r="W98" s="36"/>
      <c r="X98" s="1">
        <f t="shared" si="4"/>
        <v>-2</v>
      </c>
      <c r="Y98" s="1">
        <f t="shared" si="5"/>
        <v>0</v>
      </c>
    </row>
    <row r="99" spans="1:25" x14ac:dyDescent="0.25">
      <c r="A99" s="331" t="b">
        <f t="shared" ref="A99:A162" si="6">C99=C131</f>
        <v>1</v>
      </c>
      <c r="B99" s="408">
        <v>2010</v>
      </c>
      <c r="C99" s="312" t="s">
        <v>17</v>
      </c>
      <c r="D99" s="423" t="s">
        <v>77</v>
      </c>
      <c r="E99" s="8">
        <v>11</v>
      </c>
      <c r="F99" s="8">
        <v>9</v>
      </c>
      <c r="G99" s="385">
        <v>4</v>
      </c>
      <c r="H99" s="3"/>
      <c r="I99" s="66">
        <v>3</v>
      </c>
      <c r="J99" s="51">
        <v>7</v>
      </c>
      <c r="K99" s="8">
        <v>1</v>
      </c>
      <c r="L99" s="51"/>
      <c r="M99" s="8"/>
      <c r="N99" s="51"/>
      <c r="O99" s="8">
        <v>0</v>
      </c>
      <c r="P99" s="51">
        <v>4</v>
      </c>
      <c r="Q99" s="8"/>
      <c r="R99" s="51"/>
      <c r="S99" s="8">
        <v>0</v>
      </c>
      <c r="T99" s="51">
        <v>4</v>
      </c>
      <c r="U99" s="8">
        <v>4</v>
      </c>
      <c r="V99" s="8">
        <v>8</v>
      </c>
      <c r="W99" s="36"/>
      <c r="X99" s="1">
        <f t="shared" ref="X99:X162" si="7">T99-F99</f>
        <v>-5</v>
      </c>
      <c r="Y99" s="1">
        <f t="shared" ref="Y99:Y162" si="8">U99-T99</f>
        <v>0</v>
      </c>
    </row>
    <row r="100" spans="1:25" x14ac:dyDescent="0.25">
      <c r="A100" s="331" t="b">
        <f t="shared" si="6"/>
        <v>1</v>
      </c>
      <c r="B100" s="408">
        <v>2010</v>
      </c>
      <c r="C100" s="312" t="s">
        <v>17</v>
      </c>
      <c r="D100" s="424" t="s">
        <v>78</v>
      </c>
      <c r="E100" s="239">
        <v>27</v>
      </c>
      <c r="F100" s="237">
        <v>24</v>
      </c>
      <c r="G100" s="238">
        <v>6</v>
      </c>
      <c r="H100" s="246">
        <v>24.5</v>
      </c>
      <c r="I100" s="272">
        <v>11</v>
      </c>
      <c r="J100" s="239">
        <v>17</v>
      </c>
      <c r="K100" s="237">
        <v>2</v>
      </c>
      <c r="L100" s="239">
        <v>2</v>
      </c>
      <c r="M100" s="237">
        <v>0</v>
      </c>
      <c r="N100" s="239">
        <v>0</v>
      </c>
      <c r="O100" s="237">
        <v>0</v>
      </c>
      <c r="P100" s="239">
        <v>15</v>
      </c>
      <c r="Q100" s="237">
        <v>0</v>
      </c>
      <c r="R100" s="239">
        <v>0</v>
      </c>
      <c r="S100" s="237">
        <v>0</v>
      </c>
      <c r="T100" s="239">
        <v>2</v>
      </c>
      <c r="U100" s="237">
        <v>2</v>
      </c>
      <c r="V100" s="237">
        <v>19</v>
      </c>
      <c r="W100" s="36"/>
      <c r="X100" s="1">
        <f t="shared" si="7"/>
        <v>-22</v>
      </c>
      <c r="Y100" s="1">
        <f t="shared" si="8"/>
        <v>0</v>
      </c>
    </row>
    <row r="101" spans="1:25" x14ac:dyDescent="0.25">
      <c r="A101" s="331" t="b">
        <f t="shared" si="6"/>
        <v>1</v>
      </c>
      <c r="B101" s="408">
        <v>2010</v>
      </c>
      <c r="C101" s="312" t="s">
        <v>17</v>
      </c>
      <c r="D101" s="424" t="s">
        <v>79</v>
      </c>
      <c r="E101" s="11">
        <v>3</v>
      </c>
      <c r="F101" s="11">
        <v>2</v>
      </c>
      <c r="G101" s="386"/>
      <c r="H101" s="4"/>
      <c r="I101" s="112"/>
      <c r="J101" s="111"/>
      <c r="K101" s="11"/>
      <c r="L101" s="111"/>
      <c r="M101" s="11"/>
      <c r="N101" s="111"/>
      <c r="O101" s="11"/>
      <c r="P101" s="111"/>
      <c r="Q101" s="11"/>
      <c r="R101" s="111"/>
      <c r="S101" s="11"/>
      <c r="T101" s="111"/>
      <c r="U101" s="11"/>
      <c r="V101" s="11"/>
      <c r="W101" s="36"/>
      <c r="X101" s="1">
        <f t="shared" si="7"/>
        <v>-2</v>
      </c>
      <c r="Y101" s="1">
        <f t="shared" si="8"/>
        <v>0</v>
      </c>
    </row>
    <row r="102" spans="1:25" x14ac:dyDescent="0.25">
      <c r="A102" s="331" t="b">
        <f t="shared" si="6"/>
        <v>1</v>
      </c>
      <c r="B102" s="408">
        <v>2010</v>
      </c>
      <c r="C102" s="313" t="s">
        <v>18</v>
      </c>
      <c r="D102" s="425" t="s">
        <v>76</v>
      </c>
      <c r="E102" s="14"/>
      <c r="F102" s="14"/>
      <c r="G102" s="387"/>
      <c r="H102" s="20"/>
      <c r="I102" s="67"/>
      <c r="J102" s="52"/>
      <c r="K102" s="14"/>
      <c r="L102" s="52"/>
      <c r="M102" s="14"/>
      <c r="N102" s="52"/>
      <c r="O102" s="14"/>
      <c r="P102" s="52"/>
      <c r="Q102" s="14"/>
      <c r="R102" s="52"/>
      <c r="S102" s="14"/>
      <c r="T102" s="52"/>
      <c r="U102" s="14"/>
      <c r="V102" s="14"/>
      <c r="W102" s="36"/>
      <c r="X102" s="1">
        <f t="shared" si="7"/>
        <v>0</v>
      </c>
      <c r="Y102" s="1">
        <f t="shared" si="8"/>
        <v>0</v>
      </c>
    </row>
    <row r="103" spans="1:25" x14ac:dyDescent="0.25">
      <c r="A103" s="331" t="b">
        <f t="shared" si="6"/>
        <v>1</v>
      </c>
      <c r="B103" s="408">
        <v>2010</v>
      </c>
      <c r="C103" s="313" t="s">
        <v>18</v>
      </c>
      <c r="D103" s="426" t="s">
        <v>77</v>
      </c>
      <c r="E103" s="14">
        <v>17</v>
      </c>
      <c r="F103" s="14">
        <v>17</v>
      </c>
      <c r="G103" s="387">
        <v>11</v>
      </c>
      <c r="H103" s="20">
        <v>15</v>
      </c>
      <c r="I103" s="67">
        <v>1</v>
      </c>
      <c r="J103" s="52">
        <v>12</v>
      </c>
      <c r="K103" s="14">
        <v>2</v>
      </c>
      <c r="L103" s="52">
        <v>3</v>
      </c>
      <c r="M103" s="14"/>
      <c r="N103" s="52"/>
      <c r="O103" s="14">
        <v>0</v>
      </c>
      <c r="P103" s="52">
        <v>12</v>
      </c>
      <c r="Q103" s="14"/>
      <c r="R103" s="52"/>
      <c r="S103" s="14">
        <v>0</v>
      </c>
      <c r="T103" s="52">
        <v>10</v>
      </c>
      <c r="U103" s="14">
        <v>10</v>
      </c>
      <c r="V103" s="14">
        <v>16</v>
      </c>
      <c r="W103" s="36"/>
      <c r="X103" s="1">
        <f t="shared" si="7"/>
        <v>-7</v>
      </c>
      <c r="Y103" s="1">
        <f t="shared" si="8"/>
        <v>0</v>
      </c>
    </row>
    <row r="104" spans="1:25" x14ac:dyDescent="0.25">
      <c r="A104" s="331" t="b">
        <f t="shared" si="6"/>
        <v>1</v>
      </c>
      <c r="B104" s="408">
        <v>2010</v>
      </c>
      <c r="C104" s="313" t="s">
        <v>18</v>
      </c>
      <c r="D104" s="427" t="s">
        <v>78</v>
      </c>
      <c r="E104" s="122">
        <v>6</v>
      </c>
      <c r="F104" s="122">
        <v>2</v>
      </c>
      <c r="G104" s="388"/>
      <c r="H104" s="305"/>
      <c r="I104" s="124"/>
      <c r="J104" s="123"/>
      <c r="K104" s="122"/>
      <c r="L104" s="123"/>
      <c r="M104" s="122"/>
      <c r="N104" s="123"/>
      <c r="O104" s="122"/>
      <c r="P104" s="123"/>
      <c r="Q104" s="122"/>
      <c r="R104" s="123"/>
      <c r="S104" s="122"/>
      <c r="T104" s="123"/>
      <c r="U104" s="122"/>
      <c r="V104" s="122"/>
      <c r="W104" s="36"/>
      <c r="X104" s="1">
        <f t="shared" si="7"/>
        <v>-2</v>
      </c>
      <c r="Y104" s="1">
        <f t="shared" si="8"/>
        <v>0</v>
      </c>
    </row>
    <row r="105" spans="1:25" x14ac:dyDescent="0.25">
      <c r="A105" s="331" t="b">
        <f t="shared" si="6"/>
        <v>1</v>
      </c>
      <c r="B105" s="408">
        <v>2010</v>
      </c>
      <c r="C105" s="313" t="s">
        <v>18</v>
      </c>
      <c r="D105" s="427" t="s">
        <v>79</v>
      </c>
      <c r="E105" s="122">
        <v>49</v>
      </c>
      <c r="F105" s="122">
        <v>19</v>
      </c>
      <c r="G105" s="122">
        <v>4</v>
      </c>
      <c r="H105" s="393"/>
      <c r="I105" s="122">
        <v>5</v>
      </c>
      <c r="J105" s="123">
        <v>9</v>
      </c>
      <c r="K105" s="122">
        <v>7</v>
      </c>
      <c r="L105" s="123">
        <v>3</v>
      </c>
      <c r="M105" s="122"/>
      <c r="N105" s="123">
        <v>1</v>
      </c>
      <c r="O105" s="122">
        <v>1</v>
      </c>
      <c r="P105" s="123">
        <v>15</v>
      </c>
      <c r="Q105" s="122">
        <v>1</v>
      </c>
      <c r="R105" s="123">
        <v>1</v>
      </c>
      <c r="S105" s="122">
        <v>2</v>
      </c>
      <c r="T105" s="123">
        <v>5</v>
      </c>
      <c r="U105" s="122">
        <v>5</v>
      </c>
      <c r="V105" s="122">
        <v>16</v>
      </c>
      <c r="W105" s="36"/>
      <c r="X105" s="1">
        <f t="shared" si="7"/>
        <v>-14</v>
      </c>
      <c r="Y105" s="1">
        <f t="shared" si="8"/>
        <v>0</v>
      </c>
    </row>
    <row r="106" spans="1:25" x14ac:dyDescent="0.25">
      <c r="A106" s="331" t="b">
        <f t="shared" si="6"/>
        <v>1</v>
      </c>
      <c r="B106" s="408">
        <v>2010</v>
      </c>
      <c r="C106" s="312" t="s">
        <v>19</v>
      </c>
      <c r="D106" s="422" t="s">
        <v>76</v>
      </c>
      <c r="E106" s="7">
        <v>5</v>
      </c>
      <c r="F106" s="7">
        <v>3</v>
      </c>
      <c r="G106" s="7"/>
      <c r="H106" s="29"/>
      <c r="I106" s="7"/>
      <c r="J106" s="109"/>
      <c r="K106" s="7"/>
      <c r="L106" s="109"/>
      <c r="M106" s="7"/>
      <c r="N106" s="109"/>
      <c r="O106" s="7"/>
      <c r="P106" s="109"/>
      <c r="Q106" s="7"/>
      <c r="R106" s="109"/>
      <c r="S106" s="7"/>
      <c r="T106" s="109"/>
      <c r="U106" s="7"/>
      <c r="V106" s="7"/>
      <c r="W106" s="36"/>
      <c r="X106" s="1">
        <f t="shared" si="7"/>
        <v>-3</v>
      </c>
      <c r="Y106" s="1">
        <f t="shared" si="8"/>
        <v>0</v>
      </c>
    </row>
    <row r="107" spans="1:25" x14ac:dyDescent="0.25">
      <c r="A107" s="331" t="b">
        <f t="shared" si="6"/>
        <v>1</v>
      </c>
      <c r="B107" s="408">
        <v>2010</v>
      </c>
      <c r="C107" s="312" t="s">
        <v>19</v>
      </c>
      <c r="D107" s="423" t="s">
        <v>77</v>
      </c>
      <c r="E107" s="8">
        <v>9</v>
      </c>
      <c r="F107" s="8">
        <v>6</v>
      </c>
      <c r="G107" s="8">
        <v>3</v>
      </c>
      <c r="H107" s="3"/>
      <c r="I107" s="8">
        <v>3</v>
      </c>
      <c r="J107" s="51">
        <v>6</v>
      </c>
      <c r="K107" s="8"/>
      <c r="L107" s="51"/>
      <c r="M107" s="8"/>
      <c r="N107" s="51"/>
      <c r="O107" s="8">
        <v>0</v>
      </c>
      <c r="P107" s="51">
        <v>3</v>
      </c>
      <c r="Q107" s="8"/>
      <c r="R107" s="51"/>
      <c r="S107" s="8">
        <v>0</v>
      </c>
      <c r="T107" s="51"/>
      <c r="U107" s="8"/>
      <c r="V107" s="8">
        <v>6</v>
      </c>
      <c r="W107" s="36"/>
      <c r="X107" s="1">
        <f t="shared" si="7"/>
        <v>-6</v>
      </c>
      <c r="Y107" s="1">
        <f t="shared" si="8"/>
        <v>0</v>
      </c>
    </row>
    <row r="108" spans="1:25" x14ac:dyDescent="0.25">
      <c r="A108" s="331" t="b">
        <f t="shared" si="6"/>
        <v>1</v>
      </c>
      <c r="B108" s="408">
        <v>2010</v>
      </c>
      <c r="C108" s="312" t="s">
        <v>19</v>
      </c>
      <c r="D108" s="424" t="s">
        <v>78</v>
      </c>
      <c r="E108" s="239">
        <v>28</v>
      </c>
      <c r="F108" s="237">
        <v>17</v>
      </c>
      <c r="G108" s="237">
        <v>6</v>
      </c>
      <c r="H108" s="246">
        <v>36</v>
      </c>
      <c r="I108" s="237">
        <v>5</v>
      </c>
      <c r="J108" s="239">
        <v>11</v>
      </c>
      <c r="K108" s="237">
        <v>1</v>
      </c>
      <c r="L108" s="239">
        <v>1</v>
      </c>
      <c r="M108" s="237">
        <v>0</v>
      </c>
      <c r="N108" s="239">
        <v>1</v>
      </c>
      <c r="O108" s="237">
        <v>1</v>
      </c>
      <c r="P108" s="239">
        <v>7</v>
      </c>
      <c r="Q108" s="237">
        <v>0</v>
      </c>
      <c r="R108" s="239">
        <v>1</v>
      </c>
      <c r="S108" s="237">
        <v>1</v>
      </c>
      <c r="T108" s="239">
        <v>1</v>
      </c>
      <c r="U108" s="237">
        <v>1</v>
      </c>
      <c r="V108" s="237">
        <v>13</v>
      </c>
      <c r="W108" s="36"/>
      <c r="X108" s="1">
        <f t="shared" si="7"/>
        <v>-16</v>
      </c>
      <c r="Y108" s="1">
        <f t="shared" si="8"/>
        <v>0</v>
      </c>
    </row>
    <row r="109" spans="1:25" x14ac:dyDescent="0.25">
      <c r="A109" s="331" t="b">
        <f t="shared" si="6"/>
        <v>1</v>
      </c>
      <c r="B109" s="408">
        <v>2010</v>
      </c>
      <c r="C109" s="312" t="s">
        <v>19</v>
      </c>
      <c r="D109" s="424" t="s">
        <v>79</v>
      </c>
      <c r="E109" s="11">
        <v>8</v>
      </c>
      <c r="F109" s="11">
        <v>7</v>
      </c>
      <c r="G109" s="11">
        <v>3</v>
      </c>
      <c r="H109" s="274"/>
      <c r="I109" s="11">
        <v>4</v>
      </c>
      <c r="J109" s="111">
        <v>7</v>
      </c>
      <c r="K109" s="11"/>
      <c r="L109" s="111"/>
      <c r="M109" s="11"/>
      <c r="N109" s="111"/>
      <c r="O109" s="11">
        <v>0</v>
      </c>
      <c r="P109" s="111">
        <v>4</v>
      </c>
      <c r="Q109" s="11"/>
      <c r="R109" s="111"/>
      <c r="S109" s="11">
        <v>0</v>
      </c>
      <c r="T109" s="111">
        <v>3</v>
      </c>
      <c r="U109" s="11">
        <v>3</v>
      </c>
      <c r="V109" s="11">
        <v>6</v>
      </c>
      <c r="W109" s="36"/>
      <c r="X109" s="1">
        <f t="shared" si="7"/>
        <v>-4</v>
      </c>
      <c r="Y109" s="1">
        <f t="shared" si="8"/>
        <v>0</v>
      </c>
    </row>
    <row r="110" spans="1:25" x14ac:dyDescent="0.25">
      <c r="A110" s="331" t="b">
        <f t="shared" si="6"/>
        <v>1</v>
      </c>
      <c r="B110" s="408">
        <v>2010</v>
      </c>
      <c r="C110" s="311" t="s">
        <v>24</v>
      </c>
      <c r="D110" s="425" t="s">
        <v>76</v>
      </c>
      <c r="E110" s="93">
        <v>25</v>
      </c>
      <c r="F110" s="93">
        <v>13</v>
      </c>
      <c r="G110" s="95">
        <v>3</v>
      </c>
      <c r="H110" s="92"/>
      <c r="I110" s="93">
        <v>4</v>
      </c>
      <c r="J110" s="93">
        <v>10</v>
      </c>
      <c r="K110" s="93">
        <v>1</v>
      </c>
      <c r="L110" s="93">
        <v>5</v>
      </c>
      <c r="M110" s="93"/>
      <c r="N110" s="93"/>
      <c r="O110" s="93">
        <v>0</v>
      </c>
      <c r="P110" s="93">
        <v>6</v>
      </c>
      <c r="Q110" s="93">
        <v>2</v>
      </c>
      <c r="R110" s="93"/>
      <c r="S110" s="93">
        <v>2</v>
      </c>
      <c r="T110" s="94">
        <v>2</v>
      </c>
      <c r="U110" s="93">
        <v>2</v>
      </c>
      <c r="V110" s="95">
        <v>11</v>
      </c>
      <c r="W110" s="36"/>
      <c r="X110" s="1">
        <f t="shared" si="7"/>
        <v>-11</v>
      </c>
      <c r="Y110" s="1">
        <f t="shared" si="8"/>
        <v>0</v>
      </c>
    </row>
    <row r="111" spans="1:25" x14ac:dyDescent="0.25">
      <c r="A111" s="331" t="b">
        <f t="shared" si="6"/>
        <v>1</v>
      </c>
      <c r="B111" s="408">
        <v>2010</v>
      </c>
      <c r="C111" s="311" t="s">
        <v>24</v>
      </c>
      <c r="D111" s="426" t="s">
        <v>77</v>
      </c>
      <c r="E111" s="15">
        <v>14</v>
      </c>
      <c r="F111" s="15">
        <v>10</v>
      </c>
      <c r="G111" s="65">
        <v>5</v>
      </c>
      <c r="H111" s="19">
        <v>17.5</v>
      </c>
      <c r="I111" s="15">
        <v>3</v>
      </c>
      <c r="J111" s="15">
        <v>8</v>
      </c>
      <c r="K111" s="15">
        <v>1</v>
      </c>
      <c r="L111" s="15">
        <v>1</v>
      </c>
      <c r="M111" s="15"/>
      <c r="N111" s="15">
        <v>1</v>
      </c>
      <c r="O111" s="15">
        <v>1</v>
      </c>
      <c r="P111" s="15">
        <v>2</v>
      </c>
      <c r="Q111" s="15">
        <v>1</v>
      </c>
      <c r="R111" s="15">
        <v>1</v>
      </c>
      <c r="S111" s="15">
        <v>2</v>
      </c>
      <c r="T111" s="50">
        <v>2</v>
      </c>
      <c r="U111" s="15">
        <v>2</v>
      </c>
      <c r="V111" s="65">
        <v>8</v>
      </c>
      <c r="W111" s="36"/>
      <c r="X111" s="1">
        <f t="shared" si="7"/>
        <v>-8</v>
      </c>
      <c r="Y111" s="1">
        <f t="shared" si="8"/>
        <v>0</v>
      </c>
    </row>
    <row r="112" spans="1:25" s="229" customFormat="1" x14ac:dyDescent="0.25">
      <c r="A112" s="331" t="b">
        <f t="shared" si="6"/>
        <v>1</v>
      </c>
      <c r="B112" s="408">
        <v>2010</v>
      </c>
      <c r="C112" s="311" t="s">
        <v>24</v>
      </c>
      <c r="D112" s="427" t="s">
        <v>78</v>
      </c>
      <c r="E112" s="234">
        <v>20</v>
      </c>
      <c r="F112" s="234">
        <v>7</v>
      </c>
      <c r="G112" s="234">
        <v>2</v>
      </c>
      <c r="H112" s="235"/>
      <c r="I112" s="234">
        <v>2</v>
      </c>
      <c r="J112" s="234">
        <v>4</v>
      </c>
      <c r="K112" s="234">
        <v>1</v>
      </c>
      <c r="L112" s="234">
        <v>0</v>
      </c>
      <c r="M112" s="234">
        <v>0</v>
      </c>
      <c r="N112" s="234">
        <v>1</v>
      </c>
      <c r="O112" s="234">
        <v>1</v>
      </c>
      <c r="P112" s="234">
        <v>6</v>
      </c>
      <c r="Q112" s="234">
        <v>0</v>
      </c>
      <c r="R112" s="234">
        <v>1</v>
      </c>
      <c r="S112" s="234">
        <v>1</v>
      </c>
      <c r="T112" s="234">
        <v>2</v>
      </c>
      <c r="U112" s="234">
        <v>2</v>
      </c>
      <c r="V112" s="234">
        <v>4</v>
      </c>
      <c r="W112" s="233"/>
      <c r="X112" s="1">
        <f t="shared" si="7"/>
        <v>-5</v>
      </c>
      <c r="Y112" s="1">
        <f t="shared" si="8"/>
        <v>0</v>
      </c>
    </row>
    <row r="113" spans="1:25" x14ac:dyDescent="0.25">
      <c r="A113" s="331" t="b">
        <f t="shared" si="6"/>
        <v>1</v>
      </c>
      <c r="B113" s="408">
        <v>2010</v>
      </c>
      <c r="C113" s="311" t="s">
        <v>24</v>
      </c>
      <c r="D113" s="427" t="s">
        <v>79</v>
      </c>
      <c r="E113" s="125">
        <v>13</v>
      </c>
      <c r="F113" s="125">
        <v>9</v>
      </c>
      <c r="G113" s="127">
        <v>5</v>
      </c>
      <c r="H113" s="28">
        <v>17.5</v>
      </c>
      <c r="I113" s="125">
        <v>3</v>
      </c>
      <c r="J113" s="125">
        <v>8</v>
      </c>
      <c r="K113" s="125">
        <v>1</v>
      </c>
      <c r="L113" s="125"/>
      <c r="M113" s="125"/>
      <c r="N113" s="125"/>
      <c r="O113" s="125">
        <v>0</v>
      </c>
      <c r="P113" s="125">
        <v>3</v>
      </c>
      <c r="Q113" s="125"/>
      <c r="R113" s="125">
        <v>1</v>
      </c>
      <c r="S113" s="125">
        <v>3</v>
      </c>
      <c r="T113" s="126">
        <v>3</v>
      </c>
      <c r="U113" s="125">
        <v>3</v>
      </c>
      <c r="V113" s="127">
        <v>8</v>
      </c>
      <c r="W113" s="36"/>
      <c r="X113" s="1">
        <f t="shared" si="7"/>
        <v>-6</v>
      </c>
      <c r="Y113" s="1">
        <f t="shared" si="8"/>
        <v>0</v>
      </c>
    </row>
    <row r="114" spans="1:25" x14ac:dyDescent="0.25">
      <c r="A114" s="331" t="b">
        <f t="shared" si="6"/>
        <v>1</v>
      </c>
      <c r="B114" s="408">
        <v>2010</v>
      </c>
      <c r="C114" s="314" t="s">
        <v>20</v>
      </c>
      <c r="D114" s="422" t="s">
        <v>76</v>
      </c>
      <c r="E114" s="129">
        <v>155</v>
      </c>
      <c r="F114" s="129">
        <v>94</v>
      </c>
      <c r="G114" s="131">
        <v>28</v>
      </c>
      <c r="H114" s="128">
        <v>11.75</v>
      </c>
      <c r="I114" s="129">
        <v>45</v>
      </c>
      <c r="J114" s="129">
        <v>73</v>
      </c>
      <c r="K114" s="129">
        <v>7</v>
      </c>
      <c r="L114" s="129">
        <v>14</v>
      </c>
      <c r="M114" s="129"/>
      <c r="N114" s="129">
        <v>2</v>
      </c>
      <c r="O114" s="129">
        <v>2</v>
      </c>
      <c r="P114" s="129">
        <v>50</v>
      </c>
      <c r="Q114" s="129">
        <v>33</v>
      </c>
      <c r="R114" s="129">
        <v>6</v>
      </c>
      <c r="S114" s="129">
        <v>39</v>
      </c>
      <c r="T114" s="130">
        <v>78</v>
      </c>
      <c r="U114" s="129">
        <v>75</v>
      </c>
      <c r="V114" s="131">
        <v>92</v>
      </c>
      <c r="W114" s="36"/>
      <c r="X114" s="1">
        <f t="shared" si="7"/>
        <v>-16</v>
      </c>
      <c r="Y114" s="1">
        <f t="shared" si="8"/>
        <v>-3</v>
      </c>
    </row>
    <row r="115" spans="1:25" x14ac:dyDescent="0.25">
      <c r="A115" s="331" t="b">
        <f t="shared" si="6"/>
        <v>1</v>
      </c>
      <c r="B115" s="408">
        <v>2010</v>
      </c>
      <c r="C115" s="314" t="s">
        <v>20</v>
      </c>
      <c r="D115" s="423" t="s">
        <v>77</v>
      </c>
      <c r="E115" s="16">
        <v>173</v>
      </c>
      <c r="F115" s="16">
        <v>50</v>
      </c>
      <c r="G115" s="68">
        <v>13</v>
      </c>
      <c r="H115" s="30">
        <v>11.75</v>
      </c>
      <c r="I115" s="16">
        <v>20</v>
      </c>
      <c r="J115" s="16">
        <v>33</v>
      </c>
      <c r="K115" s="16">
        <v>7</v>
      </c>
      <c r="L115" s="16">
        <v>10</v>
      </c>
      <c r="M115" s="16"/>
      <c r="N115" s="16">
        <v>2</v>
      </c>
      <c r="O115" s="16">
        <v>2</v>
      </c>
      <c r="P115" s="16">
        <v>34</v>
      </c>
      <c r="Q115" s="16">
        <v>22</v>
      </c>
      <c r="R115" s="16"/>
      <c r="S115" s="16">
        <v>22</v>
      </c>
      <c r="T115" s="53">
        <v>43</v>
      </c>
      <c r="U115" s="16">
        <v>41</v>
      </c>
      <c r="V115" s="68">
        <v>48</v>
      </c>
      <c r="W115" s="36"/>
      <c r="X115" s="1">
        <f t="shared" si="7"/>
        <v>-7</v>
      </c>
      <c r="Y115" s="1">
        <f t="shared" si="8"/>
        <v>-2</v>
      </c>
    </row>
    <row r="116" spans="1:25" x14ac:dyDescent="0.25">
      <c r="A116" s="331" t="b">
        <f t="shared" si="6"/>
        <v>1</v>
      </c>
      <c r="B116" s="408">
        <v>2010</v>
      </c>
      <c r="C116" s="314" t="s">
        <v>20</v>
      </c>
      <c r="D116" s="424" t="s">
        <v>78</v>
      </c>
      <c r="E116" s="238">
        <v>24</v>
      </c>
      <c r="F116" s="238">
        <v>14</v>
      </c>
      <c r="G116" s="238">
        <v>1</v>
      </c>
      <c r="H116" s="240"/>
      <c r="I116" s="238">
        <v>4</v>
      </c>
      <c r="J116" s="238">
        <v>5</v>
      </c>
      <c r="K116" s="238">
        <v>3</v>
      </c>
      <c r="L116" s="238">
        <v>2</v>
      </c>
      <c r="M116" s="238">
        <v>0</v>
      </c>
      <c r="N116" s="238">
        <v>1</v>
      </c>
      <c r="O116" s="237">
        <v>1</v>
      </c>
      <c r="P116" s="272">
        <v>8</v>
      </c>
      <c r="Q116" s="239">
        <v>5</v>
      </c>
      <c r="R116" s="238">
        <v>0</v>
      </c>
      <c r="S116" s="238">
        <v>5</v>
      </c>
      <c r="T116" s="238">
        <v>10</v>
      </c>
      <c r="U116" s="237">
        <v>10</v>
      </c>
      <c r="V116" s="237">
        <v>10</v>
      </c>
      <c r="W116" s="36"/>
      <c r="X116" s="1">
        <f t="shared" si="7"/>
        <v>-4</v>
      </c>
      <c r="Y116" s="1">
        <f t="shared" si="8"/>
        <v>0</v>
      </c>
    </row>
    <row r="117" spans="1:25" x14ac:dyDescent="0.25">
      <c r="A117" s="331" t="b">
        <f t="shared" si="6"/>
        <v>1</v>
      </c>
      <c r="B117" s="408">
        <v>2010</v>
      </c>
      <c r="C117" s="314" t="s">
        <v>20</v>
      </c>
      <c r="D117" s="424" t="s">
        <v>79</v>
      </c>
      <c r="E117" s="17">
        <v>115</v>
      </c>
      <c r="F117" s="17">
        <v>66</v>
      </c>
      <c r="G117" s="134">
        <v>19</v>
      </c>
      <c r="H117" s="132">
        <v>11.75</v>
      </c>
      <c r="I117" s="17">
        <v>31</v>
      </c>
      <c r="J117" s="17">
        <v>50</v>
      </c>
      <c r="K117" s="17">
        <v>15</v>
      </c>
      <c r="L117" s="17"/>
      <c r="M117" s="17"/>
      <c r="N117" s="17"/>
      <c r="O117" s="17">
        <v>0</v>
      </c>
      <c r="P117" s="17">
        <v>29</v>
      </c>
      <c r="Q117" s="17">
        <v>19</v>
      </c>
      <c r="R117" s="17">
        <v>5</v>
      </c>
      <c r="S117" s="17">
        <v>24</v>
      </c>
      <c r="T117" s="133">
        <v>56</v>
      </c>
      <c r="U117" s="17">
        <v>55</v>
      </c>
      <c r="V117" s="134">
        <v>58</v>
      </c>
      <c r="W117" s="36"/>
      <c r="X117" s="1">
        <f t="shared" si="7"/>
        <v>-10</v>
      </c>
      <c r="Y117" s="1">
        <f t="shared" si="8"/>
        <v>-1</v>
      </c>
    </row>
    <row r="118" spans="1:25" x14ac:dyDescent="0.25">
      <c r="A118" s="331" t="b">
        <f t="shared" si="6"/>
        <v>1</v>
      </c>
      <c r="B118" s="408">
        <v>2010</v>
      </c>
      <c r="C118" s="313" t="s">
        <v>21</v>
      </c>
      <c r="D118" s="425" t="s">
        <v>76</v>
      </c>
      <c r="E118" s="118">
        <v>85</v>
      </c>
      <c r="F118" s="118">
        <v>48</v>
      </c>
      <c r="G118" s="120">
        <v>22</v>
      </c>
      <c r="H118" s="117">
        <v>11.5</v>
      </c>
      <c r="I118" s="118">
        <v>16</v>
      </c>
      <c r="J118" s="118">
        <v>38</v>
      </c>
      <c r="K118" s="118">
        <v>4</v>
      </c>
      <c r="L118" s="118">
        <v>5</v>
      </c>
      <c r="M118" s="118"/>
      <c r="N118" s="118">
        <v>1</v>
      </c>
      <c r="O118" s="118">
        <v>1</v>
      </c>
      <c r="P118" s="118">
        <v>32</v>
      </c>
      <c r="Q118" s="118">
        <v>4</v>
      </c>
      <c r="R118" s="118">
        <v>3</v>
      </c>
      <c r="S118" s="118">
        <v>7</v>
      </c>
      <c r="T118" s="119">
        <v>41</v>
      </c>
      <c r="U118" s="118">
        <v>41</v>
      </c>
      <c r="V118" s="120">
        <v>47</v>
      </c>
      <c r="W118" s="36"/>
      <c r="X118" s="1">
        <f t="shared" si="7"/>
        <v>-7</v>
      </c>
      <c r="Y118" s="1">
        <f t="shared" si="8"/>
        <v>0</v>
      </c>
    </row>
    <row r="119" spans="1:25" x14ac:dyDescent="0.25">
      <c r="A119" s="331" t="b">
        <f t="shared" si="6"/>
        <v>1</v>
      </c>
      <c r="B119" s="408">
        <v>2010</v>
      </c>
      <c r="C119" s="313" t="s">
        <v>21</v>
      </c>
      <c r="D119" s="426" t="s">
        <v>77</v>
      </c>
      <c r="E119" s="14">
        <v>375</v>
      </c>
      <c r="F119" s="14">
        <v>161</v>
      </c>
      <c r="G119" s="67">
        <v>67</v>
      </c>
      <c r="H119" s="20">
        <v>11.5</v>
      </c>
      <c r="I119" s="14">
        <v>34</v>
      </c>
      <c r="J119" s="14">
        <v>101</v>
      </c>
      <c r="K119" s="14">
        <v>18</v>
      </c>
      <c r="L119" s="14">
        <v>41</v>
      </c>
      <c r="M119" s="14"/>
      <c r="N119" s="14">
        <v>3</v>
      </c>
      <c r="O119" s="14">
        <v>3</v>
      </c>
      <c r="P119" s="14">
        <v>113</v>
      </c>
      <c r="Q119" s="14">
        <v>7</v>
      </c>
      <c r="R119" s="14">
        <v>10</v>
      </c>
      <c r="S119" s="14">
        <v>17</v>
      </c>
      <c r="T119" s="52">
        <v>146</v>
      </c>
      <c r="U119" s="14">
        <v>144</v>
      </c>
      <c r="V119" s="67">
        <v>159</v>
      </c>
      <c r="W119" s="36"/>
      <c r="X119" s="1">
        <f t="shared" si="7"/>
        <v>-15</v>
      </c>
      <c r="Y119" s="1">
        <f t="shared" si="8"/>
        <v>-2</v>
      </c>
    </row>
    <row r="120" spans="1:25" s="229" customFormat="1" x14ac:dyDescent="0.25">
      <c r="A120" s="331" t="b">
        <f t="shared" si="6"/>
        <v>1</v>
      </c>
      <c r="B120" s="408">
        <v>2010</v>
      </c>
      <c r="C120" s="313" t="s">
        <v>21</v>
      </c>
      <c r="D120" s="427" t="s">
        <v>78</v>
      </c>
      <c r="E120" s="122">
        <v>73</v>
      </c>
      <c r="F120" s="122">
        <v>43</v>
      </c>
      <c r="G120" s="122">
        <v>15</v>
      </c>
      <c r="H120" s="236">
        <v>12</v>
      </c>
      <c r="I120" s="122">
        <v>15</v>
      </c>
      <c r="J120" s="122">
        <v>30</v>
      </c>
      <c r="K120" s="122">
        <v>3</v>
      </c>
      <c r="L120" s="122">
        <v>10</v>
      </c>
      <c r="M120" s="122">
        <v>0</v>
      </c>
      <c r="N120" s="122">
        <v>0</v>
      </c>
      <c r="O120" s="122">
        <v>0</v>
      </c>
      <c r="P120" s="122">
        <v>35</v>
      </c>
      <c r="Q120" s="122">
        <v>1</v>
      </c>
      <c r="R120" s="122">
        <v>2</v>
      </c>
      <c r="S120" s="122">
        <v>3</v>
      </c>
      <c r="T120" s="122">
        <v>33</v>
      </c>
      <c r="U120" s="122">
        <v>33</v>
      </c>
      <c r="V120" s="122">
        <v>40</v>
      </c>
      <c r="W120" s="228"/>
      <c r="X120" s="1">
        <f t="shared" si="7"/>
        <v>-10</v>
      </c>
      <c r="Y120" s="1">
        <f t="shared" si="8"/>
        <v>0</v>
      </c>
    </row>
    <row r="121" spans="1:25" x14ac:dyDescent="0.25">
      <c r="A121" s="331" t="b">
        <f t="shared" si="6"/>
        <v>1</v>
      </c>
      <c r="B121" s="408">
        <v>2010</v>
      </c>
      <c r="C121" s="313" t="s">
        <v>21</v>
      </c>
      <c r="D121" s="427" t="s">
        <v>79</v>
      </c>
      <c r="E121" s="122">
        <v>148</v>
      </c>
      <c r="F121" s="122">
        <v>97</v>
      </c>
      <c r="G121" s="122">
        <v>47</v>
      </c>
      <c r="H121" s="236">
        <v>12</v>
      </c>
      <c r="I121" s="122">
        <v>25</v>
      </c>
      <c r="J121" s="122">
        <v>72</v>
      </c>
      <c r="K121" s="122">
        <v>16</v>
      </c>
      <c r="L121" s="122">
        <v>7</v>
      </c>
      <c r="M121" s="122">
        <v>0</v>
      </c>
      <c r="N121" s="122">
        <v>1</v>
      </c>
      <c r="O121" s="122">
        <v>1</v>
      </c>
      <c r="P121" s="122">
        <v>68</v>
      </c>
      <c r="Q121" s="122">
        <v>21</v>
      </c>
      <c r="R121" s="122">
        <v>10</v>
      </c>
      <c r="S121" s="122">
        <v>31</v>
      </c>
      <c r="T121" s="122">
        <v>85</v>
      </c>
      <c r="U121" s="122">
        <v>85</v>
      </c>
      <c r="V121" s="122">
        <v>94</v>
      </c>
      <c r="W121" s="36"/>
      <c r="X121" s="1">
        <f t="shared" si="7"/>
        <v>-12</v>
      </c>
      <c r="Y121" s="1">
        <f t="shared" si="8"/>
        <v>0</v>
      </c>
    </row>
    <row r="122" spans="1:25" x14ac:dyDescent="0.25">
      <c r="A122" s="331" t="b">
        <f t="shared" si="6"/>
        <v>1</v>
      </c>
      <c r="B122" s="408">
        <v>2010</v>
      </c>
      <c r="C122" s="309" t="s">
        <v>22</v>
      </c>
      <c r="D122" s="422" t="s">
        <v>76</v>
      </c>
      <c r="E122" s="7">
        <v>36</v>
      </c>
      <c r="F122" s="7">
        <v>25</v>
      </c>
      <c r="G122" s="110">
        <v>17</v>
      </c>
      <c r="H122" s="29">
        <v>20</v>
      </c>
      <c r="I122" s="7">
        <v>4</v>
      </c>
      <c r="J122" s="7">
        <v>21</v>
      </c>
      <c r="K122" s="7">
        <v>4</v>
      </c>
      <c r="L122" s="7"/>
      <c r="M122" s="7"/>
      <c r="N122" s="7"/>
      <c r="O122" s="7">
        <v>0</v>
      </c>
      <c r="P122" s="7">
        <v>12</v>
      </c>
      <c r="Q122" s="7">
        <v>3</v>
      </c>
      <c r="R122" s="7"/>
      <c r="S122" s="7">
        <v>3</v>
      </c>
      <c r="T122" s="109">
        <v>23</v>
      </c>
      <c r="U122" s="7">
        <v>22</v>
      </c>
      <c r="V122" s="110">
        <v>24</v>
      </c>
      <c r="W122" s="36"/>
      <c r="X122" s="1">
        <f t="shared" si="7"/>
        <v>-2</v>
      </c>
      <c r="Y122" s="1">
        <f t="shared" si="8"/>
        <v>-1</v>
      </c>
    </row>
    <row r="123" spans="1:25" x14ac:dyDescent="0.25">
      <c r="A123" s="331" t="b">
        <f t="shared" si="6"/>
        <v>1</v>
      </c>
      <c r="B123" s="408">
        <v>2010</v>
      </c>
      <c r="C123" s="309" t="s">
        <v>22</v>
      </c>
      <c r="D123" s="423" t="s">
        <v>77</v>
      </c>
      <c r="E123" s="8">
        <v>10</v>
      </c>
      <c r="F123" s="8">
        <v>8</v>
      </c>
      <c r="G123" s="66">
        <v>5</v>
      </c>
      <c r="H123" s="3">
        <v>20</v>
      </c>
      <c r="I123" s="8"/>
      <c r="J123" s="8">
        <v>5</v>
      </c>
      <c r="K123" s="8">
        <v>1</v>
      </c>
      <c r="L123" s="8">
        <v>2</v>
      </c>
      <c r="M123" s="8"/>
      <c r="N123" s="8"/>
      <c r="O123" s="8">
        <v>0</v>
      </c>
      <c r="P123" s="8">
        <v>3</v>
      </c>
      <c r="Q123" s="8">
        <v>1</v>
      </c>
      <c r="R123" s="8">
        <v>1</v>
      </c>
      <c r="S123" s="8">
        <v>2</v>
      </c>
      <c r="T123" s="51">
        <v>8</v>
      </c>
      <c r="U123" s="8">
        <v>7</v>
      </c>
      <c r="V123" s="66">
        <v>6</v>
      </c>
      <c r="W123" s="36"/>
      <c r="X123" s="1">
        <f t="shared" si="7"/>
        <v>0</v>
      </c>
      <c r="Y123" s="1">
        <f t="shared" si="8"/>
        <v>-1</v>
      </c>
    </row>
    <row r="124" spans="1:25" x14ac:dyDescent="0.25">
      <c r="A124" s="331" t="b">
        <f t="shared" si="6"/>
        <v>1</v>
      </c>
      <c r="B124" s="408">
        <v>2010</v>
      </c>
      <c r="C124" s="309" t="s">
        <v>22</v>
      </c>
      <c r="D124" s="424" t="s">
        <v>78</v>
      </c>
      <c r="E124" s="238">
        <v>4</v>
      </c>
      <c r="F124" s="237">
        <v>2</v>
      </c>
      <c r="G124" s="239"/>
      <c r="H124" s="246"/>
      <c r="I124" s="239"/>
      <c r="J124" s="238"/>
      <c r="K124" s="237"/>
      <c r="L124" s="239"/>
      <c r="M124" s="238"/>
      <c r="N124" s="237"/>
      <c r="O124" s="237"/>
      <c r="P124" s="237"/>
      <c r="Q124" s="237"/>
      <c r="R124" s="239"/>
      <c r="S124" s="237"/>
      <c r="T124" s="239"/>
      <c r="U124" s="238"/>
      <c r="V124" s="238"/>
      <c r="W124" s="36"/>
      <c r="X124" s="1">
        <f t="shared" si="7"/>
        <v>-2</v>
      </c>
      <c r="Y124" s="1">
        <f t="shared" si="8"/>
        <v>0</v>
      </c>
    </row>
    <row r="125" spans="1:25" x14ac:dyDescent="0.25">
      <c r="A125" s="331" t="b">
        <f t="shared" si="6"/>
        <v>1</v>
      </c>
      <c r="B125" s="408">
        <v>2010</v>
      </c>
      <c r="C125" s="309" t="s">
        <v>22</v>
      </c>
      <c r="D125" s="424" t="s">
        <v>79</v>
      </c>
      <c r="E125" s="11">
        <v>6</v>
      </c>
      <c r="F125" s="11">
        <v>5</v>
      </c>
      <c r="G125" s="112">
        <v>2</v>
      </c>
      <c r="H125" s="4"/>
      <c r="I125" s="11">
        <v>2</v>
      </c>
      <c r="J125" s="11">
        <v>4</v>
      </c>
      <c r="K125" s="11">
        <v>1</v>
      </c>
      <c r="L125" s="11"/>
      <c r="M125" s="11"/>
      <c r="N125" s="11"/>
      <c r="O125" s="11">
        <v>0</v>
      </c>
      <c r="P125" s="11">
        <v>4</v>
      </c>
      <c r="Q125" s="11"/>
      <c r="R125" s="11">
        <v>1</v>
      </c>
      <c r="S125" s="11">
        <v>1</v>
      </c>
      <c r="T125" s="111">
        <v>4</v>
      </c>
      <c r="U125" s="11">
        <v>4</v>
      </c>
      <c r="V125" s="112">
        <v>3</v>
      </c>
      <c r="W125" s="36"/>
      <c r="X125" s="1">
        <f t="shared" si="7"/>
        <v>-1</v>
      </c>
      <c r="Y125" s="1">
        <f t="shared" si="8"/>
        <v>0</v>
      </c>
    </row>
    <row r="126" spans="1:25" x14ac:dyDescent="0.25">
      <c r="A126" s="331" t="b">
        <f t="shared" si="6"/>
        <v>1</v>
      </c>
      <c r="B126" s="408">
        <v>2010</v>
      </c>
      <c r="C126" s="310" t="s">
        <v>23</v>
      </c>
      <c r="D126" s="425" t="s">
        <v>76</v>
      </c>
      <c r="E126" s="93">
        <v>24</v>
      </c>
      <c r="F126" s="93">
        <v>14</v>
      </c>
      <c r="G126" s="95">
        <v>10</v>
      </c>
      <c r="H126" s="92">
        <v>24.07</v>
      </c>
      <c r="I126" s="93"/>
      <c r="J126" s="93">
        <v>10</v>
      </c>
      <c r="K126" s="93">
        <v>3</v>
      </c>
      <c r="L126" s="93">
        <v>1</v>
      </c>
      <c r="M126" s="93"/>
      <c r="N126" s="93"/>
      <c r="O126" s="93">
        <v>0</v>
      </c>
      <c r="P126" s="93">
        <v>3</v>
      </c>
      <c r="Q126" s="93">
        <v>2</v>
      </c>
      <c r="R126" s="93"/>
      <c r="S126" s="93">
        <v>2</v>
      </c>
      <c r="T126" s="94">
        <v>14</v>
      </c>
      <c r="U126" s="93">
        <v>12</v>
      </c>
      <c r="V126" s="95">
        <v>12</v>
      </c>
      <c r="W126" s="36"/>
      <c r="X126" s="1">
        <f t="shared" si="7"/>
        <v>0</v>
      </c>
      <c r="Y126" s="1">
        <f t="shared" si="8"/>
        <v>-2</v>
      </c>
    </row>
    <row r="127" spans="1:25" x14ac:dyDescent="0.25">
      <c r="A127" s="331" t="b">
        <f t="shared" si="6"/>
        <v>1</v>
      </c>
      <c r="B127" s="408">
        <v>2010</v>
      </c>
      <c r="C127" s="310" t="s">
        <v>23</v>
      </c>
      <c r="D127" s="426" t="s">
        <v>77</v>
      </c>
      <c r="E127" s="15">
        <v>71</v>
      </c>
      <c r="F127" s="15">
        <v>51</v>
      </c>
      <c r="G127" s="65">
        <v>44</v>
      </c>
      <c r="H127" s="19">
        <v>24.07</v>
      </c>
      <c r="I127" s="15">
        <v>3</v>
      </c>
      <c r="J127" s="15">
        <v>47</v>
      </c>
      <c r="K127" s="15">
        <v>1</v>
      </c>
      <c r="L127" s="15">
        <v>3</v>
      </c>
      <c r="M127" s="15">
        <v>1</v>
      </c>
      <c r="N127" s="15"/>
      <c r="O127" s="15">
        <v>1</v>
      </c>
      <c r="P127" s="15">
        <v>10</v>
      </c>
      <c r="Q127" s="15">
        <v>8</v>
      </c>
      <c r="R127" s="15"/>
      <c r="S127" s="15">
        <v>8</v>
      </c>
      <c r="T127" s="50">
        <v>51</v>
      </c>
      <c r="U127" s="15">
        <v>51</v>
      </c>
      <c r="V127" s="65">
        <v>51</v>
      </c>
      <c r="W127" s="36"/>
      <c r="X127" s="1">
        <f t="shared" si="7"/>
        <v>0</v>
      </c>
      <c r="Y127" s="1">
        <f t="shared" si="8"/>
        <v>0</v>
      </c>
    </row>
    <row r="128" spans="1:25" x14ac:dyDescent="0.25">
      <c r="A128" s="331" t="b">
        <f t="shared" si="6"/>
        <v>1</v>
      </c>
      <c r="B128" s="408">
        <v>2010</v>
      </c>
      <c r="C128" s="310" t="s">
        <v>23</v>
      </c>
      <c r="D128" s="427" t="s">
        <v>78</v>
      </c>
      <c r="E128" s="234">
        <v>2</v>
      </c>
      <c r="F128" s="234">
        <v>2</v>
      </c>
      <c r="G128" s="234"/>
      <c r="H128" s="235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36"/>
      <c r="X128" s="1">
        <f t="shared" si="7"/>
        <v>-2</v>
      </c>
      <c r="Y128" s="1">
        <f t="shared" si="8"/>
        <v>0</v>
      </c>
    </row>
    <row r="129" spans="1:25" x14ac:dyDescent="0.25">
      <c r="A129" s="331" t="b">
        <f t="shared" si="6"/>
        <v>1</v>
      </c>
      <c r="B129" s="408">
        <v>2010</v>
      </c>
      <c r="C129" s="310" t="s">
        <v>23</v>
      </c>
      <c r="D129" s="427" t="s">
        <v>79</v>
      </c>
      <c r="E129" s="125">
        <v>77</v>
      </c>
      <c r="F129" s="125">
        <v>56</v>
      </c>
      <c r="G129" s="127">
        <v>36</v>
      </c>
      <c r="H129" s="28">
        <v>24.07</v>
      </c>
      <c r="I129" s="125">
        <v>17</v>
      </c>
      <c r="J129" s="125">
        <v>53</v>
      </c>
      <c r="K129" s="125">
        <v>3</v>
      </c>
      <c r="L129" s="125"/>
      <c r="M129" s="125"/>
      <c r="N129" s="125">
        <v>4</v>
      </c>
      <c r="O129" s="125">
        <v>4</v>
      </c>
      <c r="P129" s="125">
        <v>14</v>
      </c>
      <c r="Q129" s="125">
        <v>14</v>
      </c>
      <c r="R129" s="125">
        <v>3</v>
      </c>
      <c r="S129" s="125">
        <v>17</v>
      </c>
      <c r="T129" s="126">
        <v>53</v>
      </c>
      <c r="U129" s="125">
        <v>53</v>
      </c>
      <c r="V129" s="127">
        <v>53</v>
      </c>
      <c r="W129" s="36"/>
      <c r="X129" s="1">
        <f t="shared" si="7"/>
        <v>-3</v>
      </c>
      <c r="Y129" s="1">
        <f t="shared" si="8"/>
        <v>0</v>
      </c>
    </row>
    <row r="130" spans="1:25" x14ac:dyDescent="0.25">
      <c r="A130" s="331" t="b">
        <f t="shared" si="6"/>
        <v>1</v>
      </c>
      <c r="B130" s="324">
        <v>2009</v>
      </c>
      <c r="C130" s="313" t="s">
        <v>17</v>
      </c>
      <c r="D130" s="422" t="s">
        <v>76</v>
      </c>
      <c r="E130" s="136">
        <v>12</v>
      </c>
      <c r="F130" s="136">
        <v>10</v>
      </c>
      <c r="G130" s="138">
        <v>4</v>
      </c>
      <c r="H130" s="135"/>
      <c r="I130" s="136">
        <v>3</v>
      </c>
      <c r="J130" s="136">
        <v>7</v>
      </c>
      <c r="K130" s="136">
        <v>3</v>
      </c>
      <c r="L130" s="136"/>
      <c r="M130" s="136"/>
      <c r="N130" s="136"/>
      <c r="O130" s="136"/>
      <c r="P130" s="136">
        <v>2</v>
      </c>
      <c r="Q130" s="136">
        <v>1</v>
      </c>
      <c r="R130" s="136"/>
      <c r="S130" s="136">
        <v>1</v>
      </c>
      <c r="T130" s="137"/>
      <c r="U130" s="136"/>
      <c r="V130" s="138">
        <v>7</v>
      </c>
      <c r="W130" s="36"/>
      <c r="X130" s="1">
        <f t="shared" si="7"/>
        <v>-10</v>
      </c>
      <c r="Y130" s="1">
        <f t="shared" si="8"/>
        <v>0</v>
      </c>
    </row>
    <row r="131" spans="1:25" x14ac:dyDescent="0.25">
      <c r="A131" s="331" t="b">
        <f t="shared" si="6"/>
        <v>1</v>
      </c>
      <c r="B131" s="324">
        <v>2009</v>
      </c>
      <c r="C131" s="313" t="s">
        <v>17</v>
      </c>
      <c r="D131" s="423" t="s">
        <v>77</v>
      </c>
      <c r="E131" s="14">
        <v>11</v>
      </c>
      <c r="F131" s="14">
        <v>9</v>
      </c>
      <c r="G131" s="67">
        <v>3</v>
      </c>
      <c r="H131" s="20"/>
      <c r="I131" s="14">
        <v>2</v>
      </c>
      <c r="J131" s="14">
        <v>5</v>
      </c>
      <c r="K131" s="14">
        <v>2</v>
      </c>
      <c r="L131" s="14">
        <v>2</v>
      </c>
      <c r="M131" s="14"/>
      <c r="N131" s="14"/>
      <c r="O131" s="14"/>
      <c r="P131" s="14">
        <v>4</v>
      </c>
      <c r="Q131" s="14"/>
      <c r="R131" s="14"/>
      <c r="S131" s="14"/>
      <c r="T131" s="52"/>
      <c r="U131" s="14"/>
      <c r="V131" s="67">
        <v>9</v>
      </c>
      <c r="W131" s="36"/>
      <c r="X131" s="1">
        <f t="shared" si="7"/>
        <v>-9</v>
      </c>
      <c r="Y131" s="1">
        <f t="shared" si="8"/>
        <v>0</v>
      </c>
    </row>
    <row r="132" spans="1:25" s="229" customFormat="1" x14ac:dyDescent="0.25">
      <c r="A132" s="331" t="b">
        <f t="shared" si="6"/>
        <v>1</v>
      </c>
      <c r="B132" s="324">
        <v>2009</v>
      </c>
      <c r="C132" s="313" t="s">
        <v>17</v>
      </c>
      <c r="D132" s="424" t="s">
        <v>78</v>
      </c>
      <c r="E132" s="14">
        <v>19</v>
      </c>
      <c r="F132" s="14">
        <v>12</v>
      </c>
      <c r="G132" s="67">
        <v>4</v>
      </c>
      <c r="H132" s="20"/>
      <c r="I132" s="14">
        <v>4</v>
      </c>
      <c r="J132" s="14">
        <v>8</v>
      </c>
      <c r="K132" s="14">
        <v>2</v>
      </c>
      <c r="L132" s="14">
        <v>2</v>
      </c>
      <c r="M132" s="14"/>
      <c r="N132" s="14"/>
      <c r="O132" s="14"/>
      <c r="P132" s="14">
        <v>6</v>
      </c>
      <c r="Q132" s="14"/>
      <c r="R132" s="14"/>
      <c r="S132" s="14"/>
      <c r="T132" s="52">
        <v>1</v>
      </c>
      <c r="U132" s="14">
        <v>1</v>
      </c>
      <c r="V132" s="67">
        <v>12</v>
      </c>
      <c r="W132" s="228"/>
      <c r="X132" s="1">
        <f t="shared" si="7"/>
        <v>-11</v>
      </c>
      <c r="Y132" s="1">
        <f t="shared" si="8"/>
        <v>0</v>
      </c>
    </row>
    <row r="133" spans="1:25" x14ac:dyDescent="0.25">
      <c r="A133" s="331" t="b">
        <f t="shared" si="6"/>
        <v>1</v>
      </c>
      <c r="B133" s="324">
        <v>2009</v>
      </c>
      <c r="C133" s="313" t="s">
        <v>17</v>
      </c>
      <c r="D133" s="424" t="s">
        <v>79</v>
      </c>
      <c r="E133" s="140">
        <v>4</v>
      </c>
      <c r="F133" s="140">
        <v>3</v>
      </c>
      <c r="G133" s="140"/>
      <c r="H133" s="305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36"/>
      <c r="X133" s="1">
        <f t="shared" si="7"/>
        <v>-3</v>
      </c>
      <c r="Y133" s="1">
        <f t="shared" si="8"/>
        <v>0</v>
      </c>
    </row>
    <row r="134" spans="1:25" x14ac:dyDescent="0.25">
      <c r="A134" s="331" t="b">
        <f t="shared" si="6"/>
        <v>1</v>
      </c>
      <c r="B134" s="324">
        <v>2009</v>
      </c>
      <c r="C134" s="312" t="s">
        <v>18</v>
      </c>
      <c r="D134" s="425" t="s">
        <v>76</v>
      </c>
      <c r="E134" s="301"/>
      <c r="F134" s="302"/>
      <c r="G134" s="302"/>
      <c r="H134" s="306"/>
      <c r="I134" s="301"/>
      <c r="J134" s="301"/>
      <c r="K134" s="301"/>
      <c r="L134" s="301"/>
      <c r="M134" s="302"/>
      <c r="N134" s="302"/>
      <c r="O134" s="239"/>
      <c r="P134" s="302"/>
      <c r="Q134" s="239"/>
      <c r="R134" s="301"/>
      <c r="S134" s="301"/>
      <c r="T134" s="301"/>
      <c r="U134" s="301"/>
      <c r="V134" s="302"/>
      <c r="W134" s="36"/>
      <c r="X134" s="1">
        <f t="shared" si="7"/>
        <v>0</v>
      </c>
      <c r="Y134" s="1">
        <f t="shared" si="8"/>
        <v>0</v>
      </c>
    </row>
    <row r="135" spans="1:25" x14ac:dyDescent="0.25">
      <c r="A135" s="331" t="b">
        <f t="shared" si="6"/>
        <v>1</v>
      </c>
      <c r="B135" s="324">
        <v>2009</v>
      </c>
      <c r="C135" s="312" t="s">
        <v>18</v>
      </c>
      <c r="D135" s="426" t="s">
        <v>77</v>
      </c>
      <c r="E135" s="13">
        <v>8</v>
      </c>
      <c r="F135" s="13">
        <v>8</v>
      </c>
      <c r="G135" s="101">
        <v>4</v>
      </c>
      <c r="H135" s="99"/>
      <c r="I135" s="13">
        <v>2</v>
      </c>
      <c r="J135" s="13">
        <v>6</v>
      </c>
      <c r="K135" s="13">
        <v>1</v>
      </c>
      <c r="L135" s="13">
        <v>1</v>
      </c>
      <c r="M135" s="13"/>
      <c r="N135" s="13"/>
      <c r="O135" s="13"/>
      <c r="P135" s="13">
        <v>5</v>
      </c>
      <c r="Q135" s="13"/>
      <c r="R135" s="13"/>
      <c r="S135" s="13"/>
      <c r="T135" s="100">
        <v>2</v>
      </c>
      <c r="U135" s="13">
        <v>2</v>
      </c>
      <c r="V135" s="101">
        <v>8</v>
      </c>
      <c r="W135" s="36"/>
      <c r="X135" s="1">
        <f t="shared" si="7"/>
        <v>-6</v>
      </c>
      <c r="Y135" s="1">
        <f t="shared" si="8"/>
        <v>0</v>
      </c>
    </row>
    <row r="136" spans="1:25" x14ac:dyDescent="0.25">
      <c r="A136" s="331" t="b">
        <f t="shared" si="6"/>
        <v>1</v>
      </c>
      <c r="B136" s="324">
        <v>2009</v>
      </c>
      <c r="C136" s="312" t="s">
        <v>18</v>
      </c>
      <c r="D136" s="427" t="s">
        <v>78</v>
      </c>
      <c r="E136" s="298"/>
      <c r="F136" s="298"/>
      <c r="G136" s="299"/>
      <c r="H136" s="300"/>
      <c r="I136" s="298"/>
      <c r="J136" s="298"/>
      <c r="K136" s="298"/>
      <c r="L136" s="298"/>
      <c r="M136" s="298"/>
      <c r="N136" s="298"/>
      <c r="O136" s="298"/>
      <c r="P136" s="298"/>
      <c r="Q136" s="298"/>
      <c r="R136" s="298"/>
      <c r="S136" s="298"/>
      <c r="T136" s="273"/>
      <c r="U136" s="298"/>
      <c r="V136" s="299"/>
      <c r="W136" s="36"/>
      <c r="X136" s="1">
        <f t="shared" si="7"/>
        <v>0</v>
      </c>
      <c r="Y136" s="1">
        <f t="shared" si="8"/>
        <v>0</v>
      </c>
    </row>
    <row r="137" spans="1:25" x14ac:dyDescent="0.25">
      <c r="A137" s="331" t="b">
        <f t="shared" si="6"/>
        <v>1</v>
      </c>
      <c r="B137" s="324">
        <v>2009</v>
      </c>
      <c r="C137" s="312" t="s">
        <v>18</v>
      </c>
      <c r="D137" s="427" t="s">
        <v>79</v>
      </c>
      <c r="E137" s="12">
        <v>51</v>
      </c>
      <c r="F137" s="12">
        <v>20</v>
      </c>
      <c r="G137" s="145">
        <v>9</v>
      </c>
      <c r="H137" s="143">
        <v>16</v>
      </c>
      <c r="I137" s="12">
        <v>8</v>
      </c>
      <c r="J137" s="12">
        <v>17</v>
      </c>
      <c r="K137" s="12">
        <v>2</v>
      </c>
      <c r="L137" s="12">
        <v>1</v>
      </c>
      <c r="M137" s="12"/>
      <c r="N137" s="12">
        <v>1</v>
      </c>
      <c r="O137" s="12">
        <v>1</v>
      </c>
      <c r="P137" s="12">
        <v>6</v>
      </c>
      <c r="Q137" s="12">
        <v>1</v>
      </c>
      <c r="R137" s="12">
        <v>3</v>
      </c>
      <c r="S137" s="12">
        <v>4</v>
      </c>
      <c r="T137" s="144">
        <v>10</v>
      </c>
      <c r="U137" s="12">
        <v>10</v>
      </c>
      <c r="V137" s="145">
        <v>19</v>
      </c>
      <c r="W137" s="36"/>
      <c r="X137" s="1">
        <f t="shared" si="7"/>
        <v>-10</v>
      </c>
      <c r="Y137" s="1">
        <f t="shared" si="8"/>
        <v>0</v>
      </c>
    </row>
    <row r="138" spans="1:25" x14ac:dyDescent="0.25">
      <c r="A138" s="331" t="b">
        <f t="shared" si="6"/>
        <v>1</v>
      </c>
      <c r="B138" s="324">
        <v>2009</v>
      </c>
      <c r="C138" s="313" t="s">
        <v>19</v>
      </c>
      <c r="D138" s="422" t="s">
        <v>76</v>
      </c>
      <c r="E138" s="136">
        <v>2</v>
      </c>
      <c r="F138" s="136">
        <v>2</v>
      </c>
      <c r="G138" s="138"/>
      <c r="H138" s="135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7"/>
      <c r="U138" s="136"/>
      <c r="V138" s="138"/>
      <c r="W138" s="36"/>
      <c r="X138" s="1">
        <f t="shared" si="7"/>
        <v>-2</v>
      </c>
      <c r="Y138" s="1">
        <f t="shared" si="8"/>
        <v>0</v>
      </c>
    </row>
    <row r="139" spans="1:25" x14ac:dyDescent="0.25">
      <c r="A139" s="331" t="b">
        <f t="shared" si="6"/>
        <v>1</v>
      </c>
      <c r="B139" s="324">
        <v>2009</v>
      </c>
      <c r="C139" s="313" t="s">
        <v>19</v>
      </c>
      <c r="D139" s="423" t="s">
        <v>77</v>
      </c>
      <c r="E139" s="14">
        <v>2</v>
      </c>
      <c r="F139" s="14">
        <v>2</v>
      </c>
      <c r="G139" s="67"/>
      <c r="H139" s="20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52"/>
      <c r="U139" s="14"/>
      <c r="V139" s="67"/>
      <c r="W139" s="36"/>
      <c r="X139" s="1">
        <f t="shared" si="7"/>
        <v>-2</v>
      </c>
      <c r="Y139" s="1">
        <f t="shared" si="8"/>
        <v>0</v>
      </c>
    </row>
    <row r="140" spans="1:25" x14ac:dyDescent="0.25">
      <c r="A140" s="331" t="b">
        <f t="shared" si="6"/>
        <v>1</v>
      </c>
      <c r="B140" s="324">
        <v>2009</v>
      </c>
      <c r="C140" s="313" t="s">
        <v>19</v>
      </c>
      <c r="D140" s="424" t="s">
        <v>78</v>
      </c>
      <c r="E140" s="14">
        <v>10</v>
      </c>
      <c r="F140" s="14">
        <v>8</v>
      </c>
      <c r="G140" s="67">
        <v>3</v>
      </c>
      <c r="H140" s="20"/>
      <c r="I140" s="14">
        <v>1</v>
      </c>
      <c r="J140" s="14">
        <v>4</v>
      </c>
      <c r="K140" s="14">
        <v>3</v>
      </c>
      <c r="L140" s="14">
        <v>1</v>
      </c>
      <c r="M140" s="14"/>
      <c r="N140" s="14"/>
      <c r="O140" s="14"/>
      <c r="P140" s="14">
        <v>3</v>
      </c>
      <c r="Q140" s="14"/>
      <c r="R140" s="14"/>
      <c r="S140" s="14"/>
      <c r="T140" s="52"/>
      <c r="U140" s="14"/>
      <c r="V140" s="67">
        <v>7</v>
      </c>
      <c r="W140" s="36"/>
      <c r="X140" s="1">
        <f t="shared" si="7"/>
        <v>-8</v>
      </c>
      <c r="Y140" s="1">
        <f t="shared" si="8"/>
        <v>0</v>
      </c>
    </row>
    <row r="141" spans="1:25" x14ac:dyDescent="0.25">
      <c r="A141" s="331" t="b">
        <f t="shared" si="6"/>
        <v>1</v>
      </c>
      <c r="B141" s="324">
        <v>2009</v>
      </c>
      <c r="C141" s="313" t="s">
        <v>19</v>
      </c>
      <c r="D141" s="424" t="s">
        <v>79</v>
      </c>
      <c r="E141" s="140">
        <v>2</v>
      </c>
      <c r="F141" s="140">
        <v>2</v>
      </c>
      <c r="G141" s="142"/>
      <c r="H141" s="139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1"/>
      <c r="U141" s="140"/>
      <c r="V141" s="142"/>
      <c r="W141" s="36"/>
      <c r="X141" s="1">
        <f t="shared" si="7"/>
        <v>-2</v>
      </c>
      <c r="Y141" s="1">
        <f t="shared" si="8"/>
        <v>0</v>
      </c>
    </row>
    <row r="142" spans="1:25" x14ac:dyDescent="0.25">
      <c r="A142" s="331" t="b">
        <f t="shared" si="6"/>
        <v>1</v>
      </c>
      <c r="B142" s="324">
        <v>2009</v>
      </c>
      <c r="C142" s="312" t="s">
        <v>24</v>
      </c>
      <c r="D142" s="425" t="s">
        <v>76</v>
      </c>
      <c r="E142" s="13">
        <v>11</v>
      </c>
      <c r="F142" s="13">
        <v>7</v>
      </c>
      <c r="G142" s="101">
        <v>2</v>
      </c>
      <c r="H142" s="99"/>
      <c r="I142" s="13">
        <v>1</v>
      </c>
      <c r="J142" s="13">
        <v>3</v>
      </c>
      <c r="K142" s="13"/>
      <c r="L142" s="13">
        <v>4</v>
      </c>
      <c r="M142" s="13">
        <v>1</v>
      </c>
      <c r="N142" s="13"/>
      <c r="O142" s="13">
        <v>1</v>
      </c>
      <c r="P142" s="13">
        <v>3</v>
      </c>
      <c r="Q142" s="13"/>
      <c r="R142" s="13"/>
      <c r="S142" s="13"/>
      <c r="T142" s="100"/>
      <c r="U142" s="13"/>
      <c r="V142" s="101">
        <v>7</v>
      </c>
      <c r="W142" s="36"/>
      <c r="X142" s="1">
        <f t="shared" si="7"/>
        <v>-7</v>
      </c>
      <c r="Y142" s="1">
        <f t="shared" si="8"/>
        <v>0</v>
      </c>
    </row>
    <row r="143" spans="1:25" x14ac:dyDescent="0.25">
      <c r="A143" s="331" t="b">
        <f t="shared" si="6"/>
        <v>1</v>
      </c>
      <c r="B143" s="324">
        <v>2009</v>
      </c>
      <c r="C143" s="312" t="s">
        <v>24</v>
      </c>
      <c r="D143" s="426" t="s">
        <v>77</v>
      </c>
      <c r="E143" s="8">
        <v>19</v>
      </c>
      <c r="F143" s="8">
        <v>9</v>
      </c>
      <c r="G143" s="66">
        <v>3</v>
      </c>
      <c r="H143" s="3"/>
      <c r="I143" s="8">
        <v>2</v>
      </c>
      <c r="J143" s="8">
        <v>5</v>
      </c>
      <c r="K143" s="8">
        <v>2</v>
      </c>
      <c r="L143" s="8">
        <v>1</v>
      </c>
      <c r="M143" s="8">
        <v>1</v>
      </c>
      <c r="N143" s="8"/>
      <c r="O143" s="8">
        <v>1</v>
      </c>
      <c r="P143" s="8">
        <v>4</v>
      </c>
      <c r="Q143" s="8">
        <v>1</v>
      </c>
      <c r="R143" s="8"/>
      <c r="S143" s="8">
        <v>1</v>
      </c>
      <c r="T143" s="51">
        <v>2</v>
      </c>
      <c r="U143" s="8">
        <v>2</v>
      </c>
      <c r="V143" s="66">
        <v>7</v>
      </c>
      <c r="W143" s="36"/>
      <c r="X143" s="1">
        <f t="shared" si="7"/>
        <v>-7</v>
      </c>
      <c r="Y143" s="1">
        <f t="shared" si="8"/>
        <v>0</v>
      </c>
    </row>
    <row r="144" spans="1:25" s="229" customFormat="1" x14ac:dyDescent="0.25">
      <c r="A144" s="331" t="b">
        <f t="shared" si="6"/>
        <v>1</v>
      </c>
      <c r="B144" s="324">
        <v>2009</v>
      </c>
      <c r="C144" s="312" t="s">
        <v>24</v>
      </c>
      <c r="D144" s="427" t="s">
        <v>78</v>
      </c>
      <c r="E144" s="238">
        <v>12</v>
      </c>
      <c r="F144" s="238">
        <v>11</v>
      </c>
      <c r="G144" s="238">
        <v>2</v>
      </c>
      <c r="H144" s="240"/>
      <c r="I144" s="237">
        <v>7</v>
      </c>
      <c r="J144" s="239">
        <v>9</v>
      </c>
      <c r="K144" s="238">
        <v>1</v>
      </c>
      <c r="L144" s="238">
        <v>0</v>
      </c>
      <c r="M144" s="238">
        <v>0</v>
      </c>
      <c r="N144" s="238">
        <v>0</v>
      </c>
      <c r="O144" s="238">
        <v>0</v>
      </c>
      <c r="P144" s="238">
        <v>5</v>
      </c>
      <c r="Q144" s="238">
        <v>2</v>
      </c>
      <c r="R144" s="238">
        <v>0</v>
      </c>
      <c r="S144" s="238">
        <v>2</v>
      </c>
      <c r="T144" s="238">
        <v>1</v>
      </c>
      <c r="U144" s="238">
        <v>1</v>
      </c>
      <c r="V144" s="238">
        <v>10</v>
      </c>
      <c r="W144" s="233"/>
      <c r="X144" s="1">
        <f t="shared" si="7"/>
        <v>-10</v>
      </c>
      <c r="Y144" s="1">
        <f t="shared" si="8"/>
        <v>0</v>
      </c>
    </row>
    <row r="145" spans="1:25" x14ac:dyDescent="0.25">
      <c r="A145" s="331" t="b">
        <f t="shared" si="6"/>
        <v>1</v>
      </c>
      <c r="B145" s="324">
        <v>2009</v>
      </c>
      <c r="C145" s="312" t="s">
        <v>24</v>
      </c>
      <c r="D145" s="427" t="s">
        <v>79</v>
      </c>
      <c r="E145" s="12">
        <v>18</v>
      </c>
      <c r="F145" s="12">
        <v>7</v>
      </c>
      <c r="G145" s="145">
        <v>3</v>
      </c>
      <c r="H145" s="143"/>
      <c r="I145" s="12">
        <v>2</v>
      </c>
      <c r="J145" s="12">
        <v>5</v>
      </c>
      <c r="K145" s="12">
        <v>1</v>
      </c>
      <c r="L145" s="12">
        <v>2</v>
      </c>
      <c r="M145" s="12"/>
      <c r="N145" s="12"/>
      <c r="O145" s="12"/>
      <c r="P145" s="12">
        <v>6</v>
      </c>
      <c r="Q145" s="12"/>
      <c r="R145" s="12"/>
      <c r="S145" s="12"/>
      <c r="T145" s="144">
        <v>3</v>
      </c>
      <c r="U145" s="12">
        <v>2</v>
      </c>
      <c r="V145" s="145">
        <v>7</v>
      </c>
      <c r="W145" s="36"/>
      <c r="X145" s="1">
        <f t="shared" si="7"/>
        <v>-4</v>
      </c>
      <c r="Y145" s="1">
        <f t="shared" si="8"/>
        <v>-1</v>
      </c>
    </row>
    <row r="146" spans="1:25" x14ac:dyDescent="0.25">
      <c r="A146" s="331" t="b">
        <f t="shared" si="6"/>
        <v>1</v>
      </c>
      <c r="B146" s="324">
        <v>2009</v>
      </c>
      <c r="C146" s="315" t="s">
        <v>20</v>
      </c>
      <c r="D146" s="422" t="s">
        <v>76</v>
      </c>
      <c r="E146" s="136">
        <v>144</v>
      </c>
      <c r="F146" s="136">
        <v>112</v>
      </c>
      <c r="G146" s="138">
        <v>33</v>
      </c>
      <c r="H146" s="135">
        <v>13</v>
      </c>
      <c r="I146" s="136">
        <v>48</v>
      </c>
      <c r="J146" s="136">
        <v>81</v>
      </c>
      <c r="K146" s="136">
        <v>17</v>
      </c>
      <c r="L146" s="136">
        <v>14</v>
      </c>
      <c r="M146" s="136">
        <v>1</v>
      </c>
      <c r="N146" s="136">
        <v>1</v>
      </c>
      <c r="O146" s="136">
        <v>2</v>
      </c>
      <c r="P146" s="136">
        <v>68</v>
      </c>
      <c r="Q146" s="136">
        <v>30</v>
      </c>
      <c r="R146" s="136">
        <v>9</v>
      </c>
      <c r="S146" s="136">
        <v>39</v>
      </c>
      <c r="T146" s="137">
        <v>92</v>
      </c>
      <c r="U146" s="136">
        <v>87</v>
      </c>
      <c r="V146" s="138">
        <v>107</v>
      </c>
      <c r="W146" s="36"/>
      <c r="X146" s="1">
        <f t="shared" si="7"/>
        <v>-20</v>
      </c>
      <c r="Y146" s="1">
        <f t="shared" si="8"/>
        <v>-5</v>
      </c>
    </row>
    <row r="147" spans="1:25" x14ac:dyDescent="0.25">
      <c r="A147" s="331" t="b">
        <f t="shared" si="6"/>
        <v>1</v>
      </c>
      <c r="B147" s="324">
        <v>2009</v>
      </c>
      <c r="C147" s="313" t="s">
        <v>20</v>
      </c>
      <c r="D147" s="423" t="s">
        <v>77</v>
      </c>
      <c r="E147" s="14">
        <v>148</v>
      </c>
      <c r="F147" s="14">
        <v>89</v>
      </c>
      <c r="G147" s="67">
        <v>42</v>
      </c>
      <c r="H147" s="20">
        <v>12.5</v>
      </c>
      <c r="I147" s="14">
        <v>33</v>
      </c>
      <c r="J147" s="14">
        <v>75</v>
      </c>
      <c r="K147" s="14">
        <v>1</v>
      </c>
      <c r="L147" s="14">
        <v>13</v>
      </c>
      <c r="M147" s="14">
        <v>3</v>
      </c>
      <c r="N147" s="14">
        <v>3</v>
      </c>
      <c r="O147" s="14">
        <v>6</v>
      </c>
      <c r="P147" s="14">
        <v>58</v>
      </c>
      <c r="Q147" s="14">
        <v>34</v>
      </c>
      <c r="R147" s="14">
        <v>2</v>
      </c>
      <c r="S147" s="14">
        <v>36</v>
      </c>
      <c r="T147" s="52">
        <v>68</v>
      </c>
      <c r="U147" s="14">
        <v>60</v>
      </c>
      <c r="V147" s="67">
        <v>87</v>
      </c>
      <c r="W147" s="36"/>
      <c r="X147" s="1">
        <f t="shared" si="7"/>
        <v>-21</v>
      </c>
      <c r="Y147" s="1">
        <f t="shared" si="8"/>
        <v>-8</v>
      </c>
    </row>
    <row r="148" spans="1:25" s="229" customFormat="1" x14ac:dyDescent="0.25">
      <c r="A148" s="331" t="b">
        <f t="shared" si="6"/>
        <v>1</v>
      </c>
      <c r="B148" s="324">
        <v>2009</v>
      </c>
      <c r="C148" s="313" t="s">
        <v>20</v>
      </c>
      <c r="D148" s="424" t="s">
        <v>78</v>
      </c>
      <c r="E148" s="14">
        <v>1</v>
      </c>
      <c r="F148" s="14">
        <v>1</v>
      </c>
      <c r="G148" s="67"/>
      <c r="H148" s="20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52"/>
      <c r="U148" s="14"/>
      <c r="V148" s="67"/>
      <c r="W148" s="228"/>
      <c r="X148" s="1">
        <f t="shared" si="7"/>
        <v>-1</v>
      </c>
      <c r="Y148" s="1">
        <f t="shared" si="8"/>
        <v>0</v>
      </c>
    </row>
    <row r="149" spans="1:25" x14ac:dyDescent="0.25">
      <c r="A149" s="331" t="b">
        <f t="shared" si="6"/>
        <v>1</v>
      </c>
      <c r="B149" s="324">
        <v>2009</v>
      </c>
      <c r="C149" s="313" t="s">
        <v>20</v>
      </c>
      <c r="D149" s="424" t="s">
        <v>79</v>
      </c>
      <c r="E149" s="140">
        <v>94</v>
      </c>
      <c r="F149" s="140">
        <v>51</v>
      </c>
      <c r="G149" s="142">
        <v>17</v>
      </c>
      <c r="H149" s="139">
        <v>16</v>
      </c>
      <c r="I149" s="140">
        <v>24</v>
      </c>
      <c r="J149" s="140">
        <v>41</v>
      </c>
      <c r="K149" s="140">
        <v>5</v>
      </c>
      <c r="L149" s="140">
        <v>5</v>
      </c>
      <c r="M149" s="140">
        <v>2</v>
      </c>
      <c r="N149" s="140">
        <v>2</v>
      </c>
      <c r="O149" s="140">
        <v>4</v>
      </c>
      <c r="P149" s="140">
        <v>29</v>
      </c>
      <c r="Q149" s="140">
        <v>13</v>
      </c>
      <c r="R149" s="140">
        <v>1</v>
      </c>
      <c r="S149" s="140">
        <v>14</v>
      </c>
      <c r="T149" s="141">
        <v>43</v>
      </c>
      <c r="U149" s="140">
        <v>40</v>
      </c>
      <c r="V149" s="142">
        <v>49</v>
      </c>
      <c r="W149" s="36"/>
      <c r="X149" s="1">
        <f t="shared" si="7"/>
        <v>-8</v>
      </c>
      <c r="Y149" s="1">
        <f t="shared" si="8"/>
        <v>-3</v>
      </c>
    </row>
    <row r="150" spans="1:25" x14ac:dyDescent="0.25">
      <c r="A150" s="331" t="b">
        <f t="shared" si="6"/>
        <v>1</v>
      </c>
      <c r="B150" s="324">
        <v>2009</v>
      </c>
      <c r="C150" s="312" t="s">
        <v>21</v>
      </c>
      <c r="D150" s="425" t="s">
        <v>76</v>
      </c>
      <c r="E150" s="13">
        <v>84</v>
      </c>
      <c r="F150" s="13">
        <v>67</v>
      </c>
      <c r="G150" s="101">
        <v>40</v>
      </c>
      <c r="H150" s="99">
        <v>13</v>
      </c>
      <c r="I150" s="13">
        <v>14</v>
      </c>
      <c r="J150" s="13">
        <v>54</v>
      </c>
      <c r="K150" s="13">
        <v>4</v>
      </c>
      <c r="L150" s="13">
        <v>9</v>
      </c>
      <c r="M150" s="13">
        <v>1</v>
      </c>
      <c r="N150" s="13">
        <v>1</v>
      </c>
      <c r="O150" s="13">
        <v>2</v>
      </c>
      <c r="P150" s="13">
        <v>42</v>
      </c>
      <c r="Q150" s="13">
        <v>7</v>
      </c>
      <c r="R150" s="13">
        <v>6</v>
      </c>
      <c r="S150" s="13">
        <v>13</v>
      </c>
      <c r="T150" s="100">
        <v>59</v>
      </c>
      <c r="U150" s="13">
        <v>58</v>
      </c>
      <c r="V150" s="101">
        <v>64</v>
      </c>
      <c r="W150" s="36"/>
      <c r="X150" s="1">
        <f t="shared" si="7"/>
        <v>-8</v>
      </c>
      <c r="Y150" s="1">
        <f t="shared" si="8"/>
        <v>-1</v>
      </c>
    </row>
    <row r="151" spans="1:25" x14ac:dyDescent="0.25">
      <c r="A151" s="331" t="b">
        <f t="shared" si="6"/>
        <v>1</v>
      </c>
      <c r="B151" s="324">
        <v>2009</v>
      </c>
      <c r="C151" s="312" t="s">
        <v>21</v>
      </c>
      <c r="D151" s="426" t="s">
        <v>77</v>
      </c>
      <c r="E151" s="8">
        <v>309</v>
      </c>
      <c r="F151" s="8">
        <v>106</v>
      </c>
      <c r="G151" s="66">
        <v>44</v>
      </c>
      <c r="H151" s="3">
        <v>12</v>
      </c>
      <c r="I151" s="8">
        <v>23</v>
      </c>
      <c r="J151" s="8">
        <v>67</v>
      </c>
      <c r="K151" s="8">
        <v>13</v>
      </c>
      <c r="L151" s="8">
        <v>26</v>
      </c>
      <c r="M151" s="8"/>
      <c r="N151" s="8"/>
      <c r="O151" s="8"/>
      <c r="P151" s="8">
        <v>74</v>
      </c>
      <c r="Q151" s="8">
        <v>7</v>
      </c>
      <c r="R151" s="8">
        <v>8</v>
      </c>
      <c r="S151" s="8">
        <v>15</v>
      </c>
      <c r="T151" s="51">
        <v>93</v>
      </c>
      <c r="U151" s="8">
        <v>93</v>
      </c>
      <c r="V151" s="66">
        <v>101</v>
      </c>
      <c r="W151" s="36"/>
      <c r="X151" s="1">
        <f t="shared" si="7"/>
        <v>-13</v>
      </c>
      <c r="Y151" s="1">
        <f t="shared" si="8"/>
        <v>0</v>
      </c>
    </row>
    <row r="152" spans="1:25" s="229" customFormat="1" x14ac:dyDescent="0.25">
      <c r="A152" s="331" t="b">
        <f t="shared" si="6"/>
        <v>1</v>
      </c>
      <c r="B152" s="324">
        <v>2009</v>
      </c>
      <c r="C152" s="312" t="s">
        <v>21</v>
      </c>
      <c r="D152" s="427" t="s">
        <v>78</v>
      </c>
      <c r="E152" s="238">
        <v>14</v>
      </c>
      <c r="F152" s="238">
        <v>8</v>
      </c>
      <c r="G152" s="237">
        <v>3</v>
      </c>
      <c r="H152" s="246"/>
      <c r="I152" s="237">
        <v>1</v>
      </c>
      <c r="J152" s="237">
        <v>4</v>
      </c>
      <c r="K152" s="239">
        <v>1</v>
      </c>
      <c r="L152" s="237">
        <v>0</v>
      </c>
      <c r="M152" s="272">
        <v>0</v>
      </c>
      <c r="N152" s="237">
        <v>0</v>
      </c>
      <c r="O152" s="237">
        <v>0</v>
      </c>
      <c r="P152" s="239">
        <v>2</v>
      </c>
      <c r="Q152" s="237">
        <v>1</v>
      </c>
      <c r="R152" s="237">
        <v>0</v>
      </c>
      <c r="S152" s="239">
        <v>1</v>
      </c>
      <c r="T152" s="237">
        <v>4</v>
      </c>
      <c r="U152" s="237">
        <v>4</v>
      </c>
      <c r="V152" s="237">
        <v>5</v>
      </c>
      <c r="W152" s="233"/>
      <c r="X152" s="1">
        <f t="shared" si="7"/>
        <v>-4</v>
      </c>
      <c r="Y152" s="1">
        <f t="shared" si="8"/>
        <v>0</v>
      </c>
    </row>
    <row r="153" spans="1:25" x14ac:dyDescent="0.25">
      <c r="A153" s="331" t="b">
        <f t="shared" si="6"/>
        <v>1</v>
      </c>
      <c r="B153" s="324">
        <v>2009</v>
      </c>
      <c r="C153" s="312" t="s">
        <v>21</v>
      </c>
      <c r="D153" s="427" t="s">
        <v>79</v>
      </c>
      <c r="E153" s="12">
        <v>196</v>
      </c>
      <c r="F153" s="12">
        <v>106</v>
      </c>
      <c r="G153" s="145">
        <v>52</v>
      </c>
      <c r="H153" s="143">
        <v>13</v>
      </c>
      <c r="I153" s="12">
        <v>30</v>
      </c>
      <c r="J153" s="12">
        <v>82</v>
      </c>
      <c r="K153" s="12">
        <v>12</v>
      </c>
      <c r="L153" s="12">
        <v>11</v>
      </c>
      <c r="M153" s="12"/>
      <c r="N153" s="12"/>
      <c r="O153" s="12"/>
      <c r="P153" s="12">
        <v>65</v>
      </c>
      <c r="Q153" s="12">
        <v>11</v>
      </c>
      <c r="R153" s="12">
        <v>6</v>
      </c>
      <c r="S153" s="12">
        <v>17</v>
      </c>
      <c r="T153" s="144">
        <v>94</v>
      </c>
      <c r="U153" s="12">
        <v>92</v>
      </c>
      <c r="V153" s="145">
        <v>99</v>
      </c>
      <c r="W153" s="36"/>
      <c r="X153" s="1">
        <f t="shared" si="7"/>
        <v>-12</v>
      </c>
      <c r="Y153" s="1">
        <f t="shared" si="8"/>
        <v>-2</v>
      </c>
    </row>
    <row r="154" spans="1:25" x14ac:dyDescent="0.25">
      <c r="A154" s="331" t="b">
        <f t="shared" si="6"/>
        <v>1</v>
      </c>
      <c r="B154" s="324">
        <v>2009</v>
      </c>
      <c r="C154" s="313" t="s">
        <v>22</v>
      </c>
      <c r="D154" s="422" t="s">
        <v>76</v>
      </c>
      <c r="E154" s="136">
        <v>52</v>
      </c>
      <c r="F154" s="136">
        <v>45</v>
      </c>
      <c r="G154" s="138">
        <v>24</v>
      </c>
      <c r="H154" s="135">
        <v>18.240000000000002</v>
      </c>
      <c r="I154" s="136">
        <v>7</v>
      </c>
      <c r="J154" s="136">
        <v>31</v>
      </c>
      <c r="K154" s="136">
        <v>7</v>
      </c>
      <c r="L154" s="136">
        <v>7</v>
      </c>
      <c r="M154" s="136"/>
      <c r="N154" s="136"/>
      <c r="O154" s="136"/>
      <c r="P154" s="136">
        <v>25</v>
      </c>
      <c r="Q154" s="136">
        <v>4</v>
      </c>
      <c r="R154" s="136">
        <v>2</v>
      </c>
      <c r="S154" s="136">
        <v>6</v>
      </c>
      <c r="T154" s="137">
        <v>41</v>
      </c>
      <c r="U154" s="136">
        <v>40</v>
      </c>
      <c r="V154" s="138">
        <v>40</v>
      </c>
      <c r="W154" s="36"/>
      <c r="X154" s="1">
        <f t="shared" si="7"/>
        <v>-4</v>
      </c>
      <c r="Y154" s="1">
        <f t="shared" si="8"/>
        <v>-1</v>
      </c>
    </row>
    <row r="155" spans="1:25" x14ac:dyDescent="0.25">
      <c r="A155" s="331" t="b">
        <f t="shared" si="6"/>
        <v>1</v>
      </c>
      <c r="B155" s="324">
        <v>2009</v>
      </c>
      <c r="C155" s="313" t="s">
        <v>22</v>
      </c>
      <c r="D155" s="423" t="s">
        <v>77</v>
      </c>
      <c r="E155" s="14">
        <v>11</v>
      </c>
      <c r="F155" s="14">
        <v>7</v>
      </c>
      <c r="G155" s="67">
        <v>4</v>
      </c>
      <c r="H155" s="20"/>
      <c r="I155" s="14">
        <v>2</v>
      </c>
      <c r="J155" s="14">
        <v>6</v>
      </c>
      <c r="K155" s="14">
        <v>1</v>
      </c>
      <c r="L155" s="14"/>
      <c r="M155" s="14"/>
      <c r="N155" s="14">
        <v>1</v>
      </c>
      <c r="O155" s="14">
        <v>1</v>
      </c>
      <c r="P155" s="14">
        <v>1</v>
      </c>
      <c r="Q155" s="14">
        <v>2</v>
      </c>
      <c r="R155" s="14">
        <v>1</v>
      </c>
      <c r="S155" s="14">
        <v>3</v>
      </c>
      <c r="T155" s="52">
        <v>6</v>
      </c>
      <c r="U155" s="14">
        <v>6</v>
      </c>
      <c r="V155" s="67">
        <v>6</v>
      </c>
      <c r="W155" s="36"/>
      <c r="X155" s="1">
        <f t="shared" si="7"/>
        <v>-1</v>
      </c>
      <c r="Y155" s="1">
        <f t="shared" si="8"/>
        <v>0</v>
      </c>
    </row>
    <row r="156" spans="1:25" s="229" customFormat="1" x14ac:dyDescent="0.25">
      <c r="A156" s="331" t="b">
        <f t="shared" si="6"/>
        <v>1</v>
      </c>
      <c r="B156" s="324">
        <v>2009</v>
      </c>
      <c r="C156" s="313" t="s">
        <v>22</v>
      </c>
      <c r="D156" s="424" t="s">
        <v>78</v>
      </c>
      <c r="E156" s="122"/>
      <c r="F156" s="122"/>
      <c r="G156" s="124"/>
      <c r="H156" s="121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3"/>
      <c r="U156" s="122"/>
      <c r="V156" s="124"/>
      <c r="W156" s="228"/>
      <c r="X156" s="1">
        <f t="shared" si="7"/>
        <v>0</v>
      </c>
      <c r="Y156" s="1">
        <f t="shared" si="8"/>
        <v>0</v>
      </c>
    </row>
    <row r="157" spans="1:25" x14ac:dyDescent="0.25">
      <c r="A157" s="331" t="b">
        <f t="shared" si="6"/>
        <v>1</v>
      </c>
      <c r="B157" s="324">
        <v>2009</v>
      </c>
      <c r="C157" s="313" t="s">
        <v>22</v>
      </c>
      <c r="D157" s="424" t="s">
        <v>79</v>
      </c>
      <c r="E157" s="140">
        <v>1</v>
      </c>
      <c r="F157" s="140"/>
      <c r="G157" s="142"/>
      <c r="H157" s="139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1"/>
      <c r="U157" s="140"/>
      <c r="V157" s="142"/>
      <c r="W157" s="36"/>
      <c r="X157" s="1">
        <f t="shared" si="7"/>
        <v>0</v>
      </c>
      <c r="Y157" s="1">
        <f t="shared" si="8"/>
        <v>0</v>
      </c>
    </row>
    <row r="158" spans="1:25" x14ac:dyDescent="0.25">
      <c r="A158" s="331" t="b">
        <f t="shared" si="6"/>
        <v>1</v>
      </c>
      <c r="B158" s="324">
        <v>2009</v>
      </c>
      <c r="C158" s="314" t="s">
        <v>23</v>
      </c>
      <c r="D158" s="425" t="s">
        <v>76</v>
      </c>
      <c r="E158" s="147">
        <v>20</v>
      </c>
      <c r="F158" s="147">
        <v>13</v>
      </c>
      <c r="G158" s="149">
        <v>11</v>
      </c>
      <c r="H158" s="146">
        <v>25.475000000000001</v>
      </c>
      <c r="I158" s="147">
        <v>1</v>
      </c>
      <c r="J158" s="147">
        <v>12</v>
      </c>
      <c r="K158" s="147">
        <v>1</v>
      </c>
      <c r="L158" s="147"/>
      <c r="M158" s="147"/>
      <c r="N158" s="147"/>
      <c r="O158" s="147"/>
      <c r="P158" s="147">
        <v>4</v>
      </c>
      <c r="Q158" s="147">
        <v>1</v>
      </c>
      <c r="R158" s="147">
        <v>2</v>
      </c>
      <c r="S158" s="147">
        <v>3</v>
      </c>
      <c r="T158" s="148">
        <v>13</v>
      </c>
      <c r="U158" s="147">
        <v>12</v>
      </c>
      <c r="V158" s="149">
        <v>13</v>
      </c>
      <c r="W158" s="36"/>
      <c r="X158" s="1">
        <f t="shared" si="7"/>
        <v>0</v>
      </c>
      <c r="Y158" s="1">
        <f t="shared" si="8"/>
        <v>-1</v>
      </c>
    </row>
    <row r="159" spans="1:25" x14ac:dyDescent="0.25">
      <c r="A159" s="331" t="b">
        <f t="shared" si="6"/>
        <v>1</v>
      </c>
      <c r="B159" s="324">
        <v>2009</v>
      </c>
      <c r="C159" s="314" t="s">
        <v>23</v>
      </c>
      <c r="D159" s="426" t="s">
        <v>77</v>
      </c>
      <c r="E159" s="16">
        <v>85</v>
      </c>
      <c r="F159" s="16">
        <v>51</v>
      </c>
      <c r="G159" s="68">
        <v>46</v>
      </c>
      <c r="H159" s="30">
        <v>24.175000000000001</v>
      </c>
      <c r="I159" s="16">
        <v>2</v>
      </c>
      <c r="J159" s="16">
        <v>48</v>
      </c>
      <c r="K159" s="16">
        <v>2</v>
      </c>
      <c r="L159" s="16">
        <v>1</v>
      </c>
      <c r="M159" s="16"/>
      <c r="N159" s="16">
        <v>1</v>
      </c>
      <c r="O159" s="16">
        <v>1</v>
      </c>
      <c r="P159" s="16">
        <v>6</v>
      </c>
      <c r="Q159" s="16">
        <v>5</v>
      </c>
      <c r="R159" s="16">
        <v>6</v>
      </c>
      <c r="S159" s="16">
        <v>11</v>
      </c>
      <c r="T159" s="53">
        <v>51</v>
      </c>
      <c r="U159" s="16">
        <v>51</v>
      </c>
      <c r="V159" s="68">
        <v>49</v>
      </c>
      <c r="W159" s="36"/>
      <c r="X159" s="1">
        <f t="shared" si="7"/>
        <v>0</v>
      </c>
      <c r="Y159" s="1">
        <f t="shared" si="8"/>
        <v>0</v>
      </c>
    </row>
    <row r="160" spans="1:25" s="229" customFormat="1" x14ac:dyDescent="0.25">
      <c r="A160" s="331" t="b">
        <f t="shared" si="6"/>
        <v>1</v>
      </c>
      <c r="B160" s="324">
        <v>2009</v>
      </c>
      <c r="C160" s="314" t="s">
        <v>23</v>
      </c>
      <c r="D160" s="427" t="s">
        <v>78</v>
      </c>
      <c r="E160" s="151"/>
      <c r="F160" s="151"/>
      <c r="G160" s="151"/>
      <c r="H160" s="150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233"/>
      <c r="X160" s="1">
        <f t="shared" si="7"/>
        <v>0</v>
      </c>
      <c r="Y160" s="1">
        <f t="shared" si="8"/>
        <v>0</v>
      </c>
    </row>
    <row r="161" spans="1:25" x14ac:dyDescent="0.25">
      <c r="A161" s="331" t="b">
        <f t="shared" si="6"/>
        <v>1</v>
      </c>
      <c r="B161" s="324">
        <v>2009</v>
      </c>
      <c r="C161" s="314" t="s">
        <v>23</v>
      </c>
      <c r="D161" s="427" t="s">
        <v>79</v>
      </c>
      <c r="E161" s="151">
        <v>69</v>
      </c>
      <c r="F161" s="151">
        <v>42</v>
      </c>
      <c r="G161" s="153">
        <v>34</v>
      </c>
      <c r="H161" s="150">
        <v>25</v>
      </c>
      <c r="I161" s="151">
        <v>4</v>
      </c>
      <c r="J161" s="151">
        <v>38</v>
      </c>
      <c r="K161" s="151">
        <v>3</v>
      </c>
      <c r="L161" s="151">
        <v>1</v>
      </c>
      <c r="M161" s="151"/>
      <c r="N161" s="151"/>
      <c r="O161" s="151"/>
      <c r="P161" s="151">
        <v>10</v>
      </c>
      <c r="Q161" s="151">
        <v>3</v>
      </c>
      <c r="R161" s="151"/>
      <c r="S161" s="151">
        <v>3</v>
      </c>
      <c r="T161" s="152">
        <v>42</v>
      </c>
      <c r="U161" s="151">
        <v>42</v>
      </c>
      <c r="V161" s="153">
        <v>41</v>
      </c>
      <c r="W161" s="36"/>
      <c r="X161" s="1">
        <f t="shared" si="7"/>
        <v>0</v>
      </c>
      <c r="Y161" s="1">
        <f t="shared" si="8"/>
        <v>0</v>
      </c>
    </row>
    <row r="162" spans="1:25" x14ac:dyDescent="0.25">
      <c r="A162" s="331" t="b">
        <f t="shared" si="6"/>
        <v>1</v>
      </c>
      <c r="B162" s="409">
        <v>2008</v>
      </c>
      <c r="C162" s="316" t="s">
        <v>17</v>
      </c>
      <c r="D162" s="422" t="s">
        <v>76</v>
      </c>
      <c r="E162" s="102">
        <v>7</v>
      </c>
      <c r="F162" s="102">
        <v>7</v>
      </c>
      <c r="G162" s="104">
        <v>6</v>
      </c>
      <c r="H162" s="18">
        <v>14.75</v>
      </c>
      <c r="I162" s="102">
        <v>1</v>
      </c>
      <c r="J162" s="102">
        <v>7</v>
      </c>
      <c r="K162" s="102">
        <v>0</v>
      </c>
      <c r="L162" s="102">
        <v>0</v>
      </c>
      <c r="M162" s="102">
        <v>0</v>
      </c>
      <c r="N162" s="102">
        <v>0</v>
      </c>
      <c r="O162" s="102">
        <v>0</v>
      </c>
      <c r="P162" s="102">
        <v>3</v>
      </c>
      <c r="Q162" s="102">
        <v>0</v>
      </c>
      <c r="R162" s="102">
        <v>1</v>
      </c>
      <c r="S162" s="102">
        <v>1</v>
      </c>
      <c r="T162" s="103">
        <v>0</v>
      </c>
      <c r="U162" s="102">
        <v>0</v>
      </c>
      <c r="V162" s="104">
        <v>6</v>
      </c>
      <c r="W162" s="36"/>
      <c r="X162" s="1">
        <f t="shared" si="7"/>
        <v>-7</v>
      </c>
      <c r="Y162" s="1">
        <f t="shared" si="8"/>
        <v>0</v>
      </c>
    </row>
    <row r="163" spans="1:25" x14ac:dyDescent="0.25">
      <c r="A163" s="331" t="b">
        <f t="shared" ref="A163:A193" si="9">C163=C195</f>
        <v>1</v>
      </c>
      <c r="B163" s="409">
        <v>2008</v>
      </c>
      <c r="C163" s="316" t="s">
        <v>17</v>
      </c>
      <c r="D163" s="423" t="s">
        <v>77</v>
      </c>
      <c r="E163" s="15">
        <v>14</v>
      </c>
      <c r="F163" s="15">
        <v>12</v>
      </c>
      <c r="G163" s="65">
        <v>5</v>
      </c>
      <c r="H163" s="19"/>
      <c r="I163" s="15">
        <v>2</v>
      </c>
      <c r="J163" s="15">
        <v>7</v>
      </c>
      <c r="K163" s="15">
        <v>2</v>
      </c>
      <c r="L163" s="15">
        <v>3</v>
      </c>
      <c r="M163" s="15">
        <v>0</v>
      </c>
      <c r="N163" s="15">
        <v>0</v>
      </c>
      <c r="O163" s="15">
        <v>0</v>
      </c>
      <c r="P163" s="15">
        <v>4</v>
      </c>
      <c r="Q163" s="15">
        <v>1</v>
      </c>
      <c r="R163" s="15">
        <v>0</v>
      </c>
      <c r="S163" s="15">
        <v>1</v>
      </c>
      <c r="T163" s="50">
        <v>0</v>
      </c>
      <c r="U163" s="15">
        <v>0</v>
      </c>
      <c r="V163" s="65">
        <v>11</v>
      </c>
      <c r="W163" s="36"/>
      <c r="X163" s="1">
        <f t="shared" ref="X163:X225" si="10">T163-F163</f>
        <v>-12</v>
      </c>
      <c r="Y163" s="1">
        <f t="shared" ref="Y163:Y225" si="11">U163-T163</f>
        <v>0</v>
      </c>
    </row>
    <row r="164" spans="1:25" s="229" customFormat="1" x14ac:dyDescent="0.25">
      <c r="A164" s="331" t="b">
        <f t="shared" si="9"/>
        <v>1</v>
      </c>
      <c r="B164" s="409">
        <v>2008</v>
      </c>
      <c r="C164" s="316" t="s">
        <v>17</v>
      </c>
      <c r="D164" s="424" t="s">
        <v>78</v>
      </c>
      <c r="E164" s="234">
        <v>30</v>
      </c>
      <c r="F164" s="234">
        <v>20</v>
      </c>
      <c r="G164" s="234">
        <v>10</v>
      </c>
      <c r="H164" s="235">
        <v>17.25</v>
      </c>
      <c r="I164" s="234">
        <v>4</v>
      </c>
      <c r="J164" s="234">
        <v>14</v>
      </c>
      <c r="K164" s="234">
        <v>1</v>
      </c>
      <c r="L164" s="234">
        <v>1</v>
      </c>
      <c r="M164" s="234">
        <v>0</v>
      </c>
      <c r="N164" s="234">
        <v>0</v>
      </c>
      <c r="O164" s="234">
        <v>0</v>
      </c>
      <c r="P164" s="234">
        <v>1</v>
      </c>
      <c r="Q164" s="234">
        <v>1</v>
      </c>
      <c r="R164" s="234">
        <v>0</v>
      </c>
      <c r="S164" s="234">
        <v>1</v>
      </c>
      <c r="T164" s="234">
        <v>0</v>
      </c>
      <c r="U164" s="234">
        <v>0</v>
      </c>
      <c r="V164" s="234">
        <v>16</v>
      </c>
      <c r="W164" s="228"/>
      <c r="X164" s="1">
        <f t="shared" si="10"/>
        <v>-20</v>
      </c>
      <c r="Y164" s="1">
        <f t="shared" si="11"/>
        <v>0</v>
      </c>
    </row>
    <row r="165" spans="1:25" x14ac:dyDescent="0.25">
      <c r="A165" s="331" t="b">
        <f t="shared" si="9"/>
        <v>1</v>
      </c>
      <c r="B165" s="409">
        <v>2008</v>
      </c>
      <c r="C165" s="316" t="s">
        <v>17</v>
      </c>
      <c r="D165" s="424" t="s">
        <v>79</v>
      </c>
      <c r="E165" s="106">
        <v>5</v>
      </c>
      <c r="F165" s="106">
        <v>4</v>
      </c>
      <c r="G165" s="108"/>
      <c r="H165" s="105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7"/>
      <c r="U165" s="106"/>
      <c r="V165" s="108"/>
      <c r="W165" s="36"/>
      <c r="X165" s="1">
        <f t="shared" si="10"/>
        <v>-4</v>
      </c>
      <c r="Y165" s="1">
        <f t="shared" si="11"/>
        <v>0</v>
      </c>
    </row>
    <row r="166" spans="1:25" x14ac:dyDescent="0.25">
      <c r="A166" s="331" t="b">
        <f t="shared" si="9"/>
        <v>1</v>
      </c>
      <c r="B166" s="409">
        <v>2008</v>
      </c>
      <c r="C166" s="317" t="s">
        <v>18</v>
      </c>
      <c r="D166" s="425" t="s">
        <v>76</v>
      </c>
      <c r="E166" s="155">
        <v>2</v>
      </c>
      <c r="F166" s="155">
        <v>1</v>
      </c>
      <c r="G166" s="158"/>
      <c r="H166" s="154"/>
      <c r="I166" s="155"/>
      <c r="J166" s="155"/>
      <c r="K166" s="155"/>
      <c r="L166" s="155"/>
      <c r="M166" s="156"/>
      <c r="N166" s="156"/>
      <c r="O166" s="156"/>
      <c r="P166" s="155"/>
      <c r="Q166" s="156"/>
      <c r="R166" s="156"/>
      <c r="S166" s="156"/>
      <c r="T166" s="157"/>
      <c r="U166" s="156"/>
      <c r="V166" s="158"/>
      <c r="W166" s="36"/>
      <c r="X166" s="1">
        <f t="shared" si="10"/>
        <v>-1</v>
      </c>
      <c r="Y166" s="1">
        <f t="shared" si="11"/>
        <v>0</v>
      </c>
    </row>
    <row r="167" spans="1:25" x14ac:dyDescent="0.25">
      <c r="A167" s="331" t="b">
        <f t="shared" si="9"/>
        <v>1</v>
      </c>
      <c r="B167" s="409">
        <v>2008</v>
      </c>
      <c r="C167" s="317" t="s">
        <v>18</v>
      </c>
      <c r="D167" s="426" t="s">
        <v>77</v>
      </c>
      <c r="E167" s="37">
        <v>8</v>
      </c>
      <c r="F167" s="37">
        <v>5</v>
      </c>
      <c r="G167" s="69">
        <v>4</v>
      </c>
      <c r="H167" s="31"/>
      <c r="I167" s="37">
        <v>1</v>
      </c>
      <c r="J167" s="37">
        <v>5</v>
      </c>
      <c r="K167" s="37">
        <v>0</v>
      </c>
      <c r="L167" s="37">
        <v>0</v>
      </c>
      <c r="M167" s="46">
        <v>0</v>
      </c>
      <c r="N167" s="46">
        <v>0</v>
      </c>
      <c r="O167" s="46">
        <v>0</v>
      </c>
      <c r="P167" s="37">
        <v>0</v>
      </c>
      <c r="Q167" s="46">
        <v>0</v>
      </c>
      <c r="R167" s="46">
        <v>0</v>
      </c>
      <c r="S167" s="46">
        <v>0</v>
      </c>
      <c r="T167" s="54">
        <v>1</v>
      </c>
      <c r="U167" s="46">
        <v>1</v>
      </c>
      <c r="V167" s="69">
        <v>5</v>
      </c>
      <c r="W167" s="36"/>
      <c r="X167" s="1">
        <f t="shared" si="10"/>
        <v>-4</v>
      </c>
      <c r="Y167" s="1">
        <f t="shared" si="11"/>
        <v>0</v>
      </c>
    </row>
    <row r="168" spans="1:25" s="229" customFormat="1" x14ac:dyDescent="0.25">
      <c r="A168" s="331" t="b">
        <f t="shared" si="9"/>
        <v>1</v>
      </c>
      <c r="B168" s="409">
        <v>2008</v>
      </c>
      <c r="C168" s="317" t="s">
        <v>18</v>
      </c>
      <c r="D168" s="427" t="s">
        <v>78</v>
      </c>
      <c r="E168" s="37">
        <v>2</v>
      </c>
      <c r="F168" s="37">
        <v>2</v>
      </c>
      <c r="G168" s="69"/>
      <c r="H168" s="31"/>
      <c r="I168" s="37"/>
      <c r="J168" s="37"/>
      <c r="K168" s="37"/>
      <c r="L168" s="37"/>
      <c r="M168" s="46"/>
      <c r="N168" s="46"/>
      <c r="O168" s="46"/>
      <c r="P168" s="37"/>
      <c r="Q168" s="46"/>
      <c r="R168" s="46"/>
      <c r="S168" s="46"/>
      <c r="T168" s="54"/>
      <c r="U168" s="46"/>
      <c r="V168" s="69"/>
      <c r="W168" s="228"/>
      <c r="X168" s="1">
        <f t="shared" si="10"/>
        <v>-2</v>
      </c>
      <c r="Y168" s="1">
        <f t="shared" si="11"/>
        <v>0</v>
      </c>
    </row>
    <row r="169" spans="1:25" x14ac:dyDescent="0.25">
      <c r="A169" s="331" t="b">
        <f t="shared" si="9"/>
        <v>1</v>
      </c>
      <c r="B169" s="409">
        <v>2008</v>
      </c>
      <c r="C169" s="317" t="s">
        <v>18</v>
      </c>
      <c r="D169" s="427" t="s">
        <v>79</v>
      </c>
      <c r="E169" s="160">
        <v>8</v>
      </c>
      <c r="F169" s="160">
        <v>2</v>
      </c>
      <c r="G169" s="163"/>
      <c r="H169" s="159"/>
      <c r="I169" s="160"/>
      <c r="J169" s="160"/>
      <c r="K169" s="160"/>
      <c r="L169" s="160"/>
      <c r="M169" s="161"/>
      <c r="N169" s="161"/>
      <c r="O169" s="161"/>
      <c r="P169" s="160"/>
      <c r="Q169" s="161"/>
      <c r="R169" s="161"/>
      <c r="S169" s="161"/>
      <c r="T169" s="162"/>
      <c r="U169" s="161"/>
      <c r="V169" s="163"/>
      <c r="W169" s="36"/>
      <c r="X169" s="1">
        <f t="shared" si="10"/>
        <v>-2</v>
      </c>
      <c r="Y169" s="1">
        <f t="shared" si="11"/>
        <v>0</v>
      </c>
    </row>
    <row r="170" spans="1:25" x14ac:dyDescent="0.25">
      <c r="A170" s="331" t="b">
        <f t="shared" si="9"/>
        <v>1</v>
      </c>
      <c r="B170" s="409">
        <v>2008</v>
      </c>
      <c r="C170" s="318" t="s">
        <v>19</v>
      </c>
      <c r="D170" s="422" t="s">
        <v>76</v>
      </c>
      <c r="E170" s="21">
        <v>3</v>
      </c>
      <c r="F170" s="21">
        <v>2</v>
      </c>
      <c r="G170" s="172"/>
      <c r="H170" s="169"/>
      <c r="I170" s="21"/>
      <c r="J170" s="21"/>
      <c r="K170" s="21"/>
      <c r="L170" s="21"/>
      <c r="M170" s="170"/>
      <c r="N170" s="170"/>
      <c r="O170" s="170"/>
      <c r="P170" s="21"/>
      <c r="Q170" s="170"/>
      <c r="R170" s="170"/>
      <c r="S170" s="170"/>
      <c r="T170" s="171"/>
      <c r="U170" s="170"/>
      <c r="V170" s="172"/>
      <c r="W170" s="36"/>
      <c r="X170" s="1">
        <f t="shared" si="10"/>
        <v>-2</v>
      </c>
      <c r="Y170" s="1">
        <f t="shared" si="11"/>
        <v>0</v>
      </c>
    </row>
    <row r="171" spans="1:25" x14ac:dyDescent="0.25">
      <c r="A171" s="331" t="b">
        <f t="shared" si="9"/>
        <v>1</v>
      </c>
      <c r="B171" s="409">
        <v>2008</v>
      </c>
      <c r="C171" s="318" t="s">
        <v>19</v>
      </c>
      <c r="D171" s="423" t="s">
        <v>77</v>
      </c>
      <c r="E171" s="22">
        <v>2</v>
      </c>
      <c r="F171" s="22">
        <v>2</v>
      </c>
      <c r="G171" s="70"/>
      <c r="H171" s="32"/>
      <c r="I171" s="22"/>
      <c r="J171" s="22"/>
      <c r="K171" s="22"/>
      <c r="L171" s="22"/>
      <c r="M171" s="47"/>
      <c r="N171" s="47"/>
      <c r="O171" s="47"/>
      <c r="P171" s="22"/>
      <c r="Q171" s="47"/>
      <c r="R171" s="47"/>
      <c r="S171" s="47"/>
      <c r="T171" s="55"/>
      <c r="U171" s="47"/>
      <c r="V171" s="70"/>
      <c r="W171" s="36"/>
      <c r="X171" s="1">
        <f t="shared" si="10"/>
        <v>-2</v>
      </c>
      <c r="Y171" s="1">
        <f t="shared" si="11"/>
        <v>0</v>
      </c>
    </row>
    <row r="172" spans="1:25" s="229" customFormat="1" x14ac:dyDescent="0.25">
      <c r="A172" s="331" t="b">
        <f t="shared" si="9"/>
        <v>1</v>
      </c>
      <c r="B172" s="409">
        <v>2008</v>
      </c>
      <c r="C172" s="318" t="s">
        <v>19</v>
      </c>
      <c r="D172" s="424" t="s">
        <v>78</v>
      </c>
      <c r="E172" s="22">
        <v>4</v>
      </c>
      <c r="F172" s="22">
        <v>4</v>
      </c>
      <c r="G172" s="70"/>
      <c r="H172" s="32"/>
      <c r="I172" s="22"/>
      <c r="J172" s="22"/>
      <c r="K172" s="22"/>
      <c r="L172" s="22"/>
      <c r="M172" s="47"/>
      <c r="N172" s="47"/>
      <c r="O172" s="47"/>
      <c r="P172" s="22"/>
      <c r="Q172" s="47"/>
      <c r="R172" s="47"/>
      <c r="S172" s="47"/>
      <c r="T172" s="55"/>
      <c r="U172" s="47"/>
      <c r="V172" s="70"/>
      <c r="W172" s="228"/>
      <c r="X172" s="1">
        <f t="shared" si="10"/>
        <v>-4</v>
      </c>
      <c r="Y172" s="1">
        <f t="shared" si="11"/>
        <v>0</v>
      </c>
    </row>
    <row r="173" spans="1:25" x14ac:dyDescent="0.25">
      <c r="A173" s="331" t="b">
        <f t="shared" si="9"/>
        <v>1</v>
      </c>
      <c r="B173" s="409">
        <v>2008</v>
      </c>
      <c r="C173" s="318" t="s">
        <v>19</v>
      </c>
      <c r="D173" s="424" t="s">
        <v>79</v>
      </c>
      <c r="E173" s="174">
        <v>7</v>
      </c>
      <c r="F173" s="174">
        <v>4</v>
      </c>
      <c r="G173" s="177"/>
      <c r="H173" s="173"/>
      <c r="I173" s="174"/>
      <c r="J173" s="174"/>
      <c r="K173" s="174"/>
      <c r="L173" s="174"/>
      <c r="M173" s="175"/>
      <c r="N173" s="175"/>
      <c r="O173" s="175"/>
      <c r="P173" s="174"/>
      <c r="Q173" s="175"/>
      <c r="R173" s="175"/>
      <c r="S173" s="175"/>
      <c r="T173" s="176"/>
      <c r="U173" s="175"/>
      <c r="V173" s="177"/>
      <c r="W173" s="36"/>
      <c r="X173" s="1">
        <f t="shared" si="10"/>
        <v>-4</v>
      </c>
      <c r="Y173" s="1">
        <f t="shared" si="11"/>
        <v>0</v>
      </c>
    </row>
    <row r="174" spans="1:25" x14ac:dyDescent="0.25">
      <c r="A174" s="331" t="b">
        <f t="shared" si="9"/>
        <v>1</v>
      </c>
      <c r="B174" s="409">
        <v>2008</v>
      </c>
      <c r="C174" s="319" t="s">
        <v>24</v>
      </c>
      <c r="D174" s="425" t="s">
        <v>76</v>
      </c>
      <c r="E174" s="165">
        <v>22</v>
      </c>
      <c r="F174" s="165">
        <v>11</v>
      </c>
      <c r="G174" s="168">
        <v>4</v>
      </c>
      <c r="H174" s="164"/>
      <c r="I174" s="165">
        <v>3</v>
      </c>
      <c r="J174" s="165">
        <v>7</v>
      </c>
      <c r="K174" s="165">
        <v>2</v>
      </c>
      <c r="L174" s="165">
        <v>2</v>
      </c>
      <c r="M174" s="166">
        <v>0</v>
      </c>
      <c r="N174" s="166">
        <v>0</v>
      </c>
      <c r="O174" s="166">
        <v>0</v>
      </c>
      <c r="P174" s="165">
        <v>7</v>
      </c>
      <c r="Q174" s="166">
        <v>0</v>
      </c>
      <c r="R174" s="166">
        <v>0</v>
      </c>
      <c r="S174" s="166">
        <v>0</v>
      </c>
      <c r="T174" s="167">
        <v>1</v>
      </c>
      <c r="U174" s="166">
        <v>1</v>
      </c>
      <c r="V174" s="168">
        <v>10</v>
      </c>
      <c r="W174" s="36"/>
      <c r="X174" s="1">
        <f t="shared" si="10"/>
        <v>-10</v>
      </c>
      <c r="Y174" s="1">
        <f t="shared" si="11"/>
        <v>0</v>
      </c>
    </row>
    <row r="175" spans="1:25" x14ac:dyDescent="0.25">
      <c r="A175" s="331" t="b">
        <f t="shared" si="9"/>
        <v>1</v>
      </c>
      <c r="B175" s="409">
        <v>2008</v>
      </c>
      <c r="C175" s="319" t="s">
        <v>24</v>
      </c>
      <c r="D175" s="426" t="s">
        <v>77</v>
      </c>
      <c r="E175" s="38">
        <v>20</v>
      </c>
      <c r="F175" s="38">
        <v>16</v>
      </c>
      <c r="G175" s="71">
        <v>7</v>
      </c>
      <c r="H175" s="33">
        <v>14</v>
      </c>
      <c r="I175" s="38">
        <v>5</v>
      </c>
      <c r="J175" s="38">
        <v>12</v>
      </c>
      <c r="K175" s="38">
        <v>3</v>
      </c>
      <c r="L175" s="38">
        <v>1</v>
      </c>
      <c r="M175" s="48">
        <v>0</v>
      </c>
      <c r="N175" s="48">
        <v>0</v>
      </c>
      <c r="O175" s="48">
        <v>0</v>
      </c>
      <c r="P175" s="38">
        <v>7</v>
      </c>
      <c r="Q175" s="48">
        <v>1</v>
      </c>
      <c r="R175" s="48">
        <v>0</v>
      </c>
      <c r="S175" s="48">
        <v>1</v>
      </c>
      <c r="T175" s="56">
        <v>7</v>
      </c>
      <c r="U175" s="48">
        <v>7</v>
      </c>
      <c r="V175" s="71">
        <v>13</v>
      </c>
      <c r="W175" s="36"/>
      <c r="X175" s="1">
        <f t="shared" si="10"/>
        <v>-9</v>
      </c>
      <c r="Y175" s="1">
        <f t="shared" si="11"/>
        <v>0</v>
      </c>
    </row>
    <row r="176" spans="1:25" s="229" customFormat="1" x14ac:dyDescent="0.25">
      <c r="A176" s="331" t="b">
        <f t="shared" si="9"/>
        <v>1</v>
      </c>
      <c r="B176" s="409">
        <v>2008</v>
      </c>
      <c r="C176" s="319" t="s">
        <v>24</v>
      </c>
      <c r="D176" s="427" t="s">
        <v>78</v>
      </c>
      <c r="E176" s="270">
        <v>15</v>
      </c>
      <c r="F176" s="271">
        <v>13</v>
      </c>
      <c r="G176" s="268">
        <v>3</v>
      </c>
      <c r="H176" s="269"/>
      <c r="I176" s="270">
        <v>6</v>
      </c>
      <c r="J176" s="270">
        <v>9</v>
      </c>
      <c r="K176" s="270">
        <v>1</v>
      </c>
      <c r="L176" s="270">
        <v>1</v>
      </c>
      <c r="M176" s="271">
        <v>0</v>
      </c>
      <c r="N176" s="270">
        <v>0</v>
      </c>
      <c r="O176" s="271">
        <v>0</v>
      </c>
      <c r="P176" s="270">
        <v>1</v>
      </c>
      <c r="Q176" s="271">
        <v>0</v>
      </c>
      <c r="R176" s="268">
        <v>0</v>
      </c>
      <c r="S176" s="268">
        <v>0</v>
      </c>
      <c r="T176" s="270">
        <v>2</v>
      </c>
      <c r="U176" s="270">
        <v>2</v>
      </c>
      <c r="V176" s="271">
        <v>11</v>
      </c>
      <c r="W176" s="228"/>
      <c r="X176" s="1">
        <f t="shared" si="10"/>
        <v>-11</v>
      </c>
      <c r="Y176" s="1">
        <f t="shared" si="11"/>
        <v>0</v>
      </c>
    </row>
    <row r="177" spans="1:25" x14ac:dyDescent="0.25">
      <c r="A177" s="331" t="b">
        <f t="shared" si="9"/>
        <v>1</v>
      </c>
      <c r="B177" s="409">
        <v>2008</v>
      </c>
      <c r="C177" s="319" t="s">
        <v>24</v>
      </c>
      <c r="D177" s="427" t="s">
        <v>79</v>
      </c>
      <c r="E177" s="39">
        <v>5</v>
      </c>
      <c r="F177" s="39">
        <v>5</v>
      </c>
      <c r="G177" s="181">
        <v>1</v>
      </c>
      <c r="H177" s="178"/>
      <c r="I177" s="39">
        <v>3</v>
      </c>
      <c r="J177" s="194">
        <v>4</v>
      </c>
      <c r="K177" s="181">
        <v>0</v>
      </c>
      <c r="L177" s="39">
        <v>1</v>
      </c>
      <c r="M177" s="179">
        <v>0</v>
      </c>
      <c r="N177" s="179">
        <v>0</v>
      </c>
      <c r="O177" s="179">
        <v>0</v>
      </c>
      <c r="P177" s="39">
        <v>0</v>
      </c>
      <c r="Q177" s="179">
        <v>0</v>
      </c>
      <c r="R177" s="179">
        <v>0</v>
      </c>
      <c r="S177" s="179">
        <v>0</v>
      </c>
      <c r="T177" s="180">
        <v>0</v>
      </c>
      <c r="U177" s="179">
        <v>0</v>
      </c>
      <c r="V177" s="181">
        <v>5</v>
      </c>
      <c r="W177" s="36"/>
      <c r="X177" s="1">
        <f t="shared" si="10"/>
        <v>-5</v>
      </c>
      <c r="Y177" s="1">
        <f t="shared" si="11"/>
        <v>0</v>
      </c>
    </row>
    <row r="178" spans="1:25" x14ac:dyDescent="0.25">
      <c r="A178" s="331" t="b">
        <f t="shared" si="9"/>
        <v>1</v>
      </c>
      <c r="B178" s="409">
        <v>2008</v>
      </c>
      <c r="C178" s="318" t="s">
        <v>20</v>
      </c>
      <c r="D178" s="422" t="s">
        <v>76</v>
      </c>
      <c r="E178" s="21">
        <v>136</v>
      </c>
      <c r="F178" s="21">
        <v>114</v>
      </c>
      <c r="G178" s="172">
        <v>45</v>
      </c>
      <c r="H178" s="169">
        <v>12.305</v>
      </c>
      <c r="I178" s="21">
        <v>49</v>
      </c>
      <c r="J178" s="21">
        <v>94</v>
      </c>
      <c r="K178" s="21">
        <v>5</v>
      </c>
      <c r="L178" s="21">
        <v>14</v>
      </c>
      <c r="M178" s="170">
        <v>0</v>
      </c>
      <c r="N178" s="170">
        <v>2</v>
      </c>
      <c r="O178" s="170">
        <v>2</v>
      </c>
      <c r="P178" s="21">
        <v>60</v>
      </c>
      <c r="Q178" s="170">
        <v>43</v>
      </c>
      <c r="R178" s="170">
        <v>3</v>
      </c>
      <c r="S178" s="170">
        <v>46</v>
      </c>
      <c r="T178" s="171">
        <v>96</v>
      </c>
      <c r="U178" s="170">
        <v>95</v>
      </c>
      <c r="V178" s="172">
        <v>107</v>
      </c>
      <c r="W178" s="36"/>
      <c r="X178" s="1">
        <f t="shared" si="10"/>
        <v>-18</v>
      </c>
      <c r="Y178" s="1">
        <f t="shared" si="11"/>
        <v>-1</v>
      </c>
    </row>
    <row r="179" spans="1:25" x14ac:dyDescent="0.25">
      <c r="A179" s="331" t="b">
        <f t="shared" si="9"/>
        <v>1</v>
      </c>
      <c r="B179" s="409">
        <v>2008</v>
      </c>
      <c r="C179" s="318" t="s">
        <v>20</v>
      </c>
      <c r="D179" s="423" t="s">
        <v>77</v>
      </c>
      <c r="E179" s="22">
        <v>164</v>
      </c>
      <c r="F179" s="22">
        <v>82</v>
      </c>
      <c r="G179" s="70">
        <v>26</v>
      </c>
      <c r="H179" s="32">
        <v>14</v>
      </c>
      <c r="I179" s="22">
        <v>39</v>
      </c>
      <c r="J179" s="22">
        <v>65</v>
      </c>
      <c r="K179" s="22">
        <v>6</v>
      </c>
      <c r="L179" s="22">
        <v>11</v>
      </c>
      <c r="M179" s="47">
        <v>1</v>
      </c>
      <c r="N179" s="47">
        <v>2</v>
      </c>
      <c r="O179" s="47">
        <v>3</v>
      </c>
      <c r="P179" s="22">
        <v>47</v>
      </c>
      <c r="Q179" s="47">
        <v>37</v>
      </c>
      <c r="R179" s="47">
        <v>0</v>
      </c>
      <c r="S179" s="47">
        <v>37</v>
      </c>
      <c r="T179" s="55">
        <v>68</v>
      </c>
      <c r="U179" s="47">
        <v>62</v>
      </c>
      <c r="V179" s="70">
        <v>75</v>
      </c>
      <c r="W179" s="36"/>
      <c r="X179" s="1">
        <f t="shared" si="10"/>
        <v>-14</v>
      </c>
      <c r="Y179" s="1">
        <f t="shared" si="11"/>
        <v>-6</v>
      </c>
    </row>
    <row r="180" spans="1:25" s="229" customFormat="1" x14ac:dyDescent="0.25">
      <c r="A180" s="331" t="b">
        <f t="shared" si="9"/>
        <v>1</v>
      </c>
      <c r="B180" s="409">
        <v>2008</v>
      </c>
      <c r="C180" s="318" t="s">
        <v>20</v>
      </c>
      <c r="D180" s="424" t="s">
        <v>78</v>
      </c>
      <c r="E180" s="248">
        <v>27</v>
      </c>
      <c r="F180" s="248">
        <v>17</v>
      </c>
      <c r="G180" s="248">
        <v>7</v>
      </c>
      <c r="H180" s="249"/>
      <c r="I180" s="248">
        <v>6</v>
      </c>
      <c r="J180" s="248">
        <v>13</v>
      </c>
      <c r="K180" s="248">
        <v>3</v>
      </c>
      <c r="L180" s="248">
        <v>1</v>
      </c>
      <c r="M180" s="248">
        <v>0</v>
      </c>
      <c r="N180" s="248">
        <v>0</v>
      </c>
      <c r="O180" s="248">
        <v>0</v>
      </c>
      <c r="P180" s="248">
        <v>10</v>
      </c>
      <c r="Q180" s="248">
        <v>4</v>
      </c>
      <c r="R180" s="248">
        <v>0</v>
      </c>
      <c r="S180" s="248">
        <v>4</v>
      </c>
      <c r="T180" s="248">
        <v>13</v>
      </c>
      <c r="U180" s="248">
        <v>13</v>
      </c>
      <c r="V180" s="248">
        <v>16</v>
      </c>
      <c r="W180" s="228"/>
      <c r="X180" s="1">
        <f t="shared" si="10"/>
        <v>-4</v>
      </c>
      <c r="Y180" s="1">
        <f t="shared" si="11"/>
        <v>0</v>
      </c>
    </row>
    <row r="181" spans="1:25" x14ac:dyDescent="0.25">
      <c r="A181" s="331" t="b">
        <f t="shared" si="9"/>
        <v>1</v>
      </c>
      <c r="B181" s="409">
        <v>2008</v>
      </c>
      <c r="C181" s="318" t="s">
        <v>20</v>
      </c>
      <c r="D181" s="424" t="s">
        <v>79</v>
      </c>
      <c r="E181" s="174">
        <v>92</v>
      </c>
      <c r="F181" s="174">
        <v>58</v>
      </c>
      <c r="G181" s="177">
        <v>23</v>
      </c>
      <c r="H181" s="173">
        <v>11.548333333333334</v>
      </c>
      <c r="I181" s="174">
        <v>24</v>
      </c>
      <c r="J181" s="174">
        <v>47</v>
      </c>
      <c r="K181" s="174">
        <v>7</v>
      </c>
      <c r="L181" s="174">
        <v>4</v>
      </c>
      <c r="M181" s="175">
        <v>0</v>
      </c>
      <c r="N181" s="175">
        <v>1</v>
      </c>
      <c r="O181" s="175">
        <v>1</v>
      </c>
      <c r="P181" s="174">
        <v>27</v>
      </c>
      <c r="Q181" s="175">
        <v>10</v>
      </c>
      <c r="R181" s="175">
        <v>1</v>
      </c>
      <c r="S181" s="175">
        <v>11</v>
      </c>
      <c r="T181" s="176">
        <v>46</v>
      </c>
      <c r="U181" s="175">
        <v>44</v>
      </c>
      <c r="V181" s="177">
        <v>57</v>
      </c>
      <c r="W181" s="36"/>
      <c r="X181" s="1">
        <f t="shared" si="10"/>
        <v>-12</v>
      </c>
      <c r="Y181" s="1">
        <f t="shared" si="11"/>
        <v>-2</v>
      </c>
    </row>
    <row r="182" spans="1:25" x14ac:dyDescent="0.25">
      <c r="A182" s="331" t="b">
        <f t="shared" si="9"/>
        <v>1</v>
      </c>
      <c r="B182" s="409">
        <v>2008</v>
      </c>
      <c r="C182" s="317" t="s">
        <v>21</v>
      </c>
      <c r="D182" s="425" t="s">
        <v>76</v>
      </c>
      <c r="E182" s="155">
        <v>68</v>
      </c>
      <c r="F182" s="155">
        <v>49</v>
      </c>
      <c r="G182" s="158">
        <v>30</v>
      </c>
      <c r="H182" s="154">
        <v>13.08</v>
      </c>
      <c r="I182" s="155">
        <v>11</v>
      </c>
      <c r="J182" s="155">
        <v>41</v>
      </c>
      <c r="K182" s="155">
        <v>0</v>
      </c>
      <c r="L182" s="155">
        <v>8</v>
      </c>
      <c r="M182" s="156">
        <v>0</v>
      </c>
      <c r="N182" s="156">
        <v>0</v>
      </c>
      <c r="O182" s="156">
        <v>0</v>
      </c>
      <c r="P182" s="155">
        <v>26</v>
      </c>
      <c r="Q182" s="156">
        <v>3</v>
      </c>
      <c r="R182" s="156">
        <v>1</v>
      </c>
      <c r="S182" s="156">
        <v>4</v>
      </c>
      <c r="T182" s="157">
        <v>41</v>
      </c>
      <c r="U182" s="156">
        <v>41</v>
      </c>
      <c r="V182" s="158">
        <v>48</v>
      </c>
      <c r="W182" s="36"/>
      <c r="X182" s="1">
        <f t="shared" si="10"/>
        <v>-8</v>
      </c>
      <c r="Y182" s="1">
        <f t="shared" si="11"/>
        <v>0</v>
      </c>
    </row>
    <row r="183" spans="1:25" x14ac:dyDescent="0.25">
      <c r="A183" s="331" t="b">
        <f t="shared" si="9"/>
        <v>1</v>
      </c>
      <c r="B183" s="409">
        <v>2008</v>
      </c>
      <c r="C183" s="317" t="s">
        <v>21</v>
      </c>
      <c r="D183" s="426" t="s">
        <v>77</v>
      </c>
      <c r="E183" s="37">
        <v>243</v>
      </c>
      <c r="F183" s="37">
        <v>162</v>
      </c>
      <c r="G183" s="69">
        <v>91</v>
      </c>
      <c r="H183" s="31">
        <v>12.9884615384615</v>
      </c>
      <c r="I183" s="37">
        <v>41</v>
      </c>
      <c r="J183" s="37">
        <v>132</v>
      </c>
      <c r="K183" s="37">
        <v>8</v>
      </c>
      <c r="L183" s="37">
        <v>21</v>
      </c>
      <c r="M183" s="46">
        <v>1</v>
      </c>
      <c r="N183" s="46">
        <v>1</v>
      </c>
      <c r="O183" s="46">
        <v>2</v>
      </c>
      <c r="P183" s="37">
        <v>111</v>
      </c>
      <c r="Q183" s="46">
        <v>3</v>
      </c>
      <c r="R183" s="46">
        <v>5</v>
      </c>
      <c r="S183" s="46">
        <v>8</v>
      </c>
      <c r="T183" s="54">
        <v>148</v>
      </c>
      <c r="U183" s="46">
        <v>144</v>
      </c>
      <c r="V183" s="69">
        <v>157</v>
      </c>
      <c r="W183" s="36"/>
      <c r="X183" s="1">
        <f t="shared" si="10"/>
        <v>-14</v>
      </c>
      <c r="Y183" s="1">
        <f t="shared" si="11"/>
        <v>-4</v>
      </c>
    </row>
    <row r="184" spans="1:25" s="229" customFormat="1" x14ac:dyDescent="0.25">
      <c r="A184" s="331" t="b">
        <f t="shared" si="9"/>
        <v>1</v>
      </c>
      <c r="B184" s="409">
        <v>2008</v>
      </c>
      <c r="C184" s="317" t="s">
        <v>21</v>
      </c>
      <c r="D184" s="427" t="s">
        <v>78</v>
      </c>
      <c r="E184" s="268">
        <v>50</v>
      </c>
      <c r="F184" s="270">
        <v>38</v>
      </c>
      <c r="G184" s="271">
        <v>19</v>
      </c>
      <c r="H184" s="269">
        <v>12.4925</v>
      </c>
      <c r="I184" s="270">
        <v>16</v>
      </c>
      <c r="J184" s="271">
        <v>35</v>
      </c>
      <c r="K184" s="268">
        <v>2</v>
      </c>
      <c r="L184" s="270">
        <v>1</v>
      </c>
      <c r="M184" s="271">
        <v>0</v>
      </c>
      <c r="N184" s="270">
        <v>0</v>
      </c>
      <c r="O184" s="270">
        <v>0</v>
      </c>
      <c r="P184" s="270">
        <v>12</v>
      </c>
      <c r="Q184" s="270">
        <v>3</v>
      </c>
      <c r="R184" s="270">
        <v>0</v>
      </c>
      <c r="S184" s="271">
        <v>3</v>
      </c>
      <c r="T184" s="268">
        <v>35</v>
      </c>
      <c r="U184" s="268">
        <v>34</v>
      </c>
      <c r="V184" s="268">
        <v>38</v>
      </c>
      <c r="W184" s="228"/>
      <c r="X184" s="1">
        <f t="shared" si="10"/>
        <v>-3</v>
      </c>
      <c r="Y184" s="1">
        <f t="shared" si="11"/>
        <v>-1</v>
      </c>
    </row>
    <row r="185" spans="1:25" x14ac:dyDescent="0.25">
      <c r="A185" s="331" t="b">
        <f t="shared" si="9"/>
        <v>1</v>
      </c>
      <c r="B185" s="409">
        <v>2008</v>
      </c>
      <c r="C185" s="317" t="s">
        <v>21</v>
      </c>
      <c r="D185" s="427" t="s">
        <v>79</v>
      </c>
      <c r="E185" s="293">
        <v>141</v>
      </c>
      <c r="F185" s="293">
        <v>89</v>
      </c>
      <c r="G185" s="294">
        <v>41</v>
      </c>
      <c r="H185" s="295">
        <v>11.8608333333333</v>
      </c>
      <c r="I185" s="293">
        <v>41</v>
      </c>
      <c r="J185" s="293">
        <v>82</v>
      </c>
      <c r="K185" s="293">
        <v>6</v>
      </c>
      <c r="L185" s="293">
        <v>1</v>
      </c>
      <c r="M185" s="296">
        <v>0</v>
      </c>
      <c r="N185" s="296">
        <v>0</v>
      </c>
      <c r="O185" s="296">
        <v>0</v>
      </c>
      <c r="P185" s="293">
        <v>26</v>
      </c>
      <c r="Q185" s="296">
        <v>7</v>
      </c>
      <c r="R185" s="296">
        <v>5</v>
      </c>
      <c r="S185" s="296">
        <v>12</v>
      </c>
      <c r="T185" s="297">
        <v>61</v>
      </c>
      <c r="U185" s="296">
        <v>61</v>
      </c>
      <c r="V185" s="294">
        <v>87</v>
      </c>
      <c r="W185" s="36"/>
      <c r="X185" s="1">
        <f t="shared" si="10"/>
        <v>-28</v>
      </c>
      <c r="Y185" s="1">
        <f t="shared" si="11"/>
        <v>0</v>
      </c>
    </row>
    <row r="186" spans="1:25" x14ac:dyDescent="0.25">
      <c r="A186" s="331" t="b">
        <f t="shared" si="9"/>
        <v>1</v>
      </c>
      <c r="B186" s="409">
        <v>2008</v>
      </c>
      <c r="C186" s="308" t="s">
        <v>22</v>
      </c>
      <c r="D186" s="422" t="s">
        <v>76</v>
      </c>
      <c r="E186" s="93">
        <v>35</v>
      </c>
      <c r="F186" s="93">
        <v>27</v>
      </c>
      <c r="G186" s="95">
        <v>20</v>
      </c>
      <c r="H186" s="210">
        <v>18.1444444444444</v>
      </c>
      <c r="I186" s="93">
        <v>2</v>
      </c>
      <c r="J186" s="93">
        <v>22</v>
      </c>
      <c r="K186" s="93">
        <v>1</v>
      </c>
      <c r="L186" s="93">
        <v>4</v>
      </c>
      <c r="M186" s="93">
        <v>0</v>
      </c>
      <c r="N186" s="93">
        <v>0</v>
      </c>
      <c r="O186" s="93">
        <v>0</v>
      </c>
      <c r="P186" s="93">
        <v>16</v>
      </c>
      <c r="Q186" s="93">
        <v>3</v>
      </c>
      <c r="R186" s="93">
        <v>1</v>
      </c>
      <c r="S186" s="93">
        <v>4</v>
      </c>
      <c r="T186" s="94">
        <v>24</v>
      </c>
      <c r="U186" s="93">
        <v>22</v>
      </c>
      <c r="V186" s="95">
        <v>25</v>
      </c>
      <c r="W186" s="36"/>
      <c r="X186" s="1">
        <f t="shared" si="10"/>
        <v>-3</v>
      </c>
      <c r="Y186" s="1">
        <f t="shared" si="11"/>
        <v>-2</v>
      </c>
    </row>
    <row r="187" spans="1:25" x14ac:dyDescent="0.25">
      <c r="A187" s="331" t="b">
        <f t="shared" si="9"/>
        <v>1</v>
      </c>
      <c r="B187" s="409">
        <v>2008</v>
      </c>
      <c r="C187" s="308" t="s">
        <v>22</v>
      </c>
      <c r="D187" s="423" t="s">
        <v>77</v>
      </c>
      <c r="E187" s="15">
        <v>2</v>
      </c>
      <c r="F187" s="15">
        <v>2</v>
      </c>
      <c r="G187" s="65"/>
      <c r="H187" s="26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50"/>
      <c r="U187" s="15"/>
      <c r="V187" s="65"/>
      <c r="W187" s="36"/>
      <c r="X187" s="1">
        <f t="shared" si="10"/>
        <v>-2</v>
      </c>
      <c r="Y187" s="1">
        <f t="shared" si="11"/>
        <v>0</v>
      </c>
    </row>
    <row r="188" spans="1:25" s="229" customFormat="1" x14ac:dyDescent="0.25">
      <c r="A188" s="331" t="b">
        <f t="shared" si="9"/>
        <v>1</v>
      </c>
      <c r="B188" s="409">
        <v>2008</v>
      </c>
      <c r="C188" s="308" t="s">
        <v>22</v>
      </c>
      <c r="D188" s="424" t="s">
        <v>78</v>
      </c>
      <c r="E188" s="234">
        <v>5</v>
      </c>
      <c r="F188" s="234">
        <v>3</v>
      </c>
      <c r="G188" s="234"/>
      <c r="H188" s="235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28"/>
      <c r="X188" s="1">
        <f t="shared" si="10"/>
        <v>-3</v>
      </c>
      <c r="Y188" s="1">
        <f t="shared" si="11"/>
        <v>0</v>
      </c>
    </row>
    <row r="189" spans="1:25" x14ac:dyDescent="0.25">
      <c r="A189" s="331" t="b">
        <f t="shared" si="9"/>
        <v>1</v>
      </c>
      <c r="B189" s="409">
        <v>2008</v>
      </c>
      <c r="C189" s="308" t="s">
        <v>22</v>
      </c>
      <c r="D189" s="424" t="s">
        <v>79</v>
      </c>
      <c r="E189" s="125">
        <v>8</v>
      </c>
      <c r="F189" s="125">
        <v>4</v>
      </c>
      <c r="G189" s="127"/>
      <c r="H189" s="182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6"/>
      <c r="U189" s="125"/>
      <c r="V189" s="127"/>
      <c r="W189" s="36"/>
      <c r="X189" s="1">
        <f t="shared" si="10"/>
        <v>-4</v>
      </c>
      <c r="Y189" s="1">
        <f t="shared" si="11"/>
        <v>0</v>
      </c>
    </row>
    <row r="190" spans="1:25" x14ac:dyDescent="0.25">
      <c r="A190" s="331" t="b">
        <f t="shared" si="9"/>
        <v>1</v>
      </c>
      <c r="B190" s="409">
        <v>2008</v>
      </c>
      <c r="C190" s="320" t="s">
        <v>23</v>
      </c>
      <c r="D190" s="425" t="s">
        <v>76</v>
      </c>
      <c r="E190" s="189">
        <v>20</v>
      </c>
      <c r="F190" s="189">
        <v>15</v>
      </c>
      <c r="G190" s="192">
        <v>12</v>
      </c>
      <c r="H190" s="188">
        <v>26.5</v>
      </c>
      <c r="I190" s="189">
        <v>0</v>
      </c>
      <c r="J190" s="189">
        <v>12</v>
      </c>
      <c r="K190" s="189">
        <v>2</v>
      </c>
      <c r="L190" s="189">
        <v>1</v>
      </c>
      <c r="M190" s="190">
        <v>0</v>
      </c>
      <c r="N190" s="190">
        <v>0</v>
      </c>
      <c r="O190" s="190">
        <v>0</v>
      </c>
      <c r="P190" s="189">
        <v>1</v>
      </c>
      <c r="Q190" s="190">
        <v>1</v>
      </c>
      <c r="R190" s="190">
        <v>1</v>
      </c>
      <c r="S190" s="190">
        <v>2</v>
      </c>
      <c r="T190" s="191">
        <v>14</v>
      </c>
      <c r="U190" s="190">
        <v>14</v>
      </c>
      <c r="V190" s="192">
        <v>13</v>
      </c>
      <c r="W190" s="36"/>
      <c r="X190" s="1">
        <f t="shared" si="10"/>
        <v>-1</v>
      </c>
      <c r="Y190" s="1">
        <f t="shared" si="11"/>
        <v>0</v>
      </c>
    </row>
    <row r="191" spans="1:25" x14ac:dyDescent="0.25">
      <c r="A191" s="331" t="b">
        <f t="shared" si="9"/>
        <v>1</v>
      </c>
      <c r="B191" s="409">
        <v>2008</v>
      </c>
      <c r="C191" s="320" t="s">
        <v>23</v>
      </c>
      <c r="D191" s="426" t="s">
        <v>77</v>
      </c>
      <c r="E191" s="38">
        <v>90</v>
      </c>
      <c r="F191" s="38">
        <v>60</v>
      </c>
      <c r="G191" s="71">
        <v>56</v>
      </c>
      <c r="H191" s="33">
        <v>23.4</v>
      </c>
      <c r="I191" s="38">
        <v>2</v>
      </c>
      <c r="J191" s="38">
        <v>58</v>
      </c>
      <c r="K191" s="38">
        <v>1</v>
      </c>
      <c r="L191" s="38">
        <v>1</v>
      </c>
      <c r="M191" s="48">
        <v>0</v>
      </c>
      <c r="N191" s="48">
        <v>0</v>
      </c>
      <c r="O191" s="48">
        <v>0</v>
      </c>
      <c r="P191" s="38">
        <v>12</v>
      </c>
      <c r="Q191" s="48">
        <v>12</v>
      </c>
      <c r="R191" s="48">
        <v>2</v>
      </c>
      <c r="S191" s="48">
        <v>14</v>
      </c>
      <c r="T191" s="56">
        <v>60</v>
      </c>
      <c r="U191" s="48">
        <v>60</v>
      </c>
      <c r="V191" s="71">
        <v>54</v>
      </c>
      <c r="W191" s="36"/>
      <c r="X191" s="1">
        <f t="shared" si="10"/>
        <v>0</v>
      </c>
      <c r="Y191" s="1">
        <f t="shared" si="11"/>
        <v>0</v>
      </c>
    </row>
    <row r="192" spans="1:25" s="229" customFormat="1" x14ac:dyDescent="0.25">
      <c r="A192" s="331" t="b">
        <f t="shared" si="9"/>
        <v>1</v>
      </c>
      <c r="B192" s="409">
        <v>2008</v>
      </c>
      <c r="C192" s="320" t="s">
        <v>23</v>
      </c>
      <c r="D192" s="427" t="s">
        <v>78</v>
      </c>
      <c r="E192" s="268">
        <v>4</v>
      </c>
      <c r="F192" s="268">
        <v>2</v>
      </c>
      <c r="G192" s="268"/>
      <c r="H192" s="269"/>
      <c r="I192" s="270"/>
      <c r="J192" s="270"/>
      <c r="K192" s="271"/>
      <c r="L192" s="268"/>
      <c r="M192" s="268"/>
      <c r="N192" s="268"/>
      <c r="O192" s="268"/>
      <c r="P192" s="268"/>
      <c r="Q192" s="270"/>
      <c r="R192" s="271"/>
      <c r="S192" s="270"/>
      <c r="T192" s="271"/>
      <c r="U192" s="268"/>
      <c r="V192" s="268"/>
      <c r="W192" s="228"/>
      <c r="X192" s="1">
        <f t="shared" si="10"/>
        <v>-2</v>
      </c>
      <c r="Y192" s="1">
        <f t="shared" si="11"/>
        <v>0</v>
      </c>
    </row>
    <row r="193" spans="1:25" x14ac:dyDescent="0.25">
      <c r="A193" s="331" t="b">
        <f t="shared" si="9"/>
        <v>1</v>
      </c>
      <c r="B193" s="409">
        <v>2008</v>
      </c>
      <c r="C193" s="320" t="s">
        <v>23</v>
      </c>
      <c r="D193" s="427" t="s">
        <v>79</v>
      </c>
      <c r="E193" s="194">
        <v>67</v>
      </c>
      <c r="F193" s="194">
        <v>36</v>
      </c>
      <c r="G193" s="197">
        <v>24</v>
      </c>
      <c r="H193" s="193">
        <v>24.054545454545501</v>
      </c>
      <c r="I193" s="194">
        <v>6</v>
      </c>
      <c r="J193" s="194">
        <v>30</v>
      </c>
      <c r="K193" s="194">
        <v>4</v>
      </c>
      <c r="L193" s="194">
        <v>2</v>
      </c>
      <c r="M193" s="195">
        <v>0</v>
      </c>
      <c r="N193" s="195">
        <v>0</v>
      </c>
      <c r="O193" s="195">
        <v>0</v>
      </c>
      <c r="P193" s="194">
        <v>6</v>
      </c>
      <c r="Q193" s="195">
        <v>2</v>
      </c>
      <c r="R193" s="195">
        <v>0</v>
      </c>
      <c r="S193" s="195">
        <v>2</v>
      </c>
      <c r="T193" s="196">
        <v>30</v>
      </c>
      <c r="U193" s="195">
        <v>30</v>
      </c>
      <c r="V193" s="197">
        <v>33</v>
      </c>
      <c r="W193" s="36"/>
      <c r="X193" s="1">
        <f t="shared" si="10"/>
        <v>-6</v>
      </c>
      <c r="Y193" s="1">
        <f t="shared" si="11"/>
        <v>0</v>
      </c>
    </row>
    <row r="194" spans="1:25" x14ac:dyDescent="0.25">
      <c r="A194" s="331"/>
      <c r="B194" s="410">
        <v>2007</v>
      </c>
      <c r="C194" s="316" t="s">
        <v>17</v>
      </c>
      <c r="D194" s="422" t="s">
        <v>76</v>
      </c>
      <c r="E194" s="222">
        <v>9</v>
      </c>
      <c r="F194" s="184">
        <v>4</v>
      </c>
      <c r="G194" s="187"/>
      <c r="H194" s="183"/>
      <c r="I194" s="184"/>
      <c r="J194" s="93"/>
      <c r="K194" s="185"/>
      <c r="L194" s="185"/>
      <c r="M194" s="185"/>
      <c r="N194" s="185"/>
      <c r="O194" s="184"/>
      <c r="P194" s="184"/>
      <c r="Q194" s="184"/>
      <c r="R194" s="184"/>
      <c r="S194" s="184"/>
      <c r="T194" s="186"/>
      <c r="U194" s="184"/>
      <c r="V194" s="187"/>
      <c r="X194" s="1">
        <f t="shared" si="10"/>
        <v>-4</v>
      </c>
      <c r="Y194" s="1">
        <f t="shared" si="11"/>
        <v>0</v>
      </c>
    </row>
    <row r="195" spans="1:25" x14ac:dyDescent="0.25">
      <c r="A195" s="331"/>
      <c r="B195" s="410">
        <v>2007</v>
      </c>
      <c r="C195" s="316" t="s">
        <v>17</v>
      </c>
      <c r="D195" s="423" t="s">
        <v>77</v>
      </c>
      <c r="E195" s="223">
        <v>10</v>
      </c>
      <c r="F195" s="40">
        <v>6</v>
      </c>
      <c r="G195" s="72">
        <v>4</v>
      </c>
      <c r="H195" s="24"/>
      <c r="I195" s="40">
        <v>1</v>
      </c>
      <c r="J195" s="15">
        <f t="shared" ref="J195:J225" si="12">SUM(G195,I195)</f>
        <v>5</v>
      </c>
      <c r="K195" s="40">
        <v>1</v>
      </c>
      <c r="L195" s="40"/>
      <c r="M195" s="40"/>
      <c r="N195" s="40"/>
      <c r="O195" s="40"/>
      <c r="P195" s="40"/>
      <c r="Q195" s="40"/>
      <c r="R195" s="40"/>
      <c r="S195" s="40"/>
      <c r="T195" s="57"/>
      <c r="U195" s="40"/>
      <c r="V195" s="72">
        <v>6</v>
      </c>
      <c r="X195" s="1">
        <f t="shared" si="10"/>
        <v>-6</v>
      </c>
      <c r="Y195" s="1">
        <f t="shared" si="11"/>
        <v>0</v>
      </c>
    </row>
    <row r="196" spans="1:25" x14ac:dyDescent="0.25">
      <c r="A196" s="331"/>
      <c r="B196" s="410">
        <v>2007</v>
      </c>
      <c r="C196" s="316" t="s">
        <v>17</v>
      </c>
      <c r="D196" s="424" t="s">
        <v>78</v>
      </c>
      <c r="E196" s="224">
        <v>20</v>
      </c>
      <c r="F196" s="224">
        <v>11</v>
      </c>
      <c r="G196" s="224">
        <v>8</v>
      </c>
      <c r="H196" s="198">
        <v>39.629999999999995</v>
      </c>
      <c r="I196" s="224">
        <v>1</v>
      </c>
      <c r="J196" s="224">
        <v>9</v>
      </c>
      <c r="K196" s="224">
        <v>1</v>
      </c>
      <c r="L196" s="224">
        <v>1</v>
      </c>
      <c r="M196" s="224">
        <v>0</v>
      </c>
      <c r="N196" s="224">
        <v>0</v>
      </c>
      <c r="O196" s="224">
        <v>0</v>
      </c>
      <c r="P196" s="199">
        <v>3</v>
      </c>
      <c r="Q196" s="224">
        <v>0</v>
      </c>
      <c r="R196" s="224">
        <v>0</v>
      </c>
      <c r="S196" s="224">
        <v>0</v>
      </c>
      <c r="T196" s="224">
        <v>0</v>
      </c>
      <c r="U196" s="224">
        <v>0</v>
      </c>
      <c r="V196" s="199">
        <v>11</v>
      </c>
      <c r="X196" s="1">
        <f t="shared" si="10"/>
        <v>-11</v>
      </c>
      <c r="Y196" s="1">
        <f t="shared" si="11"/>
        <v>0</v>
      </c>
    </row>
    <row r="197" spans="1:25" x14ac:dyDescent="0.25">
      <c r="A197" s="331"/>
      <c r="B197" s="410">
        <v>2007</v>
      </c>
      <c r="C197" s="316" t="s">
        <v>17</v>
      </c>
      <c r="D197" s="424" t="s">
        <v>79</v>
      </c>
      <c r="E197" s="261">
        <v>3</v>
      </c>
      <c r="F197" s="262">
        <v>1</v>
      </c>
      <c r="G197" s="262"/>
      <c r="H197" s="266"/>
      <c r="I197" s="262"/>
      <c r="J197" s="106"/>
      <c r="K197" s="262"/>
      <c r="L197" s="262"/>
      <c r="M197" s="262"/>
      <c r="N197" s="262"/>
      <c r="O197" s="262"/>
      <c r="P197" s="262"/>
      <c r="Q197" s="262"/>
      <c r="R197" s="262"/>
      <c r="S197" s="262"/>
      <c r="T197" s="267"/>
      <c r="U197" s="262"/>
      <c r="V197" s="263"/>
      <c r="X197" s="1">
        <f t="shared" si="10"/>
        <v>-1</v>
      </c>
      <c r="Y197" s="1">
        <f t="shared" si="11"/>
        <v>0</v>
      </c>
    </row>
    <row r="198" spans="1:25" x14ac:dyDescent="0.25">
      <c r="A198" s="331"/>
      <c r="B198" s="410">
        <v>2007</v>
      </c>
      <c r="C198" s="317" t="s">
        <v>18</v>
      </c>
      <c r="D198" s="425" t="s">
        <v>76</v>
      </c>
      <c r="E198" s="280">
        <v>0</v>
      </c>
      <c r="F198" s="251">
        <v>0</v>
      </c>
      <c r="G198" s="282"/>
      <c r="H198" s="307"/>
      <c r="I198" s="251"/>
      <c r="J198" s="280"/>
      <c r="K198" s="251"/>
      <c r="L198" s="280"/>
      <c r="M198" s="251"/>
      <c r="N198" s="280"/>
      <c r="O198" s="251"/>
      <c r="P198" s="280"/>
      <c r="Q198" s="251"/>
      <c r="R198" s="280"/>
      <c r="S198" s="251"/>
      <c r="T198" s="280"/>
      <c r="U198" s="251"/>
      <c r="V198" s="280"/>
      <c r="X198" s="1">
        <f t="shared" si="10"/>
        <v>0</v>
      </c>
      <c r="Y198" s="1">
        <f t="shared" si="11"/>
        <v>0</v>
      </c>
    </row>
    <row r="199" spans="1:25" x14ac:dyDescent="0.25">
      <c r="A199" s="331"/>
      <c r="B199" s="410">
        <v>2007</v>
      </c>
      <c r="C199" s="317" t="s">
        <v>18</v>
      </c>
      <c r="D199" s="426" t="s">
        <v>77</v>
      </c>
      <c r="E199" s="259">
        <v>4</v>
      </c>
      <c r="F199" s="265">
        <v>4</v>
      </c>
      <c r="G199" s="260"/>
      <c r="H199" s="264"/>
      <c r="I199" s="265"/>
      <c r="J199" s="259"/>
      <c r="K199" s="265"/>
      <c r="L199" s="260"/>
      <c r="M199" s="265"/>
      <c r="N199" s="260"/>
      <c r="O199" s="265"/>
      <c r="P199" s="260"/>
      <c r="Q199" s="265"/>
      <c r="R199" s="260"/>
      <c r="S199" s="265"/>
      <c r="T199" s="260"/>
      <c r="U199" s="265"/>
      <c r="V199" s="260"/>
      <c r="X199" s="1">
        <f t="shared" si="10"/>
        <v>-4</v>
      </c>
      <c r="Y199" s="1">
        <f t="shared" si="11"/>
        <v>0</v>
      </c>
    </row>
    <row r="200" spans="1:25" x14ac:dyDescent="0.25">
      <c r="A200" s="331"/>
      <c r="B200" s="410">
        <v>2007</v>
      </c>
      <c r="C200" s="317" t="s">
        <v>18</v>
      </c>
      <c r="D200" s="427" t="s">
        <v>78</v>
      </c>
      <c r="E200" s="250">
        <v>3</v>
      </c>
      <c r="F200" s="251">
        <v>1</v>
      </c>
      <c r="G200" s="250"/>
      <c r="H200" s="281"/>
      <c r="I200" s="251"/>
      <c r="J200" s="250"/>
      <c r="K200" s="251"/>
      <c r="L200" s="250"/>
      <c r="M200" s="251"/>
      <c r="N200" s="250"/>
      <c r="O200" s="251"/>
      <c r="P200" s="250"/>
      <c r="Q200" s="251"/>
      <c r="R200" s="250"/>
      <c r="S200" s="251"/>
      <c r="T200" s="250"/>
      <c r="U200" s="251"/>
      <c r="V200" s="250"/>
      <c r="X200" s="1">
        <f t="shared" si="10"/>
        <v>-1</v>
      </c>
      <c r="Y200" s="1">
        <f t="shared" si="11"/>
        <v>0</v>
      </c>
    </row>
    <row r="201" spans="1:25" x14ac:dyDescent="0.25">
      <c r="A201" s="331"/>
      <c r="B201" s="410">
        <v>2007</v>
      </c>
      <c r="C201" s="317" t="s">
        <v>18</v>
      </c>
      <c r="D201" s="427" t="s">
        <v>79</v>
      </c>
      <c r="E201" s="207">
        <v>16</v>
      </c>
      <c r="F201" s="208">
        <v>6</v>
      </c>
      <c r="G201" s="62">
        <v>4</v>
      </c>
      <c r="H201" s="206"/>
      <c r="I201" s="208">
        <v>2</v>
      </c>
      <c r="J201" s="207">
        <f t="shared" si="12"/>
        <v>6</v>
      </c>
      <c r="K201" s="208"/>
      <c r="L201" s="62"/>
      <c r="M201" s="208"/>
      <c r="N201" s="62"/>
      <c r="O201" s="208"/>
      <c r="P201" s="62">
        <v>1</v>
      </c>
      <c r="Q201" s="208"/>
      <c r="R201" s="62"/>
      <c r="S201" s="208"/>
      <c r="T201" s="62"/>
      <c r="U201" s="208"/>
      <c r="V201" s="62">
        <v>6</v>
      </c>
      <c r="X201" s="1">
        <f t="shared" si="10"/>
        <v>-6</v>
      </c>
      <c r="Y201" s="1">
        <f t="shared" si="11"/>
        <v>0</v>
      </c>
    </row>
    <row r="202" spans="1:25" x14ac:dyDescent="0.25">
      <c r="A202" s="331"/>
      <c r="B202" s="410">
        <v>2007</v>
      </c>
      <c r="C202" s="321" t="s">
        <v>19</v>
      </c>
      <c r="D202" s="422" t="s">
        <v>76</v>
      </c>
      <c r="E202" s="222">
        <v>4</v>
      </c>
      <c r="F202" s="184">
        <v>2</v>
      </c>
      <c r="G202" s="187"/>
      <c r="H202" s="183"/>
      <c r="I202" s="184"/>
      <c r="J202" s="93"/>
      <c r="K202" s="184"/>
      <c r="L202" s="184"/>
      <c r="M202" s="184"/>
      <c r="N202" s="184"/>
      <c r="O202" s="184"/>
      <c r="P202" s="184"/>
      <c r="Q202" s="184"/>
      <c r="R202" s="184"/>
      <c r="S202" s="184"/>
      <c r="T202" s="186"/>
      <c r="U202" s="184"/>
      <c r="V202" s="187"/>
      <c r="X202" s="1">
        <f t="shared" si="10"/>
        <v>-2</v>
      </c>
      <c r="Y202" s="1">
        <f t="shared" si="11"/>
        <v>0</v>
      </c>
    </row>
    <row r="203" spans="1:25" x14ac:dyDescent="0.25">
      <c r="A203" s="331"/>
      <c r="B203" s="410">
        <v>2007</v>
      </c>
      <c r="C203" s="321" t="s">
        <v>19</v>
      </c>
      <c r="D203" s="423" t="s">
        <v>77</v>
      </c>
      <c r="E203" s="223">
        <v>4</v>
      </c>
      <c r="F203" s="40"/>
      <c r="G203" s="72"/>
      <c r="H203" s="24"/>
      <c r="I203" s="40"/>
      <c r="J203" s="15"/>
      <c r="K203" s="40"/>
      <c r="L203" s="40"/>
      <c r="M203" s="40"/>
      <c r="N203" s="40"/>
      <c r="O203" s="40"/>
      <c r="P203" s="40"/>
      <c r="Q203" s="40"/>
      <c r="R203" s="40"/>
      <c r="S203" s="40"/>
      <c r="T203" s="57"/>
      <c r="U203" s="40"/>
      <c r="V203" s="72"/>
      <c r="X203" s="1">
        <f t="shared" si="10"/>
        <v>0</v>
      </c>
      <c r="Y203" s="1">
        <f t="shared" si="11"/>
        <v>0</v>
      </c>
    </row>
    <row r="204" spans="1:25" x14ac:dyDescent="0.25">
      <c r="A204" s="331"/>
      <c r="B204" s="410">
        <v>2007</v>
      </c>
      <c r="C204" s="321" t="s">
        <v>19</v>
      </c>
      <c r="D204" s="424" t="s">
        <v>78</v>
      </c>
      <c r="E204" s="224">
        <v>3</v>
      </c>
      <c r="F204" s="224">
        <v>2</v>
      </c>
      <c r="G204" s="224"/>
      <c r="H204" s="198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199"/>
      <c r="X204" s="1">
        <f t="shared" si="10"/>
        <v>-2</v>
      </c>
      <c r="Y204" s="1">
        <f t="shared" si="11"/>
        <v>0</v>
      </c>
    </row>
    <row r="205" spans="1:25" x14ac:dyDescent="0.25">
      <c r="A205" s="331"/>
      <c r="B205" s="410">
        <v>2007</v>
      </c>
      <c r="C205" s="321" t="s">
        <v>19</v>
      </c>
      <c r="D205" s="424" t="s">
        <v>79</v>
      </c>
      <c r="E205" s="224">
        <v>6</v>
      </c>
      <c r="F205" s="199">
        <v>2</v>
      </c>
      <c r="G205" s="201"/>
      <c r="H205" s="198"/>
      <c r="I205" s="199"/>
      <c r="J205" s="125"/>
      <c r="K205" s="199"/>
      <c r="L205" s="199"/>
      <c r="M205" s="199"/>
      <c r="N205" s="199"/>
      <c r="O205" s="199"/>
      <c r="P205" s="199"/>
      <c r="Q205" s="199"/>
      <c r="R205" s="199"/>
      <c r="S205" s="199"/>
      <c r="T205" s="200"/>
      <c r="U205" s="199"/>
      <c r="V205" s="201"/>
      <c r="X205" s="1">
        <f t="shared" si="10"/>
        <v>-2</v>
      </c>
      <c r="Y205" s="1">
        <f t="shared" si="11"/>
        <v>0</v>
      </c>
    </row>
    <row r="206" spans="1:25" x14ac:dyDescent="0.25">
      <c r="A206" s="331"/>
      <c r="B206" s="410">
        <v>2007</v>
      </c>
      <c r="C206" s="319" t="s">
        <v>24</v>
      </c>
      <c r="D206" s="425" t="s">
        <v>76</v>
      </c>
      <c r="E206" s="203">
        <v>17</v>
      </c>
      <c r="F206" s="202">
        <v>11</v>
      </c>
      <c r="G206" s="205">
        <v>4</v>
      </c>
      <c r="H206" s="23"/>
      <c r="I206" s="202">
        <v>4</v>
      </c>
      <c r="J206" s="203">
        <f t="shared" si="12"/>
        <v>8</v>
      </c>
      <c r="K206" s="202">
        <v>2</v>
      </c>
      <c r="L206" s="202">
        <v>1</v>
      </c>
      <c r="M206" s="202"/>
      <c r="N206" s="202"/>
      <c r="O206" s="202">
        <v>2</v>
      </c>
      <c r="P206" s="202">
        <v>9</v>
      </c>
      <c r="Q206" s="202"/>
      <c r="R206" s="202"/>
      <c r="S206" s="202"/>
      <c r="T206" s="204"/>
      <c r="U206" s="202"/>
      <c r="V206" s="205">
        <v>10</v>
      </c>
      <c r="X206" s="1">
        <f t="shared" si="10"/>
        <v>-11</v>
      </c>
      <c r="Y206" s="1">
        <f t="shared" si="11"/>
        <v>0</v>
      </c>
    </row>
    <row r="207" spans="1:25" x14ac:dyDescent="0.25">
      <c r="A207" s="331"/>
      <c r="B207" s="410">
        <v>2007</v>
      </c>
      <c r="C207" s="319" t="s">
        <v>24</v>
      </c>
      <c r="D207" s="426" t="s">
        <v>77</v>
      </c>
      <c r="E207" s="43">
        <v>11</v>
      </c>
      <c r="F207" s="41">
        <v>3</v>
      </c>
      <c r="G207" s="73"/>
      <c r="H207" s="25"/>
      <c r="I207" s="41"/>
      <c r="J207" s="43"/>
      <c r="K207" s="41"/>
      <c r="L207" s="41"/>
      <c r="M207" s="41"/>
      <c r="N207" s="41"/>
      <c r="O207" s="41"/>
      <c r="P207" s="41"/>
      <c r="Q207" s="41"/>
      <c r="R207" s="41"/>
      <c r="S207" s="41"/>
      <c r="T207" s="58"/>
      <c r="U207" s="41"/>
      <c r="V207" s="73"/>
      <c r="X207" s="1">
        <f t="shared" si="10"/>
        <v>-3</v>
      </c>
      <c r="Y207" s="1">
        <f t="shared" si="11"/>
        <v>0</v>
      </c>
    </row>
    <row r="208" spans="1:25" x14ac:dyDescent="0.25">
      <c r="A208" s="331"/>
      <c r="B208" s="410">
        <v>2007</v>
      </c>
      <c r="C208" s="319" t="s">
        <v>24</v>
      </c>
      <c r="D208" s="427" t="s">
        <v>78</v>
      </c>
      <c r="E208" s="250">
        <v>17</v>
      </c>
      <c r="F208" s="251">
        <v>5</v>
      </c>
      <c r="G208" s="255">
        <v>3</v>
      </c>
      <c r="H208" s="258"/>
      <c r="I208" s="255">
        <v>2</v>
      </c>
      <c r="J208" s="255">
        <v>5</v>
      </c>
      <c r="K208" s="250">
        <v>0</v>
      </c>
      <c r="L208" s="251">
        <v>0</v>
      </c>
      <c r="M208" s="250">
        <v>0</v>
      </c>
      <c r="N208" s="255">
        <v>0</v>
      </c>
      <c r="O208" s="250">
        <v>0</v>
      </c>
      <c r="P208" s="251">
        <v>2</v>
      </c>
      <c r="Q208" s="255">
        <v>0</v>
      </c>
      <c r="R208" s="250">
        <v>0</v>
      </c>
      <c r="S208" s="250">
        <v>0</v>
      </c>
      <c r="T208" s="251">
        <v>0</v>
      </c>
      <c r="U208" s="255">
        <v>0</v>
      </c>
      <c r="V208" s="252">
        <v>3</v>
      </c>
      <c r="X208" s="1">
        <f t="shared" si="10"/>
        <v>-5</v>
      </c>
      <c r="Y208" s="1">
        <f t="shared" si="11"/>
        <v>0</v>
      </c>
    </row>
    <row r="209" spans="1:25" x14ac:dyDescent="0.25">
      <c r="A209" s="331"/>
      <c r="B209" s="410">
        <v>2007</v>
      </c>
      <c r="C209" s="319" t="s">
        <v>24</v>
      </c>
      <c r="D209" s="427" t="s">
        <v>79</v>
      </c>
      <c r="E209" s="207">
        <v>8</v>
      </c>
      <c r="F209" s="62">
        <v>6</v>
      </c>
      <c r="G209" s="209">
        <v>4</v>
      </c>
      <c r="H209" s="206"/>
      <c r="I209" s="62">
        <v>1</v>
      </c>
      <c r="J209" s="207">
        <f t="shared" si="12"/>
        <v>5</v>
      </c>
      <c r="K209" s="62"/>
      <c r="L209" s="62">
        <v>1</v>
      </c>
      <c r="M209" s="62"/>
      <c r="N209" s="62"/>
      <c r="O209" s="62"/>
      <c r="P209" s="62">
        <v>3</v>
      </c>
      <c r="Q209" s="62"/>
      <c r="R209" s="62"/>
      <c r="S209" s="62"/>
      <c r="T209" s="208"/>
      <c r="U209" s="62"/>
      <c r="V209" s="209">
        <v>6</v>
      </c>
      <c r="X209" s="1">
        <f t="shared" si="10"/>
        <v>-6</v>
      </c>
      <c r="Y209" s="1">
        <f t="shared" si="11"/>
        <v>0</v>
      </c>
    </row>
    <row r="210" spans="1:25" x14ac:dyDescent="0.25">
      <c r="A210" s="331"/>
      <c r="B210" s="410">
        <v>2007</v>
      </c>
      <c r="C210" s="318" t="s">
        <v>20</v>
      </c>
      <c r="D210" s="422" t="s">
        <v>76</v>
      </c>
      <c r="E210" s="93">
        <v>115</v>
      </c>
      <c r="F210" s="93">
        <v>45</v>
      </c>
      <c r="G210" s="95">
        <v>17</v>
      </c>
      <c r="H210" s="210">
        <v>13.204000000000001</v>
      </c>
      <c r="I210" s="93">
        <v>16</v>
      </c>
      <c r="J210" s="93">
        <f t="shared" si="12"/>
        <v>33</v>
      </c>
      <c r="K210" s="93">
        <v>8</v>
      </c>
      <c r="L210" s="93">
        <v>4</v>
      </c>
      <c r="M210" s="93"/>
      <c r="N210" s="93"/>
      <c r="O210" s="93">
        <v>2</v>
      </c>
      <c r="P210" s="93">
        <v>32</v>
      </c>
      <c r="Q210" s="93"/>
      <c r="R210" s="93"/>
      <c r="S210" s="93"/>
      <c r="T210" s="94"/>
      <c r="U210" s="93"/>
      <c r="V210" s="95">
        <v>45</v>
      </c>
      <c r="X210" s="1">
        <f t="shared" si="10"/>
        <v>-45</v>
      </c>
      <c r="Y210" s="1">
        <f t="shared" si="11"/>
        <v>0</v>
      </c>
    </row>
    <row r="211" spans="1:25" x14ac:dyDescent="0.25">
      <c r="A211" s="331"/>
      <c r="B211" s="410">
        <v>2007</v>
      </c>
      <c r="C211" s="318" t="s">
        <v>20</v>
      </c>
      <c r="D211" s="423" t="s">
        <v>77</v>
      </c>
      <c r="E211" s="15">
        <v>125</v>
      </c>
      <c r="F211" s="15">
        <v>59</v>
      </c>
      <c r="G211" s="65">
        <v>21</v>
      </c>
      <c r="H211" s="26">
        <v>14.284000000000001</v>
      </c>
      <c r="I211" s="15">
        <v>29</v>
      </c>
      <c r="J211" s="15">
        <f t="shared" si="12"/>
        <v>50</v>
      </c>
      <c r="K211" s="15">
        <v>4</v>
      </c>
      <c r="L211" s="15">
        <v>5</v>
      </c>
      <c r="M211" s="15"/>
      <c r="N211" s="15"/>
      <c r="O211" s="15"/>
      <c r="P211" s="15">
        <v>32</v>
      </c>
      <c r="Q211" s="15"/>
      <c r="R211" s="15"/>
      <c r="S211" s="15"/>
      <c r="T211" s="50"/>
      <c r="U211" s="15"/>
      <c r="V211" s="65">
        <v>58</v>
      </c>
      <c r="X211" s="1">
        <f t="shared" si="10"/>
        <v>-59</v>
      </c>
      <c r="Y211" s="1">
        <f t="shared" si="11"/>
        <v>0</v>
      </c>
    </row>
    <row r="212" spans="1:25" x14ac:dyDescent="0.25">
      <c r="A212" s="331"/>
      <c r="B212" s="410">
        <v>2007</v>
      </c>
      <c r="C212" s="318" t="s">
        <v>20</v>
      </c>
      <c r="D212" s="424" t="s">
        <v>78</v>
      </c>
      <c r="E212" s="234">
        <v>4</v>
      </c>
      <c r="F212" s="234">
        <v>4</v>
      </c>
      <c r="G212" s="234"/>
      <c r="H212" s="235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X212" s="1">
        <f t="shared" si="10"/>
        <v>-4</v>
      </c>
      <c r="Y212" s="1">
        <f t="shared" si="11"/>
        <v>0</v>
      </c>
    </row>
    <row r="213" spans="1:25" x14ac:dyDescent="0.25">
      <c r="A213" s="331"/>
      <c r="B213" s="410">
        <v>2007</v>
      </c>
      <c r="C213" s="318" t="s">
        <v>20</v>
      </c>
      <c r="D213" s="424" t="s">
        <v>79</v>
      </c>
      <c r="E213" s="125">
        <v>80</v>
      </c>
      <c r="F213" s="125">
        <v>42</v>
      </c>
      <c r="G213" s="127">
        <v>21</v>
      </c>
      <c r="H213" s="182">
        <v>13.9796</v>
      </c>
      <c r="I213" s="125">
        <v>10</v>
      </c>
      <c r="J213" s="125">
        <f t="shared" si="12"/>
        <v>31</v>
      </c>
      <c r="K213" s="125">
        <v>9</v>
      </c>
      <c r="L213" s="125">
        <v>2</v>
      </c>
      <c r="M213" s="125"/>
      <c r="N213" s="125"/>
      <c r="O213" s="125"/>
      <c r="P213" s="125">
        <v>23</v>
      </c>
      <c r="Q213" s="125"/>
      <c r="R213" s="125"/>
      <c r="S213" s="125"/>
      <c r="T213" s="126"/>
      <c r="U213" s="125"/>
      <c r="V213" s="127">
        <v>42</v>
      </c>
      <c r="X213" s="1">
        <f t="shared" si="10"/>
        <v>-42</v>
      </c>
      <c r="Y213" s="1">
        <f t="shared" si="11"/>
        <v>0</v>
      </c>
    </row>
    <row r="214" spans="1:25" x14ac:dyDescent="0.25">
      <c r="A214" s="331"/>
      <c r="B214" s="410">
        <v>2007</v>
      </c>
      <c r="C214" s="317" t="s">
        <v>21</v>
      </c>
      <c r="D214" s="425" t="s">
        <v>76</v>
      </c>
      <c r="E214" s="213">
        <v>80</v>
      </c>
      <c r="F214" s="212">
        <v>33</v>
      </c>
      <c r="G214" s="215">
        <v>19</v>
      </c>
      <c r="H214" s="211">
        <v>13.1927</v>
      </c>
      <c r="I214" s="212">
        <v>8</v>
      </c>
      <c r="J214" s="213">
        <f t="shared" si="12"/>
        <v>27</v>
      </c>
      <c r="K214" s="212">
        <v>2</v>
      </c>
      <c r="L214" s="212">
        <v>4</v>
      </c>
      <c r="M214" s="212"/>
      <c r="N214" s="212"/>
      <c r="O214" s="212"/>
      <c r="P214" s="212">
        <v>19</v>
      </c>
      <c r="Q214" s="212"/>
      <c r="R214" s="212"/>
      <c r="S214" s="212"/>
      <c r="T214" s="214"/>
      <c r="U214" s="212"/>
      <c r="V214" s="215">
        <v>33</v>
      </c>
      <c r="X214" s="1">
        <f t="shared" si="10"/>
        <v>-33</v>
      </c>
      <c r="Y214" s="1">
        <f t="shared" si="11"/>
        <v>0</v>
      </c>
    </row>
    <row r="215" spans="1:25" x14ac:dyDescent="0.25">
      <c r="A215" s="331"/>
      <c r="B215" s="410">
        <v>2007</v>
      </c>
      <c r="C215" s="317" t="s">
        <v>21</v>
      </c>
      <c r="D215" s="426" t="s">
        <v>77</v>
      </c>
      <c r="E215" s="44">
        <v>224</v>
      </c>
      <c r="F215" s="42">
        <v>75</v>
      </c>
      <c r="G215" s="74">
        <v>39</v>
      </c>
      <c r="H215" s="34">
        <v>12.1509</v>
      </c>
      <c r="I215" s="42">
        <v>24</v>
      </c>
      <c r="J215" s="44">
        <f t="shared" si="12"/>
        <v>63</v>
      </c>
      <c r="K215" s="42">
        <v>1</v>
      </c>
      <c r="L215" s="42">
        <v>11</v>
      </c>
      <c r="M215" s="42"/>
      <c r="N215" s="42"/>
      <c r="O215" s="42"/>
      <c r="P215" s="42">
        <v>57</v>
      </c>
      <c r="Q215" s="42"/>
      <c r="R215" s="42"/>
      <c r="S215" s="42"/>
      <c r="T215" s="59"/>
      <c r="U215" s="42"/>
      <c r="V215" s="74">
        <v>74</v>
      </c>
      <c r="X215" s="1">
        <f t="shared" si="10"/>
        <v>-75</v>
      </c>
      <c r="Y215" s="1">
        <f t="shared" si="11"/>
        <v>0</v>
      </c>
    </row>
    <row r="216" spans="1:25" x14ac:dyDescent="0.25">
      <c r="A216" s="331"/>
      <c r="B216" s="410">
        <v>2007</v>
      </c>
      <c r="C216" s="317" t="s">
        <v>21</v>
      </c>
      <c r="D216" s="427" t="s">
        <v>78</v>
      </c>
      <c r="E216" s="255">
        <v>26</v>
      </c>
      <c r="F216" s="250">
        <v>14</v>
      </c>
      <c r="G216" s="250">
        <v>10</v>
      </c>
      <c r="H216" s="257">
        <v>25.606299999999997</v>
      </c>
      <c r="I216" s="250">
        <v>1</v>
      </c>
      <c r="J216" s="250">
        <v>11</v>
      </c>
      <c r="K216" s="251">
        <v>1</v>
      </c>
      <c r="L216" s="250">
        <v>2</v>
      </c>
      <c r="M216" s="250">
        <v>0</v>
      </c>
      <c r="N216" s="250">
        <v>0</v>
      </c>
      <c r="O216" s="250">
        <v>0</v>
      </c>
      <c r="P216" s="254">
        <v>10</v>
      </c>
      <c r="Q216" s="250">
        <v>0</v>
      </c>
      <c r="R216" s="251">
        <v>0</v>
      </c>
      <c r="S216" s="255">
        <v>0</v>
      </c>
      <c r="T216" s="250">
        <v>0</v>
      </c>
      <c r="U216" s="251">
        <v>0</v>
      </c>
      <c r="V216" s="252">
        <v>14</v>
      </c>
      <c r="X216" s="1">
        <f t="shared" si="10"/>
        <v>-14</v>
      </c>
      <c r="Y216" s="1">
        <f t="shared" si="11"/>
        <v>0</v>
      </c>
    </row>
    <row r="217" spans="1:25" x14ac:dyDescent="0.25">
      <c r="A217" s="331"/>
      <c r="B217" s="410">
        <v>2007</v>
      </c>
      <c r="C217" s="317" t="s">
        <v>21</v>
      </c>
      <c r="D217" s="427" t="s">
        <v>79</v>
      </c>
      <c r="E217" s="217">
        <v>153</v>
      </c>
      <c r="F217" s="216">
        <v>84</v>
      </c>
      <c r="G217" s="219">
        <v>46</v>
      </c>
      <c r="H217" s="27">
        <v>14.7194</v>
      </c>
      <c r="I217" s="216">
        <v>19</v>
      </c>
      <c r="J217" s="217">
        <f t="shared" si="12"/>
        <v>65</v>
      </c>
      <c r="K217" s="216">
        <v>9</v>
      </c>
      <c r="L217" s="216">
        <v>10</v>
      </c>
      <c r="M217" s="216"/>
      <c r="N217" s="216"/>
      <c r="O217" s="216"/>
      <c r="P217" s="216">
        <v>57</v>
      </c>
      <c r="Q217" s="216"/>
      <c r="R217" s="216"/>
      <c r="S217" s="216"/>
      <c r="T217" s="218"/>
      <c r="U217" s="216"/>
      <c r="V217" s="219">
        <v>80</v>
      </c>
      <c r="X217" s="1">
        <f t="shared" si="10"/>
        <v>-84</v>
      </c>
      <c r="Y217" s="1">
        <f t="shared" si="11"/>
        <v>0</v>
      </c>
    </row>
    <row r="218" spans="1:25" x14ac:dyDescent="0.25">
      <c r="A218" s="331"/>
      <c r="B218" s="410">
        <v>2007</v>
      </c>
      <c r="C218" s="322" t="s">
        <v>22</v>
      </c>
      <c r="D218" s="425" t="s">
        <v>76</v>
      </c>
      <c r="E218" s="222">
        <v>35</v>
      </c>
      <c r="F218" s="184">
        <v>26</v>
      </c>
      <c r="G218" s="187">
        <v>19</v>
      </c>
      <c r="H218" s="183">
        <v>17.130700000000001</v>
      </c>
      <c r="I218" s="184">
        <v>1</v>
      </c>
      <c r="J218" s="93">
        <f t="shared" si="12"/>
        <v>20</v>
      </c>
      <c r="K218" s="184">
        <v>3</v>
      </c>
      <c r="L218" s="184">
        <v>3</v>
      </c>
      <c r="M218" s="184"/>
      <c r="N218" s="184"/>
      <c r="O218" s="184"/>
      <c r="P218" s="184">
        <v>13</v>
      </c>
      <c r="Q218" s="184"/>
      <c r="R218" s="184"/>
      <c r="S218" s="184"/>
      <c r="T218" s="186"/>
      <c r="U218" s="184"/>
      <c r="V218" s="187">
        <v>23</v>
      </c>
      <c r="X218" s="1">
        <f t="shared" si="10"/>
        <v>-26</v>
      </c>
      <c r="Y218" s="1">
        <f t="shared" si="11"/>
        <v>0</v>
      </c>
    </row>
    <row r="219" spans="1:25" x14ac:dyDescent="0.25">
      <c r="A219" s="331"/>
      <c r="B219" s="410">
        <v>2007</v>
      </c>
      <c r="C219" s="322" t="s">
        <v>22</v>
      </c>
      <c r="D219" s="426" t="s">
        <v>77</v>
      </c>
      <c r="E219" s="223">
        <v>58</v>
      </c>
      <c r="F219" s="40">
        <v>38</v>
      </c>
      <c r="G219" s="72">
        <v>18</v>
      </c>
      <c r="H219" s="24">
        <v>18.580500000000001</v>
      </c>
      <c r="I219" s="40">
        <v>9</v>
      </c>
      <c r="J219" s="15">
        <f t="shared" si="12"/>
        <v>27</v>
      </c>
      <c r="K219" s="40">
        <v>10</v>
      </c>
      <c r="L219" s="40">
        <v>1</v>
      </c>
      <c r="M219" s="40"/>
      <c r="N219" s="40"/>
      <c r="O219" s="40"/>
      <c r="P219" s="40">
        <v>12</v>
      </c>
      <c r="Q219" s="40"/>
      <c r="R219" s="40"/>
      <c r="S219" s="40"/>
      <c r="T219" s="57"/>
      <c r="U219" s="40"/>
      <c r="V219" s="72">
        <v>34</v>
      </c>
      <c r="X219" s="1">
        <f t="shared" si="10"/>
        <v>-38</v>
      </c>
      <c r="Y219" s="1">
        <f t="shared" si="11"/>
        <v>0</v>
      </c>
    </row>
    <row r="220" spans="1:25" x14ac:dyDescent="0.25">
      <c r="A220" s="331"/>
      <c r="B220" s="410">
        <v>2007</v>
      </c>
      <c r="C220" s="322" t="s">
        <v>22</v>
      </c>
      <c r="D220" s="427" t="s">
        <v>78</v>
      </c>
      <c r="E220" s="224">
        <v>7</v>
      </c>
      <c r="F220" s="224">
        <v>5</v>
      </c>
      <c r="G220" s="224">
        <v>3</v>
      </c>
      <c r="H220" s="198"/>
      <c r="I220" s="224">
        <v>1</v>
      </c>
      <c r="J220" s="224">
        <v>4</v>
      </c>
      <c r="K220" s="224">
        <v>1</v>
      </c>
      <c r="L220" s="224">
        <v>0</v>
      </c>
      <c r="M220" s="224">
        <v>0</v>
      </c>
      <c r="N220" s="224">
        <v>0</v>
      </c>
      <c r="O220" s="224">
        <v>0</v>
      </c>
      <c r="P220" s="199">
        <v>5</v>
      </c>
      <c r="Q220" s="224">
        <v>0</v>
      </c>
      <c r="R220" s="224">
        <v>0</v>
      </c>
      <c r="S220" s="224">
        <v>0</v>
      </c>
      <c r="T220" s="224">
        <v>0</v>
      </c>
      <c r="U220" s="224">
        <v>0</v>
      </c>
      <c r="V220" s="199">
        <v>4</v>
      </c>
      <c r="X220" s="1">
        <f t="shared" si="10"/>
        <v>-5</v>
      </c>
      <c r="Y220" s="1">
        <f t="shared" si="11"/>
        <v>0</v>
      </c>
    </row>
    <row r="221" spans="1:25" x14ac:dyDescent="0.25">
      <c r="A221" s="331"/>
      <c r="B221" s="410">
        <v>2007</v>
      </c>
      <c r="C221" s="322" t="s">
        <v>22</v>
      </c>
      <c r="D221" s="427" t="s">
        <v>79</v>
      </c>
      <c r="E221" s="224">
        <v>56</v>
      </c>
      <c r="F221" s="199">
        <v>33</v>
      </c>
      <c r="G221" s="201">
        <v>17</v>
      </c>
      <c r="H221" s="198">
        <v>18.368500000000001</v>
      </c>
      <c r="I221" s="199">
        <v>4</v>
      </c>
      <c r="J221" s="125">
        <f t="shared" si="12"/>
        <v>21</v>
      </c>
      <c r="K221" s="199">
        <v>7</v>
      </c>
      <c r="L221" s="199">
        <v>5</v>
      </c>
      <c r="M221" s="199"/>
      <c r="N221" s="199"/>
      <c r="O221" s="199"/>
      <c r="P221" s="199">
        <v>12</v>
      </c>
      <c r="Q221" s="199"/>
      <c r="R221" s="199"/>
      <c r="S221" s="199"/>
      <c r="T221" s="200"/>
      <c r="U221" s="199"/>
      <c r="V221" s="201">
        <v>31</v>
      </c>
      <c r="X221" s="1">
        <f t="shared" si="10"/>
        <v>-33</v>
      </c>
      <c r="Y221" s="1">
        <f t="shared" si="11"/>
        <v>0</v>
      </c>
    </row>
    <row r="222" spans="1:25" x14ac:dyDescent="0.25">
      <c r="A222" s="331"/>
      <c r="B222" s="410">
        <v>2007</v>
      </c>
      <c r="C222" s="320" t="s">
        <v>23</v>
      </c>
      <c r="D222" s="422" t="s">
        <v>76</v>
      </c>
      <c r="E222" s="203">
        <v>19</v>
      </c>
      <c r="F222" s="202">
        <v>11</v>
      </c>
      <c r="G222" s="205">
        <v>10</v>
      </c>
      <c r="H222" s="23">
        <v>23.6</v>
      </c>
      <c r="I222" s="202"/>
      <c r="J222" s="203">
        <f t="shared" si="12"/>
        <v>10</v>
      </c>
      <c r="K222" s="202">
        <v>1</v>
      </c>
      <c r="L222" s="202"/>
      <c r="M222" s="202"/>
      <c r="N222" s="202"/>
      <c r="O222" s="202"/>
      <c r="P222" s="202"/>
      <c r="Q222" s="202"/>
      <c r="R222" s="202"/>
      <c r="S222" s="202"/>
      <c r="T222" s="204"/>
      <c r="U222" s="202"/>
      <c r="V222" s="205">
        <v>11</v>
      </c>
      <c r="X222" s="1">
        <f t="shared" si="10"/>
        <v>-11</v>
      </c>
      <c r="Y222" s="1">
        <f t="shared" si="11"/>
        <v>0</v>
      </c>
    </row>
    <row r="223" spans="1:25" x14ac:dyDescent="0.25">
      <c r="A223" s="331"/>
      <c r="B223" s="410">
        <v>2007</v>
      </c>
      <c r="C223" s="320" t="s">
        <v>23</v>
      </c>
      <c r="D223" s="423" t="s">
        <v>77</v>
      </c>
      <c r="E223" s="43">
        <v>73</v>
      </c>
      <c r="F223" s="41">
        <v>43</v>
      </c>
      <c r="G223" s="73">
        <v>39</v>
      </c>
      <c r="H223" s="25">
        <v>23.276199999999999</v>
      </c>
      <c r="I223" s="41">
        <v>3</v>
      </c>
      <c r="J223" s="43">
        <f t="shared" si="12"/>
        <v>42</v>
      </c>
      <c r="K223" s="41">
        <v>1</v>
      </c>
      <c r="L223" s="41"/>
      <c r="M223" s="41"/>
      <c r="N223" s="41"/>
      <c r="O223" s="41"/>
      <c r="P223" s="41">
        <v>8</v>
      </c>
      <c r="Q223" s="41"/>
      <c r="R223" s="41"/>
      <c r="S223" s="41"/>
      <c r="T223" s="58"/>
      <c r="U223" s="41"/>
      <c r="V223" s="73">
        <v>43</v>
      </c>
      <c r="X223" s="1">
        <f t="shared" si="10"/>
        <v>-43</v>
      </c>
      <c r="Y223" s="1">
        <f t="shared" si="11"/>
        <v>0</v>
      </c>
    </row>
    <row r="224" spans="1:25" x14ac:dyDescent="0.25">
      <c r="A224" s="331"/>
      <c r="B224" s="410">
        <v>2007</v>
      </c>
      <c r="C224" s="320" t="s">
        <v>23</v>
      </c>
      <c r="D224" s="424" t="s">
        <v>78</v>
      </c>
      <c r="E224" s="250">
        <v>14</v>
      </c>
      <c r="F224" s="251">
        <v>10</v>
      </c>
      <c r="G224" s="252">
        <v>8</v>
      </c>
      <c r="H224" s="253">
        <v>30</v>
      </c>
      <c r="I224" s="252">
        <v>0</v>
      </c>
      <c r="J224" s="250">
        <v>8</v>
      </c>
      <c r="K224" s="250">
        <v>1</v>
      </c>
      <c r="L224" s="254">
        <v>1</v>
      </c>
      <c r="M224" s="255">
        <v>0</v>
      </c>
      <c r="N224" s="255">
        <v>0</v>
      </c>
      <c r="O224" s="255">
        <v>0</v>
      </c>
      <c r="P224" s="256">
        <v>1</v>
      </c>
      <c r="Q224" s="255">
        <v>0</v>
      </c>
      <c r="R224" s="250">
        <v>0</v>
      </c>
      <c r="S224" s="251">
        <v>0</v>
      </c>
      <c r="T224" s="255">
        <v>0</v>
      </c>
      <c r="U224" s="255">
        <v>0</v>
      </c>
      <c r="V224" s="252">
        <v>10</v>
      </c>
      <c r="X224" s="1">
        <f t="shared" si="10"/>
        <v>-10</v>
      </c>
      <c r="Y224" s="1">
        <f t="shared" si="11"/>
        <v>0</v>
      </c>
    </row>
    <row r="225" spans="1:25" x14ac:dyDescent="0.25">
      <c r="A225" s="331"/>
      <c r="B225" s="410">
        <v>2007</v>
      </c>
      <c r="C225" s="320" t="s">
        <v>23</v>
      </c>
      <c r="D225" s="424" t="s">
        <v>79</v>
      </c>
      <c r="E225" s="207">
        <v>91</v>
      </c>
      <c r="F225" s="62">
        <v>69</v>
      </c>
      <c r="G225" s="209">
        <v>64</v>
      </c>
      <c r="H225" s="206">
        <v>25.558599999999998</v>
      </c>
      <c r="I225" s="62"/>
      <c r="J225" s="207">
        <f t="shared" si="12"/>
        <v>64</v>
      </c>
      <c r="K225" s="62">
        <v>5</v>
      </c>
      <c r="L225" s="62"/>
      <c r="M225" s="62"/>
      <c r="N225" s="62"/>
      <c r="O225" s="62"/>
      <c r="P225" s="62">
        <v>5</v>
      </c>
      <c r="Q225" s="62"/>
      <c r="R225" s="62"/>
      <c r="S225" s="62"/>
      <c r="T225" s="208"/>
      <c r="U225" s="62"/>
      <c r="V225" s="209">
        <v>69</v>
      </c>
      <c r="X225" s="1">
        <f t="shared" si="10"/>
        <v>-69</v>
      </c>
      <c r="Y225" s="1">
        <f t="shared" si="11"/>
        <v>0</v>
      </c>
    </row>
    <row r="226" spans="1:25" x14ac:dyDescent="0.25">
      <c r="A226" s="60"/>
      <c r="B226" s="60"/>
      <c r="C226" s="60"/>
      <c r="D226" s="428"/>
      <c r="E226" s="60"/>
      <c r="F226" s="60"/>
      <c r="G226" s="60"/>
      <c r="H226" s="226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</row>
    <row r="227" spans="1:25" x14ac:dyDescent="0.25">
      <c r="G227" s="36"/>
    </row>
    <row r="331" spans="3:7" x14ac:dyDescent="0.25">
      <c r="C331" s="35"/>
      <c r="F331" s="35"/>
      <c r="G331" s="36"/>
    </row>
  </sheetData>
  <autoFilter ref="A1:Y225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0"/>
  <sheetViews>
    <sheetView workbookViewId="0">
      <pane xSplit="1" topLeftCell="B1" activePane="topRight" state="frozen"/>
      <selection activeCell="Q31" sqref="Q31"/>
      <selection pane="topRight" activeCell="E22" sqref="E22"/>
    </sheetView>
  </sheetViews>
  <sheetFormatPr defaultRowHeight="15" x14ac:dyDescent="0.25"/>
  <cols>
    <col min="1" max="1" width="33" customWidth="1"/>
    <col min="2" max="2" width="26.28515625" customWidth="1"/>
    <col min="3" max="3" width="19.42578125" customWidth="1"/>
    <col min="4" max="4" width="52.85546875" style="358" customWidth="1"/>
    <col min="5" max="5" width="21.7109375" customWidth="1"/>
    <col min="6" max="6" width="22" customWidth="1"/>
    <col min="7" max="7" width="55.42578125" customWidth="1"/>
    <col min="8" max="8" width="29.7109375" customWidth="1"/>
    <col min="9" max="9" width="31.28515625" customWidth="1"/>
    <col min="10" max="10" width="33.140625" customWidth="1"/>
    <col min="11" max="11" width="48.140625" customWidth="1"/>
  </cols>
  <sheetData>
    <row r="1" spans="1:11" x14ac:dyDescent="0.25">
      <c r="B1" s="276" t="s">
        <v>46</v>
      </c>
      <c r="D1"/>
    </row>
    <row r="2" spans="1:11" x14ac:dyDescent="0.25">
      <c r="A2" s="276" t="s">
        <v>29</v>
      </c>
      <c r="B2" t="s">
        <v>55</v>
      </c>
      <c r="C2" t="s">
        <v>54</v>
      </c>
      <c r="D2" t="s">
        <v>53</v>
      </c>
      <c r="E2" t="s">
        <v>52</v>
      </c>
      <c r="F2" t="s">
        <v>51</v>
      </c>
      <c r="G2" t="s">
        <v>50</v>
      </c>
      <c r="H2" t="s">
        <v>49</v>
      </c>
      <c r="I2" t="s">
        <v>48</v>
      </c>
      <c r="J2" t="s">
        <v>47</v>
      </c>
      <c r="K2" t="s">
        <v>81</v>
      </c>
    </row>
    <row r="3" spans="1:11" x14ac:dyDescent="0.25">
      <c r="A3" s="277">
        <v>2013</v>
      </c>
      <c r="B3" s="344">
        <v>1409</v>
      </c>
      <c r="C3" s="344">
        <v>767</v>
      </c>
      <c r="D3" s="358">
        <v>300.65499999999997</v>
      </c>
      <c r="E3" s="344">
        <v>567</v>
      </c>
      <c r="F3" s="344">
        <v>9</v>
      </c>
      <c r="G3" s="344">
        <v>424</v>
      </c>
      <c r="H3" s="344">
        <v>149</v>
      </c>
      <c r="I3" s="344">
        <v>478</v>
      </c>
      <c r="J3" s="344">
        <v>464</v>
      </c>
      <c r="K3" s="344">
        <v>705</v>
      </c>
    </row>
    <row r="4" spans="1:11" x14ac:dyDescent="0.25">
      <c r="A4" s="278" t="s">
        <v>17</v>
      </c>
      <c r="B4" s="344">
        <v>62</v>
      </c>
      <c r="C4" s="344">
        <v>34</v>
      </c>
      <c r="E4" s="344">
        <v>17</v>
      </c>
      <c r="F4" s="344">
        <v>0</v>
      </c>
      <c r="G4" s="344">
        <v>14</v>
      </c>
      <c r="H4" s="344">
        <v>4</v>
      </c>
      <c r="I4" s="344">
        <v>0</v>
      </c>
      <c r="J4" s="344">
        <v>0</v>
      </c>
      <c r="K4" s="344">
        <v>23</v>
      </c>
    </row>
    <row r="5" spans="1:11" x14ac:dyDescent="0.25">
      <c r="A5" s="279" t="s">
        <v>76</v>
      </c>
      <c r="B5" s="344">
        <v>7</v>
      </c>
      <c r="C5" s="344">
        <v>5</v>
      </c>
      <c r="E5" s="344">
        <v>4</v>
      </c>
      <c r="F5" s="344">
        <v>0</v>
      </c>
      <c r="G5" s="344">
        <v>0</v>
      </c>
      <c r="H5" s="344">
        <v>0</v>
      </c>
      <c r="I5" s="344">
        <v>0</v>
      </c>
      <c r="J5" s="344">
        <v>0</v>
      </c>
      <c r="K5" s="344">
        <v>5</v>
      </c>
    </row>
    <row r="6" spans="1:11" x14ac:dyDescent="0.25">
      <c r="A6" s="279" t="s">
        <v>77</v>
      </c>
      <c r="B6" s="344">
        <v>13</v>
      </c>
      <c r="C6" s="344">
        <v>9</v>
      </c>
      <c r="E6" s="344">
        <v>5</v>
      </c>
      <c r="F6" s="344">
        <v>0</v>
      </c>
      <c r="G6" s="344">
        <v>8</v>
      </c>
      <c r="H6" s="344">
        <v>3</v>
      </c>
      <c r="I6" s="344">
        <v>0</v>
      </c>
      <c r="J6" s="344">
        <v>0</v>
      </c>
      <c r="K6" s="344">
        <v>9</v>
      </c>
    </row>
    <row r="7" spans="1:11" x14ac:dyDescent="0.25">
      <c r="A7" s="279" t="s">
        <v>78</v>
      </c>
      <c r="B7" s="344">
        <v>36</v>
      </c>
      <c r="C7" s="344">
        <v>16</v>
      </c>
      <c r="E7" s="344">
        <v>8</v>
      </c>
      <c r="F7" s="344">
        <v>0</v>
      </c>
      <c r="G7" s="344">
        <v>6</v>
      </c>
      <c r="H7" s="344">
        <v>1</v>
      </c>
      <c r="I7" s="344">
        <v>0</v>
      </c>
      <c r="J7" s="344">
        <v>0</v>
      </c>
      <c r="K7" s="344">
        <v>9</v>
      </c>
    </row>
    <row r="8" spans="1:11" x14ac:dyDescent="0.25">
      <c r="A8" s="279" t="s">
        <v>79</v>
      </c>
      <c r="B8" s="344">
        <v>6</v>
      </c>
      <c r="C8" s="344">
        <v>4</v>
      </c>
      <c r="E8" s="344"/>
      <c r="F8" s="344"/>
      <c r="G8" s="344"/>
      <c r="H8" s="344"/>
      <c r="I8" s="344"/>
      <c r="J8" s="344"/>
      <c r="K8" s="344"/>
    </row>
    <row r="9" spans="1:11" x14ac:dyDescent="0.25">
      <c r="A9" s="278" t="s">
        <v>18</v>
      </c>
      <c r="B9" s="344">
        <v>109</v>
      </c>
      <c r="C9" s="344">
        <v>43</v>
      </c>
      <c r="D9" s="358">
        <v>26.72</v>
      </c>
      <c r="E9" s="344">
        <v>31</v>
      </c>
      <c r="F9" s="344">
        <v>1</v>
      </c>
      <c r="G9" s="344">
        <v>20</v>
      </c>
      <c r="H9" s="344">
        <v>4</v>
      </c>
      <c r="I9" s="344">
        <v>10</v>
      </c>
      <c r="J9" s="344">
        <v>10</v>
      </c>
      <c r="K9" s="344">
        <v>42</v>
      </c>
    </row>
    <row r="10" spans="1:11" x14ac:dyDescent="0.25">
      <c r="A10" s="279" t="s">
        <v>76</v>
      </c>
      <c r="B10" s="344"/>
      <c r="C10" s="344"/>
      <c r="E10" s="344"/>
      <c r="F10" s="344"/>
      <c r="G10" s="344"/>
      <c r="H10" s="344"/>
      <c r="I10" s="344"/>
      <c r="J10" s="344"/>
      <c r="K10" s="344"/>
    </row>
    <row r="11" spans="1:11" x14ac:dyDescent="0.25">
      <c r="A11" s="279" t="s">
        <v>77</v>
      </c>
      <c r="B11" s="344">
        <v>32</v>
      </c>
      <c r="C11" s="344">
        <v>10</v>
      </c>
      <c r="D11" s="358">
        <v>14.72</v>
      </c>
      <c r="E11" s="344">
        <v>7</v>
      </c>
      <c r="F11" s="344">
        <v>0</v>
      </c>
      <c r="G11" s="344">
        <v>4</v>
      </c>
      <c r="H11" s="344">
        <v>0</v>
      </c>
      <c r="I11" s="344">
        <v>2</v>
      </c>
      <c r="J11" s="344">
        <v>2</v>
      </c>
      <c r="K11" s="344">
        <v>10</v>
      </c>
    </row>
    <row r="12" spans="1:11" x14ac:dyDescent="0.25">
      <c r="A12" s="279" t="s">
        <v>78</v>
      </c>
      <c r="B12" s="344"/>
      <c r="C12" s="344"/>
      <c r="E12" s="344"/>
      <c r="F12" s="344"/>
      <c r="G12" s="344"/>
      <c r="H12" s="344"/>
      <c r="I12" s="344"/>
      <c r="J12" s="344"/>
      <c r="K12" s="344"/>
    </row>
    <row r="13" spans="1:11" x14ac:dyDescent="0.25">
      <c r="A13" s="279" t="s">
        <v>79</v>
      </c>
      <c r="B13" s="344">
        <v>77</v>
      </c>
      <c r="C13" s="344">
        <v>33</v>
      </c>
      <c r="D13" s="358">
        <v>12</v>
      </c>
      <c r="E13" s="344">
        <v>24</v>
      </c>
      <c r="F13" s="344">
        <v>1</v>
      </c>
      <c r="G13" s="344">
        <v>16</v>
      </c>
      <c r="H13" s="344">
        <v>4</v>
      </c>
      <c r="I13" s="344">
        <v>8</v>
      </c>
      <c r="J13" s="344">
        <v>8</v>
      </c>
      <c r="K13" s="344">
        <v>32</v>
      </c>
    </row>
    <row r="14" spans="1:11" x14ac:dyDescent="0.25">
      <c r="A14" s="278" t="s">
        <v>19</v>
      </c>
      <c r="B14" s="344">
        <v>108</v>
      </c>
      <c r="C14" s="344">
        <v>61</v>
      </c>
      <c r="D14" s="358">
        <v>30.75</v>
      </c>
      <c r="E14" s="344">
        <v>48</v>
      </c>
      <c r="F14" s="344">
        <v>1</v>
      </c>
      <c r="G14" s="344">
        <v>37</v>
      </c>
      <c r="H14" s="344">
        <v>10</v>
      </c>
      <c r="I14" s="344">
        <v>8</v>
      </c>
      <c r="J14" s="344">
        <v>8</v>
      </c>
      <c r="K14" s="344">
        <v>57</v>
      </c>
    </row>
    <row r="15" spans="1:11" x14ac:dyDescent="0.25">
      <c r="A15" s="279" t="s">
        <v>76</v>
      </c>
      <c r="B15" s="344">
        <v>9</v>
      </c>
      <c r="C15" s="344">
        <v>6</v>
      </c>
      <c r="E15" s="344">
        <v>5</v>
      </c>
      <c r="F15" s="344">
        <v>1</v>
      </c>
      <c r="G15" s="344">
        <v>3</v>
      </c>
      <c r="H15" s="344">
        <v>2</v>
      </c>
      <c r="I15" s="344">
        <v>2</v>
      </c>
      <c r="J15" s="344">
        <v>2</v>
      </c>
      <c r="K15" s="344">
        <v>6</v>
      </c>
    </row>
    <row r="16" spans="1:11" x14ac:dyDescent="0.25">
      <c r="A16" s="279" t="s">
        <v>77</v>
      </c>
      <c r="B16" s="344">
        <v>28</v>
      </c>
      <c r="C16" s="344">
        <v>19</v>
      </c>
      <c r="D16" s="358">
        <v>14.75</v>
      </c>
      <c r="E16" s="344">
        <v>19</v>
      </c>
      <c r="F16" s="344">
        <v>0</v>
      </c>
      <c r="G16" s="344">
        <v>12</v>
      </c>
      <c r="H16" s="344">
        <v>3</v>
      </c>
      <c r="I16" s="344">
        <v>3</v>
      </c>
      <c r="J16" s="344">
        <v>3</v>
      </c>
      <c r="K16" s="344">
        <v>18</v>
      </c>
    </row>
    <row r="17" spans="1:11" x14ac:dyDescent="0.25">
      <c r="A17" s="279" t="s">
        <v>78</v>
      </c>
      <c r="B17" s="344">
        <v>55</v>
      </c>
      <c r="C17" s="344">
        <v>26</v>
      </c>
      <c r="D17" s="358">
        <v>16</v>
      </c>
      <c r="E17" s="344">
        <v>20</v>
      </c>
      <c r="F17" s="344">
        <v>0</v>
      </c>
      <c r="G17" s="344">
        <v>14</v>
      </c>
      <c r="H17" s="344">
        <v>1</v>
      </c>
      <c r="I17" s="344">
        <v>2</v>
      </c>
      <c r="J17" s="344">
        <v>2</v>
      </c>
      <c r="K17" s="344">
        <v>25</v>
      </c>
    </row>
    <row r="18" spans="1:11" x14ac:dyDescent="0.25">
      <c r="A18" s="279" t="s">
        <v>79</v>
      </c>
      <c r="B18" s="344">
        <v>16</v>
      </c>
      <c r="C18" s="344">
        <v>10</v>
      </c>
      <c r="E18" s="344">
        <v>4</v>
      </c>
      <c r="F18" s="344">
        <v>0</v>
      </c>
      <c r="G18" s="344">
        <v>8</v>
      </c>
      <c r="H18" s="344">
        <v>4</v>
      </c>
      <c r="I18" s="344">
        <v>1</v>
      </c>
      <c r="J18" s="344">
        <v>1</v>
      </c>
      <c r="K18" s="344">
        <v>8</v>
      </c>
    </row>
    <row r="19" spans="1:11" x14ac:dyDescent="0.25">
      <c r="A19" s="278" t="s">
        <v>24</v>
      </c>
      <c r="B19" s="344">
        <v>169</v>
      </c>
      <c r="C19" s="344">
        <v>112</v>
      </c>
      <c r="D19" s="358">
        <v>52.41</v>
      </c>
      <c r="E19" s="344">
        <v>69</v>
      </c>
      <c r="F19" s="344">
        <v>0</v>
      </c>
      <c r="G19" s="344">
        <v>61</v>
      </c>
      <c r="H19" s="344">
        <v>12</v>
      </c>
      <c r="I19" s="344">
        <v>23</v>
      </c>
      <c r="J19" s="344">
        <v>20</v>
      </c>
      <c r="K19" s="344">
        <v>96</v>
      </c>
    </row>
    <row r="20" spans="1:11" x14ac:dyDescent="0.25">
      <c r="A20" s="279" t="s">
        <v>76</v>
      </c>
      <c r="B20" s="344">
        <v>31</v>
      </c>
      <c r="C20" s="344">
        <v>24</v>
      </c>
      <c r="D20" s="358">
        <v>13</v>
      </c>
      <c r="E20" s="344">
        <v>16</v>
      </c>
      <c r="F20" s="344">
        <v>0</v>
      </c>
      <c r="G20" s="344">
        <v>15</v>
      </c>
      <c r="H20" s="344">
        <v>4</v>
      </c>
      <c r="I20" s="344">
        <v>3</v>
      </c>
      <c r="J20" s="344">
        <v>3</v>
      </c>
      <c r="K20" s="344">
        <v>18</v>
      </c>
    </row>
    <row r="21" spans="1:11" x14ac:dyDescent="0.25">
      <c r="A21" s="279" t="s">
        <v>77</v>
      </c>
      <c r="B21" s="344">
        <v>53</v>
      </c>
      <c r="C21" s="344">
        <v>38</v>
      </c>
      <c r="D21" s="358">
        <v>17</v>
      </c>
      <c r="E21" s="344">
        <v>22</v>
      </c>
      <c r="F21" s="344">
        <v>0</v>
      </c>
      <c r="G21" s="344">
        <v>24</v>
      </c>
      <c r="H21" s="344">
        <v>2</v>
      </c>
      <c r="I21" s="344">
        <v>13</v>
      </c>
      <c r="J21" s="344">
        <v>11</v>
      </c>
      <c r="K21" s="344">
        <v>36</v>
      </c>
    </row>
    <row r="22" spans="1:11" x14ac:dyDescent="0.25">
      <c r="A22" s="279" t="s">
        <v>78</v>
      </c>
      <c r="B22" s="344">
        <v>55</v>
      </c>
      <c r="C22" s="344">
        <v>33</v>
      </c>
      <c r="D22" s="358">
        <v>22.41</v>
      </c>
      <c r="E22" s="344">
        <v>24</v>
      </c>
      <c r="F22" s="344">
        <v>0</v>
      </c>
      <c r="G22" s="344">
        <v>11</v>
      </c>
      <c r="H22" s="344">
        <v>4</v>
      </c>
      <c r="I22" s="344">
        <v>3</v>
      </c>
      <c r="J22" s="344">
        <v>3</v>
      </c>
      <c r="K22" s="344">
        <v>29</v>
      </c>
    </row>
    <row r="23" spans="1:11" x14ac:dyDescent="0.25">
      <c r="A23" s="279" t="s">
        <v>79</v>
      </c>
      <c r="B23" s="344">
        <v>30</v>
      </c>
      <c r="C23" s="344">
        <v>17</v>
      </c>
      <c r="E23" s="344">
        <v>7</v>
      </c>
      <c r="F23" s="344">
        <v>0</v>
      </c>
      <c r="G23" s="344">
        <v>11</v>
      </c>
      <c r="H23" s="344">
        <v>2</v>
      </c>
      <c r="I23" s="344">
        <v>4</v>
      </c>
      <c r="J23" s="344">
        <v>3</v>
      </c>
      <c r="K23" s="344">
        <v>13</v>
      </c>
    </row>
    <row r="24" spans="1:11" x14ac:dyDescent="0.25">
      <c r="A24" s="278" t="s">
        <v>20</v>
      </c>
      <c r="B24" s="344">
        <v>325</v>
      </c>
      <c r="C24" s="344">
        <v>152</v>
      </c>
      <c r="D24" s="358">
        <v>51.43</v>
      </c>
      <c r="E24" s="344">
        <v>110</v>
      </c>
      <c r="F24" s="344">
        <v>5</v>
      </c>
      <c r="G24" s="344">
        <v>83</v>
      </c>
      <c r="H24" s="344">
        <v>52</v>
      </c>
      <c r="I24" s="344">
        <v>124</v>
      </c>
      <c r="J24" s="344">
        <v>117</v>
      </c>
      <c r="K24" s="344">
        <v>144</v>
      </c>
    </row>
    <row r="25" spans="1:11" x14ac:dyDescent="0.25">
      <c r="A25" s="279" t="s">
        <v>76</v>
      </c>
      <c r="B25" s="344">
        <v>91</v>
      </c>
      <c r="C25" s="344">
        <v>47</v>
      </c>
      <c r="D25" s="358">
        <v>12.43</v>
      </c>
      <c r="E25" s="344">
        <v>29</v>
      </c>
      <c r="F25" s="344">
        <v>2</v>
      </c>
      <c r="G25" s="344">
        <v>27</v>
      </c>
      <c r="H25" s="344">
        <v>21</v>
      </c>
      <c r="I25" s="344">
        <v>38</v>
      </c>
      <c r="J25" s="344">
        <v>34</v>
      </c>
      <c r="K25" s="344">
        <v>46</v>
      </c>
    </row>
    <row r="26" spans="1:11" x14ac:dyDescent="0.25">
      <c r="A26" s="279" t="s">
        <v>77</v>
      </c>
      <c r="B26" s="344">
        <v>140</v>
      </c>
      <c r="C26" s="344">
        <v>66</v>
      </c>
      <c r="D26" s="358">
        <v>14</v>
      </c>
      <c r="E26" s="344">
        <v>52</v>
      </c>
      <c r="F26" s="344">
        <v>2</v>
      </c>
      <c r="G26" s="344">
        <v>36</v>
      </c>
      <c r="H26" s="344">
        <v>21</v>
      </c>
      <c r="I26" s="344">
        <v>56</v>
      </c>
      <c r="J26" s="344">
        <v>53</v>
      </c>
      <c r="K26" s="344">
        <v>66</v>
      </c>
    </row>
    <row r="27" spans="1:11" x14ac:dyDescent="0.25">
      <c r="A27" s="279" t="s">
        <v>78</v>
      </c>
      <c r="B27" s="344">
        <v>21</v>
      </c>
      <c r="C27" s="344">
        <v>13</v>
      </c>
      <c r="D27" s="358">
        <v>13</v>
      </c>
      <c r="E27" s="344">
        <v>9</v>
      </c>
      <c r="F27" s="344">
        <v>0</v>
      </c>
      <c r="G27" s="344">
        <v>6</v>
      </c>
      <c r="H27" s="344">
        <v>3</v>
      </c>
      <c r="I27" s="344">
        <v>7</v>
      </c>
      <c r="J27" s="344">
        <v>7</v>
      </c>
      <c r="K27" s="344">
        <v>8</v>
      </c>
    </row>
    <row r="28" spans="1:11" x14ac:dyDescent="0.25">
      <c r="A28" s="279" t="s">
        <v>79</v>
      </c>
      <c r="B28" s="344">
        <v>73</v>
      </c>
      <c r="C28" s="344">
        <v>26</v>
      </c>
      <c r="D28" s="358">
        <v>12</v>
      </c>
      <c r="E28" s="344">
        <v>20</v>
      </c>
      <c r="F28" s="344">
        <v>1</v>
      </c>
      <c r="G28" s="344">
        <v>14</v>
      </c>
      <c r="H28" s="344">
        <v>7</v>
      </c>
      <c r="I28" s="344">
        <v>23</v>
      </c>
      <c r="J28" s="344">
        <v>23</v>
      </c>
      <c r="K28" s="344">
        <v>24</v>
      </c>
    </row>
    <row r="29" spans="1:11" x14ac:dyDescent="0.25">
      <c r="A29" s="278" t="s">
        <v>21</v>
      </c>
      <c r="B29" s="344">
        <v>422</v>
      </c>
      <c r="C29" s="344">
        <v>232</v>
      </c>
      <c r="D29" s="358">
        <v>45.25</v>
      </c>
      <c r="E29" s="344">
        <v>175</v>
      </c>
      <c r="F29" s="344">
        <v>2</v>
      </c>
      <c r="G29" s="344">
        <v>158</v>
      </c>
      <c r="H29" s="344">
        <v>44</v>
      </c>
      <c r="I29" s="344">
        <v>190</v>
      </c>
      <c r="J29" s="344">
        <v>188</v>
      </c>
      <c r="K29" s="344">
        <v>222</v>
      </c>
    </row>
    <row r="30" spans="1:11" x14ac:dyDescent="0.25">
      <c r="A30" s="279" t="s">
        <v>76</v>
      </c>
      <c r="B30" s="344">
        <v>66</v>
      </c>
      <c r="C30" s="344">
        <v>42</v>
      </c>
      <c r="D30" s="358">
        <v>11.75</v>
      </c>
      <c r="E30" s="344">
        <v>28</v>
      </c>
      <c r="F30" s="344">
        <v>1</v>
      </c>
      <c r="G30" s="344">
        <v>28</v>
      </c>
      <c r="H30" s="344">
        <v>10</v>
      </c>
      <c r="I30" s="344">
        <v>33</v>
      </c>
      <c r="J30" s="344">
        <v>33</v>
      </c>
      <c r="K30" s="344">
        <v>41</v>
      </c>
    </row>
    <row r="31" spans="1:11" x14ac:dyDescent="0.25">
      <c r="A31" s="279" t="s">
        <v>77</v>
      </c>
      <c r="B31" s="344">
        <v>154</v>
      </c>
      <c r="C31" s="344">
        <v>96</v>
      </c>
      <c r="D31" s="358">
        <v>10.5</v>
      </c>
      <c r="E31" s="344">
        <v>78</v>
      </c>
      <c r="F31" s="344">
        <v>1</v>
      </c>
      <c r="G31" s="344">
        <v>67</v>
      </c>
      <c r="H31" s="344">
        <v>21</v>
      </c>
      <c r="I31" s="344">
        <v>87</v>
      </c>
      <c r="J31" s="344">
        <v>86</v>
      </c>
      <c r="K31" s="344">
        <v>95</v>
      </c>
    </row>
    <row r="32" spans="1:11" x14ac:dyDescent="0.25">
      <c r="A32" s="279" t="s">
        <v>78</v>
      </c>
      <c r="B32" s="344">
        <v>67</v>
      </c>
      <c r="C32" s="344">
        <v>27</v>
      </c>
      <c r="D32" s="358">
        <v>11</v>
      </c>
      <c r="E32" s="344">
        <v>17</v>
      </c>
      <c r="F32" s="344">
        <v>0</v>
      </c>
      <c r="G32" s="344">
        <v>20</v>
      </c>
      <c r="H32" s="344">
        <v>3</v>
      </c>
      <c r="I32" s="344">
        <v>20</v>
      </c>
      <c r="J32" s="344">
        <v>20</v>
      </c>
      <c r="K32" s="344">
        <v>25</v>
      </c>
    </row>
    <row r="33" spans="1:11" x14ac:dyDescent="0.25">
      <c r="A33" s="279" t="s">
        <v>79</v>
      </c>
      <c r="B33" s="344">
        <v>135</v>
      </c>
      <c r="C33" s="344">
        <v>67</v>
      </c>
      <c r="D33" s="358">
        <v>12</v>
      </c>
      <c r="E33" s="344">
        <v>52</v>
      </c>
      <c r="F33" s="344">
        <v>0</v>
      </c>
      <c r="G33" s="344">
        <v>43</v>
      </c>
      <c r="H33" s="344">
        <v>10</v>
      </c>
      <c r="I33" s="344">
        <v>50</v>
      </c>
      <c r="J33" s="344">
        <v>49</v>
      </c>
      <c r="K33" s="344">
        <v>61</v>
      </c>
    </row>
    <row r="34" spans="1:11" x14ac:dyDescent="0.25">
      <c r="A34" s="278" t="s">
        <v>22</v>
      </c>
      <c r="B34" s="344">
        <v>47</v>
      </c>
      <c r="C34" s="344">
        <v>24</v>
      </c>
      <c r="D34" s="358">
        <v>44</v>
      </c>
      <c r="E34" s="344">
        <v>16</v>
      </c>
      <c r="F34" s="344">
        <v>0</v>
      </c>
      <c r="G34" s="344">
        <v>7</v>
      </c>
      <c r="H34" s="344">
        <v>1</v>
      </c>
      <c r="I34" s="344">
        <v>15</v>
      </c>
      <c r="J34" s="344">
        <v>15</v>
      </c>
      <c r="K34" s="344">
        <v>15</v>
      </c>
    </row>
    <row r="35" spans="1:11" x14ac:dyDescent="0.25">
      <c r="A35" s="279" t="s">
        <v>76</v>
      </c>
      <c r="B35" s="344">
        <v>19</v>
      </c>
      <c r="C35" s="344">
        <v>10</v>
      </c>
      <c r="D35" s="358">
        <v>19</v>
      </c>
      <c r="E35" s="344">
        <v>10</v>
      </c>
      <c r="F35" s="344">
        <v>0</v>
      </c>
      <c r="G35" s="344">
        <v>4</v>
      </c>
      <c r="H35" s="344">
        <v>1</v>
      </c>
      <c r="I35" s="344">
        <v>9</v>
      </c>
      <c r="J35" s="344">
        <v>9</v>
      </c>
      <c r="K35" s="344">
        <v>9</v>
      </c>
    </row>
    <row r="36" spans="1:11" x14ac:dyDescent="0.25">
      <c r="A36" s="279" t="s">
        <v>77</v>
      </c>
      <c r="B36" s="344">
        <v>8</v>
      </c>
      <c r="C36" s="344">
        <v>6</v>
      </c>
      <c r="D36" s="358">
        <v>25</v>
      </c>
      <c r="E36" s="344">
        <v>6</v>
      </c>
      <c r="F36" s="344">
        <v>0</v>
      </c>
      <c r="G36" s="344">
        <v>3</v>
      </c>
      <c r="H36" s="344">
        <v>0</v>
      </c>
      <c r="I36" s="344">
        <v>6</v>
      </c>
      <c r="J36" s="344">
        <v>6</v>
      </c>
      <c r="K36" s="344">
        <v>6</v>
      </c>
    </row>
    <row r="37" spans="1:11" x14ac:dyDescent="0.25">
      <c r="A37" s="279" t="s">
        <v>78</v>
      </c>
      <c r="B37" s="344">
        <v>10</v>
      </c>
      <c r="C37" s="344">
        <v>6</v>
      </c>
      <c r="E37" s="344">
        <v>0</v>
      </c>
      <c r="F37" s="344">
        <v>0</v>
      </c>
      <c r="G37" s="344">
        <v>0</v>
      </c>
      <c r="H37" s="344">
        <v>0</v>
      </c>
      <c r="I37" s="344">
        <v>0</v>
      </c>
      <c r="J37" s="344">
        <v>0</v>
      </c>
      <c r="K37" s="344">
        <v>0</v>
      </c>
    </row>
    <row r="38" spans="1:11" x14ac:dyDescent="0.25">
      <c r="A38" s="279" t="s">
        <v>79</v>
      </c>
      <c r="B38" s="344">
        <v>10</v>
      </c>
      <c r="C38" s="344">
        <v>2</v>
      </c>
      <c r="E38" s="344"/>
      <c r="F38" s="344"/>
      <c r="G38" s="344"/>
      <c r="H38" s="344"/>
      <c r="I38" s="344"/>
      <c r="J38" s="344"/>
      <c r="K38" s="344"/>
    </row>
    <row r="39" spans="1:11" x14ac:dyDescent="0.25">
      <c r="A39" s="278" t="s">
        <v>23</v>
      </c>
      <c r="B39" s="344">
        <v>167</v>
      </c>
      <c r="C39" s="344">
        <v>109</v>
      </c>
      <c r="D39" s="358">
        <v>50.094999999999999</v>
      </c>
      <c r="E39" s="344">
        <v>101</v>
      </c>
      <c r="F39" s="344">
        <v>0</v>
      </c>
      <c r="G39" s="344">
        <v>44</v>
      </c>
      <c r="H39" s="344">
        <v>22</v>
      </c>
      <c r="I39" s="344">
        <v>108</v>
      </c>
      <c r="J39" s="344">
        <v>106</v>
      </c>
      <c r="K39" s="344">
        <v>106</v>
      </c>
    </row>
    <row r="40" spans="1:11" x14ac:dyDescent="0.25">
      <c r="A40" s="279" t="s">
        <v>76</v>
      </c>
      <c r="B40" s="344">
        <v>18</v>
      </c>
      <c r="C40" s="344">
        <v>11</v>
      </c>
      <c r="D40" s="358">
        <v>25.5</v>
      </c>
      <c r="E40" s="344">
        <v>10</v>
      </c>
      <c r="F40" s="344">
        <v>0</v>
      </c>
      <c r="G40" s="344">
        <v>2</v>
      </c>
      <c r="H40" s="344">
        <v>4</v>
      </c>
      <c r="I40" s="344">
        <v>11</v>
      </c>
      <c r="J40" s="344">
        <v>11</v>
      </c>
      <c r="K40" s="344">
        <v>10</v>
      </c>
    </row>
    <row r="41" spans="1:11" x14ac:dyDescent="0.25">
      <c r="A41" s="279" t="s">
        <v>77</v>
      </c>
      <c r="B41" s="344">
        <v>64</v>
      </c>
      <c r="C41" s="344">
        <v>59</v>
      </c>
      <c r="D41" s="358">
        <v>24.594999999999999</v>
      </c>
      <c r="E41" s="344">
        <v>57</v>
      </c>
      <c r="F41" s="344">
        <v>0</v>
      </c>
      <c r="G41" s="344">
        <v>20</v>
      </c>
      <c r="H41" s="344">
        <v>12</v>
      </c>
      <c r="I41" s="344">
        <v>59</v>
      </c>
      <c r="J41" s="344">
        <v>59</v>
      </c>
      <c r="K41" s="344">
        <v>59</v>
      </c>
    </row>
    <row r="42" spans="1:11" x14ac:dyDescent="0.25">
      <c r="A42" s="279" t="s">
        <v>78</v>
      </c>
      <c r="B42" s="344">
        <v>2</v>
      </c>
      <c r="C42" s="344">
        <v>1</v>
      </c>
      <c r="E42" s="344"/>
      <c r="F42" s="344"/>
      <c r="G42" s="344"/>
      <c r="H42" s="344"/>
      <c r="I42" s="344"/>
      <c r="J42" s="344"/>
      <c r="K42" s="344"/>
    </row>
    <row r="43" spans="1:11" x14ac:dyDescent="0.25">
      <c r="A43" s="279" t="s">
        <v>79</v>
      </c>
      <c r="B43" s="344">
        <v>83</v>
      </c>
      <c r="C43" s="344">
        <v>38</v>
      </c>
      <c r="E43" s="344">
        <v>34</v>
      </c>
      <c r="F43" s="344">
        <v>0</v>
      </c>
      <c r="G43" s="344">
        <v>22</v>
      </c>
      <c r="H43" s="344">
        <v>6</v>
      </c>
      <c r="I43" s="344">
        <v>38</v>
      </c>
      <c r="J43" s="344">
        <v>36</v>
      </c>
      <c r="K43" s="344">
        <v>37</v>
      </c>
    </row>
    <row r="44" spans="1:11" x14ac:dyDescent="0.25">
      <c r="A44" s="277">
        <v>2012</v>
      </c>
      <c r="B44" s="344">
        <v>1556</v>
      </c>
      <c r="C44" s="344">
        <v>1009</v>
      </c>
      <c r="D44" s="358">
        <v>287.935</v>
      </c>
      <c r="E44" s="344">
        <v>797</v>
      </c>
      <c r="F44" s="344">
        <v>14</v>
      </c>
      <c r="G44" s="344">
        <v>511</v>
      </c>
      <c r="H44" s="344">
        <v>179</v>
      </c>
      <c r="I44" s="344">
        <v>737</v>
      </c>
      <c r="J44" s="344">
        <v>719</v>
      </c>
      <c r="K44" s="344">
        <v>961</v>
      </c>
    </row>
    <row r="45" spans="1:11" x14ac:dyDescent="0.25">
      <c r="A45" s="278" t="s">
        <v>17</v>
      </c>
      <c r="B45" s="344">
        <v>88</v>
      </c>
      <c r="C45" s="344">
        <v>67</v>
      </c>
      <c r="D45" s="358">
        <v>18.2</v>
      </c>
      <c r="E45" s="344">
        <v>51</v>
      </c>
      <c r="F45" s="344">
        <v>0</v>
      </c>
      <c r="G45" s="344">
        <v>26</v>
      </c>
      <c r="H45" s="344">
        <v>4</v>
      </c>
      <c r="I45" s="344">
        <v>8</v>
      </c>
      <c r="J45" s="344">
        <v>8</v>
      </c>
      <c r="K45" s="344">
        <v>61</v>
      </c>
    </row>
    <row r="46" spans="1:11" x14ac:dyDescent="0.25">
      <c r="A46" s="279" t="s">
        <v>76</v>
      </c>
      <c r="B46" s="344">
        <v>12</v>
      </c>
      <c r="C46" s="344">
        <v>10</v>
      </c>
      <c r="E46" s="344">
        <v>5</v>
      </c>
      <c r="F46" s="344">
        <v>0</v>
      </c>
      <c r="G46" s="344">
        <v>4</v>
      </c>
      <c r="H46" s="344">
        <v>1</v>
      </c>
      <c r="I46" s="344">
        <v>2</v>
      </c>
      <c r="J46" s="344">
        <v>2</v>
      </c>
      <c r="K46" s="344">
        <v>8</v>
      </c>
    </row>
    <row r="47" spans="1:11" x14ac:dyDescent="0.25">
      <c r="A47" s="279" t="s">
        <v>77</v>
      </c>
      <c r="B47" s="344">
        <v>12</v>
      </c>
      <c r="C47" s="344">
        <v>12</v>
      </c>
      <c r="E47" s="344">
        <v>11</v>
      </c>
      <c r="F47" s="344">
        <v>0</v>
      </c>
      <c r="G47" s="344">
        <v>2</v>
      </c>
      <c r="H47" s="344">
        <v>0</v>
      </c>
      <c r="I47" s="344">
        <v>1</v>
      </c>
      <c r="J47" s="344">
        <v>1</v>
      </c>
      <c r="K47" s="344">
        <v>12</v>
      </c>
    </row>
    <row r="48" spans="1:11" x14ac:dyDescent="0.25">
      <c r="A48" s="279" t="s">
        <v>78</v>
      </c>
      <c r="B48" s="344">
        <v>55</v>
      </c>
      <c r="C48" s="344">
        <v>40</v>
      </c>
      <c r="D48" s="358">
        <v>18.2</v>
      </c>
      <c r="E48" s="344">
        <v>33</v>
      </c>
      <c r="F48" s="344">
        <v>0</v>
      </c>
      <c r="G48" s="344">
        <v>17</v>
      </c>
      <c r="H48" s="344">
        <v>3</v>
      </c>
      <c r="I48" s="344">
        <v>5</v>
      </c>
      <c r="J48" s="344">
        <v>5</v>
      </c>
      <c r="K48" s="344">
        <v>38</v>
      </c>
    </row>
    <row r="49" spans="1:11" x14ac:dyDescent="0.25">
      <c r="A49" s="279" t="s">
        <v>79</v>
      </c>
      <c r="B49" s="344">
        <v>9</v>
      </c>
      <c r="C49" s="344">
        <v>5</v>
      </c>
      <c r="E49" s="344">
        <v>2</v>
      </c>
      <c r="F49" s="344">
        <v>0</v>
      </c>
      <c r="G49" s="344">
        <v>3</v>
      </c>
      <c r="H49" s="344">
        <v>0</v>
      </c>
      <c r="I49" s="344"/>
      <c r="J49" s="344"/>
      <c r="K49" s="344">
        <v>3</v>
      </c>
    </row>
    <row r="50" spans="1:11" x14ac:dyDescent="0.25">
      <c r="A50" s="278" t="s">
        <v>18</v>
      </c>
      <c r="B50" s="344">
        <v>137</v>
      </c>
      <c r="C50" s="344">
        <v>79</v>
      </c>
      <c r="D50" s="358">
        <v>15.865</v>
      </c>
      <c r="E50" s="344">
        <v>61</v>
      </c>
      <c r="F50" s="344">
        <v>1</v>
      </c>
      <c r="G50" s="344">
        <v>22</v>
      </c>
      <c r="H50" s="344">
        <v>7</v>
      </c>
      <c r="I50" s="344">
        <v>45</v>
      </c>
      <c r="J50" s="344">
        <v>42</v>
      </c>
      <c r="K50" s="344">
        <v>75</v>
      </c>
    </row>
    <row r="51" spans="1:11" x14ac:dyDescent="0.25">
      <c r="A51" s="279" t="s">
        <v>76</v>
      </c>
      <c r="B51" s="344"/>
      <c r="C51" s="344"/>
      <c r="E51" s="344"/>
      <c r="F51" s="344"/>
      <c r="G51" s="344"/>
      <c r="H51" s="344"/>
      <c r="I51" s="344"/>
      <c r="J51" s="344"/>
      <c r="K51" s="344"/>
    </row>
    <row r="52" spans="1:11" x14ac:dyDescent="0.25">
      <c r="A52" s="279" t="s">
        <v>77</v>
      </c>
      <c r="B52" s="344">
        <v>48</v>
      </c>
      <c r="C52" s="344">
        <v>27</v>
      </c>
      <c r="E52" s="344">
        <v>21</v>
      </c>
      <c r="F52" s="344">
        <v>0</v>
      </c>
      <c r="G52" s="344">
        <v>6</v>
      </c>
      <c r="H52" s="344">
        <v>2</v>
      </c>
      <c r="I52" s="344">
        <v>12</v>
      </c>
      <c r="J52" s="344">
        <v>12</v>
      </c>
      <c r="K52" s="344">
        <v>27</v>
      </c>
    </row>
    <row r="53" spans="1:11" x14ac:dyDescent="0.25">
      <c r="A53" s="279" t="s">
        <v>78</v>
      </c>
      <c r="B53" s="344">
        <v>2</v>
      </c>
      <c r="C53" s="344">
        <v>2</v>
      </c>
      <c r="E53" s="344"/>
      <c r="F53" s="344"/>
      <c r="G53" s="344"/>
      <c r="H53" s="344"/>
      <c r="I53" s="344"/>
      <c r="J53" s="344"/>
      <c r="K53" s="344"/>
    </row>
    <row r="54" spans="1:11" x14ac:dyDescent="0.25">
      <c r="A54" s="279" t="s">
        <v>79</v>
      </c>
      <c r="B54" s="344">
        <v>87</v>
      </c>
      <c r="C54" s="344">
        <v>50</v>
      </c>
      <c r="D54" s="358">
        <v>15.865</v>
      </c>
      <c r="E54" s="344">
        <v>40</v>
      </c>
      <c r="F54" s="344">
        <v>1</v>
      </c>
      <c r="G54" s="344">
        <v>16</v>
      </c>
      <c r="H54" s="344">
        <v>5</v>
      </c>
      <c r="I54" s="344">
        <v>33</v>
      </c>
      <c r="J54" s="344">
        <v>30</v>
      </c>
      <c r="K54" s="344">
        <v>48</v>
      </c>
    </row>
    <row r="55" spans="1:11" x14ac:dyDescent="0.25">
      <c r="A55" s="278" t="s">
        <v>19</v>
      </c>
      <c r="B55" s="344">
        <v>65</v>
      </c>
      <c r="C55" s="344">
        <v>55</v>
      </c>
      <c r="D55" s="358">
        <v>25.5</v>
      </c>
      <c r="E55" s="344">
        <v>39</v>
      </c>
      <c r="F55" s="344">
        <v>1</v>
      </c>
      <c r="G55" s="344">
        <v>20</v>
      </c>
      <c r="H55" s="344">
        <v>5</v>
      </c>
      <c r="I55" s="344">
        <v>15</v>
      </c>
      <c r="J55" s="344">
        <v>15</v>
      </c>
      <c r="K55" s="344">
        <v>51</v>
      </c>
    </row>
    <row r="56" spans="1:11" x14ac:dyDescent="0.25">
      <c r="A56" s="279" t="s">
        <v>76</v>
      </c>
      <c r="B56" s="344">
        <v>2</v>
      </c>
      <c r="C56" s="344">
        <v>2</v>
      </c>
      <c r="E56" s="344"/>
      <c r="F56" s="344"/>
      <c r="G56" s="344"/>
      <c r="H56" s="344"/>
      <c r="I56" s="344"/>
      <c r="J56" s="344"/>
      <c r="K56" s="344"/>
    </row>
    <row r="57" spans="1:11" x14ac:dyDescent="0.25">
      <c r="A57" s="279" t="s">
        <v>77</v>
      </c>
      <c r="B57" s="344">
        <v>21</v>
      </c>
      <c r="C57" s="344">
        <v>18</v>
      </c>
      <c r="D57" s="358">
        <v>12</v>
      </c>
      <c r="E57" s="344">
        <v>13</v>
      </c>
      <c r="F57" s="344">
        <v>1</v>
      </c>
      <c r="G57" s="344">
        <v>11</v>
      </c>
      <c r="H57" s="344">
        <v>5</v>
      </c>
      <c r="I57" s="344">
        <v>2</v>
      </c>
      <c r="J57" s="344">
        <v>2</v>
      </c>
      <c r="K57" s="344">
        <v>18</v>
      </c>
    </row>
    <row r="58" spans="1:11" x14ac:dyDescent="0.25">
      <c r="A58" s="279" t="s">
        <v>78</v>
      </c>
      <c r="B58" s="344">
        <v>32</v>
      </c>
      <c r="C58" s="344">
        <v>29</v>
      </c>
      <c r="D58" s="358">
        <v>13.5</v>
      </c>
      <c r="E58" s="344">
        <v>21</v>
      </c>
      <c r="F58" s="344">
        <v>0</v>
      </c>
      <c r="G58" s="344">
        <v>6</v>
      </c>
      <c r="H58" s="344">
        <v>0</v>
      </c>
      <c r="I58" s="344">
        <v>12</v>
      </c>
      <c r="J58" s="344">
        <v>12</v>
      </c>
      <c r="K58" s="344">
        <v>28</v>
      </c>
    </row>
    <row r="59" spans="1:11" x14ac:dyDescent="0.25">
      <c r="A59" s="279" t="s">
        <v>79</v>
      </c>
      <c r="B59" s="344">
        <v>10</v>
      </c>
      <c r="C59" s="344">
        <v>6</v>
      </c>
      <c r="E59" s="344">
        <v>5</v>
      </c>
      <c r="F59" s="344">
        <v>0</v>
      </c>
      <c r="G59" s="344">
        <v>3</v>
      </c>
      <c r="H59" s="344">
        <v>0</v>
      </c>
      <c r="I59" s="344">
        <v>1</v>
      </c>
      <c r="J59" s="344">
        <v>1</v>
      </c>
      <c r="K59" s="344">
        <v>5</v>
      </c>
    </row>
    <row r="60" spans="1:11" x14ac:dyDescent="0.25">
      <c r="A60" s="278" t="s">
        <v>24</v>
      </c>
      <c r="B60" s="344">
        <v>120</v>
      </c>
      <c r="C60" s="344">
        <v>82</v>
      </c>
      <c r="D60" s="358">
        <v>39.935000000000002</v>
      </c>
      <c r="E60" s="344">
        <v>65</v>
      </c>
      <c r="F60" s="344">
        <v>1</v>
      </c>
      <c r="G60" s="344">
        <v>48</v>
      </c>
      <c r="H60" s="344">
        <v>11</v>
      </c>
      <c r="I60" s="344">
        <v>11</v>
      </c>
      <c r="J60" s="344">
        <v>9</v>
      </c>
      <c r="K60" s="344">
        <v>73</v>
      </c>
    </row>
    <row r="61" spans="1:11" x14ac:dyDescent="0.25">
      <c r="A61" s="279" t="s">
        <v>76</v>
      </c>
      <c r="B61" s="344">
        <v>12</v>
      </c>
      <c r="C61" s="344">
        <v>10</v>
      </c>
      <c r="E61" s="344">
        <v>8</v>
      </c>
      <c r="F61" s="344">
        <v>0</v>
      </c>
      <c r="G61" s="344">
        <v>7</v>
      </c>
      <c r="H61" s="344">
        <v>1</v>
      </c>
      <c r="I61" s="344"/>
      <c r="J61" s="344"/>
      <c r="K61" s="344">
        <v>10</v>
      </c>
    </row>
    <row r="62" spans="1:11" x14ac:dyDescent="0.25">
      <c r="A62" s="279" t="s">
        <v>77</v>
      </c>
      <c r="B62" s="344">
        <v>36</v>
      </c>
      <c r="C62" s="344">
        <v>32</v>
      </c>
      <c r="D62" s="358">
        <v>15</v>
      </c>
      <c r="E62" s="344">
        <v>28</v>
      </c>
      <c r="F62" s="344">
        <v>0</v>
      </c>
      <c r="G62" s="344">
        <v>18</v>
      </c>
      <c r="H62" s="344">
        <v>5</v>
      </c>
      <c r="I62" s="344">
        <v>8</v>
      </c>
      <c r="J62" s="344">
        <v>6</v>
      </c>
      <c r="K62" s="344">
        <v>26</v>
      </c>
    </row>
    <row r="63" spans="1:11" x14ac:dyDescent="0.25">
      <c r="A63" s="279" t="s">
        <v>78</v>
      </c>
      <c r="B63" s="344">
        <v>33</v>
      </c>
      <c r="C63" s="344">
        <v>18</v>
      </c>
      <c r="D63" s="358">
        <v>13.8</v>
      </c>
      <c r="E63" s="344">
        <v>15</v>
      </c>
      <c r="F63" s="344">
        <v>0</v>
      </c>
      <c r="G63" s="344">
        <v>8</v>
      </c>
      <c r="H63" s="344">
        <v>0</v>
      </c>
      <c r="I63" s="344"/>
      <c r="J63" s="344"/>
      <c r="K63" s="344">
        <v>16</v>
      </c>
    </row>
    <row r="64" spans="1:11" x14ac:dyDescent="0.25">
      <c r="A64" s="279" t="s">
        <v>79</v>
      </c>
      <c r="B64" s="344">
        <v>39</v>
      </c>
      <c r="C64" s="344">
        <v>22</v>
      </c>
      <c r="D64" s="358">
        <v>11.135</v>
      </c>
      <c r="E64" s="344">
        <v>14</v>
      </c>
      <c r="F64" s="344">
        <v>1</v>
      </c>
      <c r="G64" s="344">
        <v>15</v>
      </c>
      <c r="H64" s="344">
        <v>5</v>
      </c>
      <c r="I64" s="344">
        <v>3</v>
      </c>
      <c r="J64" s="344">
        <v>3</v>
      </c>
      <c r="K64" s="344">
        <v>21</v>
      </c>
    </row>
    <row r="65" spans="1:11" x14ac:dyDescent="0.25">
      <c r="A65" s="278" t="s">
        <v>20</v>
      </c>
      <c r="B65" s="344">
        <v>363</v>
      </c>
      <c r="C65" s="344">
        <v>215</v>
      </c>
      <c r="D65" s="358">
        <v>36.880000000000003</v>
      </c>
      <c r="E65" s="344">
        <v>174</v>
      </c>
      <c r="F65" s="344">
        <v>7</v>
      </c>
      <c r="G65" s="344">
        <v>112</v>
      </c>
      <c r="H65" s="344">
        <v>96</v>
      </c>
      <c r="I65" s="344">
        <v>195</v>
      </c>
      <c r="J65" s="344">
        <v>187</v>
      </c>
      <c r="K65" s="344">
        <v>209</v>
      </c>
    </row>
    <row r="66" spans="1:11" x14ac:dyDescent="0.25">
      <c r="A66" s="279" t="s">
        <v>76</v>
      </c>
      <c r="B66" s="344">
        <v>116</v>
      </c>
      <c r="C66" s="344">
        <v>65</v>
      </c>
      <c r="D66" s="358">
        <v>13</v>
      </c>
      <c r="E66" s="344">
        <v>50</v>
      </c>
      <c r="F66" s="344">
        <v>2</v>
      </c>
      <c r="G66" s="344">
        <v>29</v>
      </c>
      <c r="H66" s="344">
        <v>29</v>
      </c>
      <c r="I66" s="344">
        <v>59</v>
      </c>
      <c r="J66" s="344">
        <v>58</v>
      </c>
      <c r="K66" s="344">
        <v>64</v>
      </c>
    </row>
    <row r="67" spans="1:11" x14ac:dyDescent="0.25">
      <c r="A67" s="279" t="s">
        <v>77</v>
      </c>
      <c r="B67" s="344">
        <v>149</v>
      </c>
      <c r="C67" s="344">
        <v>100</v>
      </c>
      <c r="D67" s="358">
        <v>12.88</v>
      </c>
      <c r="E67" s="344">
        <v>88</v>
      </c>
      <c r="F67" s="344">
        <v>4</v>
      </c>
      <c r="G67" s="344">
        <v>53</v>
      </c>
      <c r="H67" s="344">
        <v>44</v>
      </c>
      <c r="I67" s="344">
        <v>87</v>
      </c>
      <c r="J67" s="344">
        <v>83</v>
      </c>
      <c r="K67" s="344">
        <v>97</v>
      </c>
    </row>
    <row r="68" spans="1:11" x14ac:dyDescent="0.25">
      <c r="A68" s="279" t="s">
        <v>78</v>
      </c>
      <c r="B68" s="344"/>
      <c r="C68" s="344"/>
      <c r="E68" s="344"/>
      <c r="F68" s="344"/>
      <c r="G68" s="344"/>
      <c r="H68" s="344"/>
      <c r="I68" s="344"/>
      <c r="J68" s="344"/>
      <c r="K68" s="344"/>
    </row>
    <row r="69" spans="1:11" x14ac:dyDescent="0.25">
      <c r="A69" s="279" t="s">
        <v>79</v>
      </c>
      <c r="B69" s="344">
        <v>98</v>
      </c>
      <c r="C69" s="344">
        <v>50</v>
      </c>
      <c r="D69" s="358">
        <v>11</v>
      </c>
      <c r="E69" s="344">
        <v>36</v>
      </c>
      <c r="F69" s="344">
        <v>1</v>
      </c>
      <c r="G69" s="344">
        <v>30</v>
      </c>
      <c r="H69" s="344">
        <v>23</v>
      </c>
      <c r="I69" s="344">
        <v>49</v>
      </c>
      <c r="J69" s="344">
        <v>46</v>
      </c>
      <c r="K69" s="344">
        <v>48</v>
      </c>
    </row>
    <row r="70" spans="1:11" x14ac:dyDescent="0.25">
      <c r="A70" s="278" t="s">
        <v>21</v>
      </c>
      <c r="B70" s="344">
        <v>544</v>
      </c>
      <c r="C70" s="344">
        <v>322</v>
      </c>
      <c r="D70" s="358">
        <v>34.625</v>
      </c>
      <c r="E70" s="344">
        <v>231</v>
      </c>
      <c r="F70" s="344">
        <v>4</v>
      </c>
      <c r="G70" s="344">
        <v>225</v>
      </c>
      <c r="H70" s="344">
        <v>38</v>
      </c>
      <c r="I70" s="344">
        <v>281</v>
      </c>
      <c r="J70" s="344">
        <v>278</v>
      </c>
      <c r="K70" s="344">
        <v>314</v>
      </c>
    </row>
    <row r="71" spans="1:11" x14ac:dyDescent="0.25">
      <c r="A71" s="279" t="s">
        <v>76</v>
      </c>
      <c r="B71" s="344">
        <v>80</v>
      </c>
      <c r="C71" s="344">
        <v>54</v>
      </c>
      <c r="D71" s="358">
        <v>12</v>
      </c>
      <c r="E71" s="344">
        <v>47</v>
      </c>
      <c r="F71" s="344">
        <v>1</v>
      </c>
      <c r="G71" s="344">
        <v>32</v>
      </c>
      <c r="H71" s="344">
        <v>8</v>
      </c>
      <c r="I71" s="344">
        <v>49</v>
      </c>
      <c r="J71" s="344">
        <v>48</v>
      </c>
      <c r="K71" s="344">
        <v>54</v>
      </c>
    </row>
    <row r="72" spans="1:11" x14ac:dyDescent="0.25">
      <c r="A72" s="279" t="s">
        <v>77</v>
      </c>
      <c r="B72" s="344">
        <v>251</v>
      </c>
      <c r="C72" s="344">
        <v>143</v>
      </c>
      <c r="D72" s="358">
        <v>11</v>
      </c>
      <c r="E72" s="344">
        <v>97</v>
      </c>
      <c r="F72" s="344">
        <v>3</v>
      </c>
      <c r="G72" s="344">
        <v>95</v>
      </c>
      <c r="H72" s="344">
        <v>18</v>
      </c>
      <c r="I72" s="344">
        <v>126</v>
      </c>
      <c r="J72" s="344">
        <v>126</v>
      </c>
      <c r="K72" s="344">
        <v>139</v>
      </c>
    </row>
    <row r="73" spans="1:11" x14ac:dyDescent="0.25">
      <c r="A73" s="279" t="s">
        <v>78</v>
      </c>
      <c r="B73" s="344">
        <v>22</v>
      </c>
      <c r="C73" s="344">
        <v>13</v>
      </c>
      <c r="E73" s="344">
        <v>11</v>
      </c>
      <c r="F73" s="344">
        <v>0</v>
      </c>
      <c r="G73" s="344">
        <v>11</v>
      </c>
      <c r="H73" s="344">
        <v>0</v>
      </c>
      <c r="I73" s="344">
        <v>9</v>
      </c>
      <c r="J73" s="344">
        <v>9</v>
      </c>
      <c r="K73" s="344">
        <v>11</v>
      </c>
    </row>
    <row r="74" spans="1:11" x14ac:dyDescent="0.25">
      <c r="A74" s="279" t="s">
        <v>79</v>
      </c>
      <c r="B74" s="344">
        <v>191</v>
      </c>
      <c r="C74" s="344">
        <v>112</v>
      </c>
      <c r="D74" s="358">
        <v>11.625</v>
      </c>
      <c r="E74" s="344">
        <v>76</v>
      </c>
      <c r="F74" s="344">
        <v>0</v>
      </c>
      <c r="G74" s="344">
        <v>87</v>
      </c>
      <c r="H74" s="344">
        <v>12</v>
      </c>
      <c r="I74" s="344">
        <v>97</v>
      </c>
      <c r="J74" s="344">
        <v>95</v>
      </c>
      <c r="K74" s="344">
        <v>110</v>
      </c>
    </row>
    <row r="75" spans="1:11" x14ac:dyDescent="0.25">
      <c r="A75" s="278" t="s">
        <v>22</v>
      </c>
      <c r="B75" s="344">
        <v>63</v>
      </c>
      <c r="C75" s="344">
        <v>42</v>
      </c>
      <c r="D75" s="358">
        <v>42.6</v>
      </c>
      <c r="E75" s="344">
        <v>38</v>
      </c>
      <c r="F75" s="344">
        <v>0</v>
      </c>
      <c r="G75" s="344">
        <v>16</v>
      </c>
      <c r="H75" s="344">
        <v>3</v>
      </c>
      <c r="I75" s="344">
        <v>38</v>
      </c>
      <c r="J75" s="344">
        <v>36</v>
      </c>
      <c r="K75" s="344">
        <v>36</v>
      </c>
    </row>
    <row r="76" spans="1:11" x14ac:dyDescent="0.25">
      <c r="A76" s="279" t="s">
        <v>76</v>
      </c>
      <c r="B76" s="344">
        <v>38</v>
      </c>
      <c r="C76" s="344">
        <v>22</v>
      </c>
      <c r="D76" s="358">
        <v>18</v>
      </c>
      <c r="E76" s="344">
        <v>19</v>
      </c>
      <c r="F76" s="344">
        <v>0</v>
      </c>
      <c r="G76" s="344">
        <v>8</v>
      </c>
      <c r="H76" s="344">
        <v>0</v>
      </c>
      <c r="I76" s="344">
        <v>19</v>
      </c>
      <c r="J76" s="344">
        <v>17</v>
      </c>
      <c r="K76" s="344">
        <v>17</v>
      </c>
    </row>
    <row r="77" spans="1:11" x14ac:dyDescent="0.25">
      <c r="A77" s="279" t="s">
        <v>77</v>
      </c>
      <c r="B77" s="344">
        <v>14</v>
      </c>
      <c r="C77" s="344">
        <v>10</v>
      </c>
      <c r="D77" s="358">
        <v>24.6</v>
      </c>
      <c r="E77" s="344">
        <v>10</v>
      </c>
      <c r="F77" s="344">
        <v>0</v>
      </c>
      <c r="G77" s="344">
        <v>5</v>
      </c>
      <c r="H77" s="344">
        <v>1</v>
      </c>
      <c r="I77" s="344">
        <v>10</v>
      </c>
      <c r="J77" s="344">
        <v>10</v>
      </c>
      <c r="K77" s="344">
        <v>10</v>
      </c>
    </row>
    <row r="78" spans="1:11" x14ac:dyDescent="0.25">
      <c r="A78" s="279" t="s">
        <v>78</v>
      </c>
      <c r="B78" s="344"/>
      <c r="C78" s="344"/>
      <c r="E78" s="344"/>
      <c r="F78" s="344"/>
      <c r="G78" s="344"/>
      <c r="H78" s="344"/>
      <c r="I78" s="344"/>
      <c r="J78" s="344"/>
      <c r="K78" s="344"/>
    </row>
    <row r="79" spans="1:11" x14ac:dyDescent="0.25">
      <c r="A79" s="279" t="s">
        <v>79</v>
      </c>
      <c r="B79" s="344">
        <v>11</v>
      </c>
      <c r="C79" s="344">
        <v>10</v>
      </c>
      <c r="E79" s="344">
        <v>9</v>
      </c>
      <c r="F79" s="344">
        <v>0</v>
      </c>
      <c r="G79" s="344">
        <v>3</v>
      </c>
      <c r="H79" s="344">
        <v>2</v>
      </c>
      <c r="I79" s="344">
        <v>9</v>
      </c>
      <c r="J79" s="344">
        <v>9</v>
      </c>
      <c r="K79" s="344">
        <v>9</v>
      </c>
    </row>
    <row r="80" spans="1:11" x14ac:dyDescent="0.25">
      <c r="A80" s="278" t="s">
        <v>23</v>
      </c>
      <c r="B80" s="344">
        <v>176</v>
      </c>
      <c r="C80" s="344">
        <v>147</v>
      </c>
      <c r="D80" s="358">
        <v>74.33</v>
      </c>
      <c r="E80" s="344">
        <v>138</v>
      </c>
      <c r="F80" s="344">
        <v>0</v>
      </c>
      <c r="G80" s="344">
        <v>42</v>
      </c>
      <c r="H80" s="344">
        <v>15</v>
      </c>
      <c r="I80" s="344">
        <v>144</v>
      </c>
      <c r="J80" s="344">
        <v>144</v>
      </c>
      <c r="K80" s="344">
        <v>142</v>
      </c>
    </row>
    <row r="81" spans="1:11" x14ac:dyDescent="0.25">
      <c r="A81" s="279" t="s">
        <v>76</v>
      </c>
      <c r="B81" s="344">
        <v>20</v>
      </c>
      <c r="C81" s="344">
        <v>13</v>
      </c>
      <c r="D81" s="358">
        <v>25.454999999999998</v>
      </c>
      <c r="E81" s="344">
        <v>12</v>
      </c>
      <c r="F81" s="344">
        <v>0</v>
      </c>
      <c r="G81" s="344">
        <v>2</v>
      </c>
      <c r="H81" s="344">
        <v>1</v>
      </c>
      <c r="I81" s="344">
        <v>13</v>
      </c>
      <c r="J81" s="344">
        <v>13</v>
      </c>
      <c r="K81" s="344">
        <v>13</v>
      </c>
    </row>
    <row r="82" spans="1:11" x14ac:dyDescent="0.25">
      <c r="A82" s="279" t="s">
        <v>77</v>
      </c>
      <c r="B82" s="344">
        <v>75</v>
      </c>
      <c r="C82" s="344">
        <v>63</v>
      </c>
      <c r="D82" s="358">
        <v>23.875</v>
      </c>
      <c r="E82" s="344">
        <v>60</v>
      </c>
      <c r="F82" s="344">
        <v>0</v>
      </c>
      <c r="G82" s="344">
        <v>17</v>
      </c>
      <c r="H82" s="344">
        <v>6</v>
      </c>
      <c r="I82" s="344">
        <v>61</v>
      </c>
      <c r="J82" s="344">
        <v>61</v>
      </c>
      <c r="K82" s="344">
        <v>61</v>
      </c>
    </row>
    <row r="83" spans="1:11" x14ac:dyDescent="0.25">
      <c r="A83" s="279" t="s">
        <v>78</v>
      </c>
      <c r="B83" s="344"/>
      <c r="C83" s="344"/>
      <c r="E83" s="344"/>
      <c r="F83" s="344"/>
      <c r="G83" s="344"/>
      <c r="H83" s="344"/>
      <c r="I83" s="344"/>
      <c r="J83" s="344"/>
      <c r="K83" s="344"/>
    </row>
    <row r="84" spans="1:11" x14ac:dyDescent="0.25">
      <c r="A84" s="279" t="s">
        <v>79</v>
      </c>
      <c r="B84" s="344">
        <v>81</v>
      </c>
      <c r="C84" s="344">
        <v>71</v>
      </c>
      <c r="D84" s="358">
        <v>25</v>
      </c>
      <c r="E84" s="344">
        <v>66</v>
      </c>
      <c r="F84" s="344">
        <v>0</v>
      </c>
      <c r="G84" s="344">
        <v>23</v>
      </c>
      <c r="H84" s="344">
        <v>8</v>
      </c>
      <c r="I84" s="344">
        <v>70</v>
      </c>
      <c r="J84" s="344">
        <v>70</v>
      </c>
      <c r="K84" s="344">
        <v>68</v>
      </c>
    </row>
    <row r="85" spans="1:11" x14ac:dyDescent="0.25">
      <c r="A85" s="277">
        <v>2011</v>
      </c>
      <c r="B85" s="344">
        <v>1605</v>
      </c>
      <c r="C85" s="344">
        <v>866</v>
      </c>
      <c r="D85" s="358">
        <v>356.08000000000004</v>
      </c>
      <c r="E85" s="344">
        <v>646</v>
      </c>
      <c r="F85" s="344">
        <v>12</v>
      </c>
      <c r="G85" s="344">
        <v>421</v>
      </c>
      <c r="H85" s="344">
        <v>162</v>
      </c>
      <c r="I85" s="344">
        <v>593</v>
      </c>
      <c r="J85" s="344">
        <v>583</v>
      </c>
      <c r="K85" s="344">
        <v>779</v>
      </c>
    </row>
    <row r="86" spans="1:11" x14ac:dyDescent="0.25">
      <c r="A86" s="278" t="s">
        <v>17</v>
      </c>
      <c r="B86" s="344">
        <v>66</v>
      </c>
      <c r="C86" s="344">
        <v>49</v>
      </c>
      <c r="D86" s="358">
        <v>31</v>
      </c>
      <c r="E86" s="344">
        <v>32</v>
      </c>
      <c r="F86" s="344">
        <v>0</v>
      </c>
      <c r="G86" s="344">
        <v>14</v>
      </c>
      <c r="H86" s="344">
        <v>2</v>
      </c>
      <c r="I86" s="344">
        <v>2</v>
      </c>
      <c r="J86" s="344">
        <v>1</v>
      </c>
      <c r="K86" s="344">
        <v>42</v>
      </c>
    </row>
    <row r="87" spans="1:11" x14ac:dyDescent="0.25">
      <c r="A87" s="279" t="s">
        <v>76</v>
      </c>
      <c r="B87" s="344">
        <v>11</v>
      </c>
      <c r="C87" s="344">
        <v>9</v>
      </c>
      <c r="E87" s="344">
        <v>5</v>
      </c>
      <c r="F87" s="344">
        <v>0</v>
      </c>
      <c r="G87" s="344">
        <v>2</v>
      </c>
      <c r="H87" s="344">
        <v>1</v>
      </c>
      <c r="I87" s="344"/>
      <c r="J87" s="344"/>
      <c r="K87" s="344">
        <v>7</v>
      </c>
    </row>
    <row r="88" spans="1:11" x14ac:dyDescent="0.25">
      <c r="A88" s="279" t="s">
        <v>77</v>
      </c>
      <c r="B88" s="344">
        <v>20</v>
      </c>
      <c r="C88" s="344">
        <v>15</v>
      </c>
      <c r="D88" s="358">
        <v>13</v>
      </c>
      <c r="E88" s="344">
        <v>12</v>
      </c>
      <c r="F88" s="344">
        <v>0</v>
      </c>
      <c r="G88" s="344">
        <v>4</v>
      </c>
      <c r="H88" s="344">
        <v>1</v>
      </c>
      <c r="I88" s="344">
        <v>2</v>
      </c>
      <c r="J88" s="344">
        <v>1</v>
      </c>
      <c r="K88" s="344">
        <v>13</v>
      </c>
    </row>
    <row r="89" spans="1:11" x14ac:dyDescent="0.25">
      <c r="A89" s="279" t="s">
        <v>78</v>
      </c>
      <c r="B89" s="344">
        <v>32</v>
      </c>
      <c r="C89" s="344">
        <v>23</v>
      </c>
      <c r="D89" s="358">
        <v>18</v>
      </c>
      <c r="E89" s="344">
        <v>15</v>
      </c>
      <c r="F89" s="344">
        <v>0</v>
      </c>
      <c r="G89" s="344">
        <v>8</v>
      </c>
      <c r="H89" s="344">
        <v>0</v>
      </c>
      <c r="I89" s="344">
        <v>0</v>
      </c>
      <c r="J89" s="344">
        <v>0</v>
      </c>
      <c r="K89" s="344">
        <v>22</v>
      </c>
    </row>
    <row r="90" spans="1:11" x14ac:dyDescent="0.25">
      <c r="A90" s="279" t="s">
        <v>79</v>
      </c>
      <c r="B90" s="344">
        <v>3</v>
      </c>
      <c r="C90" s="344">
        <v>2</v>
      </c>
      <c r="E90" s="344"/>
      <c r="F90" s="344"/>
      <c r="G90" s="344"/>
      <c r="H90" s="344"/>
      <c r="I90" s="344"/>
      <c r="J90" s="344"/>
      <c r="K90" s="344"/>
    </row>
    <row r="91" spans="1:11" x14ac:dyDescent="0.25">
      <c r="A91" s="278" t="s">
        <v>18</v>
      </c>
      <c r="B91" s="344">
        <v>104</v>
      </c>
      <c r="C91" s="344">
        <v>60</v>
      </c>
      <c r="D91" s="358">
        <v>21.26</v>
      </c>
      <c r="E91" s="344">
        <v>45</v>
      </c>
      <c r="F91" s="344">
        <v>1</v>
      </c>
      <c r="G91" s="344">
        <v>37</v>
      </c>
      <c r="H91" s="344">
        <v>4</v>
      </c>
      <c r="I91" s="344">
        <v>13</v>
      </c>
      <c r="J91" s="344">
        <v>13</v>
      </c>
      <c r="K91" s="344">
        <v>58</v>
      </c>
    </row>
    <row r="92" spans="1:11" x14ac:dyDescent="0.25">
      <c r="A92" s="279" t="s">
        <v>76</v>
      </c>
      <c r="B92" s="344"/>
      <c r="C92" s="344"/>
      <c r="E92" s="344"/>
      <c r="F92" s="344"/>
      <c r="G92" s="344"/>
      <c r="H92" s="344"/>
      <c r="I92" s="344"/>
      <c r="J92" s="344"/>
      <c r="K92" s="344"/>
    </row>
    <row r="93" spans="1:11" x14ac:dyDescent="0.25">
      <c r="A93" s="279" t="s">
        <v>77</v>
      </c>
      <c r="B93" s="344">
        <v>45</v>
      </c>
      <c r="C93" s="344">
        <v>38</v>
      </c>
      <c r="D93" s="358">
        <v>11.13</v>
      </c>
      <c r="E93" s="344">
        <v>31</v>
      </c>
      <c r="F93" s="344">
        <v>0</v>
      </c>
      <c r="G93" s="344">
        <v>23</v>
      </c>
      <c r="H93" s="344">
        <v>3</v>
      </c>
      <c r="I93" s="344">
        <v>9</v>
      </c>
      <c r="J93" s="344">
        <v>9</v>
      </c>
      <c r="K93" s="344">
        <v>37</v>
      </c>
    </row>
    <row r="94" spans="1:11" x14ac:dyDescent="0.25">
      <c r="A94" s="279" t="s">
        <v>78</v>
      </c>
      <c r="B94" s="344">
        <v>3</v>
      </c>
      <c r="C94" s="344">
        <v>1</v>
      </c>
      <c r="E94" s="344"/>
      <c r="F94" s="344"/>
      <c r="G94" s="344"/>
      <c r="H94" s="344"/>
      <c r="I94" s="344"/>
      <c r="J94" s="344"/>
      <c r="K94" s="344"/>
    </row>
    <row r="95" spans="1:11" x14ac:dyDescent="0.25">
      <c r="A95" s="279" t="s">
        <v>79</v>
      </c>
      <c r="B95" s="344">
        <v>56</v>
      </c>
      <c r="C95" s="344">
        <v>21</v>
      </c>
      <c r="D95" s="358">
        <v>10.130000000000001</v>
      </c>
      <c r="E95" s="344">
        <v>14</v>
      </c>
      <c r="F95" s="344">
        <v>1</v>
      </c>
      <c r="G95" s="344">
        <v>14</v>
      </c>
      <c r="H95" s="344">
        <v>1</v>
      </c>
      <c r="I95" s="344">
        <v>4</v>
      </c>
      <c r="J95" s="344">
        <v>4</v>
      </c>
      <c r="K95" s="344">
        <v>21</v>
      </c>
    </row>
    <row r="96" spans="1:11" x14ac:dyDescent="0.25">
      <c r="A96" s="278" t="s">
        <v>19</v>
      </c>
      <c r="B96" s="344">
        <v>156</v>
      </c>
      <c r="C96" s="344">
        <v>85</v>
      </c>
      <c r="D96" s="358">
        <v>48</v>
      </c>
      <c r="E96" s="344">
        <v>50</v>
      </c>
      <c r="F96" s="344">
        <v>0</v>
      </c>
      <c r="G96" s="344">
        <v>36</v>
      </c>
      <c r="H96" s="344">
        <v>13</v>
      </c>
      <c r="I96" s="344">
        <v>12</v>
      </c>
      <c r="J96" s="344">
        <v>10</v>
      </c>
      <c r="K96" s="344">
        <v>58</v>
      </c>
    </row>
    <row r="97" spans="1:11" x14ac:dyDescent="0.25">
      <c r="A97" s="279" t="s">
        <v>76</v>
      </c>
      <c r="B97" s="344">
        <v>22</v>
      </c>
      <c r="C97" s="344">
        <v>13</v>
      </c>
      <c r="D97" s="358">
        <v>15</v>
      </c>
      <c r="E97" s="344">
        <v>10</v>
      </c>
      <c r="F97" s="344">
        <v>0</v>
      </c>
      <c r="G97" s="344">
        <v>6</v>
      </c>
      <c r="H97" s="344">
        <v>1</v>
      </c>
      <c r="I97" s="344"/>
      <c r="J97" s="344"/>
      <c r="K97" s="344">
        <v>13</v>
      </c>
    </row>
    <row r="98" spans="1:11" x14ac:dyDescent="0.25">
      <c r="A98" s="279" t="s">
        <v>77</v>
      </c>
      <c r="B98" s="344">
        <v>32</v>
      </c>
      <c r="C98" s="344">
        <v>15</v>
      </c>
      <c r="D98" s="358">
        <v>15</v>
      </c>
      <c r="E98" s="344">
        <v>14</v>
      </c>
      <c r="F98" s="344">
        <v>0</v>
      </c>
      <c r="G98" s="344">
        <v>7</v>
      </c>
      <c r="H98" s="344">
        <v>3</v>
      </c>
      <c r="I98" s="344">
        <v>1</v>
      </c>
      <c r="J98" s="344">
        <v>1</v>
      </c>
      <c r="K98" s="344">
        <v>13</v>
      </c>
    </row>
    <row r="99" spans="1:11" x14ac:dyDescent="0.25">
      <c r="A99" s="279" t="s">
        <v>78</v>
      </c>
      <c r="B99" s="344">
        <v>66</v>
      </c>
      <c r="C99" s="344">
        <v>37</v>
      </c>
      <c r="D99" s="358">
        <v>18</v>
      </c>
      <c r="E99" s="344">
        <v>20</v>
      </c>
      <c r="F99" s="344">
        <v>0</v>
      </c>
      <c r="G99" s="344">
        <v>14</v>
      </c>
      <c r="H99" s="344">
        <v>7</v>
      </c>
      <c r="I99" s="344">
        <v>5</v>
      </c>
      <c r="J99" s="344">
        <v>3</v>
      </c>
      <c r="K99" s="344">
        <v>21</v>
      </c>
    </row>
    <row r="100" spans="1:11" x14ac:dyDescent="0.25">
      <c r="A100" s="279" t="s">
        <v>79</v>
      </c>
      <c r="B100" s="344">
        <v>36</v>
      </c>
      <c r="C100" s="344">
        <v>20</v>
      </c>
      <c r="E100" s="344">
        <v>6</v>
      </c>
      <c r="F100" s="344">
        <v>0</v>
      </c>
      <c r="G100" s="344">
        <v>9</v>
      </c>
      <c r="H100" s="344">
        <v>2</v>
      </c>
      <c r="I100" s="344">
        <v>6</v>
      </c>
      <c r="J100" s="344">
        <v>6</v>
      </c>
      <c r="K100" s="344">
        <v>11</v>
      </c>
    </row>
    <row r="101" spans="1:11" x14ac:dyDescent="0.25">
      <c r="A101" s="278" t="s">
        <v>24</v>
      </c>
      <c r="B101" s="344">
        <v>84</v>
      </c>
      <c r="C101" s="344">
        <v>48</v>
      </c>
      <c r="D101" s="358">
        <v>50.760000000000005</v>
      </c>
      <c r="E101" s="344">
        <v>34</v>
      </c>
      <c r="F101" s="344">
        <v>0</v>
      </c>
      <c r="G101" s="344">
        <v>20</v>
      </c>
      <c r="H101" s="344">
        <v>7</v>
      </c>
      <c r="I101" s="344">
        <v>8</v>
      </c>
      <c r="J101" s="344">
        <v>8</v>
      </c>
      <c r="K101" s="344">
        <v>36</v>
      </c>
    </row>
    <row r="102" spans="1:11" x14ac:dyDescent="0.25">
      <c r="A102" s="279" t="s">
        <v>76</v>
      </c>
      <c r="B102" s="344">
        <v>17</v>
      </c>
      <c r="C102" s="344">
        <v>9</v>
      </c>
      <c r="D102" s="358">
        <v>15.38</v>
      </c>
      <c r="E102" s="344">
        <v>7</v>
      </c>
      <c r="F102" s="344">
        <v>0</v>
      </c>
      <c r="G102" s="344">
        <v>6</v>
      </c>
      <c r="H102" s="344">
        <v>4</v>
      </c>
      <c r="I102" s="344">
        <v>5</v>
      </c>
      <c r="J102" s="344">
        <v>5</v>
      </c>
      <c r="K102" s="344">
        <v>9</v>
      </c>
    </row>
    <row r="103" spans="1:11" x14ac:dyDescent="0.25">
      <c r="A103" s="279" t="s">
        <v>77</v>
      </c>
      <c r="B103" s="344">
        <v>18</v>
      </c>
      <c r="C103" s="344">
        <v>14</v>
      </c>
      <c r="D103" s="358">
        <v>15.38</v>
      </c>
      <c r="E103" s="344">
        <v>13</v>
      </c>
      <c r="F103" s="344">
        <v>0</v>
      </c>
      <c r="G103" s="344">
        <v>4</v>
      </c>
      <c r="H103" s="344">
        <v>2</v>
      </c>
      <c r="I103" s="344">
        <v>2</v>
      </c>
      <c r="J103" s="344">
        <v>2</v>
      </c>
      <c r="K103" s="344">
        <v>9</v>
      </c>
    </row>
    <row r="104" spans="1:11" x14ac:dyDescent="0.25">
      <c r="A104" s="279" t="s">
        <v>78</v>
      </c>
      <c r="B104" s="344">
        <v>21</v>
      </c>
      <c r="C104" s="344">
        <v>12</v>
      </c>
      <c r="D104" s="358">
        <v>20</v>
      </c>
      <c r="E104" s="344">
        <v>7</v>
      </c>
      <c r="F104" s="344">
        <v>0</v>
      </c>
      <c r="G104" s="344">
        <v>3</v>
      </c>
      <c r="H104" s="344">
        <v>0</v>
      </c>
      <c r="I104" s="344">
        <v>0</v>
      </c>
      <c r="J104" s="344">
        <v>0</v>
      </c>
      <c r="K104" s="344">
        <v>7</v>
      </c>
    </row>
    <row r="105" spans="1:11" x14ac:dyDescent="0.25">
      <c r="A105" s="279" t="s">
        <v>79</v>
      </c>
      <c r="B105" s="344">
        <v>28</v>
      </c>
      <c r="C105" s="344">
        <v>13</v>
      </c>
      <c r="E105" s="344">
        <v>7</v>
      </c>
      <c r="F105" s="344">
        <v>0</v>
      </c>
      <c r="G105" s="344">
        <v>7</v>
      </c>
      <c r="H105" s="344">
        <v>1</v>
      </c>
      <c r="I105" s="344">
        <v>1</v>
      </c>
      <c r="J105" s="344">
        <v>1</v>
      </c>
      <c r="K105" s="344">
        <v>11</v>
      </c>
    </row>
    <row r="106" spans="1:11" x14ac:dyDescent="0.25">
      <c r="A106" s="278" t="s">
        <v>20</v>
      </c>
      <c r="B106" s="344">
        <v>395</v>
      </c>
      <c r="C106" s="344">
        <v>185</v>
      </c>
      <c r="D106" s="358">
        <v>37</v>
      </c>
      <c r="E106" s="344">
        <v>143</v>
      </c>
      <c r="F106" s="344">
        <v>9</v>
      </c>
      <c r="G106" s="344">
        <v>107</v>
      </c>
      <c r="H106" s="344">
        <v>77</v>
      </c>
      <c r="I106" s="344">
        <v>160</v>
      </c>
      <c r="J106" s="344">
        <v>157</v>
      </c>
      <c r="K106" s="344">
        <v>175</v>
      </c>
    </row>
    <row r="107" spans="1:11" x14ac:dyDescent="0.25">
      <c r="A107" s="279" t="s">
        <v>76</v>
      </c>
      <c r="B107" s="344">
        <v>101</v>
      </c>
      <c r="C107" s="344">
        <v>67</v>
      </c>
      <c r="D107" s="358">
        <v>12</v>
      </c>
      <c r="E107" s="344">
        <v>50</v>
      </c>
      <c r="F107" s="344">
        <v>0</v>
      </c>
      <c r="G107" s="344">
        <v>36</v>
      </c>
      <c r="H107" s="344">
        <v>25</v>
      </c>
      <c r="I107" s="344">
        <v>57</v>
      </c>
      <c r="J107" s="344">
        <v>57</v>
      </c>
      <c r="K107" s="344">
        <v>64</v>
      </c>
    </row>
    <row r="108" spans="1:11" x14ac:dyDescent="0.25">
      <c r="A108" s="279" t="s">
        <v>77</v>
      </c>
      <c r="B108" s="344">
        <v>186</v>
      </c>
      <c r="C108" s="344">
        <v>67</v>
      </c>
      <c r="D108" s="358">
        <v>13</v>
      </c>
      <c r="E108" s="344">
        <v>57</v>
      </c>
      <c r="F108" s="344">
        <v>3</v>
      </c>
      <c r="G108" s="344">
        <v>37</v>
      </c>
      <c r="H108" s="344">
        <v>39</v>
      </c>
      <c r="I108" s="344">
        <v>58</v>
      </c>
      <c r="J108" s="344">
        <v>56</v>
      </c>
      <c r="K108" s="344">
        <v>64</v>
      </c>
    </row>
    <row r="109" spans="1:11" x14ac:dyDescent="0.25">
      <c r="A109" s="279" t="s">
        <v>78</v>
      </c>
      <c r="B109" s="344">
        <v>6</v>
      </c>
      <c r="C109" s="344">
        <v>0</v>
      </c>
      <c r="E109" s="344"/>
      <c r="F109" s="344"/>
      <c r="G109" s="344"/>
      <c r="H109" s="344"/>
      <c r="I109" s="344"/>
      <c r="J109" s="344"/>
      <c r="K109" s="344"/>
    </row>
    <row r="110" spans="1:11" x14ac:dyDescent="0.25">
      <c r="A110" s="279" t="s">
        <v>79</v>
      </c>
      <c r="B110" s="344">
        <v>102</v>
      </c>
      <c r="C110" s="344">
        <v>51</v>
      </c>
      <c r="D110" s="358">
        <v>12</v>
      </c>
      <c r="E110" s="344">
        <v>36</v>
      </c>
      <c r="F110" s="344">
        <v>6</v>
      </c>
      <c r="G110" s="344">
        <v>34</v>
      </c>
      <c r="H110" s="344">
        <v>13</v>
      </c>
      <c r="I110" s="344">
        <v>45</v>
      </c>
      <c r="J110" s="344">
        <v>44</v>
      </c>
      <c r="K110" s="344">
        <v>47</v>
      </c>
    </row>
    <row r="111" spans="1:11" x14ac:dyDescent="0.25">
      <c r="A111" s="278" t="s">
        <v>21</v>
      </c>
      <c r="B111" s="344">
        <v>556</v>
      </c>
      <c r="C111" s="344">
        <v>295</v>
      </c>
      <c r="D111" s="358">
        <v>50.56</v>
      </c>
      <c r="E111" s="344">
        <v>226</v>
      </c>
      <c r="F111" s="344">
        <v>1</v>
      </c>
      <c r="G111" s="344">
        <v>176</v>
      </c>
      <c r="H111" s="344">
        <v>42</v>
      </c>
      <c r="I111" s="344">
        <v>263</v>
      </c>
      <c r="J111" s="344">
        <v>260</v>
      </c>
      <c r="K111" s="344">
        <v>284</v>
      </c>
    </row>
    <row r="112" spans="1:11" x14ac:dyDescent="0.25">
      <c r="A112" s="279" t="s">
        <v>76</v>
      </c>
      <c r="B112" s="344">
        <v>94</v>
      </c>
      <c r="C112" s="344">
        <v>53</v>
      </c>
      <c r="D112" s="358">
        <v>12.28</v>
      </c>
      <c r="E112" s="344">
        <v>41</v>
      </c>
      <c r="F112" s="344">
        <v>1</v>
      </c>
      <c r="G112" s="344">
        <v>35</v>
      </c>
      <c r="H112" s="344">
        <v>13</v>
      </c>
      <c r="I112" s="344">
        <v>43</v>
      </c>
      <c r="J112" s="344">
        <v>43</v>
      </c>
      <c r="K112" s="344">
        <v>50</v>
      </c>
    </row>
    <row r="113" spans="1:11" x14ac:dyDescent="0.25">
      <c r="A113" s="279" t="s">
        <v>77</v>
      </c>
      <c r="B113" s="344">
        <v>244</v>
      </c>
      <c r="C113" s="344">
        <v>114</v>
      </c>
      <c r="D113" s="358">
        <v>12.28</v>
      </c>
      <c r="E113" s="344">
        <v>87</v>
      </c>
      <c r="F113" s="344">
        <v>0</v>
      </c>
      <c r="G113" s="344">
        <v>71</v>
      </c>
      <c r="H113" s="344">
        <v>8</v>
      </c>
      <c r="I113" s="344">
        <v>104</v>
      </c>
      <c r="J113" s="344">
        <v>103</v>
      </c>
      <c r="K113" s="344">
        <v>110</v>
      </c>
    </row>
    <row r="114" spans="1:11" x14ac:dyDescent="0.25">
      <c r="A114" s="279" t="s">
        <v>78</v>
      </c>
      <c r="B114" s="344">
        <v>47</v>
      </c>
      <c r="C114" s="344">
        <v>23</v>
      </c>
      <c r="D114" s="358">
        <v>13</v>
      </c>
      <c r="E114" s="344">
        <v>18</v>
      </c>
      <c r="F114" s="344">
        <v>0</v>
      </c>
      <c r="G114" s="344">
        <v>17</v>
      </c>
      <c r="H114" s="344">
        <v>3</v>
      </c>
      <c r="I114" s="344">
        <v>21</v>
      </c>
      <c r="J114" s="344">
        <v>21</v>
      </c>
      <c r="K114" s="344">
        <v>23</v>
      </c>
    </row>
    <row r="115" spans="1:11" x14ac:dyDescent="0.25">
      <c r="A115" s="279" t="s">
        <v>79</v>
      </c>
      <c r="B115" s="344">
        <v>171</v>
      </c>
      <c r="C115" s="344">
        <v>105</v>
      </c>
      <c r="D115" s="358">
        <v>13</v>
      </c>
      <c r="E115" s="344">
        <v>80</v>
      </c>
      <c r="F115" s="344">
        <v>0</v>
      </c>
      <c r="G115" s="344">
        <v>53</v>
      </c>
      <c r="H115" s="344">
        <v>18</v>
      </c>
      <c r="I115" s="344">
        <v>95</v>
      </c>
      <c r="J115" s="344">
        <v>93</v>
      </c>
      <c r="K115" s="344">
        <v>101</v>
      </c>
    </row>
    <row r="116" spans="1:11" x14ac:dyDescent="0.25">
      <c r="A116" s="278" t="s">
        <v>22</v>
      </c>
      <c r="B116" s="344">
        <v>64</v>
      </c>
      <c r="C116" s="344">
        <v>33</v>
      </c>
      <c r="D116" s="358">
        <v>44</v>
      </c>
      <c r="E116" s="344">
        <v>25</v>
      </c>
      <c r="F116" s="344">
        <v>0</v>
      </c>
      <c r="G116" s="344">
        <v>9</v>
      </c>
      <c r="H116" s="344">
        <v>3</v>
      </c>
      <c r="I116" s="344">
        <v>29</v>
      </c>
      <c r="J116" s="344">
        <v>29</v>
      </c>
      <c r="K116" s="344">
        <v>27</v>
      </c>
    </row>
    <row r="117" spans="1:11" x14ac:dyDescent="0.25">
      <c r="A117" s="279" t="s">
        <v>76</v>
      </c>
      <c r="B117" s="344">
        <v>34</v>
      </c>
      <c r="C117" s="344">
        <v>15</v>
      </c>
      <c r="D117" s="358">
        <v>22</v>
      </c>
      <c r="E117" s="344">
        <v>12</v>
      </c>
      <c r="F117" s="344">
        <v>0</v>
      </c>
      <c r="G117" s="344">
        <v>8</v>
      </c>
      <c r="H117" s="344">
        <v>1</v>
      </c>
      <c r="I117" s="344">
        <v>14</v>
      </c>
      <c r="J117" s="344">
        <v>14</v>
      </c>
      <c r="K117" s="344">
        <v>13</v>
      </c>
    </row>
    <row r="118" spans="1:11" x14ac:dyDescent="0.25">
      <c r="A118" s="279" t="s">
        <v>77</v>
      </c>
      <c r="B118" s="344">
        <v>17</v>
      </c>
      <c r="C118" s="344">
        <v>10</v>
      </c>
      <c r="D118" s="358">
        <v>22</v>
      </c>
      <c r="E118" s="344">
        <v>8</v>
      </c>
      <c r="F118" s="344">
        <v>0</v>
      </c>
      <c r="G118" s="344">
        <v>0</v>
      </c>
      <c r="H118" s="344">
        <v>2</v>
      </c>
      <c r="I118" s="344">
        <v>10</v>
      </c>
      <c r="J118" s="344">
        <v>10</v>
      </c>
      <c r="K118" s="344">
        <v>9</v>
      </c>
    </row>
    <row r="119" spans="1:11" x14ac:dyDescent="0.25">
      <c r="A119" s="279" t="s">
        <v>78</v>
      </c>
      <c r="B119" s="344">
        <v>6</v>
      </c>
      <c r="C119" s="344">
        <v>3</v>
      </c>
      <c r="E119" s="344"/>
      <c r="F119" s="344"/>
      <c r="G119" s="344"/>
      <c r="H119" s="344"/>
      <c r="I119" s="344"/>
      <c r="J119" s="344"/>
      <c r="K119" s="344"/>
    </row>
    <row r="120" spans="1:11" x14ac:dyDescent="0.25">
      <c r="A120" s="279" t="s">
        <v>79</v>
      </c>
      <c r="B120" s="344">
        <v>7</v>
      </c>
      <c r="C120" s="344">
        <v>5</v>
      </c>
      <c r="E120" s="344">
        <v>5</v>
      </c>
      <c r="F120" s="344">
        <v>0</v>
      </c>
      <c r="G120" s="344">
        <v>1</v>
      </c>
      <c r="H120" s="344">
        <v>0</v>
      </c>
      <c r="I120" s="344">
        <v>5</v>
      </c>
      <c r="J120" s="344">
        <v>5</v>
      </c>
      <c r="K120" s="344">
        <v>5</v>
      </c>
    </row>
    <row r="121" spans="1:11" x14ac:dyDescent="0.25">
      <c r="A121" s="278" t="s">
        <v>23</v>
      </c>
      <c r="B121" s="344">
        <v>180</v>
      </c>
      <c r="C121" s="344">
        <v>111</v>
      </c>
      <c r="D121" s="358">
        <v>73.5</v>
      </c>
      <c r="E121" s="344">
        <v>91</v>
      </c>
      <c r="F121" s="344">
        <v>1</v>
      </c>
      <c r="G121" s="344">
        <v>22</v>
      </c>
      <c r="H121" s="344">
        <v>14</v>
      </c>
      <c r="I121" s="344">
        <v>106</v>
      </c>
      <c r="J121" s="344">
        <v>105</v>
      </c>
      <c r="K121" s="344">
        <v>99</v>
      </c>
    </row>
    <row r="122" spans="1:11" x14ac:dyDescent="0.25">
      <c r="A122" s="279" t="s">
        <v>76</v>
      </c>
      <c r="B122" s="344">
        <v>23</v>
      </c>
      <c r="C122" s="344">
        <v>12</v>
      </c>
      <c r="D122" s="358">
        <v>24.5</v>
      </c>
      <c r="E122" s="344">
        <v>10</v>
      </c>
      <c r="F122" s="344">
        <v>0</v>
      </c>
      <c r="G122" s="344">
        <v>2</v>
      </c>
      <c r="H122" s="344">
        <v>2</v>
      </c>
      <c r="I122" s="344">
        <v>12</v>
      </c>
      <c r="J122" s="344">
        <v>11</v>
      </c>
      <c r="K122" s="344">
        <v>12</v>
      </c>
    </row>
    <row r="123" spans="1:11" x14ac:dyDescent="0.25">
      <c r="A123" s="279" t="s">
        <v>77</v>
      </c>
      <c r="B123" s="344">
        <v>79</v>
      </c>
      <c r="C123" s="344">
        <v>46</v>
      </c>
      <c r="D123" s="358">
        <v>24.5</v>
      </c>
      <c r="E123" s="344">
        <v>38</v>
      </c>
      <c r="F123" s="344">
        <v>1</v>
      </c>
      <c r="G123" s="344">
        <v>8</v>
      </c>
      <c r="H123" s="344">
        <v>7</v>
      </c>
      <c r="I123" s="344">
        <v>46</v>
      </c>
      <c r="J123" s="344">
        <v>46</v>
      </c>
      <c r="K123" s="344">
        <v>39</v>
      </c>
    </row>
    <row r="124" spans="1:11" x14ac:dyDescent="0.25">
      <c r="A124" s="279" t="s">
        <v>78</v>
      </c>
      <c r="B124" s="344">
        <v>4</v>
      </c>
      <c r="C124" s="344">
        <v>4</v>
      </c>
      <c r="E124" s="344"/>
      <c r="F124" s="344"/>
      <c r="G124" s="344"/>
      <c r="H124" s="344"/>
      <c r="I124" s="344"/>
      <c r="J124" s="344"/>
      <c r="K124" s="344"/>
    </row>
    <row r="125" spans="1:11" x14ac:dyDescent="0.25">
      <c r="A125" s="279" t="s">
        <v>79</v>
      </c>
      <c r="B125" s="344">
        <v>74</v>
      </c>
      <c r="C125" s="344">
        <v>49</v>
      </c>
      <c r="D125" s="358">
        <v>24.5</v>
      </c>
      <c r="E125" s="344">
        <v>43</v>
      </c>
      <c r="F125" s="344">
        <v>0</v>
      </c>
      <c r="G125" s="344">
        <v>12</v>
      </c>
      <c r="H125" s="344">
        <v>5</v>
      </c>
      <c r="I125" s="344">
        <v>48</v>
      </c>
      <c r="J125" s="344">
        <v>48</v>
      </c>
      <c r="K125" s="344">
        <v>48</v>
      </c>
    </row>
    <row r="126" spans="1:11" x14ac:dyDescent="0.25">
      <c r="A126" s="277">
        <v>2010</v>
      </c>
      <c r="B126" s="344">
        <v>1618</v>
      </c>
      <c r="C126" s="344">
        <v>883</v>
      </c>
      <c r="D126" s="358">
        <v>304.95999999999998</v>
      </c>
      <c r="E126" s="344">
        <v>641</v>
      </c>
      <c r="F126" s="344">
        <v>19</v>
      </c>
      <c r="G126" s="344">
        <v>492</v>
      </c>
      <c r="H126" s="344">
        <v>192</v>
      </c>
      <c r="I126" s="344">
        <v>679</v>
      </c>
      <c r="J126" s="344">
        <v>667</v>
      </c>
      <c r="K126" s="344">
        <v>812</v>
      </c>
    </row>
    <row r="127" spans="1:11" x14ac:dyDescent="0.25">
      <c r="A127" s="278" t="s">
        <v>17</v>
      </c>
      <c r="B127" s="344">
        <v>46</v>
      </c>
      <c r="C127" s="344">
        <v>37</v>
      </c>
      <c r="D127" s="358">
        <v>24.5</v>
      </c>
      <c r="E127" s="344">
        <v>24</v>
      </c>
      <c r="F127" s="344">
        <v>0</v>
      </c>
      <c r="G127" s="344">
        <v>19</v>
      </c>
      <c r="H127" s="344">
        <v>0</v>
      </c>
      <c r="I127" s="344">
        <v>6</v>
      </c>
      <c r="J127" s="344">
        <v>6</v>
      </c>
      <c r="K127" s="344">
        <v>27</v>
      </c>
    </row>
    <row r="128" spans="1:11" x14ac:dyDescent="0.25">
      <c r="A128" s="279" t="s">
        <v>76</v>
      </c>
      <c r="B128" s="344">
        <v>5</v>
      </c>
      <c r="C128" s="344">
        <v>2</v>
      </c>
      <c r="E128" s="344"/>
      <c r="F128" s="344"/>
      <c r="G128" s="344"/>
      <c r="H128" s="344"/>
      <c r="I128" s="344"/>
      <c r="J128" s="344"/>
      <c r="K128" s="344"/>
    </row>
    <row r="129" spans="1:11" x14ac:dyDescent="0.25">
      <c r="A129" s="279" t="s">
        <v>77</v>
      </c>
      <c r="B129" s="344">
        <v>11</v>
      </c>
      <c r="C129" s="344">
        <v>9</v>
      </c>
      <c r="E129" s="344">
        <v>7</v>
      </c>
      <c r="F129" s="344">
        <v>0</v>
      </c>
      <c r="G129" s="344">
        <v>4</v>
      </c>
      <c r="H129" s="344">
        <v>0</v>
      </c>
      <c r="I129" s="344">
        <v>4</v>
      </c>
      <c r="J129" s="344">
        <v>4</v>
      </c>
      <c r="K129" s="344">
        <v>8</v>
      </c>
    </row>
    <row r="130" spans="1:11" x14ac:dyDescent="0.25">
      <c r="A130" s="279" t="s">
        <v>78</v>
      </c>
      <c r="B130" s="344">
        <v>27</v>
      </c>
      <c r="C130" s="344">
        <v>24</v>
      </c>
      <c r="D130" s="358">
        <v>24.5</v>
      </c>
      <c r="E130" s="344">
        <v>17</v>
      </c>
      <c r="F130" s="344">
        <v>0</v>
      </c>
      <c r="G130" s="344">
        <v>15</v>
      </c>
      <c r="H130" s="344">
        <v>0</v>
      </c>
      <c r="I130" s="344">
        <v>2</v>
      </c>
      <c r="J130" s="344">
        <v>2</v>
      </c>
      <c r="K130" s="344">
        <v>19</v>
      </c>
    </row>
    <row r="131" spans="1:11" x14ac:dyDescent="0.25">
      <c r="A131" s="279" t="s">
        <v>79</v>
      </c>
      <c r="B131" s="344">
        <v>3</v>
      </c>
      <c r="C131" s="344">
        <v>2</v>
      </c>
      <c r="E131" s="344"/>
      <c r="F131" s="344"/>
      <c r="G131" s="344"/>
      <c r="H131" s="344"/>
      <c r="I131" s="344"/>
      <c r="J131" s="344"/>
      <c r="K131" s="344"/>
    </row>
    <row r="132" spans="1:11" x14ac:dyDescent="0.25">
      <c r="A132" s="278" t="s">
        <v>18</v>
      </c>
      <c r="B132" s="344">
        <v>72</v>
      </c>
      <c r="C132" s="344">
        <v>38</v>
      </c>
      <c r="D132" s="358">
        <v>15</v>
      </c>
      <c r="E132" s="344">
        <v>21</v>
      </c>
      <c r="F132" s="344">
        <v>1</v>
      </c>
      <c r="G132" s="344">
        <v>27</v>
      </c>
      <c r="H132" s="344">
        <v>2</v>
      </c>
      <c r="I132" s="344">
        <v>15</v>
      </c>
      <c r="J132" s="344">
        <v>15</v>
      </c>
      <c r="K132" s="344">
        <v>32</v>
      </c>
    </row>
    <row r="133" spans="1:11" x14ac:dyDescent="0.25">
      <c r="A133" s="279" t="s">
        <v>76</v>
      </c>
      <c r="B133" s="344"/>
      <c r="C133" s="344"/>
      <c r="E133" s="344"/>
      <c r="F133" s="344"/>
      <c r="G133" s="344"/>
      <c r="H133" s="344"/>
      <c r="I133" s="344"/>
      <c r="J133" s="344"/>
      <c r="K133" s="344"/>
    </row>
    <row r="134" spans="1:11" x14ac:dyDescent="0.25">
      <c r="A134" s="279" t="s">
        <v>77</v>
      </c>
      <c r="B134" s="344">
        <v>17</v>
      </c>
      <c r="C134" s="344">
        <v>17</v>
      </c>
      <c r="D134" s="358">
        <v>15</v>
      </c>
      <c r="E134" s="344">
        <v>12</v>
      </c>
      <c r="F134" s="344">
        <v>0</v>
      </c>
      <c r="G134" s="344">
        <v>12</v>
      </c>
      <c r="H134" s="344">
        <v>0</v>
      </c>
      <c r="I134" s="344">
        <v>10</v>
      </c>
      <c r="J134" s="344">
        <v>10</v>
      </c>
      <c r="K134" s="344">
        <v>16</v>
      </c>
    </row>
    <row r="135" spans="1:11" x14ac:dyDescent="0.25">
      <c r="A135" s="279" t="s">
        <v>78</v>
      </c>
      <c r="B135" s="344">
        <v>6</v>
      </c>
      <c r="C135" s="344">
        <v>2</v>
      </c>
      <c r="E135" s="344"/>
      <c r="F135" s="344"/>
      <c r="G135" s="344"/>
      <c r="H135" s="344"/>
      <c r="I135" s="344"/>
      <c r="J135" s="344"/>
      <c r="K135" s="344"/>
    </row>
    <row r="136" spans="1:11" x14ac:dyDescent="0.25">
      <c r="A136" s="279" t="s">
        <v>79</v>
      </c>
      <c r="B136" s="344">
        <v>49</v>
      </c>
      <c r="C136" s="344">
        <v>19</v>
      </c>
      <c r="E136" s="344">
        <v>9</v>
      </c>
      <c r="F136" s="344">
        <v>1</v>
      </c>
      <c r="G136" s="344">
        <v>15</v>
      </c>
      <c r="H136" s="344">
        <v>2</v>
      </c>
      <c r="I136" s="344">
        <v>5</v>
      </c>
      <c r="J136" s="344">
        <v>5</v>
      </c>
      <c r="K136" s="344">
        <v>16</v>
      </c>
    </row>
    <row r="137" spans="1:11" x14ac:dyDescent="0.25">
      <c r="A137" s="278" t="s">
        <v>19</v>
      </c>
      <c r="B137" s="344">
        <v>50</v>
      </c>
      <c r="C137" s="344">
        <v>33</v>
      </c>
      <c r="D137" s="358">
        <v>36</v>
      </c>
      <c r="E137" s="344">
        <v>24</v>
      </c>
      <c r="F137" s="344">
        <v>1</v>
      </c>
      <c r="G137" s="344">
        <v>14</v>
      </c>
      <c r="H137" s="344">
        <v>1</v>
      </c>
      <c r="I137" s="344">
        <v>4</v>
      </c>
      <c r="J137" s="344">
        <v>4</v>
      </c>
      <c r="K137" s="344">
        <v>25</v>
      </c>
    </row>
    <row r="138" spans="1:11" x14ac:dyDescent="0.25">
      <c r="A138" s="279" t="s">
        <v>76</v>
      </c>
      <c r="B138" s="344">
        <v>5</v>
      </c>
      <c r="C138" s="344">
        <v>3</v>
      </c>
      <c r="E138" s="344"/>
      <c r="F138" s="344"/>
      <c r="G138" s="344"/>
      <c r="H138" s="344"/>
      <c r="I138" s="344"/>
      <c r="J138" s="344"/>
      <c r="K138" s="344"/>
    </row>
    <row r="139" spans="1:11" x14ac:dyDescent="0.25">
      <c r="A139" s="279" t="s">
        <v>77</v>
      </c>
      <c r="B139" s="344">
        <v>9</v>
      </c>
      <c r="C139" s="344">
        <v>6</v>
      </c>
      <c r="E139" s="344">
        <v>6</v>
      </c>
      <c r="F139" s="344">
        <v>0</v>
      </c>
      <c r="G139" s="344">
        <v>3</v>
      </c>
      <c r="H139" s="344">
        <v>0</v>
      </c>
      <c r="I139" s="344"/>
      <c r="J139" s="344"/>
      <c r="K139" s="344">
        <v>6</v>
      </c>
    </row>
    <row r="140" spans="1:11" x14ac:dyDescent="0.25">
      <c r="A140" s="279" t="s">
        <v>78</v>
      </c>
      <c r="B140" s="344">
        <v>28</v>
      </c>
      <c r="C140" s="344">
        <v>17</v>
      </c>
      <c r="D140" s="358">
        <v>36</v>
      </c>
      <c r="E140" s="344">
        <v>11</v>
      </c>
      <c r="F140" s="344">
        <v>1</v>
      </c>
      <c r="G140" s="344">
        <v>7</v>
      </c>
      <c r="H140" s="344">
        <v>1</v>
      </c>
      <c r="I140" s="344">
        <v>1</v>
      </c>
      <c r="J140" s="344">
        <v>1</v>
      </c>
      <c r="K140" s="344">
        <v>13</v>
      </c>
    </row>
    <row r="141" spans="1:11" x14ac:dyDescent="0.25">
      <c r="A141" s="279" t="s">
        <v>79</v>
      </c>
      <c r="B141" s="344">
        <v>8</v>
      </c>
      <c r="C141" s="344">
        <v>7</v>
      </c>
      <c r="E141" s="344">
        <v>7</v>
      </c>
      <c r="F141" s="344">
        <v>0</v>
      </c>
      <c r="G141" s="344">
        <v>4</v>
      </c>
      <c r="H141" s="344">
        <v>0</v>
      </c>
      <c r="I141" s="344">
        <v>3</v>
      </c>
      <c r="J141" s="344">
        <v>3</v>
      </c>
      <c r="K141" s="344">
        <v>6</v>
      </c>
    </row>
    <row r="142" spans="1:11" x14ac:dyDescent="0.25">
      <c r="A142" s="278" t="s">
        <v>24</v>
      </c>
      <c r="B142" s="344">
        <v>72</v>
      </c>
      <c r="C142" s="344">
        <v>39</v>
      </c>
      <c r="D142" s="358">
        <v>35</v>
      </c>
      <c r="E142" s="344">
        <v>30</v>
      </c>
      <c r="F142" s="344">
        <v>2</v>
      </c>
      <c r="G142" s="344">
        <v>17</v>
      </c>
      <c r="H142" s="344">
        <v>8</v>
      </c>
      <c r="I142" s="344">
        <v>9</v>
      </c>
      <c r="J142" s="344">
        <v>9</v>
      </c>
      <c r="K142" s="344">
        <v>31</v>
      </c>
    </row>
    <row r="143" spans="1:11" x14ac:dyDescent="0.25">
      <c r="A143" s="279" t="s">
        <v>76</v>
      </c>
      <c r="B143" s="344">
        <v>25</v>
      </c>
      <c r="C143" s="344">
        <v>13</v>
      </c>
      <c r="E143" s="344">
        <v>10</v>
      </c>
      <c r="F143" s="344">
        <v>0</v>
      </c>
      <c r="G143" s="344">
        <v>6</v>
      </c>
      <c r="H143" s="344">
        <v>2</v>
      </c>
      <c r="I143" s="344">
        <v>2</v>
      </c>
      <c r="J143" s="344">
        <v>2</v>
      </c>
      <c r="K143" s="344">
        <v>11</v>
      </c>
    </row>
    <row r="144" spans="1:11" x14ac:dyDescent="0.25">
      <c r="A144" s="279" t="s">
        <v>77</v>
      </c>
      <c r="B144" s="344">
        <v>14</v>
      </c>
      <c r="C144" s="344">
        <v>10</v>
      </c>
      <c r="D144" s="358">
        <v>17.5</v>
      </c>
      <c r="E144" s="344">
        <v>8</v>
      </c>
      <c r="F144" s="344">
        <v>1</v>
      </c>
      <c r="G144" s="344">
        <v>2</v>
      </c>
      <c r="H144" s="344">
        <v>2</v>
      </c>
      <c r="I144" s="344">
        <v>2</v>
      </c>
      <c r="J144" s="344">
        <v>2</v>
      </c>
      <c r="K144" s="344">
        <v>8</v>
      </c>
    </row>
    <row r="145" spans="1:11" x14ac:dyDescent="0.25">
      <c r="A145" s="279" t="s">
        <v>78</v>
      </c>
      <c r="B145" s="344">
        <v>20</v>
      </c>
      <c r="C145" s="344">
        <v>7</v>
      </c>
      <c r="E145" s="344">
        <v>4</v>
      </c>
      <c r="F145" s="344">
        <v>1</v>
      </c>
      <c r="G145" s="344">
        <v>6</v>
      </c>
      <c r="H145" s="344">
        <v>1</v>
      </c>
      <c r="I145" s="344">
        <v>2</v>
      </c>
      <c r="J145" s="344">
        <v>2</v>
      </c>
      <c r="K145" s="344">
        <v>4</v>
      </c>
    </row>
    <row r="146" spans="1:11" x14ac:dyDescent="0.25">
      <c r="A146" s="279" t="s">
        <v>79</v>
      </c>
      <c r="B146" s="344">
        <v>13</v>
      </c>
      <c r="C146" s="344">
        <v>9</v>
      </c>
      <c r="D146" s="358">
        <v>17.5</v>
      </c>
      <c r="E146" s="344">
        <v>8</v>
      </c>
      <c r="F146" s="344">
        <v>0</v>
      </c>
      <c r="G146" s="344">
        <v>3</v>
      </c>
      <c r="H146" s="344">
        <v>3</v>
      </c>
      <c r="I146" s="344">
        <v>3</v>
      </c>
      <c r="J146" s="344">
        <v>3</v>
      </c>
      <c r="K146" s="344">
        <v>8</v>
      </c>
    </row>
    <row r="147" spans="1:11" x14ac:dyDescent="0.25">
      <c r="A147" s="278" t="s">
        <v>20</v>
      </c>
      <c r="B147" s="344">
        <v>467</v>
      </c>
      <c r="C147" s="344">
        <v>224</v>
      </c>
      <c r="D147" s="358">
        <v>35.25</v>
      </c>
      <c r="E147" s="344">
        <v>161</v>
      </c>
      <c r="F147" s="344">
        <v>5</v>
      </c>
      <c r="G147" s="344">
        <v>121</v>
      </c>
      <c r="H147" s="344">
        <v>90</v>
      </c>
      <c r="I147" s="344">
        <v>187</v>
      </c>
      <c r="J147" s="344">
        <v>181</v>
      </c>
      <c r="K147" s="344">
        <v>208</v>
      </c>
    </row>
    <row r="148" spans="1:11" x14ac:dyDescent="0.25">
      <c r="A148" s="279" t="s">
        <v>76</v>
      </c>
      <c r="B148" s="344">
        <v>155</v>
      </c>
      <c r="C148" s="344">
        <v>94</v>
      </c>
      <c r="D148" s="358">
        <v>11.75</v>
      </c>
      <c r="E148" s="344">
        <v>73</v>
      </c>
      <c r="F148" s="344">
        <v>2</v>
      </c>
      <c r="G148" s="344">
        <v>50</v>
      </c>
      <c r="H148" s="344">
        <v>39</v>
      </c>
      <c r="I148" s="344">
        <v>78</v>
      </c>
      <c r="J148" s="344">
        <v>75</v>
      </c>
      <c r="K148" s="344">
        <v>92</v>
      </c>
    </row>
    <row r="149" spans="1:11" x14ac:dyDescent="0.25">
      <c r="A149" s="279" t="s">
        <v>77</v>
      </c>
      <c r="B149" s="344">
        <v>173</v>
      </c>
      <c r="C149" s="344">
        <v>50</v>
      </c>
      <c r="D149" s="358">
        <v>11.75</v>
      </c>
      <c r="E149" s="344">
        <v>33</v>
      </c>
      <c r="F149" s="344">
        <v>2</v>
      </c>
      <c r="G149" s="344">
        <v>34</v>
      </c>
      <c r="H149" s="344">
        <v>22</v>
      </c>
      <c r="I149" s="344">
        <v>43</v>
      </c>
      <c r="J149" s="344">
        <v>41</v>
      </c>
      <c r="K149" s="344">
        <v>48</v>
      </c>
    </row>
    <row r="150" spans="1:11" x14ac:dyDescent="0.25">
      <c r="A150" s="279" t="s">
        <v>78</v>
      </c>
      <c r="B150" s="344">
        <v>24</v>
      </c>
      <c r="C150" s="344">
        <v>14</v>
      </c>
      <c r="E150" s="344">
        <v>5</v>
      </c>
      <c r="F150" s="344">
        <v>1</v>
      </c>
      <c r="G150" s="344">
        <v>8</v>
      </c>
      <c r="H150" s="344">
        <v>5</v>
      </c>
      <c r="I150" s="344">
        <v>10</v>
      </c>
      <c r="J150" s="344">
        <v>10</v>
      </c>
      <c r="K150" s="344">
        <v>10</v>
      </c>
    </row>
    <row r="151" spans="1:11" x14ac:dyDescent="0.25">
      <c r="A151" s="279" t="s">
        <v>79</v>
      </c>
      <c r="B151" s="344">
        <v>115</v>
      </c>
      <c r="C151" s="344">
        <v>66</v>
      </c>
      <c r="D151" s="358">
        <v>11.75</v>
      </c>
      <c r="E151" s="344">
        <v>50</v>
      </c>
      <c r="F151" s="344">
        <v>0</v>
      </c>
      <c r="G151" s="344">
        <v>29</v>
      </c>
      <c r="H151" s="344">
        <v>24</v>
      </c>
      <c r="I151" s="344">
        <v>56</v>
      </c>
      <c r="J151" s="344">
        <v>55</v>
      </c>
      <c r="K151" s="344">
        <v>58</v>
      </c>
    </row>
    <row r="152" spans="1:11" x14ac:dyDescent="0.25">
      <c r="A152" s="278" t="s">
        <v>21</v>
      </c>
      <c r="B152" s="344">
        <v>681</v>
      </c>
      <c r="C152" s="344">
        <v>349</v>
      </c>
      <c r="D152" s="358">
        <v>47</v>
      </c>
      <c r="E152" s="344">
        <v>241</v>
      </c>
      <c r="F152" s="344">
        <v>5</v>
      </c>
      <c r="G152" s="344">
        <v>248</v>
      </c>
      <c r="H152" s="344">
        <v>58</v>
      </c>
      <c r="I152" s="344">
        <v>305</v>
      </c>
      <c r="J152" s="344">
        <v>303</v>
      </c>
      <c r="K152" s="344">
        <v>340</v>
      </c>
    </row>
    <row r="153" spans="1:11" x14ac:dyDescent="0.25">
      <c r="A153" s="279" t="s">
        <v>76</v>
      </c>
      <c r="B153" s="344">
        <v>85</v>
      </c>
      <c r="C153" s="344">
        <v>48</v>
      </c>
      <c r="D153" s="358">
        <v>11.5</v>
      </c>
      <c r="E153" s="344">
        <v>38</v>
      </c>
      <c r="F153" s="344">
        <v>1</v>
      </c>
      <c r="G153" s="344">
        <v>32</v>
      </c>
      <c r="H153" s="344">
        <v>7</v>
      </c>
      <c r="I153" s="344">
        <v>41</v>
      </c>
      <c r="J153" s="344">
        <v>41</v>
      </c>
      <c r="K153" s="344">
        <v>47</v>
      </c>
    </row>
    <row r="154" spans="1:11" x14ac:dyDescent="0.25">
      <c r="A154" s="279" t="s">
        <v>77</v>
      </c>
      <c r="B154" s="344">
        <v>375</v>
      </c>
      <c r="C154" s="344">
        <v>161</v>
      </c>
      <c r="D154" s="358">
        <v>11.5</v>
      </c>
      <c r="E154" s="344">
        <v>101</v>
      </c>
      <c r="F154" s="344">
        <v>3</v>
      </c>
      <c r="G154" s="344">
        <v>113</v>
      </c>
      <c r="H154" s="344">
        <v>17</v>
      </c>
      <c r="I154" s="344">
        <v>146</v>
      </c>
      <c r="J154" s="344">
        <v>144</v>
      </c>
      <c r="K154" s="344">
        <v>159</v>
      </c>
    </row>
    <row r="155" spans="1:11" x14ac:dyDescent="0.25">
      <c r="A155" s="279" t="s">
        <v>78</v>
      </c>
      <c r="B155" s="344">
        <v>73</v>
      </c>
      <c r="C155" s="344">
        <v>43</v>
      </c>
      <c r="D155" s="358">
        <v>12</v>
      </c>
      <c r="E155" s="344">
        <v>30</v>
      </c>
      <c r="F155" s="344">
        <v>0</v>
      </c>
      <c r="G155" s="344">
        <v>35</v>
      </c>
      <c r="H155" s="344">
        <v>3</v>
      </c>
      <c r="I155" s="344">
        <v>33</v>
      </c>
      <c r="J155" s="344">
        <v>33</v>
      </c>
      <c r="K155" s="344">
        <v>40</v>
      </c>
    </row>
    <row r="156" spans="1:11" x14ac:dyDescent="0.25">
      <c r="A156" s="279" t="s">
        <v>79</v>
      </c>
      <c r="B156" s="344">
        <v>148</v>
      </c>
      <c r="C156" s="344">
        <v>97</v>
      </c>
      <c r="D156" s="358">
        <v>12</v>
      </c>
      <c r="E156" s="344">
        <v>72</v>
      </c>
      <c r="F156" s="344">
        <v>1</v>
      </c>
      <c r="G156" s="344">
        <v>68</v>
      </c>
      <c r="H156" s="344">
        <v>31</v>
      </c>
      <c r="I156" s="344">
        <v>85</v>
      </c>
      <c r="J156" s="344">
        <v>85</v>
      </c>
      <c r="K156" s="344">
        <v>94</v>
      </c>
    </row>
    <row r="157" spans="1:11" x14ac:dyDescent="0.25">
      <c r="A157" s="278" t="s">
        <v>22</v>
      </c>
      <c r="B157" s="344">
        <v>56</v>
      </c>
      <c r="C157" s="344">
        <v>40</v>
      </c>
      <c r="D157" s="358">
        <v>40</v>
      </c>
      <c r="E157" s="344">
        <v>30</v>
      </c>
      <c r="F157" s="344">
        <v>0</v>
      </c>
      <c r="G157" s="344">
        <v>19</v>
      </c>
      <c r="H157" s="344">
        <v>6</v>
      </c>
      <c r="I157" s="344">
        <v>35</v>
      </c>
      <c r="J157" s="344">
        <v>33</v>
      </c>
      <c r="K157" s="344">
        <v>33</v>
      </c>
    </row>
    <row r="158" spans="1:11" x14ac:dyDescent="0.25">
      <c r="A158" s="279" t="s">
        <v>76</v>
      </c>
      <c r="B158" s="344">
        <v>36</v>
      </c>
      <c r="C158" s="344">
        <v>25</v>
      </c>
      <c r="D158" s="358">
        <v>20</v>
      </c>
      <c r="E158" s="344">
        <v>21</v>
      </c>
      <c r="F158" s="344">
        <v>0</v>
      </c>
      <c r="G158" s="344">
        <v>12</v>
      </c>
      <c r="H158" s="344">
        <v>3</v>
      </c>
      <c r="I158" s="344">
        <v>23</v>
      </c>
      <c r="J158" s="344">
        <v>22</v>
      </c>
      <c r="K158" s="344">
        <v>24</v>
      </c>
    </row>
    <row r="159" spans="1:11" x14ac:dyDescent="0.25">
      <c r="A159" s="279" t="s">
        <v>77</v>
      </c>
      <c r="B159" s="344">
        <v>10</v>
      </c>
      <c r="C159" s="344">
        <v>8</v>
      </c>
      <c r="D159" s="358">
        <v>20</v>
      </c>
      <c r="E159" s="344">
        <v>5</v>
      </c>
      <c r="F159" s="344">
        <v>0</v>
      </c>
      <c r="G159" s="344">
        <v>3</v>
      </c>
      <c r="H159" s="344">
        <v>2</v>
      </c>
      <c r="I159" s="344">
        <v>8</v>
      </c>
      <c r="J159" s="344">
        <v>7</v>
      </c>
      <c r="K159" s="344">
        <v>6</v>
      </c>
    </row>
    <row r="160" spans="1:11" x14ac:dyDescent="0.25">
      <c r="A160" s="279" t="s">
        <v>78</v>
      </c>
      <c r="B160" s="344">
        <v>4</v>
      </c>
      <c r="C160" s="344">
        <v>2</v>
      </c>
      <c r="E160" s="344"/>
      <c r="F160" s="344"/>
      <c r="G160" s="344"/>
      <c r="H160" s="344"/>
      <c r="I160" s="344"/>
      <c r="J160" s="344"/>
      <c r="K160" s="344"/>
    </row>
    <row r="161" spans="1:11" x14ac:dyDescent="0.25">
      <c r="A161" s="279" t="s">
        <v>79</v>
      </c>
      <c r="B161" s="344">
        <v>6</v>
      </c>
      <c r="C161" s="344">
        <v>5</v>
      </c>
      <c r="E161" s="344">
        <v>4</v>
      </c>
      <c r="F161" s="344">
        <v>0</v>
      </c>
      <c r="G161" s="344">
        <v>4</v>
      </c>
      <c r="H161" s="344">
        <v>1</v>
      </c>
      <c r="I161" s="344">
        <v>4</v>
      </c>
      <c r="J161" s="344">
        <v>4</v>
      </c>
      <c r="K161" s="344">
        <v>3</v>
      </c>
    </row>
    <row r="162" spans="1:11" x14ac:dyDescent="0.25">
      <c r="A162" s="278" t="s">
        <v>23</v>
      </c>
      <c r="B162" s="344">
        <v>174</v>
      </c>
      <c r="C162" s="344">
        <v>123</v>
      </c>
      <c r="D162" s="358">
        <v>72.210000000000008</v>
      </c>
      <c r="E162" s="344">
        <v>110</v>
      </c>
      <c r="F162" s="344">
        <v>5</v>
      </c>
      <c r="G162" s="344">
        <v>27</v>
      </c>
      <c r="H162" s="344">
        <v>27</v>
      </c>
      <c r="I162" s="344">
        <v>118</v>
      </c>
      <c r="J162" s="344">
        <v>116</v>
      </c>
      <c r="K162" s="344">
        <v>116</v>
      </c>
    </row>
    <row r="163" spans="1:11" x14ac:dyDescent="0.25">
      <c r="A163" s="279" t="s">
        <v>76</v>
      </c>
      <c r="B163" s="344">
        <v>24</v>
      </c>
      <c r="C163" s="344">
        <v>14</v>
      </c>
      <c r="D163" s="358">
        <v>24.07</v>
      </c>
      <c r="E163" s="344">
        <v>10</v>
      </c>
      <c r="F163" s="344">
        <v>0</v>
      </c>
      <c r="G163" s="344">
        <v>3</v>
      </c>
      <c r="H163" s="344">
        <v>2</v>
      </c>
      <c r="I163" s="344">
        <v>14</v>
      </c>
      <c r="J163" s="344">
        <v>12</v>
      </c>
      <c r="K163" s="344">
        <v>12</v>
      </c>
    </row>
    <row r="164" spans="1:11" x14ac:dyDescent="0.25">
      <c r="A164" s="279" t="s">
        <v>77</v>
      </c>
      <c r="B164" s="344">
        <v>71</v>
      </c>
      <c r="C164" s="344">
        <v>51</v>
      </c>
      <c r="D164" s="358">
        <v>24.07</v>
      </c>
      <c r="E164" s="344">
        <v>47</v>
      </c>
      <c r="F164" s="344">
        <v>1</v>
      </c>
      <c r="G164" s="344">
        <v>10</v>
      </c>
      <c r="H164" s="344">
        <v>8</v>
      </c>
      <c r="I164" s="344">
        <v>51</v>
      </c>
      <c r="J164" s="344">
        <v>51</v>
      </c>
      <c r="K164" s="344">
        <v>51</v>
      </c>
    </row>
    <row r="165" spans="1:11" x14ac:dyDescent="0.25">
      <c r="A165" s="279" t="s">
        <v>78</v>
      </c>
      <c r="B165" s="344">
        <v>2</v>
      </c>
      <c r="C165" s="344">
        <v>2</v>
      </c>
      <c r="E165" s="344"/>
      <c r="F165" s="344"/>
      <c r="G165" s="344"/>
      <c r="H165" s="344"/>
      <c r="I165" s="344"/>
      <c r="J165" s="344"/>
      <c r="K165" s="344"/>
    </row>
    <row r="166" spans="1:11" x14ac:dyDescent="0.25">
      <c r="A166" s="279" t="s">
        <v>79</v>
      </c>
      <c r="B166" s="344">
        <v>77</v>
      </c>
      <c r="C166" s="344">
        <v>56</v>
      </c>
      <c r="D166" s="358">
        <v>24.07</v>
      </c>
      <c r="E166" s="344">
        <v>53</v>
      </c>
      <c r="F166" s="344">
        <v>4</v>
      </c>
      <c r="G166" s="344">
        <v>14</v>
      </c>
      <c r="H166" s="344">
        <v>17</v>
      </c>
      <c r="I166" s="344">
        <v>53</v>
      </c>
      <c r="J166" s="344">
        <v>53</v>
      </c>
      <c r="K166" s="344">
        <v>53</v>
      </c>
    </row>
    <row r="167" spans="1:11" x14ac:dyDescent="0.25">
      <c r="A167" s="277">
        <v>2009</v>
      </c>
      <c r="B167" s="344">
        <v>1409</v>
      </c>
      <c r="C167" s="344">
        <v>808</v>
      </c>
      <c r="D167" s="358">
        <v>188.39000000000001</v>
      </c>
      <c r="E167" s="344">
        <v>608</v>
      </c>
      <c r="F167" s="344">
        <v>19</v>
      </c>
      <c r="G167" s="344">
        <v>428</v>
      </c>
      <c r="H167" s="344">
        <v>169</v>
      </c>
      <c r="I167" s="344">
        <v>625</v>
      </c>
      <c r="J167" s="344">
        <v>603</v>
      </c>
      <c r="K167" s="344">
        <v>754</v>
      </c>
    </row>
    <row r="168" spans="1:11" x14ac:dyDescent="0.25">
      <c r="A168" s="278" t="s">
        <v>17</v>
      </c>
      <c r="B168" s="344">
        <v>46</v>
      </c>
      <c r="C168" s="344">
        <v>34</v>
      </c>
      <c r="E168" s="344">
        <v>20</v>
      </c>
      <c r="F168" s="344"/>
      <c r="G168" s="344">
        <v>12</v>
      </c>
      <c r="H168" s="344">
        <v>1</v>
      </c>
      <c r="I168" s="344">
        <v>1</v>
      </c>
      <c r="J168" s="344">
        <v>1</v>
      </c>
      <c r="K168" s="344">
        <v>28</v>
      </c>
    </row>
    <row r="169" spans="1:11" x14ac:dyDescent="0.25">
      <c r="A169" s="279" t="s">
        <v>76</v>
      </c>
      <c r="B169" s="344">
        <v>12</v>
      </c>
      <c r="C169" s="344">
        <v>10</v>
      </c>
      <c r="E169" s="344">
        <v>7</v>
      </c>
      <c r="F169" s="344"/>
      <c r="G169" s="344">
        <v>2</v>
      </c>
      <c r="H169" s="344">
        <v>1</v>
      </c>
      <c r="I169" s="344"/>
      <c r="J169" s="344"/>
      <c r="K169" s="344">
        <v>7</v>
      </c>
    </row>
    <row r="170" spans="1:11" x14ac:dyDescent="0.25">
      <c r="A170" s="279" t="s">
        <v>77</v>
      </c>
      <c r="B170" s="344">
        <v>11</v>
      </c>
      <c r="C170" s="344">
        <v>9</v>
      </c>
      <c r="E170" s="344">
        <v>5</v>
      </c>
      <c r="F170" s="344"/>
      <c r="G170" s="344">
        <v>4</v>
      </c>
      <c r="H170" s="344"/>
      <c r="I170" s="344"/>
      <c r="J170" s="344"/>
      <c r="K170" s="344">
        <v>9</v>
      </c>
    </row>
    <row r="171" spans="1:11" x14ac:dyDescent="0.25">
      <c r="A171" s="279" t="s">
        <v>78</v>
      </c>
      <c r="B171" s="344">
        <v>19</v>
      </c>
      <c r="C171" s="344">
        <v>12</v>
      </c>
      <c r="E171" s="344">
        <v>8</v>
      </c>
      <c r="F171" s="344"/>
      <c r="G171" s="344">
        <v>6</v>
      </c>
      <c r="H171" s="344"/>
      <c r="I171" s="344">
        <v>1</v>
      </c>
      <c r="J171" s="344">
        <v>1</v>
      </c>
      <c r="K171" s="344">
        <v>12</v>
      </c>
    </row>
    <row r="172" spans="1:11" x14ac:dyDescent="0.25">
      <c r="A172" s="279" t="s">
        <v>79</v>
      </c>
      <c r="B172" s="344">
        <v>4</v>
      </c>
      <c r="C172" s="344">
        <v>3</v>
      </c>
      <c r="E172" s="344"/>
      <c r="F172" s="344"/>
      <c r="G172" s="344"/>
      <c r="H172" s="344"/>
      <c r="I172" s="344"/>
      <c r="J172" s="344"/>
      <c r="K172" s="344"/>
    </row>
    <row r="173" spans="1:11" x14ac:dyDescent="0.25">
      <c r="A173" s="278" t="s">
        <v>18</v>
      </c>
      <c r="B173" s="344">
        <v>59</v>
      </c>
      <c r="C173" s="344">
        <v>28</v>
      </c>
      <c r="D173" s="358">
        <v>16</v>
      </c>
      <c r="E173" s="344">
        <v>23</v>
      </c>
      <c r="F173" s="344">
        <v>1</v>
      </c>
      <c r="G173" s="344">
        <v>11</v>
      </c>
      <c r="H173" s="344">
        <v>4</v>
      </c>
      <c r="I173" s="344">
        <v>12</v>
      </c>
      <c r="J173" s="344">
        <v>12</v>
      </c>
      <c r="K173" s="344">
        <v>27</v>
      </c>
    </row>
    <row r="174" spans="1:11" x14ac:dyDescent="0.25">
      <c r="A174" s="279" t="s">
        <v>76</v>
      </c>
      <c r="B174" s="344"/>
      <c r="C174" s="344"/>
      <c r="E174" s="344"/>
      <c r="F174" s="344"/>
      <c r="G174" s="344"/>
      <c r="H174" s="344"/>
      <c r="I174" s="344"/>
      <c r="J174" s="344"/>
      <c r="K174" s="344"/>
    </row>
    <row r="175" spans="1:11" x14ac:dyDescent="0.25">
      <c r="A175" s="279" t="s">
        <v>77</v>
      </c>
      <c r="B175" s="344">
        <v>8</v>
      </c>
      <c r="C175" s="344">
        <v>8</v>
      </c>
      <c r="E175" s="344">
        <v>6</v>
      </c>
      <c r="F175" s="344"/>
      <c r="G175" s="344">
        <v>5</v>
      </c>
      <c r="H175" s="344"/>
      <c r="I175" s="344">
        <v>2</v>
      </c>
      <c r="J175" s="344">
        <v>2</v>
      </c>
      <c r="K175" s="344">
        <v>8</v>
      </c>
    </row>
    <row r="176" spans="1:11" x14ac:dyDescent="0.25">
      <c r="A176" s="279" t="s">
        <v>78</v>
      </c>
      <c r="B176" s="344"/>
      <c r="C176" s="344"/>
      <c r="E176" s="344"/>
      <c r="F176" s="344"/>
      <c r="G176" s="344"/>
      <c r="H176" s="344"/>
      <c r="I176" s="344"/>
      <c r="J176" s="344"/>
      <c r="K176" s="344"/>
    </row>
    <row r="177" spans="1:11" x14ac:dyDescent="0.25">
      <c r="A177" s="279" t="s">
        <v>79</v>
      </c>
      <c r="B177" s="344">
        <v>51</v>
      </c>
      <c r="C177" s="344">
        <v>20</v>
      </c>
      <c r="D177" s="358">
        <v>16</v>
      </c>
      <c r="E177" s="344">
        <v>17</v>
      </c>
      <c r="F177" s="344">
        <v>1</v>
      </c>
      <c r="G177" s="344">
        <v>6</v>
      </c>
      <c r="H177" s="344">
        <v>4</v>
      </c>
      <c r="I177" s="344">
        <v>10</v>
      </c>
      <c r="J177" s="344">
        <v>10</v>
      </c>
      <c r="K177" s="344">
        <v>19</v>
      </c>
    </row>
    <row r="178" spans="1:11" x14ac:dyDescent="0.25">
      <c r="A178" s="278" t="s">
        <v>19</v>
      </c>
      <c r="B178" s="344">
        <v>16</v>
      </c>
      <c r="C178" s="344">
        <v>14</v>
      </c>
      <c r="E178" s="344">
        <v>4</v>
      </c>
      <c r="F178" s="344"/>
      <c r="G178" s="344">
        <v>3</v>
      </c>
      <c r="H178" s="344"/>
      <c r="I178" s="344"/>
      <c r="J178" s="344"/>
      <c r="K178" s="344">
        <v>7</v>
      </c>
    </row>
    <row r="179" spans="1:11" x14ac:dyDescent="0.25">
      <c r="A179" s="279" t="s">
        <v>76</v>
      </c>
      <c r="B179" s="344">
        <v>2</v>
      </c>
      <c r="C179" s="344">
        <v>2</v>
      </c>
      <c r="E179" s="344"/>
      <c r="F179" s="344"/>
      <c r="G179" s="344"/>
      <c r="H179" s="344"/>
      <c r="I179" s="344"/>
      <c r="J179" s="344"/>
      <c r="K179" s="344"/>
    </row>
    <row r="180" spans="1:11" x14ac:dyDescent="0.25">
      <c r="A180" s="279" t="s">
        <v>77</v>
      </c>
      <c r="B180" s="344">
        <v>2</v>
      </c>
      <c r="C180" s="344">
        <v>2</v>
      </c>
      <c r="E180" s="344"/>
      <c r="F180" s="344"/>
      <c r="G180" s="344"/>
      <c r="H180" s="344"/>
      <c r="I180" s="344"/>
      <c r="J180" s="344"/>
      <c r="K180" s="344"/>
    </row>
    <row r="181" spans="1:11" x14ac:dyDescent="0.25">
      <c r="A181" s="279" t="s">
        <v>78</v>
      </c>
      <c r="B181" s="344">
        <v>10</v>
      </c>
      <c r="C181" s="344">
        <v>8</v>
      </c>
      <c r="E181" s="344">
        <v>4</v>
      </c>
      <c r="F181" s="344"/>
      <c r="G181" s="344">
        <v>3</v>
      </c>
      <c r="H181" s="344"/>
      <c r="I181" s="344"/>
      <c r="J181" s="344"/>
      <c r="K181" s="344">
        <v>7</v>
      </c>
    </row>
    <row r="182" spans="1:11" x14ac:dyDescent="0.25">
      <c r="A182" s="279" t="s">
        <v>79</v>
      </c>
      <c r="B182" s="344">
        <v>2</v>
      </c>
      <c r="C182" s="344">
        <v>2</v>
      </c>
      <c r="E182" s="344"/>
      <c r="F182" s="344"/>
      <c r="G182" s="344"/>
      <c r="H182" s="344"/>
      <c r="I182" s="344"/>
      <c r="J182" s="344"/>
      <c r="K182" s="344"/>
    </row>
    <row r="183" spans="1:11" x14ac:dyDescent="0.25">
      <c r="A183" s="278" t="s">
        <v>24</v>
      </c>
      <c r="B183" s="344">
        <v>60</v>
      </c>
      <c r="C183" s="344">
        <v>34</v>
      </c>
      <c r="E183" s="344">
        <v>22</v>
      </c>
      <c r="F183" s="344">
        <v>2</v>
      </c>
      <c r="G183" s="344">
        <v>18</v>
      </c>
      <c r="H183" s="344">
        <v>3</v>
      </c>
      <c r="I183" s="344">
        <v>6</v>
      </c>
      <c r="J183" s="344">
        <v>5</v>
      </c>
      <c r="K183" s="344">
        <v>31</v>
      </c>
    </row>
    <row r="184" spans="1:11" x14ac:dyDescent="0.25">
      <c r="A184" s="279" t="s">
        <v>76</v>
      </c>
      <c r="B184" s="344">
        <v>11</v>
      </c>
      <c r="C184" s="344">
        <v>7</v>
      </c>
      <c r="E184" s="344">
        <v>3</v>
      </c>
      <c r="F184" s="344">
        <v>1</v>
      </c>
      <c r="G184" s="344">
        <v>3</v>
      </c>
      <c r="H184" s="344"/>
      <c r="I184" s="344"/>
      <c r="J184" s="344"/>
      <c r="K184" s="344">
        <v>7</v>
      </c>
    </row>
    <row r="185" spans="1:11" x14ac:dyDescent="0.25">
      <c r="A185" s="279" t="s">
        <v>77</v>
      </c>
      <c r="B185" s="344">
        <v>19</v>
      </c>
      <c r="C185" s="344">
        <v>9</v>
      </c>
      <c r="E185" s="344">
        <v>5</v>
      </c>
      <c r="F185" s="344">
        <v>1</v>
      </c>
      <c r="G185" s="344">
        <v>4</v>
      </c>
      <c r="H185" s="344">
        <v>1</v>
      </c>
      <c r="I185" s="344">
        <v>2</v>
      </c>
      <c r="J185" s="344">
        <v>2</v>
      </c>
      <c r="K185" s="344">
        <v>7</v>
      </c>
    </row>
    <row r="186" spans="1:11" x14ac:dyDescent="0.25">
      <c r="A186" s="279" t="s">
        <v>78</v>
      </c>
      <c r="B186" s="344">
        <v>12</v>
      </c>
      <c r="C186" s="344">
        <v>11</v>
      </c>
      <c r="E186" s="344">
        <v>9</v>
      </c>
      <c r="F186" s="344">
        <v>0</v>
      </c>
      <c r="G186" s="344">
        <v>5</v>
      </c>
      <c r="H186" s="344">
        <v>2</v>
      </c>
      <c r="I186" s="344">
        <v>1</v>
      </c>
      <c r="J186" s="344">
        <v>1</v>
      </c>
      <c r="K186" s="344">
        <v>10</v>
      </c>
    </row>
    <row r="187" spans="1:11" x14ac:dyDescent="0.25">
      <c r="A187" s="279" t="s">
        <v>79</v>
      </c>
      <c r="B187" s="344">
        <v>18</v>
      </c>
      <c r="C187" s="344">
        <v>7</v>
      </c>
      <c r="E187" s="344">
        <v>5</v>
      </c>
      <c r="F187" s="344"/>
      <c r="G187" s="344">
        <v>6</v>
      </c>
      <c r="H187" s="344"/>
      <c r="I187" s="344">
        <v>3</v>
      </c>
      <c r="J187" s="344">
        <v>2</v>
      </c>
      <c r="K187" s="344">
        <v>7</v>
      </c>
    </row>
    <row r="188" spans="1:11" x14ac:dyDescent="0.25">
      <c r="A188" s="278" t="s">
        <v>20</v>
      </c>
      <c r="B188" s="344">
        <v>387</v>
      </c>
      <c r="C188" s="344">
        <v>253</v>
      </c>
      <c r="D188" s="358">
        <v>41.5</v>
      </c>
      <c r="E188" s="344">
        <v>197</v>
      </c>
      <c r="F188" s="344">
        <v>12</v>
      </c>
      <c r="G188" s="344">
        <v>155</v>
      </c>
      <c r="H188" s="344">
        <v>89</v>
      </c>
      <c r="I188" s="344">
        <v>203</v>
      </c>
      <c r="J188" s="344">
        <v>187</v>
      </c>
      <c r="K188" s="344">
        <v>243</v>
      </c>
    </row>
    <row r="189" spans="1:11" x14ac:dyDescent="0.25">
      <c r="A189" s="279" t="s">
        <v>76</v>
      </c>
      <c r="B189" s="344">
        <v>144</v>
      </c>
      <c r="C189" s="344">
        <v>112</v>
      </c>
      <c r="D189" s="358">
        <v>13</v>
      </c>
      <c r="E189" s="344">
        <v>81</v>
      </c>
      <c r="F189" s="344">
        <v>2</v>
      </c>
      <c r="G189" s="344">
        <v>68</v>
      </c>
      <c r="H189" s="344">
        <v>39</v>
      </c>
      <c r="I189" s="344">
        <v>92</v>
      </c>
      <c r="J189" s="344">
        <v>87</v>
      </c>
      <c r="K189" s="344">
        <v>107</v>
      </c>
    </row>
    <row r="190" spans="1:11" x14ac:dyDescent="0.25">
      <c r="A190" s="279" t="s">
        <v>77</v>
      </c>
      <c r="B190" s="344">
        <v>148</v>
      </c>
      <c r="C190" s="344">
        <v>89</v>
      </c>
      <c r="D190" s="358">
        <v>12.5</v>
      </c>
      <c r="E190" s="344">
        <v>75</v>
      </c>
      <c r="F190" s="344">
        <v>6</v>
      </c>
      <c r="G190" s="344">
        <v>58</v>
      </c>
      <c r="H190" s="344">
        <v>36</v>
      </c>
      <c r="I190" s="344">
        <v>68</v>
      </c>
      <c r="J190" s="344">
        <v>60</v>
      </c>
      <c r="K190" s="344">
        <v>87</v>
      </c>
    </row>
    <row r="191" spans="1:11" x14ac:dyDescent="0.25">
      <c r="A191" s="279" t="s">
        <v>78</v>
      </c>
      <c r="B191" s="344">
        <v>1</v>
      </c>
      <c r="C191" s="344">
        <v>1</v>
      </c>
      <c r="E191" s="344"/>
      <c r="F191" s="344"/>
      <c r="G191" s="344"/>
      <c r="H191" s="344"/>
      <c r="I191" s="344"/>
      <c r="J191" s="344"/>
      <c r="K191" s="344"/>
    </row>
    <row r="192" spans="1:11" x14ac:dyDescent="0.25">
      <c r="A192" s="279" t="s">
        <v>79</v>
      </c>
      <c r="B192" s="344">
        <v>94</v>
      </c>
      <c r="C192" s="344">
        <v>51</v>
      </c>
      <c r="D192" s="358">
        <v>16</v>
      </c>
      <c r="E192" s="344">
        <v>41</v>
      </c>
      <c r="F192" s="344">
        <v>4</v>
      </c>
      <c r="G192" s="344">
        <v>29</v>
      </c>
      <c r="H192" s="344">
        <v>14</v>
      </c>
      <c r="I192" s="344">
        <v>43</v>
      </c>
      <c r="J192" s="344">
        <v>40</v>
      </c>
      <c r="K192" s="344">
        <v>49</v>
      </c>
    </row>
    <row r="193" spans="1:11" x14ac:dyDescent="0.25">
      <c r="A193" s="278" t="s">
        <v>21</v>
      </c>
      <c r="B193" s="344">
        <v>603</v>
      </c>
      <c r="C193" s="344">
        <v>287</v>
      </c>
      <c r="D193" s="358">
        <v>38</v>
      </c>
      <c r="E193" s="344">
        <v>207</v>
      </c>
      <c r="F193" s="344">
        <v>2</v>
      </c>
      <c r="G193" s="344">
        <v>183</v>
      </c>
      <c r="H193" s="344">
        <v>46</v>
      </c>
      <c r="I193" s="344">
        <v>250</v>
      </c>
      <c r="J193" s="344">
        <v>247</v>
      </c>
      <c r="K193" s="344">
        <v>269</v>
      </c>
    </row>
    <row r="194" spans="1:11" x14ac:dyDescent="0.25">
      <c r="A194" s="279" t="s">
        <v>76</v>
      </c>
      <c r="B194" s="344">
        <v>84</v>
      </c>
      <c r="C194" s="344">
        <v>67</v>
      </c>
      <c r="D194" s="358">
        <v>13</v>
      </c>
      <c r="E194" s="344">
        <v>54</v>
      </c>
      <c r="F194" s="344">
        <v>2</v>
      </c>
      <c r="G194" s="344">
        <v>42</v>
      </c>
      <c r="H194" s="344">
        <v>13</v>
      </c>
      <c r="I194" s="344">
        <v>59</v>
      </c>
      <c r="J194" s="344">
        <v>58</v>
      </c>
      <c r="K194" s="344">
        <v>64</v>
      </c>
    </row>
    <row r="195" spans="1:11" x14ac:dyDescent="0.25">
      <c r="A195" s="279" t="s">
        <v>77</v>
      </c>
      <c r="B195" s="344">
        <v>309</v>
      </c>
      <c r="C195" s="344">
        <v>106</v>
      </c>
      <c r="D195" s="358">
        <v>12</v>
      </c>
      <c r="E195" s="344">
        <v>67</v>
      </c>
      <c r="F195" s="344"/>
      <c r="G195" s="344">
        <v>74</v>
      </c>
      <c r="H195" s="344">
        <v>15</v>
      </c>
      <c r="I195" s="344">
        <v>93</v>
      </c>
      <c r="J195" s="344">
        <v>93</v>
      </c>
      <c r="K195" s="344">
        <v>101</v>
      </c>
    </row>
    <row r="196" spans="1:11" x14ac:dyDescent="0.25">
      <c r="A196" s="279" t="s">
        <v>78</v>
      </c>
      <c r="B196" s="344">
        <v>14</v>
      </c>
      <c r="C196" s="344">
        <v>8</v>
      </c>
      <c r="E196" s="344">
        <v>4</v>
      </c>
      <c r="F196" s="344">
        <v>0</v>
      </c>
      <c r="G196" s="344">
        <v>2</v>
      </c>
      <c r="H196" s="344">
        <v>1</v>
      </c>
      <c r="I196" s="344">
        <v>4</v>
      </c>
      <c r="J196" s="344">
        <v>4</v>
      </c>
      <c r="K196" s="344">
        <v>5</v>
      </c>
    </row>
    <row r="197" spans="1:11" x14ac:dyDescent="0.25">
      <c r="A197" s="279" t="s">
        <v>79</v>
      </c>
      <c r="B197" s="344">
        <v>196</v>
      </c>
      <c r="C197" s="344">
        <v>106</v>
      </c>
      <c r="D197" s="358">
        <v>13</v>
      </c>
      <c r="E197" s="344">
        <v>82</v>
      </c>
      <c r="F197" s="344"/>
      <c r="G197" s="344">
        <v>65</v>
      </c>
      <c r="H197" s="344">
        <v>17</v>
      </c>
      <c r="I197" s="344">
        <v>94</v>
      </c>
      <c r="J197" s="344">
        <v>92</v>
      </c>
      <c r="K197" s="344">
        <v>99</v>
      </c>
    </row>
    <row r="198" spans="1:11" x14ac:dyDescent="0.25">
      <c r="A198" s="278" t="s">
        <v>22</v>
      </c>
      <c r="B198" s="344">
        <v>64</v>
      </c>
      <c r="C198" s="344">
        <v>52</v>
      </c>
      <c r="D198" s="358">
        <v>18.240000000000002</v>
      </c>
      <c r="E198" s="344">
        <v>37</v>
      </c>
      <c r="F198" s="344">
        <v>1</v>
      </c>
      <c r="G198" s="344">
        <v>26</v>
      </c>
      <c r="H198" s="344">
        <v>9</v>
      </c>
      <c r="I198" s="344">
        <v>47</v>
      </c>
      <c r="J198" s="344">
        <v>46</v>
      </c>
      <c r="K198" s="344">
        <v>46</v>
      </c>
    </row>
    <row r="199" spans="1:11" x14ac:dyDescent="0.25">
      <c r="A199" s="279" t="s">
        <v>76</v>
      </c>
      <c r="B199" s="344">
        <v>52</v>
      </c>
      <c r="C199" s="344">
        <v>45</v>
      </c>
      <c r="D199" s="358">
        <v>18.240000000000002</v>
      </c>
      <c r="E199" s="344">
        <v>31</v>
      </c>
      <c r="F199" s="344"/>
      <c r="G199" s="344">
        <v>25</v>
      </c>
      <c r="H199" s="344">
        <v>6</v>
      </c>
      <c r="I199" s="344">
        <v>41</v>
      </c>
      <c r="J199" s="344">
        <v>40</v>
      </c>
      <c r="K199" s="344">
        <v>40</v>
      </c>
    </row>
    <row r="200" spans="1:11" x14ac:dyDescent="0.25">
      <c r="A200" s="279" t="s">
        <v>77</v>
      </c>
      <c r="B200" s="344">
        <v>11</v>
      </c>
      <c r="C200" s="344">
        <v>7</v>
      </c>
      <c r="E200" s="344">
        <v>6</v>
      </c>
      <c r="F200" s="344">
        <v>1</v>
      </c>
      <c r="G200" s="344">
        <v>1</v>
      </c>
      <c r="H200" s="344">
        <v>3</v>
      </c>
      <c r="I200" s="344">
        <v>6</v>
      </c>
      <c r="J200" s="344">
        <v>6</v>
      </c>
      <c r="K200" s="344">
        <v>6</v>
      </c>
    </row>
    <row r="201" spans="1:11" x14ac:dyDescent="0.25">
      <c r="A201" s="279" t="s">
        <v>78</v>
      </c>
      <c r="B201" s="344"/>
      <c r="C201" s="344"/>
      <c r="E201" s="344"/>
      <c r="F201" s="344"/>
      <c r="G201" s="344"/>
      <c r="H201" s="344"/>
      <c r="I201" s="344"/>
      <c r="J201" s="344"/>
      <c r="K201" s="344"/>
    </row>
    <row r="202" spans="1:11" x14ac:dyDescent="0.25">
      <c r="A202" s="279" t="s">
        <v>79</v>
      </c>
      <c r="B202" s="344">
        <v>1</v>
      </c>
      <c r="C202" s="344"/>
      <c r="E202" s="344"/>
      <c r="F202" s="344"/>
      <c r="G202" s="344"/>
      <c r="H202" s="344"/>
      <c r="I202" s="344"/>
      <c r="J202" s="344"/>
      <c r="K202" s="344"/>
    </row>
    <row r="203" spans="1:11" x14ac:dyDescent="0.25">
      <c r="A203" s="278" t="s">
        <v>23</v>
      </c>
      <c r="B203" s="344">
        <v>174</v>
      </c>
      <c r="C203" s="344">
        <v>106</v>
      </c>
      <c r="D203" s="358">
        <v>74.650000000000006</v>
      </c>
      <c r="E203" s="344">
        <v>98</v>
      </c>
      <c r="F203" s="344">
        <v>1</v>
      </c>
      <c r="G203" s="344">
        <v>20</v>
      </c>
      <c r="H203" s="344">
        <v>17</v>
      </c>
      <c r="I203" s="344">
        <v>106</v>
      </c>
      <c r="J203" s="344">
        <v>105</v>
      </c>
      <c r="K203" s="344">
        <v>103</v>
      </c>
    </row>
    <row r="204" spans="1:11" x14ac:dyDescent="0.25">
      <c r="A204" s="279" t="s">
        <v>76</v>
      </c>
      <c r="B204" s="344">
        <v>20</v>
      </c>
      <c r="C204" s="344">
        <v>13</v>
      </c>
      <c r="D204" s="358">
        <v>25.475000000000001</v>
      </c>
      <c r="E204" s="344">
        <v>12</v>
      </c>
      <c r="F204" s="344"/>
      <c r="G204" s="344">
        <v>4</v>
      </c>
      <c r="H204" s="344">
        <v>3</v>
      </c>
      <c r="I204" s="344">
        <v>13</v>
      </c>
      <c r="J204" s="344">
        <v>12</v>
      </c>
      <c r="K204" s="344">
        <v>13</v>
      </c>
    </row>
    <row r="205" spans="1:11" x14ac:dyDescent="0.25">
      <c r="A205" s="279" t="s">
        <v>77</v>
      </c>
      <c r="B205" s="344">
        <v>85</v>
      </c>
      <c r="C205" s="344">
        <v>51</v>
      </c>
      <c r="D205" s="358">
        <v>24.175000000000001</v>
      </c>
      <c r="E205" s="344">
        <v>48</v>
      </c>
      <c r="F205" s="344">
        <v>1</v>
      </c>
      <c r="G205" s="344">
        <v>6</v>
      </c>
      <c r="H205" s="344">
        <v>11</v>
      </c>
      <c r="I205" s="344">
        <v>51</v>
      </c>
      <c r="J205" s="344">
        <v>51</v>
      </c>
      <c r="K205" s="344">
        <v>49</v>
      </c>
    </row>
    <row r="206" spans="1:11" x14ac:dyDescent="0.25">
      <c r="A206" s="279" t="s">
        <v>78</v>
      </c>
      <c r="B206" s="344"/>
      <c r="C206" s="344"/>
      <c r="E206" s="344"/>
      <c r="F206" s="344"/>
      <c r="G206" s="344"/>
      <c r="H206" s="344"/>
      <c r="I206" s="344"/>
      <c r="J206" s="344"/>
      <c r="K206" s="344"/>
    </row>
    <row r="207" spans="1:11" x14ac:dyDescent="0.25">
      <c r="A207" s="279" t="s">
        <v>79</v>
      </c>
      <c r="B207" s="344">
        <v>69</v>
      </c>
      <c r="C207" s="344">
        <v>42</v>
      </c>
      <c r="D207" s="358">
        <v>25</v>
      </c>
      <c r="E207" s="344">
        <v>38</v>
      </c>
      <c r="F207" s="344"/>
      <c r="G207" s="344">
        <v>10</v>
      </c>
      <c r="H207" s="344">
        <v>3</v>
      </c>
      <c r="I207" s="344">
        <v>42</v>
      </c>
      <c r="J207" s="344">
        <v>42</v>
      </c>
      <c r="K207" s="344">
        <v>41</v>
      </c>
    </row>
    <row r="208" spans="1:11" x14ac:dyDescent="0.25">
      <c r="A208" s="277">
        <v>2008</v>
      </c>
      <c r="B208" s="344">
        <v>1306</v>
      </c>
      <c r="C208" s="344">
        <v>868</v>
      </c>
      <c r="D208" s="358">
        <v>226.37411810411803</v>
      </c>
      <c r="E208" s="344">
        <v>696</v>
      </c>
      <c r="F208" s="344">
        <v>8</v>
      </c>
      <c r="G208" s="344">
        <v>377</v>
      </c>
      <c r="H208" s="344">
        <v>151</v>
      </c>
      <c r="I208" s="344">
        <v>647</v>
      </c>
      <c r="J208" s="344">
        <v>631</v>
      </c>
      <c r="K208" s="344">
        <v>787</v>
      </c>
    </row>
    <row r="209" spans="1:11" x14ac:dyDescent="0.25">
      <c r="A209" s="278" t="s">
        <v>17</v>
      </c>
      <c r="B209" s="344">
        <v>56</v>
      </c>
      <c r="C209" s="344">
        <v>43</v>
      </c>
      <c r="D209" s="358">
        <v>32</v>
      </c>
      <c r="E209" s="344">
        <v>28</v>
      </c>
      <c r="F209" s="344">
        <v>0</v>
      </c>
      <c r="G209" s="344">
        <v>8</v>
      </c>
      <c r="H209" s="344">
        <v>3</v>
      </c>
      <c r="I209" s="344">
        <v>0</v>
      </c>
      <c r="J209" s="344">
        <v>0</v>
      </c>
      <c r="K209" s="344">
        <v>33</v>
      </c>
    </row>
    <row r="210" spans="1:11" x14ac:dyDescent="0.25">
      <c r="A210" s="279" t="s">
        <v>76</v>
      </c>
      <c r="B210" s="344">
        <v>7</v>
      </c>
      <c r="C210" s="344">
        <v>7</v>
      </c>
      <c r="D210" s="358">
        <v>14.75</v>
      </c>
      <c r="E210" s="344">
        <v>7</v>
      </c>
      <c r="F210" s="344">
        <v>0</v>
      </c>
      <c r="G210" s="344">
        <v>3</v>
      </c>
      <c r="H210" s="344">
        <v>1</v>
      </c>
      <c r="I210" s="344">
        <v>0</v>
      </c>
      <c r="J210" s="344">
        <v>0</v>
      </c>
      <c r="K210" s="344">
        <v>6</v>
      </c>
    </row>
    <row r="211" spans="1:11" x14ac:dyDescent="0.25">
      <c r="A211" s="279" t="s">
        <v>77</v>
      </c>
      <c r="B211" s="344">
        <v>14</v>
      </c>
      <c r="C211" s="344">
        <v>12</v>
      </c>
      <c r="E211" s="344">
        <v>7</v>
      </c>
      <c r="F211" s="344">
        <v>0</v>
      </c>
      <c r="G211" s="344">
        <v>4</v>
      </c>
      <c r="H211" s="344">
        <v>1</v>
      </c>
      <c r="I211" s="344">
        <v>0</v>
      </c>
      <c r="J211" s="344">
        <v>0</v>
      </c>
      <c r="K211" s="344">
        <v>11</v>
      </c>
    </row>
    <row r="212" spans="1:11" x14ac:dyDescent="0.25">
      <c r="A212" s="279" t="s">
        <v>78</v>
      </c>
      <c r="B212" s="344">
        <v>30</v>
      </c>
      <c r="C212" s="344">
        <v>20</v>
      </c>
      <c r="D212" s="358">
        <v>17.25</v>
      </c>
      <c r="E212" s="344">
        <v>14</v>
      </c>
      <c r="F212" s="344">
        <v>0</v>
      </c>
      <c r="G212" s="344">
        <v>1</v>
      </c>
      <c r="H212" s="344">
        <v>1</v>
      </c>
      <c r="I212" s="344">
        <v>0</v>
      </c>
      <c r="J212" s="344">
        <v>0</v>
      </c>
      <c r="K212" s="344">
        <v>16</v>
      </c>
    </row>
    <row r="213" spans="1:11" x14ac:dyDescent="0.25">
      <c r="A213" s="279" t="s">
        <v>79</v>
      </c>
      <c r="B213" s="344">
        <v>5</v>
      </c>
      <c r="C213" s="344">
        <v>4</v>
      </c>
      <c r="E213" s="344"/>
      <c r="F213" s="344"/>
      <c r="G213" s="344"/>
      <c r="H213" s="344"/>
      <c r="I213" s="344"/>
      <c r="J213" s="344"/>
      <c r="K213" s="344"/>
    </row>
    <row r="214" spans="1:11" x14ac:dyDescent="0.25">
      <c r="A214" s="278" t="s">
        <v>18</v>
      </c>
      <c r="B214" s="344">
        <v>20</v>
      </c>
      <c r="C214" s="344">
        <v>10</v>
      </c>
      <c r="E214" s="344">
        <v>5</v>
      </c>
      <c r="F214" s="344">
        <v>0</v>
      </c>
      <c r="G214" s="344">
        <v>0</v>
      </c>
      <c r="H214" s="344">
        <v>0</v>
      </c>
      <c r="I214" s="344">
        <v>1</v>
      </c>
      <c r="J214" s="344">
        <v>1</v>
      </c>
      <c r="K214" s="344">
        <v>5</v>
      </c>
    </row>
    <row r="215" spans="1:11" x14ac:dyDescent="0.25">
      <c r="A215" s="279" t="s">
        <v>76</v>
      </c>
      <c r="B215" s="344">
        <v>2</v>
      </c>
      <c r="C215" s="344">
        <v>1</v>
      </c>
      <c r="E215" s="344"/>
      <c r="F215" s="344"/>
      <c r="G215" s="344"/>
      <c r="H215" s="344"/>
      <c r="I215" s="344"/>
      <c r="J215" s="344"/>
      <c r="K215" s="344"/>
    </row>
    <row r="216" spans="1:11" x14ac:dyDescent="0.25">
      <c r="A216" s="279" t="s">
        <v>77</v>
      </c>
      <c r="B216" s="344">
        <v>8</v>
      </c>
      <c r="C216" s="344">
        <v>5</v>
      </c>
      <c r="E216" s="344">
        <v>5</v>
      </c>
      <c r="F216" s="344">
        <v>0</v>
      </c>
      <c r="G216" s="344">
        <v>0</v>
      </c>
      <c r="H216" s="344">
        <v>0</v>
      </c>
      <c r="I216" s="344">
        <v>1</v>
      </c>
      <c r="J216" s="344">
        <v>1</v>
      </c>
      <c r="K216" s="344">
        <v>5</v>
      </c>
    </row>
    <row r="217" spans="1:11" x14ac:dyDescent="0.25">
      <c r="A217" s="279" t="s">
        <v>78</v>
      </c>
      <c r="B217" s="344">
        <v>2</v>
      </c>
      <c r="C217" s="344">
        <v>2</v>
      </c>
      <c r="E217" s="344"/>
      <c r="F217" s="344"/>
      <c r="G217" s="344"/>
      <c r="H217" s="344"/>
      <c r="I217" s="344"/>
      <c r="J217" s="344"/>
      <c r="K217" s="344"/>
    </row>
    <row r="218" spans="1:11" x14ac:dyDescent="0.25">
      <c r="A218" s="279" t="s">
        <v>79</v>
      </c>
      <c r="B218" s="344">
        <v>8</v>
      </c>
      <c r="C218" s="344">
        <v>2</v>
      </c>
      <c r="E218" s="344"/>
      <c r="F218" s="344"/>
      <c r="G218" s="344"/>
      <c r="H218" s="344"/>
      <c r="I218" s="344"/>
      <c r="J218" s="344"/>
      <c r="K218" s="344"/>
    </row>
    <row r="219" spans="1:11" x14ac:dyDescent="0.25">
      <c r="A219" s="278" t="s">
        <v>19</v>
      </c>
      <c r="B219" s="344">
        <v>16</v>
      </c>
      <c r="C219" s="344">
        <v>12</v>
      </c>
      <c r="E219" s="344"/>
      <c r="F219" s="344"/>
      <c r="G219" s="344"/>
      <c r="H219" s="344"/>
      <c r="I219" s="344"/>
      <c r="J219" s="344"/>
      <c r="K219" s="344"/>
    </row>
    <row r="220" spans="1:11" x14ac:dyDescent="0.25">
      <c r="A220" s="279" t="s">
        <v>76</v>
      </c>
      <c r="B220" s="344">
        <v>3</v>
      </c>
      <c r="C220" s="344">
        <v>2</v>
      </c>
      <c r="E220" s="344"/>
      <c r="F220" s="344"/>
      <c r="G220" s="344"/>
      <c r="H220" s="344"/>
      <c r="I220" s="344"/>
      <c r="J220" s="344"/>
      <c r="K220" s="344"/>
    </row>
    <row r="221" spans="1:11" x14ac:dyDescent="0.25">
      <c r="A221" s="279" t="s">
        <v>77</v>
      </c>
      <c r="B221" s="344">
        <v>2</v>
      </c>
      <c r="C221" s="344">
        <v>2</v>
      </c>
      <c r="E221" s="344"/>
      <c r="F221" s="344"/>
      <c r="G221" s="344"/>
      <c r="H221" s="344"/>
      <c r="I221" s="344"/>
      <c r="J221" s="344"/>
      <c r="K221" s="344"/>
    </row>
    <row r="222" spans="1:11" x14ac:dyDescent="0.25">
      <c r="A222" s="279" t="s">
        <v>78</v>
      </c>
      <c r="B222" s="344">
        <v>4</v>
      </c>
      <c r="C222" s="344">
        <v>4</v>
      </c>
      <c r="E222" s="344"/>
      <c r="F222" s="344"/>
      <c r="G222" s="344"/>
      <c r="H222" s="344"/>
      <c r="I222" s="344"/>
      <c r="J222" s="344"/>
      <c r="K222" s="344"/>
    </row>
    <row r="223" spans="1:11" x14ac:dyDescent="0.25">
      <c r="A223" s="279" t="s">
        <v>79</v>
      </c>
      <c r="B223" s="344">
        <v>7</v>
      </c>
      <c r="C223" s="344">
        <v>4</v>
      </c>
      <c r="E223" s="344"/>
      <c r="F223" s="344"/>
      <c r="G223" s="344"/>
      <c r="H223" s="344"/>
      <c r="I223" s="344"/>
      <c r="J223" s="344"/>
      <c r="K223" s="344"/>
    </row>
    <row r="224" spans="1:11" x14ac:dyDescent="0.25">
      <c r="A224" s="278" t="s">
        <v>24</v>
      </c>
      <c r="B224" s="344">
        <v>62</v>
      </c>
      <c r="C224" s="344">
        <v>45</v>
      </c>
      <c r="D224" s="358">
        <v>14</v>
      </c>
      <c r="E224" s="344">
        <v>32</v>
      </c>
      <c r="F224" s="344">
        <v>0</v>
      </c>
      <c r="G224" s="344">
        <v>15</v>
      </c>
      <c r="H224" s="344">
        <v>1</v>
      </c>
      <c r="I224" s="344">
        <v>10</v>
      </c>
      <c r="J224" s="344">
        <v>10</v>
      </c>
      <c r="K224" s="344">
        <v>39</v>
      </c>
    </row>
    <row r="225" spans="1:11" x14ac:dyDescent="0.25">
      <c r="A225" s="279" t="s">
        <v>76</v>
      </c>
      <c r="B225" s="344">
        <v>22</v>
      </c>
      <c r="C225" s="344">
        <v>11</v>
      </c>
      <c r="E225" s="344">
        <v>7</v>
      </c>
      <c r="F225" s="344">
        <v>0</v>
      </c>
      <c r="G225" s="344">
        <v>7</v>
      </c>
      <c r="H225" s="344">
        <v>0</v>
      </c>
      <c r="I225" s="344">
        <v>1</v>
      </c>
      <c r="J225" s="344">
        <v>1</v>
      </c>
      <c r="K225" s="344">
        <v>10</v>
      </c>
    </row>
    <row r="226" spans="1:11" x14ac:dyDescent="0.25">
      <c r="A226" s="279" t="s">
        <v>77</v>
      </c>
      <c r="B226" s="344">
        <v>20</v>
      </c>
      <c r="C226" s="344">
        <v>16</v>
      </c>
      <c r="D226" s="358">
        <v>14</v>
      </c>
      <c r="E226" s="344">
        <v>12</v>
      </c>
      <c r="F226" s="344">
        <v>0</v>
      </c>
      <c r="G226" s="344">
        <v>7</v>
      </c>
      <c r="H226" s="344">
        <v>1</v>
      </c>
      <c r="I226" s="344">
        <v>7</v>
      </c>
      <c r="J226" s="344">
        <v>7</v>
      </c>
      <c r="K226" s="344">
        <v>13</v>
      </c>
    </row>
    <row r="227" spans="1:11" x14ac:dyDescent="0.25">
      <c r="A227" s="279" t="s">
        <v>78</v>
      </c>
      <c r="B227" s="344">
        <v>15</v>
      </c>
      <c r="C227" s="344">
        <v>13</v>
      </c>
      <c r="E227" s="344">
        <v>9</v>
      </c>
      <c r="F227" s="344">
        <v>0</v>
      </c>
      <c r="G227" s="344">
        <v>1</v>
      </c>
      <c r="H227" s="344">
        <v>0</v>
      </c>
      <c r="I227" s="344">
        <v>2</v>
      </c>
      <c r="J227" s="344">
        <v>2</v>
      </c>
      <c r="K227" s="344">
        <v>11</v>
      </c>
    </row>
    <row r="228" spans="1:11" x14ac:dyDescent="0.25">
      <c r="A228" s="279" t="s">
        <v>79</v>
      </c>
      <c r="B228" s="344">
        <v>5</v>
      </c>
      <c r="C228" s="344">
        <v>5</v>
      </c>
      <c r="E228" s="344">
        <v>4</v>
      </c>
      <c r="F228" s="344">
        <v>0</v>
      </c>
      <c r="G228" s="344">
        <v>0</v>
      </c>
      <c r="H228" s="344">
        <v>0</v>
      </c>
      <c r="I228" s="344">
        <v>0</v>
      </c>
      <c r="J228" s="344">
        <v>0</v>
      </c>
      <c r="K228" s="344">
        <v>5</v>
      </c>
    </row>
    <row r="229" spans="1:11" x14ac:dyDescent="0.25">
      <c r="A229" s="278" t="s">
        <v>20</v>
      </c>
      <c r="B229" s="344">
        <v>419</v>
      </c>
      <c r="C229" s="344">
        <v>271</v>
      </c>
      <c r="D229" s="358">
        <v>37.853333333333332</v>
      </c>
      <c r="E229" s="344">
        <v>219</v>
      </c>
      <c r="F229" s="344">
        <v>6</v>
      </c>
      <c r="G229" s="344">
        <v>144</v>
      </c>
      <c r="H229" s="344">
        <v>98</v>
      </c>
      <c r="I229" s="344">
        <v>223</v>
      </c>
      <c r="J229" s="344">
        <v>214</v>
      </c>
      <c r="K229" s="344">
        <v>255</v>
      </c>
    </row>
    <row r="230" spans="1:11" x14ac:dyDescent="0.25">
      <c r="A230" s="279" t="s">
        <v>76</v>
      </c>
      <c r="B230" s="344">
        <v>136</v>
      </c>
      <c r="C230" s="344">
        <v>114</v>
      </c>
      <c r="D230" s="358">
        <v>12.305</v>
      </c>
      <c r="E230" s="344">
        <v>94</v>
      </c>
      <c r="F230" s="344">
        <v>2</v>
      </c>
      <c r="G230" s="344">
        <v>60</v>
      </c>
      <c r="H230" s="344">
        <v>46</v>
      </c>
      <c r="I230" s="344">
        <v>96</v>
      </c>
      <c r="J230" s="344">
        <v>95</v>
      </c>
      <c r="K230" s="344">
        <v>107</v>
      </c>
    </row>
    <row r="231" spans="1:11" x14ac:dyDescent="0.25">
      <c r="A231" s="279" t="s">
        <v>77</v>
      </c>
      <c r="B231" s="344">
        <v>164</v>
      </c>
      <c r="C231" s="344">
        <v>82</v>
      </c>
      <c r="D231" s="358">
        <v>14</v>
      </c>
      <c r="E231" s="344">
        <v>65</v>
      </c>
      <c r="F231" s="344">
        <v>3</v>
      </c>
      <c r="G231" s="344">
        <v>47</v>
      </c>
      <c r="H231" s="344">
        <v>37</v>
      </c>
      <c r="I231" s="344">
        <v>68</v>
      </c>
      <c r="J231" s="344">
        <v>62</v>
      </c>
      <c r="K231" s="344">
        <v>75</v>
      </c>
    </row>
    <row r="232" spans="1:11" x14ac:dyDescent="0.25">
      <c r="A232" s="279" t="s">
        <v>78</v>
      </c>
      <c r="B232" s="344">
        <v>27</v>
      </c>
      <c r="C232" s="344">
        <v>17</v>
      </c>
      <c r="E232" s="344">
        <v>13</v>
      </c>
      <c r="F232" s="344">
        <v>0</v>
      </c>
      <c r="G232" s="344">
        <v>10</v>
      </c>
      <c r="H232" s="344">
        <v>4</v>
      </c>
      <c r="I232" s="344">
        <v>13</v>
      </c>
      <c r="J232" s="344">
        <v>13</v>
      </c>
      <c r="K232" s="344">
        <v>16</v>
      </c>
    </row>
    <row r="233" spans="1:11" x14ac:dyDescent="0.25">
      <c r="A233" s="279" t="s">
        <v>79</v>
      </c>
      <c r="B233" s="344">
        <v>92</v>
      </c>
      <c r="C233" s="344">
        <v>58</v>
      </c>
      <c r="D233" s="358">
        <v>11.548333333333334</v>
      </c>
      <c r="E233" s="344">
        <v>47</v>
      </c>
      <c r="F233" s="344">
        <v>1</v>
      </c>
      <c r="G233" s="344">
        <v>27</v>
      </c>
      <c r="H233" s="344">
        <v>11</v>
      </c>
      <c r="I233" s="344">
        <v>46</v>
      </c>
      <c r="J233" s="344">
        <v>44</v>
      </c>
      <c r="K233" s="344">
        <v>57</v>
      </c>
    </row>
    <row r="234" spans="1:11" x14ac:dyDescent="0.25">
      <c r="A234" s="278" t="s">
        <v>21</v>
      </c>
      <c r="B234" s="344">
        <v>502</v>
      </c>
      <c r="C234" s="344">
        <v>338</v>
      </c>
      <c r="D234" s="358">
        <v>50.421794871794802</v>
      </c>
      <c r="E234" s="344">
        <v>290</v>
      </c>
      <c r="F234" s="344">
        <v>2</v>
      </c>
      <c r="G234" s="344">
        <v>175</v>
      </c>
      <c r="H234" s="344">
        <v>27</v>
      </c>
      <c r="I234" s="344">
        <v>285</v>
      </c>
      <c r="J234" s="344">
        <v>280</v>
      </c>
      <c r="K234" s="344">
        <v>330</v>
      </c>
    </row>
    <row r="235" spans="1:11" x14ac:dyDescent="0.25">
      <c r="A235" s="279" t="s">
        <v>76</v>
      </c>
      <c r="B235" s="344">
        <v>68</v>
      </c>
      <c r="C235" s="344">
        <v>49</v>
      </c>
      <c r="D235" s="358">
        <v>13.08</v>
      </c>
      <c r="E235" s="344">
        <v>41</v>
      </c>
      <c r="F235" s="344">
        <v>0</v>
      </c>
      <c r="G235" s="344">
        <v>26</v>
      </c>
      <c r="H235" s="344">
        <v>4</v>
      </c>
      <c r="I235" s="344">
        <v>41</v>
      </c>
      <c r="J235" s="344">
        <v>41</v>
      </c>
      <c r="K235" s="344">
        <v>48</v>
      </c>
    </row>
    <row r="236" spans="1:11" x14ac:dyDescent="0.25">
      <c r="A236" s="279" t="s">
        <v>77</v>
      </c>
      <c r="B236" s="344">
        <v>243</v>
      </c>
      <c r="C236" s="344">
        <v>162</v>
      </c>
      <c r="D236" s="358">
        <v>12.9884615384615</v>
      </c>
      <c r="E236" s="344">
        <v>132</v>
      </c>
      <c r="F236" s="344">
        <v>2</v>
      </c>
      <c r="G236" s="344">
        <v>111</v>
      </c>
      <c r="H236" s="344">
        <v>8</v>
      </c>
      <c r="I236" s="344">
        <v>148</v>
      </c>
      <c r="J236" s="344">
        <v>144</v>
      </c>
      <c r="K236" s="344">
        <v>157</v>
      </c>
    </row>
    <row r="237" spans="1:11" x14ac:dyDescent="0.25">
      <c r="A237" s="279" t="s">
        <v>78</v>
      </c>
      <c r="B237" s="344">
        <v>50</v>
      </c>
      <c r="C237" s="344">
        <v>38</v>
      </c>
      <c r="D237" s="358">
        <v>12.4925</v>
      </c>
      <c r="E237" s="344">
        <v>35</v>
      </c>
      <c r="F237" s="344">
        <v>0</v>
      </c>
      <c r="G237" s="344">
        <v>12</v>
      </c>
      <c r="H237" s="344">
        <v>3</v>
      </c>
      <c r="I237" s="344">
        <v>35</v>
      </c>
      <c r="J237" s="344">
        <v>34</v>
      </c>
      <c r="K237" s="344">
        <v>38</v>
      </c>
    </row>
    <row r="238" spans="1:11" x14ac:dyDescent="0.25">
      <c r="A238" s="279" t="s">
        <v>79</v>
      </c>
      <c r="B238" s="344">
        <v>141</v>
      </c>
      <c r="C238" s="344">
        <v>89</v>
      </c>
      <c r="D238" s="358">
        <v>11.8608333333333</v>
      </c>
      <c r="E238" s="344">
        <v>82</v>
      </c>
      <c r="F238" s="344">
        <v>0</v>
      </c>
      <c r="G238" s="344">
        <v>26</v>
      </c>
      <c r="H238" s="344">
        <v>12</v>
      </c>
      <c r="I238" s="344">
        <v>61</v>
      </c>
      <c r="J238" s="344">
        <v>61</v>
      </c>
      <c r="K238" s="344">
        <v>87</v>
      </c>
    </row>
    <row r="239" spans="1:11" x14ac:dyDescent="0.25">
      <c r="A239" s="278" t="s">
        <v>22</v>
      </c>
      <c r="B239" s="344">
        <v>50</v>
      </c>
      <c r="C239" s="344">
        <v>36</v>
      </c>
      <c r="D239" s="358">
        <v>18.1444444444444</v>
      </c>
      <c r="E239" s="344">
        <v>22</v>
      </c>
      <c r="F239" s="344">
        <v>0</v>
      </c>
      <c r="G239" s="344">
        <v>16</v>
      </c>
      <c r="H239" s="344">
        <v>4</v>
      </c>
      <c r="I239" s="344">
        <v>24</v>
      </c>
      <c r="J239" s="344">
        <v>22</v>
      </c>
      <c r="K239" s="344">
        <v>25</v>
      </c>
    </row>
    <row r="240" spans="1:11" x14ac:dyDescent="0.25">
      <c r="A240" s="279" t="s">
        <v>76</v>
      </c>
      <c r="B240" s="344">
        <v>35</v>
      </c>
      <c r="C240" s="344">
        <v>27</v>
      </c>
      <c r="D240" s="358">
        <v>18.1444444444444</v>
      </c>
      <c r="E240" s="344">
        <v>22</v>
      </c>
      <c r="F240" s="344">
        <v>0</v>
      </c>
      <c r="G240" s="344">
        <v>16</v>
      </c>
      <c r="H240" s="344">
        <v>4</v>
      </c>
      <c r="I240" s="344">
        <v>24</v>
      </c>
      <c r="J240" s="344">
        <v>22</v>
      </c>
      <c r="K240" s="344">
        <v>25</v>
      </c>
    </row>
    <row r="241" spans="1:11" x14ac:dyDescent="0.25">
      <c r="A241" s="279" t="s">
        <v>77</v>
      </c>
      <c r="B241" s="344">
        <v>2</v>
      </c>
      <c r="C241" s="344">
        <v>2</v>
      </c>
      <c r="E241" s="344"/>
      <c r="F241" s="344"/>
      <c r="G241" s="344"/>
      <c r="H241" s="344"/>
      <c r="I241" s="344"/>
      <c r="J241" s="344"/>
      <c r="K241" s="344"/>
    </row>
    <row r="242" spans="1:11" x14ac:dyDescent="0.25">
      <c r="A242" s="279" t="s">
        <v>78</v>
      </c>
      <c r="B242" s="344">
        <v>5</v>
      </c>
      <c r="C242" s="344">
        <v>3</v>
      </c>
      <c r="E242" s="344"/>
      <c r="F242" s="344"/>
      <c r="G242" s="344"/>
      <c r="H242" s="344"/>
      <c r="I242" s="344"/>
      <c r="J242" s="344"/>
      <c r="K242" s="344"/>
    </row>
    <row r="243" spans="1:11" x14ac:dyDescent="0.25">
      <c r="A243" s="279" t="s">
        <v>79</v>
      </c>
      <c r="B243" s="344">
        <v>8</v>
      </c>
      <c r="C243" s="344">
        <v>4</v>
      </c>
      <c r="E243" s="344"/>
      <c r="F243" s="344"/>
      <c r="G243" s="344"/>
      <c r="H243" s="344"/>
      <c r="I243" s="344"/>
      <c r="J243" s="344"/>
      <c r="K243" s="344"/>
    </row>
    <row r="244" spans="1:11" x14ac:dyDescent="0.25">
      <c r="A244" s="278" t="s">
        <v>23</v>
      </c>
      <c r="B244" s="344">
        <v>181</v>
      </c>
      <c r="C244" s="344">
        <v>113</v>
      </c>
      <c r="D244" s="358">
        <v>73.954545454545496</v>
      </c>
      <c r="E244" s="344">
        <v>100</v>
      </c>
      <c r="F244" s="344">
        <v>0</v>
      </c>
      <c r="G244" s="344">
        <v>19</v>
      </c>
      <c r="H244" s="344">
        <v>18</v>
      </c>
      <c r="I244" s="344">
        <v>104</v>
      </c>
      <c r="J244" s="344">
        <v>104</v>
      </c>
      <c r="K244" s="344">
        <v>100</v>
      </c>
    </row>
    <row r="245" spans="1:11" x14ac:dyDescent="0.25">
      <c r="A245" s="279" t="s">
        <v>76</v>
      </c>
      <c r="B245" s="344">
        <v>20</v>
      </c>
      <c r="C245" s="344">
        <v>15</v>
      </c>
      <c r="D245" s="358">
        <v>26.5</v>
      </c>
      <c r="E245" s="344">
        <v>12</v>
      </c>
      <c r="F245" s="344">
        <v>0</v>
      </c>
      <c r="G245" s="344">
        <v>1</v>
      </c>
      <c r="H245" s="344">
        <v>2</v>
      </c>
      <c r="I245" s="344">
        <v>14</v>
      </c>
      <c r="J245" s="344">
        <v>14</v>
      </c>
      <c r="K245" s="344">
        <v>13</v>
      </c>
    </row>
    <row r="246" spans="1:11" x14ac:dyDescent="0.25">
      <c r="A246" s="279" t="s">
        <v>77</v>
      </c>
      <c r="B246" s="344">
        <v>90</v>
      </c>
      <c r="C246" s="344">
        <v>60</v>
      </c>
      <c r="D246" s="358">
        <v>23.4</v>
      </c>
      <c r="E246" s="344">
        <v>58</v>
      </c>
      <c r="F246" s="344">
        <v>0</v>
      </c>
      <c r="G246" s="344">
        <v>12</v>
      </c>
      <c r="H246" s="344">
        <v>14</v>
      </c>
      <c r="I246" s="344">
        <v>60</v>
      </c>
      <c r="J246" s="344">
        <v>60</v>
      </c>
      <c r="K246" s="344">
        <v>54</v>
      </c>
    </row>
    <row r="247" spans="1:11" x14ac:dyDescent="0.25">
      <c r="A247" s="279" t="s">
        <v>78</v>
      </c>
      <c r="B247" s="344">
        <v>4</v>
      </c>
      <c r="C247" s="344">
        <v>2</v>
      </c>
      <c r="E247" s="344"/>
      <c r="F247" s="344"/>
      <c r="G247" s="344"/>
      <c r="H247" s="344"/>
      <c r="I247" s="344"/>
      <c r="J247" s="344"/>
      <c r="K247" s="344"/>
    </row>
    <row r="248" spans="1:11" x14ac:dyDescent="0.25">
      <c r="A248" s="279" t="s">
        <v>79</v>
      </c>
      <c r="B248" s="344">
        <v>67</v>
      </c>
      <c r="C248" s="344">
        <v>36</v>
      </c>
      <c r="D248" s="358">
        <v>24.054545454545501</v>
      </c>
      <c r="E248" s="344">
        <v>30</v>
      </c>
      <c r="F248" s="344">
        <v>0</v>
      </c>
      <c r="G248" s="344">
        <v>6</v>
      </c>
      <c r="H248" s="344">
        <v>2</v>
      </c>
      <c r="I248" s="344">
        <v>30</v>
      </c>
      <c r="J248" s="344">
        <v>30</v>
      </c>
      <c r="K248" s="344">
        <v>33</v>
      </c>
    </row>
    <row r="249" spans="1:11" x14ac:dyDescent="0.25">
      <c r="A249" s="277">
        <v>2007</v>
      </c>
      <c r="B249" s="344">
        <v>1295</v>
      </c>
      <c r="C249" s="344">
        <v>655</v>
      </c>
      <c r="D249" s="358">
        <v>303.28140000000002</v>
      </c>
      <c r="E249" s="344">
        <v>514</v>
      </c>
      <c r="F249" s="344">
        <v>4</v>
      </c>
      <c r="G249" s="344">
        <v>304</v>
      </c>
      <c r="H249" s="344">
        <v>0</v>
      </c>
      <c r="I249" s="344">
        <v>0</v>
      </c>
      <c r="J249" s="344">
        <v>0</v>
      </c>
      <c r="K249" s="344">
        <v>613</v>
      </c>
    </row>
    <row r="250" spans="1:11" x14ac:dyDescent="0.25">
      <c r="A250" s="278" t="s">
        <v>17</v>
      </c>
      <c r="B250" s="344">
        <v>42</v>
      </c>
      <c r="C250" s="344">
        <v>22</v>
      </c>
      <c r="D250" s="358">
        <v>39.629999999999995</v>
      </c>
      <c r="E250" s="344">
        <v>14</v>
      </c>
      <c r="F250" s="344">
        <v>0</v>
      </c>
      <c r="G250" s="344">
        <v>3</v>
      </c>
      <c r="H250" s="344">
        <v>0</v>
      </c>
      <c r="I250" s="344">
        <v>0</v>
      </c>
      <c r="J250" s="344">
        <v>0</v>
      </c>
      <c r="K250" s="344">
        <v>17</v>
      </c>
    </row>
    <row r="251" spans="1:11" x14ac:dyDescent="0.25">
      <c r="A251" s="279" t="s">
        <v>76</v>
      </c>
      <c r="B251" s="344">
        <v>9</v>
      </c>
      <c r="C251" s="344">
        <v>4</v>
      </c>
      <c r="E251" s="344"/>
      <c r="F251" s="344"/>
      <c r="G251" s="344"/>
      <c r="H251" s="344"/>
      <c r="I251" s="344"/>
      <c r="J251" s="344"/>
      <c r="K251" s="344"/>
    </row>
    <row r="252" spans="1:11" x14ac:dyDescent="0.25">
      <c r="A252" s="279" t="s">
        <v>77</v>
      </c>
      <c r="B252" s="344">
        <v>10</v>
      </c>
      <c r="C252" s="344">
        <v>6</v>
      </c>
      <c r="E252" s="344">
        <v>5</v>
      </c>
      <c r="F252" s="344"/>
      <c r="G252" s="344"/>
      <c r="H252" s="344"/>
      <c r="I252" s="344"/>
      <c r="J252" s="344"/>
      <c r="K252" s="344">
        <v>6</v>
      </c>
    </row>
    <row r="253" spans="1:11" x14ac:dyDescent="0.25">
      <c r="A253" s="279" t="s">
        <v>78</v>
      </c>
      <c r="B253" s="344">
        <v>20</v>
      </c>
      <c r="C253" s="344">
        <v>11</v>
      </c>
      <c r="D253" s="358">
        <v>39.629999999999995</v>
      </c>
      <c r="E253" s="344">
        <v>9</v>
      </c>
      <c r="F253" s="344">
        <v>0</v>
      </c>
      <c r="G253" s="344">
        <v>3</v>
      </c>
      <c r="H253" s="344">
        <v>0</v>
      </c>
      <c r="I253" s="344">
        <v>0</v>
      </c>
      <c r="J253" s="344">
        <v>0</v>
      </c>
      <c r="K253" s="344">
        <v>11</v>
      </c>
    </row>
    <row r="254" spans="1:11" x14ac:dyDescent="0.25">
      <c r="A254" s="279" t="s">
        <v>79</v>
      </c>
      <c r="B254" s="344">
        <v>3</v>
      </c>
      <c r="C254" s="344">
        <v>1</v>
      </c>
      <c r="E254" s="344"/>
      <c r="F254" s="344"/>
      <c r="G254" s="344"/>
      <c r="H254" s="344"/>
      <c r="I254" s="344"/>
      <c r="J254" s="344"/>
      <c r="K254" s="344"/>
    </row>
    <row r="255" spans="1:11" x14ac:dyDescent="0.25">
      <c r="A255" s="278" t="s">
        <v>18</v>
      </c>
      <c r="B255" s="344">
        <v>23</v>
      </c>
      <c r="C255" s="344">
        <v>11</v>
      </c>
      <c r="E255" s="344">
        <v>6</v>
      </c>
      <c r="F255" s="344"/>
      <c r="G255" s="344">
        <v>1</v>
      </c>
      <c r="H255" s="344"/>
      <c r="I255" s="344"/>
      <c r="J255" s="344"/>
      <c r="K255" s="344">
        <v>6</v>
      </c>
    </row>
    <row r="256" spans="1:11" x14ac:dyDescent="0.25">
      <c r="A256" s="279" t="s">
        <v>76</v>
      </c>
      <c r="B256" s="344">
        <v>0</v>
      </c>
      <c r="C256" s="344">
        <v>0</v>
      </c>
      <c r="E256" s="344"/>
      <c r="F256" s="344"/>
      <c r="G256" s="344"/>
      <c r="H256" s="344"/>
      <c r="I256" s="344"/>
      <c r="J256" s="344"/>
      <c r="K256" s="344"/>
    </row>
    <row r="257" spans="1:11" x14ac:dyDescent="0.25">
      <c r="A257" s="279" t="s">
        <v>77</v>
      </c>
      <c r="B257" s="344">
        <v>4</v>
      </c>
      <c r="C257" s="344">
        <v>4</v>
      </c>
      <c r="E257" s="344"/>
      <c r="F257" s="344"/>
      <c r="G257" s="344"/>
      <c r="H257" s="344"/>
      <c r="I257" s="344"/>
      <c r="J257" s="344"/>
      <c r="K257" s="344"/>
    </row>
    <row r="258" spans="1:11" x14ac:dyDescent="0.25">
      <c r="A258" s="279" t="s">
        <v>78</v>
      </c>
      <c r="B258" s="344">
        <v>3</v>
      </c>
      <c r="C258" s="344">
        <v>1</v>
      </c>
      <c r="E258" s="344"/>
      <c r="F258" s="344"/>
      <c r="G258" s="344"/>
      <c r="H258" s="344"/>
      <c r="I258" s="344"/>
      <c r="J258" s="344"/>
      <c r="K258" s="344"/>
    </row>
    <row r="259" spans="1:11" x14ac:dyDescent="0.25">
      <c r="A259" s="279" t="s">
        <v>79</v>
      </c>
      <c r="B259" s="344">
        <v>16</v>
      </c>
      <c r="C259" s="344">
        <v>6</v>
      </c>
      <c r="E259" s="344">
        <v>6</v>
      </c>
      <c r="F259" s="344"/>
      <c r="G259" s="344">
        <v>1</v>
      </c>
      <c r="H259" s="344"/>
      <c r="I259" s="344"/>
      <c r="J259" s="344"/>
      <c r="K259" s="344">
        <v>6</v>
      </c>
    </row>
    <row r="260" spans="1:11" x14ac:dyDescent="0.25">
      <c r="A260" s="278" t="s">
        <v>19</v>
      </c>
      <c r="B260" s="344">
        <v>17</v>
      </c>
      <c r="C260" s="344">
        <v>6</v>
      </c>
      <c r="E260" s="344"/>
      <c r="F260" s="344"/>
      <c r="G260" s="344"/>
      <c r="H260" s="344"/>
      <c r="I260" s="344"/>
      <c r="J260" s="344"/>
      <c r="K260" s="344"/>
    </row>
    <row r="261" spans="1:11" x14ac:dyDescent="0.25">
      <c r="A261" s="279" t="s">
        <v>76</v>
      </c>
      <c r="B261" s="344">
        <v>4</v>
      </c>
      <c r="C261" s="344">
        <v>2</v>
      </c>
      <c r="E261" s="344"/>
      <c r="F261" s="344"/>
      <c r="G261" s="344"/>
      <c r="H261" s="344"/>
      <c r="I261" s="344"/>
      <c r="J261" s="344"/>
      <c r="K261" s="344"/>
    </row>
    <row r="262" spans="1:11" x14ac:dyDescent="0.25">
      <c r="A262" s="279" t="s">
        <v>77</v>
      </c>
      <c r="B262" s="344">
        <v>4</v>
      </c>
      <c r="C262" s="344"/>
      <c r="E262" s="344"/>
      <c r="F262" s="344"/>
      <c r="G262" s="344"/>
      <c r="H262" s="344"/>
      <c r="I262" s="344"/>
      <c r="J262" s="344"/>
      <c r="K262" s="344"/>
    </row>
    <row r="263" spans="1:11" x14ac:dyDescent="0.25">
      <c r="A263" s="279" t="s">
        <v>78</v>
      </c>
      <c r="B263" s="344">
        <v>3</v>
      </c>
      <c r="C263" s="344">
        <v>2</v>
      </c>
      <c r="E263" s="344"/>
      <c r="F263" s="344"/>
      <c r="G263" s="344"/>
      <c r="H263" s="344"/>
      <c r="I263" s="344"/>
      <c r="J263" s="344"/>
      <c r="K263" s="344"/>
    </row>
    <row r="264" spans="1:11" x14ac:dyDescent="0.25">
      <c r="A264" s="279" t="s">
        <v>79</v>
      </c>
      <c r="B264" s="344">
        <v>6</v>
      </c>
      <c r="C264" s="344">
        <v>2</v>
      </c>
      <c r="E264" s="344"/>
      <c r="F264" s="344"/>
      <c r="G264" s="344"/>
      <c r="H264" s="344"/>
      <c r="I264" s="344"/>
      <c r="J264" s="344"/>
      <c r="K264" s="344"/>
    </row>
    <row r="265" spans="1:11" x14ac:dyDescent="0.25">
      <c r="A265" s="278" t="s">
        <v>24</v>
      </c>
      <c r="B265" s="344">
        <v>53</v>
      </c>
      <c r="C265" s="344">
        <v>25</v>
      </c>
      <c r="E265" s="344">
        <v>18</v>
      </c>
      <c r="F265" s="344">
        <v>2</v>
      </c>
      <c r="G265" s="344">
        <v>14</v>
      </c>
      <c r="H265" s="344">
        <v>0</v>
      </c>
      <c r="I265" s="344">
        <v>0</v>
      </c>
      <c r="J265" s="344">
        <v>0</v>
      </c>
      <c r="K265" s="344">
        <v>19</v>
      </c>
    </row>
    <row r="266" spans="1:11" x14ac:dyDescent="0.25">
      <c r="A266" s="279" t="s">
        <v>76</v>
      </c>
      <c r="B266" s="344">
        <v>17</v>
      </c>
      <c r="C266" s="344">
        <v>11</v>
      </c>
      <c r="E266" s="344">
        <v>8</v>
      </c>
      <c r="F266" s="344">
        <v>2</v>
      </c>
      <c r="G266" s="344">
        <v>9</v>
      </c>
      <c r="H266" s="344"/>
      <c r="I266" s="344"/>
      <c r="J266" s="344"/>
      <c r="K266" s="344">
        <v>10</v>
      </c>
    </row>
    <row r="267" spans="1:11" x14ac:dyDescent="0.25">
      <c r="A267" s="279" t="s">
        <v>77</v>
      </c>
      <c r="B267" s="344">
        <v>11</v>
      </c>
      <c r="C267" s="344">
        <v>3</v>
      </c>
      <c r="E267" s="344"/>
      <c r="F267" s="344"/>
      <c r="G267" s="344"/>
      <c r="H267" s="344"/>
      <c r="I267" s="344"/>
      <c r="J267" s="344"/>
      <c r="K267" s="344"/>
    </row>
    <row r="268" spans="1:11" x14ac:dyDescent="0.25">
      <c r="A268" s="279" t="s">
        <v>78</v>
      </c>
      <c r="B268" s="344">
        <v>17</v>
      </c>
      <c r="C268" s="344">
        <v>5</v>
      </c>
      <c r="E268" s="344">
        <v>5</v>
      </c>
      <c r="F268" s="344">
        <v>0</v>
      </c>
      <c r="G268" s="344">
        <v>2</v>
      </c>
      <c r="H268" s="344">
        <v>0</v>
      </c>
      <c r="I268" s="344">
        <v>0</v>
      </c>
      <c r="J268" s="344">
        <v>0</v>
      </c>
      <c r="K268" s="344">
        <v>3</v>
      </c>
    </row>
    <row r="269" spans="1:11" x14ac:dyDescent="0.25">
      <c r="A269" s="279" t="s">
        <v>79</v>
      </c>
      <c r="B269" s="344">
        <v>8</v>
      </c>
      <c r="C269" s="344">
        <v>6</v>
      </c>
      <c r="E269" s="344">
        <v>5</v>
      </c>
      <c r="F269" s="344"/>
      <c r="G269" s="344">
        <v>3</v>
      </c>
      <c r="H269" s="344"/>
      <c r="I269" s="344"/>
      <c r="J269" s="344"/>
      <c r="K269" s="344">
        <v>6</v>
      </c>
    </row>
    <row r="270" spans="1:11" x14ac:dyDescent="0.25">
      <c r="A270" s="278" t="s">
        <v>20</v>
      </c>
      <c r="B270" s="344">
        <v>324</v>
      </c>
      <c r="C270" s="344">
        <v>150</v>
      </c>
      <c r="D270" s="358">
        <v>41.467599999999997</v>
      </c>
      <c r="E270" s="344">
        <v>114</v>
      </c>
      <c r="F270" s="344">
        <v>2</v>
      </c>
      <c r="G270" s="344">
        <v>87</v>
      </c>
      <c r="H270" s="344"/>
      <c r="I270" s="344"/>
      <c r="J270" s="344"/>
      <c r="K270" s="344">
        <v>145</v>
      </c>
    </row>
    <row r="271" spans="1:11" x14ac:dyDescent="0.25">
      <c r="A271" s="279" t="s">
        <v>76</v>
      </c>
      <c r="B271" s="344">
        <v>115</v>
      </c>
      <c r="C271" s="344">
        <v>45</v>
      </c>
      <c r="D271" s="358">
        <v>13.204000000000001</v>
      </c>
      <c r="E271" s="344">
        <v>33</v>
      </c>
      <c r="F271" s="344">
        <v>2</v>
      </c>
      <c r="G271" s="344">
        <v>32</v>
      </c>
      <c r="H271" s="344"/>
      <c r="I271" s="344"/>
      <c r="J271" s="344"/>
      <c r="K271" s="344">
        <v>45</v>
      </c>
    </row>
    <row r="272" spans="1:11" x14ac:dyDescent="0.25">
      <c r="A272" s="279" t="s">
        <v>77</v>
      </c>
      <c r="B272" s="344">
        <v>125</v>
      </c>
      <c r="C272" s="344">
        <v>59</v>
      </c>
      <c r="D272" s="358">
        <v>14.284000000000001</v>
      </c>
      <c r="E272" s="344">
        <v>50</v>
      </c>
      <c r="F272" s="344"/>
      <c r="G272" s="344">
        <v>32</v>
      </c>
      <c r="H272" s="344"/>
      <c r="I272" s="344"/>
      <c r="J272" s="344"/>
      <c r="K272" s="344">
        <v>58</v>
      </c>
    </row>
    <row r="273" spans="1:11" x14ac:dyDescent="0.25">
      <c r="A273" s="279" t="s">
        <v>78</v>
      </c>
      <c r="B273" s="344">
        <v>4</v>
      </c>
      <c r="C273" s="344">
        <v>4</v>
      </c>
      <c r="E273" s="344"/>
      <c r="F273" s="344"/>
      <c r="G273" s="344"/>
      <c r="H273" s="344"/>
      <c r="I273" s="344"/>
      <c r="J273" s="344"/>
      <c r="K273" s="344"/>
    </row>
    <row r="274" spans="1:11" x14ac:dyDescent="0.25">
      <c r="A274" s="279" t="s">
        <v>79</v>
      </c>
      <c r="B274" s="344">
        <v>80</v>
      </c>
      <c r="C274" s="344">
        <v>42</v>
      </c>
      <c r="D274" s="358">
        <v>13.9796</v>
      </c>
      <c r="E274" s="344">
        <v>31</v>
      </c>
      <c r="F274" s="344"/>
      <c r="G274" s="344">
        <v>23</v>
      </c>
      <c r="H274" s="344"/>
      <c r="I274" s="344"/>
      <c r="J274" s="344"/>
      <c r="K274" s="344">
        <v>42</v>
      </c>
    </row>
    <row r="275" spans="1:11" x14ac:dyDescent="0.25">
      <c r="A275" s="278" t="s">
        <v>21</v>
      </c>
      <c r="B275" s="344">
        <v>483</v>
      </c>
      <c r="C275" s="344">
        <v>206</v>
      </c>
      <c r="D275" s="358">
        <v>65.669299999999993</v>
      </c>
      <c r="E275" s="344">
        <v>166</v>
      </c>
      <c r="F275" s="344">
        <v>0</v>
      </c>
      <c r="G275" s="344">
        <v>143</v>
      </c>
      <c r="H275" s="344">
        <v>0</v>
      </c>
      <c r="I275" s="344">
        <v>0</v>
      </c>
      <c r="J275" s="344">
        <v>0</v>
      </c>
      <c r="K275" s="344">
        <v>201</v>
      </c>
    </row>
    <row r="276" spans="1:11" x14ac:dyDescent="0.25">
      <c r="A276" s="279" t="s">
        <v>76</v>
      </c>
      <c r="B276" s="344">
        <v>80</v>
      </c>
      <c r="C276" s="344">
        <v>33</v>
      </c>
      <c r="D276" s="358">
        <v>13.1927</v>
      </c>
      <c r="E276" s="344">
        <v>27</v>
      </c>
      <c r="F276" s="344"/>
      <c r="G276" s="344">
        <v>19</v>
      </c>
      <c r="H276" s="344"/>
      <c r="I276" s="344"/>
      <c r="J276" s="344"/>
      <c r="K276" s="344">
        <v>33</v>
      </c>
    </row>
    <row r="277" spans="1:11" x14ac:dyDescent="0.25">
      <c r="A277" s="279" t="s">
        <v>77</v>
      </c>
      <c r="B277" s="344">
        <v>224</v>
      </c>
      <c r="C277" s="344">
        <v>75</v>
      </c>
      <c r="D277" s="358">
        <v>12.1509</v>
      </c>
      <c r="E277" s="344">
        <v>63</v>
      </c>
      <c r="F277" s="344"/>
      <c r="G277" s="344">
        <v>57</v>
      </c>
      <c r="H277" s="344"/>
      <c r="I277" s="344"/>
      <c r="J277" s="344"/>
      <c r="K277" s="344">
        <v>74</v>
      </c>
    </row>
    <row r="278" spans="1:11" x14ac:dyDescent="0.25">
      <c r="A278" s="279" t="s">
        <v>78</v>
      </c>
      <c r="B278" s="344">
        <v>26</v>
      </c>
      <c r="C278" s="344">
        <v>14</v>
      </c>
      <c r="D278" s="358">
        <v>25.606299999999997</v>
      </c>
      <c r="E278" s="344">
        <v>11</v>
      </c>
      <c r="F278" s="344">
        <v>0</v>
      </c>
      <c r="G278" s="344">
        <v>10</v>
      </c>
      <c r="H278" s="344">
        <v>0</v>
      </c>
      <c r="I278" s="344">
        <v>0</v>
      </c>
      <c r="J278" s="344">
        <v>0</v>
      </c>
      <c r="K278" s="344">
        <v>14</v>
      </c>
    </row>
    <row r="279" spans="1:11" x14ac:dyDescent="0.25">
      <c r="A279" s="279" t="s">
        <v>79</v>
      </c>
      <c r="B279" s="344">
        <v>153</v>
      </c>
      <c r="C279" s="344">
        <v>84</v>
      </c>
      <c r="D279" s="358">
        <v>14.7194</v>
      </c>
      <c r="E279" s="344">
        <v>65</v>
      </c>
      <c r="F279" s="344"/>
      <c r="G279" s="344">
        <v>57</v>
      </c>
      <c r="H279" s="344"/>
      <c r="I279" s="344"/>
      <c r="J279" s="344"/>
      <c r="K279" s="344">
        <v>80</v>
      </c>
    </row>
    <row r="280" spans="1:11" x14ac:dyDescent="0.25">
      <c r="A280" s="278" t="s">
        <v>22</v>
      </c>
      <c r="B280" s="344">
        <v>156</v>
      </c>
      <c r="C280" s="344">
        <v>102</v>
      </c>
      <c r="D280" s="358">
        <v>54.079700000000003</v>
      </c>
      <c r="E280" s="344">
        <v>72</v>
      </c>
      <c r="F280" s="344">
        <v>0</v>
      </c>
      <c r="G280" s="344">
        <v>42</v>
      </c>
      <c r="H280" s="344">
        <v>0</v>
      </c>
      <c r="I280" s="344">
        <v>0</v>
      </c>
      <c r="J280" s="344">
        <v>0</v>
      </c>
      <c r="K280" s="344">
        <v>92</v>
      </c>
    </row>
    <row r="281" spans="1:11" x14ac:dyDescent="0.25">
      <c r="A281" s="279" t="s">
        <v>76</v>
      </c>
      <c r="B281" s="344">
        <v>35</v>
      </c>
      <c r="C281" s="344">
        <v>26</v>
      </c>
      <c r="D281" s="358">
        <v>17.130700000000001</v>
      </c>
      <c r="E281" s="344">
        <v>20</v>
      </c>
      <c r="F281" s="344"/>
      <c r="G281" s="344">
        <v>13</v>
      </c>
      <c r="H281" s="344"/>
      <c r="I281" s="344"/>
      <c r="J281" s="344"/>
      <c r="K281" s="344">
        <v>23</v>
      </c>
    </row>
    <row r="282" spans="1:11" x14ac:dyDescent="0.25">
      <c r="A282" s="279" t="s">
        <v>77</v>
      </c>
      <c r="B282" s="344">
        <v>58</v>
      </c>
      <c r="C282" s="344">
        <v>38</v>
      </c>
      <c r="D282" s="358">
        <v>18.580500000000001</v>
      </c>
      <c r="E282" s="344">
        <v>27</v>
      </c>
      <c r="F282" s="344"/>
      <c r="G282" s="344">
        <v>12</v>
      </c>
      <c r="H282" s="344"/>
      <c r="I282" s="344"/>
      <c r="J282" s="344"/>
      <c r="K282" s="344">
        <v>34</v>
      </c>
    </row>
    <row r="283" spans="1:11" x14ac:dyDescent="0.25">
      <c r="A283" s="279" t="s">
        <v>78</v>
      </c>
      <c r="B283" s="344">
        <v>7</v>
      </c>
      <c r="C283" s="344">
        <v>5</v>
      </c>
      <c r="E283" s="344">
        <v>4</v>
      </c>
      <c r="F283" s="344">
        <v>0</v>
      </c>
      <c r="G283" s="344">
        <v>5</v>
      </c>
      <c r="H283" s="344">
        <v>0</v>
      </c>
      <c r="I283" s="344">
        <v>0</v>
      </c>
      <c r="J283" s="344">
        <v>0</v>
      </c>
      <c r="K283" s="344">
        <v>4</v>
      </c>
    </row>
    <row r="284" spans="1:11" x14ac:dyDescent="0.25">
      <c r="A284" s="279" t="s">
        <v>79</v>
      </c>
      <c r="B284" s="344">
        <v>56</v>
      </c>
      <c r="C284" s="344">
        <v>33</v>
      </c>
      <c r="D284" s="358">
        <v>18.368500000000001</v>
      </c>
      <c r="E284" s="344">
        <v>21</v>
      </c>
      <c r="F284" s="344"/>
      <c r="G284" s="344">
        <v>12</v>
      </c>
      <c r="H284" s="344"/>
      <c r="I284" s="344"/>
      <c r="J284" s="344"/>
      <c r="K284" s="344">
        <v>31</v>
      </c>
    </row>
    <row r="285" spans="1:11" x14ac:dyDescent="0.25">
      <c r="A285" s="278" t="s">
        <v>23</v>
      </c>
      <c r="B285" s="344">
        <v>197</v>
      </c>
      <c r="C285" s="344">
        <v>133</v>
      </c>
      <c r="D285" s="358">
        <v>102.4348</v>
      </c>
      <c r="E285" s="344">
        <v>124</v>
      </c>
      <c r="F285" s="344">
        <v>0</v>
      </c>
      <c r="G285" s="344">
        <v>14</v>
      </c>
      <c r="H285" s="344">
        <v>0</v>
      </c>
      <c r="I285" s="344">
        <v>0</v>
      </c>
      <c r="J285" s="344">
        <v>0</v>
      </c>
      <c r="K285" s="344">
        <v>133</v>
      </c>
    </row>
    <row r="286" spans="1:11" x14ac:dyDescent="0.25">
      <c r="A286" s="279" t="s">
        <v>76</v>
      </c>
      <c r="B286" s="344">
        <v>19</v>
      </c>
      <c r="C286" s="344">
        <v>11</v>
      </c>
      <c r="D286" s="358">
        <v>23.6</v>
      </c>
      <c r="E286" s="344">
        <v>10</v>
      </c>
      <c r="F286" s="344"/>
      <c r="G286" s="344"/>
      <c r="H286" s="344"/>
      <c r="I286" s="344"/>
      <c r="J286" s="344"/>
      <c r="K286" s="344">
        <v>11</v>
      </c>
    </row>
    <row r="287" spans="1:11" x14ac:dyDescent="0.25">
      <c r="A287" s="279" t="s">
        <v>77</v>
      </c>
      <c r="B287" s="344">
        <v>73</v>
      </c>
      <c r="C287" s="344">
        <v>43</v>
      </c>
      <c r="D287" s="358">
        <v>23.276199999999999</v>
      </c>
      <c r="E287" s="344">
        <v>42</v>
      </c>
      <c r="F287" s="344"/>
      <c r="G287" s="344">
        <v>8</v>
      </c>
      <c r="H287" s="344"/>
      <c r="I287" s="344"/>
      <c r="J287" s="344"/>
      <c r="K287" s="344">
        <v>43</v>
      </c>
    </row>
    <row r="288" spans="1:11" x14ac:dyDescent="0.25">
      <c r="A288" s="279" t="s">
        <v>78</v>
      </c>
      <c r="B288" s="344">
        <v>14</v>
      </c>
      <c r="C288" s="344">
        <v>10</v>
      </c>
      <c r="D288" s="358">
        <v>30</v>
      </c>
      <c r="E288" s="344">
        <v>8</v>
      </c>
      <c r="F288" s="344">
        <v>0</v>
      </c>
      <c r="G288" s="344">
        <v>1</v>
      </c>
      <c r="H288" s="344">
        <v>0</v>
      </c>
      <c r="I288" s="344">
        <v>0</v>
      </c>
      <c r="J288" s="344">
        <v>0</v>
      </c>
      <c r="K288" s="344">
        <v>10</v>
      </c>
    </row>
    <row r="289" spans="1:11" x14ac:dyDescent="0.25">
      <c r="A289" s="279" t="s">
        <v>79</v>
      </c>
      <c r="B289" s="344">
        <v>91</v>
      </c>
      <c r="C289" s="344">
        <v>69</v>
      </c>
      <c r="D289" s="358">
        <v>25.558599999999998</v>
      </c>
      <c r="E289" s="344">
        <v>64</v>
      </c>
      <c r="F289" s="344"/>
      <c r="G289" s="344">
        <v>5</v>
      </c>
      <c r="H289" s="344"/>
      <c r="I289" s="344"/>
      <c r="J289" s="344"/>
      <c r="K289" s="344">
        <v>69</v>
      </c>
    </row>
    <row r="290" spans="1:11" x14ac:dyDescent="0.25">
      <c r="A290" s="277" t="s">
        <v>30</v>
      </c>
      <c r="B290" s="344">
        <v>10198</v>
      </c>
      <c r="C290" s="344">
        <v>5856</v>
      </c>
      <c r="D290" s="358">
        <v>1967.6755181041178</v>
      </c>
      <c r="E290" s="344">
        <v>4469</v>
      </c>
      <c r="F290" s="344">
        <v>85</v>
      </c>
      <c r="G290" s="344">
        <v>2957</v>
      </c>
      <c r="H290" s="344">
        <v>1002</v>
      </c>
      <c r="I290" s="344">
        <v>3759</v>
      </c>
      <c r="J290" s="344">
        <v>3667</v>
      </c>
      <c r="K290" s="344">
        <v>5411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AM48"/>
  <sheetViews>
    <sheetView topLeftCell="S1" zoomScale="75" zoomScaleNormal="75" workbookViewId="0">
      <selection activeCell="N25" sqref="N25"/>
    </sheetView>
  </sheetViews>
  <sheetFormatPr defaultRowHeight="15" x14ac:dyDescent="0.25"/>
  <cols>
    <col min="1" max="1" width="9.140625" hidden="1" customWidth="1"/>
    <col min="2" max="2" width="9.42578125" hidden="1" customWidth="1"/>
    <col min="3" max="3" width="8.5703125" customWidth="1"/>
    <col min="4" max="4" width="39" customWidth="1"/>
    <col min="5" max="5" width="28.7109375" customWidth="1"/>
    <col min="6" max="7" width="2.7109375" customWidth="1"/>
    <col min="8" max="8" width="2.85546875" customWidth="1"/>
    <col min="9" max="9" width="17.5703125" customWidth="1"/>
    <col min="10" max="10" width="20.5703125" customWidth="1"/>
    <col min="11" max="11" width="3" customWidth="1"/>
    <col min="12" max="12" width="3.5703125" customWidth="1"/>
    <col min="13" max="13" width="3.140625" customWidth="1"/>
    <col min="14" max="14" width="21.5703125" customWidth="1"/>
    <col min="15" max="15" width="24.7109375" customWidth="1"/>
    <col min="16" max="16" width="3.28515625" customWidth="1"/>
    <col min="17" max="17" width="3.140625" customWidth="1"/>
    <col min="18" max="18" width="3.28515625" customWidth="1"/>
    <col min="19" max="19" width="15.85546875" customWidth="1"/>
    <col min="20" max="37" width="18.7109375" customWidth="1"/>
    <col min="39" max="39" width="73.42578125" customWidth="1"/>
  </cols>
  <sheetData>
    <row r="11" spans="4:39" x14ac:dyDescent="0.25">
      <c r="E11" s="331"/>
    </row>
    <row r="12" spans="4:39" x14ac:dyDescent="0.25">
      <c r="D12" s="338" t="s">
        <v>32</v>
      </c>
      <c r="E12" s="330" t="s">
        <v>36</v>
      </c>
      <c r="I12" s="330" t="s">
        <v>31</v>
      </c>
      <c r="J12" s="340" t="s">
        <v>35</v>
      </c>
      <c r="N12" s="337" t="s">
        <v>33</v>
      </c>
      <c r="O12" s="340" t="s">
        <v>34</v>
      </c>
      <c r="T12" s="438" t="s">
        <v>37</v>
      </c>
      <c r="U12" s="439"/>
      <c r="V12" s="439"/>
      <c r="W12" s="439"/>
      <c r="X12" s="439"/>
      <c r="Y12" s="439"/>
      <c r="Z12" s="439"/>
      <c r="AA12" s="439"/>
      <c r="AB12" s="439"/>
      <c r="AC12" s="439"/>
      <c r="AD12" s="439"/>
      <c r="AE12" s="439"/>
      <c r="AF12" s="439"/>
      <c r="AG12" s="439"/>
      <c r="AH12" s="439"/>
      <c r="AI12" s="439"/>
      <c r="AJ12" s="439"/>
      <c r="AK12" s="440"/>
    </row>
    <row r="13" spans="4:39" ht="35.25" customHeight="1" x14ac:dyDescent="0.25">
      <c r="D13" s="329" t="s">
        <v>17</v>
      </c>
      <c r="E13" s="342">
        <v>6</v>
      </c>
      <c r="I13" s="332">
        <v>2007</v>
      </c>
      <c r="J13" s="342">
        <v>1</v>
      </c>
      <c r="N13" s="335" t="s">
        <v>76</v>
      </c>
      <c r="O13" s="342">
        <v>4</v>
      </c>
      <c r="T13" s="413" t="s">
        <v>38</v>
      </c>
      <c r="U13" s="411" t="s">
        <v>39</v>
      </c>
      <c r="V13" s="412" t="s">
        <v>40</v>
      </c>
      <c r="W13" s="413" t="s">
        <v>58</v>
      </c>
      <c r="X13" s="413" t="s">
        <v>59</v>
      </c>
      <c r="Y13" s="414" t="s">
        <v>41</v>
      </c>
      <c r="Z13" s="413" t="s">
        <v>60</v>
      </c>
      <c r="AA13" s="413" t="s">
        <v>61</v>
      </c>
      <c r="AB13" s="414" t="s">
        <v>56</v>
      </c>
      <c r="AC13" s="413" t="s">
        <v>57</v>
      </c>
      <c r="AD13" s="414" t="s">
        <v>62</v>
      </c>
      <c r="AE13" s="414" t="s">
        <v>63</v>
      </c>
      <c r="AF13" s="414" t="s">
        <v>42</v>
      </c>
      <c r="AG13" s="413" t="s">
        <v>43</v>
      </c>
      <c r="AH13" s="414" t="s">
        <v>44</v>
      </c>
      <c r="AI13" s="413" t="s">
        <v>45</v>
      </c>
      <c r="AJ13" s="414" t="s">
        <v>64</v>
      </c>
      <c r="AK13" s="414" t="s">
        <v>65</v>
      </c>
      <c r="AM13" s="406" t="s">
        <v>66</v>
      </c>
    </row>
    <row r="14" spans="4:39" ht="25.5" customHeight="1" x14ac:dyDescent="0.25">
      <c r="D14" s="326" t="s">
        <v>18</v>
      </c>
      <c r="E14" s="341" t="str">
        <f>INDEX(D13:D20,E13)</f>
        <v>Nurse Aide</v>
      </c>
      <c r="I14" s="332">
        <v>2008</v>
      </c>
      <c r="J14" s="341">
        <f>INDEX($I13:$I19,J13)</f>
        <v>2007</v>
      </c>
      <c r="N14" s="335" t="s">
        <v>77</v>
      </c>
      <c r="O14" s="341" t="str">
        <f>INDEX(N13:N16,O13)</f>
        <v>Westminster Campus</v>
      </c>
      <c r="S14" s="339">
        <f>I13</f>
        <v>2007</v>
      </c>
      <c r="T14" s="345">
        <f>GETPIVOTDATA("Sum of Program Completers",'Pivot Table'!$A$1,"Year",$S14,"Program",$E$14,"Priority Campus ",$O$14)</f>
        <v>153</v>
      </c>
      <c r="U14" s="345">
        <f>GETPIVOTDATA("Sum of Respondents",'Pivot Table'!$A$1,"Year",$S14,"Program",$E$14,"Priority Campus ",$O$14)</f>
        <v>84</v>
      </c>
      <c r="V14" s="360">
        <f>IF($T14&gt;4,$U14/$T14)</f>
        <v>0.5490196078431373</v>
      </c>
      <c r="W14" s="345">
        <f>GETPIVOTDATA("Sum of Total Employed",'Pivot Table'!$A$1,"Year",$S14,"Program",$E$14,"Priority Campus ",$O$14)</f>
        <v>65</v>
      </c>
      <c r="X14" s="360">
        <f>IF($U14&gt;4,$W14/$U14)</f>
        <v>0.77380952380952384</v>
      </c>
      <c r="Y14" s="359">
        <f>GETPIVOTDATA("Sum of Median Hourly Wage of Emp., Related To Training",'Pivot Table'!$A$1,"Year",$S14,"Program",$E$14,"Priority Campus ",$O$14)</f>
        <v>14.7194</v>
      </c>
      <c r="Z14" s="345">
        <f>GETPIVOTDATA("Sum of Total in Military",'Pivot Table'!$A$1,"Year",$S14,"Program",$E$14,"Priority Campus ",$O$14)</f>
        <v>0</v>
      </c>
      <c r="AA14" s="360">
        <f>IF($U14&gt;4,$Z14/$U14)</f>
        <v>0</v>
      </c>
      <c r="AB14" s="345">
        <f>GETPIVOTDATA("Sum of Continuing Education (Secondary or Post-Secondary)",'Pivot Table'!$A$1,"Year",$S14,"Program",$E$14,"Priority Campus ",$O$14)</f>
        <v>57</v>
      </c>
      <c r="AC14" s="361">
        <f>IF($U14&gt;4,$AB14/$U14)</f>
        <v>0.6785714285714286</v>
      </c>
      <c r="AD14" s="345">
        <f>GETPIVOTDATA("Sum of Total in Apprenticeships",'Pivot Table'!$A$1,"Year",$S14,"Program",$E$14,"Priority Campus ",$O$14)</f>
        <v>0</v>
      </c>
      <c r="AE14" s="361">
        <f>IF($U14&gt;4,$AD14/$U14)</f>
        <v>0</v>
      </c>
      <c r="AF14" s="345">
        <f>GETPIVOTDATA("Sum of Took State Licensing Exam",'Pivot Table'!$A$1,"Year",$S14,"Program",$E$14,"Priority Campus ",$O$14)</f>
        <v>0</v>
      </c>
      <c r="AG14" s="361">
        <f>IF($U14&gt;4,$AF14/$U14)</f>
        <v>0</v>
      </c>
      <c r="AH14" s="345">
        <f>GETPIVOTDATA("Sum of Passed State Licensing Exam",'Pivot Table'!$A$1,"Year",$S14,"Program",$E$14,"Priority Campus ",$O$14)</f>
        <v>0</v>
      </c>
      <c r="AI14" s="362" t="b">
        <f>IF($AF14&gt;4,$AH14/$AF14)</f>
        <v>0</v>
      </c>
      <c r="AJ14" s="330">
        <f>GETPIVOTDATA("Sum of Instructional Program Met Educational Goals",'Pivot Table'!$A$1,"Year",$S14,"Program",$E$14,"Priority Campus ",$O$14)</f>
        <v>80</v>
      </c>
      <c r="AK14" s="362">
        <f>IF($U14&gt;4,$AJ14/$U14)</f>
        <v>0.95238095238095233</v>
      </c>
      <c r="AM14" s="343" t="str">
        <f>"Program Completers and Respondents"</f>
        <v>Program Completers and Respondents</v>
      </c>
    </row>
    <row r="15" spans="4:39" ht="25.5" customHeight="1" x14ac:dyDescent="0.25">
      <c r="D15" s="325" t="s">
        <v>19</v>
      </c>
      <c r="I15" s="332">
        <v>2009</v>
      </c>
      <c r="N15" s="336" t="s">
        <v>78</v>
      </c>
      <c r="S15" s="339">
        <f t="shared" ref="S15:S19" si="0">I14</f>
        <v>2008</v>
      </c>
      <c r="T15" s="345">
        <f>GETPIVOTDATA("Sum of Program Completers",'Pivot Table'!$A$1,"Year",$S15,"Program",$E$14,"Priority Campus ",$O$14)</f>
        <v>141</v>
      </c>
      <c r="U15" s="345">
        <f>GETPIVOTDATA("Sum of Respondents",'Pivot Table'!$A$1,"Year",$S15,"Program",$E$14,"Priority Campus ",$O$14)</f>
        <v>89</v>
      </c>
      <c r="V15" s="360">
        <f t="shared" ref="V15:V20" si="1">IF($T15&gt;4,$U15/$T15)</f>
        <v>0.63120567375886527</v>
      </c>
      <c r="W15" s="345">
        <f>GETPIVOTDATA("Sum of Total Employed",'Pivot Table'!$A$1,"Year",$S15,"Program",$E$14,"Priority Campus ",$O$14)</f>
        <v>82</v>
      </c>
      <c r="X15" s="360">
        <f t="shared" ref="X15:X20" si="2">IF($U15&gt;4,$W15/$U15)</f>
        <v>0.9213483146067416</v>
      </c>
      <c r="Y15" s="359">
        <f>GETPIVOTDATA("Sum of Median Hourly Wage of Emp., Related To Training",'Pivot Table'!$A$1,"Year",$S15,"Program",$E$14,"Priority Campus ",$O$14)</f>
        <v>11.8608333333333</v>
      </c>
      <c r="Z15" s="345">
        <f>GETPIVOTDATA("Sum of Total in Military",'Pivot Table'!$A$1,"Year",$S15,"Program",$E$14,"Priority Campus ",$O$14)</f>
        <v>0</v>
      </c>
      <c r="AA15" s="360">
        <f t="shared" ref="AA15:AA20" si="3">IF($U15&gt;4,$Z15/$U15)</f>
        <v>0</v>
      </c>
      <c r="AB15" s="345">
        <f>GETPIVOTDATA("Sum of Continuing Education (Secondary or Post-Secondary)",'Pivot Table'!$A$1,"Year",$S15,"Program",$E$14,"Priority Campus ",$O$14)</f>
        <v>26</v>
      </c>
      <c r="AC15" s="361">
        <f t="shared" ref="AC15:AC20" si="4">IF($U15&gt;4,$AB15/$U15)</f>
        <v>0.29213483146067415</v>
      </c>
      <c r="AD15" s="345">
        <f>GETPIVOTDATA("Sum of Total in Apprenticeships",'Pivot Table'!$A$1,"Year",$S15,"Program",$E$14,"Priority Campus ",$O$14)</f>
        <v>12</v>
      </c>
      <c r="AE15" s="361">
        <f t="shared" ref="AE15:AE20" si="5">IF($U15&gt;4,$AD15/$U15)</f>
        <v>0.1348314606741573</v>
      </c>
      <c r="AF15" s="345">
        <f>GETPIVOTDATA("Sum of Took State Licensing Exam",'Pivot Table'!$A$1,"Year",$S15,"Program",$E$14,"Priority Campus ",$O$14)</f>
        <v>61</v>
      </c>
      <c r="AG15" s="361">
        <f t="shared" ref="AG15:AG20" si="6">IF($U15&gt;4,$AF15/$U15)</f>
        <v>0.6853932584269663</v>
      </c>
      <c r="AH15" s="345">
        <f>GETPIVOTDATA("Sum of Passed State Licensing Exam",'Pivot Table'!$A$1,"Year",$S15,"Program",$E$14,"Priority Campus ",$O$14)</f>
        <v>61</v>
      </c>
      <c r="AI15" s="362">
        <f t="shared" ref="AI15:AI20" si="7">IF($AF15&gt;4,$AH15/$AF15)</f>
        <v>1</v>
      </c>
      <c r="AJ15" s="330">
        <f>GETPIVOTDATA("Sum of Instructional Program Met Educational Goals",'Pivot Table'!$A$1,"Year",$S15,"Program",$E$14,"Priority Campus ",$O$14)</f>
        <v>87</v>
      </c>
      <c r="AK15" s="362">
        <f t="shared" ref="AK15:AK20" si="8">IF($U15&gt;4,$AJ15/$U15)</f>
        <v>0.97752808988764039</v>
      </c>
      <c r="AM15" s="406" t="s">
        <v>67</v>
      </c>
    </row>
    <row r="16" spans="4:39" ht="25.5" customHeight="1" x14ac:dyDescent="0.25">
      <c r="D16" s="327" t="s">
        <v>24</v>
      </c>
      <c r="I16" s="332">
        <v>2010</v>
      </c>
      <c r="N16" s="335" t="s">
        <v>79</v>
      </c>
      <c r="S16" s="339">
        <f t="shared" si="0"/>
        <v>2009</v>
      </c>
      <c r="T16" s="345">
        <f>GETPIVOTDATA("Sum of Program Completers",'Pivot Table'!$A$1,"Year",$S16,"Program",$E$14,"Priority Campus ",$O$14)</f>
        <v>196</v>
      </c>
      <c r="U16" s="345">
        <f>GETPIVOTDATA("Sum of Respondents",'Pivot Table'!$A$1,"Year",$S16,"Program",$E$14,"Priority Campus ",$O$14)</f>
        <v>106</v>
      </c>
      <c r="V16" s="360">
        <f t="shared" si="1"/>
        <v>0.54081632653061229</v>
      </c>
      <c r="W16" s="345">
        <f>GETPIVOTDATA("Sum of Total Employed",'Pivot Table'!$A$1,"Year",$S16,"Program",$E$14,"Priority Campus ",$O$14)</f>
        <v>82</v>
      </c>
      <c r="X16" s="360">
        <f t="shared" si="2"/>
        <v>0.77358490566037741</v>
      </c>
      <c r="Y16" s="359">
        <f>GETPIVOTDATA("Sum of Median Hourly Wage of Emp., Related To Training",'Pivot Table'!$A$1,"Year",$S16,"Program",$E$14,"Priority Campus ",$O$14)</f>
        <v>13</v>
      </c>
      <c r="Z16" s="345">
        <f>GETPIVOTDATA("Sum of Total in Military",'Pivot Table'!$A$1,"Year",$S16,"Program",$E$14,"Priority Campus ",$O$14)</f>
        <v>0</v>
      </c>
      <c r="AA16" s="360">
        <f t="shared" si="3"/>
        <v>0</v>
      </c>
      <c r="AB16" s="345">
        <f>GETPIVOTDATA("Sum of Continuing Education (Secondary or Post-Secondary)",'Pivot Table'!$A$1,"Year",$S16,"Program",$E$14,"Priority Campus ",$O$14)</f>
        <v>65</v>
      </c>
      <c r="AC16" s="361">
        <f t="shared" si="4"/>
        <v>0.6132075471698113</v>
      </c>
      <c r="AD16" s="345">
        <f>GETPIVOTDATA("Sum of Total in Apprenticeships",'Pivot Table'!$A$1,"Year",$S16,"Program",$E$14,"Priority Campus ",$O$14)</f>
        <v>17</v>
      </c>
      <c r="AE16" s="361">
        <f t="shared" si="5"/>
        <v>0.16037735849056603</v>
      </c>
      <c r="AF16" s="345">
        <f>GETPIVOTDATA("Sum of Took State Licensing Exam",'Pivot Table'!$A$1,"Year",$S16,"Program",$E$14,"Priority Campus ",$O$14)</f>
        <v>94</v>
      </c>
      <c r="AG16" s="361">
        <f t="shared" si="6"/>
        <v>0.8867924528301887</v>
      </c>
      <c r="AH16" s="345">
        <f>GETPIVOTDATA("Sum of Passed State Licensing Exam",'Pivot Table'!$A$1,"Year",$S16,"Program",$E$14,"Priority Campus ",$O$14)</f>
        <v>92</v>
      </c>
      <c r="AI16" s="362">
        <f t="shared" si="7"/>
        <v>0.97872340425531912</v>
      </c>
      <c r="AJ16" s="330">
        <f>GETPIVOTDATA("Sum of Instructional Program Met Educational Goals",'Pivot Table'!$A$1,"Year",$S16,"Program",$E$14,"Priority Campus ",$O$14)</f>
        <v>99</v>
      </c>
      <c r="AK16" s="362">
        <f t="shared" si="8"/>
        <v>0.93396226415094341</v>
      </c>
      <c r="AM16" s="343" t="str">
        <f>"Program Completers and Response Rate %"</f>
        <v>Program Completers and Response Rate %</v>
      </c>
    </row>
    <row r="17" spans="4:39" ht="25.5" customHeight="1" x14ac:dyDescent="0.25">
      <c r="D17" s="328" t="s">
        <v>20</v>
      </c>
      <c r="I17" s="333">
        <v>2011</v>
      </c>
      <c r="N17" s="334"/>
      <c r="S17" s="339">
        <f t="shared" si="0"/>
        <v>2010</v>
      </c>
      <c r="T17" s="345">
        <f>GETPIVOTDATA("Sum of Program Completers",'Pivot Table'!$A$1,"Year",$S17,"Program",$E$14,"Priority Campus ",$O$14)</f>
        <v>148</v>
      </c>
      <c r="U17" s="345">
        <f>GETPIVOTDATA("Sum of Respondents",'Pivot Table'!$A$1,"Year",$S17,"Program",$E$14,"Priority Campus ",$O$14)</f>
        <v>97</v>
      </c>
      <c r="V17" s="360">
        <f t="shared" si="1"/>
        <v>0.65540540540540537</v>
      </c>
      <c r="W17" s="345">
        <f>GETPIVOTDATA("Sum of Total Employed",'Pivot Table'!$A$1,"Year",$S17,"Program",$E$14,"Priority Campus ",$O$14)</f>
        <v>72</v>
      </c>
      <c r="X17" s="360">
        <f t="shared" si="2"/>
        <v>0.74226804123711343</v>
      </c>
      <c r="Y17" s="359">
        <f>GETPIVOTDATA("Sum of Median Hourly Wage of Emp., Related To Training",'Pivot Table'!$A$1,"Year",$S17,"Program",$E$14,"Priority Campus ",$O$14)</f>
        <v>12</v>
      </c>
      <c r="Z17" s="345">
        <f>GETPIVOTDATA("Sum of Total in Military",'Pivot Table'!$A$1,"Year",$S17,"Program",$E$14,"Priority Campus ",$O$14)</f>
        <v>1</v>
      </c>
      <c r="AA17" s="360">
        <f t="shared" si="3"/>
        <v>1.0309278350515464E-2</v>
      </c>
      <c r="AB17" s="345">
        <f>GETPIVOTDATA("Sum of Continuing Education (Secondary or Post-Secondary)",'Pivot Table'!$A$1,"Year",$S17,"Program",$E$14,"Priority Campus ",$O$14)</f>
        <v>68</v>
      </c>
      <c r="AC17" s="361">
        <f t="shared" si="4"/>
        <v>0.7010309278350515</v>
      </c>
      <c r="AD17" s="345">
        <f>GETPIVOTDATA("Sum of Total in Apprenticeships",'Pivot Table'!$A$1,"Year",$S17,"Program",$E$14,"Priority Campus ",$O$14)</f>
        <v>31</v>
      </c>
      <c r="AE17" s="361">
        <f t="shared" si="5"/>
        <v>0.31958762886597936</v>
      </c>
      <c r="AF17" s="345">
        <f>GETPIVOTDATA("Sum of Took State Licensing Exam",'Pivot Table'!$A$1,"Year",$S17,"Program",$E$14,"Priority Campus ",$O$14)</f>
        <v>85</v>
      </c>
      <c r="AG17" s="361">
        <f t="shared" si="6"/>
        <v>0.87628865979381443</v>
      </c>
      <c r="AH17" s="345">
        <f>GETPIVOTDATA("Sum of Passed State Licensing Exam",'Pivot Table'!$A$1,"Year",$S17,"Program",$E$14,"Priority Campus ",$O$14)</f>
        <v>85</v>
      </c>
      <c r="AI17" s="362">
        <f t="shared" si="7"/>
        <v>1</v>
      </c>
      <c r="AJ17" s="330">
        <f>GETPIVOTDATA("Sum of Instructional Program Met Educational Goals",'Pivot Table'!$A$1,"Year",$S17,"Program",$E$14,"Priority Campus ",$O$14)</f>
        <v>94</v>
      </c>
      <c r="AK17" s="362">
        <f t="shared" si="8"/>
        <v>0.96907216494845361</v>
      </c>
      <c r="AM17" s="406" t="s">
        <v>68</v>
      </c>
    </row>
    <row r="18" spans="4:39" ht="25.5" customHeight="1" x14ac:dyDescent="0.25">
      <c r="D18" s="326" t="s">
        <v>21</v>
      </c>
      <c r="I18" s="333">
        <v>2012</v>
      </c>
      <c r="S18" s="339">
        <f t="shared" si="0"/>
        <v>2011</v>
      </c>
      <c r="T18" s="345">
        <f>GETPIVOTDATA("Sum of Program Completers",'Pivot Table'!$A$1,"Year",$S18,"Program",$E$14,"Priority Campus ",$O$14)</f>
        <v>171</v>
      </c>
      <c r="U18" s="345">
        <f>GETPIVOTDATA("Sum of Respondents",'Pivot Table'!$A$1,"Year",$S18,"Program",$E$14,"Priority Campus ",$O$14)</f>
        <v>105</v>
      </c>
      <c r="V18" s="360">
        <f t="shared" si="1"/>
        <v>0.61403508771929827</v>
      </c>
      <c r="W18" s="345">
        <f>GETPIVOTDATA("Sum of Total Employed",'Pivot Table'!$A$1,"Year",$S18,"Program",$E$14,"Priority Campus ",$O$14)</f>
        <v>80</v>
      </c>
      <c r="X18" s="360">
        <f t="shared" si="2"/>
        <v>0.76190476190476186</v>
      </c>
      <c r="Y18" s="359">
        <f>GETPIVOTDATA("Sum of Median Hourly Wage of Emp., Related To Training",'Pivot Table'!$A$1,"Year",$S18,"Program",$E$14,"Priority Campus ",$O$14)</f>
        <v>13</v>
      </c>
      <c r="Z18" s="345">
        <f>GETPIVOTDATA("Sum of Total in Military",'Pivot Table'!$A$1,"Year",$S18,"Program",$E$14,"Priority Campus ",$O$14)</f>
        <v>0</v>
      </c>
      <c r="AA18" s="360">
        <f t="shared" si="3"/>
        <v>0</v>
      </c>
      <c r="AB18" s="345">
        <f>GETPIVOTDATA("Sum of Continuing Education (Secondary or Post-Secondary)",'Pivot Table'!$A$1,"Year",$S18,"Program",$E$14,"Priority Campus ",$O$14)</f>
        <v>53</v>
      </c>
      <c r="AC18" s="361">
        <f t="shared" si="4"/>
        <v>0.50476190476190474</v>
      </c>
      <c r="AD18" s="345">
        <f>GETPIVOTDATA("Sum of Total in Apprenticeships",'Pivot Table'!$A$1,"Year",$S18,"Program",$E$14,"Priority Campus ",$O$14)</f>
        <v>18</v>
      </c>
      <c r="AE18" s="361">
        <f t="shared" si="5"/>
        <v>0.17142857142857143</v>
      </c>
      <c r="AF18" s="345">
        <f>GETPIVOTDATA("Sum of Took State Licensing Exam",'Pivot Table'!$A$1,"Year",$S18,"Program",$E$14,"Priority Campus ",$O$14)</f>
        <v>95</v>
      </c>
      <c r="AG18" s="361">
        <f t="shared" si="6"/>
        <v>0.90476190476190477</v>
      </c>
      <c r="AH18" s="345">
        <f>GETPIVOTDATA("Sum of Passed State Licensing Exam",'Pivot Table'!$A$1,"Year",$S18,"Program",$E$14,"Priority Campus ",$O$14)</f>
        <v>93</v>
      </c>
      <c r="AI18" s="362">
        <f t="shared" si="7"/>
        <v>0.97894736842105268</v>
      </c>
      <c r="AJ18" s="330">
        <f>GETPIVOTDATA("Sum of Instructional Program Met Educational Goals",'Pivot Table'!$A$1,"Year",$S18,"Program",$E$14,"Priority Campus ",$O$14)</f>
        <v>101</v>
      </c>
      <c r="AK18" s="362">
        <f t="shared" si="8"/>
        <v>0.96190476190476193</v>
      </c>
      <c r="AM18" s="343" t="str">
        <f>"Total Employed %"</f>
        <v>Total Employed %</v>
      </c>
    </row>
    <row r="19" spans="4:39" ht="25.5" customHeight="1" x14ac:dyDescent="0.25">
      <c r="D19" s="325" t="s">
        <v>22</v>
      </c>
      <c r="I19" s="333">
        <v>2013</v>
      </c>
      <c r="S19" s="339">
        <f t="shared" si="0"/>
        <v>2012</v>
      </c>
      <c r="T19" s="345">
        <f>GETPIVOTDATA("Sum of Program Completers",'Pivot Table'!$A$1,"Year",$S19,"Program",$E$14,"Priority Campus ",$O$14)</f>
        <v>191</v>
      </c>
      <c r="U19" s="345">
        <f>GETPIVOTDATA("Sum of Respondents",'Pivot Table'!$A$1,"Year",$S19,"Program",$E$14,"Priority Campus ",$O$14)</f>
        <v>112</v>
      </c>
      <c r="V19" s="360">
        <f t="shared" si="1"/>
        <v>0.58638743455497377</v>
      </c>
      <c r="W19" s="345">
        <f>GETPIVOTDATA("Sum of Total Employed",'Pivot Table'!$A$1,"Year",$S19,"Program",$E$14,"Priority Campus ",$O$14)</f>
        <v>76</v>
      </c>
      <c r="X19" s="360">
        <f t="shared" si="2"/>
        <v>0.6785714285714286</v>
      </c>
      <c r="Y19" s="359">
        <f>GETPIVOTDATA("Sum of Median Hourly Wage of Emp., Related To Training",'Pivot Table'!$A$1,"Year",$S19,"Program",$E$14,"Priority Campus ",$O$14)</f>
        <v>11.625</v>
      </c>
      <c r="Z19" s="345">
        <f>GETPIVOTDATA("Sum of Total in Military",'Pivot Table'!$A$1,"Year",$S19,"Program",$E$14,"Priority Campus ",$O$14)</f>
        <v>0</v>
      </c>
      <c r="AA19" s="360">
        <f t="shared" si="3"/>
        <v>0</v>
      </c>
      <c r="AB19" s="345">
        <f>GETPIVOTDATA("Sum of Continuing Education (Secondary or Post-Secondary)",'Pivot Table'!$A$1,"Year",$S19,"Program",$E$14,"Priority Campus ",$O$14)</f>
        <v>87</v>
      </c>
      <c r="AC19" s="361">
        <f t="shared" si="4"/>
        <v>0.7767857142857143</v>
      </c>
      <c r="AD19" s="345">
        <f>GETPIVOTDATA("Sum of Total in Apprenticeships",'Pivot Table'!$A$1,"Year",$S19,"Program",$E$14,"Priority Campus ",$O$14)</f>
        <v>12</v>
      </c>
      <c r="AE19" s="361">
        <f t="shared" si="5"/>
        <v>0.10714285714285714</v>
      </c>
      <c r="AF19" s="345">
        <f>GETPIVOTDATA("Sum of Took State Licensing Exam",'Pivot Table'!$A$1,"Year",$S19,"Program",$E$14,"Priority Campus ",$O$14)</f>
        <v>97</v>
      </c>
      <c r="AG19" s="361">
        <f t="shared" si="6"/>
        <v>0.8660714285714286</v>
      </c>
      <c r="AH19" s="345">
        <f>GETPIVOTDATA("Sum of Passed State Licensing Exam",'Pivot Table'!$A$1,"Year",$S19,"Program",$E$14,"Priority Campus ",$O$14)</f>
        <v>95</v>
      </c>
      <c r="AI19" s="362">
        <f t="shared" si="7"/>
        <v>0.97938144329896903</v>
      </c>
      <c r="AJ19" s="330">
        <f>GETPIVOTDATA("Sum of Instructional Program Met Educational Goals",'Pivot Table'!$A$1,"Year",$S19,"Program",$E$14,"Priority Campus ",$O$14)</f>
        <v>110</v>
      </c>
      <c r="AK19" s="362">
        <f t="shared" si="8"/>
        <v>0.9821428571428571</v>
      </c>
      <c r="AM19" s="406" t="s">
        <v>74</v>
      </c>
    </row>
    <row r="20" spans="4:39" ht="25.5" customHeight="1" x14ac:dyDescent="0.25">
      <c r="D20" s="326" t="s">
        <v>23</v>
      </c>
      <c r="S20" s="339">
        <f t="shared" ref="S20" si="9">I19</f>
        <v>2013</v>
      </c>
      <c r="T20" s="345">
        <f>GETPIVOTDATA("Sum of Program Completers",'Pivot Table'!$A$1,"Year",$S20,"Program",$E$14,"Priority Campus ",$O$14)</f>
        <v>135</v>
      </c>
      <c r="U20" s="345">
        <f>GETPIVOTDATA("Sum of Respondents",'Pivot Table'!$A$1,"Year",$S20,"Program",$E$14,"Priority Campus ",$O$14)</f>
        <v>67</v>
      </c>
      <c r="V20" s="360">
        <f t="shared" si="1"/>
        <v>0.49629629629629629</v>
      </c>
      <c r="W20" s="345">
        <f>GETPIVOTDATA("Sum of Total Employed",'Pivot Table'!$A$1,"Year",$S20,"Program",$E$14,"Priority Campus ",$O$14)</f>
        <v>52</v>
      </c>
      <c r="X20" s="360">
        <f t="shared" si="2"/>
        <v>0.77611940298507465</v>
      </c>
      <c r="Y20" s="359">
        <f>GETPIVOTDATA("Sum of Median Hourly Wage of Emp., Related To Training",'Pivot Table'!$A$1,"Year",$S20,"Program",$E$14,"Priority Campus ",$O$14)</f>
        <v>12</v>
      </c>
      <c r="Z20" s="345">
        <f>GETPIVOTDATA("Sum of Total in Military",'Pivot Table'!$A$1,"Year",$S20,"Program",$E$14,"Priority Campus ",$O$14)</f>
        <v>0</v>
      </c>
      <c r="AA20" s="360">
        <f t="shared" si="3"/>
        <v>0</v>
      </c>
      <c r="AB20" s="345">
        <f>GETPIVOTDATA("Sum of Continuing Education (Secondary or Post-Secondary)",'Pivot Table'!$A$1,"Year",$S20,"Program",$E$14,"Priority Campus ",$O$14)</f>
        <v>43</v>
      </c>
      <c r="AC20" s="361">
        <f t="shared" si="4"/>
        <v>0.64179104477611937</v>
      </c>
      <c r="AD20" s="345">
        <f>GETPIVOTDATA("Sum of Total in Apprenticeships",'Pivot Table'!$A$1,"Year",$S20,"Program",$E$14,"Priority Campus ",$O$14)</f>
        <v>10</v>
      </c>
      <c r="AE20" s="361">
        <f t="shared" si="5"/>
        <v>0.14925373134328357</v>
      </c>
      <c r="AF20" s="345">
        <f>GETPIVOTDATA("Sum of Took State Licensing Exam",'Pivot Table'!$A$1,"Year",$S20,"Program",$E$14,"Priority Campus ",$O$14)</f>
        <v>50</v>
      </c>
      <c r="AG20" s="361">
        <f t="shared" si="6"/>
        <v>0.74626865671641796</v>
      </c>
      <c r="AH20" s="345">
        <f>GETPIVOTDATA("Sum of Passed State Licensing Exam",'Pivot Table'!$A$1,"Year",$S20,"Program",$E$14,"Priority Campus ",$O$14)</f>
        <v>49</v>
      </c>
      <c r="AI20" s="362">
        <f t="shared" si="7"/>
        <v>0.98</v>
      </c>
      <c r="AJ20" s="330">
        <f>GETPIVOTDATA("Sum of Instructional Program Met Educational Goals",'Pivot Table'!$A$1,"Year",$S20,"Program",$E$14,"Priority Campus ",$O$14)</f>
        <v>61</v>
      </c>
      <c r="AK20" s="362">
        <f t="shared" si="8"/>
        <v>0.91044776119402981</v>
      </c>
      <c r="AM20" s="343" t="str">
        <f>"Average Hourly Wage"</f>
        <v>Average Hourly Wage</v>
      </c>
    </row>
    <row r="21" spans="4:39" ht="25.5" customHeight="1" x14ac:dyDescent="0.25">
      <c r="AM21" s="406" t="s">
        <v>69</v>
      </c>
    </row>
    <row r="22" spans="4:39" ht="25.5" customHeight="1" x14ac:dyDescent="0.25">
      <c r="AM22" s="343" t="str">
        <f>"Military : "&amp;$E$14</f>
        <v>Military : Nurse Aide</v>
      </c>
    </row>
    <row r="23" spans="4:39" ht="25.5" customHeight="1" x14ac:dyDescent="0.25">
      <c r="AM23" s="406" t="s">
        <v>70</v>
      </c>
    </row>
    <row r="24" spans="4:39" ht="25.5" customHeight="1" x14ac:dyDescent="0.25">
      <c r="AM24" s="343" t="str">
        <f>"Students Continuing their Education %"</f>
        <v>Students Continuing their Education %</v>
      </c>
    </row>
    <row r="25" spans="4:39" ht="25.5" customHeight="1" x14ac:dyDescent="0.25">
      <c r="AM25" s="406" t="s">
        <v>71</v>
      </c>
    </row>
    <row r="26" spans="4:39" ht="25.5" customHeight="1" x14ac:dyDescent="0.25">
      <c r="AM26" s="343" t="str">
        <f>"Total Apprenticeships %"</f>
        <v>Total Apprenticeships %</v>
      </c>
    </row>
    <row r="27" spans="4:39" ht="25.5" customHeight="1" x14ac:dyDescent="0.25">
      <c r="AM27" s="406" t="s">
        <v>72</v>
      </c>
    </row>
    <row r="28" spans="4:39" ht="25.5" customHeight="1" x14ac:dyDescent="0.25">
      <c r="AM28" s="343" t="str">
        <f>"Passed Exam : "&amp;$E$14</f>
        <v>Passed Exam : Nurse Aide</v>
      </c>
    </row>
    <row r="29" spans="4:39" ht="25.5" customHeight="1" x14ac:dyDescent="0.25">
      <c r="AM29" s="406" t="s">
        <v>73</v>
      </c>
    </row>
    <row r="30" spans="4:39" ht="25.5" customHeight="1" x14ac:dyDescent="0.25">
      <c r="AM30" s="343" t="str">
        <f>"Program Met Students Instructional Goals"</f>
        <v>Program Met Students Instructional Goals</v>
      </c>
    </row>
    <row r="31" spans="4:39" ht="25.5" customHeight="1" x14ac:dyDescent="0.25">
      <c r="AM31" s="406" t="s">
        <v>75</v>
      </c>
    </row>
    <row r="32" spans="4:39" ht="25.5" customHeight="1" x14ac:dyDescent="0.25">
      <c r="AM32" s="343" t="str">
        <f>"State Licensing Exam %"</f>
        <v>State Licensing Exam %</v>
      </c>
    </row>
    <row r="33" spans="39:39" ht="25.5" customHeight="1" x14ac:dyDescent="0.25">
      <c r="AM33" s="363"/>
    </row>
    <row r="34" spans="39:39" ht="25.5" customHeight="1" x14ac:dyDescent="0.25">
      <c r="AM34" s="363"/>
    </row>
    <row r="35" spans="39:39" ht="25.5" customHeight="1" x14ac:dyDescent="0.25"/>
    <row r="36" spans="39:39" ht="25.5" customHeight="1" x14ac:dyDescent="0.25"/>
    <row r="37" spans="39:39" ht="25.5" customHeight="1" x14ac:dyDescent="0.25"/>
    <row r="38" spans="39:39" ht="25.5" customHeight="1" x14ac:dyDescent="0.25"/>
    <row r="39" spans="39:39" ht="25.5" customHeight="1" x14ac:dyDescent="0.25"/>
    <row r="40" spans="39:39" ht="25.5" customHeight="1" x14ac:dyDescent="0.25"/>
    <row r="41" spans="39:39" ht="25.5" customHeight="1" x14ac:dyDescent="0.25"/>
    <row r="42" spans="39:39" ht="25.5" customHeight="1" x14ac:dyDescent="0.25"/>
    <row r="43" spans="39:39" ht="25.5" customHeight="1" x14ac:dyDescent="0.25"/>
    <row r="44" spans="39:39" ht="25.5" customHeight="1" x14ac:dyDescent="0.25"/>
    <row r="45" spans="39:39" ht="25.5" customHeight="1" x14ac:dyDescent="0.25"/>
    <row r="46" spans="39:39" ht="25.5" customHeight="1" x14ac:dyDescent="0.25"/>
    <row r="47" spans="39:39" ht="25.5" customHeight="1" x14ac:dyDescent="0.25"/>
    <row r="48" spans="39:39" ht="25.5" customHeight="1" x14ac:dyDescent="0.25"/>
  </sheetData>
  <mergeCells count="1">
    <mergeCell ref="T12:AK12"/>
  </mergeCells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1:J62"/>
  <sheetViews>
    <sheetView showGridLines="0" showRowColHeaders="0" tabSelected="1" workbookViewId="0">
      <selection activeCell="L30" sqref="L30"/>
    </sheetView>
  </sheetViews>
  <sheetFormatPr defaultRowHeight="15" x14ac:dyDescent="0.25"/>
  <cols>
    <col min="1" max="1" width="9.140625" customWidth="1"/>
    <col min="11" max="11" width="6.28515625" customWidth="1"/>
  </cols>
  <sheetData>
    <row r="1" spans="2:10" ht="44.1" customHeight="1" x14ac:dyDescent="0.25">
      <c r="B1" s="441" t="s">
        <v>87</v>
      </c>
      <c r="C1" s="441"/>
      <c r="D1" s="441"/>
      <c r="E1" s="441"/>
      <c r="F1" s="441"/>
      <c r="G1" s="441"/>
      <c r="H1" s="441"/>
      <c r="I1" s="441"/>
      <c r="J1" s="441"/>
    </row>
    <row r="25" spans="2:2" x14ac:dyDescent="0.25">
      <c r="B25" t="s">
        <v>88</v>
      </c>
    </row>
    <row r="26" spans="2:2" x14ac:dyDescent="0.25">
      <c r="B26" t="s">
        <v>89</v>
      </c>
    </row>
    <row r="27" spans="2:2" x14ac:dyDescent="0.25">
      <c r="B27" t="s">
        <v>90</v>
      </c>
    </row>
    <row r="28" spans="2:2" x14ac:dyDescent="0.25">
      <c r="B28" t="s">
        <v>91</v>
      </c>
    </row>
    <row r="29" spans="2:2" x14ac:dyDescent="0.25">
      <c r="B29" t="s">
        <v>92</v>
      </c>
    </row>
    <row r="31" spans="2:2" x14ac:dyDescent="0.25">
      <c r="B31" t="s">
        <v>93</v>
      </c>
    </row>
    <row r="32" spans="2:2" x14ac:dyDescent="0.25">
      <c r="B32" t="s">
        <v>94</v>
      </c>
    </row>
    <row r="33" spans="2:2" x14ac:dyDescent="0.25">
      <c r="B33" t="s">
        <v>95</v>
      </c>
    </row>
    <row r="35" spans="2:2" x14ac:dyDescent="0.25">
      <c r="B35" t="s">
        <v>96</v>
      </c>
    </row>
    <row r="36" spans="2:2" x14ac:dyDescent="0.25">
      <c r="B36" t="s">
        <v>97</v>
      </c>
    </row>
    <row r="37" spans="2:2" x14ac:dyDescent="0.25">
      <c r="B37" t="s">
        <v>98</v>
      </c>
    </row>
    <row r="38" spans="2:2" x14ac:dyDescent="0.25">
      <c r="B38" t="s">
        <v>99</v>
      </c>
    </row>
    <row r="39" spans="2:2" x14ac:dyDescent="0.25">
      <c r="B39" t="s">
        <v>100</v>
      </c>
    </row>
    <row r="41" spans="2:2" x14ac:dyDescent="0.25">
      <c r="B41" t="s">
        <v>101</v>
      </c>
    </row>
    <row r="43" spans="2:2" x14ac:dyDescent="0.25">
      <c r="B43" t="s">
        <v>102</v>
      </c>
    </row>
    <row r="44" spans="2:2" x14ac:dyDescent="0.25">
      <c r="B44" t="s">
        <v>103</v>
      </c>
    </row>
    <row r="45" spans="2:2" x14ac:dyDescent="0.25">
      <c r="B45" t="s">
        <v>104</v>
      </c>
    </row>
    <row r="46" spans="2:2" x14ac:dyDescent="0.25">
      <c r="B46" t="s">
        <v>105</v>
      </c>
    </row>
    <row r="47" spans="2:2" x14ac:dyDescent="0.25">
      <c r="B47" t="s">
        <v>104</v>
      </c>
    </row>
    <row r="48" spans="2:2" x14ac:dyDescent="0.25">
      <c r="B48" t="s">
        <v>106</v>
      </c>
    </row>
    <row r="50" spans="2:2" x14ac:dyDescent="0.25">
      <c r="B50" t="s">
        <v>107</v>
      </c>
    </row>
    <row r="51" spans="2:2" x14ac:dyDescent="0.25">
      <c r="B51" t="s">
        <v>108</v>
      </c>
    </row>
    <row r="52" spans="2:2" x14ac:dyDescent="0.25">
      <c r="B52" t="s">
        <v>109</v>
      </c>
    </row>
    <row r="53" spans="2:2" x14ac:dyDescent="0.25">
      <c r="B53" t="s">
        <v>110</v>
      </c>
    </row>
    <row r="62" spans="2:2" x14ac:dyDescent="0.25">
      <c r="B62" s="418"/>
    </row>
  </sheetData>
  <mergeCells count="1">
    <mergeCell ref="B1:J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C4976"/>
    <pageSetUpPr fitToPage="1"/>
  </sheetPr>
  <dimension ref="D1:L34"/>
  <sheetViews>
    <sheetView showGridLines="0" showRowColHeaders="0" zoomScaleNormal="100" workbookViewId="0">
      <selection activeCell="X24" sqref="X24"/>
    </sheetView>
  </sheetViews>
  <sheetFormatPr defaultRowHeight="15" x14ac:dyDescent="0.25"/>
  <cols>
    <col min="1" max="3" width="1.7109375" customWidth="1"/>
    <col min="4" max="10" width="9.42578125" customWidth="1"/>
    <col min="11" max="11" width="5.7109375" customWidth="1"/>
    <col min="12" max="26" width="9.42578125" customWidth="1"/>
  </cols>
  <sheetData>
    <row r="1" spans="4:12" ht="30" customHeight="1" x14ac:dyDescent="0.5">
      <c r="D1" s="419" t="str">
        <f>Options!$E$14</f>
        <v>Nurse Aide</v>
      </c>
      <c r="K1" s="416" t="s">
        <v>83</v>
      </c>
      <c r="L1" s="419" t="str">
        <f>Options!O14</f>
        <v>Westminster Campus</v>
      </c>
    </row>
    <row r="2" spans="4:12" ht="15" customHeight="1" x14ac:dyDescent="0.25">
      <c r="D2" s="363"/>
      <c r="H2" s="363"/>
      <c r="L2" s="363"/>
    </row>
    <row r="3" spans="4:12" ht="15" customHeight="1" x14ac:dyDescent="0.25"/>
    <row r="4" spans="4:12" ht="15" customHeight="1" x14ac:dyDescent="0.25"/>
    <row r="5" spans="4:12" ht="15" customHeight="1" x14ac:dyDescent="0.25"/>
    <row r="6" spans="4:12" ht="15" customHeight="1" x14ac:dyDescent="0.25"/>
    <row r="7" spans="4:12" ht="15" customHeight="1" x14ac:dyDescent="0.25"/>
    <row r="8" spans="4:12" ht="15" customHeight="1" x14ac:dyDescent="0.25"/>
    <row r="9" spans="4:12" ht="15" customHeight="1" x14ac:dyDescent="0.25"/>
    <row r="10" spans="4:12" ht="15" customHeight="1" x14ac:dyDescent="0.25"/>
    <row r="11" spans="4:12" ht="15" customHeight="1" x14ac:dyDescent="0.25"/>
    <row r="12" spans="4:12" ht="15" customHeight="1" x14ac:dyDescent="0.25"/>
    <row r="13" spans="4:12" ht="15" customHeight="1" x14ac:dyDescent="0.25"/>
    <row r="14" spans="4:12" ht="15" customHeight="1" x14ac:dyDescent="0.25"/>
    <row r="15" spans="4:12" ht="15" customHeight="1" x14ac:dyDescent="0.25"/>
    <row r="16" spans="4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/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x14ac:dyDescent="0.25">
      <c r="D31" s="415" t="s">
        <v>82</v>
      </c>
    </row>
    <row r="32" spans="4:4" x14ac:dyDescent="0.25">
      <c r="D32" s="415" t="s">
        <v>84</v>
      </c>
    </row>
    <row r="33" spans="4:4" x14ac:dyDescent="0.25">
      <c r="D33" s="415" t="s">
        <v>80</v>
      </c>
    </row>
    <row r="34" spans="4:4" ht="15" customHeight="1" x14ac:dyDescent="0.3">
      <c r="D34" s="417" t="s">
        <v>85</v>
      </c>
    </row>
  </sheetData>
  <sheetProtection password="CECF" sheet="1" objects="1" scenarios="1"/>
  <pageMargins left="0.17" right="0.17" top="0.75" bottom="0.75" header="0.3" footer="0.3"/>
  <pageSetup scale="88" orientation="landscape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0" r:id="rId4" name="Drop Down 4">
              <controlPr defaultSize="0" autoLine="0" autoPict="0">
                <anchor moveWithCells="1">
                  <from>
                    <xdr:col>3</xdr:col>
                    <xdr:colOff>9525</xdr:colOff>
                    <xdr:row>1</xdr:row>
                    <xdr:rowOff>9525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5" name="Drop Down 6">
              <controlPr defaultSize="0" autoLine="0" autoPict="0">
                <anchor moveWithCells="1">
                  <from>
                    <xdr:col>11</xdr:col>
                    <xdr:colOff>0</xdr:colOff>
                    <xdr:row>1</xdr:row>
                    <xdr:rowOff>9525</xdr:rowOff>
                  </from>
                  <to>
                    <xdr:col>13</xdr:col>
                    <xdr:colOff>619125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C4976"/>
    <pageSetUpPr fitToPage="1"/>
  </sheetPr>
  <dimension ref="D1:L34"/>
  <sheetViews>
    <sheetView showGridLines="0" showRowColHeaders="0" zoomScaleNormal="100" workbookViewId="0">
      <selection activeCell="U16" sqref="U16"/>
    </sheetView>
  </sheetViews>
  <sheetFormatPr defaultRowHeight="15" x14ac:dyDescent="0.25"/>
  <cols>
    <col min="1" max="3" width="1.7109375" customWidth="1"/>
    <col min="4" max="10" width="9.42578125" customWidth="1"/>
    <col min="11" max="11" width="5.7109375" customWidth="1"/>
    <col min="12" max="28" width="9.42578125" customWidth="1"/>
  </cols>
  <sheetData>
    <row r="1" spans="4:12" ht="30" customHeight="1" x14ac:dyDescent="0.5">
      <c r="D1" s="419" t="str">
        <f>Options!E14</f>
        <v>Nurse Aide</v>
      </c>
      <c r="K1" s="416" t="s">
        <v>83</v>
      </c>
      <c r="L1" s="419" t="str">
        <f>Options!O14</f>
        <v>Westminster Campus</v>
      </c>
    </row>
    <row r="3" spans="4:12" ht="15" customHeight="1" x14ac:dyDescent="0.25"/>
    <row r="4" spans="4:12" ht="15" customHeight="1" x14ac:dyDescent="0.25"/>
    <row r="5" spans="4:12" ht="15" customHeight="1" x14ac:dyDescent="0.25"/>
    <row r="6" spans="4:12" ht="15" customHeight="1" x14ac:dyDescent="0.25"/>
    <row r="7" spans="4:12" ht="15" customHeight="1" x14ac:dyDescent="0.25"/>
    <row r="8" spans="4:12" ht="15" customHeight="1" x14ac:dyDescent="0.25"/>
    <row r="9" spans="4:12" ht="15" customHeight="1" x14ac:dyDescent="0.25"/>
    <row r="10" spans="4:12" ht="15" customHeight="1" x14ac:dyDescent="0.25"/>
    <row r="11" spans="4:12" ht="15" customHeight="1" x14ac:dyDescent="0.25"/>
    <row r="12" spans="4:12" ht="15" customHeight="1" x14ac:dyDescent="0.25"/>
    <row r="13" spans="4:12" ht="15" customHeight="1" x14ac:dyDescent="0.25"/>
    <row r="14" spans="4:12" ht="15" customHeight="1" x14ac:dyDescent="0.25"/>
    <row r="15" spans="4:12" ht="15" customHeight="1" x14ac:dyDescent="0.25"/>
    <row r="16" spans="4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/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x14ac:dyDescent="0.25">
      <c r="D31" s="415" t="s">
        <v>82</v>
      </c>
    </row>
    <row r="32" spans="4:4" x14ac:dyDescent="0.25">
      <c r="D32" s="415" t="s">
        <v>84</v>
      </c>
    </row>
    <row r="33" spans="4:4" x14ac:dyDescent="0.25">
      <c r="D33" s="415" t="s">
        <v>80</v>
      </c>
    </row>
    <row r="34" spans="4:4" ht="15" customHeight="1" x14ac:dyDescent="0.3">
      <c r="D34" s="417" t="s">
        <v>86</v>
      </c>
    </row>
  </sheetData>
  <sheetProtection password="CECF" sheet="1" objects="1" scenarios="1"/>
  <pageMargins left="0.17" right="0.17" top="0.75" bottom="0.75" header="0.3" footer="0.3"/>
  <pageSetup scale="84" orientation="landscape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Drop Down 1">
              <controlPr defaultSize="0" autoLine="0" autoPict="0">
                <anchor moveWithCells="1">
                  <from>
                    <xdr:col>2</xdr:col>
                    <xdr:colOff>66675</xdr:colOff>
                    <xdr:row>0</xdr:row>
                    <xdr:rowOff>323850</xdr:rowOff>
                  </from>
                  <to>
                    <xdr:col>5</xdr:col>
                    <xdr:colOff>266700</xdr:colOff>
                    <xdr:row>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Drop Down 2">
              <controlPr defaultSize="0" autoLine="0" autoPict="0">
                <anchor moveWithCells="1">
                  <from>
                    <xdr:col>9</xdr:col>
                    <xdr:colOff>200025</xdr:colOff>
                    <xdr:row>0</xdr:row>
                    <xdr:rowOff>323850</xdr:rowOff>
                  </from>
                  <to>
                    <xdr:col>12</xdr:col>
                    <xdr:colOff>133350</xdr:colOff>
                    <xdr:row>1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Data</vt:lpstr>
      <vt:lpstr>Pivot Table</vt:lpstr>
      <vt:lpstr>Options</vt:lpstr>
      <vt:lpstr>Introduction</vt:lpstr>
      <vt:lpstr>Main</vt:lpstr>
      <vt:lpstr>Success</vt:lpstr>
      <vt:lpstr>Success!Print_Area</vt:lpstr>
    </vt:vector>
  </TitlesOfParts>
  <Company>Front Range Community College, Westminster Campus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Wallace, Kim</cp:lastModifiedBy>
  <cp:lastPrinted>2014-02-25T22:26:26Z</cp:lastPrinted>
  <dcterms:created xsi:type="dcterms:W3CDTF">2013-03-26T19:30:28Z</dcterms:created>
  <dcterms:modified xsi:type="dcterms:W3CDTF">2014-08-20T14:07:41Z</dcterms:modified>
</cp:coreProperties>
</file>