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950" yWindow="-45" windowWidth="19680" windowHeight="12360" activeTab="3"/>
  </bookViews>
  <sheets>
    <sheet name="Common" sheetId="1" r:id="rId1"/>
    <sheet name="Sector" sheetId="5" r:id="rId2"/>
    <sheet name="Impairment" sheetId="7" r:id="rId3"/>
    <sheet name="INSTRUCTIONS" sheetId="11" r:id="rId4"/>
    <sheet name="tabulationDO-NOT-SORT" sheetId="9" state="hidden" r:id="rId5"/>
  </sheets>
  <definedNames>
    <definedName name="_xlnm.Print_Area" localSheetId="0">Common!$A$1:$N$82</definedName>
  </definedNames>
  <calcPr calcId="125725"/>
</workbook>
</file>

<file path=xl/calcChain.xml><?xml version="1.0" encoding="utf-8"?>
<calcChain xmlns="http://schemas.openxmlformats.org/spreadsheetml/2006/main">
  <c r="I457" i="9"/>
  <c r="I456"/>
  <c r="I455"/>
  <c r="I454"/>
  <c r="I453"/>
  <c r="I452"/>
  <c r="I451"/>
  <c r="I450"/>
  <c r="I449"/>
  <c r="I448"/>
  <c r="I447"/>
  <c r="I446"/>
  <c r="I445"/>
  <c r="I444"/>
  <c r="I443"/>
  <c r="I442"/>
  <c r="I441"/>
  <c r="I440"/>
  <c r="I439"/>
  <c r="I438"/>
  <c r="I437"/>
  <c r="I436"/>
  <c r="I435"/>
  <c r="I434"/>
  <c r="I433"/>
  <c r="I432"/>
  <c r="I431"/>
  <c r="I430"/>
  <c r="I429"/>
  <c r="I428"/>
  <c r="I427"/>
  <c r="I426"/>
  <c r="I425"/>
  <c r="I424"/>
  <c r="I423"/>
  <c r="I422"/>
  <c r="I421"/>
  <c r="I420"/>
  <c r="I419"/>
  <c r="I418"/>
  <c r="I417"/>
  <c r="I416"/>
  <c r="I415"/>
  <c r="I414"/>
  <c r="I413"/>
  <c r="I412"/>
  <c r="I411"/>
  <c r="I410"/>
  <c r="I409"/>
  <c r="I408"/>
  <c r="I407"/>
  <c r="I406"/>
  <c r="I405"/>
  <c r="I404"/>
  <c r="I403"/>
  <c r="I402"/>
  <c r="I401"/>
  <c r="I400"/>
  <c r="I399"/>
  <c r="I398"/>
  <c r="I397"/>
  <c r="I396"/>
  <c r="I395"/>
  <c r="I394"/>
  <c r="I393"/>
  <c r="I392"/>
  <c r="I391"/>
  <c r="I390"/>
  <c r="I389"/>
  <c r="I388"/>
  <c r="I387"/>
  <c r="I386"/>
  <c r="I385"/>
  <c r="I384"/>
  <c r="I383"/>
  <c r="I382"/>
  <c r="I381"/>
  <c r="I380"/>
  <c r="I379"/>
  <c r="I378"/>
  <c r="I377"/>
  <c r="I376"/>
  <c r="I375"/>
  <c r="I374"/>
  <c r="I373"/>
  <c r="I372"/>
  <c r="I371"/>
  <c r="I370"/>
  <c r="I369"/>
  <c r="I368"/>
  <c r="I367"/>
  <c r="I366"/>
  <c r="I365"/>
  <c r="I364"/>
  <c r="I363"/>
  <c r="I362"/>
  <c r="I361"/>
  <c r="I360"/>
  <c r="I359"/>
  <c r="I358"/>
  <c r="I357"/>
  <c r="I356"/>
  <c r="I355"/>
  <c r="I354"/>
  <c r="I353"/>
  <c r="I352"/>
  <c r="I351"/>
  <c r="I350"/>
  <c r="I349"/>
  <c r="I348"/>
  <c r="I347"/>
  <c r="I346"/>
  <c r="I345"/>
  <c r="I344"/>
  <c r="I343"/>
  <c r="I342"/>
  <c r="I341"/>
  <c r="I340"/>
  <c r="I339"/>
  <c r="I338"/>
  <c r="I337"/>
  <c r="I336"/>
  <c r="I335"/>
  <c r="I334"/>
  <c r="I333"/>
  <c r="I332"/>
  <c r="I331"/>
  <c r="I330"/>
  <c r="I329"/>
  <c r="I328"/>
  <c r="I327"/>
  <c r="I326"/>
  <c r="I325"/>
  <c r="I324"/>
  <c r="I323"/>
  <c r="I322"/>
  <c r="I321"/>
  <c r="I320"/>
  <c r="I319"/>
  <c r="I318"/>
  <c r="I317"/>
  <c r="I316"/>
  <c r="I315"/>
  <c r="I314"/>
  <c r="I313"/>
  <c r="I312"/>
  <c r="I311"/>
  <c r="I310"/>
  <c r="I309"/>
  <c r="I308"/>
  <c r="I307"/>
  <c r="I306"/>
  <c r="I305"/>
  <c r="I304"/>
  <c r="I303"/>
  <c r="I302"/>
  <c r="I301"/>
  <c r="I300"/>
  <c r="I299"/>
  <c r="I298"/>
  <c r="I297"/>
  <c r="I296"/>
  <c r="I295"/>
  <c r="I294"/>
  <c r="I293"/>
  <c r="I292"/>
  <c r="I291"/>
  <c r="I290"/>
  <c r="I289"/>
  <c r="I288"/>
  <c r="I287"/>
  <c r="I286"/>
  <c r="I285"/>
  <c r="I284"/>
  <c r="I283"/>
  <c r="I282"/>
  <c r="I281"/>
  <c r="I280"/>
  <c r="I279"/>
  <c r="I278"/>
  <c r="I277"/>
  <c r="I276"/>
  <c r="I275"/>
  <c r="I274"/>
  <c r="I273"/>
  <c r="I272"/>
  <c r="I271"/>
  <c r="I270"/>
  <c r="I269"/>
  <c r="I268"/>
  <c r="I267"/>
  <c r="I266"/>
  <c r="I265"/>
  <c r="I264"/>
  <c r="I263"/>
  <c r="I262"/>
  <c r="I261"/>
  <c r="I260"/>
  <c r="I259"/>
  <c r="I258"/>
  <c r="I257"/>
  <c r="I256"/>
  <c r="I255"/>
  <c r="I254"/>
  <c r="I253"/>
  <c r="I252"/>
  <c r="I251"/>
  <c r="I250"/>
  <c r="I249"/>
  <c r="I248"/>
  <c r="I247"/>
  <c r="I246"/>
  <c r="I245"/>
  <c r="I244"/>
  <c r="I243"/>
  <c r="I242"/>
  <c r="I241"/>
  <c r="I240"/>
  <c r="I239"/>
  <c r="I238"/>
  <c r="I237"/>
  <c r="I236"/>
  <c r="I235"/>
  <c r="I234"/>
  <c r="I233"/>
  <c r="I232"/>
  <c r="I231"/>
  <c r="I230"/>
  <c r="I229"/>
  <c r="I228"/>
  <c r="I227"/>
  <c r="I226"/>
  <c r="I225"/>
  <c r="I224"/>
  <c r="I223"/>
  <c r="I222"/>
  <c r="I221"/>
  <c r="I220"/>
  <c r="I219"/>
  <c r="I218"/>
  <c r="I217"/>
  <c r="I216"/>
  <c r="I215"/>
  <c r="I214"/>
  <c r="I213"/>
  <c r="I212"/>
  <c r="I211"/>
  <c r="I210"/>
  <c r="I209"/>
  <c r="I208"/>
  <c r="I207"/>
  <c r="I206"/>
  <c r="I205"/>
  <c r="I204"/>
  <c r="I203"/>
  <c r="I202"/>
  <c r="I201"/>
  <c r="I200"/>
  <c r="I199"/>
  <c r="I198"/>
  <c r="I197"/>
  <c r="I196"/>
  <c r="I195"/>
  <c r="I194"/>
  <c r="I193"/>
  <c r="I192"/>
  <c r="I191"/>
  <c r="I190"/>
  <c r="I189"/>
  <c r="I188"/>
  <c r="I187"/>
  <c r="I186"/>
  <c r="I185"/>
  <c r="I184"/>
  <c r="I183"/>
  <c r="I182"/>
  <c r="I181"/>
  <c r="I180"/>
  <c r="I179"/>
  <c r="I178"/>
  <c r="I177"/>
  <c r="I176"/>
  <c r="I175"/>
  <c r="I174"/>
  <c r="I173"/>
  <c r="I172"/>
  <c r="I171"/>
  <c r="I170"/>
  <c r="I169"/>
  <c r="I168"/>
  <c r="I167"/>
  <c r="I166"/>
  <c r="I165"/>
  <c r="I164"/>
  <c r="I163"/>
  <c r="I162"/>
  <c r="I161"/>
  <c r="I160"/>
  <c r="I159"/>
  <c r="I158"/>
  <c r="I157"/>
  <c r="I156"/>
  <c r="I155"/>
  <c r="I154"/>
  <c r="I153"/>
  <c r="I152"/>
  <c r="I151"/>
  <c r="I150"/>
  <c r="I149"/>
  <c r="I148"/>
  <c r="I147"/>
  <c r="I146"/>
  <c r="I145"/>
  <c r="I144"/>
  <c r="I143"/>
  <c r="I142"/>
  <c r="I141"/>
  <c r="I140"/>
  <c r="I139"/>
  <c r="I138"/>
  <c r="I137"/>
  <c r="I136"/>
  <c r="I135"/>
  <c r="I134"/>
  <c r="I133"/>
  <c r="I132"/>
  <c r="I131"/>
  <c r="I130"/>
  <c r="I129"/>
  <c r="I128"/>
  <c r="I127"/>
  <c r="I126"/>
  <c r="I125"/>
  <c r="I124"/>
  <c r="I123"/>
  <c r="I122"/>
  <c r="I121"/>
  <c r="I120"/>
  <c r="I119"/>
  <c r="I118"/>
  <c r="I117"/>
  <c r="I116"/>
  <c r="I115"/>
  <c r="I114"/>
  <c r="I113"/>
  <c r="I112"/>
  <c r="I111"/>
  <c r="I110"/>
  <c r="I109"/>
  <c r="I108"/>
  <c r="I107"/>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I12"/>
  <c r="I11"/>
  <c r="I10"/>
  <c r="I9"/>
  <c r="I8"/>
  <c r="I7"/>
  <c r="I6"/>
  <c r="I5"/>
  <c r="I4"/>
  <c r="I3"/>
  <c r="I2"/>
  <c r="L8" i="7"/>
  <c r="L8" i="5"/>
  <c r="O126" i="9"/>
  <c r="A1" i="7"/>
  <c r="A1" i="5"/>
  <c r="T19" i="1"/>
  <c r="T32"/>
  <c r="T31"/>
  <c r="T26"/>
  <c r="AB22"/>
  <c r="AA22"/>
  <c r="Z22"/>
  <c r="Y22"/>
  <c r="X22"/>
  <c r="W22"/>
  <c r="V22"/>
  <c r="U22"/>
  <c r="AB21"/>
  <c r="AA21"/>
  <c r="Z21"/>
  <c r="Y21"/>
  <c r="X21"/>
  <c r="W21"/>
  <c r="V21"/>
  <c r="U21"/>
  <c r="T21"/>
  <c r="T18"/>
  <c r="AA17"/>
  <c r="Y17"/>
  <c r="W17"/>
  <c r="U17"/>
  <c r="T17"/>
  <c r="V16"/>
  <c r="U16"/>
  <c r="T16"/>
  <c r="H457" i="9"/>
  <c r="G457"/>
  <c r="F457"/>
  <c r="E457"/>
  <c r="D457"/>
  <c r="C457"/>
  <c r="B457"/>
  <c r="A457"/>
  <c r="H456"/>
  <c r="G456"/>
  <c r="F456"/>
  <c r="E456"/>
  <c r="D456"/>
  <c r="C456"/>
  <c r="B456"/>
  <c r="A456"/>
  <c r="H455"/>
  <c r="G455"/>
  <c r="F455"/>
  <c r="E455"/>
  <c r="D455"/>
  <c r="C455"/>
  <c r="B455"/>
  <c r="A455"/>
  <c r="H454"/>
  <c r="G454"/>
  <c r="F454"/>
  <c r="E454"/>
  <c r="D454"/>
  <c r="C454"/>
  <c r="B454"/>
  <c r="A454"/>
  <c r="H453"/>
  <c r="G453"/>
  <c r="F453"/>
  <c r="E453"/>
  <c r="D453"/>
  <c r="C453"/>
  <c r="B453"/>
  <c r="A453"/>
  <c r="H452"/>
  <c r="G452"/>
  <c r="F452"/>
  <c r="E452"/>
  <c r="D452"/>
  <c r="C452"/>
  <c r="B452"/>
  <c r="A452"/>
  <c r="H451"/>
  <c r="G451"/>
  <c r="F451"/>
  <c r="E451"/>
  <c r="D451"/>
  <c r="C451"/>
  <c r="B451"/>
  <c r="A451"/>
  <c r="H450"/>
  <c r="G450"/>
  <c r="F450"/>
  <c r="E450"/>
  <c r="D450"/>
  <c r="C450"/>
  <c r="B450"/>
  <c r="A450"/>
  <c r="H449"/>
  <c r="G449"/>
  <c r="F449"/>
  <c r="E449"/>
  <c r="D449"/>
  <c r="C449"/>
  <c r="B449"/>
  <c r="A449"/>
  <c r="H448"/>
  <c r="G448"/>
  <c r="F448"/>
  <c r="E448"/>
  <c r="D448"/>
  <c r="C448"/>
  <c r="B448"/>
  <c r="A448"/>
  <c r="H447"/>
  <c r="G447"/>
  <c r="F447"/>
  <c r="E447"/>
  <c r="D447"/>
  <c r="C447"/>
  <c r="B447"/>
  <c r="A447"/>
  <c r="H446"/>
  <c r="G446"/>
  <c r="F446"/>
  <c r="E446"/>
  <c r="D446"/>
  <c r="C446"/>
  <c r="B446"/>
  <c r="A446"/>
  <c r="H445"/>
  <c r="G445"/>
  <c r="F445"/>
  <c r="E445"/>
  <c r="D445"/>
  <c r="C445"/>
  <c r="B445"/>
  <c r="A445"/>
  <c r="H444"/>
  <c r="G444"/>
  <c r="F444"/>
  <c r="E444"/>
  <c r="D444"/>
  <c r="C444"/>
  <c r="B444"/>
  <c r="A444"/>
  <c r="H443"/>
  <c r="G443"/>
  <c r="F443"/>
  <c r="E443"/>
  <c r="D443"/>
  <c r="C443"/>
  <c r="B443"/>
  <c r="A443"/>
  <c r="H442"/>
  <c r="G442"/>
  <c r="F442"/>
  <c r="E442"/>
  <c r="D442"/>
  <c r="C442"/>
  <c r="B442"/>
  <c r="A442"/>
  <c r="H441"/>
  <c r="G441"/>
  <c r="F441"/>
  <c r="E441"/>
  <c r="D441"/>
  <c r="C441"/>
  <c r="B441"/>
  <c r="A441"/>
  <c r="H440"/>
  <c r="G440"/>
  <c r="F440"/>
  <c r="E440"/>
  <c r="D440"/>
  <c r="C440"/>
  <c r="B440"/>
  <c r="A440"/>
  <c r="H439"/>
  <c r="G439"/>
  <c r="F439"/>
  <c r="E439"/>
  <c r="D439"/>
  <c r="C439"/>
  <c r="B439"/>
  <c r="A439"/>
  <c r="H438"/>
  <c r="G438"/>
  <c r="F438"/>
  <c r="E438"/>
  <c r="D438"/>
  <c r="C438"/>
  <c r="B438"/>
  <c r="A438"/>
  <c r="H437"/>
  <c r="G437"/>
  <c r="F437"/>
  <c r="E437"/>
  <c r="D437"/>
  <c r="C437"/>
  <c r="B437"/>
  <c r="A437"/>
  <c r="H436"/>
  <c r="G436"/>
  <c r="F436"/>
  <c r="E436"/>
  <c r="D436"/>
  <c r="C436"/>
  <c r="B436"/>
  <c r="A436"/>
  <c r="H435"/>
  <c r="G435"/>
  <c r="F435"/>
  <c r="E435"/>
  <c r="D435"/>
  <c r="C435"/>
  <c r="B435"/>
  <c r="A435"/>
  <c r="H434"/>
  <c r="G434"/>
  <c r="F434"/>
  <c r="E434"/>
  <c r="D434"/>
  <c r="C434"/>
  <c r="B434"/>
  <c r="A434"/>
  <c r="H433"/>
  <c r="G433"/>
  <c r="F433"/>
  <c r="E433"/>
  <c r="D433"/>
  <c r="C433"/>
  <c r="B433"/>
  <c r="A433"/>
  <c r="H432"/>
  <c r="G432"/>
  <c r="F432"/>
  <c r="E432"/>
  <c r="D432"/>
  <c r="C432"/>
  <c r="B432"/>
  <c r="A432"/>
  <c r="H431"/>
  <c r="G431"/>
  <c r="F431"/>
  <c r="E431"/>
  <c r="D431"/>
  <c r="C431"/>
  <c r="B431"/>
  <c r="A431"/>
  <c r="H430"/>
  <c r="G430"/>
  <c r="F430"/>
  <c r="E430"/>
  <c r="D430"/>
  <c r="C430"/>
  <c r="B430"/>
  <c r="A430"/>
  <c r="H429"/>
  <c r="G429"/>
  <c r="F429"/>
  <c r="E429"/>
  <c r="D429"/>
  <c r="C429"/>
  <c r="B429"/>
  <c r="A429"/>
  <c r="H428"/>
  <c r="G428"/>
  <c r="F428"/>
  <c r="E428"/>
  <c r="D428"/>
  <c r="C428"/>
  <c r="B428"/>
  <c r="A428"/>
  <c r="H427"/>
  <c r="G427"/>
  <c r="F427"/>
  <c r="E427"/>
  <c r="D427"/>
  <c r="C427"/>
  <c r="B427"/>
  <c r="A427"/>
  <c r="H426"/>
  <c r="G426"/>
  <c r="F426"/>
  <c r="E426"/>
  <c r="D426"/>
  <c r="C426"/>
  <c r="B426"/>
  <c r="A426"/>
  <c r="H425"/>
  <c r="G425"/>
  <c r="F425"/>
  <c r="E425"/>
  <c r="D425"/>
  <c r="C425"/>
  <c r="B425"/>
  <c r="A425"/>
  <c r="H424"/>
  <c r="G424"/>
  <c r="F424"/>
  <c r="E424"/>
  <c r="D424"/>
  <c r="C424"/>
  <c r="B424"/>
  <c r="A424"/>
  <c r="H423"/>
  <c r="G423"/>
  <c r="F423"/>
  <c r="E423"/>
  <c r="D423"/>
  <c r="C423"/>
  <c r="B423"/>
  <c r="A423"/>
  <c r="H422"/>
  <c r="G422"/>
  <c r="F422"/>
  <c r="E422"/>
  <c r="D422"/>
  <c r="C422"/>
  <c r="B422"/>
  <c r="A422"/>
  <c r="H421"/>
  <c r="G421"/>
  <c r="F421"/>
  <c r="E421"/>
  <c r="D421"/>
  <c r="C421"/>
  <c r="B421"/>
  <c r="A421"/>
  <c r="H420"/>
  <c r="G420"/>
  <c r="F420"/>
  <c r="E420"/>
  <c r="D420"/>
  <c r="C420"/>
  <c r="B420"/>
  <c r="A420"/>
  <c r="H419"/>
  <c r="G419"/>
  <c r="F419"/>
  <c r="E419"/>
  <c r="D419"/>
  <c r="C419"/>
  <c r="B419"/>
  <c r="A419"/>
  <c r="H418"/>
  <c r="G418"/>
  <c r="F418"/>
  <c r="E418"/>
  <c r="D418"/>
  <c r="C418"/>
  <c r="B418"/>
  <c r="A418"/>
  <c r="H417"/>
  <c r="G417"/>
  <c r="F417"/>
  <c r="E417"/>
  <c r="D417"/>
  <c r="C417"/>
  <c r="B417"/>
  <c r="A417"/>
  <c r="H416"/>
  <c r="G416"/>
  <c r="F416"/>
  <c r="E416"/>
  <c r="D416"/>
  <c r="C416"/>
  <c r="B416"/>
  <c r="A416"/>
  <c r="H415"/>
  <c r="G415"/>
  <c r="F415"/>
  <c r="E415"/>
  <c r="D415"/>
  <c r="C415"/>
  <c r="B415"/>
  <c r="A415"/>
  <c r="H414"/>
  <c r="G414"/>
  <c r="F414"/>
  <c r="E414"/>
  <c r="D414"/>
  <c r="C414"/>
  <c r="B414"/>
  <c r="A414"/>
  <c r="H413"/>
  <c r="G413"/>
  <c r="F413"/>
  <c r="E413"/>
  <c r="D413"/>
  <c r="C413"/>
  <c r="B413"/>
  <c r="A413"/>
  <c r="H412"/>
  <c r="G412"/>
  <c r="F412"/>
  <c r="E412"/>
  <c r="D412"/>
  <c r="C412"/>
  <c r="B412"/>
  <c r="A412"/>
  <c r="H411"/>
  <c r="G411"/>
  <c r="F411"/>
  <c r="E411"/>
  <c r="D411"/>
  <c r="C411"/>
  <c r="B411"/>
  <c r="A411"/>
  <c r="H410"/>
  <c r="G410"/>
  <c r="F410"/>
  <c r="E410"/>
  <c r="D410"/>
  <c r="C410"/>
  <c r="B410"/>
  <c r="A410"/>
  <c r="H409"/>
  <c r="G409"/>
  <c r="F409"/>
  <c r="E409"/>
  <c r="D409"/>
  <c r="C409"/>
  <c r="B409"/>
  <c r="A409"/>
  <c r="H408"/>
  <c r="G408"/>
  <c r="F408"/>
  <c r="E408"/>
  <c r="D408"/>
  <c r="C408"/>
  <c r="B408"/>
  <c r="A408"/>
  <c r="H407"/>
  <c r="G407"/>
  <c r="F407"/>
  <c r="E407"/>
  <c r="D407"/>
  <c r="C407"/>
  <c r="B407"/>
  <c r="A407"/>
  <c r="H406"/>
  <c r="G406"/>
  <c r="F406"/>
  <c r="E406"/>
  <c r="D406"/>
  <c r="C406"/>
  <c r="B406"/>
  <c r="A406"/>
  <c r="H405"/>
  <c r="G405"/>
  <c r="F405"/>
  <c r="E405"/>
  <c r="D405"/>
  <c r="C405"/>
  <c r="B405"/>
  <c r="A405"/>
  <c r="H404"/>
  <c r="G404"/>
  <c r="F404"/>
  <c r="E404"/>
  <c r="D404"/>
  <c r="C404"/>
  <c r="B404"/>
  <c r="A404"/>
  <c r="H403"/>
  <c r="G403"/>
  <c r="F403"/>
  <c r="E403"/>
  <c r="D403"/>
  <c r="C403"/>
  <c r="B403"/>
  <c r="A403"/>
  <c r="H402"/>
  <c r="G402"/>
  <c r="F402"/>
  <c r="E402"/>
  <c r="D402"/>
  <c r="C402"/>
  <c r="B402"/>
  <c r="A402"/>
  <c r="H401"/>
  <c r="G401"/>
  <c r="F401"/>
  <c r="E401"/>
  <c r="D401"/>
  <c r="C401"/>
  <c r="B401"/>
  <c r="A401"/>
  <c r="H400"/>
  <c r="G400"/>
  <c r="F400"/>
  <c r="E400"/>
  <c r="D400"/>
  <c r="C400"/>
  <c r="B400"/>
  <c r="A400"/>
  <c r="H399"/>
  <c r="G399"/>
  <c r="F399"/>
  <c r="E399"/>
  <c r="D399"/>
  <c r="C399"/>
  <c r="B399"/>
  <c r="A399"/>
  <c r="H398"/>
  <c r="G398"/>
  <c r="F398"/>
  <c r="E398"/>
  <c r="D398"/>
  <c r="C398"/>
  <c r="B398"/>
  <c r="A398"/>
  <c r="H397"/>
  <c r="G397"/>
  <c r="F397"/>
  <c r="E397"/>
  <c r="D397"/>
  <c r="C397"/>
  <c r="B397"/>
  <c r="A397"/>
  <c r="H396"/>
  <c r="G396"/>
  <c r="F396"/>
  <c r="E396"/>
  <c r="D396"/>
  <c r="C396"/>
  <c r="B396"/>
  <c r="A396"/>
  <c r="H395"/>
  <c r="G395"/>
  <c r="F395"/>
  <c r="E395"/>
  <c r="D395"/>
  <c r="C395"/>
  <c r="B395"/>
  <c r="A395"/>
  <c r="H394"/>
  <c r="G394"/>
  <c r="F394"/>
  <c r="E394"/>
  <c r="D394"/>
  <c r="C394"/>
  <c r="B394"/>
  <c r="A394"/>
  <c r="H393"/>
  <c r="G393"/>
  <c r="F393"/>
  <c r="E393"/>
  <c r="D393"/>
  <c r="C393"/>
  <c r="B393"/>
  <c r="A393"/>
  <c r="H392"/>
  <c r="G392"/>
  <c r="F392"/>
  <c r="E392"/>
  <c r="D392"/>
  <c r="C392"/>
  <c r="B392"/>
  <c r="A392"/>
  <c r="H391"/>
  <c r="G391"/>
  <c r="F391"/>
  <c r="E391"/>
  <c r="D391"/>
  <c r="C391"/>
  <c r="B391"/>
  <c r="A391"/>
  <c r="H390"/>
  <c r="G390"/>
  <c r="F390"/>
  <c r="E390"/>
  <c r="D390"/>
  <c r="C390"/>
  <c r="B390"/>
  <c r="A390"/>
  <c r="H389"/>
  <c r="G389"/>
  <c r="F389"/>
  <c r="E389"/>
  <c r="D389"/>
  <c r="C389"/>
  <c r="B389"/>
  <c r="A389"/>
  <c r="H388"/>
  <c r="G388"/>
  <c r="F388"/>
  <c r="E388"/>
  <c r="D388"/>
  <c r="C388"/>
  <c r="B388"/>
  <c r="A388"/>
  <c r="H387"/>
  <c r="G387"/>
  <c r="F387"/>
  <c r="E387"/>
  <c r="D387"/>
  <c r="C387"/>
  <c r="B387"/>
  <c r="A387"/>
  <c r="H386"/>
  <c r="G386"/>
  <c r="F386"/>
  <c r="E386"/>
  <c r="D386"/>
  <c r="C386"/>
  <c r="B386"/>
  <c r="A386"/>
  <c r="H385"/>
  <c r="G385"/>
  <c r="F385"/>
  <c r="E385"/>
  <c r="D385"/>
  <c r="C385"/>
  <c r="B385"/>
  <c r="A385"/>
  <c r="H384"/>
  <c r="G384"/>
  <c r="F384"/>
  <c r="E384"/>
  <c r="D384"/>
  <c r="C384"/>
  <c r="B384"/>
  <c r="A384"/>
  <c r="H383"/>
  <c r="G383"/>
  <c r="F383"/>
  <c r="E383"/>
  <c r="D383"/>
  <c r="C383"/>
  <c r="B383"/>
  <c r="A383"/>
  <c r="H382"/>
  <c r="G382"/>
  <c r="F382"/>
  <c r="E382"/>
  <c r="D382"/>
  <c r="C382"/>
  <c r="B382"/>
  <c r="A382"/>
  <c r="H381"/>
  <c r="G381"/>
  <c r="F381"/>
  <c r="E381"/>
  <c r="D381"/>
  <c r="C381"/>
  <c r="B381"/>
  <c r="A381"/>
  <c r="H380"/>
  <c r="G380"/>
  <c r="F380"/>
  <c r="E380"/>
  <c r="D380"/>
  <c r="C380"/>
  <c r="B380"/>
  <c r="A380"/>
  <c r="H379"/>
  <c r="G379"/>
  <c r="F379"/>
  <c r="E379"/>
  <c r="D379"/>
  <c r="C379"/>
  <c r="B379"/>
  <c r="A379"/>
  <c r="H378"/>
  <c r="G378"/>
  <c r="F378"/>
  <c r="E378"/>
  <c r="D378"/>
  <c r="C378"/>
  <c r="B378"/>
  <c r="A378"/>
  <c r="H377"/>
  <c r="G377"/>
  <c r="F377"/>
  <c r="E377"/>
  <c r="D377"/>
  <c r="C377"/>
  <c r="B377"/>
  <c r="A377"/>
  <c r="H376"/>
  <c r="G376"/>
  <c r="F376"/>
  <c r="E376"/>
  <c r="D376"/>
  <c r="C376"/>
  <c r="B376"/>
  <c r="A376"/>
  <c r="H375"/>
  <c r="G375"/>
  <c r="F375"/>
  <c r="E375"/>
  <c r="D375"/>
  <c r="C375"/>
  <c r="B375"/>
  <c r="A375"/>
  <c r="H374"/>
  <c r="G374"/>
  <c r="F374"/>
  <c r="E374"/>
  <c r="D374"/>
  <c r="C374"/>
  <c r="B374"/>
  <c r="A374"/>
  <c r="H373"/>
  <c r="G373"/>
  <c r="F373"/>
  <c r="E373"/>
  <c r="D373"/>
  <c r="C373"/>
  <c r="B373"/>
  <c r="A373"/>
  <c r="H372"/>
  <c r="G372"/>
  <c r="F372"/>
  <c r="E372"/>
  <c r="D372"/>
  <c r="C372"/>
  <c r="B372"/>
  <c r="A372"/>
  <c r="H371"/>
  <c r="G371"/>
  <c r="F371"/>
  <c r="E371"/>
  <c r="D371"/>
  <c r="C371"/>
  <c r="B371"/>
  <c r="A371"/>
  <c r="H370"/>
  <c r="G370"/>
  <c r="F370"/>
  <c r="E370"/>
  <c r="D370"/>
  <c r="C370"/>
  <c r="B370"/>
  <c r="A370"/>
  <c r="P450"/>
  <c r="P451" s="1"/>
  <c r="P452" s="1"/>
  <c r="P453" s="1"/>
  <c r="P454" s="1"/>
  <c r="P455" s="1"/>
  <c r="P456" s="1"/>
  <c r="P457" s="1"/>
  <c r="P442"/>
  <c r="P443" s="1"/>
  <c r="P444" s="1"/>
  <c r="P445" s="1"/>
  <c r="P446" s="1"/>
  <c r="P447" s="1"/>
  <c r="P448" s="1"/>
  <c r="P449" s="1"/>
  <c r="P434"/>
  <c r="P435" s="1"/>
  <c r="P436" s="1"/>
  <c r="P437" s="1"/>
  <c r="P438" s="1"/>
  <c r="P439" s="1"/>
  <c r="P440" s="1"/>
  <c r="P441" s="1"/>
  <c r="P426"/>
  <c r="P427" s="1"/>
  <c r="P428" s="1"/>
  <c r="P429" s="1"/>
  <c r="P430" s="1"/>
  <c r="P431" s="1"/>
  <c r="P432" s="1"/>
  <c r="P433" s="1"/>
  <c r="P418"/>
  <c r="P419" s="1"/>
  <c r="P420" s="1"/>
  <c r="P421" s="1"/>
  <c r="P422" s="1"/>
  <c r="P423" s="1"/>
  <c r="P424" s="1"/>
  <c r="P425" s="1"/>
  <c r="P410"/>
  <c r="P411" s="1"/>
  <c r="P412" s="1"/>
  <c r="P413" s="1"/>
  <c r="P414" s="1"/>
  <c r="P415" s="1"/>
  <c r="P416" s="1"/>
  <c r="P417" s="1"/>
  <c r="P402"/>
  <c r="P403" s="1"/>
  <c r="P404" s="1"/>
  <c r="P405" s="1"/>
  <c r="P406" s="1"/>
  <c r="P407" s="1"/>
  <c r="P408" s="1"/>
  <c r="P409" s="1"/>
  <c r="P394"/>
  <c r="P395" s="1"/>
  <c r="P396" s="1"/>
  <c r="P397" s="1"/>
  <c r="P398" s="1"/>
  <c r="P399" s="1"/>
  <c r="P400" s="1"/>
  <c r="P401" s="1"/>
  <c r="P386"/>
  <c r="P387" s="1"/>
  <c r="P388" s="1"/>
  <c r="P389" s="1"/>
  <c r="P390" s="1"/>
  <c r="P391" s="1"/>
  <c r="P392" s="1"/>
  <c r="P393" s="1"/>
  <c r="P378"/>
  <c r="P379" s="1"/>
  <c r="P380" s="1"/>
  <c r="P381" s="1"/>
  <c r="P382" s="1"/>
  <c r="P383" s="1"/>
  <c r="P384" s="1"/>
  <c r="P385" s="1"/>
  <c r="P370"/>
  <c r="P371" s="1"/>
  <c r="P372" s="1"/>
  <c r="P373" s="1"/>
  <c r="P374" s="1"/>
  <c r="P375" s="1"/>
  <c r="P376" s="1"/>
  <c r="P377" s="1"/>
  <c r="O457"/>
  <c r="O449"/>
  <c r="O441"/>
  <c r="O433"/>
  <c r="O425"/>
  <c r="O417"/>
  <c r="O409"/>
  <c r="O401"/>
  <c r="O393"/>
  <c r="O385"/>
  <c r="O377"/>
  <c r="O456"/>
  <c r="O448"/>
  <c r="O440"/>
  <c r="O432"/>
  <c r="O424"/>
  <c r="O416"/>
  <c r="O408"/>
  <c r="O400"/>
  <c r="O392"/>
  <c r="O384"/>
  <c r="O376"/>
  <c r="O455"/>
  <c r="O447"/>
  <c r="O439"/>
  <c r="O431"/>
  <c r="O423"/>
  <c r="O415"/>
  <c r="O407"/>
  <c r="O399"/>
  <c r="O391"/>
  <c r="O383"/>
  <c r="O375"/>
  <c r="O454"/>
  <c r="O446"/>
  <c r="O438"/>
  <c r="O430"/>
  <c r="O422"/>
  <c r="O414"/>
  <c r="O406"/>
  <c r="O398"/>
  <c r="O390"/>
  <c r="O382"/>
  <c r="O374"/>
  <c r="O453"/>
  <c r="O445"/>
  <c r="O437"/>
  <c r="O429"/>
  <c r="O421"/>
  <c r="O413"/>
  <c r="O405"/>
  <c r="O397"/>
  <c r="O389"/>
  <c r="O381"/>
  <c r="O373"/>
  <c r="O452"/>
  <c r="O444"/>
  <c r="O436"/>
  <c r="O428"/>
  <c r="O420"/>
  <c r="O412"/>
  <c r="O404"/>
  <c r="O396"/>
  <c r="O388"/>
  <c r="O380"/>
  <c r="O372"/>
  <c r="O451"/>
  <c r="O443"/>
  <c r="O435"/>
  <c r="O427"/>
  <c r="O419"/>
  <c r="O411"/>
  <c r="O403"/>
  <c r="O395"/>
  <c r="O387"/>
  <c r="O379"/>
  <c r="O371"/>
  <c r="O450"/>
  <c r="O442"/>
  <c r="O434"/>
  <c r="O426"/>
  <c r="O418"/>
  <c r="O410"/>
  <c r="O402"/>
  <c r="O394"/>
  <c r="O386"/>
  <c r="O378"/>
  <c r="N450"/>
  <c r="N451" s="1"/>
  <c r="N452" s="1"/>
  <c r="N453" s="1"/>
  <c r="N454" s="1"/>
  <c r="N455" s="1"/>
  <c r="N456" s="1"/>
  <c r="N457" s="1"/>
  <c r="N442"/>
  <c r="N443" s="1"/>
  <c r="N444" s="1"/>
  <c r="N445" s="1"/>
  <c r="N446" s="1"/>
  <c r="N447" s="1"/>
  <c r="N448" s="1"/>
  <c r="N449" s="1"/>
  <c r="N434"/>
  <c r="N435" s="1"/>
  <c r="N436" s="1"/>
  <c r="N437" s="1"/>
  <c r="N438" s="1"/>
  <c r="N439" s="1"/>
  <c r="N440" s="1"/>
  <c r="N441" s="1"/>
  <c r="N426"/>
  <c r="N427" s="1"/>
  <c r="N428" s="1"/>
  <c r="N429" s="1"/>
  <c r="N430" s="1"/>
  <c r="N431" s="1"/>
  <c r="N432" s="1"/>
  <c r="N433" s="1"/>
  <c r="N418"/>
  <c r="N419" s="1"/>
  <c r="N420" s="1"/>
  <c r="N421" s="1"/>
  <c r="N422" s="1"/>
  <c r="N423" s="1"/>
  <c r="N424" s="1"/>
  <c r="N425" s="1"/>
  <c r="N410"/>
  <c r="N411" s="1"/>
  <c r="N412" s="1"/>
  <c r="N413" s="1"/>
  <c r="N414" s="1"/>
  <c r="N415" s="1"/>
  <c r="N416" s="1"/>
  <c r="N417" s="1"/>
  <c r="N402"/>
  <c r="N403" s="1"/>
  <c r="N404" s="1"/>
  <c r="N405" s="1"/>
  <c r="N406" s="1"/>
  <c r="N407" s="1"/>
  <c r="N408" s="1"/>
  <c r="N409" s="1"/>
  <c r="N394"/>
  <c r="N395" s="1"/>
  <c r="N396" s="1"/>
  <c r="N397" s="1"/>
  <c r="N398" s="1"/>
  <c r="N399" s="1"/>
  <c r="N400" s="1"/>
  <c r="N401" s="1"/>
  <c r="N386"/>
  <c r="N387" s="1"/>
  <c r="N388" s="1"/>
  <c r="N389" s="1"/>
  <c r="N390" s="1"/>
  <c r="N391" s="1"/>
  <c r="N392" s="1"/>
  <c r="N393" s="1"/>
  <c r="N378"/>
  <c r="N379" s="1"/>
  <c r="N380" s="1"/>
  <c r="N381" s="1"/>
  <c r="N382" s="1"/>
  <c r="N383" s="1"/>
  <c r="N384" s="1"/>
  <c r="N385" s="1"/>
  <c r="N370"/>
  <c r="N371" s="1"/>
  <c r="N372" s="1"/>
  <c r="N373" s="1"/>
  <c r="N374" s="1"/>
  <c r="N375" s="1"/>
  <c r="N376" s="1"/>
  <c r="N377" s="1"/>
  <c r="M450"/>
  <c r="M451" s="1"/>
  <c r="M452" s="1"/>
  <c r="M453" s="1"/>
  <c r="M454" s="1"/>
  <c r="M455" s="1"/>
  <c r="M456" s="1"/>
  <c r="M457" s="1"/>
  <c r="M442"/>
  <c r="M443" s="1"/>
  <c r="M444" s="1"/>
  <c r="M445" s="1"/>
  <c r="M446" s="1"/>
  <c r="M447" s="1"/>
  <c r="M448" s="1"/>
  <c r="M449" s="1"/>
  <c r="M434"/>
  <c r="M435" s="1"/>
  <c r="M436" s="1"/>
  <c r="M437" s="1"/>
  <c r="M438" s="1"/>
  <c r="M439" s="1"/>
  <c r="M440" s="1"/>
  <c r="M441" s="1"/>
  <c r="M426"/>
  <c r="M427" s="1"/>
  <c r="M428" s="1"/>
  <c r="M429" s="1"/>
  <c r="M430" s="1"/>
  <c r="M431" s="1"/>
  <c r="M432" s="1"/>
  <c r="M433" s="1"/>
  <c r="M418"/>
  <c r="M419" s="1"/>
  <c r="M420" s="1"/>
  <c r="M421" s="1"/>
  <c r="M422" s="1"/>
  <c r="M423" s="1"/>
  <c r="M424" s="1"/>
  <c r="M425" s="1"/>
  <c r="M410"/>
  <c r="M411" s="1"/>
  <c r="M412" s="1"/>
  <c r="M413" s="1"/>
  <c r="M414" s="1"/>
  <c r="M415" s="1"/>
  <c r="M416" s="1"/>
  <c r="M417" s="1"/>
  <c r="M402"/>
  <c r="M403" s="1"/>
  <c r="M404" s="1"/>
  <c r="M405" s="1"/>
  <c r="M406" s="1"/>
  <c r="M407" s="1"/>
  <c r="M408" s="1"/>
  <c r="M409" s="1"/>
  <c r="M394"/>
  <c r="M395" s="1"/>
  <c r="M396" s="1"/>
  <c r="M397" s="1"/>
  <c r="M398" s="1"/>
  <c r="M399" s="1"/>
  <c r="M400" s="1"/>
  <c r="M401" s="1"/>
  <c r="M386"/>
  <c r="M387" s="1"/>
  <c r="M388" s="1"/>
  <c r="M389" s="1"/>
  <c r="M390" s="1"/>
  <c r="M391" s="1"/>
  <c r="M392" s="1"/>
  <c r="M393" s="1"/>
  <c r="M378"/>
  <c r="M379" s="1"/>
  <c r="M380" s="1"/>
  <c r="M381" s="1"/>
  <c r="M382" s="1"/>
  <c r="M383" s="1"/>
  <c r="M384" s="1"/>
  <c r="M385" s="1"/>
  <c r="M370"/>
  <c r="M371" s="1"/>
  <c r="M372" s="1"/>
  <c r="M373" s="1"/>
  <c r="M374" s="1"/>
  <c r="M375" s="1"/>
  <c r="M376" s="1"/>
  <c r="M377" s="1"/>
  <c r="O370"/>
  <c r="L377"/>
  <c r="L385" s="1"/>
  <c r="L393" s="1"/>
  <c r="L401" s="1"/>
  <c r="L409" s="1"/>
  <c r="L417" s="1"/>
  <c r="L425" s="1"/>
  <c r="L433" s="1"/>
  <c r="L441" s="1"/>
  <c r="L449" s="1"/>
  <c r="L457" s="1"/>
  <c r="L376"/>
  <c r="L384" s="1"/>
  <c r="L392" s="1"/>
  <c r="L400" s="1"/>
  <c r="L408" s="1"/>
  <c r="L416" s="1"/>
  <c r="L424" s="1"/>
  <c r="L432" s="1"/>
  <c r="L440" s="1"/>
  <c r="L448" s="1"/>
  <c r="L456" s="1"/>
  <c r="L375"/>
  <c r="L383" s="1"/>
  <c r="L391" s="1"/>
  <c r="L399" s="1"/>
  <c r="L407" s="1"/>
  <c r="L415" s="1"/>
  <c r="L423" s="1"/>
  <c r="L431" s="1"/>
  <c r="L439" s="1"/>
  <c r="L447" s="1"/>
  <c r="L455" s="1"/>
  <c r="L374"/>
  <c r="L382" s="1"/>
  <c r="L390" s="1"/>
  <c r="L398" s="1"/>
  <c r="L406" s="1"/>
  <c r="L414" s="1"/>
  <c r="L422" s="1"/>
  <c r="L430" s="1"/>
  <c r="L438" s="1"/>
  <c r="L446" s="1"/>
  <c r="L454" s="1"/>
  <c r="L373"/>
  <c r="L381" s="1"/>
  <c r="L389" s="1"/>
  <c r="L397" s="1"/>
  <c r="L405" s="1"/>
  <c r="L413" s="1"/>
  <c r="L421" s="1"/>
  <c r="L429" s="1"/>
  <c r="L437" s="1"/>
  <c r="L445" s="1"/>
  <c r="L453" s="1"/>
  <c r="L372"/>
  <c r="L380" s="1"/>
  <c r="L388" s="1"/>
  <c r="L396" s="1"/>
  <c r="L404" s="1"/>
  <c r="L412" s="1"/>
  <c r="L420" s="1"/>
  <c r="L428" s="1"/>
  <c r="L436" s="1"/>
  <c r="L444" s="1"/>
  <c r="L452" s="1"/>
  <c r="L371"/>
  <c r="L379" s="1"/>
  <c r="L387" s="1"/>
  <c r="L395" s="1"/>
  <c r="L403" s="1"/>
  <c r="L411" s="1"/>
  <c r="L419" s="1"/>
  <c r="L427" s="1"/>
  <c r="L435" s="1"/>
  <c r="L443" s="1"/>
  <c r="L451" s="1"/>
  <c r="L370"/>
  <c r="L378" s="1"/>
  <c r="L386" s="1"/>
  <c r="L394" s="1"/>
  <c r="L402" s="1"/>
  <c r="L410" s="1"/>
  <c r="L418" s="1"/>
  <c r="L426" s="1"/>
  <c r="L434" s="1"/>
  <c r="L442" s="1"/>
  <c r="L450" s="1"/>
  <c r="K377"/>
  <c r="K385" s="1"/>
  <c r="K393" s="1"/>
  <c r="K401" s="1"/>
  <c r="K409" s="1"/>
  <c r="K417" s="1"/>
  <c r="K425" s="1"/>
  <c r="K433" s="1"/>
  <c r="K441" s="1"/>
  <c r="K449" s="1"/>
  <c r="K457" s="1"/>
  <c r="K376"/>
  <c r="K384" s="1"/>
  <c r="K392" s="1"/>
  <c r="K400" s="1"/>
  <c r="K408" s="1"/>
  <c r="K416" s="1"/>
  <c r="K424" s="1"/>
  <c r="K432" s="1"/>
  <c r="K440" s="1"/>
  <c r="K448" s="1"/>
  <c r="K456" s="1"/>
  <c r="K375"/>
  <c r="K383" s="1"/>
  <c r="K391" s="1"/>
  <c r="K399" s="1"/>
  <c r="K407" s="1"/>
  <c r="K415" s="1"/>
  <c r="K423" s="1"/>
  <c r="K431" s="1"/>
  <c r="K439" s="1"/>
  <c r="K447" s="1"/>
  <c r="K455" s="1"/>
  <c r="K374"/>
  <c r="K382" s="1"/>
  <c r="K390" s="1"/>
  <c r="K398" s="1"/>
  <c r="K406" s="1"/>
  <c r="K414" s="1"/>
  <c r="K422" s="1"/>
  <c r="K430" s="1"/>
  <c r="K438" s="1"/>
  <c r="K446" s="1"/>
  <c r="K454" s="1"/>
  <c r="K373"/>
  <c r="K381" s="1"/>
  <c r="K389" s="1"/>
  <c r="K397" s="1"/>
  <c r="K405" s="1"/>
  <c r="K413" s="1"/>
  <c r="K421" s="1"/>
  <c r="K429" s="1"/>
  <c r="K437" s="1"/>
  <c r="K445" s="1"/>
  <c r="K453" s="1"/>
  <c r="K372"/>
  <c r="K380" s="1"/>
  <c r="K388" s="1"/>
  <c r="K396" s="1"/>
  <c r="K404" s="1"/>
  <c r="K412" s="1"/>
  <c r="K420" s="1"/>
  <c r="K428" s="1"/>
  <c r="K436" s="1"/>
  <c r="K444" s="1"/>
  <c r="K452" s="1"/>
  <c r="K371"/>
  <c r="K379" s="1"/>
  <c r="K387" s="1"/>
  <c r="K395" s="1"/>
  <c r="K403" s="1"/>
  <c r="K411" s="1"/>
  <c r="K419" s="1"/>
  <c r="K427" s="1"/>
  <c r="K435" s="1"/>
  <c r="K443" s="1"/>
  <c r="K451" s="1"/>
  <c r="K370"/>
  <c r="K378" s="1"/>
  <c r="K386" s="1"/>
  <c r="K394" s="1"/>
  <c r="K402" s="1"/>
  <c r="K410" s="1"/>
  <c r="K418" s="1"/>
  <c r="K426" s="1"/>
  <c r="K434" s="1"/>
  <c r="K442" s="1"/>
  <c r="K450" s="1"/>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09"/>
  <c r="L208"/>
  <c r="L207"/>
  <c r="L206"/>
  <c r="L205"/>
  <c r="L204"/>
  <c r="L203"/>
  <c r="L202"/>
  <c r="L201"/>
  <c r="L200"/>
  <c r="L199"/>
  <c r="L198"/>
  <c r="L197"/>
  <c r="L196"/>
  <c r="L195"/>
  <c r="L194"/>
  <c r="H369"/>
  <c r="G369"/>
  <c r="F369"/>
  <c r="E369"/>
  <c r="D369"/>
  <c r="C369"/>
  <c r="B369"/>
  <c r="A369"/>
  <c r="H368"/>
  <c r="G368"/>
  <c r="F368"/>
  <c r="E368"/>
  <c r="D368"/>
  <c r="C368"/>
  <c r="B368"/>
  <c r="A368"/>
  <c r="H367"/>
  <c r="G367"/>
  <c r="F367"/>
  <c r="E367"/>
  <c r="D367"/>
  <c r="C367"/>
  <c r="B367"/>
  <c r="A367"/>
  <c r="H366"/>
  <c r="G366"/>
  <c r="F366"/>
  <c r="E366"/>
  <c r="D366"/>
  <c r="C366"/>
  <c r="B366"/>
  <c r="A366"/>
  <c r="H365"/>
  <c r="G365"/>
  <c r="F365"/>
  <c r="E365"/>
  <c r="D365"/>
  <c r="C365"/>
  <c r="B365"/>
  <c r="A365"/>
  <c r="H364"/>
  <c r="G364"/>
  <c r="F364"/>
  <c r="E364"/>
  <c r="D364"/>
  <c r="C364"/>
  <c r="B364"/>
  <c r="A364"/>
  <c r="H363"/>
  <c r="G363"/>
  <c r="F363"/>
  <c r="E363"/>
  <c r="D363"/>
  <c r="C363"/>
  <c r="B363"/>
  <c r="A363"/>
  <c r="H362"/>
  <c r="G362"/>
  <c r="F362"/>
  <c r="E362"/>
  <c r="D362"/>
  <c r="C362"/>
  <c r="B362"/>
  <c r="A362"/>
  <c r="H361"/>
  <c r="G361"/>
  <c r="F361"/>
  <c r="E361"/>
  <c r="D361"/>
  <c r="C361"/>
  <c r="B361"/>
  <c r="A361"/>
  <c r="H360"/>
  <c r="G360"/>
  <c r="F360"/>
  <c r="E360"/>
  <c r="D360"/>
  <c r="C360"/>
  <c r="B360"/>
  <c r="A360"/>
  <c r="H359"/>
  <c r="G359"/>
  <c r="F359"/>
  <c r="E359"/>
  <c r="D359"/>
  <c r="C359"/>
  <c r="B359"/>
  <c r="A359"/>
  <c r="H358"/>
  <c r="G358"/>
  <c r="F358"/>
  <c r="E358"/>
  <c r="D358"/>
  <c r="C358"/>
  <c r="B358"/>
  <c r="A358"/>
  <c r="H357"/>
  <c r="G357"/>
  <c r="F357"/>
  <c r="E357"/>
  <c r="D357"/>
  <c r="C357"/>
  <c r="B357"/>
  <c r="A357"/>
  <c r="H356"/>
  <c r="G356"/>
  <c r="F356"/>
  <c r="E356"/>
  <c r="D356"/>
  <c r="C356"/>
  <c r="B356"/>
  <c r="A356"/>
  <c r="H355"/>
  <c r="G355"/>
  <c r="F355"/>
  <c r="E355"/>
  <c r="D355"/>
  <c r="C355"/>
  <c r="B355"/>
  <c r="A355"/>
  <c r="H354"/>
  <c r="G354"/>
  <c r="F354"/>
  <c r="E354"/>
  <c r="D354"/>
  <c r="C354"/>
  <c r="B354"/>
  <c r="A354"/>
  <c r="H353"/>
  <c r="G353"/>
  <c r="F353"/>
  <c r="E353"/>
  <c r="D353"/>
  <c r="C353"/>
  <c r="B353"/>
  <c r="A353"/>
  <c r="H352"/>
  <c r="G352"/>
  <c r="F352"/>
  <c r="E352"/>
  <c r="D352"/>
  <c r="C352"/>
  <c r="B352"/>
  <c r="A352"/>
  <c r="H351"/>
  <c r="G351"/>
  <c r="F351"/>
  <c r="E351"/>
  <c r="D351"/>
  <c r="C351"/>
  <c r="B351"/>
  <c r="A351"/>
  <c r="H350"/>
  <c r="G350"/>
  <c r="F350"/>
  <c r="E350"/>
  <c r="D350"/>
  <c r="C350"/>
  <c r="B350"/>
  <c r="A350"/>
  <c r="H349"/>
  <c r="G349"/>
  <c r="F349"/>
  <c r="E349"/>
  <c r="D349"/>
  <c r="C349"/>
  <c r="B349"/>
  <c r="A349"/>
  <c r="H348"/>
  <c r="G348"/>
  <c r="F348"/>
  <c r="E348"/>
  <c r="D348"/>
  <c r="C348"/>
  <c r="B348"/>
  <c r="A348"/>
  <c r="H347"/>
  <c r="G347"/>
  <c r="F347"/>
  <c r="E347"/>
  <c r="D347"/>
  <c r="C347"/>
  <c r="B347"/>
  <c r="A347"/>
  <c r="H346"/>
  <c r="G346"/>
  <c r="F346"/>
  <c r="E346"/>
  <c r="D346"/>
  <c r="C346"/>
  <c r="B346"/>
  <c r="A346"/>
  <c r="H345"/>
  <c r="G345"/>
  <c r="F345"/>
  <c r="E345"/>
  <c r="D345"/>
  <c r="C345"/>
  <c r="B345"/>
  <c r="A345"/>
  <c r="H344"/>
  <c r="G344"/>
  <c r="F344"/>
  <c r="E344"/>
  <c r="D344"/>
  <c r="C344"/>
  <c r="B344"/>
  <c r="A344"/>
  <c r="H343"/>
  <c r="G343"/>
  <c r="F343"/>
  <c r="E343"/>
  <c r="D343"/>
  <c r="C343"/>
  <c r="B343"/>
  <c r="A343"/>
  <c r="H342"/>
  <c r="G342"/>
  <c r="F342"/>
  <c r="E342"/>
  <c r="D342"/>
  <c r="C342"/>
  <c r="B342"/>
  <c r="A342"/>
  <c r="H341"/>
  <c r="G341"/>
  <c r="F341"/>
  <c r="E341"/>
  <c r="D341"/>
  <c r="C341"/>
  <c r="B341"/>
  <c r="A341"/>
  <c r="H340"/>
  <c r="G340"/>
  <c r="F340"/>
  <c r="E340"/>
  <c r="D340"/>
  <c r="C340"/>
  <c r="B340"/>
  <c r="A340"/>
  <c r="H339"/>
  <c r="G339"/>
  <c r="F339"/>
  <c r="E339"/>
  <c r="D339"/>
  <c r="C339"/>
  <c r="B339"/>
  <c r="A339"/>
  <c r="H338"/>
  <c r="G338"/>
  <c r="F338"/>
  <c r="E338"/>
  <c r="D338"/>
  <c r="C338"/>
  <c r="B338"/>
  <c r="A338"/>
  <c r="H337"/>
  <c r="G337"/>
  <c r="F337"/>
  <c r="E337"/>
  <c r="D337"/>
  <c r="C337"/>
  <c r="B337"/>
  <c r="A337"/>
  <c r="H336"/>
  <c r="G336"/>
  <c r="F336"/>
  <c r="E336"/>
  <c r="D336"/>
  <c r="C336"/>
  <c r="B336"/>
  <c r="A336"/>
  <c r="H335"/>
  <c r="G335"/>
  <c r="F335"/>
  <c r="E335"/>
  <c r="D335"/>
  <c r="C335"/>
  <c r="B335"/>
  <c r="A335"/>
  <c r="H334"/>
  <c r="G334"/>
  <c r="F334"/>
  <c r="E334"/>
  <c r="D334"/>
  <c r="C334"/>
  <c r="B334"/>
  <c r="A334"/>
  <c r="H333"/>
  <c r="G333"/>
  <c r="F333"/>
  <c r="E333"/>
  <c r="D333"/>
  <c r="C333"/>
  <c r="B333"/>
  <c r="A333"/>
  <c r="H332"/>
  <c r="G332"/>
  <c r="F332"/>
  <c r="E332"/>
  <c r="D332"/>
  <c r="C332"/>
  <c r="B332"/>
  <c r="A332"/>
  <c r="H331"/>
  <c r="G331"/>
  <c r="F331"/>
  <c r="E331"/>
  <c r="D331"/>
  <c r="C331"/>
  <c r="B331"/>
  <c r="A331"/>
  <c r="H330"/>
  <c r="G330"/>
  <c r="F330"/>
  <c r="E330"/>
  <c r="D330"/>
  <c r="C330"/>
  <c r="B330"/>
  <c r="A330"/>
  <c r="H329"/>
  <c r="G329"/>
  <c r="F329"/>
  <c r="E329"/>
  <c r="D329"/>
  <c r="C329"/>
  <c r="B329"/>
  <c r="A329"/>
  <c r="H328"/>
  <c r="G328"/>
  <c r="F328"/>
  <c r="E328"/>
  <c r="D328"/>
  <c r="C328"/>
  <c r="B328"/>
  <c r="A328"/>
  <c r="H327"/>
  <c r="G327"/>
  <c r="F327"/>
  <c r="E327"/>
  <c r="D327"/>
  <c r="C327"/>
  <c r="B327"/>
  <c r="A327"/>
  <c r="H326"/>
  <c r="G326"/>
  <c r="F326"/>
  <c r="E326"/>
  <c r="D326"/>
  <c r="C326"/>
  <c r="B326"/>
  <c r="A326"/>
  <c r="H325"/>
  <c r="G325"/>
  <c r="F325"/>
  <c r="E325"/>
  <c r="D325"/>
  <c r="C325"/>
  <c r="B325"/>
  <c r="A325"/>
  <c r="H324"/>
  <c r="G324"/>
  <c r="F324"/>
  <c r="E324"/>
  <c r="D324"/>
  <c r="C324"/>
  <c r="B324"/>
  <c r="A324"/>
  <c r="H323"/>
  <c r="G323"/>
  <c r="F323"/>
  <c r="E323"/>
  <c r="D323"/>
  <c r="C323"/>
  <c r="B323"/>
  <c r="A323"/>
  <c r="H322"/>
  <c r="G322"/>
  <c r="F322"/>
  <c r="E322"/>
  <c r="D322"/>
  <c r="C322"/>
  <c r="B322"/>
  <c r="A322"/>
  <c r="H321"/>
  <c r="G321"/>
  <c r="F321"/>
  <c r="E321"/>
  <c r="D321"/>
  <c r="C321"/>
  <c r="B321"/>
  <c r="A321"/>
  <c r="H320"/>
  <c r="G320"/>
  <c r="F320"/>
  <c r="E320"/>
  <c r="D320"/>
  <c r="C320"/>
  <c r="B320"/>
  <c r="A320"/>
  <c r="H319"/>
  <c r="G319"/>
  <c r="F319"/>
  <c r="E319"/>
  <c r="D319"/>
  <c r="C319"/>
  <c r="B319"/>
  <c r="A319"/>
  <c r="H318"/>
  <c r="G318"/>
  <c r="F318"/>
  <c r="E318"/>
  <c r="D318"/>
  <c r="C318"/>
  <c r="B318"/>
  <c r="A318"/>
  <c r="H317"/>
  <c r="G317"/>
  <c r="F317"/>
  <c r="E317"/>
  <c r="D317"/>
  <c r="C317"/>
  <c r="B317"/>
  <c r="A317"/>
  <c r="H316"/>
  <c r="G316"/>
  <c r="F316"/>
  <c r="E316"/>
  <c r="D316"/>
  <c r="C316"/>
  <c r="B316"/>
  <c r="A316"/>
  <c r="H315"/>
  <c r="G315"/>
  <c r="F315"/>
  <c r="E315"/>
  <c r="D315"/>
  <c r="C315"/>
  <c r="B315"/>
  <c r="A315"/>
  <c r="H314"/>
  <c r="G314"/>
  <c r="F314"/>
  <c r="E314"/>
  <c r="D314"/>
  <c r="C314"/>
  <c r="B314"/>
  <c r="A314"/>
  <c r="H313"/>
  <c r="G313"/>
  <c r="F313"/>
  <c r="E313"/>
  <c r="D313"/>
  <c r="C313"/>
  <c r="B313"/>
  <c r="A313"/>
  <c r="H312"/>
  <c r="G312"/>
  <c r="F312"/>
  <c r="E312"/>
  <c r="D312"/>
  <c r="C312"/>
  <c r="B312"/>
  <c r="A312"/>
  <c r="H311"/>
  <c r="G311"/>
  <c r="F311"/>
  <c r="E311"/>
  <c r="D311"/>
  <c r="C311"/>
  <c r="B311"/>
  <c r="A311"/>
  <c r="H310"/>
  <c r="G310"/>
  <c r="F310"/>
  <c r="E310"/>
  <c r="D310"/>
  <c r="C310"/>
  <c r="B310"/>
  <c r="A310"/>
  <c r="H309"/>
  <c r="G309"/>
  <c r="F309"/>
  <c r="E309"/>
  <c r="D309"/>
  <c r="C309"/>
  <c r="B309"/>
  <c r="A309"/>
  <c r="H308"/>
  <c r="G308"/>
  <c r="F308"/>
  <c r="E308"/>
  <c r="D308"/>
  <c r="C308"/>
  <c r="B308"/>
  <c r="A308"/>
  <c r="H307"/>
  <c r="G307"/>
  <c r="F307"/>
  <c r="E307"/>
  <c r="D307"/>
  <c r="C307"/>
  <c r="B307"/>
  <c r="A307"/>
  <c r="H306"/>
  <c r="G306"/>
  <c r="F306"/>
  <c r="E306"/>
  <c r="D306"/>
  <c r="C306"/>
  <c r="B306"/>
  <c r="A306"/>
  <c r="H305"/>
  <c r="G305"/>
  <c r="F305"/>
  <c r="E305"/>
  <c r="D305"/>
  <c r="C305"/>
  <c r="B305"/>
  <c r="A305"/>
  <c r="H304"/>
  <c r="G304"/>
  <c r="F304"/>
  <c r="E304"/>
  <c r="D304"/>
  <c r="C304"/>
  <c r="B304"/>
  <c r="A304"/>
  <c r="H303"/>
  <c r="G303"/>
  <c r="F303"/>
  <c r="E303"/>
  <c r="D303"/>
  <c r="C303"/>
  <c r="B303"/>
  <c r="A303"/>
  <c r="H302"/>
  <c r="G302"/>
  <c r="F302"/>
  <c r="E302"/>
  <c r="D302"/>
  <c r="C302"/>
  <c r="B302"/>
  <c r="A302"/>
  <c r="H301"/>
  <c r="G301"/>
  <c r="F301"/>
  <c r="E301"/>
  <c r="D301"/>
  <c r="C301"/>
  <c r="B301"/>
  <c r="A301"/>
  <c r="H300"/>
  <c r="G300"/>
  <c r="F300"/>
  <c r="E300"/>
  <c r="D300"/>
  <c r="C300"/>
  <c r="B300"/>
  <c r="A300"/>
  <c r="H299"/>
  <c r="G299"/>
  <c r="F299"/>
  <c r="E299"/>
  <c r="D299"/>
  <c r="C299"/>
  <c r="B299"/>
  <c r="A299"/>
  <c r="H298"/>
  <c r="G298"/>
  <c r="F298"/>
  <c r="E298"/>
  <c r="D298"/>
  <c r="C298"/>
  <c r="B298"/>
  <c r="A298"/>
  <c r="H297"/>
  <c r="G297"/>
  <c r="F297"/>
  <c r="E297"/>
  <c r="D297"/>
  <c r="C297"/>
  <c r="B297"/>
  <c r="A297"/>
  <c r="H296"/>
  <c r="G296"/>
  <c r="F296"/>
  <c r="E296"/>
  <c r="D296"/>
  <c r="C296"/>
  <c r="B296"/>
  <c r="A296"/>
  <c r="H295"/>
  <c r="G295"/>
  <c r="F295"/>
  <c r="E295"/>
  <c r="D295"/>
  <c r="C295"/>
  <c r="B295"/>
  <c r="A295"/>
  <c r="H294"/>
  <c r="G294"/>
  <c r="F294"/>
  <c r="E294"/>
  <c r="D294"/>
  <c r="C294"/>
  <c r="B294"/>
  <c r="A294"/>
  <c r="H293"/>
  <c r="G293"/>
  <c r="F293"/>
  <c r="E293"/>
  <c r="D293"/>
  <c r="C293"/>
  <c r="B293"/>
  <c r="A293"/>
  <c r="H292"/>
  <c r="G292"/>
  <c r="F292"/>
  <c r="E292"/>
  <c r="D292"/>
  <c r="C292"/>
  <c r="B292"/>
  <c r="A292"/>
  <c r="H291"/>
  <c r="G291"/>
  <c r="F291"/>
  <c r="E291"/>
  <c r="D291"/>
  <c r="C291"/>
  <c r="B291"/>
  <c r="A291"/>
  <c r="H290"/>
  <c r="G290"/>
  <c r="F290"/>
  <c r="E290"/>
  <c r="D290"/>
  <c r="C290"/>
  <c r="B290"/>
  <c r="A290"/>
  <c r="H289"/>
  <c r="G289"/>
  <c r="F289"/>
  <c r="E289"/>
  <c r="D289"/>
  <c r="C289"/>
  <c r="B289"/>
  <c r="A289"/>
  <c r="H288"/>
  <c r="G288"/>
  <c r="F288"/>
  <c r="E288"/>
  <c r="D288"/>
  <c r="C288"/>
  <c r="B288"/>
  <c r="A288"/>
  <c r="H287"/>
  <c r="G287"/>
  <c r="F287"/>
  <c r="E287"/>
  <c r="D287"/>
  <c r="C287"/>
  <c r="B287"/>
  <c r="A287"/>
  <c r="H286"/>
  <c r="G286"/>
  <c r="F286"/>
  <c r="E286"/>
  <c r="D286"/>
  <c r="C286"/>
  <c r="B286"/>
  <c r="A286"/>
  <c r="H285"/>
  <c r="G285"/>
  <c r="F285"/>
  <c r="E285"/>
  <c r="D285"/>
  <c r="C285"/>
  <c r="B285"/>
  <c r="A285"/>
  <c r="H284"/>
  <c r="G284"/>
  <c r="F284"/>
  <c r="E284"/>
  <c r="D284"/>
  <c r="C284"/>
  <c r="B284"/>
  <c r="A284"/>
  <c r="H283"/>
  <c r="G283"/>
  <c r="F283"/>
  <c r="E283"/>
  <c r="D283"/>
  <c r="C283"/>
  <c r="B283"/>
  <c r="A283"/>
  <c r="H282"/>
  <c r="G282"/>
  <c r="F282"/>
  <c r="E282"/>
  <c r="D282"/>
  <c r="C282"/>
  <c r="B282"/>
  <c r="A282"/>
  <c r="H281"/>
  <c r="G281"/>
  <c r="F281"/>
  <c r="E281"/>
  <c r="D281"/>
  <c r="C281"/>
  <c r="B281"/>
  <c r="A281"/>
  <c r="H280"/>
  <c r="G280"/>
  <c r="F280"/>
  <c r="E280"/>
  <c r="D280"/>
  <c r="C280"/>
  <c r="B280"/>
  <c r="A280"/>
  <c r="H279"/>
  <c r="G279"/>
  <c r="F279"/>
  <c r="E279"/>
  <c r="D279"/>
  <c r="C279"/>
  <c r="B279"/>
  <c r="A279"/>
  <c r="H278"/>
  <c r="G278"/>
  <c r="F278"/>
  <c r="E278"/>
  <c r="D278"/>
  <c r="C278"/>
  <c r="B278"/>
  <c r="A278"/>
  <c r="H277"/>
  <c r="G277"/>
  <c r="F277"/>
  <c r="E277"/>
  <c r="D277"/>
  <c r="C277"/>
  <c r="B277"/>
  <c r="A277"/>
  <c r="H276"/>
  <c r="G276"/>
  <c r="F276"/>
  <c r="E276"/>
  <c r="D276"/>
  <c r="C276"/>
  <c r="B276"/>
  <c r="A276"/>
  <c r="H275"/>
  <c r="G275"/>
  <c r="F275"/>
  <c r="E275"/>
  <c r="D275"/>
  <c r="C275"/>
  <c r="B275"/>
  <c r="A275"/>
  <c r="H274"/>
  <c r="G274"/>
  <c r="F274"/>
  <c r="E274"/>
  <c r="D274"/>
  <c r="C274"/>
  <c r="B274"/>
  <c r="A274"/>
  <c r="H273"/>
  <c r="G273"/>
  <c r="F273"/>
  <c r="E273"/>
  <c r="D273"/>
  <c r="C273"/>
  <c r="B273"/>
  <c r="A273"/>
  <c r="H272"/>
  <c r="G272"/>
  <c r="F272"/>
  <c r="E272"/>
  <c r="D272"/>
  <c r="C272"/>
  <c r="B272"/>
  <c r="A272"/>
  <c r="H271"/>
  <c r="G271"/>
  <c r="F271"/>
  <c r="E271"/>
  <c r="D271"/>
  <c r="C271"/>
  <c r="B271"/>
  <c r="A271"/>
  <c r="H270"/>
  <c r="G270"/>
  <c r="F270"/>
  <c r="E270"/>
  <c r="D270"/>
  <c r="C270"/>
  <c r="B270"/>
  <c r="A270"/>
  <c r="H269"/>
  <c r="G269"/>
  <c r="F269"/>
  <c r="E269"/>
  <c r="D269"/>
  <c r="C269"/>
  <c r="B269"/>
  <c r="A269"/>
  <c r="H268"/>
  <c r="G268"/>
  <c r="F268"/>
  <c r="E268"/>
  <c r="D268"/>
  <c r="C268"/>
  <c r="B268"/>
  <c r="A268"/>
  <c r="H267"/>
  <c r="G267"/>
  <c r="F267"/>
  <c r="E267"/>
  <c r="D267"/>
  <c r="C267"/>
  <c r="B267"/>
  <c r="A267"/>
  <c r="H266"/>
  <c r="G266"/>
  <c r="F266"/>
  <c r="E266"/>
  <c r="D266"/>
  <c r="C266"/>
  <c r="B266"/>
  <c r="A266"/>
  <c r="H265"/>
  <c r="G265"/>
  <c r="F265"/>
  <c r="E265"/>
  <c r="D265"/>
  <c r="C265"/>
  <c r="B265"/>
  <c r="A265"/>
  <c r="H264"/>
  <c r="G264"/>
  <c r="F264"/>
  <c r="E264"/>
  <c r="D264"/>
  <c r="C264"/>
  <c r="B264"/>
  <c r="A264"/>
  <c r="H263"/>
  <c r="G263"/>
  <c r="F263"/>
  <c r="E263"/>
  <c r="D263"/>
  <c r="C263"/>
  <c r="B263"/>
  <c r="A263"/>
  <c r="H262"/>
  <c r="G262"/>
  <c r="F262"/>
  <c r="E262"/>
  <c r="D262"/>
  <c r="C262"/>
  <c r="B262"/>
  <c r="A262"/>
  <c r="H261"/>
  <c r="G261"/>
  <c r="F261"/>
  <c r="E261"/>
  <c r="D261"/>
  <c r="C261"/>
  <c r="B261"/>
  <c r="A261"/>
  <c r="H260"/>
  <c r="G260"/>
  <c r="F260"/>
  <c r="E260"/>
  <c r="D260"/>
  <c r="C260"/>
  <c r="B260"/>
  <c r="A260"/>
  <c r="H259"/>
  <c r="G259"/>
  <c r="F259"/>
  <c r="E259"/>
  <c r="D259"/>
  <c r="C259"/>
  <c r="B259"/>
  <c r="A259"/>
  <c r="H258"/>
  <c r="G258"/>
  <c r="F258"/>
  <c r="E258"/>
  <c r="D258"/>
  <c r="C258"/>
  <c r="B258"/>
  <c r="A258"/>
  <c r="H257"/>
  <c r="G257"/>
  <c r="F257"/>
  <c r="E257"/>
  <c r="D257"/>
  <c r="C257"/>
  <c r="B257"/>
  <c r="A257"/>
  <c r="H256"/>
  <c r="G256"/>
  <c r="F256"/>
  <c r="E256"/>
  <c r="D256"/>
  <c r="C256"/>
  <c r="B256"/>
  <c r="A256"/>
  <c r="H255"/>
  <c r="G255"/>
  <c r="F255"/>
  <c r="E255"/>
  <c r="D255"/>
  <c r="C255"/>
  <c r="B255"/>
  <c r="A255"/>
  <c r="H254"/>
  <c r="G254"/>
  <c r="F254"/>
  <c r="E254"/>
  <c r="D254"/>
  <c r="C254"/>
  <c r="B254"/>
  <c r="A254"/>
  <c r="H253"/>
  <c r="G253"/>
  <c r="F253"/>
  <c r="E253"/>
  <c r="D253"/>
  <c r="C253"/>
  <c r="B253"/>
  <c r="A253"/>
  <c r="H252"/>
  <c r="G252"/>
  <c r="F252"/>
  <c r="E252"/>
  <c r="D252"/>
  <c r="C252"/>
  <c r="B252"/>
  <c r="A252"/>
  <c r="H251"/>
  <c r="G251"/>
  <c r="F251"/>
  <c r="E251"/>
  <c r="D251"/>
  <c r="C251"/>
  <c r="B251"/>
  <c r="A251"/>
  <c r="H250"/>
  <c r="G250"/>
  <c r="F250"/>
  <c r="E250"/>
  <c r="D250"/>
  <c r="C250"/>
  <c r="B250"/>
  <c r="A250"/>
  <c r="H249"/>
  <c r="G249"/>
  <c r="F249"/>
  <c r="E249"/>
  <c r="D249"/>
  <c r="C249"/>
  <c r="B249"/>
  <c r="A249"/>
  <c r="H248"/>
  <c r="G248"/>
  <c r="F248"/>
  <c r="E248"/>
  <c r="D248"/>
  <c r="C248"/>
  <c r="B248"/>
  <c r="A248"/>
  <c r="H247"/>
  <c r="G247"/>
  <c r="F247"/>
  <c r="E247"/>
  <c r="D247"/>
  <c r="C247"/>
  <c r="B247"/>
  <c r="A247"/>
  <c r="H246"/>
  <c r="G246"/>
  <c r="F246"/>
  <c r="E246"/>
  <c r="D246"/>
  <c r="C246"/>
  <c r="B246"/>
  <c r="A246"/>
  <c r="H245"/>
  <c r="G245"/>
  <c r="F245"/>
  <c r="E245"/>
  <c r="D245"/>
  <c r="C245"/>
  <c r="B245"/>
  <c r="A245"/>
  <c r="H244"/>
  <c r="G244"/>
  <c r="F244"/>
  <c r="E244"/>
  <c r="D244"/>
  <c r="C244"/>
  <c r="B244"/>
  <c r="A244"/>
  <c r="H243"/>
  <c r="G243"/>
  <c r="F243"/>
  <c r="E243"/>
  <c r="D243"/>
  <c r="C243"/>
  <c r="B243"/>
  <c r="A243"/>
  <c r="H242"/>
  <c r="G242"/>
  <c r="F242"/>
  <c r="E242"/>
  <c r="D242"/>
  <c r="C242"/>
  <c r="B242"/>
  <c r="A242"/>
  <c r="H241"/>
  <c r="G241"/>
  <c r="F241"/>
  <c r="E241"/>
  <c r="D241"/>
  <c r="C241"/>
  <c r="B241"/>
  <c r="A241"/>
  <c r="H240"/>
  <c r="G240"/>
  <c r="F240"/>
  <c r="E240"/>
  <c r="D240"/>
  <c r="C240"/>
  <c r="B240"/>
  <c r="A240"/>
  <c r="H239"/>
  <c r="G239"/>
  <c r="F239"/>
  <c r="E239"/>
  <c r="D239"/>
  <c r="C239"/>
  <c r="B239"/>
  <c r="A239"/>
  <c r="H238"/>
  <c r="G238"/>
  <c r="F238"/>
  <c r="E238"/>
  <c r="D238"/>
  <c r="C238"/>
  <c r="B238"/>
  <c r="A238"/>
  <c r="H237"/>
  <c r="G237"/>
  <c r="F237"/>
  <c r="E237"/>
  <c r="D237"/>
  <c r="C237"/>
  <c r="B237"/>
  <c r="A237"/>
  <c r="H236"/>
  <c r="G236"/>
  <c r="F236"/>
  <c r="E236"/>
  <c r="D236"/>
  <c r="C236"/>
  <c r="B236"/>
  <c r="A236"/>
  <c r="H235"/>
  <c r="G235"/>
  <c r="F235"/>
  <c r="E235"/>
  <c r="D235"/>
  <c r="C235"/>
  <c r="B235"/>
  <c r="A235"/>
  <c r="H234"/>
  <c r="G234"/>
  <c r="F234"/>
  <c r="E234"/>
  <c r="D234"/>
  <c r="C234"/>
  <c r="B234"/>
  <c r="A234"/>
  <c r="H233"/>
  <c r="G233"/>
  <c r="F233"/>
  <c r="E233"/>
  <c r="D233"/>
  <c r="C233"/>
  <c r="B233"/>
  <c r="A233"/>
  <c r="H232"/>
  <c r="G232"/>
  <c r="F232"/>
  <c r="E232"/>
  <c r="D232"/>
  <c r="C232"/>
  <c r="B232"/>
  <c r="A232"/>
  <c r="H231"/>
  <c r="G231"/>
  <c r="F231"/>
  <c r="E231"/>
  <c r="D231"/>
  <c r="C231"/>
  <c r="B231"/>
  <c r="A231"/>
  <c r="H230"/>
  <c r="G230"/>
  <c r="F230"/>
  <c r="E230"/>
  <c r="D230"/>
  <c r="C230"/>
  <c r="B230"/>
  <c r="A230"/>
  <c r="H229"/>
  <c r="G229"/>
  <c r="F229"/>
  <c r="E229"/>
  <c r="D229"/>
  <c r="C229"/>
  <c r="B229"/>
  <c r="A229"/>
  <c r="H228"/>
  <c r="G228"/>
  <c r="F228"/>
  <c r="E228"/>
  <c r="D228"/>
  <c r="C228"/>
  <c r="B228"/>
  <c r="A228"/>
  <c r="H227"/>
  <c r="G227"/>
  <c r="F227"/>
  <c r="E227"/>
  <c r="D227"/>
  <c r="C227"/>
  <c r="B227"/>
  <c r="A227"/>
  <c r="H226"/>
  <c r="G226"/>
  <c r="F226"/>
  <c r="E226"/>
  <c r="D226"/>
  <c r="C226"/>
  <c r="B226"/>
  <c r="A226"/>
  <c r="H225"/>
  <c r="G225"/>
  <c r="F225"/>
  <c r="E225"/>
  <c r="D225"/>
  <c r="C225"/>
  <c r="B225"/>
  <c r="A225"/>
  <c r="H224"/>
  <c r="G224"/>
  <c r="F224"/>
  <c r="E224"/>
  <c r="D224"/>
  <c r="C224"/>
  <c r="B224"/>
  <c r="A224"/>
  <c r="H223"/>
  <c r="G223"/>
  <c r="F223"/>
  <c r="E223"/>
  <c r="D223"/>
  <c r="C223"/>
  <c r="B223"/>
  <c r="A223"/>
  <c r="H222"/>
  <c r="G222"/>
  <c r="F222"/>
  <c r="E222"/>
  <c r="D222"/>
  <c r="C222"/>
  <c r="B222"/>
  <c r="A222"/>
  <c r="H221"/>
  <c r="G221"/>
  <c r="F221"/>
  <c r="E221"/>
  <c r="D221"/>
  <c r="C221"/>
  <c r="B221"/>
  <c r="A221"/>
  <c r="H220"/>
  <c r="G220"/>
  <c r="F220"/>
  <c r="E220"/>
  <c r="D220"/>
  <c r="C220"/>
  <c r="B220"/>
  <c r="A220"/>
  <c r="H219"/>
  <c r="G219"/>
  <c r="F219"/>
  <c r="E219"/>
  <c r="D219"/>
  <c r="C219"/>
  <c r="B219"/>
  <c r="A219"/>
  <c r="H218"/>
  <c r="G218"/>
  <c r="F218"/>
  <c r="E218"/>
  <c r="D218"/>
  <c r="C218"/>
  <c r="B218"/>
  <c r="A218"/>
  <c r="H217"/>
  <c r="G217"/>
  <c r="F217"/>
  <c r="E217"/>
  <c r="D217"/>
  <c r="C217"/>
  <c r="B217"/>
  <c r="A217"/>
  <c r="H216"/>
  <c r="G216"/>
  <c r="F216"/>
  <c r="E216"/>
  <c r="D216"/>
  <c r="C216"/>
  <c r="B216"/>
  <c r="A216"/>
  <c r="H215"/>
  <c r="G215"/>
  <c r="F215"/>
  <c r="E215"/>
  <c r="D215"/>
  <c r="C215"/>
  <c r="B215"/>
  <c r="A215"/>
  <c r="H214"/>
  <c r="G214"/>
  <c r="F214"/>
  <c r="E214"/>
  <c r="D214"/>
  <c r="C214"/>
  <c r="B214"/>
  <c r="A214"/>
  <c r="H213"/>
  <c r="G213"/>
  <c r="F213"/>
  <c r="E213"/>
  <c r="D213"/>
  <c r="C213"/>
  <c r="B213"/>
  <c r="A213"/>
  <c r="H212"/>
  <c r="G212"/>
  <c r="F212"/>
  <c r="E212"/>
  <c r="D212"/>
  <c r="C212"/>
  <c r="B212"/>
  <c r="A212"/>
  <c r="H211"/>
  <c r="G211"/>
  <c r="F211"/>
  <c r="E211"/>
  <c r="D211"/>
  <c r="C211"/>
  <c r="B211"/>
  <c r="A211"/>
  <c r="H210"/>
  <c r="G210"/>
  <c r="F210"/>
  <c r="E210"/>
  <c r="D210"/>
  <c r="C210"/>
  <c r="B210"/>
  <c r="A210"/>
  <c r="H209"/>
  <c r="G209"/>
  <c r="F209"/>
  <c r="E209"/>
  <c r="D209"/>
  <c r="C209"/>
  <c r="B209"/>
  <c r="A209"/>
  <c r="H208"/>
  <c r="G208"/>
  <c r="F208"/>
  <c r="E208"/>
  <c r="D208"/>
  <c r="C208"/>
  <c r="B208"/>
  <c r="A208"/>
  <c r="H207"/>
  <c r="G207"/>
  <c r="F207"/>
  <c r="E207"/>
  <c r="D207"/>
  <c r="C207"/>
  <c r="B207"/>
  <c r="A207"/>
  <c r="H206"/>
  <c r="G206"/>
  <c r="F206"/>
  <c r="E206"/>
  <c r="D206"/>
  <c r="C206"/>
  <c r="B206"/>
  <c r="A206"/>
  <c r="H205"/>
  <c r="G205"/>
  <c r="F205"/>
  <c r="E205"/>
  <c r="D205"/>
  <c r="C205"/>
  <c r="B205"/>
  <c r="A205"/>
  <c r="H204"/>
  <c r="G204"/>
  <c r="F204"/>
  <c r="E204"/>
  <c r="D204"/>
  <c r="C204"/>
  <c r="B204"/>
  <c r="A204"/>
  <c r="H203"/>
  <c r="G203"/>
  <c r="F203"/>
  <c r="E203"/>
  <c r="D203"/>
  <c r="C203"/>
  <c r="B203"/>
  <c r="A203"/>
  <c r="H202"/>
  <c r="G202"/>
  <c r="F202"/>
  <c r="E202"/>
  <c r="D202"/>
  <c r="C202"/>
  <c r="B202"/>
  <c r="A202"/>
  <c r="H201"/>
  <c r="G201"/>
  <c r="F201"/>
  <c r="E201"/>
  <c r="D201"/>
  <c r="C201"/>
  <c r="B201"/>
  <c r="A201"/>
  <c r="H200"/>
  <c r="G200"/>
  <c r="F200"/>
  <c r="E200"/>
  <c r="D200"/>
  <c r="C200"/>
  <c r="B200"/>
  <c r="A200"/>
  <c r="H199"/>
  <c r="G199"/>
  <c r="F199"/>
  <c r="E199"/>
  <c r="D199"/>
  <c r="C199"/>
  <c r="B199"/>
  <c r="A199"/>
  <c r="H198"/>
  <c r="G198"/>
  <c r="F198"/>
  <c r="E198"/>
  <c r="D198"/>
  <c r="C198"/>
  <c r="B198"/>
  <c r="A198"/>
  <c r="H197"/>
  <c r="G197"/>
  <c r="F197"/>
  <c r="E197"/>
  <c r="D197"/>
  <c r="C197"/>
  <c r="B197"/>
  <c r="A197"/>
  <c r="H196"/>
  <c r="G196"/>
  <c r="F196"/>
  <c r="E196"/>
  <c r="D196"/>
  <c r="C196"/>
  <c r="B196"/>
  <c r="A196"/>
  <c r="H195"/>
  <c r="G195"/>
  <c r="F195"/>
  <c r="E195"/>
  <c r="D195"/>
  <c r="C195"/>
  <c r="B195"/>
  <c r="A195"/>
  <c r="H194"/>
  <c r="G194"/>
  <c r="F194"/>
  <c r="E194"/>
  <c r="D194"/>
  <c r="C194"/>
  <c r="B194"/>
  <c r="A194"/>
  <c r="P210"/>
  <c r="P211" s="1"/>
  <c r="P212" s="1"/>
  <c r="P213" s="1"/>
  <c r="P214" s="1"/>
  <c r="P215" s="1"/>
  <c r="P216" s="1"/>
  <c r="P217" s="1"/>
  <c r="P218" s="1"/>
  <c r="P219" s="1"/>
  <c r="P220" s="1"/>
  <c r="P221" s="1"/>
  <c r="P222" s="1"/>
  <c r="P223" s="1"/>
  <c r="P224" s="1"/>
  <c r="P225" s="1"/>
  <c r="P194"/>
  <c r="P195" s="1"/>
  <c r="P196" s="1"/>
  <c r="P197" s="1"/>
  <c r="P198" s="1"/>
  <c r="P199" s="1"/>
  <c r="P200" s="1"/>
  <c r="P201" s="1"/>
  <c r="P202" s="1"/>
  <c r="P203" s="1"/>
  <c r="P204" s="1"/>
  <c r="P205" s="1"/>
  <c r="P206" s="1"/>
  <c r="P207" s="1"/>
  <c r="P208" s="1"/>
  <c r="P209" s="1"/>
  <c r="P226"/>
  <c r="P227" s="1"/>
  <c r="P228" s="1"/>
  <c r="P229" s="1"/>
  <c r="P230" s="1"/>
  <c r="P231" s="1"/>
  <c r="P232" s="1"/>
  <c r="P233" s="1"/>
  <c r="P234" s="1"/>
  <c r="P235" s="1"/>
  <c r="P236" s="1"/>
  <c r="P237" s="1"/>
  <c r="P238" s="1"/>
  <c r="P239" s="1"/>
  <c r="P240" s="1"/>
  <c r="P241" s="1"/>
  <c r="P242"/>
  <c r="P243" s="1"/>
  <c r="P244" s="1"/>
  <c r="P245" s="1"/>
  <c r="P246" s="1"/>
  <c r="P247" s="1"/>
  <c r="P248" s="1"/>
  <c r="P249" s="1"/>
  <c r="P250" s="1"/>
  <c r="P251" s="1"/>
  <c r="P252" s="1"/>
  <c r="P253" s="1"/>
  <c r="P254" s="1"/>
  <c r="P255" s="1"/>
  <c r="P256" s="1"/>
  <c r="P257" s="1"/>
  <c r="P258"/>
  <c r="P259" s="1"/>
  <c r="P260" s="1"/>
  <c r="P261" s="1"/>
  <c r="P262" s="1"/>
  <c r="P263" s="1"/>
  <c r="P264" s="1"/>
  <c r="P265" s="1"/>
  <c r="P266" s="1"/>
  <c r="P267" s="1"/>
  <c r="P268" s="1"/>
  <c r="P269" s="1"/>
  <c r="P270" s="1"/>
  <c r="P271" s="1"/>
  <c r="P272" s="1"/>
  <c r="P273" s="1"/>
  <c r="P274"/>
  <c r="P275" s="1"/>
  <c r="P276" s="1"/>
  <c r="P277" s="1"/>
  <c r="P278" s="1"/>
  <c r="P279" s="1"/>
  <c r="P280" s="1"/>
  <c r="P281" s="1"/>
  <c r="P282" s="1"/>
  <c r="P283" s="1"/>
  <c r="P284" s="1"/>
  <c r="P285" s="1"/>
  <c r="P286" s="1"/>
  <c r="P287" s="1"/>
  <c r="P288" s="1"/>
  <c r="P289" s="1"/>
  <c r="P290"/>
  <c r="P291" s="1"/>
  <c r="P292" s="1"/>
  <c r="P293" s="1"/>
  <c r="P294" s="1"/>
  <c r="P295" s="1"/>
  <c r="P296" s="1"/>
  <c r="P297" s="1"/>
  <c r="P298" s="1"/>
  <c r="P299" s="1"/>
  <c r="P300" s="1"/>
  <c r="P301" s="1"/>
  <c r="P302" s="1"/>
  <c r="P303" s="1"/>
  <c r="P304" s="1"/>
  <c r="P305" s="1"/>
  <c r="P306"/>
  <c r="P307" s="1"/>
  <c r="P308" s="1"/>
  <c r="P309" s="1"/>
  <c r="P310" s="1"/>
  <c r="P311" s="1"/>
  <c r="P312" s="1"/>
  <c r="P313" s="1"/>
  <c r="P314" s="1"/>
  <c r="P315" s="1"/>
  <c r="P316" s="1"/>
  <c r="P317" s="1"/>
  <c r="P318" s="1"/>
  <c r="P319" s="1"/>
  <c r="P320" s="1"/>
  <c r="P321" s="1"/>
  <c r="P322"/>
  <c r="P323" s="1"/>
  <c r="P324" s="1"/>
  <c r="P325" s="1"/>
  <c r="P326" s="1"/>
  <c r="P327" s="1"/>
  <c r="P328" s="1"/>
  <c r="P329" s="1"/>
  <c r="P330" s="1"/>
  <c r="P331" s="1"/>
  <c r="P332" s="1"/>
  <c r="P333" s="1"/>
  <c r="P334" s="1"/>
  <c r="P335" s="1"/>
  <c r="P336" s="1"/>
  <c r="P337" s="1"/>
  <c r="P338"/>
  <c r="P339" s="1"/>
  <c r="P340" s="1"/>
  <c r="P341" s="1"/>
  <c r="P342" s="1"/>
  <c r="P343" s="1"/>
  <c r="P344" s="1"/>
  <c r="P345" s="1"/>
  <c r="P346" s="1"/>
  <c r="P347" s="1"/>
  <c r="P348" s="1"/>
  <c r="P349" s="1"/>
  <c r="P350" s="1"/>
  <c r="P351" s="1"/>
  <c r="P352" s="1"/>
  <c r="P353" s="1"/>
  <c r="P354"/>
  <c r="P355" s="1"/>
  <c r="P356" s="1"/>
  <c r="P357" s="1"/>
  <c r="P358" s="1"/>
  <c r="P359" s="1"/>
  <c r="P360" s="1"/>
  <c r="P361" s="1"/>
  <c r="P362" s="1"/>
  <c r="P363" s="1"/>
  <c r="P364" s="1"/>
  <c r="P365" s="1"/>
  <c r="P366" s="1"/>
  <c r="P367" s="1"/>
  <c r="P368" s="1"/>
  <c r="P369" s="1"/>
  <c r="N354"/>
  <c r="N355" s="1"/>
  <c r="N356" s="1"/>
  <c r="N357" s="1"/>
  <c r="N358" s="1"/>
  <c r="N359" s="1"/>
  <c r="N360" s="1"/>
  <c r="N361" s="1"/>
  <c r="N362" s="1"/>
  <c r="N363" s="1"/>
  <c r="N364" s="1"/>
  <c r="N365" s="1"/>
  <c r="N366" s="1"/>
  <c r="N367" s="1"/>
  <c r="N368" s="1"/>
  <c r="N369" s="1"/>
  <c r="M354"/>
  <c r="M355" s="1"/>
  <c r="M356" s="1"/>
  <c r="M357" s="1"/>
  <c r="M358" s="1"/>
  <c r="M359" s="1"/>
  <c r="M360" s="1"/>
  <c r="M361" s="1"/>
  <c r="M362" s="1"/>
  <c r="M363" s="1"/>
  <c r="M364" s="1"/>
  <c r="M365" s="1"/>
  <c r="M366" s="1"/>
  <c r="M367" s="1"/>
  <c r="M368" s="1"/>
  <c r="M369" s="1"/>
  <c r="N338"/>
  <c r="N339" s="1"/>
  <c r="N340" s="1"/>
  <c r="N341" s="1"/>
  <c r="N342" s="1"/>
  <c r="N343" s="1"/>
  <c r="N344" s="1"/>
  <c r="N345" s="1"/>
  <c r="N346" s="1"/>
  <c r="N347" s="1"/>
  <c r="N348" s="1"/>
  <c r="N349" s="1"/>
  <c r="N350" s="1"/>
  <c r="N351" s="1"/>
  <c r="N352" s="1"/>
  <c r="N353" s="1"/>
  <c r="M338"/>
  <c r="M339" s="1"/>
  <c r="M340" s="1"/>
  <c r="M341" s="1"/>
  <c r="M342" s="1"/>
  <c r="M343" s="1"/>
  <c r="M344" s="1"/>
  <c r="M345" s="1"/>
  <c r="M346" s="1"/>
  <c r="M347" s="1"/>
  <c r="M348" s="1"/>
  <c r="M349" s="1"/>
  <c r="M350" s="1"/>
  <c r="M351" s="1"/>
  <c r="M352" s="1"/>
  <c r="M353" s="1"/>
  <c r="N322"/>
  <c r="N323" s="1"/>
  <c r="N324" s="1"/>
  <c r="N325" s="1"/>
  <c r="N326" s="1"/>
  <c r="N327" s="1"/>
  <c r="N328" s="1"/>
  <c r="N329" s="1"/>
  <c r="N330" s="1"/>
  <c r="N331" s="1"/>
  <c r="N332" s="1"/>
  <c r="N333" s="1"/>
  <c r="N334" s="1"/>
  <c r="N335" s="1"/>
  <c r="N336" s="1"/>
  <c r="N337" s="1"/>
  <c r="M322"/>
  <c r="M323" s="1"/>
  <c r="M324" s="1"/>
  <c r="M325" s="1"/>
  <c r="M326" s="1"/>
  <c r="M327" s="1"/>
  <c r="M328" s="1"/>
  <c r="M329" s="1"/>
  <c r="M330" s="1"/>
  <c r="M331" s="1"/>
  <c r="M332" s="1"/>
  <c r="M333" s="1"/>
  <c r="M334" s="1"/>
  <c r="M335" s="1"/>
  <c r="M336" s="1"/>
  <c r="M337" s="1"/>
  <c r="N306"/>
  <c r="N307" s="1"/>
  <c r="N308" s="1"/>
  <c r="N309" s="1"/>
  <c r="N310" s="1"/>
  <c r="N311" s="1"/>
  <c r="N312" s="1"/>
  <c r="N313" s="1"/>
  <c r="N314" s="1"/>
  <c r="N315" s="1"/>
  <c r="N316" s="1"/>
  <c r="N317" s="1"/>
  <c r="N318" s="1"/>
  <c r="N319" s="1"/>
  <c r="N320" s="1"/>
  <c r="N321" s="1"/>
  <c r="M306"/>
  <c r="M307" s="1"/>
  <c r="M308" s="1"/>
  <c r="M309" s="1"/>
  <c r="M310" s="1"/>
  <c r="M311" s="1"/>
  <c r="M312" s="1"/>
  <c r="M313" s="1"/>
  <c r="M314" s="1"/>
  <c r="M315" s="1"/>
  <c r="M316" s="1"/>
  <c r="M317" s="1"/>
  <c r="M318" s="1"/>
  <c r="M319" s="1"/>
  <c r="M320" s="1"/>
  <c r="M321" s="1"/>
  <c r="N290"/>
  <c r="N291" s="1"/>
  <c r="N292" s="1"/>
  <c r="N293" s="1"/>
  <c r="N294" s="1"/>
  <c r="N295" s="1"/>
  <c r="N296" s="1"/>
  <c r="N297" s="1"/>
  <c r="N298" s="1"/>
  <c r="N299" s="1"/>
  <c r="N300" s="1"/>
  <c r="N301" s="1"/>
  <c r="N302" s="1"/>
  <c r="N303" s="1"/>
  <c r="N304" s="1"/>
  <c r="N305" s="1"/>
  <c r="M290"/>
  <c r="M291" s="1"/>
  <c r="M292" s="1"/>
  <c r="M293" s="1"/>
  <c r="M294" s="1"/>
  <c r="M295" s="1"/>
  <c r="M296" s="1"/>
  <c r="M297" s="1"/>
  <c r="M298" s="1"/>
  <c r="M299" s="1"/>
  <c r="M300" s="1"/>
  <c r="M301" s="1"/>
  <c r="M302" s="1"/>
  <c r="M303" s="1"/>
  <c r="M304" s="1"/>
  <c r="M305" s="1"/>
  <c r="N274"/>
  <c r="N275" s="1"/>
  <c r="N276" s="1"/>
  <c r="N277" s="1"/>
  <c r="N278" s="1"/>
  <c r="N279" s="1"/>
  <c r="N280" s="1"/>
  <c r="N281" s="1"/>
  <c r="N282" s="1"/>
  <c r="N283" s="1"/>
  <c r="N284" s="1"/>
  <c r="N285" s="1"/>
  <c r="N286" s="1"/>
  <c r="N287" s="1"/>
  <c r="N288" s="1"/>
  <c r="N289" s="1"/>
  <c r="M274"/>
  <c r="M275" s="1"/>
  <c r="M276" s="1"/>
  <c r="M277" s="1"/>
  <c r="M278" s="1"/>
  <c r="M279" s="1"/>
  <c r="M280" s="1"/>
  <c r="M281" s="1"/>
  <c r="M282" s="1"/>
  <c r="M283" s="1"/>
  <c r="M284" s="1"/>
  <c r="M285" s="1"/>
  <c r="M286" s="1"/>
  <c r="M287" s="1"/>
  <c r="M288" s="1"/>
  <c r="M289" s="1"/>
  <c r="N258"/>
  <c r="N259" s="1"/>
  <c r="N260" s="1"/>
  <c r="N261" s="1"/>
  <c r="N262" s="1"/>
  <c r="N263" s="1"/>
  <c r="N264" s="1"/>
  <c r="N265" s="1"/>
  <c r="N266" s="1"/>
  <c r="N267" s="1"/>
  <c r="N268" s="1"/>
  <c r="N269" s="1"/>
  <c r="N270" s="1"/>
  <c r="N271" s="1"/>
  <c r="N272" s="1"/>
  <c r="N273" s="1"/>
  <c r="M258"/>
  <c r="M259" s="1"/>
  <c r="M260" s="1"/>
  <c r="M261" s="1"/>
  <c r="M262" s="1"/>
  <c r="M263" s="1"/>
  <c r="M264" s="1"/>
  <c r="M265" s="1"/>
  <c r="M266" s="1"/>
  <c r="M267" s="1"/>
  <c r="M268" s="1"/>
  <c r="M269" s="1"/>
  <c r="M270" s="1"/>
  <c r="M271" s="1"/>
  <c r="M272" s="1"/>
  <c r="M273" s="1"/>
  <c r="N242"/>
  <c r="N243" s="1"/>
  <c r="N244" s="1"/>
  <c r="N245" s="1"/>
  <c r="N246" s="1"/>
  <c r="N247" s="1"/>
  <c r="N248" s="1"/>
  <c r="N249" s="1"/>
  <c r="N250" s="1"/>
  <c r="N251" s="1"/>
  <c r="N252" s="1"/>
  <c r="N253" s="1"/>
  <c r="N254" s="1"/>
  <c r="N255" s="1"/>
  <c r="N256" s="1"/>
  <c r="N257" s="1"/>
  <c r="M242"/>
  <c r="M243" s="1"/>
  <c r="M244" s="1"/>
  <c r="M245" s="1"/>
  <c r="M246" s="1"/>
  <c r="M247" s="1"/>
  <c r="M248" s="1"/>
  <c r="M249" s="1"/>
  <c r="M250" s="1"/>
  <c r="M251" s="1"/>
  <c r="M252" s="1"/>
  <c r="M253" s="1"/>
  <c r="M254" s="1"/>
  <c r="M255" s="1"/>
  <c r="M256" s="1"/>
  <c r="M257" s="1"/>
  <c r="N226"/>
  <c r="N227" s="1"/>
  <c r="N228" s="1"/>
  <c r="N229" s="1"/>
  <c r="N230" s="1"/>
  <c r="N231" s="1"/>
  <c r="N232" s="1"/>
  <c r="N233" s="1"/>
  <c r="N234" s="1"/>
  <c r="N235" s="1"/>
  <c r="N236" s="1"/>
  <c r="N237" s="1"/>
  <c r="N238" s="1"/>
  <c r="N239" s="1"/>
  <c r="N240" s="1"/>
  <c r="N241" s="1"/>
  <c r="M226"/>
  <c r="M227" s="1"/>
  <c r="M228" s="1"/>
  <c r="M229" s="1"/>
  <c r="M230" s="1"/>
  <c r="M231" s="1"/>
  <c r="M232" s="1"/>
  <c r="M233" s="1"/>
  <c r="M234" s="1"/>
  <c r="M235" s="1"/>
  <c r="M236" s="1"/>
  <c r="M237" s="1"/>
  <c r="M238" s="1"/>
  <c r="M239" s="1"/>
  <c r="M240" s="1"/>
  <c r="M241" s="1"/>
  <c r="N210"/>
  <c r="N211" s="1"/>
  <c r="N212" s="1"/>
  <c r="N213" s="1"/>
  <c r="N214" s="1"/>
  <c r="N215" s="1"/>
  <c r="N216" s="1"/>
  <c r="N217" s="1"/>
  <c r="N218" s="1"/>
  <c r="N219" s="1"/>
  <c r="N220" s="1"/>
  <c r="N221" s="1"/>
  <c r="N222" s="1"/>
  <c r="N223" s="1"/>
  <c r="N224" s="1"/>
  <c r="N225" s="1"/>
  <c r="M210"/>
  <c r="M211" s="1"/>
  <c r="M212" s="1"/>
  <c r="M213" s="1"/>
  <c r="M214" s="1"/>
  <c r="M215" s="1"/>
  <c r="M216" s="1"/>
  <c r="M217" s="1"/>
  <c r="M218" s="1"/>
  <c r="M219" s="1"/>
  <c r="M220" s="1"/>
  <c r="M221" s="1"/>
  <c r="M222" s="1"/>
  <c r="M223" s="1"/>
  <c r="M224" s="1"/>
  <c r="M225" s="1"/>
  <c r="N194"/>
  <c r="N195" s="1"/>
  <c r="N196" s="1"/>
  <c r="N197" s="1"/>
  <c r="N198" s="1"/>
  <c r="N199" s="1"/>
  <c r="N200" s="1"/>
  <c r="N201" s="1"/>
  <c r="N202" s="1"/>
  <c r="N203" s="1"/>
  <c r="N204" s="1"/>
  <c r="N205" s="1"/>
  <c r="N206" s="1"/>
  <c r="N207" s="1"/>
  <c r="N208" s="1"/>
  <c r="N209" s="1"/>
  <c r="M194"/>
  <c r="M195" s="1"/>
  <c r="M196" s="1"/>
  <c r="M197" s="1"/>
  <c r="M198" s="1"/>
  <c r="M199" s="1"/>
  <c r="M200" s="1"/>
  <c r="M201" s="1"/>
  <c r="M202" s="1"/>
  <c r="M203" s="1"/>
  <c r="M204" s="1"/>
  <c r="M205" s="1"/>
  <c r="M206" s="1"/>
  <c r="M207" s="1"/>
  <c r="M208" s="1"/>
  <c r="M209" s="1"/>
  <c r="P193"/>
  <c r="P192"/>
  <c r="P191"/>
  <c r="P190"/>
  <c r="P189"/>
  <c r="P188"/>
  <c r="P187"/>
  <c r="P186"/>
  <c r="P185"/>
  <c r="P184"/>
  <c r="P183"/>
  <c r="P182"/>
  <c r="P181"/>
  <c r="P180"/>
  <c r="P179"/>
  <c r="P178"/>
  <c r="P177"/>
  <c r="P176"/>
  <c r="P175"/>
  <c r="P174"/>
  <c r="P173"/>
  <c r="P172"/>
  <c r="P171"/>
  <c r="P170"/>
  <c r="P169"/>
  <c r="P168"/>
  <c r="P167"/>
  <c r="P165"/>
  <c r="P164"/>
  <c r="P163"/>
  <c r="P162"/>
  <c r="P166"/>
  <c r="P113"/>
  <c r="P112"/>
  <c r="P111"/>
  <c r="P110"/>
  <c r="P109"/>
  <c r="P108"/>
  <c r="P107"/>
  <c r="P106"/>
  <c r="P105"/>
  <c r="P104"/>
  <c r="P103"/>
  <c r="P102"/>
  <c r="P101"/>
  <c r="P100"/>
  <c r="P99"/>
  <c r="P98"/>
  <c r="P97"/>
  <c r="P96"/>
  <c r="P95"/>
  <c r="P94"/>
  <c r="P93"/>
  <c r="P92"/>
  <c r="P91"/>
  <c r="P90"/>
  <c r="P85"/>
  <c r="P84"/>
  <c r="P83"/>
  <c r="P82"/>
  <c r="P81"/>
  <c r="P80"/>
  <c r="P79"/>
  <c r="P78"/>
  <c r="P77"/>
  <c r="P76"/>
  <c r="P75"/>
  <c r="P74"/>
  <c r="P73"/>
  <c r="P72"/>
  <c r="P71"/>
  <c r="P70"/>
  <c r="P69"/>
  <c r="P68"/>
  <c r="P67"/>
  <c r="P66"/>
  <c r="P65"/>
  <c r="P64"/>
  <c r="P63"/>
  <c r="P62"/>
  <c r="P57"/>
  <c r="P56"/>
  <c r="P55"/>
  <c r="P54"/>
  <c r="P53"/>
  <c r="P52"/>
  <c r="P51"/>
  <c r="P50"/>
  <c r="P49"/>
  <c r="P48"/>
  <c r="P47"/>
  <c r="P46"/>
  <c r="P45"/>
  <c r="P44"/>
  <c r="P43"/>
  <c r="P42"/>
  <c r="P41"/>
  <c r="P40"/>
  <c r="P39"/>
  <c r="P38"/>
  <c r="P37"/>
  <c r="P36"/>
  <c r="P35"/>
  <c r="P34"/>
  <c r="P29"/>
  <c r="P28"/>
  <c r="P27"/>
  <c r="P25"/>
  <c r="P24"/>
  <c r="P23"/>
  <c r="P21"/>
  <c r="P20"/>
  <c r="P19"/>
  <c r="P17"/>
  <c r="P16"/>
  <c r="P15"/>
  <c r="P13"/>
  <c r="P12"/>
  <c r="P11"/>
  <c r="P9"/>
  <c r="P8"/>
  <c r="P7"/>
  <c r="P26"/>
  <c r="P22"/>
  <c r="P18"/>
  <c r="P14"/>
  <c r="P10"/>
  <c r="P6"/>
  <c r="K369"/>
  <c r="K368"/>
  <c r="K367"/>
  <c r="K366"/>
  <c r="K365"/>
  <c r="K364"/>
  <c r="K363"/>
  <c r="K362"/>
  <c r="K361"/>
  <c r="K360"/>
  <c r="K359"/>
  <c r="K358"/>
  <c r="K357"/>
  <c r="K356"/>
  <c r="K355"/>
  <c r="K354"/>
  <c r="K353"/>
  <c r="K352"/>
  <c r="K351"/>
  <c r="K350"/>
  <c r="K349"/>
  <c r="K348"/>
  <c r="K347"/>
  <c r="K346"/>
  <c r="K345"/>
  <c r="K344"/>
  <c r="K343"/>
  <c r="K342"/>
  <c r="K341"/>
  <c r="K340"/>
  <c r="K339"/>
  <c r="K338"/>
  <c r="K337"/>
  <c r="K336"/>
  <c r="K335"/>
  <c r="K334"/>
  <c r="K333"/>
  <c r="K332"/>
  <c r="K331"/>
  <c r="K330"/>
  <c r="K329"/>
  <c r="K328"/>
  <c r="K327"/>
  <c r="K326"/>
  <c r="K325"/>
  <c r="K324"/>
  <c r="K323"/>
  <c r="K322"/>
  <c r="K321"/>
  <c r="K320"/>
  <c r="K319"/>
  <c r="K318"/>
  <c r="K317"/>
  <c r="K316"/>
  <c r="K315"/>
  <c r="K314"/>
  <c r="K313"/>
  <c r="K312"/>
  <c r="K311"/>
  <c r="K310"/>
  <c r="K309"/>
  <c r="K308"/>
  <c r="K307"/>
  <c r="K306"/>
  <c r="K305"/>
  <c r="K304"/>
  <c r="K303"/>
  <c r="K302"/>
  <c r="K301"/>
  <c r="K300"/>
  <c r="K299"/>
  <c r="K298"/>
  <c r="K297"/>
  <c r="K296"/>
  <c r="K295"/>
  <c r="K294"/>
  <c r="K293"/>
  <c r="K292"/>
  <c r="K291"/>
  <c r="K290"/>
  <c r="K289"/>
  <c r="K288"/>
  <c r="K287"/>
  <c r="K286"/>
  <c r="K285"/>
  <c r="K284"/>
  <c r="K283"/>
  <c r="K282"/>
  <c r="K281"/>
  <c r="K280"/>
  <c r="K279"/>
  <c r="K278"/>
  <c r="K277"/>
  <c r="K276"/>
  <c r="K275"/>
  <c r="K274"/>
  <c r="K273"/>
  <c r="K272"/>
  <c r="K271"/>
  <c r="K270"/>
  <c r="K269"/>
  <c r="K268"/>
  <c r="K267"/>
  <c r="K266"/>
  <c r="K265"/>
  <c r="K264"/>
  <c r="K263"/>
  <c r="K262"/>
  <c r="K261"/>
  <c r="K260"/>
  <c r="K259"/>
  <c r="K258"/>
  <c r="K257"/>
  <c r="K256"/>
  <c r="K255"/>
  <c r="K254"/>
  <c r="K253"/>
  <c r="K252"/>
  <c r="K251"/>
  <c r="K250"/>
  <c r="K249"/>
  <c r="K248"/>
  <c r="K247"/>
  <c r="K246"/>
  <c r="K245"/>
  <c r="K244"/>
  <c r="K243"/>
  <c r="K242"/>
  <c r="K241"/>
  <c r="K240"/>
  <c r="K239"/>
  <c r="K238"/>
  <c r="K237"/>
  <c r="K236"/>
  <c r="K235"/>
  <c r="K234"/>
  <c r="K233"/>
  <c r="K232"/>
  <c r="K231"/>
  <c r="K230"/>
  <c r="K229"/>
  <c r="K228"/>
  <c r="K227"/>
  <c r="K226"/>
  <c r="K225"/>
  <c r="K224"/>
  <c r="K223"/>
  <c r="K222"/>
  <c r="K221"/>
  <c r="K220"/>
  <c r="K219"/>
  <c r="K218"/>
  <c r="K217"/>
  <c r="K216"/>
  <c r="K215"/>
  <c r="K214"/>
  <c r="K213"/>
  <c r="K212"/>
  <c r="K211"/>
  <c r="K210"/>
  <c r="K209"/>
  <c r="K208"/>
  <c r="K207"/>
  <c r="K206"/>
  <c r="K205"/>
  <c r="K204"/>
  <c r="K203"/>
  <c r="K202"/>
  <c r="K201"/>
  <c r="K200"/>
  <c r="K199"/>
  <c r="K198"/>
  <c r="K197"/>
  <c r="K196"/>
  <c r="K195"/>
  <c r="K19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O369"/>
  <c r="O353"/>
  <c r="O337"/>
  <c r="O321"/>
  <c r="O305"/>
  <c r="O289"/>
  <c r="O273"/>
  <c r="O257"/>
  <c r="O241"/>
  <c r="O225"/>
  <c r="O209"/>
  <c r="L289"/>
  <c r="O368"/>
  <c r="O352"/>
  <c r="O336"/>
  <c r="O320"/>
  <c r="O304"/>
  <c r="O288"/>
  <c r="O272"/>
  <c r="O256"/>
  <c r="O240"/>
  <c r="O224"/>
  <c r="O208"/>
  <c r="L288"/>
  <c r="O367"/>
  <c r="O351"/>
  <c r="O335"/>
  <c r="O319"/>
  <c r="O303"/>
  <c r="O287"/>
  <c r="O271"/>
  <c r="O255"/>
  <c r="O239"/>
  <c r="O223"/>
  <c r="O207"/>
  <c r="L287"/>
  <c r="O366"/>
  <c r="O350"/>
  <c r="O334"/>
  <c r="O318"/>
  <c r="O302"/>
  <c r="O286"/>
  <c r="O270"/>
  <c r="O254"/>
  <c r="O238"/>
  <c r="O222"/>
  <c r="O206"/>
  <c r="L286"/>
  <c r="O365"/>
  <c r="O349"/>
  <c r="O333"/>
  <c r="O317"/>
  <c r="O301"/>
  <c r="O285"/>
  <c r="O269"/>
  <c r="O253"/>
  <c r="O237"/>
  <c r="O221"/>
  <c r="O205"/>
  <c r="L285"/>
  <c r="O364"/>
  <c r="O348"/>
  <c r="O332"/>
  <c r="O316"/>
  <c r="O300"/>
  <c r="O284"/>
  <c r="O268"/>
  <c r="O252"/>
  <c r="O236"/>
  <c r="O220"/>
  <c r="O204"/>
  <c r="L284"/>
  <c r="O363"/>
  <c r="O347"/>
  <c r="O331"/>
  <c r="O315"/>
  <c r="O299"/>
  <c r="O283"/>
  <c r="O267"/>
  <c r="O251"/>
  <c r="O235"/>
  <c r="O219"/>
  <c r="O203"/>
  <c r="L283"/>
  <c r="O362"/>
  <c r="O346"/>
  <c r="O330"/>
  <c r="O314"/>
  <c r="O298"/>
  <c r="O282"/>
  <c r="O266"/>
  <c r="O250"/>
  <c r="O234"/>
  <c r="O218"/>
  <c r="O202"/>
  <c r="L282"/>
  <c r="O361"/>
  <c r="O345"/>
  <c r="O329"/>
  <c r="O313"/>
  <c r="O297"/>
  <c r="O281"/>
  <c r="O265"/>
  <c r="O249"/>
  <c r="O233"/>
  <c r="O217"/>
  <c r="O201"/>
  <c r="L281"/>
  <c r="O360"/>
  <c r="O344"/>
  <c r="O328"/>
  <c r="O312"/>
  <c r="O296"/>
  <c r="O280"/>
  <c r="O264"/>
  <c r="O248"/>
  <c r="O232"/>
  <c r="O216"/>
  <c r="O200"/>
  <c r="L280"/>
  <c r="O359"/>
  <c r="O343"/>
  <c r="O327"/>
  <c r="O311"/>
  <c r="O295"/>
  <c r="O279"/>
  <c r="O263"/>
  <c r="O247"/>
  <c r="O231"/>
  <c r="O215"/>
  <c r="O199"/>
  <c r="L279"/>
  <c r="O358"/>
  <c r="O342"/>
  <c r="O326"/>
  <c r="O310"/>
  <c r="O294"/>
  <c r="O278"/>
  <c r="O262"/>
  <c r="O246"/>
  <c r="O230"/>
  <c r="O214"/>
  <c r="O198"/>
  <c r="L278"/>
  <c r="O357"/>
  <c r="O341"/>
  <c r="O325"/>
  <c r="O309"/>
  <c r="O293"/>
  <c r="O277"/>
  <c r="O261"/>
  <c r="O245"/>
  <c r="O229"/>
  <c r="O213"/>
  <c r="O197"/>
  <c r="L277"/>
  <c r="O356"/>
  <c r="O340"/>
  <c r="O324"/>
  <c r="O308"/>
  <c r="O292"/>
  <c r="O276"/>
  <c r="O260"/>
  <c r="O244"/>
  <c r="O228"/>
  <c r="O212"/>
  <c r="O196"/>
  <c r="L276"/>
  <c r="O355"/>
  <c r="O339"/>
  <c r="O323"/>
  <c r="O307"/>
  <c r="O291"/>
  <c r="O275"/>
  <c r="O259"/>
  <c r="O243"/>
  <c r="O227"/>
  <c r="O211"/>
  <c r="O195"/>
  <c r="L275"/>
  <c r="O354"/>
  <c r="O338"/>
  <c r="O322"/>
  <c r="O306"/>
  <c r="O290"/>
  <c r="O274"/>
  <c r="O258"/>
  <c r="O242"/>
  <c r="O226"/>
  <c r="O210"/>
  <c r="L274"/>
  <c r="O194"/>
  <c r="A193"/>
  <c r="A192"/>
  <c r="A191"/>
  <c r="A190"/>
  <c r="A189"/>
  <c r="A188"/>
  <c r="A187"/>
  <c r="A186"/>
  <c r="A185"/>
  <c r="A184"/>
  <c r="A183"/>
  <c r="A182"/>
  <c r="A181"/>
  <c r="A180"/>
  <c r="A179"/>
  <c r="A178"/>
  <c r="A177"/>
  <c r="A176"/>
  <c r="A175"/>
  <c r="A174"/>
  <c r="A173"/>
  <c r="A172"/>
  <c r="A171"/>
  <c r="A170"/>
  <c r="A169"/>
  <c r="A168"/>
  <c r="A167"/>
  <c r="A166"/>
  <c r="A165"/>
  <c r="A164"/>
  <c r="A163"/>
  <c r="A162"/>
  <c r="A161"/>
  <c r="A160"/>
  <c r="A159"/>
  <c r="A158"/>
  <c r="A157"/>
  <c r="A156"/>
  <c r="A155"/>
  <c r="A154"/>
  <c r="A153"/>
  <c r="A152"/>
  <c r="A151"/>
  <c r="A150"/>
  <c r="A149"/>
  <c r="A148"/>
  <c r="A147"/>
  <c r="A146"/>
  <c r="A145"/>
  <c r="A144"/>
  <c r="A143"/>
  <c r="A142"/>
  <c r="A141"/>
  <c r="A140"/>
  <c r="A139"/>
  <c r="A138"/>
  <c r="A137"/>
  <c r="A136"/>
  <c r="A135"/>
  <c r="A134"/>
  <c r="A133"/>
  <c r="A132"/>
  <c r="A131"/>
  <c r="A130"/>
  <c r="A129"/>
  <c r="A128"/>
  <c r="A127"/>
  <c r="A126"/>
  <c r="A125"/>
  <c r="A124"/>
  <c r="A123"/>
  <c r="A122"/>
  <c r="A121"/>
  <c r="A120"/>
  <c r="A119"/>
  <c r="A118"/>
  <c r="A117"/>
  <c r="A116"/>
  <c r="A115"/>
  <c r="A114"/>
  <c r="A113"/>
  <c r="A112"/>
  <c r="A111"/>
  <c r="A110"/>
  <c r="A109"/>
  <c r="A108"/>
  <c r="A107"/>
  <c r="A106"/>
  <c r="A105"/>
  <c r="A104"/>
  <c r="A103"/>
  <c r="A102"/>
  <c r="A101"/>
  <c r="A100"/>
  <c r="A99"/>
  <c r="A98"/>
  <c r="A97"/>
  <c r="A96"/>
  <c r="A95"/>
  <c r="A94"/>
  <c r="A93"/>
  <c r="A92"/>
  <c r="A91"/>
  <c r="A90"/>
  <c r="A89"/>
  <c r="A88"/>
  <c r="A87"/>
  <c r="A86"/>
  <c r="A85"/>
  <c r="A84"/>
  <c r="A83"/>
  <c r="A82"/>
  <c r="A81"/>
  <c r="A80"/>
  <c r="A79"/>
  <c r="A78"/>
  <c r="A77"/>
  <c r="A76"/>
  <c r="A75"/>
  <c r="A74"/>
  <c r="A73"/>
  <c r="A72"/>
  <c r="A71"/>
  <c r="A70"/>
  <c r="A69"/>
  <c r="A68"/>
  <c r="A67"/>
  <c r="A66"/>
  <c r="A65"/>
  <c r="A64"/>
  <c r="A63"/>
  <c r="A62"/>
  <c r="A61"/>
  <c r="A60"/>
  <c r="A59"/>
  <c r="A58"/>
  <c r="A57"/>
  <c r="A56"/>
  <c r="A55"/>
  <c r="A54"/>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B2"/>
  <c r="A2"/>
  <c r="T24" i="1" l="1"/>
  <c r="T22"/>
  <c r="W23"/>
  <c r="AA23"/>
  <c r="U23"/>
  <c r="Y23"/>
  <c r="T33"/>
  <c r="T34"/>
  <c r="T29"/>
  <c r="T28"/>
  <c r="T27"/>
  <c r="T23"/>
  <c r="V23"/>
  <c r="X23"/>
  <c r="Z23"/>
  <c r="AB23"/>
  <c r="D25"/>
  <c r="U24"/>
  <c r="H25"/>
  <c r="Y24"/>
  <c r="V18"/>
  <c r="X18"/>
  <c r="Z18"/>
  <c r="AB18"/>
  <c r="U19"/>
  <c r="Y19"/>
  <c r="W19"/>
  <c r="AA19"/>
  <c r="V17"/>
  <c r="X17"/>
  <c r="Z17"/>
  <c r="AB17"/>
  <c r="U18"/>
  <c r="D20" s="1"/>
  <c r="W18"/>
  <c r="F20" s="1"/>
  <c r="Y18"/>
  <c r="H20" s="1"/>
  <c r="AA18"/>
  <c r="J20" s="1"/>
  <c r="W16"/>
  <c r="AA26" l="1"/>
  <c r="W26"/>
  <c r="AB26"/>
  <c r="Z26"/>
  <c r="X26"/>
  <c r="V26"/>
  <c r="Y26"/>
  <c r="U26"/>
  <c r="AA24"/>
  <c r="J25" s="1"/>
  <c r="W24"/>
  <c r="F25" s="1"/>
  <c r="AB24"/>
  <c r="K25" s="1"/>
  <c r="I25"/>
  <c r="Z24"/>
  <c r="G25"/>
  <c r="X24"/>
  <c r="E25"/>
  <c r="V24"/>
  <c r="AB19"/>
  <c r="K20" s="1"/>
  <c r="Z19"/>
  <c r="I20" s="1"/>
  <c r="X19"/>
  <c r="G20" s="1"/>
  <c r="V19"/>
  <c r="E20" s="1"/>
  <c r="X16"/>
  <c r="V27" l="1"/>
  <c r="X27"/>
  <c r="Z27"/>
  <c r="AB27"/>
  <c r="U27"/>
  <c r="Y27"/>
  <c r="W27"/>
  <c r="AA27"/>
  <c r="Y16"/>
  <c r="AA28" l="1"/>
  <c r="Y28"/>
  <c r="U28"/>
  <c r="AB28"/>
  <c r="Z28"/>
  <c r="X28"/>
  <c r="V28"/>
  <c r="W28"/>
  <c r="Z16"/>
  <c r="W29" l="1"/>
  <c r="V29"/>
  <c r="E30" s="1"/>
  <c r="X29"/>
  <c r="G30" s="1"/>
  <c r="Z29"/>
  <c r="I30" s="1"/>
  <c r="AB29"/>
  <c r="K30" s="1"/>
  <c r="U29"/>
  <c r="Y29"/>
  <c r="H30" s="1"/>
  <c r="AA29"/>
  <c r="J30" s="1"/>
  <c r="F30"/>
  <c r="D30"/>
  <c r="AA16"/>
  <c r="AB16"/>
  <c r="AA31" l="1"/>
  <c r="Y31"/>
  <c r="U31"/>
  <c r="AB31"/>
  <c r="Z31"/>
  <c r="X31"/>
  <c r="V31"/>
  <c r="W31"/>
  <c r="L82"/>
  <c r="U32" l="1"/>
  <c r="Y32"/>
  <c r="AA32"/>
  <c r="W32"/>
  <c r="V32"/>
  <c r="X32"/>
  <c r="Z32"/>
  <c r="AB32"/>
  <c r="C193" i="9"/>
  <c r="B193"/>
  <c r="C192"/>
  <c r="B192"/>
  <c r="C191"/>
  <c r="B191"/>
  <c r="C190"/>
  <c r="B190"/>
  <c r="C189"/>
  <c r="B189"/>
  <c r="C188"/>
  <c r="B188"/>
  <c r="C187"/>
  <c r="B187"/>
  <c r="C186"/>
  <c r="B186"/>
  <c r="C185"/>
  <c r="B185"/>
  <c r="C184"/>
  <c r="B184"/>
  <c r="C183"/>
  <c r="B183"/>
  <c r="C182"/>
  <c r="B182"/>
  <c r="C181"/>
  <c r="B181"/>
  <c r="C180"/>
  <c r="B180"/>
  <c r="C179"/>
  <c r="B179"/>
  <c r="C178"/>
  <c r="B178"/>
  <c r="C177"/>
  <c r="B177"/>
  <c r="C176"/>
  <c r="B176"/>
  <c r="C175"/>
  <c r="B175"/>
  <c r="C174"/>
  <c r="B174"/>
  <c r="C173"/>
  <c r="B173"/>
  <c r="C172"/>
  <c r="B172"/>
  <c r="C171"/>
  <c r="B171"/>
  <c r="C170"/>
  <c r="B170"/>
  <c r="C169"/>
  <c r="B169"/>
  <c r="C168"/>
  <c r="B168"/>
  <c r="C167"/>
  <c r="B167"/>
  <c r="C166"/>
  <c r="B166"/>
  <c r="C165"/>
  <c r="B165"/>
  <c r="C164"/>
  <c r="B164"/>
  <c r="C163"/>
  <c r="B163"/>
  <c r="C162"/>
  <c r="B162"/>
  <c r="C161"/>
  <c r="B161"/>
  <c r="C160"/>
  <c r="B160"/>
  <c r="C159"/>
  <c r="B159"/>
  <c r="C158"/>
  <c r="B158"/>
  <c r="C157"/>
  <c r="B157"/>
  <c r="C156"/>
  <c r="B156"/>
  <c r="C155"/>
  <c r="B155"/>
  <c r="C154"/>
  <c r="B154"/>
  <c r="C153"/>
  <c r="B153"/>
  <c r="C152"/>
  <c r="B152"/>
  <c r="C151"/>
  <c r="B151"/>
  <c r="C150"/>
  <c r="B150"/>
  <c r="C149"/>
  <c r="B149"/>
  <c r="C148"/>
  <c r="B148"/>
  <c r="C147"/>
  <c r="B147"/>
  <c r="C146"/>
  <c r="B146"/>
  <c r="C145"/>
  <c r="B145"/>
  <c r="C144"/>
  <c r="B144"/>
  <c r="C143"/>
  <c r="B143"/>
  <c r="C142"/>
  <c r="B142"/>
  <c r="C141"/>
  <c r="B141"/>
  <c r="C140"/>
  <c r="B140"/>
  <c r="C139"/>
  <c r="B139"/>
  <c r="C138"/>
  <c r="B138"/>
  <c r="C137"/>
  <c r="B137"/>
  <c r="C136"/>
  <c r="B136"/>
  <c r="C135"/>
  <c r="B135"/>
  <c r="C134"/>
  <c r="B134"/>
  <c r="C133"/>
  <c r="B133"/>
  <c r="C132"/>
  <c r="B132"/>
  <c r="C131"/>
  <c r="B131"/>
  <c r="C130"/>
  <c r="B130"/>
  <c r="C129"/>
  <c r="B129"/>
  <c r="C128"/>
  <c r="B128"/>
  <c r="C127"/>
  <c r="B127"/>
  <c r="C126"/>
  <c r="B126"/>
  <c r="C125"/>
  <c r="B125"/>
  <c r="C124"/>
  <c r="B124"/>
  <c r="C123"/>
  <c r="B123"/>
  <c r="C122"/>
  <c r="B122"/>
  <c r="C121"/>
  <c r="B121"/>
  <c r="C120"/>
  <c r="B120"/>
  <c r="C119"/>
  <c r="B119"/>
  <c r="C118"/>
  <c r="B118"/>
  <c r="C117"/>
  <c r="B117"/>
  <c r="C116"/>
  <c r="B116"/>
  <c r="C115"/>
  <c r="B115"/>
  <c r="C114"/>
  <c r="B114"/>
  <c r="C113"/>
  <c r="B113"/>
  <c r="C112"/>
  <c r="B112"/>
  <c r="C111"/>
  <c r="B111"/>
  <c r="C110"/>
  <c r="B110"/>
  <c r="C109"/>
  <c r="B109"/>
  <c r="C108"/>
  <c r="B108"/>
  <c r="C107"/>
  <c r="B107"/>
  <c r="C106"/>
  <c r="B106"/>
  <c r="C105"/>
  <c r="B105"/>
  <c r="C104"/>
  <c r="B104"/>
  <c r="C103"/>
  <c r="B103"/>
  <c r="C102"/>
  <c r="B102"/>
  <c r="C101"/>
  <c r="B101"/>
  <c r="C100"/>
  <c r="B100"/>
  <c r="C99"/>
  <c r="B99"/>
  <c r="C98"/>
  <c r="B98"/>
  <c r="C97"/>
  <c r="B97"/>
  <c r="C96"/>
  <c r="B96"/>
  <c r="C95"/>
  <c r="B95"/>
  <c r="C94"/>
  <c r="B94"/>
  <c r="C93"/>
  <c r="B93"/>
  <c r="C92"/>
  <c r="B92"/>
  <c r="C91"/>
  <c r="B91"/>
  <c r="C90"/>
  <c r="B90"/>
  <c r="C89"/>
  <c r="B89"/>
  <c r="C88"/>
  <c r="B88"/>
  <c r="C87"/>
  <c r="B87"/>
  <c r="C86"/>
  <c r="B86"/>
  <c r="C85"/>
  <c r="B85"/>
  <c r="C84"/>
  <c r="B84"/>
  <c r="C83"/>
  <c r="B83"/>
  <c r="C82"/>
  <c r="B82"/>
  <c r="C81"/>
  <c r="B81"/>
  <c r="C80"/>
  <c r="B80"/>
  <c r="C79"/>
  <c r="B79"/>
  <c r="C78"/>
  <c r="B78"/>
  <c r="C77"/>
  <c r="B77"/>
  <c r="C76"/>
  <c r="B76"/>
  <c r="C75"/>
  <c r="B75"/>
  <c r="C74"/>
  <c r="B74"/>
  <c r="C73"/>
  <c r="B73"/>
  <c r="C72"/>
  <c r="B72"/>
  <c r="C71"/>
  <c r="B71"/>
  <c r="C70"/>
  <c r="B70"/>
  <c r="C69"/>
  <c r="B69"/>
  <c r="C68"/>
  <c r="B68"/>
  <c r="C67"/>
  <c r="B67"/>
  <c r="C66"/>
  <c r="B66"/>
  <c r="C65"/>
  <c r="B65"/>
  <c r="C64"/>
  <c r="B64"/>
  <c r="C63"/>
  <c r="B63"/>
  <c r="C62"/>
  <c r="B62"/>
  <c r="C61"/>
  <c r="B61"/>
  <c r="C60"/>
  <c r="B60"/>
  <c r="C59"/>
  <c r="B59"/>
  <c r="C58"/>
  <c r="B58"/>
  <c r="C57"/>
  <c r="B57"/>
  <c r="C56"/>
  <c r="B56"/>
  <c r="C55"/>
  <c r="B55"/>
  <c r="C54"/>
  <c r="B54"/>
  <c r="C53"/>
  <c r="B53"/>
  <c r="C52"/>
  <c r="B52"/>
  <c r="C51"/>
  <c r="B51"/>
  <c r="C50"/>
  <c r="B50"/>
  <c r="C49"/>
  <c r="B49"/>
  <c r="C48"/>
  <c r="B48"/>
  <c r="C47"/>
  <c r="B47"/>
  <c r="C46"/>
  <c r="B46"/>
  <c r="C45"/>
  <c r="B45"/>
  <c r="C44"/>
  <c r="B44"/>
  <c r="C43"/>
  <c r="B43"/>
  <c r="C42"/>
  <c r="B42"/>
  <c r="C41"/>
  <c r="B41"/>
  <c r="C40"/>
  <c r="B40"/>
  <c r="C39"/>
  <c r="B39"/>
  <c r="C38"/>
  <c r="B38"/>
  <c r="C37"/>
  <c r="B37"/>
  <c r="C36"/>
  <c r="B36"/>
  <c r="C35"/>
  <c r="B35"/>
  <c r="C34"/>
  <c r="B34"/>
  <c r="C33"/>
  <c r="B33"/>
  <c r="C32"/>
  <c r="B32"/>
  <c r="C31"/>
  <c r="B31"/>
  <c r="C30"/>
  <c r="B30"/>
  <c r="C29"/>
  <c r="B29"/>
  <c r="C28"/>
  <c r="B28"/>
  <c r="C27"/>
  <c r="B27"/>
  <c r="C26"/>
  <c r="B26"/>
  <c r="C25"/>
  <c r="B25"/>
  <c r="C24"/>
  <c r="B24"/>
  <c r="C23"/>
  <c r="B23"/>
  <c r="C22"/>
  <c r="B22"/>
  <c r="C21"/>
  <c r="B21"/>
  <c r="C20"/>
  <c r="B20"/>
  <c r="C19"/>
  <c r="B19"/>
  <c r="C18"/>
  <c r="B18"/>
  <c r="C17"/>
  <c r="B17"/>
  <c r="C16"/>
  <c r="B16"/>
  <c r="C15"/>
  <c r="B15"/>
  <c r="C14"/>
  <c r="B14"/>
  <c r="C13"/>
  <c r="B13"/>
  <c r="C12"/>
  <c r="B12"/>
  <c r="C11"/>
  <c r="B11"/>
  <c r="C10"/>
  <c r="B10"/>
  <c r="C9"/>
  <c r="B9"/>
  <c r="C8"/>
  <c r="B8"/>
  <c r="C7"/>
  <c r="B7"/>
  <c r="C6"/>
  <c r="B6"/>
  <c r="C5"/>
  <c r="B5"/>
  <c r="C4"/>
  <c r="B4"/>
  <c r="C3"/>
  <c r="B3"/>
  <c r="C2"/>
  <c r="H193"/>
  <c r="G193"/>
  <c r="F193"/>
  <c r="E193"/>
  <c r="D193"/>
  <c r="H192"/>
  <c r="G192"/>
  <c r="F192"/>
  <c r="E192"/>
  <c r="D192"/>
  <c r="H191"/>
  <c r="G191"/>
  <c r="F191"/>
  <c r="E191"/>
  <c r="D191"/>
  <c r="H190"/>
  <c r="G190"/>
  <c r="F190"/>
  <c r="E190"/>
  <c r="D190"/>
  <c r="H189"/>
  <c r="G189"/>
  <c r="F189"/>
  <c r="E189"/>
  <c r="D189"/>
  <c r="H188"/>
  <c r="G188"/>
  <c r="F188"/>
  <c r="E188"/>
  <c r="D188"/>
  <c r="H187"/>
  <c r="G187"/>
  <c r="F187"/>
  <c r="E187"/>
  <c r="D187"/>
  <c r="H186"/>
  <c r="G186"/>
  <c r="F186"/>
  <c r="E186"/>
  <c r="D186"/>
  <c r="H185"/>
  <c r="G185"/>
  <c r="F185"/>
  <c r="E185"/>
  <c r="D185"/>
  <c r="H184"/>
  <c r="G184"/>
  <c r="F184"/>
  <c r="E184"/>
  <c r="D184"/>
  <c r="H183"/>
  <c r="G183"/>
  <c r="F183"/>
  <c r="E183"/>
  <c r="D183"/>
  <c r="H182"/>
  <c r="G182"/>
  <c r="F182"/>
  <c r="E182"/>
  <c r="D182"/>
  <c r="H181"/>
  <c r="G181"/>
  <c r="F181"/>
  <c r="E181"/>
  <c r="D181"/>
  <c r="H180"/>
  <c r="G180"/>
  <c r="F180"/>
  <c r="E180"/>
  <c r="D180"/>
  <c r="H179"/>
  <c r="G179"/>
  <c r="F179"/>
  <c r="E179"/>
  <c r="D179"/>
  <c r="H178"/>
  <c r="G178"/>
  <c r="F178"/>
  <c r="E178"/>
  <c r="D178"/>
  <c r="H177"/>
  <c r="G177"/>
  <c r="F177"/>
  <c r="E177"/>
  <c r="D177"/>
  <c r="H176"/>
  <c r="G176"/>
  <c r="F176"/>
  <c r="E176"/>
  <c r="D176"/>
  <c r="H175"/>
  <c r="G175"/>
  <c r="F175"/>
  <c r="E175"/>
  <c r="D175"/>
  <c r="H174"/>
  <c r="G174"/>
  <c r="F174"/>
  <c r="E174"/>
  <c r="D174"/>
  <c r="H173"/>
  <c r="G173"/>
  <c r="F173"/>
  <c r="E173"/>
  <c r="D173"/>
  <c r="H172"/>
  <c r="G172"/>
  <c r="F172"/>
  <c r="E172"/>
  <c r="D172"/>
  <c r="H171"/>
  <c r="G171"/>
  <c r="F171"/>
  <c r="E171"/>
  <c r="D171"/>
  <c r="H170"/>
  <c r="G170"/>
  <c r="F170"/>
  <c r="E170"/>
  <c r="D170"/>
  <c r="H169"/>
  <c r="G169"/>
  <c r="F169"/>
  <c r="E169"/>
  <c r="D169"/>
  <c r="H168"/>
  <c r="G168"/>
  <c r="F168"/>
  <c r="E168"/>
  <c r="D168"/>
  <c r="H167"/>
  <c r="G167"/>
  <c r="F167"/>
  <c r="E167"/>
  <c r="D167"/>
  <c r="H166"/>
  <c r="G166"/>
  <c r="F166"/>
  <c r="E166"/>
  <c r="D166"/>
  <c r="H165"/>
  <c r="G165"/>
  <c r="F165"/>
  <c r="E165"/>
  <c r="D165"/>
  <c r="H164"/>
  <c r="G164"/>
  <c r="F164"/>
  <c r="E164"/>
  <c r="D164"/>
  <c r="H163"/>
  <c r="G163"/>
  <c r="F163"/>
  <c r="E163"/>
  <c r="D163"/>
  <c r="H162"/>
  <c r="G162"/>
  <c r="F162"/>
  <c r="E162"/>
  <c r="D162"/>
  <c r="H161"/>
  <c r="G161"/>
  <c r="F161"/>
  <c r="E161"/>
  <c r="D161"/>
  <c r="H160"/>
  <c r="G160"/>
  <c r="F160"/>
  <c r="E160"/>
  <c r="D160"/>
  <c r="H159"/>
  <c r="G159"/>
  <c r="F159"/>
  <c r="E159"/>
  <c r="D159"/>
  <c r="H158"/>
  <c r="G158"/>
  <c r="F158"/>
  <c r="E158"/>
  <c r="D158"/>
  <c r="H157"/>
  <c r="G157"/>
  <c r="F157"/>
  <c r="E157"/>
  <c r="D157"/>
  <c r="H156"/>
  <c r="G156"/>
  <c r="F156"/>
  <c r="E156"/>
  <c r="D156"/>
  <c r="H155"/>
  <c r="G155"/>
  <c r="F155"/>
  <c r="E155"/>
  <c r="D155"/>
  <c r="H154"/>
  <c r="G154"/>
  <c r="F154"/>
  <c r="E154"/>
  <c r="D154"/>
  <c r="H153"/>
  <c r="G153"/>
  <c r="F153"/>
  <c r="E153"/>
  <c r="D153"/>
  <c r="H152"/>
  <c r="G152"/>
  <c r="F152"/>
  <c r="E152"/>
  <c r="D152"/>
  <c r="H151"/>
  <c r="G151"/>
  <c r="F151"/>
  <c r="E151"/>
  <c r="D151"/>
  <c r="H150"/>
  <c r="G150"/>
  <c r="F150"/>
  <c r="E150"/>
  <c r="D150"/>
  <c r="H149"/>
  <c r="G149"/>
  <c r="F149"/>
  <c r="E149"/>
  <c r="D149"/>
  <c r="H148"/>
  <c r="G148"/>
  <c r="F148"/>
  <c r="E148"/>
  <c r="D148"/>
  <c r="H147"/>
  <c r="G147"/>
  <c r="F147"/>
  <c r="E147"/>
  <c r="D147"/>
  <c r="H146"/>
  <c r="G146"/>
  <c r="F146"/>
  <c r="E146"/>
  <c r="D146"/>
  <c r="H145"/>
  <c r="G145"/>
  <c r="F145"/>
  <c r="E145"/>
  <c r="D145"/>
  <c r="H144"/>
  <c r="G144"/>
  <c r="F144"/>
  <c r="E144"/>
  <c r="D144"/>
  <c r="H143"/>
  <c r="G143"/>
  <c r="F143"/>
  <c r="E143"/>
  <c r="D143"/>
  <c r="H142"/>
  <c r="G142"/>
  <c r="F142"/>
  <c r="E142"/>
  <c r="D142"/>
  <c r="H141"/>
  <c r="G141"/>
  <c r="F141"/>
  <c r="E141"/>
  <c r="D141"/>
  <c r="H140"/>
  <c r="G140"/>
  <c r="F140"/>
  <c r="E140"/>
  <c r="D140"/>
  <c r="H139"/>
  <c r="G139"/>
  <c r="F139"/>
  <c r="E139"/>
  <c r="D139"/>
  <c r="H138"/>
  <c r="G138"/>
  <c r="F138"/>
  <c r="E138"/>
  <c r="D138"/>
  <c r="H137"/>
  <c r="G137"/>
  <c r="F137"/>
  <c r="E137"/>
  <c r="D137"/>
  <c r="H136"/>
  <c r="G136"/>
  <c r="F136"/>
  <c r="E136"/>
  <c r="D136"/>
  <c r="H135"/>
  <c r="G135"/>
  <c r="F135"/>
  <c r="E135"/>
  <c r="D135"/>
  <c r="H134"/>
  <c r="G134"/>
  <c r="F134"/>
  <c r="E134"/>
  <c r="D134"/>
  <c r="H133"/>
  <c r="G133"/>
  <c r="F133"/>
  <c r="E133"/>
  <c r="D133"/>
  <c r="H132"/>
  <c r="G132"/>
  <c r="F132"/>
  <c r="E132"/>
  <c r="D132"/>
  <c r="H131"/>
  <c r="G131"/>
  <c r="F131"/>
  <c r="E131"/>
  <c r="D131"/>
  <c r="H130"/>
  <c r="G130"/>
  <c r="F130"/>
  <c r="E130"/>
  <c r="D130"/>
  <c r="H129"/>
  <c r="G129"/>
  <c r="F129"/>
  <c r="E129"/>
  <c r="D129"/>
  <c r="H128"/>
  <c r="G128"/>
  <c r="F128"/>
  <c r="E128"/>
  <c r="D128"/>
  <c r="H127"/>
  <c r="G127"/>
  <c r="F127"/>
  <c r="E127"/>
  <c r="D127"/>
  <c r="H126"/>
  <c r="G126"/>
  <c r="F126"/>
  <c r="E126"/>
  <c r="D126"/>
  <c r="H125"/>
  <c r="G125"/>
  <c r="F125"/>
  <c r="E125"/>
  <c r="D125"/>
  <c r="H124"/>
  <c r="G124"/>
  <c r="F124"/>
  <c r="E124"/>
  <c r="D124"/>
  <c r="H123"/>
  <c r="G123"/>
  <c r="F123"/>
  <c r="E123"/>
  <c r="D123"/>
  <c r="H122"/>
  <c r="G122"/>
  <c r="F122"/>
  <c r="E122"/>
  <c r="D122"/>
  <c r="H121"/>
  <c r="G121"/>
  <c r="F121"/>
  <c r="E121"/>
  <c r="D121"/>
  <c r="H120"/>
  <c r="G120"/>
  <c r="F120"/>
  <c r="E120"/>
  <c r="D120"/>
  <c r="H119"/>
  <c r="G119"/>
  <c r="F119"/>
  <c r="E119"/>
  <c r="D119"/>
  <c r="H118"/>
  <c r="G118"/>
  <c r="F118"/>
  <c r="E118"/>
  <c r="D118"/>
  <c r="H117"/>
  <c r="G117"/>
  <c r="F117"/>
  <c r="E117"/>
  <c r="D117"/>
  <c r="H116"/>
  <c r="G116"/>
  <c r="F116"/>
  <c r="E116"/>
  <c r="D116"/>
  <c r="H115"/>
  <c r="G115"/>
  <c r="F115"/>
  <c r="E115"/>
  <c r="D115"/>
  <c r="H114"/>
  <c r="G114"/>
  <c r="F114"/>
  <c r="E114"/>
  <c r="D114"/>
  <c r="H113"/>
  <c r="G113"/>
  <c r="F113"/>
  <c r="E113"/>
  <c r="D113"/>
  <c r="H112"/>
  <c r="G112"/>
  <c r="F112"/>
  <c r="E112"/>
  <c r="D112"/>
  <c r="H111"/>
  <c r="G111"/>
  <c r="F111"/>
  <c r="E111"/>
  <c r="D111"/>
  <c r="H110"/>
  <c r="G110"/>
  <c r="F110"/>
  <c r="E110"/>
  <c r="D110"/>
  <c r="H109"/>
  <c r="G109"/>
  <c r="F109"/>
  <c r="E109"/>
  <c r="D109"/>
  <c r="H108"/>
  <c r="G108"/>
  <c r="F108"/>
  <c r="E108"/>
  <c r="D108"/>
  <c r="H107"/>
  <c r="G107"/>
  <c r="F107"/>
  <c r="E107"/>
  <c r="D107"/>
  <c r="H106"/>
  <c r="G106"/>
  <c r="F106"/>
  <c r="E106"/>
  <c r="D106"/>
  <c r="H105"/>
  <c r="G105"/>
  <c r="F105"/>
  <c r="E105"/>
  <c r="D105"/>
  <c r="H104"/>
  <c r="G104"/>
  <c r="F104"/>
  <c r="E104"/>
  <c r="D104"/>
  <c r="H103"/>
  <c r="G103"/>
  <c r="F103"/>
  <c r="E103"/>
  <c r="D103"/>
  <c r="H102"/>
  <c r="G102"/>
  <c r="F102"/>
  <c r="E102"/>
  <c r="D102"/>
  <c r="H101"/>
  <c r="G101"/>
  <c r="F101"/>
  <c r="E101"/>
  <c r="D101"/>
  <c r="H100"/>
  <c r="G100"/>
  <c r="F100"/>
  <c r="E100"/>
  <c r="D100"/>
  <c r="H99"/>
  <c r="G99"/>
  <c r="F99"/>
  <c r="E99"/>
  <c r="D99"/>
  <c r="H98"/>
  <c r="G98"/>
  <c r="F98"/>
  <c r="E98"/>
  <c r="D98"/>
  <c r="H97"/>
  <c r="G97"/>
  <c r="F97"/>
  <c r="E97"/>
  <c r="D97"/>
  <c r="H96"/>
  <c r="G96"/>
  <c r="F96"/>
  <c r="E96"/>
  <c r="D96"/>
  <c r="H95"/>
  <c r="G95"/>
  <c r="F95"/>
  <c r="E95"/>
  <c r="D95"/>
  <c r="H94"/>
  <c r="G94"/>
  <c r="F94"/>
  <c r="E94"/>
  <c r="D94"/>
  <c r="H93"/>
  <c r="G93"/>
  <c r="F93"/>
  <c r="E93"/>
  <c r="D93"/>
  <c r="H92"/>
  <c r="G92"/>
  <c r="F92"/>
  <c r="E92"/>
  <c r="D92"/>
  <c r="H91"/>
  <c r="G91"/>
  <c r="F91"/>
  <c r="E91"/>
  <c r="D91"/>
  <c r="H90"/>
  <c r="G90"/>
  <c r="F90"/>
  <c r="E90"/>
  <c r="D90"/>
  <c r="H89"/>
  <c r="G89"/>
  <c r="F89"/>
  <c r="E89"/>
  <c r="D89"/>
  <c r="H88"/>
  <c r="G88"/>
  <c r="F88"/>
  <c r="E88"/>
  <c r="D88"/>
  <c r="H87"/>
  <c r="G87"/>
  <c r="F87"/>
  <c r="E87"/>
  <c r="D87"/>
  <c r="H86"/>
  <c r="G86"/>
  <c r="F86"/>
  <c r="E86"/>
  <c r="D86"/>
  <c r="H85"/>
  <c r="G85"/>
  <c r="F85"/>
  <c r="E85"/>
  <c r="D85"/>
  <c r="H84"/>
  <c r="G84"/>
  <c r="F84"/>
  <c r="E84"/>
  <c r="D84"/>
  <c r="H83"/>
  <c r="G83"/>
  <c r="F83"/>
  <c r="E83"/>
  <c r="D83"/>
  <c r="H82"/>
  <c r="G82"/>
  <c r="F82"/>
  <c r="E82"/>
  <c r="D82"/>
  <c r="H81"/>
  <c r="G81"/>
  <c r="F81"/>
  <c r="E81"/>
  <c r="D81"/>
  <c r="H80"/>
  <c r="G80"/>
  <c r="F80"/>
  <c r="E80"/>
  <c r="D80"/>
  <c r="H79"/>
  <c r="G79"/>
  <c r="F79"/>
  <c r="E79"/>
  <c r="D79"/>
  <c r="H78"/>
  <c r="G78"/>
  <c r="F78"/>
  <c r="E78"/>
  <c r="D78"/>
  <c r="H77"/>
  <c r="G77"/>
  <c r="F77"/>
  <c r="E77"/>
  <c r="D77"/>
  <c r="H76"/>
  <c r="G76"/>
  <c r="F76"/>
  <c r="E76"/>
  <c r="D76"/>
  <c r="H75"/>
  <c r="G75"/>
  <c r="F75"/>
  <c r="E75"/>
  <c r="D75"/>
  <c r="H74"/>
  <c r="G74"/>
  <c r="F74"/>
  <c r="E74"/>
  <c r="D74"/>
  <c r="H73"/>
  <c r="G73"/>
  <c r="F73"/>
  <c r="E73"/>
  <c r="D73"/>
  <c r="H72"/>
  <c r="G72"/>
  <c r="F72"/>
  <c r="E72"/>
  <c r="D72"/>
  <c r="H71"/>
  <c r="G71"/>
  <c r="F71"/>
  <c r="E71"/>
  <c r="D71"/>
  <c r="H70"/>
  <c r="G70"/>
  <c r="F70"/>
  <c r="E70"/>
  <c r="D70"/>
  <c r="H69"/>
  <c r="G69"/>
  <c r="F69"/>
  <c r="E69"/>
  <c r="D69"/>
  <c r="H68"/>
  <c r="G68"/>
  <c r="F68"/>
  <c r="E68"/>
  <c r="D68"/>
  <c r="H67"/>
  <c r="G67"/>
  <c r="F67"/>
  <c r="E67"/>
  <c r="D67"/>
  <c r="H66"/>
  <c r="G66"/>
  <c r="F66"/>
  <c r="E66"/>
  <c r="D66"/>
  <c r="H65"/>
  <c r="G65"/>
  <c r="F65"/>
  <c r="E65"/>
  <c r="D65"/>
  <c r="H64"/>
  <c r="G64"/>
  <c r="F64"/>
  <c r="E64"/>
  <c r="D64"/>
  <c r="H63"/>
  <c r="G63"/>
  <c r="F63"/>
  <c r="E63"/>
  <c r="D63"/>
  <c r="H62"/>
  <c r="G62"/>
  <c r="F62"/>
  <c r="E62"/>
  <c r="D62"/>
  <c r="H61"/>
  <c r="G61"/>
  <c r="F61"/>
  <c r="E61"/>
  <c r="D61"/>
  <c r="H60"/>
  <c r="G60"/>
  <c r="F60"/>
  <c r="E60"/>
  <c r="D60"/>
  <c r="H59"/>
  <c r="G59"/>
  <c r="F59"/>
  <c r="E59"/>
  <c r="D59"/>
  <c r="H58"/>
  <c r="G58"/>
  <c r="F58"/>
  <c r="E58"/>
  <c r="D58"/>
  <c r="H57"/>
  <c r="G57"/>
  <c r="F57"/>
  <c r="E57"/>
  <c r="D57"/>
  <c r="H56"/>
  <c r="G56"/>
  <c r="F56"/>
  <c r="E56"/>
  <c r="D56"/>
  <c r="H55"/>
  <c r="G55"/>
  <c r="F55"/>
  <c r="E55"/>
  <c r="D55"/>
  <c r="H54"/>
  <c r="G54"/>
  <c r="F54"/>
  <c r="E54"/>
  <c r="D54"/>
  <c r="H53"/>
  <c r="G53"/>
  <c r="F53"/>
  <c r="E53"/>
  <c r="D53"/>
  <c r="H52"/>
  <c r="G52"/>
  <c r="F52"/>
  <c r="E52"/>
  <c r="D52"/>
  <c r="H51"/>
  <c r="G51"/>
  <c r="F51"/>
  <c r="E51"/>
  <c r="D51"/>
  <c r="H50"/>
  <c r="G50"/>
  <c r="F50"/>
  <c r="E50"/>
  <c r="D50"/>
  <c r="H49"/>
  <c r="G49"/>
  <c r="F49"/>
  <c r="E49"/>
  <c r="D49"/>
  <c r="H48"/>
  <c r="G48"/>
  <c r="F48"/>
  <c r="E48"/>
  <c r="D48"/>
  <c r="H47"/>
  <c r="G47"/>
  <c r="F47"/>
  <c r="E47"/>
  <c r="D47"/>
  <c r="H46"/>
  <c r="G46"/>
  <c r="F46"/>
  <c r="E46"/>
  <c r="D46"/>
  <c r="H45"/>
  <c r="G45"/>
  <c r="F45"/>
  <c r="E45"/>
  <c r="D45"/>
  <c r="H44"/>
  <c r="G44"/>
  <c r="F44"/>
  <c r="E44"/>
  <c r="D44"/>
  <c r="H43"/>
  <c r="G43"/>
  <c r="F43"/>
  <c r="E43"/>
  <c r="D43"/>
  <c r="H42"/>
  <c r="G42"/>
  <c r="F42"/>
  <c r="E42"/>
  <c r="D42"/>
  <c r="H41"/>
  <c r="G41"/>
  <c r="F41"/>
  <c r="E41"/>
  <c r="D41"/>
  <c r="H40"/>
  <c r="G40"/>
  <c r="F40"/>
  <c r="E40"/>
  <c r="D40"/>
  <c r="H39"/>
  <c r="G39"/>
  <c r="F39"/>
  <c r="E39"/>
  <c r="D39"/>
  <c r="H38"/>
  <c r="G38"/>
  <c r="F38"/>
  <c r="E38"/>
  <c r="D38"/>
  <c r="H37"/>
  <c r="G37"/>
  <c r="F37"/>
  <c r="E37"/>
  <c r="D37"/>
  <c r="H36"/>
  <c r="G36"/>
  <c r="F36"/>
  <c r="E36"/>
  <c r="D36"/>
  <c r="H35"/>
  <c r="G35"/>
  <c r="F35"/>
  <c r="E35"/>
  <c r="D35"/>
  <c r="H34"/>
  <c r="G34"/>
  <c r="F34"/>
  <c r="E34"/>
  <c r="D34"/>
  <c r="H33"/>
  <c r="G33"/>
  <c r="F33"/>
  <c r="E33"/>
  <c r="D33"/>
  <c r="H32"/>
  <c r="G32"/>
  <c r="F32"/>
  <c r="E32"/>
  <c r="D32"/>
  <c r="H31"/>
  <c r="G31"/>
  <c r="F31"/>
  <c r="E31"/>
  <c r="D31"/>
  <c r="H30"/>
  <c r="G30"/>
  <c r="F30"/>
  <c r="E30"/>
  <c r="D30"/>
  <c r="H29"/>
  <c r="G29"/>
  <c r="F29"/>
  <c r="E29"/>
  <c r="D29"/>
  <c r="H28"/>
  <c r="G28"/>
  <c r="F28"/>
  <c r="E28"/>
  <c r="D28"/>
  <c r="H27"/>
  <c r="G27"/>
  <c r="F27"/>
  <c r="E27"/>
  <c r="D27"/>
  <c r="H26"/>
  <c r="G26"/>
  <c r="F26"/>
  <c r="E26"/>
  <c r="D26"/>
  <c r="H25"/>
  <c r="G25"/>
  <c r="F25"/>
  <c r="E25"/>
  <c r="D25"/>
  <c r="H24"/>
  <c r="G24"/>
  <c r="F24"/>
  <c r="E24"/>
  <c r="D24"/>
  <c r="H23"/>
  <c r="G23"/>
  <c r="F23"/>
  <c r="E23"/>
  <c r="D23"/>
  <c r="H22"/>
  <c r="G22"/>
  <c r="F22"/>
  <c r="E22"/>
  <c r="D22"/>
  <c r="H21"/>
  <c r="G21"/>
  <c r="F21"/>
  <c r="E21"/>
  <c r="D21"/>
  <c r="H20"/>
  <c r="G20"/>
  <c r="F20"/>
  <c r="E20"/>
  <c r="D20"/>
  <c r="H19"/>
  <c r="G19"/>
  <c r="F19"/>
  <c r="E19"/>
  <c r="D19"/>
  <c r="H18"/>
  <c r="G18"/>
  <c r="F18"/>
  <c r="E18"/>
  <c r="D18"/>
  <c r="H17"/>
  <c r="G17"/>
  <c r="F17"/>
  <c r="E17"/>
  <c r="D17"/>
  <c r="H16"/>
  <c r="G16"/>
  <c r="F16"/>
  <c r="E16"/>
  <c r="D16"/>
  <c r="H15"/>
  <c r="G15"/>
  <c r="F15"/>
  <c r="E15"/>
  <c r="D15"/>
  <c r="H14"/>
  <c r="G14"/>
  <c r="F14"/>
  <c r="E14"/>
  <c r="D14"/>
  <c r="H13"/>
  <c r="G13"/>
  <c r="F13"/>
  <c r="E13"/>
  <c r="D13"/>
  <c r="H12"/>
  <c r="G12"/>
  <c r="F12"/>
  <c r="E12"/>
  <c r="D12"/>
  <c r="H11"/>
  <c r="G11"/>
  <c r="F11"/>
  <c r="E11"/>
  <c r="D11"/>
  <c r="H10"/>
  <c r="G10"/>
  <c r="F10"/>
  <c r="E10"/>
  <c r="D10"/>
  <c r="H9"/>
  <c r="G9"/>
  <c r="F9"/>
  <c r="E9"/>
  <c r="D9"/>
  <c r="H8"/>
  <c r="G8"/>
  <c r="F8"/>
  <c r="E8"/>
  <c r="D8"/>
  <c r="H7"/>
  <c r="G7"/>
  <c r="F7"/>
  <c r="E7"/>
  <c r="D7"/>
  <c r="H6"/>
  <c r="G6"/>
  <c r="F6"/>
  <c r="E6"/>
  <c r="D6"/>
  <c r="H5"/>
  <c r="G5"/>
  <c r="F5"/>
  <c r="E5"/>
  <c r="D5"/>
  <c r="H4"/>
  <c r="G4"/>
  <c r="F4"/>
  <c r="E4"/>
  <c r="D4"/>
  <c r="H3"/>
  <c r="G3"/>
  <c r="F3"/>
  <c r="E3"/>
  <c r="D3"/>
  <c r="H2"/>
  <c r="G2"/>
  <c r="F2"/>
  <c r="E2"/>
  <c r="D2"/>
  <c r="O193"/>
  <c r="O189"/>
  <c r="O161"/>
  <c r="O157"/>
  <c r="O192"/>
  <c r="O188"/>
  <c r="O160"/>
  <c r="O156"/>
  <c r="O191"/>
  <c r="O187"/>
  <c r="O159"/>
  <c r="O155"/>
  <c r="O190"/>
  <c r="O186"/>
  <c r="O158"/>
  <c r="O154"/>
  <c r="O153"/>
  <c r="O152"/>
  <c r="O151"/>
  <c r="O150"/>
  <c r="O185"/>
  <c r="O181"/>
  <c r="O149"/>
  <c r="O145"/>
  <c r="O184"/>
  <c r="O180"/>
  <c r="O148"/>
  <c r="O144"/>
  <c r="O183"/>
  <c r="O179"/>
  <c r="O147"/>
  <c r="O143"/>
  <c r="O182"/>
  <c r="O178"/>
  <c r="O146"/>
  <c r="O142"/>
  <c r="O141"/>
  <c r="O140"/>
  <c r="O139"/>
  <c r="O138"/>
  <c r="O177"/>
  <c r="O173"/>
  <c r="O137"/>
  <c r="O133"/>
  <c r="O176"/>
  <c r="O172"/>
  <c r="O136"/>
  <c r="O132"/>
  <c r="O175"/>
  <c r="O171"/>
  <c r="O135"/>
  <c r="O131"/>
  <c r="O174"/>
  <c r="O170"/>
  <c r="O134"/>
  <c r="O130"/>
  <c r="O129"/>
  <c r="O128"/>
  <c r="O127"/>
  <c r="O169"/>
  <c r="O165"/>
  <c r="O125"/>
  <c r="O121"/>
  <c r="O168"/>
  <c r="O164"/>
  <c r="O124"/>
  <c r="O120"/>
  <c r="O167"/>
  <c r="O163"/>
  <c r="O123"/>
  <c r="O119"/>
  <c r="O166"/>
  <c r="O162"/>
  <c r="O122"/>
  <c r="O118"/>
  <c r="O117"/>
  <c r="O116"/>
  <c r="O115"/>
  <c r="O114"/>
  <c r="L153"/>
  <c r="L152"/>
  <c r="L151"/>
  <c r="L150"/>
  <c r="K150"/>
  <c r="L141"/>
  <c r="L140"/>
  <c r="L139"/>
  <c r="L138"/>
  <c r="K138"/>
  <c r="L129"/>
  <c r="L128"/>
  <c r="L127"/>
  <c r="L126"/>
  <c r="K126"/>
  <c r="N114"/>
  <c r="N126" s="1"/>
  <c r="N138" s="1"/>
  <c r="N150" s="1"/>
  <c r="M118"/>
  <c r="M130" s="1"/>
  <c r="M142" s="1"/>
  <c r="M154" s="1"/>
  <c r="N118"/>
  <c r="N130" s="1"/>
  <c r="N142" s="1"/>
  <c r="N154" s="1"/>
  <c r="M119"/>
  <c r="M131" s="1"/>
  <c r="M143" s="1"/>
  <c r="M155" s="1"/>
  <c r="N119"/>
  <c r="N131" s="1"/>
  <c r="N143" s="1"/>
  <c r="N155" s="1"/>
  <c r="M120"/>
  <c r="M132" s="1"/>
  <c r="M144" s="1"/>
  <c r="M156" s="1"/>
  <c r="N120"/>
  <c r="N132" s="1"/>
  <c r="N144" s="1"/>
  <c r="N156" s="1"/>
  <c r="M121"/>
  <c r="M133" s="1"/>
  <c r="M145" s="1"/>
  <c r="M157" s="1"/>
  <c r="N121"/>
  <c r="N133" s="1"/>
  <c r="N145" s="1"/>
  <c r="N157" s="1"/>
  <c r="M122"/>
  <c r="M134" s="1"/>
  <c r="M146" s="1"/>
  <c r="M158" s="1"/>
  <c r="N122"/>
  <c r="N134" s="1"/>
  <c r="N146" s="1"/>
  <c r="N158" s="1"/>
  <c r="M123"/>
  <c r="M135" s="1"/>
  <c r="M147" s="1"/>
  <c r="M159" s="1"/>
  <c r="N123"/>
  <c r="N135" s="1"/>
  <c r="N147" s="1"/>
  <c r="N159" s="1"/>
  <c r="M124"/>
  <c r="M136" s="1"/>
  <c r="M148" s="1"/>
  <c r="M160" s="1"/>
  <c r="N124"/>
  <c r="N136" s="1"/>
  <c r="N148" s="1"/>
  <c r="N160" s="1"/>
  <c r="M125"/>
  <c r="M137" s="1"/>
  <c r="M149" s="1"/>
  <c r="M161" s="1"/>
  <c r="N125"/>
  <c r="N137" s="1"/>
  <c r="N149" s="1"/>
  <c r="N161" s="1"/>
  <c r="M162"/>
  <c r="M170" s="1"/>
  <c r="M178" s="1"/>
  <c r="M186" s="1"/>
  <c r="N162"/>
  <c r="N170" s="1"/>
  <c r="N178" s="1"/>
  <c r="N186" s="1"/>
  <c r="M163"/>
  <c r="M171" s="1"/>
  <c r="M179" s="1"/>
  <c r="M187" s="1"/>
  <c r="N163"/>
  <c r="N171" s="1"/>
  <c r="N179" s="1"/>
  <c r="N187" s="1"/>
  <c r="M164"/>
  <c r="M172" s="1"/>
  <c r="M180" s="1"/>
  <c r="M188" s="1"/>
  <c r="N164"/>
  <c r="N172" s="1"/>
  <c r="N180" s="1"/>
  <c r="N188" s="1"/>
  <c r="M165"/>
  <c r="M173" s="1"/>
  <c r="M181" s="1"/>
  <c r="M189" s="1"/>
  <c r="N165"/>
  <c r="N173" s="1"/>
  <c r="N181" s="1"/>
  <c r="N189" s="1"/>
  <c r="M166"/>
  <c r="M174" s="1"/>
  <c r="M182" s="1"/>
  <c r="M190" s="1"/>
  <c r="N166"/>
  <c r="N174" s="1"/>
  <c r="N182" s="1"/>
  <c r="N190" s="1"/>
  <c r="M167"/>
  <c r="M175" s="1"/>
  <c r="M183" s="1"/>
  <c r="M191" s="1"/>
  <c r="N167"/>
  <c r="N175" s="1"/>
  <c r="N183" s="1"/>
  <c r="N191" s="1"/>
  <c r="M168"/>
  <c r="M176" s="1"/>
  <c r="M184" s="1"/>
  <c r="M192" s="1"/>
  <c r="N168"/>
  <c r="N176" s="1"/>
  <c r="N184" s="1"/>
  <c r="N192" s="1"/>
  <c r="M169"/>
  <c r="M177" s="1"/>
  <c r="M185" s="1"/>
  <c r="M193" s="1"/>
  <c r="N169"/>
  <c r="N177" s="1"/>
  <c r="N185" s="1"/>
  <c r="N193" s="1"/>
  <c r="K114"/>
  <c r="M114"/>
  <c r="M115" s="1"/>
  <c r="L117"/>
  <c r="L116"/>
  <c r="L115"/>
  <c r="L114"/>
  <c r="O111"/>
  <c r="O112"/>
  <c r="O108"/>
  <c r="O104"/>
  <c r="O100"/>
  <c r="O96"/>
  <c r="O92"/>
  <c r="O107"/>
  <c r="O103"/>
  <c r="O99"/>
  <c r="O95"/>
  <c r="O91"/>
  <c r="O110"/>
  <c r="O106"/>
  <c r="O102"/>
  <c r="O98"/>
  <c r="O94"/>
  <c r="O90"/>
  <c r="O89"/>
  <c r="O88"/>
  <c r="O87"/>
  <c r="O86"/>
  <c r="L89"/>
  <c r="L88"/>
  <c r="L87"/>
  <c r="L86"/>
  <c r="K86"/>
  <c r="O85"/>
  <c r="O81"/>
  <c r="O77"/>
  <c r="O73"/>
  <c r="O69"/>
  <c r="O65"/>
  <c r="O84"/>
  <c r="O80"/>
  <c r="O76"/>
  <c r="O72"/>
  <c r="O68"/>
  <c r="O64"/>
  <c r="O83"/>
  <c r="O79"/>
  <c r="O75"/>
  <c r="O71"/>
  <c r="O67"/>
  <c r="O63"/>
  <c r="O82"/>
  <c r="O78"/>
  <c r="O74"/>
  <c r="O70"/>
  <c r="O66"/>
  <c r="O62"/>
  <c r="O61"/>
  <c r="O60"/>
  <c r="O59"/>
  <c r="O58"/>
  <c r="L61"/>
  <c r="L60"/>
  <c r="L59"/>
  <c r="L58"/>
  <c r="K58"/>
  <c r="K59" s="1"/>
  <c r="K60" s="1"/>
  <c r="K61" s="1"/>
  <c r="K62" s="1"/>
  <c r="K63" s="1"/>
  <c r="K64" s="1"/>
  <c r="K65" s="1"/>
  <c r="K66" s="1"/>
  <c r="K67" s="1"/>
  <c r="K68" s="1"/>
  <c r="K69" s="1"/>
  <c r="K70" s="1"/>
  <c r="K71" s="1"/>
  <c r="K72" s="1"/>
  <c r="K73" s="1"/>
  <c r="K74" s="1"/>
  <c r="K75" s="1"/>
  <c r="K76" s="1"/>
  <c r="K77" s="1"/>
  <c r="K78" s="1"/>
  <c r="K79" s="1"/>
  <c r="K80" s="1"/>
  <c r="K81" s="1"/>
  <c r="K82" s="1"/>
  <c r="K83" s="1"/>
  <c r="K84" s="1"/>
  <c r="K85" s="1"/>
  <c r="O57"/>
  <c r="O53"/>
  <c r="O49"/>
  <c r="O45"/>
  <c r="O41"/>
  <c r="O37"/>
  <c r="O56"/>
  <c r="O52"/>
  <c r="O48"/>
  <c r="O44"/>
  <c r="O40"/>
  <c r="O36"/>
  <c r="O55"/>
  <c r="O51"/>
  <c r="O47"/>
  <c r="O43"/>
  <c r="O39"/>
  <c r="O35"/>
  <c r="O54"/>
  <c r="O50"/>
  <c r="O46"/>
  <c r="O42"/>
  <c r="O38"/>
  <c r="O34"/>
  <c r="O33"/>
  <c r="O32"/>
  <c r="O31"/>
  <c r="O30"/>
  <c r="O29"/>
  <c r="O25"/>
  <c r="O21"/>
  <c r="O17"/>
  <c r="O13"/>
  <c r="O9"/>
  <c r="O28"/>
  <c r="O24"/>
  <c r="O20"/>
  <c r="O16"/>
  <c r="O12"/>
  <c r="O8"/>
  <c r="O27"/>
  <c r="O23"/>
  <c r="O19"/>
  <c r="O15"/>
  <c r="O11"/>
  <c r="O7"/>
  <c r="O26"/>
  <c r="O22"/>
  <c r="O18"/>
  <c r="O14"/>
  <c r="O10"/>
  <c r="O6"/>
  <c r="O5"/>
  <c r="O4"/>
  <c r="O3"/>
  <c r="O2"/>
  <c r="L33"/>
  <c r="L32"/>
  <c r="L31"/>
  <c r="L30"/>
  <c r="L5"/>
  <c r="L9" s="1"/>
  <c r="L13" s="1"/>
  <c r="L17" s="1"/>
  <c r="L21" s="1"/>
  <c r="L25" s="1"/>
  <c r="L29" s="1"/>
  <c r="L37" s="1"/>
  <c r="L41" s="1"/>
  <c r="L45" s="1"/>
  <c r="L49" s="1"/>
  <c r="L53" s="1"/>
  <c r="L57" s="1"/>
  <c r="L4"/>
  <c r="L8" s="1"/>
  <c r="L12" s="1"/>
  <c r="L16" s="1"/>
  <c r="L20" s="1"/>
  <c r="L24" s="1"/>
  <c r="L28" s="1"/>
  <c r="L3"/>
  <c r="L7" s="1"/>
  <c r="L11" s="1"/>
  <c r="L15" s="1"/>
  <c r="L19" s="1"/>
  <c r="L23" s="1"/>
  <c r="L27" s="1"/>
  <c r="N26"/>
  <c r="N54" s="1"/>
  <c r="N82" s="1"/>
  <c r="N110" s="1"/>
  <c r="N22"/>
  <c r="N50" s="1"/>
  <c r="N78" s="1"/>
  <c r="N106" s="1"/>
  <c r="N14"/>
  <c r="N42" s="1"/>
  <c r="N70" s="1"/>
  <c r="N98" s="1"/>
  <c r="N10"/>
  <c r="N38" s="1"/>
  <c r="N66" s="1"/>
  <c r="N94" s="1"/>
  <c r="N6"/>
  <c r="N7" s="1"/>
  <c r="N8" s="1"/>
  <c r="N9" s="1"/>
  <c r="N37" s="1"/>
  <c r="N65" s="1"/>
  <c r="N93" s="1"/>
  <c r="N18"/>
  <c r="N46" s="1"/>
  <c r="N74" s="1"/>
  <c r="N102" s="1"/>
  <c r="M26"/>
  <c r="M54" s="1"/>
  <c r="M82" s="1"/>
  <c r="M110" s="1"/>
  <c r="M22"/>
  <c r="M50" s="1"/>
  <c r="M78" s="1"/>
  <c r="M106" s="1"/>
  <c r="M18"/>
  <c r="M46" s="1"/>
  <c r="M74" s="1"/>
  <c r="M102" s="1"/>
  <c r="M14"/>
  <c r="M42" s="1"/>
  <c r="M70" s="1"/>
  <c r="M98" s="1"/>
  <c r="M10"/>
  <c r="M38" s="1"/>
  <c r="M66" s="1"/>
  <c r="M94" s="1"/>
  <c r="M6"/>
  <c r="M7" s="1"/>
  <c r="M8" s="1"/>
  <c r="M9" s="1"/>
  <c r="M37" s="1"/>
  <c r="M65" s="1"/>
  <c r="M93" s="1"/>
  <c r="K30"/>
  <c r="K31" s="1"/>
  <c r="K32" s="1"/>
  <c r="K33" s="1"/>
  <c r="K34" s="1"/>
  <c r="K35" s="1"/>
  <c r="K36" s="1"/>
  <c r="K37" s="1"/>
  <c r="K38" s="1"/>
  <c r="K39" s="1"/>
  <c r="K40" s="1"/>
  <c r="K41" s="1"/>
  <c r="K42" s="1"/>
  <c r="K43" s="1"/>
  <c r="K44" s="1"/>
  <c r="K45" s="1"/>
  <c r="K46" s="1"/>
  <c r="K47" s="1"/>
  <c r="K48" s="1"/>
  <c r="K49" s="1"/>
  <c r="K50" s="1"/>
  <c r="K51" s="1"/>
  <c r="K52" s="1"/>
  <c r="K53" s="1"/>
  <c r="K54" s="1"/>
  <c r="K55" s="1"/>
  <c r="K56" s="1"/>
  <c r="K57" s="1"/>
  <c r="N2"/>
  <c r="N3" s="1"/>
  <c r="M2"/>
  <c r="M3" s="1"/>
  <c r="L2"/>
  <c r="L6" s="1"/>
  <c r="L10" s="1"/>
  <c r="L14" s="1"/>
  <c r="L18" s="1"/>
  <c r="L22" s="1"/>
  <c r="L26" s="1"/>
  <c r="K2"/>
  <c r="K3" s="1"/>
  <c r="K4" s="1"/>
  <c r="K5" s="1"/>
  <c r="K6" s="1"/>
  <c r="K7" s="1"/>
  <c r="K8" s="1"/>
  <c r="K9" s="1"/>
  <c r="K10" s="1"/>
  <c r="K11" s="1"/>
  <c r="K12" s="1"/>
  <c r="K13" s="1"/>
  <c r="K14" s="1"/>
  <c r="K15" s="1"/>
  <c r="K16" s="1"/>
  <c r="K17" s="1"/>
  <c r="K18" s="1"/>
  <c r="K19" s="1"/>
  <c r="K20" s="1"/>
  <c r="K21" s="1"/>
  <c r="K22" s="1"/>
  <c r="K23" s="1"/>
  <c r="K24" s="1"/>
  <c r="K25" s="1"/>
  <c r="K26" s="1"/>
  <c r="K27" s="1"/>
  <c r="K28" s="1"/>
  <c r="K29" s="1"/>
  <c r="AB33" i="1" l="1"/>
  <c r="AB34"/>
  <c r="K35" s="1"/>
  <c r="Z33"/>
  <c r="X33"/>
  <c r="V33"/>
  <c r="W33"/>
  <c r="AA34"/>
  <c r="AA33"/>
  <c r="Y33"/>
  <c r="U33"/>
  <c r="L65" i="9"/>
  <c r="L69" s="1"/>
  <c r="L73" s="1"/>
  <c r="L77" s="1"/>
  <c r="L81" s="1"/>
  <c r="L85" s="1"/>
  <c r="L93" s="1"/>
  <c r="L97" s="1"/>
  <c r="L101" s="1"/>
  <c r="L105" s="1"/>
  <c r="L109" s="1"/>
  <c r="L113" s="1"/>
  <c r="L121" s="1"/>
  <c r="L125" s="1"/>
  <c r="L165" s="1"/>
  <c r="L169" s="1"/>
  <c r="L133" s="1"/>
  <c r="L137" s="1"/>
  <c r="L173" s="1"/>
  <c r="L177" s="1"/>
  <c r="L145" s="1"/>
  <c r="L149" s="1"/>
  <c r="L181" s="1"/>
  <c r="L185" s="1"/>
  <c r="L157" s="1"/>
  <c r="L161" s="1"/>
  <c r="L189" s="1"/>
  <c r="L193" s="1"/>
  <c r="N115"/>
  <c r="M127"/>
  <c r="M139" s="1"/>
  <c r="M151" s="1"/>
  <c r="M116"/>
  <c r="M126"/>
  <c r="M138" s="1"/>
  <c r="M150" s="1"/>
  <c r="M35"/>
  <c r="M63" s="1"/>
  <c r="M91" s="1"/>
  <c r="N30"/>
  <c r="N58" s="1"/>
  <c r="N86" s="1"/>
  <c r="K87"/>
  <c r="K88" s="1"/>
  <c r="K89" s="1"/>
  <c r="K90" s="1"/>
  <c r="K91" s="1"/>
  <c r="K92" s="1"/>
  <c r="K93" s="1"/>
  <c r="K94" s="1"/>
  <c r="K95" s="1"/>
  <c r="K96" s="1"/>
  <c r="K97" s="1"/>
  <c r="K98" s="1"/>
  <c r="K99" s="1"/>
  <c r="K100" s="1"/>
  <c r="K101" s="1"/>
  <c r="K102" s="1"/>
  <c r="K103" s="1"/>
  <c r="K104" s="1"/>
  <c r="K105" s="1"/>
  <c r="K106" s="1"/>
  <c r="K107" s="1"/>
  <c r="K108" s="1"/>
  <c r="K109" s="1"/>
  <c r="K110" s="1"/>
  <c r="K111" s="1"/>
  <c r="K112" s="1"/>
  <c r="K113" s="1"/>
  <c r="K115" s="1"/>
  <c r="K116" s="1"/>
  <c r="K117" s="1"/>
  <c r="K118" s="1"/>
  <c r="K119" s="1"/>
  <c r="K120" s="1"/>
  <c r="K121" s="1"/>
  <c r="K122" s="1"/>
  <c r="K123" s="1"/>
  <c r="K124" s="1"/>
  <c r="K125" s="1"/>
  <c r="K162" s="1"/>
  <c r="K163" s="1"/>
  <c r="K164" s="1"/>
  <c r="K165" s="1"/>
  <c r="K166" s="1"/>
  <c r="K167" s="1"/>
  <c r="K168" s="1"/>
  <c r="K169" s="1"/>
  <c r="K127" s="1"/>
  <c r="K128" s="1"/>
  <c r="K129" s="1"/>
  <c r="K130" s="1"/>
  <c r="K131" s="1"/>
  <c r="K132" s="1"/>
  <c r="K133" s="1"/>
  <c r="K134" s="1"/>
  <c r="K135" s="1"/>
  <c r="K136" s="1"/>
  <c r="K137" s="1"/>
  <c r="K170" s="1"/>
  <c r="K171" s="1"/>
  <c r="K172" s="1"/>
  <c r="K173" s="1"/>
  <c r="K174" s="1"/>
  <c r="K175" s="1"/>
  <c r="K176" s="1"/>
  <c r="K177" s="1"/>
  <c r="K139" s="1"/>
  <c r="K140" s="1"/>
  <c r="K141" s="1"/>
  <c r="K142" s="1"/>
  <c r="K143" s="1"/>
  <c r="K144" s="1"/>
  <c r="K145" s="1"/>
  <c r="K146" s="1"/>
  <c r="K147" s="1"/>
  <c r="K148" s="1"/>
  <c r="K149" s="1"/>
  <c r="K178" s="1"/>
  <c r="K179" s="1"/>
  <c r="K180" s="1"/>
  <c r="K181" s="1"/>
  <c r="K182" s="1"/>
  <c r="K183" s="1"/>
  <c r="K184" s="1"/>
  <c r="K185" s="1"/>
  <c r="K151" s="1"/>
  <c r="K152" s="1"/>
  <c r="K153" s="1"/>
  <c r="K154" s="1"/>
  <c r="K155" s="1"/>
  <c r="K156" s="1"/>
  <c r="K157" s="1"/>
  <c r="K158" s="1"/>
  <c r="K159" s="1"/>
  <c r="K160" s="1"/>
  <c r="K161" s="1"/>
  <c r="K186" s="1"/>
  <c r="K187" s="1"/>
  <c r="K188" s="1"/>
  <c r="K189" s="1"/>
  <c r="K190" s="1"/>
  <c r="K191" s="1"/>
  <c r="K192" s="1"/>
  <c r="K193" s="1"/>
  <c r="N4"/>
  <c r="N31"/>
  <c r="N59" s="1"/>
  <c r="N87" s="1"/>
  <c r="M4"/>
  <c r="M31"/>
  <c r="M59" s="1"/>
  <c r="M87" s="1"/>
  <c r="N34"/>
  <c r="N62" s="1"/>
  <c r="N90" s="1"/>
  <c r="N36"/>
  <c r="N64" s="1"/>
  <c r="N92" s="1"/>
  <c r="M30"/>
  <c r="M58" s="1"/>
  <c r="M86" s="1"/>
  <c r="M34"/>
  <c r="M62" s="1"/>
  <c r="M90" s="1"/>
  <c r="M36"/>
  <c r="M64" s="1"/>
  <c r="M92" s="1"/>
  <c r="N35"/>
  <c r="N63" s="1"/>
  <c r="N91" s="1"/>
  <c r="L36"/>
  <c r="L40" s="1"/>
  <c r="L44" s="1"/>
  <c r="L48" s="1"/>
  <c r="L52" s="1"/>
  <c r="L56" s="1"/>
  <c r="L64" s="1"/>
  <c r="L68" s="1"/>
  <c r="L72" s="1"/>
  <c r="L76" s="1"/>
  <c r="L80" s="1"/>
  <c r="L84" s="1"/>
  <c r="L92" s="1"/>
  <c r="L96" s="1"/>
  <c r="L100" s="1"/>
  <c r="L104" s="1"/>
  <c r="L108" s="1"/>
  <c r="L112" s="1"/>
  <c r="L120" s="1"/>
  <c r="L124" s="1"/>
  <c r="L164" s="1"/>
  <c r="L168" s="1"/>
  <c r="L132" s="1"/>
  <c r="L136" s="1"/>
  <c r="L172" s="1"/>
  <c r="L176" s="1"/>
  <c r="L144" s="1"/>
  <c r="L148" s="1"/>
  <c r="L180" s="1"/>
  <c r="L184" s="1"/>
  <c r="L156" s="1"/>
  <c r="L160" s="1"/>
  <c r="L188" s="1"/>
  <c r="L192" s="1"/>
  <c r="L35"/>
  <c r="L39" s="1"/>
  <c r="L43" s="1"/>
  <c r="L47" s="1"/>
  <c r="L51" s="1"/>
  <c r="L55" s="1"/>
  <c r="L63" s="1"/>
  <c r="L67" s="1"/>
  <c r="L71" s="1"/>
  <c r="L75" s="1"/>
  <c r="L79" s="1"/>
  <c r="L83" s="1"/>
  <c r="L91" s="1"/>
  <c r="L95" s="1"/>
  <c r="L99" s="1"/>
  <c r="L103" s="1"/>
  <c r="L107" s="1"/>
  <c r="L111" s="1"/>
  <c r="L119" s="1"/>
  <c r="L123" s="1"/>
  <c r="L163" s="1"/>
  <c r="L167" s="1"/>
  <c r="L131" s="1"/>
  <c r="L135" s="1"/>
  <c r="L171" s="1"/>
  <c r="L175" s="1"/>
  <c r="L143" s="1"/>
  <c r="L147" s="1"/>
  <c r="L179" s="1"/>
  <c r="L183" s="1"/>
  <c r="L155" s="1"/>
  <c r="L159" s="1"/>
  <c r="L187" s="1"/>
  <c r="L191" s="1"/>
  <c r="L34"/>
  <c r="L38" s="1"/>
  <c r="L42" s="1"/>
  <c r="L46" s="1"/>
  <c r="L50" s="1"/>
  <c r="L54" s="1"/>
  <c r="L62" s="1"/>
  <c r="L66" s="1"/>
  <c r="L70" s="1"/>
  <c r="L74" s="1"/>
  <c r="L78" s="1"/>
  <c r="L82" s="1"/>
  <c r="L90" s="1"/>
  <c r="L94" s="1"/>
  <c r="L98" s="1"/>
  <c r="L102" s="1"/>
  <c r="L106" s="1"/>
  <c r="L110" s="1"/>
  <c r="L118" s="1"/>
  <c r="L122" s="1"/>
  <c r="L162" s="1"/>
  <c r="L166" s="1"/>
  <c r="L130" s="1"/>
  <c r="L134" s="1"/>
  <c r="L170" s="1"/>
  <c r="L174" s="1"/>
  <c r="L142" s="1"/>
  <c r="L146" s="1"/>
  <c r="L178" s="1"/>
  <c r="L182" s="1"/>
  <c r="L154" s="1"/>
  <c r="L158" s="1"/>
  <c r="L186" s="1"/>
  <c r="L190" s="1"/>
  <c r="N11"/>
  <c r="M11"/>
  <c r="M33" i="5"/>
  <c r="N33"/>
  <c r="J8"/>
  <c r="D8"/>
  <c r="J6"/>
  <c r="D6"/>
  <c r="M4"/>
  <c r="J4"/>
  <c r="D4"/>
  <c r="J2"/>
  <c r="D2"/>
  <c r="M48" i="7"/>
  <c r="N48"/>
  <c r="J8"/>
  <c r="J6"/>
  <c r="J4"/>
  <c r="M4"/>
  <c r="J2"/>
  <c r="D8"/>
  <c r="D6"/>
  <c r="D4"/>
  <c r="D2"/>
  <c r="M82" i="1"/>
  <c r="U34" l="1"/>
  <c r="D35" s="1"/>
  <c r="O93" i="9"/>
  <c r="Y34" i="1"/>
  <c r="H35" s="1"/>
  <c r="O109" i="9"/>
  <c r="W34" i="1"/>
  <c r="F35" s="1"/>
  <c r="O101" i="9"/>
  <c r="J35" i="1"/>
  <c r="V34"/>
  <c r="E35" s="1"/>
  <c r="O97" i="9"/>
  <c r="X34" i="1"/>
  <c r="G35" s="1"/>
  <c r="O105" i="9"/>
  <c r="Z34" i="1"/>
  <c r="I35" s="1"/>
  <c r="O113" i="9"/>
  <c r="N127"/>
  <c r="N139" s="1"/>
  <c r="N151" s="1"/>
  <c r="N116"/>
  <c r="M128"/>
  <c r="M140" s="1"/>
  <c r="M152" s="1"/>
  <c r="M117"/>
  <c r="M129" s="1"/>
  <c r="M141" s="1"/>
  <c r="M153" s="1"/>
  <c r="N12"/>
  <c r="N39"/>
  <c r="N67" s="1"/>
  <c r="N95" s="1"/>
  <c r="M12"/>
  <c r="M39"/>
  <c r="M67" s="1"/>
  <c r="M95" s="1"/>
  <c r="M5"/>
  <c r="M33" s="1"/>
  <c r="M61" s="1"/>
  <c r="M89" s="1"/>
  <c r="M32"/>
  <c r="M60" s="1"/>
  <c r="M88" s="1"/>
  <c r="N5"/>
  <c r="N33" s="1"/>
  <c r="N61" s="1"/>
  <c r="N89" s="1"/>
  <c r="N32"/>
  <c r="N60" s="1"/>
  <c r="N88" s="1"/>
  <c r="N128" l="1"/>
  <c r="N140" s="1"/>
  <c r="N152" s="1"/>
  <c r="N117"/>
  <c r="N129" s="1"/>
  <c r="N141" s="1"/>
  <c r="N153" s="1"/>
  <c r="M13"/>
  <c r="M40"/>
  <c r="M68" s="1"/>
  <c r="M96" s="1"/>
  <c r="N13"/>
  <c r="N40"/>
  <c r="N68" s="1"/>
  <c r="N96" s="1"/>
  <c r="N15" l="1"/>
  <c r="N41"/>
  <c r="N69" s="1"/>
  <c r="N97" s="1"/>
  <c r="M15"/>
  <c r="M41"/>
  <c r="M69" s="1"/>
  <c r="M97" s="1"/>
  <c r="M16" l="1"/>
  <c r="M43"/>
  <c r="M71" s="1"/>
  <c r="M99" s="1"/>
  <c r="N16"/>
  <c r="N43"/>
  <c r="N71" s="1"/>
  <c r="N99" s="1"/>
  <c r="N17" l="1"/>
  <c r="N44"/>
  <c r="N72" s="1"/>
  <c r="N100" s="1"/>
  <c r="M17"/>
  <c r="M44"/>
  <c r="M72" s="1"/>
  <c r="M100" s="1"/>
  <c r="M19" l="1"/>
  <c r="M45"/>
  <c r="M73" s="1"/>
  <c r="M101" s="1"/>
  <c r="N19"/>
  <c r="N45"/>
  <c r="N73" s="1"/>
  <c r="N101" s="1"/>
  <c r="N20" l="1"/>
  <c r="N47"/>
  <c r="N75" s="1"/>
  <c r="N103" s="1"/>
  <c r="M20"/>
  <c r="M47"/>
  <c r="M75" s="1"/>
  <c r="M103" s="1"/>
  <c r="M21" l="1"/>
  <c r="M48"/>
  <c r="M76" s="1"/>
  <c r="M104" s="1"/>
  <c r="N21"/>
  <c r="N48"/>
  <c r="N76" s="1"/>
  <c r="N104" s="1"/>
  <c r="N23" l="1"/>
  <c r="N49"/>
  <c r="N77" s="1"/>
  <c r="N105" s="1"/>
  <c r="M23"/>
  <c r="M49"/>
  <c r="M77" s="1"/>
  <c r="M105" s="1"/>
  <c r="M24" l="1"/>
  <c r="M51"/>
  <c r="M79" s="1"/>
  <c r="M107" s="1"/>
  <c r="N24"/>
  <c r="N51"/>
  <c r="N79" s="1"/>
  <c r="N107" s="1"/>
  <c r="N25" l="1"/>
  <c r="N52"/>
  <c r="N80" s="1"/>
  <c r="N108" s="1"/>
  <c r="M25"/>
  <c r="M52"/>
  <c r="M80" s="1"/>
  <c r="M108" s="1"/>
  <c r="M27" l="1"/>
  <c r="M53"/>
  <c r="M81" s="1"/>
  <c r="M109" s="1"/>
  <c r="N27"/>
  <c r="N53"/>
  <c r="N81" s="1"/>
  <c r="N109" s="1"/>
  <c r="N28" l="1"/>
  <c r="N55"/>
  <c r="N83" s="1"/>
  <c r="N111" s="1"/>
  <c r="M28"/>
  <c r="M55"/>
  <c r="M83" s="1"/>
  <c r="M111" s="1"/>
  <c r="M29" l="1"/>
  <c r="M57" s="1"/>
  <c r="M85" s="1"/>
  <c r="M113" s="1"/>
  <c r="M56"/>
  <c r="M84" s="1"/>
  <c r="M112" s="1"/>
  <c r="N29"/>
  <c r="N57" s="1"/>
  <c r="N85" s="1"/>
  <c r="N113" s="1"/>
  <c r="N56"/>
  <c r="N84" s="1"/>
  <c r="N112" s="1"/>
</calcChain>
</file>

<file path=xl/sharedStrings.xml><?xml version="1.0" encoding="utf-8"?>
<sst xmlns="http://schemas.openxmlformats.org/spreadsheetml/2006/main" count="668" uniqueCount="141">
  <si>
    <t>s.u.</t>
  </si>
  <si>
    <t>Telephone:</t>
  </si>
  <si>
    <t>Email:</t>
  </si>
  <si>
    <t>Copper, Total</t>
  </si>
  <si>
    <t>Lead, Total</t>
  </si>
  <si>
    <t>Zinc, Total</t>
  </si>
  <si>
    <t>Sample Date</t>
  </si>
  <si>
    <t>County:</t>
  </si>
  <si>
    <t>Permit Benchmark</t>
  </si>
  <si>
    <t>Sign here:</t>
  </si>
  <si>
    <t>Facility Common Name:</t>
  </si>
  <si>
    <t>ODEQ File No./Facility ID:</t>
  </si>
  <si>
    <t>Laboratory Name:</t>
  </si>
  <si>
    <t>mg/L</t>
  </si>
  <si>
    <t>Reporting Period:</t>
  </si>
  <si>
    <t>Facility Location:</t>
  </si>
  <si>
    <t>Permittee Legal Name:</t>
  </si>
  <si>
    <t xml:space="preserve">Name/Title Principal Executive Officer or Authorized Delegate </t>
  </si>
  <si>
    <t>Laboratory ORELAP #:</t>
  </si>
  <si>
    <t xml:space="preserve"> July 1,</t>
  </si>
  <si>
    <t>to</t>
  </si>
  <si>
    <t>June 30,</t>
  </si>
  <si>
    <t>Name or Number of Sampling Point(s) (group data per sampling point)</t>
  </si>
  <si>
    <t>pH</t>
  </si>
  <si>
    <t>Mercury, Total</t>
  </si>
  <si>
    <t>Cadmium, Total</t>
  </si>
  <si>
    <t>Chromium, Total</t>
  </si>
  <si>
    <t>Nickel, Total</t>
  </si>
  <si>
    <t>Additional Sampling</t>
  </si>
  <si>
    <t>Iron, Total</t>
  </si>
  <si>
    <t xml:space="preserve"> mg/L</t>
  </si>
  <si>
    <t>COD</t>
  </si>
  <si>
    <t>Nitrate + Nitrite Nitrogen</t>
  </si>
  <si>
    <t>Aluminum, Total</t>
  </si>
  <si>
    <r>
      <t>BOD</t>
    </r>
    <r>
      <rPr>
        <b/>
        <vertAlign val="subscript"/>
        <sz val="11"/>
        <rFont val="Arial"/>
        <family val="2"/>
      </rPr>
      <t>5</t>
    </r>
  </si>
  <si>
    <t>Oil and Grease, Total</t>
  </si>
  <si>
    <t>Suspended Solids, Total</t>
  </si>
  <si>
    <r>
      <t xml:space="preserve">Monitor for the following pollutants at sampling point(s) specified in your SWPCP and use the sampling point name or number from your SWPCP.  Add more sheets if necessary (e.g., if more than 4 samples are collected per pollutant or facility has more than 4 sampling points).  </t>
    </r>
    <r>
      <rPr>
        <b/>
        <u/>
        <sz val="12"/>
        <rFont val="Arial"/>
        <family val="2"/>
      </rPr>
      <t>You MUST also attach a copy of laboratory results sheet(s)</t>
    </r>
    <r>
      <rPr>
        <b/>
        <sz val="12"/>
        <rFont val="Arial"/>
        <family val="2"/>
      </rPr>
      <t>.</t>
    </r>
  </si>
  <si>
    <t>Permit Reference Concentration</t>
  </si>
  <si>
    <t>All Permittees</t>
  </si>
  <si>
    <t>Auto Salvage &amp; Scrap Recycling Facilities</t>
  </si>
  <si>
    <t>Scrap Recycling Facilities</t>
  </si>
  <si>
    <t>MQL</t>
  </si>
  <si>
    <t>Use method 3113B, 200.8, or other method specified in 40CFR136 for NPDES reporting</t>
  </si>
  <si>
    <t>Benchmark Sampling: 4 times per year, every year</t>
  </si>
  <si>
    <t>Total PCBs *</t>
  </si>
  <si>
    <t>Sector Specific Benchmark Sampling: 4 times per year, every year</t>
  </si>
  <si>
    <t>Impairment Sampling: 2 times per year, every year</t>
  </si>
  <si>
    <t>Please refer to the permit assignment letter to determine if sector specific benchmark sampling is required.</t>
  </si>
  <si>
    <t>Please refer to the permit assignment letter to determine if impairment sampling is required.</t>
  </si>
  <si>
    <t>Geometric Mean (Note 3)</t>
  </si>
  <si>
    <t>8 samples during first 3 years</t>
  </si>
  <si>
    <t>4 samples during first 3 years</t>
  </si>
  <si>
    <t>40 CFR 122.22 I certify, under penalty of law, that this document and all attachments were prepared under my direct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</si>
  <si>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  PCBs should be reported as the sum of the following aroclors 1016, 1221, 1232, 1242, 1248, 1254, 1260.  Do not use any value for any aloclor that is non-detect,  Should all Aloclors be non-detect report the ND value for the highest non-detect value from the lab report; typically, this will be ND (0.002).</t>
  </si>
  <si>
    <t>Page 1</t>
  </si>
  <si>
    <t>Last updated 1/23/2013</t>
  </si>
  <si>
    <t>Page 2</t>
  </si>
  <si>
    <t>Page 3</t>
  </si>
  <si>
    <t>(Please Print)  First Name:</t>
  </si>
  <si>
    <t>Last Name:</t>
  </si>
  <si>
    <t>Title:</t>
  </si>
  <si>
    <t>Date:</t>
  </si>
  <si>
    <t>Legal Name</t>
  </si>
  <si>
    <t>Common Name</t>
  </si>
  <si>
    <t>Location</t>
  </si>
  <si>
    <t>County</t>
  </si>
  <si>
    <t>Facility ID</t>
  </si>
  <si>
    <t>SIC Code(s):</t>
  </si>
  <si>
    <t>Reporting Year</t>
  </si>
  <si>
    <t>Laboratory</t>
  </si>
  <si>
    <t>ORELAP #</t>
  </si>
  <si>
    <t>Sample Location</t>
  </si>
  <si>
    <t>Date</t>
  </si>
  <si>
    <t>Parameter</t>
  </si>
  <si>
    <t>Units</t>
  </si>
  <si>
    <t>Result</t>
  </si>
  <si>
    <t>Section</t>
  </si>
  <si>
    <t>Benchmark</t>
  </si>
  <si>
    <t>Additional</t>
  </si>
  <si>
    <t>Sector1</t>
  </si>
  <si>
    <t>Impairment</t>
  </si>
  <si>
    <t>MaxComparison</t>
  </si>
  <si>
    <t>MinComparison</t>
  </si>
  <si>
    <r>
      <t>Name or # of Sampling Point(s) (</t>
    </r>
    <r>
      <rPr>
        <b/>
        <sz val="10"/>
        <rFont val="Arial"/>
        <family val="2"/>
      </rPr>
      <t>group data per sampling point)</t>
    </r>
  </si>
  <si>
    <t>E. coli</t>
  </si>
  <si>
    <t>Phosphorus, Total</t>
  </si>
  <si>
    <t>counts/100 mL</t>
  </si>
  <si>
    <t xml:space="preserve">Industrial Stormwater Discharge Monitoring Report - 1200-COLS Permit   </t>
  </si>
  <si>
    <t xml:space="preserve">For permit coverage administered by the City of Portland, please submit one (1) copy of this report, laboratory results sheet(s), and QA/QC documentation to the City of Portland annually by July 31st:  </t>
  </si>
  <si>
    <r>
      <t>For</t>
    </r>
    <r>
      <rPr>
        <b/>
        <strike/>
        <sz val="14"/>
        <rFont val="Arial"/>
        <family val="2"/>
      </rPr>
      <t xml:space="preserve"> </t>
    </r>
    <r>
      <rPr>
        <b/>
        <sz val="14"/>
        <rFont val="Arial"/>
        <family val="2"/>
      </rPr>
      <t xml:space="preserve">permit coverage administered directly by DEQ, please submit one (1) copy of this report, and the laboratory results sheet(s), to DEQ annually by July 31st:  </t>
    </r>
  </si>
  <si>
    <t>City of Portland</t>
  </si>
  <si>
    <t>DEQ Northwest Region Office</t>
  </si>
  <si>
    <t>Industrial Stormwater Section</t>
  </si>
  <si>
    <t>Stormwater Section</t>
  </si>
  <si>
    <t>Water Pollution Control Laboratory</t>
  </si>
  <si>
    <t>2020 SW 4th Avenue, Suite 400</t>
  </si>
  <si>
    <t>6543 N. Burlington Ave.</t>
  </si>
  <si>
    <t xml:space="preserve">Portland, OR  97201 </t>
  </si>
  <si>
    <t>Portland OR  97203-5452</t>
  </si>
  <si>
    <t>Iron</t>
  </si>
  <si>
    <t>08-WQ-032</t>
  </si>
  <si>
    <t>DMR Instructions</t>
  </si>
  <si>
    <t>Industrial Stormwater Discharge Monitoring Report - 1200-COLS Permit</t>
  </si>
  <si>
    <t>All Sections</t>
  </si>
  <si>
    <t>Common tab: Benchmark Sampling</t>
  </si>
  <si>
    <t>Common tab: Additional Sampling</t>
  </si>
  <si>
    <t>Do not submit this page in the years after you have submitted the required number of samples for each sampling point.</t>
  </si>
  <si>
    <t>Cadmium, nickel and zinc</t>
  </si>
  <si>
    <t>Mercury</t>
  </si>
  <si>
    <t>PCBs</t>
  </si>
  <si>
    <t>Sector tab: Sector-Specific Benchmark Sampling</t>
  </si>
  <si>
    <t>Impairment tab: Impairment Sampling</t>
  </si>
  <si>
    <t>If your facility does not have impairment pollutant requirements, do not submit this page.</t>
  </si>
  <si>
    <r>
      <t>·</t>
    </r>
    <r>
      <rPr>
        <sz val="7"/>
        <rFont val="Times New Roman"/>
        <family val="1"/>
      </rPr>
      <t xml:space="preserve">         </t>
    </r>
    <r>
      <rPr>
        <sz val="11"/>
        <rFont val="Times New Roman"/>
        <family val="1"/>
      </rPr>
      <t>Organize data first by sample location/outfall.</t>
    </r>
  </si>
  <si>
    <r>
      <t>·</t>
    </r>
    <r>
      <rPr>
        <sz val="7"/>
        <rFont val="Times New Roman"/>
        <family val="1"/>
      </rPr>
      <t xml:space="preserve">         </t>
    </r>
    <r>
      <rPr>
        <sz val="11"/>
        <rFont val="Times New Roman"/>
        <family val="1"/>
      </rPr>
      <t>For each location, provide the data.</t>
    </r>
  </si>
  <si>
    <r>
      <t>·</t>
    </r>
    <r>
      <rPr>
        <sz val="7"/>
        <rFont val="Times New Roman"/>
        <family val="1"/>
      </rPr>
      <t xml:space="preserve">         </t>
    </r>
    <r>
      <rPr>
        <sz val="11"/>
        <rFont val="Times New Roman"/>
        <family val="1"/>
      </rPr>
      <t>Where applicable, the spreadsheet will calculate the geometric mean.</t>
    </r>
  </si>
  <si>
    <r>
      <t>·</t>
    </r>
    <r>
      <rPr>
        <sz val="7"/>
        <rFont val="Times New Roman"/>
        <family val="1"/>
      </rPr>
      <t xml:space="preserve">         </t>
    </r>
    <r>
      <rPr>
        <sz val="11"/>
        <rFont val="Times New Roman"/>
        <family val="1"/>
      </rPr>
      <t>Submit only pages needed for your facility.</t>
    </r>
  </si>
  <si>
    <r>
      <t>·</t>
    </r>
    <r>
      <rPr>
        <sz val="7"/>
        <rFont val="Times New Roman"/>
        <family val="1"/>
      </rPr>
      <t xml:space="preserve">         </t>
    </r>
    <r>
      <rPr>
        <sz val="11"/>
        <rFont val="Times New Roman"/>
        <family val="1"/>
      </rPr>
      <t>Report non-detects as "ND" along with the applicable method detection limit or minimum quantification limit in parentheses; for example ND (0.001).</t>
    </r>
  </si>
  <si>
    <r>
      <t>·</t>
    </r>
    <r>
      <rPr>
        <sz val="7"/>
        <rFont val="Times New Roman"/>
        <family val="1"/>
      </rPr>
      <t xml:space="preserve">         </t>
    </r>
    <r>
      <rPr>
        <sz val="11"/>
        <rFont val="Times New Roman"/>
        <family val="1"/>
      </rPr>
      <t>If you collected more data than will fit in the standard form (for example, more than 4 locations or more than 4 samples per location), fill out additional pages as needed.</t>
    </r>
  </si>
  <si>
    <r>
      <t>·</t>
    </r>
    <r>
      <rPr>
        <sz val="7"/>
        <rFont val="Times New Roman"/>
        <family val="1"/>
      </rPr>
      <t xml:space="preserve">         </t>
    </r>
    <r>
      <rPr>
        <sz val="11"/>
        <rFont val="Times New Roman"/>
        <family val="1"/>
      </rPr>
      <t>Required for all permit holders</t>
    </r>
  </si>
  <si>
    <r>
      <t>·</t>
    </r>
    <r>
      <rPr>
        <sz val="7"/>
        <rFont val="Times New Roman"/>
        <family val="1"/>
      </rPr>
      <t xml:space="preserve">         </t>
    </r>
    <r>
      <rPr>
        <sz val="11"/>
        <rFont val="Times New Roman"/>
        <family val="1"/>
      </rPr>
      <t>Sample 4 times per year, every year (unless a monitoring waiver applies).</t>
    </r>
  </si>
  <si>
    <r>
      <t>·</t>
    </r>
    <r>
      <rPr>
        <sz val="7"/>
        <rFont val="Times New Roman"/>
        <family val="1"/>
      </rPr>
      <t xml:space="preserve">         </t>
    </r>
    <r>
      <rPr>
        <sz val="11"/>
        <rFont val="Times New Roman"/>
        <family val="1"/>
      </rPr>
      <t>Geomean reporting is required only in the second year of permit coverage.</t>
    </r>
  </si>
  <si>
    <r>
      <t>·</t>
    </r>
    <r>
      <rPr>
        <sz val="7"/>
        <rFont val="Times New Roman"/>
        <family val="1"/>
      </rPr>
      <t xml:space="preserve">         </t>
    </r>
    <r>
      <rPr>
        <sz val="11"/>
        <rFont val="Times New Roman"/>
        <family val="1"/>
      </rPr>
      <t>Required for all permit holders.</t>
    </r>
  </si>
  <si>
    <r>
      <t>·</t>
    </r>
    <r>
      <rPr>
        <sz val="7"/>
        <rFont val="Times New Roman"/>
        <family val="1"/>
      </rPr>
      <t xml:space="preserve">         </t>
    </r>
    <r>
      <rPr>
        <sz val="11"/>
        <rFont val="Times New Roman"/>
        <family val="1"/>
      </rPr>
      <t>Collect a total of 8 samples during the first three years of the permit coverage.</t>
    </r>
  </si>
  <si>
    <r>
      <t>·</t>
    </r>
    <r>
      <rPr>
        <sz val="7"/>
        <rFont val="Times New Roman"/>
        <family val="1"/>
      </rPr>
      <t xml:space="preserve">         </t>
    </r>
    <r>
      <rPr>
        <sz val="11"/>
        <rFont val="Times New Roman"/>
        <family val="1"/>
      </rPr>
      <t>Required only for auto salvage and scrap recycling facilities (SIC 5015 and 5093).</t>
    </r>
  </si>
  <si>
    <r>
      <t>·</t>
    </r>
    <r>
      <rPr>
        <sz val="7"/>
        <rFont val="Times New Roman"/>
        <family val="1"/>
      </rPr>
      <t xml:space="preserve">         </t>
    </r>
    <r>
      <rPr>
        <sz val="11"/>
        <rFont val="Times New Roman"/>
        <family val="1"/>
      </rPr>
      <t>Collect a total of 4 samples during the first three years of permit coverage.</t>
    </r>
  </si>
  <si>
    <r>
      <t>·</t>
    </r>
    <r>
      <rPr>
        <sz val="7"/>
        <rFont val="Times New Roman"/>
        <family val="1"/>
      </rPr>
      <t xml:space="preserve">         </t>
    </r>
    <r>
      <rPr>
        <sz val="11"/>
        <rFont val="Times New Roman"/>
        <family val="1"/>
      </rPr>
      <t>Required only for scrap recycling facilities (SIC 5015).</t>
    </r>
  </si>
  <si>
    <r>
      <t>·</t>
    </r>
    <r>
      <rPr>
        <sz val="7"/>
        <rFont val="Times New Roman"/>
        <family val="1"/>
      </rPr>
      <t xml:space="preserve">         </t>
    </r>
    <r>
      <rPr>
        <sz val="11"/>
        <rFont val="Times New Roman"/>
        <family val="1"/>
      </rPr>
      <t>Collect a total of 4 samples during the first 3 years of permit coverage.</t>
    </r>
  </si>
  <si>
    <r>
      <t>·</t>
    </r>
    <r>
      <rPr>
        <sz val="7"/>
        <rFont val="Times New Roman"/>
        <family val="1"/>
      </rPr>
      <t xml:space="preserve">         </t>
    </r>
    <r>
      <rPr>
        <sz val="11"/>
        <rFont val="Times New Roman"/>
        <family val="1"/>
      </rPr>
      <t xml:space="preserve">Report as the sum of the following aroclors 1016, 1221, 1232, 1242, 1248, 1254, 1260.  </t>
    </r>
  </si>
  <si>
    <r>
      <t>·</t>
    </r>
    <r>
      <rPr>
        <sz val="7"/>
        <rFont val="Times New Roman"/>
        <family val="1"/>
      </rPr>
      <t xml:space="preserve">         </t>
    </r>
    <r>
      <rPr>
        <sz val="11"/>
        <rFont val="Times New Roman"/>
        <family val="1"/>
      </rPr>
      <t>If the result for an aroclor is non-detect, do not include it in the sum.</t>
    </r>
  </si>
  <si>
    <r>
      <t>·</t>
    </r>
    <r>
      <rPr>
        <sz val="7"/>
        <rFont val="Times New Roman"/>
        <family val="1"/>
      </rPr>
      <t xml:space="preserve">         </t>
    </r>
    <r>
      <rPr>
        <sz val="11"/>
        <rFont val="Times New Roman"/>
        <family val="1"/>
      </rPr>
      <t>If all aroclors are non-detect, report the results as ND (0.002).</t>
    </r>
  </si>
  <si>
    <r>
      <t>·</t>
    </r>
    <r>
      <rPr>
        <sz val="7"/>
        <rFont val="Times New Roman"/>
        <family val="1"/>
      </rPr>
      <t xml:space="preserve">         </t>
    </r>
    <r>
      <rPr>
        <sz val="11"/>
        <rFont val="Times New Roman"/>
        <family val="1"/>
      </rPr>
      <t>Required only of some sectors (please refer to your permit assignment letter).</t>
    </r>
  </si>
  <si>
    <r>
      <t>·</t>
    </r>
    <r>
      <rPr>
        <sz val="7"/>
        <rFont val="Times New Roman"/>
        <family val="1"/>
      </rPr>
      <t xml:space="preserve">         </t>
    </r>
    <r>
      <rPr>
        <sz val="11"/>
        <rFont val="Times New Roman"/>
        <family val="1"/>
      </rPr>
      <t>If your facility does not have sector-specific benchmark requirements listed in your permit assignment letter, do not submit this page.</t>
    </r>
  </si>
  <si>
    <r>
      <t>·</t>
    </r>
    <r>
      <rPr>
        <sz val="7"/>
        <rFont val="Times New Roman"/>
        <family val="1"/>
      </rPr>
      <t xml:space="preserve">         </t>
    </r>
    <r>
      <rPr>
        <sz val="11"/>
        <rFont val="Times New Roman"/>
        <family val="1"/>
      </rPr>
      <t>Sample 4 times per year, every year.</t>
    </r>
  </si>
  <si>
    <r>
      <t>·</t>
    </r>
    <r>
      <rPr>
        <sz val="7"/>
        <rFont val="Times New Roman"/>
        <family val="1"/>
      </rPr>
      <t xml:space="preserve">         </t>
    </r>
    <r>
      <rPr>
        <sz val="11"/>
        <rFont val="Times New Roman"/>
        <family val="1"/>
      </rPr>
      <t>Different parameters are required for different sectors. Sample and report only those parameters required for your sector.</t>
    </r>
  </si>
  <si>
    <r>
      <t>·</t>
    </r>
    <r>
      <rPr>
        <sz val="7"/>
        <rFont val="Times New Roman"/>
        <family val="1"/>
      </rPr>
      <t xml:space="preserve">         </t>
    </r>
    <r>
      <rPr>
        <sz val="11"/>
        <rFont val="Times New Roman"/>
        <family val="1"/>
      </rPr>
      <t>Sample 2 times per year, every year.</t>
    </r>
  </si>
  <si>
    <r>
      <t>·</t>
    </r>
    <r>
      <rPr>
        <sz val="7"/>
        <rFont val="Times New Roman"/>
        <family val="1"/>
      </rPr>
      <t xml:space="preserve">         </t>
    </r>
    <r>
      <rPr>
        <sz val="11"/>
        <rFont val="Times New Roman"/>
        <family val="1"/>
      </rPr>
      <t>For sites that have iron as both a Sector Specific Benchmark and as an Impairment Pollutant, only report the results in the Sector Specific Section of the DMR. Do not report the results in this section.</t>
    </r>
  </si>
  <si>
    <r>
      <t>·</t>
    </r>
    <r>
      <rPr>
        <sz val="7"/>
        <rFont val="Times New Roman"/>
        <family val="1"/>
      </rPr>
      <t xml:space="preserve">         </t>
    </r>
    <r>
      <rPr>
        <sz val="11"/>
        <rFont val="Times New Roman"/>
        <family val="1"/>
      </rPr>
      <t xml:space="preserve">Required for some sites (see your assignment letter). </t>
    </r>
  </si>
  <si>
    <t>SIC Codes</t>
  </si>
  <si>
    <t>Page 4</t>
  </si>
</sst>
</file>

<file path=xl/styles.xml><?xml version="1.0" encoding="utf-8"?>
<styleSheet xmlns="http://schemas.openxmlformats.org/spreadsheetml/2006/main">
  <numFmts count="8">
    <numFmt numFmtId="164" formatCode="0.0"/>
    <numFmt numFmtId="165" formatCode="0.000"/>
    <numFmt numFmtId="166" formatCode="mm/dd/yy"/>
    <numFmt numFmtId="167" formatCode="0.00000"/>
    <numFmt numFmtId="168" formatCode="0.000000"/>
    <numFmt numFmtId="169" formatCode="0.0000"/>
    <numFmt numFmtId="170" formatCode="mm/dd/yy;@"/>
    <numFmt numFmtId="171" formatCode="m/d/yy"/>
  </numFmts>
  <fonts count="35">
    <font>
      <sz val="10"/>
      <name val="Arial"/>
    </font>
    <font>
      <b/>
      <sz val="10"/>
      <name val="Arial"/>
      <family val="2"/>
    </font>
    <font>
      <b/>
      <sz val="20"/>
      <name val="Arial"/>
      <family val="2"/>
    </font>
    <font>
      <sz val="10"/>
      <name val="Arial"/>
      <family val="2"/>
    </font>
    <font>
      <b/>
      <sz val="12"/>
      <name val="Arial"/>
      <family val="2"/>
    </font>
    <font>
      <sz val="12"/>
      <name val="Arial"/>
      <family val="2"/>
    </font>
    <font>
      <sz val="11"/>
      <name val="Arial"/>
      <family val="2"/>
    </font>
    <font>
      <b/>
      <sz val="11"/>
      <name val="Arial"/>
      <family val="2"/>
    </font>
    <font>
      <i/>
      <sz val="11"/>
      <name val="Arial"/>
      <family val="2"/>
    </font>
    <font>
      <b/>
      <sz val="12"/>
      <name val="Times New Roman"/>
      <family val="1"/>
    </font>
    <font>
      <b/>
      <sz val="18"/>
      <name val="Arial"/>
      <family val="2"/>
    </font>
    <font>
      <b/>
      <sz val="13"/>
      <name val="Arial"/>
      <family val="2"/>
    </font>
    <font>
      <b/>
      <i/>
      <sz val="15"/>
      <name val="Arial"/>
      <family val="2"/>
    </font>
    <font>
      <b/>
      <u/>
      <sz val="10"/>
      <name val="Arial"/>
      <family val="2"/>
    </font>
    <font>
      <sz val="16"/>
      <name val="Arial"/>
      <family val="2"/>
    </font>
    <font>
      <b/>
      <u/>
      <sz val="12"/>
      <name val="Arial"/>
      <family val="2"/>
    </font>
    <font>
      <sz val="8"/>
      <name val="Arial"/>
      <family val="2"/>
    </font>
    <font>
      <b/>
      <sz val="10.5"/>
      <name val="Arial"/>
      <family val="2"/>
    </font>
    <font>
      <b/>
      <vertAlign val="subscript"/>
      <sz val="11"/>
      <name val="Arial"/>
      <family val="2"/>
    </font>
    <font>
      <b/>
      <sz val="16"/>
      <color rgb="FFFF0000"/>
      <name val="Arial"/>
      <family val="2"/>
    </font>
    <font>
      <sz val="10"/>
      <color rgb="FFFF0000"/>
      <name val="Arial"/>
      <family val="2"/>
    </font>
    <font>
      <b/>
      <sz val="14"/>
      <name val="Arial"/>
      <family val="2"/>
    </font>
    <font>
      <b/>
      <sz val="12"/>
      <color rgb="FFFF0000"/>
      <name val="Arial"/>
      <family val="2"/>
    </font>
    <font>
      <sz val="13"/>
      <name val="Arial"/>
      <family val="2"/>
    </font>
    <font>
      <b/>
      <sz val="16"/>
      <name val="Arial"/>
      <family val="2"/>
    </font>
    <font>
      <sz val="14"/>
      <name val="Arial"/>
      <family val="2"/>
    </font>
    <font>
      <u/>
      <sz val="10"/>
      <color theme="10"/>
      <name val="Arial"/>
      <family val="2"/>
    </font>
    <font>
      <b/>
      <i/>
      <sz val="11"/>
      <name val="Arial"/>
      <family val="2"/>
    </font>
    <font>
      <b/>
      <strike/>
      <sz val="14"/>
      <name val="Arial"/>
      <family val="2"/>
    </font>
    <font>
      <sz val="14"/>
      <name val="Times New Roman"/>
      <family val="1"/>
    </font>
    <font>
      <sz val="11"/>
      <name val="Times New Roman"/>
      <family val="1"/>
    </font>
    <font>
      <b/>
      <sz val="14"/>
      <name val="Times New Roman"/>
      <family val="1"/>
    </font>
    <font>
      <u/>
      <sz val="11"/>
      <name val="Times New Roman"/>
      <family val="1"/>
    </font>
    <font>
      <sz val="11"/>
      <name val="Symbol"/>
      <family val="1"/>
      <charset val="2"/>
    </font>
    <font>
      <sz val="7"/>
      <name val="Times New Roman"/>
      <family val="1"/>
    </font>
  </fonts>
  <fills count="10">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rgb="FFCCFFFF"/>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tint="-0.34998626667073579"/>
        <bgColor indexed="64"/>
      </patternFill>
    </fill>
    <fill>
      <patternFill patternType="darkDown">
        <bgColor indexed="22"/>
      </patternFill>
    </fill>
    <fill>
      <patternFill patternType="solid">
        <fgColor theme="0" tint="-4.9989318521683403E-2"/>
        <bgColor indexed="64"/>
      </patternFill>
    </fill>
  </fills>
  <borders count="66">
    <border>
      <left/>
      <right/>
      <top/>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top/>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double">
        <color indexed="64"/>
      </bottom>
      <diagonal/>
    </border>
    <border>
      <left/>
      <right style="thin">
        <color indexed="64"/>
      </right>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right style="thin">
        <color indexed="64"/>
      </right>
      <top style="double">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double">
        <color indexed="64"/>
      </bottom>
      <diagonal/>
    </border>
    <border>
      <left style="thin">
        <color indexed="64"/>
      </left>
      <right/>
      <top style="medium">
        <color indexed="64"/>
      </top>
      <bottom style="thin">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s>
  <cellStyleXfs count="2">
    <xf numFmtId="0" fontId="0" fillId="0" borderId="0"/>
    <xf numFmtId="0" fontId="26" fillId="0" borderId="0" applyNumberFormat="0" applyFill="0" applyBorder="0" applyAlignment="0" applyProtection="0">
      <alignment vertical="top"/>
      <protection locked="0"/>
    </xf>
  </cellStyleXfs>
  <cellXfs count="482">
    <xf numFmtId="0" fontId="0" fillId="0" borderId="0" xfId="0"/>
    <xf numFmtId="0" fontId="0" fillId="0" borderId="0" xfId="0" applyAlignment="1">
      <alignment horizontal="center" vertical="top"/>
    </xf>
    <xf numFmtId="0" fontId="1" fillId="0" borderId="4" xfId="0" applyFont="1" applyBorder="1" applyAlignment="1">
      <alignment horizontal="center" wrapText="1"/>
    </xf>
    <xf numFmtId="0" fontId="1" fillId="0" borderId="5" xfId="0" applyFont="1" applyBorder="1" applyAlignment="1">
      <alignment horizontal="center" wrapText="1"/>
    </xf>
    <xf numFmtId="0" fontId="8" fillId="0" borderId="7" xfId="0" applyFont="1" applyBorder="1" applyAlignment="1">
      <alignment horizontal="right" vertical="center"/>
    </xf>
    <xf numFmtId="0" fontId="8" fillId="0" borderId="8" xfId="0" applyFont="1" applyBorder="1" applyAlignment="1" applyProtection="1">
      <alignment horizontal="center" vertical="center"/>
      <protection locked="0"/>
    </xf>
    <xf numFmtId="0" fontId="11" fillId="0" borderId="0" xfId="0" applyFont="1" applyAlignment="1">
      <alignment vertical="center" wrapText="1"/>
    </xf>
    <xf numFmtId="0" fontId="7" fillId="0" borderId="9" xfId="0" applyFont="1" applyBorder="1" applyAlignment="1">
      <alignment horizontal="center" vertical="center" wrapText="1"/>
    </xf>
    <xf numFmtId="0" fontId="0" fillId="0" borderId="0" xfId="0" applyProtection="1">
      <protection hidden="1"/>
    </xf>
    <xf numFmtId="0" fontId="0" fillId="0" borderId="0" xfId="0" applyProtection="1"/>
    <xf numFmtId="0" fontId="0" fillId="0" borderId="0" xfId="0" applyAlignment="1" applyProtection="1">
      <alignment horizontal="center"/>
      <protection hidden="1"/>
    </xf>
    <xf numFmtId="0" fontId="7" fillId="0" borderId="9" xfId="0" applyFont="1" applyFill="1" applyBorder="1" applyAlignment="1">
      <alignment horizontal="center" vertical="center" wrapText="1"/>
    </xf>
    <xf numFmtId="0" fontId="7" fillId="0" borderId="9" xfId="0" applyFont="1" applyFill="1" applyBorder="1" applyAlignment="1" applyProtection="1">
      <alignment horizontal="center" vertical="center" wrapText="1"/>
      <protection locked="0"/>
    </xf>
    <xf numFmtId="0" fontId="7" fillId="0" borderId="45" xfId="0" applyFont="1" applyFill="1" applyBorder="1" applyAlignment="1" applyProtection="1">
      <alignment horizontal="center" vertical="center" wrapText="1"/>
      <protection locked="0"/>
    </xf>
    <xf numFmtId="165" fontId="4" fillId="5" borderId="12" xfId="0" applyNumberFormat="1" applyFont="1" applyFill="1" applyBorder="1" applyAlignment="1">
      <alignment horizontal="center"/>
    </xf>
    <xf numFmtId="167" fontId="4" fillId="5" borderId="12" xfId="0" applyNumberFormat="1" applyFont="1" applyFill="1" applyBorder="1" applyAlignment="1">
      <alignment horizontal="center"/>
    </xf>
    <xf numFmtId="0" fontId="5" fillId="3" borderId="12" xfId="0" applyFont="1" applyFill="1" applyBorder="1" applyAlignment="1" applyProtection="1">
      <alignment vertical="center" wrapText="1"/>
      <protection locked="0"/>
    </xf>
    <xf numFmtId="0" fontId="5" fillId="4" borderId="12" xfId="0" applyFont="1" applyFill="1" applyBorder="1"/>
    <xf numFmtId="0" fontId="5" fillId="4" borderId="12" xfId="0" applyFont="1" applyFill="1" applyBorder="1" applyAlignment="1" applyProtection="1">
      <alignment vertical="center" wrapText="1"/>
      <protection locked="0"/>
    </xf>
    <xf numFmtId="166" fontId="5" fillId="3" borderId="13" xfId="0" applyNumberFormat="1" applyFont="1" applyFill="1" applyBorder="1" applyAlignment="1" applyProtection="1">
      <alignment horizontal="left" vertical="center"/>
      <protection locked="0"/>
    </xf>
    <xf numFmtId="166" fontId="5" fillId="3" borderId="12" xfId="0" applyNumberFormat="1" applyFont="1" applyFill="1" applyBorder="1" applyAlignment="1" applyProtection="1">
      <alignment horizontal="left" vertical="center"/>
      <protection locked="0"/>
    </xf>
    <xf numFmtId="0" fontId="4" fillId="5" borderId="49" xfId="0" applyFont="1" applyFill="1" applyBorder="1" applyAlignment="1">
      <alignment horizontal="center"/>
    </xf>
    <xf numFmtId="164" fontId="4" fillId="5" borderId="49" xfId="0" applyNumberFormat="1" applyFont="1" applyFill="1" applyBorder="1" applyAlignment="1">
      <alignment horizontal="center"/>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0" fillId="0" borderId="42" xfId="0" applyFill="1" applyBorder="1"/>
    <xf numFmtId="0" fontId="0" fillId="0" borderId="12" xfId="0" applyFill="1" applyBorder="1"/>
    <xf numFmtId="0" fontId="3" fillId="0" borderId="0" xfId="0" applyFont="1"/>
    <xf numFmtId="1" fontId="5" fillId="3" borderId="11" xfId="0" applyNumberFormat="1" applyFont="1" applyFill="1" applyBorder="1" applyAlignment="1" applyProtection="1">
      <alignment horizontal="right" vertical="center"/>
      <protection locked="0"/>
    </xf>
    <xf numFmtId="165" fontId="5" fillId="3" borderId="11" xfId="0" applyNumberFormat="1" applyFont="1" applyFill="1" applyBorder="1" applyAlignment="1" applyProtection="1">
      <alignment horizontal="right" vertical="center"/>
      <protection locked="0"/>
    </xf>
    <xf numFmtId="165" fontId="5" fillId="3" borderId="12" xfId="0" applyNumberFormat="1" applyFont="1" applyFill="1" applyBorder="1" applyAlignment="1" applyProtection="1">
      <alignment horizontal="right" vertical="center"/>
      <protection locked="0"/>
    </xf>
    <xf numFmtId="164" fontId="5" fillId="3" borderId="11" xfId="0" applyNumberFormat="1" applyFont="1" applyFill="1" applyBorder="1" applyAlignment="1" applyProtection="1">
      <alignment horizontal="right" vertical="center"/>
      <protection locked="0"/>
    </xf>
    <xf numFmtId="164" fontId="5" fillId="3" borderId="12" xfId="0" applyNumberFormat="1" applyFont="1" applyFill="1" applyBorder="1" applyAlignment="1" applyProtection="1">
      <alignment horizontal="right" vertical="center"/>
      <protection locked="0"/>
    </xf>
    <xf numFmtId="165" fontId="5" fillId="3" borderId="12" xfId="0" applyNumberFormat="1" applyFont="1" applyFill="1" applyBorder="1" applyAlignment="1" applyProtection="1">
      <alignment vertical="center" wrapText="1"/>
      <protection locked="0"/>
    </xf>
    <xf numFmtId="165" fontId="5" fillId="4" borderId="12" xfId="0" applyNumberFormat="1" applyFont="1" applyFill="1" applyBorder="1"/>
    <xf numFmtId="169" fontId="5" fillId="3" borderId="12" xfId="0" applyNumberFormat="1" applyFont="1" applyFill="1" applyBorder="1" applyAlignment="1" applyProtection="1">
      <alignment vertical="center" wrapText="1"/>
      <protection locked="0"/>
    </xf>
    <xf numFmtId="169" fontId="5" fillId="4" borderId="12" xfId="0" applyNumberFormat="1" applyFont="1" applyFill="1" applyBorder="1"/>
    <xf numFmtId="169" fontId="4" fillId="5" borderId="12" xfId="0" applyNumberFormat="1" applyFont="1" applyFill="1" applyBorder="1" applyAlignment="1">
      <alignment horizontal="center"/>
    </xf>
    <xf numFmtId="2" fontId="4" fillId="5" borderId="12" xfId="0" applyNumberFormat="1" applyFont="1" applyFill="1" applyBorder="1" applyAlignment="1">
      <alignment horizontal="center"/>
    </xf>
    <xf numFmtId="167" fontId="5" fillId="3" borderId="42" xfId="0" applyNumberFormat="1" applyFont="1" applyFill="1" applyBorder="1" applyAlignment="1" applyProtection="1">
      <alignment vertical="center" wrapText="1"/>
      <protection locked="0"/>
    </xf>
    <xf numFmtId="167" fontId="5" fillId="4" borderId="42" xfId="0" applyNumberFormat="1" applyFont="1" applyFill="1" applyBorder="1" applyAlignment="1" applyProtection="1">
      <alignment vertical="center" wrapText="1"/>
      <protection locked="0"/>
    </xf>
    <xf numFmtId="167" fontId="5" fillId="4" borderId="42" xfId="0" applyNumberFormat="1" applyFont="1" applyFill="1" applyBorder="1"/>
    <xf numFmtId="167" fontId="4" fillId="5" borderId="42" xfId="0" applyNumberFormat="1" applyFont="1" applyFill="1" applyBorder="1" applyAlignment="1">
      <alignment horizontal="center"/>
    </xf>
    <xf numFmtId="169" fontId="5" fillId="4" borderId="12" xfId="0" applyNumberFormat="1" applyFont="1" applyFill="1" applyBorder="1" applyAlignment="1" applyProtection="1">
      <alignment vertical="center" wrapText="1"/>
      <protection locked="0"/>
    </xf>
    <xf numFmtId="167" fontId="5" fillId="3" borderId="12" xfId="0" applyNumberFormat="1" applyFont="1" applyFill="1" applyBorder="1" applyAlignment="1" applyProtection="1">
      <alignment vertical="center" wrapText="1"/>
      <protection locked="0"/>
    </xf>
    <xf numFmtId="167" fontId="5" fillId="4" borderId="12" xfId="0" applyNumberFormat="1" applyFont="1" applyFill="1" applyBorder="1" applyAlignment="1" applyProtection="1">
      <alignment vertical="center" wrapText="1"/>
      <protection locked="0"/>
    </xf>
    <xf numFmtId="167" fontId="5" fillId="4" borderId="12" xfId="0" applyNumberFormat="1" applyFont="1" applyFill="1" applyBorder="1"/>
    <xf numFmtId="165" fontId="5" fillId="4" borderId="12" xfId="0" applyNumberFormat="1" applyFont="1" applyFill="1" applyBorder="1" applyAlignment="1" applyProtection="1">
      <alignment vertical="center" wrapText="1"/>
      <protection locked="0"/>
    </xf>
    <xf numFmtId="168" fontId="5" fillId="3" borderId="12" xfId="0" applyNumberFormat="1" applyFont="1" applyFill="1" applyBorder="1" applyAlignment="1" applyProtection="1">
      <alignment vertical="center" wrapText="1"/>
      <protection locked="0"/>
    </xf>
    <xf numFmtId="168" fontId="5" fillId="4" borderId="12" xfId="0" applyNumberFormat="1" applyFont="1" applyFill="1" applyBorder="1" applyAlignment="1" applyProtection="1">
      <alignment vertical="center" wrapText="1"/>
      <protection locked="0"/>
    </xf>
    <xf numFmtId="168" fontId="5" fillId="4" borderId="12" xfId="0" applyNumberFormat="1" applyFont="1" applyFill="1" applyBorder="1" applyAlignment="1">
      <alignment wrapText="1"/>
    </xf>
    <xf numFmtId="168" fontId="4" fillId="5" borderId="12" xfId="0" applyNumberFormat="1" applyFont="1" applyFill="1" applyBorder="1" applyAlignment="1">
      <alignment horizontal="center" wrapText="1"/>
    </xf>
    <xf numFmtId="1" fontId="4" fillId="5" borderId="49" xfId="0" applyNumberFormat="1" applyFont="1" applyFill="1" applyBorder="1" applyAlignment="1">
      <alignment horizontal="center"/>
    </xf>
    <xf numFmtId="0" fontId="7" fillId="0" borderId="11" xfId="0" applyFont="1" applyBorder="1" applyAlignment="1">
      <alignment horizontal="center" vertical="center" wrapText="1"/>
    </xf>
    <xf numFmtId="0" fontId="7" fillId="0" borderId="0" xfId="0" applyFont="1" applyFill="1" applyBorder="1" applyAlignment="1">
      <alignment horizontal="center" vertical="center" wrapText="1"/>
    </xf>
    <xf numFmtId="0" fontId="7" fillId="0" borderId="45" xfId="0" applyFont="1" applyBorder="1" applyAlignment="1">
      <alignment horizontal="center" vertical="center" wrapText="1"/>
    </xf>
    <xf numFmtId="2" fontId="4" fillId="5" borderId="49" xfId="0" applyNumberFormat="1" applyFont="1" applyFill="1" applyBorder="1" applyAlignment="1">
      <alignment horizontal="center"/>
    </xf>
    <xf numFmtId="2" fontId="9" fillId="5" borderId="49" xfId="0" applyNumberFormat="1" applyFont="1" applyFill="1" applyBorder="1" applyAlignment="1">
      <alignment horizontal="center" wrapText="1"/>
    </xf>
    <xf numFmtId="164" fontId="4" fillId="5" borderId="47" xfId="0" applyNumberFormat="1" applyFont="1" applyFill="1" applyBorder="1" applyAlignment="1">
      <alignment horizontal="center"/>
    </xf>
    <xf numFmtId="0" fontId="0" fillId="0" borderId="0" xfId="0" applyBorder="1"/>
    <xf numFmtId="165" fontId="4" fillId="6" borderId="49" xfId="0" applyNumberFormat="1" applyFont="1" applyFill="1" applyBorder="1" applyAlignment="1">
      <alignment horizontal="center"/>
    </xf>
    <xf numFmtId="169" fontId="4" fillId="6" borderId="49" xfId="0" applyNumberFormat="1" applyFont="1" applyFill="1" applyBorder="1" applyAlignment="1">
      <alignment horizontal="center"/>
    </xf>
    <xf numFmtId="0" fontId="0" fillId="0" borderId="5" xfId="0" applyBorder="1"/>
    <xf numFmtId="0" fontId="0" fillId="0" borderId="6" xfId="0" applyBorder="1"/>
    <xf numFmtId="2" fontId="5" fillId="3" borderId="11" xfId="0" applyNumberFormat="1" applyFont="1" applyFill="1" applyBorder="1" applyAlignment="1" applyProtection="1">
      <alignment horizontal="right" vertical="center"/>
      <protection locked="0"/>
    </xf>
    <xf numFmtId="0" fontId="3" fillId="3" borderId="11" xfId="0" applyNumberFormat="1" applyFont="1" applyFill="1" applyBorder="1" applyAlignment="1" applyProtection="1">
      <alignment vertical="center" wrapText="1"/>
      <protection locked="0"/>
    </xf>
    <xf numFmtId="0" fontId="0" fillId="4" borderId="12" xfId="0" applyNumberFormat="1" applyFill="1" applyBorder="1"/>
    <xf numFmtId="0" fontId="3" fillId="4" borderId="12" xfId="0" applyNumberFormat="1" applyFont="1" applyFill="1" applyBorder="1"/>
    <xf numFmtId="0" fontId="10" fillId="0" borderId="23" xfId="0" applyFont="1" applyBorder="1" applyAlignment="1">
      <alignment horizontal="center" vertical="center"/>
    </xf>
    <xf numFmtId="0" fontId="5" fillId="3" borderId="11" xfId="0" applyFont="1" applyFill="1" applyBorder="1" applyAlignment="1" applyProtection="1">
      <alignment vertical="center" wrapText="1"/>
      <protection locked="0"/>
    </xf>
    <xf numFmtId="167" fontId="5" fillId="3" borderId="11" xfId="0" applyNumberFormat="1" applyFont="1" applyFill="1" applyBorder="1" applyAlignment="1" applyProtection="1">
      <alignment vertical="center" wrapText="1"/>
      <protection locked="0"/>
    </xf>
    <xf numFmtId="165" fontId="5" fillId="3" borderId="11" xfId="0" applyNumberFormat="1" applyFont="1" applyFill="1" applyBorder="1" applyAlignment="1" applyProtection="1">
      <alignment vertical="center" wrapText="1"/>
      <protection locked="0"/>
    </xf>
    <xf numFmtId="169" fontId="5" fillId="3" borderId="11" xfId="0" applyNumberFormat="1" applyFont="1" applyFill="1" applyBorder="1" applyAlignment="1" applyProtection="1">
      <alignment vertical="center" wrapText="1"/>
      <protection locked="0"/>
    </xf>
    <xf numFmtId="168" fontId="5" fillId="3" borderId="11" xfId="0" applyNumberFormat="1" applyFont="1" applyFill="1" applyBorder="1" applyAlignment="1" applyProtection="1">
      <alignment vertical="center" wrapText="1"/>
      <protection locked="0"/>
    </xf>
    <xf numFmtId="167" fontId="5" fillId="3" borderId="53" xfId="0" applyNumberFormat="1" applyFont="1" applyFill="1" applyBorder="1" applyAlignment="1" applyProtection="1">
      <alignment vertical="center" wrapText="1"/>
      <protection locked="0"/>
    </xf>
    <xf numFmtId="165" fontId="5" fillId="4" borderId="11" xfId="0" applyNumberFormat="1" applyFont="1" applyFill="1" applyBorder="1"/>
    <xf numFmtId="0" fontId="1" fillId="0" borderId="0" xfId="0" applyFont="1" applyFill="1" applyBorder="1" applyAlignment="1">
      <alignment horizontal="center" vertical="center"/>
    </xf>
    <xf numFmtId="0" fontId="0" fillId="0" borderId="0" xfId="0" applyNumberFormat="1" applyFill="1" applyBorder="1"/>
    <xf numFmtId="0" fontId="7" fillId="0" borderId="0" xfId="0" applyNumberFormat="1" applyFont="1" applyFill="1" applyBorder="1" applyAlignment="1">
      <alignment horizontal="center" vertical="center" wrapText="1"/>
    </xf>
    <xf numFmtId="0" fontId="10" fillId="0" borderId="0" xfId="0" applyFont="1" applyBorder="1" applyAlignment="1">
      <alignment horizontal="center" vertical="center"/>
    </xf>
    <xf numFmtId="0" fontId="7" fillId="0" borderId="15" xfId="0" applyNumberFormat="1" applyFont="1" applyFill="1" applyBorder="1" applyAlignment="1">
      <alignment horizontal="center" vertical="center" wrapText="1"/>
    </xf>
    <xf numFmtId="0" fontId="10" fillId="0" borderId="5" xfId="0" applyFont="1" applyBorder="1" applyAlignment="1">
      <alignment horizontal="center" vertical="center"/>
    </xf>
    <xf numFmtId="0" fontId="7" fillId="0" borderId="16" xfId="0" applyNumberFormat="1" applyFont="1" applyFill="1" applyBorder="1" applyAlignment="1">
      <alignment horizontal="center" vertical="center" wrapText="1"/>
    </xf>
    <xf numFmtId="0" fontId="7" fillId="7" borderId="0" xfId="0" applyNumberFormat="1" applyFont="1" applyFill="1" applyBorder="1" applyAlignment="1">
      <alignment horizontal="center" vertical="center" wrapText="1"/>
    </xf>
    <xf numFmtId="0" fontId="7" fillId="7" borderId="11" xfId="0" applyNumberFormat="1" applyFont="1" applyFill="1" applyBorder="1" applyAlignment="1">
      <alignment horizontal="center" vertical="center" wrapText="1"/>
    </xf>
    <xf numFmtId="0" fontId="7" fillId="7" borderId="16" xfId="0" applyNumberFormat="1" applyFont="1" applyFill="1" applyBorder="1" applyAlignment="1">
      <alignment horizontal="center" vertical="center" wrapText="1"/>
    </xf>
    <xf numFmtId="0" fontId="7" fillId="0" borderId="57" xfId="0" applyNumberFormat="1" applyFont="1" applyFill="1" applyBorder="1" applyAlignment="1">
      <alignment horizontal="center" vertical="center" wrapText="1"/>
    </xf>
    <xf numFmtId="0" fontId="1" fillId="0" borderId="7" xfId="0" applyFont="1" applyFill="1" applyBorder="1" applyAlignment="1">
      <alignment horizontal="center" vertical="center"/>
    </xf>
    <xf numFmtId="0" fontId="0" fillId="0" borderId="12" xfId="0" applyNumberFormat="1" applyFill="1" applyBorder="1"/>
    <xf numFmtId="0" fontId="7" fillId="0" borderId="18" xfId="0" applyNumberFormat="1" applyFont="1" applyFill="1" applyBorder="1" applyAlignment="1">
      <alignment horizontal="center" vertical="center" wrapText="1"/>
    </xf>
    <xf numFmtId="0" fontId="10" fillId="0" borderId="11" xfId="0" applyFont="1" applyBorder="1" applyAlignment="1">
      <alignment horizontal="center" vertical="center"/>
    </xf>
    <xf numFmtId="0" fontId="7" fillId="0" borderId="11" xfId="0" applyFont="1" applyBorder="1" applyAlignment="1">
      <alignment horizontal="center" vertical="center"/>
    </xf>
    <xf numFmtId="0" fontId="7" fillId="0" borderId="5" xfId="0" applyNumberFormat="1" applyFont="1" applyFill="1" applyBorder="1" applyAlignment="1">
      <alignment horizontal="center" vertical="center" wrapText="1"/>
    </xf>
    <xf numFmtId="0" fontId="4" fillId="5" borderId="12" xfId="0" applyFont="1" applyFill="1" applyBorder="1" applyAlignment="1">
      <alignment horizontal="center"/>
    </xf>
    <xf numFmtId="0" fontId="4" fillId="5" borderId="42" xfId="0" applyFont="1" applyFill="1" applyBorder="1" applyAlignment="1">
      <alignment horizontal="center"/>
    </xf>
    <xf numFmtId="169" fontId="4" fillId="6" borderId="12" xfId="0" applyNumberFormat="1" applyFont="1" applyFill="1" applyBorder="1" applyAlignment="1">
      <alignment horizontal="center"/>
    </xf>
    <xf numFmtId="0" fontId="7" fillId="0" borderId="5" xfId="0" applyFont="1" applyBorder="1" applyAlignment="1">
      <alignment horizontal="center" vertical="center" wrapText="1"/>
    </xf>
    <xf numFmtId="0" fontId="7" fillId="0" borderId="18" xfId="0" applyFont="1" applyBorder="1" applyAlignment="1">
      <alignment horizontal="center" vertical="center"/>
    </xf>
    <xf numFmtId="0" fontId="7" fillId="0" borderId="12" xfId="0" applyFont="1" applyBorder="1" applyAlignment="1">
      <alignment horizontal="center" vertical="center"/>
    </xf>
    <xf numFmtId="0" fontId="17" fillId="0" borderId="0" xfId="0" applyFont="1" applyBorder="1" applyAlignment="1">
      <alignment vertical="center"/>
    </xf>
    <xf numFmtId="0" fontId="7" fillId="0" borderId="18" xfId="0" applyFont="1" applyBorder="1" applyAlignment="1">
      <alignment horizontal="center" vertical="center" wrapText="1"/>
    </xf>
    <xf numFmtId="0" fontId="7" fillId="6" borderId="6" xfId="0" applyFont="1" applyFill="1" applyBorder="1" applyAlignment="1">
      <alignment horizontal="center"/>
    </xf>
    <xf numFmtId="0" fontId="7" fillId="6" borderId="12" xfId="0" applyFont="1" applyFill="1" applyBorder="1" applyAlignment="1">
      <alignment horizontal="center"/>
    </xf>
    <xf numFmtId="165" fontId="7" fillId="6" borderId="49" xfId="0" applyNumberFormat="1" applyFont="1" applyFill="1" applyBorder="1" applyAlignment="1">
      <alignment horizontal="center"/>
    </xf>
    <xf numFmtId="0" fontId="7" fillId="6" borderId="49" xfId="0" applyFont="1" applyFill="1" applyBorder="1" applyAlignment="1">
      <alignment horizontal="center"/>
    </xf>
    <xf numFmtId="0" fontId="20" fillId="0" borderId="48" xfId="0" applyFont="1" applyFill="1" applyBorder="1" applyAlignment="1">
      <alignment vertical="top" wrapText="1"/>
    </xf>
    <xf numFmtId="0" fontId="20" fillId="0" borderId="21" xfId="0" applyFont="1" applyFill="1" applyBorder="1" applyAlignment="1">
      <alignment vertical="top" wrapText="1"/>
    </xf>
    <xf numFmtId="0" fontId="20" fillId="0" borderId="15" xfId="0" applyFont="1" applyFill="1" applyBorder="1" applyAlignment="1">
      <alignment vertical="top" wrapText="1"/>
    </xf>
    <xf numFmtId="0" fontId="20" fillId="0" borderId="5" xfId="0" applyFont="1" applyFill="1" applyBorder="1" applyAlignment="1">
      <alignment vertical="top" wrapText="1"/>
    </xf>
    <xf numFmtId="0" fontId="20" fillId="0" borderId="51" xfId="0" applyFont="1" applyFill="1" applyBorder="1" applyAlignment="1">
      <alignment vertical="top" wrapText="1"/>
    </xf>
    <xf numFmtId="0" fontId="20" fillId="0" borderId="24" xfId="0" applyFont="1" applyFill="1" applyBorder="1" applyAlignment="1">
      <alignment vertical="top" wrapText="1"/>
    </xf>
    <xf numFmtId="0" fontId="7" fillId="0" borderId="15"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1" fillId="4" borderId="13" xfId="0" applyFont="1" applyFill="1" applyBorder="1" applyAlignment="1">
      <alignment vertical="center"/>
    </xf>
    <xf numFmtId="2" fontId="4" fillId="5" borderId="12" xfId="0" applyNumberFormat="1" applyFont="1" applyFill="1" applyBorder="1" applyAlignment="1">
      <alignment horizontal="center" wrapText="1"/>
    </xf>
    <xf numFmtId="0" fontId="7" fillId="0" borderId="12" xfId="0" applyFont="1" applyBorder="1" applyAlignment="1">
      <alignment horizontal="center" vertical="center" wrapText="1"/>
    </xf>
    <xf numFmtId="0" fontId="3" fillId="0" borderId="0" xfId="0" applyFont="1" applyFill="1" applyBorder="1" applyAlignment="1" applyProtection="1">
      <alignment horizontal="left" vertical="center"/>
    </xf>
    <xf numFmtId="0" fontId="7" fillId="0" borderId="9" xfId="0" applyFont="1" applyBorder="1" applyAlignment="1">
      <alignment horizontal="center" vertical="center"/>
    </xf>
    <xf numFmtId="0" fontId="4" fillId="0" borderId="9" xfId="0" applyFont="1" applyBorder="1" applyAlignment="1">
      <alignment horizontal="center" vertical="center" wrapText="1"/>
    </xf>
    <xf numFmtId="0" fontId="3" fillId="0" borderId="0" xfId="0" applyFont="1" applyFill="1" applyBorder="1" applyAlignment="1" applyProtection="1">
      <alignment horizontal="right" vertical="center"/>
    </xf>
    <xf numFmtId="0" fontId="0" fillId="0" borderId="0" xfId="0" applyAlignment="1">
      <alignment horizontal="right" vertical="center"/>
    </xf>
    <xf numFmtId="0" fontId="0" fillId="0" borderId="0" xfId="0" applyBorder="1" applyAlignment="1">
      <alignment horizontal="left" vertical="center"/>
    </xf>
    <xf numFmtId="0" fontId="0" fillId="0" borderId="0" xfId="0" applyBorder="1" applyAlignment="1">
      <alignment horizontal="center"/>
    </xf>
    <xf numFmtId="0" fontId="0" fillId="0" borderId="0" xfId="0" applyBorder="1" applyAlignment="1">
      <alignment horizontal="right" vertical="center"/>
    </xf>
    <xf numFmtId="0" fontId="0" fillId="0" borderId="0" xfId="0" applyAlignment="1">
      <alignment horizontal="left" vertical="center"/>
    </xf>
    <xf numFmtId="0" fontId="1" fillId="9" borderId="4" xfId="0" applyFont="1" applyFill="1" applyBorder="1" applyAlignment="1">
      <alignment vertical="center"/>
    </xf>
    <xf numFmtId="0" fontId="1" fillId="9" borderId="5" xfId="0" applyFont="1" applyFill="1" applyBorder="1" applyAlignment="1">
      <alignment vertical="center"/>
    </xf>
    <xf numFmtId="0" fontId="21" fillId="9" borderId="4" xfId="0" applyFont="1" applyFill="1" applyBorder="1" applyAlignment="1">
      <alignment vertical="center"/>
    </xf>
    <xf numFmtId="0" fontId="21" fillId="9" borderId="5" xfId="0" applyFont="1" applyFill="1" applyBorder="1" applyAlignment="1">
      <alignment vertical="center"/>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19" fillId="0" borderId="0" xfId="0" applyFont="1" applyBorder="1" applyAlignment="1">
      <alignment horizontal="left" vertical="center" wrapText="1"/>
    </xf>
    <xf numFmtId="0" fontId="19" fillId="0" borderId="5" xfId="0" applyFont="1" applyBorder="1" applyAlignment="1">
      <alignment horizontal="left" vertical="center" wrapText="1"/>
    </xf>
    <xf numFmtId="0" fontId="7" fillId="0" borderId="15" xfId="0" applyFont="1" applyBorder="1" applyAlignment="1">
      <alignment horizontal="center" vertical="center" wrapText="1"/>
    </xf>
    <xf numFmtId="170" fontId="3" fillId="0" borderId="0" xfId="0" applyNumberFormat="1" applyFont="1"/>
    <xf numFmtId="170" fontId="0" fillId="0" borderId="0" xfId="0" applyNumberFormat="1"/>
    <xf numFmtId="1" fontId="0" fillId="0" borderId="0" xfId="0" applyNumberFormat="1"/>
    <xf numFmtId="2" fontId="0" fillId="0" borderId="0" xfId="0" applyNumberFormat="1"/>
    <xf numFmtId="14" fontId="5" fillId="3" borderId="11" xfId="0" applyNumberFormat="1" applyFont="1" applyFill="1" applyBorder="1" applyAlignment="1" applyProtection="1">
      <alignment vertical="center" wrapText="1"/>
      <protection locked="0"/>
    </xf>
    <xf numFmtId="14" fontId="5" fillId="3" borderId="12" xfId="0" applyNumberFormat="1" applyFont="1" applyFill="1" applyBorder="1" applyAlignment="1" applyProtection="1">
      <alignment vertical="center" wrapText="1"/>
      <protection locked="0"/>
    </xf>
    <xf numFmtId="14" fontId="5" fillId="4" borderId="11" xfId="0" applyNumberFormat="1" applyFont="1" applyFill="1" applyBorder="1"/>
    <xf numFmtId="0" fontId="0" fillId="0" borderId="0" xfId="0" applyBorder="1" applyAlignment="1">
      <alignment horizontal="left"/>
    </xf>
    <xf numFmtId="0" fontId="7" fillId="0" borderId="10"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0" fillId="0" borderId="0" xfId="0" applyAlignment="1" applyProtection="1">
      <alignment horizontal="center"/>
    </xf>
    <xf numFmtId="171" fontId="5" fillId="3" borderId="11" xfId="0" applyNumberFormat="1" applyFont="1" applyFill="1" applyBorder="1" applyAlignment="1" applyProtection="1">
      <alignment horizontal="left" vertical="center"/>
      <protection locked="0"/>
    </xf>
    <xf numFmtId="171" fontId="5" fillId="3" borderId="12" xfId="0" applyNumberFormat="1" applyFont="1" applyFill="1" applyBorder="1" applyAlignment="1" applyProtection="1">
      <alignment horizontal="left" vertical="center"/>
      <protection locked="0"/>
    </xf>
    <xf numFmtId="164" fontId="1" fillId="8" borderId="12" xfId="0" applyNumberFormat="1" applyFont="1" applyFill="1" applyBorder="1" applyAlignment="1" applyProtection="1">
      <alignment horizontal="right"/>
    </xf>
    <xf numFmtId="1" fontId="1" fillId="2" borderId="12" xfId="0" applyNumberFormat="1" applyFont="1" applyFill="1" applyBorder="1" applyAlignment="1" applyProtection="1">
      <alignment horizontal="right"/>
    </xf>
    <xf numFmtId="165" fontId="1" fillId="2" borderId="12" xfId="0" applyNumberFormat="1" applyFont="1" applyFill="1" applyBorder="1" applyAlignment="1" applyProtection="1">
      <alignment horizontal="right"/>
    </xf>
    <xf numFmtId="2" fontId="1" fillId="2" borderId="12" xfId="0" applyNumberFormat="1" applyFont="1" applyFill="1" applyBorder="1" applyAlignment="1" applyProtection="1">
      <alignment horizontal="right"/>
    </xf>
    <xf numFmtId="171" fontId="5" fillId="3" borderId="18" xfId="0" applyNumberFormat="1" applyFont="1" applyFill="1" applyBorder="1" applyAlignment="1" applyProtection="1">
      <alignment horizontal="left" vertical="center"/>
      <protection locked="0"/>
    </xf>
    <xf numFmtId="164" fontId="5" fillId="3" borderId="12" xfId="0" applyNumberFormat="1" applyFont="1" applyFill="1" applyBorder="1" applyAlignment="1" applyProtection="1">
      <alignment horizontal="right"/>
      <protection locked="0"/>
    </xf>
    <xf numFmtId="164" fontId="1" fillId="2" borderId="49" xfId="0" applyNumberFormat="1" applyFont="1" applyFill="1" applyBorder="1" applyAlignment="1" applyProtection="1">
      <alignment horizontal="right"/>
    </xf>
    <xf numFmtId="0" fontId="13" fillId="0" borderId="0" xfId="0" applyFont="1" applyBorder="1" applyAlignment="1">
      <alignment vertical="center" wrapText="1"/>
    </xf>
    <xf numFmtId="0" fontId="13" fillId="0" borderId="5" xfId="0" applyFont="1" applyBorder="1" applyAlignment="1">
      <alignment vertical="center" wrapText="1"/>
    </xf>
    <xf numFmtId="0" fontId="13" fillId="0" borderId="0" xfId="0" applyFont="1" applyBorder="1" applyAlignment="1">
      <alignment horizontal="left" vertical="center" wrapText="1"/>
    </xf>
    <xf numFmtId="0" fontId="13" fillId="0" borderId="5" xfId="0" applyFont="1" applyBorder="1" applyAlignment="1">
      <alignment horizontal="left" vertical="center" wrapText="1"/>
    </xf>
    <xf numFmtId="0" fontId="13" fillId="0" borderId="16" xfId="0" applyFont="1" applyBorder="1" applyAlignment="1">
      <alignment horizontal="left" vertical="center" wrapText="1"/>
    </xf>
    <xf numFmtId="0" fontId="13" fillId="0" borderId="6" xfId="0" applyFont="1" applyBorder="1" applyAlignment="1">
      <alignment horizontal="left" vertical="center" wrapText="1"/>
    </xf>
    <xf numFmtId="0" fontId="10" fillId="0" borderId="0" xfId="0" applyFont="1" applyBorder="1" applyAlignment="1">
      <alignment vertical="center" wrapText="1"/>
    </xf>
    <xf numFmtId="0" fontId="1" fillId="4" borderId="0" xfId="0" applyFont="1" applyFill="1" applyBorder="1" applyAlignment="1">
      <alignment vertical="center"/>
    </xf>
    <xf numFmtId="0" fontId="0" fillId="0" borderId="4" xfId="0" applyBorder="1"/>
    <xf numFmtId="0" fontId="0" fillId="0" borderId="5" xfId="0" applyBorder="1" applyAlignment="1" applyProtection="1">
      <alignment horizontal="center"/>
      <protection hidden="1"/>
    </xf>
    <xf numFmtId="0" fontId="0" fillId="0" borderId="5" xfId="0" applyBorder="1" applyProtection="1">
      <protection hidden="1"/>
    </xf>
    <xf numFmtId="164" fontId="1" fillId="8" borderId="49" xfId="0" applyNumberFormat="1" applyFont="1" applyFill="1" applyBorder="1" applyAlignment="1" applyProtection="1">
      <alignment horizontal="right"/>
    </xf>
    <xf numFmtId="1" fontId="1" fillId="2" borderId="49" xfId="0" applyNumberFormat="1" applyFont="1" applyFill="1" applyBorder="1" applyAlignment="1" applyProtection="1">
      <alignment horizontal="right"/>
    </xf>
    <xf numFmtId="165" fontId="1" fillId="2" borderId="49" xfId="0" applyNumberFormat="1" applyFont="1" applyFill="1" applyBorder="1" applyAlignment="1" applyProtection="1">
      <alignment horizontal="right"/>
    </xf>
    <xf numFmtId="2" fontId="1" fillId="2" borderId="49" xfId="0" applyNumberFormat="1" applyFont="1" applyFill="1" applyBorder="1" applyAlignment="1" applyProtection="1">
      <alignment horizontal="right"/>
    </xf>
    <xf numFmtId="0" fontId="7" fillId="2" borderId="29" xfId="0" applyNumberFormat="1" applyFont="1" applyFill="1" applyBorder="1" applyAlignment="1">
      <alignment horizontal="center"/>
    </xf>
    <xf numFmtId="164" fontId="1" fillId="2" borderId="29" xfId="0" applyNumberFormat="1" applyFont="1" applyFill="1" applyBorder="1" applyAlignment="1" applyProtection="1">
      <alignment horizontal="right"/>
    </xf>
    <xf numFmtId="0" fontId="13" fillId="0" borderId="26" xfId="0" applyFont="1" applyBorder="1" applyAlignment="1">
      <alignment horizontal="left" vertical="center" wrapText="1"/>
    </xf>
    <xf numFmtId="0" fontId="13" fillId="0" borderId="4" xfId="0" applyFont="1" applyBorder="1" applyAlignment="1">
      <alignment horizontal="left" vertical="center" wrapText="1"/>
    </xf>
    <xf numFmtId="0" fontId="0" fillId="0" borderId="22" xfId="0" applyBorder="1" applyAlignment="1"/>
    <xf numFmtId="0" fontId="0" fillId="0" borderId="0" xfId="0" applyBorder="1" applyAlignment="1"/>
    <xf numFmtId="0" fontId="0" fillId="0" borderId="27" xfId="0" applyBorder="1" applyAlignment="1"/>
    <xf numFmtId="0" fontId="0" fillId="0" borderId="16" xfId="0" applyBorder="1" applyAlignment="1"/>
    <xf numFmtId="0" fontId="0" fillId="0" borderId="5" xfId="0" applyBorder="1" applyAlignment="1"/>
    <xf numFmtId="0" fontId="0" fillId="0" borderId="6" xfId="0" applyBorder="1" applyAlignment="1"/>
    <xf numFmtId="0" fontId="7" fillId="0" borderId="26" xfId="0" applyNumberFormat="1" applyFont="1" applyFill="1" applyBorder="1" applyAlignment="1">
      <alignment horizontal="center" vertical="center" wrapText="1"/>
    </xf>
    <xf numFmtId="0" fontId="0" fillId="0" borderId="22" xfId="0" applyBorder="1"/>
    <xf numFmtId="0" fontId="29" fillId="0" borderId="0" xfId="0" applyFont="1" applyBorder="1" applyAlignment="1"/>
    <xf numFmtId="0" fontId="0" fillId="0" borderId="27" xfId="0" applyBorder="1"/>
    <xf numFmtId="0" fontId="21" fillId="0" borderId="0" xfId="0" applyFont="1" applyBorder="1" applyAlignment="1">
      <alignment vertical="center" wrapText="1"/>
    </xf>
    <xf numFmtId="0" fontId="11" fillId="0" borderId="0" xfId="0" applyFont="1" applyBorder="1" applyAlignment="1">
      <alignment vertical="center" wrapText="1"/>
    </xf>
    <xf numFmtId="164" fontId="4" fillId="5" borderId="12" xfId="0" applyNumberFormat="1" applyFont="1" applyFill="1" applyBorder="1" applyAlignment="1">
      <alignment horizontal="center"/>
    </xf>
    <xf numFmtId="0" fontId="31" fillId="0" borderId="0" xfId="0" applyFont="1" applyAlignment="1">
      <alignment horizontal="center" wrapText="1"/>
    </xf>
    <xf numFmtId="0" fontId="32" fillId="0" borderId="0" xfId="0" applyFont="1" applyAlignment="1">
      <alignment wrapText="1"/>
    </xf>
    <xf numFmtId="0" fontId="33" fillId="0" borderId="0" xfId="0" applyFont="1" applyAlignment="1">
      <alignment horizontal="left" wrapText="1"/>
    </xf>
    <xf numFmtId="0" fontId="30" fillId="0" borderId="0" xfId="0" applyFont="1" applyAlignment="1">
      <alignment wrapText="1"/>
    </xf>
    <xf numFmtId="0" fontId="30" fillId="0" borderId="0" xfId="0" applyFont="1" applyAlignment="1">
      <alignment horizontal="left" wrapText="1"/>
    </xf>
    <xf numFmtId="0" fontId="14" fillId="0" borderId="20" xfId="0" applyFont="1" applyBorder="1" applyAlignment="1">
      <alignment horizontal="center"/>
    </xf>
    <xf numFmtId="0" fontId="14" fillId="0" borderId="13" xfId="0" applyFont="1" applyBorder="1" applyAlignment="1">
      <alignment horizontal="center"/>
    </xf>
    <xf numFmtId="0" fontId="3" fillId="3" borderId="20" xfId="0" applyFont="1" applyFill="1" applyBorder="1" applyAlignment="1" applyProtection="1">
      <alignment horizontal="left" vertical="center"/>
      <protection locked="0"/>
    </xf>
    <xf numFmtId="0" fontId="3" fillId="3" borderId="13" xfId="0" applyFont="1" applyFill="1" applyBorder="1" applyAlignment="1" applyProtection="1">
      <alignment horizontal="left" vertical="center"/>
      <protection locked="0"/>
    </xf>
    <xf numFmtId="0" fontId="14" fillId="0" borderId="19" xfId="0" applyFont="1" applyBorder="1" applyAlignment="1">
      <alignment horizontal="left" vertical="center" wrapText="1"/>
    </xf>
    <xf numFmtId="0" fontId="3" fillId="0" borderId="20" xfId="0" applyFont="1" applyBorder="1" applyAlignment="1">
      <alignment horizontal="left"/>
    </xf>
    <xf numFmtId="0" fontId="3" fillId="0" borderId="23" xfId="0" applyFont="1" applyBorder="1" applyAlignment="1">
      <alignment horizontal="left"/>
    </xf>
    <xf numFmtId="0" fontId="3" fillId="0" borderId="13" xfId="0" applyFont="1" applyBorder="1" applyAlignment="1">
      <alignment horizontal="left"/>
    </xf>
    <xf numFmtId="0" fontId="14" fillId="0" borderId="20" xfId="0" applyFont="1" applyBorder="1" applyAlignment="1">
      <alignment horizontal="left" wrapText="1"/>
    </xf>
    <xf numFmtId="0" fontId="14" fillId="0" borderId="13" xfId="0" applyFont="1" applyBorder="1" applyAlignment="1">
      <alignment horizontal="left" wrapText="1"/>
    </xf>
    <xf numFmtId="0" fontId="3" fillId="3" borderId="16" xfId="0" applyFont="1" applyFill="1" applyBorder="1" applyAlignment="1" applyProtection="1">
      <alignment horizontal="left" vertical="center"/>
      <protection locked="0"/>
    </xf>
    <xf numFmtId="0" fontId="23" fillId="0" borderId="20" xfId="0" applyFont="1" applyFill="1" applyBorder="1" applyAlignment="1" applyProtection="1">
      <alignment horizontal="center" vertical="center"/>
      <protection locked="0"/>
    </xf>
    <xf numFmtId="0" fontId="23" fillId="0" borderId="13" xfId="0" applyFont="1" applyFill="1" applyBorder="1" applyAlignment="1" applyProtection="1">
      <alignment horizontal="center" vertical="center"/>
      <protection locked="0"/>
    </xf>
    <xf numFmtId="0" fontId="14" fillId="0" borderId="19" xfId="0" applyFont="1" applyBorder="1" applyAlignment="1">
      <alignment horizontal="left" vertical="center"/>
    </xf>
    <xf numFmtId="0" fontId="14" fillId="0" borderId="20" xfId="0" applyFont="1" applyBorder="1" applyAlignment="1">
      <alignment horizontal="left" vertical="center"/>
    </xf>
    <xf numFmtId="0" fontId="14" fillId="0" borderId="23" xfId="0" applyFont="1" applyBorder="1" applyAlignment="1">
      <alignment horizontal="left" vertical="center"/>
    </xf>
    <xf numFmtId="0" fontId="14" fillId="0" borderId="13" xfId="0" applyFont="1" applyBorder="1" applyAlignment="1">
      <alignment horizontal="left" vertical="center"/>
    </xf>
    <xf numFmtId="0" fontId="4" fillId="0" borderId="25" xfId="0" applyFont="1" applyBorder="1" applyAlignment="1">
      <alignment horizontal="left" vertical="center" wrapText="1"/>
    </xf>
    <xf numFmtId="0" fontId="12" fillId="0" borderId="26" xfId="0" applyFont="1" applyBorder="1" applyAlignment="1">
      <alignment horizontal="left" vertical="center" wrapText="1"/>
    </xf>
    <xf numFmtId="0" fontId="12" fillId="0" borderId="22" xfId="0" applyFont="1" applyBorder="1" applyAlignment="1">
      <alignment horizontal="left" vertical="center" wrapText="1"/>
    </xf>
    <xf numFmtId="0" fontId="12" fillId="0" borderId="0" xfId="0" applyFont="1" applyBorder="1" applyAlignment="1">
      <alignment horizontal="left" vertical="center" wrapText="1"/>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14" fillId="0" borderId="22" xfId="0" applyFont="1" applyBorder="1" applyAlignment="1">
      <alignment horizontal="left" vertical="center"/>
    </xf>
    <xf numFmtId="0" fontId="14" fillId="0" borderId="0" xfId="0" applyFont="1" applyBorder="1" applyAlignment="1">
      <alignment horizontal="left" vertical="center"/>
    </xf>
    <xf numFmtId="0" fontId="3" fillId="3" borderId="21" xfId="0" applyFont="1" applyFill="1" applyBorder="1" applyAlignment="1" applyProtection="1">
      <alignment horizontal="left" vertical="center"/>
      <protection locked="0"/>
    </xf>
    <xf numFmtId="0" fontId="3" fillId="3" borderId="24" xfId="0" applyFont="1" applyFill="1" applyBorder="1" applyAlignment="1" applyProtection="1">
      <alignment horizontal="left" vertical="center"/>
      <protection locked="0"/>
    </xf>
    <xf numFmtId="0" fontId="3" fillId="3" borderId="0" xfId="0" applyFont="1" applyFill="1" applyBorder="1" applyAlignment="1" applyProtection="1">
      <alignment horizontal="left" vertical="center"/>
      <protection locked="0"/>
    </xf>
    <xf numFmtId="0" fontId="3" fillId="3" borderId="5" xfId="0" applyFont="1" applyFill="1" applyBorder="1" applyAlignment="1" applyProtection="1">
      <alignment horizontal="left" vertical="center"/>
      <protection locked="0"/>
    </xf>
    <xf numFmtId="0" fontId="10" fillId="0" borderId="58" xfId="0" applyFont="1" applyBorder="1" applyAlignment="1">
      <alignment horizontal="center" vertical="center" wrapText="1"/>
    </xf>
    <xf numFmtId="0" fontId="10" fillId="0" borderId="59" xfId="0" applyFont="1" applyBorder="1" applyAlignment="1">
      <alignment horizontal="center" vertical="center" wrapText="1"/>
    </xf>
    <xf numFmtId="0" fontId="10" fillId="0" borderId="60" xfId="0" applyFont="1" applyBorder="1" applyAlignment="1">
      <alignment horizontal="center" vertical="center" wrapText="1"/>
    </xf>
    <xf numFmtId="0" fontId="3" fillId="0" borderId="20" xfId="0" applyFont="1" applyBorder="1" applyAlignment="1">
      <alignment horizontal="left" vertical="center"/>
    </xf>
    <xf numFmtId="0" fontId="3" fillId="0" borderId="23" xfId="0" applyFont="1" applyBorder="1" applyAlignment="1">
      <alignment horizontal="left" vertical="center"/>
    </xf>
    <xf numFmtId="0" fontId="3" fillId="0" borderId="13" xfId="0" applyFont="1" applyBorder="1" applyAlignment="1">
      <alignment horizontal="left" vertical="center"/>
    </xf>
    <xf numFmtId="0" fontId="0" fillId="4" borderId="12" xfId="0" applyNumberFormat="1" applyFill="1" applyBorder="1" applyAlignment="1">
      <alignment horizontal="center"/>
    </xf>
    <xf numFmtId="0" fontId="6" fillId="0" borderId="12" xfId="0" applyFont="1" applyBorder="1" applyAlignment="1">
      <alignment horizontal="center" vertical="center"/>
    </xf>
    <xf numFmtId="0" fontId="6" fillId="0" borderId="1" xfId="0" applyFont="1" applyBorder="1" applyAlignment="1">
      <alignment horizontal="center" vertical="center"/>
    </xf>
    <xf numFmtId="0" fontId="3" fillId="3" borderId="11" xfId="0" applyNumberFormat="1" applyFont="1" applyFill="1" applyBorder="1" applyAlignment="1" applyProtection="1">
      <alignment horizontal="center" vertical="center" wrapText="1"/>
      <protection locked="0"/>
    </xf>
    <xf numFmtId="0" fontId="3" fillId="4" borderId="12" xfId="0" applyNumberFormat="1" applyFont="1" applyFill="1" applyBorder="1" applyAlignment="1">
      <alignment horizontal="center"/>
    </xf>
    <xf numFmtId="0" fontId="7" fillId="0" borderId="36" xfId="0" applyFont="1" applyBorder="1" applyAlignment="1">
      <alignment horizontal="left"/>
    </xf>
    <xf numFmtId="0" fontId="7" fillId="0" borderId="37" xfId="0" applyFont="1" applyBorder="1" applyAlignment="1">
      <alignment horizontal="left"/>
    </xf>
    <xf numFmtId="0" fontId="7" fillId="0" borderId="38" xfId="0" applyFont="1" applyBorder="1" applyAlignment="1">
      <alignment horizontal="left"/>
    </xf>
    <xf numFmtId="0" fontId="3" fillId="0" borderId="20" xfId="0" applyFont="1" applyBorder="1" applyAlignment="1">
      <alignment horizontal="center" vertical="top"/>
    </xf>
    <xf numFmtId="0" fontId="3" fillId="0" borderId="21" xfId="0" applyFont="1" applyBorder="1" applyAlignment="1">
      <alignment horizontal="center" vertical="top"/>
    </xf>
    <xf numFmtId="0" fontId="3" fillId="0" borderId="13" xfId="0" applyFont="1" applyBorder="1" applyAlignment="1">
      <alignment horizontal="center" vertical="top"/>
    </xf>
    <xf numFmtId="0" fontId="3" fillId="0" borderId="24" xfId="0" applyFont="1" applyBorder="1" applyAlignment="1">
      <alignment horizontal="center" vertical="top"/>
    </xf>
    <xf numFmtId="0" fontId="26" fillId="3" borderId="17" xfId="1" applyFill="1" applyBorder="1" applyAlignment="1" applyProtection="1">
      <alignment horizontal="left" vertical="center"/>
      <protection locked="0"/>
    </xf>
    <xf numFmtId="0" fontId="26" fillId="3" borderId="65" xfId="1" applyFill="1" applyBorder="1" applyAlignment="1" applyProtection="1">
      <alignment horizontal="left" vertical="center"/>
      <protection locked="0"/>
    </xf>
    <xf numFmtId="0" fontId="6" fillId="0" borderId="19"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6" fillId="0" borderId="0" xfId="0" applyFont="1" applyBorder="1" applyAlignment="1">
      <alignment horizontal="left" vertical="top" wrapText="1"/>
    </xf>
    <xf numFmtId="0" fontId="6" fillId="0" borderId="5" xfId="0" applyFont="1" applyBorder="1" applyAlignment="1">
      <alignment horizontal="left" vertical="top" wrapText="1"/>
    </xf>
    <xf numFmtId="0" fontId="6" fillId="0" borderId="23" xfId="0" applyFont="1" applyBorder="1" applyAlignment="1">
      <alignment horizontal="left" vertical="top" wrapText="1"/>
    </xf>
    <xf numFmtId="0" fontId="6" fillId="0" borderId="13" xfId="0" applyFont="1" applyBorder="1" applyAlignment="1">
      <alignment horizontal="left" vertical="top" wrapText="1"/>
    </xf>
    <xf numFmtId="0" fontId="6" fillId="0" borderId="24" xfId="0" applyFont="1" applyBorder="1" applyAlignment="1">
      <alignment horizontal="left" vertical="top" wrapText="1"/>
    </xf>
    <xf numFmtId="0" fontId="3" fillId="0" borderId="20" xfId="0" applyFont="1" applyFill="1" applyBorder="1" applyAlignment="1" applyProtection="1">
      <alignment horizontal="left" vertical="center"/>
    </xf>
    <xf numFmtId="0" fontId="3" fillId="0" borderId="21" xfId="0" applyFont="1" applyFill="1" applyBorder="1" applyAlignment="1" applyProtection="1">
      <alignment horizontal="left" vertical="center"/>
    </xf>
    <xf numFmtId="0" fontId="3" fillId="0" borderId="0" xfId="0" applyFont="1" applyFill="1" applyBorder="1" applyAlignment="1" applyProtection="1">
      <alignment horizontal="left" vertical="center"/>
    </xf>
    <xf numFmtId="0" fontId="3" fillId="0" borderId="5" xfId="0" applyFont="1" applyFill="1" applyBorder="1" applyAlignment="1" applyProtection="1">
      <alignment horizontal="left" vertical="center"/>
    </xf>
    <xf numFmtId="0" fontId="3" fillId="0" borderId="16" xfId="0" applyFont="1" applyFill="1" applyBorder="1" applyAlignment="1" applyProtection="1">
      <alignment horizontal="left" vertical="center"/>
    </xf>
    <xf numFmtId="0" fontId="3" fillId="0" borderId="6" xfId="0" applyFont="1" applyFill="1" applyBorder="1" applyAlignment="1" applyProtection="1">
      <alignment horizontal="left" vertical="center"/>
    </xf>
    <xf numFmtId="0" fontId="7" fillId="0" borderId="12" xfId="0" applyFont="1" applyBorder="1" applyAlignment="1">
      <alignment horizontal="center" vertical="center" wrapText="1"/>
    </xf>
    <xf numFmtId="0" fontId="7" fillId="0" borderId="15"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10" fillId="0" borderId="58" xfId="0" applyFont="1" applyBorder="1" applyAlignment="1">
      <alignment horizontal="center" vertical="center"/>
    </xf>
    <xf numFmtId="0" fontId="10" fillId="0" borderId="59" xfId="0" applyFont="1" applyBorder="1" applyAlignment="1">
      <alignment horizontal="center" vertical="center"/>
    </xf>
    <xf numFmtId="0" fontId="10" fillId="0" borderId="60" xfId="0" applyFont="1" applyBorder="1" applyAlignment="1">
      <alignment horizontal="center" vertical="center"/>
    </xf>
    <xf numFmtId="0" fontId="3" fillId="3" borderId="26" xfId="0" applyFont="1" applyFill="1" applyBorder="1" applyAlignment="1" applyProtection="1">
      <alignment horizontal="center" vertical="center"/>
      <protection locked="0"/>
    </xf>
    <xf numFmtId="0" fontId="0" fillId="0" borderId="26" xfId="0" applyBorder="1"/>
    <xf numFmtId="0" fontId="0" fillId="0" borderId="13" xfId="0" applyBorder="1"/>
    <xf numFmtId="0" fontId="21" fillId="0" borderId="63" xfId="0" applyNumberFormat="1" applyFont="1" applyFill="1" applyBorder="1" applyAlignment="1">
      <alignment horizontal="center" vertical="center"/>
    </xf>
    <xf numFmtId="0" fontId="21" fillId="0" borderId="37" xfId="0" applyNumberFormat="1" applyFont="1" applyFill="1" applyBorder="1" applyAlignment="1">
      <alignment horizontal="center" vertical="center"/>
    </xf>
    <xf numFmtId="0" fontId="21" fillId="0" borderId="55" xfId="0" applyNumberFormat="1" applyFont="1" applyFill="1" applyBorder="1" applyAlignment="1">
      <alignment horizontal="center" vertical="center"/>
    </xf>
    <xf numFmtId="0" fontId="14" fillId="0" borderId="22" xfId="0" applyFont="1" applyBorder="1" applyAlignment="1">
      <alignment horizontal="left" vertical="center" wrapText="1"/>
    </xf>
    <xf numFmtId="0" fontId="14" fillId="0" borderId="0" xfId="0" applyFont="1" applyBorder="1" applyAlignment="1">
      <alignment horizontal="left" vertical="center" wrapText="1"/>
    </xf>
    <xf numFmtId="0" fontId="14" fillId="0" borderId="23" xfId="0" applyFont="1" applyBorder="1" applyAlignment="1">
      <alignment horizontal="left" vertical="center" wrapText="1"/>
    </xf>
    <xf numFmtId="0" fontId="14" fillId="0" borderId="13" xfId="0" applyFont="1" applyBorder="1" applyAlignment="1">
      <alignment horizontal="left" vertical="center" wrapText="1"/>
    </xf>
    <xf numFmtId="0" fontId="3" fillId="0" borderId="0" xfId="0" applyFont="1" applyBorder="1" applyAlignment="1">
      <alignment horizontal="left" vertical="center"/>
    </xf>
    <xf numFmtId="0" fontId="7"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62" xfId="0" applyFont="1" applyBorder="1" applyAlignment="1">
      <alignment horizontal="center" vertical="center" wrapText="1"/>
    </xf>
    <xf numFmtId="0" fontId="1" fillId="2" borderId="7" xfId="0" applyFont="1" applyFill="1" applyBorder="1" applyAlignment="1">
      <alignment horizontal="center"/>
    </xf>
    <xf numFmtId="0" fontId="3" fillId="0" borderId="18" xfId="0" applyFont="1" applyBorder="1" applyAlignment="1">
      <alignment horizontal="center"/>
    </xf>
    <xf numFmtId="0" fontId="21" fillId="0" borderId="51" xfId="0" applyFont="1" applyBorder="1" applyAlignment="1">
      <alignment horizontal="center" vertical="center"/>
    </xf>
    <xf numFmtId="0" fontId="21" fillId="0" borderId="13" xfId="0" applyFont="1" applyBorder="1" applyAlignment="1">
      <alignment horizontal="center" vertical="center"/>
    </xf>
    <xf numFmtId="0" fontId="21" fillId="0" borderId="2" xfId="0" applyFont="1" applyBorder="1" applyAlignment="1">
      <alignment horizontal="center" vertical="center"/>
    </xf>
    <xf numFmtId="0" fontId="1" fillId="2" borderId="43" xfId="0" applyFont="1" applyFill="1" applyBorder="1" applyAlignment="1">
      <alignment horizontal="center"/>
    </xf>
    <xf numFmtId="0" fontId="3" fillId="0" borderId="44" xfId="0" applyFont="1" applyBorder="1" applyAlignment="1">
      <alignment horizontal="center"/>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0" xfId="0" applyFont="1" applyBorder="1" applyAlignment="1">
      <alignment horizontal="left" vertical="center" wrapText="1"/>
    </xf>
    <xf numFmtId="0" fontId="7" fillId="7" borderId="49" xfId="0" applyNumberFormat="1" applyFont="1" applyFill="1" applyBorder="1" applyAlignment="1">
      <alignment horizontal="center" vertical="center" wrapText="1"/>
    </xf>
    <xf numFmtId="0" fontId="1" fillId="4" borderId="19" xfId="0" applyFont="1" applyFill="1" applyBorder="1" applyAlignment="1">
      <alignment horizontal="center" vertical="center"/>
    </xf>
    <xf numFmtId="0" fontId="1" fillId="4" borderId="22" xfId="0" applyFont="1" applyFill="1" applyBorder="1" applyAlignment="1">
      <alignment horizontal="center" vertical="center"/>
    </xf>
    <xf numFmtId="0" fontId="1" fillId="4" borderId="23" xfId="0" applyFont="1" applyFill="1" applyBorder="1" applyAlignment="1">
      <alignment horizontal="center" vertical="center"/>
    </xf>
    <xf numFmtId="0" fontId="1" fillId="7" borderId="43" xfId="0" applyFont="1" applyFill="1" applyBorder="1" applyAlignment="1">
      <alignment horizontal="center" vertical="center"/>
    </xf>
    <xf numFmtId="0" fontId="1" fillId="7" borderId="44" xfId="0" applyFont="1" applyFill="1" applyBorder="1" applyAlignment="1">
      <alignment horizontal="center" vertical="center"/>
    </xf>
    <xf numFmtId="0" fontId="7" fillId="7" borderId="61" xfId="0" applyNumberFormat="1" applyFont="1" applyFill="1" applyBorder="1" applyAlignment="1">
      <alignment horizontal="center" wrapText="1"/>
    </xf>
    <xf numFmtId="0" fontId="7" fillId="7" borderId="28" xfId="0" applyNumberFormat="1" applyFont="1" applyFill="1" applyBorder="1" applyAlignment="1">
      <alignment horizontal="center" wrapText="1"/>
    </xf>
    <xf numFmtId="0" fontId="7" fillId="7" borderId="44" xfId="0" applyNumberFormat="1" applyFont="1" applyFill="1" applyBorder="1" applyAlignment="1">
      <alignment horizontal="center" wrapText="1"/>
    </xf>
    <xf numFmtId="0" fontId="7" fillId="7" borderId="61" xfId="0" applyNumberFormat="1" applyFont="1" applyFill="1" applyBorder="1" applyAlignment="1">
      <alignment horizontal="center" vertical="center" wrapText="1"/>
    </xf>
    <xf numFmtId="0" fontId="7" fillId="7" borderId="44" xfId="0" applyNumberFormat="1" applyFont="1" applyFill="1" applyBorder="1" applyAlignment="1">
      <alignment horizontal="center" vertical="center" wrapText="1"/>
    </xf>
    <xf numFmtId="0" fontId="27" fillId="2" borderId="25" xfId="0" applyFont="1" applyFill="1" applyBorder="1" applyAlignment="1">
      <alignment horizontal="center"/>
    </xf>
    <xf numFmtId="0" fontId="27" fillId="2" borderId="26" xfId="0" applyFont="1" applyFill="1" applyBorder="1" applyAlignment="1">
      <alignment horizontal="center"/>
    </xf>
    <xf numFmtId="0" fontId="27" fillId="2" borderId="32" xfId="0" applyFont="1" applyFill="1" applyBorder="1" applyAlignment="1">
      <alignment horizontal="center"/>
    </xf>
    <xf numFmtId="0" fontId="4" fillId="0" borderId="17"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5" xfId="0" applyFont="1" applyBorder="1" applyAlignment="1">
      <alignment horizontal="center" wrapText="1"/>
    </xf>
    <xf numFmtId="0" fontId="4" fillId="0" borderId="33" xfId="0" applyFont="1" applyBorder="1" applyAlignment="1">
      <alignment horizontal="center" wrapText="1"/>
    </xf>
    <xf numFmtId="0" fontId="4" fillId="0" borderId="15" xfId="0" applyFont="1" applyBorder="1" applyAlignment="1">
      <alignment horizontal="center" vertical="center" wrapText="1"/>
    </xf>
    <xf numFmtId="0" fontId="4" fillId="0" borderId="33" xfId="0" applyFont="1" applyBorder="1" applyAlignment="1">
      <alignment horizontal="center" vertical="center" wrapText="1"/>
    </xf>
    <xf numFmtId="0" fontId="3" fillId="3" borderId="17" xfId="0" applyFont="1" applyFill="1" applyBorder="1" applyAlignment="1" applyProtection="1">
      <alignment horizontal="left" vertical="center"/>
      <protection locked="0"/>
    </xf>
    <xf numFmtId="0" fontId="3" fillId="3" borderId="18" xfId="0" applyFont="1" applyFill="1" applyBorder="1" applyAlignment="1" applyProtection="1">
      <alignment horizontal="left" vertical="center"/>
      <protection locked="0"/>
    </xf>
    <xf numFmtId="0" fontId="7" fillId="0" borderId="22" xfId="0" applyFont="1" applyBorder="1" applyAlignment="1">
      <alignment horizontal="center" vertical="center" wrapText="1"/>
    </xf>
    <xf numFmtId="0" fontId="3" fillId="0" borderId="22" xfId="0" applyFont="1" applyBorder="1" applyAlignment="1">
      <alignment horizontal="center"/>
    </xf>
    <xf numFmtId="0" fontId="3" fillId="0" borderId="34" xfId="0" applyFont="1" applyBorder="1" applyAlignment="1">
      <alignment horizontal="center"/>
    </xf>
    <xf numFmtId="0" fontId="3" fillId="0" borderId="10" xfId="0" applyFont="1" applyBorder="1" applyAlignment="1">
      <alignment vertical="center"/>
    </xf>
    <xf numFmtId="0" fontId="3" fillId="0" borderId="31" xfId="0" applyFont="1" applyBorder="1" applyAlignment="1">
      <alignment vertical="center"/>
    </xf>
    <xf numFmtId="0" fontId="1" fillId="4" borderId="50" xfId="0" applyFont="1" applyFill="1" applyBorder="1" applyAlignment="1">
      <alignment horizontal="center" vertical="center"/>
    </xf>
    <xf numFmtId="0" fontId="1" fillId="4" borderId="3" xfId="0" applyFont="1" applyFill="1" applyBorder="1" applyAlignment="1">
      <alignment horizontal="center" vertical="center"/>
    </xf>
    <xf numFmtId="0" fontId="2" fillId="0" borderId="58" xfId="0" applyFont="1" applyBorder="1" applyAlignment="1">
      <alignment horizontal="center" vertical="top"/>
    </xf>
    <xf numFmtId="0" fontId="2" fillId="0" borderId="59" xfId="0" applyFont="1" applyBorder="1" applyAlignment="1">
      <alignment horizontal="center" vertical="top"/>
    </xf>
    <xf numFmtId="0" fontId="2" fillId="0" borderId="60" xfId="0" applyFont="1" applyBorder="1" applyAlignment="1">
      <alignment horizontal="center" vertical="top"/>
    </xf>
    <xf numFmtId="0" fontId="21" fillId="0" borderId="25" xfId="0" applyFont="1" applyBorder="1" applyAlignment="1">
      <alignment horizontal="left" vertical="center" wrapText="1" indent="1"/>
    </xf>
    <xf numFmtId="0" fontId="21" fillId="0" borderId="26" xfId="0" applyFont="1" applyBorder="1" applyAlignment="1">
      <alignment horizontal="left" vertical="center" wrapText="1" indent="1"/>
    </xf>
    <xf numFmtId="0" fontId="21" fillId="0" borderId="4" xfId="0" applyFont="1" applyBorder="1" applyAlignment="1">
      <alignment horizontal="left" vertical="center" wrapText="1" indent="1"/>
    </xf>
    <xf numFmtId="0" fontId="29" fillId="0" borderId="0" xfId="0" applyFont="1" applyBorder="1" applyAlignment="1"/>
    <xf numFmtId="0" fontId="0" fillId="0" borderId="0" xfId="0" applyBorder="1" applyAlignment="1"/>
    <xf numFmtId="0" fontId="0" fillId="0" borderId="5" xfId="0" applyBorder="1" applyAlignment="1"/>
    <xf numFmtId="0" fontId="3" fillId="4" borderId="0" xfId="0" applyFont="1" applyFill="1" applyBorder="1" applyAlignment="1" applyProtection="1">
      <alignment horizontal="center" vertical="center"/>
      <protection locked="0"/>
    </xf>
    <xf numFmtId="0" fontId="3" fillId="4" borderId="13" xfId="0" applyFont="1" applyFill="1" applyBorder="1" applyAlignment="1" applyProtection="1">
      <alignment horizontal="center" vertical="center"/>
      <protection locked="0"/>
    </xf>
    <xf numFmtId="0" fontId="3" fillId="0" borderId="19" xfId="0" applyFont="1" applyFill="1" applyBorder="1" applyAlignment="1" applyProtection="1">
      <alignment horizontal="left" vertical="center"/>
    </xf>
    <xf numFmtId="0" fontId="3" fillId="0" borderId="23" xfId="0" applyFont="1" applyFill="1" applyBorder="1" applyAlignment="1" applyProtection="1">
      <alignment horizontal="left" vertical="center"/>
    </xf>
    <xf numFmtId="0" fontId="0" fillId="0" borderId="20" xfId="0" applyBorder="1" applyAlignment="1">
      <alignment horizontal="left" vertical="center"/>
    </xf>
    <xf numFmtId="0" fontId="0" fillId="0" borderId="13" xfId="0" applyBorder="1" applyAlignment="1">
      <alignment horizontal="left" vertical="center"/>
    </xf>
    <xf numFmtId="0" fontId="3" fillId="0" borderId="22" xfId="0" applyFont="1" applyFill="1" applyBorder="1" applyAlignment="1" applyProtection="1">
      <alignment horizontal="left" vertical="center"/>
    </xf>
    <xf numFmtId="0" fontId="3" fillId="0" borderId="27" xfId="0" applyFont="1" applyFill="1" applyBorder="1" applyAlignment="1" applyProtection="1">
      <alignment horizontal="left" vertical="center"/>
    </xf>
    <xf numFmtId="0" fontId="23" fillId="4" borderId="0" xfId="0" applyFont="1" applyFill="1" applyBorder="1" applyAlignment="1">
      <alignment horizontal="left" vertical="center"/>
    </xf>
    <xf numFmtId="0" fontId="23" fillId="4" borderId="13" xfId="0" applyFont="1" applyFill="1" applyBorder="1" applyAlignment="1">
      <alignment horizontal="left" vertical="center"/>
    </xf>
    <xf numFmtId="0" fontId="5" fillId="3" borderId="64" xfId="0" applyFont="1" applyFill="1" applyBorder="1" applyAlignment="1" applyProtection="1">
      <alignment horizontal="center" vertical="center"/>
      <protection locked="0"/>
    </xf>
    <xf numFmtId="0" fontId="5" fillId="3" borderId="14" xfId="0" applyFont="1" applyFill="1" applyBorder="1" applyAlignment="1" applyProtection="1">
      <alignment horizontal="center" vertical="center"/>
      <protection locked="0"/>
    </xf>
    <xf numFmtId="0" fontId="5" fillId="3" borderId="50" xfId="0" applyFont="1" applyFill="1" applyBorder="1" applyAlignment="1" applyProtection="1">
      <alignment horizontal="center" vertical="center"/>
      <protection locked="0"/>
    </xf>
    <xf numFmtId="0" fontId="5" fillId="3" borderId="56" xfId="0" applyFont="1" applyFill="1" applyBorder="1" applyAlignment="1" applyProtection="1">
      <alignment horizontal="center" vertical="center"/>
      <protection locked="0"/>
    </xf>
    <xf numFmtId="0" fontId="7" fillId="2" borderId="7" xfId="0" applyFont="1" applyFill="1" applyBorder="1" applyAlignment="1">
      <alignment horizontal="center"/>
    </xf>
    <xf numFmtId="0" fontId="29" fillId="0" borderId="16" xfId="0" applyFont="1" applyBorder="1" applyAlignment="1"/>
    <xf numFmtId="0" fontId="0" fillId="0" borderId="16" xfId="0" applyBorder="1" applyAlignment="1"/>
    <xf numFmtId="0" fontId="0" fillId="0" borderId="6" xfId="0" applyBorder="1" applyAlignment="1"/>
    <xf numFmtId="0" fontId="21" fillId="0" borderId="25"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4" xfId="0" applyFont="1" applyBorder="1" applyAlignment="1">
      <alignment horizontal="center" vertical="center" wrapText="1"/>
    </xf>
    <xf numFmtId="0" fontId="3" fillId="9" borderId="20" xfId="0" applyFont="1" applyFill="1" applyBorder="1" applyAlignment="1" applyProtection="1">
      <alignment horizontal="center" vertical="center"/>
      <protection locked="0"/>
    </xf>
    <xf numFmtId="0" fontId="3" fillId="9" borderId="16" xfId="0" applyFont="1" applyFill="1" applyBorder="1" applyAlignment="1" applyProtection="1">
      <alignment horizontal="center" vertical="center"/>
      <protection locked="0"/>
    </xf>
    <xf numFmtId="0" fontId="23" fillId="9" borderId="20" xfId="0" applyFont="1" applyFill="1" applyBorder="1" applyAlignment="1" applyProtection="1">
      <alignment horizontal="center" vertical="center"/>
      <protection locked="0"/>
    </xf>
    <xf numFmtId="0" fontId="23" fillId="9" borderId="13" xfId="0" applyFont="1" applyFill="1" applyBorder="1" applyAlignment="1" applyProtection="1">
      <alignment horizontal="center" vertical="center"/>
      <protection locked="0"/>
    </xf>
    <xf numFmtId="0" fontId="3" fillId="9" borderId="20" xfId="0" applyFont="1" applyFill="1" applyBorder="1" applyAlignment="1" applyProtection="1">
      <alignment horizontal="left" vertical="center"/>
      <protection locked="0"/>
    </xf>
    <xf numFmtId="0" fontId="3" fillId="9" borderId="16" xfId="0" applyFont="1" applyFill="1" applyBorder="1" applyAlignment="1" applyProtection="1">
      <alignment horizontal="left" vertical="center"/>
      <protection locked="0"/>
    </xf>
    <xf numFmtId="0" fontId="5" fillId="3" borderId="39" xfId="0" applyFont="1" applyFill="1" applyBorder="1" applyAlignment="1" applyProtection="1">
      <alignment horizontal="center" vertical="center" wrapText="1"/>
      <protection locked="0"/>
    </xf>
    <xf numFmtId="0" fontId="5" fillId="3" borderId="40" xfId="0" applyFont="1" applyFill="1" applyBorder="1" applyAlignment="1" applyProtection="1">
      <alignment horizontal="center" vertical="center" wrapText="1"/>
      <protection locked="0"/>
    </xf>
    <xf numFmtId="0" fontId="5" fillId="3" borderId="22" xfId="0" applyFont="1" applyFill="1" applyBorder="1" applyAlignment="1" applyProtection="1">
      <alignment horizontal="center" vertical="center" wrapText="1"/>
      <protection locked="0"/>
    </xf>
    <xf numFmtId="0" fontId="5" fillId="3" borderId="33" xfId="0" applyFont="1" applyFill="1" applyBorder="1" applyAlignment="1" applyProtection="1">
      <alignment horizontal="center" vertical="center" wrapText="1"/>
      <protection locked="0"/>
    </xf>
    <xf numFmtId="0" fontId="5" fillId="3" borderId="23"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center" vertical="center" wrapText="1"/>
      <protection locked="0"/>
    </xf>
    <xf numFmtId="0" fontId="5" fillId="3" borderId="19" xfId="0" applyFont="1" applyFill="1" applyBorder="1" applyAlignment="1" applyProtection="1">
      <alignment horizontal="center" vertical="center" wrapText="1"/>
      <protection locked="0"/>
    </xf>
    <xf numFmtId="0" fontId="5" fillId="3" borderId="41" xfId="0" applyFont="1" applyFill="1" applyBorder="1" applyAlignment="1" applyProtection="1">
      <alignment horizontal="center" vertical="center" wrapText="1"/>
      <protection locked="0"/>
    </xf>
    <xf numFmtId="0" fontId="4" fillId="5" borderId="43" xfId="0" applyFont="1" applyFill="1" applyBorder="1" applyAlignment="1">
      <alignment horizontal="center"/>
    </xf>
    <xf numFmtId="0" fontId="4" fillId="5" borderId="28" xfId="0" applyFont="1" applyFill="1" applyBorder="1" applyAlignment="1">
      <alignment horizontal="center"/>
    </xf>
    <xf numFmtId="0" fontId="4" fillId="5" borderId="44" xfId="0" applyFont="1" applyFill="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4" xfId="0" applyFont="1" applyBorder="1" applyAlignment="1">
      <alignment horizontal="center" vertical="center"/>
    </xf>
    <xf numFmtId="0" fontId="19" fillId="2" borderId="43" xfId="0" applyFont="1" applyFill="1" applyBorder="1" applyAlignment="1">
      <alignment horizontal="center"/>
    </xf>
    <xf numFmtId="0" fontId="22" fillId="2" borderId="28" xfId="0" applyFont="1" applyFill="1" applyBorder="1" applyAlignment="1">
      <alignment horizontal="center"/>
    </xf>
    <xf numFmtId="0" fontId="22" fillId="2" borderId="52" xfId="0" applyFont="1" applyFill="1" applyBorder="1" applyAlignment="1">
      <alignment horizontal="center"/>
    </xf>
    <xf numFmtId="0" fontId="7" fillId="0" borderId="25" xfId="0" applyFont="1" applyBorder="1" applyAlignment="1">
      <alignment horizontal="center" vertical="center" wrapText="1"/>
    </xf>
    <xf numFmtId="0" fontId="3" fillId="0" borderId="32" xfId="0" applyFont="1" applyBorder="1" applyAlignment="1">
      <alignment horizontal="center"/>
    </xf>
    <xf numFmtId="0" fontId="3" fillId="0" borderId="33" xfId="0" applyFont="1" applyBorder="1" applyAlignment="1">
      <alignment horizontal="center"/>
    </xf>
    <xf numFmtId="0" fontId="7" fillId="0" borderId="29" xfId="0" applyFont="1" applyBorder="1" applyAlignment="1">
      <alignment horizontal="center" vertical="center" wrapText="1"/>
    </xf>
    <xf numFmtId="0" fontId="6" fillId="0" borderId="46" xfId="0" applyFont="1" applyBorder="1" applyAlignment="1">
      <alignment horizontal="center" vertical="center"/>
    </xf>
    <xf numFmtId="0" fontId="6" fillId="0" borderId="54" xfId="0" applyFont="1" applyBorder="1" applyAlignment="1">
      <alignment horizontal="center" vertical="center"/>
    </xf>
    <xf numFmtId="0" fontId="2" fillId="0" borderId="58" xfId="0" applyFont="1" applyBorder="1" applyAlignment="1">
      <alignment horizontal="center" vertical="center"/>
    </xf>
    <xf numFmtId="0" fontId="0" fillId="0" borderId="59" xfId="0" applyBorder="1"/>
    <xf numFmtId="0" fontId="0" fillId="0" borderId="60" xfId="0" applyBorder="1"/>
    <xf numFmtId="0" fontId="14" fillId="9" borderId="25" xfId="0" applyFont="1" applyFill="1" applyBorder="1" applyAlignment="1">
      <alignment horizontal="left" vertical="center" wrapText="1"/>
    </xf>
    <xf numFmtId="0" fontId="14" fillId="9" borderId="26" xfId="0" applyFont="1" applyFill="1" applyBorder="1" applyAlignment="1">
      <alignment horizontal="left" vertical="center" wrapText="1"/>
    </xf>
    <xf numFmtId="0" fontId="14" fillId="9" borderId="23" xfId="0" applyFont="1" applyFill="1" applyBorder="1" applyAlignment="1">
      <alignment horizontal="left" vertical="center" wrapText="1"/>
    </xf>
    <xf numFmtId="0" fontId="14" fillId="9" borderId="13" xfId="0" applyFont="1" applyFill="1" applyBorder="1" applyAlignment="1">
      <alignment horizontal="left" vertical="center" wrapText="1"/>
    </xf>
    <xf numFmtId="0" fontId="3" fillId="9" borderId="26" xfId="0" applyFont="1" applyFill="1" applyBorder="1" applyAlignment="1" applyProtection="1">
      <alignment horizontal="left" vertical="center"/>
      <protection locked="0"/>
    </xf>
    <xf numFmtId="0" fontId="3" fillId="9" borderId="4" xfId="0" applyFont="1" applyFill="1" applyBorder="1" applyAlignment="1" applyProtection="1">
      <alignment horizontal="left" vertical="center"/>
      <protection locked="0"/>
    </xf>
    <xf numFmtId="0" fontId="3" fillId="9" borderId="0" xfId="0" applyFont="1" applyFill="1" applyBorder="1" applyAlignment="1" applyProtection="1">
      <alignment horizontal="left" vertical="center"/>
      <protection locked="0"/>
    </xf>
    <xf numFmtId="0" fontId="3" fillId="9" borderId="5" xfId="0" applyFont="1" applyFill="1" applyBorder="1" applyAlignment="1" applyProtection="1">
      <alignment horizontal="left" vertical="center"/>
      <protection locked="0"/>
    </xf>
    <xf numFmtId="0" fontId="14" fillId="9" borderId="25" xfId="0" applyFont="1" applyFill="1" applyBorder="1" applyAlignment="1">
      <alignment horizontal="left" vertical="center"/>
    </xf>
    <xf numFmtId="0" fontId="3" fillId="9" borderId="26" xfId="0" applyFont="1" applyFill="1" applyBorder="1" applyAlignment="1">
      <alignment horizontal="left" vertical="center"/>
    </xf>
    <xf numFmtId="0" fontId="3" fillId="9" borderId="23" xfId="0" applyFont="1" applyFill="1" applyBorder="1" applyAlignment="1">
      <alignment horizontal="left" vertical="center"/>
    </xf>
    <xf numFmtId="0" fontId="3" fillId="9" borderId="13" xfId="0" applyFont="1" applyFill="1" applyBorder="1" applyAlignment="1">
      <alignment horizontal="left" vertical="center"/>
    </xf>
    <xf numFmtId="0" fontId="3" fillId="9" borderId="26" xfId="0" applyFont="1" applyFill="1" applyBorder="1" applyAlignment="1" applyProtection="1">
      <alignment horizontal="center" vertical="center"/>
      <protection locked="0"/>
    </xf>
    <xf numFmtId="0" fontId="3" fillId="9" borderId="13" xfId="0" applyFont="1" applyFill="1" applyBorder="1" applyAlignment="1" applyProtection="1">
      <alignment horizontal="center" vertical="center"/>
      <protection locked="0"/>
    </xf>
    <xf numFmtId="0" fontId="5" fillId="9" borderId="26" xfId="0" applyFont="1" applyFill="1" applyBorder="1" applyAlignment="1">
      <alignment horizontal="left" vertical="center"/>
    </xf>
    <xf numFmtId="0" fontId="5" fillId="9" borderId="13" xfId="0" applyFont="1" applyFill="1" applyBorder="1" applyAlignment="1">
      <alignment horizontal="left" vertical="center"/>
    </xf>
    <xf numFmtId="0" fontId="3" fillId="9" borderId="0" xfId="0" applyFont="1" applyFill="1" applyBorder="1" applyAlignment="1" applyProtection="1">
      <alignment horizontal="center" vertical="center"/>
      <protection locked="0"/>
    </xf>
    <xf numFmtId="0" fontId="14" fillId="9" borderId="19" xfId="0" applyFont="1" applyFill="1" applyBorder="1" applyAlignment="1">
      <alignment horizontal="left" vertical="center"/>
    </xf>
    <xf numFmtId="0" fontId="14" fillId="9" borderId="20" xfId="0" applyFont="1" applyFill="1" applyBorder="1" applyAlignment="1">
      <alignment horizontal="left" vertical="center"/>
    </xf>
    <xf numFmtId="0" fontId="14" fillId="9" borderId="27" xfId="0" applyFont="1" applyFill="1" applyBorder="1" applyAlignment="1">
      <alignment horizontal="left" vertical="center"/>
    </xf>
    <xf numFmtId="0" fontId="14" fillId="9" borderId="16" xfId="0" applyFont="1" applyFill="1" applyBorder="1" applyAlignment="1">
      <alignment horizontal="left" vertical="center"/>
    </xf>
    <xf numFmtId="0" fontId="3" fillId="9" borderId="6" xfId="0" applyFont="1" applyFill="1" applyBorder="1" applyAlignment="1" applyProtection="1">
      <alignment horizontal="left" vertical="center"/>
      <protection locked="0"/>
    </xf>
    <xf numFmtId="0" fontId="14" fillId="9" borderId="19" xfId="0" applyFont="1" applyFill="1" applyBorder="1" applyAlignment="1">
      <alignment horizontal="left" vertical="center" wrapText="1"/>
    </xf>
    <xf numFmtId="0" fontId="3" fillId="9" borderId="20" xfId="0" applyFont="1" applyFill="1" applyBorder="1" applyAlignment="1">
      <alignment horizontal="left" vertical="center" wrapText="1"/>
    </xf>
    <xf numFmtId="0" fontId="3" fillId="9" borderId="27" xfId="0" applyFont="1" applyFill="1" applyBorder="1" applyAlignment="1">
      <alignment horizontal="left" vertical="center" wrapText="1"/>
    </xf>
    <xf numFmtId="0" fontId="3" fillId="9" borderId="16" xfId="0" applyFont="1" applyFill="1" applyBorder="1" applyAlignment="1">
      <alignment horizontal="left" vertical="center" wrapText="1"/>
    </xf>
    <xf numFmtId="0" fontId="14" fillId="9" borderId="20" xfId="0" applyFont="1" applyFill="1" applyBorder="1" applyAlignment="1">
      <alignment horizontal="center"/>
    </xf>
    <xf numFmtId="0" fontId="14" fillId="9" borderId="13" xfId="0" applyFont="1" applyFill="1" applyBorder="1" applyAlignment="1">
      <alignment horizontal="center"/>
    </xf>
    <xf numFmtId="0" fontId="3" fillId="9" borderId="21" xfId="0" applyFont="1" applyFill="1" applyBorder="1" applyAlignment="1" applyProtection="1">
      <alignment horizontal="center" vertical="center"/>
      <protection locked="0"/>
    </xf>
    <xf numFmtId="0" fontId="3" fillId="9" borderId="24" xfId="0" applyFont="1" applyFill="1" applyBorder="1" applyAlignment="1" applyProtection="1">
      <alignment horizontal="center" vertical="center"/>
      <protection locked="0"/>
    </xf>
    <xf numFmtId="0" fontId="14" fillId="9" borderId="23" xfId="0" applyFont="1" applyFill="1" applyBorder="1" applyAlignment="1">
      <alignment horizontal="left" vertical="center"/>
    </xf>
    <xf numFmtId="0" fontId="14" fillId="9" borderId="13" xfId="0" applyFont="1" applyFill="1" applyBorder="1" applyAlignment="1">
      <alignment horizontal="left" vertical="center"/>
    </xf>
    <xf numFmtId="0" fontId="3" fillId="9" borderId="21" xfId="0" applyFont="1" applyFill="1" applyBorder="1" applyAlignment="1" applyProtection="1">
      <alignment horizontal="left" vertical="center"/>
      <protection locked="0"/>
    </xf>
    <xf numFmtId="0" fontId="3" fillId="9" borderId="13" xfId="0" applyFont="1" applyFill="1" applyBorder="1" applyAlignment="1" applyProtection="1">
      <alignment horizontal="left" vertical="center"/>
      <protection locked="0"/>
    </xf>
    <xf numFmtId="0" fontId="3" fillId="9" borderId="24" xfId="0" applyFont="1" applyFill="1" applyBorder="1" applyAlignment="1" applyProtection="1">
      <alignment horizontal="left" vertical="center"/>
      <protection locked="0"/>
    </xf>
    <xf numFmtId="0" fontId="3" fillId="9" borderId="20" xfId="0" applyFont="1" applyFill="1" applyBorder="1" applyAlignment="1">
      <alignment horizontal="left" vertical="center"/>
    </xf>
    <xf numFmtId="0" fontId="3" fillId="9" borderId="20" xfId="0" applyFont="1" applyFill="1" applyBorder="1" applyAlignment="1">
      <alignment horizontal="left"/>
    </xf>
    <xf numFmtId="0" fontId="3" fillId="9" borderId="23" xfId="0" applyFont="1" applyFill="1" applyBorder="1" applyAlignment="1">
      <alignment horizontal="left"/>
    </xf>
    <xf numFmtId="0" fontId="3" fillId="9" borderId="13" xfId="0" applyFont="1" applyFill="1" applyBorder="1" applyAlignment="1">
      <alignment horizontal="left"/>
    </xf>
    <xf numFmtId="0" fontId="14" fillId="9" borderId="20" xfId="0" applyFont="1" applyFill="1" applyBorder="1" applyAlignment="1">
      <alignment horizontal="left" wrapText="1"/>
    </xf>
    <xf numFmtId="0" fontId="14" fillId="9" borderId="13" xfId="0" applyFont="1" applyFill="1" applyBorder="1" applyAlignment="1">
      <alignment horizontal="left" wrapText="1"/>
    </xf>
    <xf numFmtId="0" fontId="4" fillId="4" borderId="22" xfId="0" applyFont="1" applyFill="1" applyBorder="1" applyAlignment="1">
      <alignment horizontal="center" vertical="center"/>
    </xf>
    <xf numFmtId="0" fontId="4" fillId="4" borderId="33"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 xfId="0" applyFont="1" applyFill="1" applyBorder="1" applyAlignment="1">
      <alignment horizontal="center" vertical="center"/>
    </xf>
    <xf numFmtId="0" fontId="10" fillId="0" borderId="36" xfId="0" applyFont="1" applyFill="1" applyBorder="1" applyAlignment="1">
      <alignment horizontal="center" vertical="center"/>
    </xf>
    <xf numFmtId="0" fontId="1" fillId="0" borderId="37" xfId="0" applyFont="1" applyFill="1" applyBorder="1" applyAlignment="1">
      <alignment horizontal="center" vertical="center"/>
    </xf>
    <xf numFmtId="0" fontId="1" fillId="0" borderId="38" xfId="0" applyFont="1" applyFill="1" applyBorder="1" applyAlignment="1">
      <alignment horizontal="center" vertical="center"/>
    </xf>
    <xf numFmtId="0" fontId="19" fillId="2" borderId="19" xfId="0" applyFont="1" applyFill="1" applyBorder="1" applyAlignment="1">
      <alignment horizontal="center"/>
    </xf>
    <xf numFmtId="0" fontId="22" fillId="2" borderId="20" xfId="0" applyFont="1" applyFill="1" applyBorder="1" applyAlignment="1">
      <alignment horizontal="center"/>
    </xf>
    <xf numFmtId="0" fontId="22" fillId="2" borderId="21" xfId="0" applyFont="1" applyFill="1" applyBorder="1" applyAlignment="1">
      <alignment horizontal="center"/>
    </xf>
    <xf numFmtId="0" fontId="3" fillId="0" borderId="35" xfId="0" applyFont="1" applyBorder="1" applyAlignment="1">
      <alignment horizontal="center"/>
    </xf>
    <xf numFmtId="0" fontId="4" fillId="4" borderId="19" xfId="0" applyFont="1" applyFill="1" applyBorder="1" applyAlignment="1">
      <alignment horizontal="center" vertical="center"/>
    </xf>
    <xf numFmtId="0" fontId="4" fillId="4" borderId="41" xfId="0" applyFont="1" applyFill="1" applyBorder="1" applyAlignment="1">
      <alignment horizontal="center" vertical="center"/>
    </xf>
    <xf numFmtId="0" fontId="4" fillId="5" borderId="19" xfId="0" applyFont="1" applyFill="1" applyBorder="1" applyAlignment="1">
      <alignment horizontal="center"/>
    </xf>
    <xf numFmtId="0" fontId="4" fillId="5" borderId="20" xfId="0" applyFont="1" applyFill="1" applyBorder="1" applyAlignment="1">
      <alignment horizontal="center"/>
    </xf>
    <xf numFmtId="0" fontId="4" fillId="5" borderId="41" xfId="0" applyFont="1" applyFill="1" applyBorder="1" applyAlignment="1">
      <alignment horizontal="center"/>
    </xf>
    <xf numFmtId="0" fontId="7" fillId="0" borderId="56" xfId="0" applyFont="1" applyBorder="1" applyAlignment="1">
      <alignment horizontal="center" vertical="center" wrapText="1"/>
    </xf>
    <xf numFmtId="0" fontId="3" fillId="0" borderId="30" xfId="0" applyFont="1" applyBorder="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62" xfId="0" applyFont="1" applyBorder="1" applyAlignment="1">
      <alignment horizontal="center"/>
    </xf>
    <xf numFmtId="0" fontId="3" fillId="0" borderId="31" xfId="0" applyFont="1" applyBorder="1" applyAlignment="1">
      <alignment horizontal="center"/>
    </xf>
    <xf numFmtId="0" fontId="7" fillId="0" borderId="30" xfId="0" applyFont="1" applyBorder="1" applyAlignment="1">
      <alignment horizontal="center" vertical="center" wrapText="1"/>
    </xf>
    <xf numFmtId="0" fontId="6" fillId="0" borderId="41" xfId="0" applyFont="1" applyBorder="1" applyAlignment="1">
      <alignment horizontal="center" vertical="center"/>
    </xf>
    <xf numFmtId="0" fontId="6" fillId="0" borderId="35" xfId="0" applyFont="1" applyBorder="1" applyAlignment="1">
      <alignment horizontal="center" vertical="center"/>
    </xf>
    <xf numFmtId="0" fontId="4" fillId="5" borderId="7" xfId="0" applyFont="1" applyFill="1" applyBorder="1" applyAlignment="1">
      <alignment horizontal="center"/>
    </xf>
    <xf numFmtId="0" fontId="4" fillId="5" borderId="17" xfId="0" applyFont="1" applyFill="1" applyBorder="1" applyAlignment="1">
      <alignment horizontal="center"/>
    </xf>
    <xf numFmtId="0" fontId="4" fillId="5" borderId="18" xfId="0" applyFont="1" applyFill="1" applyBorder="1" applyAlignment="1">
      <alignment horizontal="center"/>
    </xf>
    <xf numFmtId="0" fontId="24" fillId="0" borderId="58" xfId="0" applyFont="1" applyBorder="1" applyAlignment="1">
      <alignment horizontal="center" vertical="center"/>
    </xf>
    <xf numFmtId="0" fontId="14" fillId="0" borderId="59" xfId="0" applyFont="1" applyBorder="1"/>
    <xf numFmtId="0" fontId="14" fillId="0" borderId="60" xfId="0" applyFont="1" applyBorder="1"/>
    <xf numFmtId="0" fontId="25" fillId="9" borderId="25" xfId="0" applyFont="1" applyFill="1" applyBorder="1" applyAlignment="1">
      <alignment horizontal="left" wrapText="1"/>
    </xf>
    <xf numFmtId="0" fontId="25" fillId="9" borderId="26" xfId="0" applyFont="1" applyFill="1" applyBorder="1" applyAlignment="1">
      <alignment horizontal="left" wrapText="1"/>
    </xf>
    <xf numFmtId="0" fontId="25" fillId="9" borderId="23" xfId="0" applyFont="1" applyFill="1" applyBorder="1" applyAlignment="1">
      <alignment horizontal="left" wrapText="1"/>
    </xf>
    <xf numFmtId="0" fontId="25" fillId="9" borderId="13" xfId="0" applyFont="1" applyFill="1" applyBorder="1" applyAlignment="1">
      <alignment horizontal="left" wrapText="1"/>
    </xf>
    <xf numFmtId="0" fontId="25" fillId="9" borderId="25" xfId="0" applyFont="1" applyFill="1" applyBorder="1" applyAlignment="1">
      <alignment horizontal="left" vertical="center"/>
    </xf>
    <xf numFmtId="0" fontId="25" fillId="9" borderId="26" xfId="0" applyFont="1" applyFill="1" applyBorder="1" applyAlignment="1">
      <alignment horizontal="left" vertical="center"/>
    </xf>
    <xf numFmtId="0" fontId="25" fillId="9" borderId="23" xfId="0" applyFont="1" applyFill="1" applyBorder="1" applyAlignment="1">
      <alignment horizontal="left" vertical="center"/>
    </xf>
    <xf numFmtId="0" fontId="25" fillId="9" borderId="13" xfId="0" applyFont="1" applyFill="1" applyBorder="1" applyAlignment="1">
      <alignment horizontal="left" vertical="center"/>
    </xf>
    <xf numFmtId="0" fontId="23" fillId="9" borderId="26" xfId="0" applyFont="1" applyFill="1" applyBorder="1" applyAlignment="1">
      <alignment horizontal="left" vertical="center"/>
    </xf>
    <xf numFmtId="0" fontId="23" fillId="9" borderId="13" xfId="0" applyFont="1" applyFill="1" applyBorder="1" applyAlignment="1">
      <alignment horizontal="left" vertical="center"/>
    </xf>
    <xf numFmtId="0" fontId="25" fillId="9" borderId="19" xfId="0" applyFont="1" applyFill="1" applyBorder="1" applyAlignment="1">
      <alignment horizontal="left" vertical="center"/>
    </xf>
    <xf numFmtId="0" fontId="25" fillId="9" borderId="20" xfId="0" applyFont="1" applyFill="1" applyBorder="1" applyAlignment="1">
      <alignment horizontal="left" vertical="center"/>
    </xf>
    <xf numFmtId="0" fontId="25" fillId="9" borderId="27" xfId="0" applyFont="1" applyFill="1" applyBorder="1" applyAlignment="1">
      <alignment horizontal="left" vertical="center"/>
    </xf>
    <xf numFmtId="0" fontId="25" fillId="9" borderId="16" xfId="0" applyFont="1" applyFill="1" applyBorder="1" applyAlignment="1">
      <alignment horizontal="left" vertical="center"/>
    </xf>
    <xf numFmtId="0" fontId="25" fillId="9" borderId="19" xfId="0" applyFont="1" applyFill="1" applyBorder="1" applyAlignment="1">
      <alignment horizontal="left" vertical="center" wrapText="1"/>
    </xf>
    <xf numFmtId="0" fontId="25" fillId="9" borderId="20" xfId="0" applyFont="1" applyFill="1" applyBorder="1" applyAlignment="1">
      <alignment horizontal="left" vertical="center" wrapText="1"/>
    </xf>
    <xf numFmtId="0" fontId="25" fillId="9" borderId="27" xfId="0" applyFont="1" applyFill="1" applyBorder="1" applyAlignment="1">
      <alignment horizontal="left" vertical="center" wrapText="1"/>
    </xf>
    <xf numFmtId="0" fontId="25" fillId="9" borderId="16" xfId="0" applyFont="1" applyFill="1" applyBorder="1" applyAlignment="1">
      <alignment horizontal="left" vertical="center" wrapText="1"/>
    </xf>
    <xf numFmtId="0" fontId="25" fillId="9" borderId="19" xfId="0" applyFont="1" applyFill="1" applyBorder="1" applyAlignment="1">
      <alignment horizontal="left" wrapText="1"/>
    </xf>
    <xf numFmtId="0" fontId="25" fillId="9" borderId="20" xfId="0" applyFont="1" applyFill="1" applyBorder="1" applyAlignment="1">
      <alignment horizontal="left"/>
    </xf>
    <xf numFmtId="0" fontId="25" fillId="9" borderId="23" xfId="0" applyFont="1" applyFill="1" applyBorder="1" applyAlignment="1">
      <alignment horizontal="left"/>
    </xf>
    <xf numFmtId="0" fontId="25" fillId="9" borderId="13" xfId="0" applyFont="1" applyFill="1" applyBorder="1" applyAlignment="1">
      <alignment horizontal="left"/>
    </xf>
    <xf numFmtId="0" fontId="25" fillId="9" borderId="20" xfId="0" applyFont="1" applyFill="1" applyBorder="1" applyAlignment="1">
      <alignment horizontal="left" wrapText="1"/>
    </xf>
    <xf numFmtId="0" fontId="25" fillId="9" borderId="20" xfId="0" applyFont="1" applyFill="1" applyBorder="1" applyAlignment="1">
      <alignment horizontal="center"/>
    </xf>
    <xf numFmtId="0" fontId="25" fillId="9" borderId="13" xfId="0" applyFont="1" applyFill="1" applyBorder="1" applyAlignment="1">
      <alignment horizontal="center"/>
    </xf>
    <xf numFmtId="0" fontId="25" fillId="9" borderId="20" xfId="0" applyFont="1" applyFill="1" applyBorder="1" applyAlignment="1" applyProtection="1">
      <alignment horizontal="left" vertical="center"/>
      <protection locked="0"/>
    </xf>
    <xf numFmtId="0" fontId="25" fillId="9" borderId="21" xfId="0" applyFont="1" applyFill="1" applyBorder="1" applyAlignment="1" applyProtection="1">
      <alignment horizontal="left" vertical="center"/>
      <protection locked="0"/>
    </xf>
    <xf numFmtId="0" fontId="25" fillId="9" borderId="13" xfId="0" applyFont="1" applyFill="1" applyBorder="1" applyAlignment="1" applyProtection="1">
      <alignment horizontal="left" vertical="center"/>
      <protection locked="0"/>
    </xf>
    <xf numFmtId="0" fontId="25" fillId="9" borderId="24" xfId="0" applyFont="1" applyFill="1" applyBorder="1" applyAlignment="1" applyProtection="1">
      <alignment horizontal="left" vertical="center"/>
      <protection locked="0"/>
    </xf>
  </cellXfs>
  <cellStyles count="2">
    <cellStyle name="Hyperlink" xfId="1" builtinId="8"/>
    <cellStyle name="Normal" xfId="0" builtinId="0"/>
  </cellStyles>
  <dxfs count="3">
    <dxf>
      <font>
        <strike val="0"/>
        <condense val="0"/>
        <extend val="0"/>
        <color indexed="9"/>
      </font>
    </dxf>
    <dxf>
      <font>
        <strike val="0"/>
        <condense val="0"/>
        <extend val="0"/>
        <color indexed="9"/>
      </font>
    </dxf>
    <dxf>
      <font>
        <strike val="0"/>
        <condense val="0"/>
        <extend val="0"/>
        <color indexed="9"/>
      </font>
    </dxf>
  </dxfs>
  <tableStyles count="0" defaultTableStyle="TableStyleMedium9" defaultPivotStyle="PivotStyleLight16"/>
  <colors>
    <mruColors>
      <color rgb="FFCCFFFF"/>
      <color rgb="FFFEB4C0"/>
    </mru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824251</xdr:colOff>
      <xdr:row>0</xdr:row>
      <xdr:rowOff>0</xdr:rowOff>
    </xdr:from>
    <xdr:to>
      <xdr:col>13</xdr:col>
      <xdr:colOff>599909</xdr:colOff>
      <xdr:row>10</xdr:row>
      <xdr:rowOff>195263</xdr:rowOff>
    </xdr:to>
    <xdr:pic>
      <xdr:nvPicPr>
        <xdr:cNvPr id="1269" name="Picture 3" descr="logo_small"/>
        <xdr:cNvPicPr>
          <a:picLocks noChangeAspect="1" noChangeArrowheads="1"/>
        </xdr:cNvPicPr>
      </xdr:nvPicPr>
      <xdr:blipFill>
        <a:blip xmlns:r="http://schemas.openxmlformats.org/officeDocument/2006/relationships" r:embed="rId1" cstate="print"/>
        <a:srcRect/>
        <a:stretch>
          <a:fillRect/>
        </a:stretch>
      </xdr:blipFill>
      <xdr:spPr bwMode="auto">
        <a:xfrm>
          <a:off x="13669394" y="0"/>
          <a:ext cx="782586" cy="1909763"/>
        </a:xfrm>
        <a:prstGeom prst="rect">
          <a:avLst/>
        </a:prstGeom>
        <a:noFill/>
        <a:ln w="22225">
          <a:solidFill>
            <a:srgbClr val="000000"/>
          </a:solidFill>
          <a:miter lim="800000"/>
          <a:headEnd/>
          <a:tailEnd/>
        </a:ln>
      </xdr:spPr>
    </xdr:pic>
    <xdr:clientData/>
  </xdr:twoCellAnchor>
  <xdr:twoCellAnchor>
    <xdr:from>
      <xdr:col>11</xdr:col>
      <xdr:colOff>36737</xdr:colOff>
      <xdr:row>12</xdr:row>
      <xdr:rowOff>1360</xdr:rowOff>
    </xdr:from>
    <xdr:to>
      <xdr:col>13</xdr:col>
      <xdr:colOff>585108</xdr:colOff>
      <xdr:row>35</xdr:row>
      <xdr:rowOff>258535</xdr:rowOff>
    </xdr:to>
    <xdr:sp macro="" textlink="">
      <xdr:nvSpPr>
        <xdr:cNvPr id="1189" name="Text Box 165"/>
        <xdr:cNvSpPr txBox="1">
          <a:spLocks noChangeArrowheads="1"/>
        </xdr:cNvSpPr>
      </xdr:nvSpPr>
      <xdr:spPr bwMode="auto">
        <a:xfrm>
          <a:off x="11942987" y="2246539"/>
          <a:ext cx="2494192" cy="6611710"/>
        </a:xfrm>
        <a:prstGeom prst="rect">
          <a:avLst/>
        </a:prstGeom>
        <a:solidFill>
          <a:srgbClr val="FFFFFF"/>
        </a:solidFill>
        <a:ln w="9525">
          <a:no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u="sng" strike="noStrike">
              <a:solidFill>
                <a:srgbClr val="000000"/>
              </a:solidFill>
              <a:latin typeface="Arial"/>
              <a:cs typeface="Arial"/>
            </a:rPr>
            <a:t>Note 1</a:t>
          </a:r>
          <a:r>
            <a:rPr lang="en-US" sz="1000" b="1" i="0" strike="noStrike">
              <a:solidFill>
                <a:srgbClr val="000000"/>
              </a:solidFill>
              <a:latin typeface="Arial"/>
              <a:cs typeface="Arial"/>
            </a:rPr>
            <a:t>: Submit this report to the appropriate DEQ regional or agent offices (see below) annually by July 31st. The report must contain the </a:t>
          </a:r>
          <a:r>
            <a:rPr lang="en-US" sz="1000" b="1" i="0" strike="noStrike">
              <a:solidFill>
                <a:sysClr val="windowText" lastClr="000000"/>
              </a:solidFill>
              <a:latin typeface="Arial"/>
              <a:cs typeface="Arial"/>
            </a:rPr>
            <a:t>results of all stormwater monitoring conducted during the year. If you have a monitoring waiver for one or more of the pollutant(s</a:t>
          </a:r>
          <a:r>
            <a:rPr lang="en-US" sz="1000" b="1" i="0" strike="noStrike">
              <a:solidFill>
                <a:sysClr val="windowText" lastClr="000000"/>
              </a:solidFill>
              <a:latin typeface="Arial" pitchFamily="34" charset="0"/>
              <a:cs typeface="Arial" pitchFamily="34" charset="0"/>
            </a:rPr>
            <a:t>), please report “W” in the column(s)-see permit-Schedule B.3. </a:t>
          </a:r>
          <a:r>
            <a:rPr lang="en-US" sz="1000" b="1" i="0" strike="noStrike" baseline="0">
              <a:solidFill>
                <a:sysClr val="windowText" lastClr="000000"/>
              </a:solidFill>
              <a:latin typeface="Arial" pitchFamily="34" charset="0"/>
              <a:cs typeface="Arial" pitchFamily="34" charset="0"/>
            </a:rPr>
            <a:t> </a:t>
          </a:r>
          <a:r>
            <a:rPr lang="en-US" sz="1000" b="1" i="0" baseline="0">
              <a:solidFill>
                <a:sysClr val="windowText" lastClr="000000"/>
              </a:solidFill>
              <a:latin typeface="Arial" pitchFamily="34" charset="0"/>
              <a:ea typeface="+mn-ea"/>
              <a:cs typeface="Arial" pitchFamily="34" charset="0"/>
            </a:rPr>
            <a:t>You are not required to report the geometric mean for pollutant(s) that have a monitoring waiver.  </a:t>
          </a:r>
          <a:r>
            <a:rPr lang="en-US" sz="1000" b="1" i="0">
              <a:solidFill>
                <a:sysClr val="windowText" lastClr="000000"/>
              </a:solidFill>
              <a:latin typeface="Arial" pitchFamily="34" charset="0"/>
              <a:ea typeface="+mn-ea"/>
              <a:cs typeface="Arial" pitchFamily="34" charset="0"/>
            </a:rPr>
            <a:t>The geometric mean value is automatically calculated if using the Excel version o the DMR form.</a:t>
          </a:r>
        </a:p>
        <a:p>
          <a:pPr algn="l" rtl="0">
            <a:defRPr sz="1000"/>
          </a:pPr>
          <a:endParaRPr lang="en-US" sz="1000" b="1" i="0" strike="noStrike">
            <a:solidFill>
              <a:sysClr val="windowText" lastClr="000000"/>
            </a:solidFill>
            <a:latin typeface="Arial" pitchFamily="34" charset="0"/>
            <a:cs typeface="Arial" pitchFamily="34" charset="0"/>
          </a:endParaRPr>
        </a:p>
        <a:p>
          <a:pPr algn="l" rtl="0">
            <a:defRPr sz="1000"/>
          </a:pPr>
          <a:r>
            <a:rPr lang="en-US" sz="1000" b="1" i="0" u="sng" strike="noStrike">
              <a:solidFill>
                <a:sysClr val="windowText" lastClr="000000"/>
              </a:solidFill>
              <a:latin typeface="Arial" pitchFamily="34" charset="0"/>
              <a:cs typeface="Arial" pitchFamily="34" charset="0"/>
            </a:rPr>
            <a:t>Note 2</a:t>
          </a:r>
          <a:r>
            <a:rPr lang="en-US" sz="1000" b="1" i="0" strike="noStrike">
              <a:solidFill>
                <a:sysClr val="windowText" lastClr="000000"/>
              </a:solidFill>
              <a:latin typeface="Arial" pitchFamily="34" charset="0"/>
              <a:cs typeface="Arial" pitchFamily="34" charset="0"/>
            </a:rPr>
            <a:t>: Non-detects must be repo</a:t>
          </a:r>
          <a:r>
            <a:rPr lang="en-US" sz="1000" b="1" i="0" strike="noStrike">
              <a:solidFill>
                <a:sysClr val="windowText" lastClr="000000"/>
              </a:solidFill>
              <a:latin typeface="Arial"/>
              <a:cs typeface="Arial"/>
            </a:rPr>
            <a:t>rted as "ND" along with the applicable method detection limit or minimum</a:t>
          </a:r>
          <a:r>
            <a:rPr lang="en-US" sz="1000" b="1" i="0" strike="noStrike" baseline="0">
              <a:solidFill>
                <a:sysClr val="windowText" lastClr="000000"/>
              </a:solidFill>
              <a:latin typeface="Arial"/>
              <a:cs typeface="Arial"/>
            </a:rPr>
            <a:t> quantification limit</a:t>
          </a:r>
          <a:r>
            <a:rPr lang="en-US" sz="1000" b="1" i="0" strike="noStrike">
              <a:solidFill>
                <a:sysClr val="windowText" lastClr="000000"/>
              </a:solidFill>
              <a:latin typeface="Arial"/>
              <a:cs typeface="Arial"/>
            </a:rPr>
            <a:t> in parentheses - e.g. ND (0.001).</a:t>
          </a:r>
        </a:p>
        <a:p>
          <a:pPr algn="l" rtl="0">
            <a:defRPr sz="1000"/>
          </a:pPr>
          <a:endParaRPr lang="en-US" sz="1000" b="1" i="0" strike="noStrike">
            <a:solidFill>
              <a:sysClr val="windowText" lastClr="000000"/>
            </a:solidFill>
            <a:latin typeface="Arial"/>
            <a:cs typeface="Arial"/>
          </a:endParaRPr>
        </a:p>
        <a:p>
          <a:pPr algn="l" rtl="0">
            <a:defRPr sz="1000"/>
          </a:pPr>
          <a:r>
            <a:rPr lang="en-US" sz="1000" b="1" i="0" u="sng" strike="noStrike">
              <a:solidFill>
                <a:sysClr val="windowText" lastClr="000000"/>
              </a:solidFill>
              <a:latin typeface="Arial" pitchFamily="34" charset="0"/>
              <a:cs typeface="Arial" pitchFamily="34" charset="0"/>
            </a:rPr>
            <a:t>Note 3</a:t>
          </a:r>
          <a:r>
            <a:rPr lang="en-US" sz="1000" b="1" i="0" u="none" strike="noStrike">
              <a:solidFill>
                <a:sysClr val="windowText" lastClr="000000"/>
              </a:solidFill>
              <a:latin typeface="Arial" pitchFamily="34" charset="0"/>
              <a:cs typeface="Arial" pitchFamily="34" charset="0"/>
            </a:rPr>
            <a:t>:</a:t>
          </a:r>
          <a:r>
            <a:rPr lang="en-US" sz="1000" b="1" i="0" u="none" strike="noStrike" baseline="0">
              <a:solidFill>
                <a:sysClr val="windowText" lastClr="000000"/>
              </a:solidFill>
              <a:latin typeface="Arial" pitchFamily="34" charset="0"/>
              <a:cs typeface="Arial" pitchFamily="34" charset="0"/>
            </a:rPr>
            <a:t> The </a:t>
          </a:r>
          <a:r>
            <a:rPr lang="en-US" sz="1000" b="1" i="0">
              <a:solidFill>
                <a:sysClr val="windowText" lastClr="000000"/>
              </a:solidFill>
              <a:latin typeface="Arial" pitchFamily="34" charset="0"/>
              <a:ea typeface="+mn-ea"/>
              <a:cs typeface="Arial" pitchFamily="34" charset="0"/>
            </a:rPr>
            <a:t>geometric mean is required in the second year of coverage. Use the last 4 samples collected for each pollutant parameter, from each sampling point. </a:t>
          </a:r>
          <a:r>
            <a:rPr lang="en-US" sz="1000" b="1" i="0" strike="noStrike">
              <a:solidFill>
                <a:sysClr val="windowText" lastClr="000000"/>
              </a:solidFill>
              <a:latin typeface="Arial" pitchFamily="34" charset="0"/>
              <a:cs typeface="Arial" pitchFamily="34" charset="0"/>
            </a:rPr>
            <a:t> </a:t>
          </a:r>
          <a:r>
            <a:rPr lang="en-US" sz="1000" b="1" i="0" strike="noStrike" baseline="0">
              <a:solidFill>
                <a:sysClr val="windowText" lastClr="000000"/>
              </a:solidFill>
              <a:latin typeface="Arial" pitchFamily="34" charset="0"/>
              <a:ea typeface="+mn-ea"/>
              <a:cs typeface="Arial" pitchFamily="34" charset="0"/>
            </a:rPr>
            <a:t>I</a:t>
          </a:r>
          <a:r>
            <a:rPr lang="en-US" sz="1000" b="1" i="0" baseline="0">
              <a:solidFill>
                <a:sysClr val="windowText" lastClr="000000"/>
              </a:solidFill>
              <a:latin typeface="Arial" pitchFamily="34" charset="0"/>
              <a:ea typeface="+mn-ea"/>
              <a:cs typeface="Arial" pitchFamily="34" charset="0"/>
            </a:rPr>
            <a:t>f any of the 4 samples were not collected during this monitoring year, attach the past DMR form(s) that include the sample results. For non-detect sampling results, record following note 2 above; the spreadsheet will automatically use 1/2 the detection limit to calculate the geometric mean.  You are not required to report the geometric mean for pollutant(s) that have a monitoring waiver.  </a:t>
          </a:r>
          <a:r>
            <a:rPr lang="en-US" sz="1000" b="1" i="0" strike="noStrike">
              <a:solidFill>
                <a:sysClr val="windowText" lastClr="000000"/>
              </a:solidFill>
              <a:latin typeface="Arial"/>
              <a:cs typeface="Arial"/>
            </a:rPr>
            <a:t>The geometric mean value is automatically calculated if using the Excel version of the DMR form.</a:t>
          </a:r>
        </a:p>
        <a:p>
          <a:pPr algn="l" rtl="0">
            <a:defRPr sz="1000"/>
          </a:pPr>
          <a:endParaRPr lang="en-US" sz="1000" b="1" i="0" strike="noStrike">
            <a:solidFill>
              <a:sysClr val="windowText" lastClr="000000"/>
            </a:solidFill>
            <a:latin typeface="Arial"/>
            <a:cs typeface="Arial"/>
          </a:endParaRPr>
        </a:p>
        <a:p>
          <a:pPr algn="l" rtl="0">
            <a:defRPr sz="1000"/>
          </a:pPr>
          <a:r>
            <a:rPr lang="en-US" sz="1000" b="1" i="0" u="sng" strike="noStrike">
              <a:solidFill>
                <a:sysClr val="windowText" lastClr="000000"/>
              </a:solidFill>
              <a:latin typeface="Arial"/>
              <a:cs typeface="Arial"/>
            </a:rPr>
            <a:t>Note 4</a:t>
          </a:r>
          <a:r>
            <a:rPr lang="en-US" sz="1000" b="1" i="0" strike="noStrike">
              <a:solidFill>
                <a:sysClr val="windowText" lastClr="000000"/>
              </a:solidFill>
              <a:latin typeface="Arial"/>
              <a:cs typeface="Arial"/>
            </a:rPr>
            <a:t>:  If a sampling event is missed or a sampling parameter is not analyzed or sampled, enter "NS" in each applicable column for that row.  </a:t>
          </a:r>
        </a:p>
        <a:p>
          <a:pPr algn="l" rtl="0">
            <a:defRPr sz="1000"/>
          </a:pPr>
          <a:endParaRPr lang="en-US" sz="1000" b="1" i="0" strike="noStrike">
            <a:solidFill>
              <a:sysClr val="windowText" lastClr="000000"/>
            </a:solidFill>
            <a:latin typeface="Arial"/>
            <a:cs typeface="Arial"/>
          </a:endParaRPr>
        </a:p>
        <a:p>
          <a:pPr algn="l" rtl="0">
            <a:defRPr sz="1000"/>
          </a:pPr>
          <a:r>
            <a:rPr lang="en-US" sz="1000" b="1" i="0" u="sng" strike="noStrike">
              <a:solidFill>
                <a:sysClr val="windowText" lastClr="000000"/>
              </a:solidFill>
              <a:latin typeface="Arial"/>
              <a:cs typeface="Arial"/>
            </a:rPr>
            <a:t>Note 5:</a:t>
          </a:r>
          <a:r>
            <a:rPr lang="en-US" sz="1000" b="1" i="0" strike="noStrike">
              <a:solidFill>
                <a:sysClr val="windowText" lastClr="000000"/>
              </a:solidFill>
              <a:latin typeface="Arial"/>
              <a:cs typeface="Arial"/>
            </a:rPr>
            <a:t>  If there was no discharge then state "No Discharge" in the row after the sampling date for any applicable sampling point.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AC85"/>
  <sheetViews>
    <sheetView zoomScale="70" zoomScaleNormal="70" zoomScaleSheetLayoutView="50" workbookViewId="0">
      <selection activeCell="C2" sqref="C2:E3"/>
    </sheetView>
  </sheetViews>
  <sheetFormatPr defaultRowHeight="12.75"/>
  <cols>
    <col min="1" max="1" width="24.7109375" customWidth="1"/>
    <col min="2" max="2" width="17.7109375" customWidth="1"/>
    <col min="3" max="3" width="15.140625" customWidth="1"/>
    <col min="4" max="4" width="15.85546875" customWidth="1"/>
    <col min="5" max="5" width="14.85546875" customWidth="1"/>
    <col min="6" max="6" width="13.140625" customWidth="1"/>
    <col min="7" max="7" width="14.7109375" customWidth="1"/>
    <col min="8" max="8" width="15.42578125" customWidth="1"/>
    <col min="9" max="9" width="17" customWidth="1"/>
    <col min="10" max="10" width="15.85546875" customWidth="1"/>
    <col min="11" max="11" width="15.140625" customWidth="1"/>
    <col min="12" max="12" width="14.140625" customWidth="1"/>
    <col min="13" max="13" width="15" customWidth="1"/>
    <col min="15" max="15" width="5.85546875" customWidth="1"/>
    <col min="20" max="28" width="0" hidden="1" customWidth="1"/>
  </cols>
  <sheetData>
    <row r="1" spans="1:29" s="1" customFormat="1" ht="22.5" customHeight="1" thickBot="1">
      <c r="A1" s="319" t="s">
        <v>88</v>
      </c>
      <c r="B1" s="320"/>
      <c r="C1" s="320"/>
      <c r="D1" s="320"/>
      <c r="E1" s="320"/>
      <c r="F1" s="320"/>
      <c r="G1" s="320"/>
      <c r="H1" s="320"/>
      <c r="I1" s="320"/>
      <c r="J1" s="320"/>
      <c r="K1" s="320"/>
      <c r="L1" s="320"/>
      <c r="M1" s="320"/>
      <c r="N1" s="321"/>
    </row>
    <row r="2" spans="1:29" ht="9" customHeight="1">
      <c r="A2" s="270" t="s">
        <v>16</v>
      </c>
      <c r="B2" s="271"/>
      <c r="C2" s="220"/>
      <c r="D2" s="220"/>
      <c r="E2" s="221"/>
      <c r="F2" s="216" t="s">
        <v>11</v>
      </c>
      <c r="G2" s="274"/>
      <c r="H2" s="274"/>
      <c r="I2" s="264"/>
      <c r="J2" s="265"/>
      <c r="K2" s="336"/>
      <c r="L2" s="328"/>
      <c r="M2" s="163"/>
      <c r="N2" s="62"/>
    </row>
    <row r="3" spans="1:29" ht="12.75" customHeight="1">
      <c r="A3" s="272"/>
      <c r="B3" s="273"/>
      <c r="C3" s="196"/>
      <c r="D3" s="196"/>
      <c r="E3" s="219"/>
      <c r="F3" s="226"/>
      <c r="G3" s="227"/>
      <c r="H3" s="227"/>
      <c r="I3" s="266"/>
      <c r="J3" s="266"/>
      <c r="K3" s="337"/>
      <c r="L3" s="329"/>
      <c r="M3" s="114"/>
      <c r="N3" s="62"/>
    </row>
    <row r="4" spans="1:29" ht="10.5" customHeight="1">
      <c r="A4" s="206" t="s">
        <v>10</v>
      </c>
      <c r="B4" s="207"/>
      <c r="C4" s="195"/>
      <c r="D4" s="195"/>
      <c r="E4" s="218"/>
      <c r="F4" s="197" t="s">
        <v>14</v>
      </c>
      <c r="G4" s="198"/>
      <c r="H4" s="201" t="s">
        <v>19</v>
      </c>
      <c r="I4" s="195"/>
      <c r="J4" s="193" t="s">
        <v>20</v>
      </c>
      <c r="K4" s="193" t="s">
        <v>21</v>
      </c>
      <c r="L4" s="195"/>
      <c r="M4" s="195"/>
      <c r="N4" s="62"/>
    </row>
    <row r="5" spans="1:29" ht="12.75" customHeight="1">
      <c r="A5" s="208"/>
      <c r="B5" s="209"/>
      <c r="C5" s="196"/>
      <c r="D5" s="196"/>
      <c r="E5" s="219"/>
      <c r="F5" s="199"/>
      <c r="G5" s="200"/>
      <c r="H5" s="202"/>
      <c r="I5" s="196"/>
      <c r="J5" s="194"/>
      <c r="K5" s="194"/>
      <c r="L5" s="196"/>
      <c r="M5" s="196"/>
      <c r="N5" s="62"/>
    </row>
    <row r="6" spans="1:29" ht="6" customHeight="1">
      <c r="A6" s="206" t="s">
        <v>15</v>
      </c>
      <c r="B6" s="207"/>
      <c r="C6" s="195"/>
      <c r="D6" s="195"/>
      <c r="E6" s="218"/>
      <c r="F6" s="206" t="s">
        <v>12</v>
      </c>
      <c r="G6" s="225"/>
      <c r="H6" s="225"/>
      <c r="I6" s="195"/>
      <c r="J6" s="195"/>
      <c r="K6" s="195"/>
      <c r="L6" s="195"/>
      <c r="M6" s="195"/>
      <c r="N6" s="62"/>
    </row>
    <row r="7" spans="1:29" ht="12.75" customHeight="1">
      <c r="A7" s="208"/>
      <c r="B7" s="209"/>
      <c r="C7" s="196"/>
      <c r="D7" s="196"/>
      <c r="E7" s="219"/>
      <c r="F7" s="226"/>
      <c r="G7" s="227"/>
      <c r="H7" s="227"/>
      <c r="I7" s="196"/>
      <c r="J7" s="196"/>
      <c r="K7" s="196"/>
      <c r="L7" s="196"/>
      <c r="M7" s="196"/>
      <c r="N7" s="62"/>
    </row>
    <row r="8" spans="1:29" ht="12.75" customHeight="1">
      <c r="A8" s="206" t="s">
        <v>7</v>
      </c>
      <c r="B8" s="207"/>
      <c r="C8" s="195"/>
      <c r="D8" s="195"/>
      <c r="E8" s="218"/>
      <c r="F8" s="197" t="s">
        <v>18</v>
      </c>
      <c r="G8" s="287"/>
      <c r="H8" s="287"/>
      <c r="I8" s="195"/>
      <c r="J8" s="204" t="s">
        <v>68</v>
      </c>
      <c r="K8" s="195"/>
      <c r="L8" s="195"/>
      <c r="M8" s="195"/>
      <c r="N8" s="62"/>
    </row>
    <row r="9" spans="1:29" ht="12.75" customHeight="1" thickBot="1">
      <c r="A9" s="216"/>
      <c r="B9" s="217"/>
      <c r="C9" s="220"/>
      <c r="D9" s="220"/>
      <c r="E9" s="221"/>
      <c r="F9" s="288"/>
      <c r="G9" s="289"/>
      <c r="H9" s="289"/>
      <c r="I9" s="203"/>
      <c r="J9" s="205"/>
      <c r="K9" s="203"/>
      <c r="L9" s="203"/>
      <c r="M9" s="203"/>
      <c r="N9" s="62"/>
    </row>
    <row r="10" spans="1:29" ht="22.5" customHeight="1">
      <c r="A10" s="210" t="s">
        <v>37</v>
      </c>
      <c r="B10" s="211"/>
      <c r="C10" s="211"/>
      <c r="D10" s="211"/>
      <c r="E10" s="211"/>
      <c r="F10" s="211"/>
      <c r="G10" s="211"/>
      <c r="H10" s="211"/>
      <c r="I10" s="211"/>
      <c r="J10" s="211"/>
      <c r="K10" s="211"/>
      <c r="L10" s="211"/>
      <c r="M10" s="2"/>
      <c r="N10" s="164"/>
    </row>
    <row r="11" spans="1:29" ht="18" customHeight="1" thickBot="1">
      <c r="A11" s="212"/>
      <c r="B11" s="213"/>
      <c r="C11" s="213"/>
      <c r="D11" s="213"/>
      <c r="E11" s="213"/>
      <c r="F11" s="213"/>
      <c r="G11" s="213"/>
      <c r="H11" s="213"/>
      <c r="I11" s="213"/>
      <c r="J11" s="213"/>
      <c r="K11" s="213"/>
      <c r="L11" s="213"/>
      <c r="M11" s="3"/>
      <c r="N11" s="62"/>
    </row>
    <row r="12" spans="1:29" ht="24" customHeight="1" thickBot="1">
      <c r="A12" s="222" t="s">
        <v>44</v>
      </c>
      <c r="B12" s="223"/>
      <c r="C12" s="223"/>
      <c r="D12" s="223"/>
      <c r="E12" s="223"/>
      <c r="F12" s="223"/>
      <c r="G12" s="223"/>
      <c r="H12" s="223"/>
      <c r="I12" s="223"/>
      <c r="J12" s="223"/>
      <c r="K12" s="223"/>
      <c r="L12" s="223"/>
      <c r="M12" s="223"/>
      <c r="N12" s="224"/>
      <c r="O12" s="162"/>
      <c r="R12" s="142"/>
      <c r="S12" s="142"/>
    </row>
    <row r="13" spans="1:29" ht="49.5" customHeight="1">
      <c r="A13" s="278" t="s">
        <v>84</v>
      </c>
      <c r="B13" s="275" t="s">
        <v>6</v>
      </c>
      <c r="C13" s="53" t="s">
        <v>23</v>
      </c>
      <c r="D13" s="53" t="s">
        <v>36</v>
      </c>
      <c r="E13" s="53" t="s">
        <v>35</v>
      </c>
      <c r="F13" s="53" t="s">
        <v>3</v>
      </c>
      <c r="G13" s="53" t="s">
        <v>4</v>
      </c>
      <c r="H13" s="53" t="s">
        <v>5</v>
      </c>
      <c r="I13" s="143" t="s">
        <v>85</v>
      </c>
      <c r="J13" s="134" t="s">
        <v>86</v>
      </c>
      <c r="K13" s="53" t="s">
        <v>34</v>
      </c>
      <c r="L13" s="130"/>
      <c r="M13" s="131"/>
      <c r="N13" s="62"/>
      <c r="Q13" s="144"/>
    </row>
    <row r="14" spans="1:29" ht="11.25" customHeight="1">
      <c r="A14" s="278"/>
      <c r="B14" s="276"/>
      <c r="C14" s="214" t="s">
        <v>0</v>
      </c>
      <c r="D14" s="214" t="s">
        <v>13</v>
      </c>
      <c r="E14" s="214" t="s">
        <v>13</v>
      </c>
      <c r="F14" s="214" t="s">
        <v>13</v>
      </c>
      <c r="G14" s="214" t="s">
        <v>13</v>
      </c>
      <c r="H14" s="214" t="s">
        <v>13</v>
      </c>
      <c r="I14" s="214" t="s">
        <v>87</v>
      </c>
      <c r="J14" s="214" t="s">
        <v>13</v>
      </c>
      <c r="K14" s="214" t="s">
        <v>13</v>
      </c>
      <c r="L14" s="132"/>
      <c r="M14" s="133"/>
      <c r="N14" s="62"/>
      <c r="Q14" s="144"/>
    </row>
    <row r="15" spans="1:29" ht="7.5" customHeight="1" thickBot="1">
      <c r="A15" s="279"/>
      <c r="B15" s="277"/>
      <c r="C15" s="215"/>
      <c r="D15" s="215"/>
      <c r="E15" s="215"/>
      <c r="F15" s="215"/>
      <c r="G15" s="215"/>
      <c r="H15" s="215"/>
      <c r="I15" s="215"/>
      <c r="J15" s="215"/>
      <c r="K15" s="215"/>
      <c r="L15" s="132"/>
      <c r="M15" s="133"/>
      <c r="N15" s="165"/>
      <c r="O15" s="8"/>
      <c r="Q15" s="145"/>
      <c r="T15" s="146"/>
      <c r="U15" s="10"/>
      <c r="V15" s="10"/>
      <c r="W15" s="10"/>
      <c r="X15" s="10"/>
      <c r="Y15" s="10"/>
      <c r="Z15" s="10"/>
      <c r="AA15" s="10"/>
      <c r="AB15" s="10"/>
    </row>
    <row r="16" spans="1:29" ht="21.95" customHeight="1" thickTop="1">
      <c r="A16" s="338"/>
      <c r="B16" s="147"/>
      <c r="C16" s="31"/>
      <c r="D16" s="28"/>
      <c r="E16" s="28"/>
      <c r="F16" s="28"/>
      <c r="G16" s="28"/>
      <c r="H16" s="28"/>
      <c r="I16" s="28"/>
      <c r="J16" s="28"/>
      <c r="K16" s="28"/>
      <c r="L16" s="132"/>
      <c r="M16" s="133"/>
      <c r="N16" s="166"/>
      <c r="O16" s="8"/>
      <c r="T16" s="8" t="str">
        <f>IF(ISBLANK(C16),"",IF(ISNUMBER(C16),C16,IF(LEFT(C16,2)="NS","",IF(LEFT(C16,2)="No","",C16))))</f>
        <v/>
      </c>
      <c r="U16" s="9" t="str">
        <f t="shared" ref="U16:Y19" si="0">IF(ISBLANK(D16),"",IF(ISNUMBER(D16),D16,IF(LEFT(D16,2)="NS",D$39,IF(LEFT(D16,3)="ND(",VALUE(MID(D16,4,LEN(D16)-4))/2,IF(LEFT(D16,3)="ND ",VALUE(MID(D16,5,LEN(D16)-5)/2),D16)))))</f>
        <v/>
      </c>
      <c r="V16" s="9" t="str">
        <f t="shared" si="0"/>
        <v/>
      </c>
      <c r="W16" s="9" t="str">
        <f t="shared" si="0"/>
        <v/>
      </c>
      <c r="X16" s="9" t="str">
        <f t="shared" si="0"/>
        <v/>
      </c>
      <c r="Y16" s="9" t="str">
        <f t="shared" si="0"/>
        <v/>
      </c>
      <c r="Z16" s="9" t="str">
        <f>IF(ISBLANK(I16),"",IF(ISNUMBER(I16),I16,IF(LEFT(I16,2)="NS",I$39,IF(LEFT(I16,1)="&lt;",VALUE(MID(I16,2,LEN(I16)-1)),IF(LEFT(I16,1)="&gt;",VALUE(MID(I16,2,LEN(I16)-1)),I16)))))</f>
        <v/>
      </c>
      <c r="AA16" s="9" t="str">
        <f t="shared" ref="AA16:AB19" si="1">IF(ISBLANK(J16),"",IF(ISNUMBER(J16),J16,IF(LEFT(J16,2)="NS",J$39,IF(LEFT(J16,3)="ND(",VALUE(MID(J16,4,LEN(J16)-4))/2,IF(LEFT(J16,3)="ND ",VALUE(MID(J16,5,LEN(J16)-5)/2),J16)))))</f>
        <v/>
      </c>
      <c r="AB16" s="9" t="str">
        <f t="shared" si="1"/>
        <v/>
      </c>
      <c r="AC16" s="9"/>
    </row>
    <row r="17" spans="1:29" ht="21.95" customHeight="1">
      <c r="A17" s="339"/>
      <c r="B17" s="148"/>
      <c r="C17" s="32"/>
      <c r="D17" s="32"/>
      <c r="E17" s="32"/>
      <c r="F17" s="32"/>
      <c r="G17" s="32"/>
      <c r="H17" s="32"/>
      <c r="I17" s="32"/>
      <c r="J17" s="32"/>
      <c r="K17" s="32"/>
      <c r="L17" s="156"/>
      <c r="M17" s="157"/>
      <c r="N17" s="166"/>
      <c r="O17" s="8"/>
      <c r="T17" s="8" t="str">
        <f>IF(ISBLANK(C17),"",IF(ISNUMBER(C17),C17,IF(LEFT(C17,2)="NS","",IF(LEFT(C17,2)="No","",C17))))</f>
        <v/>
      </c>
      <c r="U17" s="9" t="str">
        <f t="shared" si="0"/>
        <v/>
      </c>
      <c r="V17" s="9" t="str">
        <f t="shared" si="0"/>
        <v/>
      </c>
      <c r="W17" s="9" t="str">
        <f t="shared" si="0"/>
        <v/>
      </c>
      <c r="X17" s="9" t="str">
        <f t="shared" si="0"/>
        <v/>
      </c>
      <c r="Y17" s="9" t="str">
        <f t="shared" si="0"/>
        <v/>
      </c>
      <c r="Z17" s="9" t="str">
        <f>IF(ISBLANK(I17),"",IF(ISNUMBER(I17),I17,IF(LEFT(I17,2)="NS",I$39,IF(LEFT(I17,1)="&lt;",VALUE(MID(I17,2,LEN(I17)-1)),IF(LEFT(I17,1)="&gt;",VALUE(MID(I17,2,LEN(I17)-1)),I17)))))</f>
        <v/>
      </c>
      <c r="AA17" s="9" t="str">
        <f t="shared" si="1"/>
        <v/>
      </c>
      <c r="AB17" s="9" t="str">
        <f t="shared" si="1"/>
        <v/>
      </c>
      <c r="AC17" s="9"/>
    </row>
    <row r="18" spans="1:29" ht="21.95" customHeight="1">
      <c r="A18" s="339"/>
      <c r="B18" s="148"/>
      <c r="C18" s="32"/>
      <c r="D18" s="32"/>
      <c r="E18" s="32"/>
      <c r="F18" s="32"/>
      <c r="G18" s="32"/>
      <c r="H18" s="32"/>
      <c r="I18" s="32"/>
      <c r="J18" s="32"/>
      <c r="K18" s="32"/>
      <c r="L18" s="156"/>
      <c r="M18" s="157"/>
      <c r="N18" s="166"/>
      <c r="O18" s="8"/>
      <c r="T18" s="8" t="str">
        <f>IF(ISBLANK(C18),"",IF(ISNUMBER(C18),C18,IF(LEFT(C18,2)="NS","",IF(LEFT(C18,2)="No","",C18))))</f>
        <v/>
      </c>
      <c r="U18" s="9" t="str">
        <f t="shared" si="0"/>
        <v/>
      </c>
      <c r="V18" s="9" t="str">
        <f t="shared" si="0"/>
        <v/>
      </c>
      <c r="W18" s="9" t="str">
        <f t="shared" si="0"/>
        <v/>
      </c>
      <c r="X18" s="9" t="str">
        <f t="shared" si="0"/>
        <v/>
      </c>
      <c r="Y18" s="9" t="str">
        <f t="shared" si="0"/>
        <v/>
      </c>
      <c r="Z18" s="9" t="str">
        <f>IF(ISBLANK(I18),"",IF(ISNUMBER(I18),I18,IF(LEFT(I18,2)="NS",I$39,IF(LEFT(I18,1)="&lt;",VALUE(MID(I18,2,LEN(I18)-1)),IF(LEFT(I18,1)="&gt;",VALUE(MID(I18,2,LEN(I18)-1)),I18)))))</f>
        <v/>
      </c>
      <c r="AA18" s="9" t="str">
        <f t="shared" si="1"/>
        <v/>
      </c>
      <c r="AB18" s="9" t="str">
        <f t="shared" si="1"/>
        <v/>
      </c>
      <c r="AC18" s="9"/>
    </row>
    <row r="19" spans="1:29" ht="21.95" customHeight="1">
      <c r="A19" s="340"/>
      <c r="B19" s="148"/>
      <c r="C19" s="32"/>
      <c r="D19" s="32"/>
      <c r="E19" s="32"/>
      <c r="F19" s="32"/>
      <c r="G19" s="32"/>
      <c r="H19" s="32"/>
      <c r="I19" s="32"/>
      <c r="J19" s="32"/>
      <c r="K19" s="32"/>
      <c r="L19" s="156"/>
      <c r="M19" s="157"/>
      <c r="N19" s="166"/>
      <c r="O19" s="8"/>
      <c r="T19" s="8" t="str">
        <f>IF(ISBLANK(C19),"",IF(ISNUMBER(C19),C19,IF(LEFT(C19,2)="NS","",IF(LEFT(C19,2)="No","",C19))))</f>
        <v/>
      </c>
      <c r="U19" s="9" t="str">
        <f t="shared" si="0"/>
        <v/>
      </c>
      <c r="V19" s="9" t="str">
        <f t="shared" si="0"/>
        <v/>
      </c>
      <c r="W19" s="9" t="str">
        <f t="shared" si="0"/>
        <v/>
      </c>
      <c r="X19" s="9" t="str">
        <f t="shared" si="0"/>
        <v/>
      </c>
      <c r="Y19" s="9" t="str">
        <f t="shared" si="0"/>
        <v/>
      </c>
      <c r="Z19" s="9" t="str">
        <f>IF(ISBLANK(I19),"",IF(ISNUMBER(I19),I19,IF(LEFT(I19,2)="NS",I$39,IF(LEFT(I19,1)="&lt;",VALUE(MID(I19,2,LEN(I19)-1)),IF(LEFT(I19,1)="&gt;",VALUE(MID(I19,2,LEN(I19)-1)),I19)))))</f>
        <v/>
      </c>
      <c r="AA19" s="9" t="str">
        <f t="shared" si="1"/>
        <v/>
      </c>
      <c r="AB19" s="9" t="str">
        <f t="shared" si="1"/>
        <v/>
      </c>
      <c r="AC19" s="9"/>
    </row>
    <row r="20" spans="1:29" ht="21.95" customHeight="1">
      <c r="A20" s="342" t="s">
        <v>50</v>
      </c>
      <c r="B20" s="281"/>
      <c r="C20" s="149"/>
      <c r="D20" s="150" t="str">
        <f>IF(ISBLANK(D19),"",IF(ISNUMBER(D19),GEOMEAN(U16:U19),IF(LEFT(D19,2)="NS",GEOMEAN(U16:U19),IF(LEFT(D19,2)="ND",GEOMEAN(U16:U19),"M"))))</f>
        <v/>
      </c>
      <c r="E20" s="150" t="str">
        <f t="shared" ref="E20:K20" si="2">IF(ISBLANK(E19),"",IF(ISNUMBER(E19),GEOMEAN(V16:V19),IF(LEFT(E19,2)="NS",GEOMEAN(V16:V19),IF(LEFT(E19,2)="ND",GEOMEAN(V16:V19),"M"))))</f>
        <v/>
      </c>
      <c r="F20" s="151" t="str">
        <f t="shared" si="2"/>
        <v/>
      </c>
      <c r="G20" s="152" t="str">
        <f t="shared" si="2"/>
        <v/>
      </c>
      <c r="H20" s="152" t="str">
        <f t="shared" si="2"/>
        <v/>
      </c>
      <c r="I20" s="150" t="str">
        <f>IF(ISBLANK(I19),"",IF(ISNUMBER(I19),GEOMEAN(Z16:Z19),IF(LEFT(I19,2)="NS",GEOMEAN(Z16:Z19),IF(LEFT(I19,2)="ND",GEOMEAN(Z16:Z19),IF(LEFT(I19,1)="&lt;",GEOMEAN(C16:Z19),IF(LEFT(I19,1)="&gt;",GEOMEAN(Z16:Z19),"M"))))))</f>
        <v/>
      </c>
      <c r="J20" s="152" t="str">
        <f t="shared" si="2"/>
        <v/>
      </c>
      <c r="K20" s="150" t="str">
        <f t="shared" si="2"/>
        <v/>
      </c>
      <c r="L20" s="156"/>
      <c r="M20" s="157"/>
      <c r="N20" s="166"/>
      <c r="O20" s="8"/>
      <c r="T20" s="9"/>
      <c r="U20" s="9"/>
      <c r="V20" s="9"/>
      <c r="W20" s="9"/>
      <c r="X20" s="9"/>
      <c r="Y20" s="9"/>
      <c r="Z20" s="9"/>
      <c r="AA20" s="9"/>
      <c r="AB20" s="9"/>
      <c r="AC20" s="9"/>
    </row>
    <row r="21" spans="1:29" ht="21.95" customHeight="1">
      <c r="A21" s="341"/>
      <c r="B21" s="153"/>
      <c r="C21" s="154"/>
      <c r="D21" s="154"/>
      <c r="E21" s="154"/>
      <c r="F21" s="154"/>
      <c r="G21" s="154"/>
      <c r="H21" s="154"/>
      <c r="I21" s="154"/>
      <c r="J21" s="154"/>
      <c r="K21" s="154"/>
      <c r="L21" s="158"/>
      <c r="M21" s="159"/>
      <c r="N21" s="166"/>
      <c r="O21" s="8"/>
      <c r="T21" s="8" t="str">
        <f>IF(ISBLANK(C21),"",IF(ISNUMBER(C21),C21,IF(LEFT(C21,2)="NS","",IF(LEFT(C21,2)="No","",C21))))</f>
        <v/>
      </c>
      <c r="U21" s="9" t="str">
        <f t="shared" ref="U21:Y24" si="3">IF(ISBLANK(D21),"",IF(ISNUMBER(D21),D21,IF(LEFT(D21,2)="NS",D$39,IF(LEFT(D21,3)="ND(",VALUE(MID(D21,4,LEN(D21)-4))/2,IF(LEFT(D21,3)="ND ",VALUE(MID(D21,5,LEN(D21)-5)/2),D21)))))</f>
        <v/>
      </c>
      <c r="V21" s="9" t="str">
        <f t="shared" si="3"/>
        <v/>
      </c>
      <c r="W21" s="9" t="str">
        <f t="shared" si="3"/>
        <v/>
      </c>
      <c r="X21" s="9" t="str">
        <f t="shared" si="3"/>
        <v/>
      </c>
      <c r="Y21" s="9" t="str">
        <f t="shared" si="3"/>
        <v/>
      </c>
      <c r="Z21" s="9" t="str">
        <f>IF(ISBLANK(I21),"",IF(ISNUMBER(I21),I21,IF(LEFT(I21,2)="NS",I$39,IF(LEFT(I21,1)="&lt;",VALUE(MID(I21,2,LEN(I21)-1)),IF(LEFT(I21,1)="&gt;",VALUE(MID(I21,2,LEN(I21)-1)),I21)))))</f>
        <v/>
      </c>
      <c r="AA21" s="9" t="str">
        <f t="shared" ref="AA21:AB24" si="4">IF(ISBLANK(J21),"",IF(ISNUMBER(J21),J21,IF(LEFT(J21,2)="NS",J$39,IF(LEFT(J21,3)="ND(",VALUE(MID(J21,4,LEN(J21)-4))/2,IF(LEFT(J21,3)="ND ",VALUE(MID(J21,5,LEN(J21)-5)/2),J21)))))</f>
        <v/>
      </c>
      <c r="AB21" s="9" t="str">
        <f t="shared" si="4"/>
        <v/>
      </c>
      <c r="AC21" s="9"/>
    </row>
    <row r="22" spans="1:29" ht="21.95" customHeight="1">
      <c r="A22" s="339"/>
      <c r="B22" s="148"/>
      <c r="C22" s="32"/>
      <c r="D22" s="32"/>
      <c r="E22" s="32"/>
      <c r="F22" s="32"/>
      <c r="G22" s="32"/>
      <c r="H22" s="32"/>
      <c r="I22" s="32"/>
      <c r="J22" s="32"/>
      <c r="K22" s="32"/>
      <c r="L22" s="158"/>
      <c r="M22" s="159"/>
      <c r="N22" s="166"/>
      <c r="O22" s="8"/>
      <c r="T22" s="8" t="str">
        <f>IF(ISBLANK(C22),"",IF(ISNUMBER(C22),C22,IF(LEFT(C22,2)="NS","",IF(LEFT(C22,2)="No","",C22))))</f>
        <v/>
      </c>
      <c r="U22" s="9" t="str">
        <f t="shared" si="3"/>
        <v/>
      </c>
      <c r="V22" s="9" t="str">
        <f t="shared" si="3"/>
        <v/>
      </c>
      <c r="W22" s="9" t="str">
        <f t="shared" si="3"/>
        <v/>
      </c>
      <c r="X22" s="9" t="str">
        <f t="shared" si="3"/>
        <v/>
      </c>
      <c r="Y22" s="9" t="str">
        <f t="shared" si="3"/>
        <v/>
      </c>
      <c r="Z22" s="9" t="str">
        <f>IF(ISBLANK(I22),"",IF(ISNUMBER(I22),I22,IF(LEFT(I22,2)="NS",I$39,IF(LEFT(I22,1)="&lt;",VALUE(MID(I22,2,LEN(I22)-1)),IF(LEFT(I22,1)="&gt;",VALUE(MID(I22,2,LEN(I22)-1)),I22)))))</f>
        <v/>
      </c>
      <c r="AA22" s="9" t="str">
        <f t="shared" si="4"/>
        <v/>
      </c>
      <c r="AB22" s="9" t="str">
        <f t="shared" si="4"/>
        <v/>
      </c>
      <c r="AC22" s="9"/>
    </row>
    <row r="23" spans="1:29" ht="21.95" customHeight="1">
      <c r="A23" s="339"/>
      <c r="B23" s="148"/>
      <c r="C23" s="32"/>
      <c r="D23" s="32"/>
      <c r="E23" s="32"/>
      <c r="F23" s="32"/>
      <c r="G23" s="32"/>
      <c r="H23" s="32"/>
      <c r="I23" s="32"/>
      <c r="J23" s="32"/>
      <c r="K23" s="32"/>
      <c r="L23" s="158"/>
      <c r="M23" s="159"/>
      <c r="N23" s="166"/>
      <c r="O23" s="8"/>
      <c r="T23" s="8" t="str">
        <f>IF(ISBLANK(C23),"",IF(ISNUMBER(C23),C23,IF(LEFT(C23,2)="NS","",IF(LEFT(C23,2)="No","",C23))))</f>
        <v/>
      </c>
      <c r="U23" s="9" t="str">
        <f t="shared" si="3"/>
        <v/>
      </c>
      <c r="V23" s="9" t="str">
        <f t="shared" si="3"/>
        <v/>
      </c>
      <c r="W23" s="9" t="str">
        <f t="shared" si="3"/>
        <v/>
      </c>
      <c r="X23" s="9" t="str">
        <f t="shared" si="3"/>
        <v/>
      </c>
      <c r="Y23" s="9" t="str">
        <f t="shared" si="3"/>
        <v/>
      </c>
      <c r="Z23" s="9" t="str">
        <f>IF(ISBLANK(I23),"",IF(ISNUMBER(I23),I23,IF(LEFT(I23,2)="NS",I$39,IF(LEFT(I23,1)="&lt;",VALUE(MID(I23,2,LEN(I23)-1)),IF(LEFT(I23,1)="&gt;",VALUE(MID(I23,2,LEN(I23)-1)),I23)))))</f>
        <v/>
      </c>
      <c r="AA23" s="9" t="str">
        <f t="shared" si="4"/>
        <v/>
      </c>
      <c r="AB23" s="9" t="str">
        <f t="shared" si="4"/>
        <v/>
      </c>
      <c r="AC23" s="9"/>
    </row>
    <row r="24" spans="1:29" ht="21.95" customHeight="1">
      <c r="A24" s="340"/>
      <c r="B24" s="148"/>
      <c r="C24" s="32"/>
      <c r="D24" s="32"/>
      <c r="E24" s="32"/>
      <c r="F24" s="32"/>
      <c r="G24" s="32"/>
      <c r="H24" s="32"/>
      <c r="I24" s="32"/>
      <c r="J24" s="32"/>
      <c r="K24" s="32"/>
      <c r="L24" s="158"/>
      <c r="M24" s="159"/>
      <c r="N24" s="166"/>
      <c r="O24" s="8"/>
      <c r="T24" s="8" t="str">
        <f>IF(ISBLANK(C24),"",IF(ISNUMBER(C24),C24,IF(LEFT(C24,2)="NS","",IF(LEFT(C24,2)="No","",C24))))</f>
        <v/>
      </c>
      <c r="U24" s="9" t="str">
        <f t="shared" si="3"/>
        <v/>
      </c>
      <c r="V24" s="9" t="str">
        <f t="shared" si="3"/>
        <v/>
      </c>
      <c r="W24" s="9" t="str">
        <f t="shared" si="3"/>
        <v/>
      </c>
      <c r="X24" s="9" t="str">
        <f t="shared" si="3"/>
        <v/>
      </c>
      <c r="Y24" s="9" t="str">
        <f t="shared" si="3"/>
        <v/>
      </c>
      <c r="Z24" s="9" t="str">
        <f>IF(ISBLANK(I24),"",IF(ISNUMBER(I24),I24,IF(LEFT(I24,2)="NS",I$39,IF(LEFT(I24,1)="&lt;",VALUE(MID(I24,2,LEN(I24)-1)),IF(LEFT(I24,1)="&gt;",VALUE(MID(I24,2,LEN(I24)-1)),I24)))))</f>
        <v/>
      </c>
      <c r="AA24" s="9" t="str">
        <f t="shared" si="4"/>
        <v/>
      </c>
      <c r="AB24" s="9" t="str">
        <f t="shared" si="4"/>
        <v/>
      </c>
      <c r="AC24" s="9"/>
    </row>
    <row r="25" spans="1:29" ht="21.95" customHeight="1">
      <c r="A25" s="280" t="s">
        <v>50</v>
      </c>
      <c r="B25" s="281"/>
      <c r="C25" s="149"/>
      <c r="D25" s="150" t="str">
        <f t="shared" ref="D25:H25" si="5">IF(ISBLANK(D24),"",IF(ISNUMBER(D24),GEOMEAN(U21:U24),IF(LEFT(D24,2)="NS",GEOMEAN(U21:U24),IF(LEFT(D24,2)="ND",GEOMEAN(U21:U24),"M"))))</f>
        <v/>
      </c>
      <c r="E25" s="150" t="str">
        <f t="shared" si="5"/>
        <v/>
      </c>
      <c r="F25" s="151" t="str">
        <f t="shared" si="5"/>
        <v/>
      </c>
      <c r="G25" s="152" t="str">
        <f t="shared" si="5"/>
        <v/>
      </c>
      <c r="H25" s="152" t="str">
        <f t="shared" si="5"/>
        <v/>
      </c>
      <c r="I25" s="150" t="str">
        <f>IF(ISBLANK(I24),"",IF(ISNUMBER(I24),GEOMEAN(Z21:Z24),IF(LEFT(I24,2)="NS",GEOMEAN(Z21:Z24),IF(LEFT(I24,2)="ND",GEOMEAN(Z21:Z24),IF(LEFT(I24,1)="&lt;",GEOMEAN(C21:Z24),IF(LEFT(I24,1)="&gt;",GEOMEAN(Z21:Z24),"M"))))))</f>
        <v/>
      </c>
      <c r="J25" s="152" t="str">
        <f t="shared" ref="J25:K25" si="6">IF(ISBLANK(J24),"",IF(ISNUMBER(J24),GEOMEAN(AA21:AA24),IF(LEFT(J24,2)="NS",GEOMEAN(AA21:AA24),IF(LEFT(J24,2)="ND",GEOMEAN(AA21:AA24),"M"))))</f>
        <v/>
      </c>
      <c r="K25" s="150" t="str">
        <f t="shared" si="6"/>
        <v/>
      </c>
      <c r="L25" s="158"/>
      <c r="M25" s="159"/>
      <c r="N25" s="166"/>
      <c r="O25" s="8"/>
      <c r="T25" s="9"/>
      <c r="U25" s="9"/>
      <c r="V25" s="9"/>
      <c r="W25" s="9"/>
      <c r="X25" s="9"/>
      <c r="Y25" s="9"/>
      <c r="Z25" s="9"/>
      <c r="AA25" s="9"/>
      <c r="AB25" s="9"/>
      <c r="AC25" s="9"/>
    </row>
    <row r="26" spans="1:29" ht="21.95" customHeight="1">
      <c r="A26" s="341"/>
      <c r="B26" s="153"/>
      <c r="C26" s="154"/>
      <c r="D26" s="154"/>
      <c r="E26" s="154"/>
      <c r="F26" s="154"/>
      <c r="G26" s="154"/>
      <c r="H26" s="154"/>
      <c r="I26" s="154"/>
      <c r="J26" s="154"/>
      <c r="K26" s="154"/>
      <c r="L26" s="158"/>
      <c r="M26" s="159"/>
      <c r="N26" s="166"/>
      <c r="O26" s="8"/>
      <c r="T26" s="8" t="str">
        <f>IF(ISBLANK(C26),"",IF(ISNUMBER(C26),C26,IF(LEFT(C26,2)="NS","",IF(LEFT(C26,2)="No","",C26))))</f>
        <v/>
      </c>
      <c r="U26" s="9" t="str">
        <f t="shared" ref="U26:Y29" si="7">IF(ISBLANK(D26),"",IF(ISNUMBER(D26),D26,IF(LEFT(D26,2)="NS",D$39,IF(LEFT(D26,3)="ND(",VALUE(MID(D26,4,LEN(D26)-4))/2,IF(LEFT(D26,3)="ND ",VALUE(MID(D26,5,LEN(D26)-5)/2),D26)))))</f>
        <v/>
      </c>
      <c r="V26" s="9" t="str">
        <f t="shared" si="7"/>
        <v/>
      </c>
      <c r="W26" s="9" t="str">
        <f t="shared" si="7"/>
        <v/>
      </c>
      <c r="X26" s="9" t="str">
        <f t="shared" si="7"/>
        <v/>
      </c>
      <c r="Y26" s="9" t="str">
        <f t="shared" si="7"/>
        <v/>
      </c>
      <c r="Z26" s="9" t="str">
        <f>IF(ISBLANK(I26),"",IF(ISNUMBER(I26),I26,IF(LEFT(I26,2)="NS",I$39,IF(LEFT(I26,1)="&lt;",VALUE(MID(I26,2,LEN(I26)-1)),IF(LEFT(I26,1)="&gt;",VALUE(MID(I26,2,LEN(I26)-1)),I26)))))</f>
        <v/>
      </c>
      <c r="AA26" s="9" t="str">
        <f t="shared" ref="AA26:AB29" si="8">IF(ISBLANK(J26),"",IF(ISNUMBER(J26),J26,IF(LEFT(J26,2)="NS",J$39,IF(LEFT(J26,3)="ND(",VALUE(MID(J26,4,LEN(J26)-4))/2,IF(LEFT(J26,3)="ND ",VALUE(MID(J26,5,LEN(J26)-5)/2),J26)))))</f>
        <v/>
      </c>
      <c r="AB26" s="9" t="str">
        <f t="shared" si="8"/>
        <v/>
      </c>
      <c r="AC26" s="9"/>
    </row>
    <row r="27" spans="1:29" ht="21.95" customHeight="1">
      <c r="A27" s="339"/>
      <c r="B27" s="148"/>
      <c r="C27" s="32"/>
      <c r="D27" s="32"/>
      <c r="E27" s="32"/>
      <c r="F27" s="32"/>
      <c r="G27" s="32"/>
      <c r="H27" s="32"/>
      <c r="I27" s="32"/>
      <c r="J27" s="32"/>
      <c r="K27" s="32"/>
      <c r="L27" s="158"/>
      <c r="M27" s="159"/>
      <c r="N27" s="166"/>
      <c r="O27" s="8"/>
      <c r="T27" s="8" t="str">
        <f>IF(ISBLANK(C27),"",IF(ISNUMBER(C27),C27,IF(LEFT(C27,2)="NS","",IF(LEFT(C27,2)="No","",C27))))</f>
        <v/>
      </c>
      <c r="U27" s="9" t="str">
        <f t="shared" si="7"/>
        <v/>
      </c>
      <c r="V27" s="9" t="str">
        <f t="shared" si="7"/>
        <v/>
      </c>
      <c r="W27" s="9" t="str">
        <f t="shared" si="7"/>
        <v/>
      </c>
      <c r="X27" s="9" t="str">
        <f t="shared" si="7"/>
        <v/>
      </c>
      <c r="Y27" s="9" t="str">
        <f t="shared" si="7"/>
        <v/>
      </c>
      <c r="Z27" s="9" t="str">
        <f>IF(ISBLANK(I27),"",IF(ISNUMBER(I27),I27,IF(LEFT(I27,2)="NS",I$39,IF(LEFT(I27,1)="&lt;",VALUE(MID(I27,2,LEN(I27)-1)),IF(LEFT(I27,1)="&gt;",VALUE(MID(I27,2,LEN(I27)-1)),I27)))))</f>
        <v/>
      </c>
      <c r="AA27" s="9" t="str">
        <f t="shared" si="8"/>
        <v/>
      </c>
      <c r="AB27" s="9" t="str">
        <f t="shared" si="8"/>
        <v/>
      </c>
      <c r="AC27" s="9"/>
    </row>
    <row r="28" spans="1:29" ht="21.95" customHeight="1">
      <c r="A28" s="339"/>
      <c r="B28" s="148"/>
      <c r="C28" s="32"/>
      <c r="D28" s="32"/>
      <c r="E28" s="32"/>
      <c r="F28" s="32"/>
      <c r="G28" s="32"/>
      <c r="H28" s="32"/>
      <c r="I28" s="32"/>
      <c r="J28" s="32"/>
      <c r="K28" s="32"/>
      <c r="L28" s="158"/>
      <c r="M28" s="159"/>
      <c r="N28" s="166"/>
      <c r="O28" s="8"/>
      <c r="T28" s="8" t="str">
        <f>IF(ISBLANK(C28),"",IF(ISNUMBER(C28),C28,IF(LEFT(C28,2)="NS","",IF(LEFT(C28,2)="No","",C28))))</f>
        <v/>
      </c>
      <c r="U28" s="9" t="str">
        <f t="shared" si="7"/>
        <v/>
      </c>
      <c r="V28" s="9" t="str">
        <f t="shared" si="7"/>
        <v/>
      </c>
      <c r="W28" s="9" t="str">
        <f t="shared" si="7"/>
        <v/>
      </c>
      <c r="X28" s="9" t="str">
        <f t="shared" si="7"/>
        <v/>
      </c>
      <c r="Y28" s="9" t="str">
        <f t="shared" si="7"/>
        <v/>
      </c>
      <c r="Z28" s="9" t="str">
        <f>IF(ISBLANK(I28),"",IF(ISNUMBER(I28),I28,IF(LEFT(I28,2)="NS",I$39,IF(LEFT(I28,1)="&lt;",VALUE(MID(I28,2,LEN(I28)-1)),IF(LEFT(I28,1)="&gt;",VALUE(MID(I28,2,LEN(I28)-1)),I28)))))</f>
        <v/>
      </c>
      <c r="AA28" s="9" t="str">
        <f t="shared" si="8"/>
        <v/>
      </c>
      <c r="AB28" s="9" t="str">
        <f t="shared" si="8"/>
        <v/>
      </c>
      <c r="AC28" s="9"/>
    </row>
    <row r="29" spans="1:29" ht="21.95" customHeight="1">
      <c r="A29" s="340"/>
      <c r="B29" s="148"/>
      <c r="C29" s="32"/>
      <c r="D29" s="32"/>
      <c r="E29" s="32"/>
      <c r="F29" s="32"/>
      <c r="G29" s="32"/>
      <c r="H29" s="32"/>
      <c r="I29" s="32"/>
      <c r="J29" s="32"/>
      <c r="K29" s="32"/>
      <c r="L29" s="158"/>
      <c r="M29" s="159"/>
      <c r="N29" s="166"/>
      <c r="O29" s="8"/>
      <c r="T29" s="8" t="str">
        <f>IF(ISBLANK(C29),"",IF(ISNUMBER(C29),C29,IF(LEFT(C29,2)="NS","",IF(LEFT(C29,2)="No","",C29))))</f>
        <v/>
      </c>
      <c r="U29" s="9" t="str">
        <f t="shared" si="7"/>
        <v/>
      </c>
      <c r="V29" s="9" t="str">
        <f t="shared" si="7"/>
        <v/>
      </c>
      <c r="W29" s="9" t="str">
        <f t="shared" si="7"/>
        <v/>
      </c>
      <c r="X29" s="9" t="str">
        <f t="shared" si="7"/>
        <v/>
      </c>
      <c r="Y29" s="9" t="str">
        <f t="shared" si="7"/>
        <v/>
      </c>
      <c r="Z29" s="9" t="str">
        <f>IF(ISBLANK(I29),"",IF(ISNUMBER(I29),I29,IF(LEFT(I29,2)="NS",I$39,IF(LEFT(I29,1)="&lt;",VALUE(MID(I29,2,LEN(I29)-1)),IF(LEFT(I29,1)="&gt;",VALUE(MID(I29,2,LEN(I29)-1)),I29)))))</f>
        <v/>
      </c>
      <c r="AA29" s="9" t="str">
        <f t="shared" si="8"/>
        <v/>
      </c>
      <c r="AB29" s="9" t="str">
        <f t="shared" si="8"/>
        <v/>
      </c>
      <c r="AC29" s="9"/>
    </row>
    <row r="30" spans="1:29" ht="21.95" customHeight="1">
      <c r="A30" s="280" t="s">
        <v>50</v>
      </c>
      <c r="B30" s="281"/>
      <c r="C30" s="149"/>
      <c r="D30" s="150" t="str">
        <f t="shared" ref="D30:K30" si="9">IF(ISBLANK(D29),"",IF(ISNUMBER(D29),GEOMEAN(U26:U29),IF(LEFT(D29,2)="NS",GEOMEAN(U26:U29),IF(LEFT(D29,2)="ND",GEOMEAN(U26:U29),"M"))))</f>
        <v/>
      </c>
      <c r="E30" s="150" t="str">
        <f t="shared" si="9"/>
        <v/>
      </c>
      <c r="F30" s="151" t="str">
        <f t="shared" si="9"/>
        <v/>
      </c>
      <c r="G30" s="152" t="str">
        <f t="shared" si="9"/>
        <v/>
      </c>
      <c r="H30" s="152" t="str">
        <f t="shared" si="9"/>
        <v/>
      </c>
      <c r="I30" s="150" t="str">
        <f>IF(ISBLANK(I29),"",IF(ISNUMBER(I29),GEOMEAN(Z26:Z29),IF(LEFT(I29,2)="NS",GEOMEAN(Z26:Z29),IF(LEFT(I29,2)="ND",GEOMEAN(Z26:Z29),IF(LEFT(I29,1)="&lt;",GEOMEAN(C26:Z29),IF(LEFT(I29,1)="&gt;",GEOMEAN(Z26:Z29),"M"))))))</f>
        <v/>
      </c>
      <c r="J30" s="152" t="str">
        <f t="shared" si="9"/>
        <v/>
      </c>
      <c r="K30" s="150" t="str">
        <f t="shared" si="9"/>
        <v/>
      </c>
      <c r="L30" s="158"/>
      <c r="M30" s="159"/>
      <c r="N30" s="166"/>
      <c r="O30" s="8"/>
      <c r="T30" s="9"/>
      <c r="U30" s="9"/>
      <c r="V30" s="9"/>
      <c r="W30" s="9"/>
      <c r="X30" s="9"/>
      <c r="Y30" s="9"/>
      <c r="Z30" s="9"/>
      <c r="AA30" s="9"/>
      <c r="AB30" s="9"/>
      <c r="AC30" s="9"/>
    </row>
    <row r="31" spans="1:29" ht="21.95" customHeight="1">
      <c r="A31" s="341"/>
      <c r="B31" s="153"/>
      <c r="C31" s="154"/>
      <c r="D31" s="154"/>
      <c r="E31" s="154"/>
      <c r="F31" s="154"/>
      <c r="G31" s="154"/>
      <c r="H31" s="154"/>
      <c r="I31" s="154"/>
      <c r="J31" s="154"/>
      <c r="K31" s="154"/>
      <c r="L31" s="158"/>
      <c r="M31" s="159"/>
      <c r="N31" s="166"/>
      <c r="O31" s="8"/>
      <c r="T31" s="8" t="str">
        <f>IF(ISBLANK(C31),"",IF(ISNUMBER(C31),C31,IF(LEFT(C31,2)="NS","",IF(LEFT(C31,2)="No","",C31))))</f>
        <v/>
      </c>
      <c r="U31" s="9" t="str">
        <f t="shared" ref="U31:Y34" si="10">IF(ISBLANK(D31),"",IF(ISNUMBER(D31),D31,IF(LEFT(D31,2)="NS",D$39,IF(LEFT(D31,3)="ND(",VALUE(MID(D31,4,LEN(D31)-4))/2,IF(LEFT(D31,3)="ND ",VALUE(MID(D31,5,LEN(D31)-5)/2),D31)))))</f>
        <v/>
      </c>
      <c r="V31" s="9" t="str">
        <f t="shared" si="10"/>
        <v/>
      </c>
      <c r="W31" s="9" t="str">
        <f t="shared" si="10"/>
        <v/>
      </c>
      <c r="X31" s="9" t="str">
        <f t="shared" si="10"/>
        <v/>
      </c>
      <c r="Y31" s="9" t="str">
        <f t="shared" si="10"/>
        <v/>
      </c>
      <c r="Z31" s="9" t="str">
        <f>IF(ISBLANK(I31),"",IF(ISNUMBER(I31),I31,IF(LEFT(I31,2)="NS",I$39,IF(LEFT(I31,1)="&lt;",VALUE(MID(I31,2,LEN(I31)-1)),IF(LEFT(I31,1)="&gt;",VALUE(MID(I31,2,LEN(I31)-1)),I31)))))</f>
        <v/>
      </c>
      <c r="AA31" s="9" t="str">
        <f t="shared" ref="AA31:AB34" si="11">IF(ISBLANK(J31),"",IF(ISNUMBER(J31),J31,IF(LEFT(J31,2)="NS",J$39,IF(LEFT(J31,3)="ND(",VALUE(MID(J31,4,LEN(J31)-4))/2,IF(LEFT(J31,3)="ND ",VALUE(MID(J31,5,LEN(J31)-5)/2),J31)))))</f>
        <v/>
      </c>
      <c r="AB31" s="9" t="str">
        <f t="shared" si="11"/>
        <v/>
      </c>
      <c r="AC31" s="9"/>
    </row>
    <row r="32" spans="1:29" ht="21.95" customHeight="1">
      <c r="A32" s="339"/>
      <c r="B32" s="148"/>
      <c r="C32" s="32"/>
      <c r="D32" s="32"/>
      <c r="E32" s="32"/>
      <c r="F32" s="32"/>
      <c r="G32" s="32"/>
      <c r="H32" s="32"/>
      <c r="I32" s="32"/>
      <c r="J32" s="32"/>
      <c r="K32" s="32"/>
      <c r="L32" s="158"/>
      <c r="M32" s="159"/>
      <c r="N32" s="166"/>
      <c r="O32" s="8"/>
      <c r="T32" s="8" t="str">
        <f>IF(ISBLANK(C32),"",IF(ISNUMBER(C32),C32,IF(LEFT(C32,2)="NS","",IF(LEFT(C32,2)="No","",C32))))</f>
        <v/>
      </c>
      <c r="U32" s="9" t="str">
        <f t="shared" si="10"/>
        <v/>
      </c>
      <c r="V32" s="9" t="str">
        <f t="shared" si="10"/>
        <v/>
      </c>
      <c r="W32" s="9" t="str">
        <f t="shared" si="10"/>
        <v/>
      </c>
      <c r="X32" s="9" t="str">
        <f t="shared" si="10"/>
        <v/>
      </c>
      <c r="Y32" s="9" t="str">
        <f t="shared" si="10"/>
        <v/>
      </c>
      <c r="Z32" s="9" t="str">
        <f>IF(ISBLANK(I32),"",IF(ISNUMBER(I32),I32,IF(LEFT(I32,2)="NS",I$39,IF(LEFT(I32,1)="&lt;",VALUE(MID(I32,2,LEN(I32)-1)),IF(LEFT(I32,1)="&gt;",VALUE(MID(I32,2,LEN(I32)-1)),I32)))))</f>
        <v/>
      </c>
      <c r="AA32" s="9" t="str">
        <f t="shared" si="11"/>
        <v/>
      </c>
      <c r="AB32" s="9" t="str">
        <f t="shared" si="11"/>
        <v/>
      </c>
      <c r="AC32" s="9"/>
    </row>
    <row r="33" spans="1:29" ht="21.95" customHeight="1">
      <c r="A33" s="339"/>
      <c r="B33" s="148"/>
      <c r="C33" s="32"/>
      <c r="D33" s="32"/>
      <c r="E33" s="32"/>
      <c r="F33" s="32"/>
      <c r="G33" s="32"/>
      <c r="H33" s="32"/>
      <c r="I33" s="32"/>
      <c r="J33" s="32"/>
      <c r="K33" s="32"/>
      <c r="L33" s="158"/>
      <c r="M33" s="159"/>
      <c r="N33" s="166"/>
      <c r="O33" s="8"/>
      <c r="T33" s="8" t="str">
        <f>IF(ISBLANK(C33),"",IF(ISNUMBER(C33),C33,IF(LEFT(C33,2)="NS","",IF(LEFT(C33,2)="No","",C33))))</f>
        <v/>
      </c>
      <c r="U33" s="9" t="str">
        <f t="shared" si="10"/>
        <v/>
      </c>
      <c r="V33" s="9" t="str">
        <f t="shared" si="10"/>
        <v/>
      </c>
      <c r="W33" s="9" t="str">
        <f t="shared" si="10"/>
        <v/>
      </c>
      <c r="X33" s="9" t="str">
        <f t="shared" si="10"/>
        <v/>
      </c>
      <c r="Y33" s="9" t="str">
        <f t="shared" si="10"/>
        <v/>
      </c>
      <c r="Z33" s="9" t="str">
        <f>IF(ISBLANK(I33),"",IF(ISNUMBER(I33),I33,IF(LEFT(I33,2)="NS",I$39,IF(LEFT(I33,1)="&lt;",VALUE(MID(I33,2,LEN(I33)-1)),IF(LEFT(I33,1)="&gt;",VALUE(MID(I33,2,LEN(I33)-1)),I33)))))</f>
        <v/>
      </c>
      <c r="AA33" s="9" t="str">
        <f t="shared" si="11"/>
        <v/>
      </c>
      <c r="AB33" s="9" t="str">
        <f t="shared" si="11"/>
        <v/>
      </c>
      <c r="AC33" s="9"/>
    </row>
    <row r="34" spans="1:29" ht="21.95" customHeight="1">
      <c r="A34" s="340"/>
      <c r="B34" s="148"/>
      <c r="C34" s="32"/>
      <c r="D34" s="32"/>
      <c r="E34" s="32"/>
      <c r="F34" s="32"/>
      <c r="G34" s="32"/>
      <c r="H34" s="32"/>
      <c r="I34" s="32"/>
      <c r="J34" s="32"/>
      <c r="K34" s="32"/>
      <c r="L34" s="158"/>
      <c r="M34" s="159"/>
      <c r="N34" s="166"/>
      <c r="O34" s="8"/>
      <c r="T34" s="8" t="str">
        <f>IF(ISBLANK(C34),"",IF(ISNUMBER(C34),C34,IF(LEFT(C34,2)="NS","",IF(LEFT(C34,2)="No","",C34))))</f>
        <v/>
      </c>
      <c r="U34" s="9" t="str">
        <f t="shared" si="10"/>
        <v/>
      </c>
      <c r="V34" s="9" t="str">
        <f t="shared" si="10"/>
        <v/>
      </c>
      <c r="W34" s="9" t="str">
        <f t="shared" si="10"/>
        <v/>
      </c>
      <c r="X34" s="9" t="str">
        <f t="shared" si="10"/>
        <v/>
      </c>
      <c r="Y34" s="9" t="str">
        <f t="shared" si="10"/>
        <v/>
      </c>
      <c r="Z34" s="9" t="str">
        <f>IF(ISBLANK(I34),"",IF(ISNUMBER(I34),I34,IF(LEFT(I34,2)="NS",I$39,IF(LEFT(I34,1)="&lt;",VALUE(MID(I34,2,LEN(I34)-1)),IF(LEFT(I34,1)="&gt;",VALUE(MID(I34,2,LEN(I34)-1)),I34)))))</f>
        <v/>
      </c>
      <c r="AA34" s="9" t="str">
        <f t="shared" si="11"/>
        <v/>
      </c>
      <c r="AB34" s="9" t="str">
        <f t="shared" si="11"/>
        <v/>
      </c>
      <c r="AC34" s="9"/>
    </row>
    <row r="35" spans="1:29" ht="21.95" customHeight="1" thickBot="1">
      <c r="A35" s="285" t="s">
        <v>50</v>
      </c>
      <c r="B35" s="286"/>
      <c r="C35" s="167"/>
      <c r="D35" s="168" t="str">
        <f t="shared" ref="D35:K35" si="12">IF(ISBLANK(D34),"",IF(ISNUMBER(D34),GEOMEAN(U31:U34),IF(LEFT(D34,2)="NS",GEOMEAN(U31:U34),IF(LEFT(D34,2)="ND",GEOMEAN(U31:U34),"M"))))</f>
        <v/>
      </c>
      <c r="E35" s="168" t="str">
        <f t="shared" si="12"/>
        <v/>
      </c>
      <c r="F35" s="169" t="str">
        <f t="shared" si="12"/>
        <v/>
      </c>
      <c r="G35" s="170" t="str">
        <f t="shared" si="12"/>
        <v/>
      </c>
      <c r="H35" s="170" t="str">
        <f t="shared" si="12"/>
        <v/>
      </c>
      <c r="I35" s="168" t="str">
        <f>IF(ISBLANK(I34),"",IF(ISNUMBER(I34),GEOMEAN(Z31:Z34),IF(LEFT(I34,2)="NS",GEOMEAN(Z31:Z34),IF(LEFT(I34,2)="ND",GEOMEAN(Z31:Z34),IF(LEFT(I34,1)="&lt;",GEOMEAN(C31:Z34),IF(LEFT(I34,1)="&gt;",GEOMEAN(Z31:Z34),"M"))))))</f>
        <v/>
      </c>
      <c r="J35" s="170" t="str">
        <f t="shared" si="12"/>
        <v/>
      </c>
      <c r="K35" s="155" t="str">
        <f t="shared" si="12"/>
        <v/>
      </c>
      <c r="L35" s="160"/>
      <c r="M35" s="161"/>
      <c r="N35" s="63"/>
      <c r="O35" s="9"/>
      <c r="T35" s="9"/>
      <c r="U35" s="9"/>
      <c r="V35" s="9"/>
      <c r="W35" s="9"/>
      <c r="X35" s="9"/>
      <c r="Y35" s="9"/>
      <c r="Z35" s="9"/>
      <c r="AA35" s="9"/>
      <c r="AB35" s="9"/>
      <c r="AC35" s="9"/>
    </row>
    <row r="36" spans="1:29" ht="21.95" customHeight="1" thickBot="1">
      <c r="A36" s="301" t="s">
        <v>8</v>
      </c>
      <c r="B36" s="302"/>
      <c r="C36" s="303"/>
      <c r="D36" s="171">
        <v>50</v>
      </c>
      <c r="E36" s="171">
        <v>10</v>
      </c>
      <c r="F36" s="171">
        <v>3.5999999999999997E-2</v>
      </c>
      <c r="G36" s="171">
        <v>0.06</v>
      </c>
      <c r="H36" s="171">
        <v>0.24</v>
      </c>
      <c r="I36" s="171">
        <v>406</v>
      </c>
      <c r="J36" s="171">
        <v>0.16</v>
      </c>
      <c r="K36" s="172"/>
      <c r="L36" s="173"/>
      <c r="M36" s="174"/>
      <c r="N36" s="164"/>
      <c r="T36" s="9"/>
      <c r="U36" s="9"/>
      <c r="V36" s="9"/>
      <c r="W36" s="9"/>
      <c r="X36" s="9"/>
      <c r="Y36" s="9"/>
      <c r="Z36" s="9"/>
      <c r="AA36" s="9"/>
      <c r="AB36" s="9"/>
      <c r="AC36" s="9"/>
    </row>
    <row r="37" spans="1:29" ht="17.25" customHeight="1">
      <c r="A37" s="233" t="s">
        <v>17</v>
      </c>
      <c r="B37" s="234"/>
      <c r="C37" s="234"/>
      <c r="D37" s="234"/>
      <c r="E37" s="234"/>
      <c r="F37" s="234"/>
      <c r="G37" s="234"/>
      <c r="H37" s="234"/>
      <c r="I37" s="234"/>
      <c r="J37" s="234"/>
      <c r="K37" s="234"/>
      <c r="L37" s="234"/>
      <c r="M37" s="234"/>
      <c r="N37" s="235"/>
    </row>
    <row r="38" spans="1:29">
      <c r="A38" s="330" t="s">
        <v>59</v>
      </c>
      <c r="B38" s="225"/>
      <c r="C38" s="332"/>
      <c r="D38" s="332"/>
      <c r="E38" s="225" t="s">
        <v>60</v>
      </c>
      <c r="F38" s="225"/>
      <c r="G38" s="332"/>
      <c r="H38" s="332"/>
      <c r="I38" s="332"/>
      <c r="J38" s="225" t="s">
        <v>61</v>
      </c>
      <c r="K38" s="236"/>
      <c r="L38" s="236"/>
      <c r="M38" s="236"/>
      <c r="N38" s="237"/>
    </row>
    <row r="39" spans="1:29" ht="12.75" customHeight="1">
      <c r="A39" s="331"/>
      <c r="B39" s="333"/>
      <c r="C39" s="333"/>
      <c r="D39" s="333"/>
      <c r="E39" s="227"/>
      <c r="F39" s="333"/>
      <c r="G39" s="333"/>
      <c r="H39" s="333"/>
      <c r="I39" s="333"/>
      <c r="J39" s="227"/>
      <c r="K39" s="238"/>
      <c r="L39" s="238"/>
      <c r="M39" s="238"/>
      <c r="N39" s="239"/>
    </row>
    <row r="40" spans="1:29" ht="21.95" customHeight="1">
      <c r="A40" s="4" t="s">
        <v>1</v>
      </c>
      <c r="B40" s="310"/>
      <c r="C40" s="311"/>
      <c r="D40" s="5" t="s">
        <v>2</v>
      </c>
      <c r="E40" s="240"/>
      <c r="F40" s="240"/>
      <c r="G40" s="240"/>
      <c r="H40" s="240"/>
      <c r="I40" s="240"/>
      <c r="J40" s="240"/>
      <c r="K40" s="240"/>
      <c r="L40" s="240"/>
      <c r="M40" s="240"/>
      <c r="N40" s="241"/>
    </row>
    <row r="41" spans="1:29" ht="12.75" customHeight="1">
      <c r="A41" s="242" t="s">
        <v>53</v>
      </c>
      <c r="B41" s="243"/>
      <c r="C41" s="243"/>
      <c r="D41" s="243"/>
      <c r="E41" s="243"/>
      <c r="F41" s="243"/>
      <c r="G41" s="243"/>
      <c r="H41" s="243"/>
      <c r="I41" s="243"/>
      <c r="J41" s="243"/>
      <c r="K41" s="243"/>
      <c r="L41" s="243"/>
      <c r="M41" s="243"/>
      <c r="N41" s="244"/>
    </row>
    <row r="42" spans="1:29" ht="12.75" customHeight="1">
      <c r="A42" s="245"/>
      <c r="B42" s="246"/>
      <c r="C42" s="246"/>
      <c r="D42" s="246"/>
      <c r="E42" s="246"/>
      <c r="F42" s="246"/>
      <c r="G42" s="246"/>
      <c r="H42" s="246"/>
      <c r="I42" s="246"/>
      <c r="J42" s="246"/>
      <c r="K42" s="246"/>
      <c r="L42" s="246"/>
      <c r="M42" s="246"/>
      <c r="N42" s="247"/>
    </row>
    <row r="43" spans="1:29" ht="12.75" customHeight="1">
      <c r="A43" s="245"/>
      <c r="B43" s="246"/>
      <c r="C43" s="246"/>
      <c r="D43" s="246"/>
      <c r="E43" s="246"/>
      <c r="F43" s="246"/>
      <c r="G43" s="246"/>
      <c r="H43" s="246"/>
      <c r="I43" s="246"/>
      <c r="J43" s="246"/>
      <c r="K43" s="246"/>
      <c r="L43" s="246"/>
      <c r="M43" s="246"/>
      <c r="N43" s="247"/>
    </row>
    <row r="44" spans="1:29" ht="18" customHeight="1">
      <c r="A44" s="248"/>
      <c r="B44" s="249"/>
      <c r="C44" s="249"/>
      <c r="D44" s="249"/>
      <c r="E44" s="249"/>
      <c r="F44" s="249"/>
      <c r="G44" s="249"/>
      <c r="H44" s="249"/>
      <c r="I44" s="249"/>
      <c r="J44" s="249"/>
      <c r="K44" s="249"/>
      <c r="L44" s="249"/>
      <c r="M44" s="249"/>
      <c r="N44" s="250"/>
    </row>
    <row r="45" spans="1:29" ht="12.75" customHeight="1">
      <c r="A45" s="330" t="s">
        <v>9</v>
      </c>
      <c r="B45" s="251"/>
      <c r="C45" s="251"/>
      <c r="D45" s="251"/>
      <c r="E45" s="251"/>
      <c r="F45" s="251"/>
      <c r="G45" s="251"/>
      <c r="H45" s="251"/>
      <c r="I45" s="251" t="s">
        <v>62</v>
      </c>
      <c r="J45" s="251"/>
      <c r="K45" s="251"/>
      <c r="L45" s="251"/>
      <c r="M45" s="251"/>
      <c r="N45" s="252"/>
    </row>
    <row r="46" spans="1:29">
      <c r="A46" s="334"/>
      <c r="B46" s="253"/>
      <c r="C46" s="253"/>
      <c r="D46" s="253"/>
      <c r="E46" s="253"/>
      <c r="F46" s="253"/>
      <c r="G46" s="253"/>
      <c r="H46" s="253"/>
      <c r="I46" s="253"/>
      <c r="J46" s="253"/>
      <c r="K46" s="253"/>
      <c r="L46" s="253"/>
      <c r="M46" s="253"/>
      <c r="N46" s="254"/>
    </row>
    <row r="47" spans="1:29" ht="7.5" customHeight="1" thickBot="1">
      <c r="A47" s="335"/>
      <c r="B47" s="255"/>
      <c r="C47" s="255"/>
      <c r="D47" s="255"/>
      <c r="E47" s="255"/>
      <c r="F47" s="255"/>
      <c r="G47" s="255"/>
      <c r="H47" s="255"/>
      <c r="I47" s="255"/>
      <c r="J47" s="255"/>
      <c r="K47" s="255"/>
      <c r="L47" s="255"/>
      <c r="M47" s="255"/>
      <c r="N47" s="256"/>
    </row>
    <row r="48" spans="1:29" ht="20.25" customHeight="1">
      <c r="A48" s="117" t="s">
        <v>55</v>
      </c>
      <c r="B48" s="117"/>
      <c r="C48" s="117"/>
      <c r="D48" s="117"/>
      <c r="E48" s="117"/>
      <c r="F48" s="117"/>
      <c r="G48" s="117"/>
      <c r="H48" s="117"/>
      <c r="I48" s="117"/>
      <c r="J48" s="117"/>
      <c r="K48" s="117"/>
      <c r="L48" s="121" t="s">
        <v>56</v>
      </c>
      <c r="M48" s="120" t="s">
        <v>101</v>
      </c>
    </row>
    <row r="49" spans="1:22" ht="21.95" customHeight="1">
      <c r="A49" s="76"/>
      <c r="B49" s="77"/>
      <c r="C49" s="77"/>
      <c r="D49" s="77"/>
      <c r="E49" s="77"/>
      <c r="F49" s="78"/>
      <c r="G49" s="78"/>
      <c r="H49" s="78"/>
      <c r="I49" s="78"/>
      <c r="J49" s="78"/>
      <c r="K49" s="78"/>
      <c r="L49" s="78"/>
      <c r="M49" s="54"/>
      <c r="Q49" s="8"/>
      <c r="R49" s="8"/>
      <c r="S49" s="8"/>
      <c r="T49" s="8"/>
      <c r="U49" s="8"/>
      <c r="V49" s="8"/>
    </row>
    <row r="50" spans="1:22" ht="51.75" customHeight="1" thickBot="1">
      <c r="A50" s="76"/>
      <c r="B50" s="77"/>
      <c r="C50" s="77"/>
      <c r="D50" s="77"/>
      <c r="E50" s="77"/>
      <c r="F50" s="78"/>
      <c r="G50" s="78"/>
      <c r="H50" s="78"/>
      <c r="I50" s="78"/>
      <c r="J50" s="78"/>
      <c r="K50" s="78"/>
      <c r="L50" s="78"/>
      <c r="M50" s="54"/>
      <c r="Q50" s="8"/>
      <c r="R50" s="8"/>
      <c r="S50" s="8"/>
      <c r="T50" s="8"/>
      <c r="U50" s="8"/>
      <c r="V50" s="8"/>
    </row>
    <row r="51" spans="1:22" ht="24" thickBot="1">
      <c r="A51" s="261" t="s">
        <v>28</v>
      </c>
      <c r="B51" s="262"/>
      <c r="C51" s="262"/>
      <c r="D51" s="262"/>
      <c r="E51" s="262"/>
      <c r="F51" s="262"/>
      <c r="G51" s="262"/>
      <c r="H51" s="262"/>
      <c r="I51" s="262"/>
      <c r="J51" s="262"/>
      <c r="K51" s="262"/>
      <c r="L51" s="262"/>
      <c r="M51" s="263"/>
      <c r="Q51" s="8"/>
      <c r="R51" s="8"/>
      <c r="S51" s="8"/>
      <c r="T51" s="8"/>
      <c r="U51" s="8"/>
      <c r="V51" s="8"/>
    </row>
    <row r="52" spans="1:22" ht="23.25">
      <c r="A52" s="68"/>
      <c r="B52" s="90"/>
      <c r="C52" s="267" t="s">
        <v>51</v>
      </c>
      <c r="D52" s="268"/>
      <c r="E52" s="269"/>
      <c r="F52" s="91"/>
      <c r="G52" s="282" t="s">
        <v>52</v>
      </c>
      <c r="H52" s="283"/>
      <c r="I52" s="283"/>
      <c r="J52" s="284"/>
      <c r="K52" s="79"/>
      <c r="L52" s="79"/>
      <c r="M52" s="81"/>
      <c r="Q52" s="8"/>
      <c r="R52" s="8"/>
      <c r="S52" s="8"/>
      <c r="T52" s="8"/>
      <c r="U52" s="8"/>
      <c r="V52" s="8"/>
    </row>
    <row r="53" spans="1:22" ht="31.5" customHeight="1">
      <c r="A53" s="87"/>
      <c r="B53" s="88"/>
      <c r="C53" s="304" t="s">
        <v>39</v>
      </c>
      <c r="D53" s="304"/>
      <c r="E53" s="305"/>
      <c r="F53" s="89"/>
      <c r="G53" s="306" t="s">
        <v>40</v>
      </c>
      <c r="H53" s="307"/>
      <c r="I53" s="308" t="s">
        <v>41</v>
      </c>
      <c r="J53" s="309"/>
      <c r="K53" s="258" t="s">
        <v>54</v>
      </c>
      <c r="L53" s="259"/>
      <c r="M53" s="260"/>
      <c r="Q53" s="8"/>
      <c r="R53" s="8"/>
      <c r="S53" s="8"/>
      <c r="T53" s="8"/>
      <c r="U53" s="8"/>
      <c r="V53" s="8"/>
    </row>
    <row r="54" spans="1:22" ht="29.25" customHeight="1">
      <c r="A54" s="312" t="s">
        <v>22</v>
      </c>
      <c r="B54" s="275" t="s">
        <v>6</v>
      </c>
      <c r="C54" s="53" t="s">
        <v>25</v>
      </c>
      <c r="D54" s="53" t="s">
        <v>27</v>
      </c>
      <c r="E54" s="53" t="s">
        <v>26</v>
      </c>
      <c r="F54" s="78"/>
      <c r="G54" s="257" t="s">
        <v>24</v>
      </c>
      <c r="H54" s="257"/>
      <c r="I54" s="257" t="s">
        <v>45</v>
      </c>
      <c r="J54" s="257"/>
      <c r="K54" s="258"/>
      <c r="L54" s="259"/>
      <c r="M54" s="260"/>
      <c r="Q54" s="8"/>
      <c r="R54" s="8"/>
      <c r="S54" s="8"/>
      <c r="T54" s="8"/>
      <c r="U54" s="8"/>
      <c r="V54" s="8"/>
    </row>
    <row r="55" spans="1:22" ht="5.25" customHeight="1">
      <c r="A55" s="313"/>
      <c r="B55" s="315"/>
      <c r="C55" s="214" t="s">
        <v>13</v>
      </c>
      <c r="D55" s="214" t="s">
        <v>13</v>
      </c>
      <c r="E55" s="214" t="s">
        <v>13</v>
      </c>
      <c r="F55" s="80"/>
      <c r="G55" s="229" t="s">
        <v>13</v>
      </c>
      <c r="H55" s="229"/>
      <c r="I55" s="229" t="s">
        <v>13</v>
      </c>
      <c r="J55" s="229"/>
      <c r="K55" s="258"/>
      <c r="L55" s="259"/>
      <c r="M55" s="260"/>
      <c r="Q55" s="8"/>
      <c r="R55" s="8"/>
      <c r="S55" s="8"/>
      <c r="T55" s="8"/>
      <c r="U55" s="8"/>
      <c r="V55" s="8"/>
    </row>
    <row r="56" spans="1:22" ht="35.25" customHeight="1" thickBot="1">
      <c r="A56" s="314"/>
      <c r="B56" s="316"/>
      <c r="C56" s="215"/>
      <c r="D56" s="215"/>
      <c r="E56" s="215"/>
      <c r="F56" s="86"/>
      <c r="G56" s="230"/>
      <c r="H56" s="230"/>
      <c r="I56" s="230"/>
      <c r="J56" s="230"/>
      <c r="K56" s="258"/>
      <c r="L56" s="259"/>
      <c r="M56" s="260"/>
      <c r="Q56" s="8"/>
      <c r="R56" s="8"/>
      <c r="S56" s="8"/>
      <c r="T56" s="8"/>
      <c r="U56" s="8"/>
      <c r="V56" s="8"/>
    </row>
    <row r="57" spans="1:22" ht="21.95" customHeight="1" thickTop="1">
      <c r="A57" s="317"/>
      <c r="B57" s="65"/>
      <c r="C57" s="65"/>
      <c r="D57" s="65"/>
      <c r="E57" s="65"/>
      <c r="F57" s="83"/>
      <c r="G57" s="231"/>
      <c r="H57" s="231"/>
      <c r="I57" s="231"/>
      <c r="J57" s="231"/>
      <c r="K57" s="258"/>
      <c r="L57" s="259"/>
      <c r="M57" s="260"/>
      <c r="Q57" s="8"/>
      <c r="R57" s="8"/>
      <c r="S57" s="8"/>
      <c r="T57" s="8"/>
      <c r="U57" s="8"/>
      <c r="V57" s="8"/>
    </row>
    <row r="58" spans="1:22" ht="21.95" customHeight="1">
      <c r="A58" s="318"/>
      <c r="B58" s="66"/>
      <c r="C58" s="66"/>
      <c r="D58" s="66"/>
      <c r="E58" s="66"/>
      <c r="F58" s="83"/>
      <c r="G58" s="232"/>
      <c r="H58" s="232"/>
      <c r="I58" s="232"/>
      <c r="J58" s="232"/>
      <c r="K58" s="258"/>
      <c r="L58" s="259"/>
      <c r="M58" s="260"/>
      <c r="Q58" s="8"/>
      <c r="R58" s="8"/>
      <c r="S58" s="8"/>
      <c r="T58" s="8"/>
      <c r="U58" s="8"/>
      <c r="V58" s="8"/>
    </row>
    <row r="59" spans="1:22" ht="21.95" customHeight="1">
      <c r="A59" s="318"/>
      <c r="B59" s="66"/>
      <c r="C59" s="66"/>
      <c r="D59" s="66"/>
      <c r="E59" s="66"/>
      <c r="F59" s="83"/>
      <c r="G59" s="232"/>
      <c r="H59" s="232"/>
      <c r="I59" s="232"/>
      <c r="J59" s="232"/>
      <c r="K59" s="111"/>
      <c r="L59" s="112"/>
      <c r="M59" s="113"/>
      <c r="Q59" s="8"/>
      <c r="R59" s="8"/>
      <c r="S59" s="8"/>
      <c r="T59" s="8"/>
      <c r="U59" s="8"/>
      <c r="V59" s="8"/>
    </row>
    <row r="60" spans="1:22" ht="21.95" customHeight="1">
      <c r="A60" s="318"/>
      <c r="B60" s="66"/>
      <c r="C60" s="67"/>
      <c r="D60" s="66"/>
      <c r="E60" s="66"/>
      <c r="F60" s="84"/>
      <c r="G60" s="232"/>
      <c r="H60" s="232"/>
      <c r="I60" s="232"/>
      <c r="J60" s="232"/>
      <c r="K60" s="111"/>
      <c r="L60" s="112"/>
      <c r="M60" s="113"/>
      <c r="Q60" s="8"/>
      <c r="R60" s="8"/>
      <c r="S60" s="8"/>
      <c r="T60" s="8"/>
      <c r="U60" s="8"/>
      <c r="V60" s="8"/>
    </row>
    <row r="61" spans="1:22" ht="21.95" customHeight="1">
      <c r="A61" s="291"/>
      <c r="B61" s="66"/>
      <c r="C61" s="67"/>
      <c r="D61" s="66"/>
      <c r="E61" s="66"/>
      <c r="F61" s="83"/>
      <c r="G61" s="232"/>
      <c r="H61" s="232"/>
      <c r="I61" s="232"/>
      <c r="J61" s="232"/>
      <c r="K61" s="111"/>
      <c r="L61" s="112"/>
      <c r="M61" s="113"/>
      <c r="Q61" s="8"/>
      <c r="R61" s="8"/>
      <c r="S61" s="8"/>
      <c r="T61" s="8"/>
      <c r="U61" s="8"/>
      <c r="V61" s="8"/>
    </row>
    <row r="62" spans="1:22" ht="21.95" customHeight="1">
      <c r="A62" s="292"/>
      <c r="B62" s="66"/>
      <c r="C62" s="67"/>
      <c r="D62" s="67"/>
      <c r="E62" s="66"/>
      <c r="F62" s="83"/>
      <c r="G62" s="232"/>
      <c r="H62" s="232"/>
      <c r="I62" s="232"/>
      <c r="J62" s="232"/>
      <c r="K62" s="111"/>
      <c r="L62" s="112"/>
      <c r="M62" s="113"/>
      <c r="Q62" s="8"/>
      <c r="R62" s="8"/>
      <c r="S62" s="8"/>
      <c r="T62" s="8"/>
      <c r="U62" s="8"/>
      <c r="V62" s="8"/>
    </row>
    <row r="63" spans="1:22" ht="21.95" customHeight="1">
      <c r="A63" s="292"/>
      <c r="B63" s="66"/>
      <c r="C63" s="67"/>
      <c r="D63" s="66"/>
      <c r="E63" s="66"/>
      <c r="F63" s="83"/>
      <c r="G63" s="232"/>
      <c r="H63" s="232"/>
      <c r="I63" s="232"/>
      <c r="J63" s="232"/>
      <c r="K63" s="111"/>
      <c r="L63" s="112"/>
      <c r="M63" s="113"/>
      <c r="Q63" s="8"/>
      <c r="R63" s="8"/>
      <c r="S63" s="8"/>
      <c r="T63" s="8"/>
      <c r="U63" s="8"/>
      <c r="V63" s="8"/>
    </row>
    <row r="64" spans="1:22" ht="21.95" customHeight="1">
      <c r="A64" s="293"/>
      <c r="B64" s="66"/>
      <c r="C64" s="67"/>
      <c r="D64" s="66"/>
      <c r="E64" s="66"/>
      <c r="F64" s="84"/>
      <c r="G64" s="232"/>
      <c r="H64" s="232"/>
      <c r="I64" s="232"/>
      <c r="J64" s="232"/>
      <c r="K64" s="111"/>
      <c r="L64" s="112"/>
      <c r="M64" s="113"/>
      <c r="Q64" s="8"/>
      <c r="R64" s="8"/>
      <c r="S64" s="8"/>
      <c r="T64" s="8"/>
      <c r="U64" s="8"/>
      <c r="V64" s="8"/>
    </row>
    <row r="65" spans="1:22" ht="21.95" customHeight="1">
      <c r="A65" s="291"/>
      <c r="B65" s="66"/>
      <c r="C65" s="66"/>
      <c r="D65" s="66"/>
      <c r="E65" s="66"/>
      <c r="F65" s="83"/>
      <c r="G65" s="232"/>
      <c r="H65" s="232"/>
      <c r="I65" s="232"/>
      <c r="J65" s="232"/>
      <c r="K65" s="111"/>
      <c r="L65" s="112"/>
      <c r="M65" s="113"/>
      <c r="Q65" s="8"/>
      <c r="R65" s="8"/>
      <c r="S65" s="8"/>
      <c r="T65" s="8"/>
      <c r="U65" s="8"/>
      <c r="V65" s="8"/>
    </row>
    <row r="66" spans="1:22" ht="21.95" customHeight="1">
      <c r="A66" s="292"/>
      <c r="B66" s="66"/>
      <c r="C66" s="66"/>
      <c r="D66" s="66"/>
      <c r="E66" s="66"/>
      <c r="F66" s="83"/>
      <c r="G66" s="228"/>
      <c r="H66" s="228"/>
      <c r="I66" s="228"/>
      <c r="J66" s="228"/>
      <c r="K66" s="80"/>
      <c r="L66" s="78"/>
      <c r="M66" s="92"/>
      <c r="Q66" s="8"/>
      <c r="R66" s="8"/>
      <c r="S66" s="8"/>
      <c r="T66" s="8"/>
      <c r="U66" s="8"/>
      <c r="V66" s="8"/>
    </row>
    <row r="67" spans="1:22" ht="21.95" customHeight="1">
      <c r="A67" s="292"/>
      <c r="B67" s="66"/>
      <c r="C67" s="66"/>
      <c r="D67" s="66"/>
      <c r="E67" s="66"/>
      <c r="F67" s="83"/>
      <c r="G67" s="228"/>
      <c r="H67" s="228"/>
      <c r="I67" s="228"/>
      <c r="J67" s="228"/>
      <c r="K67" s="78"/>
      <c r="L67" s="78"/>
      <c r="M67" s="23"/>
      <c r="Q67" s="8"/>
      <c r="R67" s="8"/>
      <c r="S67" s="8"/>
      <c r="T67" s="8"/>
      <c r="U67" s="8"/>
      <c r="V67" s="8"/>
    </row>
    <row r="68" spans="1:22" ht="21.95" customHeight="1">
      <c r="A68" s="293"/>
      <c r="B68" s="66"/>
      <c r="C68" s="66"/>
      <c r="D68" s="66"/>
      <c r="E68" s="66"/>
      <c r="F68" s="84"/>
      <c r="G68" s="228"/>
      <c r="H68" s="228"/>
      <c r="I68" s="228"/>
      <c r="J68" s="228"/>
      <c r="K68" s="78"/>
      <c r="L68" s="78"/>
      <c r="M68" s="23"/>
      <c r="Q68" s="8"/>
      <c r="R68" s="8"/>
      <c r="S68" s="8"/>
      <c r="T68" s="8"/>
      <c r="U68" s="8"/>
      <c r="V68" s="8"/>
    </row>
    <row r="69" spans="1:22" ht="21.95" customHeight="1">
      <c r="A69" s="291"/>
      <c r="B69" s="66"/>
      <c r="C69" s="66"/>
      <c r="D69" s="66"/>
      <c r="E69" s="66"/>
      <c r="F69" s="83"/>
      <c r="G69" s="228"/>
      <c r="H69" s="228"/>
      <c r="I69" s="228"/>
      <c r="J69" s="228"/>
      <c r="K69" s="78"/>
      <c r="L69" s="78"/>
      <c r="M69" s="23"/>
      <c r="Q69" s="8"/>
      <c r="R69" s="8"/>
      <c r="S69" s="8"/>
      <c r="T69" s="8"/>
      <c r="U69" s="8"/>
      <c r="V69" s="8"/>
    </row>
    <row r="70" spans="1:22" ht="21.95" customHeight="1">
      <c r="A70" s="292"/>
      <c r="B70" s="66"/>
      <c r="C70" s="66"/>
      <c r="D70" s="66"/>
      <c r="E70" s="66"/>
      <c r="F70" s="83"/>
      <c r="G70" s="228"/>
      <c r="H70" s="228"/>
      <c r="I70" s="228"/>
      <c r="J70" s="228"/>
      <c r="K70" s="78"/>
      <c r="L70" s="78"/>
      <c r="M70" s="23"/>
      <c r="Q70" s="8"/>
      <c r="R70" s="8"/>
      <c r="S70" s="8"/>
      <c r="T70" s="8"/>
      <c r="U70" s="8"/>
      <c r="V70" s="8"/>
    </row>
    <row r="71" spans="1:22" ht="21.95" customHeight="1">
      <c r="A71" s="292"/>
      <c r="B71" s="66"/>
      <c r="C71" s="66"/>
      <c r="D71" s="66"/>
      <c r="E71" s="66"/>
      <c r="F71" s="83"/>
      <c r="G71" s="228"/>
      <c r="H71" s="228"/>
      <c r="I71" s="228"/>
      <c r="J71" s="228"/>
      <c r="K71" s="78"/>
      <c r="L71" s="78"/>
      <c r="M71" s="23"/>
      <c r="Q71" s="8"/>
      <c r="R71" s="8"/>
      <c r="S71" s="8"/>
      <c r="T71" s="8"/>
      <c r="U71" s="8"/>
      <c r="V71" s="8"/>
    </row>
    <row r="72" spans="1:22" ht="21.95" customHeight="1">
      <c r="A72" s="293"/>
      <c r="B72" s="66"/>
      <c r="C72" s="66"/>
      <c r="D72" s="66"/>
      <c r="E72" s="66"/>
      <c r="F72" s="84"/>
      <c r="G72" s="228"/>
      <c r="H72" s="228"/>
      <c r="I72" s="228"/>
      <c r="J72" s="228"/>
      <c r="K72" s="78"/>
      <c r="L72" s="78"/>
      <c r="M72" s="23"/>
      <c r="Q72" s="8"/>
      <c r="R72" s="8"/>
      <c r="S72" s="8"/>
      <c r="T72" s="8"/>
      <c r="U72" s="8"/>
      <c r="V72" s="8"/>
    </row>
    <row r="73" spans="1:22" ht="48" customHeight="1" thickBot="1">
      <c r="A73" s="294" t="s">
        <v>42</v>
      </c>
      <c r="B73" s="295"/>
      <c r="C73" s="296" t="s">
        <v>43</v>
      </c>
      <c r="D73" s="297"/>
      <c r="E73" s="298"/>
      <c r="F73" s="85"/>
      <c r="G73" s="290">
        <v>2.3999999999999998E-3</v>
      </c>
      <c r="H73" s="290"/>
      <c r="I73" s="299">
        <v>2E-3</v>
      </c>
      <c r="J73" s="300"/>
      <c r="K73" s="82"/>
      <c r="L73" s="82"/>
      <c r="M73" s="24"/>
      <c r="Q73" s="8"/>
      <c r="R73" s="8"/>
      <c r="S73" s="8"/>
      <c r="T73" s="8"/>
      <c r="U73" s="8"/>
      <c r="V73" s="8"/>
    </row>
    <row r="74" spans="1:22" ht="21.95" customHeight="1" thickBot="1">
      <c r="A74" s="76"/>
      <c r="B74" s="77"/>
      <c r="C74" s="77"/>
      <c r="D74" s="77"/>
      <c r="E74" s="77"/>
      <c r="F74" s="181"/>
      <c r="G74" s="78"/>
      <c r="H74" s="78"/>
      <c r="I74" s="78"/>
      <c r="J74" s="78"/>
      <c r="K74" s="181"/>
      <c r="L74" s="78"/>
      <c r="M74" s="54"/>
      <c r="Q74" s="8"/>
      <c r="R74" s="8"/>
      <c r="S74" s="8"/>
      <c r="T74" s="8"/>
      <c r="U74" s="8"/>
      <c r="V74" s="8"/>
    </row>
    <row r="75" spans="1:22" ht="68.25" customHeight="1">
      <c r="A75" s="322" t="s">
        <v>89</v>
      </c>
      <c r="B75" s="323"/>
      <c r="C75" s="323"/>
      <c r="D75" s="323"/>
      <c r="E75" s="323"/>
      <c r="F75" s="323"/>
      <c r="G75" s="324"/>
      <c r="H75" s="346" t="s">
        <v>90</v>
      </c>
      <c r="I75" s="347"/>
      <c r="J75" s="347"/>
      <c r="K75" s="347"/>
      <c r="L75" s="347"/>
      <c r="M75" s="348"/>
      <c r="N75" s="185"/>
      <c r="O75" s="185"/>
      <c r="P75" s="186"/>
      <c r="Q75" s="6"/>
      <c r="R75" s="6"/>
    </row>
    <row r="76" spans="1:22" ht="18.75" customHeight="1">
      <c r="A76" s="182"/>
      <c r="B76" s="183" t="s">
        <v>91</v>
      </c>
      <c r="C76" s="176"/>
      <c r="D76" s="183"/>
      <c r="E76" s="183"/>
      <c r="F76" s="176"/>
      <c r="G76" s="179"/>
      <c r="H76" s="175"/>
      <c r="I76" s="325" t="s">
        <v>92</v>
      </c>
      <c r="J76" s="325"/>
      <c r="K76" s="325"/>
      <c r="L76" s="326"/>
      <c r="M76" s="327"/>
      <c r="N76" s="176"/>
      <c r="O76" s="176"/>
      <c r="P76" s="59"/>
    </row>
    <row r="77" spans="1:22" ht="18.75">
      <c r="A77" s="182"/>
      <c r="B77" s="325" t="s">
        <v>93</v>
      </c>
      <c r="C77" s="325"/>
      <c r="D77" s="183"/>
      <c r="E77" s="183"/>
      <c r="F77" s="176"/>
      <c r="G77" s="179"/>
      <c r="H77" s="175"/>
      <c r="I77" s="325" t="s">
        <v>94</v>
      </c>
      <c r="J77" s="325"/>
      <c r="K77" s="176"/>
      <c r="L77" s="326"/>
      <c r="M77" s="327"/>
      <c r="N77" s="176"/>
      <c r="O77" s="176"/>
      <c r="P77" s="59"/>
    </row>
    <row r="78" spans="1:22" ht="18.75">
      <c r="A78" s="182"/>
      <c r="B78" s="325" t="s">
        <v>95</v>
      </c>
      <c r="C78" s="325"/>
      <c r="D78" s="325"/>
      <c r="E78" s="183"/>
      <c r="F78" s="176"/>
      <c r="G78" s="179"/>
      <c r="H78" s="175"/>
      <c r="I78" s="325" t="s">
        <v>96</v>
      </c>
      <c r="J78" s="325"/>
      <c r="K78" s="325"/>
      <c r="L78" s="326"/>
      <c r="M78" s="327"/>
      <c r="N78" s="176"/>
      <c r="O78" s="176"/>
      <c r="P78" s="59"/>
    </row>
    <row r="79" spans="1:22" ht="18.75">
      <c r="A79" s="182"/>
      <c r="B79" s="325" t="s">
        <v>97</v>
      </c>
      <c r="C79" s="325"/>
      <c r="D79" s="183"/>
      <c r="E79" s="183"/>
      <c r="F79" s="176"/>
      <c r="G79" s="179"/>
      <c r="H79" s="175"/>
      <c r="I79" s="325" t="s">
        <v>98</v>
      </c>
      <c r="J79" s="325"/>
      <c r="K79" s="176"/>
      <c r="L79" s="326"/>
      <c r="M79" s="327"/>
      <c r="N79" s="176"/>
      <c r="O79" s="176"/>
      <c r="P79" s="59"/>
    </row>
    <row r="80" spans="1:22" ht="19.5" thickBot="1">
      <c r="A80" s="184"/>
      <c r="B80" s="343" t="s">
        <v>99</v>
      </c>
      <c r="C80" s="343"/>
      <c r="D80" s="178"/>
      <c r="E80" s="178"/>
      <c r="F80" s="178"/>
      <c r="G80" s="180"/>
      <c r="H80" s="177"/>
      <c r="I80" s="178"/>
      <c r="J80" s="178"/>
      <c r="K80" s="178"/>
      <c r="L80" s="344"/>
      <c r="M80" s="345"/>
      <c r="N80" s="176"/>
      <c r="O80" s="176"/>
      <c r="P80" s="59"/>
    </row>
    <row r="81" spans="1:16">
      <c r="A81" s="176"/>
      <c r="B81" s="176"/>
      <c r="C81" s="176"/>
      <c r="D81" s="176"/>
      <c r="E81" s="176"/>
      <c r="F81" s="176"/>
      <c r="G81" s="176"/>
      <c r="H81" s="176"/>
      <c r="I81" s="176"/>
      <c r="J81" s="176"/>
      <c r="K81" s="176"/>
      <c r="L81" s="176"/>
      <c r="M81" s="176"/>
      <c r="N81" s="59"/>
      <c r="O81" s="59"/>
      <c r="P81" s="59"/>
    </row>
    <row r="82" spans="1:16">
      <c r="A82" s="122" t="s">
        <v>57</v>
      </c>
      <c r="B82" s="123"/>
      <c r="C82" s="123"/>
      <c r="D82" s="123"/>
      <c r="E82" s="123"/>
      <c r="F82" s="123"/>
      <c r="G82" s="123"/>
      <c r="H82" s="123"/>
      <c r="I82" s="123"/>
      <c r="J82" s="123"/>
      <c r="K82" s="123"/>
      <c r="L82" s="124" t="str">
        <f>L48</f>
        <v>Last updated 1/23/2013</v>
      </c>
      <c r="M82" s="124" t="str">
        <f>M48</f>
        <v>08-WQ-032</v>
      </c>
    </row>
    <row r="83" spans="1:16" ht="27.75" customHeight="1">
      <c r="A83" s="176"/>
      <c r="B83" s="176"/>
      <c r="C83" s="176"/>
      <c r="D83" s="176"/>
      <c r="E83" s="176"/>
      <c r="F83" s="176"/>
      <c r="G83" s="176"/>
      <c r="H83" s="176"/>
      <c r="I83" s="176"/>
      <c r="J83" s="176"/>
      <c r="K83" s="176"/>
      <c r="L83" s="176"/>
      <c r="M83" s="176"/>
    </row>
    <row r="84" spans="1:16" ht="59.25" customHeight="1">
      <c r="A84" s="176"/>
      <c r="B84" s="176"/>
      <c r="C84" s="176"/>
      <c r="D84" s="176"/>
      <c r="E84" s="176"/>
      <c r="F84" s="176"/>
      <c r="G84" s="176"/>
      <c r="H84" s="176"/>
      <c r="I84" s="176"/>
      <c r="J84" s="176"/>
      <c r="K84" s="176"/>
      <c r="L84" s="176"/>
      <c r="M84" s="176"/>
    </row>
    <row r="85" spans="1:16" ht="21.75" customHeight="1"/>
  </sheetData>
  <mergeCells count="132">
    <mergeCell ref="A20:B20"/>
    <mergeCell ref="B78:D78"/>
    <mergeCell ref="I78:K78"/>
    <mergeCell ref="L78:M78"/>
    <mergeCell ref="B79:C79"/>
    <mergeCell ref="I79:J79"/>
    <mergeCell ref="L79:M79"/>
    <mergeCell ref="B80:C80"/>
    <mergeCell ref="L80:M80"/>
    <mergeCell ref="H75:M75"/>
    <mergeCell ref="A57:A60"/>
    <mergeCell ref="A1:N1"/>
    <mergeCell ref="A75:G75"/>
    <mergeCell ref="I76:K76"/>
    <mergeCell ref="L76:M76"/>
    <mergeCell ref="B77:C77"/>
    <mergeCell ref="I77:J77"/>
    <mergeCell ref="L77:M77"/>
    <mergeCell ref="L2:L3"/>
    <mergeCell ref="A38:A39"/>
    <mergeCell ref="B38:D39"/>
    <mergeCell ref="E38:E39"/>
    <mergeCell ref="F38:I39"/>
    <mergeCell ref="J38:J39"/>
    <mergeCell ref="A45:A47"/>
    <mergeCell ref="B45:H47"/>
    <mergeCell ref="I45:I47"/>
    <mergeCell ref="K2:K3"/>
    <mergeCell ref="A16:A19"/>
    <mergeCell ref="A21:A24"/>
    <mergeCell ref="A26:A29"/>
    <mergeCell ref="G60:H60"/>
    <mergeCell ref="G61:H61"/>
    <mergeCell ref="A31:A34"/>
    <mergeCell ref="A36:C36"/>
    <mergeCell ref="C53:E53"/>
    <mergeCell ref="G53:H53"/>
    <mergeCell ref="I53:J53"/>
    <mergeCell ref="B40:C40"/>
    <mergeCell ref="A54:A56"/>
    <mergeCell ref="B54:B56"/>
    <mergeCell ref="C55:C56"/>
    <mergeCell ref="D55:D56"/>
    <mergeCell ref="E55:E56"/>
    <mergeCell ref="G72:H72"/>
    <mergeCell ref="G73:H73"/>
    <mergeCell ref="A69:A72"/>
    <mergeCell ref="A73:B73"/>
    <mergeCell ref="C73:E73"/>
    <mergeCell ref="I62:J62"/>
    <mergeCell ref="I63:J63"/>
    <mergeCell ref="G65:H65"/>
    <mergeCell ref="G66:H66"/>
    <mergeCell ref="I73:J73"/>
    <mergeCell ref="I65:J65"/>
    <mergeCell ref="I66:J66"/>
    <mergeCell ref="I67:J67"/>
    <mergeCell ref="I68:J68"/>
    <mergeCell ref="I69:J69"/>
    <mergeCell ref="I70:J70"/>
    <mergeCell ref="I71:J71"/>
    <mergeCell ref="I72:J72"/>
    <mergeCell ref="G67:H67"/>
    <mergeCell ref="A61:A64"/>
    <mergeCell ref="A65:A68"/>
    <mergeCell ref="G62:H62"/>
    <mergeCell ref="G63:H63"/>
    <mergeCell ref="G64:H64"/>
    <mergeCell ref="C2:E3"/>
    <mergeCell ref="C4:E5"/>
    <mergeCell ref="A37:N37"/>
    <mergeCell ref="K38:N39"/>
    <mergeCell ref="E40:N40"/>
    <mergeCell ref="A41:N44"/>
    <mergeCell ref="J45:N47"/>
    <mergeCell ref="G54:H54"/>
    <mergeCell ref="K53:M58"/>
    <mergeCell ref="A51:M51"/>
    <mergeCell ref="I2:J3"/>
    <mergeCell ref="C52:E52"/>
    <mergeCell ref="A2:B3"/>
    <mergeCell ref="F2:H3"/>
    <mergeCell ref="B13:B15"/>
    <mergeCell ref="A13:A15"/>
    <mergeCell ref="A30:B30"/>
    <mergeCell ref="A25:B25"/>
    <mergeCell ref="G52:J52"/>
    <mergeCell ref="A35:B35"/>
    <mergeCell ref="F14:F15"/>
    <mergeCell ref="F8:H9"/>
    <mergeCell ref="K14:K15"/>
    <mergeCell ref="A4:B5"/>
    <mergeCell ref="G69:H69"/>
    <mergeCell ref="G70:H70"/>
    <mergeCell ref="G71:H71"/>
    <mergeCell ref="G68:H68"/>
    <mergeCell ref="G55:H56"/>
    <mergeCell ref="G57:H57"/>
    <mergeCell ref="G58:H58"/>
    <mergeCell ref="G59:H59"/>
    <mergeCell ref="J14:J15"/>
    <mergeCell ref="I64:J64"/>
    <mergeCell ref="I54:J54"/>
    <mergeCell ref="I55:J56"/>
    <mergeCell ref="I57:J57"/>
    <mergeCell ref="I58:J58"/>
    <mergeCell ref="I59:J59"/>
    <mergeCell ref="I60:J60"/>
    <mergeCell ref="I61:J61"/>
    <mergeCell ref="A6:B7"/>
    <mergeCell ref="A10:L11"/>
    <mergeCell ref="G14:G15"/>
    <mergeCell ref="H14:H15"/>
    <mergeCell ref="I14:I15"/>
    <mergeCell ref="C14:C15"/>
    <mergeCell ref="D14:D15"/>
    <mergeCell ref="A8:B9"/>
    <mergeCell ref="C6:E7"/>
    <mergeCell ref="C8:E9"/>
    <mergeCell ref="E14:E15"/>
    <mergeCell ref="A12:N12"/>
    <mergeCell ref="F6:H7"/>
    <mergeCell ref="J4:J5"/>
    <mergeCell ref="I6:M7"/>
    <mergeCell ref="K4:K5"/>
    <mergeCell ref="F4:G5"/>
    <mergeCell ref="L4:M5"/>
    <mergeCell ref="H4:H5"/>
    <mergeCell ref="I4:I5"/>
    <mergeCell ref="I8:I9"/>
    <mergeCell ref="J8:J9"/>
    <mergeCell ref="K8:M9"/>
  </mergeCells>
  <phoneticPr fontId="16" type="noConversion"/>
  <conditionalFormatting sqref="K35:K36 C35:J35 C25:K25 C20:K21 D26:K26 C30:K31">
    <cfRule type="cellIs" dxfId="2" priority="9" stopIfTrue="1" operator="lessThan">
      <formula>0</formula>
    </cfRule>
  </conditionalFormatting>
  <printOptions horizontalCentered="1" verticalCentered="1"/>
  <pageMargins left="0" right="0" top="0.25" bottom="0.24" header="0" footer="0"/>
  <pageSetup scale="65" fitToHeight="2" orientation="landscape" r:id="rId1"/>
  <headerFooter alignWithMargins="0">
    <oddFooter>&amp;R``</oddFooter>
  </headerFooter>
  <rowBreaks count="1" manualBreakCount="1">
    <brk id="48" max="13" man="1"/>
  </rowBreaks>
  <drawing r:id="rId2"/>
</worksheet>
</file>

<file path=xl/worksheets/sheet2.xml><?xml version="1.0" encoding="utf-8"?>
<worksheet xmlns="http://schemas.openxmlformats.org/spreadsheetml/2006/main" xmlns:r="http://schemas.openxmlformats.org/officeDocument/2006/relationships">
  <sheetPr>
    <pageSetUpPr fitToPage="1"/>
  </sheetPr>
  <dimension ref="A1:N33"/>
  <sheetViews>
    <sheetView zoomScale="80" zoomScaleNormal="80" workbookViewId="0">
      <selection activeCell="A15" sqref="A15:B18"/>
    </sheetView>
  </sheetViews>
  <sheetFormatPr defaultRowHeight="12.75"/>
  <cols>
    <col min="1" max="1" width="13.7109375" customWidth="1"/>
    <col min="2" max="2" width="12.7109375" customWidth="1"/>
    <col min="3" max="14" width="14.7109375" customWidth="1"/>
  </cols>
  <sheetData>
    <row r="1" spans="1:14" ht="27" thickBot="1">
      <c r="A1" s="378" t="str">
        <f>Common!A1:N1</f>
        <v xml:space="preserve">Industrial Stormwater Discharge Monitoring Report - 1200-COLS Permit   </v>
      </c>
      <c r="B1" s="379"/>
      <c r="C1" s="379"/>
      <c r="D1" s="379"/>
      <c r="E1" s="379"/>
      <c r="F1" s="379"/>
      <c r="G1" s="379"/>
      <c r="H1" s="379"/>
      <c r="I1" s="379"/>
      <c r="J1" s="379"/>
      <c r="K1" s="379"/>
      <c r="L1" s="379"/>
      <c r="M1" s="379"/>
      <c r="N1" s="380"/>
    </row>
    <row r="2" spans="1:14" ht="12.75" customHeight="1">
      <c r="A2" s="381" t="s">
        <v>16</v>
      </c>
      <c r="B2" s="382"/>
      <c r="C2" s="382"/>
      <c r="D2" s="385" t="str">
        <f>IF(ISBLANK(Common!C2:E3),"",Common!C2:E3)</f>
        <v/>
      </c>
      <c r="E2" s="385"/>
      <c r="F2" s="386"/>
      <c r="G2" s="389" t="s">
        <v>11</v>
      </c>
      <c r="H2" s="390"/>
      <c r="I2" s="390"/>
      <c r="J2" s="393" t="str">
        <f>IF(ISBLANK(Common!I2),"",Common!I2)</f>
        <v/>
      </c>
      <c r="K2" s="393"/>
      <c r="L2" s="395"/>
      <c r="M2" s="393"/>
      <c r="N2" s="126"/>
    </row>
    <row r="3" spans="1:14" ht="12.75" customHeight="1">
      <c r="A3" s="383"/>
      <c r="B3" s="384"/>
      <c r="C3" s="384"/>
      <c r="D3" s="387"/>
      <c r="E3" s="387"/>
      <c r="F3" s="388"/>
      <c r="G3" s="391"/>
      <c r="H3" s="392"/>
      <c r="I3" s="392"/>
      <c r="J3" s="394"/>
      <c r="K3" s="394"/>
      <c r="L3" s="396"/>
      <c r="M3" s="397"/>
      <c r="N3" s="127"/>
    </row>
    <row r="4" spans="1:14" ht="12.75" customHeight="1">
      <c r="A4" s="398" t="s">
        <v>10</v>
      </c>
      <c r="B4" s="399"/>
      <c r="C4" s="399"/>
      <c r="D4" s="353" t="str">
        <f>IF(ISBLANK(Common!C4:E5),"",Common!C4:E5)</f>
        <v/>
      </c>
      <c r="E4" s="353"/>
      <c r="F4" s="413"/>
      <c r="G4" s="403" t="s">
        <v>14</v>
      </c>
      <c r="H4" s="417"/>
      <c r="I4" s="420" t="s">
        <v>19</v>
      </c>
      <c r="J4" s="353" t="str">
        <f>IF(ISBLANK(Common!I4),"",Common!I4)</f>
        <v/>
      </c>
      <c r="K4" s="407" t="s">
        <v>20</v>
      </c>
      <c r="L4" s="407" t="s">
        <v>21</v>
      </c>
      <c r="M4" s="349" t="str">
        <f>IF(ISBLANK(Common!L4),"",Common!L4)</f>
        <v/>
      </c>
      <c r="N4" s="409"/>
    </row>
    <row r="5" spans="1:14" ht="12.75" customHeight="1">
      <c r="A5" s="411"/>
      <c r="B5" s="412"/>
      <c r="C5" s="412"/>
      <c r="D5" s="387"/>
      <c r="E5" s="387"/>
      <c r="F5" s="388"/>
      <c r="G5" s="418"/>
      <c r="H5" s="419"/>
      <c r="I5" s="421"/>
      <c r="J5" s="414"/>
      <c r="K5" s="408"/>
      <c r="L5" s="408"/>
      <c r="M5" s="394"/>
      <c r="N5" s="410"/>
    </row>
    <row r="6" spans="1:14" ht="12.75" customHeight="1">
      <c r="A6" s="398" t="s">
        <v>15</v>
      </c>
      <c r="B6" s="399"/>
      <c r="C6" s="399"/>
      <c r="D6" s="353" t="str">
        <f>IF(ISBLANK(Common!C6:E7),"",Common!C6:E7)</f>
        <v/>
      </c>
      <c r="E6" s="353"/>
      <c r="F6" s="413"/>
      <c r="G6" s="398" t="s">
        <v>12</v>
      </c>
      <c r="H6" s="416"/>
      <c r="I6" s="416"/>
      <c r="J6" s="353" t="str">
        <f>IF(ISBLANK(Common!I6),"",Common!I6)</f>
        <v/>
      </c>
      <c r="K6" s="353"/>
      <c r="L6" s="353"/>
      <c r="M6" s="353"/>
      <c r="N6" s="413"/>
    </row>
    <row r="7" spans="1:14" ht="12.75" customHeight="1">
      <c r="A7" s="411"/>
      <c r="B7" s="412"/>
      <c r="C7" s="412"/>
      <c r="D7" s="414"/>
      <c r="E7" s="414"/>
      <c r="F7" s="415"/>
      <c r="G7" s="391"/>
      <c r="H7" s="392"/>
      <c r="I7" s="392"/>
      <c r="J7" s="414"/>
      <c r="K7" s="414"/>
      <c r="L7" s="414"/>
      <c r="M7" s="414"/>
      <c r="N7" s="415"/>
    </row>
    <row r="8" spans="1:14" ht="12.75" customHeight="1">
      <c r="A8" s="398" t="s">
        <v>7</v>
      </c>
      <c r="B8" s="399"/>
      <c r="C8" s="399"/>
      <c r="D8" s="387" t="str">
        <f>IF(ISBLANK(Common!C8:E9),"",Common!C8:E9)</f>
        <v/>
      </c>
      <c r="E8" s="387"/>
      <c r="F8" s="388"/>
      <c r="G8" s="403" t="s">
        <v>18</v>
      </c>
      <c r="H8" s="404"/>
      <c r="I8" s="404"/>
      <c r="J8" s="349" t="str">
        <f>IF(ISBLANK(Common!I8),"",Common!I8)</f>
        <v/>
      </c>
      <c r="K8" s="351" t="s">
        <v>68</v>
      </c>
      <c r="L8" s="353" t="str">
        <f>IF(ISBLANK(Common!K8),"",Common!K8)</f>
        <v/>
      </c>
      <c r="M8" s="353"/>
      <c r="N8" s="353"/>
    </row>
    <row r="9" spans="1:14" ht="13.5" customHeight="1" thickBot="1">
      <c r="A9" s="400"/>
      <c r="B9" s="401"/>
      <c r="C9" s="401"/>
      <c r="D9" s="354"/>
      <c r="E9" s="354"/>
      <c r="F9" s="402"/>
      <c r="G9" s="405"/>
      <c r="H9" s="406"/>
      <c r="I9" s="406"/>
      <c r="J9" s="350"/>
      <c r="K9" s="352"/>
      <c r="L9" s="354"/>
      <c r="M9" s="354"/>
      <c r="N9" s="354"/>
    </row>
    <row r="10" spans="1:14" ht="23.25">
      <c r="A10" s="366" t="s">
        <v>46</v>
      </c>
      <c r="B10" s="367"/>
      <c r="C10" s="367"/>
      <c r="D10" s="367"/>
      <c r="E10" s="367"/>
      <c r="F10" s="367"/>
      <c r="G10" s="367"/>
      <c r="H10" s="367"/>
      <c r="I10" s="367"/>
      <c r="J10" s="367"/>
      <c r="K10" s="367"/>
      <c r="L10" s="367"/>
      <c r="M10" s="367"/>
      <c r="N10" s="368"/>
    </row>
    <row r="11" spans="1:14" ht="21" thickBot="1">
      <c r="A11" s="369" t="s">
        <v>48</v>
      </c>
      <c r="B11" s="370"/>
      <c r="C11" s="370"/>
      <c r="D11" s="370"/>
      <c r="E11" s="370"/>
      <c r="F11" s="370"/>
      <c r="G11" s="370"/>
      <c r="H11" s="370"/>
      <c r="I11" s="370"/>
      <c r="J11" s="370"/>
      <c r="K11" s="370"/>
      <c r="L11" s="370"/>
      <c r="M11" s="370"/>
      <c r="N11" s="371"/>
    </row>
    <row r="12" spans="1:14" ht="60" customHeight="1">
      <c r="A12" s="372" t="s">
        <v>22</v>
      </c>
      <c r="B12" s="373"/>
      <c r="C12" s="375" t="s">
        <v>6</v>
      </c>
      <c r="D12" s="7" t="s">
        <v>29</v>
      </c>
      <c r="E12" s="7" t="s">
        <v>33</v>
      </c>
      <c r="F12" s="7" t="s">
        <v>32</v>
      </c>
      <c r="G12" s="118" t="s">
        <v>31</v>
      </c>
      <c r="H12" s="119"/>
      <c r="I12" s="12"/>
      <c r="J12" s="7"/>
      <c r="K12" s="7"/>
      <c r="L12" s="12"/>
      <c r="M12" s="7"/>
      <c r="N12" s="55"/>
    </row>
    <row r="13" spans="1:14" ht="12.75" customHeight="1">
      <c r="A13" s="313"/>
      <c r="B13" s="374"/>
      <c r="C13" s="315"/>
      <c r="D13" s="214" t="s">
        <v>30</v>
      </c>
      <c r="E13" s="214" t="s">
        <v>13</v>
      </c>
      <c r="F13" s="214" t="s">
        <v>13</v>
      </c>
      <c r="G13" s="214" t="s">
        <v>13</v>
      </c>
      <c r="H13" s="214"/>
      <c r="I13" s="214"/>
      <c r="J13" s="214"/>
      <c r="K13" s="214"/>
      <c r="L13" s="214"/>
      <c r="M13" s="214"/>
      <c r="N13" s="376"/>
    </row>
    <row r="14" spans="1:14" ht="13.5" customHeight="1" thickBot="1">
      <c r="A14" s="313"/>
      <c r="B14" s="374"/>
      <c r="C14" s="316"/>
      <c r="D14" s="215"/>
      <c r="E14" s="215"/>
      <c r="F14" s="215"/>
      <c r="G14" s="215"/>
      <c r="H14" s="215"/>
      <c r="I14" s="215"/>
      <c r="J14" s="215"/>
      <c r="K14" s="215"/>
      <c r="L14" s="215"/>
      <c r="M14" s="215"/>
      <c r="N14" s="377"/>
    </row>
    <row r="15" spans="1:14" ht="21.95" customHeight="1" thickTop="1">
      <c r="A15" s="355"/>
      <c r="B15" s="356"/>
      <c r="C15" s="19"/>
      <c r="D15" s="29"/>
      <c r="E15" s="64"/>
      <c r="F15" s="64"/>
      <c r="G15" s="64"/>
      <c r="H15" s="64"/>
      <c r="I15" s="64"/>
      <c r="J15" s="64"/>
      <c r="K15" s="64"/>
      <c r="L15" s="64"/>
      <c r="M15" s="64"/>
      <c r="N15" s="64"/>
    </row>
    <row r="16" spans="1:14" ht="21.95" customHeight="1">
      <c r="A16" s="357"/>
      <c r="B16" s="358"/>
      <c r="C16" s="20"/>
      <c r="D16" s="30"/>
      <c r="E16" s="30"/>
      <c r="F16" s="30"/>
      <c r="G16" s="30"/>
      <c r="H16" s="30"/>
      <c r="I16" s="30"/>
      <c r="J16" s="30"/>
      <c r="K16" s="30"/>
      <c r="L16" s="30"/>
      <c r="M16" s="30"/>
      <c r="N16" s="30"/>
    </row>
    <row r="17" spans="1:14" ht="21.95" customHeight="1">
      <c r="A17" s="357"/>
      <c r="B17" s="358"/>
      <c r="C17" s="20"/>
      <c r="D17" s="30"/>
      <c r="E17" s="30"/>
      <c r="F17" s="30"/>
      <c r="G17" s="30"/>
      <c r="H17" s="30"/>
      <c r="I17" s="30"/>
      <c r="J17" s="30"/>
      <c r="K17" s="30"/>
      <c r="L17" s="30"/>
      <c r="M17" s="30"/>
      <c r="N17" s="30"/>
    </row>
    <row r="18" spans="1:14" ht="21.95" customHeight="1">
      <c r="A18" s="359"/>
      <c r="B18" s="360"/>
      <c r="C18" s="20"/>
      <c r="D18" s="30"/>
      <c r="E18" s="30"/>
      <c r="F18" s="30"/>
      <c r="G18" s="30"/>
      <c r="H18" s="30"/>
      <c r="I18" s="30"/>
      <c r="J18" s="30"/>
      <c r="K18" s="30"/>
      <c r="L18" s="30"/>
      <c r="M18" s="30"/>
      <c r="N18" s="30"/>
    </row>
    <row r="19" spans="1:14" ht="21.95" customHeight="1">
      <c r="A19" s="361"/>
      <c r="B19" s="362"/>
      <c r="C19" s="20"/>
      <c r="D19" s="30"/>
      <c r="E19" s="30"/>
      <c r="F19" s="30"/>
      <c r="G19" s="30"/>
      <c r="H19" s="30"/>
      <c r="I19" s="30"/>
      <c r="J19" s="30"/>
      <c r="K19" s="30"/>
      <c r="L19" s="30"/>
      <c r="M19" s="30"/>
      <c r="N19" s="30"/>
    </row>
    <row r="20" spans="1:14" ht="21.95" customHeight="1">
      <c r="A20" s="357"/>
      <c r="B20" s="358"/>
      <c r="C20" s="20"/>
      <c r="D20" s="30"/>
      <c r="E20" s="30"/>
      <c r="F20" s="30"/>
      <c r="G20" s="30"/>
      <c r="H20" s="30"/>
      <c r="I20" s="30"/>
      <c r="J20" s="30"/>
      <c r="K20" s="30"/>
      <c r="L20" s="30"/>
      <c r="M20" s="30"/>
      <c r="N20" s="30"/>
    </row>
    <row r="21" spans="1:14" ht="21.95" customHeight="1">
      <c r="A21" s="357"/>
      <c r="B21" s="358"/>
      <c r="C21" s="20"/>
      <c r="D21" s="30"/>
      <c r="E21" s="30"/>
      <c r="F21" s="30"/>
      <c r="G21" s="30"/>
      <c r="H21" s="30"/>
      <c r="I21" s="30"/>
      <c r="J21" s="30"/>
      <c r="K21" s="30"/>
      <c r="L21" s="30"/>
      <c r="M21" s="30"/>
      <c r="N21" s="30"/>
    </row>
    <row r="22" spans="1:14" ht="21.95" customHeight="1">
      <c r="A22" s="359"/>
      <c r="B22" s="360"/>
      <c r="C22" s="20"/>
      <c r="D22" s="30"/>
      <c r="E22" s="30"/>
      <c r="F22" s="30"/>
      <c r="G22" s="30"/>
      <c r="H22" s="30"/>
      <c r="I22" s="30"/>
      <c r="J22" s="30"/>
      <c r="K22" s="30"/>
      <c r="L22" s="30"/>
      <c r="M22" s="30"/>
      <c r="N22" s="30"/>
    </row>
    <row r="23" spans="1:14" ht="21.95" customHeight="1">
      <c r="A23" s="361"/>
      <c r="B23" s="362"/>
      <c r="C23" s="20"/>
      <c r="D23" s="30"/>
      <c r="E23" s="30"/>
      <c r="F23" s="30"/>
      <c r="G23" s="30"/>
      <c r="H23" s="30"/>
      <c r="I23" s="30"/>
      <c r="J23" s="30"/>
      <c r="K23" s="30"/>
      <c r="L23" s="30"/>
      <c r="M23" s="30"/>
      <c r="N23" s="30"/>
    </row>
    <row r="24" spans="1:14" ht="21.95" customHeight="1">
      <c r="A24" s="357"/>
      <c r="B24" s="358"/>
      <c r="C24" s="20"/>
      <c r="D24" s="30"/>
      <c r="E24" s="30"/>
      <c r="F24" s="30"/>
      <c r="G24" s="30"/>
      <c r="H24" s="30"/>
      <c r="I24" s="30"/>
      <c r="J24" s="30"/>
      <c r="K24" s="30"/>
      <c r="L24" s="30"/>
      <c r="M24" s="30"/>
      <c r="N24" s="30"/>
    </row>
    <row r="25" spans="1:14" ht="21.95" customHeight="1">
      <c r="A25" s="357"/>
      <c r="B25" s="358"/>
      <c r="C25" s="20"/>
      <c r="D25" s="30"/>
      <c r="E25" s="30"/>
      <c r="F25" s="30"/>
      <c r="G25" s="30"/>
      <c r="H25" s="30"/>
      <c r="I25" s="30"/>
      <c r="J25" s="30"/>
      <c r="K25" s="30"/>
      <c r="L25" s="30"/>
      <c r="M25" s="30"/>
      <c r="N25" s="30"/>
    </row>
    <row r="26" spans="1:14" ht="21.95" customHeight="1">
      <c r="A26" s="359"/>
      <c r="B26" s="360"/>
      <c r="C26" s="20"/>
      <c r="D26" s="30"/>
      <c r="E26" s="30"/>
      <c r="F26" s="30"/>
      <c r="G26" s="30"/>
      <c r="H26" s="30"/>
      <c r="I26" s="30"/>
      <c r="J26" s="30"/>
      <c r="K26" s="30"/>
      <c r="L26" s="30"/>
      <c r="M26" s="30"/>
      <c r="N26" s="30"/>
    </row>
    <row r="27" spans="1:14" ht="21.95" customHeight="1">
      <c r="A27" s="361"/>
      <c r="B27" s="362"/>
      <c r="C27" s="20"/>
      <c r="D27" s="30"/>
      <c r="E27" s="30"/>
      <c r="F27" s="30"/>
      <c r="G27" s="30"/>
      <c r="H27" s="30"/>
      <c r="I27" s="30"/>
      <c r="J27" s="30"/>
      <c r="K27" s="30"/>
      <c r="L27" s="30"/>
      <c r="M27" s="30"/>
      <c r="N27" s="30"/>
    </row>
    <row r="28" spans="1:14" ht="21.95" customHeight="1">
      <c r="A28" s="357"/>
      <c r="B28" s="358"/>
      <c r="C28" s="20"/>
      <c r="D28" s="30"/>
      <c r="E28" s="30"/>
      <c r="F28" s="30"/>
      <c r="G28" s="30"/>
      <c r="H28" s="30"/>
      <c r="I28" s="30"/>
      <c r="J28" s="30"/>
      <c r="K28" s="30"/>
      <c r="L28" s="30"/>
      <c r="M28" s="30"/>
      <c r="N28" s="30"/>
    </row>
    <row r="29" spans="1:14" ht="21.95" customHeight="1">
      <c r="A29" s="357"/>
      <c r="B29" s="358"/>
      <c r="C29" s="20"/>
      <c r="D29" s="30"/>
      <c r="E29" s="30"/>
      <c r="F29" s="30"/>
      <c r="G29" s="30"/>
      <c r="H29" s="30"/>
      <c r="I29" s="30"/>
      <c r="J29" s="30"/>
      <c r="K29" s="30"/>
      <c r="L29" s="30"/>
      <c r="M29" s="30"/>
      <c r="N29" s="30"/>
    </row>
    <row r="30" spans="1:14" ht="21.95" customHeight="1">
      <c r="A30" s="359"/>
      <c r="B30" s="360"/>
      <c r="C30" s="20"/>
      <c r="D30" s="30"/>
      <c r="E30" s="30"/>
      <c r="F30" s="30"/>
      <c r="G30" s="30"/>
      <c r="H30" s="30"/>
      <c r="I30" s="30"/>
      <c r="J30" s="30"/>
      <c r="K30" s="30"/>
      <c r="L30" s="30"/>
      <c r="M30" s="30"/>
      <c r="N30" s="30"/>
    </row>
    <row r="31" spans="1:14" ht="16.5" thickBot="1">
      <c r="A31" s="363" t="s">
        <v>8</v>
      </c>
      <c r="B31" s="364"/>
      <c r="C31" s="365"/>
      <c r="D31" s="22">
        <v>1</v>
      </c>
      <c r="E31" s="56">
        <v>0.75</v>
      </c>
      <c r="F31" s="56">
        <v>0.68</v>
      </c>
      <c r="G31" s="52">
        <v>120</v>
      </c>
      <c r="H31" s="52"/>
      <c r="I31" s="21"/>
      <c r="J31" s="22"/>
      <c r="K31" s="57"/>
      <c r="L31" s="60"/>
      <c r="M31" s="61"/>
      <c r="N31" s="58"/>
    </row>
    <row r="33" spans="1:14">
      <c r="A33" s="125" t="s">
        <v>58</v>
      </c>
      <c r="M33" s="121" t="str">
        <f>Common!L48</f>
        <v>Last updated 1/23/2013</v>
      </c>
      <c r="N33" s="121" t="str">
        <f>Common!M48</f>
        <v>08-WQ-032</v>
      </c>
    </row>
  </sheetData>
  <mergeCells count="45">
    <mergeCell ref="K4:K5"/>
    <mergeCell ref="L4:L5"/>
    <mergeCell ref="M4:N5"/>
    <mergeCell ref="A6:C7"/>
    <mergeCell ref="D6:F7"/>
    <mergeCell ref="G6:I7"/>
    <mergeCell ref="J6:N7"/>
    <mergeCell ref="A4:C5"/>
    <mergeCell ref="D4:F5"/>
    <mergeCell ref="G4:H5"/>
    <mergeCell ref="I4:I5"/>
    <mergeCell ref="J4:J5"/>
    <mergeCell ref="A1:N1"/>
    <mergeCell ref="A2:C3"/>
    <mergeCell ref="D2:F3"/>
    <mergeCell ref="G2:I3"/>
    <mergeCell ref="J2:K3"/>
    <mergeCell ref="L2:L3"/>
    <mergeCell ref="M2:M3"/>
    <mergeCell ref="A23:B26"/>
    <mergeCell ref="A27:B30"/>
    <mergeCell ref="A31:C31"/>
    <mergeCell ref="A10:N10"/>
    <mergeCell ref="A11:N11"/>
    <mergeCell ref="A12:B14"/>
    <mergeCell ref="C12:C14"/>
    <mergeCell ref="D13:D14"/>
    <mergeCell ref="E13:E14"/>
    <mergeCell ref="F13:F14"/>
    <mergeCell ref="G13:G14"/>
    <mergeCell ref="H13:H14"/>
    <mergeCell ref="I13:I14"/>
    <mergeCell ref="K13:K14"/>
    <mergeCell ref="L13:L14"/>
    <mergeCell ref="M13:M14"/>
    <mergeCell ref="J8:J9"/>
    <mergeCell ref="K8:K9"/>
    <mergeCell ref="L8:N9"/>
    <mergeCell ref="A15:B18"/>
    <mergeCell ref="A19:B22"/>
    <mergeCell ref="N13:N14"/>
    <mergeCell ref="J13:J14"/>
    <mergeCell ref="A8:C9"/>
    <mergeCell ref="D8:F9"/>
    <mergeCell ref="G8:I9"/>
  </mergeCells>
  <conditionalFormatting sqref="D19:N30">
    <cfRule type="cellIs" dxfId="1" priority="2" stopIfTrue="1" operator="lessThan">
      <formula>0</formula>
    </cfRule>
  </conditionalFormatting>
  <conditionalFormatting sqref="D19:N30">
    <cfRule type="cellIs" dxfId="0" priority="1" stopIfTrue="1" operator="lessThan">
      <formula>0</formula>
    </cfRule>
  </conditionalFormatting>
  <printOptions horizontalCentered="1"/>
  <pageMargins left="0" right="0" top="1" bottom="0.25" header="0" footer="0"/>
  <pageSetup scale="70" orientation="landscape" r:id="rId1"/>
  <ignoredErrors>
    <ignoredError sqref="D2 D4 D6 D8 J2 J4 J6 J8 M4 L8" unlockedFormula="1"/>
  </ignoredErrors>
</worksheet>
</file>

<file path=xl/worksheets/sheet3.xml><?xml version="1.0" encoding="utf-8"?>
<worksheet xmlns="http://schemas.openxmlformats.org/spreadsheetml/2006/main" xmlns:r="http://schemas.openxmlformats.org/officeDocument/2006/relationships">
  <sheetPr>
    <pageSetUpPr fitToPage="1"/>
  </sheetPr>
  <dimension ref="A1:N48"/>
  <sheetViews>
    <sheetView zoomScale="80" zoomScaleNormal="80" workbookViewId="0">
      <selection activeCell="A15" sqref="A15:B16"/>
    </sheetView>
  </sheetViews>
  <sheetFormatPr defaultRowHeight="12.75"/>
  <cols>
    <col min="1" max="1" width="13.7109375" customWidth="1"/>
    <col min="2" max="2" width="12.7109375" customWidth="1"/>
    <col min="3" max="11" width="14.7109375" customWidth="1"/>
    <col min="12" max="12" width="15.5703125" customWidth="1"/>
    <col min="13" max="14" width="14.7109375" customWidth="1"/>
  </cols>
  <sheetData>
    <row r="1" spans="1:14" ht="18.75" customHeight="1" thickBot="1">
      <c r="A1" s="450" t="str">
        <f>Common!A1:N1</f>
        <v xml:space="preserve">Industrial Stormwater Discharge Monitoring Report - 1200-COLS Permit   </v>
      </c>
      <c r="B1" s="451"/>
      <c r="C1" s="451"/>
      <c r="D1" s="451"/>
      <c r="E1" s="451"/>
      <c r="F1" s="451"/>
      <c r="G1" s="451"/>
      <c r="H1" s="451"/>
      <c r="I1" s="451"/>
      <c r="J1" s="451"/>
      <c r="K1" s="451"/>
      <c r="L1" s="451"/>
      <c r="M1" s="451"/>
      <c r="N1" s="452"/>
    </row>
    <row r="2" spans="1:14" ht="9.75" customHeight="1">
      <c r="A2" s="453" t="s">
        <v>16</v>
      </c>
      <c r="B2" s="454"/>
      <c r="C2" s="454"/>
      <c r="D2" s="385" t="str">
        <f>IF(ISBLANK(Common!C2:E3),"",Common!C2:E3)</f>
        <v/>
      </c>
      <c r="E2" s="385"/>
      <c r="F2" s="386"/>
      <c r="G2" s="457" t="s">
        <v>11</v>
      </c>
      <c r="H2" s="458"/>
      <c r="I2" s="458"/>
      <c r="J2" s="393" t="str">
        <f>IF(ISBLANK(Common!I2),"",Common!I2)</f>
        <v/>
      </c>
      <c r="K2" s="393"/>
      <c r="L2" s="461"/>
      <c r="M2" s="393"/>
      <c r="N2" s="128"/>
    </row>
    <row r="3" spans="1:14" ht="6.75" customHeight="1">
      <c r="A3" s="455"/>
      <c r="B3" s="456"/>
      <c r="C3" s="456"/>
      <c r="D3" s="387"/>
      <c r="E3" s="387"/>
      <c r="F3" s="388"/>
      <c r="G3" s="459"/>
      <c r="H3" s="460"/>
      <c r="I3" s="460"/>
      <c r="J3" s="394"/>
      <c r="K3" s="394"/>
      <c r="L3" s="462"/>
      <c r="M3" s="397"/>
      <c r="N3" s="129"/>
    </row>
    <row r="4" spans="1:14" ht="12.75" customHeight="1">
      <c r="A4" s="463" t="s">
        <v>10</v>
      </c>
      <c r="B4" s="464"/>
      <c r="C4" s="464"/>
      <c r="D4" s="353" t="str">
        <f>IF(ISBLANK(Common!C4:E5),"",Common!C4:E5)</f>
        <v/>
      </c>
      <c r="E4" s="353"/>
      <c r="F4" s="413"/>
      <c r="G4" s="471" t="s">
        <v>14</v>
      </c>
      <c r="H4" s="472"/>
      <c r="I4" s="475" t="s">
        <v>19</v>
      </c>
      <c r="J4" s="353" t="str">
        <f>IF(ISBLANK(Common!I4),"",Common!I4)</f>
        <v/>
      </c>
      <c r="K4" s="476" t="s">
        <v>20</v>
      </c>
      <c r="L4" s="476" t="s">
        <v>21</v>
      </c>
      <c r="M4" s="349" t="str">
        <f>IF(ISBLANK(Common!L4),"",Common!L4)</f>
        <v/>
      </c>
      <c r="N4" s="409"/>
    </row>
    <row r="5" spans="1:14" ht="2.25" customHeight="1">
      <c r="A5" s="459"/>
      <c r="B5" s="460"/>
      <c r="C5" s="460"/>
      <c r="D5" s="387"/>
      <c r="E5" s="387"/>
      <c r="F5" s="388"/>
      <c r="G5" s="473"/>
      <c r="H5" s="474"/>
      <c r="I5" s="456"/>
      <c r="J5" s="414"/>
      <c r="K5" s="477"/>
      <c r="L5" s="477"/>
      <c r="M5" s="394"/>
      <c r="N5" s="410"/>
    </row>
    <row r="6" spans="1:14" ht="10.5" customHeight="1">
      <c r="A6" s="463" t="s">
        <v>15</v>
      </c>
      <c r="B6" s="464"/>
      <c r="C6" s="464"/>
      <c r="D6" s="353" t="str">
        <f>IF(ISBLANK(Common!C6:E7),"",Common!C6:E7)</f>
        <v/>
      </c>
      <c r="E6" s="353"/>
      <c r="F6" s="413"/>
      <c r="G6" s="463" t="s">
        <v>12</v>
      </c>
      <c r="H6" s="464"/>
      <c r="I6" s="464"/>
      <c r="J6" s="478" t="str">
        <f>IF(ISBLANK(Common!I6),"",Common!I6)</f>
        <v/>
      </c>
      <c r="K6" s="478"/>
      <c r="L6" s="478"/>
      <c r="M6" s="478"/>
      <c r="N6" s="479"/>
    </row>
    <row r="7" spans="1:14" ht="6.75" customHeight="1">
      <c r="A7" s="459"/>
      <c r="B7" s="460"/>
      <c r="C7" s="460"/>
      <c r="D7" s="414"/>
      <c r="E7" s="414"/>
      <c r="F7" s="415"/>
      <c r="G7" s="459"/>
      <c r="H7" s="460"/>
      <c r="I7" s="460"/>
      <c r="J7" s="480"/>
      <c r="K7" s="480"/>
      <c r="L7" s="480"/>
      <c r="M7" s="480"/>
      <c r="N7" s="481"/>
    </row>
    <row r="8" spans="1:14" ht="13.5" customHeight="1">
      <c r="A8" s="463" t="s">
        <v>7</v>
      </c>
      <c r="B8" s="464"/>
      <c r="C8" s="464"/>
      <c r="D8" s="387" t="str">
        <f>IF(ISBLANK(Common!C8:E9),"",Common!C8:E9)</f>
        <v/>
      </c>
      <c r="E8" s="387"/>
      <c r="F8" s="388"/>
      <c r="G8" s="467" t="s">
        <v>18</v>
      </c>
      <c r="H8" s="468"/>
      <c r="I8" s="468"/>
      <c r="J8" s="349" t="str">
        <f>IF(ISBLANK(Common!I8),"",Common!I8)</f>
        <v/>
      </c>
      <c r="K8" s="351" t="s">
        <v>68</v>
      </c>
      <c r="L8" s="353" t="str">
        <f>IF(ISBLANK(Common!K8),"",Common!K8)</f>
        <v/>
      </c>
      <c r="M8" s="353"/>
      <c r="N8" s="353"/>
    </row>
    <row r="9" spans="1:14" ht="6.75" customHeight="1" thickBot="1">
      <c r="A9" s="465"/>
      <c r="B9" s="466"/>
      <c r="C9" s="466"/>
      <c r="D9" s="354"/>
      <c r="E9" s="354"/>
      <c r="F9" s="402"/>
      <c r="G9" s="469"/>
      <c r="H9" s="470"/>
      <c r="I9" s="470"/>
      <c r="J9" s="350"/>
      <c r="K9" s="352"/>
      <c r="L9" s="354"/>
      <c r="M9" s="354"/>
      <c r="N9" s="354"/>
    </row>
    <row r="10" spans="1:14" ht="23.25">
      <c r="A10" s="426" t="s">
        <v>47</v>
      </c>
      <c r="B10" s="427"/>
      <c r="C10" s="427"/>
      <c r="D10" s="427"/>
      <c r="E10" s="427"/>
      <c r="F10" s="427"/>
      <c r="G10" s="427"/>
      <c r="H10" s="427"/>
      <c r="I10" s="427"/>
      <c r="J10" s="427"/>
      <c r="K10" s="427"/>
      <c r="L10" s="427"/>
      <c r="M10" s="427"/>
      <c r="N10" s="428"/>
    </row>
    <row r="11" spans="1:14" ht="21" thickBot="1">
      <c r="A11" s="429" t="s">
        <v>49</v>
      </c>
      <c r="B11" s="430"/>
      <c r="C11" s="430"/>
      <c r="D11" s="430"/>
      <c r="E11" s="430"/>
      <c r="F11" s="430"/>
      <c r="G11" s="430"/>
      <c r="H11" s="430"/>
      <c r="I11" s="430"/>
      <c r="J11" s="430"/>
      <c r="K11" s="430"/>
      <c r="L11" s="430"/>
      <c r="M11" s="430"/>
      <c r="N11" s="431"/>
    </row>
    <row r="12" spans="1:14" ht="45" customHeight="1">
      <c r="A12" s="372" t="s">
        <v>22</v>
      </c>
      <c r="B12" s="373"/>
      <c r="C12" s="375" t="s">
        <v>6</v>
      </c>
      <c r="D12" s="7" t="s">
        <v>100</v>
      </c>
      <c r="E12" s="7"/>
      <c r="F12" s="7"/>
      <c r="G12" s="7"/>
      <c r="H12" s="7"/>
      <c r="I12" s="7"/>
      <c r="J12" s="11"/>
      <c r="K12" s="12"/>
      <c r="L12" s="12"/>
      <c r="M12" s="12"/>
      <c r="N12" s="13"/>
    </row>
    <row r="13" spans="1:14" ht="12.75" customHeight="1">
      <c r="A13" s="313"/>
      <c r="B13" s="374"/>
      <c r="C13" s="315"/>
      <c r="D13" s="214" t="s">
        <v>30</v>
      </c>
      <c r="E13" s="214"/>
      <c r="F13" s="214"/>
      <c r="G13" s="214"/>
      <c r="H13" s="214"/>
      <c r="I13" s="214"/>
      <c r="J13" s="214"/>
      <c r="K13" s="214"/>
      <c r="L13" s="214"/>
      <c r="M13" s="214"/>
      <c r="N13" s="376"/>
    </row>
    <row r="14" spans="1:14" ht="2.25" customHeight="1" thickBot="1">
      <c r="A14" s="314"/>
      <c r="B14" s="432"/>
      <c r="C14" s="316"/>
      <c r="D14" s="215"/>
      <c r="E14" s="215"/>
      <c r="F14" s="215"/>
      <c r="G14" s="215"/>
      <c r="H14" s="215"/>
      <c r="I14" s="215"/>
      <c r="J14" s="215"/>
      <c r="K14" s="215"/>
      <c r="L14" s="215"/>
      <c r="M14" s="215"/>
      <c r="N14" s="377"/>
    </row>
    <row r="15" spans="1:14" ht="21.95" customHeight="1" thickTop="1">
      <c r="A15" s="422"/>
      <c r="B15" s="423"/>
      <c r="C15" s="139"/>
      <c r="D15" s="70"/>
      <c r="E15" s="71"/>
      <c r="F15" s="71"/>
      <c r="G15" s="71"/>
      <c r="H15" s="71"/>
      <c r="I15" s="71"/>
      <c r="J15" s="71"/>
      <c r="K15" s="71"/>
      <c r="L15" s="71"/>
      <c r="M15" s="71"/>
      <c r="N15" s="71"/>
    </row>
    <row r="16" spans="1:14" ht="21.95" customHeight="1">
      <c r="A16" s="424"/>
      <c r="B16" s="425"/>
      <c r="C16" s="140"/>
      <c r="D16" s="44"/>
      <c r="E16" s="44"/>
      <c r="F16" s="44"/>
      <c r="G16" s="44"/>
      <c r="H16" s="44"/>
      <c r="I16" s="44"/>
      <c r="J16" s="44"/>
      <c r="K16" s="44"/>
      <c r="L16" s="44"/>
      <c r="M16" s="44"/>
      <c r="N16" s="44"/>
    </row>
    <row r="17" spans="1:14" ht="21.95" customHeight="1">
      <c r="A17" s="433"/>
      <c r="B17" s="434"/>
      <c r="C17" s="140"/>
      <c r="D17" s="44"/>
      <c r="E17" s="44"/>
      <c r="F17" s="44"/>
      <c r="G17" s="44"/>
      <c r="H17" s="44"/>
      <c r="I17" s="44"/>
      <c r="J17" s="44"/>
      <c r="K17" s="44"/>
      <c r="L17" s="44"/>
      <c r="M17" s="44"/>
      <c r="N17" s="44"/>
    </row>
    <row r="18" spans="1:14" ht="21.95" customHeight="1">
      <c r="A18" s="424"/>
      <c r="B18" s="425"/>
      <c r="C18" s="140"/>
      <c r="D18" s="44"/>
      <c r="E18" s="44"/>
      <c r="F18" s="44"/>
      <c r="G18" s="44"/>
      <c r="H18" s="44"/>
      <c r="I18" s="44"/>
      <c r="J18" s="44"/>
      <c r="K18" s="44"/>
      <c r="L18" s="44"/>
      <c r="M18" s="44"/>
      <c r="N18" s="44"/>
    </row>
    <row r="19" spans="1:14" ht="21.95" customHeight="1">
      <c r="A19" s="433"/>
      <c r="B19" s="434"/>
      <c r="C19" s="140"/>
      <c r="D19" s="44"/>
      <c r="E19" s="44"/>
      <c r="F19" s="44"/>
      <c r="G19" s="44"/>
      <c r="H19" s="44"/>
      <c r="I19" s="44"/>
      <c r="J19" s="44"/>
      <c r="K19" s="44"/>
      <c r="L19" s="44"/>
      <c r="M19" s="44"/>
      <c r="N19" s="44"/>
    </row>
    <row r="20" spans="1:14" ht="21.95" customHeight="1">
      <c r="A20" s="424"/>
      <c r="B20" s="425"/>
      <c r="C20" s="140"/>
      <c r="D20" s="44"/>
      <c r="E20" s="44"/>
      <c r="F20" s="44"/>
      <c r="G20" s="44"/>
      <c r="H20" s="44"/>
      <c r="I20" s="44"/>
      <c r="J20" s="44"/>
      <c r="K20" s="44"/>
      <c r="L20" s="44"/>
      <c r="M20" s="44"/>
      <c r="N20" s="44"/>
    </row>
    <row r="21" spans="1:14" ht="21.95" customHeight="1">
      <c r="A21" s="433"/>
      <c r="B21" s="434"/>
      <c r="C21" s="140"/>
      <c r="D21" s="44"/>
      <c r="E21" s="44"/>
      <c r="F21" s="44"/>
      <c r="G21" s="44"/>
      <c r="H21" s="44"/>
      <c r="I21" s="44"/>
      <c r="J21" s="44"/>
      <c r="K21" s="44"/>
      <c r="L21" s="44"/>
      <c r="M21" s="44"/>
      <c r="N21" s="44"/>
    </row>
    <row r="22" spans="1:14" ht="21.95" customHeight="1">
      <c r="A22" s="424"/>
      <c r="B22" s="425"/>
      <c r="C22" s="140"/>
      <c r="D22" s="44"/>
      <c r="E22" s="44"/>
      <c r="F22" s="44"/>
      <c r="G22" s="44"/>
      <c r="H22" s="44"/>
      <c r="I22" s="44"/>
      <c r="J22" s="44"/>
      <c r="K22" s="44"/>
      <c r="L22" s="44"/>
      <c r="M22" s="44"/>
      <c r="N22" s="44"/>
    </row>
    <row r="23" spans="1:14" ht="15.75">
      <c r="A23" s="435" t="s">
        <v>38</v>
      </c>
      <c r="B23" s="436"/>
      <c r="C23" s="437"/>
      <c r="D23" s="187">
        <v>1</v>
      </c>
      <c r="E23" s="14"/>
      <c r="F23" s="38"/>
      <c r="G23" s="15"/>
      <c r="H23" s="37"/>
      <c r="I23" s="51"/>
      <c r="J23" s="14"/>
      <c r="K23" s="37"/>
      <c r="L23" s="15"/>
      <c r="M23" s="37"/>
      <c r="N23" s="42"/>
    </row>
    <row r="24" spans="1:14" ht="45" customHeight="1">
      <c r="A24" s="438" t="s">
        <v>22</v>
      </c>
      <c r="B24" s="439"/>
      <c r="C24" s="444" t="s">
        <v>6</v>
      </c>
      <c r="D24" s="97"/>
      <c r="E24" s="98"/>
      <c r="F24" s="116"/>
      <c r="G24" s="116"/>
      <c r="H24" s="116"/>
      <c r="I24" s="116"/>
      <c r="J24" s="116"/>
      <c r="K24" s="116"/>
      <c r="L24" s="99"/>
      <c r="M24" s="105"/>
      <c r="N24" s="106"/>
    </row>
    <row r="25" spans="1:14" ht="12.75" customHeight="1">
      <c r="A25" s="440"/>
      <c r="B25" s="441"/>
      <c r="C25" s="315"/>
      <c r="D25" s="445" t="s">
        <v>30</v>
      </c>
      <c r="E25" s="214" t="s">
        <v>13</v>
      </c>
      <c r="F25" s="214" t="s">
        <v>13</v>
      </c>
      <c r="G25" s="214" t="s">
        <v>13</v>
      </c>
      <c r="H25" s="214" t="s">
        <v>13</v>
      </c>
      <c r="I25" s="214" t="s">
        <v>13</v>
      </c>
      <c r="J25" s="214" t="s">
        <v>13</v>
      </c>
      <c r="K25" s="214" t="s">
        <v>13</v>
      </c>
      <c r="L25" s="214" t="s">
        <v>30</v>
      </c>
      <c r="M25" s="107"/>
      <c r="N25" s="108"/>
    </row>
    <row r="26" spans="1:14" ht="5.25" customHeight="1" thickBot="1">
      <c r="A26" s="442"/>
      <c r="B26" s="443"/>
      <c r="C26" s="316"/>
      <c r="D26" s="446"/>
      <c r="E26" s="215"/>
      <c r="F26" s="215"/>
      <c r="G26" s="215"/>
      <c r="H26" s="215"/>
      <c r="I26" s="215"/>
      <c r="J26" s="215"/>
      <c r="K26" s="215"/>
      <c r="L26" s="215"/>
      <c r="M26" s="107"/>
      <c r="N26" s="108"/>
    </row>
    <row r="27" spans="1:14" ht="21.95" customHeight="1" thickTop="1">
      <c r="A27" s="422"/>
      <c r="B27" s="423"/>
      <c r="C27" s="141"/>
      <c r="D27" s="75"/>
      <c r="E27" s="71"/>
      <c r="F27" s="71"/>
      <c r="G27" s="71"/>
      <c r="H27" s="71"/>
      <c r="I27" s="71"/>
      <c r="J27" s="71"/>
      <c r="K27" s="71"/>
      <c r="L27" s="71"/>
      <c r="M27" s="107"/>
      <c r="N27" s="108"/>
    </row>
    <row r="28" spans="1:14" ht="21.95" customHeight="1">
      <c r="A28" s="424"/>
      <c r="B28" s="425"/>
      <c r="C28" s="140"/>
      <c r="D28" s="44"/>
      <c r="E28" s="44"/>
      <c r="F28" s="44"/>
      <c r="G28" s="44"/>
      <c r="H28" s="44"/>
      <c r="I28" s="44"/>
      <c r="J28" s="44"/>
      <c r="K28" s="44"/>
      <c r="L28" s="44"/>
      <c r="M28" s="107"/>
      <c r="N28" s="108"/>
    </row>
    <row r="29" spans="1:14" ht="21.95" customHeight="1">
      <c r="A29" s="433"/>
      <c r="B29" s="434"/>
      <c r="C29" s="140"/>
      <c r="D29" s="44"/>
      <c r="E29" s="44"/>
      <c r="F29" s="44"/>
      <c r="G29" s="44"/>
      <c r="H29" s="44"/>
      <c r="I29" s="44"/>
      <c r="J29" s="44"/>
      <c r="K29" s="44"/>
      <c r="L29" s="44"/>
      <c r="M29" s="107"/>
      <c r="N29" s="108"/>
    </row>
    <row r="30" spans="1:14" ht="21.95" customHeight="1">
      <c r="A30" s="424"/>
      <c r="B30" s="425"/>
      <c r="C30" s="140"/>
      <c r="D30" s="44"/>
      <c r="E30" s="44"/>
      <c r="F30" s="44"/>
      <c r="G30" s="44"/>
      <c r="H30" s="44"/>
      <c r="I30" s="44"/>
      <c r="J30" s="44"/>
      <c r="K30" s="44"/>
      <c r="L30" s="44"/>
      <c r="M30" s="107"/>
      <c r="N30" s="108"/>
    </row>
    <row r="31" spans="1:14" ht="21.95" customHeight="1">
      <c r="A31" s="433"/>
      <c r="B31" s="434"/>
      <c r="C31" s="140"/>
      <c r="D31" s="44"/>
      <c r="E31" s="44"/>
      <c r="F31" s="44"/>
      <c r="G31" s="44"/>
      <c r="H31" s="44"/>
      <c r="I31" s="44"/>
      <c r="J31" s="44"/>
      <c r="K31" s="44"/>
      <c r="L31" s="44"/>
      <c r="M31" s="107"/>
      <c r="N31" s="108"/>
    </row>
    <row r="32" spans="1:14" ht="21.95" customHeight="1">
      <c r="A32" s="424"/>
      <c r="B32" s="425"/>
      <c r="C32" s="140"/>
      <c r="D32" s="44"/>
      <c r="E32" s="44"/>
      <c r="F32" s="44"/>
      <c r="G32" s="44"/>
      <c r="H32" s="44"/>
      <c r="I32" s="44"/>
      <c r="J32" s="44"/>
      <c r="K32" s="44"/>
      <c r="L32" s="44"/>
      <c r="M32" s="107"/>
      <c r="N32" s="108"/>
    </row>
    <row r="33" spans="1:14" ht="21.95" customHeight="1">
      <c r="A33" s="433"/>
      <c r="B33" s="434"/>
      <c r="C33" s="140"/>
      <c r="D33" s="44"/>
      <c r="E33" s="44"/>
      <c r="F33" s="44"/>
      <c r="G33" s="44"/>
      <c r="H33" s="44"/>
      <c r="I33" s="44"/>
      <c r="J33" s="44"/>
      <c r="K33" s="44"/>
      <c r="L33" s="44"/>
      <c r="M33" s="109"/>
      <c r="N33" s="110"/>
    </row>
    <row r="34" spans="1:14" ht="21.95" customHeight="1">
      <c r="A34" s="424"/>
      <c r="B34" s="425"/>
      <c r="C34" s="140"/>
      <c r="D34" s="44"/>
      <c r="E34" s="44"/>
      <c r="F34" s="44"/>
      <c r="G34" s="44"/>
      <c r="H34" s="44"/>
      <c r="I34" s="44"/>
      <c r="J34" s="44"/>
      <c r="K34" s="44"/>
      <c r="L34" s="44"/>
      <c r="M34" s="26"/>
      <c r="N34" s="25"/>
    </row>
    <row r="35" spans="1:14" ht="15.75">
      <c r="A35" s="447" t="s">
        <v>38</v>
      </c>
      <c r="B35" s="448"/>
      <c r="C35" s="449"/>
      <c r="D35" s="14"/>
      <c r="E35" s="15"/>
      <c r="F35" s="14"/>
      <c r="G35" s="37"/>
      <c r="H35" s="14"/>
      <c r="I35" s="115"/>
      <c r="J35" s="15"/>
      <c r="K35" s="95"/>
      <c r="L35" s="102"/>
      <c r="M35" s="93"/>
      <c r="N35" s="94"/>
    </row>
    <row r="36" spans="1:14" ht="45" customHeight="1">
      <c r="A36" s="312" t="s">
        <v>22</v>
      </c>
      <c r="B36" s="374"/>
      <c r="C36" s="275" t="s">
        <v>6</v>
      </c>
      <c r="D36" s="116"/>
      <c r="E36" s="116"/>
      <c r="F36" s="116"/>
      <c r="G36" s="116"/>
      <c r="H36" s="116"/>
      <c r="I36" s="116"/>
      <c r="J36" s="116"/>
      <c r="K36" s="116"/>
      <c r="L36" s="116"/>
      <c r="M36" s="100"/>
      <c r="N36" s="96"/>
    </row>
    <row r="37" spans="1:14" ht="12.75" customHeight="1">
      <c r="A37" s="313"/>
      <c r="B37" s="374"/>
      <c r="C37" s="315"/>
      <c r="D37" s="214" t="s">
        <v>13</v>
      </c>
      <c r="E37" s="214" t="s">
        <v>13</v>
      </c>
      <c r="F37" s="214" t="s">
        <v>13</v>
      </c>
      <c r="G37" s="214" t="s">
        <v>13</v>
      </c>
      <c r="H37" s="214" t="s">
        <v>13</v>
      </c>
      <c r="I37" s="214" t="s">
        <v>13</v>
      </c>
      <c r="J37" s="214" t="s">
        <v>13</v>
      </c>
      <c r="K37" s="214" t="s">
        <v>13</v>
      </c>
      <c r="L37" s="214" t="s">
        <v>13</v>
      </c>
      <c r="M37" s="214" t="s">
        <v>13</v>
      </c>
      <c r="N37" s="376" t="s">
        <v>13</v>
      </c>
    </row>
    <row r="38" spans="1:14" ht="3.75" customHeight="1" thickBot="1">
      <c r="A38" s="314"/>
      <c r="B38" s="432"/>
      <c r="C38" s="316"/>
      <c r="D38" s="215"/>
      <c r="E38" s="215"/>
      <c r="F38" s="215"/>
      <c r="G38" s="215"/>
      <c r="H38" s="215"/>
      <c r="I38" s="215"/>
      <c r="J38" s="215"/>
      <c r="K38" s="215"/>
      <c r="L38" s="215"/>
      <c r="M38" s="215"/>
      <c r="N38" s="377"/>
    </row>
    <row r="39" spans="1:14" ht="21.95" customHeight="1" thickTop="1">
      <c r="A39" s="422"/>
      <c r="B39" s="423"/>
      <c r="C39" s="69"/>
      <c r="D39" s="71"/>
      <c r="E39" s="71"/>
      <c r="F39" s="70"/>
      <c r="G39" s="72"/>
      <c r="H39" s="73"/>
      <c r="I39" s="71"/>
      <c r="J39" s="72"/>
      <c r="K39" s="70"/>
      <c r="L39" s="70"/>
      <c r="M39" s="72"/>
      <c r="N39" s="74"/>
    </row>
    <row r="40" spans="1:14" ht="21.95" customHeight="1">
      <c r="A40" s="424"/>
      <c r="B40" s="425"/>
      <c r="C40" s="16"/>
      <c r="D40" s="33"/>
      <c r="E40" s="33"/>
      <c r="F40" s="44"/>
      <c r="G40" s="35"/>
      <c r="H40" s="48"/>
      <c r="I40" s="33"/>
      <c r="J40" s="35"/>
      <c r="K40" s="44"/>
      <c r="L40" s="44"/>
      <c r="M40" s="35"/>
      <c r="N40" s="39"/>
    </row>
    <row r="41" spans="1:14" ht="21.95" customHeight="1">
      <c r="A41" s="433"/>
      <c r="B41" s="434"/>
      <c r="C41" s="18"/>
      <c r="D41" s="47"/>
      <c r="E41" s="47"/>
      <c r="F41" s="45"/>
      <c r="G41" s="43"/>
      <c r="H41" s="49"/>
      <c r="I41" s="47"/>
      <c r="J41" s="43"/>
      <c r="K41" s="45"/>
      <c r="L41" s="45"/>
      <c r="M41" s="43"/>
      <c r="N41" s="40"/>
    </row>
    <row r="42" spans="1:14" ht="21.95" customHeight="1">
      <c r="A42" s="424"/>
      <c r="B42" s="425"/>
      <c r="C42" s="17"/>
      <c r="D42" s="34"/>
      <c r="E42" s="34"/>
      <c r="F42" s="46"/>
      <c r="G42" s="36"/>
      <c r="H42" s="50"/>
      <c r="I42" s="34"/>
      <c r="J42" s="36"/>
      <c r="K42" s="46"/>
      <c r="L42" s="46"/>
      <c r="M42" s="36"/>
      <c r="N42" s="41"/>
    </row>
    <row r="43" spans="1:14" ht="21.95" customHeight="1">
      <c r="A43" s="433"/>
      <c r="B43" s="434"/>
      <c r="C43" s="17"/>
      <c r="D43" s="34"/>
      <c r="E43" s="34"/>
      <c r="F43" s="46"/>
      <c r="G43" s="36"/>
      <c r="H43" s="50"/>
      <c r="I43" s="34"/>
      <c r="J43" s="36"/>
      <c r="K43" s="46"/>
      <c r="L43" s="46"/>
      <c r="M43" s="36"/>
      <c r="N43" s="41"/>
    </row>
    <row r="44" spans="1:14" ht="21.95" customHeight="1">
      <c r="A44" s="424"/>
      <c r="B44" s="425"/>
      <c r="C44" s="17"/>
      <c r="D44" s="34"/>
      <c r="E44" s="34"/>
      <c r="F44" s="46"/>
      <c r="G44" s="36"/>
      <c r="H44" s="50"/>
      <c r="I44" s="34"/>
      <c r="J44" s="36"/>
      <c r="K44" s="46"/>
      <c r="L44" s="46"/>
      <c r="M44" s="36"/>
      <c r="N44" s="41"/>
    </row>
    <row r="45" spans="1:14" ht="21.95" customHeight="1">
      <c r="A45" s="433"/>
      <c r="B45" s="434"/>
      <c r="C45" s="17"/>
      <c r="D45" s="34"/>
      <c r="E45" s="34"/>
      <c r="F45" s="46"/>
      <c r="G45" s="36"/>
      <c r="H45" s="50"/>
      <c r="I45" s="34"/>
      <c r="J45" s="36"/>
      <c r="K45" s="46"/>
      <c r="L45" s="46"/>
      <c r="M45" s="36"/>
      <c r="N45" s="41"/>
    </row>
    <row r="46" spans="1:14" ht="21.95" customHeight="1">
      <c r="A46" s="424"/>
      <c r="B46" s="425"/>
      <c r="C46" s="17"/>
      <c r="D46" s="34"/>
      <c r="E46" s="34"/>
      <c r="F46" s="46"/>
      <c r="G46" s="36"/>
      <c r="H46" s="50"/>
      <c r="I46" s="34"/>
      <c r="J46" s="36"/>
      <c r="K46" s="46"/>
      <c r="L46" s="46"/>
      <c r="M46" s="36"/>
      <c r="N46" s="41"/>
    </row>
    <row r="47" spans="1:14" ht="16.5" thickBot="1">
      <c r="A47" s="363" t="s">
        <v>38</v>
      </c>
      <c r="B47" s="364"/>
      <c r="C47" s="365"/>
      <c r="D47" s="103"/>
      <c r="E47" s="104"/>
      <c r="F47" s="104"/>
      <c r="G47" s="104"/>
      <c r="H47" s="104"/>
      <c r="I47" s="104"/>
      <c r="J47" s="104"/>
      <c r="K47" s="104"/>
      <c r="L47" s="104"/>
      <c r="M47" s="104"/>
      <c r="N47" s="101"/>
    </row>
    <row r="48" spans="1:14">
      <c r="A48" s="125" t="s">
        <v>140</v>
      </c>
      <c r="M48" s="121" t="str">
        <f>Common!L48</f>
        <v>Last updated 1/23/2013</v>
      </c>
      <c r="N48" s="121" t="str">
        <f>Common!M48</f>
        <v>08-WQ-032</v>
      </c>
    </row>
  </sheetData>
  <mergeCells count="79">
    <mergeCell ref="M2:M3"/>
    <mergeCell ref="A6:C7"/>
    <mergeCell ref="D6:F7"/>
    <mergeCell ref="G6:I7"/>
    <mergeCell ref="J6:N7"/>
    <mergeCell ref="J4:J5"/>
    <mergeCell ref="K4:K5"/>
    <mergeCell ref="L4:L5"/>
    <mergeCell ref="M4:N5"/>
    <mergeCell ref="J8:J9"/>
    <mergeCell ref="K8:K9"/>
    <mergeCell ref="L8:N9"/>
    <mergeCell ref="A8:C9"/>
    <mergeCell ref="D8:F9"/>
    <mergeCell ref="G8:I9"/>
    <mergeCell ref="G4:H5"/>
    <mergeCell ref="I4:I5"/>
    <mergeCell ref="A45:B46"/>
    <mergeCell ref="A47:C47"/>
    <mergeCell ref="A1:N1"/>
    <mergeCell ref="A2:C3"/>
    <mergeCell ref="D2:F3"/>
    <mergeCell ref="G2:I3"/>
    <mergeCell ref="J2:K3"/>
    <mergeCell ref="L2:L3"/>
    <mergeCell ref="A4:C5"/>
    <mergeCell ref="D4:F5"/>
    <mergeCell ref="L37:L38"/>
    <mergeCell ref="M37:M38"/>
    <mergeCell ref="N37:N38"/>
    <mergeCell ref="A39:B40"/>
    <mergeCell ref="A41:B42"/>
    <mergeCell ref="A43:B44"/>
    <mergeCell ref="K37:K38"/>
    <mergeCell ref="A33:B34"/>
    <mergeCell ref="A35:C35"/>
    <mergeCell ref="A36:B38"/>
    <mergeCell ref="C36:C38"/>
    <mergeCell ref="D37:D38"/>
    <mergeCell ref="E37:E38"/>
    <mergeCell ref="F37:F38"/>
    <mergeCell ref="G37:G38"/>
    <mergeCell ref="H37:H38"/>
    <mergeCell ref="I37:I38"/>
    <mergeCell ref="J37:J38"/>
    <mergeCell ref="J25:J26"/>
    <mergeCell ref="K25:K26"/>
    <mergeCell ref="L25:L26"/>
    <mergeCell ref="A27:B28"/>
    <mergeCell ref="A29:B30"/>
    <mergeCell ref="H25:H26"/>
    <mergeCell ref="I25:I26"/>
    <mergeCell ref="A31:B32"/>
    <mergeCell ref="D25:D26"/>
    <mergeCell ref="E25:E26"/>
    <mergeCell ref="F25:F26"/>
    <mergeCell ref="G25:G26"/>
    <mergeCell ref="A17:B18"/>
    <mergeCell ref="A19:B20"/>
    <mergeCell ref="A21:B22"/>
    <mergeCell ref="A23:C23"/>
    <mergeCell ref="A24:B26"/>
    <mergeCell ref="C24:C26"/>
    <mergeCell ref="A15:B16"/>
    <mergeCell ref="A10:N10"/>
    <mergeCell ref="A11:N11"/>
    <mergeCell ref="A12:B14"/>
    <mergeCell ref="C12:C14"/>
    <mergeCell ref="D13:D14"/>
    <mergeCell ref="E13:E14"/>
    <mergeCell ref="F13:F14"/>
    <mergeCell ref="G13:G14"/>
    <mergeCell ref="H13:H14"/>
    <mergeCell ref="I13:I14"/>
    <mergeCell ref="J13:J14"/>
    <mergeCell ref="K13:K14"/>
    <mergeCell ref="L13:L14"/>
    <mergeCell ref="M13:M14"/>
    <mergeCell ref="N13:N14"/>
  </mergeCells>
  <printOptions horizontalCentered="1" verticalCentered="1"/>
  <pageMargins left="0.25" right="0.25" top="0.25" bottom="0.25" header="0" footer="0"/>
  <pageSetup scale="65" orientation="landscape" r:id="rId1"/>
  <ignoredErrors>
    <ignoredError sqref="D2 D4 D6 D8 J2 J4 J6 J8 M4 L8" unlockedFormula="1"/>
  </ignoredErrors>
</worksheet>
</file>

<file path=xl/worksheets/sheet4.xml><?xml version="1.0" encoding="utf-8"?>
<worksheet xmlns="http://schemas.openxmlformats.org/spreadsheetml/2006/main" xmlns:r="http://schemas.openxmlformats.org/officeDocument/2006/relationships">
  <dimension ref="A1:A44"/>
  <sheetViews>
    <sheetView tabSelected="1" workbookViewId="0">
      <selection activeCell="A2" sqref="A2"/>
    </sheetView>
  </sheetViews>
  <sheetFormatPr defaultRowHeight="12.75"/>
  <cols>
    <col min="1" max="1" width="81.7109375" customWidth="1"/>
  </cols>
  <sheetData>
    <row r="1" spans="1:1" ht="18.75">
      <c r="A1" s="188" t="s">
        <v>102</v>
      </c>
    </row>
    <row r="2" spans="1:1" ht="37.5">
      <c r="A2" s="188" t="s">
        <v>103</v>
      </c>
    </row>
    <row r="3" spans="1:1" ht="18.75">
      <c r="A3" s="188"/>
    </row>
    <row r="4" spans="1:1" ht="15">
      <c r="A4" s="189" t="s">
        <v>104</v>
      </c>
    </row>
    <row r="5" spans="1:1" ht="15">
      <c r="A5" s="190" t="s">
        <v>114</v>
      </c>
    </row>
    <row r="6" spans="1:1" ht="15">
      <c r="A6" s="190" t="s">
        <v>115</v>
      </c>
    </row>
    <row r="7" spans="1:1" ht="15">
      <c r="A7" s="190" t="s">
        <v>116</v>
      </c>
    </row>
    <row r="8" spans="1:1" ht="15">
      <c r="A8" s="190" t="s">
        <v>117</v>
      </c>
    </row>
    <row r="9" spans="1:1" ht="30">
      <c r="A9" s="190" t="s">
        <v>118</v>
      </c>
    </row>
    <row r="10" spans="1:1" ht="30">
      <c r="A10" s="190" t="s">
        <v>119</v>
      </c>
    </row>
    <row r="11" spans="1:1" ht="15">
      <c r="A11" s="191"/>
    </row>
    <row r="12" spans="1:1" ht="15">
      <c r="A12" s="189" t="s">
        <v>105</v>
      </c>
    </row>
    <row r="13" spans="1:1" ht="15">
      <c r="A13" s="190" t="s">
        <v>120</v>
      </c>
    </row>
    <row r="14" spans="1:1" ht="15">
      <c r="A14" s="190" t="s">
        <v>121</v>
      </c>
    </row>
    <row r="15" spans="1:1" ht="15">
      <c r="A15" s="190" t="s">
        <v>122</v>
      </c>
    </row>
    <row r="16" spans="1:1" ht="15">
      <c r="A16" s="191"/>
    </row>
    <row r="17" spans="1:1" ht="15">
      <c r="A17" s="189" t="s">
        <v>106</v>
      </c>
    </row>
    <row r="18" spans="1:1" ht="30">
      <c r="A18" s="191" t="s">
        <v>107</v>
      </c>
    </row>
    <row r="19" spans="1:1" ht="15">
      <c r="A19" s="191" t="s">
        <v>108</v>
      </c>
    </row>
    <row r="20" spans="1:1" ht="15">
      <c r="A20" s="190" t="s">
        <v>123</v>
      </c>
    </row>
    <row r="21" spans="1:1" ht="15">
      <c r="A21" s="190" t="s">
        <v>124</v>
      </c>
    </row>
    <row r="22" spans="1:1" ht="15">
      <c r="A22" s="191" t="s">
        <v>109</v>
      </c>
    </row>
    <row r="23" spans="1:1" ht="15">
      <c r="A23" s="190" t="s">
        <v>125</v>
      </c>
    </row>
    <row r="24" spans="1:1" ht="15">
      <c r="A24" s="190" t="s">
        <v>126</v>
      </c>
    </row>
    <row r="25" spans="1:1" ht="15">
      <c r="A25" s="191" t="s">
        <v>110</v>
      </c>
    </row>
    <row r="26" spans="1:1" ht="15">
      <c r="A26" s="190" t="s">
        <v>127</v>
      </c>
    </row>
    <row r="27" spans="1:1" ht="15">
      <c r="A27" s="190" t="s">
        <v>128</v>
      </c>
    </row>
    <row r="28" spans="1:1" ht="15">
      <c r="A28" s="190" t="s">
        <v>129</v>
      </c>
    </row>
    <row r="29" spans="1:1" ht="15">
      <c r="A29" s="190" t="s">
        <v>130</v>
      </c>
    </row>
    <row r="30" spans="1:1" ht="15">
      <c r="A30" s="190" t="s">
        <v>131</v>
      </c>
    </row>
    <row r="31" spans="1:1" ht="15">
      <c r="A31" s="191"/>
    </row>
    <row r="32" spans="1:1" ht="15">
      <c r="A32" s="189" t="s">
        <v>111</v>
      </c>
    </row>
    <row r="33" spans="1:1" ht="15">
      <c r="A33" s="190" t="s">
        <v>132</v>
      </c>
    </row>
    <row r="34" spans="1:1" ht="30">
      <c r="A34" s="190" t="s">
        <v>133</v>
      </c>
    </row>
    <row r="35" spans="1:1" ht="15">
      <c r="A35" s="190" t="s">
        <v>134</v>
      </c>
    </row>
    <row r="36" spans="1:1" ht="30">
      <c r="A36" s="190" t="s">
        <v>135</v>
      </c>
    </row>
    <row r="37" spans="1:1" ht="15">
      <c r="A37" s="190" t="s">
        <v>122</v>
      </c>
    </row>
    <row r="38" spans="1:1" ht="15">
      <c r="A38" s="191"/>
    </row>
    <row r="39" spans="1:1" ht="15">
      <c r="A39" s="189" t="s">
        <v>112</v>
      </c>
    </row>
    <row r="40" spans="1:1" ht="15">
      <c r="A40" s="190" t="s">
        <v>138</v>
      </c>
    </row>
    <row r="41" spans="1:1" ht="15">
      <c r="A41" s="190" t="s">
        <v>136</v>
      </c>
    </row>
    <row r="42" spans="1:1" ht="45">
      <c r="A42" s="190" t="s">
        <v>137</v>
      </c>
    </row>
    <row r="43" spans="1:1" ht="15">
      <c r="A43" s="192" t="s">
        <v>113</v>
      </c>
    </row>
    <row r="44" spans="1:1" ht="15">
      <c r="A44" s="19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Q457"/>
  <sheetViews>
    <sheetView workbookViewId="0">
      <selection activeCell="I1" sqref="I1"/>
    </sheetView>
  </sheetViews>
  <sheetFormatPr defaultRowHeight="12.75"/>
  <cols>
    <col min="1" max="1" width="10.85546875" bestFit="1" customWidth="1"/>
    <col min="2" max="2" width="14" bestFit="1" customWidth="1"/>
    <col min="3" max="3" width="8" bestFit="1" customWidth="1"/>
    <col min="4" max="4" width="6.85546875" bestFit="1" customWidth="1"/>
    <col min="5" max="5" width="9.28515625" bestFit="1" customWidth="1"/>
    <col min="6" max="6" width="13.42578125" bestFit="1" customWidth="1"/>
    <col min="7" max="7" width="9.7109375" bestFit="1" customWidth="1"/>
    <col min="8" max="8" width="10.140625" bestFit="1" customWidth="1"/>
    <col min="9" max="10" width="10.140625" customWidth="1"/>
    <col min="11" max="11" width="15" bestFit="1" customWidth="1"/>
    <col min="12" max="12" width="10.85546875" style="136" customWidth="1"/>
    <col min="13" max="13" width="21.28515625" customWidth="1"/>
    <col min="14" max="14" width="8.5703125" bestFit="1" customWidth="1"/>
    <col min="15" max="15" width="6.28515625" bestFit="1" customWidth="1"/>
  </cols>
  <sheetData>
    <row r="1" spans="1:17">
      <c r="A1" s="27" t="s">
        <v>63</v>
      </c>
      <c r="B1" s="27" t="s">
        <v>64</v>
      </c>
      <c r="C1" s="27" t="s">
        <v>65</v>
      </c>
      <c r="D1" s="27" t="s">
        <v>66</v>
      </c>
      <c r="E1" s="27" t="s">
        <v>67</v>
      </c>
      <c r="F1" s="27" t="s">
        <v>69</v>
      </c>
      <c r="G1" s="27" t="s">
        <v>70</v>
      </c>
      <c r="H1" s="27" t="s">
        <v>71</v>
      </c>
      <c r="I1" s="27" t="s">
        <v>139</v>
      </c>
      <c r="J1" s="27" t="s">
        <v>77</v>
      </c>
      <c r="K1" s="27" t="s">
        <v>72</v>
      </c>
      <c r="L1" s="135" t="s">
        <v>73</v>
      </c>
      <c r="M1" s="27" t="s">
        <v>74</v>
      </c>
      <c r="N1" s="27" t="s">
        <v>75</v>
      </c>
      <c r="O1" s="27" t="s">
        <v>76</v>
      </c>
      <c r="P1" s="27" t="s">
        <v>82</v>
      </c>
      <c r="Q1" s="27" t="s">
        <v>83</v>
      </c>
    </row>
    <row r="2" spans="1:17">
      <c r="A2" t="str">
        <f>IF(ISBLANK(Common!C$2),"",Common!C$2)</f>
        <v/>
      </c>
      <c r="B2" t="str">
        <f>IF(ISBLANK(Common!C$4),"",Common!C$4)</f>
        <v/>
      </c>
      <c r="C2" t="str">
        <f>IF(ISBLANK(Common!C$6),"",Common!C$6)</f>
        <v/>
      </c>
      <c r="D2" t="str">
        <f>IF(ISBLANK(Common!C$8),"",Common!C$8)</f>
        <v/>
      </c>
      <c r="E2" t="str">
        <f>IF(ISBLANK(Common!I$2),"",Common!I$2)</f>
        <v/>
      </c>
      <c r="F2" t="str">
        <f>IF(ISBLANK(Common!I$4),"",Common!I$4)</f>
        <v/>
      </c>
      <c r="G2" t="str">
        <f>IF(ISBLANK(Common!I$6),"",Common!I$6)</f>
        <v/>
      </c>
      <c r="H2" t="str">
        <f>IF(ISBLANK(Common!I$8),"",Common!I$8)</f>
        <v/>
      </c>
      <c r="I2" t="str">
        <f>IF(ISBLANK(Common!K$8),"",Common!K$8)</f>
        <v/>
      </c>
      <c r="J2" s="27" t="s">
        <v>78</v>
      </c>
      <c r="K2">
        <f>Common!A16</f>
        <v>0</v>
      </c>
      <c r="L2" s="136">
        <f>Common!B16</f>
        <v>0</v>
      </c>
      <c r="M2" t="str">
        <f>Common!C13</f>
        <v>pH</v>
      </c>
      <c r="N2" t="str">
        <f>Common!C14</f>
        <v>s.u.</v>
      </c>
      <c r="O2" t="str">
        <f>IF(ISBLANK(Common!C16),"",Common!C16)</f>
        <v/>
      </c>
      <c r="P2">
        <v>9</v>
      </c>
      <c r="Q2">
        <v>5.5</v>
      </c>
    </row>
    <row r="3" spans="1:17">
      <c r="A3" t="str">
        <f>IF(ISBLANK(Common!C$2),"",Common!C$2)</f>
        <v/>
      </c>
      <c r="B3" t="str">
        <f>IF(ISBLANK(Common!C$4),"",Common!C$4)</f>
        <v/>
      </c>
      <c r="C3" t="str">
        <f>IF(ISBLANK(Common!C$6),"",Common!C$6)</f>
        <v/>
      </c>
      <c r="D3" t="str">
        <f>IF(ISBLANK(Common!C$8),"",Common!C$8)</f>
        <v/>
      </c>
      <c r="E3" t="str">
        <f>IF(ISBLANK(Common!I$2),"",Common!I$2)</f>
        <v/>
      </c>
      <c r="F3" t="str">
        <f>IF(ISBLANK(Common!I$4),"",Common!I$4)</f>
        <v/>
      </c>
      <c r="G3" t="str">
        <f>IF(ISBLANK(Common!I$6),"",Common!I$6)</f>
        <v/>
      </c>
      <c r="H3" t="str">
        <f>IF(ISBLANK(Common!I$8),"",Common!I$8)</f>
        <v/>
      </c>
      <c r="I3" t="str">
        <f>IF(ISBLANK(Common!K$8),"",Common!K$8)</f>
        <v/>
      </c>
      <c r="J3" s="27" t="s">
        <v>78</v>
      </c>
      <c r="K3">
        <f>K2</f>
        <v>0</v>
      </c>
      <c r="L3" s="136">
        <f>Common!B17</f>
        <v>0</v>
      </c>
      <c r="M3" t="str">
        <f t="shared" ref="M3:M5" si="0">M2</f>
        <v>pH</v>
      </c>
      <c r="N3" t="str">
        <f t="shared" ref="N3:N5" si="1">N2</f>
        <v>s.u.</v>
      </c>
      <c r="O3" t="str">
        <f>IF(ISBLANK(Common!C17),"",Common!C17)</f>
        <v/>
      </c>
      <c r="P3">
        <v>9</v>
      </c>
      <c r="Q3">
        <v>5.5</v>
      </c>
    </row>
    <row r="4" spans="1:17">
      <c r="A4" t="str">
        <f>IF(ISBLANK(Common!C$2),"",Common!C$2)</f>
        <v/>
      </c>
      <c r="B4" t="str">
        <f>IF(ISBLANK(Common!C$4),"",Common!C$4)</f>
        <v/>
      </c>
      <c r="C4" t="str">
        <f>IF(ISBLANK(Common!C$6),"",Common!C$6)</f>
        <v/>
      </c>
      <c r="D4" t="str">
        <f>IF(ISBLANK(Common!C$8),"",Common!C$8)</f>
        <v/>
      </c>
      <c r="E4" t="str">
        <f>IF(ISBLANK(Common!I$2),"",Common!I$2)</f>
        <v/>
      </c>
      <c r="F4" t="str">
        <f>IF(ISBLANK(Common!I$4),"",Common!I$4)</f>
        <v/>
      </c>
      <c r="G4" t="str">
        <f>IF(ISBLANK(Common!I$6),"",Common!I$6)</f>
        <v/>
      </c>
      <c r="H4" t="str">
        <f>IF(ISBLANK(Common!I$8),"",Common!I$8)</f>
        <v/>
      </c>
      <c r="I4" t="str">
        <f>IF(ISBLANK(Common!K$8),"",Common!K$8)</f>
        <v/>
      </c>
      <c r="J4" s="27" t="s">
        <v>78</v>
      </c>
      <c r="K4">
        <f t="shared" ref="K4:K5" si="2">K3</f>
        <v>0</v>
      </c>
      <c r="L4" s="136">
        <f>Common!B18</f>
        <v>0</v>
      </c>
      <c r="M4" t="str">
        <f t="shared" si="0"/>
        <v>pH</v>
      </c>
      <c r="N4" t="str">
        <f t="shared" si="1"/>
        <v>s.u.</v>
      </c>
      <c r="O4" t="str">
        <f>IF(ISBLANK(Common!C18),"",Common!C18)</f>
        <v/>
      </c>
      <c r="P4">
        <v>9</v>
      </c>
      <c r="Q4">
        <v>5.5</v>
      </c>
    </row>
    <row r="5" spans="1:17">
      <c r="A5" t="str">
        <f>IF(ISBLANK(Common!C$2),"",Common!C$2)</f>
        <v/>
      </c>
      <c r="B5" t="str">
        <f>IF(ISBLANK(Common!C$4),"",Common!C$4)</f>
        <v/>
      </c>
      <c r="C5" t="str">
        <f>IF(ISBLANK(Common!C$6),"",Common!C$6)</f>
        <v/>
      </c>
      <c r="D5" t="str">
        <f>IF(ISBLANK(Common!C$8),"",Common!C$8)</f>
        <v/>
      </c>
      <c r="E5" t="str">
        <f>IF(ISBLANK(Common!I$2),"",Common!I$2)</f>
        <v/>
      </c>
      <c r="F5" t="str">
        <f>IF(ISBLANK(Common!I$4),"",Common!I$4)</f>
        <v/>
      </c>
      <c r="G5" t="str">
        <f>IF(ISBLANK(Common!I$6),"",Common!I$6)</f>
        <v/>
      </c>
      <c r="H5" t="str">
        <f>IF(ISBLANK(Common!I$8),"",Common!I$8)</f>
        <v/>
      </c>
      <c r="I5" t="str">
        <f>IF(ISBLANK(Common!K$8),"",Common!K$8)</f>
        <v/>
      </c>
      <c r="J5" s="27" t="s">
        <v>78</v>
      </c>
      <c r="K5">
        <f t="shared" si="2"/>
        <v>0</v>
      </c>
      <c r="L5" s="136">
        <f>Common!B19</f>
        <v>0</v>
      </c>
      <c r="M5" t="str">
        <f t="shared" si="0"/>
        <v>pH</v>
      </c>
      <c r="N5" t="str">
        <f t="shared" si="1"/>
        <v>s.u.</v>
      </c>
      <c r="O5" t="str">
        <f>IF(ISBLANK(Common!C19),"",Common!C19)</f>
        <v/>
      </c>
      <c r="P5">
        <v>9</v>
      </c>
      <c r="Q5">
        <v>5.5</v>
      </c>
    </row>
    <row r="6" spans="1:17">
      <c r="A6" t="str">
        <f>IF(ISBLANK(Common!C$2),"",Common!C$2)</f>
        <v/>
      </c>
      <c r="B6" t="str">
        <f>IF(ISBLANK(Common!C$4),"",Common!C$4)</f>
        <v/>
      </c>
      <c r="C6" t="str">
        <f>IF(ISBLANK(Common!C$6),"",Common!C$6)</f>
        <v/>
      </c>
      <c r="D6" t="str">
        <f>IF(ISBLANK(Common!C$8),"",Common!C$8)</f>
        <v/>
      </c>
      <c r="E6" t="str">
        <f>IF(ISBLANK(Common!I$2),"",Common!I$2)</f>
        <v/>
      </c>
      <c r="F6" t="str">
        <f>IF(ISBLANK(Common!I$4),"",Common!I$4)</f>
        <v/>
      </c>
      <c r="G6" t="str">
        <f>IF(ISBLANK(Common!I$6),"",Common!I$6)</f>
        <v/>
      </c>
      <c r="H6" t="str">
        <f>IF(ISBLANK(Common!I$8),"",Common!I$8)</f>
        <v/>
      </c>
      <c r="I6" t="str">
        <f>IF(ISBLANK(Common!K$8),"",Common!K$8)</f>
        <v/>
      </c>
      <c r="J6" s="27" t="s">
        <v>78</v>
      </c>
      <c r="K6">
        <f t="shared" ref="K6:K29" si="3">K5</f>
        <v>0</v>
      </c>
      <c r="L6" s="136">
        <f>L2</f>
        <v>0</v>
      </c>
      <c r="M6" t="str">
        <f>Common!D13</f>
        <v>Suspended Solids, Total</v>
      </c>
      <c r="N6" t="str">
        <f>Common!D14</f>
        <v>mg/L</v>
      </c>
      <c r="O6" t="str">
        <f>IF(ISBLANK(Common!D16),"",Common!D16)</f>
        <v/>
      </c>
      <c r="P6" s="137">
        <f>Common!D$36</f>
        <v>50</v>
      </c>
    </row>
    <row r="7" spans="1:17">
      <c r="A7" t="str">
        <f>IF(ISBLANK(Common!C$2),"",Common!C$2)</f>
        <v/>
      </c>
      <c r="B7" t="str">
        <f>IF(ISBLANK(Common!C$4),"",Common!C$4)</f>
        <v/>
      </c>
      <c r="C7" t="str">
        <f>IF(ISBLANK(Common!C$6),"",Common!C$6)</f>
        <v/>
      </c>
      <c r="D7" t="str">
        <f>IF(ISBLANK(Common!C$8),"",Common!C$8)</f>
        <v/>
      </c>
      <c r="E7" t="str">
        <f>IF(ISBLANK(Common!I$2),"",Common!I$2)</f>
        <v/>
      </c>
      <c r="F7" t="str">
        <f>IF(ISBLANK(Common!I$4),"",Common!I$4)</f>
        <v/>
      </c>
      <c r="G7" t="str">
        <f>IF(ISBLANK(Common!I$6),"",Common!I$6)</f>
        <v/>
      </c>
      <c r="H7" t="str">
        <f>IF(ISBLANK(Common!I$8),"",Common!I$8)</f>
        <v/>
      </c>
      <c r="I7" t="str">
        <f>IF(ISBLANK(Common!K$8),"",Common!K$8)</f>
        <v/>
      </c>
      <c r="J7" s="27" t="s">
        <v>78</v>
      </c>
      <c r="K7">
        <f t="shared" si="3"/>
        <v>0</v>
      </c>
      <c r="L7" s="136">
        <f t="shared" ref="L7:L70" si="4">L3</f>
        <v>0</v>
      </c>
      <c r="M7" t="str">
        <f t="shared" ref="M7:M29" si="5">M6</f>
        <v>Suspended Solids, Total</v>
      </c>
      <c r="N7" t="str">
        <f t="shared" ref="N7:N29" si="6">N6</f>
        <v>mg/L</v>
      </c>
      <c r="O7" t="str">
        <f>IF(ISBLANK(Common!D17),"",Common!D17)</f>
        <v/>
      </c>
      <c r="P7" s="137">
        <f>Common!D$36</f>
        <v>50</v>
      </c>
    </row>
    <row r="8" spans="1:17">
      <c r="A8" t="str">
        <f>IF(ISBLANK(Common!C$2),"",Common!C$2)</f>
        <v/>
      </c>
      <c r="B8" t="str">
        <f>IF(ISBLANK(Common!C$4),"",Common!C$4)</f>
        <v/>
      </c>
      <c r="C8" t="str">
        <f>IF(ISBLANK(Common!C$6),"",Common!C$6)</f>
        <v/>
      </c>
      <c r="D8" t="str">
        <f>IF(ISBLANK(Common!C$8),"",Common!C$8)</f>
        <v/>
      </c>
      <c r="E8" t="str">
        <f>IF(ISBLANK(Common!I$2),"",Common!I$2)</f>
        <v/>
      </c>
      <c r="F8" t="str">
        <f>IF(ISBLANK(Common!I$4),"",Common!I$4)</f>
        <v/>
      </c>
      <c r="G8" t="str">
        <f>IF(ISBLANK(Common!I$6),"",Common!I$6)</f>
        <v/>
      </c>
      <c r="H8" t="str">
        <f>IF(ISBLANK(Common!I$8),"",Common!I$8)</f>
        <v/>
      </c>
      <c r="I8" t="str">
        <f>IF(ISBLANK(Common!K$8),"",Common!K$8)</f>
        <v/>
      </c>
      <c r="J8" s="27" t="s">
        <v>78</v>
      </c>
      <c r="K8">
        <f t="shared" si="3"/>
        <v>0</v>
      </c>
      <c r="L8" s="136">
        <f t="shared" si="4"/>
        <v>0</v>
      </c>
      <c r="M8" t="str">
        <f t="shared" si="5"/>
        <v>Suspended Solids, Total</v>
      </c>
      <c r="N8" t="str">
        <f t="shared" si="6"/>
        <v>mg/L</v>
      </c>
      <c r="O8" t="str">
        <f>IF(ISBLANK(Common!D18),"",Common!D18)</f>
        <v/>
      </c>
      <c r="P8" s="137">
        <f>Common!D$36</f>
        <v>50</v>
      </c>
    </row>
    <row r="9" spans="1:17">
      <c r="A9" t="str">
        <f>IF(ISBLANK(Common!C$2),"",Common!C$2)</f>
        <v/>
      </c>
      <c r="B9" t="str">
        <f>IF(ISBLANK(Common!C$4),"",Common!C$4)</f>
        <v/>
      </c>
      <c r="C9" t="str">
        <f>IF(ISBLANK(Common!C$6),"",Common!C$6)</f>
        <v/>
      </c>
      <c r="D9" t="str">
        <f>IF(ISBLANK(Common!C$8),"",Common!C$8)</f>
        <v/>
      </c>
      <c r="E9" t="str">
        <f>IF(ISBLANK(Common!I$2),"",Common!I$2)</f>
        <v/>
      </c>
      <c r="F9" t="str">
        <f>IF(ISBLANK(Common!I$4),"",Common!I$4)</f>
        <v/>
      </c>
      <c r="G9" t="str">
        <f>IF(ISBLANK(Common!I$6),"",Common!I$6)</f>
        <v/>
      </c>
      <c r="H9" t="str">
        <f>IF(ISBLANK(Common!I$8),"",Common!I$8)</f>
        <v/>
      </c>
      <c r="I9" t="str">
        <f>IF(ISBLANK(Common!K$8),"",Common!K$8)</f>
        <v/>
      </c>
      <c r="J9" s="27" t="s">
        <v>78</v>
      </c>
      <c r="K9">
        <f t="shared" si="3"/>
        <v>0</v>
      </c>
      <c r="L9" s="136">
        <f t="shared" si="4"/>
        <v>0</v>
      </c>
      <c r="M9" t="str">
        <f t="shared" si="5"/>
        <v>Suspended Solids, Total</v>
      </c>
      <c r="N9" t="str">
        <f t="shared" si="6"/>
        <v>mg/L</v>
      </c>
      <c r="O9" t="str">
        <f>IF(ISBLANK(Common!D19),"",Common!D19)</f>
        <v/>
      </c>
      <c r="P9" s="137">
        <f>Common!D$36</f>
        <v>50</v>
      </c>
    </row>
    <row r="10" spans="1:17">
      <c r="A10" t="str">
        <f>IF(ISBLANK(Common!C$2),"",Common!C$2)</f>
        <v/>
      </c>
      <c r="B10" t="str">
        <f>IF(ISBLANK(Common!C$4),"",Common!C$4)</f>
        <v/>
      </c>
      <c r="C10" t="str">
        <f>IF(ISBLANK(Common!C$6),"",Common!C$6)</f>
        <v/>
      </c>
      <c r="D10" t="str">
        <f>IF(ISBLANK(Common!C$8),"",Common!C$8)</f>
        <v/>
      </c>
      <c r="E10" t="str">
        <f>IF(ISBLANK(Common!I$2),"",Common!I$2)</f>
        <v/>
      </c>
      <c r="F10" t="str">
        <f>IF(ISBLANK(Common!I$4),"",Common!I$4)</f>
        <v/>
      </c>
      <c r="G10" t="str">
        <f>IF(ISBLANK(Common!I$6),"",Common!I$6)</f>
        <v/>
      </c>
      <c r="H10" t="str">
        <f>IF(ISBLANK(Common!I$8),"",Common!I$8)</f>
        <v/>
      </c>
      <c r="I10" t="str">
        <f>IF(ISBLANK(Common!K$8),"",Common!K$8)</f>
        <v/>
      </c>
      <c r="J10" s="27" t="s">
        <v>78</v>
      </c>
      <c r="K10">
        <f t="shared" si="3"/>
        <v>0</v>
      </c>
      <c r="L10" s="136">
        <f t="shared" si="4"/>
        <v>0</v>
      </c>
      <c r="M10" t="str">
        <f>Common!E13</f>
        <v>Oil and Grease, Total</v>
      </c>
      <c r="N10" t="str">
        <f>Common!E14</f>
        <v>mg/L</v>
      </c>
      <c r="O10" t="str">
        <f>IF(ISBLANK(Common!E16),"",Common!E16)</f>
        <v/>
      </c>
      <c r="P10" s="137">
        <f>Common!E$36</f>
        <v>10</v>
      </c>
    </row>
    <row r="11" spans="1:17">
      <c r="A11" t="str">
        <f>IF(ISBLANK(Common!C$2),"",Common!C$2)</f>
        <v/>
      </c>
      <c r="B11" t="str">
        <f>IF(ISBLANK(Common!C$4),"",Common!C$4)</f>
        <v/>
      </c>
      <c r="C11" t="str">
        <f>IF(ISBLANK(Common!C$6),"",Common!C$6)</f>
        <v/>
      </c>
      <c r="D11" t="str">
        <f>IF(ISBLANK(Common!C$8),"",Common!C$8)</f>
        <v/>
      </c>
      <c r="E11" t="str">
        <f>IF(ISBLANK(Common!I$2),"",Common!I$2)</f>
        <v/>
      </c>
      <c r="F11" t="str">
        <f>IF(ISBLANK(Common!I$4),"",Common!I$4)</f>
        <v/>
      </c>
      <c r="G11" t="str">
        <f>IF(ISBLANK(Common!I$6),"",Common!I$6)</f>
        <v/>
      </c>
      <c r="H11" t="str">
        <f>IF(ISBLANK(Common!I$8),"",Common!I$8)</f>
        <v/>
      </c>
      <c r="I11" t="str">
        <f>IF(ISBLANK(Common!K$8),"",Common!K$8)</f>
        <v/>
      </c>
      <c r="J11" s="27" t="s">
        <v>78</v>
      </c>
      <c r="K11">
        <f t="shared" si="3"/>
        <v>0</v>
      </c>
      <c r="L11" s="136">
        <f t="shared" si="4"/>
        <v>0</v>
      </c>
      <c r="M11" t="str">
        <f t="shared" si="5"/>
        <v>Oil and Grease, Total</v>
      </c>
      <c r="N11" t="str">
        <f t="shared" si="6"/>
        <v>mg/L</v>
      </c>
      <c r="O11" t="str">
        <f>IF(ISBLANK(Common!E17),"",Common!E17)</f>
        <v/>
      </c>
      <c r="P11" s="137">
        <f>Common!E$36</f>
        <v>10</v>
      </c>
    </row>
    <row r="12" spans="1:17">
      <c r="A12" t="str">
        <f>IF(ISBLANK(Common!C$2),"",Common!C$2)</f>
        <v/>
      </c>
      <c r="B12" t="str">
        <f>IF(ISBLANK(Common!C$4),"",Common!C$4)</f>
        <v/>
      </c>
      <c r="C12" t="str">
        <f>IF(ISBLANK(Common!C$6),"",Common!C$6)</f>
        <v/>
      </c>
      <c r="D12" t="str">
        <f>IF(ISBLANK(Common!C$8),"",Common!C$8)</f>
        <v/>
      </c>
      <c r="E12" t="str">
        <f>IF(ISBLANK(Common!I$2),"",Common!I$2)</f>
        <v/>
      </c>
      <c r="F12" t="str">
        <f>IF(ISBLANK(Common!I$4),"",Common!I$4)</f>
        <v/>
      </c>
      <c r="G12" t="str">
        <f>IF(ISBLANK(Common!I$6),"",Common!I$6)</f>
        <v/>
      </c>
      <c r="H12" t="str">
        <f>IF(ISBLANK(Common!I$8),"",Common!I$8)</f>
        <v/>
      </c>
      <c r="I12" t="str">
        <f>IF(ISBLANK(Common!K$8),"",Common!K$8)</f>
        <v/>
      </c>
      <c r="J12" s="27" t="s">
        <v>78</v>
      </c>
      <c r="K12">
        <f t="shared" si="3"/>
        <v>0</v>
      </c>
      <c r="L12" s="136">
        <f t="shared" si="4"/>
        <v>0</v>
      </c>
      <c r="M12" t="str">
        <f t="shared" si="5"/>
        <v>Oil and Grease, Total</v>
      </c>
      <c r="N12" t="str">
        <f t="shared" si="6"/>
        <v>mg/L</v>
      </c>
      <c r="O12" t="str">
        <f>IF(ISBLANK(Common!E18),"",Common!E18)</f>
        <v/>
      </c>
      <c r="P12" s="137">
        <f>Common!E$36</f>
        <v>10</v>
      </c>
    </row>
    <row r="13" spans="1:17">
      <c r="A13" t="str">
        <f>IF(ISBLANK(Common!C$2),"",Common!C$2)</f>
        <v/>
      </c>
      <c r="B13" t="str">
        <f>IF(ISBLANK(Common!C$4),"",Common!C$4)</f>
        <v/>
      </c>
      <c r="C13" t="str">
        <f>IF(ISBLANK(Common!C$6),"",Common!C$6)</f>
        <v/>
      </c>
      <c r="D13" t="str">
        <f>IF(ISBLANK(Common!C$8),"",Common!C$8)</f>
        <v/>
      </c>
      <c r="E13" t="str">
        <f>IF(ISBLANK(Common!I$2),"",Common!I$2)</f>
        <v/>
      </c>
      <c r="F13" t="str">
        <f>IF(ISBLANK(Common!I$4),"",Common!I$4)</f>
        <v/>
      </c>
      <c r="G13" t="str">
        <f>IF(ISBLANK(Common!I$6),"",Common!I$6)</f>
        <v/>
      </c>
      <c r="H13" t="str">
        <f>IF(ISBLANK(Common!I$8),"",Common!I$8)</f>
        <v/>
      </c>
      <c r="I13" t="str">
        <f>IF(ISBLANK(Common!K$8),"",Common!K$8)</f>
        <v/>
      </c>
      <c r="J13" s="27" t="s">
        <v>78</v>
      </c>
      <c r="K13">
        <f t="shared" si="3"/>
        <v>0</v>
      </c>
      <c r="L13" s="136">
        <f t="shared" si="4"/>
        <v>0</v>
      </c>
      <c r="M13" t="str">
        <f t="shared" si="5"/>
        <v>Oil and Grease, Total</v>
      </c>
      <c r="N13" t="str">
        <f t="shared" si="6"/>
        <v>mg/L</v>
      </c>
      <c r="O13" t="str">
        <f>IF(ISBLANK(Common!E19),"",Common!E19)</f>
        <v/>
      </c>
      <c r="P13" s="137">
        <f>Common!E$36</f>
        <v>10</v>
      </c>
    </row>
    <row r="14" spans="1:17">
      <c r="A14" t="str">
        <f>IF(ISBLANK(Common!C$2),"",Common!C$2)</f>
        <v/>
      </c>
      <c r="B14" t="str">
        <f>IF(ISBLANK(Common!C$4),"",Common!C$4)</f>
        <v/>
      </c>
      <c r="C14" t="str">
        <f>IF(ISBLANK(Common!C$6),"",Common!C$6)</f>
        <v/>
      </c>
      <c r="D14" t="str">
        <f>IF(ISBLANK(Common!C$8),"",Common!C$8)</f>
        <v/>
      </c>
      <c r="E14" t="str">
        <f>IF(ISBLANK(Common!I$2),"",Common!I$2)</f>
        <v/>
      </c>
      <c r="F14" t="str">
        <f>IF(ISBLANK(Common!I$4),"",Common!I$4)</f>
        <v/>
      </c>
      <c r="G14" t="str">
        <f>IF(ISBLANK(Common!I$6),"",Common!I$6)</f>
        <v/>
      </c>
      <c r="H14" t="str">
        <f>IF(ISBLANK(Common!I$8),"",Common!I$8)</f>
        <v/>
      </c>
      <c r="I14" t="str">
        <f>IF(ISBLANK(Common!K$8),"",Common!K$8)</f>
        <v/>
      </c>
      <c r="J14" s="27" t="s">
        <v>78</v>
      </c>
      <c r="K14">
        <f t="shared" si="3"/>
        <v>0</v>
      </c>
      <c r="L14" s="136">
        <f t="shared" si="4"/>
        <v>0</v>
      </c>
      <c r="M14" t="str">
        <f>Common!F13</f>
        <v>Copper, Total</v>
      </c>
      <c r="N14" t="str">
        <f>Common!F14</f>
        <v>mg/L</v>
      </c>
      <c r="O14" t="str">
        <f>IF(ISBLANK(Common!F16),"",Common!F16)</f>
        <v/>
      </c>
      <c r="P14">
        <f>Common!F$36</f>
        <v>3.5999999999999997E-2</v>
      </c>
    </row>
    <row r="15" spans="1:17">
      <c r="A15" t="str">
        <f>IF(ISBLANK(Common!C$2),"",Common!C$2)</f>
        <v/>
      </c>
      <c r="B15" t="str">
        <f>IF(ISBLANK(Common!C$4),"",Common!C$4)</f>
        <v/>
      </c>
      <c r="C15" t="str">
        <f>IF(ISBLANK(Common!C$6),"",Common!C$6)</f>
        <v/>
      </c>
      <c r="D15" t="str">
        <f>IF(ISBLANK(Common!C$8),"",Common!C$8)</f>
        <v/>
      </c>
      <c r="E15" t="str">
        <f>IF(ISBLANK(Common!I$2),"",Common!I$2)</f>
        <v/>
      </c>
      <c r="F15" t="str">
        <f>IF(ISBLANK(Common!I$4),"",Common!I$4)</f>
        <v/>
      </c>
      <c r="G15" t="str">
        <f>IF(ISBLANK(Common!I$6),"",Common!I$6)</f>
        <v/>
      </c>
      <c r="H15" t="str">
        <f>IF(ISBLANK(Common!I$8),"",Common!I$8)</f>
        <v/>
      </c>
      <c r="I15" t="str">
        <f>IF(ISBLANK(Common!K$8),"",Common!K$8)</f>
        <v/>
      </c>
      <c r="J15" s="27" t="s">
        <v>78</v>
      </c>
      <c r="K15">
        <f t="shared" si="3"/>
        <v>0</v>
      </c>
      <c r="L15" s="136">
        <f t="shared" si="4"/>
        <v>0</v>
      </c>
      <c r="M15" t="str">
        <f t="shared" si="5"/>
        <v>Copper, Total</v>
      </c>
      <c r="N15" t="str">
        <f t="shared" si="6"/>
        <v>mg/L</v>
      </c>
      <c r="O15" t="str">
        <f>IF(ISBLANK(Common!F17),"",Common!F17)</f>
        <v/>
      </c>
      <c r="P15">
        <f>Common!F$36</f>
        <v>3.5999999999999997E-2</v>
      </c>
    </row>
    <row r="16" spans="1:17">
      <c r="A16" t="str">
        <f>IF(ISBLANK(Common!C$2),"",Common!C$2)</f>
        <v/>
      </c>
      <c r="B16" t="str">
        <f>IF(ISBLANK(Common!C$4),"",Common!C$4)</f>
        <v/>
      </c>
      <c r="C16" t="str">
        <f>IF(ISBLANK(Common!C$6),"",Common!C$6)</f>
        <v/>
      </c>
      <c r="D16" t="str">
        <f>IF(ISBLANK(Common!C$8),"",Common!C$8)</f>
        <v/>
      </c>
      <c r="E16" t="str">
        <f>IF(ISBLANK(Common!I$2),"",Common!I$2)</f>
        <v/>
      </c>
      <c r="F16" t="str">
        <f>IF(ISBLANK(Common!I$4),"",Common!I$4)</f>
        <v/>
      </c>
      <c r="G16" t="str">
        <f>IF(ISBLANK(Common!I$6),"",Common!I$6)</f>
        <v/>
      </c>
      <c r="H16" t="str">
        <f>IF(ISBLANK(Common!I$8),"",Common!I$8)</f>
        <v/>
      </c>
      <c r="I16" t="str">
        <f>IF(ISBLANK(Common!K$8),"",Common!K$8)</f>
        <v/>
      </c>
      <c r="J16" s="27" t="s">
        <v>78</v>
      </c>
      <c r="K16">
        <f t="shared" si="3"/>
        <v>0</v>
      </c>
      <c r="L16" s="136">
        <f t="shared" si="4"/>
        <v>0</v>
      </c>
      <c r="M16" t="str">
        <f t="shared" si="5"/>
        <v>Copper, Total</v>
      </c>
      <c r="N16" t="str">
        <f t="shared" si="6"/>
        <v>mg/L</v>
      </c>
      <c r="O16" t="str">
        <f>IF(ISBLANK(Common!F18),"",Common!F18)</f>
        <v/>
      </c>
      <c r="P16">
        <f>Common!F$36</f>
        <v>3.5999999999999997E-2</v>
      </c>
    </row>
    <row r="17" spans="1:17">
      <c r="A17" t="str">
        <f>IF(ISBLANK(Common!C$2),"",Common!C$2)</f>
        <v/>
      </c>
      <c r="B17" t="str">
        <f>IF(ISBLANK(Common!C$4),"",Common!C$4)</f>
        <v/>
      </c>
      <c r="C17" t="str">
        <f>IF(ISBLANK(Common!C$6),"",Common!C$6)</f>
        <v/>
      </c>
      <c r="D17" t="str">
        <f>IF(ISBLANK(Common!C$8),"",Common!C$8)</f>
        <v/>
      </c>
      <c r="E17" t="str">
        <f>IF(ISBLANK(Common!I$2),"",Common!I$2)</f>
        <v/>
      </c>
      <c r="F17" t="str">
        <f>IF(ISBLANK(Common!I$4),"",Common!I$4)</f>
        <v/>
      </c>
      <c r="G17" t="str">
        <f>IF(ISBLANK(Common!I$6),"",Common!I$6)</f>
        <v/>
      </c>
      <c r="H17" t="str">
        <f>IF(ISBLANK(Common!I$8),"",Common!I$8)</f>
        <v/>
      </c>
      <c r="I17" t="str">
        <f>IF(ISBLANK(Common!K$8),"",Common!K$8)</f>
        <v/>
      </c>
      <c r="J17" s="27" t="s">
        <v>78</v>
      </c>
      <c r="K17">
        <f t="shared" si="3"/>
        <v>0</v>
      </c>
      <c r="L17" s="136">
        <f t="shared" si="4"/>
        <v>0</v>
      </c>
      <c r="M17" t="str">
        <f t="shared" si="5"/>
        <v>Copper, Total</v>
      </c>
      <c r="N17" t="str">
        <f t="shared" si="6"/>
        <v>mg/L</v>
      </c>
      <c r="O17" t="str">
        <f>IF(ISBLANK(Common!F19),"",Common!F19)</f>
        <v/>
      </c>
      <c r="P17">
        <f>Common!F$36</f>
        <v>3.5999999999999997E-2</v>
      </c>
    </row>
    <row r="18" spans="1:17">
      <c r="A18" t="str">
        <f>IF(ISBLANK(Common!C$2),"",Common!C$2)</f>
        <v/>
      </c>
      <c r="B18" t="str">
        <f>IF(ISBLANK(Common!C$4),"",Common!C$4)</f>
        <v/>
      </c>
      <c r="C18" t="str">
        <f>IF(ISBLANK(Common!C$6),"",Common!C$6)</f>
        <v/>
      </c>
      <c r="D18" t="str">
        <f>IF(ISBLANK(Common!C$8),"",Common!C$8)</f>
        <v/>
      </c>
      <c r="E18" t="str">
        <f>IF(ISBLANK(Common!I$2),"",Common!I$2)</f>
        <v/>
      </c>
      <c r="F18" t="str">
        <f>IF(ISBLANK(Common!I$4),"",Common!I$4)</f>
        <v/>
      </c>
      <c r="G18" t="str">
        <f>IF(ISBLANK(Common!I$6),"",Common!I$6)</f>
        <v/>
      </c>
      <c r="H18" t="str">
        <f>IF(ISBLANK(Common!I$8),"",Common!I$8)</f>
        <v/>
      </c>
      <c r="I18" t="str">
        <f>IF(ISBLANK(Common!K$8),"",Common!K$8)</f>
        <v/>
      </c>
      <c r="J18" s="27" t="s">
        <v>78</v>
      </c>
      <c r="K18">
        <f t="shared" si="3"/>
        <v>0</v>
      </c>
      <c r="L18" s="136">
        <f t="shared" si="4"/>
        <v>0</v>
      </c>
      <c r="M18" t="str">
        <f>Common!G13</f>
        <v>Lead, Total</v>
      </c>
      <c r="N18" t="str">
        <f>Common!G14</f>
        <v>mg/L</v>
      </c>
      <c r="O18" t="str">
        <f>IF(ISBLANK(Common!G16),"",Common!G16)</f>
        <v/>
      </c>
      <c r="P18">
        <f>Common!G$36</f>
        <v>0.06</v>
      </c>
    </row>
    <row r="19" spans="1:17">
      <c r="A19" t="str">
        <f>IF(ISBLANK(Common!C$2),"",Common!C$2)</f>
        <v/>
      </c>
      <c r="B19" t="str">
        <f>IF(ISBLANK(Common!C$4),"",Common!C$4)</f>
        <v/>
      </c>
      <c r="C19" t="str">
        <f>IF(ISBLANK(Common!C$6),"",Common!C$6)</f>
        <v/>
      </c>
      <c r="D19" t="str">
        <f>IF(ISBLANK(Common!C$8),"",Common!C$8)</f>
        <v/>
      </c>
      <c r="E19" t="str">
        <f>IF(ISBLANK(Common!I$2),"",Common!I$2)</f>
        <v/>
      </c>
      <c r="F19" t="str">
        <f>IF(ISBLANK(Common!I$4),"",Common!I$4)</f>
        <v/>
      </c>
      <c r="G19" t="str">
        <f>IF(ISBLANK(Common!I$6),"",Common!I$6)</f>
        <v/>
      </c>
      <c r="H19" t="str">
        <f>IF(ISBLANK(Common!I$8),"",Common!I$8)</f>
        <v/>
      </c>
      <c r="I19" t="str">
        <f>IF(ISBLANK(Common!K$8),"",Common!K$8)</f>
        <v/>
      </c>
      <c r="J19" s="27" t="s">
        <v>78</v>
      </c>
      <c r="K19">
        <f t="shared" si="3"/>
        <v>0</v>
      </c>
      <c r="L19" s="136">
        <f t="shared" si="4"/>
        <v>0</v>
      </c>
      <c r="M19" t="str">
        <f t="shared" si="5"/>
        <v>Lead, Total</v>
      </c>
      <c r="N19" t="str">
        <f t="shared" si="6"/>
        <v>mg/L</v>
      </c>
      <c r="O19" t="str">
        <f>IF(ISBLANK(Common!G17),"",Common!G17)</f>
        <v/>
      </c>
      <c r="P19">
        <f>Common!G$36</f>
        <v>0.06</v>
      </c>
    </row>
    <row r="20" spans="1:17">
      <c r="A20" t="str">
        <f>IF(ISBLANK(Common!C$2),"",Common!C$2)</f>
        <v/>
      </c>
      <c r="B20" t="str">
        <f>IF(ISBLANK(Common!C$4),"",Common!C$4)</f>
        <v/>
      </c>
      <c r="C20" t="str">
        <f>IF(ISBLANK(Common!C$6),"",Common!C$6)</f>
        <v/>
      </c>
      <c r="D20" t="str">
        <f>IF(ISBLANK(Common!C$8),"",Common!C$8)</f>
        <v/>
      </c>
      <c r="E20" t="str">
        <f>IF(ISBLANK(Common!I$2),"",Common!I$2)</f>
        <v/>
      </c>
      <c r="F20" t="str">
        <f>IF(ISBLANK(Common!I$4),"",Common!I$4)</f>
        <v/>
      </c>
      <c r="G20" t="str">
        <f>IF(ISBLANK(Common!I$6),"",Common!I$6)</f>
        <v/>
      </c>
      <c r="H20" t="str">
        <f>IF(ISBLANK(Common!I$8),"",Common!I$8)</f>
        <v/>
      </c>
      <c r="I20" t="str">
        <f>IF(ISBLANK(Common!K$8),"",Common!K$8)</f>
        <v/>
      </c>
      <c r="J20" s="27" t="s">
        <v>78</v>
      </c>
      <c r="K20">
        <f t="shared" si="3"/>
        <v>0</v>
      </c>
      <c r="L20" s="136">
        <f t="shared" si="4"/>
        <v>0</v>
      </c>
      <c r="M20" t="str">
        <f t="shared" si="5"/>
        <v>Lead, Total</v>
      </c>
      <c r="N20" t="str">
        <f t="shared" si="6"/>
        <v>mg/L</v>
      </c>
      <c r="O20" t="str">
        <f>IF(ISBLANK(Common!G18),"",Common!G18)</f>
        <v/>
      </c>
      <c r="P20">
        <f>Common!G$36</f>
        <v>0.06</v>
      </c>
    </row>
    <row r="21" spans="1:17">
      <c r="A21" t="str">
        <f>IF(ISBLANK(Common!C$2),"",Common!C$2)</f>
        <v/>
      </c>
      <c r="B21" t="str">
        <f>IF(ISBLANK(Common!C$4),"",Common!C$4)</f>
        <v/>
      </c>
      <c r="C21" t="str">
        <f>IF(ISBLANK(Common!C$6),"",Common!C$6)</f>
        <v/>
      </c>
      <c r="D21" t="str">
        <f>IF(ISBLANK(Common!C$8),"",Common!C$8)</f>
        <v/>
      </c>
      <c r="E21" t="str">
        <f>IF(ISBLANK(Common!I$2),"",Common!I$2)</f>
        <v/>
      </c>
      <c r="F21" t="str">
        <f>IF(ISBLANK(Common!I$4),"",Common!I$4)</f>
        <v/>
      </c>
      <c r="G21" t="str">
        <f>IF(ISBLANK(Common!I$6),"",Common!I$6)</f>
        <v/>
      </c>
      <c r="H21" t="str">
        <f>IF(ISBLANK(Common!I$8),"",Common!I$8)</f>
        <v/>
      </c>
      <c r="I21" t="str">
        <f>IF(ISBLANK(Common!K$8),"",Common!K$8)</f>
        <v/>
      </c>
      <c r="J21" s="27" t="s">
        <v>78</v>
      </c>
      <c r="K21">
        <f t="shared" si="3"/>
        <v>0</v>
      </c>
      <c r="L21" s="136">
        <f t="shared" si="4"/>
        <v>0</v>
      </c>
      <c r="M21" t="str">
        <f t="shared" si="5"/>
        <v>Lead, Total</v>
      </c>
      <c r="N21" t="str">
        <f t="shared" si="6"/>
        <v>mg/L</v>
      </c>
      <c r="O21" t="str">
        <f>IF(ISBLANK(Common!G19),"",Common!G19)</f>
        <v/>
      </c>
      <c r="P21">
        <f>Common!G$36</f>
        <v>0.06</v>
      </c>
    </row>
    <row r="22" spans="1:17">
      <c r="A22" t="str">
        <f>IF(ISBLANK(Common!C$2),"",Common!C$2)</f>
        <v/>
      </c>
      <c r="B22" t="str">
        <f>IF(ISBLANK(Common!C$4),"",Common!C$4)</f>
        <v/>
      </c>
      <c r="C22" t="str">
        <f>IF(ISBLANK(Common!C$6),"",Common!C$6)</f>
        <v/>
      </c>
      <c r="D22" t="str">
        <f>IF(ISBLANK(Common!C$8),"",Common!C$8)</f>
        <v/>
      </c>
      <c r="E22" t="str">
        <f>IF(ISBLANK(Common!I$2),"",Common!I$2)</f>
        <v/>
      </c>
      <c r="F22" t="str">
        <f>IF(ISBLANK(Common!I$4),"",Common!I$4)</f>
        <v/>
      </c>
      <c r="G22" t="str">
        <f>IF(ISBLANK(Common!I$6),"",Common!I$6)</f>
        <v/>
      </c>
      <c r="H22" t="str">
        <f>IF(ISBLANK(Common!I$8),"",Common!I$8)</f>
        <v/>
      </c>
      <c r="I22" t="str">
        <f>IF(ISBLANK(Common!K$8),"",Common!K$8)</f>
        <v/>
      </c>
      <c r="J22" s="27" t="s">
        <v>78</v>
      </c>
      <c r="K22">
        <f t="shared" si="3"/>
        <v>0</v>
      </c>
      <c r="L22" s="136">
        <f t="shared" si="4"/>
        <v>0</v>
      </c>
      <c r="M22" t="str">
        <f>Common!H13</f>
        <v>Zinc, Total</v>
      </c>
      <c r="N22" t="str">
        <f>Common!H14</f>
        <v>mg/L</v>
      </c>
      <c r="O22" t="str">
        <f>IF(ISBLANK(Common!H16),"",Common!H16)</f>
        <v/>
      </c>
      <c r="P22" s="138">
        <f>Common!H$36</f>
        <v>0.24</v>
      </c>
    </row>
    <row r="23" spans="1:17">
      <c r="A23" t="str">
        <f>IF(ISBLANK(Common!C$2),"",Common!C$2)</f>
        <v/>
      </c>
      <c r="B23" t="str">
        <f>IF(ISBLANK(Common!C$4),"",Common!C$4)</f>
        <v/>
      </c>
      <c r="C23" t="str">
        <f>IF(ISBLANK(Common!C$6),"",Common!C$6)</f>
        <v/>
      </c>
      <c r="D23" t="str">
        <f>IF(ISBLANK(Common!C$8),"",Common!C$8)</f>
        <v/>
      </c>
      <c r="E23" t="str">
        <f>IF(ISBLANK(Common!I$2),"",Common!I$2)</f>
        <v/>
      </c>
      <c r="F23" t="str">
        <f>IF(ISBLANK(Common!I$4),"",Common!I$4)</f>
        <v/>
      </c>
      <c r="G23" t="str">
        <f>IF(ISBLANK(Common!I$6),"",Common!I$6)</f>
        <v/>
      </c>
      <c r="H23" t="str">
        <f>IF(ISBLANK(Common!I$8),"",Common!I$8)</f>
        <v/>
      </c>
      <c r="I23" t="str">
        <f>IF(ISBLANK(Common!K$8),"",Common!K$8)</f>
        <v/>
      </c>
      <c r="J23" s="27" t="s">
        <v>78</v>
      </c>
      <c r="K23">
        <f t="shared" si="3"/>
        <v>0</v>
      </c>
      <c r="L23" s="136">
        <f t="shared" si="4"/>
        <v>0</v>
      </c>
      <c r="M23" t="str">
        <f t="shared" si="5"/>
        <v>Zinc, Total</v>
      </c>
      <c r="N23" t="str">
        <f t="shared" si="6"/>
        <v>mg/L</v>
      </c>
      <c r="O23" t="str">
        <f>IF(ISBLANK(Common!H17),"",Common!H17)</f>
        <v/>
      </c>
      <c r="P23" s="138">
        <f>Common!H$36</f>
        <v>0.24</v>
      </c>
    </row>
    <row r="24" spans="1:17">
      <c r="A24" t="str">
        <f>IF(ISBLANK(Common!C$2),"",Common!C$2)</f>
        <v/>
      </c>
      <c r="B24" t="str">
        <f>IF(ISBLANK(Common!C$4),"",Common!C$4)</f>
        <v/>
      </c>
      <c r="C24" t="str">
        <f>IF(ISBLANK(Common!C$6),"",Common!C$6)</f>
        <v/>
      </c>
      <c r="D24" t="str">
        <f>IF(ISBLANK(Common!C$8),"",Common!C$8)</f>
        <v/>
      </c>
      <c r="E24" t="str">
        <f>IF(ISBLANK(Common!I$2),"",Common!I$2)</f>
        <v/>
      </c>
      <c r="F24" t="str">
        <f>IF(ISBLANK(Common!I$4),"",Common!I$4)</f>
        <v/>
      </c>
      <c r="G24" t="str">
        <f>IF(ISBLANK(Common!I$6),"",Common!I$6)</f>
        <v/>
      </c>
      <c r="H24" t="str">
        <f>IF(ISBLANK(Common!I$8),"",Common!I$8)</f>
        <v/>
      </c>
      <c r="I24" t="str">
        <f>IF(ISBLANK(Common!K$8),"",Common!K$8)</f>
        <v/>
      </c>
      <c r="J24" s="27" t="s">
        <v>78</v>
      </c>
      <c r="K24">
        <f t="shared" si="3"/>
        <v>0</v>
      </c>
      <c r="L24" s="136">
        <f t="shared" si="4"/>
        <v>0</v>
      </c>
      <c r="M24" t="str">
        <f t="shared" si="5"/>
        <v>Zinc, Total</v>
      </c>
      <c r="N24" t="str">
        <f t="shared" si="6"/>
        <v>mg/L</v>
      </c>
      <c r="O24" t="str">
        <f>IF(ISBLANK(Common!H18),"",Common!H18)</f>
        <v/>
      </c>
      <c r="P24" s="138">
        <f>Common!H$36</f>
        <v>0.24</v>
      </c>
    </row>
    <row r="25" spans="1:17">
      <c r="A25" t="str">
        <f>IF(ISBLANK(Common!C$2),"",Common!C$2)</f>
        <v/>
      </c>
      <c r="B25" t="str">
        <f>IF(ISBLANK(Common!C$4),"",Common!C$4)</f>
        <v/>
      </c>
      <c r="C25" t="str">
        <f>IF(ISBLANK(Common!C$6),"",Common!C$6)</f>
        <v/>
      </c>
      <c r="D25" t="str">
        <f>IF(ISBLANK(Common!C$8),"",Common!C$8)</f>
        <v/>
      </c>
      <c r="E25" t="str">
        <f>IF(ISBLANK(Common!I$2),"",Common!I$2)</f>
        <v/>
      </c>
      <c r="F25" t="str">
        <f>IF(ISBLANK(Common!I$4),"",Common!I$4)</f>
        <v/>
      </c>
      <c r="G25" t="str">
        <f>IF(ISBLANK(Common!I$6),"",Common!I$6)</f>
        <v/>
      </c>
      <c r="H25" t="str">
        <f>IF(ISBLANK(Common!I$8),"",Common!I$8)</f>
        <v/>
      </c>
      <c r="I25" t="str">
        <f>IF(ISBLANK(Common!K$8),"",Common!K$8)</f>
        <v/>
      </c>
      <c r="J25" s="27" t="s">
        <v>78</v>
      </c>
      <c r="K25">
        <f t="shared" si="3"/>
        <v>0</v>
      </c>
      <c r="L25" s="136">
        <f t="shared" si="4"/>
        <v>0</v>
      </c>
      <c r="M25" t="str">
        <f t="shared" si="5"/>
        <v>Zinc, Total</v>
      </c>
      <c r="N25" t="str">
        <f t="shared" si="6"/>
        <v>mg/L</v>
      </c>
      <c r="O25" t="str">
        <f>IF(ISBLANK(Common!H19),"",Common!H19)</f>
        <v/>
      </c>
      <c r="P25" s="138">
        <f>Common!H$36</f>
        <v>0.24</v>
      </c>
    </row>
    <row r="26" spans="1:17">
      <c r="A26" t="str">
        <f>IF(ISBLANK(Common!C$2),"",Common!C$2)</f>
        <v/>
      </c>
      <c r="B26" t="str">
        <f>IF(ISBLANK(Common!C$4),"",Common!C$4)</f>
        <v/>
      </c>
      <c r="C26" t="str">
        <f>IF(ISBLANK(Common!C$6),"",Common!C$6)</f>
        <v/>
      </c>
      <c r="D26" t="str">
        <f>IF(ISBLANK(Common!C$8),"",Common!C$8)</f>
        <v/>
      </c>
      <c r="E26" t="str">
        <f>IF(ISBLANK(Common!I$2),"",Common!I$2)</f>
        <v/>
      </c>
      <c r="F26" t="str">
        <f>IF(ISBLANK(Common!I$4),"",Common!I$4)</f>
        <v/>
      </c>
      <c r="G26" t="str">
        <f>IF(ISBLANK(Common!I$6),"",Common!I$6)</f>
        <v/>
      </c>
      <c r="H26" t="str">
        <f>IF(ISBLANK(Common!I$8),"",Common!I$8)</f>
        <v/>
      </c>
      <c r="I26" t="str">
        <f>IF(ISBLANK(Common!K$8),"",Common!K$8)</f>
        <v/>
      </c>
      <c r="J26" s="27" t="s">
        <v>78</v>
      </c>
      <c r="K26">
        <f t="shared" si="3"/>
        <v>0</v>
      </c>
      <c r="L26" s="136">
        <f t="shared" si="4"/>
        <v>0</v>
      </c>
      <c r="M26" t="str">
        <f>Common!I13</f>
        <v>E. coli</v>
      </c>
      <c r="N26" t="str">
        <f>Common!I14</f>
        <v>counts/100 mL</v>
      </c>
      <c r="O26" t="str">
        <f>IF(ISBLANK(Common!I16),"",Common!I16)</f>
        <v/>
      </c>
      <c r="P26">
        <f>Common!I$36</f>
        <v>406</v>
      </c>
    </row>
    <row r="27" spans="1:17">
      <c r="A27" t="str">
        <f>IF(ISBLANK(Common!C$2),"",Common!C$2)</f>
        <v/>
      </c>
      <c r="B27" t="str">
        <f>IF(ISBLANK(Common!C$4),"",Common!C$4)</f>
        <v/>
      </c>
      <c r="C27" t="str">
        <f>IF(ISBLANK(Common!C$6),"",Common!C$6)</f>
        <v/>
      </c>
      <c r="D27" t="str">
        <f>IF(ISBLANK(Common!C$8),"",Common!C$8)</f>
        <v/>
      </c>
      <c r="E27" t="str">
        <f>IF(ISBLANK(Common!I$2),"",Common!I$2)</f>
        <v/>
      </c>
      <c r="F27" t="str">
        <f>IF(ISBLANK(Common!I$4),"",Common!I$4)</f>
        <v/>
      </c>
      <c r="G27" t="str">
        <f>IF(ISBLANK(Common!I$6),"",Common!I$6)</f>
        <v/>
      </c>
      <c r="H27" t="str">
        <f>IF(ISBLANK(Common!I$8),"",Common!I$8)</f>
        <v/>
      </c>
      <c r="I27" t="str">
        <f>IF(ISBLANK(Common!K$8),"",Common!K$8)</f>
        <v/>
      </c>
      <c r="J27" s="27" t="s">
        <v>78</v>
      </c>
      <c r="K27">
        <f t="shared" si="3"/>
        <v>0</v>
      </c>
      <c r="L27" s="136">
        <f t="shared" si="4"/>
        <v>0</v>
      </c>
      <c r="M27" t="str">
        <f t="shared" si="5"/>
        <v>E. coli</v>
      </c>
      <c r="N27" t="str">
        <f t="shared" si="6"/>
        <v>counts/100 mL</v>
      </c>
      <c r="O27" t="str">
        <f>IF(ISBLANK(Common!I17),"",Common!I17)</f>
        <v/>
      </c>
      <c r="P27">
        <f>Common!I$36</f>
        <v>406</v>
      </c>
    </row>
    <row r="28" spans="1:17">
      <c r="A28" t="str">
        <f>IF(ISBLANK(Common!C$2),"",Common!C$2)</f>
        <v/>
      </c>
      <c r="B28" t="str">
        <f>IF(ISBLANK(Common!C$4),"",Common!C$4)</f>
        <v/>
      </c>
      <c r="C28" t="str">
        <f>IF(ISBLANK(Common!C$6),"",Common!C$6)</f>
        <v/>
      </c>
      <c r="D28" t="str">
        <f>IF(ISBLANK(Common!C$8),"",Common!C$8)</f>
        <v/>
      </c>
      <c r="E28" t="str">
        <f>IF(ISBLANK(Common!I$2),"",Common!I$2)</f>
        <v/>
      </c>
      <c r="F28" t="str">
        <f>IF(ISBLANK(Common!I$4),"",Common!I$4)</f>
        <v/>
      </c>
      <c r="G28" t="str">
        <f>IF(ISBLANK(Common!I$6),"",Common!I$6)</f>
        <v/>
      </c>
      <c r="H28" t="str">
        <f>IF(ISBLANK(Common!I$8),"",Common!I$8)</f>
        <v/>
      </c>
      <c r="I28" t="str">
        <f>IF(ISBLANK(Common!K$8),"",Common!K$8)</f>
        <v/>
      </c>
      <c r="J28" s="27" t="s">
        <v>78</v>
      </c>
      <c r="K28">
        <f t="shared" si="3"/>
        <v>0</v>
      </c>
      <c r="L28" s="136">
        <f t="shared" si="4"/>
        <v>0</v>
      </c>
      <c r="M28" t="str">
        <f t="shared" si="5"/>
        <v>E. coli</v>
      </c>
      <c r="N28" t="str">
        <f t="shared" si="6"/>
        <v>counts/100 mL</v>
      </c>
      <c r="O28" t="str">
        <f>IF(ISBLANK(Common!I18),"",Common!I18)</f>
        <v/>
      </c>
      <c r="P28">
        <f>Common!I$36</f>
        <v>406</v>
      </c>
    </row>
    <row r="29" spans="1:17">
      <c r="A29" t="str">
        <f>IF(ISBLANK(Common!C$2),"",Common!C$2)</f>
        <v/>
      </c>
      <c r="B29" t="str">
        <f>IF(ISBLANK(Common!C$4),"",Common!C$4)</f>
        <v/>
      </c>
      <c r="C29" t="str">
        <f>IF(ISBLANK(Common!C$6),"",Common!C$6)</f>
        <v/>
      </c>
      <c r="D29" t="str">
        <f>IF(ISBLANK(Common!C$8),"",Common!C$8)</f>
        <v/>
      </c>
      <c r="E29" t="str">
        <f>IF(ISBLANK(Common!I$2),"",Common!I$2)</f>
        <v/>
      </c>
      <c r="F29" t="str">
        <f>IF(ISBLANK(Common!I$4),"",Common!I$4)</f>
        <v/>
      </c>
      <c r="G29" t="str">
        <f>IF(ISBLANK(Common!I$6),"",Common!I$6)</f>
        <v/>
      </c>
      <c r="H29" t="str">
        <f>IF(ISBLANK(Common!I$8),"",Common!I$8)</f>
        <v/>
      </c>
      <c r="I29" t="str">
        <f>IF(ISBLANK(Common!K$8),"",Common!K$8)</f>
        <v/>
      </c>
      <c r="J29" s="27" t="s">
        <v>78</v>
      </c>
      <c r="K29">
        <f t="shared" si="3"/>
        <v>0</v>
      </c>
      <c r="L29" s="136">
        <f t="shared" si="4"/>
        <v>0</v>
      </c>
      <c r="M29" t="str">
        <f t="shared" si="5"/>
        <v>E. coli</v>
      </c>
      <c r="N29" t="str">
        <f t="shared" si="6"/>
        <v>counts/100 mL</v>
      </c>
      <c r="O29" t="str">
        <f>IF(ISBLANK(Common!I19),"",Common!I19)</f>
        <v/>
      </c>
      <c r="P29">
        <f>Common!I$36</f>
        <v>406</v>
      </c>
    </row>
    <row r="30" spans="1:17">
      <c r="A30" t="str">
        <f>IF(ISBLANK(Common!C$2),"",Common!C$2)</f>
        <v/>
      </c>
      <c r="B30" t="str">
        <f>IF(ISBLANK(Common!C$4),"",Common!C$4)</f>
        <v/>
      </c>
      <c r="C30" t="str">
        <f>IF(ISBLANK(Common!C$6),"",Common!C$6)</f>
        <v/>
      </c>
      <c r="D30" t="str">
        <f>IF(ISBLANK(Common!C$8),"",Common!C$8)</f>
        <v/>
      </c>
      <c r="E30" t="str">
        <f>IF(ISBLANK(Common!I$2),"",Common!I$2)</f>
        <v/>
      </c>
      <c r="F30" t="str">
        <f>IF(ISBLANK(Common!I$4),"",Common!I$4)</f>
        <v/>
      </c>
      <c r="G30" t="str">
        <f>IF(ISBLANK(Common!I$6),"",Common!I$6)</f>
        <v/>
      </c>
      <c r="H30" t="str">
        <f>IF(ISBLANK(Common!I$8),"",Common!I$8)</f>
        <v/>
      </c>
      <c r="I30" t="str">
        <f>IF(ISBLANK(Common!K$8),"",Common!K$8)</f>
        <v/>
      </c>
      <c r="J30" s="27" t="s">
        <v>78</v>
      </c>
      <c r="K30">
        <f>Common!A21</f>
        <v>0</v>
      </c>
      <c r="L30" s="136">
        <f>Common!B21</f>
        <v>0</v>
      </c>
      <c r="M30" t="str">
        <f>M2</f>
        <v>pH</v>
      </c>
      <c r="N30" t="str">
        <f t="shared" ref="N30:N93" si="7">N2</f>
        <v>s.u.</v>
      </c>
      <c r="O30" t="str">
        <f>IF(ISBLANK(Common!C21),"",Common!C21)</f>
        <v/>
      </c>
      <c r="P30">
        <v>9</v>
      </c>
      <c r="Q30">
        <v>5.5</v>
      </c>
    </row>
    <row r="31" spans="1:17">
      <c r="A31" t="str">
        <f>IF(ISBLANK(Common!C$2),"",Common!C$2)</f>
        <v/>
      </c>
      <c r="B31" t="str">
        <f>IF(ISBLANK(Common!C$4),"",Common!C$4)</f>
        <v/>
      </c>
      <c r="C31" t="str">
        <f>IF(ISBLANK(Common!C$6),"",Common!C$6)</f>
        <v/>
      </c>
      <c r="D31" t="str">
        <f>IF(ISBLANK(Common!C$8),"",Common!C$8)</f>
        <v/>
      </c>
      <c r="E31" t="str">
        <f>IF(ISBLANK(Common!I$2),"",Common!I$2)</f>
        <v/>
      </c>
      <c r="F31" t="str">
        <f>IF(ISBLANK(Common!I$4),"",Common!I$4)</f>
        <v/>
      </c>
      <c r="G31" t="str">
        <f>IF(ISBLANK(Common!I$6),"",Common!I$6)</f>
        <v/>
      </c>
      <c r="H31" t="str">
        <f>IF(ISBLANK(Common!I$8),"",Common!I$8)</f>
        <v/>
      </c>
      <c r="I31" t="str">
        <f>IF(ISBLANK(Common!K$8),"",Common!K$8)</f>
        <v/>
      </c>
      <c r="J31" s="27" t="s">
        <v>78</v>
      </c>
      <c r="K31">
        <f>K30</f>
        <v>0</v>
      </c>
      <c r="L31" s="136">
        <f>Common!B22</f>
        <v>0</v>
      </c>
      <c r="M31" t="str">
        <f t="shared" ref="M31:N94" si="8">M3</f>
        <v>pH</v>
      </c>
      <c r="N31" t="str">
        <f t="shared" si="7"/>
        <v>s.u.</v>
      </c>
      <c r="O31" t="str">
        <f>IF(ISBLANK(Common!C22),"",Common!C22)</f>
        <v/>
      </c>
      <c r="P31">
        <v>9</v>
      </c>
      <c r="Q31">
        <v>5.5</v>
      </c>
    </row>
    <row r="32" spans="1:17">
      <c r="A32" t="str">
        <f>IF(ISBLANK(Common!C$2),"",Common!C$2)</f>
        <v/>
      </c>
      <c r="B32" t="str">
        <f>IF(ISBLANK(Common!C$4),"",Common!C$4)</f>
        <v/>
      </c>
      <c r="C32" t="str">
        <f>IF(ISBLANK(Common!C$6),"",Common!C$6)</f>
        <v/>
      </c>
      <c r="D32" t="str">
        <f>IF(ISBLANK(Common!C$8),"",Common!C$8)</f>
        <v/>
      </c>
      <c r="E32" t="str">
        <f>IF(ISBLANK(Common!I$2),"",Common!I$2)</f>
        <v/>
      </c>
      <c r="F32" t="str">
        <f>IF(ISBLANK(Common!I$4),"",Common!I$4)</f>
        <v/>
      </c>
      <c r="G32" t="str">
        <f>IF(ISBLANK(Common!I$6),"",Common!I$6)</f>
        <v/>
      </c>
      <c r="H32" t="str">
        <f>IF(ISBLANK(Common!I$8),"",Common!I$8)</f>
        <v/>
      </c>
      <c r="I32" t="str">
        <f>IF(ISBLANK(Common!K$8),"",Common!K$8)</f>
        <v/>
      </c>
      <c r="J32" s="27" t="s">
        <v>78</v>
      </c>
      <c r="K32">
        <f t="shared" ref="K32:K95" si="9">K31</f>
        <v>0</v>
      </c>
      <c r="L32" s="136">
        <f>Common!B23</f>
        <v>0</v>
      </c>
      <c r="M32" t="str">
        <f t="shared" si="8"/>
        <v>pH</v>
      </c>
      <c r="N32" t="str">
        <f t="shared" si="7"/>
        <v>s.u.</v>
      </c>
      <c r="O32" t="str">
        <f>IF(ISBLANK(Common!C23),"",Common!C23)</f>
        <v/>
      </c>
      <c r="P32">
        <v>9</v>
      </c>
      <c r="Q32">
        <v>5.5</v>
      </c>
    </row>
    <row r="33" spans="1:17">
      <c r="A33" t="str">
        <f>IF(ISBLANK(Common!C$2),"",Common!C$2)</f>
        <v/>
      </c>
      <c r="B33" t="str">
        <f>IF(ISBLANK(Common!C$4),"",Common!C$4)</f>
        <v/>
      </c>
      <c r="C33" t="str">
        <f>IF(ISBLANK(Common!C$6),"",Common!C$6)</f>
        <v/>
      </c>
      <c r="D33" t="str">
        <f>IF(ISBLANK(Common!C$8),"",Common!C$8)</f>
        <v/>
      </c>
      <c r="E33" t="str">
        <f>IF(ISBLANK(Common!I$2),"",Common!I$2)</f>
        <v/>
      </c>
      <c r="F33" t="str">
        <f>IF(ISBLANK(Common!I$4),"",Common!I$4)</f>
        <v/>
      </c>
      <c r="G33" t="str">
        <f>IF(ISBLANK(Common!I$6),"",Common!I$6)</f>
        <v/>
      </c>
      <c r="H33" t="str">
        <f>IF(ISBLANK(Common!I$8),"",Common!I$8)</f>
        <v/>
      </c>
      <c r="I33" t="str">
        <f>IF(ISBLANK(Common!K$8),"",Common!K$8)</f>
        <v/>
      </c>
      <c r="J33" s="27" t="s">
        <v>78</v>
      </c>
      <c r="K33">
        <f t="shared" si="9"/>
        <v>0</v>
      </c>
      <c r="L33" s="136">
        <f>Common!B24</f>
        <v>0</v>
      </c>
      <c r="M33" t="str">
        <f t="shared" si="8"/>
        <v>pH</v>
      </c>
      <c r="N33" t="str">
        <f t="shared" si="7"/>
        <v>s.u.</v>
      </c>
      <c r="O33" t="str">
        <f>IF(ISBLANK(Common!C24),"",Common!C24)</f>
        <v/>
      </c>
      <c r="P33">
        <v>9</v>
      </c>
      <c r="Q33">
        <v>5.5</v>
      </c>
    </row>
    <row r="34" spans="1:17">
      <c r="A34" t="str">
        <f>IF(ISBLANK(Common!C$2),"",Common!C$2)</f>
        <v/>
      </c>
      <c r="B34" t="str">
        <f>IF(ISBLANK(Common!C$4),"",Common!C$4)</f>
        <v/>
      </c>
      <c r="C34" t="str">
        <f>IF(ISBLANK(Common!C$6),"",Common!C$6)</f>
        <v/>
      </c>
      <c r="D34" t="str">
        <f>IF(ISBLANK(Common!C$8),"",Common!C$8)</f>
        <v/>
      </c>
      <c r="E34" t="str">
        <f>IF(ISBLANK(Common!I$2),"",Common!I$2)</f>
        <v/>
      </c>
      <c r="F34" t="str">
        <f>IF(ISBLANK(Common!I$4),"",Common!I$4)</f>
        <v/>
      </c>
      <c r="G34" t="str">
        <f>IF(ISBLANK(Common!I$6),"",Common!I$6)</f>
        <v/>
      </c>
      <c r="H34" t="str">
        <f>IF(ISBLANK(Common!I$8),"",Common!I$8)</f>
        <v/>
      </c>
      <c r="I34" t="str">
        <f>IF(ISBLANK(Common!K$8),"",Common!K$8)</f>
        <v/>
      </c>
      <c r="J34" s="27" t="s">
        <v>78</v>
      </c>
      <c r="K34">
        <f t="shared" si="9"/>
        <v>0</v>
      </c>
      <c r="L34" s="136">
        <f t="shared" si="4"/>
        <v>0</v>
      </c>
      <c r="M34" t="str">
        <f t="shared" si="8"/>
        <v>Suspended Solids, Total</v>
      </c>
      <c r="N34" t="str">
        <f t="shared" si="7"/>
        <v>mg/L</v>
      </c>
      <c r="O34" t="str">
        <f>IF(ISBLANK(Common!D21),"",Common!D21)</f>
        <v/>
      </c>
      <c r="P34" s="137">
        <f>Common!D$36</f>
        <v>50</v>
      </c>
    </row>
    <row r="35" spans="1:17">
      <c r="A35" t="str">
        <f>IF(ISBLANK(Common!C$2),"",Common!C$2)</f>
        <v/>
      </c>
      <c r="B35" t="str">
        <f>IF(ISBLANK(Common!C$4),"",Common!C$4)</f>
        <v/>
      </c>
      <c r="C35" t="str">
        <f>IF(ISBLANK(Common!C$6),"",Common!C$6)</f>
        <v/>
      </c>
      <c r="D35" t="str">
        <f>IF(ISBLANK(Common!C$8),"",Common!C$8)</f>
        <v/>
      </c>
      <c r="E35" t="str">
        <f>IF(ISBLANK(Common!I$2),"",Common!I$2)</f>
        <v/>
      </c>
      <c r="F35" t="str">
        <f>IF(ISBLANK(Common!I$4),"",Common!I$4)</f>
        <v/>
      </c>
      <c r="G35" t="str">
        <f>IF(ISBLANK(Common!I$6),"",Common!I$6)</f>
        <v/>
      </c>
      <c r="H35" t="str">
        <f>IF(ISBLANK(Common!I$8),"",Common!I$8)</f>
        <v/>
      </c>
      <c r="I35" t="str">
        <f>IF(ISBLANK(Common!K$8),"",Common!K$8)</f>
        <v/>
      </c>
      <c r="J35" s="27" t="s">
        <v>78</v>
      </c>
      <c r="K35">
        <f t="shared" si="9"/>
        <v>0</v>
      </c>
      <c r="L35" s="136">
        <f t="shared" si="4"/>
        <v>0</v>
      </c>
      <c r="M35" t="str">
        <f t="shared" si="8"/>
        <v>Suspended Solids, Total</v>
      </c>
      <c r="N35" t="str">
        <f t="shared" si="7"/>
        <v>mg/L</v>
      </c>
      <c r="O35" t="str">
        <f>IF(ISBLANK(Common!D22),"",Common!D22)</f>
        <v/>
      </c>
      <c r="P35" s="137">
        <f>Common!D$36</f>
        <v>50</v>
      </c>
    </row>
    <row r="36" spans="1:17">
      <c r="A36" t="str">
        <f>IF(ISBLANK(Common!C$2),"",Common!C$2)</f>
        <v/>
      </c>
      <c r="B36" t="str">
        <f>IF(ISBLANK(Common!C$4),"",Common!C$4)</f>
        <v/>
      </c>
      <c r="C36" t="str">
        <f>IF(ISBLANK(Common!C$6),"",Common!C$6)</f>
        <v/>
      </c>
      <c r="D36" t="str">
        <f>IF(ISBLANK(Common!C$8),"",Common!C$8)</f>
        <v/>
      </c>
      <c r="E36" t="str">
        <f>IF(ISBLANK(Common!I$2),"",Common!I$2)</f>
        <v/>
      </c>
      <c r="F36" t="str">
        <f>IF(ISBLANK(Common!I$4),"",Common!I$4)</f>
        <v/>
      </c>
      <c r="G36" t="str">
        <f>IF(ISBLANK(Common!I$6),"",Common!I$6)</f>
        <v/>
      </c>
      <c r="H36" t="str">
        <f>IF(ISBLANK(Common!I$8),"",Common!I$8)</f>
        <v/>
      </c>
      <c r="I36" t="str">
        <f>IF(ISBLANK(Common!K$8),"",Common!K$8)</f>
        <v/>
      </c>
      <c r="J36" s="27" t="s">
        <v>78</v>
      </c>
      <c r="K36">
        <f t="shared" si="9"/>
        <v>0</v>
      </c>
      <c r="L36" s="136">
        <f t="shared" si="4"/>
        <v>0</v>
      </c>
      <c r="M36" t="str">
        <f t="shared" si="8"/>
        <v>Suspended Solids, Total</v>
      </c>
      <c r="N36" t="str">
        <f t="shared" si="7"/>
        <v>mg/L</v>
      </c>
      <c r="O36" t="str">
        <f>IF(ISBLANK(Common!D23),"",Common!D23)</f>
        <v/>
      </c>
      <c r="P36" s="137">
        <f>Common!D$36</f>
        <v>50</v>
      </c>
    </row>
    <row r="37" spans="1:17">
      <c r="A37" t="str">
        <f>IF(ISBLANK(Common!C$2),"",Common!C$2)</f>
        <v/>
      </c>
      <c r="B37" t="str">
        <f>IF(ISBLANK(Common!C$4),"",Common!C$4)</f>
        <v/>
      </c>
      <c r="C37" t="str">
        <f>IF(ISBLANK(Common!C$6),"",Common!C$6)</f>
        <v/>
      </c>
      <c r="D37" t="str">
        <f>IF(ISBLANK(Common!C$8),"",Common!C$8)</f>
        <v/>
      </c>
      <c r="E37" t="str">
        <f>IF(ISBLANK(Common!I$2),"",Common!I$2)</f>
        <v/>
      </c>
      <c r="F37" t="str">
        <f>IF(ISBLANK(Common!I$4),"",Common!I$4)</f>
        <v/>
      </c>
      <c r="G37" t="str">
        <f>IF(ISBLANK(Common!I$6),"",Common!I$6)</f>
        <v/>
      </c>
      <c r="H37" t="str">
        <f>IF(ISBLANK(Common!I$8),"",Common!I$8)</f>
        <v/>
      </c>
      <c r="I37" t="str">
        <f>IF(ISBLANK(Common!K$8),"",Common!K$8)</f>
        <v/>
      </c>
      <c r="J37" s="27" t="s">
        <v>78</v>
      </c>
      <c r="K37">
        <f t="shared" si="9"/>
        <v>0</v>
      </c>
      <c r="L37" s="136">
        <f t="shared" si="4"/>
        <v>0</v>
      </c>
      <c r="M37" t="str">
        <f t="shared" si="8"/>
        <v>Suspended Solids, Total</v>
      </c>
      <c r="N37" t="str">
        <f t="shared" si="7"/>
        <v>mg/L</v>
      </c>
      <c r="O37" t="str">
        <f>IF(ISBLANK(Common!D24),"",Common!D24)</f>
        <v/>
      </c>
      <c r="P37" s="137">
        <f>Common!D$36</f>
        <v>50</v>
      </c>
    </row>
    <row r="38" spans="1:17">
      <c r="A38" t="str">
        <f>IF(ISBLANK(Common!C$2),"",Common!C$2)</f>
        <v/>
      </c>
      <c r="B38" t="str">
        <f>IF(ISBLANK(Common!C$4),"",Common!C$4)</f>
        <v/>
      </c>
      <c r="C38" t="str">
        <f>IF(ISBLANK(Common!C$6),"",Common!C$6)</f>
        <v/>
      </c>
      <c r="D38" t="str">
        <f>IF(ISBLANK(Common!C$8),"",Common!C$8)</f>
        <v/>
      </c>
      <c r="E38" t="str">
        <f>IF(ISBLANK(Common!I$2),"",Common!I$2)</f>
        <v/>
      </c>
      <c r="F38" t="str">
        <f>IF(ISBLANK(Common!I$4),"",Common!I$4)</f>
        <v/>
      </c>
      <c r="G38" t="str">
        <f>IF(ISBLANK(Common!I$6),"",Common!I$6)</f>
        <v/>
      </c>
      <c r="H38" t="str">
        <f>IF(ISBLANK(Common!I$8),"",Common!I$8)</f>
        <v/>
      </c>
      <c r="I38" t="str">
        <f>IF(ISBLANK(Common!K$8),"",Common!K$8)</f>
        <v/>
      </c>
      <c r="J38" s="27" t="s">
        <v>78</v>
      </c>
      <c r="K38">
        <f t="shared" si="9"/>
        <v>0</v>
      </c>
      <c r="L38" s="136">
        <f t="shared" si="4"/>
        <v>0</v>
      </c>
      <c r="M38" t="str">
        <f t="shared" si="8"/>
        <v>Oil and Grease, Total</v>
      </c>
      <c r="N38" t="str">
        <f t="shared" si="7"/>
        <v>mg/L</v>
      </c>
      <c r="O38" t="str">
        <f>IF(ISBLANK(Common!E21),"",Common!E21)</f>
        <v/>
      </c>
      <c r="P38" s="137">
        <f>Common!E$36</f>
        <v>10</v>
      </c>
    </row>
    <row r="39" spans="1:17">
      <c r="A39" t="str">
        <f>IF(ISBLANK(Common!C$2),"",Common!C$2)</f>
        <v/>
      </c>
      <c r="B39" t="str">
        <f>IF(ISBLANK(Common!C$4),"",Common!C$4)</f>
        <v/>
      </c>
      <c r="C39" t="str">
        <f>IF(ISBLANK(Common!C$6),"",Common!C$6)</f>
        <v/>
      </c>
      <c r="D39" t="str">
        <f>IF(ISBLANK(Common!C$8),"",Common!C$8)</f>
        <v/>
      </c>
      <c r="E39" t="str">
        <f>IF(ISBLANK(Common!I$2),"",Common!I$2)</f>
        <v/>
      </c>
      <c r="F39" t="str">
        <f>IF(ISBLANK(Common!I$4),"",Common!I$4)</f>
        <v/>
      </c>
      <c r="G39" t="str">
        <f>IF(ISBLANK(Common!I$6),"",Common!I$6)</f>
        <v/>
      </c>
      <c r="H39" t="str">
        <f>IF(ISBLANK(Common!I$8),"",Common!I$8)</f>
        <v/>
      </c>
      <c r="I39" t="str">
        <f>IF(ISBLANK(Common!K$8),"",Common!K$8)</f>
        <v/>
      </c>
      <c r="J39" s="27" t="s">
        <v>78</v>
      </c>
      <c r="K39">
        <f t="shared" si="9"/>
        <v>0</v>
      </c>
      <c r="L39" s="136">
        <f t="shared" si="4"/>
        <v>0</v>
      </c>
      <c r="M39" t="str">
        <f t="shared" si="8"/>
        <v>Oil and Grease, Total</v>
      </c>
      <c r="N39" t="str">
        <f t="shared" si="7"/>
        <v>mg/L</v>
      </c>
      <c r="O39" t="str">
        <f>IF(ISBLANK(Common!E22),"",Common!E22)</f>
        <v/>
      </c>
      <c r="P39" s="137">
        <f>Common!E$36</f>
        <v>10</v>
      </c>
    </row>
    <row r="40" spans="1:17">
      <c r="A40" t="str">
        <f>IF(ISBLANK(Common!C$2),"",Common!C$2)</f>
        <v/>
      </c>
      <c r="B40" t="str">
        <f>IF(ISBLANK(Common!C$4),"",Common!C$4)</f>
        <v/>
      </c>
      <c r="C40" t="str">
        <f>IF(ISBLANK(Common!C$6),"",Common!C$6)</f>
        <v/>
      </c>
      <c r="D40" t="str">
        <f>IF(ISBLANK(Common!C$8),"",Common!C$8)</f>
        <v/>
      </c>
      <c r="E40" t="str">
        <f>IF(ISBLANK(Common!I$2),"",Common!I$2)</f>
        <v/>
      </c>
      <c r="F40" t="str">
        <f>IF(ISBLANK(Common!I$4),"",Common!I$4)</f>
        <v/>
      </c>
      <c r="G40" t="str">
        <f>IF(ISBLANK(Common!I$6),"",Common!I$6)</f>
        <v/>
      </c>
      <c r="H40" t="str">
        <f>IF(ISBLANK(Common!I$8),"",Common!I$8)</f>
        <v/>
      </c>
      <c r="I40" t="str">
        <f>IF(ISBLANK(Common!K$8),"",Common!K$8)</f>
        <v/>
      </c>
      <c r="J40" s="27" t="s">
        <v>78</v>
      </c>
      <c r="K40">
        <f t="shared" si="9"/>
        <v>0</v>
      </c>
      <c r="L40" s="136">
        <f t="shared" si="4"/>
        <v>0</v>
      </c>
      <c r="M40" t="str">
        <f t="shared" si="8"/>
        <v>Oil and Grease, Total</v>
      </c>
      <c r="N40" t="str">
        <f t="shared" si="7"/>
        <v>mg/L</v>
      </c>
      <c r="O40" t="str">
        <f>IF(ISBLANK(Common!E23),"",Common!E23)</f>
        <v/>
      </c>
      <c r="P40" s="137">
        <f>Common!E$36</f>
        <v>10</v>
      </c>
    </row>
    <row r="41" spans="1:17">
      <c r="A41" t="str">
        <f>IF(ISBLANK(Common!C$2),"",Common!C$2)</f>
        <v/>
      </c>
      <c r="B41" t="str">
        <f>IF(ISBLANK(Common!C$4),"",Common!C$4)</f>
        <v/>
      </c>
      <c r="C41" t="str">
        <f>IF(ISBLANK(Common!C$6),"",Common!C$6)</f>
        <v/>
      </c>
      <c r="D41" t="str">
        <f>IF(ISBLANK(Common!C$8),"",Common!C$8)</f>
        <v/>
      </c>
      <c r="E41" t="str">
        <f>IF(ISBLANK(Common!I$2),"",Common!I$2)</f>
        <v/>
      </c>
      <c r="F41" t="str">
        <f>IF(ISBLANK(Common!I$4),"",Common!I$4)</f>
        <v/>
      </c>
      <c r="G41" t="str">
        <f>IF(ISBLANK(Common!I$6),"",Common!I$6)</f>
        <v/>
      </c>
      <c r="H41" t="str">
        <f>IF(ISBLANK(Common!I$8),"",Common!I$8)</f>
        <v/>
      </c>
      <c r="I41" t="str">
        <f>IF(ISBLANK(Common!K$8),"",Common!K$8)</f>
        <v/>
      </c>
      <c r="J41" s="27" t="s">
        <v>78</v>
      </c>
      <c r="K41">
        <f t="shared" si="9"/>
        <v>0</v>
      </c>
      <c r="L41" s="136">
        <f t="shared" si="4"/>
        <v>0</v>
      </c>
      <c r="M41" t="str">
        <f t="shared" si="8"/>
        <v>Oil and Grease, Total</v>
      </c>
      <c r="N41" t="str">
        <f t="shared" si="7"/>
        <v>mg/L</v>
      </c>
      <c r="O41" t="str">
        <f>IF(ISBLANK(Common!E24),"",Common!E24)</f>
        <v/>
      </c>
      <c r="P41" s="137">
        <f>Common!E$36</f>
        <v>10</v>
      </c>
    </row>
    <row r="42" spans="1:17">
      <c r="A42" t="str">
        <f>IF(ISBLANK(Common!C$2),"",Common!C$2)</f>
        <v/>
      </c>
      <c r="B42" t="str">
        <f>IF(ISBLANK(Common!C$4),"",Common!C$4)</f>
        <v/>
      </c>
      <c r="C42" t="str">
        <f>IF(ISBLANK(Common!C$6),"",Common!C$6)</f>
        <v/>
      </c>
      <c r="D42" t="str">
        <f>IF(ISBLANK(Common!C$8),"",Common!C$8)</f>
        <v/>
      </c>
      <c r="E42" t="str">
        <f>IF(ISBLANK(Common!I$2),"",Common!I$2)</f>
        <v/>
      </c>
      <c r="F42" t="str">
        <f>IF(ISBLANK(Common!I$4),"",Common!I$4)</f>
        <v/>
      </c>
      <c r="G42" t="str">
        <f>IF(ISBLANK(Common!I$6),"",Common!I$6)</f>
        <v/>
      </c>
      <c r="H42" t="str">
        <f>IF(ISBLANK(Common!I$8),"",Common!I$8)</f>
        <v/>
      </c>
      <c r="I42" t="str">
        <f>IF(ISBLANK(Common!K$8),"",Common!K$8)</f>
        <v/>
      </c>
      <c r="J42" s="27" t="s">
        <v>78</v>
      </c>
      <c r="K42">
        <f t="shared" si="9"/>
        <v>0</v>
      </c>
      <c r="L42" s="136">
        <f t="shared" si="4"/>
        <v>0</v>
      </c>
      <c r="M42" t="str">
        <f t="shared" si="8"/>
        <v>Copper, Total</v>
      </c>
      <c r="N42" t="str">
        <f t="shared" si="7"/>
        <v>mg/L</v>
      </c>
      <c r="O42" t="str">
        <f>IF(ISBLANK(Common!F21),"",Common!F21)</f>
        <v/>
      </c>
      <c r="P42">
        <f>Common!F$36</f>
        <v>3.5999999999999997E-2</v>
      </c>
    </row>
    <row r="43" spans="1:17">
      <c r="A43" t="str">
        <f>IF(ISBLANK(Common!C$2),"",Common!C$2)</f>
        <v/>
      </c>
      <c r="B43" t="str">
        <f>IF(ISBLANK(Common!C$4),"",Common!C$4)</f>
        <v/>
      </c>
      <c r="C43" t="str">
        <f>IF(ISBLANK(Common!C$6),"",Common!C$6)</f>
        <v/>
      </c>
      <c r="D43" t="str">
        <f>IF(ISBLANK(Common!C$8),"",Common!C$8)</f>
        <v/>
      </c>
      <c r="E43" t="str">
        <f>IF(ISBLANK(Common!I$2),"",Common!I$2)</f>
        <v/>
      </c>
      <c r="F43" t="str">
        <f>IF(ISBLANK(Common!I$4),"",Common!I$4)</f>
        <v/>
      </c>
      <c r="G43" t="str">
        <f>IF(ISBLANK(Common!I$6),"",Common!I$6)</f>
        <v/>
      </c>
      <c r="H43" t="str">
        <f>IF(ISBLANK(Common!I$8),"",Common!I$8)</f>
        <v/>
      </c>
      <c r="I43" t="str">
        <f>IF(ISBLANK(Common!K$8),"",Common!K$8)</f>
        <v/>
      </c>
      <c r="J43" s="27" t="s">
        <v>78</v>
      </c>
      <c r="K43">
        <f t="shared" si="9"/>
        <v>0</v>
      </c>
      <c r="L43" s="136">
        <f t="shared" si="4"/>
        <v>0</v>
      </c>
      <c r="M43" t="str">
        <f t="shared" si="8"/>
        <v>Copper, Total</v>
      </c>
      <c r="N43" t="str">
        <f t="shared" si="7"/>
        <v>mg/L</v>
      </c>
      <c r="O43" t="str">
        <f>IF(ISBLANK(Common!F22),"",Common!F22)</f>
        <v/>
      </c>
      <c r="P43">
        <f>Common!F$36</f>
        <v>3.5999999999999997E-2</v>
      </c>
    </row>
    <row r="44" spans="1:17">
      <c r="A44" t="str">
        <f>IF(ISBLANK(Common!C$2),"",Common!C$2)</f>
        <v/>
      </c>
      <c r="B44" t="str">
        <f>IF(ISBLANK(Common!C$4),"",Common!C$4)</f>
        <v/>
      </c>
      <c r="C44" t="str">
        <f>IF(ISBLANK(Common!C$6),"",Common!C$6)</f>
        <v/>
      </c>
      <c r="D44" t="str">
        <f>IF(ISBLANK(Common!C$8),"",Common!C$8)</f>
        <v/>
      </c>
      <c r="E44" t="str">
        <f>IF(ISBLANK(Common!I$2),"",Common!I$2)</f>
        <v/>
      </c>
      <c r="F44" t="str">
        <f>IF(ISBLANK(Common!I$4),"",Common!I$4)</f>
        <v/>
      </c>
      <c r="G44" t="str">
        <f>IF(ISBLANK(Common!I$6),"",Common!I$6)</f>
        <v/>
      </c>
      <c r="H44" t="str">
        <f>IF(ISBLANK(Common!I$8),"",Common!I$8)</f>
        <v/>
      </c>
      <c r="I44" t="str">
        <f>IF(ISBLANK(Common!K$8),"",Common!K$8)</f>
        <v/>
      </c>
      <c r="J44" s="27" t="s">
        <v>78</v>
      </c>
      <c r="K44">
        <f t="shared" si="9"/>
        <v>0</v>
      </c>
      <c r="L44" s="136">
        <f t="shared" si="4"/>
        <v>0</v>
      </c>
      <c r="M44" t="str">
        <f t="shared" si="8"/>
        <v>Copper, Total</v>
      </c>
      <c r="N44" t="str">
        <f t="shared" si="7"/>
        <v>mg/L</v>
      </c>
      <c r="O44" t="str">
        <f>IF(ISBLANK(Common!F23),"",Common!F23)</f>
        <v/>
      </c>
      <c r="P44">
        <f>Common!F$36</f>
        <v>3.5999999999999997E-2</v>
      </c>
    </row>
    <row r="45" spans="1:17">
      <c r="A45" t="str">
        <f>IF(ISBLANK(Common!C$2),"",Common!C$2)</f>
        <v/>
      </c>
      <c r="B45" t="str">
        <f>IF(ISBLANK(Common!C$4),"",Common!C$4)</f>
        <v/>
      </c>
      <c r="C45" t="str">
        <f>IF(ISBLANK(Common!C$6),"",Common!C$6)</f>
        <v/>
      </c>
      <c r="D45" t="str">
        <f>IF(ISBLANK(Common!C$8),"",Common!C$8)</f>
        <v/>
      </c>
      <c r="E45" t="str">
        <f>IF(ISBLANK(Common!I$2),"",Common!I$2)</f>
        <v/>
      </c>
      <c r="F45" t="str">
        <f>IF(ISBLANK(Common!I$4),"",Common!I$4)</f>
        <v/>
      </c>
      <c r="G45" t="str">
        <f>IF(ISBLANK(Common!I$6),"",Common!I$6)</f>
        <v/>
      </c>
      <c r="H45" t="str">
        <f>IF(ISBLANK(Common!I$8),"",Common!I$8)</f>
        <v/>
      </c>
      <c r="I45" t="str">
        <f>IF(ISBLANK(Common!K$8),"",Common!K$8)</f>
        <v/>
      </c>
      <c r="J45" s="27" t="s">
        <v>78</v>
      </c>
      <c r="K45">
        <f t="shared" si="9"/>
        <v>0</v>
      </c>
      <c r="L45" s="136">
        <f t="shared" si="4"/>
        <v>0</v>
      </c>
      <c r="M45" t="str">
        <f t="shared" si="8"/>
        <v>Copper, Total</v>
      </c>
      <c r="N45" t="str">
        <f t="shared" si="7"/>
        <v>mg/L</v>
      </c>
      <c r="O45" t="str">
        <f>IF(ISBLANK(Common!F24),"",Common!F24)</f>
        <v/>
      </c>
      <c r="P45">
        <f>Common!F$36</f>
        <v>3.5999999999999997E-2</v>
      </c>
    </row>
    <row r="46" spans="1:17">
      <c r="A46" t="str">
        <f>IF(ISBLANK(Common!C$2),"",Common!C$2)</f>
        <v/>
      </c>
      <c r="B46" t="str">
        <f>IF(ISBLANK(Common!C$4),"",Common!C$4)</f>
        <v/>
      </c>
      <c r="C46" t="str">
        <f>IF(ISBLANK(Common!C$6),"",Common!C$6)</f>
        <v/>
      </c>
      <c r="D46" t="str">
        <f>IF(ISBLANK(Common!C$8),"",Common!C$8)</f>
        <v/>
      </c>
      <c r="E46" t="str">
        <f>IF(ISBLANK(Common!I$2),"",Common!I$2)</f>
        <v/>
      </c>
      <c r="F46" t="str">
        <f>IF(ISBLANK(Common!I$4),"",Common!I$4)</f>
        <v/>
      </c>
      <c r="G46" t="str">
        <f>IF(ISBLANK(Common!I$6),"",Common!I$6)</f>
        <v/>
      </c>
      <c r="H46" t="str">
        <f>IF(ISBLANK(Common!I$8),"",Common!I$8)</f>
        <v/>
      </c>
      <c r="I46" t="str">
        <f>IF(ISBLANK(Common!K$8),"",Common!K$8)</f>
        <v/>
      </c>
      <c r="J46" s="27" t="s">
        <v>78</v>
      </c>
      <c r="K46">
        <f t="shared" si="9"/>
        <v>0</v>
      </c>
      <c r="L46" s="136">
        <f t="shared" si="4"/>
        <v>0</v>
      </c>
      <c r="M46" t="str">
        <f t="shared" si="8"/>
        <v>Lead, Total</v>
      </c>
      <c r="N46" t="str">
        <f t="shared" si="7"/>
        <v>mg/L</v>
      </c>
      <c r="O46" t="str">
        <f>IF(ISBLANK(Common!G21),"",Common!G21)</f>
        <v/>
      </c>
      <c r="P46">
        <f>Common!G$36</f>
        <v>0.06</v>
      </c>
    </row>
    <row r="47" spans="1:17">
      <c r="A47" t="str">
        <f>IF(ISBLANK(Common!C$2),"",Common!C$2)</f>
        <v/>
      </c>
      <c r="B47" t="str">
        <f>IF(ISBLANK(Common!C$4),"",Common!C$4)</f>
        <v/>
      </c>
      <c r="C47" t="str">
        <f>IF(ISBLANK(Common!C$6),"",Common!C$6)</f>
        <v/>
      </c>
      <c r="D47" t="str">
        <f>IF(ISBLANK(Common!C$8),"",Common!C$8)</f>
        <v/>
      </c>
      <c r="E47" t="str">
        <f>IF(ISBLANK(Common!I$2),"",Common!I$2)</f>
        <v/>
      </c>
      <c r="F47" t="str">
        <f>IF(ISBLANK(Common!I$4),"",Common!I$4)</f>
        <v/>
      </c>
      <c r="G47" t="str">
        <f>IF(ISBLANK(Common!I$6),"",Common!I$6)</f>
        <v/>
      </c>
      <c r="H47" t="str">
        <f>IF(ISBLANK(Common!I$8),"",Common!I$8)</f>
        <v/>
      </c>
      <c r="I47" t="str">
        <f>IF(ISBLANK(Common!K$8),"",Common!K$8)</f>
        <v/>
      </c>
      <c r="J47" s="27" t="s">
        <v>78</v>
      </c>
      <c r="K47">
        <f t="shared" si="9"/>
        <v>0</v>
      </c>
      <c r="L47" s="136">
        <f t="shared" si="4"/>
        <v>0</v>
      </c>
      <c r="M47" t="str">
        <f t="shared" si="8"/>
        <v>Lead, Total</v>
      </c>
      <c r="N47" t="str">
        <f t="shared" si="7"/>
        <v>mg/L</v>
      </c>
      <c r="O47" t="str">
        <f>IF(ISBLANK(Common!G22),"",Common!G22)</f>
        <v/>
      </c>
      <c r="P47">
        <f>Common!G$36</f>
        <v>0.06</v>
      </c>
    </row>
    <row r="48" spans="1:17">
      <c r="A48" t="str">
        <f>IF(ISBLANK(Common!C$2),"",Common!C$2)</f>
        <v/>
      </c>
      <c r="B48" t="str">
        <f>IF(ISBLANK(Common!C$4),"",Common!C$4)</f>
        <v/>
      </c>
      <c r="C48" t="str">
        <f>IF(ISBLANK(Common!C$6),"",Common!C$6)</f>
        <v/>
      </c>
      <c r="D48" t="str">
        <f>IF(ISBLANK(Common!C$8),"",Common!C$8)</f>
        <v/>
      </c>
      <c r="E48" t="str">
        <f>IF(ISBLANK(Common!I$2),"",Common!I$2)</f>
        <v/>
      </c>
      <c r="F48" t="str">
        <f>IF(ISBLANK(Common!I$4),"",Common!I$4)</f>
        <v/>
      </c>
      <c r="G48" t="str">
        <f>IF(ISBLANK(Common!I$6),"",Common!I$6)</f>
        <v/>
      </c>
      <c r="H48" t="str">
        <f>IF(ISBLANK(Common!I$8),"",Common!I$8)</f>
        <v/>
      </c>
      <c r="I48" t="str">
        <f>IF(ISBLANK(Common!K$8),"",Common!K$8)</f>
        <v/>
      </c>
      <c r="J48" s="27" t="s">
        <v>78</v>
      </c>
      <c r="K48">
        <f t="shared" si="9"/>
        <v>0</v>
      </c>
      <c r="L48" s="136">
        <f t="shared" si="4"/>
        <v>0</v>
      </c>
      <c r="M48" t="str">
        <f t="shared" si="8"/>
        <v>Lead, Total</v>
      </c>
      <c r="N48" t="str">
        <f t="shared" si="7"/>
        <v>mg/L</v>
      </c>
      <c r="O48" t="str">
        <f>IF(ISBLANK(Common!G23),"",Common!G23)</f>
        <v/>
      </c>
      <c r="P48">
        <f>Common!G$36</f>
        <v>0.06</v>
      </c>
    </row>
    <row r="49" spans="1:17">
      <c r="A49" t="str">
        <f>IF(ISBLANK(Common!C$2),"",Common!C$2)</f>
        <v/>
      </c>
      <c r="B49" t="str">
        <f>IF(ISBLANK(Common!C$4),"",Common!C$4)</f>
        <v/>
      </c>
      <c r="C49" t="str">
        <f>IF(ISBLANK(Common!C$6),"",Common!C$6)</f>
        <v/>
      </c>
      <c r="D49" t="str">
        <f>IF(ISBLANK(Common!C$8),"",Common!C$8)</f>
        <v/>
      </c>
      <c r="E49" t="str">
        <f>IF(ISBLANK(Common!I$2),"",Common!I$2)</f>
        <v/>
      </c>
      <c r="F49" t="str">
        <f>IF(ISBLANK(Common!I$4),"",Common!I$4)</f>
        <v/>
      </c>
      <c r="G49" t="str">
        <f>IF(ISBLANK(Common!I$6),"",Common!I$6)</f>
        <v/>
      </c>
      <c r="H49" t="str">
        <f>IF(ISBLANK(Common!I$8),"",Common!I$8)</f>
        <v/>
      </c>
      <c r="I49" t="str">
        <f>IF(ISBLANK(Common!K$8),"",Common!K$8)</f>
        <v/>
      </c>
      <c r="J49" s="27" t="s">
        <v>78</v>
      </c>
      <c r="K49">
        <f t="shared" si="9"/>
        <v>0</v>
      </c>
      <c r="L49" s="136">
        <f t="shared" si="4"/>
        <v>0</v>
      </c>
      <c r="M49" t="str">
        <f t="shared" si="8"/>
        <v>Lead, Total</v>
      </c>
      <c r="N49" t="str">
        <f t="shared" si="7"/>
        <v>mg/L</v>
      </c>
      <c r="O49" t="str">
        <f>IF(ISBLANK(Common!G24),"",Common!G24)</f>
        <v/>
      </c>
      <c r="P49">
        <f>Common!G$36</f>
        <v>0.06</v>
      </c>
    </row>
    <row r="50" spans="1:17">
      <c r="A50" t="str">
        <f>IF(ISBLANK(Common!C$2),"",Common!C$2)</f>
        <v/>
      </c>
      <c r="B50" t="str">
        <f>IF(ISBLANK(Common!C$4),"",Common!C$4)</f>
        <v/>
      </c>
      <c r="C50" t="str">
        <f>IF(ISBLANK(Common!C$6),"",Common!C$6)</f>
        <v/>
      </c>
      <c r="D50" t="str">
        <f>IF(ISBLANK(Common!C$8),"",Common!C$8)</f>
        <v/>
      </c>
      <c r="E50" t="str">
        <f>IF(ISBLANK(Common!I$2),"",Common!I$2)</f>
        <v/>
      </c>
      <c r="F50" t="str">
        <f>IF(ISBLANK(Common!I$4),"",Common!I$4)</f>
        <v/>
      </c>
      <c r="G50" t="str">
        <f>IF(ISBLANK(Common!I$6),"",Common!I$6)</f>
        <v/>
      </c>
      <c r="H50" t="str">
        <f>IF(ISBLANK(Common!I$8),"",Common!I$8)</f>
        <v/>
      </c>
      <c r="I50" t="str">
        <f>IF(ISBLANK(Common!K$8),"",Common!K$8)</f>
        <v/>
      </c>
      <c r="J50" s="27" t="s">
        <v>78</v>
      </c>
      <c r="K50">
        <f t="shared" si="9"/>
        <v>0</v>
      </c>
      <c r="L50" s="136">
        <f t="shared" si="4"/>
        <v>0</v>
      </c>
      <c r="M50" t="str">
        <f t="shared" si="8"/>
        <v>Zinc, Total</v>
      </c>
      <c r="N50" t="str">
        <f t="shared" si="7"/>
        <v>mg/L</v>
      </c>
      <c r="O50" t="str">
        <f>IF(ISBLANK(Common!H21),"",Common!H21)</f>
        <v/>
      </c>
      <c r="P50" s="138">
        <f>Common!H$36</f>
        <v>0.24</v>
      </c>
    </row>
    <row r="51" spans="1:17">
      <c r="A51" t="str">
        <f>IF(ISBLANK(Common!C$2),"",Common!C$2)</f>
        <v/>
      </c>
      <c r="B51" t="str">
        <f>IF(ISBLANK(Common!C$4),"",Common!C$4)</f>
        <v/>
      </c>
      <c r="C51" t="str">
        <f>IF(ISBLANK(Common!C$6),"",Common!C$6)</f>
        <v/>
      </c>
      <c r="D51" t="str">
        <f>IF(ISBLANK(Common!C$8),"",Common!C$8)</f>
        <v/>
      </c>
      <c r="E51" t="str">
        <f>IF(ISBLANK(Common!I$2),"",Common!I$2)</f>
        <v/>
      </c>
      <c r="F51" t="str">
        <f>IF(ISBLANK(Common!I$4),"",Common!I$4)</f>
        <v/>
      </c>
      <c r="G51" t="str">
        <f>IF(ISBLANK(Common!I$6),"",Common!I$6)</f>
        <v/>
      </c>
      <c r="H51" t="str">
        <f>IF(ISBLANK(Common!I$8),"",Common!I$8)</f>
        <v/>
      </c>
      <c r="I51" t="str">
        <f>IF(ISBLANK(Common!K$8),"",Common!K$8)</f>
        <v/>
      </c>
      <c r="J51" s="27" t="s">
        <v>78</v>
      </c>
      <c r="K51">
        <f t="shared" si="9"/>
        <v>0</v>
      </c>
      <c r="L51" s="136">
        <f t="shared" si="4"/>
        <v>0</v>
      </c>
      <c r="M51" t="str">
        <f t="shared" si="8"/>
        <v>Zinc, Total</v>
      </c>
      <c r="N51" t="str">
        <f t="shared" si="7"/>
        <v>mg/L</v>
      </c>
      <c r="O51" t="str">
        <f>IF(ISBLANK(Common!H22),"",Common!H22)</f>
        <v/>
      </c>
      <c r="P51" s="138">
        <f>Common!H$36</f>
        <v>0.24</v>
      </c>
    </row>
    <row r="52" spans="1:17">
      <c r="A52" t="str">
        <f>IF(ISBLANK(Common!C$2),"",Common!C$2)</f>
        <v/>
      </c>
      <c r="B52" t="str">
        <f>IF(ISBLANK(Common!C$4),"",Common!C$4)</f>
        <v/>
      </c>
      <c r="C52" t="str">
        <f>IF(ISBLANK(Common!C$6),"",Common!C$6)</f>
        <v/>
      </c>
      <c r="D52" t="str">
        <f>IF(ISBLANK(Common!C$8),"",Common!C$8)</f>
        <v/>
      </c>
      <c r="E52" t="str">
        <f>IF(ISBLANK(Common!I$2),"",Common!I$2)</f>
        <v/>
      </c>
      <c r="F52" t="str">
        <f>IF(ISBLANK(Common!I$4),"",Common!I$4)</f>
        <v/>
      </c>
      <c r="G52" t="str">
        <f>IF(ISBLANK(Common!I$6),"",Common!I$6)</f>
        <v/>
      </c>
      <c r="H52" t="str">
        <f>IF(ISBLANK(Common!I$8),"",Common!I$8)</f>
        <v/>
      </c>
      <c r="I52" t="str">
        <f>IF(ISBLANK(Common!K$8),"",Common!K$8)</f>
        <v/>
      </c>
      <c r="J52" s="27" t="s">
        <v>78</v>
      </c>
      <c r="K52">
        <f t="shared" si="9"/>
        <v>0</v>
      </c>
      <c r="L52" s="136">
        <f t="shared" si="4"/>
        <v>0</v>
      </c>
      <c r="M52" t="str">
        <f t="shared" si="8"/>
        <v>Zinc, Total</v>
      </c>
      <c r="N52" t="str">
        <f t="shared" si="7"/>
        <v>mg/L</v>
      </c>
      <c r="O52" t="str">
        <f>IF(ISBLANK(Common!H23),"",Common!H23)</f>
        <v/>
      </c>
      <c r="P52" s="138">
        <f>Common!H$36</f>
        <v>0.24</v>
      </c>
    </row>
    <row r="53" spans="1:17">
      <c r="A53" t="str">
        <f>IF(ISBLANK(Common!C$2),"",Common!C$2)</f>
        <v/>
      </c>
      <c r="B53" t="str">
        <f>IF(ISBLANK(Common!C$4),"",Common!C$4)</f>
        <v/>
      </c>
      <c r="C53" t="str">
        <f>IF(ISBLANK(Common!C$6),"",Common!C$6)</f>
        <v/>
      </c>
      <c r="D53" t="str">
        <f>IF(ISBLANK(Common!C$8),"",Common!C$8)</f>
        <v/>
      </c>
      <c r="E53" t="str">
        <f>IF(ISBLANK(Common!I$2),"",Common!I$2)</f>
        <v/>
      </c>
      <c r="F53" t="str">
        <f>IF(ISBLANK(Common!I$4),"",Common!I$4)</f>
        <v/>
      </c>
      <c r="G53" t="str">
        <f>IF(ISBLANK(Common!I$6),"",Common!I$6)</f>
        <v/>
      </c>
      <c r="H53" t="str">
        <f>IF(ISBLANK(Common!I$8),"",Common!I$8)</f>
        <v/>
      </c>
      <c r="I53" t="str">
        <f>IF(ISBLANK(Common!K$8),"",Common!K$8)</f>
        <v/>
      </c>
      <c r="J53" s="27" t="s">
        <v>78</v>
      </c>
      <c r="K53">
        <f t="shared" si="9"/>
        <v>0</v>
      </c>
      <c r="L53" s="136">
        <f t="shared" si="4"/>
        <v>0</v>
      </c>
      <c r="M53" t="str">
        <f t="shared" si="8"/>
        <v>Zinc, Total</v>
      </c>
      <c r="N53" t="str">
        <f t="shared" si="7"/>
        <v>mg/L</v>
      </c>
      <c r="O53" t="str">
        <f>IF(ISBLANK(Common!H24),"",Common!H24)</f>
        <v/>
      </c>
      <c r="P53" s="138">
        <f>Common!H$36</f>
        <v>0.24</v>
      </c>
    </row>
    <row r="54" spans="1:17">
      <c r="A54" t="str">
        <f>IF(ISBLANK(Common!C$2),"",Common!C$2)</f>
        <v/>
      </c>
      <c r="B54" t="str">
        <f>IF(ISBLANK(Common!C$4),"",Common!C$4)</f>
        <v/>
      </c>
      <c r="C54" t="str">
        <f>IF(ISBLANK(Common!C$6),"",Common!C$6)</f>
        <v/>
      </c>
      <c r="D54" t="str">
        <f>IF(ISBLANK(Common!C$8),"",Common!C$8)</f>
        <v/>
      </c>
      <c r="E54" t="str">
        <f>IF(ISBLANK(Common!I$2),"",Common!I$2)</f>
        <v/>
      </c>
      <c r="F54" t="str">
        <f>IF(ISBLANK(Common!I$4),"",Common!I$4)</f>
        <v/>
      </c>
      <c r="G54" t="str">
        <f>IF(ISBLANK(Common!I$6),"",Common!I$6)</f>
        <v/>
      </c>
      <c r="H54" t="str">
        <f>IF(ISBLANK(Common!I$8),"",Common!I$8)</f>
        <v/>
      </c>
      <c r="I54" t="str">
        <f>IF(ISBLANK(Common!K$8),"",Common!K$8)</f>
        <v/>
      </c>
      <c r="J54" s="27" t="s">
        <v>78</v>
      </c>
      <c r="K54">
        <f t="shared" si="9"/>
        <v>0</v>
      </c>
      <c r="L54" s="136">
        <f t="shared" si="4"/>
        <v>0</v>
      </c>
      <c r="M54" t="str">
        <f t="shared" si="8"/>
        <v>E. coli</v>
      </c>
      <c r="N54" t="str">
        <f t="shared" si="7"/>
        <v>counts/100 mL</v>
      </c>
      <c r="O54" t="str">
        <f>IF(ISBLANK(Common!I21),"",Common!I21)</f>
        <v/>
      </c>
      <c r="P54">
        <f>Common!I$36</f>
        <v>406</v>
      </c>
    </row>
    <row r="55" spans="1:17">
      <c r="A55" t="str">
        <f>IF(ISBLANK(Common!C$2),"",Common!C$2)</f>
        <v/>
      </c>
      <c r="B55" t="str">
        <f>IF(ISBLANK(Common!C$4),"",Common!C$4)</f>
        <v/>
      </c>
      <c r="C55" t="str">
        <f>IF(ISBLANK(Common!C$6),"",Common!C$6)</f>
        <v/>
      </c>
      <c r="D55" t="str">
        <f>IF(ISBLANK(Common!C$8),"",Common!C$8)</f>
        <v/>
      </c>
      <c r="E55" t="str">
        <f>IF(ISBLANK(Common!I$2),"",Common!I$2)</f>
        <v/>
      </c>
      <c r="F55" t="str">
        <f>IF(ISBLANK(Common!I$4),"",Common!I$4)</f>
        <v/>
      </c>
      <c r="G55" t="str">
        <f>IF(ISBLANK(Common!I$6),"",Common!I$6)</f>
        <v/>
      </c>
      <c r="H55" t="str">
        <f>IF(ISBLANK(Common!I$8),"",Common!I$8)</f>
        <v/>
      </c>
      <c r="I55" t="str">
        <f>IF(ISBLANK(Common!K$8),"",Common!K$8)</f>
        <v/>
      </c>
      <c r="J55" s="27" t="s">
        <v>78</v>
      </c>
      <c r="K55">
        <f t="shared" si="9"/>
        <v>0</v>
      </c>
      <c r="L55" s="136">
        <f t="shared" si="4"/>
        <v>0</v>
      </c>
      <c r="M55" t="str">
        <f t="shared" si="8"/>
        <v>E. coli</v>
      </c>
      <c r="N55" t="str">
        <f t="shared" si="7"/>
        <v>counts/100 mL</v>
      </c>
      <c r="O55" t="str">
        <f>IF(ISBLANK(Common!I22),"",Common!I22)</f>
        <v/>
      </c>
      <c r="P55">
        <f>Common!I$36</f>
        <v>406</v>
      </c>
    </row>
    <row r="56" spans="1:17">
      <c r="A56" t="str">
        <f>IF(ISBLANK(Common!C$2),"",Common!C$2)</f>
        <v/>
      </c>
      <c r="B56" t="str">
        <f>IF(ISBLANK(Common!C$4),"",Common!C$4)</f>
        <v/>
      </c>
      <c r="C56" t="str">
        <f>IF(ISBLANK(Common!C$6),"",Common!C$6)</f>
        <v/>
      </c>
      <c r="D56" t="str">
        <f>IF(ISBLANK(Common!C$8),"",Common!C$8)</f>
        <v/>
      </c>
      <c r="E56" t="str">
        <f>IF(ISBLANK(Common!I$2),"",Common!I$2)</f>
        <v/>
      </c>
      <c r="F56" t="str">
        <f>IF(ISBLANK(Common!I$4),"",Common!I$4)</f>
        <v/>
      </c>
      <c r="G56" t="str">
        <f>IF(ISBLANK(Common!I$6),"",Common!I$6)</f>
        <v/>
      </c>
      <c r="H56" t="str">
        <f>IF(ISBLANK(Common!I$8),"",Common!I$8)</f>
        <v/>
      </c>
      <c r="I56" t="str">
        <f>IF(ISBLANK(Common!K$8),"",Common!K$8)</f>
        <v/>
      </c>
      <c r="J56" s="27" t="s">
        <v>78</v>
      </c>
      <c r="K56">
        <f t="shared" si="9"/>
        <v>0</v>
      </c>
      <c r="L56" s="136">
        <f t="shared" si="4"/>
        <v>0</v>
      </c>
      <c r="M56" t="str">
        <f t="shared" si="8"/>
        <v>E. coli</v>
      </c>
      <c r="N56" t="str">
        <f t="shared" si="7"/>
        <v>counts/100 mL</v>
      </c>
      <c r="O56" t="str">
        <f>IF(ISBLANK(Common!I23),"",Common!I23)</f>
        <v/>
      </c>
      <c r="P56">
        <f>Common!I$36</f>
        <v>406</v>
      </c>
    </row>
    <row r="57" spans="1:17">
      <c r="A57" t="str">
        <f>IF(ISBLANK(Common!C$2),"",Common!C$2)</f>
        <v/>
      </c>
      <c r="B57" t="str">
        <f>IF(ISBLANK(Common!C$4),"",Common!C$4)</f>
        <v/>
      </c>
      <c r="C57" t="str">
        <f>IF(ISBLANK(Common!C$6),"",Common!C$6)</f>
        <v/>
      </c>
      <c r="D57" t="str">
        <f>IF(ISBLANK(Common!C$8),"",Common!C$8)</f>
        <v/>
      </c>
      <c r="E57" t="str">
        <f>IF(ISBLANK(Common!I$2),"",Common!I$2)</f>
        <v/>
      </c>
      <c r="F57" t="str">
        <f>IF(ISBLANK(Common!I$4),"",Common!I$4)</f>
        <v/>
      </c>
      <c r="G57" t="str">
        <f>IF(ISBLANK(Common!I$6),"",Common!I$6)</f>
        <v/>
      </c>
      <c r="H57" t="str">
        <f>IF(ISBLANK(Common!I$8),"",Common!I$8)</f>
        <v/>
      </c>
      <c r="I57" t="str">
        <f>IF(ISBLANK(Common!K$8),"",Common!K$8)</f>
        <v/>
      </c>
      <c r="J57" s="27" t="s">
        <v>78</v>
      </c>
      <c r="K57">
        <f t="shared" si="9"/>
        <v>0</v>
      </c>
      <c r="L57" s="136">
        <f t="shared" si="4"/>
        <v>0</v>
      </c>
      <c r="M57" t="str">
        <f t="shared" si="8"/>
        <v>E. coli</v>
      </c>
      <c r="N57" t="str">
        <f t="shared" si="7"/>
        <v>counts/100 mL</v>
      </c>
      <c r="O57" t="str">
        <f>IF(ISBLANK(Common!I24),"",Common!I24)</f>
        <v/>
      </c>
      <c r="P57">
        <f>Common!I$36</f>
        <v>406</v>
      </c>
    </row>
    <row r="58" spans="1:17">
      <c r="A58" t="str">
        <f>IF(ISBLANK(Common!C$2),"",Common!C$2)</f>
        <v/>
      </c>
      <c r="B58" t="str">
        <f>IF(ISBLANK(Common!C$4),"",Common!C$4)</f>
        <v/>
      </c>
      <c r="C58" t="str">
        <f>IF(ISBLANK(Common!C$6),"",Common!C$6)</f>
        <v/>
      </c>
      <c r="D58" t="str">
        <f>IF(ISBLANK(Common!C$8),"",Common!C$8)</f>
        <v/>
      </c>
      <c r="E58" t="str">
        <f>IF(ISBLANK(Common!I$2),"",Common!I$2)</f>
        <v/>
      </c>
      <c r="F58" t="str">
        <f>IF(ISBLANK(Common!I$4),"",Common!I$4)</f>
        <v/>
      </c>
      <c r="G58" t="str">
        <f>IF(ISBLANK(Common!I$6),"",Common!I$6)</f>
        <v/>
      </c>
      <c r="H58" t="str">
        <f>IF(ISBLANK(Common!I$8),"",Common!I$8)</f>
        <v/>
      </c>
      <c r="I58" t="str">
        <f>IF(ISBLANK(Common!K$8),"",Common!K$8)</f>
        <v/>
      </c>
      <c r="J58" s="27" t="s">
        <v>78</v>
      </c>
      <c r="K58">
        <f>Common!A26</f>
        <v>0</v>
      </c>
      <c r="L58" s="136">
        <f>Common!B26</f>
        <v>0</v>
      </c>
      <c r="M58" t="str">
        <f t="shared" si="8"/>
        <v>pH</v>
      </c>
      <c r="N58" t="str">
        <f t="shared" si="7"/>
        <v>s.u.</v>
      </c>
      <c r="O58" t="str">
        <f>IF(ISBLANK(Common!C26),"",Common!C26)</f>
        <v/>
      </c>
      <c r="P58">
        <v>9</v>
      </c>
      <c r="Q58">
        <v>5.5</v>
      </c>
    </row>
    <row r="59" spans="1:17">
      <c r="A59" t="str">
        <f>IF(ISBLANK(Common!C$2),"",Common!C$2)</f>
        <v/>
      </c>
      <c r="B59" t="str">
        <f>IF(ISBLANK(Common!C$4),"",Common!C$4)</f>
        <v/>
      </c>
      <c r="C59" t="str">
        <f>IF(ISBLANK(Common!C$6),"",Common!C$6)</f>
        <v/>
      </c>
      <c r="D59" t="str">
        <f>IF(ISBLANK(Common!C$8),"",Common!C$8)</f>
        <v/>
      </c>
      <c r="E59" t="str">
        <f>IF(ISBLANK(Common!I$2),"",Common!I$2)</f>
        <v/>
      </c>
      <c r="F59" t="str">
        <f>IF(ISBLANK(Common!I$4),"",Common!I$4)</f>
        <v/>
      </c>
      <c r="G59" t="str">
        <f>IF(ISBLANK(Common!I$6),"",Common!I$6)</f>
        <v/>
      </c>
      <c r="H59" t="str">
        <f>IF(ISBLANK(Common!I$8),"",Common!I$8)</f>
        <v/>
      </c>
      <c r="I59" t="str">
        <f>IF(ISBLANK(Common!K$8),"",Common!K$8)</f>
        <v/>
      </c>
      <c r="J59" s="27" t="s">
        <v>78</v>
      </c>
      <c r="K59">
        <f t="shared" si="9"/>
        <v>0</v>
      </c>
      <c r="L59" s="136">
        <f>Common!B27</f>
        <v>0</v>
      </c>
      <c r="M59" t="str">
        <f t="shared" si="8"/>
        <v>pH</v>
      </c>
      <c r="N59" t="str">
        <f t="shared" si="7"/>
        <v>s.u.</v>
      </c>
      <c r="O59" t="str">
        <f>IF(ISBLANK(Common!C27),"",Common!C27)</f>
        <v/>
      </c>
      <c r="P59">
        <v>9</v>
      </c>
      <c r="Q59">
        <v>5.5</v>
      </c>
    </row>
    <row r="60" spans="1:17">
      <c r="A60" t="str">
        <f>IF(ISBLANK(Common!C$2),"",Common!C$2)</f>
        <v/>
      </c>
      <c r="B60" t="str">
        <f>IF(ISBLANK(Common!C$4),"",Common!C$4)</f>
        <v/>
      </c>
      <c r="C60" t="str">
        <f>IF(ISBLANK(Common!C$6),"",Common!C$6)</f>
        <v/>
      </c>
      <c r="D60" t="str">
        <f>IF(ISBLANK(Common!C$8),"",Common!C$8)</f>
        <v/>
      </c>
      <c r="E60" t="str">
        <f>IF(ISBLANK(Common!I$2),"",Common!I$2)</f>
        <v/>
      </c>
      <c r="F60" t="str">
        <f>IF(ISBLANK(Common!I$4),"",Common!I$4)</f>
        <v/>
      </c>
      <c r="G60" t="str">
        <f>IF(ISBLANK(Common!I$6),"",Common!I$6)</f>
        <v/>
      </c>
      <c r="H60" t="str">
        <f>IF(ISBLANK(Common!I$8),"",Common!I$8)</f>
        <v/>
      </c>
      <c r="I60" t="str">
        <f>IF(ISBLANK(Common!K$8),"",Common!K$8)</f>
        <v/>
      </c>
      <c r="J60" s="27" t="s">
        <v>78</v>
      </c>
      <c r="K60">
        <f t="shared" si="9"/>
        <v>0</v>
      </c>
      <c r="L60" s="136">
        <f>Common!B28</f>
        <v>0</v>
      </c>
      <c r="M60" t="str">
        <f t="shared" si="8"/>
        <v>pH</v>
      </c>
      <c r="N60" t="str">
        <f t="shared" si="7"/>
        <v>s.u.</v>
      </c>
      <c r="O60" t="str">
        <f>IF(ISBLANK(Common!C28),"",Common!C28)</f>
        <v/>
      </c>
      <c r="P60">
        <v>9</v>
      </c>
      <c r="Q60">
        <v>5.5</v>
      </c>
    </row>
    <row r="61" spans="1:17">
      <c r="A61" t="str">
        <f>IF(ISBLANK(Common!C$2),"",Common!C$2)</f>
        <v/>
      </c>
      <c r="B61" t="str">
        <f>IF(ISBLANK(Common!C$4),"",Common!C$4)</f>
        <v/>
      </c>
      <c r="C61" t="str">
        <f>IF(ISBLANK(Common!C$6),"",Common!C$6)</f>
        <v/>
      </c>
      <c r="D61" t="str">
        <f>IF(ISBLANK(Common!C$8),"",Common!C$8)</f>
        <v/>
      </c>
      <c r="E61" t="str">
        <f>IF(ISBLANK(Common!I$2),"",Common!I$2)</f>
        <v/>
      </c>
      <c r="F61" t="str">
        <f>IF(ISBLANK(Common!I$4),"",Common!I$4)</f>
        <v/>
      </c>
      <c r="G61" t="str">
        <f>IF(ISBLANK(Common!I$6),"",Common!I$6)</f>
        <v/>
      </c>
      <c r="H61" t="str">
        <f>IF(ISBLANK(Common!I$8),"",Common!I$8)</f>
        <v/>
      </c>
      <c r="I61" t="str">
        <f>IF(ISBLANK(Common!K$8),"",Common!K$8)</f>
        <v/>
      </c>
      <c r="J61" s="27" t="s">
        <v>78</v>
      </c>
      <c r="K61">
        <f t="shared" si="9"/>
        <v>0</v>
      </c>
      <c r="L61" s="136">
        <f>Common!B29</f>
        <v>0</v>
      </c>
      <c r="M61" t="str">
        <f t="shared" si="8"/>
        <v>pH</v>
      </c>
      <c r="N61" t="str">
        <f t="shared" si="7"/>
        <v>s.u.</v>
      </c>
      <c r="O61" t="str">
        <f>IF(ISBLANK(Common!C29),"",Common!C29)</f>
        <v/>
      </c>
      <c r="P61">
        <v>9</v>
      </c>
      <c r="Q61">
        <v>5.5</v>
      </c>
    </row>
    <row r="62" spans="1:17">
      <c r="A62" t="str">
        <f>IF(ISBLANK(Common!C$2),"",Common!C$2)</f>
        <v/>
      </c>
      <c r="B62" t="str">
        <f>IF(ISBLANK(Common!C$4),"",Common!C$4)</f>
        <v/>
      </c>
      <c r="C62" t="str">
        <f>IF(ISBLANK(Common!C$6),"",Common!C$6)</f>
        <v/>
      </c>
      <c r="D62" t="str">
        <f>IF(ISBLANK(Common!C$8),"",Common!C$8)</f>
        <v/>
      </c>
      <c r="E62" t="str">
        <f>IF(ISBLANK(Common!I$2),"",Common!I$2)</f>
        <v/>
      </c>
      <c r="F62" t="str">
        <f>IF(ISBLANK(Common!I$4),"",Common!I$4)</f>
        <v/>
      </c>
      <c r="G62" t="str">
        <f>IF(ISBLANK(Common!I$6),"",Common!I$6)</f>
        <v/>
      </c>
      <c r="H62" t="str">
        <f>IF(ISBLANK(Common!I$8),"",Common!I$8)</f>
        <v/>
      </c>
      <c r="I62" t="str">
        <f>IF(ISBLANK(Common!K$8),"",Common!K$8)</f>
        <v/>
      </c>
      <c r="J62" s="27" t="s">
        <v>78</v>
      </c>
      <c r="K62">
        <f t="shared" si="9"/>
        <v>0</v>
      </c>
      <c r="L62" s="136">
        <f t="shared" si="4"/>
        <v>0</v>
      </c>
      <c r="M62" t="str">
        <f t="shared" si="8"/>
        <v>Suspended Solids, Total</v>
      </c>
      <c r="N62" t="str">
        <f t="shared" si="7"/>
        <v>mg/L</v>
      </c>
      <c r="O62" t="str">
        <f>IF(ISBLANK(Common!D26),"",Common!D26)</f>
        <v/>
      </c>
      <c r="P62" s="137">
        <f>Common!D$36</f>
        <v>50</v>
      </c>
    </row>
    <row r="63" spans="1:17">
      <c r="A63" t="str">
        <f>IF(ISBLANK(Common!C$2),"",Common!C$2)</f>
        <v/>
      </c>
      <c r="B63" t="str">
        <f>IF(ISBLANK(Common!C$4),"",Common!C$4)</f>
        <v/>
      </c>
      <c r="C63" t="str">
        <f>IF(ISBLANK(Common!C$6),"",Common!C$6)</f>
        <v/>
      </c>
      <c r="D63" t="str">
        <f>IF(ISBLANK(Common!C$8),"",Common!C$8)</f>
        <v/>
      </c>
      <c r="E63" t="str">
        <f>IF(ISBLANK(Common!I$2),"",Common!I$2)</f>
        <v/>
      </c>
      <c r="F63" t="str">
        <f>IF(ISBLANK(Common!I$4),"",Common!I$4)</f>
        <v/>
      </c>
      <c r="G63" t="str">
        <f>IF(ISBLANK(Common!I$6),"",Common!I$6)</f>
        <v/>
      </c>
      <c r="H63" t="str">
        <f>IF(ISBLANK(Common!I$8),"",Common!I$8)</f>
        <v/>
      </c>
      <c r="I63" t="str">
        <f>IF(ISBLANK(Common!K$8),"",Common!K$8)</f>
        <v/>
      </c>
      <c r="J63" s="27" t="s">
        <v>78</v>
      </c>
      <c r="K63">
        <f t="shared" si="9"/>
        <v>0</v>
      </c>
      <c r="L63" s="136">
        <f t="shared" si="4"/>
        <v>0</v>
      </c>
      <c r="M63" t="str">
        <f t="shared" si="8"/>
        <v>Suspended Solids, Total</v>
      </c>
      <c r="N63" t="str">
        <f t="shared" si="7"/>
        <v>mg/L</v>
      </c>
      <c r="O63" t="str">
        <f>IF(ISBLANK(Common!D27),"",Common!D27)</f>
        <v/>
      </c>
      <c r="P63" s="137">
        <f>Common!D$36</f>
        <v>50</v>
      </c>
    </row>
    <row r="64" spans="1:17">
      <c r="A64" t="str">
        <f>IF(ISBLANK(Common!C$2),"",Common!C$2)</f>
        <v/>
      </c>
      <c r="B64" t="str">
        <f>IF(ISBLANK(Common!C$4),"",Common!C$4)</f>
        <v/>
      </c>
      <c r="C64" t="str">
        <f>IF(ISBLANK(Common!C$6),"",Common!C$6)</f>
        <v/>
      </c>
      <c r="D64" t="str">
        <f>IF(ISBLANK(Common!C$8),"",Common!C$8)</f>
        <v/>
      </c>
      <c r="E64" t="str">
        <f>IF(ISBLANK(Common!I$2),"",Common!I$2)</f>
        <v/>
      </c>
      <c r="F64" t="str">
        <f>IF(ISBLANK(Common!I$4),"",Common!I$4)</f>
        <v/>
      </c>
      <c r="G64" t="str">
        <f>IF(ISBLANK(Common!I$6),"",Common!I$6)</f>
        <v/>
      </c>
      <c r="H64" t="str">
        <f>IF(ISBLANK(Common!I$8),"",Common!I$8)</f>
        <v/>
      </c>
      <c r="I64" t="str">
        <f>IF(ISBLANK(Common!K$8),"",Common!K$8)</f>
        <v/>
      </c>
      <c r="J64" s="27" t="s">
        <v>78</v>
      </c>
      <c r="K64">
        <f t="shared" si="9"/>
        <v>0</v>
      </c>
      <c r="L64" s="136">
        <f t="shared" si="4"/>
        <v>0</v>
      </c>
      <c r="M64" t="str">
        <f t="shared" si="8"/>
        <v>Suspended Solids, Total</v>
      </c>
      <c r="N64" t="str">
        <f t="shared" si="7"/>
        <v>mg/L</v>
      </c>
      <c r="O64" t="str">
        <f>IF(ISBLANK(Common!D28),"",Common!D28)</f>
        <v/>
      </c>
      <c r="P64" s="137">
        <f>Common!D$36</f>
        <v>50</v>
      </c>
    </row>
    <row r="65" spans="1:16">
      <c r="A65" t="str">
        <f>IF(ISBLANK(Common!C$2),"",Common!C$2)</f>
        <v/>
      </c>
      <c r="B65" t="str">
        <f>IF(ISBLANK(Common!C$4),"",Common!C$4)</f>
        <v/>
      </c>
      <c r="C65" t="str">
        <f>IF(ISBLANK(Common!C$6),"",Common!C$6)</f>
        <v/>
      </c>
      <c r="D65" t="str">
        <f>IF(ISBLANK(Common!C$8),"",Common!C$8)</f>
        <v/>
      </c>
      <c r="E65" t="str">
        <f>IF(ISBLANK(Common!I$2),"",Common!I$2)</f>
        <v/>
      </c>
      <c r="F65" t="str">
        <f>IF(ISBLANK(Common!I$4),"",Common!I$4)</f>
        <v/>
      </c>
      <c r="G65" t="str">
        <f>IF(ISBLANK(Common!I$6),"",Common!I$6)</f>
        <v/>
      </c>
      <c r="H65" t="str">
        <f>IF(ISBLANK(Common!I$8),"",Common!I$8)</f>
        <v/>
      </c>
      <c r="I65" t="str">
        <f>IF(ISBLANK(Common!K$8),"",Common!K$8)</f>
        <v/>
      </c>
      <c r="J65" s="27" t="s">
        <v>78</v>
      </c>
      <c r="K65">
        <f t="shared" si="9"/>
        <v>0</v>
      </c>
      <c r="L65" s="136">
        <f t="shared" si="4"/>
        <v>0</v>
      </c>
      <c r="M65" t="str">
        <f t="shared" si="8"/>
        <v>Suspended Solids, Total</v>
      </c>
      <c r="N65" t="str">
        <f t="shared" si="7"/>
        <v>mg/L</v>
      </c>
      <c r="O65" t="str">
        <f>IF(ISBLANK(Common!D29),"",Common!D29)</f>
        <v/>
      </c>
      <c r="P65" s="137">
        <f>Common!D$36</f>
        <v>50</v>
      </c>
    </row>
    <row r="66" spans="1:16">
      <c r="A66" t="str">
        <f>IF(ISBLANK(Common!C$2),"",Common!C$2)</f>
        <v/>
      </c>
      <c r="B66" t="str">
        <f>IF(ISBLANK(Common!C$4),"",Common!C$4)</f>
        <v/>
      </c>
      <c r="C66" t="str">
        <f>IF(ISBLANK(Common!C$6),"",Common!C$6)</f>
        <v/>
      </c>
      <c r="D66" t="str">
        <f>IF(ISBLANK(Common!C$8),"",Common!C$8)</f>
        <v/>
      </c>
      <c r="E66" t="str">
        <f>IF(ISBLANK(Common!I$2),"",Common!I$2)</f>
        <v/>
      </c>
      <c r="F66" t="str">
        <f>IF(ISBLANK(Common!I$4),"",Common!I$4)</f>
        <v/>
      </c>
      <c r="G66" t="str">
        <f>IF(ISBLANK(Common!I$6),"",Common!I$6)</f>
        <v/>
      </c>
      <c r="H66" t="str">
        <f>IF(ISBLANK(Common!I$8),"",Common!I$8)</f>
        <v/>
      </c>
      <c r="I66" t="str">
        <f>IF(ISBLANK(Common!K$8),"",Common!K$8)</f>
        <v/>
      </c>
      <c r="J66" s="27" t="s">
        <v>78</v>
      </c>
      <c r="K66">
        <f t="shared" si="9"/>
        <v>0</v>
      </c>
      <c r="L66" s="136">
        <f t="shared" si="4"/>
        <v>0</v>
      </c>
      <c r="M66" t="str">
        <f t="shared" si="8"/>
        <v>Oil and Grease, Total</v>
      </c>
      <c r="N66" t="str">
        <f t="shared" si="7"/>
        <v>mg/L</v>
      </c>
      <c r="O66" t="str">
        <f>IF(ISBLANK(Common!E26),"",Common!E26)</f>
        <v/>
      </c>
      <c r="P66" s="137">
        <f>Common!E$36</f>
        <v>10</v>
      </c>
    </row>
    <row r="67" spans="1:16">
      <c r="A67" t="str">
        <f>IF(ISBLANK(Common!C$2),"",Common!C$2)</f>
        <v/>
      </c>
      <c r="B67" t="str">
        <f>IF(ISBLANK(Common!C$4),"",Common!C$4)</f>
        <v/>
      </c>
      <c r="C67" t="str">
        <f>IF(ISBLANK(Common!C$6),"",Common!C$6)</f>
        <v/>
      </c>
      <c r="D67" t="str">
        <f>IF(ISBLANK(Common!C$8),"",Common!C$8)</f>
        <v/>
      </c>
      <c r="E67" t="str">
        <f>IF(ISBLANK(Common!I$2),"",Common!I$2)</f>
        <v/>
      </c>
      <c r="F67" t="str">
        <f>IF(ISBLANK(Common!I$4),"",Common!I$4)</f>
        <v/>
      </c>
      <c r="G67" t="str">
        <f>IF(ISBLANK(Common!I$6),"",Common!I$6)</f>
        <v/>
      </c>
      <c r="H67" t="str">
        <f>IF(ISBLANK(Common!I$8),"",Common!I$8)</f>
        <v/>
      </c>
      <c r="I67" t="str">
        <f>IF(ISBLANK(Common!K$8),"",Common!K$8)</f>
        <v/>
      </c>
      <c r="J67" s="27" t="s">
        <v>78</v>
      </c>
      <c r="K67">
        <f t="shared" si="9"/>
        <v>0</v>
      </c>
      <c r="L67" s="136">
        <f t="shared" si="4"/>
        <v>0</v>
      </c>
      <c r="M67" t="str">
        <f t="shared" si="8"/>
        <v>Oil and Grease, Total</v>
      </c>
      <c r="N67" t="str">
        <f t="shared" si="7"/>
        <v>mg/L</v>
      </c>
      <c r="O67" t="str">
        <f>IF(ISBLANK(Common!E27),"",Common!E27)</f>
        <v/>
      </c>
      <c r="P67" s="137">
        <f>Common!E$36</f>
        <v>10</v>
      </c>
    </row>
    <row r="68" spans="1:16">
      <c r="A68" t="str">
        <f>IF(ISBLANK(Common!C$2),"",Common!C$2)</f>
        <v/>
      </c>
      <c r="B68" t="str">
        <f>IF(ISBLANK(Common!C$4),"",Common!C$4)</f>
        <v/>
      </c>
      <c r="C68" t="str">
        <f>IF(ISBLANK(Common!C$6),"",Common!C$6)</f>
        <v/>
      </c>
      <c r="D68" t="str">
        <f>IF(ISBLANK(Common!C$8),"",Common!C$8)</f>
        <v/>
      </c>
      <c r="E68" t="str">
        <f>IF(ISBLANK(Common!I$2),"",Common!I$2)</f>
        <v/>
      </c>
      <c r="F68" t="str">
        <f>IF(ISBLANK(Common!I$4),"",Common!I$4)</f>
        <v/>
      </c>
      <c r="G68" t="str">
        <f>IF(ISBLANK(Common!I$6),"",Common!I$6)</f>
        <v/>
      </c>
      <c r="H68" t="str">
        <f>IF(ISBLANK(Common!I$8),"",Common!I$8)</f>
        <v/>
      </c>
      <c r="I68" t="str">
        <f>IF(ISBLANK(Common!K$8),"",Common!K$8)</f>
        <v/>
      </c>
      <c r="J68" s="27" t="s">
        <v>78</v>
      </c>
      <c r="K68">
        <f t="shared" si="9"/>
        <v>0</v>
      </c>
      <c r="L68" s="136">
        <f t="shared" si="4"/>
        <v>0</v>
      </c>
      <c r="M68" t="str">
        <f t="shared" si="8"/>
        <v>Oil and Grease, Total</v>
      </c>
      <c r="N68" t="str">
        <f t="shared" si="7"/>
        <v>mg/L</v>
      </c>
      <c r="O68" t="str">
        <f>IF(ISBLANK(Common!E28),"",Common!E28)</f>
        <v/>
      </c>
      <c r="P68" s="137">
        <f>Common!E$36</f>
        <v>10</v>
      </c>
    </row>
    <row r="69" spans="1:16">
      <c r="A69" t="str">
        <f>IF(ISBLANK(Common!C$2),"",Common!C$2)</f>
        <v/>
      </c>
      <c r="B69" t="str">
        <f>IF(ISBLANK(Common!C$4),"",Common!C$4)</f>
        <v/>
      </c>
      <c r="C69" t="str">
        <f>IF(ISBLANK(Common!C$6),"",Common!C$6)</f>
        <v/>
      </c>
      <c r="D69" t="str">
        <f>IF(ISBLANK(Common!C$8),"",Common!C$8)</f>
        <v/>
      </c>
      <c r="E69" t="str">
        <f>IF(ISBLANK(Common!I$2),"",Common!I$2)</f>
        <v/>
      </c>
      <c r="F69" t="str">
        <f>IF(ISBLANK(Common!I$4),"",Common!I$4)</f>
        <v/>
      </c>
      <c r="G69" t="str">
        <f>IF(ISBLANK(Common!I$6),"",Common!I$6)</f>
        <v/>
      </c>
      <c r="H69" t="str">
        <f>IF(ISBLANK(Common!I$8),"",Common!I$8)</f>
        <v/>
      </c>
      <c r="I69" t="str">
        <f>IF(ISBLANK(Common!K$8),"",Common!K$8)</f>
        <v/>
      </c>
      <c r="J69" s="27" t="s">
        <v>78</v>
      </c>
      <c r="K69">
        <f t="shared" si="9"/>
        <v>0</v>
      </c>
      <c r="L69" s="136">
        <f t="shared" si="4"/>
        <v>0</v>
      </c>
      <c r="M69" t="str">
        <f t="shared" si="8"/>
        <v>Oil and Grease, Total</v>
      </c>
      <c r="N69" t="str">
        <f t="shared" si="7"/>
        <v>mg/L</v>
      </c>
      <c r="O69" t="str">
        <f>IF(ISBLANK(Common!E29),"",Common!E29)</f>
        <v/>
      </c>
      <c r="P69" s="137">
        <f>Common!E$36</f>
        <v>10</v>
      </c>
    </row>
    <row r="70" spans="1:16">
      <c r="A70" t="str">
        <f>IF(ISBLANK(Common!C$2),"",Common!C$2)</f>
        <v/>
      </c>
      <c r="B70" t="str">
        <f>IF(ISBLANK(Common!C$4),"",Common!C$4)</f>
        <v/>
      </c>
      <c r="C70" t="str">
        <f>IF(ISBLANK(Common!C$6),"",Common!C$6)</f>
        <v/>
      </c>
      <c r="D70" t="str">
        <f>IF(ISBLANK(Common!C$8),"",Common!C$8)</f>
        <v/>
      </c>
      <c r="E70" t="str">
        <f>IF(ISBLANK(Common!I$2),"",Common!I$2)</f>
        <v/>
      </c>
      <c r="F70" t="str">
        <f>IF(ISBLANK(Common!I$4),"",Common!I$4)</f>
        <v/>
      </c>
      <c r="G70" t="str">
        <f>IF(ISBLANK(Common!I$6),"",Common!I$6)</f>
        <v/>
      </c>
      <c r="H70" t="str">
        <f>IF(ISBLANK(Common!I$8),"",Common!I$8)</f>
        <v/>
      </c>
      <c r="I70" t="str">
        <f>IF(ISBLANK(Common!K$8),"",Common!K$8)</f>
        <v/>
      </c>
      <c r="J70" s="27" t="s">
        <v>78</v>
      </c>
      <c r="K70">
        <f t="shared" si="9"/>
        <v>0</v>
      </c>
      <c r="L70" s="136">
        <f t="shared" si="4"/>
        <v>0</v>
      </c>
      <c r="M70" t="str">
        <f t="shared" si="8"/>
        <v>Copper, Total</v>
      </c>
      <c r="N70" t="str">
        <f t="shared" si="7"/>
        <v>mg/L</v>
      </c>
      <c r="O70" t="str">
        <f>IF(ISBLANK(Common!F26),"",Common!F26)</f>
        <v/>
      </c>
      <c r="P70">
        <f>Common!F$36</f>
        <v>3.5999999999999997E-2</v>
      </c>
    </row>
    <row r="71" spans="1:16">
      <c r="A71" t="str">
        <f>IF(ISBLANK(Common!C$2),"",Common!C$2)</f>
        <v/>
      </c>
      <c r="B71" t="str">
        <f>IF(ISBLANK(Common!C$4),"",Common!C$4)</f>
        <v/>
      </c>
      <c r="C71" t="str">
        <f>IF(ISBLANK(Common!C$6),"",Common!C$6)</f>
        <v/>
      </c>
      <c r="D71" t="str">
        <f>IF(ISBLANK(Common!C$8),"",Common!C$8)</f>
        <v/>
      </c>
      <c r="E71" t="str">
        <f>IF(ISBLANK(Common!I$2),"",Common!I$2)</f>
        <v/>
      </c>
      <c r="F71" t="str">
        <f>IF(ISBLANK(Common!I$4),"",Common!I$4)</f>
        <v/>
      </c>
      <c r="G71" t="str">
        <f>IF(ISBLANK(Common!I$6),"",Common!I$6)</f>
        <v/>
      </c>
      <c r="H71" t="str">
        <f>IF(ISBLANK(Common!I$8),"",Common!I$8)</f>
        <v/>
      </c>
      <c r="I71" t="str">
        <f>IF(ISBLANK(Common!K$8),"",Common!K$8)</f>
        <v/>
      </c>
      <c r="J71" s="27" t="s">
        <v>78</v>
      </c>
      <c r="K71">
        <f t="shared" si="9"/>
        <v>0</v>
      </c>
      <c r="L71" s="136">
        <f t="shared" ref="L71:L125" si="10">L67</f>
        <v>0</v>
      </c>
      <c r="M71" t="str">
        <f t="shared" si="8"/>
        <v>Copper, Total</v>
      </c>
      <c r="N71" t="str">
        <f t="shared" si="7"/>
        <v>mg/L</v>
      </c>
      <c r="O71" t="str">
        <f>IF(ISBLANK(Common!F27),"",Common!F27)</f>
        <v/>
      </c>
      <c r="P71">
        <f>Common!F$36</f>
        <v>3.5999999999999997E-2</v>
      </c>
    </row>
    <row r="72" spans="1:16">
      <c r="A72" t="str">
        <f>IF(ISBLANK(Common!C$2),"",Common!C$2)</f>
        <v/>
      </c>
      <c r="B72" t="str">
        <f>IF(ISBLANK(Common!C$4),"",Common!C$4)</f>
        <v/>
      </c>
      <c r="C72" t="str">
        <f>IF(ISBLANK(Common!C$6),"",Common!C$6)</f>
        <v/>
      </c>
      <c r="D72" t="str">
        <f>IF(ISBLANK(Common!C$8),"",Common!C$8)</f>
        <v/>
      </c>
      <c r="E72" t="str">
        <f>IF(ISBLANK(Common!I$2),"",Common!I$2)</f>
        <v/>
      </c>
      <c r="F72" t="str">
        <f>IF(ISBLANK(Common!I$4),"",Common!I$4)</f>
        <v/>
      </c>
      <c r="G72" t="str">
        <f>IF(ISBLANK(Common!I$6),"",Common!I$6)</f>
        <v/>
      </c>
      <c r="H72" t="str">
        <f>IF(ISBLANK(Common!I$8),"",Common!I$8)</f>
        <v/>
      </c>
      <c r="I72" t="str">
        <f>IF(ISBLANK(Common!K$8),"",Common!K$8)</f>
        <v/>
      </c>
      <c r="J72" s="27" t="s">
        <v>78</v>
      </c>
      <c r="K72">
        <f t="shared" si="9"/>
        <v>0</v>
      </c>
      <c r="L72" s="136">
        <f t="shared" si="10"/>
        <v>0</v>
      </c>
      <c r="M72" t="str">
        <f t="shared" si="8"/>
        <v>Copper, Total</v>
      </c>
      <c r="N72" t="str">
        <f t="shared" si="7"/>
        <v>mg/L</v>
      </c>
      <c r="O72" t="str">
        <f>IF(ISBLANK(Common!F28),"",Common!F28)</f>
        <v/>
      </c>
      <c r="P72">
        <f>Common!F$36</f>
        <v>3.5999999999999997E-2</v>
      </c>
    </row>
    <row r="73" spans="1:16">
      <c r="A73" t="str">
        <f>IF(ISBLANK(Common!C$2),"",Common!C$2)</f>
        <v/>
      </c>
      <c r="B73" t="str">
        <f>IF(ISBLANK(Common!C$4),"",Common!C$4)</f>
        <v/>
      </c>
      <c r="C73" t="str">
        <f>IF(ISBLANK(Common!C$6),"",Common!C$6)</f>
        <v/>
      </c>
      <c r="D73" t="str">
        <f>IF(ISBLANK(Common!C$8),"",Common!C$8)</f>
        <v/>
      </c>
      <c r="E73" t="str">
        <f>IF(ISBLANK(Common!I$2),"",Common!I$2)</f>
        <v/>
      </c>
      <c r="F73" t="str">
        <f>IF(ISBLANK(Common!I$4),"",Common!I$4)</f>
        <v/>
      </c>
      <c r="G73" t="str">
        <f>IF(ISBLANK(Common!I$6),"",Common!I$6)</f>
        <v/>
      </c>
      <c r="H73" t="str">
        <f>IF(ISBLANK(Common!I$8),"",Common!I$8)</f>
        <v/>
      </c>
      <c r="I73" t="str">
        <f>IF(ISBLANK(Common!K$8),"",Common!K$8)</f>
        <v/>
      </c>
      <c r="J73" s="27" t="s">
        <v>78</v>
      </c>
      <c r="K73">
        <f t="shared" si="9"/>
        <v>0</v>
      </c>
      <c r="L73" s="136">
        <f t="shared" si="10"/>
        <v>0</v>
      </c>
      <c r="M73" t="str">
        <f t="shared" si="8"/>
        <v>Copper, Total</v>
      </c>
      <c r="N73" t="str">
        <f t="shared" si="7"/>
        <v>mg/L</v>
      </c>
      <c r="O73" t="str">
        <f>IF(ISBLANK(Common!F29),"",Common!F29)</f>
        <v/>
      </c>
      <c r="P73">
        <f>Common!F$36</f>
        <v>3.5999999999999997E-2</v>
      </c>
    </row>
    <row r="74" spans="1:16">
      <c r="A74" t="str">
        <f>IF(ISBLANK(Common!C$2),"",Common!C$2)</f>
        <v/>
      </c>
      <c r="B74" t="str">
        <f>IF(ISBLANK(Common!C$4),"",Common!C$4)</f>
        <v/>
      </c>
      <c r="C74" t="str">
        <f>IF(ISBLANK(Common!C$6),"",Common!C$6)</f>
        <v/>
      </c>
      <c r="D74" t="str">
        <f>IF(ISBLANK(Common!C$8),"",Common!C$8)</f>
        <v/>
      </c>
      <c r="E74" t="str">
        <f>IF(ISBLANK(Common!I$2),"",Common!I$2)</f>
        <v/>
      </c>
      <c r="F74" t="str">
        <f>IF(ISBLANK(Common!I$4),"",Common!I$4)</f>
        <v/>
      </c>
      <c r="G74" t="str">
        <f>IF(ISBLANK(Common!I$6),"",Common!I$6)</f>
        <v/>
      </c>
      <c r="H74" t="str">
        <f>IF(ISBLANK(Common!I$8),"",Common!I$8)</f>
        <v/>
      </c>
      <c r="I74" t="str">
        <f>IF(ISBLANK(Common!K$8),"",Common!K$8)</f>
        <v/>
      </c>
      <c r="J74" s="27" t="s">
        <v>78</v>
      </c>
      <c r="K74">
        <f t="shared" si="9"/>
        <v>0</v>
      </c>
      <c r="L74" s="136">
        <f t="shared" si="10"/>
        <v>0</v>
      </c>
      <c r="M74" t="str">
        <f t="shared" si="8"/>
        <v>Lead, Total</v>
      </c>
      <c r="N74" t="str">
        <f t="shared" si="7"/>
        <v>mg/L</v>
      </c>
      <c r="O74" t="str">
        <f>IF(ISBLANK(Common!G26),"",Common!G26)</f>
        <v/>
      </c>
      <c r="P74">
        <f>Common!G$36</f>
        <v>0.06</v>
      </c>
    </row>
    <row r="75" spans="1:16">
      <c r="A75" t="str">
        <f>IF(ISBLANK(Common!C$2),"",Common!C$2)</f>
        <v/>
      </c>
      <c r="B75" t="str">
        <f>IF(ISBLANK(Common!C$4),"",Common!C$4)</f>
        <v/>
      </c>
      <c r="C75" t="str">
        <f>IF(ISBLANK(Common!C$6),"",Common!C$6)</f>
        <v/>
      </c>
      <c r="D75" t="str">
        <f>IF(ISBLANK(Common!C$8),"",Common!C$8)</f>
        <v/>
      </c>
      <c r="E75" t="str">
        <f>IF(ISBLANK(Common!I$2),"",Common!I$2)</f>
        <v/>
      </c>
      <c r="F75" t="str">
        <f>IF(ISBLANK(Common!I$4),"",Common!I$4)</f>
        <v/>
      </c>
      <c r="G75" t="str">
        <f>IF(ISBLANK(Common!I$6),"",Common!I$6)</f>
        <v/>
      </c>
      <c r="H75" t="str">
        <f>IF(ISBLANK(Common!I$8),"",Common!I$8)</f>
        <v/>
      </c>
      <c r="I75" t="str">
        <f>IF(ISBLANK(Common!K$8),"",Common!K$8)</f>
        <v/>
      </c>
      <c r="J75" s="27" t="s">
        <v>78</v>
      </c>
      <c r="K75">
        <f t="shared" si="9"/>
        <v>0</v>
      </c>
      <c r="L75" s="136">
        <f t="shared" si="10"/>
        <v>0</v>
      </c>
      <c r="M75" t="str">
        <f t="shared" si="8"/>
        <v>Lead, Total</v>
      </c>
      <c r="N75" t="str">
        <f t="shared" si="7"/>
        <v>mg/L</v>
      </c>
      <c r="O75" t="str">
        <f>IF(ISBLANK(Common!G27),"",Common!G27)</f>
        <v/>
      </c>
      <c r="P75">
        <f>Common!G$36</f>
        <v>0.06</v>
      </c>
    </row>
    <row r="76" spans="1:16">
      <c r="A76" t="str">
        <f>IF(ISBLANK(Common!C$2),"",Common!C$2)</f>
        <v/>
      </c>
      <c r="B76" t="str">
        <f>IF(ISBLANK(Common!C$4),"",Common!C$4)</f>
        <v/>
      </c>
      <c r="C76" t="str">
        <f>IF(ISBLANK(Common!C$6),"",Common!C$6)</f>
        <v/>
      </c>
      <c r="D76" t="str">
        <f>IF(ISBLANK(Common!C$8),"",Common!C$8)</f>
        <v/>
      </c>
      <c r="E76" t="str">
        <f>IF(ISBLANK(Common!I$2),"",Common!I$2)</f>
        <v/>
      </c>
      <c r="F76" t="str">
        <f>IF(ISBLANK(Common!I$4),"",Common!I$4)</f>
        <v/>
      </c>
      <c r="G76" t="str">
        <f>IF(ISBLANK(Common!I$6),"",Common!I$6)</f>
        <v/>
      </c>
      <c r="H76" t="str">
        <f>IF(ISBLANK(Common!I$8),"",Common!I$8)</f>
        <v/>
      </c>
      <c r="I76" t="str">
        <f>IF(ISBLANK(Common!K$8),"",Common!K$8)</f>
        <v/>
      </c>
      <c r="J76" s="27" t="s">
        <v>78</v>
      </c>
      <c r="K76">
        <f t="shared" si="9"/>
        <v>0</v>
      </c>
      <c r="L76" s="136">
        <f t="shared" si="10"/>
        <v>0</v>
      </c>
      <c r="M76" t="str">
        <f t="shared" si="8"/>
        <v>Lead, Total</v>
      </c>
      <c r="N76" t="str">
        <f t="shared" si="7"/>
        <v>mg/L</v>
      </c>
      <c r="O76" t="str">
        <f>IF(ISBLANK(Common!G28),"",Common!G28)</f>
        <v/>
      </c>
      <c r="P76">
        <f>Common!G$36</f>
        <v>0.06</v>
      </c>
    </row>
    <row r="77" spans="1:16">
      <c r="A77" t="str">
        <f>IF(ISBLANK(Common!C$2),"",Common!C$2)</f>
        <v/>
      </c>
      <c r="B77" t="str">
        <f>IF(ISBLANK(Common!C$4),"",Common!C$4)</f>
        <v/>
      </c>
      <c r="C77" t="str">
        <f>IF(ISBLANK(Common!C$6),"",Common!C$6)</f>
        <v/>
      </c>
      <c r="D77" t="str">
        <f>IF(ISBLANK(Common!C$8),"",Common!C$8)</f>
        <v/>
      </c>
      <c r="E77" t="str">
        <f>IF(ISBLANK(Common!I$2),"",Common!I$2)</f>
        <v/>
      </c>
      <c r="F77" t="str">
        <f>IF(ISBLANK(Common!I$4),"",Common!I$4)</f>
        <v/>
      </c>
      <c r="G77" t="str">
        <f>IF(ISBLANK(Common!I$6),"",Common!I$6)</f>
        <v/>
      </c>
      <c r="H77" t="str">
        <f>IF(ISBLANK(Common!I$8),"",Common!I$8)</f>
        <v/>
      </c>
      <c r="I77" t="str">
        <f>IF(ISBLANK(Common!K$8),"",Common!K$8)</f>
        <v/>
      </c>
      <c r="J77" s="27" t="s">
        <v>78</v>
      </c>
      <c r="K77">
        <f t="shared" si="9"/>
        <v>0</v>
      </c>
      <c r="L77" s="136">
        <f t="shared" si="10"/>
        <v>0</v>
      </c>
      <c r="M77" t="str">
        <f t="shared" si="8"/>
        <v>Lead, Total</v>
      </c>
      <c r="N77" t="str">
        <f t="shared" si="7"/>
        <v>mg/L</v>
      </c>
      <c r="O77" t="str">
        <f>IF(ISBLANK(Common!G29),"",Common!G29)</f>
        <v/>
      </c>
      <c r="P77">
        <f>Common!G$36</f>
        <v>0.06</v>
      </c>
    </row>
    <row r="78" spans="1:16">
      <c r="A78" t="str">
        <f>IF(ISBLANK(Common!C$2),"",Common!C$2)</f>
        <v/>
      </c>
      <c r="B78" t="str">
        <f>IF(ISBLANK(Common!C$4),"",Common!C$4)</f>
        <v/>
      </c>
      <c r="C78" t="str">
        <f>IF(ISBLANK(Common!C$6),"",Common!C$6)</f>
        <v/>
      </c>
      <c r="D78" t="str">
        <f>IF(ISBLANK(Common!C$8),"",Common!C$8)</f>
        <v/>
      </c>
      <c r="E78" t="str">
        <f>IF(ISBLANK(Common!I$2),"",Common!I$2)</f>
        <v/>
      </c>
      <c r="F78" t="str">
        <f>IF(ISBLANK(Common!I$4),"",Common!I$4)</f>
        <v/>
      </c>
      <c r="G78" t="str">
        <f>IF(ISBLANK(Common!I$6),"",Common!I$6)</f>
        <v/>
      </c>
      <c r="H78" t="str">
        <f>IF(ISBLANK(Common!I$8),"",Common!I$8)</f>
        <v/>
      </c>
      <c r="I78" t="str">
        <f>IF(ISBLANK(Common!K$8),"",Common!K$8)</f>
        <v/>
      </c>
      <c r="J78" s="27" t="s">
        <v>78</v>
      </c>
      <c r="K78">
        <f t="shared" si="9"/>
        <v>0</v>
      </c>
      <c r="L78" s="136">
        <f t="shared" si="10"/>
        <v>0</v>
      </c>
      <c r="M78" t="str">
        <f t="shared" si="8"/>
        <v>Zinc, Total</v>
      </c>
      <c r="N78" t="str">
        <f t="shared" si="7"/>
        <v>mg/L</v>
      </c>
      <c r="O78" t="str">
        <f>IF(ISBLANK(Common!H26),"",Common!H26)</f>
        <v/>
      </c>
      <c r="P78" s="138">
        <f>Common!H$36</f>
        <v>0.24</v>
      </c>
    </row>
    <row r="79" spans="1:16">
      <c r="A79" t="str">
        <f>IF(ISBLANK(Common!C$2),"",Common!C$2)</f>
        <v/>
      </c>
      <c r="B79" t="str">
        <f>IF(ISBLANK(Common!C$4),"",Common!C$4)</f>
        <v/>
      </c>
      <c r="C79" t="str">
        <f>IF(ISBLANK(Common!C$6),"",Common!C$6)</f>
        <v/>
      </c>
      <c r="D79" t="str">
        <f>IF(ISBLANK(Common!C$8),"",Common!C$8)</f>
        <v/>
      </c>
      <c r="E79" t="str">
        <f>IF(ISBLANK(Common!I$2),"",Common!I$2)</f>
        <v/>
      </c>
      <c r="F79" t="str">
        <f>IF(ISBLANK(Common!I$4),"",Common!I$4)</f>
        <v/>
      </c>
      <c r="G79" t="str">
        <f>IF(ISBLANK(Common!I$6),"",Common!I$6)</f>
        <v/>
      </c>
      <c r="H79" t="str">
        <f>IF(ISBLANK(Common!I$8),"",Common!I$8)</f>
        <v/>
      </c>
      <c r="I79" t="str">
        <f>IF(ISBLANK(Common!K$8),"",Common!K$8)</f>
        <v/>
      </c>
      <c r="J79" s="27" t="s">
        <v>78</v>
      </c>
      <c r="K79">
        <f t="shared" si="9"/>
        <v>0</v>
      </c>
      <c r="L79" s="136">
        <f t="shared" si="10"/>
        <v>0</v>
      </c>
      <c r="M79" t="str">
        <f t="shared" si="8"/>
        <v>Zinc, Total</v>
      </c>
      <c r="N79" t="str">
        <f t="shared" si="7"/>
        <v>mg/L</v>
      </c>
      <c r="O79" t="str">
        <f>IF(ISBLANK(Common!H27),"",Common!H27)</f>
        <v/>
      </c>
      <c r="P79" s="138">
        <f>Common!H$36</f>
        <v>0.24</v>
      </c>
    </row>
    <row r="80" spans="1:16">
      <c r="A80" t="str">
        <f>IF(ISBLANK(Common!C$2),"",Common!C$2)</f>
        <v/>
      </c>
      <c r="B80" t="str">
        <f>IF(ISBLANK(Common!C$4),"",Common!C$4)</f>
        <v/>
      </c>
      <c r="C80" t="str">
        <f>IF(ISBLANK(Common!C$6),"",Common!C$6)</f>
        <v/>
      </c>
      <c r="D80" t="str">
        <f>IF(ISBLANK(Common!C$8),"",Common!C$8)</f>
        <v/>
      </c>
      <c r="E80" t="str">
        <f>IF(ISBLANK(Common!I$2),"",Common!I$2)</f>
        <v/>
      </c>
      <c r="F80" t="str">
        <f>IF(ISBLANK(Common!I$4),"",Common!I$4)</f>
        <v/>
      </c>
      <c r="G80" t="str">
        <f>IF(ISBLANK(Common!I$6),"",Common!I$6)</f>
        <v/>
      </c>
      <c r="H80" t="str">
        <f>IF(ISBLANK(Common!I$8),"",Common!I$8)</f>
        <v/>
      </c>
      <c r="I80" t="str">
        <f>IF(ISBLANK(Common!K$8),"",Common!K$8)</f>
        <v/>
      </c>
      <c r="J80" s="27" t="s">
        <v>78</v>
      </c>
      <c r="K80">
        <f t="shared" si="9"/>
        <v>0</v>
      </c>
      <c r="L80" s="136">
        <f t="shared" si="10"/>
        <v>0</v>
      </c>
      <c r="M80" t="str">
        <f t="shared" si="8"/>
        <v>Zinc, Total</v>
      </c>
      <c r="N80" t="str">
        <f t="shared" si="7"/>
        <v>mg/L</v>
      </c>
      <c r="O80" t="str">
        <f>IF(ISBLANK(Common!H28),"",Common!H28)</f>
        <v/>
      </c>
      <c r="P80" s="138">
        <f>Common!H$36</f>
        <v>0.24</v>
      </c>
    </row>
    <row r="81" spans="1:17">
      <c r="A81" t="str">
        <f>IF(ISBLANK(Common!C$2),"",Common!C$2)</f>
        <v/>
      </c>
      <c r="B81" t="str">
        <f>IF(ISBLANK(Common!C$4),"",Common!C$4)</f>
        <v/>
      </c>
      <c r="C81" t="str">
        <f>IF(ISBLANK(Common!C$6),"",Common!C$6)</f>
        <v/>
      </c>
      <c r="D81" t="str">
        <f>IF(ISBLANK(Common!C$8),"",Common!C$8)</f>
        <v/>
      </c>
      <c r="E81" t="str">
        <f>IF(ISBLANK(Common!I$2),"",Common!I$2)</f>
        <v/>
      </c>
      <c r="F81" t="str">
        <f>IF(ISBLANK(Common!I$4),"",Common!I$4)</f>
        <v/>
      </c>
      <c r="G81" t="str">
        <f>IF(ISBLANK(Common!I$6),"",Common!I$6)</f>
        <v/>
      </c>
      <c r="H81" t="str">
        <f>IF(ISBLANK(Common!I$8),"",Common!I$8)</f>
        <v/>
      </c>
      <c r="I81" t="str">
        <f>IF(ISBLANK(Common!K$8),"",Common!K$8)</f>
        <v/>
      </c>
      <c r="J81" s="27" t="s">
        <v>78</v>
      </c>
      <c r="K81">
        <f t="shared" si="9"/>
        <v>0</v>
      </c>
      <c r="L81" s="136">
        <f t="shared" si="10"/>
        <v>0</v>
      </c>
      <c r="M81" t="str">
        <f t="shared" si="8"/>
        <v>Zinc, Total</v>
      </c>
      <c r="N81" t="str">
        <f t="shared" si="7"/>
        <v>mg/L</v>
      </c>
      <c r="O81" t="str">
        <f>IF(ISBLANK(Common!H29),"",Common!H29)</f>
        <v/>
      </c>
      <c r="P81" s="138">
        <f>Common!H$36</f>
        <v>0.24</v>
      </c>
    </row>
    <row r="82" spans="1:17">
      <c r="A82" t="str">
        <f>IF(ISBLANK(Common!C$2),"",Common!C$2)</f>
        <v/>
      </c>
      <c r="B82" t="str">
        <f>IF(ISBLANK(Common!C$4),"",Common!C$4)</f>
        <v/>
      </c>
      <c r="C82" t="str">
        <f>IF(ISBLANK(Common!C$6),"",Common!C$6)</f>
        <v/>
      </c>
      <c r="D82" t="str">
        <f>IF(ISBLANK(Common!C$8),"",Common!C$8)</f>
        <v/>
      </c>
      <c r="E82" t="str">
        <f>IF(ISBLANK(Common!I$2),"",Common!I$2)</f>
        <v/>
      </c>
      <c r="F82" t="str">
        <f>IF(ISBLANK(Common!I$4),"",Common!I$4)</f>
        <v/>
      </c>
      <c r="G82" t="str">
        <f>IF(ISBLANK(Common!I$6),"",Common!I$6)</f>
        <v/>
      </c>
      <c r="H82" t="str">
        <f>IF(ISBLANK(Common!I$8),"",Common!I$8)</f>
        <v/>
      </c>
      <c r="I82" t="str">
        <f>IF(ISBLANK(Common!K$8),"",Common!K$8)</f>
        <v/>
      </c>
      <c r="J82" s="27" t="s">
        <v>78</v>
      </c>
      <c r="K82">
        <f t="shared" si="9"/>
        <v>0</v>
      </c>
      <c r="L82" s="136">
        <f t="shared" si="10"/>
        <v>0</v>
      </c>
      <c r="M82" t="str">
        <f t="shared" si="8"/>
        <v>E. coli</v>
      </c>
      <c r="N82" t="str">
        <f t="shared" si="7"/>
        <v>counts/100 mL</v>
      </c>
      <c r="O82" t="str">
        <f>IF(ISBLANK(Common!I26),"",Common!I26)</f>
        <v/>
      </c>
      <c r="P82">
        <f>Common!I$36</f>
        <v>406</v>
      </c>
    </row>
    <row r="83" spans="1:17">
      <c r="A83" t="str">
        <f>IF(ISBLANK(Common!C$2),"",Common!C$2)</f>
        <v/>
      </c>
      <c r="B83" t="str">
        <f>IF(ISBLANK(Common!C$4),"",Common!C$4)</f>
        <v/>
      </c>
      <c r="C83" t="str">
        <f>IF(ISBLANK(Common!C$6),"",Common!C$6)</f>
        <v/>
      </c>
      <c r="D83" t="str">
        <f>IF(ISBLANK(Common!C$8),"",Common!C$8)</f>
        <v/>
      </c>
      <c r="E83" t="str">
        <f>IF(ISBLANK(Common!I$2),"",Common!I$2)</f>
        <v/>
      </c>
      <c r="F83" t="str">
        <f>IF(ISBLANK(Common!I$4),"",Common!I$4)</f>
        <v/>
      </c>
      <c r="G83" t="str">
        <f>IF(ISBLANK(Common!I$6),"",Common!I$6)</f>
        <v/>
      </c>
      <c r="H83" t="str">
        <f>IF(ISBLANK(Common!I$8),"",Common!I$8)</f>
        <v/>
      </c>
      <c r="I83" t="str">
        <f>IF(ISBLANK(Common!K$8),"",Common!K$8)</f>
        <v/>
      </c>
      <c r="J83" s="27" t="s">
        <v>78</v>
      </c>
      <c r="K83">
        <f t="shared" si="9"/>
        <v>0</v>
      </c>
      <c r="L83" s="136">
        <f t="shared" si="10"/>
        <v>0</v>
      </c>
      <c r="M83" t="str">
        <f t="shared" si="8"/>
        <v>E. coli</v>
      </c>
      <c r="N83" t="str">
        <f t="shared" si="7"/>
        <v>counts/100 mL</v>
      </c>
      <c r="O83" t="str">
        <f>IF(ISBLANK(Common!I27),"",Common!I27)</f>
        <v/>
      </c>
      <c r="P83">
        <f>Common!I$36</f>
        <v>406</v>
      </c>
    </row>
    <row r="84" spans="1:17">
      <c r="A84" t="str">
        <f>IF(ISBLANK(Common!C$2),"",Common!C$2)</f>
        <v/>
      </c>
      <c r="B84" t="str">
        <f>IF(ISBLANK(Common!C$4),"",Common!C$4)</f>
        <v/>
      </c>
      <c r="C84" t="str">
        <f>IF(ISBLANK(Common!C$6),"",Common!C$6)</f>
        <v/>
      </c>
      <c r="D84" t="str">
        <f>IF(ISBLANK(Common!C$8),"",Common!C$8)</f>
        <v/>
      </c>
      <c r="E84" t="str">
        <f>IF(ISBLANK(Common!I$2),"",Common!I$2)</f>
        <v/>
      </c>
      <c r="F84" t="str">
        <f>IF(ISBLANK(Common!I$4),"",Common!I$4)</f>
        <v/>
      </c>
      <c r="G84" t="str">
        <f>IF(ISBLANK(Common!I$6),"",Common!I$6)</f>
        <v/>
      </c>
      <c r="H84" t="str">
        <f>IF(ISBLANK(Common!I$8),"",Common!I$8)</f>
        <v/>
      </c>
      <c r="I84" t="str">
        <f>IF(ISBLANK(Common!K$8),"",Common!K$8)</f>
        <v/>
      </c>
      <c r="J84" s="27" t="s">
        <v>78</v>
      </c>
      <c r="K84">
        <f t="shared" si="9"/>
        <v>0</v>
      </c>
      <c r="L84" s="136">
        <f t="shared" si="10"/>
        <v>0</v>
      </c>
      <c r="M84" t="str">
        <f t="shared" si="8"/>
        <v>E. coli</v>
      </c>
      <c r="N84" t="str">
        <f t="shared" si="7"/>
        <v>counts/100 mL</v>
      </c>
      <c r="O84" t="str">
        <f>IF(ISBLANK(Common!I28),"",Common!I28)</f>
        <v/>
      </c>
      <c r="P84">
        <f>Common!I$36</f>
        <v>406</v>
      </c>
    </row>
    <row r="85" spans="1:17">
      <c r="A85" t="str">
        <f>IF(ISBLANK(Common!C$2),"",Common!C$2)</f>
        <v/>
      </c>
      <c r="B85" t="str">
        <f>IF(ISBLANK(Common!C$4),"",Common!C$4)</f>
        <v/>
      </c>
      <c r="C85" t="str">
        <f>IF(ISBLANK(Common!C$6),"",Common!C$6)</f>
        <v/>
      </c>
      <c r="D85" t="str">
        <f>IF(ISBLANK(Common!C$8),"",Common!C$8)</f>
        <v/>
      </c>
      <c r="E85" t="str">
        <f>IF(ISBLANK(Common!I$2),"",Common!I$2)</f>
        <v/>
      </c>
      <c r="F85" t="str">
        <f>IF(ISBLANK(Common!I$4),"",Common!I$4)</f>
        <v/>
      </c>
      <c r="G85" t="str">
        <f>IF(ISBLANK(Common!I$6),"",Common!I$6)</f>
        <v/>
      </c>
      <c r="H85" t="str">
        <f>IF(ISBLANK(Common!I$8),"",Common!I$8)</f>
        <v/>
      </c>
      <c r="I85" t="str">
        <f>IF(ISBLANK(Common!K$8),"",Common!K$8)</f>
        <v/>
      </c>
      <c r="J85" s="27" t="s">
        <v>78</v>
      </c>
      <c r="K85">
        <f t="shared" si="9"/>
        <v>0</v>
      </c>
      <c r="L85" s="136">
        <f t="shared" si="10"/>
        <v>0</v>
      </c>
      <c r="M85" t="str">
        <f t="shared" si="8"/>
        <v>E. coli</v>
      </c>
      <c r="N85" t="str">
        <f t="shared" si="7"/>
        <v>counts/100 mL</v>
      </c>
      <c r="O85" t="str">
        <f>IF(ISBLANK(Common!I29),"",Common!I29)</f>
        <v/>
      </c>
      <c r="P85">
        <f>Common!I$36</f>
        <v>406</v>
      </c>
    </row>
    <row r="86" spans="1:17">
      <c r="A86" t="str">
        <f>IF(ISBLANK(Common!C$2),"",Common!C$2)</f>
        <v/>
      </c>
      <c r="B86" t="str">
        <f>IF(ISBLANK(Common!C$4),"",Common!C$4)</f>
        <v/>
      </c>
      <c r="C86" t="str">
        <f>IF(ISBLANK(Common!C$6),"",Common!C$6)</f>
        <v/>
      </c>
      <c r="D86" t="str">
        <f>IF(ISBLANK(Common!C$8),"",Common!C$8)</f>
        <v/>
      </c>
      <c r="E86" t="str">
        <f>IF(ISBLANK(Common!I$2),"",Common!I$2)</f>
        <v/>
      </c>
      <c r="F86" t="str">
        <f>IF(ISBLANK(Common!I$4),"",Common!I$4)</f>
        <v/>
      </c>
      <c r="G86" t="str">
        <f>IF(ISBLANK(Common!I$6),"",Common!I$6)</f>
        <v/>
      </c>
      <c r="H86" t="str">
        <f>IF(ISBLANK(Common!I$8),"",Common!I$8)</f>
        <v/>
      </c>
      <c r="I86" t="str">
        <f>IF(ISBLANK(Common!K$8),"",Common!K$8)</f>
        <v/>
      </c>
      <c r="J86" s="27" t="s">
        <v>78</v>
      </c>
      <c r="K86">
        <f>Common!A31</f>
        <v>0</v>
      </c>
      <c r="L86" s="136">
        <f>Common!B31</f>
        <v>0</v>
      </c>
      <c r="M86" t="str">
        <f t="shared" si="8"/>
        <v>pH</v>
      </c>
      <c r="N86" t="str">
        <f t="shared" si="7"/>
        <v>s.u.</v>
      </c>
      <c r="O86" t="str">
        <f>IF(ISBLANK(Common!C31),"",Common!C31)</f>
        <v/>
      </c>
      <c r="P86">
        <v>9</v>
      </c>
      <c r="Q86">
        <v>5.5</v>
      </c>
    </row>
    <row r="87" spans="1:17">
      <c r="A87" t="str">
        <f>IF(ISBLANK(Common!C$2),"",Common!C$2)</f>
        <v/>
      </c>
      <c r="B87" t="str">
        <f>IF(ISBLANK(Common!C$4),"",Common!C$4)</f>
        <v/>
      </c>
      <c r="C87" t="str">
        <f>IF(ISBLANK(Common!C$6),"",Common!C$6)</f>
        <v/>
      </c>
      <c r="D87" t="str">
        <f>IF(ISBLANK(Common!C$8),"",Common!C$8)</f>
        <v/>
      </c>
      <c r="E87" t="str">
        <f>IF(ISBLANK(Common!I$2),"",Common!I$2)</f>
        <v/>
      </c>
      <c r="F87" t="str">
        <f>IF(ISBLANK(Common!I$4),"",Common!I$4)</f>
        <v/>
      </c>
      <c r="G87" t="str">
        <f>IF(ISBLANK(Common!I$6),"",Common!I$6)</f>
        <v/>
      </c>
      <c r="H87" t="str">
        <f>IF(ISBLANK(Common!I$8),"",Common!I$8)</f>
        <v/>
      </c>
      <c r="I87" t="str">
        <f>IF(ISBLANK(Common!K$8),"",Common!K$8)</f>
        <v/>
      </c>
      <c r="J87" s="27" t="s">
        <v>78</v>
      </c>
      <c r="K87">
        <f t="shared" si="9"/>
        <v>0</v>
      </c>
      <c r="L87" s="136">
        <f>Common!B32</f>
        <v>0</v>
      </c>
      <c r="M87" t="str">
        <f t="shared" si="8"/>
        <v>pH</v>
      </c>
      <c r="N87" t="str">
        <f t="shared" si="7"/>
        <v>s.u.</v>
      </c>
      <c r="O87" t="str">
        <f>IF(ISBLANK(Common!C32),"",Common!C32)</f>
        <v/>
      </c>
      <c r="P87">
        <v>9</v>
      </c>
      <c r="Q87">
        <v>5.5</v>
      </c>
    </row>
    <row r="88" spans="1:17">
      <c r="A88" t="str">
        <f>IF(ISBLANK(Common!C$2),"",Common!C$2)</f>
        <v/>
      </c>
      <c r="B88" t="str">
        <f>IF(ISBLANK(Common!C$4),"",Common!C$4)</f>
        <v/>
      </c>
      <c r="C88" t="str">
        <f>IF(ISBLANK(Common!C$6),"",Common!C$6)</f>
        <v/>
      </c>
      <c r="D88" t="str">
        <f>IF(ISBLANK(Common!C$8),"",Common!C$8)</f>
        <v/>
      </c>
      <c r="E88" t="str">
        <f>IF(ISBLANK(Common!I$2),"",Common!I$2)</f>
        <v/>
      </c>
      <c r="F88" t="str">
        <f>IF(ISBLANK(Common!I$4),"",Common!I$4)</f>
        <v/>
      </c>
      <c r="G88" t="str">
        <f>IF(ISBLANK(Common!I$6),"",Common!I$6)</f>
        <v/>
      </c>
      <c r="H88" t="str">
        <f>IF(ISBLANK(Common!I$8),"",Common!I$8)</f>
        <v/>
      </c>
      <c r="I88" t="str">
        <f>IF(ISBLANK(Common!K$8),"",Common!K$8)</f>
        <v/>
      </c>
      <c r="J88" s="27" t="s">
        <v>78</v>
      </c>
      <c r="K88">
        <f t="shared" si="9"/>
        <v>0</v>
      </c>
      <c r="L88" s="136">
        <f>Common!B33</f>
        <v>0</v>
      </c>
      <c r="M88" t="str">
        <f t="shared" si="8"/>
        <v>pH</v>
      </c>
      <c r="N88" t="str">
        <f t="shared" si="7"/>
        <v>s.u.</v>
      </c>
      <c r="O88" t="str">
        <f>IF(ISBLANK(Common!C33),"",Common!C33)</f>
        <v/>
      </c>
      <c r="P88">
        <v>9</v>
      </c>
      <c r="Q88">
        <v>5.5</v>
      </c>
    </row>
    <row r="89" spans="1:17">
      <c r="A89" t="str">
        <f>IF(ISBLANK(Common!C$2),"",Common!C$2)</f>
        <v/>
      </c>
      <c r="B89" t="str">
        <f>IF(ISBLANK(Common!C$4),"",Common!C$4)</f>
        <v/>
      </c>
      <c r="C89" t="str">
        <f>IF(ISBLANK(Common!C$6),"",Common!C$6)</f>
        <v/>
      </c>
      <c r="D89" t="str">
        <f>IF(ISBLANK(Common!C$8),"",Common!C$8)</f>
        <v/>
      </c>
      <c r="E89" t="str">
        <f>IF(ISBLANK(Common!I$2),"",Common!I$2)</f>
        <v/>
      </c>
      <c r="F89" t="str">
        <f>IF(ISBLANK(Common!I$4),"",Common!I$4)</f>
        <v/>
      </c>
      <c r="G89" t="str">
        <f>IF(ISBLANK(Common!I$6),"",Common!I$6)</f>
        <v/>
      </c>
      <c r="H89" t="str">
        <f>IF(ISBLANK(Common!I$8),"",Common!I$8)</f>
        <v/>
      </c>
      <c r="I89" t="str">
        <f>IF(ISBLANK(Common!K$8),"",Common!K$8)</f>
        <v/>
      </c>
      <c r="J89" s="27" t="s">
        <v>78</v>
      </c>
      <c r="K89">
        <f t="shared" si="9"/>
        <v>0</v>
      </c>
      <c r="L89" s="136">
        <f>Common!B34</f>
        <v>0</v>
      </c>
      <c r="M89" t="str">
        <f t="shared" si="8"/>
        <v>pH</v>
      </c>
      <c r="N89" t="str">
        <f t="shared" si="7"/>
        <v>s.u.</v>
      </c>
      <c r="O89" t="str">
        <f>IF(ISBLANK(Common!C34),"",Common!C34)</f>
        <v/>
      </c>
      <c r="P89">
        <v>9</v>
      </c>
      <c r="Q89">
        <v>5.5</v>
      </c>
    </row>
    <row r="90" spans="1:17">
      <c r="A90" t="str">
        <f>IF(ISBLANK(Common!C$2),"",Common!C$2)</f>
        <v/>
      </c>
      <c r="B90" t="str">
        <f>IF(ISBLANK(Common!C$4),"",Common!C$4)</f>
        <v/>
      </c>
      <c r="C90" t="str">
        <f>IF(ISBLANK(Common!C$6),"",Common!C$6)</f>
        <v/>
      </c>
      <c r="D90" t="str">
        <f>IF(ISBLANK(Common!C$8),"",Common!C$8)</f>
        <v/>
      </c>
      <c r="E90" t="str">
        <f>IF(ISBLANK(Common!I$2),"",Common!I$2)</f>
        <v/>
      </c>
      <c r="F90" t="str">
        <f>IF(ISBLANK(Common!I$4),"",Common!I$4)</f>
        <v/>
      </c>
      <c r="G90" t="str">
        <f>IF(ISBLANK(Common!I$6),"",Common!I$6)</f>
        <v/>
      </c>
      <c r="H90" t="str">
        <f>IF(ISBLANK(Common!I$8),"",Common!I$8)</f>
        <v/>
      </c>
      <c r="I90" t="str">
        <f>IF(ISBLANK(Common!K$8),"",Common!K$8)</f>
        <v/>
      </c>
      <c r="J90" s="27" t="s">
        <v>78</v>
      </c>
      <c r="K90">
        <f t="shared" si="9"/>
        <v>0</v>
      </c>
      <c r="L90" s="136">
        <f t="shared" si="10"/>
        <v>0</v>
      </c>
      <c r="M90" t="str">
        <f t="shared" si="8"/>
        <v>Suspended Solids, Total</v>
      </c>
      <c r="N90" t="str">
        <f t="shared" si="7"/>
        <v>mg/L</v>
      </c>
      <c r="O90" t="str">
        <f>IF(ISBLANK(Common!D31),"",Common!D31)</f>
        <v/>
      </c>
      <c r="P90" s="137">
        <f>Common!D$36</f>
        <v>50</v>
      </c>
    </row>
    <row r="91" spans="1:17">
      <c r="A91" t="str">
        <f>IF(ISBLANK(Common!C$2),"",Common!C$2)</f>
        <v/>
      </c>
      <c r="B91" t="str">
        <f>IF(ISBLANK(Common!C$4),"",Common!C$4)</f>
        <v/>
      </c>
      <c r="C91" t="str">
        <f>IF(ISBLANK(Common!C$6),"",Common!C$6)</f>
        <v/>
      </c>
      <c r="D91" t="str">
        <f>IF(ISBLANK(Common!C$8),"",Common!C$8)</f>
        <v/>
      </c>
      <c r="E91" t="str">
        <f>IF(ISBLANK(Common!I$2),"",Common!I$2)</f>
        <v/>
      </c>
      <c r="F91" t="str">
        <f>IF(ISBLANK(Common!I$4),"",Common!I$4)</f>
        <v/>
      </c>
      <c r="G91" t="str">
        <f>IF(ISBLANK(Common!I$6),"",Common!I$6)</f>
        <v/>
      </c>
      <c r="H91" t="str">
        <f>IF(ISBLANK(Common!I$8),"",Common!I$8)</f>
        <v/>
      </c>
      <c r="I91" t="str">
        <f>IF(ISBLANK(Common!K$8),"",Common!K$8)</f>
        <v/>
      </c>
      <c r="J91" s="27" t="s">
        <v>78</v>
      </c>
      <c r="K91">
        <f t="shared" si="9"/>
        <v>0</v>
      </c>
      <c r="L91" s="136">
        <f t="shared" si="10"/>
        <v>0</v>
      </c>
      <c r="M91" t="str">
        <f t="shared" si="8"/>
        <v>Suspended Solids, Total</v>
      </c>
      <c r="N91" t="str">
        <f t="shared" si="7"/>
        <v>mg/L</v>
      </c>
      <c r="O91" t="str">
        <f>IF(ISBLANK(Common!D32),"",Common!D32)</f>
        <v/>
      </c>
      <c r="P91" s="137">
        <f>Common!D$36</f>
        <v>50</v>
      </c>
    </row>
    <row r="92" spans="1:17">
      <c r="A92" t="str">
        <f>IF(ISBLANK(Common!C$2),"",Common!C$2)</f>
        <v/>
      </c>
      <c r="B92" t="str">
        <f>IF(ISBLANK(Common!C$4),"",Common!C$4)</f>
        <v/>
      </c>
      <c r="C92" t="str">
        <f>IF(ISBLANK(Common!C$6),"",Common!C$6)</f>
        <v/>
      </c>
      <c r="D92" t="str">
        <f>IF(ISBLANK(Common!C$8),"",Common!C$8)</f>
        <v/>
      </c>
      <c r="E92" t="str">
        <f>IF(ISBLANK(Common!I$2),"",Common!I$2)</f>
        <v/>
      </c>
      <c r="F92" t="str">
        <f>IF(ISBLANK(Common!I$4),"",Common!I$4)</f>
        <v/>
      </c>
      <c r="G92" t="str">
        <f>IF(ISBLANK(Common!I$6),"",Common!I$6)</f>
        <v/>
      </c>
      <c r="H92" t="str">
        <f>IF(ISBLANK(Common!I$8),"",Common!I$8)</f>
        <v/>
      </c>
      <c r="I92" t="str">
        <f>IF(ISBLANK(Common!K$8),"",Common!K$8)</f>
        <v/>
      </c>
      <c r="J92" s="27" t="s">
        <v>78</v>
      </c>
      <c r="K92">
        <f t="shared" si="9"/>
        <v>0</v>
      </c>
      <c r="L92" s="136">
        <f t="shared" si="10"/>
        <v>0</v>
      </c>
      <c r="M92" t="str">
        <f t="shared" si="8"/>
        <v>Suspended Solids, Total</v>
      </c>
      <c r="N92" t="str">
        <f t="shared" si="7"/>
        <v>mg/L</v>
      </c>
      <c r="O92" t="str">
        <f>IF(ISBLANK(Common!D33),"",Common!D33)</f>
        <v/>
      </c>
      <c r="P92" s="137">
        <f>Common!D$36</f>
        <v>50</v>
      </c>
    </row>
    <row r="93" spans="1:17">
      <c r="A93" t="str">
        <f>IF(ISBLANK(Common!C$2),"",Common!C$2)</f>
        <v/>
      </c>
      <c r="B93" t="str">
        <f>IF(ISBLANK(Common!C$4),"",Common!C$4)</f>
        <v/>
      </c>
      <c r="C93" t="str">
        <f>IF(ISBLANK(Common!C$6),"",Common!C$6)</f>
        <v/>
      </c>
      <c r="D93" t="str">
        <f>IF(ISBLANK(Common!C$8),"",Common!C$8)</f>
        <v/>
      </c>
      <c r="E93" t="str">
        <f>IF(ISBLANK(Common!I$2),"",Common!I$2)</f>
        <v/>
      </c>
      <c r="F93" t="str">
        <f>IF(ISBLANK(Common!I$4),"",Common!I$4)</f>
        <v/>
      </c>
      <c r="G93" t="str">
        <f>IF(ISBLANK(Common!I$6),"",Common!I$6)</f>
        <v/>
      </c>
      <c r="H93" t="str">
        <f>IF(ISBLANK(Common!I$8),"",Common!I$8)</f>
        <v/>
      </c>
      <c r="I93" t="str">
        <f>IF(ISBLANK(Common!K$8),"",Common!K$8)</f>
        <v/>
      </c>
      <c r="J93" s="27" t="s">
        <v>78</v>
      </c>
      <c r="K93">
        <f t="shared" si="9"/>
        <v>0</v>
      </c>
      <c r="L93" s="136">
        <f t="shared" si="10"/>
        <v>0</v>
      </c>
      <c r="M93" t="str">
        <f t="shared" si="8"/>
        <v>Suspended Solids, Total</v>
      </c>
      <c r="N93" t="str">
        <f t="shared" si="7"/>
        <v>mg/L</v>
      </c>
      <c r="O93" t="str">
        <f>IF(ISBLANK(Common!D34),"",Common!D34)</f>
        <v/>
      </c>
      <c r="P93" s="137">
        <f>Common!D$36</f>
        <v>50</v>
      </c>
    </row>
    <row r="94" spans="1:17">
      <c r="A94" t="str">
        <f>IF(ISBLANK(Common!C$2),"",Common!C$2)</f>
        <v/>
      </c>
      <c r="B94" t="str">
        <f>IF(ISBLANK(Common!C$4),"",Common!C$4)</f>
        <v/>
      </c>
      <c r="C94" t="str">
        <f>IF(ISBLANK(Common!C$6),"",Common!C$6)</f>
        <v/>
      </c>
      <c r="D94" t="str">
        <f>IF(ISBLANK(Common!C$8),"",Common!C$8)</f>
        <v/>
      </c>
      <c r="E94" t="str">
        <f>IF(ISBLANK(Common!I$2),"",Common!I$2)</f>
        <v/>
      </c>
      <c r="F94" t="str">
        <f>IF(ISBLANK(Common!I$4),"",Common!I$4)</f>
        <v/>
      </c>
      <c r="G94" t="str">
        <f>IF(ISBLANK(Common!I$6),"",Common!I$6)</f>
        <v/>
      </c>
      <c r="H94" t="str">
        <f>IF(ISBLANK(Common!I$8),"",Common!I$8)</f>
        <v/>
      </c>
      <c r="I94" t="str">
        <f>IF(ISBLANK(Common!K$8),"",Common!K$8)</f>
        <v/>
      </c>
      <c r="J94" s="27" t="s">
        <v>78</v>
      </c>
      <c r="K94">
        <f t="shared" si="9"/>
        <v>0</v>
      </c>
      <c r="L94" s="136">
        <f t="shared" si="10"/>
        <v>0</v>
      </c>
      <c r="M94" t="str">
        <f t="shared" si="8"/>
        <v>Oil and Grease, Total</v>
      </c>
      <c r="N94" t="str">
        <f t="shared" si="8"/>
        <v>mg/L</v>
      </c>
      <c r="O94" t="str">
        <f>IF(ISBLANK(Common!E31),"",Common!E31)</f>
        <v/>
      </c>
      <c r="P94" s="137">
        <f>Common!E$36</f>
        <v>10</v>
      </c>
    </row>
    <row r="95" spans="1:17">
      <c r="A95" t="str">
        <f>IF(ISBLANK(Common!C$2),"",Common!C$2)</f>
        <v/>
      </c>
      <c r="B95" t="str">
        <f>IF(ISBLANK(Common!C$4),"",Common!C$4)</f>
        <v/>
      </c>
      <c r="C95" t="str">
        <f>IF(ISBLANK(Common!C$6),"",Common!C$6)</f>
        <v/>
      </c>
      <c r="D95" t="str">
        <f>IF(ISBLANK(Common!C$8),"",Common!C$8)</f>
        <v/>
      </c>
      <c r="E95" t="str">
        <f>IF(ISBLANK(Common!I$2),"",Common!I$2)</f>
        <v/>
      </c>
      <c r="F95" t="str">
        <f>IF(ISBLANK(Common!I$4),"",Common!I$4)</f>
        <v/>
      </c>
      <c r="G95" t="str">
        <f>IF(ISBLANK(Common!I$6),"",Common!I$6)</f>
        <v/>
      </c>
      <c r="H95" t="str">
        <f>IF(ISBLANK(Common!I$8),"",Common!I$8)</f>
        <v/>
      </c>
      <c r="I95" t="str">
        <f>IF(ISBLANK(Common!K$8),"",Common!K$8)</f>
        <v/>
      </c>
      <c r="J95" s="27" t="s">
        <v>78</v>
      </c>
      <c r="K95">
        <f t="shared" si="9"/>
        <v>0</v>
      </c>
      <c r="L95" s="136">
        <f t="shared" si="10"/>
        <v>0</v>
      </c>
      <c r="M95" t="str">
        <f t="shared" ref="M95:N113" si="11">M67</f>
        <v>Oil and Grease, Total</v>
      </c>
      <c r="N95" t="str">
        <f t="shared" si="11"/>
        <v>mg/L</v>
      </c>
      <c r="O95" t="str">
        <f>IF(ISBLANK(Common!E32),"",Common!E32)</f>
        <v/>
      </c>
      <c r="P95" s="137">
        <f>Common!E$36</f>
        <v>10</v>
      </c>
    </row>
    <row r="96" spans="1:17">
      <c r="A96" t="str">
        <f>IF(ISBLANK(Common!C$2),"",Common!C$2)</f>
        <v/>
      </c>
      <c r="B96" t="str">
        <f>IF(ISBLANK(Common!C$4),"",Common!C$4)</f>
        <v/>
      </c>
      <c r="C96" t="str">
        <f>IF(ISBLANK(Common!C$6),"",Common!C$6)</f>
        <v/>
      </c>
      <c r="D96" t="str">
        <f>IF(ISBLANK(Common!C$8),"",Common!C$8)</f>
        <v/>
      </c>
      <c r="E96" t="str">
        <f>IF(ISBLANK(Common!I$2),"",Common!I$2)</f>
        <v/>
      </c>
      <c r="F96" t="str">
        <f>IF(ISBLANK(Common!I$4),"",Common!I$4)</f>
        <v/>
      </c>
      <c r="G96" t="str">
        <f>IF(ISBLANK(Common!I$6),"",Common!I$6)</f>
        <v/>
      </c>
      <c r="H96" t="str">
        <f>IF(ISBLANK(Common!I$8),"",Common!I$8)</f>
        <v/>
      </c>
      <c r="I96" t="str">
        <f>IF(ISBLANK(Common!K$8),"",Common!K$8)</f>
        <v/>
      </c>
      <c r="J96" s="27" t="s">
        <v>78</v>
      </c>
      <c r="K96">
        <f t="shared" ref="K96:K139" si="12">K95</f>
        <v>0</v>
      </c>
      <c r="L96" s="136">
        <f t="shared" si="10"/>
        <v>0</v>
      </c>
      <c r="M96" t="str">
        <f t="shared" si="11"/>
        <v>Oil and Grease, Total</v>
      </c>
      <c r="N96" t="str">
        <f t="shared" si="11"/>
        <v>mg/L</v>
      </c>
      <c r="O96" t="str">
        <f>IF(ISBLANK(Common!E33),"",Common!E33)</f>
        <v/>
      </c>
      <c r="P96" s="137">
        <f>Common!E$36</f>
        <v>10</v>
      </c>
    </row>
    <row r="97" spans="1:16">
      <c r="A97" t="str">
        <f>IF(ISBLANK(Common!C$2),"",Common!C$2)</f>
        <v/>
      </c>
      <c r="B97" t="str">
        <f>IF(ISBLANK(Common!C$4),"",Common!C$4)</f>
        <v/>
      </c>
      <c r="C97" t="str">
        <f>IF(ISBLANK(Common!C$6),"",Common!C$6)</f>
        <v/>
      </c>
      <c r="D97" t="str">
        <f>IF(ISBLANK(Common!C$8),"",Common!C$8)</f>
        <v/>
      </c>
      <c r="E97" t="str">
        <f>IF(ISBLANK(Common!I$2),"",Common!I$2)</f>
        <v/>
      </c>
      <c r="F97" t="str">
        <f>IF(ISBLANK(Common!I$4),"",Common!I$4)</f>
        <v/>
      </c>
      <c r="G97" t="str">
        <f>IF(ISBLANK(Common!I$6),"",Common!I$6)</f>
        <v/>
      </c>
      <c r="H97" t="str">
        <f>IF(ISBLANK(Common!I$8),"",Common!I$8)</f>
        <v/>
      </c>
      <c r="I97" t="str">
        <f>IF(ISBLANK(Common!K$8),"",Common!K$8)</f>
        <v/>
      </c>
      <c r="J97" s="27" t="s">
        <v>78</v>
      </c>
      <c r="K97">
        <f t="shared" si="12"/>
        <v>0</v>
      </c>
      <c r="L97" s="136">
        <f t="shared" si="10"/>
        <v>0</v>
      </c>
      <c r="M97" t="str">
        <f t="shared" si="11"/>
        <v>Oil and Grease, Total</v>
      </c>
      <c r="N97" t="str">
        <f t="shared" si="11"/>
        <v>mg/L</v>
      </c>
      <c r="O97" t="str">
        <f>IF(ISBLANK(Common!E34),"",Common!E34)</f>
        <v/>
      </c>
      <c r="P97" s="137">
        <f>Common!E$36</f>
        <v>10</v>
      </c>
    </row>
    <row r="98" spans="1:16">
      <c r="A98" t="str">
        <f>IF(ISBLANK(Common!C$2),"",Common!C$2)</f>
        <v/>
      </c>
      <c r="B98" t="str">
        <f>IF(ISBLANK(Common!C$4),"",Common!C$4)</f>
        <v/>
      </c>
      <c r="C98" t="str">
        <f>IF(ISBLANK(Common!C$6),"",Common!C$6)</f>
        <v/>
      </c>
      <c r="D98" t="str">
        <f>IF(ISBLANK(Common!C$8),"",Common!C$8)</f>
        <v/>
      </c>
      <c r="E98" t="str">
        <f>IF(ISBLANK(Common!I$2),"",Common!I$2)</f>
        <v/>
      </c>
      <c r="F98" t="str">
        <f>IF(ISBLANK(Common!I$4),"",Common!I$4)</f>
        <v/>
      </c>
      <c r="G98" t="str">
        <f>IF(ISBLANK(Common!I$6),"",Common!I$6)</f>
        <v/>
      </c>
      <c r="H98" t="str">
        <f>IF(ISBLANK(Common!I$8),"",Common!I$8)</f>
        <v/>
      </c>
      <c r="I98" t="str">
        <f>IF(ISBLANK(Common!K$8),"",Common!K$8)</f>
        <v/>
      </c>
      <c r="J98" s="27" t="s">
        <v>78</v>
      </c>
      <c r="K98">
        <f t="shared" si="12"/>
        <v>0</v>
      </c>
      <c r="L98" s="136">
        <f t="shared" si="10"/>
        <v>0</v>
      </c>
      <c r="M98" t="str">
        <f t="shared" si="11"/>
        <v>Copper, Total</v>
      </c>
      <c r="N98" t="str">
        <f t="shared" si="11"/>
        <v>mg/L</v>
      </c>
      <c r="O98" t="str">
        <f>IF(ISBLANK(Common!F31),"",Common!F31)</f>
        <v/>
      </c>
      <c r="P98">
        <f>Common!F$36</f>
        <v>3.5999999999999997E-2</v>
      </c>
    </row>
    <row r="99" spans="1:16">
      <c r="A99" t="str">
        <f>IF(ISBLANK(Common!C$2),"",Common!C$2)</f>
        <v/>
      </c>
      <c r="B99" t="str">
        <f>IF(ISBLANK(Common!C$4),"",Common!C$4)</f>
        <v/>
      </c>
      <c r="C99" t="str">
        <f>IF(ISBLANK(Common!C$6),"",Common!C$6)</f>
        <v/>
      </c>
      <c r="D99" t="str">
        <f>IF(ISBLANK(Common!C$8),"",Common!C$8)</f>
        <v/>
      </c>
      <c r="E99" t="str">
        <f>IF(ISBLANK(Common!I$2),"",Common!I$2)</f>
        <v/>
      </c>
      <c r="F99" t="str">
        <f>IF(ISBLANK(Common!I$4),"",Common!I$4)</f>
        <v/>
      </c>
      <c r="G99" t="str">
        <f>IF(ISBLANK(Common!I$6),"",Common!I$6)</f>
        <v/>
      </c>
      <c r="H99" t="str">
        <f>IF(ISBLANK(Common!I$8),"",Common!I$8)</f>
        <v/>
      </c>
      <c r="I99" t="str">
        <f>IF(ISBLANK(Common!K$8),"",Common!K$8)</f>
        <v/>
      </c>
      <c r="J99" s="27" t="s">
        <v>78</v>
      </c>
      <c r="K99">
        <f t="shared" si="12"/>
        <v>0</v>
      </c>
      <c r="L99" s="136">
        <f t="shared" si="10"/>
        <v>0</v>
      </c>
      <c r="M99" t="str">
        <f t="shared" si="11"/>
        <v>Copper, Total</v>
      </c>
      <c r="N99" t="str">
        <f t="shared" si="11"/>
        <v>mg/L</v>
      </c>
      <c r="O99" t="str">
        <f>IF(ISBLANK(Common!F32),"",Common!F32)</f>
        <v/>
      </c>
      <c r="P99">
        <f>Common!F$36</f>
        <v>3.5999999999999997E-2</v>
      </c>
    </row>
    <row r="100" spans="1:16">
      <c r="A100" t="str">
        <f>IF(ISBLANK(Common!C$2),"",Common!C$2)</f>
        <v/>
      </c>
      <c r="B100" t="str">
        <f>IF(ISBLANK(Common!C$4),"",Common!C$4)</f>
        <v/>
      </c>
      <c r="C100" t="str">
        <f>IF(ISBLANK(Common!C$6),"",Common!C$6)</f>
        <v/>
      </c>
      <c r="D100" t="str">
        <f>IF(ISBLANK(Common!C$8),"",Common!C$8)</f>
        <v/>
      </c>
      <c r="E100" t="str">
        <f>IF(ISBLANK(Common!I$2),"",Common!I$2)</f>
        <v/>
      </c>
      <c r="F100" t="str">
        <f>IF(ISBLANK(Common!I$4),"",Common!I$4)</f>
        <v/>
      </c>
      <c r="G100" t="str">
        <f>IF(ISBLANK(Common!I$6),"",Common!I$6)</f>
        <v/>
      </c>
      <c r="H100" t="str">
        <f>IF(ISBLANK(Common!I$8),"",Common!I$8)</f>
        <v/>
      </c>
      <c r="I100" t="str">
        <f>IF(ISBLANK(Common!K$8),"",Common!K$8)</f>
        <v/>
      </c>
      <c r="J100" s="27" t="s">
        <v>78</v>
      </c>
      <c r="K100">
        <f t="shared" si="12"/>
        <v>0</v>
      </c>
      <c r="L100" s="136">
        <f t="shared" si="10"/>
        <v>0</v>
      </c>
      <c r="M100" t="str">
        <f t="shared" si="11"/>
        <v>Copper, Total</v>
      </c>
      <c r="N100" t="str">
        <f t="shared" si="11"/>
        <v>mg/L</v>
      </c>
      <c r="O100" t="str">
        <f>IF(ISBLANK(Common!F33),"",Common!F33)</f>
        <v/>
      </c>
      <c r="P100">
        <f>Common!F$36</f>
        <v>3.5999999999999997E-2</v>
      </c>
    </row>
    <row r="101" spans="1:16">
      <c r="A101" t="str">
        <f>IF(ISBLANK(Common!C$2),"",Common!C$2)</f>
        <v/>
      </c>
      <c r="B101" t="str">
        <f>IF(ISBLANK(Common!C$4),"",Common!C$4)</f>
        <v/>
      </c>
      <c r="C101" t="str">
        <f>IF(ISBLANK(Common!C$6),"",Common!C$6)</f>
        <v/>
      </c>
      <c r="D101" t="str">
        <f>IF(ISBLANK(Common!C$8),"",Common!C$8)</f>
        <v/>
      </c>
      <c r="E101" t="str">
        <f>IF(ISBLANK(Common!I$2),"",Common!I$2)</f>
        <v/>
      </c>
      <c r="F101" t="str">
        <f>IF(ISBLANK(Common!I$4),"",Common!I$4)</f>
        <v/>
      </c>
      <c r="G101" t="str">
        <f>IF(ISBLANK(Common!I$6),"",Common!I$6)</f>
        <v/>
      </c>
      <c r="H101" t="str">
        <f>IF(ISBLANK(Common!I$8),"",Common!I$8)</f>
        <v/>
      </c>
      <c r="I101" t="str">
        <f>IF(ISBLANK(Common!K$8),"",Common!K$8)</f>
        <v/>
      </c>
      <c r="J101" s="27" t="s">
        <v>78</v>
      </c>
      <c r="K101">
        <f t="shared" si="12"/>
        <v>0</v>
      </c>
      <c r="L101" s="136">
        <f t="shared" si="10"/>
        <v>0</v>
      </c>
      <c r="M101" t="str">
        <f t="shared" si="11"/>
        <v>Copper, Total</v>
      </c>
      <c r="N101" t="str">
        <f t="shared" si="11"/>
        <v>mg/L</v>
      </c>
      <c r="O101" t="str">
        <f>IF(ISBLANK(Common!F34),"",Common!F34)</f>
        <v/>
      </c>
      <c r="P101">
        <f>Common!F$36</f>
        <v>3.5999999999999997E-2</v>
      </c>
    </row>
    <row r="102" spans="1:16">
      <c r="A102" t="str">
        <f>IF(ISBLANK(Common!C$2),"",Common!C$2)</f>
        <v/>
      </c>
      <c r="B102" t="str">
        <f>IF(ISBLANK(Common!C$4),"",Common!C$4)</f>
        <v/>
      </c>
      <c r="C102" t="str">
        <f>IF(ISBLANK(Common!C$6),"",Common!C$6)</f>
        <v/>
      </c>
      <c r="D102" t="str">
        <f>IF(ISBLANK(Common!C$8),"",Common!C$8)</f>
        <v/>
      </c>
      <c r="E102" t="str">
        <f>IF(ISBLANK(Common!I$2),"",Common!I$2)</f>
        <v/>
      </c>
      <c r="F102" t="str">
        <f>IF(ISBLANK(Common!I$4),"",Common!I$4)</f>
        <v/>
      </c>
      <c r="G102" t="str">
        <f>IF(ISBLANK(Common!I$6),"",Common!I$6)</f>
        <v/>
      </c>
      <c r="H102" t="str">
        <f>IF(ISBLANK(Common!I$8),"",Common!I$8)</f>
        <v/>
      </c>
      <c r="I102" t="str">
        <f>IF(ISBLANK(Common!K$8),"",Common!K$8)</f>
        <v/>
      </c>
      <c r="J102" s="27" t="s">
        <v>78</v>
      </c>
      <c r="K102">
        <f t="shared" si="12"/>
        <v>0</v>
      </c>
      <c r="L102" s="136">
        <f t="shared" si="10"/>
        <v>0</v>
      </c>
      <c r="M102" t="str">
        <f t="shared" si="11"/>
        <v>Lead, Total</v>
      </c>
      <c r="N102" t="str">
        <f t="shared" si="11"/>
        <v>mg/L</v>
      </c>
      <c r="O102" t="str">
        <f>IF(ISBLANK(Common!G31),"",Common!G31)</f>
        <v/>
      </c>
      <c r="P102">
        <f>Common!G$36</f>
        <v>0.06</v>
      </c>
    </row>
    <row r="103" spans="1:16">
      <c r="A103" t="str">
        <f>IF(ISBLANK(Common!C$2),"",Common!C$2)</f>
        <v/>
      </c>
      <c r="B103" t="str">
        <f>IF(ISBLANK(Common!C$4),"",Common!C$4)</f>
        <v/>
      </c>
      <c r="C103" t="str">
        <f>IF(ISBLANK(Common!C$6),"",Common!C$6)</f>
        <v/>
      </c>
      <c r="D103" t="str">
        <f>IF(ISBLANK(Common!C$8),"",Common!C$8)</f>
        <v/>
      </c>
      <c r="E103" t="str">
        <f>IF(ISBLANK(Common!I$2),"",Common!I$2)</f>
        <v/>
      </c>
      <c r="F103" t="str">
        <f>IF(ISBLANK(Common!I$4),"",Common!I$4)</f>
        <v/>
      </c>
      <c r="G103" t="str">
        <f>IF(ISBLANK(Common!I$6),"",Common!I$6)</f>
        <v/>
      </c>
      <c r="H103" t="str">
        <f>IF(ISBLANK(Common!I$8),"",Common!I$8)</f>
        <v/>
      </c>
      <c r="I103" t="str">
        <f>IF(ISBLANK(Common!K$8),"",Common!K$8)</f>
        <v/>
      </c>
      <c r="J103" s="27" t="s">
        <v>78</v>
      </c>
      <c r="K103">
        <f t="shared" si="12"/>
        <v>0</v>
      </c>
      <c r="L103" s="136">
        <f t="shared" si="10"/>
        <v>0</v>
      </c>
      <c r="M103" t="str">
        <f t="shared" si="11"/>
        <v>Lead, Total</v>
      </c>
      <c r="N103" t="str">
        <f t="shared" si="11"/>
        <v>mg/L</v>
      </c>
      <c r="O103" t="str">
        <f>IF(ISBLANK(Common!G32),"",Common!G32)</f>
        <v/>
      </c>
      <c r="P103">
        <f>Common!G$36</f>
        <v>0.06</v>
      </c>
    </row>
    <row r="104" spans="1:16">
      <c r="A104" t="str">
        <f>IF(ISBLANK(Common!C$2),"",Common!C$2)</f>
        <v/>
      </c>
      <c r="B104" t="str">
        <f>IF(ISBLANK(Common!C$4),"",Common!C$4)</f>
        <v/>
      </c>
      <c r="C104" t="str">
        <f>IF(ISBLANK(Common!C$6),"",Common!C$6)</f>
        <v/>
      </c>
      <c r="D104" t="str">
        <f>IF(ISBLANK(Common!C$8),"",Common!C$8)</f>
        <v/>
      </c>
      <c r="E104" t="str">
        <f>IF(ISBLANK(Common!I$2),"",Common!I$2)</f>
        <v/>
      </c>
      <c r="F104" t="str">
        <f>IF(ISBLANK(Common!I$4),"",Common!I$4)</f>
        <v/>
      </c>
      <c r="G104" t="str">
        <f>IF(ISBLANK(Common!I$6),"",Common!I$6)</f>
        <v/>
      </c>
      <c r="H104" t="str">
        <f>IF(ISBLANK(Common!I$8),"",Common!I$8)</f>
        <v/>
      </c>
      <c r="I104" t="str">
        <f>IF(ISBLANK(Common!K$8),"",Common!K$8)</f>
        <v/>
      </c>
      <c r="J104" s="27" t="s">
        <v>78</v>
      </c>
      <c r="K104">
        <f t="shared" si="12"/>
        <v>0</v>
      </c>
      <c r="L104" s="136">
        <f t="shared" si="10"/>
        <v>0</v>
      </c>
      <c r="M104" t="str">
        <f t="shared" si="11"/>
        <v>Lead, Total</v>
      </c>
      <c r="N104" t="str">
        <f t="shared" si="11"/>
        <v>mg/L</v>
      </c>
      <c r="O104" t="str">
        <f>IF(ISBLANK(Common!G33),"",Common!G33)</f>
        <v/>
      </c>
      <c r="P104">
        <f>Common!G$36</f>
        <v>0.06</v>
      </c>
    </row>
    <row r="105" spans="1:16">
      <c r="A105" t="str">
        <f>IF(ISBLANK(Common!C$2),"",Common!C$2)</f>
        <v/>
      </c>
      <c r="B105" t="str">
        <f>IF(ISBLANK(Common!C$4),"",Common!C$4)</f>
        <v/>
      </c>
      <c r="C105" t="str">
        <f>IF(ISBLANK(Common!C$6),"",Common!C$6)</f>
        <v/>
      </c>
      <c r="D105" t="str">
        <f>IF(ISBLANK(Common!C$8),"",Common!C$8)</f>
        <v/>
      </c>
      <c r="E105" t="str">
        <f>IF(ISBLANK(Common!I$2),"",Common!I$2)</f>
        <v/>
      </c>
      <c r="F105" t="str">
        <f>IF(ISBLANK(Common!I$4),"",Common!I$4)</f>
        <v/>
      </c>
      <c r="G105" t="str">
        <f>IF(ISBLANK(Common!I$6),"",Common!I$6)</f>
        <v/>
      </c>
      <c r="H105" t="str">
        <f>IF(ISBLANK(Common!I$8),"",Common!I$8)</f>
        <v/>
      </c>
      <c r="I105" t="str">
        <f>IF(ISBLANK(Common!K$8),"",Common!K$8)</f>
        <v/>
      </c>
      <c r="J105" s="27" t="s">
        <v>78</v>
      </c>
      <c r="K105">
        <f t="shared" si="12"/>
        <v>0</v>
      </c>
      <c r="L105" s="136">
        <f t="shared" si="10"/>
        <v>0</v>
      </c>
      <c r="M105" t="str">
        <f t="shared" si="11"/>
        <v>Lead, Total</v>
      </c>
      <c r="N105" t="str">
        <f t="shared" si="11"/>
        <v>mg/L</v>
      </c>
      <c r="O105" t="str">
        <f>IF(ISBLANK(Common!G34),"",Common!G34)</f>
        <v/>
      </c>
      <c r="P105">
        <f>Common!G$36</f>
        <v>0.06</v>
      </c>
    </row>
    <row r="106" spans="1:16">
      <c r="A106" t="str">
        <f>IF(ISBLANK(Common!C$2),"",Common!C$2)</f>
        <v/>
      </c>
      <c r="B106" t="str">
        <f>IF(ISBLANK(Common!C$4),"",Common!C$4)</f>
        <v/>
      </c>
      <c r="C106" t="str">
        <f>IF(ISBLANK(Common!C$6),"",Common!C$6)</f>
        <v/>
      </c>
      <c r="D106" t="str">
        <f>IF(ISBLANK(Common!C$8),"",Common!C$8)</f>
        <v/>
      </c>
      <c r="E106" t="str">
        <f>IF(ISBLANK(Common!I$2),"",Common!I$2)</f>
        <v/>
      </c>
      <c r="F106" t="str">
        <f>IF(ISBLANK(Common!I$4),"",Common!I$4)</f>
        <v/>
      </c>
      <c r="G106" t="str">
        <f>IF(ISBLANK(Common!I$6),"",Common!I$6)</f>
        <v/>
      </c>
      <c r="H106" t="str">
        <f>IF(ISBLANK(Common!I$8),"",Common!I$8)</f>
        <v/>
      </c>
      <c r="I106" t="str">
        <f>IF(ISBLANK(Common!K$8),"",Common!K$8)</f>
        <v/>
      </c>
      <c r="J106" s="27" t="s">
        <v>78</v>
      </c>
      <c r="K106">
        <f t="shared" si="12"/>
        <v>0</v>
      </c>
      <c r="L106" s="136">
        <f t="shared" si="10"/>
        <v>0</v>
      </c>
      <c r="M106" t="str">
        <f t="shared" si="11"/>
        <v>Zinc, Total</v>
      </c>
      <c r="N106" t="str">
        <f t="shared" si="11"/>
        <v>mg/L</v>
      </c>
      <c r="O106" t="str">
        <f>IF(ISBLANK(Common!H31),"",Common!H31)</f>
        <v/>
      </c>
      <c r="P106" s="138">
        <f>Common!H$36</f>
        <v>0.24</v>
      </c>
    </row>
    <row r="107" spans="1:16">
      <c r="A107" t="str">
        <f>IF(ISBLANK(Common!C$2),"",Common!C$2)</f>
        <v/>
      </c>
      <c r="B107" t="str">
        <f>IF(ISBLANK(Common!C$4),"",Common!C$4)</f>
        <v/>
      </c>
      <c r="C107" t="str">
        <f>IF(ISBLANK(Common!C$6),"",Common!C$6)</f>
        <v/>
      </c>
      <c r="D107" t="str">
        <f>IF(ISBLANK(Common!C$8),"",Common!C$8)</f>
        <v/>
      </c>
      <c r="E107" t="str">
        <f>IF(ISBLANK(Common!I$2),"",Common!I$2)</f>
        <v/>
      </c>
      <c r="F107" t="str">
        <f>IF(ISBLANK(Common!I$4),"",Common!I$4)</f>
        <v/>
      </c>
      <c r="G107" t="str">
        <f>IF(ISBLANK(Common!I$6),"",Common!I$6)</f>
        <v/>
      </c>
      <c r="H107" t="str">
        <f>IF(ISBLANK(Common!I$8),"",Common!I$8)</f>
        <v/>
      </c>
      <c r="I107" t="str">
        <f>IF(ISBLANK(Common!K$8),"",Common!K$8)</f>
        <v/>
      </c>
      <c r="J107" s="27" t="s">
        <v>78</v>
      </c>
      <c r="K107">
        <f t="shared" si="12"/>
        <v>0</v>
      </c>
      <c r="L107" s="136">
        <f t="shared" si="10"/>
        <v>0</v>
      </c>
      <c r="M107" t="str">
        <f t="shared" si="11"/>
        <v>Zinc, Total</v>
      </c>
      <c r="N107" t="str">
        <f t="shared" si="11"/>
        <v>mg/L</v>
      </c>
      <c r="O107" t="str">
        <f>IF(ISBLANK(Common!H32),"",Common!H32)</f>
        <v/>
      </c>
      <c r="P107" s="138">
        <f>Common!H$36</f>
        <v>0.24</v>
      </c>
    </row>
    <row r="108" spans="1:16">
      <c r="A108" t="str">
        <f>IF(ISBLANK(Common!C$2),"",Common!C$2)</f>
        <v/>
      </c>
      <c r="B108" t="str">
        <f>IF(ISBLANK(Common!C$4),"",Common!C$4)</f>
        <v/>
      </c>
      <c r="C108" t="str">
        <f>IF(ISBLANK(Common!C$6),"",Common!C$6)</f>
        <v/>
      </c>
      <c r="D108" t="str">
        <f>IF(ISBLANK(Common!C$8),"",Common!C$8)</f>
        <v/>
      </c>
      <c r="E108" t="str">
        <f>IF(ISBLANK(Common!I$2),"",Common!I$2)</f>
        <v/>
      </c>
      <c r="F108" t="str">
        <f>IF(ISBLANK(Common!I$4),"",Common!I$4)</f>
        <v/>
      </c>
      <c r="G108" t="str">
        <f>IF(ISBLANK(Common!I$6),"",Common!I$6)</f>
        <v/>
      </c>
      <c r="H108" t="str">
        <f>IF(ISBLANK(Common!I$8),"",Common!I$8)</f>
        <v/>
      </c>
      <c r="I108" t="str">
        <f>IF(ISBLANK(Common!K$8),"",Common!K$8)</f>
        <v/>
      </c>
      <c r="J108" s="27" t="s">
        <v>78</v>
      </c>
      <c r="K108">
        <f t="shared" si="12"/>
        <v>0</v>
      </c>
      <c r="L108" s="136">
        <f t="shared" si="10"/>
        <v>0</v>
      </c>
      <c r="M108" t="str">
        <f t="shared" si="11"/>
        <v>Zinc, Total</v>
      </c>
      <c r="N108" t="str">
        <f t="shared" si="11"/>
        <v>mg/L</v>
      </c>
      <c r="O108" t="str">
        <f>IF(ISBLANK(Common!H33),"",Common!H33)</f>
        <v/>
      </c>
      <c r="P108" s="138">
        <f>Common!H$36</f>
        <v>0.24</v>
      </c>
    </row>
    <row r="109" spans="1:16">
      <c r="A109" t="str">
        <f>IF(ISBLANK(Common!C$2),"",Common!C$2)</f>
        <v/>
      </c>
      <c r="B109" t="str">
        <f>IF(ISBLANK(Common!C$4),"",Common!C$4)</f>
        <v/>
      </c>
      <c r="C109" t="str">
        <f>IF(ISBLANK(Common!C$6),"",Common!C$6)</f>
        <v/>
      </c>
      <c r="D109" t="str">
        <f>IF(ISBLANK(Common!C$8),"",Common!C$8)</f>
        <v/>
      </c>
      <c r="E109" t="str">
        <f>IF(ISBLANK(Common!I$2),"",Common!I$2)</f>
        <v/>
      </c>
      <c r="F109" t="str">
        <f>IF(ISBLANK(Common!I$4),"",Common!I$4)</f>
        <v/>
      </c>
      <c r="G109" t="str">
        <f>IF(ISBLANK(Common!I$6),"",Common!I$6)</f>
        <v/>
      </c>
      <c r="H109" t="str">
        <f>IF(ISBLANK(Common!I$8),"",Common!I$8)</f>
        <v/>
      </c>
      <c r="I109" t="str">
        <f>IF(ISBLANK(Common!K$8),"",Common!K$8)</f>
        <v/>
      </c>
      <c r="J109" s="27" t="s">
        <v>78</v>
      </c>
      <c r="K109">
        <f t="shared" si="12"/>
        <v>0</v>
      </c>
      <c r="L109" s="136">
        <f t="shared" si="10"/>
        <v>0</v>
      </c>
      <c r="M109" t="str">
        <f t="shared" si="11"/>
        <v>Zinc, Total</v>
      </c>
      <c r="N109" t="str">
        <f t="shared" si="11"/>
        <v>mg/L</v>
      </c>
      <c r="O109" t="str">
        <f>IF(ISBLANK(Common!H34),"",Common!H34)</f>
        <v/>
      </c>
      <c r="P109" s="138">
        <f>Common!H$36</f>
        <v>0.24</v>
      </c>
    </row>
    <row r="110" spans="1:16">
      <c r="A110" t="str">
        <f>IF(ISBLANK(Common!C$2),"",Common!C$2)</f>
        <v/>
      </c>
      <c r="B110" t="str">
        <f>IF(ISBLANK(Common!C$4),"",Common!C$4)</f>
        <v/>
      </c>
      <c r="C110" t="str">
        <f>IF(ISBLANK(Common!C$6),"",Common!C$6)</f>
        <v/>
      </c>
      <c r="D110" t="str">
        <f>IF(ISBLANK(Common!C$8),"",Common!C$8)</f>
        <v/>
      </c>
      <c r="E110" t="str">
        <f>IF(ISBLANK(Common!I$2),"",Common!I$2)</f>
        <v/>
      </c>
      <c r="F110" t="str">
        <f>IF(ISBLANK(Common!I$4),"",Common!I$4)</f>
        <v/>
      </c>
      <c r="G110" t="str">
        <f>IF(ISBLANK(Common!I$6),"",Common!I$6)</f>
        <v/>
      </c>
      <c r="H110" t="str">
        <f>IF(ISBLANK(Common!I$8),"",Common!I$8)</f>
        <v/>
      </c>
      <c r="I110" t="str">
        <f>IF(ISBLANK(Common!K$8),"",Common!K$8)</f>
        <v/>
      </c>
      <c r="J110" s="27" t="s">
        <v>78</v>
      </c>
      <c r="K110">
        <f t="shared" si="12"/>
        <v>0</v>
      </c>
      <c r="L110" s="136">
        <f t="shared" si="10"/>
        <v>0</v>
      </c>
      <c r="M110" t="str">
        <f t="shared" si="11"/>
        <v>E. coli</v>
      </c>
      <c r="N110" t="str">
        <f t="shared" si="11"/>
        <v>counts/100 mL</v>
      </c>
      <c r="O110" t="str">
        <f>IF(ISBLANK(Common!I31),"",Common!I31)</f>
        <v/>
      </c>
      <c r="P110">
        <f>Common!I$36</f>
        <v>406</v>
      </c>
    </row>
    <row r="111" spans="1:16">
      <c r="A111" t="str">
        <f>IF(ISBLANK(Common!C$2),"",Common!C$2)</f>
        <v/>
      </c>
      <c r="B111" t="str">
        <f>IF(ISBLANK(Common!C$4),"",Common!C$4)</f>
        <v/>
      </c>
      <c r="C111" t="str">
        <f>IF(ISBLANK(Common!C$6),"",Common!C$6)</f>
        <v/>
      </c>
      <c r="D111" t="str">
        <f>IF(ISBLANK(Common!C$8),"",Common!C$8)</f>
        <v/>
      </c>
      <c r="E111" t="str">
        <f>IF(ISBLANK(Common!I$2),"",Common!I$2)</f>
        <v/>
      </c>
      <c r="F111" t="str">
        <f>IF(ISBLANK(Common!I$4),"",Common!I$4)</f>
        <v/>
      </c>
      <c r="G111" t="str">
        <f>IF(ISBLANK(Common!I$6),"",Common!I$6)</f>
        <v/>
      </c>
      <c r="H111" t="str">
        <f>IF(ISBLANK(Common!I$8),"",Common!I$8)</f>
        <v/>
      </c>
      <c r="I111" t="str">
        <f>IF(ISBLANK(Common!K$8),"",Common!K$8)</f>
        <v/>
      </c>
      <c r="J111" s="27" t="s">
        <v>78</v>
      </c>
      <c r="K111">
        <f t="shared" si="12"/>
        <v>0</v>
      </c>
      <c r="L111" s="136">
        <f t="shared" si="10"/>
        <v>0</v>
      </c>
      <c r="M111" t="str">
        <f t="shared" si="11"/>
        <v>E. coli</v>
      </c>
      <c r="N111" t="str">
        <f t="shared" si="11"/>
        <v>counts/100 mL</v>
      </c>
      <c r="O111" t="str">
        <f>IF(ISBLANK(Common!I32),"",Common!I32)</f>
        <v/>
      </c>
      <c r="P111">
        <f>Common!I$36</f>
        <v>406</v>
      </c>
    </row>
    <row r="112" spans="1:16">
      <c r="A112" t="str">
        <f>IF(ISBLANK(Common!C$2),"",Common!C$2)</f>
        <v/>
      </c>
      <c r="B112" t="str">
        <f>IF(ISBLANK(Common!C$4),"",Common!C$4)</f>
        <v/>
      </c>
      <c r="C112" t="str">
        <f>IF(ISBLANK(Common!C$6),"",Common!C$6)</f>
        <v/>
      </c>
      <c r="D112" t="str">
        <f>IF(ISBLANK(Common!C$8),"",Common!C$8)</f>
        <v/>
      </c>
      <c r="E112" t="str">
        <f>IF(ISBLANK(Common!I$2),"",Common!I$2)</f>
        <v/>
      </c>
      <c r="F112" t="str">
        <f>IF(ISBLANK(Common!I$4),"",Common!I$4)</f>
        <v/>
      </c>
      <c r="G112" t="str">
        <f>IF(ISBLANK(Common!I$6),"",Common!I$6)</f>
        <v/>
      </c>
      <c r="H112" t="str">
        <f>IF(ISBLANK(Common!I$8),"",Common!I$8)</f>
        <v/>
      </c>
      <c r="I112" t="str">
        <f>IF(ISBLANK(Common!K$8),"",Common!K$8)</f>
        <v/>
      </c>
      <c r="J112" s="27" t="s">
        <v>78</v>
      </c>
      <c r="K112">
        <f t="shared" si="12"/>
        <v>0</v>
      </c>
      <c r="L112" s="136">
        <f t="shared" si="10"/>
        <v>0</v>
      </c>
      <c r="M112" t="str">
        <f t="shared" si="11"/>
        <v>E. coli</v>
      </c>
      <c r="N112" t="str">
        <f t="shared" si="11"/>
        <v>counts/100 mL</v>
      </c>
      <c r="O112" t="str">
        <f>IF(ISBLANK(Common!I33),"",Common!I33)</f>
        <v/>
      </c>
      <c r="P112">
        <f>Common!I$36</f>
        <v>406</v>
      </c>
    </row>
    <row r="113" spans="1:16">
      <c r="A113" t="str">
        <f>IF(ISBLANK(Common!C$2),"",Common!C$2)</f>
        <v/>
      </c>
      <c r="B113" t="str">
        <f>IF(ISBLANK(Common!C$4),"",Common!C$4)</f>
        <v/>
      </c>
      <c r="C113" t="str">
        <f>IF(ISBLANK(Common!C$6),"",Common!C$6)</f>
        <v/>
      </c>
      <c r="D113" t="str">
        <f>IF(ISBLANK(Common!C$8),"",Common!C$8)</f>
        <v/>
      </c>
      <c r="E113" t="str">
        <f>IF(ISBLANK(Common!I$2),"",Common!I$2)</f>
        <v/>
      </c>
      <c r="F113" t="str">
        <f>IF(ISBLANK(Common!I$4),"",Common!I$4)</f>
        <v/>
      </c>
      <c r="G113" t="str">
        <f>IF(ISBLANK(Common!I$6),"",Common!I$6)</f>
        <v/>
      </c>
      <c r="H113" t="str">
        <f>IF(ISBLANK(Common!I$8),"",Common!I$8)</f>
        <v/>
      </c>
      <c r="I113" t="str">
        <f>IF(ISBLANK(Common!K$8),"",Common!K$8)</f>
        <v/>
      </c>
      <c r="J113" s="27" t="s">
        <v>78</v>
      </c>
      <c r="K113">
        <f t="shared" si="12"/>
        <v>0</v>
      </c>
      <c r="L113" s="136">
        <f t="shared" si="10"/>
        <v>0</v>
      </c>
      <c r="M113" t="str">
        <f t="shared" si="11"/>
        <v>E. coli</v>
      </c>
      <c r="N113" t="str">
        <f t="shared" si="11"/>
        <v>counts/100 mL</v>
      </c>
      <c r="O113" t="str">
        <f>IF(ISBLANK(Common!I34),"",Common!I34)</f>
        <v/>
      </c>
      <c r="P113">
        <f>Common!I$36</f>
        <v>406</v>
      </c>
    </row>
    <row r="114" spans="1:16">
      <c r="A114" t="str">
        <f>IF(ISBLANK(Common!C$2),"",Common!C$2)</f>
        <v/>
      </c>
      <c r="B114" t="str">
        <f>IF(ISBLANK(Common!C$4),"",Common!C$4)</f>
        <v/>
      </c>
      <c r="C114" t="str">
        <f>IF(ISBLANK(Common!C$6),"",Common!C$6)</f>
        <v/>
      </c>
      <c r="D114" t="str">
        <f>IF(ISBLANK(Common!C$8),"",Common!C$8)</f>
        <v/>
      </c>
      <c r="E114" t="str">
        <f>IF(ISBLANK(Common!I$2),"",Common!I$2)</f>
        <v/>
      </c>
      <c r="F114" t="str">
        <f>IF(ISBLANK(Common!I$4),"",Common!I$4)</f>
        <v/>
      </c>
      <c r="G114" t="str">
        <f>IF(ISBLANK(Common!I$6),"",Common!I$6)</f>
        <v/>
      </c>
      <c r="H114" t="str">
        <f>IF(ISBLANK(Common!I$8),"",Common!I$8)</f>
        <v/>
      </c>
      <c r="I114" t="str">
        <f>IF(ISBLANK(Common!K$8),"",Common!K$8)</f>
        <v/>
      </c>
      <c r="J114" s="27" t="s">
        <v>79</v>
      </c>
      <c r="K114">
        <f>Common!A57</f>
        <v>0</v>
      </c>
      <c r="L114" s="136">
        <f>Common!B57</f>
        <v>0</v>
      </c>
      <c r="M114" t="str">
        <f>Common!C54</f>
        <v>Cadmium, Total</v>
      </c>
      <c r="N114" t="str">
        <f>Common!C55</f>
        <v>mg/L</v>
      </c>
      <c r="O114" t="str">
        <f>IF(ISBLANK(Common!C57),"",Common!C57)</f>
        <v/>
      </c>
    </row>
    <row r="115" spans="1:16">
      <c r="A115" t="str">
        <f>IF(ISBLANK(Common!C$2),"",Common!C$2)</f>
        <v/>
      </c>
      <c r="B115" t="str">
        <f>IF(ISBLANK(Common!C$4),"",Common!C$4)</f>
        <v/>
      </c>
      <c r="C115" t="str">
        <f>IF(ISBLANK(Common!C$6),"",Common!C$6)</f>
        <v/>
      </c>
      <c r="D115" t="str">
        <f>IF(ISBLANK(Common!C$8),"",Common!C$8)</f>
        <v/>
      </c>
      <c r="E115" t="str">
        <f>IF(ISBLANK(Common!I$2),"",Common!I$2)</f>
        <v/>
      </c>
      <c r="F115" t="str">
        <f>IF(ISBLANK(Common!I$4),"",Common!I$4)</f>
        <v/>
      </c>
      <c r="G115" t="str">
        <f>IF(ISBLANK(Common!I$6),"",Common!I$6)</f>
        <v/>
      </c>
      <c r="H115" t="str">
        <f>IF(ISBLANK(Common!I$8),"",Common!I$8)</f>
        <v/>
      </c>
      <c r="I115" t="str">
        <f>IF(ISBLANK(Common!K$8),"",Common!K$8)</f>
        <v/>
      </c>
      <c r="J115" s="27" t="s">
        <v>79</v>
      </c>
      <c r="K115">
        <f t="shared" si="12"/>
        <v>0</v>
      </c>
      <c r="L115" s="136">
        <f>Common!B58</f>
        <v>0</v>
      </c>
      <c r="M115" t="str">
        <f t="shared" ref="M115:M117" si="13">M114</f>
        <v>Cadmium, Total</v>
      </c>
      <c r="N115" t="str">
        <f t="shared" ref="N115:N117" si="14">N114</f>
        <v>mg/L</v>
      </c>
      <c r="O115" t="str">
        <f>IF(ISBLANK(Common!C58),"",Common!C58)</f>
        <v/>
      </c>
    </row>
    <row r="116" spans="1:16">
      <c r="A116" t="str">
        <f>IF(ISBLANK(Common!C$2),"",Common!C$2)</f>
        <v/>
      </c>
      <c r="B116" t="str">
        <f>IF(ISBLANK(Common!C$4),"",Common!C$4)</f>
        <v/>
      </c>
      <c r="C116" t="str">
        <f>IF(ISBLANK(Common!C$6),"",Common!C$6)</f>
        <v/>
      </c>
      <c r="D116" t="str">
        <f>IF(ISBLANK(Common!C$8),"",Common!C$8)</f>
        <v/>
      </c>
      <c r="E116" t="str">
        <f>IF(ISBLANK(Common!I$2),"",Common!I$2)</f>
        <v/>
      </c>
      <c r="F116" t="str">
        <f>IF(ISBLANK(Common!I$4),"",Common!I$4)</f>
        <v/>
      </c>
      <c r="G116" t="str">
        <f>IF(ISBLANK(Common!I$6),"",Common!I$6)</f>
        <v/>
      </c>
      <c r="H116" t="str">
        <f>IF(ISBLANK(Common!I$8),"",Common!I$8)</f>
        <v/>
      </c>
      <c r="I116" t="str">
        <f>IF(ISBLANK(Common!K$8),"",Common!K$8)</f>
        <v/>
      </c>
      <c r="J116" s="27" t="s">
        <v>79</v>
      </c>
      <c r="K116">
        <f t="shared" si="12"/>
        <v>0</v>
      </c>
      <c r="L116" s="136">
        <f>Common!B59</f>
        <v>0</v>
      </c>
      <c r="M116" t="str">
        <f t="shared" si="13"/>
        <v>Cadmium, Total</v>
      </c>
      <c r="N116" t="str">
        <f t="shared" si="14"/>
        <v>mg/L</v>
      </c>
      <c r="O116" t="str">
        <f>IF(ISBLANK(Common!C59),"",Common!C59)</f>
        <v/>
      </c>
    </row>
    <row r="117" spans="1:16">
      <c r="A117" t="str">
        <f>IF(ISBLANK(Common!C$2),"",Common!C$2)</f>
        <v/>
      </c>
      <c r="B117" t="str">
        <f>IF(ISBLANK(Common!C$4),"",Common!C$4)</f>
        <v/>
      </c>
      <c r="C117" t="str">
        <f>IF(ISBLANK(Common!C$6),"",Common!C$6)</f>
        <v/>
      </c>
      <c r="D117" t="str">
        <f>IF(ISBLANK(Common!C$8),"",Common!C$8)</f>
        <v/>
      </c>
      <c r="E117" t="str">
        <f>IF(ISBLANK(Common!I$2),"",Common!I$2)</f>
        <v/>
      </c>
      <c r="F117" t="str">
        <f>IF(ISBLANK(Common!I$4),"",Common!I$4)</f>
        <v/>
      </c>
      <c r="G117" t="str">
        <f>IF(ISBLANK(Common!I$6),"",Common!I$6)</f>
        <v/>
      </c>
      <c r="H117" t="str">
        <f>IF(ISBLANK(Common!I$8),"",Common!I$8)</f>
        <v/>
      </c>
      <c r="I117" t="str">
        <f>IF(ISBLANK(Common!K$8),"",Common!K$8)</f>
        <v/>
      </c>
      <c r="J117" s="27" t="s">
        <v>79</v>
      </c>
      <c r="K117">
        <f t="shared" si="12"/>
        <v>0</v>
      </c>
      <c r="L117" s="136">
        <f>Common!B60</f>
        <v>0</v>
      </c>
      <c r="M117" t="str">
        <f t="shared" si="13"/>
        <v>Cadmium, Total</v>
      </c>
      <c r="N117" t="str">
        <f t="shared" si="14"/>
        <v>mg/L</v>
      </c>
      <c r="O117" t="str">
        <f>IF(ISBLANK(Common!C60),"",Common!C60)</f>
        <v/>
      </c>
    </row>
    <row r="118" spans="1:16">
      <c r="A118" t="str">
        <f>IF(ISBLANK(Common!C$2),"",Common!C$2)</f>
        <v/>
      </c>
      <c r="B118" t="str">
        <f>IF(ISBLANK(Common!C$4),"",Common!C$4)</f>
        <v/>
      </c>
      <c r="C118" t="str">
        <f>IF(ISBLANK(Common!C$6),"",Common!C$6)</f>
        <v/>
      </c>
      <c r="D118" t="str">
        <f>IF(ISBLANK(Common!C$8),"",Common!C$8)</f>
        <v/>
      </c>
      <c r="E118" t="str">
        <f>IF(ISBLANK(Common!I$2),"",Common!I$2)</f>
        <v/>
      </c>
      <c r="F118" t="str">
        <f>IF(ISBLANK(Common!I$4),"",Common!I$4)</f>
        <v/>
      </c>
      <c r="G118" t="str">
        <f>IF(ISBLANK(Common!I$6),"",Common!I$6)</f>
        <v/>
      </c>
      <c r="H118" t="str">
        <f>IF(ISBLANK(Common!I$8),"",Common!I$8)</f>
        <v/>
      </c>
      <c r="I118" t="str">
        <f>IF(ISBLANK(Common!K$8),"",Common!K$8)</f>
        <v/>
      </c>
      <c r="J118" s="27" t="s">
        <v>79</v>
      </c>
      <c r="K118">
        <f t="shared" si="12"/>
        <v>0</v>
      </c>
      <c r="L118" s="136">
        <f t="shared" si="10"/>
        <v>0</v>
      </c>
      <c r="M118" t="str">
        <f>Common!D54</f>
        <v>Nickel, Total</v>
      </c>
      <c r="N118" t="str">
        <f>Common!D55</f>
        <v>mg/L</v>
      </c>
      <c r="O118" t="str">
        <f>IF(ISBLANK(Common!D57),"",Common!D57)</f>
        <v/>
      </c>
    </row>
    <row r="119" spans="1:16">
      <c r="A119" t="str">
        <f>IF(ISBLANK(Common!C$2),"",Common!C$2)</f>
        <v/>
      </c>
      <c r="B119" t="str">
        <f>IF(ISBLANK(Common!C$4),"",Common!C$4)</f>
        <v/>
      </c>
      <c r="C119" t="str">
        <f>IF(ISBLANK(Common!C$6),"",Common!C$6)</f>
        <v/>
      </c>
      <c r="D119" t="str">
        <f>IF(ISBLANK(Common!C$8),"",Common!C$8)</f>
        <v/>
      </c>
      <c r="E119" t="str">
        <f>IF(ISBLANK(Common!I$2),"",Common!I$2)</f>
        <v/>
      </c>
      <c r="F119" t="str">
        <f>IF(ISBLANK(Common!I$4),"",Common!I$4)</f>
        <v/>
      </c>
      <c r="G119" t="str">
        <f>IF(ISBLANK(Common!I$6),"",Common!I$6)</f>
        <v/>
      </c>
      <c r="H119" t="str">
        <f>IF(ISBLANK(Common!I$8),"",Common!I$8)</f>
        <v/>
      </c>
      <c r="I119" t="str">
        <f>IF(ISBLANK(Common!K$8),"",Common!K$8)</f>
        <v/>
      </c>
      <c r="J119" s="27" t="s">
        <v>79</v>
      </c>
      <c r="K119">
        <f t="shared" si="12"/>
        <v>0</v>
      </c>
      <c r="L119" s="136">
        <f t="shared" si="10"/>
        <v>0</v>
      </c>
      <c r="M119" t="str">
        <f t="shared" ref="M119:M121" si="15">M118</f>
        <v>Nickel, Total</v>
      </c>
      <c r="N119" t="str">
        <f t="shared" ref="N119:N121" si="16">N118</f>
        <v>mg/L</v>
      </c>
      <c r="O119" t="str">
        <f>IF(ISBLANK(Common!D58),"",Common!D58)</f>
        <v/>
      </c>
    </row>
    <row r="120" spans="1:16">
      <c r="A120" t="str">
        <f>IF(ISBLANK(Common!C$2),"",Common!C$2)</f>
        <v/>
      </c>
      <c r="B120" t="str">
        <f>IF(ISBLANK(Common!C$4),"",Common!C$4)</f>
        <v/>
      </c>
      <c r="C120" t="str">
        <f>IF(ISBLANK(Common!C$6),"",Common!C$6)</f>
        <v/>
      </c>
      <c r="D120" t="str">
        <f>IF(ISBLANK(Common!C$8),"",Common!C$8)</f>
        <v/>
      </c>
      <c r="E120" t="str">
        <f>IF(ISBLANK(Common!I$2),"",Common!I$2)</f>
        <v/>
      </c>
      <c r="F120" t="str">
        <f>IF(ISBLANK(Common!I$4),"",Common!I$4)</f>
        <v/>
      </c>
      <c r="G120" t="str">
        <f>IF(ISBLANK(Common!I$6),"",Common!I$6)</f>
        <v/>
      </c>
      <c r="H120" t="str">
        <f>IF(ISBLANK(Common!I$8),"",Common!I$8)</f>
        <v/>
      </c>
      <c r="I120" t="str">
        <f>IF(ISBLANK(Common!K$8),"",Common!K$8)</f>
        <v/>
      </c>
      <c r="J120" s="27" t="s">
        <v>79</v>
      </c>
      <c r="K120">
        <f t="shared" si="12"/>
        <v>0</v>
      </c>
      <c r="L120" s="136">
        <f t="shared" si="10"/>
        <v>0</v>
      </c>
      <c r="M120" t="str">
        <f t="shared" si="15"/>
        <v>Nickel, Total</v>
      </c>
      <c r="N120" t="str">
        <f t="shared" si="16"/>
        <v>mg/L</v>
      </c>
      <c r="O120" t="str">
        <f>IF(ISBLANK(Common!D59),"",Common!D59)</f>
        <v/>
      </c>
    </row>
    <row r="121" spans="1:16">
      <c r="A121" t="str">
        <f>IF(ISBLANK(Common!C$2),"",Common!C$2)</f>
        <v/>
      </c>
      <c r="B121" t="str">
        <f>IF(ISBLANK(Common!C$4),"",Common!C$4)</f>
        <v/>
      </c>
      <c r="C121" t="str">
        <f>IF(ISBLANK(Common!C$6),"",Common!C$6)</f>
        <v/>
      </c>
      <c r="D121" t="str">
        <f>IF(ISBLANK(Common!C$8),"",Common!C$8)</f>
        <v/>
      </c>
      <c r="E121" t="str">
        <f>IF(ISBLANK(Common!I$2),"",Common!I$2)</f>
        <v/>
      </c>
      <c r="F121" t="str">
        <f>IF(ISBLANK(Common!I$4),"",Common!I$4)</f>
        <v/>
      </c>
      <c r="G121" t="str">
        <f>IF(ISBLANK(Common!I$6),"",Common!I$6)</f>
        <v/>
      </c>
      <c r="H121" t="str">
        <f>IF(ISBLANK(Common!I$8),"",Common!I$8)</f>
        <v/>
      </c>
      <c r="I121" t="str">
        <f>IF(ISBLANK(Common!K$8),"",Common!K$8)</f>
        <v/>
      </c>
      <c r="J121" s="27" t="s">
        <v>79</v>
      </c>
      <c r="K121">
        <f t="shared" si="12"/>
        <v>0</v>
      </c>
      <c r="L121" s="136">
        <f t="shared" si="10"/>
        <v>0</v>
      </c>
      <c r="M121" t="str">
        <f t="shared" si="15"/>
        <v>Nickel, Total</v>
      </c>
      <c r="N121" t="str">
        <f t="shared" si="16"/>
        <v>mg/L</v>
      </c>
      <c r="O121" t="str">
        <f>IF(ISBLANK(Common!D60),"",Common!D60)</f>
        <v/>
      </c>
    </row>
    <row r="122" spans="1:16">
      <c r="A122" t="str">
        <f>IF(ISBLANK(Common!C$2),"",Common!C$2)</f>
        <v/>
      </c>
      <c r="B122" t="str">
        <f>IF(ISBLANK(Common!C$4),"",Common!C$4)</f>
        <v/>
      </c>
      <c r="C122" t="str">
        <f>IF(ISBLANK(Common!C$6),"",Common!C$6)</f>
        <v/>
      </c>
      <c r="D122" t="str">
        <f>IF(ISBLANK(Common!C$8),"",Common!C$8)</f>
        <v/>
      </c>
      <c r="E122" t="str">
        <f>IF(ISBLANK(Common!I$2),"",Common!I$2)</f>
        <v/>
      </c>
      <c r="F122" t="str">
        <f>IF(ISBLANK(Common!I$4),"",Common!I$4)</f>
        <v/>
      </c>
      <c r="G122" t="str">
        <f>IF(ISBLANK(Common!I$6),"",Common!I$6)</f>
        <v/>
      </c>
      <c r="H122" t="str">
        <f>IF(ISBLANK(Common!I$8),"",Common!I$8)</f>
        <v/>
      </c>
      <c r="I122" t="str">
        <f>IF(ISBLANK(Common!K$8),"",Common!K$8)</f>
        <v/>
      </c>
      <c r="J122" s="27" t="s">
        <v>79</v>
      </c>
      <c r="K122">
        <f t="shared" si="12"/>
        <v>0</v>
      </c>
      <c r="L122" s="136">
        <f t="shared" si="10"/>
        <v>0</v>
      </c>
      <c r="M122" t="str">
        <f>Common!E54</f>
        <v>Chromium, Total</v>
      </c>
      <c r="N122" t="str">
        <f>Common!E55</f>
        <v>mg/L</v>
      </c>
      <c r="O122" t="str">
        <f>IF(ISBLANK(Common!E57),"",Common!E57)</f>
        <v/>
      </c>
    </row>
    <row r="123" spans="1:16">
      <c r="A123" t="str">
        <f>IF(ISBLANK(Common!C$2),"",Common!C$2)</f>
        <v/>
      </c>
      <c r="B123" t="str">
        <f>IF(ISBLANK(Common!C$4),"",Common!C$4)</f>
        <v/>
      </c>
      <c r="C123" t="str">
        <f>IF(ISBLANK(Common!C$6),"",Common!C$6)</f>
        <v/>
      </c>
      <c r="D123" t="str">
        <f>IF(ISBLANK(Common!C$8),"",Common!C$8)</f>
        <v/>
      </c>
      <c r="E123" t="str">
        <f>IF(ISBLANK(Common!I$2),"",Common!I$2)</f>
        <v/>
      </c>
      <c r="F123" t="str">
        <f>IF(ISBLANK(Common!I$4),"",Common!I$4)</f>
        <v/>
      </c>
      <c r="G123" t="str">
        <f>IF(ISBLANK(Common!I$6),"",Common!I$6)</f>
        <v/>
      </c>
      <c r="H123" t="str">
        <f>IF(ISBLANK(Common!I$8),"",Common!I$8)</f>
        <v/>
      </c>
      <c r="I123" t="str">
        <f>IF(ISBLANK(Common!K$8),"",Common!K$8)</f>
        <v/>
      </c>
      <c r="J123" s="27" t="s">
        <v>79</v>
      </c>
      <c r="K123">
        <f t="shared" si="12"/>
        <v>0</v>
      </c>
      <c r="L123" s="136">
        <f t="shared" si="10"/>
        <v>0</v>
      </c>
      <c r="M123" t="str">
        <f t="shared" ref="M123:M125" si="17">M122</f>
        <v>Chromium, Total</v>
      </c>
      <c r="N123" t="str">
        <f t="shared" ref="N123:N125" si="18">N122</f>
        <v>mg/L</v>
      </c>
      <c r="O123" t="str">
        <f>IF(ISBLANK(Common!E58),"",Common!E58)</f>
        <v/>
      </c>
    </row>
    <row r="124" spans="1:16">
      <c r="A124" t="str">
        <f>IF(ISBLANK(Common!C$2),"",Common!C$2)</f>
        <v/>
      </c>
      <c r="B124" t="str">
        <f>IF(ISBLANK(Common!C$4),"",Common!C$4)</f>
        <v/>
      </c>
      <c r="C124" t="str">
        <f>IF(ISBLANK(Common!C$6),"",Common!C$6)</f>
        <v/>
      </c>
      <c r="D124" t="str">
        <f>IF(ISBLANK(Common!C$8),"",Common!C$8)</f>
        <v/>
      </c>
      <c r="E124" t="str">
        <f>IF(ISBLANK(Common!I$2),"",Common!I$2)</f>
        <v/>
      </c>
      <c r="F124" t="str">
        <f>IF(ISBLANK(Common!I$4),"",Common!I$4)</f>
        <v/>
      </c>
      <c r="G124" t="str">
        <f>IF(ISBLANK(Common!I$6),"",Common!I$6)</f>
        <v/>
      </c>
      <c r="H124" t="str">
        <f>IF(ISBLANK(Common!I$8),"",Common!I$8)</f>
        <v/>
      </c>
      <c r="I124" t="str">
        <f>IF(ISBLANK(Common!K$8),"",Common!K$8)</f>
        <v/>
      </c>
      <c r="J124" s="27" t="s">
        <v>79</v>
      </c>
      <c r="K124">
        <f t="shared" si="12"/>
        <v>0</v>
      </c>
      <c r="L124" s="136">
        <f t="shared" si="10"/>
        <v>0</v>
      </c>
      <c r="M124" t="str">
        <f t="shared" si="17"/>
        <v>Chromium, Total</v>
      </c>
      <c r="N124" t="str">
        <f t="shared" si="18"/>
        <v>mg/L</v>
      </c>
      <c r="O124" t="str">
        <f>IF(ISBLANK(Common!E59),"",Common!E59)</f>
        <v/>
      </c>
    </row>
    <row r="125" spans="1:16">
      <c r="A125" t="str">
        <f>IF(ISBLANK(Common!C$2),"",Common!C$2)</f>
        <v/>
      </c>
      <c r="B125" t="str">
        <f>IF(ISBLANK(Common!C$4),"",Common!C$4)</f>
        <v/>
      </c>
      <c r="C125" t="str">
        <f>IF(ISBLANK(Common!C$6),"",Common!C$6)</f>
        <v/>
      </c>
      <c r="D125" t="str">
        <f>IF(ISBLANK(Common!C$8),"",Common!C$8)</f>
        <v/>
      </c>
      <c r="E125" t="str">
        <f>IF(ISBLANK(Common!I$2),"",Common!I$2)</f>
        <v/>
      </c>
      <c r="F125" t="str">
        <f>IF(ISBLANK(Common!I$4),"",Common!I$4)</f>
        <v/>
      </c>
      <c r="G125" t="str">
        <f>IF(ISBLANK(Common!I$6),"",Common!I$6)</f>
        <v/>
      </c>
      <c r="H125" t="str">
        <f>IF(ISBLANK(Common!I$8),"",Common!I$8)</f>
        <v/>
      </c>
      <c r="I125" t="str">
        <f>IF(ISBLANK(Common!K$8),"",Common!K$8)</f>
        <v/>
      </c>
      <c r="J125" s="27" t="s">
        <v>79</v>
      </c>
      <c r="K125">
        <f t="shared" si="12"/>
        <v>0</v>
      </c>
      <c r="L125" s="136">
        <f t="shared" si="10"/>
        <v>0</v>
      </c>
      <c r="M125" t="str">
        <f t="shared" si="17"/>
        <v>Chromium, Total</v>
      </c>
      <c r="N125" t="str">
        <f t="shared" si="18"/>
        <v>mg/L</v>
      </c>
      <c r="O125" t="str">
        <f>IF(ISBLANK(Common!E60),"",Common!E60)</f>
        <v/>
      </c>
    </row>
    <row r="126" spans="1:16">
      <c r="A126" t="str">
        <f>IF(ISBLANK(Common!C$2),"",Common!C$2)</f>
        <v/>
      </c>
      <c r="B126" t="str">
        <f>IF(ISBLANK(Common!C$4),"",Common!C$4)</f>
        <v/>
      </c>
      <c r="C126" t="str">
        <f>IF(ISBLANK(Common!C$6),"",Common!C$6)</f>
        <v/>
      </c>
      <c r="D126" t="str">
        <f>IF(ISBLANK(Common!C$8),"",Common!C$8)</f>
        <v/>
      </c>
      <c r="E126" t="str">
        <f>IF(ISBLANK(Common!I$2),"",Common!I$2)</f>
        <v/>
      </c>
      <c r="F126" t="str">
        <f>IF(ISBLANK(Common!I$4),"",Common!I$4)</f>
        <v/>
      </c>
      <c r="G126" t="str">
        <f>IF(ISBLANK(Common!I$6),"",Common!I$6)</f>
        <v/>
      </c>
      <c r="H126" t="str">
        <f>IF(ISBLANK(Common!I$8),"",Common!I$8)</f>
        <v/>
      </c>
      <c r="I126" t="str">
        <f>IF(ISBLANK(Common!K$8),"",Common!K$8)</f>
        <v/>
      </c>
      <c r="J126" s="27" t="s">
        <v>79</v>
      </c>
      <c r="K126">
        <f>Common!A61</f>
        <v>0</v>
      </c>
      <c r="L126" s="136">
        <f>Common!B61</f>
        <v>0</v>
      </c>
      <c r="M126" t="str">
        <f>M114</f>
        <v>Cadmium, Total</v>
      </c>
      <c r="N126" t="str">
        <f>N114</f>
        <v>mg/L</v>
      </c>
      <c r="O126" t="str">
        <f>IF(ISBLANK(Common!C61),"",Common!C61)</f>
        <v/>
      </c>
    </row>
    <row r="127" spans="1:16">
      <c r="A127" t="str">
        <f>IF(ISBLANK(Common!C$2),"",Common!C$2)</f>
        <v/>
      </c>
      <c r="B127" t="str">
        <f>IF(ISBLANK(Common!C$4),"",Common!C$4)</f>
        <v/>
      </c>
      <c r="C127" t="str">
        <f>IF(ISBLANK(Common!C$6),"",Common!C$6)</f>
        <v/>
      </c>
      <c r="D127" t="str">
        <f>IF(ISBLANK(Common!C$8),"",Common!C$8)</f>
        <v/>
      </c>
      <c r="E127" t="str">
        <f>IF(ISBLANK(Common!I$2),"",Common!I$2)</f>
        <v/>
      </c>
      <c r="F127" t="str">
        <f>IF(ISBLANK(Common!I$4),"",Common!I$4)</f>
        <v/>
      </c>
      <c r="G127" t="str">
        <f>IF(ISBLANK(Common!I$6),"",Common!I$6)</f>
        <v/>
      </c>
      <c r="H127" t="str">
        <f>IF(ISBLANK(Common!I$8),"",Common!I$8)</f>
        <v/>
      </c>
      <c r="I127" t="str">
        <f>IF(ISBLANK(Common!K$8),"",Common!K$8)</f>
        <v/>
      </c>
      <c r="J127" s="27" t="s">
        <v>79</v>
      </c>
      <c r="K127">
        <f t="shared" si="12"/>
        <v>0</v>
      </c>
      <c r="L127" s="136">
        <f>Common!B62</f>
        <v>0</v>
      </c>
      <c r="M127" t="str">
        <f t="shared" ref="M127" si="19">M115</f>
        <v>Cadmium, Total</v>
      </c>
      <c r="N127" t="str">
        <f t="shared" ref="N127:N149" si="20">N115</f>
        <v>mg/L</v>
      </c>
      <c r="O127" t="str">
        <f>IF(ISBLANK(Common!C62),"",Common!C62)</f>
        <v/>
      </c>
    </row>
    <row r="128" spans="1:16">
      <c r="A128" t="str">
        <f>IF(ISBLANK(Common!C$2),"",Common!C$2)</f>
        <v/>
      </c>
      <c r="B128" t="str">
        <f>IF(ISBLANK(Common!C$4),"",Common!C$4)</f>
        <v/>
      </c>
      <c r="C128" t="str">
        <f>IF(ISBLANK(Common!C$6),"",Common!C$6)</f>
        <v/>
      </c>
      <c r="D128" t="str">
        <f>IF(ISBLANK(Common!C$8),"",Common!C$8)</f>
        <v/>
      </c>
      <c r="E128" t="str">
        <f>IF(ISBLANK(Common!I$2),"",Common!I$2)</f>
        <v/>
      </c>
      <c r="F128" t="str">
        <f>IF(ISBLANK(Common!I$4),"",Common!I$4)</f>
        <v/>
      </c>
      <c r="G128" t="str">
        <f>IF(ISBLANK(Common!I$6),"",Common!I$6)</f>
        <v/>
      </c>
      <c r="H128" t="str">
        <f>IF(ISBLANK(Common!I$8),"",Common!I$8)</f>
        <v/>
      </c>
      <c r="I128" t="str">
        <f>IF(ISBLANK(Common!K$8),"",Common!K$8)</f>
        <v/>
      </c>
      <c r="J128" s="27" t="s">
        <v>79</v>
      </c>
      <c r="K128">
        <f t="shared" si="12"/>
        <v>0</v>
      </c>
      <c r="L128" s="136">
        <f>Common!B63</f>
        <v>0</v>
      </c>
      <c r="M128" t="str">
        <f t="shared" ref="M128" si="21">M116</f>
        <v>Cadmium, Total</v>
      </c>
      <c r="N128" t="str">
        <f t="shared" si="20"/>
        <v>mg/L</v>
      </c>
      <c r="O128" t="str">
        <f>IF(ISBLANK(Common!C63),"",Common!C63)</f>
        <v/>
      </c>
    </row>
    <row r="129" spans="1:15">
      <c r="A129" t="str">
        <f>IF(ISBLANK(Common!C$2),"",Common!C$2)</f>
        <v/>
      </c>
      <c r="B129" t="str">
        <f>IF(ISBLANK(Common!C$4),"",Common!C$4)</f>
        <v/>
      </c>
      <c r="C129" t="str">
        <f>IF(ISBLANK(Common!C$6),"",Common!C$6)</f>
        <v/>
      </c>
      <c r="D129" t="str">
        <f>IF(ISBLANK(Common!C$8),"",Common!C$8)</f>
        <v/>
      </c>
      <c r="E129" t="str">
        <f>IF(ISBLANK(Common!I$2),"",Common!I$2)</f>
        <v/>
      </c>
      <c r="F129" t="str">
        <f>IF(ISBLANK(Common!I$4),"",Common!I$4)</f>
        <v/>
      </c>
      <c r="G129" t="str">
        <f>IF(ISBLANK(Common!I$6),"",Common!I$6)</f>
        <v/>
      </c>
      <c r="H129" t="str">
        <f>IF(ISBLANK(Common!I$8),"",Common!I$8)</f>
        <v/>
      </c>
      <c r="I129" t="str">
        <f>IF(ISBLANK(Common!K$8),"",Common!K$8)</f>
        <v/>
      </c>
      <c r="J129" s="27" t="s">
        <v>79</v>
      </c>
      <c r="K129">
        <f t="shared" si="12"/>
        <v>0</v>
      </c>
      <c r="L129" s="136">
        <f>Common!B64</f>
        <v>0</v>
      </c>
      <c r="M129" t="str">
        <f t="shared" ref="M129" si="22">M117</f>
        <v>Cadmium, Total</v>
      </c>
      <c r="N129" t="str">
        <f t="shared" si="20"/>
        <v>mg/L</v>
      </c>
      <c r="O129" t="str">
        <f>IF(ISBLANK(Common!C64),"",Common!C64)</f>
        <v/>
      </c>
    </row>
    <row r="130" spans="1:15">
      <c r="A130" t="str">
        <f>IF(ISBLANK(Common!C$2),"",Common!C$2)</f>
        <v/>
      </c>
      <c r="B130" t="str">
        <f>IF(ISBLANK(Common!C$4),"",Common!C$4)</f>
        <v/>
      </c>
      <c r="C130" t="str">
        <f>IF(ISBLANK(Common!C$6),"",Common!C$6)</f>
        <v/>
      </c>
      <c r="D130" t="str">
        <f>IF(ISBLANK(Common!C$8),"",Common!C$8)</f>
        <v/>
      </c>
      <c r="E130" t="str">
        <f>IF(ISBLANK(Common!I$2),"",Common!I$2)</f>
        <v/>
      </c>
      <c r="F130" t="str">
        <f>IF(ISBLANK(Common!I$4),"",Common!I$4)</f>
        <v/>
      </c>
      <c r="G130" t="str">
        <f>IF(ISBLANK(Common!I$6),"",Common!I$6)</f>
        <v/>
      </c>
      <c r="H130" t="str">
        <f>IF(ISBLANK(Common!I$8),"",Common!I$8)</f>
        <v/>
      </c>
      <c r="I130" t="str">
        <f>IF(ISBLANK(Common!K$8),"",Common!K$8)</f>
        <v/>
      </c>
      <c r="J130" s="27" t="s">
        <v>79</v>
      </c>
      <c r="K130">
        <f t="shared" si="12"/>
        <v>0</v>
      </c>
      <c r="L130" s="136">
        <f t="shared" ref="L130:L161" si="23">L126</f>
        <v>0</v>
      </c>
      <c r="M130" t="str">
        <f t="shared" ref="M130" si="24">M118</f>
        <v>Nickel, Total</v>
      </c>
      <c r="N130" t="str">
        <f t="shared" si="20"/>
        <v>mg/L</v>
      </c>
      <c r="O130" t="str">
        <f>IF(ISBLANK(Common!D61),"",Common!D61)</f>
        <v/>
      </c>
    </row>
    <row r="131" spans="1:15">
      <c r="A131" t="str">
        <f>IF(ISBLANK(Common!C$2),"",Common!C$2)</f>
        <v/>
      </c>
      <c r="B131" t="str">
        <f>IF(ISBLANK(Common!C$4),"",Common!C$4)</f>
        <v/>
      </c>
      <c r="C131" t="str">
        <f>IF(ISBLANK(Common!C$6),"",Common!C$6)</f>
        <v/>
      </c>
      <c r="D131" t="str">
        <f>IF(ISBLANK(Common!C$8),"",Common!C$8)</f>
        <v/>
      </c>
      <c r="E131" t="str">
        <f>IF(ISBLANK(Common!I$2),"",Common!I$2)</f>
        <v/>
      </c>
      <c r="F131" t="str">
        <f>IF(ISBLANK(Common!I$4),"",Common!I$4)</f>
        <v/>
      </c>
      <c r="G131" t="str">
        <f>IF(ISBLANK(Common!I$6),"",Common!I$6)</f>
        <v/>
      </c>
      <c r="H131" t="str">
        <f>IF(ISBLANK(Common!I$8),"",Common!I$8)</f>
        <v/>
      </c>
      <c r="I131" t="str">
        <f>IF(ISBLANK(Common!K$8),"",Common!K$8)</f>
        <v/>
      </c>
      <c r="J131" s="27" t="s">
        <v>79</v>
      </c>
      <c r="K131">
        <f t="shared" si="12"/>
        <v>0</v>
      </c>
      <c r="L131" s="136">
        <f t="shared" si="23"/>
        <v>0</v>
      </c>
      <c r="M131" t="str">
        <f t="shared" ref="M131" si="25">M119</f>
        <v>Nickel, Total</v>
      </c>
      <c r="N131" t="str">
        <f t="shared" si="20"/>
        <v>mg/L</v>
      </c>
      <c r="O131" t="str">
        <f>IF(ISBLANK(Common!D62),"",Common!D62)</f>
        <v/>
      </c>
    </row>
    <row r="132" spans="1:15">
      <c r="A132" t="str">
        <f>IF(ISBLANK(Common!C$2),"",Common!C$2)</f>
        <v/>
      </c>
      <c r="B132" t="str">
        <f>IF(ISBLANK(Common!C$4),"",Common!C$4)</f>
        <v/>
      </c>
      <c r="C132" t="str">
        <f>IF(ISBLANK(Common!C$6),"",Common!C$6)</f>
        <v/>
      </c>
      <c r="D132" t="str">
        <f>IF(ISBLANK(Common!C$8),"",Common!C$8)</f>
        <v/>
      </c>
      <c r="E132" t="str">
        <f>IF(ISBLANK(Common!I$2),"",Common!I$2)</f>
        <v/>
      </c>
      <c r="F132" t="str">
        <f>IF(ISBLANK(Common!I$4),"",Common!I$4)</f>
        <v/>
      </c>
      <c r="G132" t="str">
        <f>IF(ISBLANK(Common!I$6),"",Common!I$6)</f>
        <v/>
      </c>
      <c r="H132" t="str">
        <f>IF(ISBLANK(Common!I$8),"",Common!I$8)</f>
        <v/>
      </c>
      <c r="I132" t="str">
        <f>IF(ISBLANK(Common!K$8),"",Common!K$8)</f>
        <v/>
      </c>
      <c r="J132" s="27" t="s">
        <v>79</v>
      </c>
      <c r="K132">
        <f t="shared" si="12"/>
        <v>0</v>
      </c>
      <c r="L132" s="136">
        <f t="shared" si="23"/>
        <v>0</v>
      </c>
      <c r="M132" t="str">
        <f t="shared" ref="M132" si="26">M120</f>
        <v>Nickel, Total</v>
      </c>
      <c r="N132" t="str">
        <f t="shared" si="20"/>
        <v>mg/L</v>
      </c>
      <c r="O132" t="str">
        <f>IF(ISBLANK(Common!D63),"",Common!D63)</f>
        <v/>
      </c>
    </row>
    <row r="133" spans="1:15">
      <c r="A133" t="str">
        <f>IF(ISBLANK(Common!C$2),"",Common!C$2)</f>
        <v/>
      </c>
      <c r="B133" t="str">
        <f>IF(ISBLANK(Common!C$4),"",Common!C$4)</f>
        <v/>
      </c>
      <c r="C133" t="str">
        <f>IF(ISBLANK(Common!C$6),"",Common!C$6)</f>
        <v/>
      </c>
      <c r="D133" t="str">
        <f>IF(ISBLANK(Common!C$8),"",Common!C$8)</f>
        <v/>
      </c>
      <c r="E133" t="str">
        <f>IF(ISBLANK(Common!I$2),"",Common!I$2)</f>
        <v/>
      </c>
      <c r="F133" t="str">
        <f>IF(ISBLANK(Common!I$4),"",Common!I$4)</f>
        <v/>
      </c>
      <c r="G133" t="str">
        <f>IF(ISBLANK(Common!I$6),"",Common!I$6)</f>
        <v/>
      </c>
      <c r="H133" t="str">
        <f>IF(ISBLANK(Common!I$8),"",Common!I$8)</f>
        <v/>
      </c>
      <c r="I133" t="str">
        <f>IF(ISBLANK(Common!K$8),"",Common!K$8)</f>
        <v/>
      </c>
      <c r="J133" s="27" t="s">
        <v>79</v>
      </c>
      <c r="K133">
        <f t="shared" si="12"/>
        <v>0</v>
      </c>
      <c r="L133" s="136">
        <f t="shared" si="23"/>
        <v>0</v>
      </c>
      <c r="M133" t="str">
        <f t="shared" ref="M133" si="27">M121</f>
        <v>Nickel, Total</v>
      </c>
      <c r="N133" t="str">
        <f t="shared" si="20"/>
        <v>mg/L</v>
      </c>
      <c r="O133" t="str">
        <f>IF(ISBLANK(Common!D64),"",Common!D64)</f>
        <v/>
      </c>
    </row>
    <row r="134" spans="1:15">
      <c r="A134" t="str">
        <f>IF(ISBLANK(Common!C$2),"",Common!C$2)</f>
        <v/>
      </c>
      <c r="B134" t="str">
        <f>IF(ISBLANK(Common!C$4),"",Common!C$4)</f>
        <v/>
      </c>
      <c r="C134" t="str">
        <f>IF(ISBLANK(Common!C$6),"",Common!C$6)</f>
        <v/>
      </c>
      <c r="D134" t="str">
        <f>IF(ISBLANK(Common!C$8),"",Common!C$8)</f>
        <v/>
      </c>
      <c r="E134" t="str">
        <f>IF(ISBLANK(Common!I$2),"",Common!I$2)</f>
        <v/>
      </c>
      <c r="F134" t="str">
        <f>IF(ISBLANK(Common!I$4),"",Common!I$4)</f>
        <v/>
      </c>
      <c r="G134" t="str">
        <f>IF(ISBLANK(Common!I$6),"",Common!I$6)</f>
        <v/>
      </c>
      <c r="H134" t="str">
        <f>IF(ISBLANK(Common!I$8),"",Common!I$8)</f>
        <v/>
      </c>
      <c r="I134" t="str">
        <f>IF(ISBLANK(Common!K$8),"",Common!K$8)</f>
        <v/>
      </c>
      <c r="J134" s="27" t="s">
        <v>79</v>
      </c>
      <c r="K134">
        <f t="shared" si="12"/>
        <v>0</v>
      </c>
      <c r="L134" s="136">
        <f t="shared" si="23"/>
        <v>0</v>
      </c>
      <c r="M134" t="str">
        <f t="shared" ref="M134" si="28">M122</f>
        <v>Chromium, Total</v>
      </c>
      <c r="N134" t="str">
        <f t="shared" si="20"/>
        <v>mg/L</v>
      </c>
      <c r="O134" t="str">
        <f>IF(ISBLANK(Common!E61),"",Common!E61)</f>
        <v/>
      </c>
    </row>
    <row r="135" spans="1:15">
      <c r="A135" t="str">
        <f>IF(ISBLANK(Common!C$2),"",Common!C$2)</f>
        <v/>
      </c>
      <c r="B135" t="str">
        <f>IF(ISBLANK(Common!C$4),"",Common!C$4)</f>
        <v/>
      </c>
      <c r="C135" t="str">
        <f>IF(ISBLANK(Common!C$6),"",Common!C$6)</f>
        <v/>
      </c>
      <c r="D135" t="str">
        <f>IF(ISBLANK(Common!C$8),"",Common!C$8)</f>
        <v/>
      </c>
      <c r="E135" t="str">
        <f>IF(ISBLANK(Common!I$2),"",Common!I$2)</f>
        <v/>
      </c>
      <c r="F135" t="str">
        <f>IF(ISBLANK(Common!I$4),"",Common!I$4)</f>
        <v/>
      </c>
      <c r="G135" t="str">
        <f>IF(ISBLANK(Common!I$6),"",Common!I$6)</f>
        <v/>
      </c>
      <c r="H135" t="str">
        <f>IF(ISBLANK(Common!I$8),"",Common!I$8)</f>
        <v/>
      </c>
      <c r="I135" t="str">
        <f>IF(ISBLANK(Common!K$8),"",Common!K$8)</f>
        <v/>
      </c>
      <c r="J135" s="27" t="s">
        <v>79</v>
      </c>
      <c r="K135">
        <f t="shared" si="12"/>
        <v>0</v>
      </c>
      <c r="L135" s="136">
        <f t="shared" si="23"/>
        <v>0</v>
      </c>
      <c r="M135" t="str">
        <f t="shared" ref="M135" si="29">M123</f>
        <v>Chromium, Total</v>
      </c>
      <c r="N135" t="str">
        <f t="shared" si="20"/>
        <v>mg/L</v>
      </c>
      <c r="O135" t="str">
        <f>IF(ISBLANK(Common!E62),"",Common!E62)</f>
        <v/>
      </c>
    </row>
    <row r="136" spans="1:15">
      <c r="A136" t="str">
        <f>IF(ISBLANK(Common!C$2),"",Common!C$2)</f>
        <v/>
      </c>
      <c r="B136" t="str">
        <f>IF(ISBLANK(Common!C$4),"",Common!C$4)</f>
        <v/>
      </c>
      <c r="C136" t="str">
        <f>IF(ISBLANK(Common!C$6),"",Common!C$6)</f>
        <v/>
      </c>
      <c r="D136" t="str">
        <f>IF(ISBLANK(Common!C$8),"",Common!C$8)</f>
        <v/>
      </c>
      <c r="E136" t="str">
        <f>IF(ISBLANK(Common!I$2),"",Common!I$2)</f>
        <v/>
      </c>
      <c r="F136" t="str">
        <f>IF(ISBLANK(Common!I$4),"",Common!I$4)</f>
        <v/>
      </c>
      <c r="G136" t="str">
        <f>IF(ISBLANK(Common!I$6),"",Common!I$6)</f>
        <v/>
      </c>
      <c r="H136" t="str">
        <f>IF(ISBLANK(Common!I$8),"",Common!I$8)</f>
        <v/>
      </c>
      <c r="I136" t="str">
        <f>IF(ISBLANK(Common!K$8),"",Common!K$8)</f>
        <v/>
      </c>
      <c r="J136" s="27" t="s">
        <v>79</v>
      </c>
      <c r="K136">
        <f t="shared" si="12"/>
        <v>0</v>
      </c>
      <c r="L136" s="136">
        <f t="shared" si="23"/>
        <v>0</v>
      </c>
      <c r="M136" t="str">
        <f t="shared" ref="M136" si="30">M124</f>
        <v>Chromium, Total</v>
      </c>
      <c r="N136" t="str">
        <f t="shared" si="20"/>
        <v>mg/L</v>
      </c>
      <c r="O136" t="str">
        <f>IF(ISBLANK(Common!E63),"",Common!E63)</f>
        <v/>
      </c>
    </row>
    <row r="137" spans="1:15">
      <c r="A137" t="str">
        <f>IF(ISBLANK(Common!C$2),"",Common!C$2)</f>
        <v/>
      </c>
      <c r="B137" t="str">
        <f>IF(ISBLANK(Common!C$4),"",Common!C$4)</f>
        <v/>
      </c>
      <c r="C137" t="str">
        <f>IF(ISBLANK(Common!C$6),"",Common!C$6)</f>
        <v/>
      </c>
      <c r="D137" t="str">
        <f>IF(ISBLANK(Common!C$8),"",Common!C$8)</f>
        <v/>
      </c>
      <c r="E137" t="str">
        <f>IF(ISBLANK(Common!I$2),"",Common!I$2)</f>
        <v/>
      </c>
      <c r="F137" t="str">
        <f>IF(ISBLANK(Common!I$4),"",Common!I$4)</f>
        <v/>
      </c>
      <c r="G137" t="str">
        <f>IF(ISBLANK(Common!I$6),"",Common!I$6)</f>
        <v/>
      </c>
      <c r="H137" t="str">
        <f>IF(ISBLANK(Common!I$8),"",Common!I$8)</f>
        <v/>
      </c>
      <c r="I137" t="str">
        <f>IF(ISBLANK(Common!K$8),"",Common!K$8)</f>
        <v/>
      </c>
      <c r="J137" s="27" t="s">
        <v>79</v>
      </c>
      <c r="K137">
        <f t="shared" si="12"/>
        <v>0</v>
      </c>
      <c r="L137" s="136">
        <f t="shared" si="23"/>
        <v>0</v>
      </c>
      <c r="M137" t="str">
        <f t="shared" ref="M137" si="31">M125</f>
        <v>Chromium, Total</v>
      </c>
      <c r="N137" t="str">
        <f t="shared" si="20"/>
        <v>mg/L</v>
      </c>
      <c r="O137" t="str">
        <f>IF(ISBLANK(Common!E64),"",Common!E64)</f>
        <v/>
      </c>
    </row>
    <row r="138" spans="1:15">
      <c r="A138" t="str">
        <f>IF(ISBLANK(Common!C$2),"",Common!C$2)</f>
        <v/>
      </c>
      <c r="B138" t="str">
        <f>IF(ISBLANK(Common!C$4),"",Common!C$4)</f>
        <v/>
      </c>
      <c r="C138" t="str">
        <f>IF(ISBLANK(Common!C$6),"",Common!C$6)</f>
        <v/>
      </c>
      <c r="D138" t="str">
        <f>IF(ISBLANK(Common!C$8),"",Common!C$8)</f>
        <v/>
      </c>
      <c r="E138" t="str">
        <f>IF(ISBLANK(Common!I$2),"",Common!I$2)</f>
        <v/>
      </c>
      <c r="F138" t="str">
        <f>IF(ISBLANK(Common!I$4),"",Common!I$4)</f>
        <v/>
      </c>
      <c r="G138" t="str">
        <f>IF(ISBLANK(Common!I$6),"",Common!I$6)</f>
        <v/>
      </c>
      <c r="H138" t="str">
        <f>IF(ISBLANK(Common!I$8),"",Common!I$8)</f>
        <v/>
      </c>
      <c r="I138" t="str">
        <f>IF(ISBLANK(Common!K$8),"",Common!K$8)</f>
        <v/>
      </c>
      <c r="J138" s="27" t="s">
        <v>79</v>
      </c>
      <c r="K138">
        <f>Common!A65</f>
        <v>0</v>
      </c>
      <c r="L138" s="136">
        <f>Common!B65</f>
        <v>0</v>
      </c>
      <c r="M138" t="str">
        <f t="shared" ref="M138" si="32">M126</f>
        <v>Cadmium, Total</v>
      </c>
      <c r="N138" t="str">
        <f t="shared" si="20"/>
        <v>mg/L</v>
      </c>
      <c r="O138" t="str">
        <f>IF(ISBLANK(Common!C65),"",Common!C65)</f>
        <v/>
      </c>
    </row>
    <row r="139" spans="1:15">
      <c r="A139" t="str">
        <f>IF(ISBLANK(Common!C$2),"",Common!C$2)</f>
        <v/>
      </c>
      <c r="B139" t="str">
        <f>IF(ISBLANK(Common!C$4),"",Common!C$4)</f>
        <v/>
      </c>
      <c r="C139" t="str">
        <f>IF(ISBLANK(Common!C$6),"",Common!C$6)</f>
        <v/>
      </c>
      <c r="D139" t="str">
        <f>IF(ISBLANK(Common!C$8),"",Common!C$8)</f>
        <v/>
      </c>
      <c r="E139" t="str">
        <f>IF(ISBLANK(Common!I$2),"",Common!I$2)</f>
        <v/>
      </c>
      <c r="F139" t="str">
        <f>IF(ISBLANK(Common!I$4),"",Common!I$4)</f>
        <v/>
      </c>
      <c r="G139" t="str">
        <f>IF(ISBLANK(Common!I$6),"",Common!I$6)</f>
        <v/>
      </c>
      <c r="H139" t="str">
        <f>IF(ISBLANK(Common!I$8),"",Common!I$8)</f>
        <v/>
      </c>
      <c r="I139" t="str">
        <f>IF(ISBLANK(Common!K$8),"",Common!K$8)</f>
        <v/>
      </c>
      <c r="J139" s="27" t="s">
        <v>79</v>
      </c>
      <c r="K139">
        <f t="shared" si="12"/>
        <v>0</v>
      </c>
      <c r="L139" s="136">
        <f>Common!B66</f>
        <v>0</v>
      </c>
      <c r="M139" t="str">
        <f t="shared" ref="M139" si="33">M127</f>
        <v>Cadmium, Total</v>
      </c>
      <c r="N139" t="str">
        <f t="shared" si="20"/>
        <v>mg/L</v>
      </c>
      <c r="O139" t="str">
        <f>IF(ISBLANK(Common!C66),"",Common!C66)</f>
        <v/>
      </c>
    </row>
    <row r="140" spans="1:15">
      <c r="A140" t="str">
        <f>IF(ISBLANK(Common!C$2),"",Common!C$2)</f>
        <v/>
      </c>
      <c r="B140" t="str">
        <f>IF(ISBLANK(Common!C$4),"",Common!C$4)</f>
        <v/>
      </c>
      <c r="C140" t="str">
        <f>IF(ISBLANK(Common!C$6),"",Common!C$6)</f>
        <v/>
      </c>
      <c r="D140" t="str">
        <f>IF(ISBLANK(Common!C$8),"",Common!C$8)</f>
        <v/>
      </c>
      <c r="E140" t="str">
        <f>IF(ISBLANK(Common!I$2),"",Common!I$2)</f>
        <v/>
      </c>
      <c r="F140" t="str">
        <f>IF(ISBLANK(Common!I$4),"",Common!I$4)</f>
        <v/>
      </c>
      <c r="G140" t="str">
        <f>IF(ISBLANK(Common!I$6),"",Common!I$6)</f>
        <v/>
      </c>
      <c r="H140" t="str">
        <f>IF(ISBLANK(Common!I$8),"",Common!I$8)</f>
        <v/>
      </c>
      <c r="I140" t="str">
        <f>IF(ISBLANK(Common!K$8),"",Common!K$8)</f>
        <v/>
      </c>
      <c r="J140" s="27" t="s">
        <v>79</v>
      </c>
      <c r="K140">
        <f t="shared" ref="K140:K161" si="34">K139</f>
        <v>0</v>
      </c>
      <c r="L140" s="136">
        <f>Common!B67</f>
        <v>0</v>
      </c>
      <c r="M140" t="str">
        <f t="shared" ref="M140" si="35">M128</f>
        <v>Cadmium, Total</v>
      </c>
      <c r="N140" t="str">
        <f t="shared" si="20"/>
        <v>mg/L</v>
      </c>
      <c r="O140" t="str">
        <f>IF(ISBLANK(Common!C67),"",Common!C67)</f>
        <v/>
      </c>
    </row>
    <row r="141" spans="1:15">
      <c r="A141" t="str">
        <f>IF(ISBLANK(Common!C$2),"",Common!C$2)</f>
        <v/>
      </c>
      <c r="B141" t="str">
        <f>IF(ISBLANK(Common!C$4),"",Common!C$4)</f>
        <v/>
      </c>
      <c r="C141" t="str">
        <f>IF(ISBLANK(Common!C$6),"",Common!C$6)</f>
        <v/>
      </c>
      <c r="D141" t="str">
        <f>IF(ISBLANK(Common!C$8),"",Common!C$8)</f>
        <v/>
      </c>
      <c r="E141" t="str">
        <f>IF(ISBLANK(Common!I$2),"",Common!I$2)</f>
        <v/>
      </c>
      <c r="F141" t="str">
        <f>IF(ISBLANK(Common!I$4),"",Common!I$4)</f>
        <v/>
      </c>
      <c r="G141" t="str">
        <f>IF(ISBLANK(Common!I$6),"",Common!I$6)</f>
        <v/>
      </c>
      <c r="H141" t="str">
        <f>IF(ISBLANK(Common!I$8),"",Common!I$8)</f>
        <v/>
      </c>
      <c r="I141" t="str">
        <f>IF(ISBLANK(Common!K$8),"",Common!K$8)</f>
        <v/>
      </c>
      <c r="J141" s="27" t="s">
        <v>79</v>
      </c>
      <c r="K141">
        <f t="shared" si="34"/>
        <v>0</v>
      </c>
      <c r="L141" s="136">
        <f>Common!B68</f>
        <v>0</v>
      </c>
      <c r="M141" t="str">
        <f t="shared" ref="M141" si="36">M129</f>
        <v>Cadmium, Total</v>
      </c>
      <c r="N141" t="str">
        <f t="shared" si="20"/>
        <v>mg/L</v>
      </c>
      <c r="O141" t="str">
        <f>IF(ISBLANK(Common!C68),"",Common!C68)</f>
        <v/>
      </c>
    </row>
    <row r="142" spans="1:15">
      <c r="A142" t="str">
        <f>IF(ISBLANK(Common!C$2),"",Common!C$2)</f>
        <v/>
      </c>
      <c r="B142" t="str">
        <f>IF(ISBLANK(Common!C$4),"",Common!C$4)</f>
        <v/>
      </c>
      <c r="C142" t="str">
        <f>IF(ISBLANK(Common!C$6),"",Common!C$6)</f>
        <v/>
      </c>
      <c r="D142" t="str">
        <f>IF(ISBLANK(Common!C$8),"",Common!C$8)</f>
        <v/>
      </c>
      <c r="E142" t="str">
        <f>IF(ISBLANK(Common!I$2),"",Common!I$2)</f>
        <v/>
      </c>
      <c r="F142" t="str">
        <f>IF(ISBLANK(Common!I$4),"",Common!I$4)</f>
        <v/>
      </c>
      <c r="G142" t="str">
        <f>IF(ISBLANK(Common!I$6),"",Common!I$6)</f>
        <v/>
      </c>
      <c r="H142" t="str">
        <f>IF(ISBLANK(Common!I$8),"",Common!I$8)</f>
        <v/>
      </c>
      <c r="I142" t="str">
        <f>IF(ISBLANK(Common!K$8),"",Common!K$8)</f>
        <v/>
      </c>
      <c r="J142" s="27" t="s">
        <v>79</v>
      </c>
      <c r="K142">
        <f t="shared" si="34"/>
        <v>0</v>
      </c>
      <c r="L142" s="136">
        <f t="shared" si="23"/>
        <v>0</v>
      </c>
      <c r="M142" t="str">
        <f t="shared" ref="M142" si="37">M130</f>
        <v>Nickel, Total</v>
      </c>
      <c r="N142" t="str">
        <f t="shared" si="20"/>
        <v>mg/L</v>
      </c>
      <c r="O142" t="str">
        <f>IF(ISBLANK(Common!D65),"",Common!D65)</f>
        <v/>
      </c>
    </row>
    <row r="143" spans="1:15">
      <c r="A143" t="str">
        <f>IF(ISBLANK(Common!C$2),"",Common!C$2)</f>
        <v/>
      </c>
      <c r="B143" t="str">
        <f>IF(ISBLANK(Common!C$4),"",Common!C$4)</f>
        <v/>
      </c>
      <c r="C143" t="str">
        <f>IF(ISBLANK(Common!C$6),"",Common!C$6)</f>
        <v/>
      </c>
      <c r="D143" t="str">
        <f>IF(ISBLANK(Common!C$8),"",Common!C$8)</f>
        <v/>
      </c>
      <c r="E143" t="str">
        <f>IF(ISBLANK(Common!I$2),"",Common!I$2)</f>
        <v/>
      </c>
      <c r="F143" t="str">
        <f>IF(ISBLANK(Common!I$4),"",Common!I$4)</f>
        <v/>
      </c>
      <c r="G143" t="str">
        <f>IF(ISBLANK(Common!I$6),"",Common!I$6)</f>
        <v/>
      </c>
      <c r="H143" t="str">
        <f>IF(ISBLANK(Common!I$8),"",Common!I$8)</f>
        <v/>
      </c>
      <c r="I143" t="str">
        <f>IF(ISBLANK(Common!K$8),"",Common!K$8)</f>
        <v/>
      </c>
      <c r="J143" s="27" t="s">
        <v>79</v>
      </c>
      <c r="K143">
        <f t="shared" si="34"/>
        <v>0</v>
      </c>
      <c r="L143" s="136">
        <f t="shared" si="23"/>
        <v>0</v>
      </c>
      <c r="M143" t="str">
        <f t="shared" ref="M143" si="38">M131</f>
        <v>Nickel, Total</v>
      </c>
      <c r="N143" t="str">
        <f t="shared" si="20"/>
        <v>mg/L</v>
      </c>
      <c r="O143" t="str">
        <f>IF(ISBLANK(Common!D66),"",Common!D66)</f>
        <v/>
      </c>
    </row>
    <row r="144" spans="1:15">
      <c r="A144" t="str">
        <f>IF(ISBLANK(Common!C$2),"",Common!C$2)</f>
        <v/>
      </c>
      <c r="B144" t="str">
        <f>IF(ISBLANK(Common!C$4),"",Common!C$4)</f>
        <v/>
      </c>
      <c r="C144" t="str">
        <f>IF(ISBLANK(Common!C$6),"",Common!C$6)</f>
        <v/>
      </c>
      <c r="D144" t="str">
        <f>IF(ISBLANK(Common!C$8),"",Common!C$8)</f>
        <v/>
      </c>
      <c r="E144" t="str">
        <f>IF(ISBLANK(Common!I$2),"",Common!I$2)</f>
        <v/>
      </c>
      <c r="F144" t="str">
        <f>IF(ISBLANK(Common!I$4),"",Common!I$4)</f>
        <v/>
      </c>
      <c r="G144" t="str">
        <f>IF(ISBLANK(Common!I$6),"",Common!I$6)</f>
        <v/>
      </c>
      <c r="H144" t="str">
        <f>IF(ISBLANK(Common!I$8),"",Common!I$8)</f>
        <v/>
      </c>
      <c r="I144" t="str">
        <f>IF(ISBLANK(Common!K$8),"",Common!K$8)</f>
        <v/>
      </c>
      <c r="J144" s="27" t="s">
        <v>79</v>
      </c>
      <c r="K144">
        <f t="shared" si="34"/>
        <v>0</v>
      </c>
      <c r="L144" s="136">
        <f t="shared" si="23"/>
        <v>0</v>
      </c>
      <c r="M144" t="str">
        <f t="shared" ref="M144" si="39">M132</f>
        <v>Nickel, Total</v>
      </c>
      <c r="N144" t="str">
        <f t="shared" si="20"/>
        <v>mg/L</v>
      </c>
      <c r="O144" t="str">
        <f>IF(ISBLANK(Common!D67),"",Common!D67)</f>
        <v/>
      </c>
    </row>
    <row r="145" spans="1:15">
      <c r="A145" t="str">
        <f>IF(ISBLANK(Common!C$2),"",Common!C$2)</f>
        <v/>
      </c>
      <c r="B145" t="str">
        <f>IF(ISBLANK(Common!C$4),"",Common!C$4)</f>
        <v/>
      </c>
      <c r="C145" t="str">
        <f>IF(ISBLANK(Common!C$6),"",Common!C$6)</f>
        <v/>
      </c>
      <c r="D145" t="str">
        <f>IF(ISBLANK(Common!C$8),"",Common!C$8)</f>
        <v/>
      </c>
      <c r="E145" t="str">
        <f>IF(ISBLANK(Common!I$2),"",Common!I$2)</f>
        <v/>
      </c>
      <c r="F145" t="str">
        <f>IF(ISBLANK(Common!I$4),"",Common!I$4)</f>
        <v/>
      </c>
      <c r="G145" t="str">
        <f>IF(ISBLANK(Common!I$6),"",Common!I$6)</f>
        <v/>
      </c>
      <c r="H145" t="str">
        <f>IF(ISBLANK(Common!I$8),"",Common!I$8)</f>
        <v/>
      </c>
      <c r="I145" t="str">
        <f>IF(ISBLANK(Common!K$8),"",Common!K$8)</f>
        <v/>
      </c>
      <c r="J145" s="27" t="s">
        <v>79</v>
      </c>
      <c r="K145">
        <f t="shared" si="34"/>
        <v>0</v>
      </c>
      <c r="L145" s="136">
        <f t="shared" si="23"/>
        <v>0</v>
      </c>
      <c r="M145" t="str">
        <f t="shared" ref="M145" si="40">M133</f>
        <v>Nickel, Total</v>
      </c>
      <c r="N145" t="str">
        <f t="shared" si="20"/>
        <v>mg/L</v>
      </c>
      <c r="O145" t="str">
        <f>IF(ISBLANK(Common!D68),"",Common!D68)</f>
        <v/>
      </c>
    </row>
    <row r="146" spans="1:15">
      <c r="A146" t="str">
        <f>IF(ISBLANK(Common!C$2),"",Common!C$2)</f>
        <v/>
      </c>
      <c r="B146" t="str">
        <f>IF(ISBLANK(Common!C$4),"",Common!C$4)</f>
        <v/>
      </c>
      <c r="C146" t="str">
        <f>IF(ISBLANK(Common!C$6),"",Common!C$6)</f>
        <v/>
      </c>
      <c r="D146" t="str">
        <f>IF(ISBLANK(Common!C$8),"",Common!C$8)</f>
        <v/>
      </c>
      <c r="E146" t="str">
        <f>IF(ISBLANK(Common!I$2),"",Common!I$2)</f>
        <v/>
      </c>
      <c r="F146" t="str">
        <f>IF(ISBLANK(Common!I$4),"",Common!I$4)</f>
        <v/>
      </c>
      <c r="G146" t="str">
        <f>IF(ISBLANK(Common!I$6),"",Common!I$6)</f>
        <v/>
      </c>
      <c r="H146" t="str">
        <f>IF(ISBLANK(Common!I$8),"",Common!I$8)</f>
        <v/>
      </c>
      <c r="I146" t="str">
        <f>IF(ISBLANK(Common!K$8),"",Common!K$8)</f>
        <v/>
      </c>
      <c r="J146" s="27" t="s">
        <v>79</v>
      </c>
      <c r="K146">
        <f t="shared" si="34"/>
        <v>0</v>
      </c>
      <c r="L146" s="136">
        <f t="shared" si="23"/>
        <v>0</v>
      </c>
      <c r="M146" t="str">
        <f t="shared" ref="M146" si="41">M134</f>
        <v>Chromium, Total</v>
      </c>
      <c r="N146" t="str">
        <f t="shared" si="20"/>
        <v>mg/L</v>
      </c>
      <c r="O146" t="str">
        <f>IF(ISBLANK(Common!E65),"",Common!E65)</f>
        <v/>
      </c>
    </row>
    <row r="147" spans="1:15">
      <c r="A147" t="str">
        <f>IF(ISBLANK(Common!C$2),"",Common!C$2)</f>
        <v/>
      </c>
      <c r="B147" t="str">
        <f>IF(ISBLANK(Common!C$4),"",Common!C$4)</f>
        <v/>
      </c>
      <c r="C147" t="str">
        <f>IF(ISBLANK(Common!C$6),"",Common!C$6)</f>
        <v/>
      </c>
      <c r="D147" t="str">
        <f>IF(ISBLANK(Common!C$8),"",Common!C$8)</f>
        <v/>
      </c>
      <c r="E147" t="str">
        <f>IF(ISBLANK(Common!I$2),"",Common!I$2)</f>
        <v/>
      </c>
      <c r="F147" t="str">
        <f>IF(ISBLANK(Common!I$4),"",Common!I$4)</f>
        <v/>
      </c>
      <c r="G147" t="str">
        <f>IF(ISBLANK(Common!I$6),"",Common!I$6)</f>
        <v/>
      </c>
      <c r="H147" t="str">
        <f>IF(ISBLANK(Common!I$8),"",Common!I$8)</f>
        <v/>
      </c>
      <c r="I147" t="str">
        <f>IF(ISBLANK(Common!K$8),"",Common!K$8)</f>
        <v/>
      </c>
      <c r="J147" s="27" t="s">
        <v>79</v>
      </c>
      <c r="K147">
        <f t="shared" si="34"/>
        <v>0</v>
      </c>
      <c r="L147" s="136">
        <f t="shared" si="23"/>
        <v>0</v>
      </c>
      <c r="M147" t="str">
        <f t="shared" ref="M147" si="42">M135</f>
        <v>Chromium, Total</v>
      </c>
      <c r="N147" t="str">
        <f t="shared" si="20"/>
        <v>mg/L</v>
      </c>
      <c r="O147" t="str">
        <f>IF(ISBLANK(Common!E66),"",Common!E66)</f>
        <v/>
      </c>
    </row>
    <row r="148" spans="1:15">
      <c r="A148" t="str">
        <f>IF(ISBLANK(Common!C$2),"",Common!C$2)</f>
        <v/>
      </c>
      <c r="B148" t="str">
        <f>IF(ISBLANK(Common!C$4),"",Common!C$4)</f>
        <v/>
      </c>
      <c r="C148" t="str">
        <f>IF(ISBLANK(Common!C$6),"",Common!C$6)</f>
        <v/>
      </c>
      <c r="D148" t="str">
        <f>IF(ISBLANK(Common!C$8),"",Common!C$8)</f>
        <v/>
      </c>
      <c r="E148" t="str">
        <f>IF(ISBLANK(Common!I$2),"",Common!I$2)</f>
        <v/>
      </c>
      <c r="F148" t="str">
        <f>IF(ISBLANK(Common!I$4),"",Common!I$4)</f>
        <v/>
      </c>
      <c r="G148" t="str">
        <f>IF(ISBLANK(Common!I$6),"",Common!I$6)</f>
        <v/>
      </c>
      <c r="H148" t="str">
        <f>IF(ISBLANK(Common!I$8),"",Common!I$8)</f>
        <v/>
      </c>
      <c r="I148" t="str">
        <f>IF(ISBLANK(Common!K$8),"",Common!K$8)</f>
        <v/>
      </c>
      <c r="J148" s="27" t="s">
        <v>79</v>
      </c>
      <c r="K148">
        <f t="shared" si="34"/>
        <v>0</v>
      </c>
      <c r="L148" s="136">
        <f t="shared" si="23"/>
        <v>0</v>
      </c>
      <c r="M148" t="str">
        <f t="shared" ref="M148" si="43">M136</f>
        <v>Chromium, Total</v>
      </c>
      <c r="N148" t="str">
        <f t="shared" si="20"/>
        <v>mg/L</v>
      </c>
      <c r="O148" t="str">
        <f>IF(ISBLANK(Common!E67),"",Common!E67)</f>
        <v/>
      </c>
    </row>
    <row r="149" spans="1:15">
      <c r="A149" t="str">
        <f>IF(ISBLANK(Common!C$2),"",Common!C$2)</f>
        <v/>
      </c>
      <c r="B149" t="str">
        <f>IF(ISBLANK(Common!C$4),"",Common!C$4)</f>
        <v/>
      </c>
      <c r="C149" t="str">
        <f>IF(ISBLANK(Common!C$6),"",Common!C$6)</f>
        <v/>
      </c>
      <c r="D149" t="str">
        <f>IF(ISBLANK(Common!C$8),"",Common!C$8)</f>
        <v/>
      </c>
      <c r="E149" t="str">
        <f>IF(ISBLANK(Common!I$2),"",Common!I$2)</f>
        <v/>
      </c>
      <c r="F149" t="str">
        <f>IF(ISBLANK(Common!I$4),"",Common!I$4)</f>
        <v/>
      </c>
      <c r="G149" t="str">
        <f>IF(ISBLANK(Common!I$6),"",Common!I$6)</f>
        <v/>
      </c>
      <c r="H149" t="str">
        <f>IF(ISBLANK(Common!I$8),"",Common!I$8)</f>
        <v/>
      </c>
      <c r="I149" t="str">
        <f>IF(ISBLANK(Common!K$8),"",Common!K$8)</f>
        <v/>
      </c>
      <c r="J149" s="27" t="s">
        <v>79</v>
      </c>
      <c r="K149">
        <f t="shared" si="34"/>
        <v>0</v>
      </c>
      <c r="L149" s="136">
        <f t="shared" si="23"/>
        <v>0</v>
      </c>
      <c r="M149" t="str">
        <f t="shared" ref="M149" si="44">M137</f>
        <v>Chromium, Total</v>
      </c>
      <c r="N149" t="str">
        <f t="shared" si="20"/>
        <v>mg/L</v>
      </c>
      <c r="O149" t="str">
        <f>IF(ISBLANK(Common!E68),"",Common!E68)</f>
        <v/>
      </c>
    </row>
    <row r="150" spans="1:15">
      <c r="A150" t="str">
        <f>IF(ISBLANK(Common!C$2),"",Common!C$2)</f>
        <v/>
      </c>
      <c r="B150" t="str">
        <f>IF(ISBLANK(Common!C$4),"",Common!C$4)</f>
        <v/>
      </c>
      <c r="C150" t="str">
        <f>IF(ISBLANK(Common!C$6),"",Common!C$6)</f>
        <v/>
      </c>
      <c r="D150" t="str">
        <f>IF(ISBLANK(Common!C$8),"",Common!C$8)</f>
        <v/>
      </c>
      <c r="E150" t="str">
        <f>IF(ISBLANK(Common!I$2),"",Common!I$2)</f>
        <v/>
      </c>
      <c r="F150" t="str">
        <f>IF(ISBLANK(Common!I$4),"",Common!I$4)</f>
        <v/>
      </c>
      <c r="G150" t="str">
        <f>IF(ISBLANK(Common!I$6),"",Common!I$6)</f>
        <v/>
      </c>
      <c r="H150" t="str">
        <f>IF(ISBLANK(Common!I$8),"",Common!I$8)</f>
        <v/>
      </c>
      <c r="I150" t="str">
        <f>IF(ISBLANK(Common!K$8),"",Common!K$8)</f>
        <v/>
      </c>
      <c r="J150" s="27" t="s">
        <v>79</v>
      </c>
      <c r="K150">
        <f>Common!A69</f>
        <v>0</v>
      </c>
      <c r="L150" s="136">
        <f>Common!B69</f>
        <v>0</v>
      </c>
      <c r="M150" t="str">
        <f t="shared" ref="M150" si="45">M138</f>
        <v>Cadmium, Total</v>
      </c>
      <c r="N150" t="str">
        <f t="shared" ref="N150:N161" si="46">N138</f>
        <v>mg/L</v>
      </c>
      <c r="O150" t="str">
        <f>IF(ISBLANK(Common!C69),"",Common!C69)</f>
        <v/>
      </c>
    </row>
    <row r="151" spans="1:15">
      <c r="A151" t="str">
        <f>IF(ISBLANK(Common!C$2),"",Common!C$2)</f>
        <v/>
      </c>
      <c r="B151" t="str">
        <f>IF(ISBLANK(Common!C$4),"",Common!C$4)</f>
        <v/>
      </c>
      <c r="C151" t="str">
        <f>IF(ISBLANK(Common!C$6),"",Common!C$6)</f>
        <v/>
      </c>
      <c r="D151" t="str">
        <f>IF(ISBLANK(Common!C$8),"",Common!C$8)</f>
        <v/>
      </c>
      <c r="E151" t="str">
        <f>IF(ISBLANK(Common!I$2),"",Common!I$2)</f>
        <v/>
      </c>
      <c r="F151" t="str">
        <f>IF(ISBLANK(Common!I$4),"",Common!I$4)</f>
        <v/>
      </c>
      <c r="G151" t="str">
        <f>IF(ISBLANK(Common!I$6),"",Common!I$6)</f>
        <v/>
      </c>
      <c r="H151" t="str">
        <f>IF(ISBLANK(Common!I$8),"",Common!I$8)</f>
        <v/>
      </c>
      <c r="I151" t="str">
        <f>IF(ISBLANK(Common!K$8),"",Common!K$8)</f>
        <v/>
      </c>
      <c r="J151" s="27" t="s">
        <v>79</v>
      </c>
      <c r="K151">
        <f t="shared" si="34"/>
        <v>0</v>
      </c>
      <c r="L151" s="136">
        <f>Common!B70</f>
        <v>0</v>
      </c>
      <c r="M151" t="str">
        <f t="shared" ref="M151" si="47">M139</f>
        <v>Cadmium, Total</v>
      </c>
      <c r="N151" t="str">
        <f t="shared" si="46"/>
        <v>mg/L</v>
      </c>
      <c r="O151" t="str">
        <f>IF(ISBLANK(Common!C70),"",Common!C70)</f>
        <v/>
      </c>
    </row>
    <row r="152" spans="1:15">
      <c r="A152" t="str">
        <f>IF(ISBLANK(Common!C$2),"",Common!C$2)</f>
        <v/>
      </c>
      <c r="B152" t="str">
        <f>IF(ISBLANK(Common!C$4),"",Common!C$4)</f>
        <v/>
      </c>
      <c r="C152" t="str">
        <f>IF(ISBLANK(Common!C$6),"",Common!C$6)</f>
        <v/>
      </c>
      <c r="D152" t="str">
        <f>IF(ISBLANK(Common!C$8),"",Common!C$8)</f>
        <v/>
      </c>
      <c r="E152" t="str">
        <f>IF(ISBLANK(Common!I$2),"",Common!I$2)</f>
        <v/>
      </c>
      <c r="F152" t="str">
        <f>IF(ISBLANK(Common!I$4),"",Common!I$4)</f>
        <v/>
      </c>
      <c r="G152" t="str">
        <f>IF(ISBLANK(Common!I$6),"",Common!I$6)</f>
        <v/>
      </c>
      <c r="H152" t="str">
        <f>IF(ISBLANK(Common!I$8),"",Common!I$8)</f>
        <v/>
      </c>
      <c r="I152" t="str">
        <f>IF(ISBLANK(Common!K$8),"",Common!K$8)</f>
        <v/>
      </c>
      <c r="J152" s="27" t="s">
        <v>79</v>
      </c>
      <c r="K152">
        <f t="shared" si="34"/>
        <v>0</v>
      </c>
      <c r="L152" s="136">
        <f>Common!B71</f>
        <v>0</v>
      </c>
      <c r="M152" t="str">
        <f t="shared" ref="M152" si="48">M140</f>
        <v>Cadmium, Total</v>
      </c>
      <c r="N152" t="str">
        <f t="shared" si="46"/>
        <v>mg/L</v>
      </c>
      <c r="O152" t="str">
        <f>IF(ISBLANK(Common!C71),"",Common!C71)</f>
        <v/>
      </c>
    </row>
    <row r="153" spans="1:15">
      <c r="A153" t="str">
        <f>IF(ISBLANK(Common!C$2),"",Common!C$2)</f>
        <v/>
      </c>
      <c r="B153" t="str">
        <f>IF(ISBLANK(Common!C$4),"",Common!C$4)</f>
        <v/>
      </c>
      <c r="C153" t="str">
        <f>IF(ISBLANK(Common!C$6),"",Common!C$6)</f>
        <v/>
      </c>
      <c r="D153" t="str">
        <f>IF(ISBLANK(Common!C$8),"",Common!C$8)</f>
        <v/>
      </c>
      <c r="E153" t="str">
        <f>IF(ISBLANK(Common!I$2),"",Common!I$2)</f>
        <v/>
      </c>
      <c r="F153" t="str">
        <f>IF(ISBLANK(Common!I$4),"",Common!I$4)</f>
        <v/>
      </c>
      <c r="G153" t="str">
        <f>IF(ISBLANK(Common!I$6),"",Common!I$6)</f>
        <v/>
      </c>
      <c r="H153" t="str">
        <f>IF(ISBLANK(Common!I$8),"",Common!I$8)</f>
        <v/>
      </c>
      <c r="I153" t="str">
        <f>IF(ISBLANK(Common!K$8),"",Common!K$8)</f>
        <v/>
      </c>
      <c r="J153" s="27" t="s">
        <v>79</v>
      </c>
      <c r="K153">
        <f t="shared" si="34"/>
        <v>0</v>
      </c>
      <c r="L153" s="136">
        <f>Common!B72</f>
        <v>0</v>
      </c>
      <c r="M153" t="str">
        <f t="shared" ref="M153" si="49">M141</f>
        <v>Cadmium, Total</v>
      </c>
      <c r="N153" t="str">
        <f t="shared" si="46"/>
        <v>mg/L</v>
      </c>
      <c r="O153" t="str">
        <f>IF(ISBLANK(Common!C72),"",Common!C72)</f>
        <v/>
      </c>
    </row>
    <row r="154" spans="1:15">
      <c r="A154" t="str">
        <f>IF(ISBLANK(Common!C$2),"",Common!C$2)</f>
        <v/>
      </c>
      <c r="B154" t="str">
        <f>IF(ISBLANK(Common!C$4),"",Common!C$4)</f>
        <v/>
      </c>
      <c r="C154" t="str">
        <f>IF(ISBLANK(Common!C$6),"",Common!C$6)</f>
        <v/>
      </c>
      <c r="D154" t="str">
        <f>IF(ISBLANK(Common!C$8),"",Common!C$8)</f>
        <v/>
      </c>
      <c r="E154" t="str">
        <f>IF(ISBLANK(Common!I$2),"",Common!I$2)</f>
        <v/>
      </c>
      <c r="F154" t="str">
        <f>IF(ISBLANK(Common!I$4),"",Common!I$4)</f>
        <v/>
      </c>
      <c r="G154" t="str">
        <f>IF(ISBLANK(Common!I$6),"",Common!I$6)</f>
        <v/>
      </c>
      <c r="H154" t="str">
        <f>IF(ISBLANK(Common!I$8),"",Common!I$8)</f>
        <v/>
      </c>
      <c r="I154" t="str">
        <f>IF(ISBLANK(Common!K$8),"",Common!K$8)</f>
        <v/>
      </c>
      <c r="J154" s="27" t="s">
        <v>79</v>
      </c>
      <c r="K154">
        <f t="shared" si="34"/>
        <v>0</v>
      </c>
      <c r="L154" s="136">
        <f t="shared" si="23"/>
        <v>0</v>
      </c>
      <c r="M154" t="str">
        <f t="shared" ref="M154" si="50">M142</f>
        <v>Nickel, Total</v>
      </c>
      <c r="N154" t="str">
        <f t="shared" si="46"/>
        <v>mg/L</v>
      </c>
      <c r="O154" t="str">
        <f>IF(ISBLANK(Common!D69),"",Common!D69)</f>
        <v/>
      </c>
    </row>
    <row r="155" spans="1:15">
      <c r="A155" t="str">
        <f>IF(ISBLANK(Common!C$2),"",Common!C$2)</f>
        <v/>
      </c>
      <c r="B155" t="str">
        <f>IF(ISBLANK(Common!C$4),"",Common!C$4)</f>
        <v/>
      </c>
      <c r="C155" t="str">
        <f>IF(ISBLANK(Common!C$6),"",Common!C$6)</f>
        <v/>
      </c>
      <c r="D155" t="str">
        <f>IF(ISBLANK(Common!C$8),"",Common!C$8)</f>
        <v/>
      </c>
      <c r="E155" t="str">
        <f>IF(ISBLANK(Common!I$2),"",Common!I$2)</f>
        <v/>
      </c>
      <c r="F155" t="str">
        <f>IF(ISBLANK(Common!I$4),"",Common!I$4)</f>
        <v/>
      </c>
      <c r="G155" t="str">
        <f>IF(ISBLANK(Common!I$6),"",Common!I$6)</f>
        <v/>
      </c>
      <c r="H155" t="str">
        <f>IF(ISBLANK(Common!I$8),"",Common!I$8)</f>
        <v/>
      </c>
      <c r="I155" t="str">
        <f>IF(ISBLANK(Common!K$8),"",Common!K$8)</f>
        <v/>
      </c>
      <c r="J155" s="27" t="s">
        <v>79</v>
      </c>
      <c r="K155">
        <f t="shared" si="34"/>
        <v>0</v>
      </c>
      <c r="L155" s="136">
        <f t="shared" si="23"/>
        <v>0</v>
      </c>
      <c r="M155" t="str">
        <f t="shared" ref="M155" si="51">M143</f>
        <v>Nickel, Total</v>
      </c>
      <c r="N155" t="str">
        <f t="shared" si="46"/>
        <v>mg/L</v>
      </c>
      <c r="O155" t="str">
        <f>IF(ISBLANK(Common!D70),"",Common!D70)</f>
        <v/>
      </c>
    </row>
    <row r="156" spans="1:15">
      <c r="A156" t="str">
        <f>IF(ISBLANK(Common!C$2),"",Common!C$2)</f>
        <v/>
      </c>
      <c r="B156" t="str">
        <f>IF(ISBLANK(Common!C$4),"",Common!C$4)</f>
        <v/>
      </c>
      <c r="C156" t="str">
        <f>IF(ISBLANK(Common!C$6),"",Common!C$6)</f>
        <v/>
      </c>
      <c r="D156" t="str">
        <f>IF(ISBLANK(Common!C$8),"",Common!C$8)</f>
        <v/>
      </c>
      <c r="E156" t="str">
        <f>IF(ISBLANK(Common!I$2),"",Common!I$2)</f>
        <v/>
      </c>
      <c r="F156" t="str">
        <f>IF(ISBLANK(Common!I$4),"",Common!I$4)</f>
        <v/>
      </c>
      <c r="G156" t="str">
        <f>IF(ISBLANK(Common!I$6),"",Common!I$6)</f>
        <v/>
      </c>
      <c r="H156" t="str">
        <f>IF(ISBLANK(Common!I$8),"",Common!I$8)</f>
        <v/>
      </c>
      <c r="I156" t="str">
        <f>IF(ISBLANK(Common!K$8),"",Common!K$8)</f>
        <v/>
      </c>
      <c r="J156" s="27" t="s">
        <v>79</v>
      </c>
      <c r="K156">
        <f t="shared" si="34"/>
        <v>0</v>
      </c>
      <c r="L156" s="136">
        <f t="shared" si="23"/>
        <v>0</v>
      </c>
      <c r="M156" t="str">
        <f t="shared" ref="M156" si="52">M144</f>
        <v>Nickel, Total</v>
      </c>
      <c r="N156" t="str">
        <f t="shared" si="46"/>
        <v>mg/L</v>
      </c>
      <c r="O156" t="str">
        <f>IF(ISBLANK(Common!D71),"",Common!D71)</f>
        <v/>
      </c>
    </row>
    <row r="157" spans="1:15">
      <c r="A157" t="str">
        <f>IF(ISBLANK(Common!C$2),"",Common!C$2)</f>
        <v/>
      </c>
      <c r="B157" t="str">
        <f>IF(ISBLANK(Common!C$4),"",Common!C$4)</f>
        <v/>
      </c>
      <c r="C157" t="str">
        <f>IF(ISBLANK(Common!C$6),"",Common!C$6)</f>
        <v/>
      </c>
      <c r="D157" t="str">
        <f>IF(ISBLANK(Common!C$8),"",Common!C$8)</f>
        <v/>
      </c>
      <c r="E157" t="str">
        <f>IF(ISBLANK(Common!I$2),"",Common!I$2)</f>
        <v/>
      </c>
      <c r="F157" t="str">
        <f>IF(ISBLANK(Common!I$4),"",Common!I$4)</f>
        <v/>
      </c>
      <c r="G157" t="str">
        <f>IF(ISBLANK(Common!I$6),"",Common!I$6)</f>
        <v/>
      </c>
      <c r="H157" t="str">
        <f>IF(ISBLANK(Common!I$8),"",Common!I$8)</f>
        <v/>
      </c>
      <c r="I157" t="str">
        <f>IF(ISBLANK(Common!K$8),"",Common!K$8)</f>
        <v/>
      </c>
      <c r="J157" s="27" t="s">
        <v>79</v>
      </c>
      <c r="K157">
        <f t="shared" si="34"/>
        <v>0</v>
      </c>
      <c r="L157" s="136">
        <f t="shared" si="23"/>
        <v>0</v>
      </c>
      <c r="M157" t="str">
        <f t="shared" ref="M157" si="53">M145</f>
        <v>Nickel, Total</v>
      </c>
      <c r="N157" t="str">
        <f t="shared" si="46"/>
        <v>mg/L</v>
      </c>
      <c r="O157" t="str">
        <f>IF(ISBLANK(Common!D72),"",Common!D72)</f>
        <v/>
      </c>
    </row>
    <row r="158" spans="1:15">
      <c r="A158" t="str">
        <f>IF(ISBLANK(Common!C$2),"",Common!C$2)</f>
        <v/>
      </c>
      <c r="B158" t="str">
        <f>IF(ISBLANK(Common!C$4),"",Common!C$4)</f>
        <v/>
      </c>
      <c r="C158" t="str">
        <f>IF(ISBLANK(Common!C$6),"",Common!C$6)</f>
        <v/>
      </c>
      <c r="D158" t="str">
        <f>IF(ISBLANK(Common!C$8),"",Common!C$8)</f>
        <v/>
      </c>
      <c r="E158" t="str">
        <f>IF(ISBLANK(Common!I$2),"",Common!I$2)</f>
        <v/>
      </c>
      <c r="F158" t="str">
        <f>IF(ISBLANK(Common!I$4),"",Common!I$4)</f>
        <v/>
      </c>
      <c r="G158" t="str">
        <f>IF(ISBLANK(Common!I$6),"",Common!I$6)</f>
        <v/>
      </c>
      <c r="H158" t="str">
        <f>IF(ISBLANK(Common!I$8),"",Common!I$8)</f>
        <v/>
      </c>
      <c r="I158" t="str">
        <f>IF(ISBLANK(Common!K$8),"",Common!K$8)</f>
        <v/>
      </c>
      <c r="J158" s="27" t="s">
        <v>79</v>
      </c>
      <c r="K158">
        <f t="shared" si="34"/>
        <v>0</v>
      </c>
      <c r="L158" s="136">
        <f t="shared" si="23"/>
        <v>0</v>
      </c>
      <c r="M158" t="str">
        <f t="shared" ref="M158" si="54">M146</f>
        <v>Chromium, Total</v>
      </c>
      <c r="N158" t="str">
        <f t="shared" si="46"/>
        <v>mg/L</v>
      </c>
      <c r="O158" t="str">
        <f>IF(ISBLANK(Common!E69),"",Common!E69)</f>
        <v/>
      </c>
    </row>
    <row r="159" spans="1:15">
      <c r="A159" t="str">
        <f>IF(ISBLANK(Common!C$2),"",Common!C$2)</f>
        <v/>
      </c>
      <c r="B159" t="str">
        <f>IF(ISBLANK(Common!C$4),"",Common!C$4)</f>
        <v/>
      </c>
      <c r="C159" t="str">
        <f>IF(ISBLANK(Common!C$6),"",Common!C$6)</f>
        <v/>
      </c>
      <c r="D159" t="str">
        <f>IF(ISBLANK(Common!C$8),"",Common!C$8)</f>
        <v/>
      </c>
      <c r="E159" t="str">
        <f>IF(ISBLANK(Common!I$2),"",Common!I$2)</f>
        <v/>
      </c>
      <c r="F159" t="str">
        <f>IF(ISBLANK(Common!I$4),"",Common!I$4)</f>
        <v/>
      </c>
      <c r="G159" t="str">
        <f>IF(ISBLANK(Common!I$6),"",Common!I$6)</f>
        <v/>
      </c>
      <c r="H159" t="str">
        <f>IF(ISBLANK(Common!I$8),"",Common!I$8)</f>
        <v/>
      </c>
      <c r="I159" t="str">
        <f>IF(ISBLANK(Common!K$8),"",Common!K$8)</f>
        <v/>
      </c>
      <c r="J159" s="27" t="s">
        <v>79</v>
      </c>
      <c r="K159">
        <f t="shared" si="34"/>
        <v>0</v>
      </c>
      <c r="L159" s="136">
        <f t="shared" si="23"/>
        <v>0</v>
      </c>
      <c r="M159" t="str">
        <f t="shared" ref="M159" si="55">M147</f>
        <v>Chromium, Total</v>
      </c>
      <c r="N159" t="str">
        <f t="shared" si="46"/>
        <v>mg/L</v>
      </c>
      <c r="O159" t="str">
        <f>IF(ISBLANK(Common!E70),"",Common!E70)</f>
        <v/>
      </c>
    </row>
    <row r="160" spans="1:15">
      <c r="A160" t="str">
        <f>IF(ISBLANK(Common!C$2),"",Common!C$2)</f>
        <v/>
      </c>
      <c r="B160" t="str">
        <f>IF(ISBLANK(Common!C$4),"",Common!C$4)</f>
        <v/>
      </c>
      <c r="C160" t="str">
        <f>IF(ISBLANK(Common!C$6),"",Common!C$6)</f>
        <v/>
      </c>
      <c r="D160" t="str">
        <f>IF(ISBLANK(Common!C$8),"",Common!C$8)</f>
        <v/>
      </c>
      <c r="E160" t="str">
        <f>IF(ISBLANK(Common!I$2),"",Common!I$2)</f>
        <v/>
      </c>
      <c r="F160" t="str">
        <f>IF(ISBLANK(Common!I$4),"",Common!I$4)</f>
        <v/>
      </c>
      <c r="G160" t="str">
        <f>IF(ISBLANK(Common!I$6),"",Common!I$6)</f>
        <v/>
      </c>
      <c r="H160" t="str">
        <f>IF(ISBLANK(Common!I$8),"",Common!I$8)</f>
        <v/>
      </c>
      <c r="I160" t="str">
        <f>IF(ISBLANK(Common!K$8),"",Common!K$8)</f>
        <v/>
      </c>
      <c r="J160" s="27" t="s">
        <v>79</v>
      </c>
      <c r="K160">
        <f t="shared" si="34"/>
        <v>0</v>
      </c>
      <c r="L160" s="136">
        <f t="shared" si="23"/>
        <v>0</v>
      </c>
      <c r="M160" t="str">
        <f t="shared" ref="M160" si="56">M148</f>
        <v>Chromium, Total</v>
      </c>
      <c r="N160" t="str">
        <f t="shared" si="46"/>
        <v>mg/L</v>
      </c>
      <c r="O160" t="str">
        <f>IF(ISBLANK(Common!E71),"",Common!E71)</f>
        <v/>
      </c>
    </row>
    <row r="161" spans="1:16">
      <c r="A161" t="str">
        <f>IF(ISBLANK(Common!C$2),"",Common!C$2)</f>
        <v/>
      </c>
      <c r="B161" t="str">
        <f>IF(ISBLANK(Common!C$4),"",Common!C$4)</f>
        <v/>
      </c>
      <c r="C161" t="str">
        <f>IF(ISBLANK(Common!C$6),"",Common!C$6)</f>
        <v/>
      </c>
      <c r="D161" t="str">
        <f>IF(ISBLANK(Common!C$8),"",Common!C$8)</f>
        <v/>
      </c>
      <c r="E161" t="str">
        <f>IF(ISBLANK(Common!I$2),"",Common!I$2)</f>
        <v/>
      </c>
      <c r="F161" t="str">
        <f>IF(ISBLANK(Common!I$4),"",Common!I$4)</f>
        <v/>
      </c>
      <c r="G161" t="str">
        <f>IF(ISBLANK(Common!I$6),"",Common!I$6)</f>
        <v/>
      </c>
      <c r="H161" t="str">
        <f>IF(ISBLANK(Common!I$8),"",Common!I$8)</f>
        <v/>
      </c>
      <c r="I161" t="str">
        <f>IF(ISBLANK(Common!K$8),"",Common!K$8)</f>
        <v/>
      </c>
      <c r="J161" s="27" t="s">
        <v>79</v>
      </c>
      <c r="K161">
        <f t="shared" si="34"/>
        <v>0</v>
      </c>
      <c r="L161" s="136">
        <f t="shared" si="23"/>
        <v>0</v>
      </c>
      <c r="M161" t="str">
        <f t="shared" ref="M161" si="57">M149</f>
        <v>Chromium, Total</v>
      </c>
      <c r="N161" t="str">
        <f t="shared" si="46"/>
        <v>mg/L</v>
      </c>
      <c r="O161" t="str">
        <f>IF(ISBLANK(Common!E72),"",Common!E72)</f>
        <v/>
      </c>
    </row>
    <row r="162" spans="1:16">
      <c r="A162" t="str">
        <f>IF(ISBLANK(Common!C$2),"",Common!C$2)</f>
        <v/>
      </c>
      <c r="B162" t="str">
        <f>IF(ISBLANK(Common!C$4),"",Common!C$4)</f>
        <v/>
      </c>
      <c r="C162" t="str">
        <f>IF(ISBLANK(Common!C$6),"",Common!C$6)</f>
        <v/>
      </c>
      <c r="D162" t="str">
        <f>IF(ISBLANK(Common!C$8),"",Common!C$8)</f>
        <v/>
      </c>
      <c r="E162" t="str">
        <f>IF(ISBLANK(Common!I$2),"",Common!I$2)</f>
        <v/>
      </c>
      <c r="F162" t="str">
        <f>IF(ISBLANK(Common!I$4),"",Common!I$4)</f>
        <v/>
      </c>
      <c r="G162" t="str">
        <f>IF(ISBLANK(Common!I$6),"",Common!I$6)</f>
        <v/>
      </c>
      <c r="H162" t="str">
        <f>IF(ISBLANK(Common!I$8),"",Common!I$8)</f>
        <v/>
      </c>
      <c r="I162" t="str">
        <f>IF(ISBLANK(Common!K$8),"",Common!K$8)</f>
        <v/>
      </c>
      <c r="J162" s="27" t="s">
        <v>79</v>
      </c>
      <c r="K162">
        <f>K125</f>
        <v>0</v>
      </c>
      <c r="L162" s="136">
        <f>L122</f>
        <v>0</v>
      </c>
      <c r="M162" t="str">
        <f>Common!G54</f>
        <v>Mercury, Total</v>
      </c>
      <c r="N162" t="str">
        <f>Common!G55</f>
        <v>mg/L</v>
      </c>
      <c r="O162" t="str">
        <f>IF(ISBLANK(Common!G57),"",Common!G57)</f>
        <v/>
      </c>
      <c r="P162">
        <f>Common!G$73</f>
        <v>2.3999999999999998E-3</v>
      </c>
    </row>
    <row r="163" spans="1:16">
      <c r="A163" t="str">
        <f>IF(ISBLANK(Common!C$2),"",Common!C$2)</f>
        <v/>
      </c>
      <c r="B163" t="str">
        <f>IF(ISBLANK(Common!C$4),"",Common!C$4)</f>
        <v/>
      </c>
      <c r="C163" t="str">
        <f>IF(ISBLANK(Common!C$6),"",Common!C$6)</f>
        <v/>
      </c>
      <c r="D163" t="str">
        <f>IF(ISBLANK(Common!C$8),"",Common!C$8)</f>
        <v/>
      </c>
      <c r="E163" t="str">
        <f>IF(ISBLANK(Common!I$2),"",Common!I$2)</f>
        <v/>
      </c>
      <c r="F163" t="str">
        <f>IF(ISBLANK(Common!I$4),"",Common!I$4)</f>
        <v/>
      </c>
      <c r="G163" t="str">
        <f>IF(ISBLANK(Common!I$6),"",Common!I$6)</f>
        <v/>
      </c>
      <c r="H163" t="str">
        <f>IF(ISBLANK(Common!I$8),"",Common!I$8)</f>
        <v/>
      </c>
      <c r="I163" t="str">
        <f>IF(ISBLANK(Common!K$8),"",Common!K$8)</f>
        <v/>
      </c>
      <c r="J163" s="27" t="s">
        <v>79</v>
      </c>
      <c r="K163">
        <f t="shared" ref="K163:K169" si="58">K162</f>
        <v>0</v>
      </c>
      <c r="L163" s="136">
        <f>L123</f>
        <v>0</v>
      </c>
      <c r="M163" t="str">
        <f t="shared" ref="M163:M165" si="59">M162</f>
        <v>Mercury, Total</v>
      </c>
      <c r="N163" t="str">
        <f t="shared" ref="N163:N165" si="60">N162</f>
        <v>mg/L</v>
      </c>
      <c r="O163" t="str">
        <f>IF(ISBLANK(Common!G58),"",Common!G58)</f>
        <v/>
      </c>
      <c r="P163">
        <f>Common!G$73</f>
        <v>2.3999999999999998E-3</v>
      </c>
    </row>
    <row r="164" spans="1:16">
      <c r="A164" t="str">
        <f>IF(ISBLANK(Common!C$2),"",Common!C$2)</f>
        <v/>
      </c>
      <c r="B164" t="str">
        <f>IF(ISBLANK(Common!C$4),"",Common!C$4)</f>
        <v/>
      </c>
      <c r="C164" t="str">
        <f>IF(ISBLANK(Common!C$6),"",Common!C$6)</f>
        <v/>
      </c>
      <c r="D164" t="str">
        <f>IF(ISBLANK(Common!C$8),"",Common!C$8)</f>
        <v/>
      </c>
      <c r="E164" t="str">
        <f>IF(ISBLANK(Common!I$2),"",Common!I$2)</f>
        <v/>
      </c>
      <c r="F164" t="str">
        <f>IF(ISBLANK(Common!I$4),"",Common!I$4)</f>
        <v/>
      </c>
      <c r="G164" t="str">
        <f>IF(ISBLANK(Common!I$6),"",Common!I$6)</f>
        <v/>
      </c>
      <c r="H164" t="str">
        <f>IF(ISBLANK(Common!I$8),"",Common!I$8)</f>
        <v/>
      </c>
      <c r="I164" t="str">
        <f>IF(ISBLANK(Common!K$8),"",Common!K$8)</f>
        <v/>
      </c>
      <c r="J164" s="27" t="s">
        <v>79</v>
      </c>
      <c r="K164">
        <f t="shared" si="58"/>
        <v>0</v>
      </c>
      <c r="L164" s="136">
        <f>L124</f>
        <v>0</v>
      </c>
      <c r="M164" t="str">
        <f t="shared" si="59"/>
        <v>Mercury, Total</v>
      </c>
      <c r="N164" t="str">
        <f t="shared" si="60"/>
        <v>mg/L</v>
      </c>
      <c r="O164" t="str">
        <f>IF(ISBLANK(Common!G59),"",Common!G59)</f>
        <v/>
      </c>
      <c r="P164">
        <f>Common!G$73</f>
        <v>2.3999999999999998E-3</v>
      </c>
    </row>
    <row r="165" spans="1:16">
      <c r="A165" t="str">
        <f>IF(ISBLANK(Common!C$2),"",Common!C$2)</f>
        <v/>
      </c>
      <c r="B165" t="str">
        <f>IF(ISBLANK(Common!C$4),"",Common!C$4)</f>
        <v/>
      </c>
      <c r="C165" t="str">
        <f>IF(ISBLANK(Common!C$6),"",Common!C$6)</f>
        <v/>
      </c>
      <c r="D165" t="str">
        <f>IF(ISBLANK(Common!C$8),"",Common!C$8)</f>
        <v/>
      </c>
      <c r="E165" t="str">
        <f>IF(ISBLANK(Common!I$2),"",Common!I$2)</f>
        <v/>
      </c>
      <c r="F165" t="str">
        <f>IF(ISBLANK(Common!I$4),"",Common!I$4)</f>
        <v/>
      </c>
      <c r="G165" t="str">
        <f>IF(ISBLANK(Common!I$6),"",Common!I$6)</f>
        <v/>
      </c>
      <c r="H165" t="str">
        <f>IF(ISBLANK(Common!I$8),"",Common!I$8)</f>
        <v/>
      </c>
      <c r="I165" t="str">
        <f>IF(ISBLANK(Common!K$8),"",Common!K$8)</f>
        <v/>
      </c>
      <c r="J165" s="27" t="s">
        <v>79</v>
      </c>
      <c r="K165">
        <f t="shared" si="58"/>
        <v>0</v>
      </c>
      <c r="L165" s="136">
        <f>L125</f>
        <v>0</v>
      </c>
      <c r="M165" t="str">
        <f t="shared" si="59"/>
        <v>Mercury, Total</v>
      </c>
      <c r="N165" t="str">
        <f t="shared" si="60"/>
        <v>mg/L</v>
      </c>
      <c r="O165" t="str">
        <f>IF(ISBLANK(Common!G60),"",Common!G60)</f>
        <v/>
      </c>
      <c r="P165">
        <f>Common!G$73</f>
        <v>2.3999999999999998E-3</v>
      </c>
    </row>
    <row r="166" spans="1:16">
      <c r="A166" t="str">
        <f>IF(ISBLANK(Common!C$2),"",Common!C$2)</f>
        <v/>
      </c>
      <c r="B166" t="str">
        <f>IF(ISBLANK(Common!C$4),"",Common!C$4)</f>
        <v/>
      </c>
      <c r="C166" t="str">
        <f>IF(ISBLANK(Common!C$6),"",Common!C$6)</f>
        <v/>
      </c>
      <c r="D166" t="str">
        <f>IF(ISBLANK(Common!C$8),"",Common!C$8)</f>
        <v/>
      </c>
      <c r="E166" t="str">
        <f>IF(ISBLANK(Common!I$2),"",Common!I$2)</f>
        <v/>
      </c>
      <c r="F166" t="str">
        <f>IF(ISBLANK(Common!I$4),"",Common!I$4)</f>
        <v/>
      </c>
      <c r="G166" t="str">
        <f>IF(ISBLANK(Common!I$6),"",Common!I$6)</f>
        <v/>
      </c>
      <c r="H166" t="str">
        <f>IF(ISBLANK(Common!I$8),"",Common!I$8)</f>
        <v/>
      </c>
      <c r="I166" t="str">
        <f>IF(ISBLANK(Common!K$8),"",Common!K$8)</f>
        <v/>
      </c>
      <c r="J166" s="27" t="s">
        <v>79</v>
      </c>
      <c r="K166">
        <f t="shared" si="58"/>
        <v>0</v>
      </c>
      <c r="L166" s="136">
        <f>L162</f>
        <v>0</v>
      </c>
      <c r="M166" t="str">
        <f>Common!I54</f>
        <v>Total PCBs *</v>
      </c>
      <c r="N166" t="str">
        <f>Common!I55</f>
        <v>mg/L</v>
      </c>
      <c r="O166" t="str">
        <f>IF(ISBLANK(Common!I57),"",Common!I57)</f>
        <v/>
      </c>
      <c r="P166">
        <f>Common!I$73</f>
        <v>2E-3</v>
      </c>
    </row>
    <row r="167" spans="1:16">
      <c r="A167" t="str">
        <f>IF(ISBLANK(Common!C$2),"",Common!C$2)</f>
        <v/>
      </c>
      <c r="B167" t="str">
        <f>IF(ISBLANK(Common!C$4),"",Common!C$4)</f>
        <v/>
      </c>
      <c r="C167" t="str">
        <f>IF(ISBLANK(Common!C$6),"",Common!C$6)</f>
        <v/>
      </c>
      <c r="D167" t="str">
        <f>IF(ISBLANK(Common!C$8),"",Common!C$8)</f>
        <v/>
      </c>
      <c r="E167" t="str">
        <f>IF(ISBLANK(Common!I$2),"",Common!I$2)</f>
        <v/>
      </c>
      <c r="F167" t="str">
        <f>IF(ISBLANK(Common!I$4),"",Common!I$4)</f>
        <v/>
      </c>
      <c r="G167" t="str">
        <f>IF(ISBLANK(Common!I$6),"",Common!I$6)</f>
        <v/>
      </c>
      <c r="H167" t="str">
        <f>IF(ISBLANK(Common!I$8),"",Common!I$8)</f>
        <v/>
      </c>
      <c r="I167" t="str">
        <f>IF(ISBLANK(Common!K$8),"",Common!K$8)</f>
        <v/>
      </c>
      <c r="J167" s="27" t="s">
        <v>79</v>
      </c>
      <c r="K167">
        <f t="shared" si="58"/>
        <v>0</v>
      </c>
      <c r="L167" s="136">
        <f>L163</f>
        <v>0</v>
      </c>
      <c r="M167" t="str">
        <f t="shared" ref="M167:M169" si="61">M166</f>
        <v>Total PCBs *</v>
      </c>
      <c r="N167" t="str">
        <f t="shared" ref="N167:N169" si="62">N166</f>
        <v>mg/L</v>
      </c>
      <c r="O167" t="str">
        <f>IF(ISBLANK(Common!I58),"",Common!I58)</f>
        <v/>
      </c>
      <c r="P167">
        <f>Common!I$73</f>
        <v>2E-3</v>
      </c>
    </row>
    <row r="168" spans="1:16">
      <c r="A168" t="str">
        <f>IF(ISBLANK(Common!C$2),"",Common!C$2)</f>
        <v/>
      </c>
      <c r="B168" t="str">
        <f>IF(ISBLANK(Common!C$4),"",Common!C$4)</f>
        <v/>
      </c>
      <c r="C168" t="str">
        <f>IF(ISBLANK(Common!C$6),"",Common!C$6)</f>
        <v/>
      </c>
      <c r="D168" t="str">
        <f>IF(ISBLANK(Common!C$8),"",Common!C$8)</f>
        <v/>
      </c>
      <c r="E168" t="str">
        <f>IF(ISBLANK(Common!I$2),"",Common!I$2)</f>
        <v/>
      </c>
      <c r="F168" t="str">
        <f>IF(ISBLANK(Common!I$4),"",Common!I$4)</f>
        <v/>
      </c>
      <c r="G168" t="str">
        <f>IF(ISBLANK(Common!I$6),"",Common!I$6)</f>
        <v/>
      </c>
      <c r="H168" t="str">
        <f>IF(ISBLANK(Common!I$8),"",Common!I$8)</f>
        <v/>
      </c>
      <c r="I168" t="str">
        <f>IF(ISBLANK(Common!K$8),"",Common!K$8)</f>
        <v/>
      </c>
      <c r="J168" s="27" t="s">
        <v>79</v>
      </c>
      <c r="K168">
        <f t="shared" si="58"/>
        <v>0</v>
      </c>
      <c r="L168" s="136">
        <f>L164</f>
        <v>0</v>
      </c>
      <c r="M168" t="str">
        <f t="shared" si="61"/>
        <v>Total PCBs *</v>
      </c>
      <c r="N168" t="str">
        <f t="shared" si="62"/>
        <v>mg/L</v>
      </c>
      <c r="O168" t="str">
        <f>IF(ISBLANK(Common!I59),"",Common!I59)</f>
        <v/>
      </c>
      <c r="P168">
        <f>Common!I$73</f>
        <v>2E-3</v>
      </c>
    </row>
    <row r="169" spans="1:16">
      <c r="A169" t="str">
        <f>IF(ISBLANK(Common!C$2),"",Common!C$2)</f>
        <v/>
      </c>
      <c r="B169" t="str">
        <f>IF(ISBLANK(Common!C$4),"",Common!C$4)</f>
        <v/>
      </c>
      <c r="C169" t="str">
        <f>IF(ISBLANK(Common!C$6),"",Common!C$6)</f>
        <v/>
      </c>
      <c r="D169" t="str">
        <f>IF(ISBLANK(Common!C$8),"",Common!C$8)</f>
        <v/>
      </c>
      <c r="E169" t="str">
        <f>IF(ISBLANK(Common!I$2),"",Common!I$2)</f>
        <v/>
      </c>
      <c r="F169" t="str">
        <f>IF(ISBLANK(Common!I$4),"",Common!I$4)</f>
        <v/>
      </c>
      <c r="G169" t="str">
        <f>IF(ISBLANK(Common!I$6),"",Common!I$6)</f>
        <v/>
      </c>
      <c r="H169" t="str">
        <f>IF(ISBLANK(Common!I$8),"",Common!I$8)</f>
        <v/>
      </c>
      <c r="I169" t="str">
        <f>IF(ISBLANK(Common!K$8),"",Common!K$8)</f>
        <v/>
      </c>
      <c r="J169" s="27" t="s">
        <v>79</v>
      </c>
      <c r="K169">
        <f t="shared" si="58"/>
        <v>0</v>
      </c>
      <c r="L169" s="136">
        <f>L165</f>
        <v>0</v>
      </c>
      <c r="M169" t="str">
        <f t="shared" si="61"/>
        <v>Total PCBs *</v>
      </c>
      <c r="N169" t="str">
        <f t="shared" si="62"/>
        <v>mg/L</v>
      </c>
      <c r="O169" t="str">
        <f>IF(ISBLANK(Common!I60),"",Common!I60)</f>
        <v/>
      </c>
      <c r="P169">
        <f>Common!I$73</f>
        <v>2E-3</v>
      </c>
    </row>
    <row r="170" spans="1:16">
      <c r="A170" t="str">
        <f>IF(ISBLANK(Common!C$2),"",Common!C$2)</f>
        <v/>
      </c>
      <c r="B170" t="str">
        <f>IF(ISBLANK(Common!C$4),"",Common!C$4)</f>
        <v/>
      </c>
      <c r="C170" t="str">
        <f>IF(ISBLANK(Common!C$6),"",Common!C$6)</f>
        <v/>
      </c>
      <c r="D170" t="str">
        <f>IF(ISBLANK(Common!C$8),"",Common!C$8)</f>
        <v/>
      </c>
      <c r="E170" t="str">
        <f>IF(ISBLANK(Common!I$2),"",Common!I$2)</f>
        <v/>
      </c>
      <c r="F170" t="str">
        <f>IF(ISBLANK(Common!I$4),"",Common!I$4)</f>
        <v/>
      </c>
      <c r="G170" t="str">
        <f>IF(ISBLANK(Common!I$6),"",Common!I$6)</f>
        <v/>
      </c>
      <c r="H170" t="str">
        <f>IF(ISBLANK(Common!I$8),"",Common!I$8)</f>
        <v/>
      </c>
      <c r="I170" t="str">
        <f>IF(ISBLANK(Common!K$8),"",Common!K$8)</f>
        <v/>
      </c>
      <c r="J170" s="27" t="s">
        <v>79</v>
      </c>
      <c r="K170">
        <f>K137</f>
        <v>0</v>
      </c>
      <c r="L170" s="136">
        <f>L134</f>
        <v>0</v>
      </c>
      <c r="M170" t="str">
        <f t="shared" ref="M170:N193" si="63">M162</f>
        <v>Mercury, Total</v>
      </c>
      <c r="N170" t="str">
        <f t="shared" si="63"/>
        <v>mg/L</v>
      </c>
      <c r="O170" t="str">
        <f>IF(ISBLANK(Common!G61),"",Common!G61)</f>
        <v/>
      </c>
      <c r="P170">
        <f>Common!G$73</f>
        <v>2.3999999999999998E-3</v>
      </c>
    </row>
    <row r="171" spans="1:16">
      <c r="A171" t="str">
        <f>IF(ISBLANK(Common!C$2),"",Common!C$2)</f>
        <v/>
      </c>
      <c r="B171" t="str">
        <f>IF(ISBLANK(Common!C$4),"",Common!C$4)</f>
        <v/>
      </c>
      <c r="C171" t="str">
        <f>IF(ISBLANK(Common!C$6),"",Common!C$6)</f>
        <v/>
      </c>
      <c r="D171" t="str">
        <f>IF(ISBLANK(Common!C$8),"",Common!C$8)</f>
        <v/>
      </c>
      <c r="E171" t="str">
        <f>IF(ISBLANK(Common!I$2),"",Common!I$2)</f>
        <v/>
      </c>
      <c r="F171" t="str">
        <f>IF(ISBLANK(Common!I$4),"",Common!I$4)</f>
        <v/>
      </c>
      <c r="G171" t="str">
        <f>IF(ISBLANK(Common!I$6),"",Common!I$6)</f>
        <v/>
      </c>
      <c r="H171" t="str">
        <f>IF(ISBLANK(Common!I$8),"",Common!I$8)</f>
        <v/>
      </c>
      <c r="I171" t="str">
        <f>IF(ISBLANK(Common!K$8),"",Common!K$8)</f>
        <v/>
      </c>
      <c r="J171" s="27" t="s">
        <v>79</v>
      </c>
      <c r="K171">
        <f t="shared" ref="K171:K177" si="64">K170</f>
        <v>0</v>
      </c>
      <c r="L171" s="136">
        <f>L135</f>
        <v>0</v>
      </c>
      <c r="M171" t="str">
        <f t="shared" si="63"/>
        <v>Mercury, Total</v>
      </c>
      <c r="N171" t="str">
        <f t="shared" si="63"/>
        <v>mg/L</v>
      </c>
      <c r="O171" t="str">
        <f>IF(ISBLANK(Common!G62),"",Common!G62)</f>
        <v/>
      </c>
      <c r="P171">
        <f>Common!G$73</f>
        <v>2.3999999999999998E-3</v>
      </c>
    </row>
    <row r="172" spans="1:16">
      <c r="A172" t="str">
        <f>IF(ISBLANK(Common!C$2),"",Common!C$2)</f>
        <v/>
      </c>
      <c r="B172" t="str">
        <f>IF(ISBLANK(Common!C$4),"",Common!C$4)</f>
        <v/>
      </c>
      <c r="C172" t="str">
        <f>IF(ISBLANK(Common!C$6),"",Common!C$6)</f>
        <v/>
      </c>
      <c r="D172" t="str">
        <f>IF(ISBLANK(Common!C$8),"",Common!C$8)</f>
        <v/>
      </c>
      <c r="E172" t="str">
        <f>IF(ISBLANK(Common!I$2),"",Common!I$2)</f>
        <v/>
      </c>
      <c r="F172" t="str">
        <f>IF(ISBLANK(Common!I$4),"",Common!I$4)</f>
        <v/>
      </c>
      <c r="G172" t="str">
        <f>IF(ISBLANK(Common!I$6),"",Common!I$6)</f>
        <v/>
      </c>
      <c r="H172" t="str">
        <f>IF(ISBLANK(Common!I$8),"",Common!I$8)</f>
        <v/>
      </c>
      <c r="I172" t="str">
        <f>IF(ISBLANK(Common!K$8),"",Common!K$8)</f>
        <v/>
      </c>
      <c r="J172" s="27" t="s">
        <v>79</v>
      </c>
      <c r="K172">
        <f t="shared" si="64"/>
        <v>0</v>
      </c>
      <c r="L172" s="136">
        <f>L136</f>
        <v>0</v>
      </c>
      <c r="M172" t="str">
        <f t="shared" si="63"/>
        <v>Mercury, Total</v>
      </c>
      <c r="N172" t="str">
        <f t="shared" si="63"/>
        <v>mg/L</v>
      </c>
      <c r="O172" t="str">
        <f>IF(ISBLANK(Common!G63),"",Common!G63)</f>
        <v/>
      </c>
      <c r="P172">
        <f>Common!G$73</f>
        <v>2.3999999999999998E-3</v>
      </c>
    </row>
    <row r="173" spans="1:16">
      <c r="A173" t="str">
        <f>IF(ISBLANK(Common!C$2),"",Common!C$2)</f>
        <v/>
      </c>
      <c r="B173" t="str">
        <f>IF(ISBLANK(Common!C$4),"",Common!C$4)</f>
        <v/>
      </c>
      <c r="C173" t="str">
        <f>IF(ISBLANK(Common!C$6),"",Common!C$6)</f>
        <v/>
      </c>
      <c r="D173" t="str">
        <f>IF(ISBLANK(Common!C$8),"",Common!C$8)</f>
        <v/>
      </c>
      <c r="E173" t="str">
        <f>IF(ISBLANK(Common!I$2),"",Common!I$2)</f>
        <v/>
      </c>
      <c r="F173" t="str">
        <f>IF(ISBLANK(Common!I$4),"",Common!I$4)</f>
        <v/>
      </c>
      <c r="G173" t="str">
        <f>IF(ISBLANK(Common!I$6),"",Common!I$6)</f>
        <v/>
      </c>
      <c r="H173" t="str">
        <f>IF(ISBLANK(Common!I$8),"",Common!I$8)</f>
        <v/>
      </c>
      <c r="I173" t="str">
        <f>IF(ISBLANK(Common!K$8),"",Common!K$8)</f>
        <v/>
      </c>
      <c r="J173" s="27" t="s">
        <v>79</v>
      </c>
      <c r="K173">
        <f t="shared" si="64"/>
        <v>0</v>
      </c>
      <c r="L173" s="136">
        <f>L137</f>
        <v>0</v>
      </c>
      <c r="M173" t="str">
        <f t="shared" si="63"/>
        <v>Mercury, Total</v>
      </c>
      <c r="N173" t="str">
        <f t="shared" si="63"/>
        <v>mg/L</v>
      </c>
      <c r="O173" t="str">
        <f>IF(ISBLANK(Common!G64),"",Common!G64)</f>
        <v/>
      </c>
      <c r="P173">
        <f>Common!G$73</f>
        <v>2.3999999999999998E-3</v>
      </c>
    </row>
    <row r="174" spans="1:16">
      <c r="A174" t="str">
        <f>IF(ISBLANK(Common!C$2),"",Common!C$2)</f>
        <v/>
      </c>
      <c r="B174" t="str">
        <f>IF(ISBLANK(Common!C$4),"",Common!C$4)</f>
        <v/>
      </c>
      <c r="C174" t="str">
        <f>IF(ISBLANK(Common!C$6),"",Common!C$6)</f>
        <v/>
      </c>
      <c r="D174" t="str">
        <f>IF(ISBLANK(Common!C$8),"",Common!C$8)</f>
        <v/>
      </c>
      <c r="E174" t="str">
        <f>IF(ISBLANK(Common!I$2),"",Common!I$2)</f>
        <v/>
      </c>
      <c r="F174" t="str">
        <f>IF(ISBLANK(Common!I$4),"",Common!I$4)</f>
        <v/>
      </c>
      <c r="G174" t="str">
        <f>IF(ISBLANK(Common!I$6),"",Common!I$6)</f>
        <v/>
      </c>
      <c r="H174" t="str">
        <f>IF(ISBLANK(Common!I$8),"",Common!I$8)</f>
        <v/>
      </c>
      <c r="I174" t="str">
        <f>IF(ISBLANK(Common!K$8),"",Common!K$8)</f>
        <v/>
      </c>
      <c r="J174" s="27" t="s">
        <v>79</v>
      </c>
      <c r="K174">
        <f t="shared" si="64"/>
        <v>0</v>
      </c>
      <c r="L174" s="136">
        <f>L170</f>
        <v>0</v>
      </c>
      <c r="M174" t="str">
        <f t="shared" si="63"/>
        <v>Total PCBs *</v>
      </c>
      <c r="N174" t="str">
        <f t="shared" si="63"/>
        <v>mg/L</v>
      </c>
      <c r="O174" t="str">
        <f>IF(ISBLANK(Common!I61),"",Common!I61)</f>
        <v/>
      </c>
      <c r="P174">
        <f>Common!I$73</f>
        <v>2E-3</v>
      </c>
    </row>
    <row r="175" spans="1:16">
      <c r="A175" t="str">
        <f>IF(ISBLANK(Common!C$2),"",Common!C$2)</f>
        <v/>
      </c>
      <c r="B175" t="str">
        <f>IF(ISBLANK(Common!C$4),"",Common!C$4)</f>
        <v/>
      </c>
      <c r="C175" t="str">
        <f>IF(ISBLANK(Common!C$6),"",Common!C$6)</f>
        <v/>
      </c>
      <c r="D175" t="str">
        <f>IF(ISBLANK(Common!C$8),"",Common!C$8)</f>
        <v/>
      </c>
      <c r="E175" t="str">
        <f>IF(ISBLANK(Common!I$2),"",Common!I$2)</f>
        <v/>
      </c>
      <c r="F175" t="str">
        <f>IF(ISBLANK(Common!I$4),"",Common!I$4)</f>
        <v/>
      </c>
      <c r="G175" t="str">
        <f>IF(ISBLANK(Common!I$6),"",Common!I$6)</f>
        <v/>
      </c>
      <c r="H175" t="str">
        <f>IF(ISBLANK(Common!I$8),"",Common!I$8)</f>
        <v/>
      </c>
      <c r="I175" t="str">
        <f>IF(ISBLANK(Common!K$8),"",Common!K$8)</f>
        <v/>
      </c>
      <c r="J175" s="27" t="s">
        <v>79</v>
      </c>
      <c r="K175">
        <f t="shared" si="64"/>
        <v>0</v>
      </c>
      <c r="L175" s="136">
        <f>L171</f>
        <v>0</v>
      </c>
      <c r="M175" t="str">
        <f t="shared" si="63"/>
        <v>Total PCBs *</v>
      </c>
      <c r="N175" t="str">
        <f t="shared" si="63"/>
        <v>mg/L</v>
      </c>
      <c r="O175" t="str">
        <f>IF(ISBLANK(Common!I62),"",Common!I62)</f>
        <v/>
      </c>
      <c r="P175">
        <f>Common!I$73</f>
        <v>2E-3</v>
      </c>
    </row>
    <row r="176" spans="1:16">
      <c r="A176" t="str">
        <f>IF(ISBLANK(Common!C$2),"",Common!C$2)</f>
        <v/>
      </c>
      <c r="B176" t="str">
        <f>IF(ISBLANK(Common!C$4),"",Common!C$4)</f>
        <v/>
      </c>
      <c r="C176" t="str">
        <f>IF(ISBLANK(Common!C$6),"",Common!C$6)</f>
        <v/>
      </c>
      <c r="D176" t="str">
        <f>IF(ISBLANK(Common!C$8),"",Common!C$8)</f>
        <v/>
      </c>
      <c r="E176" t="str">
        <f>IF(ISBLANK(Common!I$2),"",Common!I$2)</f>
        <v/>
      </c>
      <c r="F176" t="str">
        <f>IF(ISBLANK(Common!I$4),"",Common!I$4)</f>
        <v/>
      </c>
      <c r="G176" t="str">
        <f>IF(ISBLANK(Common!I$6),"",Common!I$6)</f>
        <v/>
      </c>
      <c r="H176" t="str">
        <f>IF(ISBLANK(Common!I$8),"",Common!I$8)</f>
        <v/>
      </c>
      <c r="I176" t="str">
        <f>IF(ISBLANK(Common!K$8),"",Common!K$8)</f>
        <v/>
      </c>
      <c r="J176" s="27" t="s">
        <v>79</v>
      </c>
      <c r="K176">
        <f t="shared" si="64"/>
        <v>0</v>
      </c>
      <c r="L176" s="136">
        <f>L172</f>
        <v>0</v>
      </c>
      <c r="M176" t="str">
        <f t="shared" si="63"/>
        <v>Total PCBs *</v>
      </c>
      <c r="N176" t="str">
        <f t="shared" si="63"/>
        <v>mg/L</v>
      </c>
      <c r="O176" t="str">
        <f>IF(ISBLANK(Common!I63),"",Common!I63)</f>
        <v/>
      </c>
      <c r="P176">
        <f>Common!I$73</f>
        <v>2E-3</v>
      </c>
    </row>
    <row r="177" spans="1:16">
      <c r="A177" t="str">
        <f>IF(ISBLANK(Common!C$2),"",Common!C$2)</f>
        <v/>
      </c>
      <c r="B177" t="str">
        <f>IF(ISBLANK(Common!C$4),"",Common!C$4)</f>
        <v/>
      </c>
      <c r="C177" t="str">
        <f>IF(ISBLANK(Common!C$6),"",Common!C$6)</f>
        <v/>
      </c>
      <c r="D177" t="str">
        <f>IF(ISBLANK(Common!C$8),"",Common!C$8)</f>
        <v/>
      </c>
      <c r="E177" t="str">
        <f>IF(ISBLANK(Common!I$2),"",Common!I$2)</f>
        <v/>
      </c>
      <c r="F177" t="str">
        <f>IF(ISBLANK(Common!I$4),"",Common!I$4)</f>
        <v/>
      </c>
      <c r="G177" t="str">
        <f>IF(ISBLANK(Common!I$6),"",Common!I$6)</f>
        <v/>
      </c>
      <c r="H177" t="str">
        <f>IF(ISBLANK(Common!I$8),"",Common!I$8)</f>
        <v/>
      </c>
      <c r="I177" t="str">
        <f>IF(ISBLANK(Common!K$8),"",Common!K$8)</f>
        <v/>
      </c>
      <c r="J177" s="27" t="s">
        <v>79</v>
      </c>
      <c r="K177">
        <f t="shared" si="64"/>
        <v>0</v>
      </c>
      <c r="L177" s="136">
        <f>L173</f>
        <v>0</v>
      </c>
      <c r="M177" t="str">
        <f t="shared" si="63"/>
        <v>Total PCBs *</v>
      </c>
      <c r="N177" t="str">
        <f t="shared" si="63"/>
        <v>mg/L</v>
      </c>
      <c r="O177" t="str">
        <f>IF(ISBLANK(Common!I64),"",Common!I64)</f>
        <v/>
      </c>
      <c r="P177">
        <f>Common!I$73</f>
        <v>2E-3</v>
      </c>
    </row>
    <row r="178" spans="1:16">
      <c r="A178" t="str">
        <f>IF(ISBLANK(Common!C$2),"",Common!C$2)</f>
        <v/>
      </c>
      <c r="B178" t="str">
        <f>IF(ISBLANK(Common!C$4),"",Common!C$4)</f>
        <v/>
      </c>
      <c r="C178" t="str">
        <f>IF(ISBLANK(Common!C$6),"",Common!C$6)</f>
        <v/>
      </c>
      <c r="D178" t="str">
        <f>IF(ISBLANK(Common!C$8),"",Common!C$8)</f>
        <v/>
      </c>
      <c r="E178" t="str">
        <f>IF(ISBLANK(Common!I$2),"",Common!I$2)</f>
        <v/>
      </c>
      <c r="F178" t="str">
        <f>IF(ISBLANK(Common!I$4),"",Common!I$4)</f>
        <v/>
      </c>
      <c r="G178" t="str">
        <f>IF(ISBLANK(Common!I$6),"",Common!I$6)</f>
        <v/>
      </c>
      <c r="H178" t="str">
        <f>IF(ISBLANK(Common!I$8),"",Common!I$8)</f>
        <v/>
      </c>
      <c r="I178" t="str">
        <f>IF(ISBLANK(Common!K$8),"",Common!K$8)</f>
        <v/>
      </c>
      <c r="J178" s="27" t="s">
        <v>79</v>
      </c>
      <c r="K178">
        <f>K149</f>
        <v>0</v>
      </c>
      <c r="L178" s="136">
        <f>L146</f>
        <v>0</v>
      </c>
      <c r="M178" t="str">
        <f t="shared" si="63"/>
        <v>Mercury, Total</v>
      </c>
      <c r="N178" t="str">
        <f t="shared" si="63"/>
        <v>mg/L</v>
      </c>
      <c r="O178" t="str">
        <f>IF(ISBLANK(Common!G65),"",Common!G65)</f>
        <v/>
      </c>
      <c r="P178">
        <f>Common!G$73</f>
        <v>2.3999999999999998E-3</v>
      </c>
    </row>
    <row r="179" spans="1:16">
      <c r="A179" t="str">
        <f>IF(ISBLANK(Common!C$2),"",Common!C$2)</f>
        <v/>
      </c>
      <c r="B179" t="str">
        <f>IF(ISBLANK(Common!C$4),"",Common!C$4)</f>
        <v/>
      </c>
      <c r="C179" t="str">
        <f>IF(ISBLANK(Common!C$6),"",Common!C$6)</f>
        <v/>
      </c>
      <c r="D179" t="str">
        <f>IF(ISBLANK(Common!C$8),"",Common!C$8)</f>
        <v/>
      </c>
      <c r="E179" t="str">
        <f>IF(ISBLANK(Common!I$2),"",Common!I$2)</f>
        <v/>
      </c>
      <c r="F179" t="str">
        <f>IF(ISBLANK(Common!I$4),"",Common!I$4)</f>
        <v/>
      </c>
      <c r="G179" t="str">
        <f>IF(ISBLANK(Common!I$6),"",Common!I$6)</f>
        <v/>
      </c>
      <c r="H179" t="str">
        <f>IF(ISBLANK(Common!I$8),"",Common!I$8)</f>
        <v/>
      </c>
      <c r="I179" t="str">
        <f>IF(ISBLANK(Common!K$8),"",Common!K$8)</f>
        <v/>
      </c>
      <c r="J179" s="27" t="s">
        <v>79</v>
      </c>
      <c r="K179">
        <f t="shared" ref="K179:K185" si="65">K178</f>
        <v>0</v>
      </c>
      <c r="L179" s="136">
        <f>L147</f>
        <v>0</v>
      </c>
      <c r="M179" t="str">
        <f t="shared" si="63"/>
        <v>Mercury, Total</v>
      </c>
      <c r="N179" t="str">
        <f t="shared" si="63"/>
        <v>mg/L</v>
      </c>
      <c r="O179" t="str">
        <f>IF(ISBLANK(Common!G66),"",Common!G66)</f>
        <v/>
      </c>
      <c r="P179">
        <f>Common!G$73</f>
        <v>2.3999999999999998E-3</v>
      </c>
    </row>
    <row r="180" spans="1:16">
      <c r="A180" t="str">
        <f>IF(ISBLANK(Common!C$2),"",Common!C$2)</f>
        <v/>
      </c>
      <c r="B180" t="str">
        <f>IF(ISBLANK(Common!C$4),"",Common!C$4)</f>
        <v/>
      </c>
      <c r="C180" t="str">
        <f>IF(ISBLANK(Common!C$6),"",Common!C$6)</f>
        <v/>
      </c>
      <c r="D180" t="str">
        <f>IF(ISBLANK(Common!C$8),"",Common!C$8)</f>
        <v/>
      </c>
      <c r="E180" t="str">
        <f>IF(ISBLANK(Common!I$2),"",Common!I$2)</f>
        <v/>
      </c>
      <c r="F180" t="str">
        <f>IF(ISBLANK(Common!I$4),"",Common!I$4)</f>
        <v/>
      </c>
      <c r="G180" t="str">
        <f>IF(ISBLANK(Common!I$6),"",Common!I$6)</f>
        <v/>
      </c>
      <c r="H180" t="str">
        <f>IF(ISBLANK(Common!I$8),"",Common!I$8)</f>
        <v/>
      </c>
      <c r="I180" t="str">
        <f>IF(ISBLANK(Common!K$8),"",Common!K$8)</f>
        <v/>
      </c>
      <c r="J180" s="27" t="s">
        <v>79</v>
      </c>
      <c r="K180">
        <f t="shared" si="65"/>
        <v>0</v>
      </c>
      <c r="L180" s="136">
        <f>L148</f>
        <v>0</v>
      </c>
      <c r="M180" t="str">
        <f t="shared" si="63"/>
        <v>Mercury, Total</v>
      </c>
      <c r="N180" t="str">
        <f t="shared" si="63"/>
        <v>mg/L</v>
      </c>
      <c r="O180" t="str">
        <f>IF(ISBLANK(Common!G67),"",Common!G67)</f>
        <v/>
      </c>
      <c r="P180">
        <f>Common!G$73</f>
        <v>2.3999999999999998E-3</v>
      </c>
    </row>
    <row r="181" spans="1:16">
      <c r="A181" t="str">
        <f>IF(ISBLANK(Common!C$2),"",Common!C$2)</f>
        <v/>
      </c>
      <c r="B181" t="str">
        <f>IF(ISBLANK(Common!C$4),"",Common!C$4)</f>
        <v/>
      </c>
      <c r="C181" t="str">
        <f>IF(ISBLANK(Common!C$6),"",Common!C$6)</f>
        <v/>
      </c>
      <c r="D181" t="str">
        <f>IF(ISBLANK(Common!C$8),"",Common!C$8)</f>
        <v/>
      </c>
      <c r="E181" t="str">
        <f>IF(ISBLANK(Common!I$2),"",Common!I$2)</f>
        <v/>
      </c>
      <c r="F181" t="str">
        <f>IF(ISBLANK(Common!I$4),"",Common!I$4)</f>
        <v/>
      </c>
      <c r="G181" t="str">
        <f>IF(ISBLANK(Common!I$6),"",Common!I$6)</f>
        <v/>
      </c>
      <c r="H181" t="str">
        <f>IF(ISBLANK(Common!I$8),"",Common!I$8)</f>
        <v/>
      </c>
      <c r="I181" t="str">
        <f>IF(ISBLANK(Common!K$8),"",Common!K$8)</f>
        <v/>
      </c>
      <c r="J181" s="27" t="s">
        <v>79</v>
      </c>
      <c r="K181">
        <f t="shared" si="65"/>
        <v>0</v>
      </c>
      <c r="L181" s="136">
        <f>L149</f>
        <v>0</v>
      </c>
      <c r="M181" t="str">
        <f t="shared" si="63"/>
        <v>Mercury, Total</v>
      </c>
      <c r="N181" t="str">
        <f t="shared" si="63"/>
        <v>mg/L</v>
      </c>
      <c r="O181" t="str">
        <f>IF(ISBLANK(Common!G68),"",Common!G68)</f>
        <v/>
      </c>
      <c r="P181">
        <f>Common!G$73</f>
        <v>2.3999999999999998E-3</v>
      </c>
    </row>
    <row r="182" spans="1:16">
      <c r="A182" t="str">
        <f>IF(ISBLANK(Common!C$2),"",Common!C$2)</f>
        <v/>
      </c>
      <c r="B182" t="str">
        <f>IF(ISBLANK(Common!C$4),"",Common!C$4)</f>
        <v/>
      </c>
      <c r="C182" t="str">
        <f>IF(ISBLANK(Common!C$6),"",Common!C$6)</f>
        <v/>
      </c>
      <c r="D182" t="str">
        <f>IF(ISBLANK(Common!C$8),"",Common!C$8)</f>
        <v/>
      </c>
      <c r="E182" t="str">
        <f>IF(ISBLANK(Common!I$2),"",Common!I$2)</f>
        <v/>
      </c>
      <c r="F182" t="str">
        <f>IF(ISBLANK(Common!I$4),"",Common!I$4)</f>
        <v/>
      </c>
      <c r="G182" t="str">
        <f>IF(ISBLANK(Common!I$6),"",Common!I$6)</f>
        <v/>
      </c>
      <c r="H182" t="str">
        <f>IF(ISBLANK(Common!I$8),"",Common!I$8)</f>
        <v/>
      </c>
      <c r="I182" t="str">
        <f>IF(ISBLANK(Common!K$8),"",Common!K$8)</f>
        <v/>
      </c>
      <c r="J182" s="27" t="s">
        <v>79</v>
      </c>
      <c r="K182">
        <f t="shared" si="65"/>
        <v>0</v>
      </c>
      <c r="L182" s="136">
        <f>L178</f>
        <v>0</v>
      </c>
      <c r="M182" t="str">
        <f t="shared" si="63"/>
        <v>Total PCBs *</v>
      </c>
      <c r="N182" t="str">
        <f t="shared" si="63"/>
        <v>mg/L</v>
      </c>
      <c r="O182" t="str">
        <f>IF(ISBLANK(Common!I65),"",Common!I65)</f>
        <v/>
      </c>
      <c r="P182">
        <f>Common!I$73</f>
        <v>2E-3</v>
      </c>
    </row>
    <row r="183" spans="1:16">
      <c r="A183" t="str">
        <f>IF(ISBLANK(Common!C$2),"",Common!C$2)</f>
        <v/>
      </c>
      <c r="B183" t="str">
        <f>IF(ISBLANK(Common!C$4),"",Common!C$4)</f>
        <v/>
      </c>
      <c r="C183" t="str">
        <f>IF(ISBLANK(Common!C$6),"",Common!C$6)</f>
        <v/>
      </c>
      <c r="D183" t="str">
        <f>IF(ISBLANK(Common!C$8),"",Common!C$8)</f>
        <v/>
      </c>
      <c r="E183" t="str">
        <f>IF(ISBLANK(Common!I$2),"",Common!I$2)</f>
        <v/>
      </c>
      <c r="F183" t="str">
        <f>IF(ISBLANK(Common!I$4),"",Common!I$4)</f>
        <v/>
      </c>
      <c r="G183" t="str">
        <f>IF(ISBLANK(Common!I$6),"",Common!I$6)</f>
        <v/>
      </c>
      <c r="H183" t="str">
        <f>IF(ISBLANK(Common!I$8),"",Common!I$8)</f>
        <v/>
      </c>
      <c r="I183" t="str">
        <f>IF(ISBLANK(Common!K$8),"",Common!K$8)</f>
        <v/>
      </c>
      <c r="J183" s="27" t="s">
        <v>79</v>
      </c>
      <c r="K183">
        <f t="shared" si="65"/>
        <v>0</v>
      </c>
      <c r="L183" s="136">
        <f>L179</f>
        <v>0</v>
      </c>
      <c r="M183" t="str">
        <f t="shared" si="63"/>
        <v>Total PCBs *</v>
      </c>
      <c r="N183" t="str">
        <f t="shared" si="63"/>
        <v>mg/L</v>
      </c>
      <c r="O183" t="str">
        <f>IF(ISBLANK(Common!I66),"",Common!I66)</f>
        <v/>
      </c>
      <c r="P183">
        <f>Common!I$73</f>
        <v>2E-3</v>
      </c>
    </row>
    <row r="184" spans="1:16">
      <c r="A184" t="str">
        <f>IF(ISBLANK(Common!C$2),"",Common!C$2)</f>
        <v/>
      </c>
      <c r="B184" t="str">
        <f>IF(ISBLANK(Common!C$4),"",Common!C$4)</f>
        <v/>
      </c>
      <c r="C184" t="str">
        <f>IF(ISBLANK(Common!C$6),"",Common!C$6)</f>
        <v/>
      </c>
      <c r="D184" t="str">
        <f>IF(ISBLANK(Common!C$8),"",Common!C$8)</f>
        <v/>
      </c>
      <c r="E184" t="str">
        <f>IF(ISBLANK(Common!I$2),"",Common!I$2)</f>
        <v/>
      </c>
      <c r="F184" t="str">
        <f>IF(ISBLANK(Common!I$4),"",Common!I$4)</f>
        <v/>
      </c>
      <c r="G184" t="str">
        <f>IF(ISBLANK(Common!I$6),"",Common!I$6)</f>
        <v/>
      </c>
      <c r="H184" t="str">
        <f>IF(ISBLANK(Common!I$8),"",Common!I$8)</f>
        <v/>
      </c>
      <c r="I184" t="str">
        <f>IF(ISBLANK(Common!K$8),"",Common!K$8)</f>
        <v/>
      </c>
      <c r="J184" s="27" t="s">
        <v>79</v>
      </c>
      <c r="K184">
        <f t="shared" si="65"/>
        <v>0</v>
      </c>
      <c r="L184" s="136">
        <f>L180</f>
        <v>0</v>
      </c>
      <c r="M184" t="str">
        <f t="shared" si="63"/>
        <v>Total PCBs *</v>
      </c>
      <c r="N184" t="str">
        <f t="shared" si="63"/>
        <v>mg/L</v>
      </c>
      <c r="O184" t="str">
        <f>IF(ISBLANK(Common!I67),"",Common!I67)</f>
        <v/>
      </c>
      <c r="P184">
        <f>Common!I$73</f>
        <v>2E-3</v>
      </c>
    </row>
    <row r="185" spans="1:16">
      <c r="A185" t="str">
        <f>IF(ISBLANK(Common!C$2),"",Common!C$2)</f>
        <v/>
      </c>
      <c r="B185" t="str">
        <f>IF(ISBLANK(Common!C$4),"",Common!C$4)</f>
        <v/>
      </c>
      <c r="C185" t="str">
        <f>IF(ISBLANK(Common!C$6),"",Common!C$6)</f>
        <v/>
      </c>
      <c r="D185" t="str">
        <f>IF(ISBLANK(Common!C$8),"",Common!C$8)</f>
        <v/>
      </c>
      <c r="E185" t="str">
        <f>IF(ISBLANK(Common!I$2),"",Common!I$2)</f>
        <v/>
      </c>
      <c r="F185" t="str">
        <f>IF(ISBLANK(Common!I$4),"",Common!I$4)</f>
        <v/>
      </c>
      <c r="G185" t="str">
        <f>IF(ISBLANK(Common!I$6),"",Common!I$6)</f>
        <v/>
      </c>
      <c r="H185" t="str">
        <f>IF(ISBLANK(Common!I$8),"",Common!I$8)</f>
        <v/>
      </c>
      <c r="I185" t="str">
        <f>IF(ISBLANK(Common!K$8),"",Common!K$8)</f>
        <v/>
      </c>
      <c r="J185" s="27" t="s">
        <v>79</v>
      </c>
      <c r="K185">
        <f t="shared" si="65"/>
        <v>0</v>
      </c>
      <c r="L185" s="136">
        <f>L181</f>
        <v>0</v>
      </c>
      <c r="M185" t="str">
        <f t="shared" si="63"/>
        <v>Total PCBs *</v>
      </c>
      <c r="N185" t="str">
        <f t="shared" si="63"/>
        <v>mg/L</v>
      </c>
      <c r="O185" t="str">
        <f>IF(ISBLANK(Common!I68),"",Common!I68)</f>
        <v/>
      </c>
      <c r="P185">
        <f>Common!I$73</f>
        <v>2E-3</v>
      </c>
    </row>
    <row r="186" spans="1:16">
      <c r="A186" t="str">
        <f>IF(ISBLANK(Common!C$2),"",Common!C$2)</f>
        <v/>
      </c>
      <c r="B186" t="str">
        <f>IF(ISBLANK(Common!C$4),"",Common!C$4)</f>
        <v/>
      </c>
      <c r="C186" t="str">
        <f>IF(ISBLANK(Common!C$6),"",Common!C$6)</f>
        <v/>
      </c>
      <c r="D186" t="str">
        <f>IF(ISBLANK(Common!C$8),"",Common!C$8)</f>
        <v/>
      </c>
      <c r="E186" t="str">
        <f>IF(ISBLANK(Common!I$2),"",Common!I$2)</f>
        <v/>
      </c>
      <c r="F186" t="str">
        <f>IF(ISBLANK(Common!I$4),"",Common!I$4)</f>
        <v/>
      </c>
      <c r="G186" t="str">
        <f>IF(ISBLANK(Common!I$6),"",Common!I$6)</f>
        <v/>
      </c>
      <c r="H186" t="str">
        <f>IF(ISBLANK(Common!I$8),"",Common!I$8)</f>
        <v/>
      </c>
      <c r="I186" t="str">
        <f>IF(ISBLANK(Common!K$8),"",Common!K$8)</f>
        <v/>
      </c>
      <c r="J186" s="27" t="s">
        <v>79</v>
      </c>
      <c r="K186">
        <f>K161</f>
        <v>0</v>
      </c>
      <c r="L186" s="136">
        <f>L158</f>
        <v>0</v>
      </c>
      <c r="M186" t="str">
        <f t="shared" si="63"/>
        <v>Mercury, Total</v>
      </c>
      <c r="N186" t="str">
        <f t="shared" si="63"/>
        <v>mg/L</v>
      </c>
      <c r="O186" t="str">
        <f>IF(ISBLANK(Common!G69),"",Common!G69)</f>
        <v/>
      </c>
      <c r="P186">
        <f>Common!G$73</f>
        <v>2.3999999999999998E-3</v>
      </c>
    </row>
    <row r="187" spans="1:16">
      <c r="A187" t="str">
        <f>IF(ISBLANK(Common!C$2),"",Common!C$2)</f>
        <v/>
      </c>
      <c r="B187" t="str">
        <f>IF(ISBLANK(Common!C$4),"",Common!C$4)</f>
        <v/>
      </c>
      <c r="C187" t="str">
        <f>IF(ISBLANK(Common!C$6),"",Common!C$6)</f>
        <v/>
      </c>
      <c r="D187" t="str">
        <f>IF(ISBLANK(Common!C$8),"",Common!C$8)</f>
        <v/>
      </c>
      <c r="E187" t="str">
        <f>IF(ISBLANK(Common!I$2),"",Common!I$2)</f>
        <v/>
      </c>
      <c r="F187" t="str">
        <f>IF(ISBLANK(Common!I$4),"",Common!I$4)</f>
        <v/>
      </c>
      <c r="G187" t="str">
        <f>IF(ISBLANK(Common!I$6),"",Common!I$6)</f>
        <v/>
      </c>
      <c r="H187" t="str">
        <f>IF(ISBLANK(Common!I$8),"",Common!I$8)</f>
        <v/>
      </c>
      <c r="I187" t="str">
        <f>IF(ISBLANK(Common!K$8),"",Common!K$8)</f>
        <v/>
      </c>
      <c r="J187" s="27" t="s">
        <v>79</v>
      </c>
      <c r="K187">
        <f>K186</f>
        <v>0</v>
      </c>
      <c r="L187" s="136">
        <f>L159</f>
        <v>0</v>
      </c>
      <c r="M187" t="str">
        <f t="shared" si="63"/>
        <v>Mercury, Total</v>
      </c>
      <c r="N187" t="str">
        <f t="shared" si="63"/>
        <v>mg/L</v>
      </c>
      <c r="O187" t="str">
        <f>IF(ISBLANK(Common!G70),"",Common!G70)</f>
        <v/>
      </c>
      <c r="P187">
        <f>Common!G$73</f>
        <v>2.3999999999999998E-3</v>
      </c>
    </row>
    <row r="188" spans="1:16">
      <c r="A188" t="str">
        <f>IF(ISBLANK(Common!C$2),"",Common!C$2)</f>
        <v/>
      </c>
      <c r="B188" t="str">
        <f>IF(ISBLANK(Common!C$4),"",Common!C$4)</f>
        <v/>
      </c>
      <c r="C188" t="str">
        <f>IF(ISBLANK(Common!C$6),"",Common!C$6)</f>
        <v/>
      </c>
      <c r="D188" t="str">
        <f>IF(ISBLANK(Common!C$8),"",Common!C$8)</f>
        <v/>
      </c>
      <c r="E188" t="str">
        <f>IF(ISBLANK(Common!I$2),"",Common!I$2)</f>
        <v/>
      </c>
      <c r="F188" t="str">
        <f>IF(ISBLANK(Common!I$4),"",Common!I$4)</f>
        <v/>
      </c>
      <c r="G188" t="str">
        <f>IF(ISBLANK(Common!I$6),"",Common!I$6)</f>
        <v/>
      </c>
      <c r="H188" t="str">
        <f>IF(ISBLANK(Common!I$8),"",Common!I$8)</f>
        <v/>
      </c>
      <c r="I188" t="str">
        <f>IF(ISBLANK(Common!K$8),"",Common!K$8)</f>
        <v/>
      </c>
      <c r="J188" s="27" t="s">
        <v>79</v>
      </c>
      <c r="K188">
        <f>K187</f>
        <v>0</v>
      </c>
      <c r="L188" s="136">
        <f>L160</f>
        <v>0</v>
      </c>
      <c r="M188" t="str">
        <f t="shared" si="63"/>
        <v>Mercury, Total</v>
      </c>
      <c r="N188" t="str">
        <f t="shared" si="63"/>
        <v>mg/L</v>
      </c>
      <c r="O188" t="str">
        <f>IF(ISBLANK(Common!G71),"",Common!G71)</f>
        <v/>
      </c>
      <c r="P188">
        <f>Common!G$73</f>
        <v>2.3999999999999998E-3</v>
      </c>
    </row>
    <row r="189" spans="1:16">
      <c r="A189" t="str">
        <f>IF(ISBLANK(Common!C$2),"",Common!C$2)</f>
        <v/>
      </c>
      <c r="B189" t="str">
        <f>IF(ISBLANK(Common!C$4),"",Common!C$4)</f>
        <v/>
      </c>
      <c r="C189" t="str">
        <f>IF(ISBLANK(Common!C$6),"",Common!C$6)</f>
        <v/>
      </c>
      <c r="D189" t="str">
        <f>IF(ISBLANK(Common!C$8),"",Common!C$8)</f>
        <v/>
      </c>
      <c r="E189" t="str">
        <f>IF(ISBLANK(Common!I$2),"",Common!I$2)</f>
        <v/>
      </c>
      <c r="F189" t="str">
        <f>IF(ISBLANK(Common!I$4),"",Common!I$4)</f>
        <v/>
      </c>
      <c r="G189" t="str">
        <f>IF(ISBLANK(Common!I$6),"",Common!I$6)</f>
        <v/>
      </c>
      <c r="H189" t="str">
        <f>IF(ISBLANK(Common!I$8),"",Common!I$8)</f>
        <v/>
      </c>
      <c r="I189" t="str">
        <f>IF(ISBLANK(Common!K$8),"",Common!K$8)</f>
        <v/>
      </c>
      <c r="J189" s="27" t="s">
        <v>79</v>
      </c>
      <c r="K189">
        <f>K188</f>
        <v>0</v>
      </c>
      <c r="L189" s="136">
        <f>L161</f>
        <v>0</v>
      </c>
      <c r="M189" t="str">
        <f t="shared" si="63"/>
        <v>Mercury, Total</v>
      </c>
      <c r="N189" t="str">
        <f t="shared" si="63"/>
        <v>mg/L</v>
      </c>
      <c r="O189" t="str">
        <f>IF(ISBLANK(Common!G72),"",Common!G72)</f>
        <v/>
      </c>
      <c r="P189">
        <f>Common!G$73</f>
        <v>2.3999999999999998E-3</v>
      </c>
    </row>
    <row r="190" spans="1:16">
      <c r="A190" t="str">
        <f>IF(ISBLANK(Common!C$2),"",Common!C$2)</f>
        <v/>
      </c>
      <c r="B190" t="str">
        <f>IF(ISBLANK(Common!C$4),"",Common!C$4)</f>
        <v/>
      </c>
      <c r="C190" t="str">
        <f>IF(ISBLANK(Common!C$6),"",Common!C$6)</f>
        <v/>
      </c>
      <c r="D190" t="str">
        <f>IF(ISBLANK(Common!C$8),"",Common!C$8)</f>
        <v/>
      </c>
      <c r="E190" t="str">
        <f>IF(ISBLANK(Common!I$2),"",Common!I$2)</f>
        <v/>
      </c>
      <c r="F190" t="str">
        <f>IF(ISBLANK(Common!I$4),"",Common!I$4)</f>
        <v/>
      </c>
      <c r="G190" t="str">
        <f>IF(ISBLANK(Common!I$6),"",Common!I$6)</f>
        <v/>
      </c>
      <c r="H190" t="str">
        <f>IF(ISBLANK(Common!I$8),"",Common!I$8)</f>
        <v/>
      </c>
      <c r="I190" t="str">
        <f>IF(ISBLANK(Common!K$8),"",Common!K$8)</f>
        <v/>
      </c>
      <c r="J190" s="27" t="s">
        <v>79</v>
      </c>
      <c r="K190">
        <f>K189</f>
        <v>0</v>
      </c>
      <c r="L190" s="136">
        <f>L186</f>
        <v>0</v>
      </c>
      <c r="M190" t="str">
        <f t="shared" si="63"/>
        <v>Total PCBs *</v>
      </c>
      <c r="N190" t="str">
        <f t="shared" si="63"/>
        <v>mg/L</v>
      </c>
      <c r="O190" t="str">
        <f>IF(ISBLANK(Common!I69),"",Common!I69)</f>
        <v/>
      </c>
      <c r="P190">
        <f>Common!I$73</f>
        <v>2E-3</v>
      </c>
    </row>
    <row r="191" spans="1:16">
      <c r="A191" t="str">
        <f>IF(ISBLANK(Common!C$2),"",Common!C$2)</f>
        <v/>
      </c>
      <c r="B191" t="str">
        <f>IF(ISBLANK(Common!C$4),"",Common!C$4)</f>
        <v/>
      </c>
      <c r="C191" t="str">
        <f>IF(ISBLANK(Common!C$6),"",Common!C$6)</f>
        <v/>
      </c>
      <c r="D191" t="str">
        <f>IF(ISBLANK(Common!C$8),"",Common!C$8)</f>
        <v/>
      </c>
      <c r="E191" t="str">
        <f>IF(ISBLANK(Common!I$2),"",Common!I$2)</f>
        <v/>
      </c>
      <c r="F191" t="str">
        <f>IF(ISBLANK(Common!I$4),"",Common!I$4)</f>
        <v/>
      </c>
      <c r="G191" t="str">
        <f>IF(ISBLANK(Common!I$6),"",Common!I$6)</f>
        <v/>
      </c>
      <c r="H191" t="str">
        <f>IF(ISBLANK(Common!I$8),"",Common!I$8)</f>
        <v/>
      </c>
      <c r="I191" t="str">
        <f>IF(ISBLANK(Common!K$8),"",Common!K$8)</f>
        <v/>
      </c>
      <c r="J191" s="27" t="s">
        <v>79</v>
      </c>
      <c r="K191">
        <f>K190</f>
        <v>0</v>
      </c>
      <c r="L191" s="136">
        <f>L187</f>
        <v>0</v>
      </c>
      <c r="M191" t="str">
        <f t="shared" si="63"/>
        <v>Total PCBs *</v>
      </c>
      <c r="N191" t="str">
        <f t="shared" si="63"/>
        <v>mg/L</v>
      </c>
      <c r="O191" t="str">
        <f>IF(ISBLANK(Common!I70),"",Common!I70)</f>
        <v/>
      </c>
      <c r="P191">
        <f>Common!I$73</f>
        <v>2E-3</v>
      </c>
    </row>
    <row r="192" spans="1:16">
      <c r="A192" t="str">
        <f>IF(ISBLANK(Common!C$2),"",Common!C$2)</f>
        <v/>
      </c>
      <c r="B192" t="str">
        <f>IF(ISBLANK(Common!C$4),"",Common!C$4)</f>
        <v/>
      </c>
      <c r="C192" t="str">
        <f>IF(ISBLANK(Common!C$6),"",Common!C$6)</f>
        <v/>
      </c>
      <c r="D192" t="str">
        <f>IF(ISBLANK(Common!C$8),"",Common!C$8)</f>
        <v/>
      </c>
      <c r="E192" t="str">
        <f>IF(ISBLANK(Common!I$2),"",Common!I$2)</f>
        <v/>
      </c>
      <c r="F192" t="str">
        <f>IF(ISBLANK(Common!I$4),"",Common!I$4)</f>
        <v/>
      </c>
      <c r="G192" t="str">
        <f>IF(ISBLANK(Common!I$6),"",Common!I$6)</f>
        <v/>
      </c>
      <c r="H192" t="str">
        <f>IF(ISBLANK(Common!I$8),"",Common!I$8)</f>
        <v/>
      </c>
      <c r="I192" t="str">
        <f>IF(ISBLANK(Common!K$8),"",Common!K$8)</f>
        <v/>
      </c>
      <c r="J192" s="27" t="s">
        <v>79</v>
      </c>
      <c r="K192">
        <f t="shared" ref="K192:K193" si="66">K191</f>
        <v>0</v>
      </c>
      <c r="L192" s="136">
        <f>L188</f>
        <v>0</v>
      </c>
      <c r="M192" t="str">
        <f t="shared" si="63"/>
        <v>Total PCBs *</v>
      </c>
      <c r="N192" t="str">
        <f t="shared" si="63"/>
        <v>mg/L</v>
      </c>
      <c r="O192" t="str">
        <f>IF(ISBLANK(Common!I71),"",Common!I71)</f>
        <v/>
      </c>
      <c r="P192">
        <f>Common!I$73</f>
        <v>2E-3</v>
      </c>
    </row>
    <row r="193" spans="1:16">
      <c r="A193" t="str">
        <f>IF(ISBLANK(Common!C$2),"",Common!C$2)</f>
        <v/>
      </c>
      <c r="B193" t="str">
        <f>IF(ISBLANK(Common!C$4),"",Common!C$4)</f>
        <v/>
      </c>
      <c r="C193" t="str">
        <f>IF(ISBLANK(Common!C$6),"",Common!C$6)</f>
        <v/>
      </c>
      <c r="D193" t="str">
        <f>IF(ISBLANK(Common!C$8),"",Common!C$8)</f>
        <v/>
      </c>
      <c r="E193" t="str">
        <f>IF(ISBLANK(Common!I$2),"",Common!I$2)</f>
        <v/>
      </c>
      <c r="F193" t="str">
        <f>IF(ISBLANK(Common!I$4),"",Common!I$4)</f>
        <v/>
      </c>
      <c r="G193" t="str">
        <f>IF(ISBLANK(Common!I$6),"",Common!I$6)</f>
        <v/>
      </c>
      <c r="H193" t="str">
        <f>IF(ISBLANK(Common!I$8),"",Common!I$8)</f>
        <v/>
      </c>
      <c r="I193" t="str">
        <f>IF(ISBLANK(Common!K$8),"",Common!K$8)</f>
        <v/>
      </c>
      <c r="J193" s="27" t="s">
        <v>79</v>
      </c>
      <c r="K193">
        <f t="shared" si="66"/>
        <v>0</v>
      </c>
      <c r="L193" s="136">
        <f>L189</f>
        <v>0</v>
      </c>
      <c r="M193" t="str">
        <f t="shared" si="63"/>
        <v>Total PCBs *</v>
      </c>
      <c r="N193" t="str">
        <f t="shared" si="63"/>
        <v>mg/L</v>
      </c>
      <c r="O193" t="str">
        <f>IF(ISBLANK(Common!I72),"",Common!I72)</f>
        <v/>
      </c>
      <c r="P193">
        <f>Common!I$73</f>
        <v>2E-3</v>
      </c>
    </row>
    <row r="194" spans="1:16">
      <c r="A194" t="str">
        <f>IF(ISBLANK(Common!C$2),"",Common!C$2)</f>
        <v/>
      </c>
      <c r="B194" t="str">
        <f>IF(ISBLANK(Common!C$4),"",Common!C$4)</f>
        <v/>
      </c>
      <c r="C194" t="str">
        <f>IF(ISBLANK(Common!C$6),"",Common!C$6)</f>
        <v/>
      </c>
      <c r="D194" t="str">
        <f>IF(ISBLANK(Common!C$8),"",Common!C$8)</f>
        <v/>
      </c>
      <c r="E194" t="str">
        <f>IF(ISBLANK(Common!I$2),"",Common!I$2)</f>
        <v/>
      </c>
      <c r="F194" t="str">
        <f>IF(ISBLANK(Common!I$4),"",Common!I$4)</f>
        <v/>
      </c>
      <c r="G194" t="str">
        <f>IF(ISBLANK(Common!I$6),"",Common!I$6)</f>
        <v/>
      </c>
      <c r="H194" t="str">
        <f>IF(ISBLANK(Common!I$8),"",Common!I$8)</f>
        <v/>
      </c>
      <c r="I194" t="str">
        <f>IF(ISBLANK(Common!K$8),"",Common!K$8)</f>
        <v/>
      </c>
      <c r="J194" s="27" t="s">
        <v>80</v>
      </c>
      <c r="K194">
        <f>Sector!A$15</f>
        <v>0</v>
      </c>
      <c r="L194" s="136" t="str">
        <f>IF(ISBLANK(Sector!C15),"",Sector!C15)</f>
        <v/>
      </c>
      <c r="M194" t="str">
        <f>Sector!D12</f>
        <v>Iron, Total</v>
      </c>
      <c r="N194" t="str">
        <f>Sector!D13</f>
        <v xml:space="preserve"> mg/L</v>
      </c>
      <c r="O194" t="str">
        <f>IF(ISBLANK(Sector!D15),"",Sector!D15)</f>
        <v/>
      </c>
      <c r="P194">
        <f>Sector!D31</f>
        <v>1</v>
      </c>
    </row>
    <row r="195" spans="1:16">
      <c r="A195" t="str">
        <f>IF(ISBLANK(Common!C$2),"",Common!C$2)</f>
        <v/>
      </c>
      <c r="B195" t="str">
        <f>IF(ISBLANK(Common!C$4),"",Common!C$4)</f>
        <v/>
      </c>
      <c r="C195" t="str">
        <f>IF(ISBLANK(Common!C$6),"",Common!C$6)</f>
        <v/>
      </c>
      <c r="D195" t="str">
        <f>IF(ISBLANK(Common!C$8),"",Common!C$8)</f>
        <v/>
      </c>
      <c r="E195" t="str">
        <f>IF(ISBLANK(Common!I$2),"",Common!I$2)</f>
        <v/>
      </c>
      <c r="F195" t="str">
        <f>IF(ISBLANK(Common!I$4),"",Common!I$4)</f>
        <v/>
      </c>
      <c r="G195" t="str">
        <f>IF(ISBLANK(Common!I$6),"",Common!I$6)</f>
        <v/>
      </c>
      <c r="H195" t="str">
        <f>IF(ISBLANK(Common!I$8),"",Common!I$8)</f>
        <v/>
      </c>
      <c r="I195" t="str">
        <f>IF(ISBLANK(Common!K$8),"",Common!K$8)</f>
        <v/>
      </c>
      <c r="J195" s="27" t="s">
        <v>80</v>
      </c>
      <c r="K195">
        <f>Sector!A$15</f>
        <v>0</v>
      </c>
      <c r="L195" s="136" t="str">
        <f>IF(ISBLANK(Sector!C16),"",Sector!C16)</f>
        <v/>
      </c>
      <c r="M195" t="str">
        <f>M194</f>
        <v>Iron, Total</v>
      </c>
      <c r="N195" t="str">
        <f>N194</f>
        <v xml:space="preserve"> mg/L</v>
      </c>
      <c r="O195" t="str">
        <f>IF(ISBLANK(Sector!D16),"",Sector!D16)</f>
        <v/>
      </c>
      <c r="P195">
        <f t="shared" ref="P195:P208" si="67">P194</f>
        <v>1</v>
      </c>
    </row>
    <row r="196" spans="1:16">
      <c r="A196" t="str">
        <f>IF(ISBLANK(Common!C$2),"",Common!C$2)</f>
        <v/>
      </c>
      <c r="B196" t="str">
        <f>IF(ISBLANK(Common!C$4),"",Common!C$4)</f>
        <v/>
      </c>
      <c r="C196" t="str">
        <f>IF(ISBLANK(Common!C$6),"",Common!C$6)</f>
        <v/>
      </c>
      <c r="D196" t="str">
        <f>IF(ISBLANK(Common!C$8),"",Common!C$8)</f>
        <v/>
      </c>
      <c r="E196" t="str">
        <f>IF(ISBLANK(Common!I$2),"",Common!I$2)</f>
        <v/>
      </c>
      <c r="F196" t="str">
        <f>IF(ISBLANK(Common!I$4),"",Common!I$4)</f>
        <v/>
      </c>
      <c r="G196" t="str">
        <f>IF(ISBLANK(Common!I$6),"",Common!I$6)</f>
        <v/>
      </c>
      <c r="H196" t="str">
        <f>IF(ISBLANK(Common!I$8),"",Common!I$8)</f>
        <v/>
      </c>
      <c r="I196" t="str">
        <f>IF(ISBLANK(Common!K$8),"",Common!K$8)</f>
        <v/>
      </c>
      <c r="J196" s="27" t="s">
        <v>80</v>
      </c>
      <c r="K196">
        <f>Sector!A$15</f>
        <v>0</v>
      </c>
      <c r="L196" s="136" t="str">
        <f>IF(ISBLANK(Sector!C17),"",Sector!C17)</f>
        <v/>
      </c>
      <c r="M196" t="str">
        <f t="shared" ref="M196:M209" si="68">M195</f>
        <v>Iron, Total</v>
      </c>
      <c r="N196" t="str">
        <f t="shared" ref="N196:N209" si="69">N195</f>
        <v xml:space="preserve"> mg/L</v>
      </c>
      <c r="O196" t="str">
        <f>IF(ISBLANK(Sector!D17),"",Sector!D17)</f>
        <v/>
      </c>
      <c r="P196">
        <f t="shared" si="67"/>
        <v>1</v>
      </c>
    </row>
    <row r="197" spans="1:16">
      <c r="A197" t="str">
        <f>IF(ISBLANK(Common!C$2),"",Common!C$2)</f>
        <v/>
      </c>
      <c r="B197" t="str">
        <f>IF(ISBLANK(Common!C$4),"",Common!C$4)</f>
        <v/>
      </c>
      <c r="C197" t="str">
        <f>IF(ISBLANK(Common!C$6),"",Common!C$6)</f>
        <v/>
      </c>
      <c r="D197" t="str">
        <f>IF(ISBLANK(Common!C$8),"",Common!C$8)</f>
        <v/>
      </c>
      <c r="E197" t="str">
        <f>IF(ISBLANK(Common!I$2),"",Common!I$2)</f>
        <v/>
      </c>
      <c r="F197" t="str">
        <f>IF(ISBLANK(Common!I$4),"",Common!I$4)</f>
        <v/>
      </c>
      <c r="G197" t="str">
        <f>IF(ISBLANK(Common!I$6),"",Common!I$6)</f>
        <v/>
      </c>
      <c r="H197" t="str">
        <f>IF(ISBLANK(Common!I$8),"",Common!I$8)</f>
        <v/>
      </c>
      <c r="I197" t="str">
        <f>IF(ISBLANK(Common!K$8),"",Common!K$8)</f>
        <v/>
      </c>
      <c r="J197" s="27" t="s">
        <v>80</v>
      </c>
      <c r="K197">
        <f>Sector!A$15</f>
        <v>0</v>
      </c>
      <c r="L197" s="136" t="str">
        <f>IF(ISBLANK(Sector!C18),"",Sector!C18)</f>
        <v/>
      </c>
      <c r="M197" t="str">
        <f t="shared" si="68"/>
        <v>Iron, Total</v>
      </c>
      <c r="N197" t="str">
        <f t="shared" si="69"/>
        <v xml:space="preserve"> mg/L</v>
      </c>
      <c r="O197" t="str">
        <f>IF(ISBLANK(Sector!D18),"",Sector!D18)</f>
        <v/>
      </c>
      <c r="P197">
        <f t="shared" si="67"/>
        <v>1</v>
      </c>
    </row>
    <row r="198" spans="1:16">
      <c r="A198" t="str">
        <f>IF(ISBLANK(Common!C$2),"",Common!C$2)</f>
        <v/>
      </c>
      <c r="B198" t="str">
        <f>IF(ISBLANK(Common!C$4),"",Common!C$4)</f>
        <v/>
      </c>
      <c r="C198" t="str">
        <f>IF(ISBLANK(Common!C$6),"",Common!C$6)</f>
        <v/>
      </c>
      <c r="D198" t="str">
        <f>IF(ISBLANK(Common!C$8),"",Common!C$8)</f>
        <v/>
      </c>
      <c r="E198" t="str">
        <f>IF(ISBLANK(Common!I$2),"",Common!I$2)</f>
        <v/>
      </c>
      <c r="F198" t="str">
        <f>IF(ISBLANK(Common!I$4),"",Common!I$4)</f>
        <v/>
      </c>
      <c r="G198" t="str">
        <f>IF(ISBLANK(Common!I$6),"",Common!I$6)</f>
        <v/>
      </c>
      <c r="H198" t="str">
        <f>IF(ISBLANK(Common!I$8),"",Common!I$8)</f>
        <v/>
      </c>
      <c r="I198" t="str">
        <f>IF(ISBLANK(Common!K$8),"",Common!K$8)</f>
        <v/>
      </c>
      <c r="J198" s="27" t="s">
        <v>80</v>
      </c>
      <c r="K198">
        <f>Sector!A$19</f>
        <v>0</v>
      </c>
      <c r="L198" s="136" t="str">
        <f>IF(ISBLANK(Sector!C19),"",Sector!C19)</f>
        <v/>
      </c>
      <c r="M198" t="str">
        <f t="shared" si="68"/>
        <v>Iron, Total</v>
      </c>
      <c r="N198" t="str">
        <f t="shared" si="69"/>
        <v xml:space="preserve"> mg/L</v>
      </c>
      <c r="O198" t="str">
        <f>IF(ISBLANK(Sector!D19),"",Sector!D19)</f>
        <v/>
      </c>
      <c r="P198">
        <f t="shared" si="67"/>
        <v>1</v>
      </c>
    </row>
    <row r="199" spans="1:16">
      <c r="A199" t="str">
        <f>IF(ISBLANK(Common!C$2),"",Common!C$2)</f>
        <v/>
      </c>
      <c r="B199" t="str">
        <f>IF(ISBLANK(Common!C$4),"",Common!C$4)</f>
        <v/>
      </c>
      <c r="C199" t="str">
        <f>IF(ISBLANK(Common!C$6),"",Common!C$6)</f>
        <v/>
      </c>
      <c r="D199" t="str">
        <f>IF(ISBLANK(Common!C$8),"",Common!C$8)</f>
        <v/>
      </c>
      <c r="E199" t="str">
        <f>IF(ISBLANK(Common!I$2),"",Common!I$2)</f>
        <v/>
      </c>
      <c r="F199" t="str">
        <f>IF(ISBLANK(Common!I$4),"",Common!I$4)</f>
        <v/>
      </c>
      <c r="G199" t="str">
        <f>IF(ISBLANK(Common!I$6),"",Common!I$6)</f>
        <v/>
      </c>
      <c r="H199" t="str">
        <f>IF(ISBLANK(Common!I$8),"",Common!I$8)</f>
        <v/>
      </c>
      <c r="I199" t="str">
        <f>IF(ISBLANK(Common!K$8),"",Common!K$8)</f>
        <v/>
      </c>
      <c r="J199" s="27" t="s">
        <v>80</v>
      </c>
      <c r="K199">
        <f>Sector!A$19</f>
        <v>0</v>
      </c>
      <c r="L199" s="136" t="str">
        <f>IF(ISBLANK(Sector!C20),"",Sector!C20)</f>
        <v/>
      </c>
      <c r="M199" t="str">
        <f t="shared" si="68"/>
        <v>Iron, Total</v>
      </c>
      <c r="N199" t="str">
        <f t="shared" si="69"/>
        <v xml:space="preserve"> mg/L</v>
      </c>
      <c r="O199" t="str">
        <f>IF(ISBLANK(Sector!D20),"",Sector!D20)</f>
        <v/>
      </c>
      <c r="P199">
        <f t="shared" si="67"/>
        <v>1</v>
      </c>
    </row>
    <row r="200" spans="1:16">
      <c r="A200" t="str">
        <f>IF(ISBLANK(Common!C$2),"",Common!C$2)</f>
        <v/>
      </c>
      <c r="B200" t="str">
        <f>IF(ISBLANK(Common!C$4),"",Common!C$4)</f>
        <v/>
      </c>
      <c r="C200" t="str">
        <f>IF(ISBLANK(Common!C$6),"",Common!C$6)</f>
        <v/>
      </c>
      <c r="D200" t="str">
        <f>IF(ISBLANK(Common!C$8),"",Common!C$8)</f>
        <v/>
      </c>
      <c r="E200" t="str">
        <f>IF(ISBLANK(Common!I$2),"",Common!I$2)</f>
        <v/>
      </c>
      <c r="F200" t="str">
        <f>IF(ISBLANK(Common!I$4),"",Common!I$4)</f>
        <v/>
      </c>
      <c r="G200" t="str">
        <f>IF(ISBLANK(Common!I$6),"",Common!I$6)</f>
        <v/>
      </c>
      <c r="H200" t="str">
        <f>IF(ISBLANK(Common!I$8),"",Common!I$8)</f>
        <v/>
      </c>
      <c r="I200" t="str">
        <f>IF(ISBLANK(Common!K$8),"",Common!K$8)</f>
        <v/>
      </c>
      <c r="J200" s="27" t="s">
        <v>80</v>
      </c>
      <c r="K200">
        <f>Sector!A$19</f>
        <v>0</v>
      </c>
      <c r="L200" s="136" t="str">
        <f>IF(ISBLANK(Sector!C21),"",Sector!C21)</f>
        <v/>
      </c>
      <c r="M200" t="str">
        <f t="shared" si="68"/>
        <v>Iron, Total</v>
      </c>
      <c r="N200" t="str">
        <f t="shared" si="69"/>
        <v xml:space="preserve"> mg/L</v>
      </c>
      <c r="O200" t="str">
        <f>IF(ISBLANK(Sector!D21),"",Sector!D21)</f>
        <v/>
      </c>
      <c r="P200">
        <f t="shared" si="67"/>
        <v>1</v>
      </c>
    </row>
    <row r="201" spans="1:16">
      <c r="A201" t="str">
        <f>IF(ISBLANK(Common!C$2),"",Common!C$2)</f>
        <v/>
      </c>
      <c r="B201" t="str">
        <f>IF(ISBLANK(Common!C$4),"",Common!C$4)</f>
        <v/>
      </c>
      <c r="C201" t="str">
        <f>IF(ISBLANK(Common!C$6),"",Common!C$6)</f>
        <v/>
      </c>
      <c r="D201" t="str">
        <f>IF(ISBLANK(Common!C$8),"",Common!C$8)</f>
        <v/>
      </c>
      <c r="E201" t="str">
        <f>IF(ISBLANK(Common!I$2),"",Common!I$2)</f>
        <v/>
      </c>
      <c r="F201" t="str">
        <f>IF(ISBLANK(Common!I$4),"",Common!I$4)</f>
        <v/>
      </c>
      <c r="G201" t="str">
        <f>IF(ISBLANK(Common!I$6),"",Common!I$6)</f>
        <v/>
      </c>
      <c r="H201" t="str">
        <f>IF(ISBLANK(Common!I$8),"",Common!I$8)</f>
        <v/>
      </c>
      <c r="I201" t="str">
        <f>IF(ISBLANK(Common!K$8),"",Common!K$8)</f>
        <v/>
      </c>
      <c r="J201" s="27" t="s">
        <v>80</v>
      </c>
      <c r="K201">
        <f>Sector!A$19</f>
        <v>0</v>
      </c>
      <c r="L201" s="136" t="str">
        <f>IF(ISBLANK(Sector!C22),"",Sector!C22)</f>
        <v/>
      </c>
      <c r="M201" t="str">
        <f t="shared" si="68"/>
        <v>Iron, Total</v>
      </c>
      <c r="N201" t="str">
        <f t="shared" si="69"/>
        <v xml:space="preserve"> mg/L</v>
      </c>
      <c r="O201" t="str">
        <f>IF(ISBLANK(Sector!D22),"",Sector!D22)</f>
        <v/>
      </c>
      <c r="P201">
        <f t="shared" si="67"/>
        <v>1</v>
      </c>
    </row>
    <row r="202" spans="1:16">
      <c r="A202" t="str">
        <f>IF(ISBLANK(Common!C$2),"",Common!C$2)</f>
        <v/>
      </c>
      <c r="B202" t="str">
        <f>IF(ISBLANK(Common!C$4),"",Common!C$4)</f>
        <v/>
      </c>
      <c r="C202" t="str">
        <f>IF(ISBLANK(Common!C$6),"",Common!C$6)</f>
        <v/>
      </c>
      <c r="D202" t="str">
        <f>IF(ISBLANK(Common!C$8),"",Common!C$8)</f>
        <v/>
      </c>
      <c r="E202" t="str">
        <f>IF(ISBLANK(Common!I$2),"",Common!I$2)</f>
        <v/>
      </c>
      <c r="F202" t="str">
        <f>IF(ISBLANK(Common!I$4),"",Common!I$4)</f>
        <v/>
      </c>
      <c r="G202" t="str">
        <f>IF(ISBLANK(Common!I$6),"",Common!I$6)</f>
        <v/>
      </c>
      <c r="H202" t="str">
        <f>IF(ISBLANK(Common!I$8),"",Common!I$8)</f>
        <v/>
      </c>
      <c r="I202" t="str">
        <f>IF(ISBLANK(Common!K$8),"",Common!K$8)</f>
        <v/>
      </c>
      <c r="J202" s="27" t="s">
        <v>80</v>
      </c>
      <c r="K202">
        <f>Sector!A$23</f>
        <v>0</v>
      </c>
      <c r="L202" s="136" t="str">
        <f>IF(ISBLANK(Sector!C23),"",Sector!C23)</f>
        <v/>
      </c>
      <c r="M202" t="str">
        <f t="shared" si="68"/>
        <v>Iron, Total</v>
      </c>
      <c r="N202" t="str">
        <f t="shared" si="69"/>
        <v xml:space="preserve"> mg/L</v>
      </c>
      <c r="O202" t="str">
        <f>IF(ISBLANK(Sector!D23),"",Sector!D23)</f>
        <v/>
      </c>
      <c r="P202">
        <f t="shared" si="67"/>
        <v>1</v>
      </c>
    </row>
    <row r="203" spans="1:16">
      <c r="A203" t="str">
        <f>IF(ISBLANK(Common!C$2),"",Common!C$2)</f>
        <v/>
      </c>
      <c r="B203" t="str">
        <f>IF(ISBLANK(Common!C$4),"",Common!C$4)</f>
        <v/>
      </c>
      <c r="C203" t="str">
        <f>IF(ISBLANK(Common!C$6),"",Common!C$6)</f>
        <v/>
      </c>
      <c r="D203" t="str">
        <f>IF(ISBLANK(Common!C$8),"",Common!C$8)</f>
        <v/>
      </c>
      <c r="E203" t="str">
        <f>IF(ISBLANK(Common!I$2),"",Common!I$2)</f>
        <v/>
      </c>
      <c r="F203" t="str">
        <f>IF(ISBLANK(Common!I$4),"",Common!I$4)</f>
        <v/>
      </c>
      <c r="G203" t="str">
        <f>IF(ISBLANK(Common!I$6),"",Common!I$6)</f>
        <v/>
      </c>
      <c r="H203" t="str">
        <f>IF(ISBLANK(Common!I$8),"",Common!I$8)</f>
        <v/>
      </c>
      <c r="I203" t="str">
        <f>IF(ISBLANK(Common!K$8),"",Common!K$8)</f>
        <v/>
      </c>
      <c r="J203" s="27" t="s">
        <v>80</v>
      </c>
      <c r="K203">
        <f>Sector!A$23</f>
        <v>0</v>
      </c>
      <c r="L203" s="136" t="str">
        <f>IF(ISBLANK(Sector!C24),"",Sector!C24)</f>
        <v/>
      </c>
      <c r="M203" t="str">
        <f t="shared" si="68"/>
        <v>Iron, Total</v>
      </c>
      <c r="N203" t="str">
        <f t="shared" si="69"/>
        <v xml:space="preserve"> mg/L</v>
      </c>
      <c r="O203" t="str">
        <f>IF(ISBLANK(Sector!D24),"",Sector!D24)</f>
        <v/>
      </c>
      <c r="P203">
        <f t="shared" si="67"/>
        <v>1</v>
      </c>
    </row>
    <row r="204" spans="1:16">
      <c r="A204" t="str">
        <f>IF(ISBLANK(Common!C$2),"",Common!C$2)</f>
        <v/>
      </c>
      <c r="B204" t="str">
        <f>IF(ISBLANK(Common!C$4),"",Common!C$4)</f>
        <v/>
      </c>
      <c r="C204" t="str">
        <f>IF(ISBLANK(Common!C$6),"",Common!C$6)</f>
        <v/>
      </c>
      <c r="D204" t="str">
        <f>IF(ISBLANK(Common!C$8),"",Common!C$8)</f>
        <v/>
      </c>
      <c r="E204" t="str">
        <f>IF(ISBLANK(Common!I$2),"",Common!I$2)</f>
        <v/>
      </c>
      <c r="F204" t="str">
        <f>IF(ISBLANK(Common!I$4),"",Common!I$4)</f>
        <v/>
      </c>
      <c r="G204" t="str">
        <f>IF(ISBLANK(Common!I$6),"",Common!I$6)</f>
        <v/>
      </c>
      <c r="H204" t="str">
        <f>IF(ISBLANK(Common!I$8),"",Common!I$8)</f>
        <v/>
      </c>
      <c r="I204" t="str">
        <f>IF(ISBLANK(Common!K$8),"",Common!K$8)</f>
        <v/>
      </c>
      <c r="J204" s="27" t="s">
        <v>80</v>
      </c>
      <c r="K204">
        <f>Sector!A$23</f>
        <v>0</v>
      </c>
      <c r="L204" s="136" t="str">
        <f>IF(ISBLANK(Sector!C25),"",Sector!C25)</f>
        <v/>
      </c>
      <c r="M204" t="str">
        <f t="shared" si="68"/>
        <v>Iron, Total</v>
      </c>
      <c r="N204" t="str">
        <f t="shared" si="69"/>
        <v xml:space="preserve"> mg/L</v>
      </c>
      <c r="O204" t="str">
        <f>IF(ISBLANK(Sector!D25),"",Sector!D25)</f>
        <v/>
      </c>
      <c r="P204">
        <f t="shared" si="67"/>
        <v>1</v>
      </c>
    </row>
    <row r="205" spans="1:16">
      <c r="A205" t="str">
        <f>IF(ISBLANK(Common!C$2),"",Common!C$2)</f>
        <v/>
      </c>
      <c r="B205" t="str">
        <f>IF(ISBLANK(Common!C$4),"",Common!C$4)</f>
        <v/>
      </c>
      <c r="C205" t="str">
        <f>IF(ISBLANK(Common!C$6),"",Common!C$6)</f>
        <v/>
      </c>
      <c r="D205" t="str">
        <f>IF(ISBLANK(Common!C$8),"",Common!C$8)</f>
        <v/>
      </c>
      <c r="E205" t="str">
        <f>IF(ISBLANK(Common!I$2),"",Common!I$2)</f>
        <v/>
      </c>
      <c r="F205" t="str">
        <f>IF(ISBLANK(Common!I$4),"",Common!I$4)</f>
        <v/>
      </c>
      <c r="G205" t="str">
        <f>IF(ISBLANK(Common!I$6),"",Common!I$6)</f>
        <v/>
      </c>
      <c r="H205" t="str">
        <f>IF(ISBLANK(Common!I$8),"",Common!I$8)</f>
        <v/>
      </c>
      <c r="I205" t="str">
        <f>IF(ISBLANK(Common!K$8),"",Common!K$8)</f>
        <v/>
      </c>
      <c r="J205" s="27" t="s">
        <v>80</v>
      </c>
      <c r="K205">
        <f>Sector!A$23</f>
        <v>0</v>
      </c>
      <c r="L205" s="136" t="str">
        <f>IF(ISBLANK(Sector!C26),"",Sector!C26)</f>
        <v/>
      </c>
      <c r="M205" t="str">
        <f t="shared" si="68"/>
        <v>Iron, Total</v>
      </c>
      <c r="N205" t="str">
        <f t="shared" si="69"/>
        <v xml:space="preserve"> mg/L</v>
      </c>
      <c r="O205" t="str">
        <f>IF(ISBLANK(Sector!D26),"",Sector!D26)</f>
        <v/>
      </c>
      <c r="P205">
        <f t="shared" si="67"/>
        <v>1</v>
      </c>
    </row>
    <row r="206" spans="1:16">
      <c r="A206" t="str">
        <f>IF(ISBLANK(Common!C$2),"",Common!C$2)</f>
        <v/>
      </c>
      <c r="B206" t="str">
        <f>IF(ISBLANK(Common!C$4),"",Common!C$4)</f>
        <v/>
      </c>
      <c r="C206" t="str">
        <f>IF(ISBLANK(Common!C$6),"",Common!C$6)</f>
        <v/>
      </c>
      <c r="D206" t="str">
        <f>IF(ISBLANK(Common!C$8),"",Common!C$8)</f>
        <v/>
      </c>
      <c r="E206" t="str">
        <f>IF(ISBLANK(Common!I$2),"",Common!I$2)</f>
        <v/>
      </c>
      <c r="F206" t="str">
        <f>IF(ISBLANK(Common!I$4),"",Common!I$4)</f>
        <v/>
      </c>
      <c r="G206" t="str">
        <f>IF(ISBLANK(Common!I$6),"",Common!I$6)</f>
        <v/>
      </c>
      <c r="H206" t="str">
        <f>IF(ISBLANK(Common!I$8),"",Common!I$8)</f>
        <v/>
      </c>
      <c r="I206" t="str">
        <f>IF(ISBLANK(Common!K$8),"",Common!K$8)</f>
        <v/>
      </c>
      <c r="J206" s="27" t="s">
        <v>80</v>
      </c>
      <c r="K206">
        <f>Sector!A$27</f>
        <v>0</v>
      </c>
      <c r="L206" s="136" t="str">
        <f>IF(ISBLANK(Sector!C27),"",Sector!C27)</f>
        <v/>
      </c>
      <c r="M206" t="str">
        <f t="shared" si="68"/>
        <v>Iron, Total</v>
      </c>
      <c r="N206" t="str">
        <f t="shared" si="69"/>
        <v xml:space="preserve"> mg/L</v>
      </c>
      <c r="O206" t="str">
        <f>IF(ISBLANK(Sector!D27),"",Sector!D27)</f>
        <v/>
      </c>
      <c r="P206">
        <f t="shared" si="67"/>
        <v>1</v>
      </c>
    </row>
    <row r="207" spans="1:16">
      <c r="A207" t="str">
        <f>IF(ISBLANK(Common!C$2),"",Common!C$2)</f>
        <v/>
      </c>
      <c r="B207" t="str">
        <f>IF(ISBLANK(Common!C$4),"",Common!C$4)</f>
        <v/>
      </c>
      <c r="C207" t="str">
        <f>IF(ISBLANK(Common!C$6),"",Common!C$6)</f>
        <v/>
      </c>
      <c r="D207" t="str">
        <f>IF(ISBLANK(Common!C$8),"",Common!C$8)</f>
        <v/>
      </c>
      <c r="E207" t="str">
        <f>IF(ISBLANK(Common!I$2),"",Common!I$2)</f>
        <v/>
      </c>
      <c r="F207" t="str">
        <f>IF(ISBLANK(Common!I$4),"",Common!I$4)</f>
        <v/>
      </c>
      <c r="G207" t="str">
        <f>IF(ISBLANK(Common!I$6),"",Common!I$6)</f>
        <v/>
      </c>
      <c r="H207" t="str">
        <f>IF(ISBLANK(Common!I$8),"",Common!I$8)</f>
        <v/>
      </c>
      <c r="I207" t="str">
        <f>IF(ISBLANK(Common!K$8),"",Common!K$8)</f>
        <v/>
      </c>
      <c r="J207" s="27" t="s">
        <v>80</v>
      </c>
      <c r="K207">
        <f>Sector!A$27</f>
        <v>0</v>
      </c>
      <c r="L207" s="136" t="str">
        <f>IF(ISBLANK(Sector!C28),"",Sector!C28)</f>
        <v/>
      </c>
      <c r="M207" t="str">
        <f t="shared" si="68"/>
        <v>Iron, Total</v>
      </c>
      <c r="N207" t="str">
        <f t="shared" si="69"/>
        <v xml:space="preserve"> mg/L</v>
      </c>
      <c r="O207" t="str">
        <f>IF(ISBLANK(Sector!D28),"",Sector!D28)</f>
        <v/>
      </c>
      <c r="P207">
        <f t="shared" si="67"/>
        <v>1</v>
      </c>
    </row>
    <row r="208" spans="1:16">
      <c r="A208" t="str">
        <f>IF(ISBLANK(Common!C$2),"",Common!C$2)</f>
        <v/>
      </c>
      <c r="B208" t="str">
        <f>IF(ISBLANK(Common!C$4),"",Common!C$4)</f>
        <v/>
      </c>
      <c r="C208" t="str">
        <f>IF(ISBLANK(Common!C$6),"",Common!C$6)</f>
        <v/>
      </c>
      <c r="D208" t="str">
        <f>IF(ISBLANK(Common!C$8),"",Common!C$8)</f>
        <v/>
      </c>
      <c r="E208" t="str">
        <f>IF(ISBLANK(Common!I$2),"",Common!I$2)</f>
        <v/>
      </c>
      <c r="F208" t="str">
        <f>IF(ISBLANK(Common!I$4),"",Common!I$4)</f>
        <v/>
      </c>
      <c r="G208" t="str">
        <f>IF(ISBLANK(Common!I$6),"",Common!I$6)</f>
        <v/>
      </c>
      <c r="H208" t="str">
        <f>IF(ISBLANK(Common!I$8),"",Common!I$8)</f>
        <v/>
      </c>
      <c r="I208" t="str">
        <f>IF(ISBLANK(Common!K$8),"",Common!K$8)</f>
        <v/>
      </c>
      <c r="J208" s="27" t="s">
        <v>80</v>
      </c>
      <c r="K208">
        <f>Sector!A$27</f>
        <v>0</v>
      </c>
      <c r="L208" s="136" t="str">
        <f>IF(ISBLANK(Sector!C29),"",Sector!C29)</f>
        <v/>
      </c>
      <c r="M208" t="str">
        <f t="shared" si="68"/>
        <v>Iron, Total</v>
      </c>
      <c r="N208" t="str">
        <f t="shared" si="69"/>
        <v xml:space="preserve"> mg/L</v>
      </c>
      <c r="O208" t="str">
        <f>IF(ISBLANK(Sector!D29),"",Sector!D29)</f>
        <v/>
      </c>
      <c r="P208">
        <f t="shared" si="67"/>
        <v>1</v>
      </c>
    </row>
    <row r="209" spans="1:16">
      <c r="A209" t="str">
        <f>IF(ISBLANK(Common!C$2),"",Common!C$2)</f>
        <v/>
      </c>
      <c r="B209" t="str">
        <f>IF(ISBLANK(Common!C$4),"",Common!C$4)</f>
        <v/>
      </c>
      <c r="C209" t="str">
        <f>IF(ISBLANK(Common!C$6),"",Common!C$6)</f>
        <v/>
      </c>
      <c r="D209" t="str">
        <f>IF(ISBLANK(Common!C$8),"",Common!C$8)</f>
        <v/>
      </c>
      <c r="E209" t="str">
        <f>IF(ISBLANK(Common!I$2),"",Common!I$2)</f>
        <v/>
      </c>
      <c r="F209" t="str">
        <f>IF(ISBLANK(Common!I$4),"",Common!I$4)</f>
        <v/>
      </c>
      <c r="G209" t="str">
        <f>IF(ISBLANK(Common!I$6),"",Common!I$6)</f>
        <v/>
      </c>
      <c r="H209" t="str">
        <f>IF(ISBLANK(Common!I$8),"",Common!I$8)</f>
        <v/>
      </c>
      <c r="I209" t="str">
        <f>IF(ISBLANK(Common!K$8),"",Common!K$8)</f>
        <v/>
      </c>
      <c r="J209" s="27" t="s">
        <v>80</v>
      </c>
      <c r="K209">
        <f>Sector!A$27</f>
        <v>0</v>
      </c>
      <c r="L209" s="136" t="str">
        <f>IF(ISBLANK(Sector!C30),"",Sector!C30)</f>
        <v/>
      </c>
      <c r="M209" t="str">
        <f t="shared" si="68"/>
        <v>Iron, Total</v>
      </c>
      <c r="N209" t="str">
        <f t="shared" si="69"/>
        <v xml:space="preserve"> mg/L</v>
      </c>
      <c r="O209" t="str">
        <f>IF(ISBLANK(Sector!D30),"",Sector!D30)</f>
        <v/>
      </c>
      <c r="P209">
        <f>P208</f>
        <v>1</v>
      </c>
    </row>
    <row r="210" spans="1:16">
      <c r="A210" t="str">
        <f>IF(ISBLANK(Common!C$2),"",Common!C$2)</f>
        <v/>
      </c>
      <c r="B210" t="str">
        <f>IF(ISBLANK(Common!C$4),"",Common!C$4)</f>
        <v/>
      </c>
      <c r="C210" t="str">
        <f>IF(ISBLANK(Common!C$6),"",Common!C$6)</f>
        <v/>
      </c>
      <c r="D210" t="str">
        <f>IF(ISBLANK(Common!C$8),"",Common!C$8)</f>
        <v/>
      </c>
      <c r="E210" t="str">
        <f>IF(ISBLANK(Common!I$2),"",Common!I$2)</f>
        <v/>
      </c>
      <c r="F210" t="str">
        <f>IF(ISBLANK(Common!I$4),"",Common!I$4)</f>
        <v/>
      </c>
      <c r="G210" t="str">
        <f>IF(ISBLANK(Common!I$6),"",Common!I$6)</f>
        <v/>
      </c>
      <c r="H210" t="str">
        <f>IF(ISBLANK(Common!I$8),"",Common!I$8)</f>
        <v/>
      </c>
      <c r="I210" t="str">
        <f>IF(ISBLANK(Common!K$8),"",Common!K$8)</f>
        <v/>
      </c>
      <c r="J210" s="27" t="s">
        <v>80</v>
      </c>
      <c r="K210">
        <f>Sector!A$15</f>
        <v>0</v>
      </c>
      <c r="L210" s="136" t="str">
        <f>IF(ISBLANK(Sector!C15),"",Sector!C15)</f>
        <v/>
      </c>
      <c r="M210" t="str">
        <f>Sector!E12</f>
        <v>Aluminum, Total</v>
      </c>
      <c r="N210" t="str">
        <f>Sector!E13</f>
        <v>mg/L</v>
      </c>
      <c r="O210" t="str">
        <f>IF(ISBLANK(Sector!E15),"",Sector!E15)</f>
        <v/>
      </c>
      <c r="P210" s="138">
        <f>Sector!E31</f>
        <v>0.75</v>
      </c>
    </row>
    <row r="211" spans="1:16">
      <c r="A211" t="str">
        <f>IF(ISBLANK(Common!C$2),"",Common!C$2)</f>
        <v/>
      </c>
      <c r="B211" t="str">
        <f>IF(ISBLANK(Common!C$4),"",Common!C$4)</f>
        <v/>
      </c>
      <c r="C211" t="str">
        <f>IF(ISBLANK(Common!C$6),"",Common!C$6)</f>
        <v/>
      </c>
      <c r="D211" t="str">
        <f>IF(ISBLANK(Common!C$8),"",Common!C$8)</f>
        <v/>
      </c>
      <c r="E211" t="str">
        <f>IF(ISBLANK(Common!I$2),"",Common!I$2)</f>
        <v/>
      </c>
      <c r="F211" t="str">
        <f>IF(ISBLANK(Common!I$4),"",Common!I$4)</f>
        <v/>
      </c>
      <c r="G211" t="str">
        <f>IF(ISBLANK(Common!I$6),"",Common!I$6)</f>
        <v/>
      </c>
      <c r="H211" t="str">
        <f>IF(ISBLANK(Common!I$8),"",Common!I$8)</f>
        <v/>
      </c>
      <c r="I211" t="str">
        <f>IF(ISBLANK(Common!K$8),"",Common!K$8)</f>
        <v/>
      </c>
      <c r="J211" s="27" t="s">
        <v>80</v>
      </c>
      <c r="K211">
        <f>Sector!A$15</f>
        <v>0</v>
      </c>
      <c r="L211" s="136" t="str">
        <f>IF(ISBLANK(Sector!C16),"",Sector!C16)</f>
        <v/>
      </c>
      <c r="M211" t="str">
        <f t="shared" ref="M211:M225" si="70">M210</f>
        <v>Aluminum, Total</v>
      </c>
      <c r="N211" t="str">
        <f t="shared" ref="N211:P228" si="71">N210</f>
        <v>mg/L</v>
      </c>
      <c r="O211" t="str">
        <f>IF(ISBLANK(Sector!E16),"",Sector!E16)</f>
        <v/>
      </c>
      <c r="P211">
        <f t="shared" si="71"/>
        <v>0.75</v>
      </c>
    </row>
    <row r="212" spans="1:16">
      <c r="A212" t="str">
        <f>IF(ISBLANK(Common!C$2),"",Common!C$2)</f>
        <v/>
      </c>
      <c r="B212" t="str">
        <f>IF(ISBLANK(Common!C$4),"",Common!C$4)</f>
        <v/>
      </c>
      <c r="C212" t="str">
        <f>IF(ISBLANK(Common!C$6),"",Common!C$6)</f>
        <v/>
      </c>
      <c r="D212" t="str">
        <f>IF(ISBLANK(Common!C$8),"",Common!C$8)</f>
        <v/>
      </c>
      <c r="E212" t="str">
        <f>IF(ISBLANK(Common!I$2),"",Common!I$2)</f>
        <v/>
      </c>
      <c r="F212" t="str">
        <f>IF(ISBLANK(Common!I$4),"",Common!I$4)</f>
        <v/>
      </c>
      <c r="G212" t="str">
        <f>IF(ISBLANK(Common!I$6),"",Common!I$6)</f>
        <v/>
      </c>
      <c r="H212" t="str">
        <f>IF(ISBLANK(Common!I$8),"",Common!I$8)</f>
        <v/>
      </c>
      <c r="I212" t="str">
        <f>IF(ISBLANK(Common!K$8),"",Common!K$8)</f>
        <v/>
      </c>
      <c r="J212" s="27" t="s">
        <v>80</v>
      </c>
      <c r="K212">
        <f>Sector!A$15</f>
        <v>0</v>
      </c>
      <c r="L212" s="136" t="str">
        <f>IF(ISBLANK(Sector!C17),"",Sector!C17)</f>
        <v/>
      </c>
      <c r="M212" t="str">
        <f t="shared" si="70"/>
        <v>Aluminum, Total</v>
      </c>
      <c r="N212" t="str">
        <f t="shared" si="71"/>
        <v>mg/L</v>
      </c>
      <c r="O212" t="str">
        <f>IF(ISBLANK(Sector!E17),"",Sector!E17)</f>
        <v/>
      </c>
      <c r="P212">
        <f t="shared" si="71"/>
        <v>0.75</v>
      </c>
    </row>
    <row r="213" spans="1:16">
      <c r="A213" t="str">
        <f>IF(ISBLANK(Common!C$2),"",Common!C$2)</f>
        <v/>
      </c>
      <c r="B213" t="str">
        <f>IF(ISBLANK(Common!C$4),"",Common!C$4)</f>
        <v/>
      </c>
      <c r="C213" t="str">
        <f>IF(ISBLANK(Common!C$6),"",Common!C$6)</f>
        <v/>
      </c>
      <c r="D213" t="str">
        <f>IF(ISBLANK(Common!C$8),"",Common!C$8)</f>
        <v/>
      </c>
      <c r="E213" t="str">
        <f>IF(ISBLANK(Common!I$2),"",Common!I$2)</f>
        <v/>
      </c>
      <c r="F213" t="str">
        <f>IF(ISBLANK(Common!I$4),"",Common!I$4)</f>
        <v/>
      </c>
      <c r="G213" t="str">
        <f>IF(ISBLANK(Common!I$6),"",Common!I$6)</f>
        <v/>
      </c>
      <c r="H213" t="str">
        <f>IF(ISBLANK(Common!I$8),"",Common!I$8)</f>
        <v/>
      </c>
      <c r="I213" t="str">
        <f>IF(ISBLANK(Common!K$8),"",Common!K$8)</f>
        <v/>
      </c>
      <c r="J213" s="27" t="s">
        <v>80</v>
      </c>
      <c r="K213">
        <f>Sector!A$15</f>
        <v>0</v>
      </c>
      <c r="L213" s="136" t="str">
        <f>IF(ISBLANK(Sector!C18),"",Sector!C18)</f>
        <v/>
      </c>
      <c r="M213" t="str">
        <f t="shared" si="70"/>
        <v>Aluminum, Total</v>
      </c>
      <c r="N213" t="str">
        <f t="shared" si="71"/>
        <v>mg/L</v>
      </c>
      <c r="O213" t="str">
        <f>IF(ISBLANK(Sector!E18),"",Sector!E18)</f>
        <v/>
      </c>
      <c r="P213">
        <f t="shared" si="71"/>
        <v>0.75</v>
      </c>
    </row>
    <row r="214" spans="1:16">
      <c r="A214" t="str">
        <f>IF(ISBLANK(Common!C$2),"",Common!C$2)</f>
        <v/>
      </c>
      <c r="B214" t="str">
        <f>IF(ISBLANK(Common!C$4),"",Common!C$4)</f>
        <v/>
      </c>
      <c r="C214" t="str">
        <f>IF(ISBLANK(Common!C$6),"",Common!C$6)</f>
        <v/>
      </c>
      <c r="D214" t="str">
        <f>IF(ISBLANK(Common!C$8),"",Common!C$8)</f>
        <v/>
      </c>
      <c r="E214" t="str">
        <f>IF(ISBLANK(Common!I$2),"",Common!I$2)</f>
        <v/>
      </c>
      <c r="F214" t="str">
        <f>IF(ISBLANK(Common!I$4),"",Common!I$4)</f>
        <v/>
      </c>
      <c r="G214" t="str">
        <f>IF(ISBLANK(Common!I$6),"",Common!I$6)</f>
        <v/>
      </c>
      <c r="H214" t="str">
        <f>IF(ISBLANK(Common!I$8),"",Common!I$8)</f>
        <v/>
      </c>
      <c r="I214" t="str">
        <f>IF(ISBLANK(Common!K$8),"",Common!K$8)</f>
        <v/>
      </c>
      <c r="J214" s="27" t="s">
        <v>80</v>
      </c>
      <c r="K214">
        <f>Sector!A$19</f>
        <v>0</v>
      </c>
      <c r="L214" s="136" t="str">
        <f>IF(ISBLANK(Sector!C19),"",Sector!C19)</f>
        <v/>
      </c>
      <c r="M214" t="str">
        <f t="shared" si="70"/>
        <v>Aluminum, Total</v>
      </c>
      <c r="N214" t="str">
        <f t="shared" si="71"/>
        <v>mg/L</v>
      </c>
      <c r="O214" t="str">
        <f>IF(ISBLANK(Sector!E19),"",Sector!E19)</f>
        <v/>
      </c>
      <c r="P214">
        <f t="shared" si="71"/>
        <v>0.75</v>
      </c>
    </row>
    <row r="215" spans="1:16">
      <c r="A215" t="str">
        <f>IF(ISBLANK(Common!C$2),"",Common!C$2)</f>
        <v/>
      </c>
      <c r="B215" t="str">
        <f>IF(ISBLANK(Common!C$4),"",Common!C$4)</f>
        <v/>
      </c>
      <c r="C215" t="str">
        <f>IF(ISBLANK(Common!C$6),"",Common!C$6)</f>
        <v/>
      </c>
      <c r="D215" t="str">
        <f>IF(ISBLANK(Common!C$8),"",Common!C$8)</f>
        <v/>
      </c>
      <c r="E215" t="str">
        <f>IF(ISBLANK(Common!I$2),"",Common!I$2)</f>
        <v/>
      </c>
      <c r="F215" t="str">
        <f>IF(ISBLANK(Common!I$4),"",Common!I$4)</f>
        <v/>
      </c>
      <c r="G215" t="str">
        <f>IF(ISBLANK(Common!I$6),"",Common!I$6)</f>
        <v/>
      </c>
      <c r="H215" t="str">
        <f>IF(ISBLANK(Common!I$8),"",Common!I$8)</f>
        <v/>
      </c>
      <c r="I215" t="str">
        <f>IF(ISBLANK(Common!K$8),"",Common!K$8)</f>
        <v/>
      </c>
      <c r="J215" s="27" t="s">
        <v>80</v>
      </c>
      <c r="K215">
        <f>Sector!A$19</f>
        <v>0</v>
      </c>
      <c r="L215" s="136" t="str">
        <f>IF(ISBLANK(Sector!C20),"",Sector!C20)</f>
        <v/>
      </c>
      <c r="M215" t="str">
        <f t="shared" si="70"/>
        <v>Aluminum, Total</v>
      </c>
      <c r="N215" t="str">
        <f t="shared" si="71"/>
        <v>mg/L</v>
      </c>
      <c r="O215" t="str">
        <f>IF(ISBLANK(Sector!E20),"",Sector!E20)</f>
        <v/>
      </c>
      <c r="P215">
        <f t="shared" si="71"/>
        <v>0.75</v>
      </c>
    </row>
    <row r="216" spans="1:16">
      <c r="A216" t="str">
        <f>IF(ISBLANK(Common!C$2),"",Common!C$2)</f>
        <v/>
      </c>
      <c r="B216" t="str">
        <f>IF(ISBLANK(Common!C$4),"",Common!C$4)</f>
        <v/>
      </c>
      <c r="C216" t="str">
        <f>IF(ISBLANK(Common!C$6),"",Common!C$6)</f>
        <v/>
      </c>
      <c r="D216" t="str">
        <f>IF(ISBLANK(Common!C$8),"",Common!C$8)</f>
        <v/>
      </c>
      <c r="E216" t="str">
        <f>IF(ISBLANK(Common!I$2),"",Common!I$2)</f>
        <v/>
      </c>
      <c r="F216" t="str">
        <f>IF(ISBLANK(Common!I$4),"",Common!I$4)</f>
        <v/>
      </c>
      <c r="G216" t="str">
        <f>IF(ISBLANK(Common!I$6),"",Common!I$6)</f>
        <v/>
      </c>
      <c r="H216" t="str">
        <f>IF(ISBLANK(Common!I$8),"",Common!I$8)</f>
        <v/>
      </c>
      <c r="I216" t="str">
        <f>IF(ISBLANK(Common!K$8),"",Common!K$8)</f>
        <v/>
      </c>
      <c r="J216" s="27" t="s">
        <v>80</v>
      </c>
      <c r="K216">
        <f>Sector!A$19</f>
        <v>0</v>
      </c>
      <c r="L216" s="136" t="str">
        <f>IF(ISBLANK(Sector!C21),"",Sector!C21)</f>
        <v/>
      </c>
      <c r="M216" t="str">
        <f t="shared" si="70"/>
        <v>Aluminum, Total</v>
      </c>
      <c r="N216" t="str">
        <f t="shared" si="71"/>
        <v>mg/L</v>
      </c>
      <c r="O216" t="str">
        <f>IF(ISBLANK(Sector!E21),"",Sector!E21)</f>
        <v/>
      </c>
      <c r="P216">
        <f t="shared" si="71"/>
        <v>0.75</v>
      </c>
    </row>
    <row r="217" spans="1:16">
      <c r="A217" t="str">
        <f>IF(ISBLANK(Common!C$2),"",Common!C$2)</f>
        <v/>
      </c>
      <c r="B217" t="str">
        <f>IF(ISBLANK(Common!C$4),"",Common!C$4)</f>
        <v/>
      </c>
      <c r="C217" t="str">
        <f>IF(ISBLANK(Common!C$6),"",Common!C$6)</f>
        <v/>
      </c>
      <c r="D217" t="str">
        <f>IF(ISBLANK(Common!C$8),"",Common!C$8)</f>
        <v/>
      </c>
      <c r="E217" t="str">
        <f>IF(ISBLANK(Common!I$2),"",Common!I$2)</f>
        <v/>
      </c>
      <c r="F217" t="str">
        <f>IF(ISBLANK(Common!I$4),"",Common!I$4)</f>
        <v/>
      </c>
      <c r="G217" t="str">
        <f>IF(ISBLANK(Common!I$6),"",Common!I$6)</f>
        <v/>
      </c>
      <c r="H217" t="str">
        <f>IF(ISBLANK(Common!I$8),"",Common!I$8)</f>
        <v/>
      </c>
      <c r="I217" t="str">
        <f>IF(ISBLANK(Common!K$8),"",Common!K$8)</f>
        <v/>
      </c>
      <c r="J217" s="27" t="s">
        <v>80</v>
      </c>
      <c r="K217">
        <f>Sector!A$19</f>
        <v>0</v>
      </c>
      <c r="L217" s="136" t="str">
        <f>IF(ISBLANK(Sector!C22),"",Sector!C22)</f>
        <v/>
      </c>
      <c r="M217" t="str">
        <f t="shared" si="70"/>
        <v>Aluminum, Total</v>
      </c>
      <c r="N217" t="str">
        <f t="shared" si="71"/>
        <v>mg/L</v>
      </c>
      <c r="O217" t="str">
        <f>IF(ISBLANK(Sector!E22),"",Sector!E22)</f>
        <v/>
      </c>
      <c r="P217">
        <f t="shared" si="71"/>
        <v>0.75</v>
      </c>
    </row>
    <row r="218" spans="1:16">
      <c r="A218" t="str">
        <f>IF(ISBLANK(Common!C$2),"",Common!C$2)</f>
        <v/>
      </c>
      <c r="B218" t="str">
        <f>IF(ISBLANK(Common!C$4),"",Common!C$4)</f>
        <v/>
      </c>
      <c r="C218" t="str">
        <f>IF(ISBLANK(Common!C$6),"",Common!C$6)</f>
        <v/>
      </c>
      <c r="D218" t="str">
        <f>IF(ISBLANK(Common!C$8),"",Common!C$8)</f>
        <v/>
      </c>
      <c r="E218" t="str">
        <f>IF(ISBLANK(Common!I$2),"",Common!I$2)</f>
        <v/>
      </c>
      <c r="F218" t="str">
        <f>IF(ISBLANK(Common!I$4),"",Common!I$4)</f>
        <v/>
      </c>
      <c r="G218" t="str">
        <f>IF(ISBLANK(Common!I$6),"",Common!I$6)</f>
        <v/>
      </c>
      <c r="H218" t="str">
        <f>IF(ISBLANK(Common!I$8),"",Common!I$8)</f>
        <v/>
      </c>
      <c r="I218" t="str">
        <f>IF(ISBLANK(Common!K$8),"",Common!K$8)</f>
        <v/>
      </c>
      <c r="J218" s="27" t="s">
        <v>80</v>
      </c>
      <c r="K218">
        <f>Sector!A$23</f>
        <v>0</v>
      </c>
      <c r="L218" s="136" t="str">
        <f>IF(ISBLANK(Sector!C23),"",Sector!C23)</f>
        <v/>
      </c>
      <c r="M218" t="str">
        <f t="shared" si="70"/>
        <v>Aluminum, Total</v>
      </c>
      <c r="N218" t="str">
        <f t="shared" si="71"/>
        <v>mg/L</v>
      </c>
      <c r="O218" t="str">
        <f>IF(ISBLANK(Sector!E23),"",Sector!E23)</f>
        <v/>
      </c>
      <c r="P218">
        <f t="shared" si="71"/>
        <v>0.75</v>
      </c>
    </row>
    <row r="219" spans="1:16">
      <c r="A219" t="str">
        <f>IF(ISBLANK(Common!C$2),"",Common!C$2)</f>
        <v/>
      </c>
      <c r="B219" t="str">
        <f>IF(ISBLANK(Common!C$4),"",Common!C$4)</f>
        <v/>
      </c>
      <c r="C219" t="str">
        <f>IF(ISBLANK(Common!C$6),"",Common!C$6)</f>
        <v/>
      </c>
      <c r="D219" t="str">
        <f>IF(ISBLANK(Common!C$8),"",Common!C$8)</f>
        <v/>
      </c>
      <c r="E219" t="str">
        <f>IF(ISBLANK(Common!I$2),"",Common!I$2)</f>
        <v/>
      </c>
      <c r="F219" t="str">
        <f>IF(ISBLANK(Common!I$4),"",Common!I$4)</f>
        <v/>
      </c>
      <c r="G219" t="str">
        <f>IF(ISBLANK(Common!I$6),"",Common!I$6)</f>
        <v/>
      </c>
      <c r="H219" t="str">
        <f>IF(ISBLANK(Common!I$8),"",Common!I$8)</f>
        <v/>
      </c>
      <c r="I219" t="str">
        <f>IF(ISBLANK(Common!K$8),"",Common!K$8)</f>
        <v/>
      </c>
      <c r="J219" s="27" t="s">
        <v>80</v>
      </c>
      <c r="K219">
        <f>Sector!A$23</f>
        <v>0</v>
      </c>
      <c r="L219" s="136" t="str">
        <f>IF(ISBLANK(Sector!C24),"",Sector!C24)</f>
        <v/>
      </c>
      <c r="M219" t="str">
        <f t="shared" si="70"/>
        <v>Aluminum, Total</v>
      </c>
      <c r="N219" t="str">
        <f t="shared" si="71"/>
        <v>mg/L</v>
      </c>
      <c r="O219" t="str">
        <f>IF(ISBLANK(Sector!E24),"",Sector!E24)</f>
        <v/>
      </c>
      <c r="P219">
        <f t="shared" si="71"/>
        <v>0.75</v>
      </c>
    </row>
    <row r="220" spans="1:16">
      <c r="A220" t="str">
        <f>IF(ISBLANK(Common!C$2),"",Common!C$2)</f>
        <v/>
      </c>
      <c r="B220" t="str">
        <f>IF(ISBLANK(Common!C$4),"",Common!C$4)</f>
        <v/>
      </c>
      <c r="C220" t="str">
        <f>IF(ISBLANK(Common!C$6),"",Common!C$6)</f>
        <v/>
      </c>
      <c r="D220" t="str">
        <f>IF(ISBLANK(Common!C$8),"",Common!C$8)</f>
        <v/>
      </c>
      <c r="E220" t="str">
        <f>IF(ISBLANK(Common!I$2),"",Common!I$2)</f>
        <v/>
      </c>
      <c r="F220" t="str">
        <f>IF(ISBLANK(Common!I$4),"",Common!I$4)</f>
        <v/>
      </c>
      <c r="G220" t="str">
        <f>IF(ISBLANK(Common!I$6),"",Common!I$6)</f>
        <v/>
      </c>
      <c r="H220" t="str">
        <f>IF(ISBLANK(Common!I$8),"",Common!I$8)</f>
        <v/>
      </c>
      <c r="I220" t="str">
        <f>IF(ISBLANK(Common!K$8),"",Common!K$8)</f>
        <v/>
      </c>
      <c r="J220" s="27" t="s">
        <v>80</v>
      </c>
      <c r="K220">
        <f>Sector!A$23</f>
        <v>0</v>
      </c>
      <c r="L220" s="136" t="str">
        <f>IF(ISBLANK(Sector!C25),"",Sector!C25)</f>
        <v/>
      </c>
      <c r="M220" t="str">
        <f t="shared" si="70"/>
        <v>Aluminum, Total</v>
      </c>
      <c r="N220" t="str">
        <f t="shared" si="71"/>
        <v>mg/L</v>
      </c>
      <c r="O220" t="str">
        <f>IF(ISBLANK(Sector!E25),"",Sector!E25)</f>
        <v/>
      </c>
      <c r="P220">
        <f t="shared" si="71"/>
        <v>0.75</v>
      </c>
    </row>
    <row r="221" spans="1:16">
      <c r="A221" t="str">
        <f>IF(ISBLANK(Common!C$2),"",Common!C$2)</f>
        <v/>
      </c>
      <c r="B221" t="str">
        <f>IF(ISBLANK(Common!C$4),"",Common!C$4)</f>
        <v/>
      </c>
      <c r="C221" t="str">
        <f>IF(ISBLANK(Common!C$6),"",Common!C$6)</f>
        <v/>
      </c>
      <c r="D221" t="str">
        <f>IF(ISBLANK(Common!C$8),"",Common!C$8)</f>
        <v/>
      </c>
      <c r="E221" t="str">
        <f>IF(ISBLANK(Common!I$2),"",Common!I$2)</f>
        <v/>
      </c>
      <c r="F221" t="str">
        <f>IF(ISBLANK(Common!I$4),"",Common!I$4)</f>
        <v/>
      </c>
      <c r="G221" t="str">
        <f>IF(ISBLANK(Common!I$6),"",Common!I$6)</f>
        <v/>
      </c>
      <c r="H221" t="str">
        <f>IF(ISBLANK(Common!I$8),"",Common!I$8)</f>
        <v/>
      </c>
      <c r="I221" t="str">
        <f>IF(ISBLANK(Common!K$8),"",Common!K$8)</f>
        <v/>
      </c>
      <c r="J221" s="27" t="s">
        <v>80</v>
      </c>
      <c r="K221">
        <f>Sector!A$23</f>
        <v>0</v>
      </c>
      <c r="L221" s="136" t="str">
        <f>IF(ISBLANK(Sector!C26),"",Sector!C26)</f>
        <v/>
      </c>
      <c r="M221" t="str">
        <f t="shared" si="70"/>
        <v>Aluminum, Total</v>
      </c>
      <c r="N221" t="str">
        <f t="shared" si="71"/>
        <v>mg/L</v>
      </c>
      <c r="O221" t="str">
        <f>IF(ISBLANK(Sector!E26),"",Sector!E26)</f>
        <v/>
      </c>
      <c r="P221">
        <f t="shared" si="71"/>
        <v>0.75</v>
      </c>
    </row>
    <row r="222" spans="1:16">
      <c r="A222" t="str">
        <f>IF(ISBLANK(Common!C$2),"",Common!C$2)</f>
        <v/>
      </c>
      <c r="B222" t="str">
        <f>IF(ISBLANK(Common!C$4),"",Common!C$4)</f>
        <v/>
      </c>
      <c r="C222" t="str">
        <f>IF(ISBLANK(Common!C$6),"",Common!C$6)</f>
        <v/>
      </c>
      <c r="D222" t="str">
        <f>IF(ISBLANK(Common!C$8),"",Common!C$8)</f>
        <v/>
      </c>
      <c r="E222" t="str">
        <f>IF(ISBLANK(Common!I$2),"",Common!I$2)</f>
        <v/>
      </c>
      <c r="F222" t="str">
        <f>IF(ISBLANK(Common!I$4),"",Common!I$4)</f>
        <v/>
      </c>
      <c r="G222" t="str">
        <f>IF(ISBLANK(Common!I$6),"",Common!I$6)</f>
        <v/>
      </c>
      <c r="H222" t="str">
        <f>IF(ISBLANK(Common!I$8),"",Common!I$8)</f>
        <v/>
      </c>
      <c r="I222" t="str">
        <f>IF(ISBLANK(Common!K$8),"",Common!K$8)</f>
        <v/>
      </c>
      <c r="J222" s="27" t="s">
        <v>80</v>
      </c>
      <c r="K222">
        <f>Sector!A$27</f>
        <v>0</v>
      </c>
      <c r="L222" s="136" t="str">
        <f>IF(ISBLANK(Sector!C27),"",Sector!C27)</f>
        <v/>
      </c>
      <c r="M222" t="str">
        <f t="shared" si="70"/>
        <v>Aluminum, Total</v>
      </c>
      <c r="N222" t="str">
        <f t="shared" si="71"/>
        <v>mg/L</v>
      </c>
      <c r="O222" t="str">
        <f>IF(ISBLANK(Sector!E27),"",Sector!E27)</f>
        <v/>
      </c>
      <c r="P222">
        <f t="shared" si="71"/>
        <v>0.75</v>
      </c>
    </row>
    <row r="223" spans="1:16">
      <c r="A223" t="str">
        <f>IF(ISBLANK(Common!C$2),"",Common!C$2)</f>
        <v/>
      </c>
      <c r="B223" t="str">
        <f>IF(ISBLANK(Common!C$4),"",Common!C$4)</f>
        <v/>
      </c>
      <c r="C223" t="str">
        <f>IF(ISBLANK(Common!C$6),"",Common!C$6)</f>
        <v/>
      </c>
      <c r="D223" t="str">
        <f>IF(ISBLANK(Common!C$8),"",Common!C$8)</f>
        <v/>
      </c>
      <c r="E223" t="str">
        <f>IF(ISBLANK(Common!I$2),"",Common!I$2)</f>
        <v/>
      </c>
      <c r="F223" t="str">
        <f>IF(ISBLANK(Common!I$4),"",Common!I$4)</f>
        <v/>
      </c>
      <c r="G223" t="str">
        <f>IF(ISBLANK(Common!I$6),"",Common!I$6)</f>
        <v/>
      </c>
      <c r="H223" t="str">
        <f>IF(ISBLANK(Common!I$8),"",Common!I$8)</f>
        <v/>
      </c>
      <c r="I223" t="str">
        <f>IF(ISBLANK(Common!K$8),"",Common!K$8)</f>
        <v/>
      </c>
      <c r="J223" s="27" t="s">
        <v>80</v>
      </c>
      <c r="K223">
        <f>Sector!A$27</f>
        <v>0</v>
      </c>
      <c r="L223" s="136" t="str">
        <f>IF(ISBLANK(Sector!C28),"",Sector!C28)</f>
        <v/>
      </c>
      <c r="M223" t="str">
        <f t="shared" si="70"/>
        <v>Aluminum, Total</v>
      </c>
      <c r="N223" t="str">
        <f t="shared" si="71"/>
        <v>mg/L</v>
      </c>
      <c r="O223" t="str">
        <f>IF(ISBLANK(Sector!E28),"",Sector!E28)</f>
        <v/>
      </c>
      <c r="P223">
        <f t="shared" si="71"/>
        <v>0.75</v>
      </c>
    </row>
    <row r="224" spans="1:16">
      <c r="A224" t="str">
        <f>IF(ISBLANK(Common!C$2),"",Common!C$2)</f>
        <v/>
      </c>
      <c r="B224" t="str">
        <f>IF(ISBLANK(Common!C$4),"",Common!C$4)</f>
        <v/>
      </c>
      <c r="C224" t="str">
        <f>IF(ISBLANK(Common!C$6),"",Common!C$6)</f>
        <v/>
      </c>
      <c r="D224" t="str">
        <f>IF(ISBLANK(Common!C$8),"",Common!C$8)</f>
        <v/>
      </c>
      <c r="E224" t="str">
        <f>IF(ISBLANK(Common!I$2),"",Common!I$2)</f>
        <v/>
      </c>
      <c r="F224" t="str">
        <f>IF(ISBLANK(Common!I$4),"",Common!I$4)</f>
        <v/>
      </c>
      <c r="G224" t="str">
        <f>IF(ISBLANK(Common!I$6),"",Common!I$6)</f>
        <v/>
      </c>
      <c r="H224" t="str">
        <f>IF(ISBLANK(Common!I$8),"",Common!I$8)</f>
        <v/>
      </c>
      <c r="I224" t="str">
        <f>IF(ISBLANK(Common!K$8),"",Common!K$8)</f>
        <v/>
      </c>
      <c r="J224" s="27" t="s">
        <v>80</v>
      </c>
      <c r="K224">
        <f>Sector!A$27</f>
        <v>0</v>
      </c>
      <c r="L224" s="136" t="str">
        <f>IF(ISBLANK(Sector!C29),"",Sector!C29)</f>
        <v/>
      </c>
      <c r="M224" t="str">
        <f t="shared" si="70"/>
        <v>Aluminum, Total</v>
      </c>
      <c r="N224" t="str">
        <f t="shared" si="71"/>
        <v>mg/L</v>
      </c>
      <c r="O224" t="str">
        <f>IF(ISBLANK(Sector!E29),"",Sector!E29)</f>
        <v/>
      </c>
      <c r="P224">
        <f t="shared" si="71"/>
        <v>0.75</v>
      </c>
    </row>
    <row r="225" spans="1:16">
      <c r="A225" t="str">
        <f>IF(ISBLANK(Common!C$2),"",Common!C$2)</f>
        <v/>
      </c>
      <c r="B225" t="str">
        <f>IF(ISBLANK(Common!C$4),"",Common!C$4)</f>
        <v/>
      </c>
      <c r="C225" t="str">
        <f>IF(ISBLANK(Common!C$6),"",Common!C$6)</f>
        <v/>
      </c>
      <c r="D225" t="str">
        <f>IF(ISBLANK(Common!C$8),"",Common!C$8)</f>
        <v/>
      </c>
      <c r="E225" t="str">
        <f>IF(ISBLANK(Common!I$2),"",Common!I$2)</f>
        <v/>
      </c>
      <c r="F225" t="str">
        <f>IF(ISBLANK(Common!I$4),"",Common!I$4)</f>
        <v/>
      </c>
      <c r="G225" t="str">
        <f>IF(ISBLANK(Common!I$6),"",Common!I$6)</f>
        <v/>
      </c>
      <c r="H225" t="str">
        <f>IF(ISBLANK(Common!I$8),"",Common!I$8)</f>
        <v/>
      </c>
      <c r="I225" t="str">
        <f>IF(ISBLANK(Common!K$8),"",Common!K$8)</f>
        <v/>
      </c>
      <c r="J225" s="27" t="s">
        <v>80</v>
      </c>
      <c r="K225">
        <f>Sector!A$27</f>
        <v>0</v>
      </c>
      <c r="L225" s="136" t="str">
        <f>IF(ISBLANK(Sector!C30),"",Sector!C30)</f>
        <v/>
      </c>
      <c r="M225" t="str">
        <f t="shared" si="70"/>
        <v>Aluminum, Total</v>
      </c>
      <c r="N225" t="str">
        <f t="shared" si="71"/>
        <v>mg/L</v>
      </c>
      <c r="O225" t="str">
        <f>IF(ISBLANK(Sector!E30),"",Sector!E30)</f>
        <v/>
      </c>
      <c r="P225">
        <f t="shared" si="71"/>
        <v>0.75</v>
      </c>
    </row>
    <row r="226" spans="1:16">
      <c r="A226" t="str">
        <f>IF(ISBLANK(Common!C$2),"",Common!C$2)</f>
        <v/>
      </c>
      <c r="B226" t="str">
        <f>IF(ISBLANK(Common!C$4),"",Common!C$4)</f>
        <v/>
      </c>
      <c r="C226" t="str">
        <f>IF(ISBLANK(Common!C$6),"",Common!C$6)</f>
        <v/>
      </c>
      <c r="D226" t="str">
        <f>IF(ISBLANK(Common!C$8),"",Common!C$8)</f>
        <v/>
      </c>
      <c r="E226" t="str">
        <f>IF(ISBLANK(Common!I$2),"",Common!I$2)</f>
        <v/>
      </c>
      <c r="F226" t="str">
        <f>IF(ISBLANK(Common!I$4),"",Common!I$4)</f>
        <v/>
      </c>
      <c r="G226" t="str">
        <f>IF(ISBLANK(Common!I$6),"",Common!I$6)</f>
        <v/>
      </c>
      <c r="H226" t="str">
        <f>IF(ISBLANK(Common!I$8),"",Common!I$8)</f>
        <v/>
      </c>
      <c r="I226" t="str">
        <f>IF(ISBLANK(Common!K$8),"",Common!K$8)</f>
        <v/>
      </c>
      <c r="J226" s="27" t="s">
        <v>80</v>
      </c>
      <c r="K226">
        <f>Sector!A$15</f>
        <v>0</v>
      </c>
      <c r="L226" s="136" t="str">
        <f>IF(ISBLANK(Sector!C15),"",Sector!C15)</f>
        <v/>
      </c>
      <c r="M226" t="str">
        <f>Sector!F12</f>
        <v>Nitrate + Nitrite Nitrogen</v>
      </c>
      <c r="N226" t="str">
        <f>Sector!F13</f>
        <v>mg/L</v>
      </c>
      <c r="O226" t="str">
        <f>IF(ISBLANK(Sector!F15),"",Sector!F15)</f>
        <v/>
      </c>
      <c r="P226" s="138">
        <f>Sector!F31</f>
        <v>0.68</v>
      </c>
    </row>
    <row r="227" spans="1:16">
      <c r="A227" t="str">
        <f>IF(ISBLANK(Common!C$2),"",Common!C$2)</f>
        <v/>
      </c>
      <c r="B227" t="str">
        <f>IF(ISBLANK(Common!C$4),"",Common!C$4)</f>
        <v/>
      </c>
      <c r="C227" t="str">
        <f>IF(ISBLANK(Common!C$6),"",Common!C$6)</f>
        <v/>
      </c>
      <c r="D227" t="str">
        <f>IF(ISBLANK(Common!C$8),"",Common!C$8)</f>
        <v/>
      </c>
      <c r="E227" t="str">
        <f>IF(ISBLANK(Common!I$2),"",Common!I$2)</f>
        <v/>
      </c>
      <c r="F227" t="str">
        <f>IF(ISBLANK(Common!I$4),"",Common!I$4)</f>
        <v/>
      </c>
      <c r="G227" t="str">
        <f>IF(ISBLANK(Common!I$6),"",Common!I$6)</f>
        <v/>
      </c>
      <c r="H227" t="str">
        <f>IF(ISBLANK(Common!I$8),"",Common!I$8)</f>
        <v/>
      </c>
      <c r="I227" t="str">
        <f>IF(ISBLANK(Common!K$8),"",Common!K$8)</f>
        <v/>
      </c>
      <c r="J227" s="27" t="s">
        <v>80</v>
      </c>
      <c r="K227">
        <f>Sector!A$15</f>
        <v>0</v>
      </c>
      <c r="L227" s="136" t="str">
        <f>IF(ISBLANK(Sector!C16),"",Sector!C16)</f>
        <v/>
      </c>
      <c r="M227" t="str">
        <f t="shared" ref="M227:P243" si="72">M226</f>
        <v>Nitrate + Nitrite Nitrogen</v>
      </c>
      <c r="N227" t="str">
        <f t="shared" ref="N227:N241" si="73">N226</f>
        <v>mg/L</v>
      </c>
      <c r="O227" t="str">
        <f>IF(ISBLANK(Sector!F16),"",Sector!F16)</f>
        <v/>
      </c>
      <c r="P227">
        <f t="shared" si="71"/>
        <v>0.68</v>
      </c>
    </row>
    <row r="228" spans="1:16">
      <c r="A228" t="str">
        <f>IF(ISBLANK(Common!C$2),"",Common!C$2)</f>
        <v/>
      </c>
      <c r="B228" t="str">
        <f>IF(ISBLANK(Common!C$4),"",Common!C$4)</f>
        <v/>
      </c>
      <c r="C228" t="str">
        <f>IF(ISBLANK(Common!C$6),"",Common!C$6)</f>
        <v/>
      </c>
      <c r="D228" t="str">
        <f>IF(ISBLANK(Common!C$8),"",Common!C$8)</f>
        <v/>
      </c>
      <c r="E228" t="str">
        <f>IF(ISBLANK(Common!I$2),"",Common!I$2)</f>
        <v/>
      </c>
      <c r="F228" t="str">
        <f>IF(ISBLANK(Common!I$4),"",Common!I$4)</f>
        <v/>
      </c>
      <c r="G228" t="str">
        <f>IF(ISBLANK(Common!I$6),"",Common!I$6)</f>
        <v/>
      </c>
      <c r="H228" t="str">
        <f>IF(ISBLANK(Common!I$8),"",Common!I$8)</f>
        <v/>
      </c>
      <c r="I228" t="str">
        <f>IF(ISBLANK(Common!K$8),"",Common!K$8)</f>
        <v/>
      </c>
      <c r="J228" s="27" t="s">
        <v>80</v>
      </c>
      <c r="K228">
        <f>Sector!A$15</f>
        <v>0</v>
      </c>
      <c r="L228" s="136" t="str">
        <f>IF(ISBLANK(Sector!C17),"",Sector!C17)</f>
        <v/>
      </c>
      <c r="M228" t="str">
        <f t="shared" si="72"/>
        <v>Nitrate + Nitrite Nitrogen</v>
      </c>
      <c r="N228" t="str">
        <f t="shared" si="73"/>
        <v>mg/L</v>
      </c>
      <c r="O228" t="str">
        <f>IF(ISBLANK(Sector!F17),"",Sector!F17)</f>
        <v/>
      </c>
      <c r="P228">
        <f t="shared" si="71"/>
        <v>0.68</v>
      </c>
    </row>
    <row r="229" spans="1:16">
      <c r="A229" t="str">
        <f>IF(ISBLANK(Common!C$2),"",Common!C$2)</f>
        <v/>
      </c>
      <c r="B229" t="str">
        <f>IF(ISBLANK(Common!C$4),"",Common!C$4)</f>
        <v/>
      </c>
      <c r="C229" t="str">
        <f>IF(ISBLANK(Common!C$6),"",Common!C$6)</f>
        <v/>
      </c>
      <c r="D229" t="str">
        <f>IF(ISBLANK(Common!C$8),"",Common!C$8)</f>
        <v/>
      </c>
      <c r="E229" t="str">
        <f>IF(ISBLANK(Common!I$2),"",Common!I$2)</f>
        <v/>
      </c>
      <c r="F229" t="str">
        <f>IF(ISBLANK(Common!I$4),"",Common!I$4)</f>
        <v/>
      </c>
      <c r="G229" t="str">
        <f>IF(ISBLANK(Common!I$6),"",Common!I$6)</f>
        <v/>
      </c>
      <c r="H229" t="str">
        <f>IF(ISBLANK(Common!I$8),"",Common!I$8)</f>
        <v/>
      </c>
      <c r="I229" t="str">
        <f>IF(ISBLANK(Common!K$8),"",Common!K$8)</f>
        <v/>
      </c>
      <c r="J229" s="27" t="s">
        <v>80</v>
      </c>
      <c r="K229">
        <f>Sector!A$15</f>
        <v>0</v>
      </c>
      <c r="L229" s="136" t="str">
        <f>IF(ISBLANK(Sector!C18),"",Sector!C18)</f>
        <v/>
      </c>
      <c r="M229" t="str">
        <f t="shared" si="72"/>
        <v>Nitrate + Nitrite Nitrogen</v>
      </c>
      <c r="N229" t="str">
        <f t="shared" si="73"/>
        <v>mg/L</v>
      </c>
      <c r="O229" t="str">
        <f>IF(ISBLANK(Sector!F18),"",Sector!F18)</f>
        <v/>
      </c>
      <c r="P229">
        <f t="shared" ref="P229:P241" si="74">P228</f>
        <v>0.68</v>
      </c>
    </row>
    <row r="230" spans="1:16">
      <c r="A230" t="str">
        <f>IF(ISBLANK(Common!C$2),"",Common!C$2)</f>
        <v/>
      </c>
      <c r="B230" t="str">
        <f>IF(ISBLANK(Common!C$4),"",Common!C$4)</f>
        <v/>
      </c>
      <c r="C230" t="str">
        <f>IF(ISBLANK(Common!C$6),"",Common!C$6)</f>
        <v/>
      </c>
      <c r="D230" t="str">
        <f>IF(ISBLANK(Common!C$8),"",Common!C$8)</f>
        <v/>
      </c>
      <c r="E230" t="str">
        <f>IF(ISBLANK(Common!I$2),"",Common!I$2)</f>
        <v/>
      </c>
      <c r="F230" t="str">
        <f>IF(ISBLANK(Common!I$4),"",Common!I$4)</f>
        <v/>
      </c>
      <c r="G230" t="str">
        <f>IF(ISBLANK(Common!I$6),"",Common!I$6)</f>
        <v/>
      </c>
      <c r="H230" t="str">
        <f>IF(ISBLANK(Common!I$8),"",Common!I$8)</f>
        <v/>
      </c>
      <c r="I230" t="str">
        <f>IF(ISBLANK(Common!K$8),"",Common!K$8)</f>
        <v/>
      </c>
      <c r="J230" s="27" t="s">
        <v>80</v>
      </c>
      <c r="K230">
        <f>Sector!A$19</f>
        <v>0</v>
      </c>
      <c r="L230" s="136" t="str">
        <f>IF(ISBLANK(Sector!C19),"",Sector!C19)</f>
        <v/>
      </c>
      <c r="M230" t="str">
        <f t="shared" si="72"/>
        <v>Nitrate + Nitrite Nitrogen</v>
      </c>
      <c r="N230" t="str">
        <f t="shared" si="73"/>
        <v>mg/L</v>
      </c>
      <c r="O230" t="str">
        <f>IF(ISBLANK(Sector!F19),"",Sector!F19)</f>
        <v/>
      </c>
      <c r="P230">
        <f t="shared" si="74"/>
        <v>0.68</v>
      </c>
    </row>
    <row r="231" spans="1:16">
      <c r="A231" t="str">
        <f>IF(ISBLANK(Common!C$2),"",Common!C$2)</f>
        <v/>
      </c>
      <c r="B231" t="str">
        <f>IF(ISBLANK(Common!C$4),"",Common!C$4)</f>
        <v/>
      </c>
      <c r="C231" t="str">
        <f>IF(ISBLANK(Common!C$6),"",Common!C$6)</f>
        <v/>
      </c>
      <c r="D231" t="str">
        <f>IF(ISBLANK(Common!C$8),"",Common!C$8)</f>
        <v/>
      </c>
      <c r="E231" t="str">
        <f>IF(ISBLANK(Common!I$2),"",Common!I$2)</f>
        <v/>
      </c>
      <c r="F231" t="str">
        <f>IF(ISBLANK(Common!I$4),"",Common!I$4)</f>
        <v/>
      </c>
      <c r="G231" t="str">
        <f>IF(ISBLANK(Common!I$6),"",Common!I$6)</f>
        <v/>
      </c>
      <c r="H231" t="str">
        <f>IF(ISBLANK(Common!I$8),"",Common!I$8)</f>
        <v/>
      </c>
      <c r="I231" t="str">
        <f>IF(ISBLANK(Common!K$8),"",Common!K$8)</f>
        <v/>
      </c>
      <c r="J231" s="27" t="s">
        <v>80</v>
      </c>
      <c r="K231">
        <f>Sector!A$19</f>
        <v>0</v>
      </c>
      <c r="L231" s="136" t="str">
        <f>IF(ISBLANK(Sector!C20),"",Sector!C20)</f>
        <v/>
      </c>
      <c r="M231" t="str">
        <f t="shared" si="72"/>
        <v>Nitrate + Nitrite Nitrogen</v>
      </c>
      <c r="N231" t="str">
        <f t="shared" si="73"/>
        <v>mg/L</v>
      </c>
      <c r="O231" t="str">
        <f>IF(ISBLANK(Sector!F20),"",Sector!F20)</f>
        <v/>
      </c>
      <c r="P231">
        <f t="shared" si="74"/>
        <v>0.68</v>
      </c>
    </row>
    <row r="232" spans="1:16">
      <c r="A232" t="str">
        <f>IF(ISBLANK(Common!C$2),"",Common!C$2)</f>
        <v/>
      </c>
      <c r="B232" t="str">
        <f>IF(ISBLANK(Common!C$4),"",Common!C$4)</f>
        <v/>
      </c>
      <c r="C232" t="str">
        <f>IF(ISBLANK(Common!C$6),"",Common!C$6)</f>
        <v/>
      </c>
      <c r="D232" t="str">
        <f>IF(ISBLANK(Common!C$8),"",Common!C$8)</f>
        <v/>
      </c>
      <c r="E232" t="str">
        <f>IF(ISBLANK(Common!I$2),"",Common!I$2)</f>
        <v/>
      </c>
      <c r="F232" t="str">
        <f>IF(ISBLANK(Common!I$4),"",Common!I$4)</f>
        <v/>
      </c>
      <c r="G232" t="str">
        <f>IF(ISBLANK(Common!I$6),"",Common!I$6)</f>
        <v/>
      </c>
      <c r="H232" t="str">
        <f>IF(ISBLANK(Common!I$8),"",Common!I$8)</f>
        <v/>
      </c>
      <c r="I232" t="str">
        <f>IF(ISBLANK(Common!K$8),"",Common!K$8)</f>
        <v/>
      </c>
      <c r="J232" s="27" t="s">
        <v>80</v>
      </c>
      <c r="K232">
        <f>Sector!A$19</f>
        <v>0</v>
      </c>
      <c r="L232" s="136" t="str">
        <f>IF(ISBLANK(Sector!C21),"",Sector!C21)</f>
        <v/>
      </c>
      <c r="M232" t="str">
        <f t="shared" si="72"/>
        <v>Nitrate + Nitrite Nitrogen</v>
      </c>
      <c r="N232" t="str">
        <f t="shared" si="73"/>
        <v>mg/L</v>
      </c>
      <c r="O232" t="str">
        <f>IF(ISBLANK(Sector!F21),"",Sector!F21)</f>
        <v/>
      </c>
      <c r="P232">
        <f t="shared" si="74"/>
        <v>0.68</v>
      </c>
    </row>
    <row r="233" spans="1:16">
      <c r="A233" t="str">
        <f>IF(ISBLANK(Common!C$2),"",Common!C$2)</f>
        <v/>
      </c>
      <c r="B233" t="str">
        <f>IF(ISBLANK(Common!C$4),"",Common!C$4)</f>
        <v/>
      </c>
      <c r="C233" t="str">
        <f>IF(ISBLANK(Common!C$6),"",Common!C$6)</f>
        <v/>
      </c>
      <c r="D233" t="str">
        <f>IF(ISBLANK(Common!C$8),"",Common!C$8)</f>
        <v/>
      </c>
      <c r="E233" t="str">
        <f>IF(ISBLANK(Common!I$2),"",Common!I$2)</f>
        <v/>
      </c>
      <c r="F233" t="str">
        <f>IF(ISBLANK(Common!I$4),"",Common!I$4)</f>
        <v/>
      </c>
      <c r="G233" t="str">
        <f>IF(ISBLANK(Common!I$6),"",Common!I$6)</f>
        <v/>
      </c>
      <c r="H233" t="str">
        <f>IF(ISBLANK(Common!I$8),"",Common!I$8)</f>
        <v/>
      </c>
      <c r="I233" t="str">
        <f>IF(ISBLANK(Common!K$8),"",Common!K$8)</f>
        <v/>
      </c>
      <c r="J233" s="27" t="s">
        <v>80</v>
      </c>
      <c r="K233">
        <f>Sector!A$19</f>
        <v>0</v>
      </c>
      <c r="L233" s="136" t="str">
        <f>IF(ISBLANK(Sector!C22),"",Sector!C22)</f>
        <v/>
      </c>
      <c r="M233" t="str">
        <f t="shared" si="72"/>
        <v>Nitrate + Nitrite Nitrogen</v>
      </c>
      <c r="N233" t="str">
        <f t="shared" si="73"/>
        <v>mg/L</v>
      </c>
      <c r="O233" t="str">
        <f>IF(ISBLANK(Sector!F22),"",Sector!F22)</f>
        <v/>
      </c>
      <c r="P233">
        <f t="shared" si="74"/>
        <v>0.68</v>
      </c>
    </row>
    <row r="234" spans="1:16">
      <c r="A234" t="str">
        <f>IF(ISBLANK(Common!C$2),"",Common!C$2)</f>
        <v/>
      </c>
      <c r="B234" t="str">
        <f>IF(ISBLANK(Common!C$4),"",Common!C$4)</f>
        <v/>
      </c>
      <c r="C234" t="str">
        <f>IF(ISBLANK(Common!C$6),"",Common!C$6)</f>
        <v/>
      </c>
      <c r="D234" t="str">
        <f>IF(ISBLANK(Common!C$8),"",Common!C$8)</f>
        <v/>
      </c>
      <c r="E234" t="str">
        <f>IF(ISBLANK(Common!I$2),"",Common!I$2)</f>
        <v/>
      </c>
      <c r="F234" t="str">
        <f>IF(ISBLANK(Common!I$4),"",Common!I$4)</f>
        <v/>
      </c>
      <c r="G234" t="str">
        <f>IF(ISBLANK(Common!I$6),"",Common!I$6)</f>
        <v/>
      </c>
      <c r="H234" t="str">
        <f>IF(ISBLANK(Common!I$8),"",Common!I$8)</f>
        <v/>
      </c>
      <c r="I234" t="str">
        <f>IF(ISBLANK(Common!K$8),"",Common!K$8)</f>
        <v/>
      </c>
      <c r="J234" s="27" t="s">
        <v>80</v>
      </c>
      <c r="K234">
        <f>Sector!A$23</f>
        <v>0</v>
      </c>
      <c r="L234" s="136" t="str">
        <f>IF(ISBLANK(Sector!C23),"",Sector!C23)</f>
        <v/>
      </c>
      <c r="M234" t="str">
        <f t="shared" si="72"/>
        <v>Nitrate + Nitrite Nitrogen</v>
      </c>
      <c r="N234" t="str">
        <f t="shared" si="73"/>
        <v>mg/L</v>
      </c>
      <c r="O234" t="str">
        <f>IF(ISBLANK(Sector!F23),"",Sector!F23)</f>
        <v/>
      </c>
      <c r="P234">
        <f t="shared" si="74"/>
        <v>0.68</v>
      </c>
    </row>
    <row r="235" spans="1:16">
      <c r="A235" t="str">
        <f>IF(ISBLANK(Common!C$2),"",Common!C$2)</f>
        <v/>
      </c>
      <c r="B235" t="str">
        <f>IF(ISBLANK(Common!C$4),"",Common!C$4)</f>
        <v/>
      </c>
      <c r="C235" t="str">
        <f>IF(ISBLANK(Common!C$6),"",Common!C$6)</f>
        <v/>
      </c>
      <c r="D235" t="str">
        <f>IF(ISBLANK(Common!C$8),"",Common!C$8)</f>
        <v/>
      </c>
      <c r="E235" t="str">
        <f>IF(ISBLANK(Common!I$2),"",Common!I$2)</f>
        <v/>
      </c>
      <c r="F235" t="str">
        <f>IF(ISBLANK(Common!I$4),"",Common!I$4)</f>
        <v/>
      </c>
      <c r="G235" t="str">
        <f>IF(ISBLANK(Common!I$6),"",Common!I$6)</f>
        <v/>
      </c>
      <c r="H235" t="str">
        <f>IF(ISBLANK(Common!I$8),"",Common!I$8)</f>
        <v/>
      </c>
      <c r="I235" t="str">
        <f>IF(ISBLANK(Common!K$8),"",Common!K$8)</f>
        <v/>
      </c>
      <c r="J235" s="27" t="s">
        <v>80</v>
      </c>
      <c r="K235">
        <f>Sector!A$23</f>
        <v>0</v>
      </c>
      <c r="L235" s="136" t="str">
        <f>IF(ISBLANK(Sector!C24),"",Sector!C24)</f>
        <v/>
      </c>
      <c r="M235" t="str">
        <f t="shared" si="72"/>
        <v>Nitrate + Nitrite Nitrogen</v>
      </c>
      <c r="N235" t="str">
        <f t="shared" si="73"/>
        <v>mg/L</v>
      </c>
      <c r="O235" t="str">
        <f>IF(ISBLANK(Sector!F24),"",Sector!F24)</f>
        <v/>
      </c>
      <c r="P235">
        <f t="shared" si="74"/>
        <v>0.68</v>
      </c>
    </row>
    <row r="236" spans="1:16">
      <c r="A236" t="str">
        <f>IF(ISBLANK(Common!C$2),"",Common!C$2)</f>
        <v/>
      </c>
      <c r="B236" t="str">
        <f>IF(ISBLANK(Common!C$4),"",Common!C$4)</f>
        <v/>
      </c>
      <c r="C236" t="str">
        <f>IF(ISBLANK(Common!C$6),"",Common!C$6)</f>
        <v/>
      </c>
      <c r="D236" t="str">
        <f>IF(ISBLANK(Common!C$8),"",Common!C$8)</f>
        <v/>
      </c>
      <c r="E236" t="str">
        <f>IF(ISBLANK(Common!I$2),"",Common!I$2)</f>
        <v/>
      </c>
      <c r="F236" t="str">
        <f>IF(ISBLANK(Common!I$4),"",Common!I$4)</f>
        <v/>
      </c>
      <c r="G236" t="str">
        <f>IF(ISBLANK(Common!I$6),"",Common!I$6)</f>
        <v/>
      </c>
      <c r="H236" t="str">
        <f>IF(ISBLANK(Common!I$8),"",Common!I$8)</f>
        <v/>
      </c>
      <c r="I236" t="str">
        <f>IF(ISBLANK(Common!K$8),"",Common!K$8)</f>
        <v/>
      </c>
      <c r="J236" s="27" t="s">
        <v>80</v>
      </c>
      <c r="K236">
        <f>Sector!A$23</f>
        <v>0</v>
      </c>
      <c r="L236" s="136" t="str">
        <f>IF(ISBLANK(Sector!C25),"",Sector!C25)</f>
        <v/>
      </c>
      <c r="M236" t="str">
        <f t="shared" si="72"/>
        <v>Nitrate + Nitrite Nitrogen</v>
      </c>
      <c r="N236" t="str">
        <f t="shared" si="73"/>
        <v>mg/L</v>
      </c>
      <c r="O236" t="str">
        <f>IF(ISBLANK(Sector!F25),"",Sector!F25)</f>
        <v/>
      </c>
      <c r="P236">
        <f t="shared" si="74"/>
        <v>0.68</v>
      </c>
    </row>
    <row r="237" spans="1:16">
      <c r="A237" t="str">
        <f>IF(ISBLANK(Common!C$2),"",Common!C$2)</f>
        <v/>
      </c>
      <c r="B237" t="str">
        <f>IF(ISBLANK(Common!C$4),"",Common!C$4)</f>
        <v/>
      </c>
      <c r="C237" t="str">
        <f>IF(ISBLANK(Common!C$6),"",Common!C$6)</f>
        <v/>
      </c>
      <c r="D237" t="str">
        <f>IF(ISBLANK(Common!C$8),"",Common!C$8)</f>
        <v/>
      </c>
      <c r="E237" t="str">
        <f>IF(ISBLANK(Common!I$2),"",Common!I$2)</f>
        <v/>
      </c>
      <c r="F237" t="str">
        <f>IF(ISBLANK(Common!I$4),"",Common!I$4)</f>
        <v/>
      </c>
      <c r="G237" t="str">
        <f>IF(ISBLANK(Common!I$6),"",Common!I$6)</f>
        <v/>
      </c>
      <c r="H237" t="str">
        <f>IF(ISBLANK(Common!I$8),"",Common!I$8)</f>
        <v/>
      </c>
      <c r="I237" t="str">
        <f>IF(ISBLANK(Common!K$8),"",Common!K$8)</f>
        <v/>
      </c>
      <c r="J237" s="27" t="s">
        <v>80</v>
      </c>
      <c r="K237">
        <f>Sector!A$23</f>
        <v>0</v>
      </c>
      <c r="L237" s="136" t="str">
        <f>IF(ISBLANK(Sector!C26),"",Sector!C26)</f>
        <v/>
      </c>
      <c r="M237" t="str">
        <f t="shared" si="72"/>
        <v>Nitrate + Nitrite Nitrogen</v>
      </c>
      <c r="N237" t="str">
        <f t="shared" si="73"/>
        <v>mg/L</v>
      </c>
      <c r="O237" t="str">
        <f>IF(ISBLANK(Sector!F26),"",Sector!F26)</f>
        <v/>
      </c>
      <c r="P237">
        <f t="shared" si="74"/>
        <v>0.68</v>
      </c>
    </row>
    <row r="238" spans="1:16">
      <c r="A238" t="str">
        <f>IF(ISBLANK(Common!C$2),"",Common!C$2)</f>
        <v/>
      </c>
      <c r="B238" t="str">
        <f>IF(ISBLANK(Common!C$4),"",Common!C$4)</f>
        <v/>
      </c>
      <c r="C238" t="str">
        <f>IF(ISBLANK(Common!C$6),"",Common!C$6)</f>
        <v/>
      </c>
      <c r="D238" t="str">
        <f>IF(ISBLANK(Common!C$8),"",Common!C$8)</f>
        <v/>
      </c>
      <c r="E238" t="str">
        <f>IF(ISBLANK(Common!I$2),"",Common!I$2)</f>
        <v/>
      </c>
      <c r="F238" t="str">
        <f>IF(ISBLANK(Common!I$4),"",Common!I$4)</f>
        <v/>
      </c>
      <c r="G238" t="str">
        <f>IF(ISBLANK(Common!I$6),"",Common!I$6)</f>
        <v/>
      </c>
      <c r="H238" t="str">
        <f>IF(ISBLANK(Common!I$8),"",Common!I$8)</f>
        <v/>
      </c>
      <c r="I238" t="str">
        <f>IF(ISBLANK(Common!K$8),"",Common!K$8)</f>
        <v/>
      </c>
      <c r="J238" s="27" t="s">
        <v>80</v>
      </c>
      <c r="K238">
        <f>Sector!A$27</f>
        <v>0</v>
      </c>
      <c r="L238" s="136" t="str">
        <f>IF(ISBLANK(Sector!C27),"",Sector!C27)</f>
        <v/>
      </c>
      <c r="M238" t="str">
        <f t="shared" si="72"/>
        <v>Nitrate + Nitrite Nitrogen</v>
      </c>
      <c r="N238" t="str">
        <f t="shared" si="73"/>
        <v>mg/L</v>
      </c>
      <c r="O238" t="str">
        <f>IF(ISBLANK(Sector!F27),"",Sector!F27)</f>
        <v/>
      </c>
      <c r="P238">
        <f t="shared" si="74"/>
        <v>0.68</v>
      </c>
    </row>
    <row r="239" spans="1:16">
      <c r="A239" t="str">
        <f>IF(ISBLANK(Common!C$2),"",Common!C$2)</f>
        <v/>
      </c>
      <c r="B239" t="str">
        <f>IF(ISBLANK(Common!C$4),"",Common!C$4)</f>
        <v/>
      </c>
      <c r="C239" t="str">
        <f>IF(ISBLANK(Common!C$6),"",Common!C$6)</f>
        <v/>
      </c>
      <c r="D239" t="str">
        <f>IF(ISBLANK(Common!C$8),"",Common!C$8)</f>
        <v/>
      </c>
      <c r="E239" t="str">
        <f>IF(ISBLANK(Common!I$2),"",Common!I$2)</f>
        <v/>
      </c>
      <c r="F239" t="str">
        <f>IF(ISBLANK(Common!I$4),"",Common!I$4)</f>
        <v/>
      </c>
      <c r="G239" t="str">
        <f>IF(ISBLANK(Common!I$6),"",Common!I$6)</f>
        <v/>
      </c>
      <c r="H239" t="str">
        <f>IF(ISBLANK(Common!I$8),"",Common!I$8)</f>
        <v/>
      </c>
      <c r="I239" t="str">
        <f>IF(ISBLANK(Common!K$8),"",Common!K$8)</f>
        <v/>
      </c>
      <c r="J239" s="27" t="s">
        <v>80</v>
      </c>
      <c r="K239">
        <f>Sector!A$27</f>
        <v>0</v>
      </c>
      <c r="L239" s="136" t="str">
        <f>IF(ISBLANK(Sector!C28),"",Sector!C28)</f>
        <v/>
      </c>
      <c r="M239" t="str">
        <f t="shared" si="72"/>
        <v>Nitrate + Nitrite Nitrogen</v>
      </c>
      <c r="N239" t="str">
        <f t="shared" si="73"/>
        <v>mg/L</v>
      </c>
      <c r="O239" t="str">
        <f>IF(ISBLANK(Sector!F28),"",Sector!F28)</f>
        <v/>
      </c>
      <c r="P239">
        <f t="shared" si="74"/>
        <v>0.68</v>
      </c>
    </row>
    <row r="240" spans="1:16">
      <c r="A240" t="str">
        <f>IF(ISBLANK(Common!C$2),"",Common!C$2)</f>
        <v/>
      </c>
      <c r="B240" t="str">
        <f>IF(ISBLANK(Common!C$4),"",Common!C$4)</f>
        <v/>
      </c>
      <c r="C240" t="str">
        <f>IF(ISBLANK(Common!C$6),"",Common!C$6)</f>
        <v/>
      </c>
      <c r="D240" t="str">
        <f>IF(ISBLANK(Common!C$8),"",Common!C$8)</f>
        <v/>
      </c>
      <c r="E240" t="str">
        <f>IF(ISBLANK(Common!I$2),"",Common!I$2)</f>
        <v/>
      </c>
      <c r="F240" t="str">
        <f>IF(ISBLANK(Common!I$4),"",Common!I$4)</f>
        <v/>
      </c>
      <c r="G240" t="str">
        <f>IF(ISBLANK(Common!I$6),"",Common!I$6)</f>
        <v/>
      </c>
      <c r="H240" t="str">
        <f>IF(ISBLANK(Common!I$8),"",Common!I$8)</f>
        <v/>
      </c>
      <c r="I240" t="str">
        <f>IF(ISBLANK(Common!K$8),"",Common!K$8)</f>
        <v/>
      </c>
      <c r="J240" s="27" t="s">
        <v>80</v>
      </c>
      <c r="K240">
        <f>Sector!A$27</f>
        <v>0</v>
      </c>
      <c r="L240" s="136" t="str">
        <f>IF(ISBLANK(Sector!C29),"",Sector!C29)</f>
        <v/>
      </c>
      <c r="M240" t="str">
        <f t="shared" si="72"/>
        <v>Nitrate + Nitrite Nitrogen</v>
      </c>
      <c r="N240" t="str">
        <f t="shared" si="73"/>
        <v>mg/L</v>
      </c>
      <c r="O240" t="str">
        <f>IF(ISBLANK(Sector!F29),"",Sector!F29)</f>
        <v/>
      </c>
      <c r="P240">
        <f t="shared" si="74"/>
        <v>0.68</v>
      </c>
    </row>
    <row r="241" spans="1:16">
      <c r="A241" t="str">
        <f>IF(ISBLANK(Common!C$2),"",Common!C$2)</f>
        <v/>
      </c>
      <c r="B241" t="str">
        <f>IF(ISBLANK(Common!C$4),"",Common!C$4)</f>
        <v/>
      </c>
      <c r="C241" t="str">
        <f>IF(ISBLANK(Common!C$6),"",Common!C$6)</f>
        <v/>
      </c>
      <c r="D241" t="str">
        <f>IF(ISBLANK(Common!C$8),"",Common!C$8)</f>
        <v/>
      </c>
      <c r="E241" t="str">
        <f>IF(ISBLANK(Common!I$2),"",Common!I$2)</f>
        <v/>
      </c>
      <c r="F241" t="str">
        <f>IF(ISBLANK(Common!I$4),"",Common!I$4)</f>
        <v/>
      </c>
      <c r="G241" t="str">
        <f>IF(ISBLANK(Common!I$6),"",Common!I$6)</f>
        <v/>
      </c>
      <c r="H241" t="str">
        <f>IF(ISBLANK(Common!I$8),"",Common!I$8)</f>
        <v/>
      </c>
      <c r="I241" t="str">
        <f>IF(ISBLANK(Common!K$8),"",Common!K$8)</f>
        <v/>
      </c>
      <c r="J241" s="27" t="s">
        <v>80</v>
      </c>
      <c r="K241">
        <f>Sector!A$27</f>
        <v>0</v>
      </c>
      <c r="L241" s="136" t="str">
        <f>IF(ISBLANK(Sector!C30),"",Sector!C30)</f>
        <v/>
      </c>
      <c r="M241" t="str">
        <f t="shared" si="72"/>
        <v>Nitrate + Nitrite Nitrogen</v>
      </c>
      <c r="N241" t="str">
        <f t="shared" si="73"/>
        <v>mg/L</v>
      </c>
      <c r="O241" t="str">
        <f>IF(ISBLANK(Sector!F30),"",Sector!F30)</f>
        <v/>
      </c>
      <c r="P241">
        <f t="shared" si="74"/>
        <v>0.68</v>
      </c>
    </row>
    <row r="242" spans="1:16">
      <c r="A242" t="str">
        <f>IF(ISBLANK(Common!C$2),"",Common!C$2)</f>
        <v/>
      </c>
      <c r="B242" t="str">
        <f>IF(ISBLANK(Common!C$4),"",Common!C$4)</f>
        <v/>
      </c>
      <c r="C242" t="str">
        <f>IF(ISBLANK(Common!C$6),"",Common!C$6)</f>
        <v/>
      </c>
      <c r="D242" t="str">
        <f>IF(ISBLANK(Common!C$8),"",Common!C$8)</f>
        <v/>
      </c>
      <c r="E242" t="str">
        <f>IF(ISBLANK(Common!I$2),"",Common!I$2)</f>
        <v/>
      </c>
      <c r="F242" t="str">
        <f>IF(ISBLANK(Common!I$4),"",Common!I$4)</f>
        <v/>
      </c>
      <c r="G242" t="str">
        <f>IF(ISBLANK(Common!I$6),"",Common!I$6)</f>
        <v/>
      </c>
      <c r="H242" t="str">
        <f>IF(ISBLANK(Common!I$8),"",Common!I$8)</f>
        <v/>
      </c>
      <c r="I242" t="str">
        <f>IF(ISBLANK(Common!K$8),"",Common!K$8)</f>
        <v/>
      </c>
      <c r="J242" s="27" t="s">
        <v>80</v>
      </c>
      <c r="K242">
        <f>Sector!A$15</f>
        <v>0</v>
      </c>
      <c r="L242" s="136" t="str">
        <f>IF(ISBLANK(Sector!C15),"",Sector!C15)</f>
        <v/>
      </c>
      <c r="M242" t="str">
        <f>Sector!G12</f>
        <v>COD</v>
      </c>
      <c r="N242" t="str">
        <f>Sector!G13</f>
        <v>mg/L</v>
      </c>
      <c r="O242" t="str">
        <f>IF(ISBLANK(Sector!G15),"",Sector!G15)</f>
        <v/>
      </c>
      <c r="P242" s="137">
        <f>Sector!G31</f>
        <v>120</v>
      </c>
    </row>
    <row r="243" spans="1:16">
      <c r="A243" t="str">
        <f>IF(ISBLANK(Common!C$2),"",Common!C$2)</f>
        <v/>
      </c>
      <c r="B243" t="str">
        <f>IF(ISBLANK(Common!C$4),"",Common!C$4)</f>
        <v/>
      </c>
      <c r="C243" t="str">
        <f>IF(ISBLANK(Common!C$6),"",Common!C$6)</f>
        <v/>
      </c>
      <c r="D243" t="str">
        <f>IF(ISBLANK(Common!C$8),"",Common!C$8)</f>
        <v/>
      </c>
      <c r="E243" t="str">
        <f>IF(ISBLANK(Common!I$2),"",Common!I$2)</f>
        <v/>
      </c>
      <c r="F243" t="str">
        <f>IF(ISBLANK(Common!I$4),"",Common!I$4)</f>
        <v/>
      </c>
      <c r="G243" t="str">
        <f>IF(ISBLANK(Common!I$6),"",Common!I$6)</f>
        <v/>
      </c>
      <c r="H243" t="str">
        <f>IF(ISBLANK(Common!I$8),"",Common!I$8)</f>
        <v/>
      </c>
      <c r="I243" t="str">
        <f>IF(ISBLANK(Common!K$8),"",Common!K$8)</f>
        <v/>
      </c>
      <c r="J243" s="27" t="s">
        <v>80</v>
      </c>
      <c r="K243">
        <f>Sector!A$15</f>
        <v>0</v>
      </c>
      <c r="L243" s="136" t="str">
        <f>IF(ISBLANK(Sector!C16),"",Sector!C16)</f>
        <v/>
      </c>
      <c r="M243" t="str">
        <f t="shared" ref="M243:M257" si="75">M242</f>
        <v>COD</v>
      </c>
      <c r="N243" t="str">
        <f t="shared" ref="N243:N257" si="76">N242</f>
        <v>mg/L</v>
      </c>
      <c r="O243" t="str">
        <f>IF(ISBLANK(Sector!G16),"",Sector!G16)</f>
        <v/>
      </c>
      <c r="P243">
        <f t="shared" si="72"/>
        <v>120</v>
      </c>
    </row>
    <row r="244" spans="1:16">
      <c r="A244" t="str">
        <f>IF(ISBLANK(Common!C$2),"",Common!C$2)</f>
        <v/>
      </c>
      <c r="B244" t="str">
        <f>IF(ISBLANK(Common!C$4),"",Common!C$4)</f>
        <v/>
      </c>
      <c r="C244" t="str">
        <f>IF(ISBLANK(Common!C$6),"",Common!C$6)</f>
        <v/>
      </c>
      <c r="D244" t="str">
        <f>IF(ISBLANK(Common!C$8),"",Common!C$8)</f>
        <v/>
      </c>
      <c r="E244" t="str">
        <f>IF(ISBLANK(Common!I$2),"",Common!I$2)</f>
        <v/>
      </c>
      <c r="F244" t="str">
        <f>IF(ISBLANK(Common!I$4),"",Common!I$4)</f>
        <v/>
      </c>
      <c r="G244" t="str">
        <f>IF(ISBLANK(Common!I$6),"",Common!I$6)</f>
        <v/>
      </c>
      <c r="H244" t="str">
        <f>IF(ISBLANK(Common!I$8),"",Common!I$8)</f>
        <v/>
      </c>
      <c r="I244" t="str">
        <f>IF(ISBLANK(Common!K$8),"",Common!K$8)</f>
        <v/>
      </c>
      <c r="J244" s="27" t="s">
        <v>80</v>
      </c>
      <c r="K244">
        <f>Sector!A$15</f>
        <v>0</v>
      </c>
      <c r="L244" s="136" t="str">
        <f>IF(ISBLANK(Sector!C17),"",Sector!C17)</f>
        <v/>
      </c>
      <c r="M244" t="str">
        <f t="shared" si="75"/>
        <v>COD</v>
      </c>
      <c r="N244" t="str">
        <f t="shared" si="76"/>
        <v>mg/L</v>
      </c>
      <c r="O244" t="str">
        <f>IF(ISBLANK(Sector!G17),"",Sector!G17)</f>
        <v/>
      </c>
      <c r="P244">
        <f t="shared" ref="P244:P257" si="77">P243</f>
        <v>120</v>
      </c>
    </row>
    <row r="245" spans="1:16">
      <c r="A245" t="str">
        <f>IF(ISBLANK(Common!C$2),"",Common!C$2)</f>
        <v/>
      </c>
      <c r="B245" t="str">
        <f>IF(ISBLANK(Common!C$4),"",Common!C$4)</f>
        <v/>
      </c>
      <c r="C245" t="str">
        <f>IF(ISBLANK(Common!C$6),"",Common!C$6)</f>
        <v/>
      </c>
      <c r="D245" t="str">
        <f>IF(ISBLANK(Common!C$8),"",Common!C$8)</f>
        <v/>
      </c>
      <c r="E245" t="str">
        <f>IF(ISBLANK(Common!I$2),"",Common!I$2)</f>
        <v/>
      </c>
      <c r="F245" t="str">
        <f>IF(ISBLANK(Common!I$4),"",Common!I$4)</f>
        <v/>
      </c>
      <c r="G245" t="str">
        <f>IF(ISBLANK(Common!I$6),"",Common!I$6)</f>
        <v/>
      </c>
      <c r="H245" t="str">
        <f>IF(ISBLANK(Common!I$8),"",Common!I$8)</f>
        <v/>
      </c>
      <c r="I245" t="str">
        <f>IF(ISBLANK(Common!K$8),"",Common!K$8)</f>
        <v/>
      </c>
      <c r="J245" s="27" t="s">
        <v>80</v>
      </c>
      <c r="K245">
        <f>Sector!A$15</f>
        <v>0</v>
      </c>
      <c r="L245" s="136" t="str">
        <f>IF(ISBLANK(Sector!C18),"",Sector!C18)</f>
        <v/>
      </c>
      <c r="M245" t="str">
        <f t="shared" si="75"/>
        <v>COD</v>
      </c>
      <c r="N245" t="str">
        <f t="shared" si="76"/>
        <v>mg/L</v>
      </c>
      <c r="O245" t="str">
        <f>IF(ISBLANK(Sector!G18),"",Sector!G18)</f>
        <v/>
      </c>
      <c r="P245">
        <f t="shared" si="77"/>
        <v>120</v>
      </c>
    </row>
    <row r="246" spans="1:16">
      <c r="A246" t="str">
        <f>IF(ISBLANK(Common!C$2),"",Common!C$2)</f>
        <v/>
      </c>
      <c r="B246" t="str">
        <f>IF(ISBLANK(Common!C$4),"",Common!C$4)</f>
        <v/>
      </c>
      <c r="C246" t="str">
        <f>IF(ISBLANK(Common!C$6),"",Common!C$6)</f>
        <v/>
      </c>
      <c r="D246" t="str">
        <f>IF(ISBLANK(Common!C$8),"",Common!C$8)</f>
        <v/>
      </c>
      <c r="E246" t="str">
        <f>IF(ISBLANK(Common!I$2),"",Common!I$2)</f>
        <v/>
      </c>
      <c r="F246" t="str">
        <f>IF(ISBLANK(Common!I$4),"",Common!I$4)</f>
        <v/>
      </c>
      <c r="G246" t="str">
        <f>IF(ISBLANK(Common!I$6),"",Common!I$6)</f>
        <v/>
      </c>
      <c r="H246" t="str">
        <f>IF(ISBLANK(Common!I$8),"",Common!I$8)</f>
        <v/>
      </c>
      <c r="I246" t="str">
        <f>IF(ISBLANK(Common!K$8),"",Common!K$8)</f>
        <v/>
      </c>
      <c r="J246" s="27" t="s">
        <v>80</v>
      </c>
      <c r="K246">
        <f>Sector!A$19</f>
        <v>0</v>
      </c>
      <c r="L246" s="136" t="str">
        <f>IF(ISBLANK(Sector!C19),"",Sector!C19)</f>
        <v/>
      </c>
      <c r="M246" t="str">
        <f t="shared" si="75"/>
        <v>COD</v>
      </c>
      <c r="N246" t="str">
        <f t="shared" si="76"/>
        <v>mg/L</v>
      </c>
      <c r="O246" t="str">
        <f>IF(ISBLANK(Sector!G19),"",Sector!G19)</f>
        <v/>
      </c>
      <c r="P246">
        <f t="shared" si="77"/>
        <v>120</v>
      </c>
    </row>
    <row r="247" spans="1:16">
      <c r="A247" t="str">
        <f>IF(ISBLANK(Common!C$2),"",Common!C$2)</f>
        <v/>
      </c>
      <c r="B247" t="str">
        <f>IF(ISBLANK(Common!C$4),"",Common!C$4)</f>
        <v/>
      </c>
      <c r="C247" t="str">
        <f>IF(ISBLANK(Common!C$6),"",Common!C$6)</f>
        <v/>
      </c>
      <c r="D247" t="str">
        <f>IF(ISBLANK(Common!C$8),"",Common!C$8)</f>
        <v/>
      </c>
      <c r="E247" t="str">
        <f>IF(ISBLANK(Common!I$2),"",Common!I$2)</f>
        <v/>
      </c>
      <c r="F247" t="str">
        <f>IF(ISBLANK(Common!I$4),"",Common!I$4)</f>
        <v/>
      </c>
      <c r="G247" t="str">
        <f>IF(ISBLANK(Common!I$6),"",Common!I$6)</f>
        <v/>
      </c>
      <c r="H247" t="str">
        <f>IF(ISBLANK(Common!I$8),"",Common!I$8)</f>
        <v/>
      </c>
      <c r="I247" t="str">
        <f>IF(ISBLANK(Common!K$8),"",Common!K$8)</f>
        <v/>
      </c>
      <c r="J247" s="27" t="s">
        <v>80</v>
      </c>
      <c r="K247">
        <f>Sector!A$19</f>
        <v>0</v>
      </c>
      <c r="L247" s="136" t="str">
        <f>IF(ISBLANK(Sector!C20),"",Sector!C20)</f>
        <v/>
      </c>
      <c r="M247" t="str">
        <f t="shared" si="75"/>
        <v>COD</v>
      </c>
      <c r="N247" t="str">
        <f t="shared" si="76"/>
        <v>mg/L</v>
      </c>
      <c r="O247" t="str">
        <f>IF(ISBLANK(Sector!G20),"",Sector!G20)</f>
        <v/>
      </c>
      <c r="P247">
        <f t="shared" si="77"/>
        <v>120</v>
      </c>
    </row>
    <row r="248" spans="1:16">
      <c r="A248" t="str">
        <f>IF(ISBLANK(Common!C$2),"",Common!C$2)</f>
        <v/>
      </c>
      <c r="B248" t="str">
        <f>IF(ISBLANK(Common!C$4),"",Common!C$4)</f>
        <v/>
      </c>
      <c r="C248" t="str">
        <f>IF(ISBLANK(Common!C$6),"",Common!C$6)</f>
        <v/>
      </c>
      <c r="D248" t="str">
        <f>IF(ISBLANK(Common!C$8),"",Common!C$8)</f>
        <v/>
      </c>
      <c r="E248" t="str">
        <f>IF(ISBLANK(Common!I$2),"",Common!I$2)</f>
        <v/>
      </c>
      <c r="F248" t="str">
        <f>IF(ISBLANK(Common!I$4),"",Common!I$4)</f>
        <v/>
      </c>
      <c r="G248" t="str">
        <f>IF(ISBLANK(Common!I$6),"",Common!I$6)</f>
        <v/>
      </c>
      <c r="H248" t="str">
        <f>IF(ISBLANK(Common!I$8),"",Common!I$8)</f>
        <v/>
      </c>
      <c r="I248" t="str">
        <f>IF(ISBLANK(Common!K$8),"",Common!K$8)</f>
        <v/>
      </c>
      <c r="J248" s="27" t="s">
        <v>80</v>
      </c>
      <c r="K248">
        <f>Sector!A$19</f>
        <v>0</v>
      </c>
      <c r="L248" s="136" t="str">
        <f>IF(ISBLANK(Sector!C21),"",Sector!C21)</f>
        <v/>
      </c>
      <c r="M248" t="str">
        <f t="shared" si="75"/>
        <v>COD</v>
      </c>
      <c r="N248" t="str">
        <f t="shared" si="76"/>
        <v>mg/L</v>
      </c>
      <c r="O248" t="str">
        <f>IF(ISBLANK(Sector!G21),"",Sector!G21)</f>
        <v/>
      </c>
      <c r="P248">
        <f t="shared" si="77"/>
        <v>120</v>
      </c>
    </row>
    <row r="249" spans="1:16">
      <c r="A249" t="str">
        <f>IF(ISBLANK(Common!C$2),"",Common!C$2)</f>
        <v/>
      </c>
      <c r="B249" t="str">
        <f>IF(ISBLANK(Common!C$4),"",Common!C$4)</f>
        <v/>
      </c>
      <c r="C249" t="str">
        <f>IF(ISBLANK(Common!C$6),"",Common!C$6)</f>
        <v/>
      </c>
      <c r="D249" t="str">
        <f>IF(ISBLANK(Common!C$8),"",Common!C$8)</f>
        <v/>
      </c>
      <c r="E249" t="str">
        <f>IF(ISBLANK(Common!I$2),"",Common!I$2)</f>
        <v/>
      </c>
      <c r="F249" t="str">
        <f>IF(ISBLANK(Common!I$4),"",Common!I$4)</f>
        <v/>
      </c>
      <c r="G249" t="str">
        <f>IF(ISBLANK(Common!I$6),"",Common!I$6)</f>
        <v/>
      </c>
      <c r="H249" t="str">
        <f>IF(ISBLANK(Common!I$8),"",Common!I$8)</f>
        <v/>
      </c>
      <c r="I249" t="str">
        <f>IF(ISBLANK(Common!K$8),"",Common!K$8)</f>
        <v/>
      </c>
      <c r="J249" s="27" t="s">
        <v>80</v>
      </c>
      <c r="K249">
        <f>Sector!A$19</f>
        <v>0</v>
      </c>
      <c r="L249" s="136" t="str">
        <f>IF(ISBLANK(Sector!C22),"",Sector!C22)</f>
        <v/>
      </c>
      <c r="M249" t="str">
        <f t="shared" si="75"/>
        <v>COD</v>
      </c>
      <c r="N249" t="str">
        <f t="shared" si="76"/>
        <v>mg/L</v>
      </c>
      <c r="O249" t="str">
        <f>IF(ISBLANK(Sector!G22),"",Sector!G22)</f>
        <v/>
      </c>
      <c r="P249">
        <f t="shared" si="77"/>
        <v>120</v>
      </c>
    </row>
    <row r="250" spans="1:16">
      <c r="A250" t="str">
        <f>IF(ISBLANK(Common!C$2),"",Common!C$2)</f>
        <v/>
      </c>
      <c r="B250" t="str">
        <f>IF(ISBLANK(Common!C$4),"",Common!C$4)</f>
        <v/>
      </c>
      <c r="C250" t="str">
        <f>IF(ISBLANK(Common!C$6),"",Common!C$6)</f>
        <v/>
      </c>
      <c r="D250" t="str">
        <f>IF(ISBLANK(Common!C$8),"",Common!C$8)</f>
        <v/>
      </c>
      <c r="E250" t="str">
        <f>IF(ISBLANK(Common!I$2),"",Common!I$2)</f>
        <v/>
      </c>
      <c r="F250" t="str">
        <f>IF(ISBLANK(Common!I$4),"",Common!I$4)</f>
        <v/>
      </c>
      <c r="G250" t="str">
        <f>IF(ISBLANK(Common!I$6),"",Common!I$6)</f>
        <v/>
      </c>
      <c r="H250" t="str">
        <f>IF(ISBLANK(Common!I$8),"",Common!I$8)</f>
        <v/>
      </c>
      <c r="I250" t="str">
        <f>IF(ISBLANK(Common!K$8),"",Common!K$8)</f>
        <v/>
      </c>
      <c r="J250" s="27" t="s">
        <v>80</v>
      </c>
      <c r="K250">
        <f>Sector!A$23</f>
        <v>0</v>
      </c>
      <c r="L250" s="136" t="str">
        <f>IF(ISBLANK(Sector!C23),"",Sector!C23)</f>
        <v/>
      </c>
      <c r="M250" t="str">
        <f t="shared" si="75"/>
        <v>COD</v>
      </c>
      <c r="N250" t="str">
        <f t="shared" si="76"/>
        <v>mg/L</v>
      </c>
      <c r="O250" t="str">
        <f>IF(ISBLANK(Sector!G23),"",Sector!G23)</f>
        <v/>
      </c>
      <c r="P250">
        <f t="shared" si="77"/>
        <v>120</v>
      </c>
    </row>
    <row r="251" spans="1:16">
      <c r="A251" t="str">
        <f>IF(ISBLANK(Common!C$2),"",Common!C$2)</f>
        <v/>
      </c>
      <c r="B251" t="str">
        <f>IF(ISBLANK(Common!C$4),"",Common!C$4)</f>
        <v/>
      </c>
      <c r="C251" t="str">
        <f>IF(ISBLANK(Common!C$6),"",Common!C$6)</f>
        <v/>
      </c>
      <c r="D251" t="str">
        <f>IF(ISBLANK(Common!C$8),"",Common!C$8)</f>
        <v/>
      </c>
      <c r="E251" t="str">
        <f>IF(ISBLANK(Common!I$2),"",Common!I$2)</f>
        <v/>
      </c>
      <c r="F251" t="str">
        <f>IF(ISBLANK(Common!I$4),"",Common!I$4)</f>
        <v/>
      </c>
      <c r="G251" t="str">
        <f>IF(ISBLANK(Common!I$6),"",Common!I$6)</f>
        <v/>
      </c>
      <c r="H251" t="str">
        <f>IF(ISBLANK(Common!I$8),"",Common!I$8)</f>
        <v/>
      </c>
      <c r="I251" t="str">
        <f>IF(ISBLANK(Common!K$8),"",Common!K$8)</f>
        <v/>
      </c>
      <c r="J251" s="27" t="s">
        <v>80</v>
      </c>
      <c r="K251">
        <f>Sector!A$23</f>
        <v>0</v>
      </c>
      <c r="L251" s="136" t="str">
        <f>IF(ISBLANK(Sector!C24),"",Sector!C24)</f>
        <v/>
      </c>
      <c r="M251" t="str">
        <f t="shared" si="75"/>
        <v>COD</v>
      </c>
      <c r="N251" t="str">
        <f t="shared" si="76"/>
        <v>mg/L</v>
      </c>
      <c r="O251" t="str">
        <f>IF(ISBLANK(Sector!G24),"",Sector!G24)</f>
        <v/>
      </c>
      <c r="P251">
        <f t="shared" si="77"/>
        <v>120</v>
      </c>
    </row>
    <row r="252" spans="1:16">
      <c r="A252" t="str">
        <f>IF(ISBLANK(Common!C$2),"",Common!C$2)</f>
        <v/>
      </c>
      <c r="B252" t="str">
        <f>IF(ISBLANK(Common!C$4),"",Common!C$4)</f>
        <v/>
      </c>
      <c r="C252" t="str">
        <f>IF(ISBLANK(Common!C$6),"",Common!C$6)</f>
        <v/>
      </c>
      <c r="D252" t="str">
        <f>IF(ISBLANK(Common!C$8),"",Common!C$8)</f>
        <v/>
      </c>
      <c r="E252" t="str">
        <f>IF(ISBLANK(Common!I$2),"",Common!I$2)</f>
        <v/>
      </c>
      <c r="F252" t="str">
        <f>IF(ISBLANK(Common!I$4),"",Common!I$4)</f>
        <v/>
      </c>
      <c r="G252" t="str">
        <f>IF(ISBLANK(Common!I$6),"",Common!I$6)</f>
        <v/>
      </c>
      <c r="H252" t="str">
        <f>IF(ISBLANK(Common!I$8),"",Common!I$8)</f>
        <v/>
      </c>
      <c r="I252" t="str">
        <f>IF(ISBLANK(Common!K$8),"",Common!K$8)</f>
        <v/>
      </c>
      <c r="J252" s="27" t="s">
        <v>80</v>
      </c>
      <c r="K252">
        <f>Sector!A$23</f>
        <v>0</v>
      </c>
      <c r="L252" s="136" t="str">
        <f>IF(ISBLANK(Sector!C25),"",Sector!C25)</f>
        <v/>
      </c>
      <c r="M252" t="str">
        <f t="shared" si="75"/>
        <v>COD</v>
      </c>
      <c r="N252" t="str">
        <f t="shared" si="76"/>
        <v>mg/L</v>
      </c>
      <c r="O252" t="str">
        <f>IF(ISBLANK(Sector!G25),"",Sector!G25)</f>
        <v/>
      </c>
      <c r="P252">
        <f t="shared" si="77"/>
        <v>120</v>
      </c>
    </row>
    <row r="253" spans="1:16">
      <c r="A253" t="str">
        <f>IF(ISBLANK(Common!C$2),"",Common!C$2)</f>
        <v/>
      </c>
      <c r="B253" t="str">
        <f>IF(ISBLANK(Common!C$4),"",Common!C$4)</f>
        <v/>
      </c>
      <c r="C253" t="str">
        <f>IF(ISBLANK(Common!C$6),"",Common!C$6)</f>
        <v/>
      </c>
      <c r="D253" t="str">
        <f>IF(ISBLANK(Common!C$8),"",Common!C$8)</f>
        <v/>
      </c>
      <c r="E253" t="str">
        <f>IF(ISBLANK(Common!I$2),"",Common!I$2)</f>
        <v/>
      </c>
      <c r="F253" t="str">
        <f>IF(ISBLANK(Common!I$4),"",Common!I$4)</f>
        <v/>
      </c>
      <c r="G253" t="str">
        <f>IF(ISBLANK(Common!I$6),"",Common!I$6)</f>
        <v/>
      </c>
      <c r="H253" t="str">
        <f>IF(ISBLANK(Common!I$8),"",Common!I$8)</f>
        <v/>
      </c>
      <c r="I253" t="str">
        <f>IF(ISBLANK(Common!K$8),"",Common!K$8)</f>
        <v/>
      </c>
      <c r="J253" s="27" t="s">
        <v>80</v>
      </c>
      <c r="K253">
        <f>Sector!A$23</f>
        <v>0</v>
      </c>
      <c r="L253" s="136" t="str">
        <f>IF(ISBLANK(Sector!C26),"",Sector!C26)</f>
        <v/>
      </c>
      <c r="M253" t="str">
        <f t="shared" si="75"/>
        <v>COD</v>
      </c>
      <c r="N253" t="str">
        <f t="shared" si="76"/>
        <v>mg/L</v>
      </c>
      <c r="O253" t="str">
        <f>IF(ISBLANK(Sector!G26),"",Sector!G26)</f>
        <v/>
      </c>
      <c r="P253">
        <f t="shared" si="77"/>
        <v>120</v>
      </c>
    </row>
    <row r="254" spans="1:16">
      <c r="A254" t="str">
        <f>IF(ISBLANK(Common!C$2),"",Common!C$2)</f>
        <v/>
      </c>
      <c r="B254" t="str">
        <f>IF(ISBLANK(Common!C$4),"",Common!C$4)</f>
        <v/>
      </c>
      <c r="C254" t="str">
        <f>IF(ISBLANK(Common!C$6),"",Common!C$6)</f>
        <v/>
      </c>
      <c r="D254" t="str">
        <f>IF(ISBLANK(Common!C$8),"",Common!C$8)</f>
        <v/>
      </c>
      <c r="E254" t="str">
        <f>IF(ISBLANK(Common!I$2),"",Common!I$2)</f>
        <v/>
      </c>
      <c r="F254" t="str">
        <f>IF(ISBLANK(Common!I$4),"",Common!I$4)</f>
        <v/>
      </c>
      <c r="G254" t="str">
        <f>IF(ISBLANK(Common!I$6),"",Common!I$6)</f>
        <v/>
      </c>
      <c r="H254" t="str">
        <f>IF(ISBLANK(Common!I$8),"",Common!I$8)</f>
        <v/>
      </c>
      <c r="I254" t="str">
        <f>IF(ISBLANK(Common!K$8),"",Common!K$8)</f>
        <v/>
      </c>
      <c r="J254" s="27" t="s">
        <v>80</v>
      </c>
      <c r="K254">
        <f>Sector!A$27</f>
        <v>0</v>
      </c>
      <c r="L254" s="136" t="str">
        <f>IF(ISBLANK(Sector!C27),"",Sector!C27)</f>
        <v/>
      </c>
      <c r="M254" t="str">
        <f t="shared" si="75"/>
        <v>COD</v>
      </c>
      <c r="N254" t="str">
        <f t="shared" si="76"/>
        <v>mg/L</v>
      </c>
      <c r="O254" t="str">
        <f>IF(ISBLANK(Sector!G27),"",Sector!G27)</f>
        <v/>
      </c>
      <c r="P254">
        <f t="shared" si="77"/>
        <v>120</v>
      </c>
    </row>
    <row r="255" spans="1:16">
      <c r="A255" t="str">
        <f>IF(ISBLANK(Common!C$2),"",Common!C$2)</f>
        <v/>
      </c>
      <c r="B255" t="str">
        <f>IF(ISBLANK(Common!C$4),"",Common!C$4)</f>
        <v/>
      </c>
      <c r="C255" t="str">
        <f>IF(ISBLANK(Common!C$6),"",Common!C$6)</f>
        <v/>
      </c>
      <c r="D255" t="str">
        <f>IF(ISBLANK(Common!C$8),"",Common!C$8)</f>
        <v/>
      </c>
      <c r="E255" t="str">
        <f>IF(ISBLANK(Common!I$2),"",Common!I$2)</f>
        <v/>
      </c>
      <c r="F255" t="str">
        <f>IF(ISBLANK(Common!I$4),"",Common!I$4)</f>
        <v/>
      </c>
      <c r="G255" t="str">
        <f>IF(ISBLANK(Common!I$6),"",Common!I$6)</f>
        <v/>
      </c>
      <c r="H255" t="str">
        <f>IF(ISBLANK(Common!I$8),"",Common!I$8)</f>
        <v/>
      </c>
      <c r="I255" t="str">
        <f>IF(ISBLANK(Common!K$8),"",Common!K$8)</f>
        <v/>
      </c>
      <c r="J255" s="27" t="s">
        <v>80</v>
      </c>
      <c r="K255">
        <f>Sector!A$27</f>
        <v>0</v>
      </c>
      <c r="L255" s="136" t="str">
        <f>IF(ISBLANK(Sector!C28),"",Sector!C28)</f>
        <v/>
      </c>
      <c r="M255" t="str">
        <f t="shared" si="75"/>
        <v>COD</v>
      </c>
      <c r="N255" t="str">
        <f t="shared" si="76"/>
        <v>mg/L</v>
      </c>
      <c r="O255" t="str">
        <f>IF(ISBLANK(Sector!G28),"",Sector!G28)</f>
        <v/>
      </c>
      <c r="P255">
        <f t="shared" si="77"/>
        <v>120</v>
      </c>
    </row>
    <row r="256" spans="1:16">
      <c r="A256" t="str">
        <f>IF(ISBLANK(Common!C$2),"",Common!C$2)</f>
        <v/>
      </c>
      <c r="B256" t="str">
        <f>IF(ISBLANK(Common!C$4),"",Common!C$4)</f>
        <v/>
      </c>
      <c r="C256" t="str">
        <f>IF(ISBLANK(Common!C$6),"",Common!C$6)</f>
        <v/>
      </c>
      <c r="D256" t="str">
        <f>IF(ISBLANK(Common!C$8),"",Common!C$8)</f>
        <v/>
      </c>
      <c r="E256" t="str">
        <f>IF(ISBLANK(Common!I$2),"",Common!I$2)</f>
        <v/>
      </c>
      <c r="F256" t="str">
        <f>IF(ISBLANK(Common!I$4),"",Common!I$4)</f>
        <v/>
      </c>
      <c r="G256" t="str">
        <f>IF(ISBLANK(Common!I$6),"",Common!I$6)</f>
        <v/>
      </c>
      <c r="H256" t="str">
        <f>IF(ISBLANK(Common!I$8),"",Common!I$8)</f>
        <v/>
      </c>
      <c r="I256" t="str">
        <f>IF(ISBLANK(Common!K$8),"",Common!K$8)</f>
        <v/>
      </c>
      <c r="J256" s="27" t="s">
        <v>80</v>
      </c>
      <c r="K256">
        <f>Sector!A$27</f>
        <v>0</v>
      </c>
      <c r="L256" s="136" t="str">
        <f>IF(ISBLANK(Sector!C29),"",Sector!C29)</f>
        <v/>
      </c>
      <c r="M256" t="str">
        <f t="shared" si="75"/>
        <v>COD</v>
      </c>
      <c r="N256" t="str">
        <f t="shared" si="76"/>
        <v>mg/L</v>
      </c>
      <c r="O256" t="str">
        <f>IF(ISBLANK(Sector!G29),"",Sector!G29)</f>
        <v/>
      </c>
      <c r="P256">
        <f t="shared" si="77"/>
        <v>120</v>
      </c>
    </row>
    <row r="257" spans="1:16">
      <c r="A257" t="str">
        <f>IF(ISBLANK(Common!C$2),"",Common!C$2)</f>
        <v/>
      </c>
      <c r="B257" t="str">
        <f>IF(ISBLANK(Common!C$4),"",Common!C$4)</f>
        <v/>
      </c>
      <c r="C257" t="str">
        <f>IF(ISBLANK(Common!C$6),"",Common!C$6)</f>
        <v/>
      </c>
      <c r="D257" t="str">
        <f>IF(ISBLANK(Common!C$8),"",Common!C$8)</f>
        <v/>
      </c>
      <c r="E257" t="str">
        <f>IF(ISBLANK(Common!I$2),"",Common!I$2)</f>
        <v/>
      </c>
      <c r="F257" t="str">
        <f>IF(ISBLANK(Common!I$4),"",Common!I$4)</f>
        <v/>
      </c>
      <c r="G257" t="str">
        <f>IF(ISBLANK(Common!I$6),"",Common!I$6)</f>
        <v/>
      </c>
      <c r="H257" t="str">
        <f>IF(ISBLANK(Common!I$8),"",Common!I$8)</f>
        <v/>
      </c>
      <c r="I257" t="str">
        <f>IF(ISBLANK(Common!K$8),"",Common!K$8)</f>
        <v/>
      </c>
      <c r="J257" s="27" t="s">
        <v>80</v>
      </c>
      <c r="K257">
        <f>Sector!A$27</f>
        <v>0</v>
      </c>
      <c r="L257" s="136" t="str">
        <f>IF(ISBLANK(Sector!C30),"",Sector!C30)</f>
        <v/>
      </c>
      <c r="M257" t="str">
        <f t="shared" si="75"/>
        <v>COD</v>
      </c>
      <c r="N257" t="str">
        <f t="shared" si="76"/>
        <v>mg/L</v>
      </c>
      <c r="O257" t="str">
        <f>IF(ISBLANK(Sector!G30),"",Sector!G30)</f>
        <v/>
      </c>
      <c r="P257">
        <f t="shared" si="77"/>
        <v>120</v>
      </c>
    </row>
    <row r="258" spans="1:16">
      <c r="A258" t="str">
        <f>IF(ISBLANK(Common!C$2),"",Common!C$2)</f>
        <v/>
      </c>
      <c r="B258" t="str">
        <f>IF(ISBLANK(Common!C$4),"",Common!C$4)</f>
        <v/>
      </c>
      <c r="C258" t="str">
        <f>IF(ISBLANK(Common!C$6),"",Common!C$6)</f>
        <v/>
      </c>
      <c r="D258" t="str">
        <f>IF(ISBLANK(Common!C$8),"",Common!C$8)</f>
        <v/>
      </c>
      <c r="E258" t="str">
        <f>IF(ISBLANK(Common!I$2),"",Common!I$2)</f>
        <v/>
      </c>
      <c r="F258" t="str">
        <f>IF(ISBLANK(Common!I$4),"",Common!I$4)</f>
        <v/>
      </c>
      <c r="G258" t="str">
        <f>IF(ISBLANK(Common!I$6),"",Common!I$6)</f>
        <v/>
      </c>
      <c r="H258" t="str">
        <f>IF(ISBLANK(Common!I$8),"",Common!I$8)</f>
        <v/>
      </c>
      <c r="I258" t="str">
        <f>IF(ISBLANK(Common!K$8),"",Common!K$8)</f>
        <v/>
      </c>
      <c r="J258" s="27" t="s">
        <v>80</v>
      </c>
      <c r="K258">
        <f>Sector!A$15</f>
        <v>0</v>
      </c>
      <c r="L258" s="136" t="str">
        <f>IF(ISBLANK(Sector!C15),"",Sector!C15)</f>
        <v/>
      </c>
      <c r="M258">
        <f>Sector!H12</f>
        <v>0</v>
      </c>
      <c r="N258">
        <f>Sector!H13</f>
        <v>0</v>
      </c>
      <c r="O258" t="str">
        <f>IF(ISBLANK(Sector!H15),"",Sector!H15)</f>
        <v/>
      </c>
      <c r="P258" s="137">
        <f>Sector!H31</f>
        <v>0</v>
      </c>
    </row>
    <row r="259" spans="1:16">
      <c r="A259" t="str">
        <f>IF(ISBLANK(Common!C$2),"",Common!C$2)</f>
        <v/>
      </c>
      <c r="B259" t="str">
        <f>IF(ISBLANK(Common!C$4),"",Common!C$4)</f>
        <v/>
      </c>
      <c r="C259" t="str">
        <f>IF(ISBLANK(Common!C$6),"",Common!C$6)</f>
        <v/>
      </c>
      <c r="D259" t="str">
        <f>IF(ISBLANK(Common!C$8),"",Common!C$8)</f>
        <v/>
      </c>
      <c r="E259" t="str">
        <f>IF(ISBLANK(Common!I$2),"",Common!I$2)</f>
        <v/>
      </c>
      <c r="F259" t="str">
        <f>IF(ISBLANK(Common!I$4),"",Common!I$4)</f>
        <v/>
      </c>
      <c r="G259" t="str">
        <f>IF(ISBLANK(Common!I$6),"",Common!I$6)</f>
        <v/>
      </c>
      <c r="H259" t="str">
        <f>IF(ISBLANK(Common!I$8),"",Common!I$8)</f>
        <v/>
      </c>
      <c r="I259" t="str">
        <f>IF(ISBLANK(Common!K$8),"",Common!K$8)</f>
        <v/>
      </c>
      <c r="J259" s="27" t="s">
        <v>80</v>
      </c>
      <c r="K259">
        <f>Sector!A$15</f>
        <v>0</v>
      </c>
      <c r="L259" s="136" t="str">
        <f>IF(ISBLANK(Sector!C16),"",Sector!C16)</f>
        <v/>
      </c>
      <c r="M259">
        <f t="shared" ref="M259:M273" si="78">M258</f>
        <v>0</v>
      </c>
      <c r="N259">
        <f t="shared" ref="N259:N273" si="79">N258</f>
        <v>0</v>
      </c>
      <c r="O259" t="str">
        <f>IF(ISBLANK(Sector!H16),"",Sector!H16)</f>
        <v/>
      </c>
      <c r="P259">
        <f t="shared" ref="P259:P273" si="80">P258</f>
        <v>0</v>
      </c>
    </row>
    <row r="260" spans="1:16">
      <c r="A260" t="str">
        <f>IF(ISBLANK(Common!C$2),"",Common!C$2)</f>
        <v/>
      </c>
      <c r="B260" t="str">
        <f>IF(ISBLANK(Common!C$4),"",Common!C$4)</f>
        <v/>
      </c>
      <c r="C260" t="str">
        <f>IF(ISBLANK(Common!C$6),"",Common!C$6)</f>
        <v/>
      </c>
      <c r="D260" t="str">
        <f>IF(ISBLANK(Common!C$8),"",Common!C$8)</f>
        <v/>
      </c>
      <c r="E260" t="str">
        <f>IF(ISBLANK(Common!I$2),"",Common!I$2)</f>
        <v/>
      </c>
      <c r="F260" t="str">
        <f>IF(ISBLANK(Common!I$4),"",Common!I$4)</f>
        <v/>
      </c>
      <c r="G260" t="str">
        <f>IF(ISBLANK(Common!I$6),"",Common!I$6)</f>
        <v/>
      </c>
      <c r="H260" t="str">
        <f>IF(ISBLANK(Common!I$8),"",Common!I$8)</f>
        <v/>
      </c>
      <c r="I260" t="str">
        <f>IF(ISBLANK(Common!K$8),"",Common!K$8)</f>
        <v/>
      </c>
      <c r="J260" s="27" t="s">
        <v>80</v>
      </c>
      <c r="K260">
        <f>Sector!A$15</f>
        <v>0</v>
      </c>
      <c r="L260" s="136" t="str">
        <f>IF(ISBLANK(Sector!C17),"",Sector!C17)</f>
        <v/>
      </c>
      <c r="M260">
        <f t="shared" si="78"/>
        <v>0</v>
      </c>
      <c r="N260">
        <f t="shared" si="79"/>
        <v>0</v>
      </c>
      <c r="O260" t="str">
        <f>IF(ISBLANK(Sector!H17),"",Sector!H17)</f>
        <v/>
      </c>
      <c r="P260">
        <f t="shared" si="80"/>
        <v>0</v>
      </c>
    </row>
    <row r="261" spans="1:16">
      <c r="A261" t="str">
        <f>IF(ISBLANK(Common!C$2),"",Common!C$2)</f>
        <v/>
      </c>
      <c r="B261" t="str">
        <f>IF(ISBLANK(Common!C$4),"",Common!C$4)</f>
        <v/>
      </c>
      <c r="C261" t="str">
        <f>IF(ISBLANK(Common!C$6),"",Common!C$6)</f>
        <v/>
      </c>
      <c r="D261" t="str">
        <f>IF(ISBLANK(Common!C$8),"",Common!C$8)</f>
        <v/>
      </c>
      <c r="E261" t="str">
        <f>IF(ISBLANK(Common!I$2),"",Common!I$2)</f>
        <v/>
      </c>
      <c r="F261" t="str">
        <f>IF(ISBLANK(Common!I$4),"",Common!I$4)</f>
        <v/>
      </c>
      <c r="G261" t="str">
        <f>IF(ISBLANK(Common!I$6),"",Common!I$6)</f>
        <v/>
      </c>
      <c r="H261" t="str">
        <f>IF(ISBLANK(Common!I$8),"",Common!I$8)</f>
        <v/>
      </c>
      <c r="I261" t="str">
        <f>IF(ISBLANK(Common!K$8),"",Common!K$8)</f>
        <v/>
      </c>
      <c r="J261" s="27" t="s">
        <v>80</v>
      </c>
      <c r="K261">
        <f>Sector!A$15</f>
        <v>0</v>
      </c>
      <c r="L261" s="136" t="str">
        <f>IF(ISBLANK(Sector!C18),"",Sector!C18)</f>
        <v/>
      </c>
      <c r="M261">
        <f t="shared" si="78"/>
        <v>0</v>
      </c>
      <c r="N261">
        <f t="shared" si="79"/>
        <v>0</v>
      </c>
      <c r="O261" t="str">
        <f>IF(ISBLANK(Sector!H18),"",Sector!H18)</f>
        <v/>
      </c>
      <c r="P261">
        <f t="shared" si="80"/>
        <v>0</v>
      </c>
    </row>
    <row r="262" spans="1:16">
      <c r="A262" t="str">
        <f>IF(ISBLANK(Common!C$2),"",Common!C$2)</f>
        <v/>
      </c>
      <c r="B262" t="str">
        <f>IF(ISBLANK(Common!C$4),"",Common!C$4)</f>
        <v/>
      </c>
      <c r="C262" t="str">
        <f>IF(ISBLANK(Common!C$6),"",Common!C$6)</f>
        <v/>
      </c>
      <c r="D262" t="str">
        <f>IF(ISBLANK(Common!C$8),"",Common!C$8)</f>
        <v/>
      </c>
      <c r="E262" t="str">
        <f>IF(ISBLANK(Common!I$2),"",Common!I$2)</f>
        <v/>
      </c>
      <c r="F262" t="str">
        <f>IF(ISBLANK(Common!I$4),"",Common!I$4)</f>
        <v/>
      </c>
      <c r="G262" t="str">
        <f>IF(ISBLANK(Common!I$6),"",Common!I$6)</f>
        <v/>
      </c>
      <c r="H262" t="str">
        <f>IF(ISBLANK(Common!I$8),"",Common!I$8)</f>
        <v/>
      </c>
      <c r="I262" t="str">
        <f>IF(ISBLANK(Common!K$8),"",Common!K$8)</f>
        <v/>
      </c>
      <c r="J262" s="27" t="s">
        <v>80</v>
      </c>
      <c r="K262">
        <f>Sector!A$19</f>
        <v>0</v>
      </c>
      <c r="L262" s="136" t="str">
        <f>IF(ISBLANK(Sector!C19),"",Sector!C19)</f>
        <v/>
      </c>
      <c r="M262">
        <f t="shared" si="78"/>
        <v>0</v>
      </c>
      <c r="N262">
        <f t="shared" si="79"/>
        <v>0</v>
      </c>
      <c r="O262" t="str">
        <f>IF(ISBLANK(Sector!H19),"",Sector!H19)</f>
        <v/>
      </c>
      <c r="P262">
        <f t="shared" si="80"/>
        <v>0</v>
      </c>
    </row>
    <row r="263" spans="1:16">
      <c r="A263" t="str">
        <f>IF(ISBLANK(Common!C$2),"",Common!C$2)</f>
        <v/>
      </c>
      <c r="B263" t="str">
        <f>IF(ISBLANK(Common!C$4),"",Common!C$4)</f>
        <v/>
      </c>
      <c r="C263" t="str">
        <f>IF(ISBLANK(Common!C$6),"",Common!C$6)</f>
        <v/>
      </c>
      <c r="D263" t="str">
        <f>IF(ISBLANK(Common!C$8),"",Common!C$8)</f>
        <v/>
      </c>
      <c r="E263" t="str">
        <f>IF(ISBLANK(Common!I$2),"",Common!I$2)</f>
        <v/>
      </c>
      <c r="F263" t="str">
        <f>IF(ISBLANK(Common!I$4),"",Common!I$4)</f>
        <v/>
      </c>
      <c r="G263" t="str">
        <f>IF(ISBLANK(Common!I$6),"",Common!I$6)</f>
        <v/>
      </c>
      <c r="H263" t="str">
        <f>IF(ISBLANK(Common!I$8),"",Common!I$8)</f>
        <v/>
      </c>
      <c r="I263" t="str">
        <f>IF(ISBLANK(Common!K$8),"",Common!K$8)</f>
        <v/>
      </c>
      <c r="J263" s="27" t="s">
        <v>80</v>
      </c>
      <c r="K263">
        <f>Sector!A$19</f>
        <v>0</v>
      </c>
      <c r="L263" s="136" t="str">
        <f>IF(ISBLANK(Sector!C20),"",Sector!C20)</f>
        <v/>
      </c>
      <c r="M263">
        <f t="shared" si="78"/>
        <v>0</v>
      </c>
      <c r="N263">
        <f t="shared" si="79"/>
        <v>0</v>
      </c>
      <c r="O263" t="str">
        <f>IF(ISBLANK(Sector!H20),"",Sector!H20)</f>
        <v/>
      </c>
      <c r="P263">
        <f t="shared" si="80"/>
        <v>0</v>
      </c>
    </row>
    <row r="264" spans="1:16">
      <c r="A264" t="str">
        <f>IF(ISBLANK(Common!C$2),"",Common!C$2)</f>
        <v/>
      </c>
      <c r="B264" t="str">
        <f>IF(ISBLANK(Common!C$4),"",Common!C$4)</f>
        <v/>
      </c>
      <c r="C264" t="str">
        <f>IF(ISBLANK(Common!C$6),"",Common!C$6)</f>
        <v/>
      </c>
      <c r="D264" t="str">
        <f>IF(ISBLANK(Common!C$8),"",Common!C$8)</f>
        <v/>
      </c>
      <c r="E264" t="str">
        <f>IF(ISBLANK(Common!I$2),"",Common!I$2)</f>
        <v/>
      </c>
      <c r="F264" t="str">
        <f>IF(ISBLANK(Common!I$4),"",Common!I$4)</f>
        <v/>
      </c>
      <c r="G264" t="str">
        <f>IF(ISBLANK(Common!I$6),"",Common!I$6)</f>
        <v/>
      </c>
      <c r="H264" t="str">
        <f>IF(ISBLANK(Common!I$8),"",Common!I$8)</f>
        <v/>
      </c>
      <c r="I264" t="str">
        <f>IF(ISBLANK(Common!K$8),"",Common!K$8)</f>
        <v/>
      </c>
      <c r="J264" s="27" t="s">
        <v>80</v>
      </c>
      <c r="K264">
        <f>Sector!A$19</f>
        <v>0</v>
      </c>
      <c r="L264" s="136" t="str">
        <f>IF(ISBLANK(Sector!C21),"",Sector!C21)</f>
        <v/>
      </c>
      <c r="M264">
        <f t="shared" si="78"/>
        <v>0</v>
      </c>
      <c r="N264">
        <f t="shared" si="79"/>
        <v>0</v>
      </c>
      <c r="O264" t="str">
        <f>IF(ISBLANK(Sector!H21),"",Sector!H21)</f>
        <v/>
      </c>
      <c r="P264">
        <f t="shared" si="80"/>
        <v>0</v>
      </c>
    </row>
    <row r="265" spans="1:16">
      <c r="A265" t="str">
        <f>IF(ISBLANK(Common!C$2),"",Common!C$2)</f>
        <v/>
      </c>
      <c r="B265" t="str">
        <f>IF(ISBLANK(Common!C$4),"",Common!C$4)</f>
        <v/>
      </c>
      <c r="C265" t="str">
        <f>IF(ISBLANK(Common!C$6),"",Common!C$6)</f>
        <v/>
      </c>
      <c r="D265" t="str">
        <f>IF(ISBLANK(Common!C$8),"",Common!C$8)</f>
        <v/>
      </c>
      <c r="E265" t="str">
        <f>IF(ISBLANK(Common!I$2),"",Common!I$2)</f>
        <v/>
      </c>
      <c r="F265" t="str">
        <f>IF(ISBLANK(Common!I$4),"",Common!I$4)</f>
        <v/>
      </c>
      <c r="G265" t="str">
        <f>IF(ISBLANK(Common!I$6),"",Common!I$6)</f>
        <v/>
      </c>
      <c r="H265" t="str">
        <f>IF(ISBLANK(Common!I$8),"",Common!I$8)</f>
        <v/>
      </c>
      <c r="I265" t="str">
        <f>IF(ISBLANK(Common!K$8),"",Common!K$8)</f>
        <v/>
      </c>
      <c r="J265" s="27" t="s">
        <v>80</v>
      </c>
      <c r="K265">
        <f>Sector!A$19</f>
        <v>0</v>
      </c>
      <c r="L265" s="136" t="str">
        <f>IF(ISBLANK(Sector!C22),"",Sector!C22)</f>
        <v/>
      </c>
      <c r="M265">
        <f t="shared" si="78"/>
        <v>0</v>
      </c>
      <c r="N265">
        <f t="shared" si="79"/>
        <v>0</v>
      </c>
      <c r="O265" t="str">
        <f>IF(ISBLANK(Sector!H22),"",Sector!H22)</f>
        <v/>
      </c>
      <c r="P265">
        <f t="shared" si="80"/>
        <v>0</v>
      </c>
    </row>
    <row r="266" spans="1:16">
      <c r="A266" t="str">
        <f>IF(ISBLANK(Common!C$2),"",Common!C$2)</f>
        <v/>
      </c>
      <c r="B266" t="str">
        <f>IF(ISBLANK(Common!C$4),"",Common!C$4)</f>
        <v/>
      </c>
      <c r="C266" t="str">
        <f>IF(ISBLANK(Common!C$6),"",Common!C$6)</f>
        <v/>
      </c>
      <c r="D266" t="str">
        <f>IF(ISBLANK(Common!C$8),"",Common!C$8)</f>
        <v/>
      </c>
      <c r="E266" t="str">
        <f>IF(ISBLANK(Common!I$2),"",Common!I$2)</f>
        <v/>
      </c>
      <c r="F266" t="str">
        <f>IF(ISBLANK(Common!I$4),"",Common!I$4)</f>
        <v/>
      </c>
      <c r="G266" t="str">
        <f>IF(ISBLANK(Common!I$6),"",Common!I$6)</f>
        <v/>
      </c>
      <c r="H266" t="str">
        <f>IF(ISBLANK(Common!I$8),"",Common!I$8)</f>
        <v/>
      </c>
      <c r="I266" t="str">
        <f>IF(ISBLANK(Common!K$8),"",Common!K$8)</f>
        <v/>
      </c>
      <c r="J266" s="27" t="s">
        <v>80</v>
      </c>
      <c r="K266">
        <f>Sector!A$23</f>
        <v>0</v>
      </c>
      <c r="L266" s="136" t="str">
        <f>IF(ISBLANK(Sector!C23),"",Sector!C23)</f>
        <v/>
      </c>
      <c r="M266">
        <f t="shared" si="78"/>
        <v>0</v>
      </c>
      <c r="N266">
        <f t="shared" si="79"/>
        <v>0</v>
      </c>
      <c r="O266" t="str">
        <f>IF(ISBLANK(Sector!H23),"",Sector!H23)</f>
        <v/>
      </c>
      <c r="P266">
        <f t="shared" si="80"/>
        <v>0</v>
      </c>
    </row>
    <row r="267" spans="1:16">
      <c r="A267" t="str">
        <f>IF(ISBLANK(Common!C$2),"",Common!C$2)</f>
        <v/>
      </c>
      <c r="B267" t="str">
        <f>IF(ISBLANK(Common!C$4),"",Common!C$4)</f>
        <v/>
      </c>
      <c r="C267" t="str">
        <f>IF(ISBLANK(Common!C$6),"",Common!C$6)</f>
        <v/>
      </c>
      <c r="D267" t="str">
        <f>IF(ISBLANK(Common!C$8),"",Common!C$8)</f>
        <v/>
      </c>
      <c r="E267" t="str">
        <f>IF(ISBLANK(Common!I$2),"",Common!I$2)</f>
        <v/>
      </c>
      <c r="F267" t="str">
        <f>IF(ISBLANK(Common!I$4),"",Common!I$4)</f>
        <v/>
      </c>
      <c r="G267" t="str">
        <f>IF(ISBLANK(Common!I$6),"",Common!I$6)</f>
        <v/>
      </c>
      <c r="H267" t="str">
        <f>IF(ISBLANK(Common!I$8),"",Common!I$8)</f>
        <v/>
      </c>
      <c r="I267" t="str">
        <f>IF(ISBLANK(Common!K$8),"",Common!K$8)</f>
        <v/>
      </c>
      <c r="J267" s="27" t="s">
        <v>80</v>
      </c>
      <c r="K267">
        <f>Sector!A$23</f>
        <v>0</v>
      </c>
      <c r="L267" s="136" t="str">
        <f>IF(ISBLANK(Sector!C24),"",Sector!C24)</f>
        <v/>
      </c>
      <c r="M267">
        <f t="shared" si="78"/>
        <v>0</v>
      </c>
      <c r="N267">
        <f t="shared" si="79"/>
        <v>0</v>
      </c>
      <c r="O267" t="str">
        <f>IF(ISBLANK(Sector!H24),"",Sector!H24)</f>
        <v/>
      </c>
      <c r="P267">
        <f t="shared" si="80"/>
        <v>0</v>
      </c>
    </row>
    <row r="268" spans="1:16">
      <c r="A268" t="str">
        <f>IF(ISBLANK(Common!C$2),"",Common!C$2)</f>
        <v/>
      </c>
      <c r="B268" t="str">
        <f>IF(ISBLANK(Common!C$4),"",Common!C$4)</f>
        <v/>
      </c>
      <c r="C268" t="str">
        <f>IF(ISBLANK(Common!C$6),"",Common!C$6)</f>
        <v/>
      </c>
      <c r="D268" t="str">
        <f>IF(ISBLANK(Common!C$8),"",Common!C$8)</f>
        <v/>
      </c>
      <c r="E268" t="str">
        <f>IF(ISBLANK(Common!I$2),"",Common!I$2)</f>
        <v/>
      </c>
      <c r="F268" t="str">
        <f>IF(ISBLANK(Common!I$4),"",Common!I$4)</f>
        <v/>
      </c>
      <c r="G268" t="str">
        <f>IF(ISBLANK(Common!I$6),"",Common!I$6)</f>
        <v/>
      </c>
      <c r="H268" t="str">
        <f>IF(ISBLANK(Common!I$8),"",Common!I$8)</f>
        <v/>
      </c>
      <c r="I268" t="str">
        <f>IF(ISBLANK(Common!K$8),"",Common!K$8)</f>
        <v/>
      </c>
      <c r="J268" s="27" t="s">
        <v>80</v>
      </c>
      <c r="K268">
        <f>Sector!A$23</f>
        <v>0</v>
      </c>
      <c r="L268" s="136" t="str">
        <f>IF(ISBLANK(Sector!C25),"",Sector!C25)</f>
        <v/>
      </c>
      <c r="M268">
        <f t="shared" si="78"/>
        <v>0</v>
      </c>
      <c r="N268">
        <f t="shared" si="79"/>
        <v>0</v>
      </c>
      <c r="O268" t="str">
        <f>IF(ISBLANK(Sector!H25),"",Sector!H25)</f>
        <v/>
      </c>
      <c r="P268">
        <f t="shared" si="80"/>
        <v>0</v>
      </c>
    </row>
    <row r="269" spans="1:16">
      <c r="A269" t="str">
        <f>IF(ISBLANK(Common!C$2),"",Common!C$2)</f>
        <v/>
      </c>
      <c r="B269" t="str">
        <f>IF(ISBLANK(Common!C$4),"",Common!C$4)</f>
        <v/>
      </c>
      <c r="C269" t="str">
        <f>IF(ISBLANK(Common!C$6),"",Common!C$6)</f>
        <v/>
      </c>
      <c r="D269" t="str">
        <f>IF(ISBLANK(Common!C$8),"",Common!C$8)</f>
        <v/>
      </c>
      <c r="E269" t="str">
        <f>IF(ISBLANK(Common!I$2),"",Common!I$2)</f>
        <v/>
      </c>
      <c r="F269" t="str">
        <f>IF(ISBLANK(Common!I$4),"",Common!I$4)</f>
        <v/>
      </c>
      <c r="G269" t="str">
        <f>IF(ISBLANK(Common!I$6),"",Common!I$6)</f>
        <v/>
      </c>
      <c r="H269" t="str">
        <f>IF(ISBLANK(Common!I$8),"",Common!I$8)</f>
        <v/>
      </c>
      <c r="I269" t="str">
        <f>IF(ISBLANK(Common!K$8),"",Common!K$8)</f>
        <v/>
      </c>
      <c r="J269" s="27" t="s">
        <v>80</v>
      </c>
      <c r="K269">
        <f>Sector!A$23</f>
        <v>0</v>
      </c>
      <c r="L269" s="136" t="str">
        <f>IF(ISBLANK(Sector!C26),"",Sector!C26)</f>
        <v/>
      </c>
      <c r="M269">
        <f t="shared" si="78"/>
        <v>0</v>
      </c>
      <c r="N269">
        <f t="shared" si="79"/>
        <v>0</v>
      </c>
      <c r="O269" t="str">
        <f>IF(ISBLANK(Sector!H26),"",Sector!H26)</f>
        <v/>
      </c>
      <c r="P269">
        <f t="shared" si="80"/>
        <v>0</v>
      </c>
    </row>
    <row r="270" spans="1:16">
      <c r="A270" t="str">
        <f>IF(ISBLANK(Common!C$2),"",Common!C$2)</f>
        <v/>
      </c>
      <c r="B270" t="str">
        <f>IF(ISBLANK(Common!C$4),"",Common!C$4)</f>
        <v/>
      </c>
      <c r="C270" t="str">
        <f>IF(ISBLANK(Common!C$6),"",Common!C$6)</f>
        <v/>
      </c>
      <c r="D270" t="str">
        <f>IF(ISBLANK(Common!C$8),"",Common!C$8)</f>
        <v/>
      </c>
      <c r="E270" t="str">
        <f>IF(ISBLANK(Common!I$2),"",Common!I$2)</f>
        <v/>
      </c>
      <c r="F270" t="str">
        <f>IF(ISBLANK(Common!I$4),"",Common!I$4)</f>
        <v/>
      </c>
      <c r="G270" t="str">
        <f>IF(ISBLANK(Common!I$6),"",Common!I$6)</f>
        <v/>
      </c>
      <c r="H270" t="str">
        <f>IF(ISBLANK(Common!I$8),"",Common!I$8)</f>
        <v/>
      </c>
      <c r="I270" t="str">
        <f>IF(ISBLANK(Common!K$8),"",Common!K$8)</f>
        <v/>
      </c>
      <c r="J270" s="27" t="s">
        <v>80</v>
      </c>
      <c r="K270">
        <f>Sector!A$27</f>
        <v>0</v>
      </c>
      <c r="L270" s="136" t="str">
        <f>IF(ISBLANK(Sector!C27),"",Sector!C27)</f>
        <v/>
      </c>
      <c r="M270">
        <f t="shared" si="78"/>
        <v>0</v>
      </c>
      <c r="N270">
        <f t="shared" si="79"/>
        <v>0</v>
      </c>
      <c r="O270" t="str">
        <f>IF(ISBLANK(Sector!H27),"",Sector!H27)</f>
        <v/>
      </c>
      <c r="P270">
        <f t="shared" si="80"/>
        <v>0</v>
      </c>
    </row>
    <row r="271" spans="1:16">
      <c r="A271" t="str">
        <f>IF(ISBLANK(Common!C$2),"",Common!C$2)</f>
        <v/>
      </c>
      <c r="B271" t="str">
        <f>IF(ISBLANK(Common!C$4),"",Common!C$4)</f>
        <v/>
      </c>
      <c r="C271" t="str">
        <f>IF(ISBLANK(Common!C$6),"",Common!C$6)</f>
        <v/>
      </c>
      <c r="D271" t="str">
        <f>IF(ISBLANK(Common!C$8),"",Common!C$8)</f>
        <v/>
      </c>
      <c r="E271" t="str">
        <f>IF(ISBLANK(Common!I$2),"",Common!I$2)</f>
        <v/>
      </c>
      <c r="F271" t="str">
        <f>IF(ISBLANK(Common!I$4),"",Common!I$4)</f>
        <v/>
      </c>
      <c r="G271" t="str">
        <f>IF(ISBLANK(Common!I$6),"",Common!I$6)</f>
        <v/>
      </c>
      <c r="H271" t="str">
        <f>IF(ISBLANK(Common!I$8),"",Common!I$8)</f>
        <v/>
      </c>
      <c r="I271" t="str">
        <f>IF(ISBLANK(Common!K$8),"",Common!K$8)</f>
        <v/>
      </c>
      <c r="J271" s="27" t="s">
        <v>80</v>
      </c>
      <c r="K271">
        <f>Sector!A$27</f>
        <v>0</v>
      </c>
      <c r="L271" s="136" t="str">
        <f>IF(ISBLANK(Sector!C28),"",Sector!C28)</f>
        <v/>
      </c>
      <c r="M271">
        <f t="shared" si="78"/>
        <v>0</v>
      </c>
      <c r="N271">
        <f t="shared" si="79"/>
        <v>0</v>
      </c>
      <c r="O271" t="str">
        <f>IF(ISBLANK(Sector!H28),"",Sector!H28)</f>
        <v/>
      </c>
      <c r="P271">
        <f t="shared" si="80"/>
        <v>0</v>
      </c>
    </row>
    <row r="272" spans="1:16">
      <c r="A272" t="str">
        <f>IF(ISBLANK(Common!C$2),"",Common!C$2)</f>
        <v/>
      </c>
      <c r="B272" t="str">
        <f>IF(ISBLANK(Common!C$4),"",Common!C$4)</f>
        <v/>
      </c>
      <c r="C272" t="str">
        <f>IF(ISBLANK(Common!C$6),"",Common!C$6)</f>
        <v/>
      </c>
      <c r="D272" t="str">
        <f>IF(ISBLANK(Common!C$8),"",Common!C$8)</f>
        <v/>
      </c>
      <c r="E272" t="str">
        <f>IF(ISBLANK(Common!I$2),"",Common!I$2)</f>
        <v/>
      </c>
      <c r="F272" t="str">
        <f>IF(ISBLANK(Common!I$4),"",Common!I$4)</f>
        <v/>
      </c>
      <c r="G272" t="str">
        <f>IF(ISBLANK(Common!I$6),"",Common!I$6)</f>
        <v/>
      </c>
      <c r="H272" t="str">
        <f>IF(ISBLANK(Common!I$8),"",Common!I$8)</f>
        <v/>
      </c>
      <c r="I272" t="str">
        <f>IF(ISBLANK(Common!K$8),"",Common!K$8)</f>
        <v/>
      </c>
      <c r="J272" s="27" t="s">
        <v>80</v>
      </c>
      <c r="K272">
        <f>Sector!A$27</f>
        <v>0</v>
      </c>
      <c r="L272" s="136" t="str">
        <f>IF(ISBLANK(Sector!C29),"",Sector!C29)</f>
        <v/>
      </c>
      <c r="M272">
        <f t="shared" si="78"/>
        <v>0</v>
      </c>
      <c r="N272">
        <f t="shared" si="79"/>
        <v>0</v>
      </c>
      <c r="O272" t="str">
        <f>IF(ISBLANK(Sector!H29),"",Sector!H29)</f>
        <v/>
      </c>
      <c r="P272">
        <f t="shared" si="80"/>
        <v>0</v>
      </c>
    </row>
    <row r="273" spans="1:16">
      <c r="A273" t="str">
        <f>IF(ISBLANK(Common!C$2),"",Common!C$2)</f>
        <v/>
      </c>
      <c r="B273" t="str">
        <f>IF(ISBLANK(Common!C$4),"",Common!C$4)</f>
        <v/>
      </c>
      <c r="C273" t="str">
        <f>IF(ISBLANK(Common!C$6),"",Common!C$6)</f>
        <v/>
      </c>
      <c r="D273" t="str">
        <f>IF(ISBLANK(Common!C$8),"",Common!C$8)</f>
        <v/>
      </c>
      <c r="E273" t="str">
        <f>IF(ISBLANK(Common!I$2),"",Common!I$2)</f>
        <v/>
      </c>
      <c r="F273" t="str">
        <f>IF(ISBLANK(Common!I$4),"",Common!I$4)</f>
        <v/>
      </c>
      <c r="G273" t="str">
        <f>IF(ISBLANK(Common!I$6),"",Common!I$6)</f>
        <v/>
      </c>
      <c r="H273" t="str">
        <f>IF(ISBLANK(Common!I$8),"",Common!I$8)</f>
        <v/>
      </c>
      <c r="I273" t="str">
        <f>IF(ISBLANK(Common!K$8),"",Common!K$8)</f>
        <v/>
      </c>
      <c r="J273" s="27" t="s">
        <v>80</v>
      </c>
      <c r="K273">
        <f>Sector!A$27</f>
        <v>0</v>
      </c>
      <c r="L273" s="136" t="str">
        <f>IF(ISBLANK(Sector!C30),"",Sector!C30)</f>
        <v/>
      </c>
      <c r="M273">
        <f t="shared" si="78"/>
        <v>0</v>
      </c>
      <c r="N273">
        <f t="shared" si="79"/>
        <v>0</v>
      </c>
      <c r="O273" t="str">
        <f>IF(ISBLANK(Sector!H30),"",Sector!H30)</f>
        <v/>
      </c>
      <c r="P273">
        <f t="shared" si="80"/>
        <v>0</v>
      </c>
    </row>
    <row r="274" spans="1:16">
      <c r="A274" t="str">
        <f>IF(ISBLANK(Common!C$2),"",Common!C$2)</f>
        <v/>
      </c>
      <c r="B274" t="str">
        <f>IF(ISBLANK(Common!C$4),"",Common!C$4)</f>
        <v/>
      </c>
      <c r="C274" t="str">
        <f>IF(ISBLANK(Common!C$6),"",Common!C$6)</f>
        <v/>
      </c>
      <c r="D274" t="str">
        <f>IF(ISBLANK(Common!C$8),"",Common!C$8)</f>
        <v/>
      </c>
      <c r="E274" t="str">
        <f>IF(ISBLANK(Common!I$2),"",Common!I$2)</f>
        <v/>
      </c>
      <c r="F274" t="str">
        <f>IF(ISBLANK(Common!I$4),"",Common!I$4)</f>
        <v/>
      </c>
      <c r="G274" t="str">
        <f>IF(ISBLANK(Common!I$6),"",Common!I$6)</f>
        <v/>
      </c>
      <c r="H274" t="str">
        <f>IF(ISBLANK(Common!I$8),"",Common!I$8)</f>
        <v/>
      </c>
      <c r="I274" t="str">
        <f>IF(ISBLANK(Common!K$8),"",Common!K$8)</f>
        <v/>
      </c>
      <c r="J274" s="27" t="s">
        <v>80</v>
      </c>
      <c r="K274">
        <f>Sector!A$15</f>
        <v>0</v>
      </c>
      <c r="L274" s="136" t="str">
        <f>IF(ISBLANK(Sector!C15),"",Sector!C15)</f>
        <v/>
      </c>
      <c r="M274">
        <f>Sector!I12</f>
        <v>0</v>
      </c>
      <c r="N274">
        <f>Sector!I13</f>
        <v>0</v>
      </c>
      <c r="O274" t="str">
        <f>IF(ISBLANK(Sector!I15),"",Sector!I15)</f>
        <v/>
      </c>
      <c r="P274">
        <f>Sector!I31</f>
        <v>0</v>
      </c>
    </row>
    <row r="275" spans="1:16">
      <c r="A275" t="str">
        <f>IF(ISBLANK(Common!C$2),"",Common!C$2)</f>
        <v/>
      </c>
      <c r="B275" t="str">
        <f>IF(ISBLANK(Common!C$4),"",Common!C$4)</f>
        <v/>
      </c>
      <c r="C275" t="str">
        <f>IF(ISBLANK(Common!C$6),"",Common!C$6)</f>
        <v/>
      </c>
      <c r="D275" t="str">
        <f>IF(ISBLANK(Common!C$8),"",Common!C$8)</f>
        <v/>
      </c>
      <c r="E275" t="str">
        <f>IF(ISBLANK(Common!I$2),"",Common!I$2)</f>
        <v/>
      </c>
      <c r="F275" t="str">
        <f>IF(ISBLANK(Common!I$4),"",Common!I$4)</f>
        <v/>
      </c>
      <c r="G275" t="str">
        <f>IF(ISBLANK(Common!I$6),"",Common!I$6)</f>
        <v/>
      </c>
      <c r="H275" t="str">
        <f>IF(ISBLANK(Common!I$8),"",Common!I$8)</f>
        <v/>
      </c>
      <c r="I275" t="str">
        <f>IF(ISBLANK(Common!K$8),"",Common!K$8)</f>
        <v/>
      </c>
      <c r="J275" s="27" t="s">
        <v>80</v>
      </c>
      <c r="K275">
        <f>Sector!A$15</f>
        <v>0</v>
      </c>
      <c r="L275" s="136" t="str">
        <f>IF(ISBLANK(Sector!C16),"",Sector!C16)</f>
        <v/>
      </c>
      <c r="M275">
        <f t="shared" ref="M275:M289" si="81">M274</f>
        <v>0</v>
      </c>
      <c r="N275">
        <f t="shared" ref="N275:N289" si="82">N274</f>
        <v>0</v>
      </c>
      <c r="O275" t="str">
        <f>IF(ISBLANK(Sector!I16),"",Sector!I16)</f>
        <v/>
      </c>
      <c r="P275">
        <f t="shared" ref="P275:P289" si="83">P274</f>
        <v>0</v>
      </c>
    </row>
    <row r="276" spans="1:16">
      <c r="A276" t="str">
        <f>IF(ISBLANK(Common!C$2),"",Common!C$2)</f>
        <v/>
      </c>
      <c r="B276" t="str">
        <f>IF(ISBLANK(Common!C$4),"",Common!C$4)</f>
        <v/>
      </c>
      <c r="C276" t="str">
        <f>IF(ISBLANK(Common!C$6),"",Common!C$6)</f>
        <v/>
      </c>
      <c r="D276" t="str">
        <f>IF(ISBLANK(Common!C$8),"",Common!C$8)</f>
        <v/>
      </c>
      <c r="E276" t="str">
        <f>IF(ISBLANK(Common!I$2),"",Common!I$2)</f>
        <v/>
      </c>
      <c r="F276" t="str">
        <f>IF(ISBLANK(Common!I$4),"",Common!I$4)</f>
        <v/>
      </c>
      <c r="G276" t="str">
        <f>IF(ISBLANK(Common!I$6),"",Common!I$6)</f>
        <v/>
      </c>
      <c r="H276" t="str">
        <f>IF(ISBLANK(Common!I$8),"",Common!I$8)</f>
        <v/>
      </c>
      <c r="I276" t="str">
        <f>IF(ISBLANK(Common!K$8),"",Common!K$8)</f>
        <v/>
      </c>
      <c r="J276" s="27" t="s">
        <v>80</v>
      </c>
      <c r="K276">
        <f>Sector!A$15</f>
        <v>0</v>
      </c>
      <c r="L276" s="136" t="str">
        <f>IF(ISBLANK(Sector!C17),"",Sector!C17)</f>
        <v/>
      </c>
      <c r="M276">
        <f t="shared" si="81"/>
        <v>0</v>
      </c>
      <c r="N276">
        <f t="shared" si="82"/>
        <v>0</v>
      </c>
      <c r="O276" t="str">
        <f>IF(ISBLANK(Sector!I17),"",Sector!I17)</f>
        <v/>
      </c>
      <c r="P276">
        <f t="shared" si="83"/>
        <v>0</v>
      </c>
    </row>
    <row r="277" spans="1:16">
      <c r="A277" t="str">
        <f>IF(ISBLANK(Common!C$2),"",Common!C$2)</f>
        <v/>
      </c>
      <c r="B277" t="str">
        <f>IF(ISBLANK(Common!C$4),"",Common!C$4)</f>
        <v/>
      </c>
      <c r="C277" t="str">
        <f>IF(ISBLANK(Common!C$6),"",Common!C$6)</f>
        <v/>
      </c>
      <c r="D277" t="str">
        <f>IF(ISBLANK(Common!C$8),"",Common!C$8)</f>
        <v/>
      </c>
      <c r="E277" t="str">
        <f>IF(ISBLANK(Common!I$2),"",Common!I$2)</f>
        <v/>
      </c>
      <c r="F277" t="str">
        <f>IF(ISBLANK(Common!I$4),"",Common!I$4)</f>
        <v/>
      </c>
      <c r="G277" t="str">
        <f>IF(ISBLANK(Common!I$6),"",Common!I$6)</f>
        <v/>
      </c>
      <c r="H277" t="str">
        <f>IF(ISBLANK(Common!I$8),"",Common!I$8)</f>
        <v/>
      </c>
      <c r="I277" t="str">
        <f>IF(ISBLANK(Common!K$8),"",Common!K$8)</f>
        <v/>
      </c>
      <c r="J277" s="27" t="s">
        <v>80</v>
      </c>
      <c r="K277">
        <f>Sector!A$15</f>
        <v>0</v>
      </c>
      <c r="L277" s="136" t="str">
        <f>IF(ISBLANK(Sector!C18),"",Sector!C18)</f>
        <v/>
      </c>
      <c r="M277">
        <f t="shared" si="81"/>
        <v>0</v>
      </c>
      <c r="N277">
        <f t="shared" si="82"/>
        <v>0</v>
      </c>
      <c r="O277" t="str">
        <f>IF(ISBLANK(Sector!I18),"",Sector!I18)</f>
        <v/>
      </c>
      <c r="P277">
        <f t="shared" si="83"/>
        <v>0</v>
      </c>
    </row>
    <row r="278" spans="1:16">
      <c r="A278" t="str">
        <f>IF(ISBLANK(Common!C$2),"",Common!C$2)</f>
        <v/>
      </c>
      <c r="B278" t="str">
        <f>IF(ISBLANK(Common!C$4),"",Common!C$4)</f>
        <v/>
      </c>
      <c r="C278" t="str">
        <f>IF(ISBLANK(Common!C$6),"",Common!C$6)</f>
        <v/>
      </c>
      <c r="D278" t="str">
        <f>IF(ISBLANK(Common!C$8),"",Common!C$8)</f>
        <v/>
      </c>
      <c r="E278" t="str">
        <f>IF(ISBLANK(Common!I$2),"",Common!I$2)</f>
        <v/>
      </c>
      <c r="F278" t="str">
        <f>IF(ISBLANK(Common!I$4),"",Common!I$4)</f>
        <v/>
      </c>
      <c r="G278" t="str">
        <f>IF(ISBLANK(Common!I$6),"",Common!I$6)</f>
        <v/>
      </c>
      <c r="H278" t="str">
        <f>IF(ISBLANK(Common!I$8),"",Common!I$8)</f>
        <v/>
      </c>
      <c r="I278" t="str">
        <f>IF(ISBLANK(Common!K$8),"",Common!K$8)</f>
        <v/>
      </c>
      <c r="J278" s="27" t="s">
        <v>80</v>
      </c>
      <c r="K278">
        <f>Sector!A$19</f>
        <v>0</v>
      </c>
      <c r="L278" s="136" t="str">
        <f>IF(ISBLANK(Sector!C19),"",Sector!C19)</f>
        <v/>
      </c>
      <c r="M278">
        <f t="shared" si="81"/>
        <v>0</v>
      </c>
      <c r="N278">
        <f t="shared" si="82"/>
        <v>0</v>
      </c>
      <c r="O278" t="str">
        <f>IF(ISBLANK(Sector!I19),"",Sector!I19)</f>
        <v/>
      </c>
      <c r="P278">
        <f t="shared" si="83"/>
        <v>0</v>
      </c>
    </row>
    <row r="279" spans="1:16">
      <c r="A279" t="str">
        <f>IF(ISBLANK(Common!C$2),"",Common!C$2)</f>
        <v/>
      </c>
      <c r="B279" t="str">
        <f>IF(ISBLANK(Common!C$4),"",Common!C$4)</f>
        <v/>
      </c>
      <c r="C279" t="str">
        <f>IF(ISBLANK(Common!C$6),"",Common!C$6)</f>
        <v/>
      </c>
      <c r="D279" t="str">
        <f>IF(ISBLANK(Common!C$8),"",Common!C$8)</f>
        <v/>
      </c>
      <c r="E279" t="str">
        <f>IF(ISBLANK(Common!I$2),"",Common!I$2)</f>
        <v/>
      </c>
      <c r="F279" t="str">
        <f>IF(ISBLANK(Common!I$4),"",Common!I$4)</f>
        <v/>
      </c>
      <c r="G279" t="str">
        <f>IF(ISBLANK(Common!I$6),"",Common!I$6)</f>
        <v/>
      </c>
      <c r="H279" t="str">
        <f>IF(ISBLANK(Common!I$8),"",Common!I$8)</f>
        <v/>
      </c>
      <c r="I279" t="str">
        <f>IF(ISBLANK(Common!K$8),"",Common!K$8)</f>
        <v/>
      </c>
      <c r="J279" s="27" t="s">
        <v>80</v>
      </c>
      <c r="K279">
        <f>Sector!A$19</f>
        <v>0</v>
      </c>
      <c r="L279" s="136" t="str">
        <f>IF(ISBLANK(Sector!C20),"",Sector!C20)</f>
        <v/>
      </c>
      <c r="M279">
        <f t="shared" si="81"/>
        <v>0</v>
      </c>
      <c r="N279">
        <f t="shared" si="82"/>
        <v>0</v>
      </c>
      <c r="O279" t="str">
        <f>IF(ISBLANK(Sector!I20),"",Sector!I20)</f>
        <v/>
      </c>
      <c r="P279">
        <f t="shared" si="83"/>
        <v>0</v>
      </c>
    </row>
    <row r="280" spans="1:16">
      <c r="A280" t="str">
        <f>IF(ISBLANK(Common!C$2),"",Common!C$2)</f>
        <v/>
      </c>
      <c r="B280" t="str">
        <f>IF(ISBLANK(Common!C$4),"",Common!C$4)</f>
        <v/>
      </c>
      <c r="C280" t="str">
        <f>IF(ISBLANK(Common!C$6),"",Common!C$6)</f>
        <v/>
      </c>
      <c r="D280" t="str">
        <f>IF(ISBLANK(Common!C$8),"",Common!C$8)</f>
        <v/>
      </c>
      <c r="E280" t="str">
        <f>IF(ISBLANK(Common!I$2),"",Common!I$2)</f>
        <v/>
      </c>
      <c r="F280" t="str">
        <f>IF(ISBLANK(Common!I$4),"",Common!I$4)</f>
        <v/>
      </c>
      <c r="G280" t="str">
        <f>IF(ISBLANK(Common!I$6),"",Common!I$6)</f>
        <v/>
      </c>
      <c r="H280" t="str">
        <f>IF(ISBLANK(Common!I$8),"",Common!I$8)</f>
        <v/>
      </c>
      <c r="I280" t="str">
        <f>IF(ISBLANK(Common!K$8),"",Common!K$8)</f>
        <v/>
      </c>
      <c r="J280" s="27" t="s">
        <v>80</v>
      </c>
      <c r="K280">
        <f>Sector!A$19</f>
        <v>0</v>
      </c>
      <c r="L280" s="136" t="str">
        <f>IF(ISBLANK(Sector!C21),"",Sector!C21)</f>
        <v/>
      </c>
      <c r="M280">
        <f t="shared" si="81"/>
        <v>0</v>
      </c>
      <c r="N280">
        <f t="shared" si="82"/>
        <v>0</v>
      </c>
      <c r="O280" t="str">
        <f>IF(ISBLANK(Sector!I21),"",Sector!I21)</f>
        <v/>
      </c>
      <c r="P280">
        <f t="shared" si="83"/>
        <v>0</v>
      </c>
    </row>
    <row r="281" spans="1:16">
      <c r="A281" t="str">
        <f>IF(ISBLANK(Common!C$2),"",Common!C$2)</f>
        <v/>
      </c>
      <c r="B281" t="str">
        <f>IF(ISBLANK(Common!C$4),"",Common!C$4)</f>
        <v/>
      </c>
      <c r="C281" t="str">
        <f>IF(ISBLANK(Common!C$6),"",Common!C$6)</f>
        <v/>
      </c>
      <c r="D281" t="str">
        <f>IF(ISBLANK(Common!C$8),"",Common!C$8)</f>
        <v/>
      </c>
      <c r="E281" t="str">
        <f>IF(ISBLANK(Common!I$2),"",Common!I$2)</f>
        <v/>
      </c>
      <c r="F281" t="str">
        <f>IF(ISBLANK(Common!I$4),"",Common!I$4)</f>
        <v/>
      </c>
      <c r="G281" t="str">
        <f>IF(ISBLANK(Common!I$6),"",Common!I$6)</f>
        <v/>
      </c>
      <c r="H281" t="str">
        <f>IF(ISBLANK(Common!I$8),"",Common!I$8)</f>
        <v/>
      </c>
      <c r="I281" t="str">
        <f>IF(ISBLANK(Common!K$8),"",Common!K$8)</f>
        <v/>
      </c>
      <c r="J281" s="27" t="s">
        <v>80</v>
      </c>
      <c r="K281">
        <f>Sector!A$19</f>
        <v>0</v>
      </c>
      <c r="L281" s="136" t="str">
        <f>IF(ISBLANK(Sector!C22),"",Sector!C22)</f>
        <v/>
      </c>
      <c r="M281">
        <f t="shared" si="81"/>
        <v>0</v>
      </c>
      <c r="N281">
        <f t="shared" si="82"/>
        <v>0</v>
      </c>
      <c r="O281" t="str">
        <f>IF(ISBLANK(Sector!I22),"",Sector!I22)</f>
        <v/>
      </c>
      <c r="P281">
        <f t="shared" si="83"/>
        <v>0</v>
      </c>
    </row>
    <row r="282" spans="1:16">
      <c r="A282" t="str">
        <f>IF(ISBLANK(Common!C$2),"",Common!C$2)</f>
        <v/>
      </c>
      <c r="B282" t="str">
        <f>IF(ISBLANK(Common!C$4),"",Common!C$4)</f>
        <v/>
      </c>
      <c r="C282" t="str">
        <f>IF(ISBLANK(Common!C$6),"",Common!C$6)</f>
        <v/>
      </c>
      <c r="D282" t="str">
        <f>IF(ISBLANK(Common!C$8),"",Common!C$8)</f>
        <v/>
      </c>
      <c r="E282" t="str">
        <f>IF(ISBLANK(Common!I$2),"",Common!I$2)</f>
        <v/>
      </c>
      <c r="F282" t="str">
        <f>IF(ISBLANK(Common!I$4),"",Common!I$4)</f>
        <v/>
      </c>
      <c r="G282" t="str">
        <f>IF(ISBLANK(Common!I$6),"",Common!I$6)</f>
        <v/>
      </c>
      <c r="H282" t="str">
        <f>IF(ISBLANK(Common!I$8),"",Common!I$8)</f>
        <v/>
      </c>
      <c r="I282" t="str">
        <f>IF(ISBLANK(Common!K$8),"",Common!K$8)</f>
        <v/>
      </c>
      <c r="J282" s="27" t="s">
        <v>80</v>
      </c>
      <c r="K282">
        <f>Sector!A$23</f>
        <v>0</v>
      </c>
      <c r="L282" s="136" t="str">
        <f>IF(ISBLANK(Sector!C23),"",Sector!C23)</f>
        <v/>
      </c>
      <c r="M282">
        <f t="shared" si="81"/>
        <v>0</v>
      </c>
      <c r="N282">
        <f t="shared" si="82"/>
        <v>0</v>
      </c>
      <c r="O282" t="str">
        <f>IF(ISBLANK(Sector!I23),"",Sector!I23)</f>
        <v/>
      </c>
      <c r="P282">
        <f t="shared" si="83"/>
        <v>0</v>
      </c>
    </row>
    <row r="283" spans="1:16">
      <c r="A283" t="str">
        <f>IF(ISBLANK(Common!C$2),"",Common!C$2)</f>
        <v/>
      </c>
      <c r="B283" t="str">
        <f>IF(ISBLANK(Common!C$4),"",Common!C$4)</f>
        <v/>
      </c>
      <c r="C283" t="str">
        <f>IF(ISBLANK(Common!C$6),"",Common!C$6)</f>
        <v/>
      </c>
      <c r="D283" t="str">
        <f>IF(ISBLANK(Common!C$8),"",Common!C$8)</f>
        <v/>
      </c>
      <c r="E283" t="str">
        <f>IF(ISBLANK(Common!I$2),"",Common!I$2)</f>
        <v/>
      </c>
      <c r="F283" t="str">
        <f>IF(ISBLANK(Common!I$4),"",Common!I$4)</f>
        <v/>
      </c>
      <c r="G283" t="str">
        <f>IF(ISBLANK(Common!I$6),"",Common!I$6)</f>
        <v/>
      </c>
      <c r="H283" t="str">
        <f>IF(ISBLANK(Common!I$8),"",Common!I$8)</f>
        <v/>
      </c>
      <c r="I283" t="str">
        <f>IF(ISBLANK(Common!K$8),"",Common!K$8)</f>
        <v/>
      </c>
      <c r="J283" s="27" t="s">
        <v>80</v>
      </c>
      <c r="K283">
        <f>Sector!A$23</f>
        <v>0</v>
      </c>
      <c r="L283" s="136" t="str">
        <f>IF(ISBLANK(Sector!C24),"",Sector!C24)</f>
        <v/>
      </c>
      <c r="M283">
        <f t="shared" si="81"/>
        <v>0</v>
      </c>
      <c r="N283">
        <f t="shared" si="82"/>
        <v>0</v>
      </c>
      <c r="O283" t="str">
        <f>IF(ISBLANK(Sector!I24),"",Sector!I24)</f>
        <v/>
      </c>
      <c r="P283">
        <f t="shared" si="83"/>
        <v>0</v>
      </c>
    </row>
    <row r="284" spans="1:16">
      <c r="A284" t="str">
        <f>IF(ISBLANK(Common!C$2),"",Common!C$2)</f>
        <v/>
      </c>
      <c r="B284" t="str">
        <f>IF(ISBLANK(Common!C$4),"",Common!C$4)</f>
        <v/>
      </c>
      <c r="C284" t="str">
        <f>IF(ISBLANK(Common!C$6),"",Common!C$6)</f>
        <v/>
      </c>
      <c r="D284" t="str">
        <f>IF(ISBLANK(Common!C$8),"",Common!C$8)</f>
        <v/>
      </c>
      <c r="E284" t="str">
        <f>IF(ISBLANK(Common!I$2),"",Common!I$2)</f>
        <v/>
      </c>
      <c r="F284" t="str">
        <f>IF(ISBLANK(Common!I$4),"",Common!I$4)</f>
        <v/>
      </c>
      <c r="G284" t="str">
        <f>IF(ISBLANK(Common!I$6),"",Common!I$6)</f>
        <v/>
      </c>
      <c r="H284" t="str">
        <f>IF(ISBLANK(Common!I$8),"",Common!I$8)</f>
        <v/>
      </c>
      <c r="I284" t="str">
        <f>IF(ISBLANK(Common!K$8),"",Common!K$8)</f>
        <v/>
      </c>
      <c r="J284" s="27" t="s">
        <v>80</v>
      </c>
      <c r="K284">
        <f>Sector!A$23</f>
        <v>0</v>
      </c>
      <c r="L284" s="136" t="str">
        <f>IF(ISBLANK(Sector!C25),"",Sector!C25)</f>
        <v/>
      </c>
      <c r="M284">
        <f t="shared" si="81"/>
        <v>0</v>
      </c>
      <c r="N284">
        <f t="shared" si="82"/>
        <v>0</v>
      </c>
      <c r="O284" t="str">
        <f>IF(ISBLANK(Sector!I25),"",Sector!I25)</f>
        <v/>
      </c>
      <c r="P284">
        <f t="shared" si="83"/>
        <v>0</v>
      </c>
    </row>
    <row r="285" spans="1:16">
      <c r="A285" t="str">
        <f>IF(ISBLANK(Common!C$2),"",Common!C$2)</f>
        <v/>
      </c>
      <c r="B285" t="str">
        <f>IF(ISBLANK(Common!C$4),"",Common!C$4)</f>
        <v/>
      </c>
      <c r="C285" t="str">
        <f>IF(ISBLANK(Common!C$6),"",Common!C$6)</f>
        <v/>
      </c>
      <c r="D285" t="str">
        <f>IF(ISBLANK(Common!C$8),"",Common!C$8)</f>
        <v/>
      </c>
      <c r="E285" t="str">
        <f>IF(ISBLANK(Common!I$2),"",Common!I$2)</f>
        <v/>
      </c>
      <c r="F285" t="str">
        <f>IF(ISBLANK(Common!I$4),"",Common!I$4)</f>
        <v/>
      </c>
      <c r="G285" t="str">
        <f>IF(ISBLANK(Common!I$6),"",Common!I$6)</f>
        <v/>
      </c>
      <c r="H285" t="str">
        <f>IF(ISBLANK(Common!I$8),"",Common!I$8)</f>
        <v/>
      </c>
      <c r="I285" t="str">
        <f>IF(ISBLANK(Common!K$8),"",Common!K$8)</f>
        <v/>
      </c>
      <c r="J285" s="27" t="s">
        <v>80</v>
      </c>
      <c r="K285">
        <f>Sector!A$23</f>
        <v>0</v>
      </c>
      <c r="L285" s="136" t="str">
        <f>IF(ISBLANK(Sector!C26),"",Sector!C26)</f>
        <v/>
      </c>
      <c r="M285">
        <f t="shared" si="81"/>
        <v>0</v>
      </c>
      <c r="N285">
        <f t="shared" si="82"/>
        <v>0</v>
      </c>
      <c r="O285" t="str">
        <f>IF(ISBLANK(Sector!I26),"",Sector!I26)</f>
        <v/>
      </c>
      <c r="P285">
        <f t="shared" si="83"/>
        <v>0</v>
      </c>
    </row>
    <row r="286" spans="1:16">
      <c r="A286" t="str">
        <f>IF(ISBLANK(Common!C$2),"",Common!C$2)</f>
        <v/>
      </c>
      <c r="B286" t="str">
        <f>IF(ISBLANK(Common!C$4),"",Common!C$4)</f>
        <v/>
      </c>
      <c r="C286" t="str">
        <f>IF(ISBLANK(Common!C$6),"",Common!C$6)</f>
        <v/>
      </c>
      <c r="D286" t="str">
        <f>IF(ISBLANK(Common!C$8),"",Common!C$8)</f>
        <v/>
      </c>
      <c r="E286" t="str">
        <f>IF(ISBLANK(Common!I$2),"",Common!I$2)</f>
        <v/>
      </c>
      <c r="F286" t="str">
        <f>IF(ISBLANK(Common!I$4),"",Common!I$4)</f>
        <v/>
      </c>
      <c r="G286" t="str">
        <f>IF(ISBLANK(Common!I$6),"",Common!I$6)</f>
        <v/>
      </c>
      <c r="H286" t="str">
        <f>IF(ISBLANK(Common!I$8),"",Common!I$8)</f>
        <v/>
      </c>
      <c r="I286" t="str">
        <f>IF(ISBLANK(Common!K$8),"",Common!K$8)</f>
        <v/>
      </c>
      <c r="J286" s="27" t="s">
        <v>80</v>
      </c>
      <c r="K286">
        <f>Sector!A$27</f>
        <v>0</v>
      </c>
      <c r="L286" s="136" t="str">
        <f>IF(ISBLANK(Sector!C27),"",Sector!C27)</f>
        <v/>
      </c>
      <c r="M286">
        <f t="shared" si="81"/>
        <v>0</v>
      </c>
      <c r="N286">
        <f t="shared" si="82"/>
        <v>0</v>
      </c>
      <c r="O286" t="str">
        <f>IF(ISBLANK(Sector!I27),"",Sector!I27)</f>
        <v/>
      </c>
      <c r="P286">
        <f t="shared" si="83"/>
        <v>0</v>
      </c>
    </row>
    <row r="287" spans="1:16">
      <c r="A287" t="str">
        <f>IF(ISBLANK(Common!C$2),"",Common!C$2)</f>
        <v/>
      </c>
      <c r="B287" t="str">
        <f>IF(ISBLANK(Common!C$4),"",Common!C$4)</f>
        <v/>
      </c>
      <c r="C287" t="str">
        <f>IF(ISBLANK(Common!C$6),"",Common!C$6)</f>
        <v/>
      </c>
      <c r="D287" t="str">
        <f>IF(ISBLANK(Common!C$8),"",Common!C$8)</f>
        <v/>
      </c>
      <c r="E287" t="str">
        <f>IF(ISBLANK(Common!I$2),"",Common!I$2)</f>
        <v/>
      </c>
      <c r="F287" t="str">
        <f>IF(ISBLANK(Common!I$4),"",Common!I$4)</f>
        <v/>
      </c>
      <c r="G287" t="str">
        <f>IF(ISBLANK(Common!I$6),"",Common!I$6)</f>
        <v/>
      </c>
      <c r="H287" t="str">
        <f>IF(ISBLANK(Common!I$8),"",Common!I$8)</f>
        <v/>
      </c>
      <c r="I287" t="str">
        <f>IF(ISBLANK(Common!K$8),"",Common!K$8)</f>
        <v/>
      </c>
      <c r="J287" s="27" t="s">
        <v>80</v>
      </c>
      <c r="K287">
        <f>Sector!A$27</f>
        <v>0</v>
      </c>
      <c r="L287" s="136" t="str">
        <f>IF(ISBLANK(Sector!C28),"",Sector!C28)</f>
        <v/>
      </c>
      <c r="M287">
        <f t="shared" si="81"/>
        <v>0</v>
      </c>
      <c r="N287">
        <f t="shared" si="82"/>
        <v>0</v>
      </c>
      <c r="O287" t="str">
        <f>IF(ISBLANK(Sector!I28),"",Sector!I28)</f>
        <v/>
      </c>
      <c r="P287">
        <f t="shared" si="83"/>
        <v>0</v>
      </c>
    </row>
    <row r="288" spans="1:16">
      <c r="A288" t="str">
        <f>IF(ISBLANK(Common!C$2),"",Common!C$2)</f>
        <v/>
      </c>
      <c r="B288" t="str">
        <f>IF(ISBLANK(Common!C$4),"",Common!C$4)</f>
        <v/>
      </c>
      <c r="C288" t="str">
        <f>IF(ISBLANK(Common!C$6),"",Common!C$6)</f>
        <v/>
      </c>
      <c r="D288" t="str">
        <f>IF(ISBLANK(Common!C$8),"",Common!C$8)</f>
        <v/>
      </c>
      <c r="E288" t="str">
        <f>IF(ISBLANK(Common!I$2),"",Common!I$2)</f>
        <v/>
      </c>
      <c r="F288" t="str">
        <f>IF(ISBLANK(Common!I$4),"",Common!I$4)</f>
        <v/>
      </c>
      <c r="G288" t="str">
        <f>IF(ISBLANK(Common!I$6),"",Common!I$6)</f>
        <v/>
      </c>
      <c r="H288" t="str">
        <f>IF(ISBLANK(Common!I$8),"",Common!I$8)</f>
        <v/>
      </c>
      <c r="I288" t="str">
        <f>IF(ISBLANK(Common!K$8),"",Common!K$8)</f>
        <v/>
      </c>
      <c r="J288" s="27" t="s">
        <v>80</v>
      </c>
      <c r="K288">
        <f>Sector!A$27</f>
        <v>0</v>
      </c>
      <c r="L288" s="136" t="str">
        <f>IF(ISBLANK(Sector!C29),"",Sector!C29)</f>
        <v/>
      </c>
      <c r="M288">
        <f t="shared" si="81"/>
        <v>0</v>
      </c>
      <c r="N288">
        <f t="shared" si="82"/>
        <v>0</v>
      </c>
      <c r="O288" t="str">
        <f>IF(ISBLANK(Sector!I29),"",Sector!I29)</f>
        <v/>
      </c>
      <c r="P288">
        <f t="shared" si="83"/>
        <v>0</v>
      </c>
    </row>
    <row r="289" spans="1:16">
      <c r="A289" t="str">
        <f>IF(ISBLANK(Common!C$2),"",Common!C$2)</f>
        <v/>
      </c>
      <c r="B289" t="str">
        <f>IF(ISBLANK(Common!C$4),"",Common!C$4)</f>
        <v/>
      </c>
      <c r="C289" t="str">
        <f>IF(ISBLANK(Common!C$6),"",Common!C$6)</f>
        <v/>
      </c>
      <c r="D289" t="str">
        <f>IF(ISBLANK(Common!C$8),"",Common!C$8)</f>
        <v/>
      </c>
      <c r="E289" t="str">
        <f>IF(ISBLANK(Common!I$2),"",Common!I$2)</f>
        <v/>
      </c>
      <c r="F289" t="str">
        <f>IF(ISBLANK(Common!I$4),"",Common!I$4)</f>
        <v/>
      </c>
      <c r="G289" t="str">
        <f>IF(ISBLANK(Common!I$6),"",Common!I$6)</f>
        <v/>
      </c>
      <c r="H289" t="str">
        <f>IF(ISBLANK(Common!I$8),"",Common!I$8)</f>
        <v/>
      </c>
      <c r="I289" t="str">
        <f>IF(ISBLANK(Common!K$8),"",Common!K$8)</f>
        <v/>
      </c>
      <c r="J289" s="27" t="s">
        <v>80</v>
      </c>
      <c r="K289">
        <f>Sector!A$27</f>
        <v>0</v>
      </c>
      <c r="L289" s="136" t="str">
        <f>IF(ISBLANK(Sector!C30),"",Sector!C30)</f>
        <v/>
      </c>
      <c r="M289">
        <f t="shared" si="81"/>
        <v>0</v>
      </c>
      <c r="N289">
        <f t="shared" si="82"/>
        <v>0</v>
      </c>
      <c r="O289" t="str">
        <f>IF(ISBLANK(Sector!I30),"",Sector!I30)</f>
        <v/>
      </c>
      <c r="P289">
        <f t="shared" si="83"/>
        <v>0</v>
      </c>
    </row>
    <row r="290" spans="1:16">
      <c r="A290" t="str">
        <f>IF(ISBLANK(Common!C$2),"",Common!C$2)</f>
        <v/>
      </c>
      <c r="B290" t="str">
        <f>IF(ISBLANK(Common!C$4),"",Common!C$4)</f>
        <v/>
      </c>
      <c r="C290" t="str">
        <f>IF(ISBLANK(Common!C$6),"",Common!C$6)</f>
        <v/>
      </c>
      <c r="D290" t="str">
        <f>IF(ISBLANK(Common!C$8),"",Common!C$8)</f>
        <v/>
      </c>
      <c r="E290" t="str">
        <f>IF(ISBLANK(Common!I$2),"",Common!I$2)</f>
        <v/>
      </c>
      <c r="F290" t="str">
        <f>IF(ISBLANK(Common!I$4),"",Common!I$4)</f>
        <v/>
      </c>
      <c r="G290" t="str">
        <f>IF(ISBLANK(Common!I$6),"",Common!I$6)</f>
        <v/>
      </c>
      <c r="H290" t="str">
        <f>IF(ISBLANK(Common!I$8),"",Common!I$8)</f>
        <v/>
      </c>
      <c r="I290" t="str">
        <f>IF(ISBLANK(Common!K$8),"",Common!K$8)</f>
        <v/>
      </c>
      <c r="J290" s="27" t="s">
        <v>80</v>
      </c>
      <c r="K290">
        <f>Sector!A$15</f>
        <v>0</v>
      </c>
      <c r="L290" s="136" t="str">
        <f>IF(ISBLANK(Sector!C15),"",Sector!C15)</f>
        <v/>
      </c>
      <c r="M290">
        <f>Sector!J12</f>
        <v>0</v>
      </c>
      <c r="N290">
        <f>Sector!J13</f>
        <v>0</v>
      </c>
      <c r="O290" t="str">
        <f>IF(ISBLANK(Sector!J15),"",Sector!J15)</f>
        <v/>
      </c>
      <c r="P290">
        <f>Sector!J31</f>
        <v>0</v>
      </c>
    </row>
    <row r="291" spans="1:16">
      <c r="A291" t="str">
        <f>IF(ISBLANK(Common!C$2),"",Common!C$2)</f>
        <v/>
      </c>
      <c r="B291" t="str">
        <f>IF(ISBLANK(Common!C$4),"",Common!C$4)</f>
        <v/>
      </c>
      <c r="C291" t="str">
        <f>IF(ISBLANK(Common!C$6),"",Common!C$6)</f>
        <v/>
      </c>
      <c r="D291" t="str">
        <f>IF(ISBLANK(Common!C$8),"",Common!C$8)</f>
        <v/>
      </c>
      <c r="E291" t="str">
        <f>IF(ISBLANK(Common!I$2),"",Common!I$2)</f>
        <v/>
      </c>
      <c r="F291" t="str">
        <f>IF(ISBLANK(Common!I$4),"",Common!I$4)</f>
        <v/>
      </c>
      <c r="G291" t="str">
        <f>IF(ISBLANK(Common!I$6),"",Common!I$6)</f>
        <v/>
      </c>
      <c r="H291" t="str">
        <f>IF(ISBLANK(Common!I$8),"",Common!I$8)</f>
        <v/>
      </c>
      <c r="I291" t="str">
        <f>IF(ISBLANK(Common!K$8),"",Common!K$8)</f>
        <v/>
      </c>
      <c r="J291" s="27" t="s">
        <v>80</v>
      </c>
      <c r="K291">
        <f>Sector!A$15</f>
        <v>0</v>
      </c>
      <c r="L291" s="136" t="str">
        <f>IF(ISBLANK(Sector!C16),"",Sector!C16)</f>
        <v/>
      </c>
      <c r="M291">
        <f t="shared" ref="M291:M305" si="84">M290</f>
        <v>0</v>
      </c>
      <c r="N291">
        <f t="shared" ref="N291:N305" si="85">N290</f>
        <v>0</v>
      </c>
      <c r="O291" t="str">
        <f>IF(ISBLANK(Sector!J16),"",Sector!J16)</f>
        <v/>
      </c>
      <c r="P291">
        <f t="shared" ref="P291:P305" si="86">P290</f>
        <v>0</v>
      </c>
    </row>
    <row r="292" spans="1:16">
      <c r="A292" t="str">
        <f>IF(ISBLANK(Common!C$2),"",Common!C$2)</f>
        <v/>
      </c>
      <c r="B292" t="str">
        <f>IF(ISBLANK(Common!C$4),"",Common!C$4)</f>
        <v/>
      </c>
      <c r="C292" t="str">
        <f>IF(ISBLANK(Common!C$6),"",Common!C$6)</f>
        <v/>
      </c>
      <c r="D292" t="str">
        <f>IF(ISBLANK(Common!C$8),"",Common!C$8)</f>
        <v/>
      </c>
      <c r="E292" t="str">
        <f>IF(ISBLANK(Common!I$2),"",Common!I$2)</f>
        <v/>
      </c>
      <c r="F292" t="str">
        <f>IF(ISBLANK(Common!I$4),"",Common!I$4)</f>
        <v/>
      </c>
      <c r="G292" t="str">
        <f>IF(ISBLANK(Common!I$6),"",Common!I$6)</f>
        <v/>
      </c>
      <c r="H292" t="str">
        <f>IF(ISBLANK(Common!I$8),"",Common!I$8)</f>
        <v/>
      </c>
      <c r="I292" t="str">
        <f>IF(ISBLANK(Common!K$8),"",Common!K$8)</f>
        <v/>
      </c>
      <c r="J292" s="27" t="s">
        <v>80</v>
      </c>
      <c r="K292">
        <f>Sector!A$15</f>
        <v>0</v>
      </c>
      <c r="L292" s="136" t="str">
        <f>IF(ISBLANK(Sector!C17),"",Sector!C17)</f>
        <v/>
      </c>
      <c r="M292">
        <f t="shared" si="84"/>
        <v>0</v>
      </c>
      <c r="N292">
        <f t="shared" si="85"/>
        <v>0</v>
      </c>
      <c r="O292" t="str">
        <f>IF(ISBLANK(Sector!J17),"",Sector!J17)</f>
        <v/>
      </c>
      <c r="P292">
        <f t="shared" si="86"/>
        <v>0</v>
      </c>
    </row>
    <row r="293" spans="1:16">
      <c r="A293" t="str">
        <f>IF(ISBLANK(Common!C$2),"",Common!C$2)</f>
        <v/>
      </c>
      <c r="B293" t="str">
        <f>IF(ISBLANK(Common!C$4),"",Common!C$4)</f>
        <v/>
      </c>
      <c r="C293" t="str">
        <f>IF(ISBLANK(Common!C$6),"",Common!C$6)</f>
        <v/>
      </c>
      <c r="D293" t="str">
        <f>IF(ISBLANK(Common!C$8),"",Common!C$8)</f>
        <v/>
      </c>
      <c r="E293" t="str">
        <f>IF(ISBLANK(Common!I$2),"",Common!I$2)</f>
        <v/>
      </c>
      <c r="F293" t="str">
        <f>IF(ISBLANK(Common!I$4),"",Common!I$4)</f>
        <v/>
      </c>
      <c r="G293" t="str">
        <f>IF(ISBLANK(Common!I$6),"",Common!I$6)</f>
        <v/>
      </c>
      <c r="H293" t="str">
        <f>IF(ISBLANK(Common!I$8),"",Common!I$8)</f>
        <v/>
      </c>
      <c r="I293" t="str">
        <f>IF(ISBLANK(Common!K$8),"",Common!K$8)</f>
        <v/>
      </c>
      <c r="J293" s="27" t="s">
        <v>80</v>
      </c>
      <c r="K293">
        <f>Sector!A$15</f>
        <v>0</v>
      </c>
      <c r="L293" s="136" t="str">
        <f>IF(ISBLANK(Sector!C18),"",Sector!C18)</f>
        <v/>
      </c>
      <c r="M293">
        <f t="shared" si="84"/>
        <v>0</v>
      </c>
      <c r="N293">
        <f t="shared" si="85"/>
        <v>0</v>
      </c>
      <c r="O293" t="str">
        <f>IF(ISBLANK(Sector!J18),"",Sector!J18)</f>
        <v/>
      </c>
      <c r="P293">
        <f t="shared" si="86"/>
        <v>0</v>
      </c>
    </row>
    <row r="294" spans="1:16">
      <c r="A294" t="str">
        <f>IF(ISBLANK(Common!C$2),"",Common!C$2)</f>
        <v/>
      </c>
      <c r="B294" t="str">
        <f>IF(ISBLANK(Common!C$4),"",Common!C$4)</f>
        <v/>
      </c>
      <c r="C294" t="str">
        <f>IF(ISBLANK(Common!C$6),"",Common!C$6)</f>
        <v/>
      </c>
      <c r="D294" t="str">
        <f>IF(ISBLANK(Common!C$8),"",Common!C$8)</f>
        <v/>
      </c>
      <c r="E294" t="str">
        <f>IF(ISBLANK(Common!I$2),"",Common!I$2)</f>
        <v/>
      </c>
      <c r="F294" t="str">
        <f>IF(ISBLANK(Common!I$4),"",Common!I$4)</f>
        <v/>
      </c>
      <c r="G294" t="str">
        <f>IF(ISBLANK(Common!I$6),"",Common!I$6)</f>
        <v/>
      </c>
      <c r="H294" t="str">
        <f>IF(ISBLANK(Common!I$8),"",Common!I$8)</f>
        <v/>
      </c>
      <c r="I294" t="str">
        <f>IF(ISBLANK(Common!K$8),"",Common!K$8)</f>
        <v/>
      </c>
      <c r="J294" s="27" t="s">
        <v>80</v>
      </c>
      <c r="K294">
        <f>Sector!A$19</f>
        <v>0</v>
      </c>
      <c r="L294" s="136" t="str">
        <f>IF(ISBLANK(Sector!C19),"",Sector!C19)</f>
        <v/>
      </c>
      <c r="M294">
        <f t="shared" si="84"/>
        <v>0</v>
      </c>
      <c r="N294">
        <f t="shared" si="85"/>
        <v>0</v>
      </c>
      <c r="O294" t="str">
        <f>IF(ISBLANK(Sector!J19),"",Sector!J19)</f>
        <v/>
      </c>
      <c r="P294">
        <f t="shared" si="86"/>
        <v>0</v>
      </c>
    </row>
    <row r="295" spans="1:16">
      <c r="A295" t="str">
        <f>IF(ISBLANK(Common!C$2),"",Common!C$2)</f>
        <v/>
      </c>
      <c r="B295" t="str">
        <f>IF(ISBLANK(Common!C$4),"",Common!C$4)</f>
        <v/>
      </c>
      <c r="C295" t="str">
        <f>IF(ISBLANK(Common!C$6),"",Common!C$6)</f>
        <v/>
      </c>
      <c r="D295" t="str">
        <f>IF(ISBLANK(Common!C$8),"",Common!C$8)</f>
        <v/>
      </c>
      <c r="E295" t="str">
        <f>IF(ISBLANK(Common!I$2),"",Common!I$2)</f>
        <v/>
      </c>
      <c r="F295" t="str">
        <f>IF(ISBLANK(Common!I$4),"",Common!I$4)</f>
        <v/>
      </c>
      <c r="G295" t="str">
        <f>IF(ISBLANK(Common!I$6),"",Common!I$6)</f>
        <v/>
      </c>
      <c r="H295" t="str">
        <f>IF(ISBLANK(Common!I$8),"",Common!I$8)</f>
        <v/>
      </c>
      <c r="I295" t="str">
        <f>IF(ISBLANK(Common!K$8),"",Common!K$8)</f>
        <v/>
      </c>
      <c r="J295" s="27" t="s">
        <v>80</v>
      </c>
      <c r="K295">
        <f>Sector!A$19</f>
        <v>0</v>
      </c>
      <c r="L295" s="136" t="str">
        <f>IF(ISBLANK(Sector!C20),"",Sector!C20)</f>
        <v/>
      </c>
      <c r="M295">
        <f t="shared" si="84"/>
        <v>0</v>
      </c>
      <c r="N295">
        <f t="shared" si="85"/>
        <v>0</v>
      </c>
      <c r="O295" t="str">
        <f>IF(ISBLANK(Sector!J20),"",Sector!J20)</f>
        <v/>
      </c>
      <c r="P295">
        <f t="shared" si="86"/>
        <v>0</v>
      </c>
    </row>
    <row r="296" spans="1:16">
      <c r="A296" t="str">
        <f>IF(ISBLANK(Common!C$2),"",Common!C$2)</f>
        <v/>
      </c>
      <c r="B296" t="str">
        <f>IF(ISBLANK(Common!C$4),"",Common!C$4)</f>
        <v/>
      </c>
      <c r="C296" t="str">
        <f>IF(ISBLANK(Common!C$6),"",Common!C$6)</f>
        <v/>
      </c>
      <c r="D296" t="str">
        <f>IF(ISBLANK(Common!C$8),"",Common!C$8)</f>
        <v/>
      </c>
      <c r="E296" t="str">
        <f>IF(ISBLANK(Common!I$2),"",Common!I$2)</f>
        <v/>
      </c>
      <c r="F296" t="str">
        <f>IF(ISBLANK(Common!I$4),"",Common!I$4)</f>
        <v/>
      </c>
      <c r="G296" t="str">
        <f>IF(ISBLANK(Common!I$6),"",Common!I$6)</f>
        <v/>
      </c>
      <c r="H296" t="str">
        <f>IF(ISBLANK(Common!I$8),"",Common!I$8)</f>
        <v/>
      </c>
      <c r="I296" t="str">
        <f>IF(ISBLANK(Common!K$8),"",Common!K$8)</f>
        <v/>
      </c>
      <c r="J296" s="27" t="s">
        <v>80</v>
      </c>
      <c r="K296">
        <f>Sector!A$19</f>
        <v>0</v>
      </c>
      <c r="L296" s="136" t="str">
        <f>IF(ISBLANK(Sector!C21),"",Sector!C21)</f>
        <v/>
      </c>
      <c r="M296">
        <f t="shared" si="84"/>
        <v>0</v>
      </c>
      <c r="N296">
        <f t="shared" si="85"/>
        <v>0</v>
      </c>
      <c r="O296" t="str">
        <f>IF(ISBLANK(Sector!J21),"",Sector!J21)</f>
        <v/>
      </c>
      <c r="P296">
        <f t="shared" si="86"/>
        <v>0</v>
      </c>
    </row>
    <row r="297" spans="1:16">
      <c r="A297" t="str">
        <f>IF(ISBLANK(Common!C$2),"",Common!C$2)</f>
        <v/>
      </c>
      <c r="B297" t="str">
        <f>IF(ISBLANK(Common!C$4),"",Common!C$4)</f>
        <v/>
      </c>
      <c r="C297" t="str">
        <f>IF(ISBLANK(Common!C$6),"",Common!C$6)</f>
        <v/>
      </c>
      <c r="D297" t="str">
        <f>IF(ISBLANK(Common!C$8),"",Common!C$8)</f>
        <v/>
      </c>
      <c r="E297" t="str">
        <f>IF(ISBLANK(Common!I$2),"",Common!I$2)</f>
        <v/>
      </c>
      <c r="F297" t="str">
        <f>IF(ISBLANK(Common!I$4),"",Common!I$4)</f>
        <v/>
      </c>
      <c r="G297" t="str">
        <f>IF(ISBLANK(Common!I$6),"",Common!I$6)</f>
        <v/>
      </c>
      <c r="H297" t="str">
        <f>IF(ISBLANK(Common!I$8),"",Common!I$8)</f>
        <v/>
      </c>
      <c r="I297" t="str">
        <f>IF(ISBLANK(Common!K$8),"",Common!K$8)</f>
        <v/>
      </c>
      <c r="J297" s="27" t="s">
        <v>80</v>
      </c>
      <c r="K297">
        <f>Sector!A$19</f>
        <v>0</v>
      </c>
      <c r="L297" s="136" t="str">
        <f>IF(ISBLANK(Sector!C22),"",Sector!C22)</f>
        <v/>
      </c>
      <c r="M297">
        <f t="shared" si="84"/>
        <v>0</v>
      </c>
      <c r="N297">
        <f t="shared" si="85"/>
        <v>0</v>
      </c>
      <c r="O297" t="str">
        <f>IF(ISBLANK(Sector!J22),"",Sector!J22)</f>
        <v/>
      </c>
      <c r="P297">
        <f t="shared" si="86"/>
        <v>0</v>
      </c>
    </row>
    <row r="298" spans="1:16">
      <c r="A298" t="str">
        <f>IF(ISBLANK(Common!C$2),"",Common!C$2)</f>
        <v/>
      </c>
      <c r="B298" t="str">
        <f>IF(ISBLANK(Common!C$4),"",Common!C$4)</f>
        <v/>
      </c>
      <c r="C298" t="str">
        <f>IF(ISBLANK(Common!C$6),"",Common!C$6)</f>
        <v/>
      </c>
      <c r="D298" t="str">
        <f>IF(ISBLANK(Common!C$8),"",Common!C$8)</f>
        <v/>
      </c>
      <c r="E298" t="str">
        <f>IF(ISBLANK(Common!I$2),"",Common!I$2)</f>
        <v/>
      </c>
      <c r="F298" t="str">
        <f>IF(ISBLANK(Common!I$4),"",Common!I$4)</f>
        <v/>
      </c>
      <c r="G298" t="str">
        <f>IF(ISBLANK(Common!I$6),"",Common!I$6)</f>
        <v/>
      </c>
      <c r="H298" t="str">
        <f>IF(ISBLANK(Common!I$8),"",Common!I$8)</f>
        <v/>
      </c>
      <c r="I298" t="str">
        <f>IF(ISBLANK(Common!K$8),"",Common!K$8)</f>
        <v/>
      </c>
      <c r="J298" s="27" t="s">
        <v>80</v>
      </c>
      <c r="K298">
        <f>Sector!A$23</f>
        <v>0</v>
      </c>
      <c r="L298" s="136" t="str">
        <f>IF(ISBLANK(Sector!C23),"",Sector!C23)</f>
        <v/>
      </c>
      <c r="M298">
        <f t="shared" si="84"/>
        <v>0</v>
      </c>
      <c r="N298">
        <f t="shared" si="85"/>
        <v>0</v>
      </c>
      <c r="O298" t="str">
        <f>IF(ISBLANK(Sector!J23),"",Sector!J23)</f>
        <v/>
      </c>
      <c r="P298">
        <f t="shared" si="86"/>
        <v>0</v>
      </c>
    </row>
    <row r="299" spans="1:16">
      <c r="A299" t="str">
        <f>IF(ISBLANK(Common!C$2),"",Common!C$2)</f>
        <v/>
      </c>
      <c r="B299" t="str">
        <f>IF(ISBLANK(Common!C$4),"",Common!C$4)</f>
        <v/>
      </c>
      <c r="C299" t="str">
        <f>IF(ISBLANK(Common!C$6),"",Common!C$6)</f>
        <v/>
      </c>
      <c r="D299" t="str">
        <f>IF(ISBLANK(Common!C$8),"",Common!C$8)</f>
        <v/>
      </c>
      <c r="E299" t="str">
        <f>IF(ISBLANK(Common!I$2),"",Common!I$2)</f>
        <v/>
      </c>
      <c r="F299" t="str">
        <f>IF(ISBLANK(Common!I$4),"",Common!I$4)</f>
        <v/>
      </c>
      <c r="G299" t="str">
        <f>IF(ISBLANK(Common!I$6),"",Common!I$6)</f>
        <v/>
      </c>
      <c r="H299" t="str">
        <f>IF(ISBLANK(Common!I$8),"",Common!I$8)</f>
        <v/>
      </c>
      <c r="I299" t="str">
        <f>IF(ISBLANK(Common!K$8),"",Common!K$8)</f>
        <v/>
      </c>
      <c r="J299" s="27" t="s">
        <v>80</v>
      </c>
      <c r="K299">
        <f>Sector!A$23</f>
        <v>0</v>
      </c>
      <c r="L299" s="136" t="str">
        <f>IF(ISBLANK(Sector!C24),"",Sector!C24)</f>
        <v/>
      </c>
      <c r="M299">
        <f t="shared" si="84"/>
        <v>0</v>
      </c>
      <c r="N299">
        <f t="shared" si="85"/>
        <v>0</v>
      </c>
      <c r="O299" t="str">
        <f>IF(ISBLANK(Sector!J24),"",Sector!J24)</f>
        <v/>
      </c>
      <c r="P299">
        <f t="shared" si="86"/>
        <v>0</v>
      </c>
    </row>
    <row r="300" spans="1:16">
      <c r="A300" t="str">
        <f>IF(ISBLANK(Common!C$2),"",Common!C$2)</f>
        <v/>
      </c>
      <c r="B300" t="str">
        <f>IF(ISBLANK(Common!C$4),"",Common!C$4)</f>
        <v/>
      </c>
      <c r="C300" t="str">
        <f>IF(ISBLANK(Common!C$6),"",Common!C$6)</f>
        <v/>
      </c>
      <c r="D300" t="str">
        <f>IF(ISBLANK(Common!C$8),"",Common!C$8)</f>
        <v/>
      </c>
      <c r="E300" t="str">
        <f>IF(ISBLANK(Common!I$2),"",Common!I$2)</f>
        <v/>
      </c>
      <c r="F300" t="str">
        <f>IF(ISBLANK(Common!I$4),"",Common!I$4)</f>
        <v/>
      </c>
      <c r="G300" t="str">
        <f>IF(ISBLANK(Common!I$6),"",Common!I$6)</f>
        <v/>
      </c>
      <c r="H300" t="str">
        <f>IF(ISBLANK(Common!I$8),"",Common!I$8)</f>
        <v/>
      </c>
      <c r="I300" t="str">
        <f>IF(ISBLANK(Common!K$8),"",Common!K$8)</f>
        <v/>
      </c>
      <c r="J300" s="27" t="s">
        <v>80</v>
      </c>
      <c r="K300">
        <f>Sector!A$23</f>
        <v>0</v>
      </c>
      <c r="L300" s="136" t="str">
        <f>IF(ISBLANK(Sector!C25),"",Sector!C25)</f>
        <v/>
      </c>
      <c r="M300">
        <f t="shared" si="84"/>
        <v>0</v>
      </c>
      <c r="N300">
        <f t="shared" si="85"/>
        <v>0</v>
      </c>
      <c r="O300" t="str">
        <f>IF(ISBLANK(Sector!J25),"",Sector!J25)</f>
        <v/>
      </c>
      <c r="P300">
        <f t="shared" si="86"/>
        <v>0</v>
      </c>
    </row>
    <row r="301" spans="1:16">
      <c r="A301" t="str">
        <f>IF(ISBLANK(Common!C$2),"",Common!C$2)</f>
        <v/>
      </c>
      <c r="B301" t="str">
        <f>IF(ISBLANK(Common!C$4),"",Common!C$4)</f>
        <v/>
      </c>
      <c r="C301" t="str">
        <f>IF(ISBLANK(Common!C$6),"",Common!C$6)</f>
        <v/>
      </c>
      <c r="D301" t="str">
        <f>IF(ISBLANK(Common!C$8),"",Common!C$8)</f>
        <v/>
      </c>
      <c r="E301" t="str">
        <f>IF(ISBLANK(Common!I$2),"",Common!I$2)</f>
        <v/>
      </c>
      <c r="F301" t="str">
        <f>IF(ISBLANK(Common!I$4),"",Common!I$4)</f>
        <v/>
      </c>
      <c r="G301" t="str">
        <f>IF(ISBLANK(Common!I$6),"",Common!I$6)</f>
        <v/>
      </c>
      <c r="H301" t="str">
        <f>IF(ISBLANK(Common!I$8),"",Common!I$8)</f>
        <v/>
      </c>
      <c r="I301" t="str">
        <f>IF(ISBLANK(Common!K$8),"",Common!K$8)</f>
        <v/>
      </c>
      <c r="J301" s="27" t="s">
        <v>80</v>
      </c>
      <c r="K301">
        <f>Sector!A$23</f>
        <v>0</v>
      </c>
      <c r="L301" s="136" t="str">
        <f>IF(ISBLANK(Sector!C26),"",Sector!C26)</f>
        <v/>
      </c>
      <c r="M301">
        <f t="shared" si="84"/>
        <v>0</v>
      </c>
      <c r="N301">
        <f t="shared" si="85"/>
        <v>0</v>
      </c>
      <c r="O301" t="str">
        <f>IF(ISBLANK(Sector!J26),"",Sector!J26)</f>
        <v/>
      </c>
      <c r="P301">
        <f t="shared" si="86"/>
        <v>0</v>
      </c>
    </row>
    <row r="302" spans="1:16">
      <c r="A302" t="str">
        <f>IF(ISBLANK(Common!C$2),"",Common!C$2)</f>
        <v/>
      </c>
      <c r="B302" t="str">
        <f>IF(ISBLANK(Common!C$4),"",Common!C$4)</f>
        <v/>
      </c>
      <c r="C302" t="str">
        <f>IF(ISBLANK(Common!C$6),"",Common!C$6)</f>
        <v/>
      </c>
      <c r="D302" t="str">
        <f>IF(ISBLANK(Common!C$8),"",Common!C$8)</f>
        <v/>
      </c>
      <c r="E302" t="str">
        <f>IF(ISBLANK(Common!I$2),"",Common!I$2)</f>
        <v/>
      </c>
      <c r="F302" t="str">
        <f>IF(ISBLANK(Common!I$4),"",Common!I$4)</f>
        <v/>
      </c>
      <c r="G302" t="str">
        <f>IF(ISBLANK(Common!I$6),"",Common!I$6)</f>
        <v/>
      </c>
      <c r="H302" t="str">
        <f>IF(ISBLANK(Common!I$8),"",Common!I$8)</f>
        <v/>
      </c>
      <c r="I302" t="str">
        <f>IF(ISBLANK(Common!K$8),"",Common!K$8)</f>
        <v/>
      </c>
      <c r="J302" s="27" t="s">
        <v>80</v>
      </c>
      <c r="K302">
        <f>Sector!A$27</f>
        <v>0</v>
      </c>
      <c r="L302" s="136" t="str">
        <f>IF(ISBLANK(Sector!C27),"",Sector!C27)</f>
        <v/>
      </c>
      <c r="M302">
        <f t="shared" si="84"/>
        <v>0</v>
      </c>
      <c r="N302">
        <f t="shared" si="85"/>
        <v>0</v>
      </c>
      <c r="O302" t="str">
        <f>IF(ISBLANK(Sector!J27),"",Sector!J27)</f>
        <v/>
      </c>
      <c r="P302">
        <f t="shared" si="86"/>
        <v>0</v>
      </c>
    </row>
    <row r="303" spans="1:16">
      <c r="A303" t="str">
        <f>IF(ISBLANK(Common!C$2),"",Common!C$2)</f>
        <v/>
      </c>
      <c r="B303" t="str">
        <f>IF(ISBLANK(Common!C$4),"",Common!C$4)</f>
        <v/>
      </c>
      <c r="C303" t="str">
        <f>IF(ISBLANK(Common!C$6),"",Common!C$6)</f>
        <v/>
      </c>
      <c r="D303" t="str">
        <f>IF(ISBLANK(Common!C$8),"",Common!C$8)</f>
        <v/>
      </c>
      <c r="E303" t="str">
        <f>IF(ISBLANK(Common!I$2),"",Common!I$2)</f>
        <v/>
      </c>
      <c r="F303" t="str">
        <f>IF(ISBLANK(Common!I$4),"",Common!I$4)</f>
        <v/>
      </c>
      <c r="G303" t="str">
        <f>IF(ISBLANK(Common!I$6),"",Common!I$6)</f>
        <v/>
      </c>
      <c r="H303" t="str">
        <f>IF(ISBLANK(Common!I$8),"",Common!I$8)</f>
        <v/>
      </c>
      <c r="I303" t="str">
        <f>IF(ISBLANK(Common!K$8),"",Common!K$8)</f>
        <v/>
      </c>
      <c r="J303" s="27" t="s">
        <v>80</v>
      </c>
      <c r="K303">
        <f>Sector!A$27</f>
        <v>0</v>
      </c>
      <c r="L303" s="136" t="str">
        <f>IF(ISBLANK(Sector!C28),"",Sector!C28)</f>
        <v/>
      </c>
      <c r="M303">
        <f t="shared" si="84"/>
        <v>0</v>
      </c>
      <c r="N303">
        <f t="shared" si="85"/>
        <v>0</v>
      </c>
      <c r="O303" t="str">
        <f>IF(ISBLANK(Sector!J28),"",Sector!J28)</f>
        <v/>
      </c>
      <c r="P303">
        <f t="shared" si="86"/>
        <v>0</v>
      </c>
    </row>
    <row r="304" spans="1:16">
      <c r="A304" t="str">
        <f>IF(ISBLANK(Common!C$2),"",Common!C$2)</f>
        <v/>
      </c>
      <c r="B304" t="str">
        <f>IF(ISBLANK(Common!C$4),"",Common!C$4)</f>
        <v/>
      </c>
      <c r="C304" t="str">
        <f>IF(ISBLANK(Common!C$6),"",Common!C$6)</f>
        <v/>
      </c>
      <c r="D304" t="str">
        <f>IF(ISBLANK(Common!C$8),"",Common!C$8)</f>
        <v/>
      </c>
      <c r="E304" t="str">
        <f>IF(ISBLANK(Common!I$2),"",Common!I$2)</f>
        <v/>
      </c>
      <c r="F304" t="str">
        <f>IF(ISBLANK(Common!I$4),"",Common!I$4)</f>
        <v/>
      </c>
      <c r="G304" t="str">
        <f>IF(ISBLANK(Common!I$6),"",Common!I$6)</f>
        <v/>
      </c>
      <c r="H304" t="str">
        <f>IF(ISBLANK(Common!I$8),"",Common!I$8)</f>
        <v/>
      </c>
      <c r="I304" t="str">
        <f>IF(ISBLANK(Common!K$8),"",Common!K$8)</f>
        <v/>
      </c>
      <c r="J304" s="27" t="s">
        <v>80</v>
      </c>
      <c r="K304">
        <f>Sector!A$27</f>
        <v>0</v>
      </c>
      <c r="L304" s="136" t="str">
        <f>IF(ISBLANK(Sector!C29),"",Sector!C29)</f>
        <v/>
      </c>
      <c r="M304">
        <f t="shared" si="84"/>
        <v>0</v>
      </c>
      <c r="N304">
        <f t="shared" si="85"/>
        <v>0</v>
      </c>
      <c r="O304" t="str">
        <f>IF(ISBLANK(Sector!J29),"",Sector!J29)</f>
        <v/>
      </c>
      <c r="P304">
        <f t="shared" si="86"/>
        <v>0</v>
      </c>
    </row>
    <row r="305" spans="1:16">
      <c r="A305" t="str">
        <f>IF(ISBLANK(Common!C$2),"",Common!C$2)</f>
        <v/>
      </c>
      <c r="B305" t="str">
        <f>IF(ISBLANK(Common!C$4),"",Common!C$4)</f>
        <v/>
      </c>
      <c r="C305" t="str">
        <f>IF(ISBLANK(Common!C$6),"",Common!C$6)</f>
        <v/>
      </c>
      <c r="D305" t="str">
        <f>IF(ISBLANK(Common!C$8),"",Common!C$8)</f>
        <v/>
      </c>
      <c r="E305" t="str">
        <f>IF(ISBLANK(Common!I$2),"",Common!I$2)</f>
        <v/>
      </c>
      <c r="F305" t="str">
        <f>IF(ISBLANK(Common!I$4),"",Common!I$4)</f>
        <v/>
      </c>
      <c r="G305" t="str">
        <f>IF(ISBLANK(Common!I$6),"",Common!I$6)</f>
        <v/>
      </c>
      <c r="H305" t="str">
        <f>IF(ISBLANK(Common!I$8),"",Common!I$8)</f>
        <v/>
      </c>
      <c r="I305" t="str">
        <f>IF(ISBLANK(Common!K$8),"",Common!K$8)</f>
        <v/>
      </c>
      <c r="J305" s="27" t="s">
        <v>80</v>
      </c>
      <c r="K305">
        <f>Sector!A$27</f>
        <v>0</v>
      </c>
      <c r="L305" s="136" t="str">
        <f>IF(ISBLANK(Sector!C30),"",Sector!C30)</f>
        <v/>
      </c>
      <c r="M305">
        <f t="shared" si="84"/>
        <v>0</v>
      </c>
      <c r="N305">
        <f t="shared" si="85"/>
        <v>0</v>
      </c>
      <c r="O305" t="str">
        <f>IF(ISBLANK(Sector!J30),"",Sector!J30)</f>
        <v/>
      </c>
      <c r="P305">
        <f t="shared" si="86"/>
        <v>0</v>
      </c>
    </row>
    <row r="306" spans="1:16">
      <c r="A306" t="str">
        <f>IF(ISBLANK(Common!C$2),"",Common!C$2)</f>
        <v/>
      </c>
      <c r="B306" t="str">
        <f>IF(ISBLANK(Common!C$4),"",Common!C$4)</f>
        <v/>
      </c>
      <c r="C306" t="str">
        <f>IF(ISBLANK(Common!C$6),"",Common!C$6)</f>
        <v/>
      </c>
      <c r="D306" t="str">
        <f>IF(ISBLANK(Common!C$8),"",Common!C$8)</f>
        <v/>
      </c>
      <c r="E306" t="str">
        <f>IF(ISBLANK(Common!I$2),"",Common!I$2)</f>
        <v/>
      </c>
      <c r="F306" t="str">
        <f>IF(ISBLANK(Common!I$4),"",Common!I$4)</f>
        <v/>
      </c>
      <c r="G306" t="str">
        <f>IF(ISBLANK(Common!I$6),"",Common!I$6)</f>
        <v/>
      </c>
      <c r="H306" t="str">
        <f>IF(ISBLANK(Common!I$8),"",Common!I$8)</f>
        <v/>
      </c>
      <c r="I306" t="str">
        <f>IF(ISBLANK(Common!K$8),"",Common!K$8)</f>
        <v/>
      </c>
      <c r="J306" s="27" t="s">
        <v>80</v>
      </c>
      <c r="K306">
        <f>Sector!A$15</f>
        <v>0</v>
      </c>
      <c r="L306" s="136" t="str">
        <f>IF(ISBLANK(Sector!C15),"",Sector!C15)</f>
        <v/>
      </c>
      <c r="M306">
        <f>Sector!K12</f>
        <v>0</v>
      </c>
      <c r="N306">
        <f>Sector!K13</f>
        <v>0</v>
      </c>
      <c r="O306" t="str">
        <f>IF(ISBLANK(Sector!K15),"",Sector!K15)</f>
        <v/>
      </c>
      <c r="P306" s="138">
        <f>Sector!K31</f>
        <v>0</v>
      </c>
    </row>
    <row r="307" spans="1:16">
      <c r="A307" t="str">
        <f>IF(ISBLANK(Common!C$2),"",Common!C$2)</f>
        <v/>
      </c>
      <c r="B307" t="str">
        <f>IF(ISBLANK(Common!C$4),"",Common!C$4)</f>
        <v/>
      </c>
      <c r="C307" t="str">
        <f>IF(ISBLANK(Common!C$6),"",Common!C$6)</f>
        <v/>
      </c>
      <c r="D307" t="str">
        <f>IF(ISBLANK(Common!C$8),"",Common!C$8)</f>
        <v/>
      </c>
      <c r="E307" t="str">
        <f>IF(ISBLANK(Common!I$2),"",Common!I$2)</f>
        <v/>
      </c>
      <c r="F307" t="str">
        <f>IF(ISBLANK(Common!I$4),"",Common!I$4)</f>
        <v/>
      </c>
      <c r="G307" t="str">
        <f>IF(ISBLANK(Common!I$6),"",Common!I$6)</f>
        <v/>
      </c>
      <c r="H307" t="str">
        <f>IF(ISBLANK(Common!I$8),"",Common!I$8)</f>
        <v/>
      </c>
      <c r="I307" t="str">
        <f>IF(ISBLANK(Common!K$8),"",Common!K$8)</f>
        <v/>
      </c>
      <c r="J307" s="27" t="s">
        <v>80</v>
      </c>
      <c r="K307">
        <f>Sector!A$15</f>
        <v>0</v>
      </c>
      <c r="L307" s="136" t="str">
        <f>IF(ISBLANK(Sector!C16),"",Sector!C16)</f>
        <v/>
      </c>
      <c r="M307">
        <f t="shared" ref="M307:M321" si="87">M306</f>
        <v>0</v>
      </c>
      <c r="N307">
        <f t="shared" ref="N307:N321" si="88">N306</f>
        <v>0</v>
      </c>
      <c r="O307" t="str">
        <f>IF(ISBLANK(Sector!K16),"",Sector!K16)</f>
        <v/>
      </c>
      <c r="P307">
        <f t="shared" ref="P307:P321" si="89">P306</f>
        <v>0</v>
      </c>
    </row>
    <row r="308" spans="1:16">
      <c r="A308" t="str">
        <f>IF(ISBLANK(Common!C$2),"",Common!C$2)</f>
        <v/>
      </c>
      <c r="B308" t="str">
        <f>IF(ISBLANK(Common!C$4),"",Common!C$4)</f>
        <v/>
      </c>
      <c r="C308" t="str">
        <f>IF(ISBLANK(Common!C$6),"",Common!C$6)</f>
        <v/>
      </c>
      <c r="D308" t="str">
        <f>IF(ISBLANK(Common!C$8),"",Common!C$8)</f>
        <v/>
      </c>
      <c r="E308" t="str">
        <f>IF(ISBLANK(Common!I$2),"",Common!I$2)</f>
        <v/>
      </c>
      <c r="F308" t="str">
        <f>IF(ISBLANK(Common!I$4),"",Common!I$4)</f>
        <v/>
      </c>
      <c r="G308" t="str">
        <f>IF(ISBLANK(Common!I$6),"",Common!I$6)</f>
        <v/>
      </c>
      <c r="H308" t="str">
        <f>IF(ISBLANK(Common!I$8),"",Common!I$8)</f>
        <v/>
      </c>
      <c r="I308" t="str">
        <f>IF(ISBLANK(Common!K$8),"",Common!K$8)</f>
        <v/>
      </c>
      <c r="J308" s="27" t="s">
        <v>80</v>
      </c>
      <c r="K308">
        <f>Sector!A$15</f>
        <v>0</v>
      </c>
      <c r="L308" s="136" t="str">
        <f>IF(ISBLANK(Sector!C17),"",Sector!C17)</f>
        <v/>
      </c>
      <c r="M308">
        <f t="shared" si="87"/>
        <v>0</v>
      </c>
      <c r="N308">
        <f t="shared" si="88"/>
        <v>0</v>
      </c>
      <c r="O308" t="str">
        <f>IF(ISBLANK(Sector!K17),"",Sector!K17)</f>
        <v/>
      </c>
      <c r="P308">
        <f t="shared" si="89"/>
        <v>0</v>
      </c>
    </row>
    <row r="309" spans="1:16">
      <c r="A309" t="str">
        <f>IF(ISBLANK(Common!C$2),"",Common!C$2)</f>
        <v/>
      </c>
      <c r="B309" t="str">
        <f>IF(ISBLANK(Common!C$4),"",Common!C$4)</f>
        <v/>
      </c>
      <c r="C309" t="str">
        <f>IF(ISBLANK(Common!C$6),"",Common!C$6)</f>
        <v/>
      </c>
      <c r="D309" t="str">
        <f>IF(ISBLANK(Common!C$8),"",Common!C$8)</f>
        <v/>
      </c>
      <c r="E309" t="str">
        <f>IF(ISBLANK(Common!I$2),"",Common!I$2)</f>
        <v/>
      </c>
      <c r="F309" t="str">
        <f>IF(ISBLANK(Common!I$4),"",Common!I$4)</f>
        <v/>
      </c>
      <c r="G309" t="str">
        <f>IF(ISBLANK(Common!I$6),"",Common!I$6)</f>
        <v/>
      </c>
      <c r="H309" t="str">
        <f>IF(ISBLANK(Common!I$8),"",Common!I$8)</f>
        <v/>
      </c>
      <c r="I309" t="str">
        <f>IF(ISBLANK(Common!K$8),"",Common!K$8)</f>
        <v/>
      </c>
      <c r="J309" s="27" t="s">
        <v>80</v>
      </c>
      <c r="K309">
        <f>Sector!A$15</f>
        <v>0</v>
      </c>
      <c r="L309" s="136" t="str">
        <f>IF(ISBLANK(Sector!C18),"",Sector!C18)</f>
        <v/>
      </c>
      <c r="M309">
        <f t="shared" si="87"/>
        <v>0</v>
      </c>
      <c r="N309">
        <f t="shared" si="88"/>
        <v>0</v>
      </c>
      <c r="O309" t="str">
        <f>IF(ISBLANK(Sector!K18),"",Sector!K18)</f>
        <v/>
      </c>
      <c r="P309">
        <f t="shared" si="89"/>
        <v>0</v>
      </c>
    </row>
    <row r="310" spans="1:16">
      <c r="A310" t="str">
        <f>IF(ISBLANK(Common!C$2),"",Common!C$2)</f>
        <v/>
      </c>
      <c r="B310" t="str">
        <f>IF(ISBLANK(Common!C$4),"",Common!C$4)</f>
        <v/>
      </c>
      <c r="C310" t="str">
        <f>IF(ISBLANK(Common!C$6),"",Common!C$6)</f>
        <v/>
      </c>
      <c r="D310" t="str">
        <f>IF(ISBLANK(Common!C$8),"",Common!C$8)</f>
        <v/>
      </c>
      <c r="E310" t="str">
        <f>IF(ISBLANK(Common!I$2),"",Common!I$2)</f>
        <v/>
      </c>
      <c r="F310" t="str">
        <f>IF(ISBLANK(Common!I$4),"",Common!I$4)</f>
        <v/>
      </c>
      <c r="G310" t="str">
        <f>IF(ISBLANK(Common!I$6),"",Common!I$6)</f>
        <v/>
      </c>
      <c r="H310" t="str">
        <f>IF(ISBLANK(Common!I$8),"",Common!I$8)</f>
        <v/>
      </c>
      <c r="I310" t="str">
        <f>IF(ISBLANK(Common!K$8),"",Common!K$8)</f>
        <v/>
      </c>
      <c r="J310" s="27" t="s">
        <v>80</v>
      </c>
      <c r="K310">
        <f>Sector!A$19</f>
        <v>0</v>
      </c>
      <c r="L310" s="136" t="str">
        <f>IF(ISBLANK(Sector!C19),"",Sector!C19)</f>
        <v/>
      </c>
      <c r="M310">
        <f t="shared" si="87"/>
        <v>0</v>
      </c>
      <c r="N310">
        <f t="shared" si="88"/>
        <v>0</v>
      </c>
      <c r="O310" t="str">
        <f>IF(ISBLANK(Sector!K19),"",Sector!K19)</f>
        <v/>
      </c>
      <c r="P310">
        <f t="shared" si="89"/>
        <v>0</v>
      </c>
    </row>
    <row r="311" spans="1:16">
      <c r="A311" t="str">
        <f>IF(ISBLANK(Common!C$2),"",Common!C$2)</f>
        <v/>
      </c>
      <c r="B311" t="str">
        <f>IF(ISBLANK(Common!C$4),"",Common!C$4)</f>
        <v/>
      </c>
      <c r="C311" t="str">
        <f>IF(ISBLANK(Common!C$6),"",Common!C$6)</f>
        <v/>
      </c>
      <c r="D311" t="str">
        <f>IF(ISBLANK(Common!C$8),"",Common!C$8)</f>
        <v/>
      </c>
      <c r="E311" t="str">
        <f>IF(ISBLANK(Common!I$2),"",Common!I$2)</f>
        <v/>
      </c>
      <c r="F311" t="str">
        <f>IF(ISBLANK(Common!I$4),"",Common!I$4)</f>
        <v/>
      </c>
      <c r="G311" t="str">
        <f>IF(ISBLANK(Common!I$6),"",Common!I$6)</f>
        <v/>
      </c>
      <c r="H311" t="str">
        <f>IF(ISBLANK(Common!I$8),"",Common!I$8)</f>
        <v/>
      </c>
      <c r="I311" t="str">
        <f>IF(ISBLANK(Common!K$8),"",Common!K$8)</f>
        <v/>
      </c>
      <c r="J311" s="27" t="s">
        <v>80</v>
      </c>
      <c r="K311">
        <f>Sector!A$19</f>
        <v>0</v>
      </c>
      <c r="L311" s="136" t="str">
        <f>IF(ISBLANK(Sector!C20),"",Sector!C20)</f>
        <v/>
      </c>
      <c r="M311">
        <f t="shared" si="87"/>
        <v>0</v>
      </c>
      <c r="N311">
        <f t="shared" si="88"/>
        <v>0</v>
      </c>
      <c r="O311" t="str">
        <f>IF(ISBLANK(Sector!K20),"",Sector!K20)</f>
        <v/>
      </c>
      <c r="P311">
        <f t="shared" si="89"/>
        <v>0</v>
      </c>
    </row>
    <row r="312" spans="1:16">
      <c r="A312" t="str">
        <f>IF(ISBLANK(Common!C$2),"",Common!C$2)</f>
        <v/>
      </c>
      <c r="B312" t="str">
        <f>IF(ISBLANK(Common!C$4),"",Common!C$4)</f>
        <v/>
      </c>
      <c r="C312" t="str">
        <f>IF(ISBLANK(Common!C$6),"",Common!C$6)</f>
        <v/>
      </c>
      <c r="D312" t="str">
        <f>IF(ISBLANK(Common!C$8),"",Common!C$8)</f>
        <v/>
      </c>
      <c r="E312" t="str">
        <f>IF(ISBLANK(Common!I$2),"",Common!I$2)</f>
        <v/>
      </c>
      <c r="F312" t="str">
        <f>IF(ISBLANK(Common!I$4),"",Common!I$4)</f>
        <v/>
      </c>
      <c r="G312" t="str">
        <f>IF(ISBLANK(Common!I$6),"",Common!I$6)</f>
        <v/>
      </c>
      <c r="H312" t="str">
        <f>IF(ISBLANK(Common!I$8),"",Common!I$8)</f>
        <v/>
      </c>
      <c r="I312" t="str">
        <f>IF(ISBLANK(Common!K$8),"",Common!K$8)</f>
        <v/>
      </c>
      <c r="J312" s="27" t="s">
        <v>80</v>
      </c>
      <c r="K312">
        <f>Sector!A$19</f>
        <v>0</v>
      </c>
      <c r="L312" s="136" t="str">
        <f>IF(ISBLANK(Sector!C21),"",Sector!C21)</f>
        <v/>
      </c>
      <c r="M312">
        <f t="shared" si="87"/>
        <v>0</v>
      </c>
      <c r="N312">
        <f t="shared" si="88"/>
        <v>0</v>
      </c>
      <c r="O312" t="str">
        <f>IF(ISBLANK(Sector!K21),"",Sector!K21)</f>
        <v/>
      </c>
      <c r="P312">
        <f t="shared" si="89"/>
        <v>0</v>
      </c>
    </row>
    <row r="313" spans="1:16">
      <c r="A313" t="str">
        <f>IF(ISBLANK(Common!C$2),"",Common!C$2)</f>
        <v/>
      </c>
      <c r="B313" t="str">
        <f>IF(ISBLANK(Common!C$4),"",Common!C$4)</f>
        <v/>
      </c>
      <c r="C313" t="str">
        <f>IF(ISBLANK(Common!C$6),"",Common!C$6)</f>
        <v/>
      </c>
      <c r="D313" t="str">
        <f>IF(ISBLANK(Common!C$8),"",Common!C$8)</f>
        <v/>
      </c>
      <c r="E313" t="str">
        <f>IF(ISBLANK(Common!I$2),"",Common!I$2)</f>
        <v/>
      </c>
      <c r="F313" t="str">
        <f>IF(ISBLANK(Common!I$4),"",Common!I$4)</f>
        <v/>
      </c>
      <c r="G313" t="str">
        <f>IF(ISBLANK(Common!I$6),"",Common!I$6)</f>
        <v/>
      </c>
      <c r="H313" t="str">
        <f>IF(ISBLANK(Common!I$8),"",Common!I$8)</f>
        <v/>
      </c>
      <c r="I313" t="str">
        <f>IF(ISBLANK(Common!K$8),"",Common!K$8)</f>
        <v/>
      </c>
      <c r="J313" s="27" t="s">
        <v>80</v>
      </c>
      <c r="K313">
        <f>Sector!A$19</f>
        <v>0</v>
      </c>
      <c r="L313" s="136" t="str">
        <f>IF(ISBLANK(Sector!C22),"",Sector!C22)</f>
        <v/>
      </c>
      <c r="M313">
        <f t="shared" si="87"/>
        <v>0</v>
      </c>
      <c r="N313">
        <f t="shared" si="88"/>
        <v>0</v>
      </c>
      <c r="O313" t="str">
        <f>IF(ISBLANK(Sector!K22),"",Sector!K22)</f>
        <v/>
      </c>
      <c r="P313">
        <f t="shared" si="89"/>
        <v>0</v>
      </c>
    </row>
    <row r="314" spans="1:16">
      <c r="A314" t="str">
        <f>IF(ISBLANK(Common!C$2),"",Common!C$2)</f>
        <v/>
      </c>
      <c r="B314" t="str">
        <f>IF(ISBLANK(Common!C$4),"",Common!C$4)</f>
        <v/>
      </c>
      <c r="C314" t="str">
        <f>IF(ISBLANK(Common!C$6),"",Common!C$6)</f>
        <v/>
      </c>
      <c r="D314" t="str">
        <f>IF(ISBLANK(Common!C$8),"",Common!C$8)</f>
        <v/>
      </c>
      <c r="E314" t="str">
        <f>IF(ISBLANK(Common!I$2),"",Common!I$2)</f>
        <v/>
      </c>
      <c r="F314" t="str">
        <f>IF(ISBLANK(Common!I$4),"",Common!I$4)</f>
        <v/>
      </c>
      <c r="G314" t="str">
        <f>IF(ISBLANK(Common!I$6),"",Common!I$6)</f>
        <v/>
      </c>
      <c r="H314" t="str">
        <f>IF(ISBLANK(Common!I$8),"",Common!I$8)</f>
        <v/>
      </c>
      <c r="I314" t="str">
        <f>IF(ISBLANK(Common!K$8),"",Common!K$8)</f>
        <v/>
      </c>
      <c r="J314" s="27" t="s">
        <v>80</v>
      </c>
      <c r="K314">
        <f>Sector!A$23</f>
        <v>0</v>
      </c>
      <c r="L314" s="136" t="str">
        <f>IF(ISBLANK(Sector!C23),"",Sector!C23)</f>
        <v/>
      </c>
      <c r="M314">
        <f t="shared" si="87"/>
        <v>0</v>
      </c>
      <c r="N314">
        <f t="shared" si="88"/>
        <v>0</v>
      </c>
      <c r="O314" t="str">
        <f>IF(ISBLANK(Sector!K23),"",Sector!K23)</f>
        <v/>
      </c>
      <c r="P314">
        <f t="shared" si="89"/>
        <v>0</v>
      </c>
    </row>
    <row r="315" spans="1:16">
      <c r="A315" t="str">
        <f>IF(ISBLANK(Common!C$2),"",Common!C$2)</f>
        <v/>
      </c>
      <c r="B315" t="str">
        <f>IF(ISBLANK(Common!C$4),"",Common!C$4)</f>
        <v/>
      </c>
      <c r="C315" t="str">
        <f>IF(ISBLANK(Common!C$6),"",Common!C$6)</f>
        <v/>
      </c>
      <c r="D315" t="str">
        <f>IF(ISBLANK(Common!C$8),"",Common!C$8)</f>
        <v/>
      </c>
      <c r="E315" t="str">
        <f>IF(ISBLANK(Common!I$2),"",Common!I$2)</f>
        <v/>
      </c>
      <c r="F315" t="str">
        <f>IF(ISBLANK(Common!I$4),"",Common!I$4)</f>
        <v/>
      </c>
      <c r="G315" t="str">
        <f>IF(ISBLANK(Common!I$6),"",Common!I$6)</f>
        <v/>
      </c>
      <c r="H315" t="str">
        <f>IF(ISBLANK(Common!I$8),"",Common!I$8)</f>
        <v/>
      </c>
      <c r="I315" t="str">
        <f>IF(ISBLANK(Common!K$8),"",Common!K$8)</f>
        <v/>
      </c>
      <c r="J315" s="27" t="s">
        <v>80</v>
      </c>
      <c r="K315">
        <f>Sector!A$23</f>
        <v>0</v>
      </c>
      <c r="L315" s="136" t="str">
        <f>IF(ISBLANK(Sector!C24),"",Sector!C24)</f>
        <v/>
      </c>
      <c r="M315">
        <f t="shared" si="87"/>
        <v>0</v>
      </c>
      <c r="N315">
        <f t="shared" si="88"/>
        <v>0</v>
      </c>
      <c r="O315" t="str">
        <f>IF(ISBLANK(Sector!K24),"",Sector!K24)</f>
        <v/>
      </c>
      <c r="P315">
        <f t="shared" si="89"/>
        <v>0</v>
      </c>
    </row>
    <row r="316" spans="1:16">
      <c r="A316" t="str">
        <f>IF(ISBLANK(Common!C$2),"",Common!C$2)</f>
        <v/>
      </c>
      <c r="B316" t="str">
        <f>IF(ISBLANK(Common!C$4),"",Common!C$4)</f>
        <v/>
      </c>
      <c r="C316" t="str">
        <f>IF(ISBLANK(Common!C$6),"",Common!C$6)</f>
        <v/>
      </c>
      <c r="D316" t="str">
        <f>IF(ISBLANK(Common!C$8),"",Common!C$8)</f>
        <v/>
      </c>
      <c r="E316" t="str">
        <f>IF(ISBLANK(Common!I$2),"",Common!I$2)</f>
        <v/>
      </c>
      <c r="F316" t="str">
        <f>IF(ISBLANK(Common!I$4),"",Common!I$4)</f>
        <v/>
      </c>
      <c r="G316" t="str">
        <f>IF(ISBLANK(Common!I$6),"",Common!I$6)</f>
        <v/>
      </c>
      <c r="H316" t="str">
        <f>IF(ISBLANK(Common!I$8),"",Common!I$8)</f>
        <v/>
      </c>
      <c r="I316" t="str">
        <f>IF(ISBLANK(Common!K$8),"",Common!K$8)</f>
        <v/>
      </c>
      <c r="J316" s="27" t="s">
        <v>80</v>
      </c>
      <c r="K316">
        <f>Sector!A$23</f>
        <v>0</v>
      </c>
      <c r="L316" s="136" t="str">
        <f>IF(ISBLANK(Sector!C25),"",Sector!C25)</f>
        <v/>
      </c>
      <c r="M316">
        <f t="shared" si="87"/>
        <v>0</v>
      </c>
      <c r="N316">
        <f t="shared" si="88"/>
        <v>0</v>
      </c>
      <c r="O316" t="str">
        <f>IF(ISBLANK(Sector!K25),"",Sector!K25)</f>
        <v/>
      </c>
      <c r="P316">
        <f t="shared" si="89"/>
        <v>0</v>
      </c>
    </row>
    <row r="317" spans="1:16">
      <c r="A317" t="str">
        <f>IF(ISBLANK(Common!C$2),"",Common!C$2)</f>
        <v/>
      </c>
      <c r="B317" t="str">
        <f>IF(ISBLANK(Common!C$4),"",Common!C$4)</f>
        <v/>
      </c>
      <c r="C317" t="str">
        <f>IF(ISBLANK(Common!C$6),"",Common!C$6)</f>
        <v/>
      </c>
      <c r="D317" t="str">
        <f>IF(ISBLANK(Common!C$8),"",Common!C$8)</f>
        <v/>
      </c>
      <c r="E317" t="str">
        <f>IF(ISBLANK(Common!I$2),"",Common!I$2)</f>
        <v/>
      </c>
      <c r="F317" t="str">
        <f>IF(ISBLANK(Common!I$4),"",Common!I$4)</f>
        <v/>
      </c>
      <c r="G317" t="str">
        <f>IF(ISBLANK(Common!I$6),"",Common!I$6)</f>
        <v/>
      </c>
      <c r="H317" t="str">
        <f>IF(ISBLANK(Common!I$8),"",Common!I$8)</f>
        <v/>
      </c>
      <c r="I317" t="str">
        <f>IF(ISBLANK(Common!K$8),"",Common!K$8)</f>
        <v/>
      </c>
      <c r="J317" s="27" t="s">
        <v>80</v>
      </c>
      <c r="K317">
        <f>Sector!A$23</f>
        <v>0</v>
      </c>
      <c r="L317" s="136" t="str">
        <f>IF(ISBLANK(Sector!C26),"",Sector!C26)</f>
        <v/>
      </c>
      <c r="M317">
        <f t="shared" si="87"/>
        <v>0</v>
      </c>
      <c r="N317">
        <f t="shared" si="88"/>
        <v>0</v>
      </c>
      <c r="O317" t="str">
        <f>IF(ISBLANK(Sector!K26),"",Sector!K26)</f>
        <v/>
      </c>
      <c r="P317">
        <f t="shared" si="89"/>
        <v>0</v>
      </c>
    </row>
    <row r="318" spans="1:16">
      <c r="A318" t="str">
        <f>IF(ISBLANK(Common!C$2),"",Common!C$2)</f>
        <v/>
      </c>
      <c r="B318" t="str">
        <f>IF(ISBLANK(Common!C$4),"",Common!C$4)</f>
        <v/>
      </c>
      <c r="C318" t="str">
        <f>IF(ISBLANK(Common!C$6),"",Common!C$6)</f>
        <v/>
      </c>
      <c r="D318" t="str">
        <f>IF(ISBLANK(Common!C$8),"",Common!C$8)</f>
        <v/>
      </c>
      <c r="E318" t="str">
        <f>IF(ISBLANK(Common!I$2),"",Common!I$2)</f>
        <v/>
      </c>
      <c r="F318" t="str">
        <f>IF(ISBLANK(Common!I$4),"",Common!I$4)</f>
        <v/>
      </c>
      <c r="G318" t="str">
        <f>IF(ISBLANK(Common!I$6),"",Common!I$6)</f>
        <v/>
      </c>
      <c r="H318" t="str">
        <f>IF(ISBLANK(Common!I$8),"",Common!I$8)</f>
        <v/>
      </c>
      <c r="I318" t="str">
        <f>IF(ISBLANK(Common!K$8),"",Common!K$8)</f>
        <v/>
      </c>
      <c r="J318" s="27" t="s">
        <v>80</v>
      </c>
      <c r="K318">
        <f>Sector!A$27</f>
        <v>0</v>
      </c>
      <c r="L318" s="136" t="str">
        <f>IF(ISBLANK(Sector!C27),"",Sector!C27)</f>
        <v/>
      </c>
      <c r="M318">
        <f t="shared" si="87"/>
        <v>0</v>
      </c>
      <c r="N318">
        <f t="shared" si="88"/>
        <v>0</v>
      </c>
      <c r="O318" t="str">
        <f>IF(ISBLANK(Sector!K27),"",Sector!K27)</f>
        <v/>
      </c>
      <c r="P318">
        <f t="shared" si="89"/>
        <v>0</v>
      </c>
    </row>
    <row r="319" spans="1:16">
      <c r="A319" t="str">
        <f>IF(ISBLANK(Common!C$2),"",Common!C$2)</f>
        <v/>
      </c>
      <c r="B319" t="str">
        <f>IF(ISBLANK(Common!C$4),"",Common!C$4)</f>
        <v/>
      </c>
      <c r="C319" t="str">
        <f>IF(ISBLANK(Common!C$6),"",Common!C$6)</f>
        <v/>
      </c>
      <c r="D319" t="str">
        <f>IF(ISBLANK(Common!C$8),"",Common!C$8)</f>
        <v/>
      </c>
      <c r="E319" t="str">
        <f>IF(ISBLANK(Common!I$2),"",Common!I$2)</f>
        <v/>
      </c>
      <c r="F319" t="str">
        <f>IF(ISBLANK(Common!I$4),"",Common!I$4)</f>
        <v/>
      </c>
      <c r="G319" t="str">
        <f>IF(ISBLANK(Common!I$6),"",Common!I$6)</f>
        <v/>
      </c>
      <c r="H319" t="str">
        <f>IF(ISBLANK(Common!I$8),"",Common!I$8)</f>
        <v/>
      </c>
      <c r="I319" t="str">
        <f>IF(ISBLANK(Common!K$8),"",Common!K$8)</f>
        <v/>
      </c>
      <c r="J319" s="27" t="s">
        <v>80</v>
      </c>
      <c r="K319">
        <f>Sector!A$27</f>
        <v>0</v>
      </c>
      <c r="L319" s="136" t="str">
        <f>IF(ISBLANK(Sector!C28),"",Sector!C28)</f>
        <v/>
      </c>
      <c r="M319">
        <f t="shared" si="87"/>
        <v>0</v>
      </c>
      <c r="N319">
        <f t="shared" si="88"/>
        <v>0</v>
      </c>
      <c r="O319" t="str">
        <f>IF(ISBLANK(Sector!K28),"",Sector!K28)</f>
        <v/>
      </c>
      <c r="P319">
        <f t="shared" si="89"/>
        <v>0</v>
      </c>
    </row>
    <row r="320" spans="1:16">
      <c r="A320" t="str">
        <f>IF(ISBLANK(Common!C$2),"",Common!C$2)</f>
        <v/>
      </c>
      <c r="B320" t="str">
        <f>IF(ISBLANK(Common!C$4),"",Common!C$4)</f>
        <v/>
      </c>
      <c r="C320" t="str">
        <f>IF(ISBLANK(Common!C$6),"",Common!C$6)</f>
        <v/>
      </c>
      <c r="D320" t="str">
        <f>IF(ISBLANK(Common!C$8),"",Common!C$8)</f>
        <v/>
      </c>
      <c r="E320" t="str">
        <f>IF(ISBLANK(Common!I$2),"",Common!I$2)</f>
        <v/>
      </c>
      <c r="F320" t="str">
        <f>IF(ISBLANK(Common!I$4),"",Common!I$4)</f>
        <v/>
      </c>
      <c r="G320" t="str">
        <f>IF(ISBLANK(Common!I$6),"",Common!I$6)</f>
        <v/>
      </c>
      <c r="H320" t="str">
        <f>IF(ISBLANK(Common!I$8),"",Common!I$8)</f>
        <v/>
      </c>
      <c r="I320" t="str">
        <f>IF(ISBLANK(Common!K$8),"",Common!K$8)</f>
        <v/>
      </c>
      <c r="J320" s="27" t="s">
        <v>80</v>
      </c>
      <c r="K320">
        <f>Sector!A$27</f>
        <v>0</v>
      </c>
      <c r="L320" s="136" t="str">
        <f>IF(ISBLANK(Sector!C29),"",Sector!C29)</f>
        <v/>
      </c>
      <c r="M320">
        <f t="shared" si="87"/>
        <v>0</v>
      </c>
      <c r="N320">
        <f t="shared" si="88"/>
        <v>0</v>
      </c>
      <c r="O320" t="str">
        <f>IF(ISBLANK(Sector!K29),"",Sector!K29)</f>
        <v/>
      </c>
      <c r="P320">
        <f t="shared" si="89"/>
        <v>0</v>
      </c>
    </row>
    <row r="321" spans="1:16">
      <c r="A321" t="str">
        <f>IF(ISBLANK(Common!C$2),"",Common!C$2)</f>
        <v/>
      </c>
      <c r="B321" t="str">
        <f>IF(ISBLANK(Common!C$4),"",Common!C$4)</f>
        <v/>
      </c>
      <c r="C321" t="str">
        <f>IF(ISBLANK(Common!C$6),"",Common!C$6)</f>
        <v/>
      </c>
      <c r="D321" t="str">
        <f>IF(ISBLANK(Common!C$8),"",Common!C$8)</f>
        <v/>
      </c>
      <c r="E321" t="str">
        <f>IF(ISBLANK(Common!I$2),"",Common!I$2)</f>
        <v/>
      </c>
      <c r="F321" t="str">
        <f>IF(ISBLANK(Common!I$4),"",Common!I$4)</f>
        <v/>
      </c>
      <c r="G321" t="str">
        <f>IF(ISBLANK(Common!I$6),"",Common!I$6)</f>
        <v/>
      </c>
      <c r="H321" t="str">
        <f>IF(ISBLANK(Common!I$8),"",Common!I$8)</f>
        <v/>
      </c>
      <c r="I321" t="str">
        <f>IF(ISBLANK(Common!K$8),"",Common!K$8)</f>
        <v/>
      </c>
      <c r="J321" s="27" t="s">
        <v>80</v>
      </c>
      <c r="K321">
        <f>Sector!A$27</f>
        <v>0</v>
      </c>
      <c r="L321" s="136" t="str">
        <f>IF(ISBLANK(Sector!C30),"",Sector!C30)</f>
        <v/>
      </c>
      <c r="M321">
        <f t="shared" si="87"/>
        <v>0</v>
      </c>
      <c r="N321">
        <f t="shared" si="88"/>
        <v>0</v>
      </c>
      <c r="O321" t="str">
        <f>IF(ISBLANK(Sector!K30),"",Sector!K30)</f>
        <v/>
      </c>
      <c r="P321">
        <f t="shared" si="89"/>
        <v>0</v>
      </c>
    </row>
    <row r="322" spans="1:16">
      <c r="A322" t="str">
        <f>IF(ISBLANK(Common!C$2),"",Common!C$2)</f>
        <v/>
      </c>
      <c r="B322" t="str">
        <f>IF(ISBLANK(Common!C$4),"",Common!C$4)</f>
        <v/>
      </c>
      <c r="C322" t="str">
        <f>IF(ISBLANK(Common!C$6),"",Common!C$6)</f>
        <v/>
      </c>
      <c r="D322" t="str">
        <f>IF(ISBLANK(Common!C$8),"",Common!C$8)</f>
        <v/>
      </c>
      <c r="E322" t="str">
        <f>IF(ISBLANK(Common!I$2),"",Common!I$2)</f>
        <v/>
      </c>
      <c r="F322" t="str">
        <f>IF(ISBLANK(Common!I$4),"",Common!I$4)</f>
        <v/>
      </c>
      <c r="G322" t="str">
        <f>IF(ISBLANK(Common!I$6),"",Common!I$6)</f>
        <v/>
      </c>
      <c r="H322" t="str">
        <f>IF(ISBLANK(Common!I$8),"",Common!I$8)</f>
        <v/>
      </c>
      <c r="I322" t="str">
        <f>IF(ISBLANK(Common!K$8),"",Common!K$8)</f>
        <v/>
      </c>
      <c r="J322" s="27" t="s">
        <v>80</v>
      </c>
      <c r="K322">
        <f>Sector!A$15</f>
        <v>0</v>
      </c>
      <c r="L322" s="136" t="str">
        <f>IF(ISBLANK(Sector!C15),"",Sector!C15)</f>
        <v/>
      </c>
      <c r="M322">
        <f>Sector!L12</f>
        <v>0</v>
      </c>
      <c r="N322">
        <f>Sector!L13</f>
        <v>0</v>
      </c>
      <c r="O322" t="str">
        <f>IF(ISBLANK(Sector!L15),"",Sector!L15)</f>
        <v/>
      </c>
      <c r="P322">
        <f>Sector!L31</f>
        <v>0</v>
      </c>
    </row>
    <row r="323" spans="1:16">
      <c r="A323" t="str">
        <f>IF(ISBLANK(Common!C$2),"",Common!C$2)</f>
        <v/>
      </c>
      <c r="B323" t="str">
        <f>IF(ISBLANK(Common!C$4),"",Common!C$4)</f>
        <v/>
      </c>
      <c r="C323" t="str">
        <f>IF(ISBLANK(Common!C$6),"",Common!C$6)</f>
        <v/>
      </c>
      <c r="D323" t="str">
        <f>IF(ISBLANK(Common!C$8),"",Common!C$8)</f>
        <v/>
      </c>
      <c r="E323" t="str">
        <f>IF(ISBLANK(Common!I$2),"",Common!I$2)</f>
        <v/>
      </c>
      <c r="F323" t="str">
        <f>IF(ISBLANK(Common!I$4),"",Common!I$4)</f>
        <v/>
      </c>
      <c r="G323" t="str">
        <f>IF(ISBLANK(Common!I$6),"",Common!I$6)</f>
        <v/>
      </c>
      <c r="H323" t="str">
        <f>IF(ISBLANK(Common!I$8),"",Common!I$8)</f>
        <v/>
      </c>
      <c r="I323" t="str">
        <f>IF(ISBLANK(Common!K$8),"",Common!K$8)</f>
        <v/>
      </c>
      <c r="J323" s="27" t="s">
        <v>80</v>
      </c>
      <c r="K323">
        <f>Sector!A$15</f>
        <v>0</v>
      </c>
      <c r="L323" s="136" t="str">
        <f>IF(ISBLANK(Sector!C16),"",Sector!C16)</f>
        <v/>
      </c>
      <c r="M323">
        <f t="shared" ref="M323:M337" si="90">M322</f>
        <v>0</v>
      </c>
      <c r="N323">
        <f t="shared" ref="N323:N337" si="91">N322</f>
        <v>0</v>
      </c>
      <c r="O323" t="str">
        <f>IF(ISBLANK(Sector!L16),"",Sector!L16)</f>
        <v/>
      </c>
      <c r="P323">
        <f t="shared" ref="P323:P337" si="92">P322</f>
        <v>0</v>
      </c>
    </row>
    <row r="324" spans="1:16">
      <c r="A324" t="str">
        <f>IF(ISBLANK(Common!C$2),"",Common!C$2)</f>
        <v/>
      </c>
      <c r="B324" t="str">
        <f>IF(ISBLANK(Common!C$4),"",Common!C$4)</f>
        <v/>
      </c>
      <c r="C324" t="str">
        <f>IF(ISBLANK(Common!C$6),"",Common!C$6)</f>
        <v/>
      </c>
      <c r="D324" t="str">
        <f>IF(ISBLANK(Common!C$8),"",Common!C$8)</f>
        <v/>
      </c>
      <c r="E324" t="str">
        <f>IF(ISBLANK(Common!I$2),"",Common!I$2)</f>
        <v/>
      </c>
      <c r="F324" t="str">
        <f>IF(ISBLANK(Common!I$4),"",Common!I$4)</f>
        <v/>
      </c>
      <c r="G324" t="str">
        <f>IF(ISBLANK(Common!I$6),"",Common!I$6)</f>
        <v/>
      </c>
      <c r="H324" t="str">
        <f>IF(ISBLANK(Common!I$8),"",Common!I$8)</f>
        <v/>
      </c>
      <c r="I324" t="str">
        <f>IF(ISBLANK(Common!K$8),"",Common!K$8)</f>
        <v/>
      </c>
      <c r="J324" s="27" t="s">
        <v>80</v>
      </c>
      <c r="K324">
        <f>Sector!A$15</f>
        <v>0</v>
      </c>
      <c r="L324" s="136" t="str">
        <f>IF(ISBLANK(Sector!C17),"",Sector!C17)</f>
        <v/>
      </c>
      <c r="M324">
        <f t="shared" si="90"/>
        <v>0</v>
      </c>
      <c r="N324">
        <f t="shared" si="91"/>
        <v>0</v>
      </c>
      <c r="O324" t="str">
        <f>IF(ISBLANK(Sector!L17),"",Sector!L17)</f>
        <v/>
      </c>
      <c r="P324">
        <f t="shared" si="92"/>
        <v>0</v>
      </c>
    </row>
    <row r="325" spans="1:16">
      <c r="A325" t="str">
        <f>IF(ISBLANK(Common!C$2),"",Common!C$2)</f>
        <v/>
      </c>
      <c r="B325" t="str">
        <f>IF(ISBLANK(Common!C$4),"",Common!C$4)</f>
        <v/>
      </c>
      <c r="C325" t="str">
        <f>IF(ISBLANK(Common!C$6),"",Common!C$6)</f>
        <v/>
      </c>
      <c r="D325" t="str">
        <f>IF(ISBLANK(Common!C$8),"",Common!C$8)</f>
        <v/>
      </c>
      <c r="E325" t="str">
        <f>IF(ISBLANK(Common!I$2),"",Common!I$2)</f>
        <v/>
      </c>
      <c r="F325" t="str">
        <f>IF(ISBLANK(Common!I$4),"",Common!I$4)</f>
        <v/>
      </c>
      <c r="G325" t="str">
        <f>IF(ISBLANK(Common!I$6),"",Common!I$6)</f>
        <v/>
      </c>
      <c r="H325" t="str">
        <f>IF(ISBLANK(Common!I$8),"",Common!I$8)</f>
        <v/>
      </c>
      <c r="I325" t="str">
        <f>IF(ISBLANK(Common!K$8),"",Common!K$8)</f>
        <v/>
      </c>
      <c r="J325" s="27" t="s">
        <v>80</v>
      </c>
      <c r="K325">
        <f>Sector!A$15</f>
        <v>0</v>
      </c>
      <c r="L325" s="136" t="str">
        <f>IF(ISBLANK(Sector!C18),"",Sector!C18)</f>
        <v/>
      </c>
      <c r="M325">
        <f t="shared" si="90"/>
        <v>0</v>
      </c>
      <c r="N325">
        <f t="shared" si="91"/>
        <v>0</v>
      </c>
      <c r="O325" t="str">
        <f>IF(ISBLANK(Sector!L18),"",Sector!L18)</f>
        <v/>
      </c>
      <c r="P325">
        <f t="shared" si="92"/>
        <v>0</v>
      </c>
    </row>
    <row r="326" spans="1:16">
      <c r="A326" t="str">
        <f>IF(ISBLANK(Common!C$2),"",Common!C$2)</f>
        <v/>
      </c>
      <c r="B326" t="str">
        <f>IF(ISBLANK(Common!C$4),"",Common!C$4)</f>
        <v/>
      </c>
      <c r="C326" t="str">
        <f>IF(ISBLANK(Common!C$6),"",Common!C$6)</f>
        <v/>
      </c>
      <c r="D326" t="str">
        <f>IF(ISBLANK(Common!C$8),"",Common!C$8)</f>
        <v/>
      </c>
      <c r="E326" t="str">
        <f>IF(ISBLANK(Common!I$2),"",Common!I$2)</f>
        <v/>
      </c>
      <c r="F326" t="str">
        <f>IF(ISBLANK(Common!I$4),"",Common!I$4)</f>
        <v/>
      </c>
      <c r="G326" t="str">
        <f>IF(ISBLANK(Common!I$6),"",Common!I$6)</f>
        <v/>
      </c>
      <c r="H326" t="str">
        <f>IF(ISBLANK(Common!I$8),"",Common!I$8)</f>
        <v/>
      </c>
      <c r="I326" t="str">
        <f>IF(ISBLANK(Common!K$8),"",Common!K$8)</f>
        <v/>
      </c>
      <c r="J326" s="27" t="s">
        <v>80</v>
      </c>
      <c r="K326">
        <f>Sector!A$19</f>
        <v>0</v>
      </c>
      <c r="L326" s="136" t="str">
        <f>IF(ISBLANK(Sector!C19),"",Sector!C19)</f>
        <v/>
      </c>
      <c r="M326">
        <f t="shared" si="90"/>
        <v>0</v>
      </c>
      <c r="N326">
        <f t="shared" si="91"/>
        <v>0</v>
      </c>
      <c r="O326" t="str">
        <f>IF(ISBLANK(Sector!L19),"",Sector!L19)</f>
        <v/>
      </c>
      <c r="P326">
        <f t="shared" si="92"/>
        <v>0</v>
      </c>
    </row>
    <row r="327" spans="1:16">
      <c r="A327" t="str">
        <f>IF(ISBLANK(Common!C$2),"",Common!C$2)</f>
        <v/>
      </c>
      <c r="B327" t="str">
        <f>IF(ISBLANK(Common!C$4),"",Common!C$4)</f>
        <v/>
      </c>
      <c r="C327" t="str">
        <f>IF(ISBLANK(Common!C$6),"",Common!C$6)</f>
        <v/>
      </c>
      <c r="D327" t="str">
        <f>IF(ISBLANK(Common!C$8),"",Common!C$8)</f>
        <v/>
      </c>
      <c r="E327" t="str">
        <f>IF(ISBLANK(Common!I$2),"",Common!I$2)</f>
        <v/>
      </c>
      <c r="F327" t="str">
        <f>IF(ISBLANK(Common!I$4),"",Common!I$4)</f>
        <v/>
      </c>
      <c r="G327" t="str">
        <f>IF(ISBLANK(Common!I$6),"",Common!I$6)</f>
        <v/>
      </c>
      <c r="H327" t="str">
        <f>IF(ISBLANK(Common!I$8),"",Common!I$8)</f>
        <v/>
      </c>
      <c r="I327" t="str">
        <f>IF(ISBLANK(Common!K$8),"",Common!K$8)</f>
        <v/>
      </c>
      <c r="J327" s="27" t="s">
        <v>80</v>
      </c>
      <c r="K327">
        <f>Sector!A$19</f>
        <v>0</v>
      </c>
      <c r="L327" s="136" t="str">
        <f>IF(ISBLANK(Sector!C20),"",Sector!C20)</f>
        <v/>
      </c>
      <c r="M327">
        <f t="shared" si="90"/>
        <v>0</v>
      </c>
      <c r="N327">
        <f t="shared" si="91"/>
        <v>0</v>
      </c>
      <c r="O327" t="str">
        <f>IF(ISBLANK(Sector!L20),"",Sector!L20)</f>
        <v/>
      </c>
      <c r="P327">
        <f t="shared" si="92"/>
        <v>0</v>
      </c>
    </row>
    <row r="328" spans="1:16">
      <c r="A328" t="str">
        <f>IF(ISBLANK(Common!C$2),"",Common!C$2)</f>
        <v/>
      </c>
      <c r="B328" t="str">
        <f>IF(ISBLANK(Common!C$4),"",Common!C$4)</f>
        <v/>
      </c>
      <c r="C328" t="str">
        <f>IF(ISBLANK(Common!C$6),"",Common!C$6)</f>
        <v/>
      </c>
      <c r="D328" t="str">
        <f>IF(ISBLANK(Common!C$8),"",Common!C$8)</f>
        <v/>
      </c>
      <c r="E328" t="str">
        <f>IF(ISBLANK(Common!I$2),"",Common!I$2)</f>
        <v/>
      </c>
      <c r="F328" t="str">
        <f>IF(ISBLANK(Common!I$4),"",Common!I$4)</f>
        <v/>
      </c>
      <c r="G328" t="str">
        <f>IF(ISBLANK(Common!I$6),"",Common!I$6)</f>
        <v/>
      </c>
      <c r="H328" t="str">
        <f>IF(ISBLANK(Common!I$8),"",Common!I$8)</f>
        <v/>
      </c>
      <c r="I328" t="str">
        <f>IF(ISBLANK(Common!K$8),"",Common!K$8)</f>
        <v/>
      </c>
      <c r="J328" s="27" t="s">
        <v>80</v>
      </c>
      <c r="K328">
        <f>Sector!A$19</f>
        <v>0</v>
      </c>
      <c r="L328" s="136" t="str">
        <f>IF(ISBLANK(Sector!C21),"",Sector!C21)</f>
        <v/>
      </c>
      <c r="M328">
        <f t="shared" si="90"/>
        <v>0</v>
      </c>
      <c r="N328">
        <f t="shared" si="91"/>
        <v>0</v>
      </c>
      <c r="O328" t="str">
        <f>IF(ISBLANK(Sector!L21),"",Sector!L21)</f>
        <v/>
      </c>
      <c r="P328">
        <f t="shared" si="92"/>
        <v>0</v>
      </c>
    </row>
    <row r="329" spans="1:16">
      <c r="A329" t="str">
        <f>IF(ISBLANK(Common!C$2),"",Common!C$2)</f>
        <v/>
      </c>
      <c r="B329" t="str">
        <f>IF(ISBLANK(Common!C$4),"",Common!C$4)</f>
        <v/>
      </c>
      <c r="C329" t="str">
        <f>IF(ISBLANK(Common!C$6),"",Common!C$6)</f>
        <v/>
      </c>
      <c r="D329" t="str">
        <f>IF(ISBLANK(Common!C$8),"",Common!C$8)</f>
        <v/>
      </c>
      <c r="E329" t="str">
        <f>IF(ISBLANK(Common!I$2),"",Common!I$2)</f>
        <v/>
      </c>
      <c r="F329" t="str">
        <f>IF(ISBLANK(Common!I$4),"",Common!I$4)</f>
        <v/>
      </c>
      <c r="G329" t="str">
        <f>IF(ISBLANK(Common!I$6),"",Common!I$6)</f>
        <v/>
      </c>
      <c r="H329" t="str">
        <f>IF(ISBLANK(Common!I$8),"",Common!I$8)</f>
        <v/>
      </c>
      <c r="I329" t="str">
        <f>IF(ISBLANK(Common!K$8),"",Common!K$8)</f>
        <v/>
      </c>
      <c r="J329" s="27" t="s">
        <v>80</v>
      </c>
      <c r="K329">
        <f>Sector!A$19</f>
        <v>0</v>
      </c>
      <c r="L329" s="136" t="str">
        <f>IF(ISBLANK(Sector!C22),"",Sector!C22)</f>
        <v/>
      </c>
      <c r="M329">
        <f t="shared" si="90"/>
        <v>0</v>
      </c>
      <c r="N329">
        <f t="shared" si="91"/>
        <v>0</v>
      </c>
      <c r="O329" t="str">
        <f>IF(ISBLANK(Sector!L22),"",Sector!L22)</f>
        <v/>
      </c>
      <c r="P329">
        <f t="shared" si="92"/>
        <v>0</v>
      </c>
    </row>
    <row r="330" spans="1:16">
      <c r="A330" t="str">
        <f>IF(ISBLANK(Common!C$2),"",Common!C$2)</f>
        <v/>
      </c>
      <c r="B330" t="str">
        <f>IF(ISBLANK(Common!C$4),"",Common!C$4)</f>
        <v/>
      </c>
      <c r="C330" t="str">
        <f>IF(ISBLANK(Common!C$6),"",Common!C$6)</f>
        <v/>
      </c>
      <c r="D330" t="str">
        <f>IF(ISBLANK(Common!C$8),"",Common!C$8)</f>
        <v/>
      </c>
      <c r="E330" t="str">
        <f>IF(ISBLANK(Common!I$2),"",Common!I$2)</f>
        <v/>
      </c>
      <c r="F330" t="str">
        <f>IF(ISBLANK(Common!I$4),"",Common!I$4)</f>
        <v/>
      </c>
      <c r="G330" t="str">
        <f>IF(ISBLANK(Common!I$6),"",Common!I$6)</f>
        <v/>
      </c>
      <c r="H330" t="str">
        <f>IF(ISBLANK(Common!I$8),"",Common!I$8)</f>
        <v/>
      </c>
      <c r="I330" t="str">
        <f>IF(ISBLANK(Common!K$8),"",Common!K$8)</f>
        <v/>
      </c>
      <c r="J330" s="27" t="s">
        <v>80</v>
      </c>
      <c r="K330">
        <f>Sector!A$23</f>
        <v>0</v>
      </c>
      <c r="L330" s="136" t="str">
        <f>IF(ISBLANK(Sector!C23),"",Sector!C23)</f>
        <v/>
      </c>
      <c r="M330">
        <f t="shared" si="90"/>
        <v>0</v>
      </c>
      <c r="N330">
        <f t="shared" si="91"/>
        <v>0</v>
      </c>
      <c r="O330" t="str">
        <f>IF(ISBLANK(Sector!L23),"",Sector!L23)</f>
        <v/>
      </c>
      <c r="P330">
        <f t="shared" si="92"/>
        <v>0</v>
      </c>
    </row>
    <row r="331" spans="1:16">
      <c r="A331" t="str">
        <f>IF(ISBLANK(Common!C$2),"",Common!C$2)</f>
        <v/>
      </c>
      <c r="B331" t="str">
        <f>IF(ISBLANK(Common!C$4),"",Common!C$4)</f>
        <v/>
      </c>
      <c r="C331" t="str">
        <f>IF(ISBLANK(Common!C$6),"",Common!C$6)</f>
        <v/>
      </c>
      <c r="D331" t="str">
        <f>IF(ISBLANK(Common!C$8),"",Common!C$8)</f>
        <v/>
      </c>
      <c r="E331" t="str">
        <f>IF(ISBLANK(Common!I$2),"",Common!I$2)</f>
        <v/>
      </c>
      <c r="F331" t="str">
        <f>IF(ISBLANK(Common!I$4),"",Common!I$4)</f>
        <v/>
      </c>
      <c r="G331" t="str">
        <f>IF(ISBLANK(Common!I$6),"",Common!I$6)</f>
        <v/>
      </c>
      <c r="H331" t="str">
        <f>IF(ISBLANK(Common!I$8),"",Common!I$8)</f>
        <v/>
      </c>
      <c r="I331" t="str">
        <f>IF(ISBLANK(Common!K$8),"",Common!K$8)</f>
        <v/>
      </c>
      <c r="J331" s="27" t="s">
        <v>80</v>
      </c>
      <c r="K331">
        <f>Sector!A$23</f>
        <v>0</v>
      </c>
      <c r="L331" s="136" t="str">
        <f>IF(ISBLANK(Sector!C24),"",Sector!C24)</f>
        <v/>
      </c>
      <c r="M331">
        <f t="shared" si="90"/>
        <v>0</v>
      </c>
      <c r="N331">
        <f t="shared" si="91"/>
        <v>0</v>
      </c>
      <c r="O331" t="str">
        <f>IF(ISBLANK(Sector!L24),"",Sector!L24)</f>
        <v/>
      </c>
      <c r="P331">
        <f t="shared" si="92"/>
        <v>0</v>
      </c>
    </row>
    <row r="332" spans="1:16">
      <c r="A332" t="str">
        <f>IF(ISBLANK(Common!C$2),"",Common!C$2)</f>
        <v/>
      </c>
      <c r="B332" t="str">
        <f>IF(ISBLANK(Common!C$4),"",Common!C$4)</f>
        <v/>
      </c>
      <c r="C332" t="str">
        <f>IF(ISBLANK(Common!C$6),"",Common!C$6)</f>
        <v/>
      </c>
      <c r="D332" t="str">
        <f>IF(ISBLANK(Common!C$8),"",Common!C$8)</f>
        <v/>
      </c>
      <c r="E332" t="str">
        <f>IF(ISBLANK(Common!I$2),"",Common!I$2)</f>
        <v/>
      </c>
      <c r="F332" t="str">
        <f>IF(ISBLANK(Common!I$4),"",Common!I$4)</f>
        <v/>
      </c>
      <c r="G332" t="str">
        <f>IF(ISBLANK(Common!I$6),"",Common!I$6)</f>
        <v/>
      </c>
      <c r="H332" t="str">
        <f>IF(ISBLANK(Common!I$8),"",Common!I$8)</f>
        <v/>
      </c>
      <c r="I332" t="str">
        <f>IF(ISBLANK(Common!K$8),"",Common!K$8)</f>
        <v/>
      </c>
      <c r="J332" s="27" t="s">
        <v>80</v>
      </c>
      <c r="K332">
        <f>Sector!A$23</f>
        <v>0</v>
      </c>
      <c r="L332" s="136" t="str">
        <f>IF(ISBLANK(Sector!C25),"",Sector!C25)</f>
        <v/>
      </c>
      <c r="M332">
        <f t="shared" si="90"/>
        <v>0</v>
      </c>
      <c r="N332">
        <f t="shared" si="91"/>
        <v>0</v>
      </c>
      <c r="O332" t="str">
        <f>IF(ISBLANK(Sector!L25),"",Sector!L25)</f>
        <v/>
      </c>
      <c r="P332">
        <f t="shared" si="92"/>
        <v>0</v>
      </c>
    </row>
    <row r="333" spans="1:16">
      <c r="A333" t="str">
        <f>IF(ISBLANK(Common!C$2),"",Common!C$2)</f>
        <v/>
      </c>
      <c r="B333" t="str">
        <f>IF(ISBLANK(Common!C$4),"",Common!C$4)</f>
        <v/>
      </c>
      <c r="C333" t="str">
        <f>IF(ISBLANK(Common!C$6),"",Common!C$6)</f>
        <v/>
      </c>
      <c r="D333" t="str">
        <f>IF(ISBLANK(Common!C$8),"",Common!C$8)</f>
        <v/>
      </c>
      <c r="E333" t="str">
        <f>IF(ISBLANK(Common!I$2),"",Common!I$2)</f>
        <v/>
      </c>
      <c r="F333" t="str">
        <f>IF(ISBLANK(Common!I$4),"",Common!I$4)</f>
        <v/>
      </c>
      <c r="G333" t="str">
        <f>IF(ISBLANK(Common!I$6),"",Common!I$6)</f>
        <v/>
      </c>
      <c r="H333" t="str">
        <f>IF(ISBLANK(Common!I$8),"",Common!I$8)</f>
        <v/>
      </c>
      <c r="I333" t="str">
        <f>IF(ISBLANK(Common!K$8),"",Common!K$8)</f>
        <v/>
      </c>
      <c r="J333" s="27" t="s">
        <v>80</v>
      </c>
      <c r="K333">
        <f>Sector!A$23</f>
        <v>0</v>
      </c>
      <c r="L333" s="136" t="str">
        <f>IF(ISBLANK(Sector!C26),"",Sector!C26)</f>
        <v/>
      </c>
      <c r="M333">
        <f t="shared" si="90"/>
        <v>0</v>
      </c>
      <c r="N333">
        <f t="shared" si="91"/>
        <v>0</v>
      </c>
      <c r="O333" t="str">
        <f>IF(ISBLANK(Sector!L26),"",Sector!L26)</f>
        <v/>
      </c>
      <c r="P333">
        <f t="shared" si="92"/>
        <v>0</v>
      </c>
    </row>
    <row r="334" spans="1:16">
      <c r="A334" t="str">
        <f>IF(ISBLANK(Common!C$2),"",Common!C$2)</f>
        <v/>
      </c>
      <c r="B334" t="str">
        <f>IF(ISBLANK(Common!C$4),"",Common!C$4)</f>
        <v/>
      </c>
      <c r="C334" t="str">
        <f>IF(ISBLANK(Common!C$6),"",Common!C$6)</f>
        <v/>
      </c>
      <c r="D334" t="str">
        <f>IF(ISBLANK(Common!C$8),"",Common!C$8)</f>
        <v/>
      </c>
      <c r="E334" t="str">
        <f>IF(ISBLANK(Common!I$2),"",Common!I$2)</f>
        <v/>
      </c>
      <c r="F334" t="str">
        <f>IF(ISBLANK(Common!I$4),"",Common!I$4)</f>
        <v/>
      </c>
      <c r="G334" t="str">
        <f>IF(ISBLANK(Common!I$6),"",Common!I$6)</f>
        <v/>
      </c>
      <c r="H334" t="str">
        <f>IF(ISBLANK(Common!I$8),"",Common!I$8)</f>
        <v/>
      </c>
      <c r="I334" t="str">
        <f>IF(ISBLANK(Common!K$8),"",Common!K$8)</f>
        <v/>
      </c>
      <c r="J334" s="27" t="s">
        <v>80</v>
      </c>
      <c r="K334">
        <f>Sector!A$27</f>
        <v>0</v>
      </c>
      <c r="L334" s="136" t="str">
        <f>IF(ISBLANK(Sector!C27),"",Sector!C27)</f>
        <v/>
      </c>
      <c r="M334">
        <f t="shared" si="90"/>
        <v>0</v>
      </c>
      <c r="N334">
        <f t="shared" si="91"/>
        <v>0</v>
      </c>
      <c r="O334" t="str">
        <f>IF(ISBLANK(Sector!L27),"",Sector!L27)</f>
        <v/>
      </c>
      <c r="P334">
        <f t="shared" si="92"/>
        <v>0</v>
      </c>
    </row>
    <row r="335" spans="1:16">
      <c r="A335" t="str">
        <f>IF(ISBLANK(Common!C$2),"",Common!C$2)</f>
        <v/>
      </c>
      <c r="B335" t="str">
        <f>IF(ISBLANK(Common!C$4),"",Common!C$4)</f>
        <v/>
      </c>
      <c r="C335" t="str">
        <f>IF(ISBLANK(Common!C$6),"",Common!C$6)</f>
        <v/>
      </c>
      <c r="D335" t="str">
        <f>IF(ISBLANK(Common!C$8),"",Common!C$8)</f>
        <v/>
      </c>
      <c r="E335" t="str">
        <f>IF(ISBLANK(Common!I$2),"",Common!I$2)</f>
        <v/>
      </c>
      <c r="F335" t="str">
        <f>IF(ISBLANK(Common!I$4),"",Common!I$4)</f>
        <v/>
      </c>
      <c r="G335" t="str">
        <f>IF(ISBLANK(Common!I$6),"",Common!I$6)</f>
        <v/>
      </c>
      <c r="H335" t="str">
        <f>IF(ISBLANK(Common!I$8),"",Common!I$8)</f>
        <v/>
      </c>
      <c r="I335" t="str">
        <f>IF(ISBLANK(Common!K$8),"",Common!K$8)</f>
        <v/>
      </c>
      <c r="J335" s="27" t="s">
        <v>80</v>
      </c>
      <c r="K335">
        <f>Sector!A$27</f>
        <v>0</v>
      </c>
      <c r="L335" s="136" t="str">
        <f>IF(ISBLANK(Sector!C28),"",Sector!C28)</f>
        <v/>
      </c>
      <c r="M335">
        <f t="shared" si="90"/>
        <v>0</v>
      </c>
      <c r="N335">
        <f t="shared" si="91"/>
        <v>0</v>
      </c>
      <c r="O335" t="str">
        <f>IF(ISBLANK(Sector!L28),"",Sector!L28)</f>
        <v/>
      </c>
      <c r="P335">
        <f t="shared" si="92"/>
        <v>0</v>
      </c>
    </row>
    <row r="336" spans="1:16">
      <c r="A336" t="str">
        <f>IF(ISBLANK(Common!C$2),"",Common!C$2)</f>
        <v/>
      </c>
      <c r="B336" t="str">
        <f>IF(ISBLANK(Common!C$4),"",Common!C$4)</f>
        <v/>
      </c>
      <c r="C336" t="str">
        <f>IF(ISBLANK(Common!C$6),"",Common!C$6)</f>
        <v/>
      </c>
      <c r="D336" t="str">
        <f>IF(ISBLANK(Common!C$8),"",Common!C$8)</f>
        <v/>
      </c>
      <c r="E336" t="str">
        <f>IF(ISBLANK(Common!I$2),"",Common!I$2)</f>
        <v/>
      </c>
      <c r="F336" t="str">
        <f>IF(ISBLANK(Common!I$4),"",Common!I$4)</f>
        <v/>
      </c>
      <c r="G336" t="str">
        <f>IF(ISBLANK(Common!I$6),"",Common!I$6)</f>
        <v/>
      </c>
      <c r="H336" t="str">
        <f>IF(ISBLANK(Common!I$8),"",Common!I$8)</f>
        <v/>
      </c>
      <c r="I336" t="str">
        <f>IF(ISBLANK(Common!K$8),"",Common!K$8)</f>
        <v/>
      </c>
      <c r="J336" s="27" t="s">
        <v>80</v>
      </c>
      <c r="K336">
        <f>Sector!A$27</f>
        <v>0</v>
      </c>
      <c r="L336" s="136" t="str">
        <f>IF(ISBLANK(Sector!C29),"",Sector!C29)</f>
        <v/>
      </c>
      <c r="M336">
        <f t="shared" si="90"/>
        <v>0</v>
      </c>
      <c r="N336">
        <f t="shared" si="91"/>
        <v>0</v>
      </c>
      <c r="O336" t="str">
        <f>IF(ISBLANK(Sector!L29),"",Sector!L29)</f>
        <v/>
      </c>
      <c r="P336">
        <f t="shared" si="92"/>
        <v>0</v>
      </c>
    </row>
    <row r="337" spans="1:16">
      <c r="A337" t="str">
        <f>IF(ISBLANK(Common!C$2),"",Common!C$2)</f>
        <v/>
      </c>
      <c r="B337" t="str">
        <f>IF(ISBLANK(Common!C$4),"",Common!C$4)</f>
        <v/>
      </c>
      <c r="C337" t="str">
        <f>IF(ISBLANK(Common!C$6),"",Common!C$6)</f>
        <v/>
      </c>
      <c r="D337" t="str">
        <f>IF(ISBLANK(Common!C$8),"",Common!C$8)</f>
        <v/>
      </c>
      <c r="E337" t="str">
        <f>IF(ISBLANK(Common!I$2),"",Common!I$2)</f>
        <v/>
      </c>
      <c r="F337" t="str">
        <f>IF(ISBLANK(Common!I$4),"",Common!I$4)</f>
        <v/>
      </c>
      <c r="G337" t="str">
        <f>IF(ISBLANK(Common!I$6),"",Common!I$6)</f>
        <v/>
      </c>
      <c r="H337" t="str">
        <f>IF(ISBLANK(Common!I$8),"",Common!I$8)</f>
        <v/>
      </c>
      <c r="I337" t="str">
        <f>IF(ISBLANK(Common!K$8),"",Common!K$8)</f>
        <v/>
      </c>
      <c r="J337" s="27" t="s">
        <v>80</v>
      </c>
      <c r="K337">
        <f>Sector!A$27</f>
        <v>0</v>
      </c>
      <c r="L337" s="136" t="str">
        <f>IF(ISBLANK(Sector!C30),"",Sector!C30)</f>
        <v/>
      </c>
      <c r="M337">
        <f t="shared" si="90"/>
        <v>0</v>
      </c>
      <c r="N337">
        <f t="shared" si="91"/>
        <v>0</v>
      </c>
      <c r="O337" t="str">
        <f>IF(ISBLANK(Sector!L30),"",Sector!L30)</f>
        <v/>
      </c>
      <c r="P337">
        <f t="shared" si="92"/>
        <v>0</v>
      </c>
    </row>
    <row r="338" spans="1:16">
      <c r="A338" t="str">
        <f>IF(ISBLANK(Common!C$2),"",Common!C$2)</f>
        <v/>
      </c>
      <c r="B338" t="str">
        <f>IF(ISBLANK(Common!C$4),"",Common!C$4)</f>
        <v/>
      </c>
      <c r="C338" t="str">
        <f>IF(ISBLANK(Common!C$6),"",Common!C$6)</f>
        <v/>
      </c>
      <c r="D338" t="str">
        <f>IF(ISBLANK(Common!C$8),"",Common!C$8)</f>
        <v/>
      </c>
      <c r="E338" t="str">
        <f>IF(ISBLANK(Common!I$2),"",Common!I$2)</f>
        <v/>
      </c>
      <c r="F338" t="str">
        <f>IF(ISBLANK(Common!I$4),"",Common!I$4)</f>
        <v/>
      </c>
      <c r="G338" t="str">
        <f>IF(ISBLANK(Common!I$6),"",Common!I$6)</f>
        <v/>
      </c>
      <c r="H338" t="str">
        <f>IF(ISBLANK(Common!I$8),"",Common!I$8)</f>
        <v/>
      </c>
      <c r="I338" t="str">
        <f>IF(ISBLANK(Common!K$8),"",Common!K$8)</f>
        <v/>
      </c>
      <c r="J338" s="27" t="s">
        <v>80</v>
      </c>
      <c r="K338">
        <f>Sector!A$15</f>
        <v>0</v>
      </c>
      <c r="L338" s="136" t="str">
        <f>IF(ISBLANK(Sector!C15),"",Sector!C15)</f>
        <v/>
      </c>
      <c r="M338">
        <f>Sector!M12</f>
        <v>0</v>
      </c>
      <c r="N338">
        <f>Sector!M13</f>
        <v>0</v>
      </c>
      <c r="O338" t="str">
        <f>IF(ISBLANK(Sector!M15),"",Sector!M15)</f>
        <v/>
      </c>
      <c r="P338">
        <f>Sector!M31</f>
        <v>0</v>
      </c>
    </row>
    <row r="339" spans="1:16">
      <c r="A339" t="str">
        <f>IF(ISBLANK(Common!C$2),"",Common!C$2)</f>
        <v/>
      </c>
      <c r="B339" t="str">
        <f>IF(ISBLANK(Common!C$4),"",Common!C$4)</f>
        <v/>
      </c>
      <c r="C339" t="str">
        <f>IF(ISBLANK(Common!C$6),"",Common!C$6)</f>
        <v/>
      </c>
      <c r="D339" t="str">
        <f>IF(ISBLANK(Common!C$8),"",Common!C$8)</f>
        <v/>
      </c>
      <c r="E339" t="str">
        <f>IF(ISBLANK(Common!I$2),"",Common!I$2)</f>
        <v/>
      </c>
      <c r="F339" t="str">
        <f>IF(ISBLANK(Common!I$4),"",Common!I$4)</f>
        <v/>
      </c>
      <c r="G339" t="str">
        <f>IF(ISBLANK(Common!I$6),"",Common!I$6)</f>
        <v/>
      </c>
      <c r="H339" t="str">
        <f>IF(ISBLANK(Common!I$8),"",Common!I$8)</f>
        <v/>
      </c>
      <c r="I339" t="str">
        <f>IF(ISBLANK(Common!K$8),"",Common!K$8)</f>
        <v/>
      </c>
      <c r="J339" s="27" t="s">
        <v>80</v>
      </c>
      <c r="K339">
        <f>Sector!A$15</f>
        <v>0</v>
      </c>
      <c r="L339" s="136" t="str">
        <f>IF(ISBLANK(Sector!C16),"",Sector!C16)</f>
        <v/>
      </c>
      <c r="M339">
        <f t="shared" ref="M339:M353" si="93">M338</f>
        <v>0</v>
      </c>
      <c r="N339">
        <f t="shared" ref="N339:N353" si="94">N338</f>
        <v>0</v>
      </c>
      <c r="O339" t="str">
        <f>IF(ISBLANK(Sector!M16),"",Sector!M16)</f>
        <v/>
      </c>
      <c r="P339">
        <f t="shared" ref="P339:P353" si="95">P338</f>
        <v>0</v>
      </c>
    </row>
    <row r="340" spans="1:16">
      <c r="A340" t="str">
        <f>IF(ISBLANK(Common!C$2),"",Common!C$2)</f>
        <v/>
      </c>
      <c r="B340" t="str">
        <f>IF(ISBLANK(Common!C$4),"",Common!C$4)</f>
        <v/>
      </c>
      <c r="C340" t="str">
        <f>IF(ISBLANK(Common!C$6),"",Common!C$6)</f>
        <v/>
      </c>
      <c r="D340" t="str">
        <f>IF(ISBLANK(Common!C$8),"",Common!C$8)</f>
        <v/>
      </c>
      <c r="E340" t="str">
        <f>IF(ISBLANK(Common!I$2),"",Common!I$2)</f>
        <v/>
      </c>
      <c r="F340" t="str">
        <f>IF(ISBLANK(Common!I$4),"",Common!I$4)</f>
        <v/>
      </c>
      <c r="G340" t="str">
        <f>IF(ISBLANK(Common!I$6),"",Common!I$6)</f>
        <v/>
      </c>
      <c r="H340" t="str">
        <f>IF(ISBLANK(Common!I$8),"",Common!I$8)</f>
        <v/>
      </c>
      <c r="I340" t="str">
        <f>IF(ISBLANK(Common!K$8),"",Common!K$8)</f>
        <v/>
      </c>
      <c r="J340" s="27" t="s">
        <v>80</v>
      </c>
      <c r="K340">
        <f>Sector!A$15</f>
        <v>0</v>
      </c>
      <c r="L340" s="136" t="str">
        <f>IF(ISBLANK(Sector!C17),"",Sector!C17)</f>
        <v/>
      </c>
      <c r="M340">
        <f t="shared" si="93"/>
        <v>0</v>
      </c>
      <c r="N340">
        <f t="shared" si="94"/>
        <v>0</v>
      </c>
      <c r="O340" t="str">
        <f>IF(ISBLANK(Sector!M17),"",Sector!M17)</f>
        <v/>
      </c>
      <c r="P340">
        <f t="shared" si="95"/>
        <v>0</v>
      </c>
    </row>
    <row r="341" spans="1:16">
      <c r="A341" t="str">
        <f>IF(ISBLANK(Common!C$2),"",Common!C$2)</f>
        <v/>
      </c>
      <c r="B341" t="str">
        <f>IF(ISBLANK(Common!C$4),"",Common!C$4)</f>
        <v/>
      </c>
      <c r="C341" t="str">
        <f>IF(ISBLANK(Common!C$6),"",Common!C$6)</f>
        <v/>
      </c>
      <c r="D341" t="str">
        <f>IF(ISBLANK(Common!C$8),"",Common!C$8)</f>
        <v/>
      </c>
      <c r="E341" t="str">
        <f>IF(ISBLANK(Common!I$2),"",Common!I$2)</f>
        <v/>
      </c>
      <c r="F341" t="str">
        <f>IF(ISBLANK(Common!I$4),"",Common!I$4)</f>
        <v/>
      </c>
      <c r="G341" t="str">
        <f>IF(ISBLANK(Common!I$6),"",Common!I$6)</f>
        <v/>
      </c>
      <c r="H341" t="str">
        <f>IF(ISBLANK(Common!I$8),"",Common!I$8)</f>
        <v/>
      </c>
      <c r="I341" t="str">
        <f>IF(ISBLANK(Common!K$8),"",Common!K$8)</f>
        <v/>
      </c>
      <c r="J341" s="27" t="s">
        <v>80</v>
      </c>
      <c r="K341">
        <f>Sector!A$15</f>
        <v>0</v>
      </c>
      <c r="L341" s="136" t="str">
        <f>IF(ISBLANK(Sector!C18),"",Sector!C18)</f>
        <v/>
      </c>
      <c r="M341">
        <f t="shared" si="93"/>
        <v>0</v>
      </c>
      <c r="N341">
        <f t="shared" si="94"/>
        <v>0</v>
      </c>
      <c r="O341" t="str">
        <f>IF(ISBLANK(Sector!M18),"",Sector!M18)</f>
        <v/>
      </c>
      <c r="P341">
        <f t="shared" si="95"/>
        <v>0</v>
      </c>
    </row>
    <row r="342" spans="1:16">
      <c r="A342" t="str">
        <f>IF(ISBLANK(Common!C$2),"",Common!C$2)</f>
        <v/>
      </c>
      <c r="B342" t="str">
        <f>IF(ISBLANK(Common!C$4),"",Common!C$4)</f>
        <v/>
      </c>
      <c r="C342" t="str">
        <f>IF(ISBLANK(Common!C$6),"",Common!C$6)</f>
        <v/>
      </c>
      <c r="D342" t="str">
        <f>IF(ISBLANK(Common!C$8),"",Common!C$8)</f>
        <v/>
      </c>
      <c r="E342" t="str">
        <f>IF(ISBLANK(Common!I$2),"",Common!I$2)</f>
        <v/>
      </c>
      <c r="F342" t="str">
        <f>IF(ISBLANK(Common!I$4),"",Common!I$4)</f>
        <v/>
      </c>
      <c r="G342" t="str">
        <f>IF(ISBLANK(Common!I$6),"",Common!I$6)</f>
        <v/>
      </c>
      <c r="H342" t="str">
        <f>IF(ISBLANK(Common!I$8),"",Common!I$8)</f>
        <v/>
      </c>
      <c r="I342" t="str">
        <f>IF(ISBLANK(Common!K$8),"",Common!K$8)</f>
        <v/>
      </c>
      <c r="J342" s="27" t="s">
        <v>80</v>
      </c>
      <c r="K342">
        <f>Sector!A$19</f>
        <v>0</v>
      </c>
      <c r="L342" s="136" t="str">
        <f>IF(ISBLANK(Sector!C19),"",Sector!C19)</f>
        <v/>
      </c>
      <c r="M342">
        <f t="shared" si="93"/>
        <v>0</v>
      </c>
      <c r="N342">
        <f t="shared" si="94"/>
        <v>0</v>
      </c>
      <c r="O342" t="str">
        <f>IF(ISBLANK(Sector!M19),"",Sector!M19)</f>
        <v/>
      </c>
      <c r="P342">
        <f t="shared" si="95"/>
        <v>0</v>
      </c>
    </row>
    <row r="343" spans="1:16">
      <c r="A343" t="str">
        <f>IF(ISBLANK(Common!C$2),"",Common!C$2)</f>
        <v/>
      </c>
      <c r="B343" t="str">
        <f>IF(ISBLANK(Common!C$4),"",Common!C$4)</f>
        <v/>
      </c>
      <c r="C343" t="str">
        <f>IF(ISBLANK(Common!C$6),"",Common!C$6)</f>
        <v/>
      </c>
      <c r="D343" t="str">
        <f>IF(ISBLANK(Common!C$8),"",Common!C$8)</f>
        <v/>
      </c>
      <c r="E343" t="str">
        <f>IF(ISBLANK(Common!I$2),"",Common!I$2)</f>
        <v/>
      </c>
      <c r="F343" t="str">
        <f>IF(ISBLANK(Common!I$4),"",Common!I$4)</f>
        <v/>
      </c>
      <c r="G343" t="str">
        <f>IF(ISBLANK(Common!I$6),"",Common!I$6)</f>
        <v/>
      </c>
      <c r="H343" t="str">
        <f>IF(ISBLANK(Common!I$8),"",Common!I$8)</f>
        <v/>
      </c>
      <c r="I343" t="str">
        <f>IF(ISBLANK(Common!K$8),"",Common!K$8)</f>
        <v/>
      </c>
      <c r="J343" s="27" t="s">
        <v>80</v>
      </c>
      <c r="K343">
        <f>Sector!A$19</f>
        <v>0</v>
      </c>
      <c r="L343" s="136" t="str">
        <f>IF(ISBLANK(Sector!C20),"",Sector!C20)</f>
        <v/>
      </c>
      <c r="M343">
        <f t="shared" si="93"/>
        <v>0</v>
      </c>
      <c r="N343">
        <f t="shared" si="94"/>
        <v>0</v>
      </c>
      <c r="O343" t="str">
        <f>IF(ISBLANK(Sector!M20),"",Sector!M20)</f>
        <v/>
      </c>
      <c r="P343">
        <f t="shared" si="95"/>
        <v>0</v>
      </c>
    </row>
    <row r="344" spans="1:16">
      <c r="A344" t="str">
        <f>IF(ISBLANK(Common!C$2),"",Common!C$2)</f>
        <v/>
      </c>
      <c r="B344" t="str">
        <f>IF(ISBLANK(Common!C$4),"",Common!C$4)</f>
        <v/>
      </c>
      <c r="C344" t="str">
        <f>IF(ISBLANK(Common!C$6),"",Common!C$6)</f>
        <v/>
      </c>
      <c r="D344" t="str">
        <f>IF(ISBLANK(Common!C$8),"",Common!C$8)</f>
        <v/>
      </c>
      <c r="E344" t="str">
        <f>IF(ISBLANK(Common!I$2),"",Common!I$2)</f>
        <v/>
      </c>
      <c r="F344" t="str">
        <f>IF(ISBLANK(Common!I$4),"",Common!I$4)</f>
        <v/>
      </c>
      <c r="G344" t="str">
        <f>IF(ISBLANK(Common!I$6),"",Common!I$6)</f>
        <v/>
      </c>
      <c r="H344" t="str">
        <f>IF(ISBLANK(Common!I$8),"",Common!I$8)</f>
        <v/>
      </c>
      <c r="I344" t="str">
        <f>IF(ISBLANK(Common!K$8),"",Common!K$8)</f>
        <v/>
      </c>
      <c r="J344" s="27" t="s">
        <v>80</v>
      </c>
      <c r="K344">
        <f>Sector!A$19</f>
        <v>0</v>
      </c>
      <c r="L344" s="136" t="str">
        <f>IF(ISBLANK(Sector!C21),"",Sector!C21)</f>
        <v/>
      </c>
      <c r="M344">
        <f t="shared" si="93"/>
        <v>0</v>
      </c>
      <c r="N344">
        <f t="shared" si="94"/>
        <v>0</v>
      </c>
      <c r="O344" t="str">
        <f>IF(ISBLANK(Sector!M21),"",Sector!M21)</f>
        <v/>
      </c>
      <c r="P344">
        <f t="shared" si="95"/>
        <v>0</v>
      </c>
    </row>
    <row r="345" spans="1:16">
      <c r="A345" t="str">
        <f>IF(ISBLANK(Common!C$2),"",Common!C$2)</f>
        <v/>
      </c>
      <c r="B345" t="str">
        <f>IF(ISBLANK(Common!C$4),"",Common!C$4)</f>
        <v/>
      </c>
      <c r="C345" t="str">
        <f>IF(ISBLANK(Common!C$6),"",Common!C$6)</f>
        <v/>
      </c>
      <c r="D345" t="str">
        <f>IF(ISBLANK(Common!C$8),"",Common!C$8)</f>
        <v/>
      </c>
      <c r="E345" t="str">
        <f>IF(ISBLANK(Common!I$2),"",Common!I$2)</f>
        <v/>
      </c>
      <c r="F345" t="str">
        <f>IF(ISBLANK(Common!I$4),"",Common!I$4)</f>
        <v/>
      </c>
      <c r="G345" t="str">
        <f>IF(ISBLANK(Common!I$6),"",Common!I$6)</f>
        <v/>
      </c>
      <c r="H345" t="str">
        <f>IF(ISBLANK(Common!I$8),"",Common!I$8)</f>
        <v/>
      </c>
      <c r="I345" t="str">
        <f>IF(ISBLANK(Common!K$8),"",Common!K$8)</f>
        <v/>
      </c>
      <c r="J345" s="27" t="s">
        <v>80</v>
      </c>
      <c r="K345">
        <f>Sector!A$19</f>
        <v>0</v>
      </c>
      <c r="L345" s="136" t="str">
        <f>IF(ISBLANK(Sector!C22),"",Sector!C22)</f>
        <v/>
      </c>
      <c r="M345">
        <f t="shared" si="93"/>
        <v>0</v>
      </c>
      <c r="N345">
        <f t="shared" si="94"/>
        <v>0</v>
      </c>
      <c r="O345" t="str">
        <f>IF(ISBLANK(Sector!M22),"",Sector!M22)</f>
        <v/>
      </c>
      <c r="P345">
        <f t="shared" si="95"/>
        <v>0</v>
      </c>
    </row>
    <row r="346" spans="1:16">
      <c r="A346" t="str">
        <f>IF(ISBLANK(Common!C$2),"",Common!C$2)</f>
        <v/>
      </c>
      <c r="B346" t="str">
        <f>IF(ISBLANK(Common!C$4),"",Common!C$4)</f>
        <v/>
      </c>
      <c r="C346" t="str">
        <f>IF(ISBLANK(Common!C$6),"",Common!C$6)</f>
        <v/>
      </c>
      <c r="D346" t="str">
        <f>IF(ISBLANK(Common!C$8),"",Common!C$8)</f>
        <v/>
      </c>
      <c r="E346" t="str">
        <f>IF(ISBLANK(Common!I$2),"",Common!I$2)</f>
        <v/>
      </c>
      <c r="F346" t="str">
        <f>IF(ISBLANK(Common!I$4),"",Common!I$4)</f>
        <v/>
      </c>
      <c r="G346" t="str">
        <f>IF(ISBLANK(Common!I$6),"",Common!I$6)</f>
        <v/>
      </c>
      <c r="H346" t="str">
        <f>IF(ISBLANK(Common!I$8),"",Common!I$8)</f>
        <v/>
      </c>
      <c r="I346" t="str">
        <f>IF(ISBLANK(Common!K$8),"",Common!K$8)</f>
        <v/>
      </c>
      <c r="J346" s="27" t="s">
        <v>80</v>
      </c>
      <c r="K346">
        <f>Sector!A$23</f>
        <v>0</v>
      </c>
      <c r="L346" s="136" t="str">
        <f>IF(ISBLANK(Sector!C23),"",Sector!C23)</f>
        <v/>
      </c>
      <c r="M346">
        <f t="shared" si="93"/>
        <v>0</v>
      </c>
      <c r="N346">
        <f t="shared" si="94"/>
        <v>0</v>
      </c>
      <c r="O346" t="str">
        <f>IF(ISBLANK(Sector!M23),"",Sector!M23)</f>
        <v/>
      </c>
      <c r="P346">
        <f t="shared" si="95"/>
        <v>0</v>
      </c>
    </row>
    <row r="347" spans="1:16">
      <c r="A347" t="str">
        <f>IF(ISBLANK(Common!C$2),"",Common!C$2)</f>
        <v/>
      </c>
      <c r="B347" t="str">
        <f>IF(ISBLANK(Common!C$4),"",Common!C$4)</f>
        <v/>
      </c>
      <c r="C347" t="str">
        <f>IF(ISBLANK(Common!C$6),"",Common!C$6)</f>
        <v/>
      </c>
      <c r="D347" t="str">
        <f>IF(ISBLANK(Common!C$8),"",Common!C$8)</f>
        <v/>
      </c>
      <c r="E347" t="str">
        <f>IF(ISBLANK(Common!I$2),"",Common!I$2)</f>
        <v/>
      </c>
      <c r="F347" t="str">
        <f>IF(ISBLANK(Common!I$4),"",Common!I$4)</f>
        <v/>
      </c>
      <c r="G347" t="str">
        <f>IF(ISBLANK(Common!I$6),"",Common!I$6)</f>
        <v/>
      </c>
      <c r="H347" t="str">
        <f>IF(ISBLANK(Common!I$8),"",Common!I$8)</f>
        <v/>
      </c>
      <c r="I347" t="str">
        <f>IF(ISBLANK(Common!K$8),"",Common!K$8)</f>
        <v/>
      </c>
      <c r="J347" s="27" t="s">
        <v>80</v>
      </c>
      <c r="K347">
        <f>Sector!A$23</f>
        <v>0</v>
      </c>
      <c r="L347" s="136" t="str">
        <f>IF(ISBLANK(Sector!C24),"",Sector!C24)</f>
        <v/>
      </c>
      <c r="M347">
        <f t="shared" si="93"/>
        <v>0</v>
      </c>
      <c r="N347">
        <f t="shared" si="94"/>
        <v>0</v>
      </c>
      <c r="O347" t="str">
        <f>IF(ISBLANK(Sector!M24),"",Sector!M24)</f>
        <v/>
      </c>
      <c r="P347">
        <f t="shared" si="95"/>
        <v>0</v>
      </c>
    </row>
    <row r="348" spans="1:16">
      <c r="A348" t="str">
        <f>IF(ISBLANK(Common!C$2),"",Common!C$2)</f>
        <v/>
      </c>
      <c r="B348" t="str">
        <f>IF(ISBLANK(Common!C$4),"",Common!C$4)</f>
        <v/>
      </c>
      <c r="C348" t="str">
        <f>IF(ISBLANK(Common!C$6),"",Common!C$6)</f>
        <v/>
      </c>
      <c r="D348" t="str">
        <f>IF(ISBLANK(Common!C$8),"",Common!C$8)</f>
        <v/>
      </c>
      <c r="E348" t="str">
        <f>IF(ISBLANK(Common!I$2),"",Common!I$2)</f>
        <v/>
      </c>
      <c r="F348" t="str">
        <f>IF(ISBLANK(Common!I$4),"",Common!I$4)</f>
        <v/>
      </c>
      <c r="G348" t="str">
        <f>IF(ISBLANK(Common!I$6),"",Common!I$6)</f>
        <v/>
      </c>
      <c r="H348" t="str">
        <f>IF(ISBLANK(Common!I$8),"",Common!I$8)</f>
        <v/>
      </c>
      <c r="I348" t="str">
        <f>IF(ISBLANK(Common!K$8),"",Common!K$8)</f>
        <v/>
      </c>
      <c r="J348" s="27" t="s">
        <v>80</v>
      </c>
      <c r="K348">
        <f>Sector!A$23</f>
        <v>0</v>
      </c>
      <c r="L348" s="136" t="str">
        <f>IF(ISBLANK(Sector!C25),"",Sector!C25)</f>
        <v/>
      </c>
      <c r="M348">
        <f t="shared" si="93"/>
        <v>0</v>
      </c>
      <c r="N348">
        <f t="shared" si="94"/>
        <v>0</v>
      </c>
      <c r="O348" t="str">
        <f>IF(ISBLANK(Sector!M25),"",Sector!M25)</f>
        <v/>
      </c>
      <c r="P348">
        <f t="shared" si="95"/>
        <v>0</v>
      </c>
    </row>
    <row r="349" spans="1:16">
      <c r="A349" t="str">
        <f>IF(ISBLANK(Common!C$2),"",Common!C$2)</f>
        <v/>
      </c>
      <c r="B349" t="str">
        <f>IF(ISBLANK(Common!C$4),"",Common!C$4)</f>
        <v/>
      </c>
      <c r="C349" t="str">
        <f>IF(ISBLANK(Common!C$6),"",Common!C$6)</f>
        <v/>
      </c>
      <c r="D349" t="str">
        <f>IF(ISBLANK(Common!C$8),"",Common!C$8)</f>
        <v/>
      </c>
      <c r="E349" t="str">
        <f>IF(ISBLANK(Common!I$2),"",Common!I$2)</f>
        <v/>
      </c>
      <c r="F349" t="str">
        <f>IF(ISBLANK(Common!I$4),"",Common!I$4)</f>
        <v/>
      </c>
      <c r="G349" t="str">
        <f>IF(ISBLANK(Common!I$6),"",Common!I$6)</f>
        <v/>
      </c>
      <c r="H349" t="str">
        <f>IF(ISBLANK(Common!I$8),"",Common!I$8)</f>
        <v/>
      </c>
      <c r="I349" t="str">
        <f>IF(ISBLANK(Common!K$8),"",Common!K$8)</f>
        <v/>
      </c>
      <c r="J349" s="27" t="s">
        <v>80</v>
      </c>
      <c r="K349">
        <f>Sector!A$23</f>
        <v>0</v>
      </c>
      <c r="L349" s="136" t="str">
        <f>IF(ISBLANK(Sector!C26),"",Sector!C26)</f>
        <v/>
      </c>
      <c r="M349">
        <f t="shared" si="93"/>
        <v>0</v>
      </c>
      <c r="N349">
        <f t="shared" si="94"/>
        <v>0</v>
      </c>
      <c r="O349" t="str">
        <f>IF(ISBLANK(Sector!M26),"",Sector!M26)</f>
        <v/>
      </c>
      <c r="P349">
        <f t="shared" si="95"/>
        <v>0</v>
      </c>
    </row>
    <row r="350" spans="1:16">
      <c r="A350" t="str">
        <f>IF(ISBLANK(Common!C$2),"",Common!C$2)</f>
        <v/>
      </c>
      <c r="B350" t="str">
        <f>IF(ISBLANK(Common!C$4),"",Common!C$4)</f>
        <v/>
      </c>
      <c r="C350" t="str">
        <f>IF(ISBLANK(Common!C$6),"",Common!C$6)</f>
        <v/>
      </c>
      <c r="D350" t="str">
        <f>IF(ISBLANK(Common!C$8),"",Common!C$8)</f>
        <v/>
      </c>
      <c r="E350" t="str">
        <f>IF(ISBLANK(Common!I$2),"",Common!I$2)</f>
        <v/>
      </c>
      <c r="F350" t="str">
        <f>IF(ISBLANK(Common!I$4),"",Common!I$4)</f>
        <v/>
      </c>
      <c r="G350" t="str">
        <f>IF(ISBLANK(Common!I$6),"",Common!I$6)</f>
        <v/>
      </c>
      <c r="H350" t="str">
        <f>IF(ISBLANK(Common!I$8),"",Common!I$8)</f>
        <v/>
      </c>
      <c r="I350" t="str">
        <f>IF(ISBLANK(Common!K$8),"",Common!K$8)</f>
        <v/>
      </c>
      <c r="J350" s="27" t="s">
        <v>80</v>
      </c>
      <c r="K350">
        <f>Sector!A$27</f>
        <v>0</v>
      </c>
      <c r="L350" s="136" t="str">
        <f>IF(ISBLANK(Sector!C27),"",Sector!C27)</f>
        <v/>
      </c>
      <c r="M350">
        <f t="shared" si="93"/>
        <v>0</v>
      </c>
      <c r="N350">
        <f t="shared" si="94"/>
        <v>0</v>
      </c>
      <c r="O350" t="str">
        <f>IF(ISBLANK(Sector!M27),"",Sector!M27)</f>
        <v/>
      </c>
      <c r="P350">
        <f t="shared" si="95"/>
        <v>0</v>
      </c>
    </row>
    <row r="351" spans="1:16">
      <c r="A351" t="str">
        <f>IF(ISBLANK(Common!C$2),"",Common!C$2)</f>
        <v/>
      </c>
      <c r="B351" t="str">
        <f>IF(ISBLANK(Common!C$4),"",Common!C$4)</f>
        <v/>
      </c>
      <c r="C351" t="str">
        <f>IF(ISBLANK(Common!C$6),"",Common!C$6)</f>
        <v/>
      </c>
      <c r="D351" t="str">
        <f>IF(ISBLANK(Common!C$8),"",Common!C$8)</f>
        <v/>
      </c>
      <c r="E351" t="str">
        <f>IF(ISBLANK(Common!I$2),"",Common!I$2)</f>
        <v/>
      </c>
      <c r="F351" t="str">
        <f>IF(ISBLANK(Common!I$4),"",Common!I$4)</f>
        <v/>
      </c>
      <c r="G351" t="str">
        <f>IF(ISBLANK(Common!I$6),"",Common!I$6)</f>
        <v/>
      </c>
      <c r="H351" t="str">
        <f>IF(ISBLANK(Common!I$8),"",Common!I$8)</f>
        <v/>
      </c>
      <c r="I351" t="str">
        <f>IF(ISBLANK(Common!K$8),"",Common!K$8)</f>
        <v/>
      </c>
      <c r="J351" s="27" t="s">
        <v>80</v>
      </c>
      <c r="K351">
        <f>Sector!A$27</f>
        <v>0</v>
      </c>
      <c r="L351" s="136" t="str">
        <f>IF(ISBLANK(Sector!C28),"",Sector!C28)</f>
        <v/>
      </c>
      <c r="M351">
        <f t="shared" si="93"/>
        <v>0</v>
      </c>
      <c r="N351">
        <f t="shared" si="94"/>
        <v>0</v>
      </c>
      <c r="O351" t="str">
        <f>IF(ISBLANK(Sector!M28),"",Sector!M28)</f>
        <v/>
      </c>
      <c r="P351">
        <f t="shared" si="95"/>
        <v>0</v>
      </c>
    </row>
    <row r="352" spans="1:16">
      <c r="A352" t="str">
        <f>IF(ISBLANK(Common!C$2),"",Common!C$2)</f>
        <v/>
      </c>
      <c r="B352" t="str">
        <f>IF(ISBLANK(Common!C$4),"",Common!C$4)</f>
        <v/>
      </c>
      <c r="C352" t="str">
        <f>IF(ISBLANK(Common!C$6),"",Common!C$6)</f>
        <v/>
      </c>
      <c r="D352" t="str">
        <f>IF(ISBLANK(Common!C$8),"",Common!C$8)</f>
        <v/>
      </c>
      <c r="E352" t="str">
        <f>IF(ISBLANK(Common!I$2),"",Common!I$2)</f>
        <v/>
      </c>
      <c r="F352" t="str">
        <f>IF(ISBLANK(Common!I$4),"",Common!I$4)</f>
        <v/>
      </c>
      <c r="G352" t="str">
        <f>IF(ISBLANK(Common!I$6),"",Common!I$6)</f>
        <v/>
      </c>
      <c r="H352" t="str">
        <f>IF(ISBLANK(Common!I$8),"",Common!I$8)</f>
        <v/>
      </c>
      <c r="I352" t="str">
        <f>IF(ISBLANK(Common!K$8),"",Common!K$8)</f>
        <v/>
      </c>
      <c r="J352" s="27" t="s">
        <v>80</v>
      </c>
      <c r="K352">
        <f>Sector!A$27</f>
        <v>0</v>
      </c>
      <c r="L352" s="136" t="str">
        <f>IF(ISBLANK(Sector!C29),"",Sector!C29)</f>
        <v/>
      </c>
      <c r="M352">
        <f t="shared" si="93"/>
        <v>0</v>
      </c>
      <c r="N352">
        <f t="shared" si="94"/>
        <v>0</v>
      </c>
      <c r="O352" t="str">
        <f>IF(ISBLANK(Sector!M29),"",Sector!M29)</f>
        <v/>
      </c>
      <c r="P352">
        <f t="shared" si="95"/>
        <v>0</v>
      </c>
    </row>
    <row r="353" spans="1:16">
      <c r="A353" t="str">
        <f>IF(ISBLANK(Common!C$2),"",Common!C$2)</f>
        <v/>
      </c>
      <c r="B353" t="str">
        <f>IF(ISBLANK(Common!C$4),"",Common!C$4)</f>
        <v/>
      </c>
      <c r="C353" t="str">
        <f>IF(ISBLANK(Common!C$6),"",Common!C$6)</f>
        <v/>
      </c>
      <c r="D353" t="str">
        <f>IF(ISBLANK(Common!C$8),"",Common!C$8)</f>
        <v/>
      </c>
      <c r="E353" t="str">
        <f>IF(ISBLANK(Common!I$2),"",Common!I$2)</f>
        <v/>
      </c>
      <c r="F353" t="str">
        <f>IF(ISBLANK(Common!I$4),"",Common!I$4)</f>
        <v/>
      </c>
      <c r="G353" t="str">
        <f>IF(ISBLANK(Common!I$6),"",Common!I$6)</f>
        <v/>
      </c>
      <c r="H353" t="str">
        <f>IF(ISBLANK(Common!I$8),"",Common!I$8)</f>
        <v/>
      </c>
      <c r="I353" t="str">
        <f>IF(ISBLANK(Common!K$8),"",Common!K$8)</f>
        <v/>
      </c>
      <c r="J353" s="27" t="s">
        <v>80</v>
      </c>
      <c r="K353">
        <f>Sector!A$27</f>
        <v>0</v>
      </c>
      <c r="L353" s="136" t="str">
        <f>IF(ISBLANK(Sector!C30),"",Sector!C30)</f>
        <v/>
      </c>
      <c r="M353">
        <f t="shared" si="93"/>
        <v>0</v>
      </c>
      <c r="N353">
        <f t="shared" si="94"/>
        <v>0</v>
      </c>
      <c r="O353" t="str">
        <f>IF(ISBLANK(Sector!M30),"",Sector!M30)</f>
        <v/>
      </c>
      <c r="P353">
        <f t="shared" si="95"/>
        <v>0</v>
      </c>
    </row>
    <row r="354" spans="1:16">
      <c r="A354" t="str">
        <f>IF(ISBLANK(Common!C$2),"",Common!C$2)</f>
        <v/>
      </c>
      <c r="B354" t="str">
        <f>IF(ISBLANK(Common!C$4),"",Common!C$4)</f>
        <v/>
      </c>
      <c r="C354" t="str">
        <f>IF(ISBLANK(Common!C$6),"",Common!C$6)</f>
        <v/>
      </c>
      <c r="D354" t="str">
        <f>IF(ISBLANK(Common!C$8),"",Common!C$8)</f>
        <v/>
      </c>
      <c r="E354" t="str">
        <f>IF(ISBLANK(Common!I$2),"",Common!I$2)</f>
        <v/>
      </c>
      <c r="F354" t="str">
        <f>IF(ISBLANK(Common!I$4),"",Common!I$4)</f>
        <v/>
      </c>
      <c r="G354" t="str">
        <f>IF(ISBLANK(Common!I$6),"",Common!I$6)</f>
        <v/>
      </c>
      <c r="H354" t="str">
        <f>IF(ISBLANK(Common!I$8),"",Common!I$8)</f>
        <v/>
      </c>
      <c r="I354" t="str">
        <f>IF(ISBLANK(Common!K$8),"",Common!K$8)</f>
        <v/>
      </c>
      <c r="J354" s="27" t="s">
        <v>80</v>
      </c>
      <c r="K354">
        <f>Sector!A$15</f>
        <v>0</v>
      </c>
      <c r="L354" s="136" t="str">
        <f>IF(ISBLANK(Sector!C15),"",Sector!C15)</f>
        <v/>
      </c>
      <c r="M354">
        <f>Sector!N12</f>
        <v>0</v>
      </c>
      <c r="N354">
        <f>Sector!N13</f>
        <v>0</v>
      </c>
      <c r="O354" t="str">
        <f>IF(ISBLANK(Sector!N15),"",Sector!N15)</f>
        <v/>
      </c>
      <c r="P354">
        <f>Sector!N31</f>
        <v>0</v>
      </c>
    </row>
    <row r="355" spans="1:16">
      <c r="A355" t="str">
        <f>IF(ISBLANK(Common!C$2),"",Common!C$2)</f>
        <v/>
      </c>
      <c r="B355" t="str">
        <f>IF(ISBLANK(Common!C$4),"",Common!C$4)</f>
        <v/>
      </c>
      <c r="C355" t="str">
        <f>IF(ISBLANK(Common!C$6),"",Common!C$6)</f>
        <v/>
      </c>
      <c r="D355" t="str">
        <f>IF(ISBLANK(Common!C$8),"",Common!C$8)</f>
        <v/>
      </c>
      <c r="E355" t="str">
        <f>IF(ISBLANK(Common!I$2),"",Common!I$2)</f>
        <v/>
      </c>
      <c r="F355" t="str">
        <f>IF(ISBLANK(Common!I$4),"",Common!I$4)</f>
        <v/>
      </c>
      <c r="G355" t="str">
        <f>IF(ISBLANK(Common!I$6),"",Common!I$6)</f>
        <v/>
      </c>
      <c r="H355" t="str">
        <f>IF(ISBLANK(Common!I$8),"",Common!I$8)</f>
        <v/>
      </c>
      <c r="I355" t="str">
        <f>IF(ISBLANK(Common!K$8),"",Common!K$8)</f>
        <v/>
      </c>
      <c r="J355" s="27" t="s">
        <v>80</v>
      </c>
      <c r="K355">
        <f>Sector!A$15</f>
        <v>0</v>
      </c>
      <c r="L355" s="136" t="str">
        <f>IF(ISBLANK(Sector!C16),"",Sector!C16)</f>
        <v/>
      </c>
      <c r="M355">
        <f t="shared" ref="M355:M369" si="96">M354</f>
        <v>0</v>
      </c>
      <c r="N355">
        <f t="shared" ref="N355:N369" si="97">N354</f>
        <v>0</v>
      </c>
      <c r="O355" t="str">
        <f>IF(ISBLANK(Sector!N16),"",Sector!N16)</f>
        <v/>
      </c>
      <c r="P355">
        <f t="shared" ref="P355:P369" si="98">P354</f>
        <v>0</v>
      </c>
    </row>
    <row r="356" spans="1:16">
      <c r="A356" t="str">
        <f>IF(ISBLANK(Common!C$2),"",Common!C$2)</f>
        <v/>
      </c>
      <c r="B356" t="str">
        <f>IF(ISBLANK(Common!C$4),"",Common!C$4)</f>
        <v/>
      </c>
      <c r="C356" t="str">
        <f>IF(ISBLANK(Common!C$6),"",Common!C$6)</f>
        <v/>
      </c>
      <c r="D356" t="str">
        <f>IF(ISBLANK(Common!C$8),"",Common!C$8)</f>
        <v/>
      </c>
      <c r="E356" t="str">
        <f>IF(ISBLANK(Common!I$2),"",Common!I$2)</f>
        <v/>
      </c>
      <c r="F356" t="str">
        <f>IF(ISBLANK(Common!I$4),"",Common!I$4)</f>
        <v/>
      </c>
      <c r="G356" t="str">
        <f>IF(ISBLANK(Common!I$6),"",Common!I$6)</f>
        <v/>
      </c>
      <c r="H356" t="str">
        <f>IF(ISBLANK(Common!I$8),"",Common!I$8)</f>
        <v/>
      </c>
      <c r="I356" t="str">
        <f>IF(ISBLANK(Common!K$8),"",Common!K$8)</f>
        <v/>
      </c>
      <c r="J356" s="27" t="s">
        <v>80</v>
      </c>
      <c r="K356">
        <f>Sector!A$15</f>
        <v>0</v>
      </c>
      <c r="L356" s="136" t="str">
        <f>IF(ISBLANK(Sector!C17),"",Sector!C17)</f>
        <v/>
      </c>
      <c r="M356">
        <f t="shared" si="96"/>
        <v>0</v>
      </c>
      <c r="N356">
        <f t="shared" si="97"/>
        <v>0</v>
      </c>
      <c r="O356" t="str">
        <f>IF(ISBLANK(Sector!N17),"",Sector!N17)</f>
        <v/>
      </c>
      <c r="P356">
        <f t="shared" si="98"/>
        <v>0</v>
      </c>
    </row>
    <row r="357" spans="1:16">
      <c r="A357" t="str">
        <f>IF(ISBLANK(Common!C$2),"",Common!C$2)</f>
        <v/>
      </c>
      <c r="B357" t="str">
        <f>IF(ISBLANK(Common!C$4),"",Common!C$4)</f>
        <v/>
      </c>
      <c r="C357" t="str">
        <f>IF(ISBLANK(Common!C$6),"",Common!C$6)</f>
        <v/>
      </c>
      <c r="D357" t="str">
        <f>IF(ISBLANK(Common!C$8),"",Common!C$8)</f>
        <v/>
      </c>
      <c r="E357" t="str">
        <f>IF(ISBLANK(Common!I$2),"",Common!I$2)</f>
        <v/>
      </c>
      <c r="F357" t="str">
        <f>IF(ISBLANK(Common!I$4),"",Common!I$4)</f>
        <v/>
      </c>
      <c r="G357" t="str">
        <f>IF(ISBLANK(Common!I$6),"",Common!I$6)</f>
        <v/>
      </c>
      <c r="H357" t="str">
        <f>IF(ISBLANK(Common!I$8),"",Common!I$8)</f>
        <v/>
      </c>
      <c r="I357" t="str">
        <f>IF(ISBLANK(Common!K$8),"",Common!K$8)</f>
        <v/>
      </c>
      <c r="J357" s="27" t="s">
        <v>80</v>
      </c>
      <c r="K357">
        <f>Sector!A$15</f>
        <v>0</v>
      </c>
      <c r="L357" s="136" t="str">
        <f>IF(ISBLANK(Sector!C18),"",Sector!C18)</f>
        <v/>
      </c>
      <c r="M357">
        <f t="shared" si="96"/>
        <v>0</v>
      </c>
      <c r="N357">
        <f t="shared" si="97"/>
        <v>0</v>
      </c>
      <c r="O357" t="str">
        <f>IF(ISBLANK(Sector!N18),"",Sector!N18)</f>
        <v/>
      </c>
      <c r="P357">
        <f t="shared" si="98"/>
        <v>0</v>
      </c>
    </row>
    <row r="358" spans="1:16">
      <c r="A358" t="str">
        <f>IF(ISBLANK(Common!C$2),"",Common!C$2)</f>
        <v/>
      </c>
      <c r="B358" t="str">
        <f>IF(ISBLANK(Common!C$4),"",Common!C$4)</f>
        <v/>
      </c>
      <c r="C358" t="str">
        <f>IF(ISBLANK(Common!C$6),"",Common!C$6)</f>
        <v/>
      </c>
      <c r="D358" t="str">
        <f>IF(ISBLANK(Common!C$8),"",Common!C$8)</f>
        <v/>
      </c>
      <c r="E358" t="str">
        <f>IF(ISBLANK(Common!I$2),"",Common!I$2)</f>
        <v/>
      </c>
      <c r="F358" t="str">
        <f>IF(ISBLANK(Common!I$4),"",Common!I$4)</f>
        <v/>
      </c>
      <c r="G358" t="str">
        <f>IF(ISBLANK(Common!I$6),"",Common!I$6)</f>
        <v/>
      </c>
      <c r="H358" t="str">
        <f>IF(ISBLANK(Common!I$8),"",Common!I$8)</f>
        <v/>
      </c>
      <c r="I358" t="str">
        <f>IF(ISBLANK(Common!K$8),"",Common!K$8)</f>
        <v/>
      </c>
      <c r="J358" s="27" t="s">
        <v>80</v>
      </c>
      <c r="K358">
        <f>Sector!A$19</f>
        <v>0</v>
      </c>
      <c r="L358" s="136" t="str">
        <f>IF(ISBLANK(Sector!C19),"",Sector!C19)</f>
        <v/>
      </c>
      <c r="M358">
        <f t="shared" si="96"/>
        <v>0</v>
      </c>
      <c r="N358">
        <f t="shared" si="97"/>
        <v>0</v>
      </c>
      <c r="O358" t="str">
        <f>IF(ISBLANK(Sector!N19),"",Sector!N19)</f>
        <v/>
      </c>
      <c r="P358">
        <f t="shared" si="98"/>
        <v>0</v>
      </c>
    </row>
    <row r="359" spans="1:16">
      <c r="A359" t="str">
        <f>IF(ISBLANK(Common!C$2),"",Common!C$2)</f>
        <v/>
      </c>
      <c r="B359" t="str">
        <f>IF(ISBLANK(Common!C$4),"",Common!C$4)</f>
        <v/>
      </c>
      <c r="C359" t="str">
        <f>IF(ISBLANK(Common!C$6),"",Common!C$6)</f>
        <v/>
      </c>
      <c r="D359" t="str">
        <f>IF(ISBLANK(Common!C$8),"",Common!C$8)</f>
        <v/>
      </c>
      <c r="E359" t="str">
        <f>IF(ISBLANK(Common!I$2),"",Common!I$2)</f>
        <v/>
      </c>
      <c r="F359" t="str">
        <f>IF(ISBLANK(Common!I$4),"",Common!I$4)</f>
        <v/>
      </c>
      <c r="G359" t="str">
        <f>IF(ISBLANK(Common!I$6),"",Common!I$6)</f>
        <v/>
      </c>
      <c r="H359" t="str">
        <f>IF(ISBLANK(Common!I$8),"",Common!I$8)</f>
        <v/>
      </c>
      <c r="I359" t="str">
        <f>IF(ISBLANK(Common!K$8),"",Common!K$8)</f>
        <v/>
      </c>
      <c r="J359" s="27" t="s">
        <v>80</v>
      </c>
      <c r="K359">
        <f>Sector!A$19</f>
        <v>0</v>
      </c>
      <c r="L359" s="136" t="str">
        <f>IF(ISBLANK(Sector!C20),"",Sector!C20)</f>
        <v/>
      </c>
      <c r="M359">
        <f t="shared" si="96"/>
        <v>0</v>
      </c>
      <c r="N359">
        <f t="shared" si="97"/>
        <v>0</v>
      </c>
      <c r="O359" t="str">
        <f>IF(ISBLANK(Sector!N20),"",Sector!N20)</f>
        <v/>
      </c>
      <c r="P359">
        <f t="shared" si="98"/>
        <v>0</v>
      </c>
    </row>
    <row r="360" spans="1:16">
      <c r="A360" t="str">
        <f>IF(ISBLANK(Common!C$2),"",Common!C$2)</f>
        <v/>
      </c>
      <c r="B360" t="str">
        <f>IF(ISBLANK(Common!C$4),"",Common!C$4)</f>
        <v/>
      </c>
      <c r="C360" t="str">
        <f>IF(ISBLANK(Common!C$6),"",Common!C$6)</f>
        <v/>
      </c>
      <c r="D360" t="str">
        <f>IF(ISBLANK(Common!C$8),"",Common!C$8)</f>
        <v/>
      </c>
      <c r="E360" t="str">
        <f>IF(ISBLANK(Common!I$2),"",Common!I$2)</f>
        <v/>
      </c>
      <c r="F360" t="str">
        <f>IF(ISBLANK(Common!I$4),"",Common!I$4)</f>
        <v/>
      </c>
      <c r="G360" t="str">
        <f>IF(ISBLANK(Common!I$6),"",Common!I$6)</f>
        <v/>
      </c>
      <c r="H360" t="str">
        <f>IF(ISBLANK(Common!I$8),"",Common!I$8)</f>
        <v/>
      </c>
      <c r="I360" t="str">
        <f>IF(ISBLANK(Common!K$8),"",Common!K$8)</f>
        <v/>
      </c>
      <c r="J360" s="27" t="s">
        <v>80</v>
      </c>
      <c r="K360">
        <f>Sector!A$19</f>
        <v>0</v>
      </c>
      <c r="L360" s="136" t="str">
        <f>IF(ISBLANK(Sector!C21),"",Sector!C21)</f>
        <v/>
      </c>
      <c r="M360">
        <f t="shared" si="96"/>
        <v>0</v>
      </c>
      <c r="N360">
        <f t="shared" si="97"/>
        <v>0</v>
      </c>
      <c r="O360" t="str">
        <f>IF(ISBLANK(Sector!N21),"",Sector!N21)</f>
        <v/>
      </c>
      <c r="P360">
        <f t="shared" si="98"/>
        <v>0</v>
      </c>
    </row>
    <row r="361" spans="1:16">
      <c r="A361" t="str">
        <f>IF(ISBLANK(Common!C$2),"",Common!C$2)</f>
        <v/>
      </c>
      <c r="B361" t="str">
        <f>IF(ISBLANK(Common!C$4),"",Common!C$4)</f>
        <v/>
      </c>
      <c r="C361" t="str">
        <f>IF(ISBLANK(Common!C$6),"",Common!C$6)</f>
        <v/>
      </c>
      <c r="D361" t="str">
        <f>IF(ISBLANK(Common!C$8),"",Common!C$8)</f>
        <v/>
      </c>
      <c r="E361" t="str">
        <f>IF(ISBLANK(Common!I$2),"",Common!I$2)</f>
        <v/>
      </c>
      <c r="F361" t="str">
        <f>IF(ISBLANK(Common!I$4),"",Common!I$4)</f>
        <v/>
      </c>
      <c r="G361" t="str">
        <f>IF(ISBLANK(Common!I$6),"",Common!I$6)</f>
        <v/>
      </c>
      <c r="H361" t="str">
        <f>IF(ISBLANK(Common!I$8),"",Common!I$8)</f>
        <v/>
      </c>
      <c r="I361" t="str">
        <f>IF(ISBLANK(Common!K$8),"",Common!K$8)</f>
        <v/>
      </c>
      <c r="J361" s="27" t="s">
        <v>80</v>
      </c>
      <c r="K361">
        <f>Sector!A$19</f>
        <v>0</v>
      </c>
      <c r="L361" s="136" t="str">
        <f>IF(ISBLANK(Sector!C22),"",Sector!C22)</f>
        <v/>
      </c>
      <c r="M361">
        <f t="shared" si="96"/>
        <v>0</v>
      </c>
      <c r="N361">
        <f t="shared" si="97"/>
        <v>0</v>
      </c>
      <c r="O361" t="str">
        <f>IF(ISBLANK(Sector!N22),"",Sector!N22)</f>
        <v/>
      </c>
      <c r="P361">
        <f t="shared" si="98"/>
        <v>0</v>
      </c>
    </row>
    <row r="362" spans="1:16">
      <c r="A362" t="str">
        <f>IF(ISBLANK(Common!C$2),"",Common!C$2)</f>
        <v/>
      </c>
      <c r="B362" t="str">
        <f>IF(ISBLANK(Common!C$4),"",Common!C$4)</f>
        <v/>
      </c>
      <c r="C362" t="str">
        <f>IF(ISBLANK(Common!C$6),"",Common!C$6)</f>
        <v/>
      </c>
      <c r="D362" t="str">
        <f>IF(ISBLANK(Common!C$8),"",Common!C$8)</f>
        <v/>
      </c>
      <c r="E362" t="str">
        <f>IF(ISBLANK(Common!I$2),"",Common!I$2)</f>
        <v/>
      </c>
      <c r="F362" t="str">
        <f>IF(ISBLANK(Common!I$4),"",Common!I$4)</f>
        <v/>
      </c>
      <c r="G362" t="str">
        <f>IF(ISBLANK(Common!I$6),"",Common!I$6)</f>
        <v/>
      </c>
      <c r="H362" t="str">
        <f>IF(ISBLANK(Common!I$8),"",Common!I$8)</f>
        <v/>
      </c>
      <c r="I362" t="str">
        <f>IF(ISBLANK(Common!K$8),"",Common!K$8)</f>
        <v/>
      </c>
      <c r="J362" s="27" t="s">
        <v>80</v>
      </c>
      <c r="K362">
        <f>Sector!A$23</f>
        <v>0</v>
      </c>
      <c r="L362" s="136" t="str">
        <f>IF(ISBLANK(Sector!C23),"",Sector!C23)</f>
        <v/>
      </c>
      <c r="M362">
        <f t="shared" si="96"/>
        <v>0</v>
      </c>
      <c r="N362">
        <f t="shared" si="97"/>
        <v>0</v>
      </c>
      <c r="O362" t="str">
        <f>IF(ISBLANK(Sector!N23),"",Sector!N23)</f>
        <v/>
      </c>
      <c r="P362">
        <f t="shared" si="98"/>
        <v>0</v>
      </c>
    </row>
    <row r="363" spans="1:16">
      <c r="A363" t="str">
        <f>IF(ISBLANK(Common!C$2),"",Common!C$2)</f>
        <v/>
      </c>
      <c r="B363" t="str">
        <f>IF(ISBLANK(Common!C$4),"",Common!C$4)</f>
        <v/>
      </c>
      <c r="C363" t="str">
        <f>IF(ISBLANK(Common!C$6),"",Common!C$6)</f>
        <v/>
      </c>
      <c r="D363" t="str">
        <f>IF(ISBLANK(Common!C$8),"",Common!C$8)</f>
        <v/>
      </c>
      <c r="E363" t="str">
        <f>IF(ISBLANK(Common!I$2),"",Common!I$2)</f>
        <v/>
      </c>
      <c r="F363" t="str">
        <f>IF(ISBLANK(Common!I$4),"",Common!I$4)</f>
        <v/>
      </c>
      <c r="G363" t="str">
        <f>IF(ISBLANK(Common!I$6),"",Common!I$6)</f>
        <v/>
      </c>
      <c r="H363" t="str">
        <f>IF(ISBLANK(Common!I$8),"",Common!I$8)</f>
        <v/>
      </c>
      <c r="I363" t="str">
        <f>IF(ISBLANK(Common!K$8),"",Common!K$8)</f>
        <v/>
      </c>
      <c r="J363" s="27" t="s">
        <v>80</v>
      </c>
      <c r="K363">
        <f>Sector!A$23</f>
        <v>0</v>
      </c>
      <c r="L363" s="136" t="str">
        <f>IF(ISBLANK(Sector!C24),"",Sector!C24)</f>
        <v/>
      </c>
      <c r="M363">
        <f t="shared" si="96"/>
        <v>0</v>
      </c>
      <c r="N363">
        <f t="shared" si="97"/>
        <v>0</v>
      </c>
      <c r="O363" t="str">
        <f>IF(ISBLANK(Sector!N24),"",Sector!N24)</f>
        <v/>
      </c>
      <c r="P363">
        <f t="shared" si="98"/>
        <v>0</v>
      </c>
    </row>
    <row r="364" spans="1:16">
      <c r="A364" t="str">
        <f>IF(ISBLANK(Common!C$2),"",Common!C$2)</f>
        <v/>
      </c>
      <c r="B364" t="str">
        <f>IF(ISBLANK(Common!C$4),"",Common!C$4)</f>
        <v/>
      </c>
      <c r="C364" t="str">
        <f>IF(ISBLANK(Common!C$6),"",Common!C$6)</f>
        <v/>
      </c>
      <c r="D364" t="str">
        <f>IF(ISBLANK(Common!C$8),"",Common!C$8)</f>
        <v/>
      </c>
      <c r="E364" t="str">
        <f>IF(ISBLANK(Common!I$2),"",Common!I$2)</f>
        <v/>
      </c>
      <c r="F364" t="str">
        <f>IF(ISBLANK(Common!I$4),"",Common!I$4)</f>
        <v/>
      </c>
      <c r="G364" t="str">
        <f>IF(ISBLANK(Common!I$6),"",Common!I$6)</f>
        <v/>
      </c>
      <c r="H364" t="str">
        <f>IF(ISBLANK(Common!I$8),"",Common!I$8)</f>
        <v/>
      </c>
      <c r="I364" t="str">
        <f>IF(ISBLANK(Common!K$8),"",Common!K$8)</f>
        <v/>
      </c>
      <c r="J364" s="27" t="s">
        <v>80</v>
      </c>
      <c r="K364">
        <f>Sector!A$23</f>
        <v>0</v>
      </c>
      <c r="L364" s="136" t="str">
        <f>IF(ISBLANK(Sector!C25),"",Sector!C25)</f>
        <v/>
      </c>
      <c r="M364">
        <f t="shared" si="96"/>
        <v>0</v>
      </c>
      <c r="N364">
        <f t="shared" si="97"/>
        <v>0</v>
      </c>
      <c r="O364" t="str">
        <f>IF(ISBLANK(Sector!N25),"",Sector!N25)</f>
        <v/>
      </c>
      <c r="P364">
        <f t="shared" si="98"/>
        <v>0</v>
      </c>
    </row>
    <row r="365" spans="1:16">
      <c r="A365" t="str">
        <f>IF(ISBLANK(Common!C$2),"",Common!C$2)</f>
        <v/>
      </c>
      <c r="B365" t="str">
        <f>IF(ISBLANK(Common!C$4),"",Common!C$4)</f>
        <v/>
      </c>
      <c r="C365" t="str">
        <f>IF(ISBLANK(Common!C$6),"",Common!C$6)</f>
        <v/>
      </c>
      <c r="D365" t="str">
        <f>IF(ISBLANK(Common!C$8),"",Common!C$8)</f>
        <v/>
      </c>
      <c r="E365" t="str">
        <f>IF(ISBLANK(Common!I$2),"",Common!I$2)</f>
        <v/>
      </c>
      <c r="F365" t="str">
        <f>IF(ISBLANK(Common!I$4),"",Common!I$4)</f>
        <v/>
      </c>
      <c r="G365" t="str">
        <f>IF(ISBLANK(Common!I$6),"",Common!I$6)</f>
        <v/>
      </c>
      <c r="H365" t="str">
        <f>IF(ISBLANK(Common!I$8),"",Common!I$8)</f>
        <v/>
      </c>
      <c r="I365" t="str">
        <f>IF(ISBLANK(Common!K$8),"",Common!K$8)</f>
        <v/>
      </c>
      <c r="J365" s="27" t="s">
        <v>80</v>
      </c>
      <c r="K365">
        <f>Sector!A$23</f>
        <v>0</v>
      </c>
      <c r="L365" s="136" t="str">
        <f>IF(ISBLANK(Sector!C26),"",Sector!C26)</f>
        <v/>
      </c>
      <c r="M365">
        <f t="shared" si="96"/>
        <v>0</v>
      </c>
      <c r="N365">
        <f t="shared" si="97"/>
        <v>0</v>
      </c>
      <c r="O365" t="str">
        <f>IF(ISBLANK(Sector!N26),"",Sector!N26)</f>
        <v/>
      </c>
      <c r="P365">
        <f t="shared" si="98"/>
        <v>0</v>
      </c>
    </row>
    <row r="366" spans="1:16">
      <c r="A366" t="str">
        <f>IF(ISBLANK(Common!C$2),"",Common!C$2)</f>
        <v/>
      </c>
      <c r="B366" t="str">
        <f>IF(ISBLANK(Common!C$4),"",Common!C$4)</f>
        <v/>
      </c>
      <c r="C366" t="str">
        <f>IF(ISBLANK(Common!C$6),"",Common!C$6)</f>
        <v/>
      </c>
      <c r="D366" t="str">
        <f>IF(ISBLANK(Common!C$8),"",Common!C$8)</f>
        <v/>
      </c>
      <c r="E366" t="str">
        <f>IF(ISBLANK(Common!I$2),"",Common!I$2)</f>
        <v/>
      </c>
      <c r="F366" t="str">
        <f>IF(ISBLANK(Common!I$4),"",Common!I$4)</f>
        <v/>
      </c>
      <c r="G366" t="str">
        <f>IF(ISBLANK(Common!I$6),"",Common!I$6)</f>
        <v/>
      </c>
      <c r="H366" t="str">
        <f>IF(ISBLANK(Common!I$8),"",Common!I$8)</f>
        <v/>
      </c>
      <c r="I366" t="str">
        <f>IF(ISBLANK(Common!K$8),"",Common!K$8)</f>
        <v/>
      </c>
      <c r="J366" s="27" t="s">
        <v>80</v>
      </c>
      <c r="K366">
        <f>Sector!A$27</f>
        <v>0</v>
      </c>
      <c r="L366" s="136" t="str">
        <f>IF(ISBLANK(Sector!C27),"",Sector!C27)</f>
        <v/>
      </c>
      <c r="M366">
        <f t="shared" si="96"/>
        <v>0</v>
      </c>
      <c r="N366">
        <f t="shared" si="97"/>
        <v>0</v>
      </c>
      <c r="O366" t="str">
        <f>IF(ISBLANK(Sector!N27),"",Sector!N27)</f>
        <v/>
      </c>
      <c r="P366">
        <f t="shared" si="98"/>
        <v>0</v>
      </c>
    </row>
    <row r="367" spans="1:16">
      <c r="A367" t="str">
        <f>IF(ISBLANK(Common!C$2),"",Common!C$2)</f>
        <v/>
      </c>
      <c r="B367" t="str">
        <f>IF(ISBLANK(Common!C$4),"",Common!C$4)</f>
        <v/>
      </c>
      <c r="C367" t="str">
        <f>IF(ISBLANK(Common!C$6),"",Common!C$6)</f>
        <v/>
      </c>
      <c r="D367" t="str">
        <f>IF(ISBLANK(Common!C$8),"",Common!C$8)</f>
        <v/>
      </c>
      <c r="E367" t="str">
        <f>IF(ISBLANK(Common!I$2),"",Common!I$2)</f>
        <v/>
      </c>
      <c r="F367" t="str">
        <f>IF(ISBLANK(Common!I$4),"",Common!I$4)</f>
        <v/>
      </c>
      <c r="G367" t="str">
        <f>IF(ISBLANK(Common!I$6),"",Common!I$6)</f>
        <v/>
      </c>
      <c r="H367" t="str">
        <f>IF(ISBLANK(Common!I$8),"",Common!I$8)</f>
        <v/>
      </c>
      <c r="I367" t="str">
        <f>IF(ISBLANK(Common!K$8),"",Common!K$8)</f>
        <v/>
      </c>
      <c r="J367" s="27" t="s">
        <v>80</v>
      </c>
      <c r="K367">
        <f>Sector!A$27</f>
        <v>0</v>
      </c>
      <c r="L367" s="136" t="str">
        <f>IF(ISBLANK(Sector!C28),"",Sector!C28)</f>
        <v/>
      </c>
      <c r="M367">
        <f t="shared" si="96"/>
        <v>0</v>
      </c>
      <c r="N367">
        <f t="shared" si="97"/>
        <v>0</v>
      </c>
      <c r="O367" t="str">
        <f>IF(ISBLANK(Sector!N28),"",Sector!N28)</f>
        <v/>
      </c>
      <c r="P367">
        <f t="shared" si="98"/>
        <v>0</v>
      </c>
    </row>
    <row r="368" spans="1:16">
      <c r="A368" t="str">
        <f>IF(ISBLANK(Common!C$2),"",Common!C$2)</f>
        <v/>
      </c>
      <c r="B368" t="str">
        <f>IF(ISBLANK(Common!C$4),"",Common!C$4)</f>
        <v/>
      </c>
      <c r="C368" t="str">
        <f>IF(ISBLANK(Common!C$6),"",Common!C$6)</f>
        <v/>
      </c>
      <c r="D368" t="str">
        <f>IF(ISBLANK(Common!C$8),"",Common!C$8)</f>
        <v/>
      </c>
      <c r="E368" t="str">
        <f>IF(ISBLANK(Common!I$2),"",Common!I$2)</f>
        <v/>
      </c>
      <c r="F368" t="str">
        <f>IF(ISBLANK(Common!I$4),"",Common!I$4)</f>
        <v/>
      </c>
      <c r="G368" t="str">
        <f>IF(ISBLANK(Common!I$6),"",Common!I$6)</f>
        <v/>
      </c>
      <c r="H368" t="str">
        <f>IF(ISBLANK(Common!I$8),"",Common!I$8)</f>
        <v/>
      </c>
      <c r="I368" t="str">
        <f>IF(ISBLANK(Common!K$8),"",Common!K$8)</f>
        <v/>
      </c>
      <c r="J368" s="27" t="s">
        <v>80</v>
      </c>
      <c r="K368">
        <f>Sector!A$27</f>
        <v>0</v>
      </c>
      <c r="L368" s="136" t="str">
        <f>IF(ISBLANK(Sector!C29),"",Sector!C29)</f>
        <v/>
      </c>
      <c r="M368">
        <f t="shared" si="96"/>
        <v>0</v>
      </c>
      <c r="N368">
        <f t="shared" si="97"/>
        <v>0</v>
      </c>
      <c r="O368" t="str">
        <f>IF(ISBLANK(Sector!N29),"",Sector!N29)</f>
        <v/>
      </c>
      <c r="P368">
        <f t="shared" si="98"/>
        <v>0</v>
      </c>
    </row>
    <row r="369" spans="1:16">
      <c r="A369" t="str">
        <f>IF(ISBLANK(Common!C$2),"",Common!C$2)</f>
        <v/>
      </c>
      <c r="B369" t="str">
        <f>IF(ISBLANK(Common!C$4),"",Common!C$4)</f>
        <v/>
      </c>
      <c r="C369" t="str">
        <f>IF(ISBLANK(Common!C$6),"",Common!C$6)</f>
        <v/>
      </c>
      <c r="D369" t="str">
        <f>IF(ISBLANK(Common!C$8),"",Common!C$8)</f>
        <v/>
      </c>
      <c r="E369" t="str">
        <f>IF(ISBLANK(Common!I$2),"",Common!I$2)</f>
        <v/>
      </c>
      <c r="F369" t="str">
        <f>IF(ISBLANK(Common!I$4),"",Common!I$4)</f>
        <v/>
      </c>
      <c r="G369" t="str">
        <f>IF(ISBLANK(Common!I$6),"",Common!I$6)</f>
        <v/>
      </c>
      <c r="H369" t="str">
        <f>IF(ISBLANK(Common!I$8),"",Common!I$8)</f>
        <v/>
      </c>
      <c r="I369" t="str">
        <f>IF(ISBLANK(Common!K$8),"",Common!K$8)</f>
        <v/>
      </c>
      <c r="J369" s="27" t="s">
        <v>80</v>
      </c>
      <c r="K369">
        <f>Sector!A$27</f>
        <v>0</v>
      </c>
      <c r="L369" s="136" t="str">
        <f>IF(ISBLANK(Sector!C30),"",Sector!C30)</f>
        <v/>
      </c>
      <c r="M369">
        <f t="shared" si="96"/>
        <v>0</v>
      </c>
      <c r="N369">
        <f t="shared" si="97"/>
        <v>0</v>
      </c>
      <c r="O369" t="str">
        <f>IF(ISBLANK(Sector!N30),"",Sector!N30)</f>
        <v/>
      </c>
      <c r="P369">
        <f t="shared" si="98"/>
        <v>0</v>
      </c>
    </row>
    <row r="370" spans="1:16">
      <c r="A370" t="str">
        <f>IF(ISBLANK(Common!C$2),"",Common!C$2)</f>
        <v/>
      </c>
      <c r="B370" t="str">
        <f>IF(ISBLANK(Common!C$4),"",Common!C$4)</f>
        <v/>
      </c>
      <c r="C370" t="str">
        <f>IF(ISBLANK(Common!C$6),"",Common!C$6)</f>
        <v/>
      </c>
      <c r="D370" t="str">
        <f>IF(ISBLANK(Common!C$8),"",Common!C$8)</f>
        <v/>
      </c>
      <c r="E370" t="str">
        <f>IF(ISBLANK(Common!I$2),"",Common!I$2)</f>
        <v/>
      </c>
      <c r="F370" t="str">
        <f>IF(ISBLANK(Common!I$4),"",Common!I$4)</f>
        <v/>
      </c>
      <c r="G370" t="str">
        <f>IF(ISBLANK(Common!I$6),"",Common!I$6)</f>
        <v/>
      </c>
      <c r="H370" t="str">
        <f>IF(ISBLANK(Common!I$8),"",Common!I$8)</f>
        <v/>
      </c>
      <c r="I370" t="str">
        <f>IF(ISBLANK(Common!K$8),"",Common!K$8)</f>
        <v/>
      </c>
      <c r="J370" s="27" t="s">
        <v>81</v>
      </c>
      <c r="K370">
        <f>Impairment!A15</f>
        <v>0</v>
      </c>
      <c r="L370" s="136">
        <f>Impairment!C15</f>
        <v>0</v>
      </c>
      <c r="M370" t="str">
        <f>IF(ISBLANK(Impairment!D12),"",Impairment!D12)</f>
        <v>Iron</v>
      </c>
      <c r="N370" t="str">
        <f>IF(ISBLANK(Impairment!D13),"",Impairment!D13)</f>
        <v xml:space="preserve"> mg/L</v>
      </c>
      <c r="O370" t="str">
        <f>IF(ISBLANK(Impairment!D15),"",Impairment!D15)</f>
        <v/>
      </c>
      <c r="P370">
        <f>IF(ISBLANK(Impairment!D23),"",Impairment!D23)</f>
        <v>1</v>
      </c>
    </row>
    <row r="371" spans="1:16">
      <c r="A371" t="str">
        <f>IF(ISBLANK(Common!C$2),"",Common!C$2)</f>
        <v/>
      </c>
      <c r="B371" t="str">
        <f>IF(ISBLANK(Common!C$4),"",Common!C$4)</f>
        <v/>
      </c>
      <c r="C371" t="str">
        <f>IF(ISBLANK(Common!C$6),"",Common!C$6)</f>
        <v/>
      </c>
      <c r="D371" t="str">
        <f>IF(ISBLANK(Common!C$8),"",Common!C$8)</f>
        <v/>
      </c>
      <c r="E371" t="str">
        <f>IF(ISBLANK(Common!I$2),"",Common!I$2)</f>
        <v/>
      </c>
      <c r="F371" t="str">
        <f>IF(ISBLANK(Common!I$4),"",Common!I$4)</f>
        <v/>
      </c>
      <c r="G371" t="str">
        <f>IF(ISBLANK(Common!I$6),"",Common!I$6)</f>
        <v/>
      </c>
      <c r="H371" t="str">
        <f>IF(ISBLANK(Common!I$8),"",Common!I$8)</f>
        <v/>
      </c>
      <c r="I371" t="str">
        <f>IF(ISBLANK(Common!K$8),"",Common!K$8)</f>
        <v/>
      </c>
      <c r="J371" s="27" t="s">
        <v>81</v>
      </c>
      <c r="K371">
        <f>Impairment!A15</f>
        <v>0</v>
      </c>
      <c r="L371" s="136">
        <f>Impairment!C16</f>
        <v>0</v>
      </c>
      <c r="M371" t="str">
        <f>M370</f>
        <v>Iron</v>
      </c>
      <c r="N371" t="str">
        <f>N370</f>
        <v xml:space="preserve"> mg/L</v>
      </c>
      <c r="O371" t="str">
        <f>IF(ISBLANK(Impairment!D16),"",Impairment!D16)</f>
        <v/>
      </c>
      <c r="P371">
        <f>P370</f>
        <v>1</v>
      </c>
    </row>
    <row r="372" spans="1:16">
      <c r="A372" t="str">
        <f>IF(ISBLANK(Common!C$2),"",Common!C$2)</f>
        <v/>
      </c>
      <c r="B372" t="str">
        <f>IF(ISBLANK(Common!C$4),"",Common!C$4)</f>
        <v/>
      </c>
      <c r="C372" t="str">
        <f>IF(ISBLANK(Common!C$6),"",Common!C$6)</f>
        <v/>
      </c>
      <c r="D372" t="str">
        <f>IF(ISBLANK(Common!C$8),"",Common!C$8)</f>
        <v/>
      </c>
      <c r="E372" t="str">
        <f>IF(ISBLANK(Common!I$2),"",Common!I$2)</f>
        <v/>
      </c>
      <c r="F372" t="str">
        <f>IF(ISBLANK(Common!I$4),"",Common!I$4)</f>
        <v/>
      </c>
      <c r="G372" t="str">
        <f>IF(ISBLANK(Common!I$6),"",Common!I$6)</f>
        <v/>
      </c>
      <c r="H372" t="str">
        <f>IF(ISBLANK(Common!I$8),"",Common!I$8)</f>
        <v/>
      </c>
      <c r="I372" t="str">
        <f>IF(ISBLANK(Common!K$8),"",Common!K$8)</f>
        <v/>
      </c>
      <c r="J372" s="27" t="s">
        <v>81</v>
      </c>
      <c r="K372">
        <f>Impairment!A17</f>
        <v>0</v>
      </c>
      <c r="L372" s="136">
        <f>Impairment!C17</f>
        <v>0</v>
      </c>
      <c r="M372" t="str">
        <f t="shared" ref="M372:P377" si="99">M371</f>
        <v>Iron</v>
      </c>
      <c r="N372" t="str">
        <f t="shared" si="99"/>
        <v xml:space="preserve"> mg/L</v>
      </c>
      <c r="O372" t="str">
        <f>IF(ISBLANK(Impairment!D17),"",Impairment!D17)</f>
        <v/>
      </c>
      <c r="P372">
        <f t="shared" si="99"/>
        <v>1</v>
      </c>
    </row>
    <row r="373" spans="1:16">
      <c r="A373" t="str">
        <f>IF(ISBLANK(Common!C$2),"",Common!C$2)</f>
        <v/>
      </c>
      <c r="B373" t="str">
        <f>IF(ISBLANK(Common!C$4),"",Common!C$4)</f>
        <v/>
      </c>
      <c r="C373" t="str">
        <f>IF(ISBLANK(Common!C$6),"",Common!C$6)</f>
        <v/>
      </c>
      <c r="D373" t="str">
        <f>IF(ISBLANK(Common!C$8),"",Common!C$8)</f>
        <v/>
      </c>
      <c r="E373" t="str">
        <f>IF(ISBLANK(Common!I$2),"",Common!I$2)</f>
        <v/>
      </c>
      <c r="F373" t="str">
        <f>IF(ISBLANK(Common!I$4),"",Common!I$4)</f>
        <v/>
      </c>
      <c r="G373" t="str">
        <f>IF(ISBLANK(Common!I$6),"",Common!I$6)</f>
        <v/>
      </c>
      <c r="H373" t="str">
        <f>IF(ISBLANK(Common!I$8),"",Common!I$8)</f>
        <v/>
      </c>
      <c r="I373" t="str">
        <f>IF(ISBLANK(Common!K$8),"",Common!K$8)</f>
        <v/>
      </c>
      <c r="J373" s="27" t="s">
        <v>81</v>
      </c>
      <c r="K373">
        <f>Impairment!A17</f>
        <v>0</v>
      </c>
      <c r="L373" s="136">
        <f>Impairment!C18</f>
        <v>0</v>
      </c>
      <c r="M373" t="str">
        <f t="shared" si="99"/>
        <v>Iron</v>
      </c>
      <c r="N373" t="str">
        <f t="shared" si="99"/>
        <v xml:space="preserve"> mg/L</v>
      </c>
      <c r="O373" t="str">
        <f>IF(ISBLANK(Impairment!D18),"",Impairment!D18)</f>
        <v/>
      </c>
      <c r="P373">
        <f t="shared" si="99"/>
        <v>1</v>
      </c>
    </row>
    <row r="374" spans="1:16">
      <c r="A374" t="str">
        <f>IF(ISBLANK(Common!C$2),"",Common!C$2)</f>
        <v/>
      </c>
      <c r="B374" t="str">
        <f>IF(ISBLANK(Common!C$4),"",Common!C$4)</f>
        <v/>
      </c>
      <c r="C374" t="str">
        <f>IF(ISBLANK(Common!C$6),"",Common!C$6)</f>
        <v/>
      </c>
      <c r="D374" t="str">
        <f>IF(ISBLANK(Common!C$8),"",Common!C$8)</f>
        <v/>
      </c>
      <c r="E374" t="str">
        <f>IF(ISBLANK(Common!I$2),"",Common!I$2)</f>
        <v/>
      </c>
      <c r="F374" t="str">
        <f>IF(ISBLANK(Common!I$4),"",Common!I$4)</f>
        <v/>
      </c>
      <c r="G374" t="str">
        <f>IF(ISBLANK(Common!I$6),"",Common!I$6)</f>
        <v/>
      </c>
      <c r="H374" t="str">
        <f>IF(ISBLANK(Common!I$8),"",Common!I$8)</f>
        <v/>
      </c>
      <c r="I374" t="str">
        <f>IF(ISBLANK(Common!K$8),"",Common!K$8)</f>
        <v/>
      </c>
      <c r="J374" s="27" t="s">
        <v>81</v>
      </c>
      <c r="K374">
        <f>Impairment!A19</f>
        <v>0</v>
      </c>
      <c r="L374" s="136">
        <f>Impairment!C19</f>
        <v>0</v>
      </c>
      <c r="M374" t="str">
        <f t="shared" si="99"/>
        <v>Iron</v>
      </c>
      <c r="N374" t="str">
        <f t="shared" si="99"/>
        <v xml:space="preserve"> mg/L</v>
      </c>
      <c r="O374" t="str">
        <f>IF(ISBLANK(Impairment!D19),"",Impairment!D19)</f>
        <v/>
      </c>
      <c r="P374">
        <f t="shared" si="99"/>
        <v>1</v>
      </c>
    </row>
    <row r="375" spans="1:16">
      <c r="A375" t="str">
        <f>IF(ISBLANK(Common!C$2),"",Common!C$2)</f>
        <v/>
      </c>
      <c r="B375" t="str">
        <f>IF(ISBLANK(Common!C$4),"",Common!C$4)</f>
        <v/>
      </c>
      <c r="C375" t="str">
        <f>IF(ISBLANK(Common!C$6),"",Common!C$6)</f>
        <v/>
      </c>
      <c r="D375" t="str">
        <f>IF(ISBLANK(Common!C$8),"",Common!C$8)</f>
        <v/>
      </c>
      <c r="E375" t="str">
        <f>IF(ISBLANK(Common!I$2),"",Common!I$2)</f>
        <v/>
      </c>
      <c r="F375" t="str">
        <f>IF(ISBLANK(Common!I$4),"",Common!I$4)</f>
        <v/>
      </c>
      <c r="G375" t="str">
        <f>IF(ISBLANK(Common!I$6),"",Common!I$6)</f>
        <v/>
      </c>
      <c r="H375" t="str">
        <f>IF(ISBLANK(Common!I$8),"",Common!I$8)</f>
        <v/>
      </c>
      <c r="I375" t="str">
        <f>IF(ISBLANK(Common!K$8),"",Common!K$8)</f>
        <v/>
      </c>
      <c r="J375" s="27" t="s">
        <v>81</v>
      </c>
      <c r="K375">
        <f>Impairment!A19</f>
        <v>0</v>
      </c>
      <c r="L375" s="136">
        <f>Impairment!C20</f>
        <v>0</v>
      </c>
      <c r="M375" t="str">
        <f t="shared" si="99"/>
        <v>Iron</v>
      </c>
      <c r="N375" t="str">
        <f t="shared" si="99"/>
        <v xml:space="preserve"> mg/L</v>
      </c>
      <c r="O375" t="str">
        <f>IF(ISBLANK(Impairment!D20),"",Impairment!D20)</f>
        <v/>
      </c>
      <c r="P375">
        <f t="shared" si="99"/>
        <v>1</v>
      </c>
    </row>
    <row r="376" spans="1:16">
      <c r="A376" t="str">
        <f>IF(ISBLANK(Common!C$2),"",Common!C$2)</f>
        <v/>
      </c>
      <c r="B376" t="str">
        <f>IF(ISBLANK(Common!C$4),"",Common!C$4)</f>
        <v/>
      </c>
      <c r="C376" t="str">
        <f>IF(ISBLANK(Common!C$6),"",Common!C$6)</f>
        <v/>
      </c>
      <c r="D376" t="str">
        <f>IF(ISBLANK(Common!C$8),"",Common!C$8)</f>
        <v/>
      </c>
      <c r="E376" t="str">
        <f>IF(ISBLANK(Common!I$2),"",Common!I$2)</f>
        <v/>
      </c>
      <c r="F376" t="str">
        <f>IF(ISBLANK(Common!I$4),"",Common!I$4)</f>
        <v/>
      </c>
      <c r="G376" t="str">
        <f>IF(ISBLANK(Common!I$6),"",Common!I$6)</f>
        <v/>
      </c>
      <c r="H376" t="str">
        <f>IF(ISBLANK(Common!I$8),"",Common!I$8)</f>
        <v/>
      </c>
      <c r="I376" t="str">
        <f>IF(ISBLANK(Common!K$8),"",Common!K$8)</f>
        <v/>
      </c>
      <c r="J376" s="27" t="s">
        <v>81</v>
      </c>
      <c r="K376">
        <f>Impairment!A21</f>
        <v>0</v>
      </c>
      <c r="L376" s="136">
        <f>Impairment!C21</f>
        <v>0</v>
      </c>
      <c r="M376" t="str">
        <f t="shared" si="99"/>
        <v>Iron</v>
      </c>
      <c r="N376" t="str">
        <f t="shared" si="99"/>
        <v xml:space="preserve"> mg/L</v>
      </c>
      <c r="O376" t="str">
        <f>IF(ISBLANK(Impairment!D21),"",Impairment!D21)</f>
        <v/>
      </c>
      <c r="P376">
        <f t="shared" si="99"/>
        <v>1</v>
      </c>
    </row>
    <row r="377" spans="1:16">
      <c r="A377" t="str">
        <f>IF(ISBLANK(Common!C$2),"",Common!C$2)</f>
        <v/>
      </c>
      <c r="B377" t="str">
        <f>IF(ISBLANK(Common!C$4),"",Common!C$4)</f>
        <v/>
      </c>
      <c r="C377" t="str">
        <f>IF(ISBLANK(Common!C$6),"",Common!C$6)</f>
        <v/>
      </c>
      <c r="D377" t="str">
        <f>IF(ISBLANK(Common!C$8),"",Common!C$8)</f>
        <v/>
      </c>
      <c r="E377" t="str">
        <f>IF(ISBLANK(Common!I$2),"",Common!I$2)</f>
        <v/>
      </c>
      <c r="F377" t="str">
        <f>IF(ISBLANK(Common!I$4),"",Common!I$4)</f>
        <v/>
      </c>
      <c r="G377" t="str">
        <f>IF(ISBLANK(Common!I$6),"",Common!I$6)</f>
        <v/>
      </c>
      <c r="H377" t="str">
        <f>IF(ISBLANK(Common!I$8),"",Common!I$8)</f>
        <v/>
      </c>
      <c r="I377" t="str">
        <f>IF(ISBLANK(Common!K$8),"",Common!K$8)</f>
        <v/>
      </c>
      <c r="J377" s="27" t="s">
        <v>81</v>
      </c>
      <c r="K377">
        <f>Impairment!A21</f>
        <v>0</v>
      </c>
      <c r="L377" s="136">
        <f>Impairment!C22</f>
        <v>0</v>
      </c>
      <c r="M377" t="str">
        <f t="shared" si="99"/>
        <v>Iron</v>
      </c>
      <c r="N377" t="str">
        <f t="shared" si="99"/>
        <v xml:space="preserve"> mg/L</v>
      </c>
      <c r="O377" t="str">
        <f>IF(ISBLANK(Impairment!D22),"",Impairment!D22)</f>
        <v/>
      </c>
      <c r="P377">
        <f t="shared" si="99"/>
        <v>1</v>
      </c>
    </row>
    <row r="378" spans="1:16">
      <c r="A378" t="str">
        <f>IF(ISBLANK(Common!C$2),"",Common!C$2)</f>
        <v/>
      </c>
      <c r="B378" t="str">
        <f>IF(ISBLANK(Common!C$4),"",Common!C$4)</f>
        <v/>
      </c>
      <c r="C378" t="str">
        <f>IF(ISBLANK(Common!C$6),"",Common!C$6)</f>
        <v/>
      </c>
      <c r="D378" t="str">
        <f>IF(ISBLANK(Common!C$8),"",Common!C$8)</f>
        <v/>
      </c>
      <c r="E378" t="str">
        <f>IF(ISBLANK(Common!I$2),"",Common!I$2)</f>
        <v/>
      </c>
      <c r="F378" t="str">
        <f>IF(ISBLANK(Common!I$4),"",Common!I$4)</f>
        <v/>
      </c>
      <c r="G378" t="str">
        <f>IF(ISBLANK(Common!I$6),"",Common!I$6)</f>
        <v/>
      </c>
      <c r="H378" t="str">
        <f>IF(ISBLANK(Common!I$8),"",Common!I$8)</f>
        <v/>
      </c>
      <c r="I378" t="str">
        <f>IF(ISBLANK(Common!K$8),"",Common!K$8)</f>
        <v/>
      </c>
      <c r="J378" s="27" t="s">
        <v>81</v>
      </c>
      <c r="K378">
        <f>K370</f>
        <v>0</v>
      </c>
      <c r="L378" s="136">
        <f t="shared" ref="L378:L441" si="100">L370</f>
        <v>0</v>
      </c>
      <c r="M378" t="str">
        <f>IF(ISBLANK(Impairment!E12),"",Impairment!E12)</f>
        <v/>
      </c>
      <c r="N378" t="str">
        <f>IF(ISBLANK(Impairment!E13),"",Impairment!E13)</f>
        <v/>
      </c>
      <c r="O378" t="str">
        <f>IF(ISBLANK(Impairment!E15),"",Impairment!E15)</f>
        <v/>
      </c>
      <c r="P378" t="str">
        <f>IF(ISBLANK(Impairment!E23),"",Impairment!E23)</f>
        <v/>
      </c>
    </row>
    <row r="379" spans="1:16">
      <c r="A379" t="str">
        <f>IF(ISBLANK(Common!C$2),"",Common!C$2)</f>
        <v/>
      </c>
      <c r="B379" t="str">
        <f>IF(ISBLANK(Common!C$4),"",Common!C$4)</f>
        <v/>
      </c>
      <c r="C379" t="str">
        <f>IF(ISBLANK(Common!C$6),"",Common!C$6)</f>
        <v/>
      </c>
      <c r="D379" t="str">
        <f>IF(ISBLANK(Common!C$8),"",Common!C$8)</f>
        <v/>
      </c>
      <c r="E379" t="str">
        <f>IF(ISBLANK(Common!I$2),"",Common!I$2)</f>
        <v/>
      </c>
      <c r="F379" t="str">
        <f>IF(ISBLANK(Common!I$4),"",Common!I$4)</f>
        <v/>
      </c>
      <c r="G379" t="str">
        <f>IF(ISBLANK(Common!I$6),"",Common!I$6)</f>
        <v/>
      </c>
      <c r="H379" t="str">
        <f>IF(ISBLANK(Common!I$8),"",Common!I$8)</f>
        <v/>
      </c>
      <c r="I379" t="str">
        <f>IF(ISBLANK(Common!K$8),"",Common!K$8)</f>
        <v/>
      </c>
      <c r="J379" s="27" t="s">
        <v>81</v>
      </c>
      <c r="K379">
        <f t="shared" ref="K379" si="101">K371</f>
        <v>0</v>
      </c>
      <c r="L379" s="136">
        <f t="shared" si="100"/>
        <v>0</v>
      </c>
      <c r="M379" t="str">
        <f t="shared" ref="M379:N385" si="102">M378</f>
        <v/>
      </c>
      <c r="N379" t="str">
        <f t="shared" si="102"/>
        <v/>
      </c>
      <c r="O379" t="str">
        <f>IF(ISBLANK(Impairment!E16),"",Impairment!E16)</f>
        <v/>
      </c>
      <c r="P379" t="str">
        <f>P378</f>
        <v/>
      </c>
    </row>
    <row r="380" spans="1:16">
      <c r="A380" t="str">
        <f>IF(ISBLANK(Common!C$2),"",Common!C$2)</f>
        <v/>
      </c>
      <c r="B380" t="str">
        <f>IF(ISBLANK(Common!C$4),"",Common!C$4)</f>
        <v/>
      </c>
      <c r="C380" t="str">
        <f>IF(ISBLANK(Common!C$6),"",Common!C$6)</f>
        <v/>
      </c>
      <c r="D380" t="str">
        <f>IF(ISBLANK(Common!C$8),"",Common!C$8)</f>
        <v/>
      </c>
      <c r="E380" t="str">
        <f>IF(ISBLANK(Common!I$2),"",Common!I$2)</f>
        <v/>
      </c>
      <c r="F380" t="str">
        <f>IF(ISBLANK(Common!I$4),"",Common!I$4)</f>
        <v/>
      </c>
      <c r="G380" t="str">
        <f>IF(ISBLANK(Common!I$6),"",Common!I$6)</f>
        <v/>
      </c>
      <c r="H380" t="str">
        <f>IF(ISBLANK(Common!I$8),"",Common!I$8)</f>
        <v/>
      </c>
      <c r="I380" t="str">
        <f>IF(ISBLANK(Common!K$8),"",Common!K$8)</f>
        <v/>
      </c>
      <c r="J380" s="27" t="s">
        <v>81</v>
      </c>
      <c r="K380">
        <f t="shared" ref="K380" si="103">K372</f>
        <v>0</v>
      </c>
      <c r="L380" s="136">
        <f t="shared" si="100"/>
        <v>0</v>
      </c>
      <c r="M380" t="str">
        <f t="shared" si="102"/>
        <v/>
      </c>
      <c r="N380" t="str">
        <f t="shared" si="102"/>
        <v/>
      </c>
      <c r="O380" t="str">
        <f>IF(ISBLANK(Impairment!E17),"",Impairment!E17)</f>
        <v/>
      </c>
      <c r="P380" t="str">
        <f t="shared" ref="P380:P385" si="104">P379</f>
        <v/>
      </c>
    </row>
    <row r="381" spans="1:16">
      <c r="A381" t="str">
        <f>IF(ISBLANK(Common!C$2),"",Common!C$2)</f>
        <v/>
      </c>
      <c r="B381" t="str">
        <f>IF(ISBLANK(Common!C$4),"",Common!C$4)</f>
        <v/>
      </c>
      <c r="C381" t="str">
        <f>IF(ISBLANK(Common!C$6),"",Common!C$6)</f>
        <v/>
      </c>
      <c r="D381" t="str">
        <f>IF(ISBLANK(Common!C$8),"",Common!C$8)</f>
        <v/>
      </c>
      <c r="E381" t="str">
        <f>IF(ISBLANK(Common!I$2),"",Common!I$2)</f>
        <v/>
      </c>
      <c r="F381" t="str">
        <f>IF(ISBLANK(Common!I$4),"",Common!I$4)</f>
        <v/>
      </c>
      <c r="G381" t="str">
        <f>IF(ISBLANK(Common!I$6),"",Common!I$6)</f>
        <v/>
      </c>
      <c r="H381" t="str">
        <f>IF(ISBLANK(Common!I$8),"",Common!I$8)</f>
        <v/>
      </c>
      <c r="I381" t="str">
        <f>IF(ISBLANK(Common!K$8),"",Common!K$8)</f>
        <v/>
      </c>
      <c r="J381" s="27" t="s">
        <v>81</v>
      </c>
      <c r="K381">
        <f t="shared" ref="K381" si="105">K373</f>
        <v>0</v>
      </c>
      <c r="L381" s="136">
        <f t="shared" si="100"/>
        <v>0</v>
      </c>
      <c r="M381" t="str">
        <f t="shared" si="102"/>
        <v/>
      </c>
      <c r="N381" t="str">
        <f t="shared" si="102"/>
        <v/>
      </c>
      <c r="O381" t="str">
        <f>IF(ISBLANK(Impairment!E18),"",Impairment!E18)</f>
        <v/>
      </c>
      <c r="P381" t="str">
        <f t="shared" si="104"/>
        <v/>
      </c>
    </row>
    <row r="382" spans="1:16">
      <c r="A382" t="str">
        <f>IF(ISBLANK(Common!C$2),"",Common!C$2)</f>
        <v/>
      </c>
      <c r="B382" t="str">
        <f>IF(ISBLANK(Common!C$4),"",Common!C$4)</f>
        <v/>
      </c>
      <c r="C382" t="str">
        <f>IF(ISBLANK(Common!C$6),"",Common!C$6)</f>
        <v/>
      </c>
      <c r="D382" t="str">
        <f>IF(ISBLANK(Common!C$8),"",Common!C$8)</f>
        <v/>
      </c>
      <c r="E382" t="str">
        <f>IF(ISBLANK(Common!I$2),"",Common!I$2)</f>
        <v/>
      </c>
      <c r="F382" t="str">
        <f>IF(ISBLANK(Common!I$4),"",Common!I$4)</f>
        <v/>
      </c>
      <c r="G382" t="str">
        <f>IF(ISBLANK(Common!I$6),"",Common!I$6)</f>
        <v/>
      </c>
      <c r="H382" t="str">
        <f>IF(ISBLANK(Common!I$8),"",Common!I$8)</f>
        <v/>
      </c>
      <c r="I382" t="str">
        <f>IF(ISBLANK(Common!K$8),"",Common!K$8)</f>
        <v/>
      </c>
      <c r="J382" s="27" t="s">
        <v>81</v>
      </c>
      <c r="K382">
        <f t="shared" ref="K382" si="106">K374</f>
        <v>0</v>
      </c>
      <c r="L382" s="136">
        <f t="shared" si="100"/>
        <v>0</v>
      </c>
      <c r="M382" t="str">
        <f t="shared" si="102"/>
        <v/>
      </c>
      <c r="N382" t="str">
        <f t="shared" si="102"/>
        <v/>
      </c>
      <c r="O382" t="str">
        <f>IF(ISBLANK(Impairment!E19),"",Impairment!E19)</f>
        <v/>
      </c>
      <c r="P382" t="str">
        <f t="shared" si="104"/>
        <v/>
      </c>
    </row>
    <row r="383" spans="1:16">
      <c r="A383" t="str">
        <f>IF(ISBLANK(Common!C$2),"",Common!C$2)</f>
        <v/>
      </c>
      <c r="B383" t="str">
        <f>IF(ISBLANK(Common!C$4),"",Common!C$4)</f>
        <v/>
      </c>
      <c r="C383" t="str">
        <f>IF(ISBLANK(Common!C$6),"",Common!C$6)</f>
        <v/>
      </c>
      <c r="D383" t="str">
        <f>IF(ISBLANK(Common!C$8),"",Common!C$8)</f>
        <v/>
      </c>
      <c r="E383" t="str">
        <f>IF(ISBLANK(Common!I$2),"",Common!I$2)</f>
        <v/>
      </c>
      <c r="F383" t="str">
        <f>IF(ISBLANK(Common!I$4),"",Common!I$4)</f>
        <v/>
      </c>
      <c r="G383" t="str">
        <f>IF(ISBLANK(Common!I$6),"",Common!I$6)</f>
        <v/>
      </c>
      <c r="H383" t="str">
        <f>IF(ISBLANK(Common!I$8),"",Common!I$8)</f>
        <v/>
      </c>
      <c r="I383" t="str">
        <f>IF(ISBLANK(Common!K$8),"",Common!K$8)</f>
        <v/>
      </c>
      <c r="J383" s="27" t="s">
        <v>81</v>
      </c>
      <c r="K383">
        <f t="shared" ref="K383" si="107">K375</f>
        <v>0</v>
      </c>
      <c r="L383" s="136">
        <f t="shared" si="100"/>
        <v>0</v>
      </c>
      <c r="M383" t="str">
        <f t="shared" si="102"/>
        <v/>
      </c>
      <c r="N383" t="str">
        <f t="shared" si="102"/>
        <v/>
      </c>
      <c r="O383" t="str">
        <f>IF(ISBLANK(Impairment!E20),"",Impairment!E20)</f>
        <v/>
      </c>
      <c r="P383" t="str">
        <f t="shared" si="104"/>
        <v/>
      </c>
    </row>
    <row r="384" spans="1:16">
      <c r="A384" t="str">
        <f>IF(ISBLANK(Common!C$2),"",Common!C$2)</f>
        <v/>
      </c>
      <c r="B384" t="str">
        <f>IF(ISBLANK(Common!C$4),"",Common!C$4)</f>
        <v/>
      </c>
      <c r="C384" t="str">
        <f>IF(ISBLANK(Common!C$6),"",Common!C$6)</f>
        <v/>
      </c>
      <c r="D384" t="str">
        <f>IF(ISBLANK(Common!C$8),"",Common!C$8)</f>
        <v/>
      </c>
      <c r="E384" t="str">
        <f>IF(ISBLANK(Common!I$2),"",Common!I$2)</f>
        <v/>
      </c>
      <c r="F384" t="str">
        <f>IF(ISBLANK(Common!I$4),"",Common!I$4)</f>
        <v/>
      </c>
      <c r="G384" t="str">
        <f>IF(ISBLANK(Common!I$6),"",Common!I$6)</f>
        <v/>
      </c>
      <c r="H384" t="str">
        <f>IF(ISBLANK(Common!I$8),"",Common!I$8)</f>
        <v/>
      </c>
      <c r="I384" t="str">
        <f>IF(ISBLANK(Common!K$8),"",Common!K$8)</f>
        <v/>
      </c>
      <c r="J384" s="27" t="s">
        <v>81</v>
      </c>
      <c r="K384">
        <f t="shared" ref="K384" si="108">K376</f>
        <v>0</v>
      </c>
      <c r="L384" s="136">
        <f t="shared" si="100"/>
        <v>0</v>
      </c>
      <c r="M384" t="str">
        <f t="shared" si="102"/>
        <v/>
      </c>
      <c r="N384" t="str">
        <f t="shared" si="102"/>
        <v/>
      </c>
      <c r="O384" t="str">
        <f>IF(ISBLANK(Impairment!E21),"",Impairment!E21)</f>
        <v/>
      </c>
      <c r="P384" t="str">
        <f t="shared" si="104"/>
        <v/>
      </c>
    </row>
    <row r="385" spans="1:16">
      <c r="A385" t="str">
        <f>IF(ISBLANK(Common!C$2),"",Common!C$2)</f>
        <v/>
      </c>
      <c r="B385" t="str">
        <f>IF(ISBLANK(Common!C$4),"",Common!C$4)</f>
        <v/>
      </c>
      <c r="C385" t="str">
        <f>IF(ISBLANK(Common!C$6),"",Common!C$6)</f>
        <v/>
      </c>
      <c r="D385" t="str">
        <f>IF(ISBLANK(Common!C$8),"",Common!C$8)</f>
        <v/>
      </c>
      <c r="E385" t="str">
        <f>IF(ISBLANK(Common!I$2),"",Common!I$2)</f>
        <v/>
      </c>
      <c r="F385" t="str">
        <f>IF(ISBLANK(Common!I$4),"",Common!I$4)</f>
        <v/>
      </c>
      <c r="G385" t="str">
        <f>IF(ISBLANK(Common!I$6),"",Common!I$6)</f>
        <v/>
      </c>
      <c r="H385" t="str">
        <f>IF(ISBLANK(Common!I$8),"",Common!I$8)</f>
        <v/>
      </c>
      <c r="I385" t="str">
        <f>IF(ISBLANK(Common!K$8),"",Common!K$8)</f>
        <v/>
      </c>
      <c r="J385" s="27" t="s">
        <v>81</v>
      </c>
      <c r="K385">
        <f t="shared" ref="K385" si="109">K377</f>
        <v>0</v>
      </c>
      <c r="L385" s="136">
        <f t="shared" si="100"/>
        <v>0</v>
      </c>
      <c r="M385" t="str">
        <f t="shared" si="102"/>
        <v/>
      </c>
      <c r="N385" t="str">
        <f t="shared" si="102"/>
        <v/>
      </c>
      <c r="O385" t="str">
        <f>IF(ISBLANK(Impairment!E22),"",Impairment!E22)</f>
        <v/>
      </c>
      <c r="P385" t="str">
        <f t="shared" si="104"/>
        <v/>
      </c>
    </row>
    <row r="386" spans="1:16">
      <c r="A386" t="str">
        <f>IF(ISBLANK(Common!C$2),"",Common!C$2)</f>
        <v/>
      </c>
      <c r="B386" t="str">
        <f>IF(ISBLANK(Common!C$4),"",Common!C$4)</f>
        <v/>
      </c>
      <c r="C386" t="str">
        <f>IF(ISBLANK(Common!C$6),"",Common!C$6)</f>
        <v/>
      </c>
      <c r="D386" t="str">
        <f>IF(ISBLANK(Common!C$8),"",Common!C$8)</f>
        <v/>
      </c>
      <c r="E386" t="str">
        <f>IF(ISBLANK(Common!I$2),"",Common!I$2)</f>
        <v/>
      </c>
      <c r="F386" t="str">
        <f>IF(ISBLANK(Common!I$4),"",Common!I$4)</f>
        <v/>
      </c>
      <c r="G386" t="str">
        <f>IF(ISBLANK(Common!I$6),"",Common!I$6)</f>
        <v/>
      </c>
      <c r="H386" t="str">
        <f>IF(ISBLANK(Common!I$8),"",Common!I$8)</f>
        <v/>
      </c>
      <c r="I386" t="str">
        <f>IF(ISBLANK(Common!K$8),"",Common!K$8)</f>
        <v/>
      </c>
      <c r="J386" s="27" t="s">
        <v>81</v>
      </c>
      <c r="K386">
        <f t="shared" ref="K386" si="110">K378</f>
        <v>0</v>
      </c>
      <c r="L386" s="136">
        <f t="shared" si="100"/>
        <v>0</v>
      </c>
      <c r="M386" t="str">
        <f>IF(ISBLANK(Impairment!F12),"",Impairment!F12)</f>
        <v/>
      </c>
      <c r="N386" t="str">
        <f>IF(ISBLANK(Impairment!F13),"",Impairment!F13)</f>
        <v/>
      </c>
      <c r="O386" t="str">
        <f>IF(ISBLANK(Impairment!F15),"",Impairment!F15)</f>
        <v/>
      </c>
      <c r="P386" t="str">
        <f>IF(ISBLANK(Impairment!F23),"",Impairment!F23)</f>
        <v/>
      </c>
    </row>
    <row r="387" spans="1:16">
      <c r="A387" t="str">
        <f>IF(ISBLANK(Common!C$2),"",Common!C$2)</f>
        <v/>
      </c>
      <c r="B387" t="str">
        <f>IF(ISBLANK(Common!C$4),"",Common!C$4)</f>
        <v/>
      </c>
      <c r="C387" t="str">
        <f>IF(ISBLANK(Common!C$6),"",Common!C$6)</f>
        <v/>
      </c>
      <c r="D387" t="str">
        <f>IF(ISBLANK(Common!C$8),"",Common!C$8)</f>
        <v/>
      </c>
      <c r="E387" t="str">
        <f>IF(ISBLANK(Common!I$2),"",Common!I$2)</f>
        <v/>
      </c>
      <c r="F387" t="str">
        <f>IF(ISBLANK(Common!I$4),"",Common!I$4)</f>
        <v/>
      </c>
      <c r="G387" t="str">
        <f>IF(ISBLANK(Common!I$6),"",Common!I$6)</f>
        <v/>
      </c>
      <c r="H387" t="str">
        <f>IF(ISBLANK(Common!I$8),"",Common!I$8)</f>
        <v/>
      </c>
      <c r="I387" t="str">
        <f>IF(ISBLANK(Common!K$8),"",Common!K$8)</f>
        <v/>
      </c>
      <c r="J387" s="27" t="s">
        <v>81</v>
      </c>
      <c r="K387">
        <f t="shared" ref="K387" si="111">K379</f>
        <v>0</v>
      </c>
      <c r="L387" s="136">
        <f t="shared" si="100"/>
        <v>0</v>
      </c>
      <c r="M387" t="str">
        <f>M386</f>
        <v/>
      </c>
      <c r="N387" t="str">
        <f>N386</f>
        <v/>
      </c>
      <c r="O387" t="str">
        <f>IF(ISBLANK(Impairment!F16),"",Impairment!F16)</f>
        <v/>
      </c>
      <c r="P387" t="str">
        <f>P386</f>
        <v/>
      </c>
    </row>
    <row r="388" spans="1:16">
      <c r="A388" t="str">
        <f>IF(ISBLANK(Common!C$2),"",Common!C$2)</f>
        <v/>
      </c>
      <c r="B388" t="str">
        <f>IF(ISBLANK(Common!C$4),"",Common!C$4)</f>
        <v/>
      </c>
      <c r="C388" t="str">
        <f>IF(ISBLANK(Common!C$6),"",Common!C$6)</f>
        <v/>
      </c>
      <c r="D388" t="str">
        <f>IF(ISBLANK(Common!C$8),"",Common!C$8)</f>
        <v/>
      </c>
      <c r="E388" t="str">
        <f>IF(ISBLANK(Common!I$2),"",Common!I$2)</f>
        <v/>
      </c>
      <c r="F388" t="str">
        <f>IF(ISBLANK(Common!I$4),"",Common!I$4)</f>
        <v/>
      </c>
      <c r="G388" t="str">
        <f>IF(ISBLANK(Common!I$6),"",Common!I$6)</f>
        <v/>
      </c>
      <c r="H388" t="str">
        <f>IF(ISBLANK(Common!I$8),"",Common!I$8)</f>
        <v/>
      </c>
      <c r="I388" t="str">
        <f>IF(ISBLANK(Common!K$8),"",Common!K$8)</f>
        <v/>
      </c>
      <c r="J388" s="27" t="s">
        <v>81</v>
      </c>
      <c r="K388">
        <f t="shared" ref="K388" si="112">K380</f>
        <v>0</v>
      </c>
      <c r="L388" s="136">
        <f t="shared" si="100"/>
        <v>0</v>
      </c>
      <c r="M388" t="str">
        <f t="shared" ref="M388:N393" si="113">M387</f>
        <v/>
      </c>
      <c r="N388" t="str">
        <f t="shared" si="113"/>
        <v/>
      </c>
      <c r="O388" t="str">
        <f>IF(ISBLANK(Impairment!F17),"",Impairment!F17)</f>
        <v/>
      </c>
      <c r="P388" t="str">
        <f t="shared" ref="P388:P393" si="114">P387</f>
        <v/>
      </c>
    </row>
    <row r="389" spans="1:16">
      <c r="A389" t="str">
        <f>IF(ISBLANK(Common!C$2),"",Common!C$2)</f>
        <v/>
      </c>
      <c r="B389" t="str">
        <f>IF(ISBLANK(Common!C$4),"",Common!C$4)</f>
        <v/>
      </c>
      <c r="C389" t="str">
        <f>IF(ISBLANK(Common!C$6),"",Common!C$6)</f>
        <v/>
      </c>
      <c r="D389" t="str">
        <f>IF(ISBLANK(Common!C$8),"",Common!C$8)</f>
        <v/>
      </c>
      <c r="E389" t="str">
        <f>IF(ISBLANK(Common!I$2),"",Common!I$2)</f>
        <v/>
      </c>
      <c r="F389" t="str">
        <f>IF(ISBLANK(Common!I$4),"",Common!I$4)</f>
        <v/>
      </c>
      <c r="G389" t="str">
        <f>IF(ISBLANK(Common!I$6),"",Common!I$6)</f>
        <v/>
      </c>
      <c r="H389" t="str">
        <f>IF(ISBLANK(Common!I$8),"",Common!I$8)</f>
        <v/>
      </c>
      <c r="I389" t="str">
        <f>IF(ISBLANK(Common!K$8),"",Common!K$8)</f>
        <v/>
      </c>
      <c r="J389" s="27" t="s">
        <v>81</v>
      </c>
      <c r="K389">
        <f t="shared" ref="K389" si="115">K381</f>
        <v>0</v>
      </c>
      <c r="L389" s="136">
        <f t="shared" si="100"/>
        <v>0</v>
      </c>
      <c r="M389" t="str">
        <f t="shared" si="113"/>
        <v/>
      </c>
      <c r="N389" t="str">
        <f t="shared" si="113"/>
        <v/>
      </c>
      <c r="O389" t="str">
        <f>IF(ISBLANK(Impairment!F18),"",Impairment!F18)</f>
        <v/>
      </c>
      <c r="P389" t="str">
        <f t="shared" si="114"/>
        <v/>
      </c>
    </row>
    <row r="390" spans="1:16">
      <c r="A390" t="str">
        <f>IF(ISBLANK(Common!C$2),"",Common!C$2)</f>
        <v/>
      </c>
      <c r="B390" t="str">
        <f>IF(ISBLANK(Common!C$4),"",Common!C$4)</f>
        <v/>
      </c>
      <c r="C390" t="str">
        <f>IF(ISBLANK(Common!C$6),"",Common!C$6)</f>
        <v/>
      </c>
      <c r="D390" t="str">
        <f>IF(ISBLANK(Common!C$8),"",Common!C$8)</f>
        <v/>
      </c>
      <c r="E390" t="str">
        <f>IF(ISBLANK(Common!I$2),"",Common!I$2)</f>
        <v/>
      </c>
      <c r="F390" t="str">
        <f>IF(ISBLANK(Common!I$4),"",Common!I$4)</f>
        <v/>
      </c>
      <c r="G390" t="str">
        <f>IF(ISBLANK(Common!I$6),"",Common!I$6)</f>
        <v/>
      </c>
      <c r="H390" t="str">
        <f>IF(ISBLANK(Common!I$8),"",Common!I$8)</f>
        <v/>
      </c>
      <c r="I390" t="str">
        <f>IF(ISBLANK(Common!K$8),"",Common!K$8)</f>
        <v/>
      </c>
      <c r="J390" s="27" t="s">
        <v>81</v>
      </c>
      <c r="K390">
        <f t="shared" ref="K390" si="116">K382</f>
        <v>0</v>
      </c>
      <c r="L390" s="136">
        <f t="shared" si="100"/>
        <v>0</v>
      </c>
      <c r="M390" t="str">
        <f t="shared" si="113"/>
        <v/>
      </c>
      <c r="N390" t="str">
        <f t="shared" si="113"/>
        <v/>
      </c>
      <c r="O390" t="str">
        <f>IF(ISBLANK(Impairment!F19),"",Impairment!F19)</f>
        <v/>
      </c>
      <c r="P390" t="str">
        <f t="shared" si="114"/>
        <v/>
      </c>
    </row>
    <row r="391" spans="1:16">
      <c r="A391" t="str">
        <f>IF(ISBLANK(Common!C$2),"",Common!C$2)</f>
        <v/>
      </c>
      <c r="B391" t="str">
        <f>IF(ISBLANK(Common!C$4),"",Common!C$4)</f>
        <v/>
      </c>
      <c r="C391" t="str">
        <f>IF(ISBLANK(Common!C$6),"",Common!C$6)</f>
        <v/>
      </c>
      <c r="D391" t="str">
        <f>IF(ISBLANK(Common!C$8),"",Common!C$8)</f>
        <v/>
      </c>
      <c r="E391" t="str">
        <f>IF(ISBLANK(Common!I$2),"",Common!I$2)</f>
        <v/>
      </c>
      <c r="F391" t="str">
        <f>IF(ISBLANK(Common!I$4),"",Common!I$4)</f>
        <v/>
      </c>
      <c r="G391" t="str">
        <f>IF(ISBLANK(Common!I$6),"",Common!I$6)</f>
        <v/>
      </c>
      <c r="H391" t="str">
        <f>IF(ISBLANK(Common!I$8),"",Common!I$8)</f>
        <v/>
      </c>
      <c r="I391" t="str">
        <f>IF(ISBLANK(Common!K$8),"",Common!K$8)</f>
        <v/>
      </c>
      <c r="J391" s="27" t="s">
        <v>81</v>
      </c>
      <c r="K391">
        <f t="shared" ref="K391" si="117">K383</f>
        <v>0</v>
      </c>
      <c r="L391" s="136">
        <f t="shared" si="100"/>
        <v>0</v>
      </c>
      <c r="M391" t="str">
        <f t="shared" si="113"/>
        <v/>
      </c>
      <c r="N391" t="str">
        <f t="shared" si="113"/>
        <v/>
      </c>
      <c r="O391" t="str">
        <f>IF(ISBLANK(Impairment!F20),"",Impairment!F20)</f>
        <v/>
      </c>
      <c r="P391" t="str">
        <f t="shared" si="114"/>
        <v/>
      </c>
    </row>
    <row r="392" spans="1:16">
      <c r="A392" t="str">
        <f>IF(ISBLANK(Common!C$2),"",Common!C$2)</f>
        <v/>
      </c>
      <c r="B392" t="str">
        <f>IF(ISBLANK(Common!C$4),"",Common!C$4)</f>
        <v/>
      </c>
      <c r="C392" t="str">
        <f>IF(ISBLANK(Common!C$6),"",Common!C$6)</f>
        <v/>
      </c>
      <c r="D392" t="str">
        <f>IF(ISBLANK(Common!C$8),"",Common!C$8)</f>
        <v/>
      </c>
      <c r="E392" t="str">
        <f>IF(ISBLANK(Common!I$2),"",Common!I$2)</f>
        <v/>
      </c>
      <c r="F392" t="str">
        <f>IF(ISBLANK(Common!I$4),"",Common!I$4)</f>
        <v/>
      </c>
      <c r="G392" t="str">
        <f>IF(ISBLANK(Common!I$6),"",Common!I$6)</f>
        <v/>
      </c>
      <c r="H392" t="str">
        <f>IF(ISBLANK(Common!I$8),"",Common!I$8)</f>
        <v/>
      </c>
      <c r="I392" t="str">
        <f>IF(ISBLANK(Common!K$8),"",Common!K$8)</f>
        <v/>
      </c>
      <c r="J392" s="27" t="s">
        <v>81</v>
      </c>
      <c r="K392">
        <f t="shared" ref="K392" si="118">K384</f>
        <v>0</v>
      </c>
      <c r="L392" s="136">
        <f t="shared" si="100"/>
        <v>0</v>
      </c>
      <c r="M392" t="str">
        <f t="shared" si="113"/>
        <v/>
      </c>
      <c r="N392" t="str">
        <f t="shared" si="113"/>
        <v/>
      </c>
      <c r="O392" t="str">
        <f>IF(ISBLANK(Impairment!F21),"",Impairment!F21)</f>
        <v/>
      </c>
      <c r="P392" t="str">
        <f t="shared" si="114"/>
        <v/>
      </c>
    </row>
    <row r="393" spans="1:16">
      <c r="A393" t="str">
        <f>IF(ISBLANK(Common!C$2),"",Common!C$2)</f>
        <v/>
      </c>
      <c r="B393" t="str">
        <f>IF(ISBLANK(Common!C$4),"",Common!C$4)</f>
        <v/>
      </c>
      <c r="C393" t="str">
        <f>IF(ISBLANK(Common!C$6),"",Common!C$6)</f>
        <v/>
      </c>
      <c r="D393" t="str">
        <f>IF(ISBLANK(Common!C$8),"",Common!C$8)</f>
        <v/>
      </c>
      <c r="E393" t="str">
        <f>IF(ISBLANK(Common!I$2),"",Common!I$2)</f>
        <v/>
      </c>
      <c r="F393" t="str">
        <f>IF(ISBLANK(Common!I$4),"",Common!I$4)</f>
        <v/>
      </c>
      <c r="G393" t="str">
        <f>IF(ISBLANK(Common!I$6),"",Common!I$6)</f>
        <v/>
      </c>
      <c r="H393" t="str">
        <f>IF(ISBLANK(Common!I$8),"",Common!I$8)</f>
        <v/>
      </c>
      <c r="I393" t="str">
        <f>IF(ISBLANK(Common!K$8),"",Common!K$8)</f>
        <v/>
      </c>
      <c r="J393" s="27" t="s">
        <v>81</v>
      </c>
      <c r="K393">
        <f t="shared" ref="K393" si="119">K385</f>
        <v>0</v>
      </c>
      <c r="L393" s="136">
        <f t="shared" si="100"/>
        <v>0</v>
      </c>
      <c r="M393" t="str">
        <f t="shared" si="113"/>
        <v/>
      </c>
      <c r="N393" t="str">
        <f t="shared" si="113"/>
        <v/>
      </c>
      <c r="O393" t="str">
        <f>IF(ISBLANK(Impairment!F22),"",Impairment!F22)</f>
        <v/>
      </c>
      <c r="P393" t="str">
        <f t="shared" si="114"/>
        <v/>
      </c>
    </row>
    <row r="394" spans="1:16">
      <c r="A394" t="str">
        <f>IF(ISBLANK(Common!C$2),"",Common!C$2)</f>
        <v/>
      </c>
      <c r="B394" t="str">
        <f>IF(ISBLANK(Common!C$4),"",Common!C$4)</f>
        <v/>
      </c>
      <c r="C394" t="str">
        <f>IF(ISBLANK(Common!C$6),"",Common!C$6)</f>
        <v/>
      </c>
      <c r="D394" t="str">
        <f>IF(ISBLANK(Common!C$8),"",Common!C$8)</f>
        <v/>
      </c>
      <c r="E394" t="str">
        <f>IF(ISBLANK(Common!I$2),"",Common!I$2)</f>
        <v/>
      </c>
      <c r="F394" t="str">
        <f>IF(ISBLANK(Common!I$4),"",Common!I$4)</f>
        <v/>
      </c>
      <c r="G394" t="str">
        <f>IF(ISBLANK(Common!I$6),"",Common!I$6)</f>
        <v/>
      </c>
      <c r="H394" t="str">
        <f>IF(ISBLANK(Common!I$8),"",Common!I$8)</f>
        <v/>
      </c>
      <c r="I394" t="str">
        <f>IF(ISBLANK(Common!K$8),"",Common!K$8)</f>
        <v/>
      </c>
      <c r="J394" s="27" t="s">
        <v>81</v>
      </c>
      <c r="K394">
        <f t="shared" ref="K394" si="120">K386</f>
        <v>0</v>
      </c>
      <c r="L394" s="136">
        <f t="shared" si="100"/>
        <v>0</v>
      </c>
      <c r="M394" t="str">
        <f>IF(ISBLANK(Impairment!G12),"",Impairment!G12)</f>
        <v/>
      </c>
      <c r="N394" t="str">
        <f>IF(ISBLANK(Impairment!G13),"",Impairment!G13)</f>
        <v/>
      </c>
      <c r="O394" t="str">
        <f>IF(ISBLANK(Impairment!G15),"",Impairment!G15)</f>
        <v/>
      </c>
      <c r="P394" t="str">
        <f>IF(ISBLANK(Impairment!G23),"",Impairment!G23)</f>
        <v/>
      </c>
    </row>
    <row r="395" spans="1:16">
      <c r="A395" t="str">
        <f>IF(ISBLANK(Common!C$2),"",Common!C$2)</f>
        <v/>
      </c>
      <c r="B395" t="str">
        <f>IF(ISBLANK(Common!C$4),"",Common!C$4)</f>
        <v/>
      </c>
      <c r="C395" t="str">
        <f>IF(ISBLANK(Common!C$6),"",Common!C$6)</f>
        <v/>
      </c>
      <c r="D395" t="str">
        <f>IF(ISBLANK(Common!C$8),"",Common!C$8)</f>
        <v/>
      </c>
      <c r="E395" t="str">
        <f>IF(ISBLANK(Common!I$2),"",Common!I$2)</f>
        <v/>
      </c>
      <c r="F395" t="str">
        <f>IF(ISBLANK(Common!I$4),"",Common!I$4)</f>
        <v/>
      </c>
      <c r="G395" t="str">
        <f>IF(ISBLANK(Common!I$6),"",Common!I$6)</f>
        <v/>
      </c>
      <c r="H395" t="str">
        <f>IF(ISBLANK(Common!I$8),"",Common!I$8)</f>
        <v/>
      </c>
      <c r="I395" t="str">
        <f>IF(ISBLANK(Common!K$8),"",Common!K$8)</f>
        <v/>
      </c>
      <c r="J395" s="27" t="s">
        <v>81</v>
      </c>
      <c r="K395">
        <f t="shared" ref="K395" si="121">K387</f>
        <v>0</v>
      </c>
      <c r="L395" s="136">
        <f t="shared" si="100"/>
        <v>0</v>
      </c>
      <c r="M395" t="str">
        <f t="shared" ref="M395:N401" si="122">M394</f>
        <v/>
      </c>
      <c r="N395" t="str">
        <f t="shared" si="122"/>
        <v/>
      </c>
      <c r="O395" t="str">
        <f>IF(ISBLANK(Impairment!G16),"",Impairment!G16)</f>
        <v/>
      </c>
      <c r="P395" t="str">
        <f>P394</f>
        <v/>
      </c>
    </row>
    <row r="396" spans="1:16">
      <c r="A396" t="str">
        <f>IF(ISBLANK(Common!C$2),"",Common!C$2)</f>
        <v/>
      </c>
      <c r="B396" t="str">
        <f>IF(ISBLANK(Common!C$4),"",Common!C$4)</f>
        <v/>
      </c>
      <c r="C396" t="str">
        <f>IF(ISBLANK(Common!C$6),"",Common!C$6)</f>
        <v/>
      </c>
      <c r="D396" t="str">
        <f>IF(ISBLANK(Common!C$8),"",Common!C$8)</f>
        <v/>
      </c>
      <c r="E396" t="str">
        <f>IF(ISBLANK(Common!I$2),"",Common!I$2)</f>
        <v/>
      </c>
      <c r="F396" t="str">
        <f>IF(ISBLANK(Common!I$4),"",Common!I$4)</f>
        <v/>
      </c>
      <c r="G396" t="str">
        <f>IF(ISBLANK(Common!I$6),"",Common!I$6)</f>
        <v/>
      </c>
      <c r="H396" t="str">
        <f>IF(ISBLANK(Common!I$8),"",Common!I$8)</f>
        <v/>
      </c>
      <c r="I396" t="str">
        <f>IF(ISBLANK(Common!K$8),"",Common!K$8)</f>
        <v/>
      </c>
      <c r="J396" s="27" t="s">
        <v>81</v>
      </c>
      <c r="K396">
        <f t="shared" ref="K396" si="123">K388</f>
        <v>0</v>
      </c>
      <c r="L396" s="136">
        <f t="shared" si="100"/>
        <v>0</v>
      </c>
      <c r="M396" t="str">
        <f t="shared" si="122"/>
        <v/>
      </c>
      <c r="N396" t="str">
        <f t="shared" si="122"/>
        <v/>
      </c>
      <c r="O396" t="str">
        <f>IF(ISBLANK(Impairment!G17),"",Impairment!G17)</f>
        <v/>
      </c>
      <c r="P396" t="str">
        <f t="shared" ref="P396:P401" si="124">P395</f>
        <v/>
      </c>
    </row>
    <row r="397" spans="1:16">
      <c r="A397" t="str">
        <f>IF(ISBLANK(Common!C$2),"",Common!C$2)</f>
        <v/>
      </c>
      <c r="B397" t="str">
        <f>IF(ISBLANK(Common!C$4),"",Common!C$4)</f>
        <v/>
      </c>
      <c r="C397" t="str">
        <f>IF(ISBLANK(Common!C$6),"",Common!C$6)</f>
        <v/>
      </c>
      <c r="D397" t="str">
        <f>IF(ISBLANK(Common!C$8),"",Common!C$8)</f>
        <v/>
      </c>
      <c r="E397" t="str">
        <f>IF(ISBLANK(Common!I$2),"",Common!I$2)</f>
        <v/>
      </c>
      <c r="F397" t="str">
        <f>IF(ISBLANK(Common!I$4),"",Common!I$4)</f>
        <v/>
      </c>
      <c r="G397" t="str">
        <f>IF(ISBLANK(Common!I$6),"",Common!I$6)</f>
        <v/>
      </c>
      <c r="H397" t="str">
        <f>IF(ISBLANK(Common!I$8),"",Common!I$8)</f>
        <v/>
      </c>
      <c r="I397" t="str">
        <f>IF(ISBLANK(Common!K$8),"",Common!K$8)</f>
        <v/>
      </c>
      <c r="J397" s="27" t="s">
        <v>81</v>
      </c>
      <c r="K397">
        <f t="shared" ref="K397" si="125">K389</f>
        <v>0</v>
      </c>
      <c r="L397" s="136">
        <f t="shared" si="100"/>
        <v>0</v>
      </c>
      <c r="M397" t="str">
        <f t="shared" si="122"/>
        <v/>
      </c>
      <c r="N397" t="str">
        <f t="shared" si="122"/>
        <v/>
      </c>
      <c r="O397" t="str">
        <f>IF(ISBLANK(Impairment!G18),"",Impairment!G18)</f>
        <v/>
      </c>
      <c r="P397" t="str">
        <f t="shared" si="124"/>
        <v/>
      </c>
    </row>
    <row r="398" spans="1:16">
      <c r="A398" t="str">
        <f>IF(ISBLANK(Common!C$2),"",Common!C$2)</f>
        <v/>
      </c>
      <c r="B398" t="str">
        <f>IF(ISBLANK(Common!C$4),"",Common!C$4)</f>
        <v/>
      </c>
      <c r="C398" t="str">
        <f>IF(ISBLANK(Common!C$6),"",Common!C$6)</f>
        <v/>
      </c>
      <c r="D398" t="str">
        <f>IF(ISBLANK(Common!C$8),"",Common!C$8)</f>
        <v/>
      </c>
      <c r="E398" t="str">
        <f>IF(ISBLANK(Common!I$2),"",Common!I$2)</f>
        <v/>
      </c>
      <c r="F398" t="str">
        <f>IF(ISBLANK(Common!I$4),"",Common!I$4)</f>
        <v/>
      </c>
      <c r="G398" t="str">
        <f>IF(ISBLANK(Common!I$6),"",Common!I$6)</f>
        <v/>
      </c>
      <c r="H398" t="str">
        <f>IF(ISBLANK(Common!I$8),"",Common!I$8)</f>
        <v/>
      </c>
      <c r="I398" t="str">
        <f>IF(ISBLANK(Common!K$8),"",Common!K$8)</f>
        <v/>
      </c>
      <c r="J398" s="27" t="s">
        <v>81</v>
      </c>
      <c r="K398">
        <f t="shared" ref="K398" si="126">K390</f>
        <v>0</v>
      </c>
      <c r="L398" s="136">
        <f t="shared" si="100"/>
        <v>0</v>
      </c>
      <c r="M398" t="str">
        <f t="shared" si="122"/>
        <v/>
      </c>
      <c r="N398" t="str">
        <f t="shared" si="122"/>
        <v/>
      </c>
      <c r="O398" t="str">
        <f>IF(ISBLANK(Impairment!G19),"",Impairment!G19)</f>
        <v/>
      </c>
      <c r="P398" t="str">
        <f t="shared" si="124"/>
        <v/>
      </c>
    </row>
    <row r="399" spans="1:16">
      <c r="A399" t="str">
        <f>IF(ISBLANK(Common!C$2),"",Common!C$2)</f>
        <v/>
      </c>
      <c r="B399" t="str">
        <f>IF(ISBLANK(Common!C$4),"",Common!C$4)</f>
        <v/>
      </c>
      <c r="C399" t="str">
        <f>IF(ISBLANK(Common!C$6),"",Common!C$6)</f>
        <v/>
      </c>
      <c r="D399" t="str">
        <f>IF(ISBLANK(Common!C$8),"",Common!C$8)</f>
        <v/>
      </c>
      <c r="E399" t="str">
        <f>IF(ISBLANK(Common!I$2),"",Common!I$2)</f>
        <v/>
      </c>
      <c r="F399" t="str">
        <f>IF(ISBLANK(Common!I$4),"",Common!I$4)</f>
        <v/>
      </c>
      <c r="G399" t="str">
        <f>IF(ISBLANK(Common!I$6),"",Common!I$6)</f>
        <v/>
      </c>
      <c r="H399" t="str">
        <f>IF(ISBLANK(Common!I$8),"",Common!I$8)</f>
        <v/>
      </c>
      <c r="I399" t="str">
        <f>IF(ISBLANK(Common!K$8),"",Common!K$8)</f>
        <v/>
      </c>
      <c r="J399" s="27" t="s">
        <v>81</v>
      </c>
      <c r="K399">
        <f t="shared" ref="K399" si="127">K391</f>
        <v>0</v>
      </c>
      <c r="L399" s="136">
        <f t="shared" si="100"/>
        <v>0</v>
      </c>
      <c r="M399" t="str">
        <f t="shared" si="122"/>
        <v/>
      </c>
      <c r="N399" t="str">
        <f t="shared" si="122"/>
        <v/>
      </c>
      <c r="O399" t="str">
        <f>IF(ISBLANK(Impairment!G20),"",Impairment!G20)</f>
        <v/>
      </c>
      <c r="P399" t="str">
        <f t="shared" si="124"/>
        <v/>
      </c>
    </row>
    <row r="400" spans="1:16">
      <c r="A400" t="str">
        <f>IF(ISBLANK(Common!C$2),"",Common!C$2)</f>
        <v/>
      </c>
      <c r="B400" t="str">
        <f>IF(ISBLANK(Common!C$4),"",Common!C$4)</f>
        <v/>
      </c>
      <c r="C400" t="str">
        <f>IF(ISBLANK(Common!C$6),"",Common!C$6)</f>
        <v/>
      </c>
      <c r="D400" t="str">
        <f>IF(ISBLANK(Common!C$8),"",Common!C$8)</f>
        <v/>
      </c>
      <c r="E400" t="str">
        <f>IF(ISBLANK(Common!I$2),"",Common!I$2)</f>
        <v/>
      </c>
      <c r="F400" t="str">
        <f>IF(ISBLANK(Common!I$4),"",Common!I$4)</f>
        <v/>
      </c>
      <c r="G400" t="str">
        <f>IF(ISBLANK(Common!I$6),"",Common!I$6)</f>
        <v/>
      </c>
      <c r="H400" t="str">
        <f>IF(ISBLANK(Common!I$8),"",Common!I$8)</f>
        <v/>
      </c>
      <c r="I400" t="str">
        <f>IF(ISBLANK(Common!K$8),"",Common!K$8)</f>
        <v/>
      </c>
      <c r="J400" s="27" t="s">
        <v>81</v>
      </c>
      <c r="K400">
        <f t="shared" ref="K400" si="128">K392</f>
        <v>0</v>
      </c>
      <c r="L400" s="136">
        <f t="shared" si="100"/>
        <v>0</v>
      </c>
      <c r="M400" t="str">
        <f t="shared" si="122"/>
        <v/>
      </c>
      <c r="N400" t="str">
        <f t="shared" si="122"/>
        <v/>
      </c>
      <c r="O400" t="str">
        <f>IF(ISBLANK(Impairment!G21),"",Impairment!G21)</f>
        <v/>
      </c>
      <c r="P400" t="str">
        <f t="shared" si="124"/>
        <v/>
      </c>
    </row>
    <row r="401" spans="1:16">
      <c r="A401" t="str">
        <f>IF(ISBLANK(Common!C$2),"",Common!C$2)</f>
        <v/>
      </c>
      <c r="B401" t="str">
        <f>IF(ISBLANK(Common!C$4),"",Common!C$4)</f>
        <v/>
      </c>
      <c r="C401" t="str">
        <f>IF(ISBLANK(Common!C$6),"",Common!C$6)</f>
        <v/>
      </c>
      <c r="D401" t="str">
        <f>IF(ISBLANK(Common!C$8),"",Common!C$8)</f>
        <v/>
      </c>
      <c r="E401" t="str">
        <f>IF(ISBLANK(Common!I$2),"",Common!I$2)</f>
        <v/>
      </c>
      <c r="F401" t="str">
        <f>IF(ISBLANK(Common!I$4),"",Common!I$4)</f>
        <v/>
      </c>
      <c r="G401" t="str">
        <f>IF(ISBLANK(Common!I$6),"",Common!I$6)</f>
        <v/>
      </c>
      <c r="H401" t="str">
        <f>IF(ISBLANK(Common!I$8),"",Common!I$8)</f>
        <v/>
      </c>
      <c r="I401" t="str">
        <f>IF(ISBLANK(Common!K$8),"",Common!K$8)</f>
        <v/>
      </c>
      <c r="J401" s="27" t="s">
        <v>81</v>
      </c>
      <c r="K401">
        <f t="shared" ref="K401" si="129">K393</f>
        <v>0</v>
      </c>
      <c r="L401" s="136">
        <f t="shared" si="100"/>
        <v>0</v>
      </c>
      <c r="M401" t="str">
        <f t="shared" si="122"/>
        <v/>
      </c>
      <c r="N401" t="str">
        <f t="shared" si="122"/>
        <v/>
      </c>
      <c r="O401" t="str">
        <f>IF(ISBLANK(Impairment!G22),"",Impairment!G22)</f>
        <v/>
      </c>
      <c r="P401" t="str">
        <f t="shared" si="124"/>
        <v/>
      </c>
    </row>
    <row r="402" spans="1:16">
      <c r="A402" t="str">
        <f>IF(ISBLANK(Common!C$2),"",Common!C$2)</f>
        <v/>
      </c>
      <c r="B402" t="str">
        <f>IF(ISBLANK(Common!C$4),"",Common!C$4)</f>
        <v/>
      </c>
      <c r="C402" t="str">
        <f>IF(ISBLANK(Common!C$6),"",Common!C$6)</f>
        <v/>
      </c>
      <c r="D402" t="str">
        <f>IF(ISBLANK(Common!C$8),"",Common!C$8)</f>
        <v/>
      </c>
      <c r="E402" t="str">
        <f>IF(ISBLANK(Common!I$2),"",Common!I$2)</f>
        <v/>
      </c>
      <c r="F402" t="str">
        <f>IF(ISBLANK(Common!I$4),"",Common!I$4)</f>
        <v/>
      </c>
      <c r="G402" t="str">
        <f>IF(ISBLANK(Common!I$6),"",Common!I$6)</f>
        <v/>
      </c>
      <c r="H402" t="str">
        <f>IF(ISBLANK(Common!I$8),"",Common!I$8)</f>
        <v/>
      </c>
      <c r="I402" t="str">
        <f>IF(ISBLANK(Common!K$8),"",Common!K$8)</f>
        <v/>
      </c>
      <c r="J402" s="27" t="s">
        <v>81</v>
      </c>
      <c r="K402">
        <f t="shared" ref="K402" si="130">K394</f>
        <v>0</v>
      </c>
      <c r="L402" s="136">
        <f t="shared" si="100"/>
        <v>0</v>
      </c>
      <c r="M402" t="str">
        <f>IF(ISBLANK(Impairment!H12),"",Impairment!H12)</f>
        <v/>
      </c>
      <c r="N402" t="str">
        <f>IF(ISBLANK(Impairment!H13),"",Impairment!H13)</f>
        <v/>
      </c>
      <c r="O402" t="str">
        <f>IF(ISBLANK(Impairment!H15),"",Impairment!H15)</f>
        <v/>
      </c>
      <c r="P402" t="str">
        <f>IF(ISBLANK(Impairment!H23),"",Impairment!H23)</f>
        <v/>
      </c>
    </row>
    <row r="403" spans="1:16">
      <c r="A403" t="str">
        <f>IF(ISBLANK(Common!C$2),"",Common!C$2)</f>
        <v/>
      </c>
      <c r="B403" t="str">
        <f>IF(ISBLANK(Common!C$4),"",Common!C$4)</f>
        <v/>
      </c>
      <c r="C403" t="str">
        <f>IF(ISBLANK(Common!C$6),"",Common!C$6)</f>
        <v/>
      </c>
      <c r="D403" t="str">
        <f>IF(ISBLANK(Common!C$8),"",Common!C$8)</f>
        <v/>
      </c>
      <c r="E403" t="str">
        <f>IF(ISBLANK(Common!I$2),"",Common!I$2)</f>
        <v/>
      </c>
      <c r="F403" t="str">
        <f>IF(ISBLANK(Common!I$4),"",Common!I$4)</f>
        <v/>
      </c>
      <c r="G403" t="str">
        <f>IF(ISBLANK(Common!I$6),"",Common!I$6)</f>
        <v/>
      </c>
      <c r="H403" t="str">
        <f>IF(ISBLANK(Common!I$8),"",Common!I$8)</f>
        <v/>
      </c>
      <c r="I403" t="str">
        <f>IF(ISBLANK(Common!K$8),"",Common!K$8)</f>
        <v/>
      </c>
      <c r="J403" s="27" t="s">
        <v>81</v>
      </c>
      <c r="K403">
        <f t="shared" ref="K403" si="131">K395</f>
        <v>0</v>
      </c>
      <c r="L403" s="136">
        <f t="shared" si="100"/>
        <v>0</v>
      </c>
      <c r="M403" t="str">
        <f t="shared" ref="M403:N409" si="132">M402</f>
        <v/>
      </c>
      <c r="N403" t="str">
        <f t="shared" si="132"/>
        <v/>
      </c>
      <c r="O403" t="str">
        <f>IF(ISBLANK(Impairment!H16),"",Impairment!H16)</f>
        <v/>
      </c>
      <c r="P403" t="str">
        <f>P402</f>
        <v/>
      </c>
    </row>
    <row r="404" spans="1:16">
      <c r="A404" t="str">
        <f>IF(ISBLANK(Common!C$2),"",Common!C$2)</f>
        <v/>
      </c>
      <c r="B404" t="str">
        <f>IF(ISBLANK(Common!C$4),"",Common!C$4)</f>
        <v/>
      </c>
      <c r="C404" t="str">
        <f>IF(ISBLANK(Common!C$6),"",Common!C$6)</f>
        <v/>
      </c>
      <c r="D404" t="str">
        <f>IF(ISBLANK(Common!C$8),"",Common!C$8)</f>
        <v/>
      </c>
      <c r="E404" t="str">
        <f>IF(ISBLANK(Common!I$2),"",Common!I$2)</f>
        <v/>
      </c>
      <c r="F404" t="str">
        <f>IF(ISBLANK(Common!I$4),"",Common!I$4)</f>
        <v/>
      </c>
      <c r="G404" t="str">
        <f>IF(ISBLANK(Common!I$6),"",Common!I$6)</f>
        <v/>
      </c>
      <c r="H404" t="str">
        <f>IF(ISBLANK(Common!I$8),"",Common!I$8)</f>
        <v/>
      </c>
      <c r="I404" t="str">
        <f>IF(ISBLANK(Common!K$8),"",Common!K$8)</f>
        <v/>
      </c>
      <c r="J404" s="27" t="s">
        <v>81</v>
      </c>
      <c r="K404">
        <f t="shared" ref="K404" si="133">K396</f>
        <v>0</v>
      </c>
      <c r="L404" s="136">
        <f t="shared" si="100"/>
        <v>0</v>
      </c>
      <c r="M404" t="str">
        <f t="shared" si="132"/>
        <v/>
      </c>
      <c r="N404" t="str">
        <f t="shared" si="132"/>
        <v/>
      </c>
      <c r="O404" t="str">
        <f>IF(ISBLANK(Impairment!H17),"",Impairment!H17)</f>
        <v/>
      </c>
      <c r="P404" t="str">
        <f t="shared" ref="P404:P409" si="134">P403</f>
        <v/>
      </c>
    </row>
    <row r="405" spans="1:16">
      <c r="A405" t="str">
        <f>IF(ISBLANK(Common!C$2),"",Common!C$2)</f>
        <v/>
      </c>
      <c r="B405" t="str">
        <f>IF(ISBLANK(Common!C$4),"",Common!C$4)</f>
        <v/>
      </c>
      <c r="C405" t="str">
        <f>IF(ISBLANK(Common!C$6),"",Common!C$6)</f>
        <v/>
      </c>
      <c r="D405" t="str">
        <f>IF(ISBLANK(Common!C$8),"",Common!C$8)</f>
        <v/>
      </c>
      <c r="E405" t="str">
        <f>IF(ISBLANK(Common!I$2),"",Common!I$2)</f>
        <v/>
      </c>
      <c r="F405" t="str">
        <f>IF(ISBLANK(Common!I$4),"",Common!I$4)</f>
        <v/>
      </c>
      <c r="G405" t="str">
        <f>IF(ISBLANK(Common!I$6),"",Common!I$6)</f>
        <v/>
      </c>
      <c r="H405" t="str">
        <f>IF(ISBLANK(Common!I$8),"",Common!I$8)</f>
        <v/>
      </c>
      <c r="I405" t="str">
        <f>IF(ISBLANK(Common!K$8),"",Common!K$8)</f>
        <v/>
      </c>
      <c r="J405" s="27" t="s">
        <v>81</v>
      </c>
      <c r="K405">
        <f t="shared" ref="K405" si="135">K397</f>
        <v>0</v>
      </c>
      <c r="L405" s="136">
        <f t="shared" si="100"/>
        <v>0</v>
      </c>
      <c r="M405" t="str">
        <f t="shared" si="132"/>
        <v/>
      </c>
      <c r="N405" t="str">
        <f t="shared" si="132"/>
        <v/>
      </c>
      <c r="O405" t="str">
        <f>IF(ISBLANK(Impairment!H18),"",Impairment!H18)</f>
        <v/>
      </c>
      <c r="P405" t="str">
        <f t="shared" si="134"/>
        <v/>
      </c>
    </row>
    <row r="406" spans="1:16">
      <c r="A406" t="str">
        <f>IF(ISBLANK(Common!C$2),"",Common!C$2)</f>
        <v/>
      </c>
      <c r="B406" t="str">
        <f>IF(ISBLANK(Common!C$4),"",Common!C$4)</f>
        <v/>
      </c>
      <c r="C406" t="str">
        <f>IF(ISBLANK(Common!C$6),"",Common!C$6)</f>
        <v/>
      </c>
      <c r="D406" t="str">
        <f>IF(ISBLANK(Common!C$8),"",Common!C$8)</f>
        <v/>
      </c>
      <c r="E406" t="str">
        <f>IF(ISBLANK(Common!I$2),"",Common!I$2)</f>
        <v/>
      </c>
      <c r="F406" t="str">
        <f>IF(ISBLANK(Common!I$4),"",Common!I$4)</f>
        <v/>
      </c>
      <c r="G406" t="str">
        <f>IF(ISBLANK(Common!I$6),"",Common!I$6)</f>
        <v/>
      </c>
      <c r="H406" t="str">
        <f>IF(ISBLANK(Common!I$8),"",Common!I$8)</f>
        <v/>
      </c>
      <c r="I406" t="str">
        <f>IF(ISBLANK(Common!K$8),"",Common!K$8)</f>
        <v/>
      </c>
      <c r="J406" s="27" t="s">
        <v>81</v>
      </c>
      <c r="K406">
        <f t="shared" ref="K406" si="136">K398</f>
        <v>0</v>
      </c>
      <c r="L406" s="136">
        <f t="shared" si="100"/>
        <v>0</v>
      </c>
      <c r="M406" t="str">
        <f t="shared" si="132"/>
        <v/>
      </c>
      <c r="N406" t="str">
        <f t="shared" si="132"/>
        <v/>
      </c>
      <c r="O406" t="str">
        <f>IF(ISBLANK(Impairment!H19),"",Impairment!H19)</f>
        <v/>
      </c>
      <c r="P406" t="str">
        <f t="shared" si="134"/>
        <v/>
      </c>
    </row>
    <row r="407" spans="1:16">
      <c r="A407" t="str">
        <f>IF(ISBLANK(Common!C$2),"",Common!C$2)</f>
        <v/>
      </c>
      <c r="B407" t="str">
        <f>IF(ISBLANK(Common!C$4),"",Common!C$4)</f>
        <v/>
      </c>
      <c r="C407" t="str">
        <f>IF(ISBLANK(Common!C$6),"",Common!C$6)</f>
        <v/>
      </c>
      <c r="D407" t="str">
        <f>IF(ISBLANK(Common!C$8),"",Common!C$8)</f>
        <v/>
      </c>
      <c r="E407" t="str">
        <f>IF(ISBLANK(Common!I$2),"",Common!I$2)</f>
        <v/>
      </c>
      <c r="F407" t="str">
        <f>IF(ISBLANK(Common!I$4),"",Common!I$4)</f>
        <v/>
      </c>
      <c r="G407" t="str">
        <f>IF(ISBLANK(Common!I$6),"",Common!I$6)</f>
        <v/>
      </c>
      <c r="H407" t="str">
        <f>IF(ISBLANK(Common!I$8),"",Common!I$8)</f>
        <v/>
      </c>
      <c r="I407" t="str">
        <f>IF(ISBLANK(Common!K$8),"",Common!K$8)</f>
        <v/>
      </c>
      <c r="J407" s="27" t="s">
        <v>81</v>
      </c>
      <c r="K407">
        <f t="shared" ref="K407" si="137">K399</f>
        <v>0</v>
      </c>
      <c r="L407" s="136">
        <f t="shared" si="100"/>
        <v>0</v>
      </c>
      <c r="M407" t="str">
        <f t="shared" si="132"/>
        <v/>
      </c>
      <c r="N407" t="str">
        <f t="shared" si="132"/>
        <v/>
      </c>
      <c r="O407" t="str">
        <f>IF(ISBLANK(Impairment!H20),"",Impairment!H20)</f>
        <v/>
      </c>
      <c r="P407" t="str">
        <f t="shared" si="134"/>
        <v/>
      </c>
    </row>
    <row r="408" spans="1:16">
      <c r="A408" t="str">
        <f>IF(ISBLANK(Common!C$2),"",Common!C$2)</f>
        <v/>
      </c>
      <c r="B408" t="str">
        <f>IF(ISBLANK(Common!C$4),"",Common!C$4)</f>
        <v/>
      </c>
      <c r="C408" t="str">
        <f>IF(ISBLANK(Common!C$6),"",Common!C$6)</f>
        <v/>
      </c>
      <c r="D408" t="str">
        <f>IF(ISBLANK(Common!C$8),"",Common!C$8)</f>
        <v/>
      </c>
      <c r="E408" t="str">
        <f>IF(ISBLANK(Common!I$2),"",Common!I$2)</f>
        <v/>
      </c>
      <c r="F408" t="str">
        <f>IF(ISBLANK(Common!I$4),"",Common!I$4)</f>
        <v/>
      </c>
      <c r="G408" t="str">
        <f>IF(ISBLANK(Common!I$6),"",Common!I$6)</f>
        <v/>
      </c>
      <c r="H408" t="str">
        <f>IF(ISBLANK(Common!I$8),"",Common!I$8)</f>
        <v/>
      </c>
      <c r="I408" t="str">
        <f>IF(ISBLANK(Common!K$8),"",Common!K$8)</f>
        <v/>
      </c>
      <c r="J408" s="27" t="s">
        <v>81</v>
      </c>
      <c r="K408">
        <f t="shared" ref="K408" si="138">K400</f>
        <v>0</v>
      </c>
      <c r="L408" s="136">
        <f t="shared" si="100"/>
        <v>0</v>
      </c>
      <c r="M408" t="str">
        <f t="shared" si="132"/>
        <v/>
      </c>
      <c r="N408" t="str">
        <f t="shared" si="132"/>
        <v/>
      </c>
      <c r="O408" t="str">
        <f>IF(ISBLANK(Impairment!H21),"",Impairment!H21)</f>
        <v/>
      </c>
      <c r="P408" t="str">
        <f t="shared" si="134"/>
        <v/>
      </c>
    </row>
    <row r="409" spans="1:16">
      <c r="A409" t="str">
        <f>IF(ISBLANK(Common!C$2),"",Common!C$2)</f>
        <v/>
      </c>
      <c r="B409" t="str">
        <f>IF(ISBLANK(Common!C$4),"",Common!C$4)</f>
        <v/>
      </c>
      <c r="C409" t="str">
        <f>IF(ISBLANK(Common!C$6),"",Common!C$6)</f>
        <v/>
      </c>
      <c r="D409" t="str">
        <f>IF(ISBLANK(Common!C$8),"",Common!C$8)</f>
        <v/>
      </c>
      <c r="E409" t="str">
        <f>IF(ISBLANK(Common!I$2),"",Common!I$2)</f>
        <v/>
      </c>
      <c r="F409" t="str">
        <f>IF(ISBLANK(Common!I$4),"",Common!I$4)</f>
        <v/>
      </c>
      <c r="G409" t="str">
        <f>IF(ISBLANK(Common!I$6),"",Common!I$6)</f>
        <v/>
      </c>
      <c r="H409" t="str">
        <f>IF(ISBLANK(Common!I$8),"",Common!I$8)</f>
        <v/>
      </c>
      <c r="I409" t="str">
        <f>IF(ISBLANK(Common!K$8),"",Common!K$8)</f>
        <v/>
      </c>
      <c r="J409" s="27" t="s">
        <v>81</v>
      </c>
      <c r="K409">
        <f t="shared" ref="K409" si="139">K401</f>
        <v>0</v>
      </c>
      <c r="L409" s="136">
        <f t="shared" si="100"/>
        <v>0</v>
      </c>
      <c r="M409" t="str">
        <f t="shared" si="132"/>
        <v/>
      </c>
      <c r="N409" t="str">
        <f t="shared" si="132"/>
        <v/>
      </c>
      <c r="O409" t="str">
        <f>IF(ISBLANK(Impairment!H22),"",Impairment!H22)</f>
        <v/>
      </c>
      <c r="P409" t="str">
        <f t="shared" si="134"/>
        <v/>
      </c>
    </row>
    <row r="410" spans="1:16">
      <c r="A410" t="str">
        <f>IF(ISBLANK(Common!C$2),"",Common!C$2)</f>
        <v/>
      </c>
      <c r="B410" t="str">
        <f>IF(ISBLANK(Common!C$4),"",Common!C$4)</f>
        <v/>
      </c>
      <c r="C410" t="str">
        <f>IF(ISBLANK(Common!C$6),"",Common!C$6)</f>
        <v/>
      </c>
      <c r="D410" t="str">
        <f>IF(ISBLANK(Common!C$8),"",Common!C$8)</f>
        <v/>
      </c>
      <c r="E410" t="str">
        <f>IF(ISBLANK(Common!I$2),"",Common!I$2)</f>
        <v/>
      </c>
      <c r="F410" t="str">
        <f>IF(ISBLANK(Common!I$4),"",Common!I$4)</f>
        <v/>
      </c>
      <c r="G410" t="str">
        <f>IF(ISBLANK(Common!I$6),"",Common!I$6)</f>
        <v/>
      </c>
      <c r="H410" t="str">
        <f>IF(ISBLANK(Common!I$8),"",Common!I$8)</f>
        <v/>
      </c>
      <c r="I410" t="str">
        <f>IF(ISBLANK(Common!K$8),"",Common!K$8)</f>
        <v/>
      </c>
      <c r="J410" s="27" t="s">
        <v>81</v>
      </c>
      <c r="K410">
        <f t="shared" ref="K410" si="140">K402</f>
        <v>0</v>
      </c>
      <c r="L410" s="136">
        <f t="shared" si="100"/>
        <v>0</v>
      </c>
      <c r="M410" t="str">
        <f>IF(ISBLANK(Impairment!I12),"",Impairment!I12)</f>
        <v/>
      </c>
      <c r="N410" t="str">
        <f>IF(ISBLANK(Impairment!I13),"",Impairment!I13)</f>
        <v/>
      </c>
      <c r="O410" t="str">
        <f>IF(ISBLANK(Impairment!I15),"",Impairment!I15)</f>
        <v/>
      </c>
      <c r="P410" t="str">
        <f>IF(ISBLANK(Impairment!I23),"",Impairment!I23)</f>
        <v/>
      </c>
    </row>
    <row r="411" spans="1:16">
      <c r="A411" t="str">
        <f>IF(ISBLANK(Common!C$2),"",Common!C$2)</f>
        <v/>
      </c>
      <c r="B411" t="str">
        <f>IF(ISBLANK(Common!C$4),"",Common!C$4)</f>
        <v/>
      </c>
      <c r="C411" t="str">
        <f>IF(ISBLANK(Common!C$6),"",Common!C$6)</f>
        <v/>
      </c>
      <c r="D411" t="str">
        <f>IF(ISBLANK(Common!C$8),"",Common!C$8)</f>
        <v/>
      </c>
      <c r="E411" t="str">
        <f>IF(ISBLANK(Common!I$2),"",Common!I$2)</f>
        <v/>
      </c>
      <c r="F411" t="str">
        <f>IF(ISBLANK(Common!I$4),"",Common!I$4)</f>
        <v/>
      </c>
      <c r="G411" t="str">
        <f>IF(ISBLANK(Common!I$6),"",Common!I$6)</f>
        <v/>
      </c>
      <c r="H411" t="str">
        <f>IF(ISBLANK(Common!I$8),"",Common!I$8)</f>
        <v/>
      </c>
      <c r="I411" t="str">
        <f>IF(ISBLANK(Common!K$8),"",Common!K$8)</f>
        <v/>
      </c>
      <c r="J411" s="27" t="s">
        <v>81</v>
      </c>
      <c r="K411">
        <f t="shared" ref="K411" si="141">K403</f>
        <v>0</v>
      </c>
      <c r="L411" s="136">
        <f t="shared" si="100"/>
        <v>0</v>
      </c>
      <c r="M411" t="str">
        <f t="shared" ref="M411:N417" si="142">M410</f>
        <v/>
      </c>
      <c r="N411" t="str">
        <f t="shared" si="142"/>
        <v/>
      </c>
      <c r="O411" t="str">
        <f>IF(ISBLANK(Impairment!I16),"",Impairment!I16)</f>
        <v/>
      </c>
      <c r="P411" t="str">
        <f>P410</f>
        <v/>
      </c>
    </row>
    <row r="412" spans="1:16">
      <c r="A412" t="str">
        <f>IF(ISBLANK(Common!C$2),"",Common!C$2)</f>
        <v/>
      </c>
      <c r="B412" t="str">
        <f>IF(ISBLANK(Common!C$4),"",Common!C$4)</f>
        <v/>
      </c>
      <c r="C412" t="str">
        <f>IF(ISBLANK(Common!C$6),"",Common!C$6)</f>
        <v/>
      </c>
      <c r="D412" t="str">
        <f>IF(ISBLANK(Common!C$8),"",Common!C$8)</f>
        <v/>
      </c>
      <c r="E412" t="str">
        <f>IF(ISBLANK(Common!I$2),"",Common!I$2)</f>
        <v/>
      </c>
      <c r="F412" t="str">
        <f>IF(ISBLANK(Common!I$4),"",Common!I$4)</f>
        <v/>
      </c>
      <c r="G412" t="str">
        <f>IF(ISBLANK(Common!I$6),"",Common!I$6)</f>
        <v/>
      </c>
      <c r="H412" t="str">
        <f>IF(ISBLANK(Common!I$8),"",Common!I$8)</f>
        <v/>
      </c>
      <c r="I412" t="str">
        <f>IF(ISBLANK(Common!K$8),"",Common!K$8)</f>
        <v/>
      </c>
      <c r="J412" s="27" t="s">
        <v>81</v>
      </c>
      <c r="K412">
        <f t="shared" ref="K412" si="143">K404</f>
        <v>0</v>
      </c>
      <c r="L412" s="136">
        <f t="shared" si="100"/>
        <v>0</v>
      </c>
      <c r="M412" t="str">
        <f t="shared" si="142"/>
        <v/>
      </c>
      <c r="N412" t="str">
        <f t="shared" si="142"/>
        <v/>
      </c>
      <c r="O412" t="str">
        <f>IF(ISBLANK(Impairment!I17),"",Impairment!I17)</f>
        <v/>
      </c>
      <c r="P412" t="str">
        <f t="shared" ref="P412:P417" si="144">P411</f>
        <v/>
      </c>
    </row>
    <row r="413" spans="1:16">
      <c r="A413" t="str">
        <f>IF(ISBLANK(Common!C$2),"",Common!C$2)</f>
        <v/>
      </c>
      <c r="B413" t="str">
        <f>IF(ISBLANK(Common!C$4),"",Common!C$4)</f>
        <v/>
      </c>
      <c r="C413" t="str">
        <f>IF(ISBLANK(Common!C$6),"",Common!C$6)</f>
        <v/>
      </c>
      <c r="D413" t="str">
        <f>IF(ISBLANK(Common!C$8),"",Common!C$8)</f>
        <v/>
      </c>
      <c r="E413" t="str">
        <f>IF(ISBLANK(Common!I$2),"",Common!I$2)</f>
        <v/>
      </c>
      <c r="F413" t="str">
        <f>IF(ISBLANK(Common!I$4),"",Common!I$4)</f>
        <v/>
      </c>
      <c r="G413" t="str">
        <f>IF(ISBLANK(Common!I$6),"",Common!I$6)</f>
        <v/>
      </c>
      <c r="H413" t="str">
        <f>IF(ISBLANK(Common!I$8),"",Common!I$8)</f>
        <v/>
      </c>
      <c r="I413" t="str">
        <f>IF(ISBLANK(Common!K$8),"",Common!K$8)</f>
        <v/>
      </c>
      <c r="J413" s="27" t="s">
        <v>81</v>
      </c>
      <c r="K413">
        <f t="shared" ref="K413" si="145">K405</f>
        <v>0</v>
      </c>
      <c r="L413" s="136">
        <f t="shared" si="100"/>
        <v>0</v>
      </c>
      <c r="M413" t="str">
        <f t="shared" si="142"/>
        <v/>
      </c>
      <c r="N413" t="str">
        <f t="shared" si="142"/>
        <v/>
      </c>
      <c r="O413" t="str">
        <f>IF(ISBLANK(Impairment!I18),"",Impairment!I18)</f>
        <v/>
      </c>
      <c r="P413" t="str">
        <f t="shared" si="144"/>
        <v/>
      </c>
    </row>
    <row r="414" spans="1:16">
      <c r="A414" t="str">
        <f>IF(ISBLANK(Common!C$2),"",Common!C$2)</f>
        <v/>
      </c>
      <c r="B414" t="str">
        <f>IF(ISBLANK(Common!C$4),"",Common!C$4)</f>
        <v/>
      </c>
      <c r="C414" t="str">
        <f>IF(ISBLANK(Common!C$6),"",Common!C$6)</f>
        <v/>
      </c>
      <c r="D414" t="str">
        <f>IF(ISBLANK(Common!C$8),"",Common!C$8)</f>
        <v/>
      </c>
      <c r="E414" t="str">
        <f>IF(ISBLANK(Common!I$2),"",Common!I$2)</f>
        <v/>
      </c>
      <c r="F414" t="str">
        <f>IF(ISBLANK(Common!I$4),"",Common!I$4)</f>
        <v/>
      </c>
      <c r="G414" t="str">
        <f>IF(ISBLANK(Common!I$6),"",Common!I$6)</f>
        <v/>
      </c>
      <c r="H414" t="str">
        <f>IF(ISBLANK(Common!I$8),"",Common!I$8)</f>
        <v/>
      </c>
      <c r="I414" t="str">
        <f>IF(ISBLANK(Common!K$8),"",Common!K$8)</f>
        <v/>
      </c>
      <c r="J414" s="27" t="s">
        <v>81</v>
      </c>
      <c r="K414">
        <f t="shared" ref="K414" si="146">K406</f>
        <v>0</v>
      </c>
      <c r="L414" s="136">
        <f t="shared" si="100"/>
        <v>0</v>
      </c>
      <c r="M414" t="str">
        <f t="shared" si="142"/>
        <v/>
      </c>
      <c r="N414" t="str">
        <f t="shared" si="142"/>
        <v/>
      </c>
      <c r="O414" t="str">
        <f>IF(ISBLANK(Impairment!I19),"",Impairment!I19)</f>
        <v/>
      </c>
      <c r="P414" t="str">
        <f t="shared" si="144"/>
        <v/>
      </c>
    </row>
    <row r="415" spans="1:16">
      <c r="A415" t="str">
        <f>IF(ISBLANK(Common!C$2),"",Common!C$2)</f>
        <v/>
      </c>
      <c r="B415" t="str">
        <f>IF(ISBLANK(Common!C$4),"",Common!C$4)</f>
        <v/>
      </c>
      <c r="C415" t="str">
        <f>IF(ISBLANK(Common!C$6),"",Common!C$6)</f>
        <v/>
      </c>
      <c r="D415" t="str">
        <f>IF(ISBLANK(Common!C$8),"",Common!C$8)</f>
        <v/>
      </c>
      <c r="E415" t="str">
        <f>IF(ISBLANK(Common!I$2),"",Common!I$2)</f>
        <v/>
      </c>
      <c r="F415" t="str">
        <f>IF(ISBLANK(Common!I$4),"",Common!I$4)</f>
        <v/>
      </c>
      <c r="G415" t="str">
        <f>IF(ISBLANK(Common!I$6),"",Common!I$6)</f>
        <v/>
      </c>
      <c r="H415" t="str">
        <f>IF(ISBLANK(Common!I$8),"",Common!I$8)</f>
        <v/>
      </c>
      <c r="I415" t="str">
        <f>IF(ISBLANK(Common!K$8),"",Common!K$8)</f>
        <v/>
      </c>
      <c r="J415" s="27" t="s">
        <v>81</v>
      </c>
      <c r="K415">
        <f t="shared" ref="K415" si="147">K407</f>
        <v>0</v>
      </c>
      <c r="L415" s="136">
        <f t="shared" si="100"/>
        <v>0</v>
      </c>
      <c r="M415" t="str">
        <f t="shared" si="142"/>
        <v/>
      </c>
      <c r="N415" t="str">
        <f t="shared" si="142"/>
        <v/>
      </c>
      <c r="O415" t="str">
        <f>IF(ISBLANK(Impairment!I20),"",Impairment!I20)</f>
        <v/>
      </c>
      <c r="P415" t="str">
        <f t="shared" si="144"/>
        <v/>
      </c>
    </row>
    <row r="416" spans="1:16">
      <c r="A416" t="str">
        <f>IF(ISBLANK(Common!C$2),"",Common!C$2)</f>
        <v/>
      </c>
      <c r="B416" t="str">
        <f>IF(ISBLANK(Common!C$4),"",Common!C$4)</f>
        <v/>
      </c>
      <c r="C416" t="str">
        <f>IF(ISBLANK(Common!C$6),"",Common!C$6)</f>
        <v/>
      </c>
      <c r="D416" t="str">
        <f>IF(ISBLANK(Common!C$8),"",Common!C$8)</f>
        <v/>
      </c>
      <c r="E416" t="str">
        <f>IF(ISBLANK(Common!I$2),"",Common!I$2)</f>
        <v/>
      </c>
      <c r="F416" t="str">
        <f>IF(ISBLANK(Common!I$4),"",Common!I$4)</f>
        <v/>
      </c>
      <c r="G416" t="str">
        <f>IF(ISBLANK(Common!I$6),"",Common!I$6)</f>
        <v/>
      </c>
      <c r="H416" t="str">
        <f>IF(ISBLANK(Common!I$8),"",Common!I$8)</f>
        <v/>
      </c>
      <c r="I416" t="str">
        <f>IF(ISBLANK(Common!K$8),"",Common!K$8)</f>
        <v/>
      </c>
      <c r="J416" s="27" t="s">
        <v>81</v>
      </c>
      <c r="K416">
        <f t="shared" ref="K416" si="148">K408</f>
        <v>0</v>
      </c>
      <c r="L416" s="136">
        <f t="shared" si="100"/>
        <v>0</v>
      </c>
      <c r="M416" t="str">
        <f t="shared" si="142"/>
        <v/>
      </c>
      <c r="N416" t="str">
        <f t="shared" si="142"/>
        <v/>
      </c>
      <c r="O416" t="str">
        <f>IF(ISBLANK(Impairment!I21),"",Impairment!I21)</f>
        <v/>
      </c>
      <c r="P416" t="str">
        <f t="shared" si="144"/>
        <v/>
      </c>
    </row>
    <row r="417" spans="1:16">
      <c r="A417" t="str">
        <f>IF(ISBLANK(Common!C$2),"",Common!C$2)</f>
        <v/>
      </c>
      <c r="B417" t="str">
        <f>IF(ISBLANK(Common!C$4),"",Common!C$4)</f>
        <v/>
      </c>
      <c r="C417" t="str">
        <f>IF(ISBLANK(Common!C$6),"",Common!C$6)</f>
        <v/>
      </c>
      <c r="D417" t="str">
        <f>IF(ISBLANK(Common!C$8),"",Common!C$8)</f>
        <v/>
      </c>
      <c r="E417" t="str">
        <f>IF(ISBLANK(Common!I$2),"",Common!I$2)</f>
        <v/>
      </c>
      <c r="F417" t="str">
        <f>IF(ISBLANK(Common!I$4),"",Common!I$4)</f>
        <v/>
      </c>
      <c r="G417" t="str">
        <f>IF(ISBLANK(Common!I$6),"",Common!I$6)</f>
        <v/>
      </c>
      <c r="H417" t="str">
        <f>IF(ISBLANK(Common!I$8),"",Common!I$8)</f>
        <v/>
      </c>
      <c r="I417" t="str">
        <f>IF(ISBLANK(Common!K$8),"",Common!K$8)</f>
        <v/>
      </c>
      <c r="J417" s="27" t="s">
        <v>81</v>
      </c>
      <c r="K417">
        <f t="shared" ref="K417" si="149">K409</f>
        <v>0</v>
      </c>
      <c r="L417" s="136">
        <f t="shared" si="100"/>
        <v>0</v>
      </c>
      <c r="M417" t="str">
        <f t="shared" si="142"/>
        <v/>
      </c>
      <c r="N417" t="str">
        <f t="shared" si="142"/>
        <v/>
      </c>
      <c r="O417" t="str">
        <f>IF(ISBLANK(Impairment!I22),"",Impairment!I22)</f>
        <v/>
      </c>
      <c r="P417" t="str">
        <f t="shared" si="144"/>
        <v/>
      </c>
    </row>
    <row r="418" spans="1:16">
      <c r="A418" t="str">
        <f>IF(ISBLANK(Common!C$2),"",Common!C$2)</f>
        <v/>
      </c>
      <c r="B418" t="str">
        <f>IF(ISBLANK(Common!C$4),"",Common!C$4)</f>
        <v/>
      </c>
      <c r="C418" t="str">
        <f>IF(ISBLANK(Common!C$6),"",Common!C$6)</f>
        <v/>
      </c>
      <c r="D418" t="str">
        <f>IF(ISBLANK(Common!C$8),"",Common!C$8)</f>
        <v/>
      </c>
      <c r="E418" t="str">
        <f>IF(ISBLANK(Common!I$2),"",Common!I$2)</f>
        <v/>
      </c>
      <c r="F418" t="str">
        <f>IF(ISBLANK(Common!I$4),"",Common!I$4)</f>
        <v/>
      </c>
      <c r="G418" t="str">
        <f>IF(ISBLANK(Common!I$6),"",Common!I$6)</f>
        <v/>
      </c>
      <c r="H418" t="str">
        <f>IF(ISBLANK(Common!I$8),"",Common!I$8)</f>
        <v/>
      </c>
      <c r="I418" t="str">
        <f>IF(ISBLANK(Common!K$8),"",Common!K$8)</f>
        <v/>
      </c>
      <c r="J418" s="27" t="s">
        <v>81</v>
      </c>
      <c r="K418">
        <f t="shared" ref="K418" si="150">K410</f>
        <v>0</v>
      </c>
      <c r="L418" s="136">
        <f t="shared" si="100"/>
        <v>0</v>
      </c>
      <c r="M418" t="str">
        <f>IF(ISBLANK(Impairment!J12),"",Impairment!J12)</f>
        <v/>
      </c>
      <c r="N418" t="str">
        <f>IF(ISBLANK(Impairment!J13),"",Impairment!J13)</f>
        <v/>
      </c>
      <c r="O418" t="str">
        <f>IF(ISBLANK(Impairment!J15),"",Impairment!J15)</f>
        <v/>
      </c>
      <c r="P418" t="str">
        <f>IF(ISBLANK(Impairment!J23),"",Impairment!J23)</f>
        <v/>
      </c>
    </row>
    <row r="419" spans="1:16">
      <c r="A419" t="str">
        <f>IF(ISBLANK(Common!C$2),"",Common!C$2)</f>
        <v/>
      </c>
      <c r="B419" t="str">
        <f>IF(ISBLANK(Common!C$4),"",Common!C$4)</f>
        <v/>
      </c>
      <c r="C419" t="str">
        <f>IF(ISBLANK(Common!C$6),"",Common!C$6)</f>
        <v/>
      </c>
      <c r="D419" t="str">
        <f>IF(ISBLANK(Common!C$8),"",Common!C$8)</f>
        <v/>
      </c>
      <c r="E419" t="str">
        <f>IF(ISBLANK(Common!I$2),"",Common!I$2)</f>
        <v/>
      </c>
      <c r="F419" t="str">
        <f>IF(ISBLANK(Common!I$4),"",Common!I$4)</f>
        <v/>
      </c>
      <c r="G419" t="str">
        <f>IF(ISBLANK(Common!I$6),"",Common!I$6)</f>
        <v/>
      </c>
      <c r="H419" t="str">
        <f>IF(ISBLANK(Common!I$8),"",Common!I$8)</f>
        <v/>
      </c>
      <c r="I419" t="str">
        <f>IF(ISBLANK(Common!K$8),"",Common!K$8)</f>
        <v/>
      </c>
      <c r="J419" s="27" t="s">
        <v>81</v>
      </c>
      <c r="K419">
        <f t="shared" ref="K419" si="151">K411</f>
        <v>0</v>
      </c>
      <c r="L419" s="136">
        <f t="shared" si="100"/>
        <v>0</v>
      </c>
      <c r="M419" t="str">
        <f t="shared" ref="M419:N425" si="152">M418</f>
        <v/>
      </c>
      <c r="N419" t="str">
        <f t="shared" si="152"/>
        <v/>
      </c>
      <c r="O419" t="str">
        <f>IF(ISBLANK(Impairment!J16),"",Impairment!J16)</f>
        <v/>
      </c>
      <c r="P419" t="str">
        <f>P418</f>
        <v/>
      </c>
    </row>
    <row r="420" spans="1:16">
      <c r="A420" t="str">
        <f>IF(ISBLANK(Common!C$2),"",Common!C$2)</f>
        <v/>
      </c>
      <c r="B420" t="str">
        <f>IF(ISBLANK(Common!C$4),"",Common!C$4)</f>
        <v/>
      </c>
      <c r="C420" t="str">
        <f>IF(ISBLANK(Common!C$6),"",Common!C$6)</f>
        <v/>
      </c>
      <c r="D420" t="str">
        <f>IF(ISBLANK(Common!C$8),"",Common!C$8)</f>
        <v/>
      </c>
      <c r="E420" t="str">
        <f>IF(ISBLANK(Common!I$2),"",Common!I$2)</f>
        <v/>
      </c>
      <c r="F420" t="str">
        <f>IF(ISBLANK(Common!I$4),"",Common!I$4)</f>
        <v/>
      </c>
      <c r="G420" t="str">
        <f>IF(ISBLANK(Common!I$6),"",Common!I$6)</f>
        <v/>
      </c>
      <c r="H420" t="str">
        <f>IF(ISBLANK(Common!I$8),"",Common!I$8)</f>
        <v/>
      </c>
      <c r="I420" t="str">
        <f>IF(ISBLANK(Common!K$8),"",Common!K$8)</f>
        <v/>
      </c>
      <c r="J420" s="27" t="s">
        <v>81</v>
      </c>
      <c r="K420">
        <f t="shared" ref="K420" si="153">K412</f>
        <v>0</v>
      </c>
      <c r="L420" s="136">
        <f t="shared" si="100"/>
        <v>0</v>
      </c>
      <c r="M420" t="str">
        <f t="shared" si="152"/>
        <v/>
      </c>
      <c r="N420" t="str">
        <f t="shared" si="152"/>
        <v/>
      </c>
      <c r="O420" t="str">
        <f>IF(ISBLANK(Impairment!J17),"",Impairment!J17)</f>
        <v/>
      </c>
      <c r="P420" t="str">
        <f t="shared" ref="P420:P425" si="154">P419</f>
        <v/>
      </c>
    </row>
    <row r="421" spans="1:16">
      <c r="A421" t="str">
        <f>IF(ISBLANK(Common!C$2),"",Common!C$2)</f>
        <v/>
      </c>
      <c r="B421" t="str">
        <f>IF(ISBLANK(Common!C$4),"",Common!C$4)</f>
        <v/>
      </c>
      <c r="C421" t="str">
        <f>IF(ISBLANK(Common!C$6),"",Common!C$6)</f>
        <v/>
      </c>
      <c r="D421" t="str">
        <f>IF(ISBLANK(Common!C$8),"",Common!C$8)</f>
        <v/>
      </c>
      <c r="E421" t="str">
        <f>IF(ISBLANK(Common!I$2),"",Common!I$2)</f>
        <v/>
      </c>
      <c r="F421" t="str">
        <f>IF(ISBLANK(Common!I$4),"",Common!I$4)</f>
        <v/>
      </c>
      <c r="G421" t="str">
        <f>IF(ISBLANK(Common!I$6),"",Common!I$6)</f>
        <v/>
      </c>
      <c r="H421" t="str">
        <f>IF(ISBLANK(Common!I$8),"",Common!I$8)</f>
        <v/>
      </c>
      <c r="I421" t="str">
        <f>IF(ISBLANK(Common!K$8),"",Common!K$8)</f>
        <v/>
      </c>
      <c r="J421" s="27" t="s">
        <v>81</v>
      </c>
      <c r="K421">
        <f t="shared" ref="K421" si="155">K413</f>
        <v>0</v>
      </c>
      <c r="L421" s="136">
        <f t="shared" si="100"/>
        <v>0</v>
      </c>
      <c r="M421" t="str">
        <f t="shared" si="152"/>
        <v/>
      </c>
      <c r="N421" t="str">
        <f t="shared" si="152"/>
        <v/>
      </c>
      <c r="O421" t="str">
        <f>IF(ISBLANK(Impairment!J18),"",Impairment!J18)</f>
        <v/>
      </c>
      <c r="P421" t="str">
        <f t="shared" si="154"/>
        <v/>
      </c>
    </row>
    <row r="422" spans="1:16">
      <c r="A422" t="str">
        <f>IF(ISBLANK(Common!C$2),"",Common!C$2)</f>
        <v/>
      </c>
      <c r="B422" t="str">
        <f>IF(ISBLANK(Common!C$4),"",Common!C$4)</f>
        <v/>
      </c>
      <c r="C422" t="str">
        <f>IF(ISBLANK(Common!C$6),"",Common!C$6)</f>
        <v/>
      </c>
      <c r="D422" t="str">
        <f>IF(ISBLANK(Common!C$8),"",Common!C$8)</f>
        <v/>
      </c>
      <c r="E422" t="str">
        <f>IF(ISBLANK(Common!I$2),"",Common!I$2)</f>
        <v/>
      </c>
      <c r="F422" t="str">
        <f>IF(ISBLANK(Common!I$4),"",Common!I$4)</f>
        <v/>
      </c>
      <c r="G422" t="str">
        <f>IF(ISBLANK(Common!I$6),"",Common!I$6)</f>
        <v/>
      </c>
      <c r="H422" t="str">
        <f>IF(ISBLANK(Common!I$8),"",Common!I$8)</f>
        <v/>
      </c>
      <c r="I422" t="str">
        <f>IF(ISBLANK(Common!K$8),"",Common!K$8)</f>
        <v/>
      </c>
      <c r="J422" s="27" t="s">
        <v>81</v>
      </c>
      <c r="K422">
        <f t="shared" ref="K422" si="156">K414</f>
        <v>0</v>
      </c>
      <c r="L422" s="136">
        <f t="shared" si="100"/>
        <v>0</v>
      </c>
      <c r="M422" t="str">
        <f t="shared" si="152"/>
        <v/>
      </c>
      <c r="N422" t="str">
        <f t="shared" si="152"/>
        <v/>
      </c>
      <c r="O422" t="str">
        <f>IF(ISBLANK(Impairment!J19),"",Impairment!J19)</f>
        <v/>
      </c>
      <c r="P422" t="str">
        <f t="shared" si="154"/>
        <v/>
      </c>
    </row>
    <row r="423" spans="1:16">
      <c r="A423" t="str">
        <f>IF(ISBLANK(Common!C$2),"",Common!C$2)</f>
        <v/>
      </c>
      <c r="B423" t="str">
        <f>IF(ISBLANK(Common!C$4),"",Common!C$4)</f>
        <v/>
      </c>
      <c r="C423" t="str">
        <f>IF(ISBLANK(Common!C$6),"",Common!C$6)</f>
        <v/>
      </c>
      <c r="D423" t="str">
        <f>IF(ISBLANK(Common!C$8),"",Common!C$8)</f>
        <v/>
      </c>
      <c r="E423" t="str">
        <f>IF(ISBLANK(Common!I$2),"",Common!I$2)</f>
        <v/>
      </c>
      <c r="F423" t="str">
        <f>IF(ISBLANK(Common!I$4),"",Common!I$4)</f>
        <v/>
      </c>
      <c r="G423" t="str">
        <f>IF(ISBLANK(Common!I$6),"",Common!I$6)</f>
        <v/>
      </c>
      <c r="H423" t="str">
        <f>IF(ISBLANK(Common!I$8),"",Common!I$8)</f>
        <v/>
      </c>
      <c r="I423" t="str">
        <f>IF(ISBLANK(Common!K$8),"",Common!K$8)</f>
        <v/>
      </c>
      <c r="J423" s="27" t="s">
        <v>81</v>
      </c>
      <c r="K423">
        <f t="shared" ref="K423" si="157">K415</f>
        <v>0</v>
      </c>
      <c r="L423" s="136">
        <f t="shared" si="100"/>
        <v>0</v>
      </c>
      <c r="M423" t="str">
        <f t="shared" si="152"/>
        <v/>
      </c>
      <c r="N423" t="str">
        <f t="shared" si="152"/>
        <v/>
      </c>
      <c r="O423" t="str">
        <f>IF(ISBLANK(Impairment!J20),"",Impairment!J20)</f>
        <v/>
      </c>
      <c r="P423" t="str">
        <f t="shared" si="154"/>
        <v/>
      </c>
    </row>
    <row r="424" spans="1:16">
      <c r="A424" t="str">
        <f>IF(ISBLANK(Common!C$2),"",Common!C$2)</f>
        <v/>
      </c>
      <c r="B424" t="str">
        <f>IF(ISBLANK(Common!C$4),"",Common!C$4)</f>
        <v/>
      </c>
      <c r="C424" t="str">
        <f>IF(ISBLANK(Common!C$6),"",Common!C$6)</f>
        <v/>
      </c>
      <c r="D424" t="str">
        <f>IF(ISBLANK(Common!C$8),"",Common!C$8)</f>
        <v/>
      </c>
      <c r="E424" t="str">
        <f>IF(ISBLANK(Common!I$2),"",Common!I$2)</f>
        <v/>
      </c>
      <c r="F424" t="str">
        <f>IF(ISBLANK(Common!I$4),"",Common!I$4)</f>
        <v/>
      </c>
      <c r="G424" t="str">
        <f>IF(ISBLANK(Common!I$6),"",Common!I$6)</f>
        <v/>
      </c>
      <c r="H424" t="str">
        <f>IF(ISBLANK(Common!I$8),"",Common!I$8)</f>
        <v/>
      </c>
      <c r="I424" t="str">
        <f>IF(ISBLANK(Common!K$8),"",Common!K$8)</f>
        <v/>
      </c>
      <c r="J424" s="27" t="s">
        <v>81</v>
      </c>
      <c r="K424">
        <f t="shared" ref="K424" si="158">K416</f>
        <v>0</v>
      </c>
      <c r="L424" s="136">
        <f t="shared" si="100"/>
        <v>0</v>
      </c>
      <c r="M424" t="str">
        <f t="shared" si="152"/>
        <v/>
      </c>
      <c r="N424" t="str">
        <f t="shared" si="152"/>
        <v/>
      </c>
      <c r="O424" t="str">
        <f>IF(ISBLANK(Impairment!J21),"",Impairment!J21)</f>
        <v/>
      </c>
      <c r="P424" t="str">
        <f t="shared" si="154"/>
        <v/>
      </c>
    </row>
    <row r="425" spans="1:16">
      <c r="A425" t="str">
        <f>IF(ISBLANK(Common!C$2),"",Common!C$2)</f>
        <v/>
      </c>
      <c r="B425" t="str">
        <f>IF(ISBLANK(Common!C$4),"",Common!C$4)</f>
        <v/>
      </c>
      <c r="C425" t="str">
        <f>IF(ISBLANK(Common!C$6),"",Common!C$6)</f>
        <v/>
      </c>
      <c r="D425" t="str">
        <f>IF(ISBLANK(Common!C$8),"",Common!C$8)</f>
        <v/>
      </c>
      <c r="E425" t="str">
        <f>IF(ISBLANK(Common!I$2),"",Common!I$2)</f>
        <v/>
      </c>
      <c r="F425" t="str">
        <f>IF(ISBLANK(Common!I$4),"",Common!I$4)</f>
        <v/>
      </c>
      <c r="G425" t="str">
        <f>IF(ISBLANK(Common!I$6),"",Common!I$6)</f>
        <v/>
      </c>
      <c r="H425" t="str">
        <f>IF(ISBLANK(Common!I$8),"",Common!I$8)</f>
        <v/>
      </c>
      <c r="I425" t="str">
        <f>IF(ISBLANK(Common!K$8),"",Common!K$8)</f>
        <v/>
      </c>
      <c r="J425" s="27" t="s">
        <v>81</v>
      </c>
      <c r="K425">
        <f t="shared" ref="K425" si="159">K417</f>
        <v>0</v>
      </c>
      <c r="L425" s="136">
        <f t="shared" si="100"/>
        <v>0</v>
      </c>
      <c r="M425" t="str">
        <f t="shared" si="152"/>
        <v/>
      </c>
      <c r="N425" t="str">
        <f t="shared" si="152"/>
        <v/>
      </c>
      <c r="O425" t="str">
        <f>IF(ISBLANK(Impairment!J22),"",Impairment!J22)</f>
        <v/>
      </c>
      <c r="P425" t="str">
        <f t="shared" si="154"/>
        <v/>
      </c>
    </row>
    <row r="426" spans="1:16">
      <c r="A426" t="str">
        <f>IF(ISBLANK(Common!C$2),"",Common!C$2)</f>
        <v/>
      </c>
      <c r="B426" t="str">
        <f>IF(ISBLANK(Common!C$4),"",Common!C$4)</f>
        <v/>
      </c>
      <c r="C426" t="str">
        <f>IF(ISBLANK(Common!C$6),"",Common!C$6)</f>
        <v/>
      </c>
      <c r="D426" t="str">
        <f>IF(ISBLANK(Common!C$8),"",Common!C$8)</f>
        <v/>
      </c>
      <c r="E426" t="str">
        <f>IF(ISBLANK(Common!I$2),"",Common!I$2)</f>
        <v/>
      </c>
      <c r="F426" t="str">
        <f>IF(ISBLANK(Common!I$4),"",Common!I$4)</f>
        <v/>
      </c>
      <c r="G426" t="str">
        <f>IF(ISBLANK(Common!I$6),"",Common!I$6)</f>
        <v/>
      </c>
      <c r="H426" t="str">
        <f>IF(ISBLANK(Common!I$8),"",Common!I$8)</f>
        <v/>
      </c>
      <c r="I426" t="str">
        <f>IF(ISBLANK(Common!K$8),"",Common!K$8)</f>
        <v/>
      </c>
      <c r="J426" s="27" t="s">
        <v>81</v>
      </c>
      <c r="K426">
        <f t="shared" ref="K426" si="160">K418</f>
        <v>0</v>
      </c>
      <c r="L426" s="136">
        <f t="shared" si="100"/>
        <v>0</v>
      </c>
      <c r="M426" t="str">
        <f>IF(ISBLANK(Impairment!K12),"",Impairment!K12)</f>
        <v/>
      </c>
      <c r="N426" t="str">
        <f>IF(ISBLANK(Impairment!K13),"",Impairment!K13)</f>
        <v/>
      </c>
      <c r="O426" t="str">
        <f>IF(ISBLANK(Impairment!K15),"",Impairment!K15)</f>
        <v/>
      </c>
      <c r="P426" t="str">
        <f>IF(ISBLANK(Impairment!K23),"",Impairment!K23)</f>
        <v/>
      </c>
    </row>
    <row r="427" spans="1:16">
      <c r="A427" t="str">
        <f>IF(ISBLANK(Common!C$2),"",Common!C$2)</f>
        <v/>
      </c>
      <c r="B427" t="str">
        <f>IF(ISBLANK(Common!C$4),"",Common!C$4)</f>
        <v/>
      </c>
      <c r="C427" t="str">
        <f>IF(ISBLANK(Common!C$6),"",Common!C$6)</f>
        <v/>
      </c>
      <c r="D427" t="str">
        <f>IF(ISBLANK(Common!C$8),"",Common!C$8)</f>
        <v/>
      </c>
      <c r="E427" t="str">
        <f>IF(ISBLANK(Common!I$2),"",Common!I$2)</f>
        <v/>
      </c>
      <c r="F427" t="str">
        <f>IF(ISBLANK(Common!I$4),"",Common!I$4)</f>
        <v/>
      </c>
      <c r="G427" t="str">
        <f>IF(ISBLANK(Common!I$6),"",Common!I$6)</f>
        <v/>
      </c>
      <c r="H427" t="str">
        <f>IF(ISBLANK(Common!I$8),"",Common!I$8)</f>
        <v/>
      </c>
      <c r="I427" t="str">
        <f>IF(ISBLANK(Common!K$8),"",Common!K$8)</f>
        <v/>
      </c>
      <c r="J427" s="27" t="s">
        <v>81</v>
      </c>
      <c r="K427">
        <f t="shared" ref="K427" si="161">K419</f>
        <v>0</v>
      </c>
      <c r="L427" s="136">
        <f t="shared" si="100"/>
        <v>0</v>
      </c>
      <c r="M427" t="str">
        <f t="shared" ref="M427:N433" si="162">M426</f>
        <v/>
      </c>
      <c r="N427" t="str">
        <f t="shared" si="162"/>
        <v/>
      </c>
      <c r="O427" t="str">
        <f>IF(ISBLANK(Impairment!K16),"",Impairment!K16)</f>
        <v/>
      </c>
      <c r="P427" t="str">
        <f>P426</f>
        <v/>
      </c>
    </row>
    <row r="428" spans="1:16">
      <c r="A428" t="str">
        <f>IF(ISBLANK(Common!C$2),"",Common!C$2)</f>
        <v/>
      </c>
      <c r="B428" t="str">
        <f>IF(ISBLANK(Common!C$4),"",Common!C$4)</f>
        <v/>
      </c>
      <c r="C428" t="str">
        <f>IF(ISBLANK(Common!C$6),"",Common!C$6)</f>
        <v/>
      </c>
      <c r="D428" t="str">
        <f>IF(ISBLANK(Common!C$8),"",Common!C$8)</f>
        <v/>
      </c>
      <c r="E428" t="str">
        <f>IF(ISBLANK(Common!I$2),"",Common!I$2)</f>
        <v/>
      </c>
      <c r="F428" t="str">
        <f>IF(ISBLANK(Common!I$4),"",Common!I$4)</f>
        <v/>
      </c>
      <c r="G428" t="str">
        <f>IF(ISBLANK(Common!I$6),"",Common!I$6)</f>
        <v/>
      </c>
      <c r="H428" t="str">
        <f>IF(ISBLANK(Common!I$8),"",Common!I$8)</f>
        <v/>
      </c>
      <c r="I428" t="str">
        <f>IF(ISBLANK(Common!K$8),"",Common!K$8)</f>
        <v/>
      </c>
      <c r="J428" s="27" t="s">
        <v>81</v>
      </c>
      <c r="K428">
        <f t="shared" ref="K428" si="163">K420</f>
        <v>0</v>
      </c>
      <c r="L428" s="136">
        <f t="shared" si="100"/>
        <v>0</v>
      </c>
      <c r="M428" t="str">
        <f t="shared" si="162"/>
        <v/>
      </c>
      <c r="N428" t="str">
        <f t="shared" si="162"/>
        <v/>
      </c>
      <c r="O428" t="str">
        <f>IF(ISBLANK(Impairment!K17),"",Impairment!K17)</f>
        <v/>
      </c>
      <c r="P428" t="str">
        <f t="shared" ref="P428:P433" si="164">P427</f>
        <v/>
      </c>
    </row>
    <row r="429" spans="1:16">
      <c r="A429" t="str">
        <f>IF(ISBLANK(Common!C$2),"",Common!C$2)</f>
        <v/>
      </c>
      <c r="B429" t="str">
        <f>IF(ISBLANK(Common!C$4),"",Common!C$4)</f>
        <v/>
      </c>
      <c r="C429" t="str">
        <f>IF(ISBLANK(Common!C$6),"",Common!C$6)</f>
        <v/>
      </c>
      <c r="D429" t="str">
        <f>IF(ISBLANK(Common!C$8),"",Common!C$8)</f>
        <v/>
      </c>
      <c r="E429" t="str">
        <f>IF(ISBLANK(Common!I$2),"",Common!I$2)</f>
        <v/>
      </c>
      <c r="F429" t="str">
        <f>IF(ISBLANK(Common!I$4),"",Common!I$4)</f>
        <v/>
      </c>
      <c r="G429" t="str">
        <f>IF(ISBLANK(Common!I$6),"",Common!I$6)</f>
        <v/>
      </c>
      <c r="H429" t="str">
        <f>IF(ISBLANK(Common!I$8),"",Common!I$8)</f>
        <v/>
      </c>
      <c r="I429" t="str">
        <f>IF(ISBLANK(Common!K$8),"",Common!K$8)</f>
        <v/>
      </c>
      <c r="J429" s="27" t="s">
        <v>81</v>
      </c>
      <c r="K429">
        <f t="shared" ref="K429" si="165">K421</f>
        <v>0</v>
      </c>
      <c r="L429" s="136">
        <f t="shared" si="100"/>
        <v>0</v>
      </c>
      <c r="M429" t="str">
        <f t="shared" si="162"/>
        <v/>
      </c>
      <c r="N429" t="str">
        <f t="shared" si="162"/>
        <v/>
      </c>
      <c r="O429" t="str">
        <f>IF(ISBLANK(Impairment!K18),"",Impairment!K18)</f>
        <v/>
      </c>
      <c r="P429" t="str">
        <f t="shared" si="164"/>
        <v/>
      </c>
    </row>
    <row r="430" spans="1:16">
      <c r="A430" t="str">
        <f>IF(ISBLANK(Common!C$2),"",Common!C$2)</f>
        <v/>
      </c>
      <c r="B430" t="str">
        <f>IF(ISBLANK(Common!C$4),"",Common!C$4)</f>
        <v/>
      </c>
      <c r="C430" t="str">
        <f>IF(ISBLANK(Common!C$6),"",Common!C$6)</f>
        <v/>
      </c>
      <c r="D430" t="str">
        <f>IF(ISBLANK(Common!C$8),"",Common!C$8)</f>
        <v/>
      </c>
      <c r="E430" t="str">
        <f>IF(ISBLANK(Common!I$2),"",Common!I$2)</f>
        <v/>
      </c>
      <c r="F430" t="str">
        <f>IF(ISBLANK(Common!I$4),"",Common!I$4)</f>
        <v/>
      </c>
      <c r="G430" t="str">
        <f>IF(ISBLANK(Common!I$6),"",Common!I$6)</f>
        <v/>
      </c>
      <c r="H430" t="str">
        <f>IF(ISBLANK(Common!I$8),"",Common!I$8)</f>
        <v/>
      </c>
      <c r="I430" t="str">
        <f>IF(ISBLANK(Common!K$8),"",Common!K$8)</f>
        <v/>
      </c>
      <c r="J430" s="27" t="s">
        <v>81</v>
      </c>
      <c r="K430">
        <f t="shared" ref="K430" si="166">K422</f>
        <v>0</v>
      </c>
      <c r="L430" s="136">
        <f t="shared" si="100"/>
        <v>0</v>
      </c>
      <c r="M430" t="str">
        <f t="shared" si="162"/>
        <v/>
      </c>
      <c r="N430" t="str">
        <f t="shared" si="162"/>
        <v/>
      </c>
      <c r="O430" t="str">
        <f>IF(ISBLANK(Impairment!K19),"",Impairment!K19)</f>
        <v/>
      </c>
      <c r="P430" t="str">
        <f t="shared" si="164"/>
        <v/>
      </c>
    </row>
    <row r="431" spans="1:16">
      <c r="A431" t="str">
        <f>IF(ISBLANK(Common!C$2),"",Common!C$2)</f>
        <v/>
      </c>
      <c r="B431" t="str">
        <f>IF(ISBLANK(Common!C$4),"",Common!C$4)</f>
        <v/>
      </c>
      <c r="C431" t="str">
        <f>IF(ISBLANK(Common!C$6),"",Common!C$6)</f>
        <v/>
      </c>
      <c r="D431" t="str">
        <f>IF(ISBLANK(Common!C$8),"",Common!C$8)</f>
        <v/>
      </c>
      <c r="E431" t="str">
        <f>IF(ISBLANK(Common!I$2),"",Common!I$2)</f>
        <v/>
      </c>
      <c r="F431" t="str">
        <f>IF(ISBLANK(Common!I$4),"",Common!I$4)</f>
        <v/>
      </c>
      <c r="G431" t="str">
        <f>IF(ISBLANK(Common!I$6),"",Common!I$6)</f>
        <v/>
      </c>
      <c r="H431" t="str">
        <f>IF(ISBLANK(Common!I$8),"",Common!I$8)</f>
        <v/>
      </c>
      <c r="I431" t="str">
        <f>IF(ISBLANK(Common!K$8),"",Common!K$8)</f>
        <v/>
      </c>
      <c r="J431" s="27" t="s">
        <v>81</v>
      </c>
      <c r="K431">
        <f t="shared" ref="K431" si="167">K423</f>
        <v>0</v>
      </c>
      <c r="L431" s="136">
        <f t="shared" si="100"/>
        <v>0</v>
      </c>
      <c r="M431" t="str">
        <f t="shared" si="162"/>
        <v/>
      </c>
      <c r="N431" t="str">
        <f t="shared" si="162"/>
        <v/>
      </c>
      <c r="O431" t="str">
        <f>IF(ISBLANK(Impairment!K20),"",Impairment!K20)</f>
        <v/>
      </c>
      <c r="P431" t="str">
        <f t="shared" si="164"/>
        <v/>
      </c>
    </row>
    <row r="432" spans="1:16">
      <c r="A432" t="str">
        <f>IF(ISBLANK(Common!C$2),"",Common!C$2)</f>
        <v/>
      </c>
      <c r="B432" t="str">
        <f>IF(ISBLANK(Common!C$4),"",Common!C$4)</f>
        <v/>
      </c>
      <c r="C432" t="str">
        <f>IF(ISBLANK(Common!C$6),"",Common!C$6)</f>
        <v/>
      </c>
      <c r="D432" t="str">
        <f>IF(ISBLANK(Common!C$8),"",Common!C$8)</f>
        <v/>
      </c>
      <c r="E432" t="str">
        <f>IF(ISBLANK(Common!I$2),"",Common!I$2)</f>
        <v/>
      </c>
      <c r="F432" t="str">
        <f>IF(ISBLANK(Common!I$4),"",Common!I$4)</f>
        <v/>
      </c>
      <c r="G432" t="str">
        <f>IF(ISBLANK(Common!I$6),"",Common!I$6)</f>
        <v/>
      </c>
      <c r="H432" t="str">
        <f>IF(ISBLANK(Common!I$8),"",Common!I$8)</f>
        <v/>
      </c>
      <c r="I432" t="str">
        <f>IF(ISBLANK(Common!K$8),"",Common!K$8)</f>
        <v/>
      </c>
      <c r="J432" s="27" t="s">
        <v>81</v>
      </c>
      <c r="K432">
        <f t="shared" ref="K432" si="168">K424</f>
        <v>0</v>
      </c>
      <c r="L432" s="136">
        <f t="shared" si="100"/>
        <v>0</v>
      </c>
      <c r="M432" t="str">
        <f t="shared" si="162"/>
        <v/>
      </c>
      <c r="N432" t="str">
        <f t="shared" si="162"/>
        <v/>
      </c>
      <c r="O432" t="str">
        <f>IF(ISBLANK(Impairment!K21),"",Impairment!K21)</f>
        <v/>
      </c>
      <c r="P432" t="str">
        <f t="shared" si="164"/>
        <v/>
      </c>
    </row>
    <row r="433" spans="1:16">
      <c r="A433" t="str">
        <f>IF(ISBLANK(Common!C$2),"",Common!C$2)</f>
        <v/>
      </c>
      <c r="B433" t="str">
        <f>IF(ISBLANK(Common!C$4),"",Common!C$4)</f>
        <v/>
      </c>
      <c r="C433" t="str">
        <f>IF(ISBLANK(Common!C$6),"",Common!C$6)</f>
        <v/>
      </c>
      <c r="D433" t="str">
        <f>IF(ISBLANK(Common!C$8),"",Common!C$8)</f>
        <v/>
      </c>
      <c r="E433" t="str">
        <f>IF(ISBLANK(Common!I$2),"",Common!I$2)</f>
        <v/>
      </c>
      <c r="F433" t="str">
        <f>IF(ISBLANK(Common!I$4),"",Common!I$4)</f>
        <v/>
      </c>
      <c r="G433" t="str">
        <f>IF(ISBLANK(Common!I$6),"",Common!I$6)</f>
        <v/>
      </c>
      <c r="H433" t="str">
        <f>IF(ISBLANK(Common!I$8),"",Common!I$8)</f>
        <v/>
      </c>
      <c r="I433" t="str">
        <f>IF(ISBLANK(Common!K$8),"",Common!K$8)</f>
        <v/>
      </c>
      <c r="J433" s="27" t="s">
        <v>81</v>
      </c>
      <c r="K433">
        <f t="shared" ref="K433" si="169">K425</f>
        <v>0</v>
      </c>
      <c r="L433" s="136">
        <f t="shared" si="100"/>
        <v>0</v>
      </c>
      <c r="M433" t="str">
        <f t="shared" si="162"/>
        <v/>
      </c>
      <c r="N433" t="str">
        <f t="shared" si="162"/>
        <v/>
      </c>
      <c r="O433" t="str">
        <f>IF(ISBLANK(Impairment!K22),"",Impairment!K22)</f>
        <v/>
      </c>
      <c r="P433" t="str">
        <f t="shared" si="164"/>
        <v/>
      </c>
    </row>
    <row r="434" spans="1:16">
      <c r="A434" t="str">
        <f>IF(ISBLANK(Common!C$2),"",Common!C$2)</f>
        <v/>
      </c>
      <c r="B434" t="str">
        <f>IF(ISBLANK(Common!C$4),"",Common!C$4)</f>
        <v/>
      </c>
      <c r="C434" t="str">
        <f>IF(ISBLANK(Common!C$6),"",Common!C$6)</f>
        <v/>
      </c>
      <c r="D434" t="str">
        <f>IF(ISBLANK(Common!C$8),"",Common!C$8)</f>
        <v/>
      </c>
      <c r="E434" t="str">
        <f>IF(ISBLANK(Common!I$2),"",Common!I$2)</f>
        <v/>
      </c>
      <c r="F434" t="str">
        <f>IF(ISBLANK(Common!I$4),"",Common!I$4)</f>
        <v/>
      </c>
      <c r="G434" t="str">
        <f>IF(ISBLANK(Common!I$6),"",Common!I$6)</f>
        <v/>
      </c>
      <c r="H434" t="str">
        <f>IF(ISBLANK(Common!I$8),"",Common!I$8)</f>
        <v/>
      </c>
      <c r="I434" t="str">
        <f>IF(ISBLANK(Common!K$8),"",Common!K$8)</f>
        <v/>
      </c>
      <c r="J434" s="27" t="s">
        <v>81</v>
      </c>
      <c r="K434">
        <f t="shared" ref="K434" si="170">K426</f>
        <v>0</v>
      </c>
      <c r="L434" s="136">
        <f t="shared" si="100"/>
        <v>0</v>
      </c>
      <c r="M434" t="str">
        <f>IF(ISBLANK(Impairment!L12),"",Impairment!L12)</f>
        <v/>
      </c>
      <c r="N434" t="str">
        <f>IF(ISBLANK(Impairment!L13),"",Impairment!L13)</f>
        <v/>
      </c>
      <c r="O434" t="str">
        <f>IF(ISBLANK(Impairment!L15),"",Impairment!L15)</f>
        <v/>
      </c>
      <c r="P434" t="str">
        <f>IF(ISBLANK(Impairment!L23),"",Impairment!L23)</f>
        <v/>
      </c>
    </row>
    <row r="435" spans="1:16">
      <c r="A435" t="str">
        <f>IF(ISBLANK(Common!C$2),"",Common!C$2)</f>
        <v/>
      </c>
      <c r="B435" t="str">
        <f>IF(ISBLANK(Common!C$4),"",Common!C$4)</f>
        <v/>
      </c>
      <c r="C435" t="str">
        <f>IF(ISBLANK(Common!C$6),"",Common!C$6)</f>
        <v/>
      </c>
      <c r="D435" t="str">
        <f>IF(ISBLANK(Common!C$8),"",Common!C$8)</f>
        <v/>
      </c>
      <c r="E435" t="str">
        <f>IF(ISBLANK(Common!I$2),"",Common!I$2)</f>
        <v/>
      </c>
      <c r="F435" t="str">
        <f>IF(ISBLANK(Common!I$4),"",Common!I$4)</f>
        <v/>
      </c>
      <c r="G435" t="str">
        <f>IF(ISBLANK(Common!I$6),"",Common!I$6)</f>
        <v/>
      </c>
      <c r="H435" t="str">
        <f>IF(ISBLANK(Common!I$8),"",Common!I$8)</f>
        <v/>
      </c>
      <c r="I435" t="str">
        <f>IF(ISBLANK(Common!K$8),"",Common!K$8)</f>
        <v/>
      </c>
      <c r="J435" s="27" t="s">
        <v>81</v>
      </c>
      <c r="K435">
        <f t="shared" ref="K435" si="171">K427</f>
        <v>0</v>
      </c>
      <c r="L435" s="136">
        <f t="shared" si="100"/>
        <v>0</v>
      </c>
      <c r="M435" t="str">
        <f t="shared" ref="M435:N441" si="172">M434</f>
        <v/>
      </c>
      <c r="N435" t="str">
        <f t="shared" si="172"/>
        <v/>
      </c>
      <c r="O435" t="str">
        <f>IF(ISBLANK(Impairment!L16),"",Impairment!L16)</f>
        <v/>
      </c>
      <c r="P435" t="str">
        <f>P434</f>
        <v/>
      </c>
    </row>
    <row r="436" spans="1:16">
      <c r="A436" t="str">
        <f>IF(ISBLANK(Common!C$2),"",Common!C$2)</f>
        <v/>
      </c>
      <c r="B436" t="str">
        <f>IF(ISBLANK(Common!C$4),"",Common!C$4)</f>
        <v/>
      </c>
      <c r="C436" t="str">
        <f>IF(ISBLANK(Common!C$6),"",Common!C$6)</f>
        <v/>
      </c>
      <c r="D436" t="str">
        <f>IF(ISBLANK(Common!C$8),"",Common!C$8)</f>
        <v/>
      </c>
      <c r="E436" t="str">
        <f>IF(ISBLANK(Common!I$2),"",Common!I$2)</f>
        <v/>
      </c>
      <c r="F436" t="str">
        <f>IF(ISBLANK(Common!I$4),"",Common!I$4)</f>
        <v/>
      </c>
      <c r="G436" t="str">
        <f>IF(ISBLANK(Common!I$6),"",Common!I$6)</f>
        <v/>
      </c>
      <c r="H436" t="str">
        <f>IF(ISBLANK(Common!I$8),"",Common!I$8)</f>
        <v/>
      </c>
      <c r="I436" t="str">
        <f>IF(ISBLANK(Common!K$8),"",Common!K$8)</f>
        <v/>
      </c>
      <c r="J436" s="27" t="s">
        <v>81</v>
      </c>
      <c r="K436">
        <f t="shared" ref="K436" si="173">K428</f>
        <v>0</v>
      </c>
      <c r="L436" s="136">
        <f t="shared" si="100"/>
        <v>0</v>
      </c>
      <c r="M436" t="str">
        <f t="shared" si="172"/>
        <v/>
      </c>
      <c r="N436" t="str">
        <f t="shared" si="172"/>
        <v/>
      </c>
      <c r="O436" t="str">
        <f>IF(ISBLANK(Impairment!L17),"",Impairment!L17)</f>
        <v/>
      </c>
      <c r="P436" t="str">
        <f t="shared" ref="P436:P441" si="174">P435</f>
        <v/>
      </c>
    </row>
    <row r="437" spans="1:16">
      <c r="A437" t="str">
        <f>IF(ISBLANK(Common!C$2),"",Common!C$2)</f>
        <v/>
      </c>
      <c r="B437" t="str">
        <f>IF(ISBLANK(Common!C$4),"",Common!C$4)</f>
        <v/>
      </c>
      <c r="C437" t="str">
        <f>IF(ISBLANK(Common!C$6),"",Common!C$6)</f>
        <v/>
      </c>
      <c r="D437" t="str">
        <f>IF(ISBLANK(Common!C$8),"",Common!C$8)</f>
        <v/>
      </c>
      <c r="E437" t="str">
        <f>IF(ISBLANK(Common!I$2),"",Common!I$2)</f>
        <v/>
      </c>
      <c r="F437" t="str">
        <f>IF(ISBLANK(Common!I$4),"",Common!I$4)</f>
        <v/>
      </c>
      <c r="G437" t="str">
        <f>IF(ISBLANK(Common!I$6),"",Common!I$6)</f>
        <v/>
      </c>
      <c r="H437" t="str">
        <f>IF(ISBLANK(Common!I$8),"",Common!I$8)</f>
        <v/>
      </c>
      <c r="I437" t="str">
        <f>IF(ISBLANK(Common!K$8),"",Common!K$8)</f>
        <v/>
      </c>
      <c r="J437" s="27" t="s">
        <v>81</v>
      </c>
      <c r="K437">
        <f t="shared" ref="K437" si="175">K429</f>
        <v>0</v>
      </c>
      <c r="L437" s="136">
        <f t="shared" si="100"/>
        <v>0</v>
      </c>
      <c r="M437" t="str">
        <f t="shared" si="172"/>
        <v/>
      </c>
      <c r="N437" t="str">
        <f t="shared" si="172"/>
        <v/>
      </c>
      <c r="O437" t="str">
        <f>IF(ISBLANK(Impairment!L18),"",Impairment!L18)</f>
        <v/>
      </c>
      <c r="P437" t="str">
        <f t="shared" si="174"/>
        <v/>
      </c>
    </row>
    <row r="438" spans="1:16">
      <c r="A438" t="str">
        <f>IF(ISBLANK(Common!C$2),"",Common!C$2)</f>
        <v/>
      </c>
      <c r="B438" t="str">
        <f>IF(ISBLANK(Common!C$4),"",Common!C$4)</f>
        <v/>
      </c>
      <c r="C438" t="str">
        <f>IF(ISBLANK(Common!C$6),"",Common!C$6)</f>
        <v/>
      </c>
      <c r="D438" t="str">
        <f>IF(ISBLANK(Common!C$8),"",Common!C$8)</f>
        <v/>
      </c>
      <c r="E438" t="str">
        <f>IF(ISBLANK(Common!I$2),"",Common!I$2)</f>
        <v/>
      </c>
      <c r="F438" t="str">
        <f>IF(ISBLANK(Common!I$4),"",Common!I$4)</f>
        <v/>
      </c>
      <c r="G438" t="str">
        <f>IF(ISBLANK(Common!I$6),"",Common!I$6)</f>
        <v/>
      </c>
      <c r="H438" t="str">
        <f>IF(ISBLANK(Common!I$8),"",Common!I$8)</f>
        <v/>
      </c>
      <c r="I438" t="str">
        <f>IF(ISBLANK(Common!K$8),"",Common!K$8)</f>
        <v/>
      </c>
      <c r="J438" s="27" t="s">
        <v>81</v>
      </c>
      <c r="K438">
        <f t="shared" ref="K438" si="176">K430</f>
        <v>0</v>
      </c>
      <c r="L438" s="136">
        <f t="shared" si="100"/>
        <v>0</v>
      </c>
      <c r="M438" t="str">
        <f t="shared" si="172"/>
        <v/>
      </c>
      <c r="N438" t="str">
        <f t="shared" si="172"/>
        <v/>
      </c>
      <c r="O438" t="str">
        <f>IF(ISBLANK(Impairment!L19),"",Impairment!L19)</f>
        <v/>
      </c>
      <c r="P438" t="str">
        <f t="shared" si="174"/>
        <v/>
      </c>
    </row>
    <row r="439" spans="1:16">
      <c r="A439" t="str">
        <f>IF(ISBLANK(Common!C$2),"",Common!C$2)</f>
        <v/>
      </c>
      <c r="B439" t="str">
        <f>IF(ISBLANK(Common!C$4),"",Common!C$4)</f>
        <v/>
      </c>
      <c r="C439" t="str">
        <f>IF(ISBLANK(Common!C$6),"",Common!C$6)</f>
        <v/>
      </c>
      <c r="D439" t="str">
        <f>IF(ISBLANK(Common!C$8),"",Common!C$8)</f>
        <v/>
      </c>
      <c r="E439" t="str">
        <f>IF(ISBLANK(Common!I$2),"",Common!I$2)</f>
        <v/>
      </c>
      <c r="F439" t="str">
        <f>IF(ISBLANK(Common!I$4),"",Common!I$4)</f>
        <v/>
      </c>
      <c r="G439" t="str">
        <f>IF(ISBLANK(Common!I$6),"",Common!I$6)</f>
        <v/>
      </c>
      <c r="H439" t="str">
        <f>IF(ISBLANK(Common!I$8),"",Common!I$8)</f>
        <v/>
      </c>
      <c r="I439" t="str">
        <f>IF(ISBLANK(Common!K$8),"",Common!K$8)</f>
        <v/>
      </c>
      <c r="J439" s="27" t="s">
        <v>81</v>
      </c>
      <c r="K439">
        <f t="shared" ref="K439" si="177">K431</f>
        <v>0</v>
      </c>
      <c r="L439" s="136">
        <f t="shared" si="100"/>
        <v>0</v>
      </c>
      <c r="M439" t="str">
        <f t="shared" si="172"/>
        <v/>
      </c>
      <c r="N439" t="str">
        <f t="shared" si="172"/>
        <v/>
      </c>
      <c r="O439" t="str">
        <f>IF(ISBLANK(Impairment!L20),"",Impairment!L20)</f>
        <v/>
      </c>
      <c r="P439" t="str">
        <f t="shared" si="174"/>
        <v/>
      </c>
    </row>
    <row r="440" spans="1:16">
      <c r="A440" t="str">
        <f>IF(ISBLANK(Common!C$2),"",Common!C$2)</f>
        <v/>
      </c>
      <c r="B440" t="str">
        <f>IF(ISBLANK(Common!C$4),"",Common!C$4)</f>
        <v/>
      </c>
      <c r="C440" t="str">
        <f>IF(ISBLANK(Common!C$6),"",Common!C$6)</f>
        <v/>
      </c>
      <c r="D440" t="str">
        <f>IF(ISBLANK(Common!C$8),"",Common!C$8)</f>
        <v/>
      </c>
      <c r="E440" t="str">
        <f>IF(ISBLANK(Common!I$2),"",Common!I$2)</f>
        <v/>
      </c>
      <c r="F440" t="str">
        <f>IF(ISBLANK(Common!I$4),"",Common!I$4)</f>
        <v/>
      </c>
      <c r="G440" t="str">
        <f>IF(ISBLANK(Common!I$6),"",Common!I$6)</f>
        <v/>
      </c>
      <c r="H440" t="str">
        <f>IF(ISBLANK(Common!I$8),"",Common!I$8)</f>
        <v/>
      </c>
      <c r="I440" t="str">
        <f>IF(ISBLANK(Common!K$8),"",Common!K$8)</f>
        <v/>
      </c>
      <c r="J440" s="27" t="s">
        <v>81</v>
      </c>
      <c r="K440">
        <f t="shared" ref="K440" si="178">K432</f>
        <v>0</v>
      </c>
      <c r="L440" s="136">
        <f t="shared" si="100"/>
        <v>0</v>
      </c>
      <c r="M440" t="str">
        <f t="shared" si="172"/>
        <v/>
      </c>
      <c r="N440" t="str">
        <f t="shared" si="172"/>
        <v/>
      </c>
      <c r="O440" t="str">
        <f>IF(ISBLANK(Impairment!L21),"",Impairment!L21)</f>
        <v/>
      </c>
      <c r="P440" t="str">
        <f t="shared" si="174"/>
        <v/>
      </c>
    </row>
    <row r="441" spans="1:16">
      <c r="A441" t="str">
        <f>IF(ISBLANK(Common!C$2),"",Common!C$2)</f>
        <v/>
      </c>
      <c r="B441" t="str">
        <f>IF(ISBLANK(Common!C$4),"",Common!C$4)</f>
        <v/>
      </c>
      <c r="C441" t="str">
        <f>IF(ISBLANK(Common!C$6),"",Common!C$6)</f>
        <v/>
      </c>
      <c r="D441" t="str">
        <f>IF(ISBLANK(Common!C$8),"",Common!C$8)</f>
        <v/>
      </c>
      <c r="E441" t="str">
        <f>IF(ISBLANK(Common!I$2),"",Common!I$2)</f>
        <v/>
      </c>
      <c r="F441" t="str">
        <f>IF(ISBLANK(Common!I$4),"",Common!I$4)</f>
        <v/>
      </c>
      <c r="G441" t="str">
        <f>IF(ISBLANK(Common!I$6),"",Common!I$6)</f>
        <v/>
      </c>
      <c r="H441" t="str">
        <f>IF(ISBLANK(Common!I$8),"",Common!I$8)</f>
        <v/>
      </c>
      <c r="I441" t="str">
        <f>IF(ISBLANK(Common!K$8),"",Common!K$8)</f>
        <v/>
      </c>
      <c r="J441" s="27" t="s">
        <v>81</v>
      </c>
      <c r="K441">
        <f t="shared" ref="K441" si="179">K433</f>
        <v>0</v>
      </c>
      <c r="L441" s="136">
        <f t="shared" si="100"/>
        <v>0</v>
      </c>
      <c r="M441" t="str">
        <f t="shared" si="172"/>
        <v/>
      </c>
      <c r="N441" t="str">
        <f t="shared" si="172"/>
        <v/>
      </c>
      <c r="O441" t="str">
        <f>IF(ISBLANK(Impairment!L22),"",Impairment!L22)</f>
        <v/>
      </c>
      <c r="P441" t="str">
        <f t="shared" si="174"/>
        <v/>
      </c>
    </row>
    <row r="442" spans="1:16">
      <c r="A442" t="str">
        <f>IF(ISBLANK(Common!C$2),"",Common!C$2)</f>
        <v/>
      </c>
      <c r="B442" t="str">
        <f>IF(ISBLANK(Common!C$4),"",Common!C$4)</f>
        <v/>
      </c>
      <c r="C442" t="str">
        <f>IF(ISBLANK(Common!C$6),"",Common!C$6)</f>
        <v/>
      </c>
      <c r="D442" t="str">
        <f>IF(ISBLANK(Common!C$8),"",Common!C$8)</f>
        <v/>
      </c>
      <c r="E442" t="str">
        <f>IF(ISBLANK(Common!I$2),"",Common!I$2)</f>
        <v/>
      </c>
      <c r="F442" t="str">
        <f>IF(ISBLANK(Common!I$4),"",Common!I$4)</f>
        <v/>
      </c>
      <c r="G442" t="str">
        <f>IF(ISBLANK(Common!I$6),"",Common!I$6)</f>
        <v/>
      </c>
      <c r="H442" t="str">
        <f>IF(ISBLANK(Common!I$8),"",Common!I$8)</f>
        <v/>
      </c>
      <c r="I442" t="str">
        <f>IF(ISBLANK(Common!K$8),"",Common!K$8)</f>
        <v/>
      </c>
      <c r="J442" s="27" t="s">
        <v>81</v>
      </c>
      <c r="K442">
        <f t="shared" ref="K442:L442" si="180">K434</f>
        <v>0</v>
      </c>
      <c r="L442" s="136">
        <f t="shared" si="180"/>
        <v>0</v>
      </c>
      <c r="M442" t="str">
        <f>IF(ISBLANK(Impairment!M12),"",Impairment!M12)</f>
        <v/>
      </c>
      <c r="N442" t="str">
        <f>IF(ISBLANK(Impairment!M13),"",Impairment!M13)</f>
        <v/>
      </c>
      <c r="O442" t="str">
        <f>IF(ISBLANK(Impairment!M15),"",Impairment!M15)</f>
        <v/>
      </c>
      <c r="P442" t="str">
        <f>IF(ISBLANK(Impairment!M23),"",Impairment!M23)</f>
        <v/>
      </c>
    </row>
    <row r="443" spans="1:16">
      <c r="A443" t="str">
        <f>IF(ISBLANK(Common!C$2),"",Common!C$2)</f>
        <v/>
      </c>
      <c r="B443" t="str">
        <f>IF(ISBLANK(Common!C$4),"",Common!C$4)</f>
        <v/>
      </c>
      <c r="C443" t="str">
        <f>IF(ISBLANK(Common!C$6),"",Common!C$6)</f>
        <v/>
      </c>
      <c r="D443" t="str">
        <f>IF(ISBLANK(Common!C$8),"",Common!C$8)</f>
        <v/>
      </c>
      <c r="E443" t="str">
        <f>IF(ISBLANK(Common!I$2),"",Common!I$2)</f>
        <v/>
      </c>
      <c r="F443" t="str">
        <f>IF(ISBLANK(Common!I$4),"",Common!I$4)</f>
        <v/>
      </c>
      <c r="G443" t="str">
        <f>IF(ISBLANK(Common!I$6),"",Common!I$6)</f>
        <v/>
      </c>
      <c r="H443" t="str">
        <f>IF(ISBLANK(Common!I$8),"",Common!I$8)</f>
        <v/>
      </c>
      <c r="I443" t="str">
        <f>IF(ISBLANK(Common!K$8),"",Common!K$8)</f>
        <v/>
      </c>
      <c r="J443" s="27" t="s">
        <v>81</v>
      </c>
      <c r="K443">
        <f t="shared" ref="K443:L443" si="181">K435</f>
        <v>0</v>
      </c>
      <c r="L443" s="136">
        <f t="shared" si="181"/>
        <v>0</v>
      </c>
      <c r="M443" t="str">
        <f t="shared" ref="M443:N449" si="182">M442</f>
        <v/>
      </c>
      <c r="N443" t="str">
        <f t="shared" si="182"/>
        <v/>
      </c>
      <c r="O443" t="str">
        <f>IF(ISBLANK(Impairment!M16),"",Impairment!M16)</f>
        <v/>
      </c>
      <c r="P443" t="str">
        <f>P442</f>
        <v/>
      </c>
    </row>
    <row r="444" spans="1:16">
      <c r="A444" t="str">
        <f>IF(ISBLANK(Common!C$2),"",Common!C$2)</f>
        <v/>
      </c>
      <c r="B444" t="str">
        <f>IF(ISBLANK(Common!C$4),"",Common!C$4)</f>
        <v/>
      </c>
      <c r="C444" t="str">
        <f>IF(ISBLANK(Common!C$6),"",Common!C$6)</f>
        <v/>
      </c>
      <c r="D444" t="str">
        <f>IF(ISBLANK(Common!C$8),"",Common!C$8)</f>
        <v/>
      </c>
      <c r="E444" t="str">
        <f>IF(ISBLANK(Common!I$2),"",Common!I$2)</f>
        <v/>
      </c>
      <c r="F444" t="str">
        <f>IF(ISBLANK(Common!I$4),"",Common!I$4)</f>
        <v/>
      </c>
      <c r="G444" t="str">
        <f>IF(ISBLANK(Common!I$6),"",Common!I$6)</f>
        <v/>
      </c>
      <c r="H444" t="str">
        <f>IF(ISBLANK(Common!I$8),"",Common!I$8)</f>
        <v/>
      </c>
      <c r="I444" t="str">
        <f>IF(ISBLANK(Common!K$8),"",Common!K$8)</f>
        <v/>
      </c>
      <c r="J444" s="27" t="s">
        <v>81</v>
      </c>
      <c r="K444">
        <f t="shared" ref="K444:L444" si="183">K436</f>
        <v>0</v>
      </c>
      <c r="L444" s="136">
        <f t="shared" si="183"/>
        <v>0</v>
      </c>
      <c r="M444" t="str">
        <f t="shared" si="182"/>
        <v/>
      </c>
      <c r="N444" t="str">
        <f t="shared" si="182"/>
        <v/>
      </c>
      <c r="O444" t="str">
        <f>IF(ISBLANK(Impairment!M17),"",Impairment!M17)</f>
        <v/>
      </c>
      <c r="P444" t="str">
        <f t="shared" ref="P444:P449" si="184">P443</f>
        <v/>
      </c>
    </row>
    <row r="445" spans="1:16">
      <c r="A445" t="str">
        <f>IF(ISBLANK(Common!C$2),"",Common!C$2)</f>
        <v/>
      </c>
      <c r="B445" t="str">
        <f>IF(ISBLANK(Common!C$4),"",Common!C$4)</f>
        <v/>
      </c>
      <c r="C445" t="str">
        <f>IF(ISBLANK(Common!C$6),"",Common!C$6)</f>
        <v/>
      </c>
      <c r="D445" t="str">
        <f>IF(ISBLANK(Common!C$8),"",Common!C$8)</f>
        <v/>
      </c>
      <c r="E445" t="str">
        <f>IF(ISBLANK(Common!I$2),"",Common!I$2)</f>
        <v/>
      </c>
      <c r="F445" t="str">
        <f>IF(ISBLANK(Common!I$4),"",Common!I$4)</f>
        <v/>
      </c>
      <c r="G445" t="str">
        <f>IF(ISBLANK(Common!I$6),"",Common!I$6)</f>
        <v/>
      </c>
      <c r="H445" t="str">
        <f>IF(ISBLANK(Common!I$8),"",Common!I$8)</f>
        <v/>
      </c>
      <c r="I445" t="str">
        <f>IF(ISBLANK(Common!K$8),"",Common!K$8)</f>
        <v/>
      </c>
      <c r="J445" s="27" t="s">
        <v>81</v>
      </c>
      <c r="K445">
        <f t="shared" ref="K445:L445" si="185">K437</f>
        <v>0</v>
      </c>
      <c r="L445" s="136">
        <f t="shared" si="185"/>
        <v>0</v>
      </c>
      <c r="M445" t="str">
        <f t="shared" si="182"/>
        <v/>
      </c>
      <c r="N445" t="str">
        <f t="shared" si="182"/>
        <v/>
      </c>
      <c r="O445" t="str">
        <f>IF(ISBLANK(Impairment!M18),"",Impairment!M18)</f>
        <v/>
      </c>
      <c r="P445" t="str">
        <f t="shared" si="184"/>
        <v/>
      </c>
    </row>
    <row r="446" spans="1:16">
      <c r="A446" t="str">
        <f>IF(ISBLANK(Common!C$2),"",Common!C$2)</f>
        <v/>
      </c>
      <c r="B446" t="str">
        <f>IF(ISBLANK(Common!C$4),"",Common!C$4)</f>
        <v/>
      </c>
      <c r="C446" t="str">
        <f>IF(ISBLANK(Common!C$6),"",Common!C$6)</f>
        <v/>
      </c>
      <c r="D446" t="str">
        <f>IF(ISBLANK(Common!C$8),"",Common!C$8)</f>
        <v/>
      </c>
      <c r="E446" t="str">
        <f>IF(ISBLANK(Common!I$2),"",Common!I$2)</f>
        <v/>
      </c>
      <c r="F446" t="str">
        <f>IF(ISBLANK(Common!I$4),"",Common!I$4)</f>
        <v/>
      </c>
      <c r="G446" t="str">
        <f>IF(ISBLANK(Common!I$6),"",Common!I$6)</f>
        <v/>
      </c>
      <c r="H446" t="str">
        <f>IF(ISBLANK(Common!I$8),"",Common!I$8)</f>
        <v/>
      </c>
      <c r="I446" t="str">
        <f>IF(ISBLANK(Common!K$8),"",Common!K$8)</f>
        <v/>
      </c>
      <c r="J446" s="27" t="s">
        <v>81</v>
      </c>
      <c r="K446">
        <f t="shared" ref="K446:L446" si="186">K438</f>
        <v>0</v>
      </c>
      <c r="L446" s="136">
        <f t="shared" si="186"/>
        <v>0</v>
      </c>
      <c r="M446" t="str">
        <f t="shared" si="182"/>
        <v/>
      </c>
      <c r="N446" t="str">
        <f t="shared" si="182"/>
        <v/>
      </c>
      <c r="O446" t="str">
        <f>IF(ISBLANK(Impairment!M19),"",Impairment!M19)</f>
        <v/>
      </c>
      <c r="P446" t="str">
        <f t="shared" si="184"/>
        <v/>
      </c>
    </row>
    <row r="447" spans="1:16">
      <c r="A447" t="str">
        <f>IF(ISBLANK(Common!C$2),"",Common!C$2)</f>
        <v/>
      </c>
      <c r="B447" t="str">
        <f>IF(ISBLANK(Common!C$4),"",Common!C$4)</f>
        <v/>
      </c>
      <c r="C447" t="str">
        <f>IF(ISBLANK(Common!C$6),"",Common!C$6)</f>
        <v/>
      </c>
      <c r="D447" t="str">
        <f>IF(ISBLANK(Common!C$8),"",Common!C$8)</f>
        <v/>
      </c>
      <c r="E447" t="str">
        <f>IF(ISBLANK(Common!I$2),"",Common!I$2)</f>
        <v/>
      </c>
      <c r="F447" t="str">
        <f>IF(ISBLANK(Common!I$4),"",Common!I$4)</f>
        <v/>
      </c>
      <c r="G447" t="str">
        <f>IF(ISBLANK(Common!I$6),"",Common!I$6)</f>
        <v/>
      </c>
      <c r="H447" t="str">
        <f>IF(ISBLANK(Common!I$8),"",Common!I$8)</f>
        <v/>
      </c>
      <c r="I447" t="str">
        <f>IF(ISBLANK(Common!K$8),"",Common!K$8)</f>
        <v/>
      </c>
      <c r="J447" s="27" t="s">
        <v>81</v>
      </c>
      <c r="K447">
        <f t="shared" ref="K447:L447" si="187">K439</f>
        <v>0</v>
      </c>
      <c r="L447" s="136">
        <f t="shared" si="187"/>
        <v>0</v>
      </c>
      <c r="M447" t="str">
        <f t="shared" si="182"/>
        <v/>
      </c>
      <c r="N447" t="str">
        <f t="shared" si="182"/>
        <v/>
      </c>
      <c r="O447" t="str">
        <f>IF(ISBLANK(Impairment!M20),"",Impairment!M20)</f>
        <v/>
      </c>
      <c r="P447" t="str">
        <f t="shared" si="184"/>
        <v/>
      </c>
    </row>
    <row r="448" spans="1:16">
      <c r="A448" t="str">
        <f>IF(ISBLANK(Common!C$2),"",Common!C$2)</f>
        <v/>
      </c>
      <c r="B448" t="str">
        <f>IF(ISBLANK(Common!C$4),"",Common!C$4)</f>
        <v/>
      </c>
      <c r="C448" t="str">
        <f>IF(ISBLANK(Common!C$6),"",Common!C$6)</f>
        <v/>
      </c>
      <c r="D448" t="str">
        <f>IF(ISBLANK(Common!C$8),"",Common!C$8)</f>
        <v/>
      </c>
      <c r="E448" t="str">
        <f>IF(ISBLANK(Common!I$2),"",Common!I$2)</f>
        <v/>
      </c>
      <c r="F448" t="str">
        <f>IF(ISBLANK(Common!I$4),"",Common!I$4)</f>
        <v/>
      </c>
      <c r="G448" t="str">
        <f>IF(ISBLANK(Common!I$6),"",Common!I$6)</f>
        <v/>
      </c>
      <c r="H448" t="str">
        <f>IF(ISBLANK(Common!I$8),"",Common!I$8)</f>
        <v/>
      </c>
      <c r="I448" t="str">
        <f>IF(ISBLANK(Common!K$8),"",Common!K$8)</f>
        <v/>
      </c>
      <c r="J448" s="27" t="s">
        <v>81</v>
      </c>
      <c r="K448">
        <f t="shared" ref="K448:L448" si="188">K440</f>
        <v>0</v>
      </c>
      <c r="L448" s="136">
        <f t="shared" si="188"/>
        <v>0</v>
      </c>
      <c r="M448" t="str">
        <f t="shared" si="182"/>
        <v/>
      </c>
      <c r="N448" t="str">
        <f t="shared" si="182"/>
        <v/>
      </c>
      <c r="O448" t="str">
        <f>IF(ISBLANK(Impairment!M21),"",Impairment!M21)</f>
        <v/>
      </c>
      <c r="P448" t="str">
        <f t="shared" si="184"/>
        <v/>
      </c>
    </row>
    <row r="449" spans="1:16">
      <c r="A449" t="str">
        <f>IF(ISBLANK(Common!C$2),"",Common!C$2)</f>
        <v/>
      </c>
      <c r="B449" t="str">
        <f>IF(ISBLANK(Common!C$4),"",Common!C$4)</f>
        <v/>
      </c>
      <c r="C449" t="str">
        <f>IF(ISBLANK(Common!C$6),"",Common!C$6)</f>
        <v/>
      </c>
      <c r="D449" t="str">
        <f>IF(ISBLANK(Common!C$8),"",Common!C$8)</f>
        <v/>
      </c>
      <c r="E449" t="str">
        <f>IF(ISBLANK(Common!I$2),"",Common!I$2)</f>
        <v/>
      </c>
      <c r="F449" t="str">
        <f>IF(ISBLANK(Common!I$4),"",Common!I$4)</f>
        <v/>
      </c>
      <c r="G449" t="str">
        <f>IF(ISBLANK(Common!I$6),"",Common!I$6)</f>
        <v/>
      </c>
      <c r="H449" t="str">
        <f>IF(ISBLANK(Common!I$8),"",Common!I$8)</f>
        <v/>
      </c>
      <c r="I449" t="str">
        <f>IF(ISBLANK(Common!K$8),"",Common!K$8)</f>
        <v/>
      </c>
      <c r="J449" s="27" t="s">
        <v>81</v>
      </c>
      <c r="K449">
        <f t="shared" ref="K449:L449" si="189">K441</f>
        <v>0</v>
      </c>
      <c r="L449" s="136">
        <f t="shared" si="189"/>
        <v>0</v>
      </c>
      <c r="M449" t="str">
        <f t="shared" si="182"/>
        <v/>
      </c>
      <c r="N449" t="str">
        <f t="shared" si="182"/>
        <v/>
      </c>
      <c r="O449" t="str">
        <f>IF(ISBLANK(Impairment!M22),"",Impairment!M22)</f>
        <v/>
      </c>
      <c r="P449" t="str">
        <f t="shared" si="184"/>
        <v/>
      </c>
    </row>
    <row r="450" spans="1:16">
      <c r="A450" t="str">
        <f>IF(ISBLANK(Common!C$2),"",Common!C$2)</f>
        <v/>
      </c>
      <c r="B450" t="str">
        <f>IF(ISBLANK(Common!C$4),"",Common!C$4)</f>
        <v/>
      </c>
      <c r="C450" t="str">
        <f>IF(ISBLANK(Common!C$6),"",Common!C$6)</f>
        <v/>
      </c>
      <c r="D450" t="str">
        <f>IF(ISBLANK(Common!C$8),"",Common!C$8)</f>
        <v/>
      </c>
      <c r="E450" t="str">
        <f>IF(ISBLANK(Common!I$2),"",Common!I$2)</f>
        <v/>
      </c>
      <c r="F450" t="str">
        <f>IF(ISBLANK(Common!I$4),"",Common!I$4)</f>
        <v/>
      </c>
      <c r="G450" t="str">
        <f>IF(ISBLANK(Common!I$6),"",Common!I$6)</f>
        <v/>
      </c>
      <c r="H450" t="str">
        <f>IF(ISBLANK(Common!I$8),"",Common!I$8)</f>
        <v/>
      </c>
      <c r="I450" t="str">
        <f>IF(ISBLANK(Common!K$8),"",Common!K$8)</f>
        <v/>
      </c>
      <c r="J450" s="27" t="s">
        <v>81</v>
      </c>
      <c r="K450">
        <f t="shared" ref="K450:L450" si="190">K442</f>
        <v>0</v>
      </c>
      <c r="L450" s="136">
        <f t="shared" si="190"/>
        <v>0</v>
      </c>
      <c r="M450" t="str">
        <f>IF(ISBLANK(Impairment!N12),"",Impairment!N12)</f>
        <v/>
      </c>
      <c r="N450" t="str">
        <f>IF(ISBLANK(Impairment!N13),"",Impairment!N13)</f>
        <v/>
      </c>
      <c r="O450" t="str">
        <f>IF(ISBLANK(Impairment!N15),"",Impairment!N15)</f>
        <v/>
      </c>
      <c r="P450" t="str">
        <f>IF(ISBLANK(Impairment!N23),"",Impairment!N23)</f>
        <v/>
      </c>
    </row>
    <row r="451" spans="1:16">
      <c r="A451" t="str">
        <f>IF(ISBLANK(Common!C$2),"",Common!C$2)</f>
        <v/>
      </c>
      <c r="B451" t="str">
        <f>IF(ISBLANK(Common!C$4),"",Common!C$4)</f>
        <v/>
      </c>
      <c r="C451" t="str">
        <f>IF(ISBLANK(Common!C$6),"",Common!C$6)</f>
        <v/>
      </c>
      <c r="D451" t="str">
        <f>IF(ISBLANK(Common!C$8),"",Common!C$8)</f>
        <v/>
      </c>
      <c r="E451" t="str">
        <f>IF(ISBLANK(Common!I$2),"",Common!I$2)</f>
        <v/>
      </c>
      <c r="F451" t="str">
        <f>IF(ISBLANK(Common!I$4),"",Common!I$4)</f>
        <v/>
      </c>
      <c r="G451" t="str">
        <f>IF(ISBLANK(Common!I$6),"",Common!I$6)</f>
        <v/>
      </c>
      <c r="H451" t="str">
        <f>IF(ISBLANK(Common!I$8),"",Common!I$8)</f>
        <v/>
      </c>
      <c r="I451" t="str">
        <f>IF(ISBLANK(Common!K$8),"",Common!K$8)</f>
        <v/>
      </c>
      <c r="J451" s="27" t="s">
        <v>81</v>
      </c>
      <c r="K451">
        <f t="shared" ref="K451:L451" si="191">K443</f>
        <v>0</v>
      </c>
      <c r="L451" s="136">
        <f t="shared" si="191"/>
        <v>0</v>
      </c>
      <c r="M451" t="str">
        <f t="shared" ref="M451:N457" si="192">M450</f>
        <v/>
      </c>
      <c r="N451" t="str">
        <f t="shared" si="192"/>
        <v/>
      </c>
      <c r="O451" t="str">
        <f>IF(ISBLANK(Impairment!N16),"",Impairment!N16)</f>
        <v/>
      </c>
      <c r="P451" t="str">
        <f>P450</f>
        <v/>
      </c>
    </row>
    <row r="452" spans="1:16">
      <c r="A452" t="str">
        <f>IF(ISBLANK(Common!C$2),"",Common!C$2)</f>
        <v/>
      </c>
      <c r="B452" t="str">
        <f>IF(ISBLANK(Common!C$4),"",Common!C$4)</f>
        <v/>
      </c>
      <c r="C452" t="str">
        <f>IF(ISBLANK(Common!C$6),"",Common!C$6)</f>
        <v/>
      </c>
      <c r="D452" t="str">
        <f>IF(ISBLANK(Common!C$8),"",Common!C$8)</f>
        <v/>
      </c>
      <c r="E452" t="str">
        <f>IF(ISBLANK(Common!I$2),"",Common!I$2)</f>
        <v/>
      </c>
      <c r="F452" t="str">
        <f>IF(ISBLANK(Common!I$4),"",Common!I$4)</f>
        <v/>
      </c>
      <c r="G452" t="str">
        <f>IF(ISBLANK(Common!I$6),"",Common!I$6)</f>
        <v/>
      </c>
      <c r="H452" t="str">
        <f>IF(ISBLANK(Common!I$8),"",Common!I$8)</f>
        <v/>
      </c>
      <c r="I452" t="str">
        <f>IF(ISBLANK(Common!K$8),"",Common!K$8)</f>
        <v/>
      </c>
      <c r="J452" s="27" t="s">
        <v>81</v>
      </c>
      <c r="K452">
        <f t="shared" ref="K452:L452" si="193">K444</f>
        <v>0</v>
      </c>
      <c r="L452" s="136">
        <f t="shared" si="193"/>
        <v>0</v>
      </c>
      <c r="M452" t="str">
        <f t="shared" si="192"/>
        <v/>
      </c>
      <c r="N452" t="str">
        <f t="shared" si="192"/>
        <v/>
      </c>
      <c r="O452" t="str">
        <f>IF(ISBLANK(Impairment!N17),"",Impairment!N17)</f>
        <v/>
      </c>
      <c r="P452" t="str">
        <f t="shared" ref="P452:P457" si="194">P451</f>
        <v/>
      </c>
    </row>
    <row r="453" spans="1:16">
      <c r="A453" t="str">
        <f>IF(ISBLANK(Common!C$2),"",Common!C$2)</f>
        <v/>
      </c>
      <c r="B453" t="str">
        <f>IF(ISBLANK(Common!C$4),"",Common!C$4)</f>
        <v/>
      </c>
      <c r="C453" t="str">
        <f>IF(ISBLANK(Common!C$6),"",Common!C$6)</f>
        <v/>
      </c>
      <c r="D453" t="str">
        <f>IF(ISBLANK(Common!C$8),"",Common!C$8)</f>
        <v/>
      </c>
      <c r="E453" t="str">
        <f>IF(ISBLANK(Common!I$2),"",Common!I$2)</f>
        <v/>
      </c>
      <c r="F453" t="str">
        <f>IF(ISBLANK(Common!I$4),"",Common!I$4)</f>
        <v/>
      </c>
      <c r="G453" t="str">
        <f>IF(ISBLANK(Common!I$6),"",Common!I$6)</f>
        <v/>
      </c>
      <c r="H453" t="str">
        <f>IF(ISBLANK(Common!I$8),"",Common!I$8)</f>
        <v/>
      </c>
      <c r="I453" t="str">
        <f>IF(ISBLANK(Common!K$8),"",Common!K$8)</f>
        <v/>
      </c>
      <c r="J453" s="27" t="s">
        <v>81</v>
      </c>
      <c r="K453">
        <f t="shared" ref="K453:L453" si="195">K445</f>
        <v>0</v>
      </c>
      <c r="L453" s="136">
        <f t="shared" si="195"/>
        <v>0</v>
      </c>
      <c r="M453" t="str">
        <f t="shared" si="192"/>
        <v/>
      </c>
      <c r="N453" t="str">
        <f t="shared" si="192"/>
        <v/>
      </c>
      <c r="O453" t="str">
        <f>IF(ISBLANK(Impairment!N18),"",Impairment!N18)</f>
        <v/>
      </c>
      <c r="P453" t="str">
        <f t="shared" si="194"/>
        <v/>
      </c>
    </row>
    <row r="454" spans="1:16">
      <c r="A454" t="str">
        <f>IF(ISBLANK(Common!C$2),"",Common!C$2)</f>
        <v/>
      </c>
      <c r="B454" t="str">
        <f>IF(ISBLANK(Common!C$4),"",Common!C$4)</f>
        <v/>
      </c>
      <c r="C454" t="str">
        <f>IF(ISBLANK(Common!C$6),"",Common!C$6)</f>
        <v/>
      </c>
      <c r="D454" t="str">
        <f>IF(ISBLANK(Common!C$8),"",Common!C$8)</f>
        <v/>
      </c>
      <c r="E454" t="str">
        <f>IF(ISBLANK(Common!I$2),"",Common!I$2)</f>
        <v/>
      </c>
      <c r="F454" t="str">
        <f>IF(ISBLANK(Common!I$4),"",Common!I$4)</f>
        <v/>
      </c>
      <c r="G454" t="str">
        <f>IF(ISBLANK(Common!I$6),"",Common!I$6)</f>
        <v/>
      </c>
      <c r="H454" t="str">
        <f>IF(ISBLANK(Common!I$8),"",Common!I$8)</f>
        <v/>
      </c>
      <c r="I454" t="str">
        <f>IF(ISBLANK(Common!K$8),"",Common!K$8)</f>
        <v/>
      </c>
      <c r="J454" s="27" t="s">
        <v>81</v>
      </c>
      <c r="K454">
        <f t="shared" ref="K454:L454" si="196">K446</f>
        <v>0</v>
      </c>
      <c r="L454" s="136">
        <f t="shared" si="196"/>
        <v>0</v>
      </c>
      <c r="M454" t="str">
        <f t="shared" si="192"/>
        <v/>
      </c>
      <c r="N454" t="str">
        <f t="shared" si="192"/>
        <v/>
      </c>
      <c r="O454" t="str">
        <f>IF(ISBLANK(Impairment!N19),"",Impairment!N19)</f>
        <v/>
      </c>
      <c r="P454" t="str">
        <f t="shared" si="194"/>
        <v/>
      </c>
    </row>
    <row r="455" spans="1:16">
      <c r="A455" t="str">
        <f>IF(ISBLANK(Common!C$2),"",Common!C$2)</f>
        <v/>
      </c>
      <c r="B455" t="str">
        <f>IF(ISBLANK(Common!C$4),"",Common!C$4)</f>
        <v/>
      </c>
      <c r="C455" t="str">
        <f>IF(ISBLANK(Common!C$6),"",Common!C$6)</f>
        <v/>
      </c>
      <c r="D455" t="str">
        <f>IF(ISBLANK(Common!C$8),"",Common!C$8)</f>
        <v/>
      </c>
      <c r="E455" t="str">
        <f>IF(ISBLANK(Common!I$2),"",Common!I$2)</f>
        <v/>
      </c>
      <c r="F455" t="str">
        <f>IF(ISBLANK(Common!I$4),"",Common!I$4)</f>
        <v/>
      </c>
      <c r="G455" t="str">
        <f>IF(ISBLANK(Common!I$6),"",Common!I$6)</f>
        <v/>
      </c>
      <c r="H455" t="str">
        <f>IF(ISBLANK(Common!I$8),"",Common!I$8)</f>
        <v/>
      </c>
      <c r="I455" t="str">
        <f>IF(ISBLANK(Common!K$8),"",Common!K$8)</f>
        <v/>
      </c>
      <c r="J455" s="27" t="s">
        <v>81</v>
      </c>
      <c r="K455">
        <f t="shared" ref="K455:L455" si="197">K447</f>
        <v>0</v>
      </c>
      <c r="L455" s="136">
        <f t="shared" si="197"/>
        <v>0</v>
      </c>
      <c r="M455" t="str">
        <f t="shared" si="192"/>
        <v/>
      </c>
      <c r="N455" t="str">
        <f t="shared" si="192"/>
        <v/>
      </c>
      <c r="O455" t="str">
        <f>IF(ISBLANK(Impairment!N20),"",Impairment!N20)</f>
        <v/>
      </c>
      <c r="P455" t="str">
        <f t="shared" si="194"/>
        <v/>
      </c>
    </row>
    <row r="456" spans="1:16">
      <c r="A456" t="str">
        <f>IF(ISBLANK(Common!C$2),"",Common!C$2)</f>
        <v/>
      </c>
      <c r="B456" t="str">
        <f>IF(ISBLANK(Common!C$4),"",Common!C$4)</f>
        <v/>
      </c>
      <c r="C456" t="str">
        <f>IF(ISBLANK(Common!C$6),"",Common!C$6)</f>
        <v/>
      </c>
      <c r="D456" t="str">
        <f>IF(ISBLANK(Common!C$8),"",Common!C$8)</f>
        <v/>
      </c>
      <c r="E456" t="str">
        <f>IF(ISBLANK(Common!I$2),"",Common!I$2)</f>
        <v/>
      </c>
      <c r="F456" t="str">
        <f>IF(ISBLANK(Common!I$4),"",Common!I$4)</f>
        <v/>
      </c>
      <c r="G456" t="str">
        <f>IF(ISBLANK(Common!I$6),"",Common!I$6)</f>
        <v/>
      </c>
      <c r="H456" t="str">
        <f>IF(ISBLANK(Common!I$8),"",Common!I$8)</f>
        <v/>
      </c>
      <c r="I456" t="str">
        <f>IF(ISBLANK(Common!K$8),"",Common!K$8)</f>
        <v/>
      </c>
      <c r="J456" s="27" t="s">
        <v>81</v>
      </c>
      <c r="K456">
        <f t="shared" ref="K456:L456" si="198">K448</f>
        <v>0</v>
      </c>
      <c r="L456" s="136">
        <f t="shared" si="198"/>
        <v>0</v>
      </c>
      <c r="M456" t="str">
        <f t="shared" si="192"/>
        <v/>
      </c>
      <c r="N456" t="str">
        <f t="shared" si="192"/>
        <v/>
      </c>
      <c r="O456" t="str">
        <f>IF(ISBLANK(Impairment!N21),"",Impairment!N21)</f>
        <v/>
      </c>
      <c r="P456" t="str">
        <f t="shared" si="194"/>
        <v/>
      </c>
    </row>
    <row r="457" spans="1:16">
      <c r="A457" t="str">
        <f>IF(ISBLANK(Common!C$2),"",Common!C$2)</f>
        <v/>
      </c>
      <c r="B457" t="str">
        <f>IF(ISBLANK(Common!C$4),"",Common!C$4)</f>
        <v/>
      </c>
      <c r="C457" t="str">
        <f>IF(ISBLANK(Common!C$6),"",Common!C$6)</f>
        <v/>
      </c>
      <c r="D457" t="str">
        <f>IF(ISBLANK(Common!C$8),"",Common!C$8)</f>
        <v/>
      </c>
      <c r="E457" t="str">
        <f>IF(ISBLANK(Common!I$2),"",Common!I$2)</f>
        <v/>
      </c>
      <c r="F457" t="str">
        <f>IF(ISBLANK(Common!I$4),"",Common!I$4)</f>
        <v/>
      </c>
      <c r="G457" t="str">
        <f>IF(ISBLANK(Common!I$6),"",Common!I$6)</f>
        <v/>
      </c>
      <c r="H457" t="str">
        <f>IF(ISBLANK(Common!I$8),"",Common!I$8)</f>
        <v/>
      </c>
      <c r="I457" t="str">
        <f>IF(ISBLANK(Common!K$8),"",Common!K$8)</f>
        <v/>
      </c>
      <c r="J457" s="27" t="s">
        <v>81</v>
      </c>
      <c r="K457">
        <f t="shared" ref="K457:L457" si="199">K449</f>
        <v>0</v>
      </c>
      <c r="L457" s="136">
        <f t="shared" si="199"/>
        <v>0</v>
      </c>
      <c r="M457" t="str">
        <f t="shared" si="192"/>
        <v/>
      </c>
      <c r="N457" t="str">
        <f t="shared" si="192"/>
        <v/>
      </c>
      <c r="O457" t="str">
        <f>IF(ISBLANK(Impairment!N22),"",Impairment!N22)</f>
        <v/>
      </c>
      <c r="P457" t="str">
        <f t="shared" si="194"/>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Common</vt:lpstr>
      <vt:lpstr>Sector</vt:lpstr>
      <vt:lpstr>Impairment</vt:lpstr>
      <vt:lpstr>INSTRUCTIONS</vt:lpstr>
      <vt:lpstr>tabulationDO-NOT-SORT</vt:lpstr>
      <vt:lpstr>Common!Print_Area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Industrial Stormwater Discharge Monitoring Report - 1200-Z Permit</dc:title>
  <dc:subject>Water Quality Stormwater Program</dc:subject>
  <dc:creator>State of Oregon DEQ</dc:creator>
  <cp:lastModifiedBy>Erich Brandstetter</cp:lastModifiedBy>
  <cp:lastPrinted>2013-02-11T19:52:12Z</cp:lastPrinted>
  <dcterms:created xsi:type="dcterms:W3CDTF">2005-12-19T23:42:17Z</dcterms:created>
  <dcterms:modified xsi:type="dcterms:W3CDTF">2013-02-11T19:53:22Z</dcterms:modified>
</cp:coreProperties>
</file>