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9600" windowHeight="12015" tabRatio="878" activeTab="19"/>
  </bookViews>
  <sheets>
    <sheet name="1993" sheetId="17" r:id="rId1"/>
    <sheet name="1994" sheetId="16" r:id="rId2"/>
    <sheet name="1995" sheetId="15" r:id="rId3"/>
    <sheet name="1996" sheetId="14" r:id="rId4"/>
    <sheet name="1997" sheetId="13" r:id="rId5"/>
    <sheet name="1998" sheetId="12" r:id="rId6"/>
    <sheet name="1999" sheetId="11" r:id="rId7"/>
    <sheet name="2000" sheetId="10" r:id="rId8"/>
    <sheet name="2001" sheetId="9" r:id="rId9"/>
    <sheet name="2002" sheetId="8" r:id="rId10"/>
    <sheet name="2003" sheetId="7" r:id="rId11"/>
    <sheet name="2004" sheetId="6" r:id="rId12"/>
    <sheet name="2005" sheetId="5" r:id="rId13"/>
    <sheet name="2006" sheetId="4" r:id="rId14"/>
    <sheet name="2007" sheetId="3" r:id="rId15"/>
    <sheet name="2008" sheetId="19" r:id="rId16"/>
    <sheet name="2009" sheetId="25" r:id="rId17"/>
    <sheet name="2010" sheetId="28" r:id="rId18"/>
    <sheet name="2011" sheetId="27" r:id="rId19"/>
    <sheet name="2012" sheetId="29" r:id="rId20"/>
  </sheets>
  <definedNames>
    <definedName name="Abr">4</definedName>
    <definedName name="AbrAcum">-4</definedName>
    <definedName name="Acum">0</definedName>
    <definedName name="Adecuado">83</definedName>
    <definedName name="Ago">8</definedName>
    <definedName name="AgoAcum">-8</definedName>
    <definedName name="Anio">2000</definedName>
    <definedName name="_xlnm.Print_Area" localSheetId="0">'1993'!$A$1:$AB$76</definedName>
    <definedName name="_xlnm.Print_Area" localSheetId="1">'1994'!$B$1:$AB$76</definedName>
    <definedName name="_xlnm.Print_Area" localSheetId="2">'1995'!$B$1:$AB$77</definedName>
    <definedName name="_xlnm.Print_Area" localSheetId="3">'1996'!$A$1:$AB$77</definedName>
    <definedName name="_xlnm.Print_Area" localSheetId="4">'1997'!$B$1:$AB$77</definedName>
    <definedName name="_xlnm.Print_Area" localSheetId="5">'1998'!$B$1:$AB$77</definedName>
    <definedName name="_xlnm.Print_Area" localSheetId="6">'1999'!$B$1:$AB$81</definedName>
    <definedName name="_xlnm.Print_Area" localSheetId="7">'2000'!$B$1:$AB$81</definedName>
    <definedName name="_xlnm.Print_Area" localSheetId="8">'2001'!$B$1:$AB$81</definedName>
    <definedName name="_xlnm.Print_Area" localSheetId="9">'2002'!$B$1:$AB$81</definedName>
    <definedName name="_xlnm.Print_Area" localSheetId="10">'2003'!$B$1:$AB$81</definedName>
    <definedName name="_xlnm.Print_Area" localSheetId="11">'2004'!$B$1:$AB$81</definedName>
    <definedName name="_xlnm.Print_Area" localSheetId="12">'2005'!$B$1:$AB$81</definedName>
    <definedName name="_xlnm.Print_Area" localSheetId="13">'2006'!$B$1:$AB$81</definedName>
    <definedName name="_xlnm.Print_Area" localSheetId="14">'2007'!$B$1:$AB$78</definedName>
    <definedName name="_xlnm.Print_Area" localSheetId="15">'2008'!$B$1:$AB$79</definedName>
    <definedName name="_xlnm.Print_Area" localSheetId="16">'2009'!$B$1:$AB$76</definedName>
    <definedName name="_xlnm.Print_Area" localSheetId="17">'2010'!$B$2:$AB$77</definedName>
    <definedName name="_xlnm.Print_Area" localSheetId="18">'2011'!$B$2:$AB$77</definedName>
    <definedName name="_xlnm.Print_Area" localSheetId="19">'2012'!$B$2:$O$78</definedName>
    <definedName name="CONS">6</definedName>
    <definedName name="CORP">5</definedName>
    <definedName name="Dic">12</definedName>
    <definedName name="DicAcum">-12</definedName>
    <definedName name="DlsEnPesos">1</definedName>
    <definedName name="Dolares">2</definedName>
    <definedName name="Ejercicio">55</definedName>
    <definedName name="Ene">1</definedName>
    <definedName name="EneAcum">-1</definedName>
    <definedName name="Feb">2</definedName>
    <definedName name="FebAcum">-2</definedName>
    <definedName name="GAS">3</definedName>
    <definedName name="Jul">7</definedName>
    <definedName name="JulAcum">-7</definedName>
    <definedName name="Jun">6</definedName>
    <definedName name="JunAcum">-6</definedName>
    <definedName name="Mar">3</definedName>
    <definedName name="MarAcum">-3</definedName>
    <definedName name="May">5</definedName>
    <definedName name="MayAcum">-5</definedName>
    <definedName name="Mes">12</definedName>
    <definedName name="MNacional">0</definedName>
    <definedName name="Nov">11</definedName>
    <definedName name="NovAcum">-11</definedName>
    <definedName name="Oct">10</definedName>
    <definedName name="OctAcum">-10</definedName>
    <definedName name="Organismo">6</definedName>
    <definedName name="PEP">1</definedName>
    <definedName name="Presupuesto">50</definedName>
    <definedName name="Programa">51</definedName>
    <definedName name="PTQ">4</definedName>
    <definedName name="REF">2</definedName>
    <definedName name="Sep">9</definedName>
    <definedName name="SepAcum">-9</definedName>
    <definedName name="TESO">0</definedName>
    <definedName name="TotalPesos">3</definedName>
    <definedName name="Unidades">1000000</definedName>
    <definedName name="Version">55</definedName>
    <definedName name="VersionC">0</definedName>
  </definedNames>
  <calcPr calcId="145621"/>
</workbook>
</file>

<file path=xl/calcChain.xml><?xml version="1.0" encoding="utf-8"?>
<calcChain xmlns="http://schemas.openxmlformats.org/spreadsheetml/2006/main">
  <c r="O47" i="29" l="1"/>
  <c r="O46" i="29"/>
  <c r="O45" i="29"/>
  <c r="O44" i="29"/>
  <c r="O43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O42" i="29" s="1"/>
  <c r="N41" i="29"/>
  <c r="M41" i="29"/>
  <c r="L41" i="29"/>
  <c r="K41" i="29"/>
  <c r="J41" i="29"/>
  <c r="I41" i="29"/>
  <c r="H41" i="29"/>
  <c r="G41" i="29"/>
  <c r="F41" i="29"/>
  <c r="E41" i="29"/>
  <c r="D41" i="29"/>
  <c r="C41" i="29"/>
  <c r="O41" i="29" s="1"/>
  <c r="N40" i="29"/>
  <c r="M40" i="29"/>
  <c r="L40" i="29"/>
  <c r="K40" i="29"/>
  <c r="J40" i="29"/>
  <c r="I40" i="29"/>
  <c r="H40" i="29"/>
  <c r="G40" i="29"/>
  <c r="F40" i="29"/>
  <c r="E40" i="29"/>
  <c r="D40" i="29"/>
  <c r="C40" i="29"/>
  <c r="O40" i="29" s="1"/>
  <c r="O36" i="29"/>
  <c r="O30" i="29"/>
  <c r="O29" i="29"/>
  <c r="N28" i="29"/>
  <c r="M28" i="29"/>
  <c r="M26" i="29" s="1"/>
  <c r="L28" i="29"/>
  <c r="K28" i="29"/>
  <c r="J28" i="29"/>
  <c r="I28" i="29"/>
  <c r="H28" i="29"/>
  <c r="G28" i="29"/>
  <c r="F28" i="29"/>
  <c r="E28" i="29"/>
  <c r="D28" i="29"/>
  <c r="C28" i="29"/>
  <c r="O28" i="29" s="1"/>
  <c r="O27" i="29"/>
  <c r="N26" i="29"/>
  <c r="L26" i="29"/>
  <c r="K26" i="29"/>
  <c r="J26" i="29"/>
  <c r="I26" i="29"/>
  <c r="H26" i="29"/>
  <c r="G26" i="29"/>
  <c r="F26" i="29"/>
  <c r="E26" i="29"/>
  <c r="D26" i="29"/>
  <c r="C26" i="29"/>
  <c r="O20" i="29"/>
  <c r="O18" i="29"/>
  <c r="O17" i="29"/>
  <c r="O16" i="29"/>
  <c r="O15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O14" i="29" s="1"/>
  <c r="O12" i="29"/>
  <c r="O11" i="29"/>
  <c r="O10" i="29"/>
  <c r="N9" i="29"/>
  <c r="M9" i="29"/>
  <c r="L9" i="29"/>
  <c r="K9" i="29"/>
  <c r="J9" i="29"/>
  <c r="I9" i="29"/>
  <c r="H9" i="29"/>
  <c r="G9" i="29"/>
  <c r="F9" i="29"/>
  <c r="E9" i="29"/>
  <c r="D9" i="29"/>
  <c r="C9" i="29"/>
  <c r="O9" i="29" s="1"/>
  <c r="N8" i="29"/>
  <c r="N24" i="29" s="1"/>
  <c r="N34" i="29" s="1"/>
  <c r="N38" i="29" s="1"/>
  <c r="N49" i="29" s="1"/>
  <c r="M8" i="29"/>
  <c r="M24" i="29" s="1"/>
  <c r="L8" i="29"/>
  <c r="L24" i="29" s="1"/>
  <c r="L34" i="29" s="1"/>
  <c r="L38" i="29" s="1"/>
  <c r="L49" i="29" s="1"/>
  <c r="K8" i="29"/>
  <c r="K24" i="29" s="1"/>
  <c r="K34" i="29" s="1"/>
  <c r="K38" i="29" s="1"/>
  <c r="K49" i="29" s="1"/>
  <c r="J8" i="29"/>
  <c r="J24" i="29" s="1"/>
  <c r="J34" i="29" s="1"/>
  <c r="J38" i="29" s="1"/>
  <c r="J49" i="29" s="1"/>
  <c r="I8" i="29"/>
  <c r="I24" i="29" s="1"/>
  <c r="I34" i="29" s="1"/>
  <c r="I38" i="29" s="1"/>
  <c r="I49" i="29" s="1"/>
  <c r="H8" i="29"/>
  <c r="H24" i="29" s="1"/>
  <c r="H34" i="29" s="1"/>
  <c r="H38" i="29" s="1"/>
  <c r="H49" i="29" s="1"/>
  <c r="G8" i="29"/>
  <c r="G24" i="29" s="1"/>
  <c r="G34" i="29" s="1"/>
  <c r="G38" i="29" s="1"/>
  <c r="G49" i="29" s="1"/>
  <c r="F8" i="29"/>
  <c r="F24" i="29" s="1"/>
  <c r="F34" i="29" s="1"/>
  <c r="F38" i="29" s="1"/>
  <c r="F49" i="29" s="1"/>
  <c r="E8" i="29"/>
  <c r="E24" i="29" s="1"/>
  <c r="E34" i="29" s="1"/>
  <c r="E38" i="29" s="1"/>
  <c r="E49" i="29" s="1"/>
  <c r="D8" i="29"/>
  <c r="D24" i="29" s="1"/>
  <c r="D34" i="29" s="1"/>
  <c r="D38" i="29" s="1"/>
  <c r="D49" i="29" s="1"/>
  <c r="C8" i="29"/>
  <c r="C24" i="29" s="1"/>
  <c r="C34" i="29" s="1"/>
  <c r="C38" i="29" s="1"/>
  <c r="C62" i="29"/>
  <c r="M34" i="29" l="1"/>
  <c r="M38" i="29" s="1"/>
  <c r="M49" i="29" s="1"/>
  <c r="O22" i="29"/>
  <c r="O26" i="29"/>
  <c r="O32" i="29"/>
  <c r="C49" i="29"/>
  <c r="O8" i="29"/>
  <c r="O24" i="29" s="1"/>
  <c r="O34" i="29" s="1"/>
  <c r="B62" i="29"/>
  <c r="O38" i="29" l="1"/>
  <c r="O49" i="29" s="1"/>
  <c r="N62" i="29"/>
  <c r="M62" i="29"/>
  <c r="L62" i="29"/>
  <c r="K62" i="29"/>
  <c r="J62" i="29"/>
  <c r="I62" i="29"/>
  <c r="H62" i="29"/>
  <c r="G62" i="29"/>
  <c r="F62" i="29"/>
  <c r="E62" i="29"/>
  <c r="D62" i="29"/>
  <c r="AB76" i="28" l="1"/>
  <c r="D9" i="28"/>
  <c r="D8" i="28" s="1"/>
  <c r="F9" i="28"/>
  <c r="F8" i="28" s="1"/>
  <c r="H9" i="28"/>
  <c r="H8" i="28" s="1"/>
  <c r="J9" i="28"/>
  <c r="J8" i="28" s="1"/>
  <c r="L9" i="28"/>
  <c r="L8" i="28" s="1"/>
  <c r="N9" i="28"/>
  <c r="N8" i="28" s="1"/>
  <c r="P9" i="28"/>
  <c r="P8" i="28" s="1"/>
  <c r="R9" i="28"/>
  <c r="R8" i="28" s="1"/>
  <c r="T9" i="28"/>
  <c r="T8" i="28" s="1"/>
  <c r="V9" i="28"/>
  <c r="V8" i="28" s="1"/>
  <c r="X9" i="28"/>
  <c r="X8" i="28" s="1"/>
  <c r="Z9" i="28"/>
  <c r="Z8" i="28" s="1"/>
  <c r="AB10" i="28"/>
  <c r="AB11" i="28"/>
  <c r="AB12" i="28"/>
  <c r="D14" i="28"/>
  <c r="F14" i="28"/>
  <c r="H14" i="28"/>
  <c r="J14" i="28"/>
  <c r="L14" i="28"/>
  <c r="N14" i="28"/>
  <c r="P14" i="28"/>
  <c r="R14" i="28"/>
  <c r="T14" i="28"/>
  <c r="V14" i="28"/>
  <c r="X14" i="28"/>
  <c r="Z14" i="28"/>
  <c r="AB15" i="28"/>
  <c r="AB16" i="28"/>
  <c r="AB17" i="28"/>
  <c r="AB18" i="28"/>
  <c r="AB20" i="28"/>
  <c r="AB22" i="28"/>
  <c r="D26" i="28"/>
  <c r="F26" i="28"/>
  <c r="H26" i="28"/>
  <c r="J26" i="28"/>
  <c r="L26" i="28"/>
  <c r="N26" i="28"/>
  <c r="P26" i="28"/>
  <c r="R26" i="28"/>
  <c r="T26" i="28"/>
  <c r="V26" i="28"/>
  <c r="X26" i="28"/>
  <c r="Z26" i="28"/>
  <c r="AB27" i="28"/>
  <c r="AB28" i="28"/>
  <c r="AB29" i="28"/>
  <c r="AB30" i="28"/>
  <c r="AB32" i="28"/>
  <c r="AB36" i="28"/>
  <c r="D41" i="28"/>
  <c r="D40" i="28" s="1"/>
  <c r="F41" i="28"/>
  <c r="F40" i="28" s="1"/>
  <c r="H41" i="28"/>
  <c r="H40" i="28" s="1"/>
  <c r="J41" i="28"/>
  <c r="J40" i="28" s="1"/>
  <c r="L41" i="28"/>
  <c r="L40" i="28" s="1"/>
  <c r="N41" i="28"/>
  <c r="N40" i="28" s="1"/>
  <c r="P41" i="28"/>
  <c r="P40" i="28" s="1"/>
  <c r="R41" i="28"/>
  <c r="R40" i="28" s="1"/>
  <c r="T41" i="28"/>
  <c r="T40" i="28" s="1"/>
  <c r="V41" i="28"/>
  <c r="V40" i="28" s="1"/>
  <c r="X41" i="28"/>
  <c r="X40" i="28" s="1"/>
  <c r="Z41" i="28"/>
  <c r="Z40" i="28" s="1"/>
  <c r="AB42" i="28"/>
  <c r="AB43" i="28"/>
  <c r="AB44" i="28"/>
  <c r="AB45" i="28"/>
  <c r="AB46" i="28"/>
  <c r="AB26" i="28" l="1"/>
  <c r="AB9" i="28"/>
  <c r="X24" i="28"/>
  <c r="X34" i="28" s="1"/>
  <c r="X38" i="28" s="1"/>
  <c r="T24" i="28"/>
  <c r="T34" i="28" s="1"/>
  <c r="T38" i="28" s="1"/>
  <c r="P24" i="28"/>
  <c r="P34" i="28" s="1"/>
  <c r="P38" i="28" s="1"/>
  <c r="L24" i="28"/>
  <c r="L34" i="28" s="1"/>
  <c r="L38" i="28" s="1"/>
  <c r="H24" i="28"/>
  <c r="H34" i="28" s="1"/>
  <c r="H38" i="28" s="1"/>
  <c r="AB14" i="28"/>
  <c r="Z24" i="28"/>
  <c r="Z34" i="28" s="1"/>
  <c r="Z38" i="28" s="1"/>
  <c r="V24" i="28"/>
  <c r="V34" i="28" s="1"/>
  <c r="V38" i="28" s="1"/>
  <c r="V48" i="28" s="1"/>
  <c r="R24" i="28"/>
  <c r="R34" i="28" s="1"/>
  <c r="R38" i="28" s="1"/>
  <c r="R48" i="28" s="1"/>
  <c r="N24" i="28"/>
  <c r="N34" i="28" s="1"/>
  <c r="N38" i="28" s="1"/>
  <c r="N48" i="28" s="1"/>
  <c r="J24" i="28"/>
  <c r="J34" i="28" s="1"/>
  <c r="J38" i="28" s="1"/>
  <c r="F24" i="28"/>
  <c r="F34" i="28" s="1"/>
  <c r="F38" i="28" s="1"/>
  <c r="F48" i="28" s="1"/>
  <c r="AB8" i="28"/>
  <c r="D24" i="28"/>
  <c r="Z48" i="28"/>
  <c r="J48" i="28"/>
  <c r="AB40" i="28"/>
  <c r="X48" i="28"/>
  <c r="T48" i="28"/>
  <c r="P48" i="28"/>
  <c r="L48" i="28"/>
  <c r="H48" i="28"/>
  <c r="AB41" i="28"/>
  <c r="D34" i="28" l="1"/>
  <c r="AB24" i="28"/>
  <c r="AB34" i="28" l="1"/>
  <c r="D38" i="28"/>
  <c r="AB38" i="28" l="1"/>
  <c r="D48" i="28"/>
  <c r="AB48" i="28" s="1"/>
  <c r="Y61" i="28" l="1"/>
  <c r="W61" i="28"/>
  <c r="U61" i="28"/>
  <c r="S61" i="28"/>
  <c r="Q61" i="28"/>
  <c r="O61" i="28"/>
  <c r="M61" i="28"/>
  <c r="K61" i="28"/>
  <c r="I61" i="28"/>
  <c r="G61" i="28"/>
  <c r="E61" i="28"/>
  <c r="C61" i="28"/>
  <c r="B61" i="28"/>
  <c r="Y61" i="27" l="1"/>
  <c r="W61" i="27"/>
  <c r="U61" i="27"/>
  <c r="S61" i="27"/>
  <c r="Q61" i="27"/>
  <c r="O61" i="27"/>
  <c r="M61" i="27"/>
  <c r="K61" i="27"/>
  <c r="I61" i="27"/>
  <c r="G61" i="27"/>
  <c r="E61" i="27"/>
  <c r="C61" i="27"/>
  <c r="B61" i="27"/>
  <c r="AB75" i="25" l="1"/>
  <c r="AB74" i="25"/>
  <c r="AB73" i="25"/>
  <c r="AB72" i="25"/>
  <c r="AB71" i="25"/>
  <c r="AB70" i="25"/>
  <c r="AB69" i="25"/>
  <c r="AB68" i="25"/>
  <c r="AB67" i="25"/>
  <c r="AB66" i="25"/>
  <c r="AB65" i="25"/>
  <c r="AB64" i="25"/>
  <c r="AB63" i="25"/>
  <c r="AB62" i="25"/>
  <c r="Y60" i="25"/>
  <c r="W60" i="25"/>
  <c r="U60" i="25"/>
  <c r="S60" i="25"/>
  <c r="Q60" i="25"/>
  <c r="O60" i="25"/>
  <c r="M60" i="25"/>
  <c r="K60" i="25"/>
  <c r="I60" i="25"/>
  <c r="G60" i="25"/>
  <c r="E60" i="25"/>
  <c r="C60" i="25"/>
  <c r="B60" i="25"/>
  <c r="AB45" i="25"/>
  <c r="AB44" i="25"/>
  <c r="AB43" i="25"/>
  <c r="AB42" i="25"/>
  <c r="AB41" i="25"/>
  <c r="Z40" i="25"/>
  <c r="Z39" i="25"/>
  <c r="X40" i="25"/>
  <c r="V40" i="25"/>
  <c r="V39" i="25" s="1"/>
  <c r="T40" i="25"/>
  <c r="R40" i="25"/>
  <c r="R39" i="25" s="1"/>
  <c r="P40" i="25"/>
  <c r="N40" i="25"/>
  <c r="N39" i="25" s="1"/>
  <c r="L40" i="25"/>
  <c r="L39" i="25" s="1"/>
  <c r="J40" i="25"/>
  <c r="J39" i="25" s="1"/>
  <c r="H40" i="25"/>
  <c r="F40" i="25"/>
  <c r="F39" i="25" s="1"/>
  <c r="D40" i="25"/>
  <c r="X39" i="25"/>
  <c r="T39" i="25"/>
  <c r="P39" i="25"/>
  <c r="H39" i="25"/>
  <c r="AB35" i="25"/>
  <c r="AB31" i="25"/>
  <c r="AB29" i="25"/>
  <c r="AB28" i="25"/>
  <c r="Z27" i="25"/>
  <c r="X27" i="25"/>
  <c r="X25" i="25" s="1"/>
  <c r="V27" i="25"/>
  <c r="T27" i="25"/>
  <c r="T25" i="25" s="1"/>
  <c r="R27" i="25"/>
  <c r="P27" i="25"/>
  <c r="P25" i="25" s="1"/>
  <c r="N27" i="25"/>
  <c r="L27" i="25"/>
  <c r="L25" i="25" s="1"/>
  <c r="J27" i="25"/>
  <c r="H27" i="25"/>
  <c r="H25" i="25" s="1"/>
  <c r="F27" i="25"/>
  <c r="D27" i="25"/>
  <c r="AB27" i="25" s="1"/>
  <c r="AB26" i="25"/>
  <c r="Z25" i="25"/>
  <c r="V25" i="25"/>
  <c r="R25" i="25"/>
  <c r="N25" i="25"/>
  <c r="J25" i="25"/>
  <c r="F25" i="25"/>
  <c r="AB21" i="25"/>
  <c r="AB19" i="25"/>
  <c r="AB17" i="25"/>
  <c r="AB16" i="25"/>
  <c r="AB15" i="25"/>
  <c r="Z14" i="25"/>
  <c r="X14" i="25"/>
  <c r="V14" i="25"/>
  <c r="T14" i="25"/>
  <c r="R14" i="25"/>
  <c r="P14" i="25"/>
  <c r="N14" i="25"/>
  <c r="L14" i="25"/>
  <c r="J14" i="25"/>
  <c r="H14" i="25"/>
  <c r="F14" i="25"/>
  <c r="D14" i="25"/>
  <c r="AB14" i="25" s="1"/>
  <c r="AB12" i="25"/>
  <c r="AB11" i="25"/>
  <c r="AB10" i="25"/>
  <c r="Z9" i="25"/>
  <c r="Z8" i="25" s="1"/>
  <c r="Z23" i="25" s="1"/>
  <c r="Z33" i="25" s="1"/>
  <c r="Z37" i="25" s="1"/>
  <c r="Z47" i="25" s="1"/>
  <c r="X9" i="25"/>
  <c r="X8" i="25" s="1"/>
  <c r="V9" i="25"/>
  <c r="V8" i="25" s="1"/>
  <c r="V23" i="25" s="1"/>
  <c r="V33" i="25" s="1"/>
  <c r="V37" i="25" s="1"/>
  <c r="V47" i="25" s="1"/>
  <c r="T9" i="25"/>
  <c r="T8" i="25"/>
  <c r="T23" i="25" s="1"/>
  <c r="R9" i="25"/>
  <c r="P9" i="25"/>
  <c r="P8" i="25" s="1"/>
  <c r="P23" i="25" s="1"/>
  <c r="N9" i="25"/>
  <c r="L9" i="25"/>
  <c r="L8" i="25" s="1"/>
  <c r="L23" i="25" s="1"/>
  <c r="L33" i="25" s="1"/>
  <c r="L37" i="25" s="1"/>
  <c r="L47" i="25" s="1"/>
  <c r="J9" i="25"/>
  <c r="J8" i="25" s="1"/>
  <c r="J23" i="25" s="1"/>
  <c r="J33" i="25" s="1"/>
  <c r="J37" i="25" s="1"/>
  <c r="H9" i="25"/>
  <c r="H8" i="25" s="1"/>
  <c r="F9" i="25"/>
  <c r="F8" i="25" s="1"/>
  <c r="F23" i="25" s="1"/>
  <c r="F33" i="25" s="1"/>
  <c r="F37" i="25" s="1"/>
  <c r="F47" i="25" s="1"/>
  <c r="D9" i="25"/>
  <c r="D8" i="25" s="1"/>
  <c r="R8" i="25"/>
  <c r="R23" i="25" s="1"/>
  <c r="R33" i="25" s="1"/>
  <c r="R37" i="25" s="1"/>
  <c r="R47" i="25" s="1"/>
  <c r="N8" i="25"/>
  <c r="N23" i="25" s="1"/>
  <c r="N33" i="25" s="1"/>
  <c r="N37" i="25" s="1"/>
  <c r="N47" i="25" s="1"/>
  <c r="AB77" i="10"/>
  <c r="AB77" i="9"/>
  <c r="AB77" i="8"/>
  <c r="AB77" i="7"/>
  <c r="AB77" i="6"/>
  <c r="AB77" i="5"/>
  <c r="AB77" i="4"/>
  <c r="AB77" i="11"/>
  <c r="AB78" i="10"/>
  <c r="AB78" i="9"/>
  <c r="AB78" i="8"/>
  <c r="AB78" i="7"/>
  <c r="AB78" i="6"/>
  <c r="AB78" i="5"/>
  <c r="AB78" i="4"/>
  <c r="AB78" i="11"/>
  <c r="AB78" i="19"/>
  <c r="AB77" i="19"/>
  <c r="AB76" i="19"/>
  <c r="AB75" i="19"/>
  <c r="AB74" i="19"/>
  <c r="AB73" i="19"/>
  <c r="AB72" i="19"/>
  <c r="AB71" i="19"/>
  <c r="AB70" i="19"/>
  <c r="AB69" i="19"/>
  <c r="AB68" i="19"/>
  <c r="AB67" i="19"/>
  <c r="AB66" i="19"/>
  <c r="AB77" i="3"/>
  <c r="AB76" i="3"/>
  <c r="AB75" i="3"/>
  <c r="AB74" i="3"/>
  <c r="AB73" i="3"/>
  <c r="AB72" i="3"/>
  <c r="AB71" i="3"/>
  <c r="AB70" i="3"/>
  <c r="AB69" i="3"/>
  <c r="AB68" i="3"/>
  <c r="AB66" i="3"/>
  <c r="AB65" i="3"/>
  <c r="AB64" i="3"/>
  <c r="AB76" i="10"/>
  <c r="AB75" i="10"/>
  <c r="AB74" i="10"/>
  <c r="AB73" i="10"/>
  <c r="AB72" i="10"/>
  <c r="AB71" i="10"/>
  <c r="AB70" i="10"/>
  <c r="AB69" i="10"/>
  <c r="AB68" i="10"/>
  <c r="AB67" i="10"/>
  <c r="AB76" i="9"/>
  <c r="AB75" i="9"/>
  <c r="AB74" i="9"/>
  <c r="AB73" i="9"/>
  <c r="AB72" i="9"/>
  <c r="AB71" i="9"/>
  <c r="AB70" i="9"/>
  <c r="AB69" i="9"/>
  <c r="AB68" i="9"/>
  <c r="AB67" i="9"/>
  <c r="AB76" i="8"/>
  <c r="AB75" i="8"/>
  <c r="AB74" i="8"/>
  <c r="AB73" i="8"/>
  <c r="AB72" i="8"/>
  <c r="AB71" i="8"/>
  <c r="AB70" i="8"/>
  <c r="AB69" i="8"/>
  <c r="AB68" i="8"/>
  <c r="AB67" i="8"/>
  <c r="AB76" i="7"/>
  <c r="AB75" i="7"/>
  <c r="AB74" i="7"/>
  <c r="AB73" i="7"/>
  <c r="AB72" i="7"/>
  <c r="AB71" i="7"/>
  <c r="AB70" i="7"/>
  <c r="AB69" i="7"/>
  <c r="AB68" i="7"/>
  <c r="AB67" i="7"/>
  <c r="AB76" i="6"/>
  <c r="AB75" i="6"/>
  <c r="AB74" i="6"/>
  <c r="AB73" i="6"/>
  <c r="AB72" i="6"/>
  <c r="AB71" i="6"/>
  <c r="AB70" i="6"/>
  <c r="AB69" i="6"/>
  <c r="AB68" i="6"/>
  <c r="AB67" i="6"/>
  <c r="AB76" i="5"/>
  <c r="AB75" i="5"/>
  <c r="AB74" i="5"/>
  <c r="AB73" i="5"/>
  <c r="AB72" i="5"/>
  <c r="AB71" i="5"/>
  <c r="AB70" i="5"/>
  <c r="AB69" i="5"/>
  <c r="AB68" i="5"/>
  <c r="AB67" i="5"/>
  <c r="AB76" i="4"/>
  <c r="AB75" i="4"/>
  <c r="AB74" i="4"/>
  <c r="AB73" i="4"/>
  <c r="AB72" i="4"/>
  <c r="AB71" i="4"/>
  <c r="AB70" i="4"/>
  <c r="AB69" i="4"/>
  <c r="AB68" i="4"/>
  <c r="AB67" i="4"/>
  <c r="AB76" i="11"/>
  <c r="AB75" i="11"/>
  <c r="AB74" i="11"/>
  <c r="AB73" i="11"/>
  <c r="AB72" i="11"/>
  <c r="AB71" i="11"/>
  <c r="AB70" i="11"/>
  <c r="AB69" i="11"/>
  <c r="AB68" i="11"/>
  <c r="AB67" i="11"/>
  <c r="AB76" i="14"/>
  <c r="AB75" i="14"/>
  <c r="AB74" i="14"/>
  <c r="AB73" i="14"/>
  <c r="AB72" i="14"/>
  <c r="AB71" i="14"/>
  <c r="AB70" i="14"/>
  <c r="AB69" i="14"/>
  <c r="AB68" i="14"/>
  <c r="AB67" i="14"/>
  <c r="AB66" i="14"/>
  <c r="AB65" i="14"/>
  <c r="AB76" i="13"/>
  <c r="AB75" i="13"/>
  <c r="AB74" i="13"/>
  <c r="AB73" i="13"/>
  <c r="AB72" i="13"/>
  <c r="AB71" i="13"/>
  <c r="AB70" i="13"/>
  <c r="AB69" i="13"/>
  <c r="AB68" i="13"/>
  <c r="AB67" i="13"/>
  <c r="AB66" i="13"/>
  <c r="AB65" i="13"/>
  <c r="AB76" i="12"/>
  <c r="AB75" i="12"/>
  <c r="AB74" i="12"/>
  <c r="AB73" i="12"/>
  <c r="AB72" i="12"/>
  <c r="AB71" i="12"/>
  <c r="AB70" i="12"/>
  <c r="AB69" i="12"/>
  <c r="AB68" i="12"/>
  <c r="AB67" i="12"/>
  <c r="AB66" i="12"/>
  <c r="AB65" i="12"/>
  <c r="AB76" i="15"/>
  <c r="AB75" i="15"/>
  <c r="AB74" i="15"/>
  <c r="AB73" i="15"/>
  <c r="AB72" i="15"/>
  <c r="AB71" i="15"/>
  <c r="AB70" i="15"/>
  <c r="AB69" i="15"/>
  <c r="AB68" i="15"/>
  <c r="AB67" i="15"/>
  <c r="AB66" i="15"/>
  <c r="AB65" i="15"/>
  <c r="AB75" i="16"/>
  <c r="AB74" i="16"/>
  <c r="AB73" i="16"/>
  <c r="AB72" i="16"/>
  <c r="AB71" i="16"/>
  <c r="AB70" i="16"/>
  <c r="AB69" i="16"/>
  <c r="AB68" i="16"/>
  <c r="AB67" i="16"/>
  <c r="AB66" i="16"/>
  <c r="AB65" i="16"/>
  <c r="AB75" i="17"/>
  <c r="AB74" i="17"/>
  <c r="AB73" i="17"/>
  <c r="AB72" i="17"/>
  <c r="AB71" i="17"/>
  <c r="AB70" i="17"/>
  <c r="AB69" i="17"/>
  <c r="AB68" i="17"/>
  <c r="AB67" i="17"/>
  <c r="AB66" i="17"/>
  <c r="AB65" i="17"/>
  <c r="AB41" i="16"/>
  <c r="AB42" i="16"/>
  <c r="AB40" i="16" s="1"/>
  <c r="AB39" i="16" s="1"/>
  <c r="AB43" i="16"/>
  <c r="Z40" i="16"/>
  <c r="Z39" i="16" s="1"/>
  <c r="X40" i="16"/>
  <c r="X39" i="16" s="1"/>
  <c r="V40" i="16"/>
  <c r="V39" i="16" s="1"/>
  <c r="T40" i="16"/>
  <c r="T39" i="16" s="1"/>
  <c r="R40" i="16"/>
  <c r="R39" i="16" s="1"/>
  <c r="P40" i="16"/>
  <c r="P39" i="16" s="1"/>
  <c r="N40" i="16"/>
  <c r="N39" i="16" s="1"/>
  <c r="L40" i="16"/>
  <c r="L39" i="16" s="1"/>
  <c r="J40" i="16"/>
  <c r="J39" i="16" s="1"/>
  <c r="H40" i="16"/>
  <c r="H39" i="16" s="1"/>
  <c r="F40" i="16"/>
  <c r="F39" i="16" s="1"/>
  <c r="AB41" i="15"/>
  <c r="AB42" i="15"/>
  <c r="AB43" i="15"/>
  <c r="Z40" i="15"/>
  <c r="Z39" i="15" s="1"/>
  <c r="X40" i="15"/>
  <c r="X39" i="15" s="1"/>
  <c r="V40" i="15"/>
  <c r="V39" i="15" s="1"/>
  <c r="T40" i="15"/>
  <c r="T39" i="15" s="1"/>
  <c r="R40" i="15"/>
  <c r="R39" i="15" s="1"/>
  <c r="P40" i="15"/>
  <c r="P39" i="15" s="1"/>
  <c r="N40" i="15"/>
  <c r="N39" i="15" s="1"/>
  <c r="L40" i="15"/>
  <c r="L39" i="15" s="1"/>
  <c r="J40" i="15"/>
  <c r="J39" i="15" s="1"/>
  <c r="H40" i="15"/>
  <c r="H39" i="15" s="1"/>
  <c r="F40" i="15"/>
  <c r="F39" i="15" s="1"/>
  <c r="AB41" i="14"/>
  <c r="AB42" i="14"/>
  <c r="AB40" i="14"/>
  <c r="AB39" i="14" s="1"/>
  <c r="AB43" i="14"/>
  <c r="Z40" i="14"/>
  <c r="Z39" i="14" s="1"/>
  <c r="X40" i="14"/>
  <c r="X39" i="14" s="1"/>
  <c r="V40" i="14"/>
  <c r="V39" i="14" s="1"/>
  <c r="T40" i="14"/>
  <c r="T39" i="14" s="1"/>
  <c r="R40" i="14"/>
  <c r="R39" i="14" s="1"/>
  <c r="P40" i="14"/>
  <c r="P39" i="14" s="1"/>
  <c r="N40" i="14"/>
  <c r="N39" i="14" s="1"/>
  <c r="L40" i="14"/>
  <c r="L39" i="14" s="1"/>
  <c r="J40" i="14"/>
  <c r="J39" i="14" s="1"/>
  <c r="H40" i="14"/>
  <c r="H39" i="14" s="1"/>
  <c r="F40" i="14"/>
  <c r="F39" i="14" s="1"/>
  <c r="AB41" i="13"/>
  <c r="AB42" i="13"/>
  <c r="AB43" i="13"/>
  <c r="Z40" i="13"/>
  <c r="Z39" i="13" s="1"/>
  <c r="X40" i="13"/>
  <c r="X39" i="13" s="1"/>
  <c r="V40" i="13"/>
  <c r="V39" i="13" s="1"/>
  <c r="T40" i="13"/>
  <c r="T39" i="13" s="1"/>
  <c r="R40" i="13"/>
  <c r="R39" i="13" s="1"/>
  <c r="P40" i="13"/>
  <c r="P39" i="13" s="1"/>
  <c r="N40" i="13"/>
  <c r="N39" i="13" s="1"/>
  <c r="L40" i="13"/>
  <c r="L39" i="13" s="1"/>
  <c r="J40" i="13"/>
  <c r="J39" i="13" s="1"/>
  <c r="H40" i="13"/>
  <c r="H39" i="13" s="1"/>
  <c r="F40" i="13"/>
  <c r="F39" i="13" s="1"/>
  <c r="AB41" i="12"/>
  <c r="AB42" i="12"/>
  <c r="AB40" i="12" s="1"/>
  <c r="AB39" i="12" s="1"/>
  <c r="AB43" i="12"/>
  <c r="Z40" i="12"/>
  <c r="Z39" i="12" s="1"/>
  <c r="X40" i="12"/>
  <c r="X39" i="12" s="1"/>
  <c r="V40" i="12"/>
  <c r="V39" i="12" s="1"/>
  <c r="T40" i="12"/>
  <c r="T39" i="12" s="1"/>
  <c r="R40" i="12"/>
  <c r="R39" i="12" s="1"/>
  <c r="P40" i="12"/>
  <c r="P39" i="12" s="1"/>
  <c r="N40" i="12"/>
  <c r="N39" i="12" s="1"/>
  <c r="L40" i="12"/>
  <c r="L39" i="12" s="1"/>
  <c r="J40" i="12"/>
  <c r="J39" i="12" s="1"/>
  <c r="H40" i="12"/>
  <c r="H39" i="12" s="1"/>
  <c r="F40" i="12"/>
  <c r="F39" i="12" s="1"/>
  <c r="AB41" i="11"/>
  <c r="AB42" i="11"/>
  <c r="AB43" i="11"/>
  <c r="Z40" i="11"/>
  <c r="Z39" i="11" s="1"/>
  <c r="X40" i="11"/>
  <c r="X39" i="11" s="1"/>
  <c r="V40" i="11"/>
  <c r="V39" i="11" s="1"/>
  <c r="T40" i="11"/>
  <c r="T39" i="11" s="1"/>
  <c r="R40" i="11"/>
  <c r="R39" i="11" s="1"/>
  <c r="P40" i="11"/>
  <c r="P39" i="11" s="1"/>
  <c r="N40" i="11"/>
  <c r="N39" i="11" s="1"/>
  <c r="L40" i="11"/>
  <c r="L39" i="11" s="1"/>
  <c r="J40" i="11"/>
  <c r="J39" i="11" s="1"/>
  <c r="H40" i="11"/>
  <c r="H39" i="11" s="1"/>
  <c r="F40" i="11"/>
  <c r="F39" i="11" s="1"/>
  <c r="AB41" i="10"/>
  <c r="AB42" i="10"/>
  <c r="AB40" i="10"/>
  <c r="AB39" i="10" s="1"/>
  <c r="AB43" i="10"/>
  <c r="Z40" i="10"/>
  <c r="Z39" i="10" s="1"/>
  <c r="X40" i="10"/>
  <c r="X39" i="10" s="1"/>
  <c r="V40" i="10"/>
  <c r="V39" i="10" s="1"/>
  <c r="T40" i="10"/>
  <c r="T39" i="10" s="1"/>
  <c r="R40" i="10"/>
  <c r="R39" i="10" s="1"/>
  <c r="P40" i="10"/>
  <c r="P39" i="10" s="1"/>
  <c r="N40" i="10"/>
  <c r="N39" i="10" s="1"/>
  <c r="L40" i="10"/>
  <c r="L39" i="10" s="1"/>
  <c r="J40" i="10"/>
  <c r="J39" i="10" s="1"/>
  <c r="H40" i="10"/>
  <c r="H39" i="10" s="1"/>
  <c r="F40" i="10"/>
  <c r="F39" i="10" s="1"/>
  <c r="AB41" i="9"/>
  <c r="AB42" i="9"/>
  <c r="AB43" i="9"/>
  <c r="Z40" i="9"/>
  <c r="Z39" i="9" s="1"/>
  <c r="X40" i="9"/>
  <c r="X39" i="9" s="1"/>
  <c r="V40" i="9"/>
  <c r="V39" i="9" s="1"/>
  <c r="T40" i="9"/>
  <c r="T39" i="9" s="1"/>
  <c r="R40" i="9"/>
  <c r="R39" i="9" s="1"/>
  <c r="P40" i="9"/>
  <c r="P39" i="9" s="1"/>
  <c r="N40" i="9"/>
  <c r="N39" i="9" s="1"/>
  <c r="L40" i="9"/>
  <c r="L39" i="9" s="1"/>
  <c r="J40" i="9"/>
  <c r="J39" i="9" s="1"/>
  <c r="H40" i="9"/>
  <c r="H39" i="9" s="1"/>
  <c r="F40" i="9"/>
  <c r="F39" i="9" s="1"/>
  <c r="AB41" i="8"/>
  <c r="AB42" i="8"/>
  <c r="AB40" i="8" s="1"/>
  <c r="AB39" i="8" s="1"/>
  <c r="AB43" i="8"/>
  <c r="Z40" i="8"/>
  <c r="Z39" i="8" s="1"/>
  <c r="X40" i="8"/>
  <c r="X39" i="8" s="1"/>
  <c r="V40" i="8"/>
  <c r="V39" i="8" s="1"/>
  <c r="T40" i="8"/>
  <c r="T39" i="8" s="1"/>
  <c r="R40" i="8"/>
  <c r="R39" i="8" s="1"/>
  <c r="P40" i="8"/>
  <c r="P39" i="8" s="1"/>
  <c r="N40" i="8"/>
  <c r="N39" i="8" s="1"/>
  <c r="L40" i="8"/>
  <c r="L39" i="8" s="1"/>
  <c r="J40" i="8"/>
  <c r="J39" i="8" s="1"/>
  <c r="H40" i="8"/>
  <c r="H39" i="8" s="1"/>
  <c r="F40" i="8"/>
  <c r="F39" i="8" s="1"/>
  <c r="AB41" i="7"/>
  <c r="AB42" i="7"/>
  <c r="AB43" i="7"/>
  <c r="Z40" i="7"/>
  <c r="Z39" i="7" s="1"/>
  <c r="X40" i="7"/>
  <c r="X39" i="7" s="1"/>
  <c r="V40" i="7"/>
  <c r="V39" i="7" s="1"/>
  <c r="T40" i="7"/>
  <c r="T39" i="7" s="1"/>
  <c r="R40" i="7"/>
  <c r="R39" i="7" s="1"/>
  <c r="P40" i="7"/>
  <c r="P39" i="7" s="1"/>
  <c r="N40" i="7"/>
  <c r="N39" i="7" s="1"/>
  <c r="L40" i="7"/>
  <c r="L39" i="7" s="1"/>
  <c r="J40" i="7"/>
  <c r="J39" i="7" s="1"/>
  <c r="H40" i="7"/>
  <c r="H39" i="7" s="1"/>
  <c r="F40" i="7"/>
  <c r="F39" i="7" s="1"/>
  <c r="AB41" i="6"/>
  <c r="AB42" i="6"/>
  <c r="AB40" i="6" s="1"/>
  <c r="AB39" i="6" s="1"/>
  <c r="AB43" i="6"/>
  <c r="Z40" i="6"/>
  <c r="Z39" i="6" s="1"/>
  <c r="X40" i="6"/>
  <c r="X39" i="6" s="1"/>
  <c r="V40" i="6"/>
  <c r="V39" i="6" s="1"/>
  <c r="T40" i="6"/>
  <c r="T39" i="6" s="1"/>
  <c r="R40" i="6"/>
  <c r="R39" i="6" s="1"/>
  <c r="P40" i="6"/>
  <c r="P39" i="6" s="1"/>
  <c r="N40" i="6"/>
  <c r="N39" i="6" s="1"/>
  <c r="L40" i="6"/>
  <c r="L39" i="6" s="1"/>
  <c r="J40" i="6"/>
  <c r="J39" i="6" s="1"/>
  <c r="H40" i="6"/>
  <c r="H39" i="6" s="1"/>
  <c r="F40" i="6"/>
  <c r="F39" i="6" s="1"/>
  <c r="AB41" i="5"/>
  <c r="AB42" i="5"/>
  <c r="AB43" i="5"/>
  <c r="Z40" i="5"/>
  <c r="Z39" i="5" s="1"/>
  <c r="X40" i="5"/>
  <c r="X39" i="5" s="1"/>
  <c r="V40" i="5"/>
  <c r="V39" i="5" s="1"/>
  <c r="T40" i="5"/>
  <c r="T39" i="5" s="1"/>
  <c r="R40" i="5"/>
  <c r="R39" i="5" s="1"/>
  <c r="P40" i="5"/>
  <c r="P39" i="5" s="1"/>
  <c r="N40" i="5"/>
  <c r="N39" i="5" s="1"/>
  <c r="L40" i="5"/>
  <c r="L39" i="5" s="1"/>
  <c r="J40" i="5"/>
  <c r="J39" i="5" s="1"/>
  <c r="H40" i="5"/>
  <c r="H39" i="5" s="1"/>
  <c r="F40" i="5"/>
  <c r="F39" i="5" s="1"/>
  <c r="AB41" i="4"/>
  <c r="AB42" i="4"/>
  <c r="AB40" i="4" s="1"/>
  <c r="AB39" i="4" s="1"/>
  <c r="AB43" i="4"/>
  <c r="Z40" i="4"/>
  <c r="Z39" i="4" s="1"/>
  <c r="X40" i="4"/>
  <c r="X39" i="4" s="1"/>
  <c r="V40" i="4"/>
  <c r="V39" i="4" s="1"/>
  <c r="T40" i="4"/>
  <c r="T39" i="4" s="1"/>
  <c r="R40" i="4"/>
  <c r="R39" i="4" s="1"/>
  <c r="P40" i="4"/>
  <c r="P39" i="4" s="1"/>
  <c r="N40" i="4"/>
  <c r="N39" i="4" s="1"/>
  <c r="L40" i="4"/>
  <c r="L39" i="4" s="1"/>
  <c r="J40" i="4"/>
  <c r="J39" i="4" s="1"/>
  <c r="H40" i="4"/>
  <c r="H39" i="4" s="1"/>
  <c r="F40" i="4"/>
  <c r="F39" i="4" s="1"/>
  <c r="AB41" i="3"/>
  <c r="AB42" i="3"/>
  <c r="AB43" i="3"/>
  <c r="Z40" i="3"/>
  <c r="Z39" i="3" s="1"/>
  <c r="X40" i="3"/>
  <c r="X39" i="3" s="1"/>
  <c r="V40" i="3"/>
  <c r="V39" i="3" s="1"/>
  <c r="T40" i="3"/>
  <c r="T39" i="3" s="1"/>
  <c r="R40" i="3"/>
  <c r="R39" i="3" s="1"/>
  <c r="P40" i="3"/>
  <c r="P39" i="3" s="1"/>
  <c r="N40" i="3"/>
  <c r="N39" i="3" s="1"/>
  <c r="L40" i="3"/>
  <c r="L39" i="3" s="1"/>
  <c r="J40" i="3"/>
  <c r="J39" i="3" s="1"/>
  <c r="H40" i="3"/>
  <c r="H39" i="3" s="1"/>
  <c r="F40" i="3"/>
  <c r="F39" i="3" s="1"/>
  <c r="AB41" i="19"/>
  <c r="AB42" i="19"/>
  <c r="AB43" i="19"/>
  <c r="Z40" i="19"/>
  <c r="Z39" i="19"/>
  <c r="X40" i="19"/>
  <c r="X39" i="19"/>
  <c r="V40" i="19"/>
  <c r="V39" i="19"/>
  <c r="T40" i="19"/>
  <c r="T39" i="19"/>
  <c r="R40" i="19"/>
  <c r="R39" i="19"/>
  <c r="P40" i="19"/>
  <c r="P39" i="19"/>
  <c r="N40" i="19"/>
  <c r="N39" i="19"/>
  <c r="L40" i="19"/>
  <c r="L39" i="19"/>
  <c r="J40" i="19"/>
  <c r="J39" i="19"/>
  <c r="H40" i="19"/>
  <c r="H39" i="19"/>
  <c r="F40" i="19"/>
  <c r="F39" i="19"/>
  <c r="AB41" i="17"/>
  <c r="AB42" i="17"/>
  <c r="AB40" i="17" s="1"/>
  <c r="AB39" i="17" s="1"/>
  <c r="AB43" i="17"/>
  <c r="Z40" i="17"/>
  <c r="Z39" i="17" s="1"/>
  <c r="X40" i="17"/>
  <c r="X39" i="17" s="1"/>
  <c r="V40" i="17"/>
  <c r="V39" i="17" s="1"/>
  <c r="T40" i="17"/>
  <c r="T39" i="17" s="1"/>
  <c r="R40" i="17"/>
  <c r="R39" i="17" s="1"/>
  <c r="P40" i="17"/>
  <c r="P39" i="17" s="1"/>
  <c r="N40" i="17"/>
  <c r="N39" i="17" s="1"/>
  <c r="L40" i="17"/>
  <c r="L39" i="17" s="1"/>
  <c r="J40" i="17"/>
  <c r="J39" i="17" s="1"/>
  <c r="H40" i="17"/>
  <c r="H39" i="17" s="1"/>
  <c r="F40" i="17"/>
  <c r="F39" i="17" s="1"/>
  <c r="B63" i="19"/>
  <c r="B62" i="3"/>
  <c r="AB10" i="19"/>
  <c r="AB11" i="19"/>
  <c r="AB9" i="19" s="1"/>
  <c r="AB8" i="19" s="1"/>
  <c r="AB12" i="19"/>
  <c r="AB15" i="19"/>
  <c r="AB16" i="19"/>
  <c r="AB17" i="19"/>
  <c r="AB19" i="19"/>
  <c r="AB21" i="19"/>
  <c r="AB28" i="19"/>
  <c r="AB29" i="19"/>
  <c r="AB27" i="19" s="1"/>
  <c r="AB25" i="19" s="1"/>
  <c r="AB26" i="19"/>
  <c r="AB31" i="19"/>
  <c r="AB35" i="19"/>
  <c r="Z9" i="19"/>
  <c r="Z8" i="19" s="1"/>
  <c r="Z14" i="19"/>
  <c r="Z27" i="19"/>
  <c r="Z25" i="19"/>
  <c r="X9" i="19"/>
  <c r="X8" i="19"/>
  <c r="X23" i="19" s="1"/>
  <c r="X14" i="19"/>
  <c r="X27" i="19"/>
  <c r="X25" i="19" s="1"/>
  <c r="V9" i="19"/>
  <c r="V8" i="19" s="1"/>
  <c r="V14" i="19"/>
  <c r="V27" i="19"/>
  <c r="V25" i="19" s="1"/>
  <c r="T9" i="19"/>
  <c r="T8" i="19" s="1"/>
  <c r="T23" i="19" s="1"/>
  <c r="T14" i="19"/>
  <c r="T27" i="19"/>
  <c r="T25" i="19" s="1"/>
  <c r="R9" i="19"/>
  <c r="R8" i="19" s="1"/>
  <c r="R14" i="19"/>
  <c r="R27" i="19"/>
  <c r="R25" i="19"/>
  <c r="P9" i="19"/>
  <c r="P8" i="19"/>
  <c r="P23" i="19" s="1"/>
  <c r="P14" i="19"/>
  <c r="P27" i="19"/>
  <c r="P25" i="19" s="1"/>
  <c r="N9" i="19"/>
  <c r="N8" i="19" s="1"/>
  <c r="N14" i="19"/>
  <c r="N27" i="19"/>
  <c r="N25" i="19"/>
  <c r="L9" i="19"/>
  <c r="L8" i="19"/>
  <c r="L23" i="19" s="1"/>
  <c r="L14" i="19"/>
  <c r="L27" i="19"/>
  <c r="L25" i="19" s="1"/>
  <c r="J9" i="19"/>
  <c r="J8" i="19" s="1"/>
  <c r="J14" i="19"/>
  <c r="J27" i="19"/>
  <c r="J25" i="19"/>
  <c r="H9" i="19"/>
  <c r="H8" i="19"/>
  <c r="H23" i="19" s="1"/>
  <c r="H14" i="19"/>
  <c r="H27" i="19"/>
  <c r="H25" i="19" s="1"/>
  <c r="F9" i="19"/>
  <c r="F8" i="19" s="1"/>
  <c r="F14" i="19"/>
  <c r="F27" i="19"/>
  <c r="F25" i="19"/>
  <c r="AB10" i="3"/>
  <c r="AB11" i="3"/>
  <c r="AB9" i="3" s="1"/>
  <c r="AB8" i="3" s="1"/>
  <c r="AB12" i="3"/>
  <c r="AB15" i="3"/>
  <c r="AB16" i="3"/>
  <c r="AB17" i="3"/>
  <c r="AB19" i="3"/>
  <c r="AB21" i="3"/>
  <c r="AB28" i="3"/>
  <c r="AB29" i="3"/>
  <c r="AB27" i="3" s="1"/>
  <c r="AB25" i="3" s="1"/>
  <c r="AB26" i="3"/>
  <c r="AB31" i="3"/>
  <c r="AB35" i="3"/>
  <c r="Z9" i="3"/>
  <c r="Z8" i="3" s="1"/>
  <c r="Z23" i="3" s="1"/>
  <c r="Z14" i="3"/>
  <c r="Z27" i="3"/>
  <c r="Z25" i="3" s="1"/>
  <c r="X9" i="3"/>
  <c r="X8" i="3" s="1"/>
  <c r="X14" i="3"/>
  <c r="X27" i="3"/>
  <c r="X25" i="3" s="1"/>
  <c r="V9" i="3"/>
  <c r="V8" i="3" s="1"/>
  <c r="V14" i="3"/>
  <c r="V27" i="3"/>
  <c r="V25" i="3" s="1"/>
  <c r="T9" i="3"/>
  <c r="T8" i="3" s="1"/>
  <c r="T14" i="3"/>
  <c r="T27" i="3"/>
  <c r="T25" i="3" s="1"/>
  <c r="R9" i="3"/>
  <c r="R8" i="3" s="1"/>
  <c r="R14" i="3"/>
  <c r="R27" i="3"/>
  <c r="R25" i="3" s="1"/>
  <c r="P9" i="3"/>
  <c r="P8" i="3" s="1"/>
  <c r="P14" i="3"/>
  <c r="P27" i="3"/>
  <c r="P25" i="3" s="1"/>
  <c r="N9" i="3"/>
  <c r="N8" i="3" s="1"/>
  <c r="N14" i="3"/>
  <c r="N27" i="3"/>
  <c r="N25" i="3" s="1"/>
  <c r="L9" i="3"/>
  <c r="L8" i="3" s="1"/>
  <c r="L14" i="3"/>
  <c r="L27" i="3"/>
  <c r="L25" i="3" s="1"/>
  <c r="J9" i="3"/>
  <c r="J8" i="3" s="1"/>
  <c r="J14" i="3"/>
  <c r="J27" i="3"/>
  <c r="J25" i="3" s="1"/>
  <c r="H9" i="3"/>
  <c r="H8" i="3" s="1"/>
  <c r="H23" i="3" s="1"/>
  <c r="H14" i="3"/>
  <c r="H27" i="3"/>
  <c r="H25" i="3" s="1"/>
  <c r="F9" i="3"/>
  <c r="F8" i="3" s="1"/>
  <c r="F23" i="3" s="1"/>
  <c r="F14" i="3"/>
  <c r="F27" i="3"/>
  <c r="F25" i="3" s="1"/>
  <c r="D9" i="19"/>
  <c r="D8" i="19" s="1"/>
  <c r="D23" i="19" s="1"/>
  <c r="D14" i="19"/>
  <c r="D27" i="19"/>
  <c r="D25" i="19" s="1"/>
  <c r="D40" i="19"/>
  <c r="D39" i="19" s="1"/>
  <c r="D9" i="3"/>
  <c r="D8" i="3" s="1"/>
  <c r="D23" i="3" s="1"/>
  <c r="D14" i="3"/>
  <c r="D27" i="3"/>
  <c r="D25" i="3" s="1"/>
  <c r="D40" i="3"/>
  <c r="D39" i="3" s="1"/>
  <c r="B62" i="15"/>
  <c r="B62" i="14"/>
  <c r="B62" i="13"/>
  <c r="B62" i="12"/>
  <c r="B64" i="11"/>
  <c r="B64" i="10"/>
  <c r="B64" i="9"/>
  <c r="B64" i="8"/>
  <c r="B64" i="7"/>
  <c r="B64" i="6"/>
  <c r="B64" i="5"/>
  <c r="B64" i="4"/>
  <c r="B62" i="16"/>
  <c r="AB10" i="15"/>
  <c r="AB11" i="15"/>
  <c r="AB12" i="15"/>
  <c r="AB15" i="15"/>
  <c r="AB16" i="15"/>
  <c r="AB17" i="15"/>
  <c r="AB19" i="15"/>
  <c r="AB21" i="15"/>
  <c r="AB28" i="15"/>
  <c r="AB29" i="15"/>
  <c r="AB26" i="15"/>
  <c r="AB31" i="15"/>
  <c r="AB35" i="15"/>
  <c r="Z9" i="15"/>
  <c r="Z8" i="15"/>
  <c r="Z23" i="15" s="1"/>
  <c r="Z14" i="15"/>
  <c r="Z27" i="15"/>
  <c r="Z25" i="15" s="1"/>
  <c r="X9" i="15"/>
  <c r="X8" i="15" s="1"/>
  <c r="X14" i="15"/>
  <c r="X27" i="15"/>
  <c r="X25" i="15" s="1"/>
  <c r="V9" i="15"/>
  <c r="V8" i="15" s="1"/>
  <c r="V23" i="15" s="1"/>
  <c r="V14" i="15"/>
  <c r="V27" i="15"/>
  <c r="V25" i="15" s="1"/>
  <c r="T9" i="15"/>
  <c r="T8" i="15" s="1"/>
  <c r="T14" i="15"/>
  <c r="R9" i="15"/>
  <c r="R8" i="15" s="1"/>
  <c r="R14" i="15"/>
  <c r="P9" i="15"/>
  <c r="P8" i="15" s="1"/>
  <c r="P14" i="15"/>
  <c r="P27" i="15"/>
  <c r="P25" i="15" s="1"/>
  <c r="N9" i="15"/>
  <c r="N8" i="15" s="1"/>
  <c r="N23" i="15" s="1"/>
  <c r="N14" i="15"/>
  <c r="N27" i="15"/>
  <c r="N25" i="15" s="1"/>
  <c r="L9" i="15"/>
  <c r="L8" i="15" s="1"/>
  <c r="L14" i="15"/>
  <c r="L27" i="15"/>
  <c r="L25" i="15"/>
  <c r="J9" i="15"/>
  <c r="J8" i="15"/>
  <c r="J23" i="15" s="1"/>
  <c r="J14" i="15"/>
  <c r="J27" i="15"/>
  <c r="J25" i="15" s="1"/>
  <c r="H9" i="15"/>
  <c r="H8" i="15" s="1"/>
  <c r="H14" i="15"/>
  <c r="H27" i="15"/>
  <c r="H25" i="15"/>
  <c r="F9" i="15"/>
  <c r="F8" i="15"/>
  <c r="F23" i="15" s="1"/>
  <c r="F14" i="15"/>
  <c r="F27" i="15"/>
  <c r="F25" i="15" s="1"/>
  <c r="AB10" i="14"/>
  <c r="AB11" i="14"/>
  <c r="AB9" i="14" s="1"/>
  <c r="AB8" i="14" s="1"/>
  <c r="AB12" i="14"/>
  <c r="AB15" i="14"/>
  <c r="AB16" i="14"/>
  <c r="AB17" i="14"/>
  <c r="AB19" i="14"/>
  <c r="AB21" i="14"/>
  <c r="AB28" i="14"/>
  <c r="AB29" i="14"/>
  <c r="AB27" i="14" s="1"/>
  <c r="AB25" i="14" s="1"/>
  <c r="AB26" i="14"/>
  <c r="AB31" i="14"/>
  <c r="AB35" i="14"/>
  <c r="Z9" i="14"/>
  <c r="Z8" i="14" s="1"/>
  <c r="Z14" i="14"/>
  <c r="Z27" i="14"/>
  <c r="Z25" i="14" s="1"/>
  <c r="X9" i="14"/>
  <c r="X8" i="14" s="1"/>
  <c r="X23" i="14" s="1"/>
  <c r="X14" i="14"/>
  <c r="X27" i="14"/>
  <c r="X25" i="14" s="1"/>
  <c r="V9" i="14"/>
  <c r="V8" i="14" s="1"/>
  <c r="V14" i="14"/>
  <c r="V27" i="14"/>
  <c r="V25" i="14" s="1"/>
  <c r="T9" i="14"/>
  <c r="T8" i="14" s="1"/>
  <c r="T23" i="14" s="1"/>
  <c r="T14" i="14"/>
  <c r="R9" i="14"/>
  <c r="R8" i="14" s="1"/>
  <c r="R23" i="14" s="1"/>
  <c r="R14" i="14"/>
  <c r="P9" i="14"/>
  <c r="P8" i="14" s="1"/>
  <c r="P23" i="14" s="1"/>
  <c r="P14" i="14"/>
  <c r="P27" i="14"/>
  <c r="P25" i="14" s="1"/>
  <c r="N9" i="14"/>
  <c r="N8" i="14" s="1"/>
  <c r="N14" i="14"/>
  <c r="N27" i="14"/>
  <c r="N25" i="14"/>
  <c r="L9" i="14"/>
  <c r="L8" i="14"/>
  <c r="L14" i="14"/>
  <c r="L23" i="14"/>
  <c r="L27" i="14"/>
  <c r="L25" i="14"/>
  <c r="J9" i="14"/>
  <c r="J8" i="14"/>
  <c r="J23" i="14" s="1"/>
  <c r="J14" i="14"/>
  <c r="J27" i="14"/>
  <c r="J25" i="14" s="1"/>
  <c r="H9" i="14"/>
  <c r="H8" i="14" s="1"/>
  <c r="H14" i="14"/>
  <c r="H27" i="14"/>
  <c r="H25" i="14"/>
  <c r="F9" i="14"/>
  <c r="F8" i="14"/>
  <c r="F23" i="14" s="1"/>
  <c r="F14" i="14"/>
  <c r="F27" i="14"/>
  <c r="F25" i="14" s="1"/>
  <c r="AB10" i="13"/>
  <c r="AB11" i="13"/>
  <c r="AB9" i="13" s="1"/>
  <c r="AB8" i="13" s="1"/>
  <c r="AB12" i="13"/>
  <c r="AB15" i="13"/>
  <c r="AB16" i="13"/>
  <c r="AB17" i="13"/>
  <c r="AB19" i="13"/>
  <c r="AB21" i="13"/>
  <c r="AB28" i="13"/>
  <c r="AB29" i="13"/>
  <c r="AB27" i="13" s="1"/>
  <c r="AB25" i="13" s="1"/>
  <c r="AB26" i="13"/>
  <c r="AB31" i="13"/>
  <c r="AB35" i="13"/>
  <c r="Z9" i="13"/>
  <c r="Z8" i="13" s="1"/>
  <c r="Z14" i="13"/>
  <c r="Z27" i="13"/>
  <c r="Z25" i="13" s="1"/>
  <c r="X9" i="13"/>
  <c r="X8" i="13" s="1"/>
  <c r="X23" i="13" s="1"/>
  <c r="X14" i="13"/>
  <c r="X27" i="13"/>
  <c r="X25" i="13" s="1"/>
  <c r="V9" i="13"/>
  <c r="V8" i="13" s="1"/>
  <c r="V14" i="13"/>
  <c r="V27" i="13"/>
  <c r="V25" i="13" s="1"/>
  <c r="T9" i="13"/>
  <c r="T8" i="13" s="1"/>
  <c r="T23" i="13" s="1"/>
  <c r="T14" i="13"/>
  <c r="R9" i="13"/>
  <c r="R8" i="13" s="1"/>
  <c r="R23" i="13" s="1"/>
  <c r="R14" i="13"/>
  <c r="P9" i="13"/>
  <c r="P8" i="13" s="1"/>
  <c r="P23" i="13" s="1"/>
  <c r="P14" i="13"/>
  <c r="P27" i="13"/>
  <c r="P25" i="13" s="1"/>
  <c r="N9" i="13"/>
  <c r="N8" i="13" s="1"/>
  <c r="N14" i="13"/>
  <c r="N27" i="13"/>
  <c r="N25" i="13" s="1"/>
  <c r="L9" i="13"/>
  <c r="L8" i="13" s="1"/>
  <c r="L23" i="13" s="1"/>
  <c r="L14" i="13"/>
  <c r="L27" i="13"/>
  <c r="L25" i="13" s="1"/>
  <c r="J9" i="13"/>
  <c r="J8" i="13" s="1"/>
  <c r="J14" i="13"/>
  <c r="J27" i="13"/>
  <c r="J25" i="13" s="1"/>
  <c r="H9" i="13"/>
  <c r="H8" i="13" s="1"/>
  <c r="H23" i="13" s="1"/>
  <c r="H14" i="13"/>
  <c r="H27" i="13"/>
  <c r="H25" i="13" s="1"/>
  <c r="F9" i="13"/>
  <c r="F8" i="13" s="1"/>
  <c r="F14" i="13"/>
  <c r="F27" i="13"/>
  <c r="F25" i="13" s="1"/>
  <c r="AB10" i="12"/>
  <c r="AB11" i="12"/>
  <c r="AB9" i="12"/>
  <c r="AB8" i="12" s="1"/>
  <c r="AB12" i="12"/>
  <c r="AB15" i="12"/>
  <c r="AB16" i="12"/>
  <c r="AB17" i="12"/>
  <c r="AB19" i="12"/>
  <c r="AB21" i="12"/>
  <c r="AB28" i="12"/>
  <c r="AB29" i="12"/>
  <c r="AB27" i="12" s="1"/>
  <c r="AB25" i="12" s="1"/>
  <c r="AB26" i="12"/>
  <c r="AB31" i="12"/>
  <c r="AB35" i="12"/>
  <c r="Z9" i="12"/>
  <c r="Z8" i="12" s="1"/>
  <c r="Z14" i="12"/>
  <c r="Z27" i="12"/>
  <c r="Z25" i="12" s="1"/>
  <c r="X9" i="12"/>
  <c r="X8" i="12" s="1"/>
  <c r="X23" i="12" s="1"/>
  <c r="X14" i="12"/>
  <c r="X27" i="12"/>
  <c r="X25" i="12" s="1"/>
  <c r="V9" i="12"/>
  <c r="V8" i="12" s="1"/>
  <c r="V14" i="12"/>
  <c r="V27" i="12"/>
  <c r="V25" i="12" s="1"/>
  <c r="T9" i="12"/>
  <c r="T8" i="12" s="1"/>
  <c r="T23" i="12" s="1"/>
  <c r="T14" i="12"/>
  <c r="R9" i="12"/>
  <c r="R8" i="12" s="1"/>
  <c r="R14" i="12"/>
  <c r="P9" i="12"/>
  <c r="P8" i="12" s="1"/>
  <c r="P23" i="12" s="1"/>
  <c r="P14" i="12"/>
  <c r="P27" i="12"/>
  <c r="P25" i="12" s="1"/>
  <c r="N9" i="12"/>
  <c r="N8" i="12" s="1"/>
  <c r="N23" i="12" s="1"/>
  <c r="N14" i="12"/>
  <c r="N27" i="12"/>
  <c r="N25" i="12" s="1"/>
  <c r="L9" i="12"/>
  <c r="L8" i="12" s="1"/>
  <c r="L14" i="12"/>
  <c r="L27" i="12"/>
  <c r="L25" i="12" s="1"/>
  <c r="J9" i="12"/>
  <c r="J8" i="12" s="1"/>
  <c r="J23" i="12" s="1"/>
  <c r="J14" i="12"/>
  <c r="J27" i="12"/>
  <c r="J25" i="12" s="1"/>
  <c r="H9" i="12"/>
  <c r="H8" i="12" s="1"/>
  <c r="H23" i="12" s="1"/>
  <c r="H14" i="12"/>
  <c r="H27" i="12"/>
  <c r="H25" i="12" s="1"/>
  <c r="F9" i="12"/>
  <c r="F8" i="12" s="1"/>
  <c r="F23" i="12" s="1"/>
  <c r="F14" i="12"/>
  <c r="F27" i="12"/>
  <c r="F25" i="12" s="1"/>
  <c r="AB10" i="11"/>
  <c r="AB11" i="11"/>
  <c r="AB12" i="11"/>
  <c r="AB15" i="11"/>
  <c r="AB16" i="11"/>
  <c r="AB17" i="11"/>
  <c r="AB19" i="11"/>
  <c r="AB21" i="11"/>
  <c r="AB28" i="11"/>
  <c r="AB29" i="11"/>
  <c r="AB26" i="11"/>
  <c r="AB31" i="11"/>
  <c r="AB35" i="11"/>
  <c r="Z9" i="11"/>
  <c r="Z8" i="11" s="1"/>
  <c r="Z14" i="11"/>
  <c r="Z27" i="11"/>
  <c r="Z25" i="11" s="1"/>
  <c r="X9" i="11"/>
  <c r="X8" i="11" s="1"/>
  <c r="X23" i="11" s="1"/>
  <c r="X14" i="11"/>
  <c r="X27" i="11"/>
  <c r="X25" i="11" s="1"/>
  <c r="V9" i="11"/>
  <c r="V8" i="11" s="1"/>
  <c r="V14" i="11"/>
  <c r="V27" i="11"/>
  <c r="V25" i="11" s="1"/>
  <c r="T9" i="11"/>
  <c r="T8" i="11" s="1"/>
  <c r="T23" i="11" s="1"/>
  <c r="T14" i="11"/>
  <c r="R9" i="11"/>
  <c r="R8" i="11" s="1"/>
  <c r="R23" i="11" s="1"/>
  <c r="R14" i="11"/>
  <c r="P9" i="11"/>
  <c r="P8" i="11" s="1"/>
  <c r="P23" i="11" s="1"/>
  <c r="P14" i="11"/>
  <c r="P27" i="11"/>
  <c r="P25" i="11" s="1"/>
  <c r="N9" i="11"/>
  <c r="N8" i="11" s="1"/>
  <c r="N14" i="11"/>
  <c r="N27" i="11"/>
  <c r="N25" i="11" s="1"/>
  <c r="L9" i="11"/>
  <c r="L8" i="11" s="1"/>
  <c r="L23" i="11" s="1"/>
  <c r="L14" i="11"/>
  <c r="L27" i="11"/>
  <c r="L25" i="11" s="1"/>
  <c r="J9" i="11"/>
  <c r="J8" i="11" s="1"/>
  <c r="J14" i="11"/>
  <c r="J27" i="11"/>
  <c r="J25" i="11"/>
  <c r="H9" i="11"/>
  <c r="H8" i="11"/>
  <c r="H23" i="11" s="1"/>
  <c r="H14" i="11"/>
  <c r="H27" i="11"/>
  <c r="H25" i="11" s="1"/>
  <c r="F9" i="11"/>
  <c r="F8" i="11" s="1"/>
  <c r="F14" i="11"/>
  <c r="F27" i="11"/>
  <c r="F25" i="11"/>
  <c r="AB10" i="10"/>
  <c r="AB11" i="10"/>
  <c r="AB9" i="10" s="1"/>
  <c r="AB8" i="10" s="1"/>
  <c r="AB12" i="10"/>
  <c r="AB15" i="10"/>
  <c r="AB16" i="10"/>
  <c r="AB17" i="10"/>
  <c r="AB19" i="10"/>
  <c r="AB21" i="10"/>
  <c r="AB28" i="10"/>
  <c r="AB29" i="10"/>
  <c r="AB27" i="10" s="1"/>
  <c r="AB25" i="10" s="1"/>
  <c r="AB26" i="10"/>
  <c r="AB31" i="10"/>
  <c r="AB35" i="10"/>
  <c r="Z9" i="10"/>
  <c r="Z8" i="10" s="1"/>
  <c r="Z23" i="10" s="1"/>
  <c r="Z14" i="10"/>
  <c r="Z27" i="10"/>
  <c r="Z25" i="10" s="1"/>
  <c r="X9" i="10"/>
  <c r="X8" i="10" s="1"/>
  <c r="X23" i="10" s="1"/>
  <c r="X14" i="10"/>
  <c r="X27" i="10"/>
  <c r="X25" i="10" s="1"/>
  <c r="V9" i="10"/>
  <c r="V8" i="10" s="1"/>
  <c r="V23" i="10" s="1"/>
  <c r="V14" i="10"/>
  <c r="V27" i="10"/>
  <c r="V25" i="10" s="1"/>
  <c r="T9" i="10"/>
  <c r="T8" i="10" s="1"/>
  <c r="T14" i="10"/>
  <c r="R9" i="10"/>
  <c r="R8" i="10" s="1"/>
  <c r="R23" i="10" s="1"/>
  <c r="R14" i="10"/>
  <c r="P9" i="10"/>
  <c r="P8" i="10" s="1"/>
  <c r="P14" i="10"/>
  <c r="P27" i="10"/>
  <c r="P25" i="10" s="1"/>
  <c r="N9" i="10"/>
  <c r="N8" i="10" s="1"/>
  <c r="N23" i="10" s="1"/>
  <c r="N14" i="10"/>
  <c r="N27" i="10"/>
  <c r="N25" i="10" s="1"/>
  <c r="L9" i="10"/>
  <c r="L8" i="10" s="1"/>
  <c r="L14" i="10"/>
  <c r="L27" i="10"/>
  <c r="L25" i="10" s="1"/>
  <c r="J9" i="10"/>
  <c r="J8" i="10" s="1"/>
  <c r="J23" i="10" s="1"/>
  <c r="J14" i="10"/>
  <c r="J27" i="10"/>
  <c r="J25" i="10" s="1"/>
  <c r="H9" i="10"/>
  <c r="H8" i="10" s="1"/>
  <c r="H14" i="10"/>
  <c r="H27" i="10"/>
  <c r="H25" i="10" s="1"/>
  <c r="F9" i="10"/>
  <c r="F8" i="10" s="1"/>
  <c r="F23" i="10" s="1"/>
  <c r="F14" i="10"/>
  <c r="F27" i="10"/>
  <c r="F25" i="10" s="1"/>
  <c r="AB10" i="9"/>
  <c r="AB11" i="9"/>
  <c r="AB9" i="9" s="1"/>
  <c r="AB8" i="9" s="1"/>
  <c r="AB12" i="9"/>
  <c r="AB15" i="9"/>
  <c r="AB16" i="9"/>
  <c r="AB17" i="9"/>
  <c r="AB19" i="9"/>
  <c r="AB21" i="9"/>
  <c r="AB28" i="9"/>
  <c r="AB29" i="9"/>
  <c r="AB27" i="9" s="1"/>
  <c r="AB25" i="9" s="1"/>
  <c r="AB26" i="9"/>
  <c r="AB31" i="9"/>
  <c r="AB35" i="9"/>
  <c r="Z9" i="9"/>
  <c r="Z8" i="9" s="1"/>
  <c r="Z23" i="9" s="1"/>
  <c r="Z14" i="9"/>
  <c r="Z27" i="9"/>
  <c r="Z25" i="9" s="1"/>
  <c r="X9" i="9"/>
  <c r="X8" i="9" s="1"/>
  <c r="X14" i="9"/>
  <c r="X27" i="9"/>
  <c r="X25" i="9" s="1"/>
  <c r="V9" i="9"/>
  <c r="V8" i="9" s="1"/>
  <c r="V14" i="9"/>
  <c r="V27" i="9"/>
  <c r="V25" i="9" s="1"/>
  <c r="T9" i="9"/>
  <c r="T8" i="9" s="1"/>
  <c r="T14" i="9"/>
  <c r="R9" i="9"/>
  <c r="R8" i="9" s="1"/>
  <c r="R14" i="9"/>
  <c r="P9" i="9"/>
  <c r="P8" i="9" s="1"/>
  <c r="P14" i="9"/>
  <c r="P27" i="9"/>
  <c r="P25" i="9" s="1"/>
  <c r="N9" i="9"/>
  <c r="N8" i="9" s="1"/>
  <c r="N23" i="9" s="1"/>
  <c r="N14" i="9"/>
  <c r="N27" i="9"/>
  <c r="N25" i="9" s="1"/>
  <c r="L9" i="9"/>
  <c r="L8" i="9" s="1"/>
  <c r="L14" i="9"/>
  <c r="L27" i="9"/>
  <c r="L25" i="9" s="1"/>
  <c r="J9" i="9"/>
  <c r="J8" i="9" s="1"/>
  <c r="J14" i="9"/>
  <c r="J27" i="9"/>
  <c r="J25" i="9" s="1"/>
  <c r="H9" i="9"/>
  <c r="H8" i="9" s="1"/>
  <c r="H14" i="9"/>
  <c r="H27" i="9"/>
  <c r="H25" i="9" s="1"/>
  <c r="F9" i="9"/>
  <c r="F8" i="9" s="1"/>
  <c r="F23" i="9" s="1"/>
  <c r="F14" i="9"/>
  <c r="F27" i="9"/>
  <c r="F25" i="9" s="1"/>
  <c r="AB10" i="8"/>
  <c r="AB11" i="8"/>
  <c r="AB12" i="8"/>
  <c r="AB15" i="8"/>
  <c r="AB16" i="8"/>
  <c r="AB17" i="8"/>
  <c r="AB19" i="8"/>
  <c r="AB21" i="8"/>
  <c r="AB28" i="8"/>
  <c r="AB29" i="8"/>
  <c r="AB26" i="8"/>
  <c r="AB31" i="8"/>
  <c r="AB35" i="8"/>
  <c r="Z9" i="8"/>
  <c r="Z8" i="8" s="1"/>
  <c r="Z14" i="8"/>
  <c r="Z27" i="8"/>
  <c r="Z25" i="8"/>
  <c r="X9" i="8"/>
  <c r="X8" i="8"/>
  <c r="X23" i="8" s="1"/>
  <c r="X14" i="8"/>
  <c r="X27" i="8"/>
  <c r="X25" i="8" s="1"/>
  <c r="V9" i="8"/>
  <c r="V8" i="8" s="1"/>
  <c r="V14" i="8"/>
  <c r="V27" i="8"/>
  <c r="V25" i="8" s="1"/>
  <c r="T9" i="8"/>
  <c r="T8" i="8" s="1"/>
  <c r="T23" i="8" s="1"/>
  <c r="T14" i="8"/>
  <c r="R9" i="8"/>
  <c r="R8" i="8" s="1"/>
  <c r="R23" i="8" s="1"/>
  <c r="R14" i="8"/>
  <c r="P9" i="8"/>
  <c r="P8" i="8" s="1"/>
  <c r="P23" i="8" s="1"/>
  <c r="P14" i="8"/>
  <c r="P27" i="8"/>
  <c r="P25" i="8" s="1"/>
  <c r="N9" i="8"/>
  <c r="N8" i="8" s="1"/>
  <c r="N14" i="8"/>
  <c r="N27" i="8"/>
  <c r="N25" i="8" s="1"/>
  <c r="L9" i="8"/>
  <c r="L8" i="8" s="1"/>
  <c r="L23" i="8" s="1"/>
  <c r="L14" i="8"/>
  <c r="L27" i="8"/>
  <c r="L25" i="8" s="1"/>
  <c r="J9" i="8"/>
  <c r="J8" i="8" s="1"/>
  <c r="J23" i="8" s="1"/>
  <c r="J14" i="8"/>
  <c r="J27" i="8"/>
  <c r="J25" i="8" s="1"/>
  <c r="H9" i="8"/>
  <c r="H8" i="8" s="1"/>
  <c r="H14" i="8"/>
  <c r="H27" i="8"/>
  <c r="H25" i="8" s="1"/>
  <c r="F9" i="8"/>
  <c r="F8" i="8" s="1"/>
  <c r="F23" i="8" s="1"/>
  <c r="F14" i="8"/>
  <c r="F27" i="8"/>
  <c r="F25" i="8" s="1"/>
  <c r="AB10" i="7"/>
  <c r="AB11" i="7"/>
  <c r="AB12" i="7"/>
  <c r="AB15" i="7"/>
  <c r="AB16" i="7"/>
  <c r="AB17" i="7"/>
  <c r="AB19" i="7"/>
  <c r="AB21" i="7"/>
  <c r="AB28" i="7"/>
  <c r="AB29" i="7"/>
  <c r="AB26" i="7"/>
  <c r="AB31" i="7"/>
  <c r="AB35" i="7"/>
  <c r="Z9" i="7"/>
  <c r="Z8" i="7"/>
  <c r="Z23" i="7" s="1"/>
  <c r="Z14" i="7"/>
  <c r="Z27" i="7"/>
  <c r="Z25" i="7" s="1"/>
  <c r="X9" i="7"/>
  <c r="X8" i="7" s="1"/>
  <c r="X14" i="7"/>
  <c r="X27" i="7"/>
  <c r="X25" i="7"/>
  <c r="V9" i="7"/>
  <c r="V8" i="7"/>
  <c r="V23" i="7" s="1"/>
  <c r="V14" i="7"/>
  <c r="V27" i="7"/>
  <c r="V25" i="7" s="1"/>
  <c r="T9" i="7"/>
  <c r="T8" i="7" s="1"/>
  <c r="T14" i="7"/>
  <c r="R9" i="7"/>
  <c r="R8" i="7"/>
  <c r="R23" i="7" s="1"/>
  <c r="R14" i="7"/>
  <c r="P9" i="7"/>
  <c r="P8" i="7" s="1"/>
  <c r="P23" i="7" s="1"/>
  <c r="P14" i="7"/>
  <c r="P27" i="7"/>
  <c r="P25" i="7" s="1"/>
  <c r="N9" i="7"/>
  <c r="N8" i="7" s="1"/>
  <c r="N14" i="7"/>
  <c r="N27" i="7"/>
  <c r="N25" i="7" s="1"/>
  <c r="L9" i="7"/>
  <c r="L8" i="7" s="1"/>
  <c r="L14" i="7"/>
  <c r="L27" i="7"/>
  <c r="L25" i="7" s="1"/>
  <c r="J9" i="7"/>
  <c r="J8" i="7" s="1"/>
  <c r="J14" i="7"/>
  <c r="J27" i="7"/>
  <c r="J25" i="7" s="1"/>
  <c r="H9" i="7"/>
  <c r="H8" i="7" s="1"/>
  <c r="H23" i="7" s="1"/>
  <c r="H14" i="7"/>
  <c r="H27" i="7"/>
  <c r="H25" i="7" s="1"/>
  <c r="F9" i="7"/>
  <c r="F8" i="7" s="1"/>
  <c r="F14" i="7"/>
  <c r="F27" i="7"/>
  <c r="F25" i="7"/>
  <c r="AB10" i="6"/>
  <c r="AB11" i="6"/>
  <c r="AB9" i="6" s="1"/>
  <c r="AB8" i="6" s="1"/>
  <c r="AB12" i="6"/>
  <c r="AB15" i="6"/>
  <c r="AB16" i="6"/>
  <c r="AB17" i="6"/>
  <c r="AB19" i="6"/>
  <c r="AB21" i="6"/>
  <c r="AB28" i="6"/>
  <c r="AB29" i="6"/>
  <c r="AB26" i="6"/>
  <c r="AB31" i="6"/>
  <c r="AB35" i="6"/>
  <c r="Z9" i="6"/>
  <c r="Z8" i="6" s="1"/>
  <c r="Z14" i="6"/>
  <c r="Z27" i="6"/>
  <c r="Z25" i="6" s="1"/>
  <c r="X9" i="6"/>
  <c r="X8" i="6" s="1"/>
  <c r="X23" i="6" s="1"/>
  <c r="X14" i="6"/>
  <c r="X27" i="6"/>
  <c r="X25" i="6" s="1"/>
  <c r="V9" i="6"/>
  <c r="V8" i="6" s="1"/>
  <c r="V14" i="6"/>
  <c r="V27" i="6"/>
  <c r="V25" i="6" s="1"/>
  <c r="T9" i="6"/>
  <c r="T8" i="6" s="1"/>
  <c r="T14" i="6"/>
  <c r="R9" i="6"/>
  <c r="R8" i="6" s="1"/>
  <c r="R14" i="6"/>
  <c r="P9" i="6"/>
  <c r="P8" i="6" s="1"/>
  <c r="P14" i="6"/>
  <c r="P27" i="6"/>
  <c r="P25" i="6" s="1"/>
  <c r="N9" i="6"/>
  <c r="N8" i="6" s="1"/>
  <c r="N14" i="6"/>
  <c r="N27" i="6"/>
  <c r="N25" i="6" s="1"/>
  <c r="L9" i="6"/>
  <c r="L8" i="6" s="1"/>
  <c r="L23" i="6" s="1"/>
  <c r="L14" i="6"/>
  <c r="L27" i="6"/>
  <c r="L25" i="6" s="1"/>
  <c r="J9" i="6"/>
  <c r="J8" i="6" s="1"/>
  <c r="J14" i="6"/>
  <c r="J27" i="6"/>
  <c r="J25" i="6" s="1"/>
  <c r="H9" i="6"/>
  <c r="H8" i="6" s="1"/>
  <c r="H14" i="6"/>
  <c r="H27" i="6"/>
  <c r="H25" i="6" s="1"/>
  <c r="F9" i="6"/>
  <c r="F8" i="6" s="1"/>
  <c r="F14" i="6"/>
  <c r="F27" i="6"/>
  <c r="F25" i="6" s="1"/>
  <c r="AB10" i="5"/>
  <c r="AB11" i="5"/>
  <c r="AB12" i="5"/>
  <c r="AB15" i="5"/>
  <c r="AB16" i="5"/>
  <c r="AB17" i="5"/>
  <c r="AB19" i="5"/>
  <c r="AB21" i="5"/>
  <c r="AB28" i="5"/>
  <c r="AB29" i="5"/>
  <c r="AB26" i="5"/>
  <c r="AB31" i="5"/>
  <c r="AB35" i="5"/>
  <c r="Z9" i="5"/>
  <c r="Z8" i="5"/>
  <c r="Z23" i="5" s="1"/>
  <c r="Z14" i="5"/>
  <c r="Z27" i="5"/>
  <c r="Z25" i="5" s="1"/>
  <c r="X9" i="5"/>
  <c r="X8" i="5" s="1"/>
  <c r="X14" i="5"/>
  <c r="X27" i="5"/>
  <c r="X25" i="5"/>
  <c r="V9" i="5"/>
  <c r="V8" i="5"/>
  <c r="V23" i="5" s="1"/>
  <c r="V14" i="5"/>
  <c r="V27" i="5"/>
  <c r="V25" i="5" s="1"/>
  <c r="T9" i="5"/>
  <c r="T8" i="5" s="1"/>
  <c r="T14" i="5"/>
  <c r="R9" i="5"/>
  <c r="R8" i="5"/>
  <c r="R23" i="5" s="1"/>
  <c r="R14" i="5"/>
  <c r="P9" i="5"/>
  <c r="P8" i="5" s="1"/>
  <c r="P23" i="5" s="1"/>
  <c r="P14" i="5"/>
  <c r="P27" i="5"/>
  <c r="P25" i="5" s="1"/>
  <c r="N9" i="5"/>
  <c r="N8" i="5" s="1"/>
  <c r="N23" i="5" s="1"/>
  <c r="N33" i="5" s="1"/>
  <c r="N37" i="5" s="1"/>
  <c r="N45" i="5" s="1"/>
  <c r="N14" i="5"/>
  <c r="N27" i="5"/>
  <c r="N25" i="5" s="1"/>
  <c r="L9" i="5"/>
  <c r="L8" i="5" s="1"/>
  <c r="L23" i="5" s="1"/>
  <c r="L14" i="5"/>
  <c r="L27" i="5"/>
  <c r="L25" i="5" s="1"/>
  <c r="J9" i="5"/>
  <c r="J8" i="5" s="1"/>
  <c r="J14" i="5"/>
  <c r="J27" i="5"/>
  <c r="J25" i="5" s="1"/>
  <c r="H9" i="5"/>
  <c r="H8" i="5" s="1"/>
  <c r="H23" i="5" s="1"/>
  <c r="H14" i="5"/>
  <c r="H27" i="5"/>
  <c r="H25" i="5" s="1"/>
  <c r="F9" i="5"/>
  <c r="F8" i="5" s="1"/>
  <c r="F23" i="5" s="1"/>
  <c r="F14" i="5"/>
  <c r="F27" i="5"/>
  <c r="F25" i="5" s="1"/>
  <c r="AB10" i="4"/>
  <c r="AB11" i="4"/>
  <c r="AB12" i="4"/>
  <c r="AB15" i="4"/>
  <c r="AB16" i="4"/>
  <c r="AB17" i="4"/>
  <c r="AB19" i="4"/>
  <c r="AB21" i="4"/>
  <c r="AB28" i="4"/>
  <c r="AB29" i="4"/>
  <c r="AB26" i="4"/>
  <c r="AB31" i="4"/>
  <c r="AB35" i="4"/>
  <c r="Z9" i="4"/>
  <c r="Z8" i="4" s="1"/>
  <c r="Z14" i="4"/>
  <c r="Z27" i="4"/>
  <c r="Z25" i="4" s="1"/>
  <c r="X9" i="4"/>
  <c r="X8" i="4" s="1"/>
  <c r="X23" i="4" s="1"/>
  <c r="X14" i="4"/>
  <c r="X27" i="4"/>
  <c r="X25" i="4" s="1"/>
  <c r="V9" i="4"/>
  <c r="V8" i="4" s="1"/>
  <c r="V14" i="4"/>
  <c r="V27" i="4"/>
  <c r="V25" i="4"/>
  <c r="T9" i="4"/>
  <c r="T8" i="4"/>
  <c r="T23" i="4" s="1"/>
  <c r="T14" i="4"/>
  <c r="R9" i="4"/>
  <c r="R8" i="4" s="1"/>
  <c r="R23" i="4" s="1"/>
  <c r="R14" i="4"/>
  <c r="P9" i="4"/>
  <c r="P8" i="4" s="1"/>
  <c r="P23" i="4" s="1"/>
  <c r="P14" i="4"/>
  <c r="P27" i="4"/>
  <c r="P25" i="4" s="1"/>
  <c r="N9" i="4"/>
  <c r="N8" i="4" s="1"/>
  <c r="N14" i="4"/>
  <c r="N27" i="4"/>
  <c r="N25" i="4" s="1"/>
  <c r="L9" i="4"/>
  <c r="L8" i="4" s="1"/>
  <c r="L14" i="4"/>
  <c r="L27" i="4"/>
  <c r="L25" i="4" s="1"/>
  <c r="J9" i="4"/>
  <c r="J8" i="4" s="1"/>
  <c r="J14" i="4"/>
  <c r="J27" i="4"/>
  <c r="J25" i="4" s="1"/>
  <c r="H9" i="4"/>
  <c r="H8" i="4" s="1"/>
  <c r="H23" i="4" s="1"/>
  <c r="H14" i="4"/>
  <c r="H27" i="4"/>
  <c r="H25" i="4" s="1"/>
  <c r="F9" i="4"/>
  <c r="F8" i="4" s="1"/>
  <c r="F14" i="4"/>
  <c r="F27" i="4"/>
  <c r="F25" i="4" s="1"/>
  <c r="AB10" i="16"/>
  <c r="AB11" i="16"/>
  <c r="AB9" i="16" s="1"/>
  <c r="AB8" i="16" s="1"/>
  <c r="AB12" i="16"/>
  <c r="AB15" i="16"/>
  <c r="AB16" i="16"/>
  <c r="AB17" i="16"/>
  <c r="AB19" i="16"/>
  <c r="AB21" i="16"/>
  <c r="AB28" i="16"/>
  <c r="AB29" i="16"/>
  <c r="AB27" i="16" s="1"/>
  <c r="AB25" i="16" s="1"/>
  <c r="AB26" i="16"/>
  <c r="AB31" i="16"/>
  <c r="AB35" i="16"/>
  <c r="Z9" i="16"/>
  <c r="Z8" i="16" s="1"/>
  <c r="Z14" i="16"/>
  <c r="Z27" i="16"/>
  <c r="Z25" i="16" s="1"/>
  <c r="X9" i="16"/>
  <c r="X8" i="16" s="1"/>
  <c r="X23" i="16" s="1"/>
  <c r="X14" i="16"/>
  <c r="X27" i="16"/>
  <c r="X25" i="16" s="1"/>
  <c r="V9" i="16"/>
  <c r="V8" i="16" s="1"/>
  <c r="V14" i="16"/>
  <c r="V27" i="16"/>
  <c r="V25" i="16" s="1"/>
  <c r="T9" i="16"/>
  <c r="T8" i="16" s="1"/>
  <c r="T23" i="16" s="1"/>
  <c r="T14" i="16"/>
  <c r="R9" i="16"/>
  <c r="R8" i="16" s="1"/>
  <c r="R23" i="16" s="1"/>
  <c r="R14" i="16"/>
  <c r="P9" i="16"/>
  <c r="P8" i="16" s="1"/>
  <c r="P14" i="16"/>
  <c r="P27" i="16"/>
  <c r="P25" i="16" s="1"/>
  <c r="N9" i="16"/>
  <c r="N8" i="16" s="1"/>
  <c r="N14" i="16"/>
  <c r="N27" i="16"/>
  <c r="N25" i="16" s="1"/>
  <c r="L9" i="16"/>
  <c r="L8" i="16" s="1"/>
  <c r="L23" i="16" s="1"/>
  <c r="L14" i="16"/>
  <c r="L27" i="16"/>
  <c r="L25" i="16" s="1"/>
  <c r="J9" i="16"/>
  <c r="J8" i="16" s="1"/>
  <c r="J14" i="16"/>
  <c r="J27" i="16"/>
  <c r="J25" i="16" s="1"/>
  <c r="H9" i="16"/>
  <c r="H8" i="16" s="1"/>
  <c r="H23" i="16" s="1"/>
  <c r="H14" i="16"/>
  <c r="H27" i="16"/>
  <c r="H25" i="16" s="1"/>
  <c r="F9" i="16"/>
  <c r="F8" i="16" s="1"/>
  <c r="F14" i="16"/>
  <c r="F27" i="16"/>
  <c r="F25" i="16" s="1"/>
  <c r="D40" i="15"/>
  <c r="D39" i="15" s="1"/>
  <c r="D40" i="14"/>
  <c r="D39" i="14" s="1"/>
  <c r="D40" i="13"/>
  <c r="D39" i="13" s="1"/>
  <c r="D40" i="12"/>
  <c r="D39" i="12" s="1"/>
  <c r="D40" i="11"/>
  <c r="D39" i="11" s="1"/>
  <c r="D40" i="10"/>
  <c r="D39" i="10" s="1"/>
  <c r="D40" i="9"/>
  <c r="D39" i="9" s="1"/>
  <c r="D40" i="8"/>
  <c r="D39" i="8" s="1"/>
  <c r="D40" i="7"/>
  <c r="D39" i="7" s="1"/>
  <c r="D40" i="6"/>
  <c r="D39" i="6" s="1"/>
  <c r="D40" i="5"/>
  <c r="D39" i="5" s="1"/>
  <c r="D40" i="4"/>
  <c r="D39" i="4" s="1"/>
  <c r="D40" i="16"/>
  <c r="D39" i="16" s="1"/>
  <c r="D9" i="15"/>
  <c r="D8" i="15" s="1"/>
  <c r="D14" i="15"/>
  <c r="D27" i="15"/>
  <c r="D25" i="15" s="1"/>
  <c r="D9" i="14"/>
  <c r="D8" i="14" s="1"/>
  <c r="D23" i="14" s="1"/>
  <c r="D14" i="14"/>
  <c r="D27" i="14"/>
  <c r="D25" i="14" s="1"/>
  <c r="D9" i="13"/>
  <c r="D8" i="13" s="1"/>
  <c r="D14" i="13"/>
  <c r="D27" i="13"/>
  <c r="D25" i="13" s="1"/>
  <c r="D9" i="12"/>
  <c r="D8" i="12" s="1"/>
  <c r="D23" i="12" s="1"/>
  <c r="D14" i="12"/>
  <c r="D27" i="12"/>
  <c r="D25" i="12" s="1"/>
  <c r="D9" i="11"/>
  <c r="D8" i="11" s="1"/>
  <c r="D23" i="11" s="1"/>
  <c r="D14" i="11"/>
  <c r="D27" i="11"/>
  <c r="D25" i="11" s="1"/>
  <c r="D9" i="10"/>
  <c r="D8" i="10" s="1"/>
  <c r="D23" i="10" s="1"/>
  <c r="D14" i="10"/>
  <c r="D27" i="10"/>
  <c r="D25" i="10" s="1"/>
  <c r="D9" i="9"/>
  <c r="D8" i="9" s="1"/>
  <c r="D23" i="9" s="1"/>
  <c r="D14" i="9"/>
  <c r="D27" i="9"/>
  <c r="D25" i="9" s="1"/>
  <c r="D9" i="8"/>
  <c r="D8" i="8" s="1"/>
  <c r="D14" i="8"/>
  <c r="D27" i="8"/>
  <c r="D25" i="8" s="1"/>
  <c r="D9" i="7"/>
  <c r="D8" i="7" s="1"/>
  <c r="D14" i="7"/>
  <c r="D27" i="7"/>
  <c r="D25" i="7" s="1"/>
  <c r="D9" i="6"/>
  <c r="D8" i="6" s="1"/>
  <c r="D23" i="6" s="1"/>
  <c r="D14" i="6"/>
  <c r="D27" i="6"/>
  <c r="D25" i="6" s="1"/>
  <c r="D9" i="5"/>
  <c r="D8" i="5" s="1"/>
  <c r="D23" i="5" s="1"/>
  <c r="D14" i="5"/>
  <c r="D27" i="5"/>
  <c r="D25" i="5" s="1"/>
  <c r="D9" i="4"/>
  <c r="D8" i="4" s="1"/>
  <c r="D23" i="4" s="1"/>
  <c r="D14" i="4"/>
  <c r="D27" i="4"/>
  <c r="D25" i="4" s="1"/>
  <c r="D9" i="16"/>
  <c r="D8" i="16" s="1"/>
  <c r="D14" i="16"/>
  <c r="D27" i="16"/>
  <c r="D25" i="16" s="1"/>
  <c r="D40" i="17"/>
  <c r="D39" i="17" s="1"/>
  <c r="B62" i="17"/>
  <c r="AB10" i="17"/>
  <c r="AB11" i="17"/>
  <c r="AB12" i="17"/>
  <c r="AB15" i="17"/>
  <c r="AB16" i="17"/>
  <c r="AB17" i="17"/>
  <c r="AB19" i="17"/>
  <c r="AB21" i="17"/>
  <c r="AB28" i="17"/>
  <c r="AB29" i="17"/>
  <c r="AB26" i="17"/>
  <c r="AB31" i="17"/>
  <c r="AB35" i="17"/>
  <c r="Z9" i="17"/>
  <c r="Z8" i="17"/>
  <c r="Z23" i="17" s="1"/>
  <c r="Z14" i="17"/>
  <c r="Z27" i="17"/>
  <c r="Z25" i="17" s="1"/>
  <c r="X9" i="17"/>
  <c r="X8" i="17" s="1"/>
  <c r="X14" i="17"/>
  <c r="X27" i="17"/>
  <c r="X25" i="17" s="1"/>
  <c r="V9" i="17"/>
  <c r="V8" i="17" s="1"/>
  <c r="V23" i="17" s="1"/>
  <c r="V14" i="17"/>
  <c r="V27" i="17"/>
  <c r="V25" i="17" s="1"/>
  <c r="T9" i="17"/>
  <c r="T8" i="17" s="1"/>
  <c r="T14" i="17"/>
  <c r="R9" i="17"/>
  <c r="R8" i="17"/>
  <c r="R23" i="17" s="1"/>
  <c r="R14" i="17"/>
  <c r="P9" i="17"/>
  <c r="P8" i="17" s="1"/>
  <c r="P23" i="17" s="1"/>
  <c r="P14" i="17"/>
  <c r="P27" i="17"/>
  <c r="P25" i="17" s="1"/>
  <c r="P33" i="17" s="1"/>
  <c r="P37" i="17" s="1"/>
  <c r="P45" i="17" s="1"/>
  <c r="N9" i="17"/>
  <c r="N8" i="17" s="1"/>
  <c r="N23" i="17" s="1"/>
  <c r="N14" i="17"/>
  <c r="N27" i="17"/>
  <c r="N25" i="17" s="1"/>
  <c r="L9" i="17"/>
  <c r="L8" i="17" s="1"/>
  <c r="L14" i="17"/>
  <c r="L27" i="17"/>
  <c r="L25" i="17" s="1"/>
  <c r="J9" i="17"/>
  <c r="J8" i="17" s="1"/>
  <c r="J14" i="17"/>
  <c r="J27" i="17"/>
  <c r="J25" i="17" s="1"/>
  <c r="H9" i="17"/>
  <c r="H8" i="17" s="1"/>
  <c r="H14" i="17"/>
  <c r="H27" i="17"/>
  <c r="H25" i="17" s="1"/>
  <c r="F9" i="17"/>
  <c r="F8" i="17" s="1"/>
  <c r="F23" i="17" s="1"/>
  <c r="F14" i="17"/>
  <c r="F27" i="17"/>
  <c r="F25" i="17" s="1"/>
  <c r="D9" i="17"/>
  <c r="D8" i="17" s="1"/>
  <c r="D14" i="17"/>
  <c r="D27" i="17"/>
  <c r="D25" i="17" s="1"/>
  <c r="AB65" i="19"/>
  <c r="R27" i="17"/>
  <c r="R25" i="17" s="1"/>
  <c r="T27" i="17"/>
  <c r="T25" i="17" s="1"/>
  <c r="AB64" i="17"/>
  <c r="R27" i="16"/>
  <c r="R25" i="16" s="1"/>
  <c r="T27" i="16"/>
  <c r="T25" i="16" s="1"/>
  <c r="AB64" i="16"/>
  <c r="R27" i="15"/>
  <c r="R25" i="15" s="1"/>
  <c r="T27" i="15"/>
  <c r="T25" i="15" s="1"/>
  <c r="AB64" i="15"/>
  <c r="R27" i="14"/>
  <c r="R25" i="14" s="1"/>
  <c r="R33" i="14" s="1"/>
  <c r="R37" i="14" s="1"/>
  <c r="R45" i="14" s="1"/>
  <c r="T27" i="14"/>
  <c r="T25" i="14" s="1"/>
  <c r="T33" i="14" s="1"/>
  <c r="T37" i="14" s="1"/>
  <c r="T45" i="14" s="1"/>
  <c r="AB64" i="14"/>
  <c r="R27" i="13"/>
  <c r="R25" i="13" s="1"/>
  <c r="R33" i="13" s="1"/>
  <c r="R37" i="13" s="1"/>
  <c r="R45" i="13" s="1"/>
  <c r="T27" i="13"/>
  <c r="T25" i="13" s="1"/>
  <c r="T33" i="13" s="1"/>
  <c r="T37" i="13" s="1"/>
  <c r="T45" i="13" s="1"/>
  <c r="AB64" i="13"/>
  <c r="R27" i="12"/>
  <c r="R25" i="12" s="1"/>
  <c r="T27" i="12"/>
  <c r="T25" i="12" s="1"/>
  <c r="AB64" i="12"/>
  <c r="AB66" i="11"/>
  <c r="R27" i="11"/>
  <c r="R25" i="11" s="1"/>
  <c r="T27" i="11"/>
  <c r="T25" i="11" s="1"/>
  <c r="R27" i="10"/>
  <c r="R25" i="10" s="1"/>
  <c r="T27" i="10"/>
  <c r="T25" i="10" s="1"/>
  <c r="AB66" i="10"/>
  <c r="R27" i="9"/>
  <c r="R25" i="9" s="1"/>
  <c r="T27" i="9"/>
  <c r="T25" i="9" s="1"/>
  <c r="AB66" i="9"/>
  <c r="R27" i="8"/>
  <c r="R25" i="8" s="1"/>
  <c r="R33" i="8" s="1"/>
  <c r="R37" i="8" s="1"/>
  <c r="R45" i="8" s="1"/>
  <c r="T27" i="8"/>
  <c r="T25" i="8" s="1"/>
  <c r="AB66" i="8"/>
  <c r="R27" i="7"/>
  <c r="R25" i="7" s="1"/>
  <c r="T27" i="7"/>
  <c r="T25" i="7" s="1"/>
  <c r="AB66" i="7"/>
  <c r="R27" i="6"/>
  <c r="R25" i="6" s="1"/>
  <c r="T27" i="6"/>
  <c r="T25" i="6" s="1"/>
  <c r="AB66" i="6"/>
  <c r="R27" i="5"/>
  <c r="R25" i="5" s="1"/>
  <c r="T27" i="5"/>
  <c r="T25" i="5" s="1"/>
  <c r="AB66" i="5"/>
  <c r="AB66" i="4"/>
  <c r="R27" i="4"/>
  <c r="R25" i="4" s="1"/>
  <c r="T27" i="4"/>
  <c r="T25" i="4" s="1"/>
  <c r="P67" i="3"/>
  <c r="AB67" i="3" s="1"/>
  <c r="AB14" i="13"/>
  <c r="D33" i="19"/>
  <c r="D37" i="19" s="1"/>
  <c r="D45" i="19" s="1"/>
  <c r="J33" i="14"/>
  <c r="J37" i="14" s="1"/>
  <c r="J45" i="14" s="1"/>
  <c r="H33" i="3"/>
  <c r="H37" i="3" s="1"/>
  <c r="H45" i="3" s="1"/>
  <c r="H33" i="16"/>
  <c r="H37" i="16" s="1"/>
  <c r="H45" i="16" s="1"/>
  <c r="H33" i="19"/>
  <c r="H37" i="19" s="1"/>
  <c r="H45" i="19" s="1"/>
  <c r="L33" i="19"/>
  <c r="L37" i="19" s="1"/>
  <c r="L45" i="19" s="1"/>
  <c r="F33" i="3"/>
  <c r="F37" i="3" s="1"/>
  <c r="F45" i="3" s="1"/>
  <c r="P33" i="19"/>
  <c r="P37" i="19" s="1"/>
  <c r="P45" i="19" s="1"/>
  <c r="AB8" i="25"/>
  <c r="D23" i="25"/>
  <c r="AB9" i="25"/>
  <c r="X33" i="16"/>
  <c r="X37" i="16" s="1"/>
  <c r="X45" i="16" s="1"/>
  <c r="L33" i="8"/>
  <c r="L37" i="8" s="1"/>
  <c r="L45" i="8" s="1"/>
  <c r="X33" i="10"/>
  <c r="X37" i="10" s="1"/>
  <c r="X45" i="10"/>
  <c r="H33" i="12"/>
  <c r="H37" i="12" s="1"/>
  <c r="H45" i="12" s="1"/>
  <c r="P33" i="13"/>
  <c r="P37" i="13" s="1"/>
  <c r="P45" i="13" s="1"/>
  <c r="D33" i="12"/>
  <c r="D37" i="12" s="1"/>
  <c r="D45" i="12" s="1"/>
  <c r="R33" i="5"/>
  <c r="R37" i="5" s="1"/>
  <c r="R45" i="5" s="1"/>
  <c r="H33" i="7"/>
  <c r="H37" i="7" s="1"/>
  <c r="H45" i="7" s="1"/>
  <c r="V33" i="7"/>
  <c r="V37" i="7" s="1"/>
  <c r="V45" i="7" s="1"/>
  <c r="F33" i="8"/>
  <c r="F37" i="8" s="1"/>
  <c r="F45" i="8" s="1"/>
  <c r="F33" i="10"/>
  <c r="F37" i="10" s="1"/>
  <c r="F45" i="10" s="1"/>
  <c r="Z33" i="10"/>
  <c r="Z37" i="10" s="1"/>
  <c r="Z45" i="10"/>
  <c r="X33" i="11"/>
  <c r="X37" i="11" s="1"/>
  <c r="X45" i="11" s="1"/>
  <c r="H33" i="13"/>
  <c r="H37" i="13" s="1"/>
  <c r="H45" i="13" s="1"/>
  <c r="Z23" i="13"/>
  <c r="Z33" i="13" s="1"/>
  <c r="Z37" i="13" s="1"/>
  <c r="Z45" i="13" s="1"/>
  <c r="L33" i="14"/>
  <c r="L37" i="14" s="1"/>
  <c r="L45" i="14" s="1"/>
  <c r="Z23" i="14"/>
  <c r="Z33" i="14" s="1"/>
  <c r="Z37" i="14" s="1"/>
  <c r="Z45" i="14" s="1"/>
  <c r="AB14" i="14"/>
  <c r="AB23" i="14" s="1"/>
  <c r="AB33" i="14" s="1"/>
  <c r="AB37" i="14" s="1"/>
  <c r="AB45" i="14" s="1"/>
  <c r="X33" i="14"/>
  <c r="X37" i="14" s="1"/>
  <c r="X45" i="14" s="1"/>
  <c r="J33" i="15"/>
  <c r="J37" i="15" s="1"/>
  <c r="J45" i="15" s="1"/>
  <c r="V33" i="15"/>
  <c r="V37" i="15" s="1"/>
  <c r="V45" i="15" s="1"/>
  <c r="J23" i="17" l="1"/>
  <c r="AB27" i="17"/>
  <c r="AB25" i="17" s="1"/>
  <c r="AB9" i="17"/>
  <c r="AB8" i="17" s="1"/>
  <c r="D23" i="16"/>
  <c r="D23" i="7"/>
  <c r="J23" i="16"/>
  <c r="N23" i="16"/>
  <c r="Z23" i="16"/>
  <c r="L23" i="4"/>
  <c r="L33" i="4" s="1"/>
  <c r="L37" i="4" s="1"/>
  <c r="L45" i="4" s="1"/>
  <c r="AB9" i="4"/>
  <c r="AB8" i="4" s="1"/>
  <c r="J23" i="5"/>
  <c r="T23" i="5"/>
  <c r="AB27" i="5"/>
  <c r="AB25" i="5" s="1"/>
  <c r="AB9" i="5"/>
  <c r="AB8" i="5" s="1"/>
  <c r="H23" i="6"/>
  <c r="P23" i="6"/>
  <c r="P33" i="6" s="1"/>
  <c r="P37" i="6" s="1"/>
  <c r="P45" i="6" s="1"/>
  <c r="R23" i="6"/>
  <c r="T23" i="6"/>
  <c r="F23" i="7"/>
  <c r="F33" i="7" s="1"/>
  <c r="F37" i="7" s="1"/>
  <c r="F45" i="7" s="1"/>
  <c r="J23" i="7"/>
  <c r="J33" i="7" s="1"/>
  <c r="J37" i="7" s="1"/>
  <c r="J45" i="7" s="1"/>
  <c r="N23" i="7"/>
  <c r="D33" i="6"/>
  <c r="D37" i="6" s="1"/>
  <c r="D45" i="6" s="1"/>
  <c r="D33" i="10"/>
  <c r="D37" i="10" s="1"/>
  <c r="D45" i="10" s="1"/>
  <c r="H33" i="5"/>
  <c r="H37" i="5" s="1"/>
  <c r="H45" i="5" s="1"/>
  <c r="P33" i="5"/>
  <c r="P37" i="5" s="1"/>
  <c r="P45" i="5" s="1"/>
  <c r="AB14" i="6"/>
  <c r="P33" i="7"/>
  <c r="P37" i="7" s="1"/>
  <c r="P45" i="7" s="1"/>
  <c r="P33" i="12"/>
  <c r="P37" i="12" s="1"/>
  <c r="P45" i="12" s="1"/>
  <c r="AB40" i="5"/>
  <c r="AB39" i="5" s="1"/>
  <c r="T23" i="7"/>
  <c r="AB27" i="7"/>
  <c r="AB25" i="7" s="1"/>
  <c r="AB9" i="7"/>
  <c r="AB8" i="7" s="1"/>
  <c r="N23" i="8"/>
  <c r="V23" i="8"/>
  <c r="AB9" i="8"/>
  <c r="AB8" i="8" s="1"/>
  <c r="J23" i="9"/>
  <c r="J33" i="9" s="1"/>
  <c r="J37" i="9" s="1"/>
  <c r="J45" i="9" s="1"/>
  <c r="V23" i="9"/>
  <c r="H23" i="10"/>
  <c r="P23" i="10"/>
  <c r="J23" i="11"/>
  <c r="J33" i="11" s="1"/>
  <c r="J37" i="11" s="1"/>
  <c r="J45" i="11" s="1"/>
  <c r="N23" i="11"/>
  <c r="AB9" i="11"/>
  <c r="AB8" i="11" s="1"/>
  <c r="J23" i="13"/>
  <c r="V23" i="13"/>
  <c r="H23" i="14"/>
  <c r="H33" i="14" s="1"/>
  <c r="H37" i="14" s="1"/>
  <c r="H45" i="14" s="1"/>
  <c r="N23" i="14"/>
  <c r="N33" i="14" s="1"/>
  <c r="N37" i="14" s="1"/>
  <c r="N45" i="14" s="1"/>
  <c r="H23" i="15"/>
  <c r="H33" i="15" s="1"/>
  <c r="H37" i="15" s="1"/>
  <c r="H45" i="15" s="1"/>
  <c r="L23" i="15"/>
  <c r="L33" i="15" s="1"/>
  <c r="L37" i="15" s="1"/>
  <c r="L45" i="15" s="1"/>
  <c r="AB27" i="15"/>
  <c r="AB25" i="15" s="1"/>
  <c r="AB9" i="15"/>
  <c r="AB8" i="15" s="1"/>
  <c r="J23" i="3"/>
  <c r="N23" i="3"/>
  <c r="N33" i="3" s="1"/>
  <c r="N37" i="3" s="1"/>
  <c r="N45" i="3" s="1"/>
  <c r="R23" i="3"/>
  <c r="R33" i="3" s="1"/>
  <c r="R37" i="3" s="1"/>
  <c r="R45" i="3" s="1"/>
  <c r="V23" i="3"/>
  <c r="V33" i="3" s="1"/>
  <c r="V37" i="3" s="1"/>
  <c r="V45" i="3" s="1"/>
  <c r="F23" i="19"/>
  <c r="F33" i="19" s="1"/>
  <c r="F37" i="19" s="1"/>
  <c r="F45" i="19" s="1"/>
  <c r="J23" i="19"/>
  <c r="J33" i="19" s="1"/>
  <c r="J37" i="19" s="1"/>
  <c r="J45" i="19" s="1"/>
  <c r="N23" i="19"/>
  <c r="N33" i="19" s="1"/>
  <c r="N37" i="19" s="1"/>
  <c r="N45" i="19" s="1"/>
  <c r="R23" i="19"/>
  <c r="R33" i="19" s="1"/>
  <c r="R37" i="19" s="1"/>
  <c r="R45" i="19" s="1"/>
  <c r="Z23" i="19"/>
  <c r="Z33" i="19" s="1"/>
  <c r="Z37" i="19" s="1"/>
  <c r="Z45" i="19" s="1"/>
  <c r="AB40" i="19"/>
  <c r="AB39" i="19" s="1"/>
  <c r="AB40" i="3"/>
  <c r="AB39" i="3" s="1"/>
  <c r="J47" i="25"/>
  <c r="J33" i="17"/>
  <c r="J37" i="17" s="1"/>
  <c r="J45" i="17" s="1"/>
  <c r="T23" i="17"/>
  <c r="T33" i="17" s="1"/>
  <c r="T37" i="17" s="1"/>
  <c r="T45" i="17" s="1"/>
  <c r="AB14" i="17"/>
  <c r="D33" i="5"/>
  <c r="D37" i="5" s="1"/>
  <c r="D45" i="5" s="1"/>
  <c r="D33" i="7"/>
  <c r="D37" i="7" s="1"/>
  <c r="D45" i="7" s="1"/>
  <c r="D33" i="11"/>
  <c r="D37" i="11" s="1"/>
  <c r="D45" i="11" s="1"/>
  <c r="D23" i="13"/>
  <c r="D33" i="13" s="1"/>
  <c r="D37" i="13" s="1"/>
  <c r="D45" i="13" s="1"/>
  <c r="F23" i="16"/>
  <c r="J33" i="16"/>
  <c r="J37" i="16" s="1"/>
  <c r="J45" i="16" s="1"/>
  <c r="H23" i="17"/>
  <c r="H33" i="17" s="1"/>
  <c r="H37" i="17" s="1"/>
  <c r="H45" i="17" s="1"/>
  <c r="V33" i="17"/>
  <c r="V37" i="17" s="1"/>
  <c r="V45" i="17" s="1"/>
  <c r="D33" i="14"/>
  <c r="D37" i="14" s="1"/>
  <c r="D45" i="14" s="1"/>
  <c r="R33" i="16"/>
  <c r="R37" i="16" s="1"/>
  <c r="R45" i="16" s="1"/>
  <c r="N33" i="16"/>
  <c r="N37" i="16" s="1"/>
  <c r="N45" i="16" s="1"/>
  <c r="T33" i="16"/>
  <c r="T37" i="16" s="1"/>
  <c r="T45" i="16" s="1"/>
  <c r="J33" i="5"/>
  <c r="J37" i="5" s="1"/>
  <c r="J45" i="5" s="1"/>
  <c r="V33" i="5"/>
  <c r="V37" i="5" s="1"/>
  <c r="V45" i="5" s="1"/>
  <c r="AB14" i="5"/>
  <c r="R33" i="6"/>
  <c r="R37" i="6" s="1"/>
  <c r="R45" i="6" s="1"/>
  <c r="T33" i="6"/>
  <c r="T37" i="6" s="1"/>
  <c r="T45" i="6" s="1"/>
  <c r="AB23" i="6"/>
  <c r="AB14" i="7"/>
  <c r="N33" i="8"/>
  <c r="N37" i="8" s="1"/>
  <c r="N45" i="8" s="1"/>
  <c r="T33" i="8"/>
  <c r="T37" i="8" s="1"/>
  <c r="T45" i="8" s="1"/>
  <c r="X33" i="8"/>
  <c r="X37" i="8" s="1"/>
  <c r="X45" i="8" s="1"/>
  <c r="AB14" i="9"/>
  <c r="J33" i="10"/>
  <c r="J37" i="10" s="1"/>
  <c r="J45" i="10" s="1"/>
  <c r="R33" i="10"/>
  <c r="R37" i="10" s="1"/>
  <c r="R45" i="10" s="1"/>
  <c r="AB14" i="10"/>
  <c r="L33" i="11"/>
  <c r="L37" i="11" s="1"/>
  <c r="L45" i="11" s="1"/>
  <c r="P33" i="11"/>
  <c r="P37" i="11" s="1"/>
  <c r="P45" i="11" s="1"/>
  <c r="R33" i="11"/>
  <c r="R37" i="11" s="1"/>
  <c r="R45" i="11" s="1"/>
  <c r="T33" i="11"/>
  <c r="T37" i="11" s="1"/>
  <c r="T45" i="11" s="1"/>
  <c r="J33" i="12"/>
  <c r="J37" i="12" s="1"/>
  <c r="J45" i="12" s="1"/>
  <c r="T33" i="12"/>
  <c r="T37" i="12" s="1"/>
  <c r="T45" i="12" s="1"/>
  <c r="X33" i="12"/>
  <c r="X37" i="12" s="1"/>
  <c r="X45" i="12" s="1"/>
  <c r="Z23" i="12"/>
  <c r="Z33" i="12" s="1"/>
  <c r="Z37" i="12" s="1"/>
  <c r="Z45" i="12" s="1"/>
  <c r="L33" i="13"/>
  <c r="L37" i="13" s="1"/>
  <c r="L45" i="13" s="1"/>
  <c r="X33" i="13"/>
  <c r="X37" i="13" s="1"/>
  <c r="X45" i="13" s="1"/>
  <c r="P33" i="14"/>
  <c r="P37" i="14" s="1"/>
  <c r="P45" i="14" s="1"/>
  <c r="N33" i="15"/>
  <c r="N37" i="15" s="1"/>
  <c r="N45" i="15" s="1"/>
  <c r="AB14" i="15"/>
  <c r="AB23" i="15" s="1"/>
  <c r="AB33" i="15" s="1"/>
  <c r="AB37" i="15" s="1"/>
  <c r="J33" i="3"/>
  <c r="J37" i="3" s="1"/>
  <c r="J45" i="3" s="1"/>
  <c r="AB14" i="3"/>
  <c r="AB23" i="3" s="1"/>
  <c r="AB33" i="3" s="1"/>
  <c r="AB37" i="3" s="1"/>
  <c r="AB45" i="3" s="1"/>
  <c r="T33" i="19"/>
  <c r="T37" i="19" s="1"/>
  <c r="T45" i="19" s="1"/>
  <c r="AB23" i="13"/>
  <c r="AB33" i="13" s="1"/>
  <c r="AB37" i="13" s="1"/>
  <c r="D23" i="17"/>
  <c r="D33" i="17" s="1"/>
  <c r="D37" i="17" s="1"/>
  <c r="D45" i="17" s="1"/>
  <c r="L23" i="17"/>
  <c r="X23" i="17"/>
  <c r="D23" i="8"/>
  <c r="D33" i="8" s="1"/>
  <c r="D37" i="8" s="1"/>
  <c r="D45" i="8" s="1"/>
  <c r="D23" i="15"/>
  <c r="P23" i="16"/>
  <c r="V23" i="16"/>
  <c r="V33" i="16" s="1"/>
  <c r="V37" i="16" s="1"/>
  <c r="V45" i="16" s="1"/>
  <c r="AB14" i="16"/>
  <c r="AB23" i="16" s="1"/>
  <c r="AB33" i="16" s="1"/>
  <c r="AB37" i="16" s="1"/>
  <c r="AB45" i="16" s="1"/>
  <c r="F23" i="4"/>
  <c r="J23" i="4"/>
  <c r="J33" i="4" s="1"/>
  <c r="J37" i="4" s="1"/>
  <c r="J45" i="4" s="1"/>
  <c r="N23" i="4"/>
  <c r="N33" i="4" s="1"/>
  <c r="N37" i="4" s="1"/>
  <c r="N45" i="4" s="1"/>
  <c r="V23" i="4"/>
  <c r="V33" i="4" s="1"/>
  <c r="V37" i="4" s="1"/>
  <c r="V45" i="4" s="1"/>
  <c r="Z23" i="4"/>
  <c r="AB27" i="4"/>
  <c r="AB25" i="4" s="1"/>
  <c r="AB14" i="4"/>
  <c r="AB23" i="4" s="1"/>
  <c r="X23" i="5"/>
  <c r="X33" i="5" s="1"/>
  <c r="X37" i="5" s="1"/>
  <c r="X45" i="5" s="1"/>
  <c r="F23" i="6"/>
  <c r="F33" i="6" s="1"/>
  <c r="F37" i="6" s="1"/>
  <c r="F45" i="6" s="1"/>
  <c r="J23" i="6"/>
  <c r="J33" i="6" s="1"/>
  <c r="J37" i="6" s="1"/>
  <c r="J45" i="6" s="1"/>
  <c r="N23" i="6"/>
  <c r="N33" i="6" s="1"/>
  <c r="N37" i="6" s="1"/>
  <c r="N45" i="6" s="1"/>
  <c r="V23" i="6"/>
  <c r="Z23" i="6"/>
  <c r="Z33" i="6" s="1"/>
  <c r="Z37" i="6" s="1"/>
  <c r="Z45" i="6" s="1"/>
  <c r="AB27" i="6"/>
  <c r="AB25" i="6" s="1"/>
  <c r="L23" i="7"/>
  <c r="L33" i="7" s="1"/>
  <c r="L37" i="7" s="1"/>
  <c r="L45" i="7" s="1"/>
  <c r="X23" i="7"/>
  <c r="X33" i="7" s="1"/>
  <c r="X37" i="7" s="1"/>
  <c r="X45" i="7" s="1"/>
  <c r="H23" i="8"/>
  <c r="H33" i="8" s="1"/>
  <c r="H37" i="8" s="1"/>
  <c r="H45" i="8" s="1"/>
  <c r="Z23" i="8"/>
  <c r="Z33" i="8" s="1"/>
  <c r="Z37" i="8" s="1"/>
  <c r="Z45" i="8" s="1"/>
  <c r="AB27" i="8"/>
  <c r="AB25" i="8" s="1"/>
  <c r="AB14" i="8"/>
  <c r="AB23" i="8" s="1"/>
  <c r="H23" i="9"/>
  <c r="H33" i="9" s="1"/>
  <c r="H37" i="9" s="1"/>
  <c r="H45" i="9" s="1"/>
  <c r="L23" i="9"/>
  <c r="L33" i="9" s="1"/>
  <c r="L37" i="9" s="1"/>
  <c r="L45" i="9" s="1"/>
  <c r="P23" i="9"/>
  <c r="P33" i="9" s="1"/>
  <c r="P37" i="9" s="1"/>
  <c r="P45" i="9" s="1"/>
  <c r="R23" i="9"/>
  <c r="T23" i="9"/>
  <c r="X23" i="9"/>
  <c r="L23" i="10"/>
  <c r="T23" i="10"/>
  <c r="T33" i="10" s="1"/>
  <c r="T37" i="10" s="1"/>
  <c r="T45" i="10" s="1"/>
  <c r="F23" i="11"/>
  <c r="F33" i="11" s="1"/>
  <c r="F37" i="11" s="1"/>
  <c r="F45" i="11" s="1"/>
  <c r="V23" i="11"/>
  <c r="Z23" i="11"/>
  <c r="AB27" i="11"/>
  <c r="AB25" i="11" s="1"/>
  <c r="AB14" i="11"/>
  <c r="L23" i="12"/>
  <c r="L33" i="12" s="1"/>
  <c r="L37" i="12" s="1"/>
  <c r="L45" i="12" s="1"/>
  <c r="R23" i="12"/>
  <c r="R33" i="12" s="1"/>
  <c r="R37" i="12" s="1"/>
  <c r="R45" i="12" s="1"/>
  <c r="V23" i="12"/>
  <c r="V33" i="12" s="1"/>
  <c r="V37" i="12" s="1"/>
  <c r="V45" i="12" s="1"/>
  <c r="F23" i="13"/>
  <c r="F33" i="13" s="1"/>
  <c r="F37" i="13" s="1"/>
  <c r="F45" i="13" s="1"/>
  <c r="N23" i="13"/>
  <c r="N33" i="13" s="1"/>
  <c r="N37" i="13" s="1"/>
  <c r="N45" i="13" s="1"/>
  <c r="V23" i="14"/>
  <c r="V33" i="14" s="1"/>
  <c r="V37" i="14" s="1"/>
  <c r="V45" i="14" s="1"/>
  <c r="P23" i="15"/>
  <c r="P33" i="15" s="1"/>
  <c r="P37" i="15" s="1"/>
  <c r="P45" i="15" s="1"/>
  <c r="R23" i="15"/>
  <c r="R33" i="15" s="1"/>
  <c r="R37" i="15" s="1"/>
  <c r="R45" i="15" s="1"/>
  <c r="T23" i="15"/>
  <c r="T33" i="15" s="1"/>
  <c r="T37" i="15" s="1"/>
  <c r="T45" i="15" s="1"/>
  <c r="X23" i="15"/>
  <c r="X33" i="15" s="1"/>
  <c r="X37" i="15" s="1"/>
  <c r="X45" i="15" s="1"/>
  <c r="L23" i="3"/>
  <c r="L33" i="3" s="1"/>
  <c r="L37" i="3" s="1"/>
  <c r="L45" i="3" s="1"/>
  <c r="P23" i="3"/>
  <c r="P33" i="3" s="1"/>
  <c r="P37" i="3" s="1"/>
  <c r="P45" i="3" s="1"/>
  <c r="T23" i="3"/>
  <c r="T33" i="3" s="1"/>
  <c r="T37" i="3" s="1"/>
  <c r="T45" i="3" s="1"/>
  <c r="X23" i="3"/>
  <c r="X33" i="3" s="1"/>
  <c r="X37" i="3" s="1"/>
  <c r="X45" i="3" s="1"/>
  <c r="V23" i="19"/>
  <c r="V33" i="19" s="1"/>
  <c r="V37" i="19" s="1"/>
  <c r="V45" i="19" s="1"/>
  <c r="AB14" i="19"/>
  <c r="P33" i="25"/>
  <c r="P37" i="25" s="1"/>
  <c r="P47" i="25" s="1"/>
  <c r="T33" i="25"/>
  <c r="T37" i="25" s="1"/>
  <c r="T47" i="25" s="1"/>
  <c r="AB40" i="7"/>
  <c r="AB39" i="7" s="1"/>
  <c r="AB40" i="9"/>
  <c r="AB39" i="9" s="1"/>
  <c r="AB40" i="11"/>
  <c r="AB39" i="11" s="1"/>
  <c r="AB40" i="13"/>
  <c r="AB39" i="13" s="1"/>
  <c r="AB40" i="15"/>
  <c r="AB39" i="15" s="1"/>
  <c r="H23" i="25"/>
  <c r="X23" i="25"/>
  <c r="X33" i="25" s="1"/>
  <c r="X37" i="25" s="1"/>
  <c r="X47" i="25" s="1"/>
  <c r="D25" i="25"/>
  <c r="AB40" i="25"/>
  <c r="F33" i="17"/>
  <c r="F37" i="17" s="1"/>
  <c r="F45" i="17" s="1"/>
  <c r="N33" i="17"/>
  <c r="N37" i="17" s="1"/>
  <c r="N45" i="17" s="1"/>
  <c r="R33" i="17"/>
  <c r="R37" i="17" s="1"/>
  <c r="R45" i="17" s="1"/>
  <c r="Z33" i="17"/>
  <c r="Z37" i="17" s="1"/>
  <c r="Z45" i="17" s="1"/>
  <c r="AB23" i="17"/>
  <c r="AB33" i="17" s="1"/>
  <c r="AB37" i="17" s="1"/>
  <c r="AB45" i="17" s="1"/>
  <c r="D33" i="16"/>
  <c r="D37" i="16" s="1"/>
  <c r="D45" i="16" s="1"/>
  <c r="D33" i="9"/>
  <c r="D37" i="9" s="1"/>
  <c r="D45" i="9" s="1"/>
  <c r="H33" i="4"/>
  <c r="H37" i="4" s="1"/>
  <c r="H45" i="4" s="1"/>
  <c r="P33" i="4"/>
  <c r="P37" i="4" s="1"/>
  <c r="P45" i="4" s="1"/>
  <c r="T33" i="4"/>
  <c r="T37" i="4" s="1"/>
  <c r="T45" i="4" s="1"/>
  <c r="X33" i="4"/>
  <c r="X37" i="4" s="1"/>
  <c r="X45" i="4" s="1"/>
  <c r="F33" i="5"/>
  <c r="F37" i="5" s="1"/>
  <c r="F45" i="5" s="1"/>
  <c r="Z33" i="5"/>
  <c r="Z37" i="5" s="1"/>
  <c r="Z45" i="5" s="1"/>
  <c r="AB23" i="5"/>
  <c r="AB33" i="5" s="1"/>
  <c r="AB37" i="5" s="1"/>
  <c r="AB45" i="5" s="1"/>
  <c r="H33" i="6"/>
  <c r="H37" i="6" s="1"/>
  <c r="H45" i="6" s="1"/>
  <c r="L33" i="6"/>
  <c r="L37" i="6" s="1"/>
  <c r="L45" i="6" s="1"/>
  <c r="X33" i="6"/>
  <c r="X37" i="6" s="1"/>
  <c r="X45" i="6" s="1"/>
  <c r="N33" i="7"/>
  <c r="N37" i="7" s="1"/>
  <c r="N45" i="7" s="1"/>
  <c r="R33" i="7"/>
  <c r="R37" i="7" s="1"/>
  <c r="R45" i="7" s="1"/>
  <c r="Z33" i="7"/>
  <c r="Z37" i="7" s="1"/>
  <c r="Z45" i="7" s="1"/>
  <c r="AB23" i="7"/>
  <c r="AB33" i="7" s="1"/>
  <c r="AB37" i="7" s="1"/>
  <c r="AB45" i="7" s="1"/>
  <c r="J33" i="8"/>
  <c r="J37" i="8" s="1"/>
  <c r="J45" i="8" s="1"/>
  <c r="F33" i="9"/>
  <c r="F37" i="9" s="1"/>
  <c r="F45" i="9" s="1"/>
  <c r="N33" i="9"/>
  <c r="N37" i="9" s="1"/>
  <c r="N45" i="9" s="1"/>
  <c r="V33" i="9"/>
  <c r="V37" i="9" s="1"/>
  <c r="V45" i="9" s="1"/>
  <c r="Z33" i="9"/>
  <c r="Z37" i="9" s="1"/>
  <c r="Z45" i="9" s="1"/>
  <c r="N33" i="10"/>
  <c r="N37" i="10" s="1"/>
  <c r="N45" i="10" s="1"/>
  <c r="V33" i="10"/>
  <c r="V37" i="10" s="1"/>
  <c r="V45" i="10" s="1"/>
  <c r="AB23" i="10"/>
  <c r="AB33" i="10" s="1"/>
  <c r="AB37" i="10" s="1"/>
  <c r="AB45" i="10" s="1"/>
  <c r="H33" i="11"/>
  <c r="H37" i="11" s="1"/>
  <c r="H45" i="11" s="1"/>
  <c r="F33" i="12"/>
  <c r="F37" i="12" s="1"/>
  <c r="F45" i="12" s="1"/>
  <c r="N33" i="12"/>
  <c r="N37" i="12" s="1"/>
  <c r="N45" i="12" s="1"/>
  <c r="L33" i="17"/>
  <c r="L37" i="17" s="1"/>
  <c r="L45" i="17" s="1"/>
  <c r="X33" i="17"/>
  <c r="X37" i="17" s="1"/>
  <c r="X45" i="17" s="1"/>
  <c r="D33" i="4"/>
  <c r="D37" i="4" s="1"/>
  <c r="D45" i="4" s="1"/>
  <c r="D33" i="15"/>
  <c r="D37" i="15" s="1"/>
  <c r="D45" i="15" s="1"/>
  <c r="F33" i="16"/>
  <c r="F37" i="16" s="1"/>
  <c r="F45" i="16" s="1"/>
  <c r="L33" i="16"/>
  <c r="L37" i="16" s="1"/>
  <c r="L45" i="16" s="1"/>
  <c r="P33" i="16"/>
  <c r="P37" i="16" s="1"/>
  <c r="P45" i="16" s="1"/>
  <c r="Z33" i="16"/>
  <c r="Z37" i="16" s="1"/>
  <c r="Z45" i="16" s="1"/>
  <c r="F33" i="4"/>
  <c r="F37" i="4" s="1"/>
  <c r="F45" i="4" s="1"/>
  <c r="R33" i="4"/>
  <c r="R37" i="4" s="1"/>
  <c r="R45" i="4" s="1"/>
  <c r="Z33" i="4"/>
  <c r="Z37" i="4" s="1"/>
  <c r="Z45" i="4" s="1"/>
  <c r="L33" i="5"/>
  <c r="L37" i="5" s="1"/>
  <c r="L45" i="5" s="1"/>
  <c r="T33" i="5"/>
  <c r="T37" i="5" s="1"/>
  <c r="T45" i="5" s="1"/>
  <c r="V33" i="6"/>
  <c r="V37" i="6" s="1"/>
  <c r="V45" i="6" s="1"/>
  <c r="T33" i="7"/>
  <c r="T37" i="7" s="1"/>
  <c r="T45" i="7" s="1"/>
  <c r="P33" i="8"/>
  <c r="P37" i="8" s="1"/>
  <c r="P45" i="8" s="1"/>
  <c r="V33" i="8"/>
  <c r="V37" i="8" s="1"/>
  <c r="V45" i="8" s="1"/>
  <c r="R33" i="9"/>
  <c r="R37" i="9" s="1"/>
  <c r="R45" i="9" s="1"/>
  <c r="T33" i="9"/>
  <c r="T37" i="9" s="1"/>
  <c r="T45" i="9" s="1"/>
  <c r="X33" i="9"/>
  <c r="X37" i="9" s="1"/>
  <c r="X45" i="9" s="1"/>
  <c r="AB23" i="9"/>
  <c r="AB33" i="9" s="1"/>
  <c r="AB37" i="9" s="1"/>
  <c r="AB45" i="9" s="1"/>
  <c r="H33" i="10"/>
  <c r="H37" i="10" s="1"/>
  <c r="H45" i="10" s="1"/>
  <c r="L33" i="10"/>
  <c r="L37" i="10" s="1"/>
  <c r="L45" i="10" s="1"/>
  <c r="P33" i="10"/>
  <c r="P37" i="10" s="1"/>
  <c r="P45" i="10" s="1"/>
  <c r="N33" i="11"/>
  <c r="N37" i="11" s="1"/>
  <c r="N45" i="11" s="1"/>
  <c r="V33" i="11"/>
  <c r="V37" i="11" s="1"/>
  <c r="V45" i="11" s="1"/>
  <c r="Z33" i="11"/>
  <c r="Z37" i="11" s="1"/>
  <c r="Z45" i="11" s="1"/>
  <c r="AB23" i="11"/>
  <c r="AB33" i="11" s="1"/>
  <c r="AB37" i="11" s="1"/>
  <c r="AB45" i="11" s="1"/>
  <c r="F33" i="14"/>
  <c r="F37" i="14" s="1"/>
  <c r="F45" i="14" s="1"/>
  <c r="F33" i="15"/>
  <c r="F37" i="15" s="1"/>
  <c r="F45" i="15" s="1"/>
  <c r="Z33" i="15"/>
  <c r="Z37" i="15" s="1"/>
  <c r="Z45" i="15" s="1"/>
  <c r="D33" i="3"/>
  <c r="D37" i="3" s="1"/>
  <c r="D45" i="3" s="1"/>
  <c r="Z33" i="3"/>
  <c r="Z37" i="3" s="1"/>
  <c r="Z45" i="3" s="1"/>
  <c r="X33" i="19"/>
  <c r="X37" i="19" s="1"/>
  <c r="X45" i="19" s="1"/>
  <c r="AB14" i="12"/>
  <c r="AB23" i="12" s="1"/>
  <c r="AB33" i="12" s="1"/>
  <c r="AB37" i="12" s="1"/>
  <c r="AB45" i="12" s="1"/>
  <c r="J33" i="13"/>
  <c r="J37" i="13" s="1"/>
  <c r="J45" i="13" s="1"/>
  <c r="V33" i="13"/>
  <c r="V37" i="13" s="1"/>
  <c r="V45" i="13" s="1"/>
  <c r="AB23" i="19"/>
  <c r="AB33" i="19" s="1"/>
  <c r="AB37" i="19" s="1"/>
  <c r="AB45" i="19" s="1"/>
  <c r="D39" i="25"/>
  <c r="AB33" i="4" l="1"/>
  <c r="AB37" i="4" s="1"/>
  <c r="AB45" i="4" s="1"/>
  <c r="AB25" i="25"/>
  <c r="D33" i="25"/>
  <c r="H33" i="25"/>
  <c r="H37" i="25" s="1"/>
  <c r="H47" i="25" s="1"/>
  <c r="AB23" i="25"/>
  <c r="AB45" i="13"/>
  <c r="AB45" i="15"/>
  <c r="AB33" i="8"/>
  <c r="AB37" i="8" s="1"/>
  <c r="AB45" i="8" s="1"/>
  <c r="AB33" i="6"/>
  <c r="AB37" i="6" s="1"/>
  <c r="AB45" i="6" s="1"/>
  <c r="AB39" i="25"/>
  <c r="AB33" i="25" l="1"/>
  <c r="D37" i="25"/>
  <c r="AB37" i="25" l="1"/>
  <c r="D47" i="25"/>
  <c r="AB47" i="25" s="1"/>
</calcChain>
</file>

<file path=xl/sharedStrings.xml><?xml version="1.0" encoding="utf-8"?>
<sst xmlns="http://schemas.openxmlformats.org/spreadsheetml/2006/main" count="1649" uniqueCount="145">
  <si>
    <t>Octubre</t>
  </si>
  <si>
    <t>Noviembre</t>
  </si>
  <si>
    <t>Diciembre</t>
  </si>
  <si>
    <t>Fuente:  Subdirección de Programación y Presupuestación de la Dirección Corporativa de Finanzas de Petróleos Mexicanos.</t>
  </si>
  <si>
    <t>Enero</t>
  </si>
  <si>
    <t>Febrero</t>
  </si>
  <si>
    <t>Marzo</t>
  </si>
  <si>
    <t>Abril</t>
  </si>
  <si>
    <t xml:space="preserve">Mayo </t>
  </si>
  <si>
    <t>Junio</t>
  </si>
  <si>
    <t>Julio</t>
  </si>
  <si>
    <t>Agosto</t>
  </si>
  <si>
    <t>Septiembre</t>
  </si>
  <si>
    <t xml:space="preserve"> Adquisiciones</t>
  </si>
  <si>
    <t>Inversión financiera</t>
  </si>
  <si>
    <t>TOTAL</t>
  </si>
  <si>
    <t>Ingreso corriente</t>
  </si>
  <si>
    <t>Venta de bienes y servicios</t>
  </si>
  <si>
    <t>Impuestos, derechos y aprovechamientos pagados</t>
  </si>
  <si>
    <t>Pago de intereses</t>
  </si>
  <si>
    <t>Internos</t>
  </si>
  <si>
    <t>Rendimientos mínimos garantizados</t>
  </si>
  <si>
    <t>Externos</t>
  </si>
  <si>
    <t>Transferencias de capital del Gobierno Federal</t>
  </si>
  <si>
    <t>Producción de crudo (Mbd)</t>
  </si>
  <si>
    <t>Ventas internas gasolinas (Mbd)</t>
  </si>
  <si>
    <t>Ventas internas de diesel (Mbd)</t>
  </si>
  <si>
    <t>Ventas internas de combustóleo (Mbd)</t>
  </si>
  <si>
    <t>Ventas internas de gas licuado de petróleo (Mbd)</t>
  </si>
  <si>
    <t>Precio de exportación de crudo (US$/barril)</t>
  </si>
  <si>
    <t>Precio de referencia de gas (US$/MMBtu)</t>
  </si>
  <si>
    <t>Tipo de cambio (MXN/dólar)</t>
  </si>
  <si>
    <t>Memorándum</t>
  </si>
  <si>
    <r>
      <t>Volumen de exportación de crudo (Mbd)</t>
    </r>
    <r>
      <rPr>
        <vertAlign val="superscript"/>
        <sz val="10"/>
        <color indexed="63"/>
        <rFont val="Arial"/>
        <family val="2"/>
      </rPr>
      <t>1</t>
    </r>
  </si>
  <si>
    <t xml:space="preserve"> Servicios personales</t>
  </si>
  <si>
    <t>Gasto de inversión no PIDIREGAS</t>
  </si>
  <si>
    <t>Balance primario después de impuestos, derechos y aprovechamientos</t>
  </si>
  <si>
    <t>Balance financiero</t>
  </si>
  <si>
    <t>Ventas internas de gas natural (MMpcd)</t>
  </si>
  <si>
    <t>Producción de gas seco (MMpcd)</t>
  </si>
  <si>
    <t>Operaciones ajenas (netas)</t>
  </si>
  <si>
    <t xml:space="preserve">1.    Cifras en flujo de efectivo. </t>
  </si>
  <si>
    <t>5.    Excluye operaciones ajenas por cuenta de terceros.</t>
  </si>
  <si>
    <r>
      <t>Balance primario y balance financiero de Petróleos Mexicanos y sus Organismos Subsidiarios</t>
    </r>
    <r>
      <rPr>
        <b/>
        <vertAlign val="superscript"/>
        <sz val="16"/>
        <rFont val="Arial Narrow "/>
      </rPr>
      <t>1</t>
    </r>
  </si>
  <si>
    <r>
      <t xml:space="preserve"> Gasto de operación</t>
    </r>
    <r>
      <rPr>
        <b/>
        <vertAlign val="superscript"/>
        <sz val="10"/>
        <color indexed="63"/>
        <rFont val="Arial"/>
        <family val="2"/>
      </rPr>
      <t>5</t>
    </r>
  </si>
  <si>
    <r>
      <t>Balance operativo</t>
    </r>
    <r>
      <rPr>
        <b/>
        <vertAlign val="superscript"/>
        <sz val="10"/>
        <color indexed="63"/>
        <rFont val="Arial"/>
        <family val="2"/>
      </rPr>
      <t>8</t>
    </r>
  </si>
  <si>
    <r>
      <t>Balance primario antes de impuestos, derechos y aprovechamientos</t>
    </r>
    <r>
      <rPr>
        <b/>
        <vertAlign val="superscript"/>
        <sz val="10"/>
        <color indexed="63"/>
        <rFont val="Arial"/>
        <family val="2"/>
      </rPr>
      <t>10</t>
    </r>
  </si>
  <si>
    <r>
      <t>Externas</t>
    </r>
    <r>
      <rPr>
        <vertAlign val="superscript"/>
        <sz val="10"/>
        <color indexed="63"/>
        <rFont val="Arial"/>
        <family val="2"/>
      </rPr>
      <t>2</t>
    </r>
  </si>
  <si>
    <r>
      <t>Internas</t>
    </r>
    <r>
      <rPr>
        <vertAlign val="superscript"/>
        <sz val="10"/>
        <color indexed="63"/>
        <rFont val="Arial"/>
        <family val="2"/>
      </rPr>
      <t>3</t>
    </r>
  </si>
  <si>
    <r>
      <t>Otros</t>
    </r>
    <r>
      <rPr>
        <vertAlign val="superscript"/>
        <sz val="10"/>
        <color indexed="63"/>
        <rFont val="Arial"/>
        <family val="2"/>
      </rPr>
      <t>4</t>
    </r>
  </si>
  <si>
    <r>
      <t>Mercancía para reventa</t>
    </r>
    <r>
      <rPr>
        <vertAlign val="superscript"/>
        <sz val="10"/>
        <color indexed="63"/>
        <rFont val="Arial"/>
        <family val="2"/>
      </rPr>
      <t>7</t>
    </r>
  </si>
  <si>
    <r>
      <t xml:space="preserve"> Otros</t>
    </r>
    <r>
      <rPr>
        <vertAlign val="superscript"/>
        <sz val="10"/>
        <color indexed="63"/>
        <rFont val="Arial"/>
        <family val="2"/>
      </rPr>
      <t>6</t>
    </r>
  </si>
  <si>
    <t>6     Incluye servicios generales y nómina de pensiones.</t>
  </si>
  <si>
    <t>Precio promedio de crudo Programa Económico 2007</t>
  </si>
  <si>
    <t>Precio promedio de crudo Programa Económico 2008</t>
  </si>
  <si>
    <r>
      <t>Pago de intereses</t>
    </r>
    <r>
      <rPr>
        <vertAlign val="superscript"/>
        <sz val="10"/>
        <color indexed="63"/>
        <rFont val="Arial"/>
        <family val="2"/>
      </rPr>
      <t>11</t>
    </r>
  </si>
  <si>
    <t>Intereses internos</t>
  </si>
  <si>
    <t>(millones de pesos nominales)</t>
  </si>
  <si>
    <t>2.    Excluye la exportación temporal de petróleo crudo para procesamiento (maquila).</t>
  </si>
  <si>
    <t>3.    Incluye mercancía para reventa.  Excluye impuestos indirectos pagados.</t>
  </si>
  <si>
    <t>4.    Incluye el efecto tasa negativa IEPS, en su caso.</t>
  </si>
  <si>
    <t>7.    Incluye retorno de la exportación temporal de petróleo crudo para procesamiento (maquila).</t>
  </si>
  <si>
    <t>8.    Ingreso corriente, menos gasto de operación, menos operaciones ajenas (netas) y, menos mercancía para reventa.</t>
  </si>
  <si>
    <r>
      <t>Gasto de inversión presupuestal</t>
    </r>
    <r>
      <rPr>
        <b/>
        <vertAlign val="superscript"/>
        <sz val="10"/>
        <color indexed="63"/>
        <rFont val="Arial"/>
        <family val="2"/>
      </rPr>
      <t>9</t>
    </r>
  </si>
  <si>
    <t>9.    No incluye amortizaciones ni gasto en inversión física realizado con Fondos.</t>
  </si>
  <si>
    <t>10.  Se refiere a amortización de deuda contratada bajo el esquema PIDIREGAS.</t>
  </si>
  <si>
    <r>
      <t>Inversión física</t>
    </r>
    <r>
      <rPr>
        <vertAlign val="superscript"/>
        <sz val="10"/>
        <color indexed="63"/>
        <rFont val="Arial"/>
        <family val="2"/>
      </rPr>
      <t>11</t>
    </r>
  </si>
  <si>
    <t>12.  Balance operativo, menos gasto de inversión presupuestal, más transferencias de capital del Gobierno Federal.</t>
  </si>
  <si>
    <t>Nota:      Cifras de Cuenta Pública.  Las cifras pueden no coincidir por redondeo.</t>
  </si>
  <si>
    <r>
      <t>Mercancía para reventa (petrolíferos) (Mbd)</t>
    </r>
    <r>
      <rPr>
        <vertAlign val="superscript"/>
        <sz val="10"/>
        <color indexed="63"/>
        <rFont val="Arial"/>
        <family val="2"/>
      </rPr>
      <t>2</t>
    </r>
  </si>
  <si>
    <t>Mercancía para reventa (petroquímicos) (Mt)</t>
  </si>
  <si>
    <t>1.   Excluye la exportación temporal de petróleo crudo para procesamiento (maquila).</t>
  </si>
  <si>
    <r>
      <t>Registro PIDIREGAS</t>
    </r>
    <r>
      <rPr>
        <vertAlign val="superscript"/>
        <sz val="10"/>
        <color indexed="63"/>
        <rFont val="Arial"/>
        <family val="2"/>
      </rPr>
      <t>10</t>
    </r>
  </si>
  <si>
    <r>
      <t>Balance primario antes de impuestos, derechos y aprovechamientos</t>
    </r>
    <r>
      <rPr>
        <b/>
        <vertAlign val="superscript"/>
        <sz val="10"/>
        <color indexed="63"/>
        <rFont val="Arial"/>
        <family val="2"/>
      </rPr>
      <t>12</t>
    </r>
  </si>
  <si>
    <t>11.   Incluye inversión no capitalizable en mantenimiento.  No incluye inversión física realizada con Fondos.</t>
  </si>
  <si>
    <t>2.   Incluye retorno de la exportación temporal de petróleo crudo para procesamiento (maquila).</t>
  </si>
  <si>
    <t>Precio de referencia del gas natural (US$/MMBtu)</t>
  </si>
  <si>
    <t>Externas</t>
  </si>
  <si>
    <r>
      <t>Internas</t>
    </r>
    <r>
      <rPr>
        <vertAlign val="superscript"/>
        <sz val="10"/>
        <color indexed="63"/>
        <rFont val="Arial"/>
        <family val="2"/>
      </rPr>
      <t>2</t>
    </r>
  </si>
  <si>
    <r>
      <t>Otros</t>
    </r>
    <r>
      <rPr>
        <vertAlign val="superscript"/>
        <sz val="10"/>
        <color indexed="63"/>
        <rFont val="Arial"/>
        <family val="2"/>
      </rPr>
      <t>3</t>
    </r>
  </si>
  <si>
    <r>
      <t xml:space="preserve"> Gasto de operación</t>
    </r>
    <r>
      <rPr>
        <b/>
        <vertAlign val="superscript"/>
        <sz val="10"/>
        <color indexed="63"/>
        <rFont val="Arial"/>
        <family val="2"/>
      </rPr>
      <t>4</t>
    </r>
  </si>
  <si>
    <r>
      <t xml:space="preserve"> Otros</t>
    </r>
    <r>
      <rPr>
        <vertAlign val="superscript"/>
        <sz val="10"/>
        <color indexed="63"/>
        <rFont val="Arial"/>
        <family val="2"/>
      </rPr>
      <t>5</t>
    </r>
  </si>
  <si>
    <t>Mercancía para reventa</t>
  </si>
  <si>
    <r>
      <t>Balance operativo</t>
    </r>
    <r>
      <rPr>
        <b/>
        <vertAlign val="superscript"/>
        <sz val="10"/>
        <color indexed="63"/>
        <rFont val="Arial"/>
        <family val="2"/>
      </rPr>
      <t>6</t>
    </r>
  </si>
  <si>
    <r>
      <t>Gasto de inversión presupuestal</t>
    </r>
    <r>
      <rPr>
        <b/>
        <vertAlign val="superscript"/>
        <sz val="10"/>
        <color indexed="63"/>
        <rFont val="Arial"/>
        <family val="2"/>
      </rPr>
      <t>7</t>
    </r>
  </si>
  <si>
    <r>
      <t>Registro PIDIREGAS</t>
    </r>
    <r>
      <rPr>
        <vertAlign val="superscript"/>
        <sz val="10"/>
        <color indexed="63"/>
        <rFont val="Arial"/>
        <family val="2"/>
      </rPr>
      <t>8</t>
    </r>
  </si>
  <si>
    <r>
      <t>Registro PIDIREGAS</t>
    </r>
    <r>
      <rPr>
        <vertAlign val="superscript"/>
        <sz val="10"/>
        <color indexed="63"/>
        <rFont val="Arial"/>
        <family val="2"/>
      </rPr>
      <t>8</t>
    </r>
  </si>
  <si>
    <r>
      <t>Inversión física</t>
    </r>
    <r>
      <rPr>
        <vertAlign val="superscript"/>
        <sz val="10"/>
        <color indexed="63"/>
        <rFont val="Arial"/>
        <family val="2"/>
      </rPr>
      <t>9</t>
    </r>
  </si>
  <si>
    <t>2.    Incluye mercancía para reventa. Excluye impuestos indirectos pagados.</t>
  </si>
  <si>
    <t>3.    Incluye el efecto de tasa negativa IEPS, en su caso.</t>
  </si>
  <si>
    <t>4.    Excluye operaciones ajenas por cuenta de terceros.</t>
  </si>
  <si>
    <t>5.    Incluye servicios generales y nómina de pensiones.</t>
  </si>
  <si>
    <t>6.    Ingreso corriente, menos gasto de operación, menos operaciones ajenas (netas) y, menos mercancía para reventa.</t>
  </si>
  <si>
    <t>7.    No incluye amortizaciones ni gasto en inversión física realizado con Fondos.</t>
  </si>
  <si>
    <t>8.    Se refiere a amortización de deuda contratada bajo el esquema PIDIREGAS.</t>
  </si>
  <si>
    <t>9.    Incluye inversión no capitalizable en mantenimiento.  No incluye inversión física realizada con Fondos.</t>
  </si>
  <si>
    <t>10.  Balance operativo, menos gasto de inversión presupuestal, más transferencias de capital del Gobierno Federal.</t>
  </si>
  <si>
    <t>11.  Equivalente al Costo Financiero Neto de acuerdo a la metodología propuesta por la SHCP a partir del 2008.</t>
  </si>
  <si>
    <t>Volumen de exportación de crudo (Mbd)</t>
  </si>
  <si>
    <t>Tipo de cambio (Ps./US$)</t>
  </si>
  <si>
    <t>Mercancía para reventa (petrolíferos) (Mbd)</t>
  </si>
  <si>
    <t>Fuente:  Petróleos Mexicanos.</t>
  </si>
  <si>
    <t>PROMEDIO</t>
  </si>
  <si>
    <r>
      <t>Internas</t>
    </r>
    <r>
      <rPr>
        <vertAlign val="superscript"/>
        <sz val="10"/>
        <color indexed="63"/>
        <rFont val="Arial"/>
        <family val="2"/>
      </rPr>
      <t>2</t>
    </r>
  </si>
  <si>
    <r>
      <t>Otros</t>
    </r>
    <r>
      <rPr>
        <vertAlign val="superscript"/>
        <sz val="10"/>
        <color indexed="63"/>
        <rFont val="Arial"/>
        <family val="2"/>
      </rPr>
      <t>3</t>
    </r>
  </si>
  <si>
    <r>
      <t xml:space="preserve"> Otros</t>
    </r>
    <r>
      <rPr>
        <vertAlign val="superscript"/>
        <sz val="10"/>
        <color indexed="63"/>
        <rFont val="Arial"/>
        <family val="2"/>
      </rPr>
      <t>5</t>
    </r>
  </si>
  <si>
    <r>
      <t>Balance primario antes de impuestos, derechos y aprovechamientos</t>
    </r>
    <r>
      <rPr>
        <b/>
        <vertAlign val="superscript"/>
        <sz val="10"/>
        <color indexed="63"/>
        <rFont val="Arial"/>
        <family val="2"/>
      </rPr>
      <t>10</t>
    </r>
  </si>
  <si>
    <t>2.    Incluye mercancía para reventa.  Excluye impuestos indirectos pagados.</t>
  </si>
  <si>
    <t>3.    Incluye el efecto tasa negativa IEPS, en su caso.</t>
  </si>
  <si>
    <t>5     Incluye servicios generales y nómina de pensiones.</t>
  </si>
  <si>
    <t>10.   Balance operativo, menos gasto de inversión presupuestal, más transferencias de capital del Gobierno Federal.</t>
  </si>
  <si>
    <t>Ingresos por intereses</t>
  </si>
  <si>
    <t>12.  Otros egresos financieros.</t>
  </si>
  <si>
    <t>Precio promedio de crudo Programa Económico 2009</t>
  </si>
  <si>
    <r>
      <t>Balance primario y balance financiero de Petróleos Mexicanos y sus Organismos Subsidiarios</t>
    </r>
    <r>
      <rPr>
        <b/>
        <vertAlign val="superscript"/>
        <sz val="10"/>
        <rFont val="Arial"/>
        <family val="2"/>
      </rPr>
      <t>1
(No considera el efecto de reconocimiento de la inversión PIDIREGAS)</t>
    </r>
  </si>
  <si>
    <r>
      <t>Otros</t>
    </r>
    <r>
      <rPr>
        <vertAlign val="superscript"/>
        <sz val="10"/>
        <color indexed="63"/>
        <rFont val="Arial"/>
        <family val="2"/>
      </rPr>
      <t>5</t>
    </r>
  </si>
  <si>
    <r>
      <t>Inversión física</t>
    </r>
    <r>
      <rPr>
        <vertAlign val="superscript"/>
        <sz val="10"/>
        <color indexed="63"/>
        <rFont val="Arial"/>
        <family val="2"/>
      </rPr>
      <t>9</t>
    </r>
  </si>
  <si>
    <r>
      <t>Pago de intereses</t>
    </r>
    <r>
      <rPr>
        <vertAlign val="superscript"/>
        <sz val="10"/>
        <color indexed="63"/>
        <rFont val="Arial"/>
        <family val="2"/>
      </rPr>
      <t>11</t>
    </r>
  </si>
  <si>
    <r>
      <t>Otros</t>
    </r>
    <r>
      <rPr>
        <vertAlign val="superscript"/>
        <sz val="10"/>
        <color indexed="63"/>
        <rFont val="Arial"/>
        <family val="2"/>
      </rPr>
      <t>12</t>
    </r>
  </si>
  <si>
    <t>Precio promedio de crudo Programa Económico 2010</t>
  </si>
  <si>
    <t>Nota:      Cifras de cuenta pública.  Las cifras pueden no coincidir por redondeo.</t>
  </si>
  <si>
    <r>
      <t>Otras Erogaciones</t>
    </r>
    <r>
      <rPr>
        <vertAlign val="superscript"/>
        <sz val="10"/>
        <color indexed="63"/>
        <rFont val="Arial"/>
        <family val="2"/>
      </rPr>
      <t>6</t>
    </r>
  </si>
  <si>
    <r>
      <t>Balance operativo</t>
    </r>
    <r>
      <rPr>
        <b/>
        <vertAlign val="superscript"/>
        <sz val="10"/>
        <color indexed="63"/>
        <rFont val="Arial"/>
        <family val="2"/>
      </rPr>
      <t>7</t>
    </r>
  </si>
  <si>
    <r>
      <t>Gasto de inversión presupuestal</t>
    </r>
    <r>
      <rPr>
        <b/>
        <vertAlign val="superscript"/>
        <sz val="10"/>
        <color indexed="63"/>
        <rFont val="Arial"/>
        <family val="2"/>
      </rPr>
      <t>8</t>
    </r>
  </si>
  <si>
    <t>Registro PIDIREGAS</t>
  </si>
  <si>
    <t>Balance primario</t>
  </si>
  <si>
    <t>7.    Ingreso corriente menos gasto de operación, operaciones ajenas (netas) y mercancía para reventa.</t>
  </si>
  <si>
    <t>8.    No incluye amortizaciones ni gasto en inversión física realizado con Fondos.</t>
  </si>
  <si>
    <t>6.    Incluye donativos; gtos de prev. social; indemnizaciones 3os.; liquidaciones por salarios caídos y otros gtos de operación.</t>
  </si>
  <si>
    <t>Nota:      Las cifras pueden no coincidir por redondeo.</t>
  </si>
  <si>
    <r>
      <t>Balance primario y balance financiero de Petróleos Mexicanos y sus Organismos Subsidiarios</t>
    </r>
    <r>
      <rPr>
        <b/>
        <vertAlign val="superscript"/>
        <sz val="10"/>
        <rFont val="Arial"/>
        <family val="2"/>
      </rPr>
      <t>1</t>
    </r>
  </si>
  <si>
    <t>Precio promedio de crudo Programa Económico 2012</t>
  </si>
  <si>
    <t>Gasto no programable</t>
  </si>
  <si>
    <t xml:space="preserve">1. Cifras en flujo de efectivo. </t>
  </si>
  <si>
    <t>2. Incluye mercancía para reventa. Excluye impuestos indirectos pagados.</t>
  </si>
  <si>
    <t>3. Incluye el efecto de tasa negativa IEPS, en su caso.</t>
  </si>
  <si>
    <t>4. Excluye operaciones ajenas por cuenta de terceros.</t>
  </si>
  <si>
    <t>5. Incluye servicios generales y nómina de pensiones.</t>
  </si>
  <si>
    <t>6. Incluye donativos; gtos de prev. social; indemnizaciones 3os.; liquidaciones por salarios caídos y otros gtos de operación.</t>
  </si>
  <si>
    <t>7. Ingreso corriente menos gasto de operación, operaciones ajenas (netas) y mercancía para reventa.</t>
  </si>
  <si>
    <t>8. No incluye amortizaciones ni gasto en inversión física realizado con Fondos.</t>
  </si>
  <si>
    <t>9. Incluye inversión no capitalizable en mantenimiento.  No incluye inversión física realizada con Fondos.</t>
  </si>
  <si>
    <t>10. Balance operativo, menos gasto de inversión presupuestal, más transferencias de capital del Gobierno Federal.</t>
  </si>
  <si>
    <t>11. Equivalente al Costo Financiero Neto de acuerdo a la metodología propuesta por la SHCP a partir del 2008.</t>
  </si>
  <si>
    <t>12. Otros egresos financieros.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</si>
</sst>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3" formatCode="_-* #,##0.00_-;\-* #,##0.00_-;_-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?,??0.0"/>
    <numFmt numFmtId="168" formatCode="??0.0"/>
    <numFmt numFmtId="169" formatCode="?0.0"/>
    <numFmt numFmtId="170" formatCode="???0.0"/>
    <numFmt numFmtId="171" formatCode="?,??0"/>
    <numFmt numFmtId="172" formatCode="#,##0.0_ ;\-#,##0.0\ "/>
    <numFmt numFmtId="173" formatCode="#,##0_ ;\-#,##0\ "/>
    <numFmt numFmtId="174" formatCode="General_)"/>
    <numFmt numFmtId="175" formatCode="0.0000"/>
    <numFmt numFmtId="176" formatCode="?,??0.00"/>
    <numFmt numFmtId="177" formatCode="?,??0.0000"/>
    <numFmt numFmtId="178" formatCode="_(* #,##0_);_(* \(#,##0\);_(* &quot;-&quot;??_);_(@_)"/>
    <numFmt numFmtId="179" formatCode="_(* #,##0.0000_);_(* \(#,##0.0000\);_(* &quot;-&quot;??_);_(@_)"/>
    <numFmt numFmtId="180" formatCode="_-* #,##0.0_-;\-* #,##0.0_-;_-* &quot;-&quot;??_-;_-@_-"/>
    <numFmt numFmtId="181" formatCode="dd\-mm\-yy;@"/>
  </numFmts>
  <fonts count="45">
    <font>
      <sz val="10"/>
      <name val="Arial"/>
    </font>
    <font>
      <sz val="10"/>
      <name val="Arial"/>
      <family val="2"/>
    </font>
    <font>
      <sz val="12"/>
      <color indexed="63"/>
      <name val="Arial"/>
      <family val="2"/>
    </font>
    <font>
      <b/>
      <sz val="10"/>
      <color indexed="9"/>
      <name val="Arial"/>
      <family val="2"/>
    </font>
    <font>
      <b/>
      <sz val="16"/>
      <name val="Arial Narrow "/>
      <family val="2"/>
    </font>
    <font>
      <sz val="8"/>
      <name val="Arial"/>
      <family val="2"/>
    </font>
    <font>
      <sz val="9"/>
      <color indexed="9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  <font>
      <b/>
      <vertAlign val="superscript"/>
      <sz val="9"/>
      <color indexed="9"/>
      <name val="Arial"/>
      <family val="2"/>
    </font>
    <font>
      <sz val="8"/>
      <color indexed="9"/>
      <name val="Arial"/>
      <family val="2"/>
    </font>
    <font>
      <sz val="10"/>
      <name val="Arial"/>
      <family val="2"/>
    </font>
    <font>
      <sz val="11"/>
      <color indexed="63"/>
      <name val="Calibri"/>
      <family val="2"/>
    </font>
    <font>
      <b/>
      <sz val="10"/>
      <name val="Arial"/>
      <family val="2"/>
    </font>
    <font>
      <b/>
      <sz val="10"/>
      <color indexed="63"/>
      <name val="Arial"/>
      <family val="2"/>
    </font>
    <font>
      <b/>
      <vertAlign val="superscript"/>
      <sz val="10"/>
      <color indexed="63"/>
      <name val="Arial"/>
      <family val="2"/>
    </font>
    <font>
      <sz val="10"/>
      <color indexed="63"/>
      <name val="Arial"/>
      <family val="2"/>
    </font>
    <font>
      <b/>
      <vertAlign val="superscript"/>
      <sz val="10"/>
      <color indexed="63"/>
      <name val="Arial"/>
      <family val="2"/>
    </font>
    <font>
      <vertAlign val="superscript"/>
      <sz val="10"/>
      <color indexed="63"/>
      <name val="Arial"/>
      <family val="2"/>
    </font>
    <font>
      <sz val="10"/>
      <color indexed="63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9"/>
      <color indexed="63"/>
      <name val="Arial"/>
      <family val="2"/>
    </font>
    <font>
      <b/>
      <vertAlign val="superscript"/>
      <sz val="16"/>
      <name val="Arial Narrow "/>
    </font>
    <font>
      <b/>
      <sz val="10"/>
      <color indexed="63"/>
      <name val="Arial"/>
      <family val="2"/>
    </font>
    <font>
      <b/>
      <sz val="14"/>
      <name val="Arial Narrow "/>
      <family val="2"/>
    </font>
    <font>
      <sz val="10"/>
      <name val="Arial"/>
      <family val="2"/>
    </font>
    <font>
      <sz val="10"/>
      <name val="Courier"/>
      <family val="3"/>
    </font>
    <font>
      <sz val="10"/>
      <color indexed="9"/>
      <name val="Arial"/>
      <family val="2"/>
    </font>
    <font>
      <sz val="10"/>
      <color indexed="9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b/>
      <sz val="10"/>
      <color indexed="10"/>
      <name val="Arial"/>
      <family val="2"/>
    </font>
    <font>
      <b/>
      <vertAlign val="superscript"/>
      <sz val="10"/>
      <name val="Arial"/>
      <family val="2"/>
    </font>
    <font>
      <sz val="10"/>
      <color indexed="18"/>
      <name val="Arial"/>
      <family val="2"/>
    </font>
    <font>
      <sz val="10"/>
      <color indexed="8"/>
      <name val="Arial"/>
      <family val="2"/>
    </font>
    <font>
      <sz val="10"/>
      <color indexed="54"/>
      <name val="Arial"/>
      <family val="2"/>
    </font>
    <font>
      <sz val="10"/>
      <color indexed="10"/>
      <name val="Arial"/>
      <family val="2"/>
    </font>
    <font>
      <vertAlign val="superscript"/>
      <sz val="10"/>
      <name val="Arial"/>
      <family val="2"/>
    </font>
    <font>
      <b/>
      <sz val="10"/>
      <color indexed="1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8"/>
        <bgColor indexed="23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3"/>
      </patternFill>
    </fill>
    <fill>
      <patternFill patternType="solid">
        <fgColor indexed="8"/>
        <bgColor indexed="64"/>
      </patternFill>
    </fill>
    <fill>
      <patternFill patternType="solid">
        <fgColor indexed="46"/>
        <bgColor indexed="64"/>
      </patternFill>
    </fill>
  </fills>
  <borders count="17">
    <border>
      <left/>
      <right/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/>
      <top/>
      <bottom/>
      <diagonal/>
    </border>
    <border>
      <left/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/>
      <right/>
      <top/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/>
      <diagonal/>
    </border>
    <border>
      <left/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/>
      <top/>
      <bottom style="medium">
        <color indexed="9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C0C0C0"/>
      </bottom>
      <diagonal/>
    </border>
  </borders>
  <cellStyleXfs count="40">
    <xf numFmtId="174" fontId="0" fillId="0" borderId="0"/>
    <xf numFmtId="174" fontId="11" fillId="0" borderId="0"/>
    <xf numFmtId="0" fontId="26" fillId="0" borderId="0"/>
    <xf numFmtId="0" fontId="11" fillId="0" borderId="0"/>
    <xf numFmtId="181" fontId="26" fillId="0" borderId="0"/>
    <xf numFmtId="181" fontId="11" fillId="0" borderId="0"/>
    <xf numFmtId="167" fontId="11" fillId="0" borderId="0"/>
    <xf numFmtId="164" fontId="11" fillId="0" borderId="0"/>
    <xf numFmtId="174" fontId="11" fillId="0" borderId="0"/>
    <xf numFmtId="170" fontId="11" fillId="0" borderId="0"/>
    <xf numFmtId="174" fontId="26" fillId="0" borderId="0"/>
    <xf numFmtId="174" fontId="11" fillId="0" borderId="0"/>
    <xf numFmtId="174" fontId="1" fillId="0" borderId="0"/>
    <xf numFmtId="180" fontId="11" fillId="0" borderId="0"/>
    <xf numFmtId="174" fontId="43" fillId="0" borderId="0"/>
    <xf numFmtId="174" fontId="1" fillId="0" borderId="0"/>
    <xf numFmtId="174" fontId="1" fillId="0" borderId="0"/>
    <xf numFmtId="165" fontId="11" fillId="0" borderId="0"/>
    <xf numFmtId="174" fontId="43" fillId="0" borderId="0"/>
    <xf numFmtId="180" fontId="11" fillId="0" borderId="0"/>
    <xf numFmtId="174" fontId="43" fillId="0" borderId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172" fontId="11" fillId="0" borderId="0" applyFont="0" applyFill="0" applyBorder="0" applyAlignment="0" applyProtection="0"/>
    <xf numFmtId="43" fontId="43" fillId="0" borderId="0" applyFont="0" applyFill="0" applyBorder="0" applyAlignment="0" applyProtection="0"/>
    <xf numFmtId="17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32" fillId="0" borderId="0"/>
    <xf numFmtId="0" fontId="12" fillId="0" borderId="0"/>
    <xf numFmtId="0" fontId="44" fillId="0" borderId="0"/>
    <xf numFmtId="170" fontId="11" fillId="0" borderId="0"/>
    <xf numFmtId="0" fontId="44" fillId="0" borderId="0"/>
    <xf numFmtId="0" fontId="12" fillId="0" borderId="0"/>
    <xf numFmtId="0" fontId="12" fillId="0" borderId="0"/>
    <xf numFmtId="0" fontId="44" fillId="0" borderId="0"/>
    <xf numFmtId="164" fontId="11" fillId="0" borderId="0"/>
    <xf numFmtId="170" fontId="11" fillId="0" borderId="0"/>
    <xf numFmtId="0" fontId="1" fillId="0" borderId="0"/>
    <xf numFmtId="174" fontId="11" fillId="0" borderId="0"/>
    <xf numFmtId="174" fontId="11" fillId="0" borderId="0"/>
  </cellStyleXfs>
  <cellXfs count="549">
    <xf numFmtId="0" fontId="0" fillId="0" borderId="0" xfId="0" applyNumberFormat="1"/>
    <xf numFmtId="0" fontId="3" fillId="2" borderId="1" xfId="1" applyNumberFormat="1" applyFont="1" applyFill="1" applyBorder="1" applyAlignment="1">
      <alignment horizontal="center" vertical="center"/>
    </xf>
    <xf numFmtId="0" fontId="3" fillId="2" borderId="2" xfId="1" applyNumberFormat="1" applyFont="1" applyFill="1" applyBorder="1" applyAlignment="1">
      <alignment horizontal="center" vertical="center"/>
    </xf>
    <xf numFmtId="3" fontId="5" fillId="0" borderId="0" xfId="1" applyNumberFormat="1" applyFont="1" applyFill="1" applyAlignment="1">
      <alignment horizontal="right"/>
    </xf>
    <xf numFmtId="0" fontId="17" fillId="3" borderId="0" xfId="1" applyNumberFormat="1" applyFont="1" applyFill="1" applyAlignment="1">
      <alignment horizontal="right"/>
    </xf>
    <xf numFmtId="3" fontId="16" fillId="3" borderId="0" xfId="1" applyNumberFormat="1" applyFont="1" applyFill="1" applyAlignment="1">
      <alignment horizontal="right"/>
    </xf>
    <xf numFmtId="167" fontId="16" fillId="3" borderId="0" xfId="1" applyNumberFormat="1" applyFont="1" applyFill="1" applyAlignment="1">
      <alignment horizontal="left" indent="2"/>
    </xf>
    <xf numFmtId="167" fontId="16" fillId="3" borderId="0" xfId="1" applyNumberFormat="1" applyFont="1" applyFill="1" applyAlignment="1">
      <alignment horizontal="left" indent="3"/>
    </xf>
    <xf numFmtId="167" fontId="16" fillId="3" borderId="0" xfId="1" applyNumberFormat="1" applyFont="1" applyFill="1" applyAlignment="1">
      <alignment horizontal="left" wrapText="1" indent="4"/>
    </xf>
    <xf numFmtId="167" fontId="16" fillId="3" borderId="0" xfId="1" applyNumberFormat="1" applyFont="1" applyFill="1" applyAlignment="1">
      <alignment horizontal="right"/>
    </xf>
    <xf numFmtId="0" fontId="15" fillId="3" borderId="0" xfId="1" applyNumberFormat="1" applyFont="1" applyFill="1" applyAlignment="1">
      <alignment horizontal="right"/>
    </xf>
    <xf numFmtId="0" fontId="20" fillId="2" borderId="2" xfId="1" applyNumberFormat="1" applyFont="1" applyFill="1" applyBorder="1" applyAlignment="1">
      <alignment horizontal="center" vertical="center"/>
    </xf>
    <xf numFmtId="171" fontId="22" fillId="3" borderId="0" xfId="1" applyNumberFormat="1" applyFont="1" applyFill="1" applyAlignment="1">
      <alignment horizontal="right"/>
    </xf>
    <xf numFmtId="0" fontId="20" fillId="2" borderId="3" xfId="1" applyNumberFormat="1" applyFont="1" applyFill="1" applyBorder="1" applyAlignment="1">
      <alignment horizontal="center" vertical="center"/>
    </xf>
    <xf numFmtId="0" fontId="20" fillId="2" borderId="4" xfId="1" applyNumberFormat="1" applyFont="1" applyFill="1" applyBorder="1" applyAlignment="1">
      <alignment horizontal="center" vertical="center"/>
    </xf>
    <xf numFmtId="0" fontId="20" fillId="2" borderId="3" xfId="1" applyNumberFormat="1" applyFont="1" applyFill="1" applyBorder="1" applyAlignment="1">
      <alignment horizontal="center" vertical="center" wrapText="1"/>
    </xf>
    <xf numFmtId="0" fontId="20" fillId="2" borderId="0" xfId="1" applyNumberFormat="1" applyFont="1" applyFill="1" applyBorder="1" applyAlignment="1">
      <alignment horizontal="center" vertical="center"/>
    </xf>
    <xf numFmtId="3" fontId="14" fillId="0" borderId="0" xfId="1" applyNumberFormat="1" applyFont="1" applyFill="1" applyAlignment="1"/>
    <xf numFmtId="0" fontId="0" fillId="0" borderId="0" xfId="1" applyNumberFormat="1" applyFont="1" applyFill="1"/>
    <xf numFmtId="0" fontId="17" fillId="4" borderId="0" xfId="1" applyNumberFormat="1" applyFont="1" applyFill="1" applyAlignment="1">
      <alignment horizontal="right"/>
    </xf>
    <xf numFmtId="3" fontId="14" fillId="3" borderId="0" xfId="1" applyNumberFormat="1" applyFont="1" applyFill="1" applyAlignment="1">
      <alignment horizontal="right"/>
    </xf>
    <xf numFmtId="167" fontId="19" fillId="5" borderId="0" xfId="1" applyNumberFormat="1" applyFont="1" applyFill="1" applyAlignment="1">
      <alignment horizontal="left" indent="3"/>
    </xf>
    <xf numFmtId="0" fontId="17" fillId="5" borderId="0" xfId="1" applyNumberFormat="1" applyFont="1" applyFill="1" applyAlignment="1">
      <alignment horizontal="right"/>
    </xf>
    <xf numFmtId="178" fontId="1" fillId="5" borderId="0" xfId="21" applyNumberFormat="1" applyFont="1" applyFill="1" applyBorder="1"/>
    <xf numFmtId="3" fontId="16" fillId="5" borderId="0" xfId="1" applyNumberFormat="1" applyFont="1" applyFill="1" applyAlignment="1">
      <alignment horizontal="right"/>
    </xf>
    <xf numFmtId="167" fontId="16" fillId="5" borderId="0" xfId="1" applyNumberFormat="1" applyFont="1" applyFill="1" applyAlignment="1">
      <alignment horizontal="left" indent="3"/>
    </xf>
    <xf numFmtId="167" fontId="19" fillId="5" borderId="0" xfId="1" applyNumberFormat="1" applyFont="1" applyFill="1" applyAlignment="1">
      <alignment horizontal="left" indent="2"/>
    </xf>
    <xf numFmtId="167" fontId="14" fillId="5" borderId="0" xfId="1" applyNumberFormat="1" applyFont="1" applyFill="1" applyAlignment="1">
      <alignment horizontal="left" indent="1"/>
    </xf>
    <xf numFmtId="178" fontId="13" fillId="5" borderId="0" xfId="21" applyNumberFormat="1" applyFont="1" applyFill="1" applyBorder="1"/>
    <xf numFmtId="171" fontId="22" fillId="5" borderId="0" xfId="1" applyNumberFormat="1" applyFont="1" applyFill="1" applyAlignment="1">
      <alignment horizontal="right"/>
    </xf>
    <xf numFmtId="0" fontId="15" fillId="5" borderId="0" xfId="1" applyNumberFormat="1" applyFont="1" applyFill="1" applyAlignment="1"/>
    <xf numFmtId="0" fontId="0" fillId="5" borderId="0" xfId="1" applyNumberFormat="1" applyFont="1" applyFill="1"/>
    <xf numFmtId="167" fontId="14" fillId="5" borderId="0" xfId="1" applyNumberFormat="1" applyFont="1" applyFill="1" applyAlignment="1">
      <alignment wrapText="1"/>
    </xf>
    <xf numFmtId="0" fontId="3" fillId="6" borderId="5" xfId="1" applyNumberFormat="1" applyFont="1" applyFill="1" applyBorder="1" applyAlignment="1">
      <alignment horizontal="center" vertical="center"/>
    </xf>
    <xf numFmtId="0" fontId="21" fillId="7" borderId="4" xfId="1" applyNumberFormat="1" applyFont="1" applyFill="1" applyBorder="1"/>
    <xf numFmtId="3" fontId="5" fillId="5" borderId="0" xfId="1" applyNumberFormat="1" applyFont="1" applyFill="1" applyAlignment="1"/>
    <xf numFmtId="3" fontId="10" fillId="5" borderId="0" xfId="1" applyNumberFormat="1" applyFont="1" applyFill="1" applyAlignment="1"/>
    <xf numFmtId="3" fontId="5" fillId="5" borderId="0" xfId="1" applyNumberFormat="1" applyFont="1" applyFill="1" applyAlignment="1">
      <alignment horizontal="right"/>
    </xf>
    <xf numFmtId="167" fontId="14" fillId="3" borderId="0" xfId="1" applyNumberFormat="1" applyFont="1" applyFill="1" applyAlignment="1">
      <alignment horizontal="left" indent="2"/>
    </xf>
    <xf numFmtId="167" fontId="14" fillId="3" borderId="0" xfId="1" applyNumberFormat="1" applyFont="1" applyFill="1" applyAlignment="1">
      <alignment horizontal="left" wrapText="1" indent="2"/>
    </xf>
    <xf numFmtId="167" fontId="24" fillId="3" borderId="0" xfId="1" applyNumberFormat="1" applyFont="1" applyFill="1" applyAlignment="1">
      <alignment horizontal="left" indent="2"/>
    </xf>
    <xf numFmtId="178" fontId="24" fillId="3" borderId="0" xfId="21" applyNumberFormat="1" applyFont="1" applyFill="1" applyBorder="1"/>
    <xf numFmtId="178" fontId="16" fillId="3" borderId="0" xfId="21" applyNumberFormat="1" applyFont="1" applyFill="1" applyBorder="1"/>
    <xf numFmtId="3" fontId="24" fillId="3" borderId="0" xfId="1" applyNumberFormat="1" applyFont="1" applyFill="1" applyAlignment="1">
      <alignment horizontal="right"/>
    </xf>
    <xf numFmtId="0" fontId="16" fillId="0" borderId="0" xfId="1" applyNumberFormat="1" applyFont="1"/>
    <xf numFmtId="178" fontId="14" fillId="3" borderId="0" xfId="21" applyNumberFormat="1" applyFont="1" applyFill="1" applyBorder="1"/>
    <xf numFmtId="0" fontId="14" fillId="0" borderId="0" xfId="1" applyNumberFormat="1" applyFont="1"/>
    <xf numFmtId="0" fontId="17" fillId="4" borderId="0" xfId="1" applyNumberFormat="1" applyFont="1" applyFill="1" applyAlignment="1"/>
    <xf numFmtId="178" fontId="24" fillId="4" borderId="0" xfId="21" applyNumberFormat="1" applyFont="1" applyFill="1" applyBorder="1"/>
    <xf numFmtId="167" fontId="24" fillId="4" borderId="0" xfId="1" applyNumberFormat="1" applyFont="1" applyFill="1" applyAlignment="1">
      <alignment wrapText="1"/>
    </xf>
    <xf numFmtId="3" fontId="24" fillId="0" borderId="0" xfId="1" applyNumberFormat="1" applyFont="1" applyFill="1" applyAlignment="1"/>
    <xf numFmtId="167" fontId="24" fillId="4" borderId="0" xfId="1" applyNumberFormat="1" applyFont="1" applyFill="1" applyAlignment="1">
      <alignment horizontal="left" wrapText="1"/>
    </xf>
    <xf numFmtId="167" fontId="16" fillId="3" borderId="0" xfId="1" applyNumberFormat="1" applyFont="1" applyFill="1" applyAlignment="1">
      <alignment horizontal="left" indent="4"/>
    </xf>
    <xf numFmtId="178" fontId="16" fillId="5" borderId="0" xfId="21" applyNumberFormat="1" applyFont="1" applyFill="1" applyBorder="1"/>
    <xf numFmtId="167" fontId="16" fillId="5" borderId="0" xfId="1" applyNumberFormat="1" applyFont="1" applyFill="1" applyAlignment="1">
      <alignment horizontal="left" indent="2"/>
    </xf>
    <xf numFmtId="0" fontId="17" fillId="3" borderId="0" xfId="1" applyNumberFormat="1" applyFont="1" applyFill="1" applyAlignment="1"/>
    <xf numFmtId="171" fontId="16" fillId="3" borderId="0" xfId="1" applyNumberFormat="1" applyFont="1" applyFill="1" applyAlignment="1">
      <alignment horizontal="right"/>
    </xf>
    <xf numFmtId="171" fontId="16" fillId="3" borderId="0" xfId="1" applyNumberFormat="1" applyFont="1" applyFill="1" applyAlignment="1"/>
    <xf numFmtId="2" fontId="16" fillId="3" borderId="0" xfId="1" applyNumberFormat="1" applyFont="1" applyFill="1" applyAlignment="1">
      <alignment horizontal="right"/>
    </xf>
    <xf numFmtId="176" fontId="16" fillId="3" borderId="0" xfId="1" applyNumberFormat="1" applyFont="1" applyFill="1" applyAlignment="1"/>
    <xf numFmtId="166" fontId="16" fillId="3" borderId="0" xfId="21" applyNumberFormat="1" applyFont="1" applyFill="1" applyBorder="1"/>
    <xf numFmtId="175" fontId="16" fillId="3" borderId="0" xfId="1" applyNumberFormat="1" applyFont="1" applyFill="1" applyAlignment="1">
      <alignment horizontal="right"/>
    </xf>
    <xf numFmtId="177" fontId="16" fillId="3" borderId="0" xfId="1" applyNumberFormat="1" applyFont="1" applyFill="1" applyAlignment="1">
      <alignment horizontal="right"/>
    </xf>
    <xf numFmtId="0" fontId="3" fillId="2" borderId="1" xfId="15" applyNumberFormat="1" applyFont="1" applyFill="1" applyBorder="1" applyAlignment="1">
      <alignment horizontal="center" vertical="center"/>
    </xf>
    <xf numFmtId="0" fontId="20" fillId="2" borderId="2" xfId="15" applyNumberFormat="1" applyFont="1" applyFill="1" applyBorder="1" applyAlignment="1">
      <alignment horizontal="center" vertical="center"/>
    </xf>
    <xf numFmtId="0" fontId="20" fillId="2" borderId="3" xfId="15" applyNumberFormat="1" applyFont="1" applyFill="1" applyBorder="1" applyAlignment="1">
      <alignment horizontal="center" vertical="center"/>
    </xf>
    <xf numFmtId="0" fontId="20" fillId="2" borderId="4" xfId="15" applyNumberFormat="1" applyFont="1" applyFill="1" applyBorder="1" applyAlignment="1">
      <alignment horizontal="center" vertical="center"/>
    </xf>
    <xf numFmtId="0" fontId="20" fillId="2" borderId="3" xfId="15" applyNumberFormat="1" applyFont="1" applyFill="1" applyBorder="1" applyAlignment="1">
      <alignment horizontal="center" vertical="center" wrapText="1"/>
    </xf>
    <xf numFmtId="0" fontId="20" fillId="2" borderId="0" xfId="15" applyNumberFormat="1" applyFont="1" applyFill="1" applyBorder="1" applyAlignment="1">
      <alignment horizontal="center" vertical="center"/>
    </xf>
    <xf numFmtId="0" fontId="1" fillId="7" borderId="4" xfId="15" applyNumberFormat="1" applyFont="1" applyFill="1" applyBorder="1"/>
    <xf numFmtId="0" fontId="3" fillId="6" borderId="5" xfId="15" applyNumberFormat="1" applyFont="1" applyFill="1" applyBorder="1" applyAlignment="1">
      <alignment horizontal="center" vertical="center"/>
    </xf>
    <xf numFmtId="167" fontId="24" fillId="3" borderId="0" xfId="15" applyNumberFormat="1" applyFont="1" applyFill="1" applyAlignment="1">
      <alignment horizontal="left" indent="2"/>
    </xf>
    <xf numFmtId="0" fontId="17" fillId="3" borderId="0" xfId="15" applyNumberFormat="1" applyFont="1" applyFill="1" applyAlignment="1">
      <alignment horizontal="right"/>
    </xf>
    <xf numFmtId="3" fontId="24" fillId="3" borderId="0" xfId="15" applyNumberFormat="1" applyFont="1" applyFill="1" applyAlignment="1">
      <alignment horizontal="right"/>
    </xf>
    <xf numFmtId="167" fontId="16" fillId="3" borderId="0" xfId="15" applyNumberFormat="1" applyFont="1" applyFill="1" applyAlignment="1">
      <alignment horizontal="left" indent="3"/>
    </xf>
    <xf numFmtId="3" fontId="16" fillId="3" borderId="0" xfId="15" applyNumberFormat="1" applyFont="1" applyFill="1" applyAlignment="1">
      <alignment horizontal="right"/>
    </xf>
    <xf numFmtId="167" fontId="16" fillId="3" borderId="0" xfId="15" applyNumberFormat="1" applyFont="1" applyFill="1" applyAlignment="1">
      <alignment horizontal="left" indent="4"/>
    </xf>
    <xf numFmtId="171" fontId="22" fillId="3" borderId="0" xfId="15" applyNumberFormat="1" applyFont="1" applyFill="1" applyAlignment="1">
      <alignment horizontal="right"/>
    </xf>
    <xf numFmtId="167" fontId="19" fillId="5" borderId="0" xfId="15" applyNumberFormat="1" applyFont="1" applyFill="1" applyAlignment="1">
      <alignment horizontal="left" indent="3"/>
    </xf>
    <xf numFmtId="0" fontId="17" fillId="5" borderId="0" xfId="15" applyNumberFormat="1" applyFont="1" applyFill="1" applyAlignment="1">
      <alignment horizontal="right"/>
    </xf>
    <xf numFmtId="3" fontId="16" fillId="5" borderId="0" xfId="15" applyNumberFormat="1" applyFont="1" applyFill="1" applyAlignment="1">
      <alignment horizontal="right"/>
    </xf>
    <xf numFmtId="167" fontId="14" fillId="3" borderId="0" xfId="15" applyNumberFormat="1" applyFont="1" applyFill="1" applyAlignment="1">
      <alignment horizontal="left" indent="2"/>
    </xf>
    <xf numFmtId="0" fontId="15" fillId="3" borderId="0" xfId="15" applyNumberFormat="1" applyFont="1" applyFill="1" applyAlignment="1">
      <alignment horizontal="right"/>
    </xf>
    <xf numFmtId="3" fontId="14" fillId="3" borderId="0" xfId="15" applyNumberFormat="1" applyFont="1" applyFill="1" applyAlignment="1">
      <alignment horizontal="right"/>
    </xf>
    <xf numFmtId="167" fontId="16" fillId="5" borderId="0" xfId="15" applyNumberFormat="1" applyFont="1" applyFill="1" applyAlignment="1">
      <alignment horizontal="left" indent="3"/>
    </xf>
    <xf numFmtId="167" fontId="16" fillId="3" borderId="0" xfId="15" applyNumberFormat="1" applyFont="1" applyFill="1" applyAlignment="1">
      <alignment horizontal="left" indent="2"/>
    </xf>
    <xf numFmtId="167" fontId="16" fillId="5" borderId="0" xfId="15" applyNumberFormat="1" applyFont="1" applyFill="1" applyAlignment="1">
      <alignment horizontal="left" indent="2"/>
    </xf>
    <xf numFmtId="167" fontId="19" fillId="5" borderId="0" xfId="15" applyNumberFormat="1" applyFont="1" applyFill="1" applyAlignment="1">
      <alignment horizontal="left" indent="2"/>
    </xf>
    <xf numFmtId="167" fontId="14" fillId="5" borderId="0" xfId="15" applyNumberFormat="1" applyFont="1" applyFill="1" applyAlignment="1">
      <alignment horizontal="left" indent="1"/>
    </xf>
    <xf numFmtId="167" fontId="14" fillId="3" borderId="0" xfId="15" applyNumberFormat="1" applyFont="1" applyFill="1" applyAlignment="1">
      <alignment horizontal="left" wrapText="1" indent="2"/>
    </xf>
    <xf numFmtId="167" fontId="16" fillId="3" borderId="0" xfId="15" applyNumberFormat="1" applyFont="1" applyFill="1" applyAlignment="1">
      <alignment horizontal="right"/>
    </xf>
    <xf numFmtId="171" fontId="22" fillId="5" borderId="0" xfId="15" applyNumberFormat="1" applyFont="1" applyFill="1" applyAlignment="1">
      <alignment horizontal="right"/>
    </xf>
    <xf numFmtId="0" fontId="17" fillId="3" borderId="0" xfId="15" applyNumberFormat="1" applyFont="1" applyFill="1" applyAlignment="1"/>
    <xf numFmtId="0" fontId="15" fillId="5" borderId="0" xfId="15" applyNumberFormat="1" applyFont="1" applyFill="1" applyAlignment="1"/>
    <xf numFmtId="167" fontId="24" fillId="4" borderId="0" xfId="15" applyNumberFormat="1" applyFont="1" applyFill="1" applyAlignment="1">
      <alignment horizontal="left" wrapText="1"/>
    </xf>
    <xf numFmtId="0" fontId="17" fillId="4" borderId="0" xfId="15" applyNumberFormat="1" applyFont="1" applyFill="1" applyAlignment="1"/>
    <xf numFmtId="0" fontId="17" fillId="4" borderId="0" xfId="15" applyNumberFormat="1" applyFont="1" applyFill="1" applyAlignment="1">
      <alignment horizontal="right"/>
    </xf>
    <xf numFmtId="167" fontId="16" fillId="3" borderId="0" xfId="15" applyNumberFormat="1" applyFont="1" applyFill="1" applyAlignment="1">
      <alignment horizontal="left" wrapText="1" indent="4"/>
    </xf>
    <xf numFmtId="167" fontId="24" fillId="4" borderId="0" xfId="15" applyNumberFormat="1" applyFont="1" applyFill="1" applyAlignment="1">
      <alignment wrapText="1"/>
    </xf>
    <xf numFmtId="3" fontId="24" fillId="0" borderId="0" xfId="15" applyNumberFormat="1" applyFont="1" applyFill="1" applyAlignment="1"/>
    <xf numFmtId="167" fontId="14" fillId="5" borderId="0" xfId="15" applyNumberFormat="1" applyFont="1" applyFill="1" applyAlignment="1">
      <alignment wrapText="1"/>
    </xf>
    <xf numFmtId="3" fontId="14" fillId="0" borderId="0" xfId="15" applyNumberFormat="1" applyFont="1" applyFill="1" applyAlignment="1"/>
    <xf numFmtId="0" fontId="3" fillId="2" borderId="2" xfId="15" applyNumberFormat="1" applyFont="1" applyFill="1" applyBorder="1" applyAlignment="1">
      <alignment horizontal="center" vertical="center"/>
    </xf>
    <xf numFmtId="167" fontId="16" fillId="3" borderId="0" xfId="15" applyNumberFormat="1" applyFont="1" applyFill="1" applyAlignment="1">
      <alignment horizontal="left"/>
    </xf>
    <xf numFmtId="171" fontId="16" fillId="3" borderId="0" xfId="15" applyNumberFormat="1" applyFont="1" applyFill="1" applyAlignment="1">
      <alignment horizontal="right"/>
    </xf>
    <xf numFmtId="171" fontId="16" fillId="3" borderId="0" xfId="15" applyNumberFormat="1" applyFont="1" applyFill="1" applyAlignment="1"/>
    <xf numFmtId="2" fontId="16" fillId="3" borderId="0" xfId="15" applyNumberFormat="1" applyFont="1" applyFill="1" applyAlignment="1">
      <alignment horizontal="right"/>
    </xf>
    <xf numFmtId="176" fontId="16" fillId="3" borderId="0" xfId="15" applyNumberFormat="1" applyFont="1" applyFill="1" applyAlignment="1">
      <alignment horizontal="right"/>
    </xf>
    <xf numFmtId="175" fontId="16" fillId="3" borderId="0" xfId="15" applyNumberFormat="1" applyFont="1" applyFill="1" applyAlignment="1">
      <alignment horizontal="right"/>
    </xf>
    <xf numFmtId="177" fontId="16" fillId="3" borderId="0" xfId="15" applyNumberFormat="1" applyFont="1" applyFill="1" applyAlignment="1">
      <alignment horizontal="right"/>
    </xf>
    <xf numFmtId="170" fontId="6" fillId="7" borderId="0" xfId="15" applyNumberFormat="1" applyFont="1" applyFill="1" applyBorder="1" applyAlignment="1">
      <alignment horizontal="left"/>
    </xf>
    <xf numFmtId="0" fontId="9" fillId="7" borderId="0" xfId="15" applyNumberFormat="1" applyFont="1" applyFill="1" applyBorder="1" applyAlignment="1">
      <alignment horizontal="right"/>
    </xf>
    <xf numFmtId="0" fontId="6" fillId="7" borderId="0" xfId="15" applyNumberFormat="1" applyFont="1" applyFill="1" applyBorder="1" applyAlignment="1">
      <alignment horizontal="right"/>
    </xf>
    <xf numFmtId="0" fontId="6" fillId="7" borderId="0" xfId="15" applyNumberFormat="1" applyFont="1" applyFill="1" applyBorder="1"/>
    <xf numFmtId="0" fontId="7" fillId="7" borderId="0" xfId="15" applyNumberFormat="1" applyFont="1" applyFill="1" applyAlignment="1">
      <alignment horizontal="right"/>
    </xf>
    <xf numFmtId="168" fontId="8" fillId="7" borderId="0" xfId="15" applyNumberFormat="1" applyFont="1" applyFill="1" applyAlignment="1">
      <alignment horizontal="center"/>
    </xf>
    <xf numFmtId="169" fontId="8" fillId="7" borderId="0" xfId="15" applyNumberFormat="1" applyFont="1" applyFill="1" applyAlignment="1">
      <alignment horizontal="center"/>
    </xf>
    <xf numFmtId="167" fontId="8" fillId="7" borderId="0" xfId="15" applyNumberFormat="1" applyFont="1" applyFill="1" applyAlignment="1">
      <alignment horizontal="center"/>
    </xf>
    <xf numFmtId="178" fontId="19" fillId="3" borderId="0" xfId="21" applyNumberFormat="1" applyFont="1" applyFill="1" applyBorder="1"/>
    <xf numFmtId="178" fontId="24" fillId="4" borderId="0" xfId="21" applyNumberFormat="1" applyFont="1" applyFill="1" applyBorder="1" applyAlignment="1">
      <alignment vertical="center"/>
    </xf>
    <xf numFmtId="171" fontId="16" fillId="3" borderId="0" xfId="21" applyNumberFormat="1" applyFont="1" applyFill="1" applyBorder="1"/>
    <xf numFmtId="2" fontId="16" fillId="3" borderId="0" xfId="15" applyNumberFormat="1" applyFont="1" applyFill="1" applyAlignment="1"/>
    <xf numFmtId="2" fontId="16" fillId="3" borderId="0" xfId="21" applyNumberFormat="1" applyFont="1" applyFill="1" applyBorder="1"/>
    <xf numFmtId="175" fontId="16" fillId="3" borderId="0" xfId="21" applyNumberFormat="1" applyFont="1" applyFill="1" applyBorder="1"/>
    <xf numFmtId="178" fontId="1" fillId="3" borderId="0" xfId="21" applyNumberFormat="1" applyFont="1" applyFill="1" applyBorder="1"/>
    <xf numFmtId="178" fontId="26" fillId="3" borderId="0" xfId="21" applyNumberFormat="1" applyFont="1" applyFill="1" applyBorder="1"/>
    <xf numFmtId="171" fontId="0" fillId="0" borderId="0" xfId="1" applyNumberFormat="1" applyFont="1"/>
    <xf numFmtId="0" fontId="3" fillId="2" borderId="1" xfId="16" applyNumberFormat="1" applyFont="1" applyFill="1" applyBorder="1" applyAlignment="1">
      <alignment horizontal="center" vertical="center"/>
    </xf>
    <xf numFmtId="0" fontId="20" fillId="2" borderId="2" xfId="16" applyNumberFormat="1" applyFont="1" applyFill="1" applyBorder="1" applyAlignment="1">
      <alignment horizontal="center" vertical="center"/>
    </xf>
    <xf numFmtId="0" fontId="20" fillId="2" borderId="3" xfId="16" applyNumberFormat="1" applyFont="1" applyFill="1" applyBorder="1" applyAlignment="1">
      <alignment horizontal="center" vertical="center"/>
    </xf>
    <xf numFmtId="0" fontId="20" fillId="2" borderId="4" xfId="16" applyNumberFormat="1" applyFont="1" applyFill="1" applyBorder="1" applyAlignment="1">
      <alignment horizontal="center" vertical="center"/>
    </xf>
    <xf numFmtId="0" fontId="20" fillId="2" borderId="3" xfId="16" applyNumberFormat="1" applyFont="1" applyFill="1" applyBorder="1" applyAlignment="1">
      <alignment horizontal="center" vertical="center" wrapText="1"/>
    </xf>
    <xf numFmtId="0" fontId="20" fillId="2" borderId="0" xfId="16" applyNumberFormat="1" applyFont="1" applyFill="1" applyBorder="1" applyAlignment="1">
      <alignment horizontal="center" vertical="center"/>
    </xf>
    <xf numFmtId="0" fontId="1" fillId="7" borderId="4" xfId="16" applyNumberFormat="1" applyFont="1" applyFill="1" applyBorder="1"/>
    <xf numFmtId="0" fontId="3" fillId="6" borderId="5" xfId="16" applyNumberFormat="1" applyFont="1" applyFill="1" applyBorder="1" applyAlignment="1">
      <alignment horizontal="center" vertical="center"/>
    </xf>
    <xf numFmtId="167" fontId="24" fillId="3" borderId="0" xfId="16" applyNumberFormat="1" applyFont="1" applyFill="1" applyAlignment="1">
      <alignment horizontal="left" indent="2"/>
    </xf>
    <xf numFmtId="0" fontId="17" fillId="3" borderId="0" xfId="16" applyNumberFormat="1" applyFont="1" applyFill="1" applyAlignment="1">
      <alignment horizontal="right"/>
    </xf>
    <xf numFmtId="3" fontId="24" fillId="3" borderId="0" xfId="16" applyNumberFormat="1" applyFont="1" applyFill="1" applyAlignment="1">
      <alignment horizontal="right"/>
    </xf>
    <xf numFmtId="167" fontId="16" fillId="3" borderId="0" xfId="16" applyNumberFormat="1" applyFont="1" applyFill="1" applyAlignment="1">
      <alignment horizontal="left" indent="3"/>
    </xf>
    <xf numFmtId="3" fontId="16" fillId="3" borderId="0" xfId="16" applyNumberFormat="1" applyFont="1" applyFill="1" applyAlignment="1">
      <alignment horizontal="right"/>
    </xf>
    <xf numFmtId="167" fontId="16" fillId="3" borderId="0" xfId="16" applyNumberFormat="1" applyFont="1" applyFill="1" applyAlignment="1">
      <alignment horizontal="left" indent="4"/>
    </xf>
    <xf numFmtId="171" fontId="22" fillId="3" borderId="0" xfId="16" applyNumberFormat="1" applyFont="1" applyFill="1" applyAlignment="1">
      <alignment horizontal="right"/>
    </xf>
    <xf numFmtId="167" fontId="19" fillId="5" borderId="0" xfId="16" applyNumberFormat="1" applyFont="1" applyFill="1" applyAlignment="1">
      <alignment horizontal="left" indent="3"/>
    </xf>
    <xf numFmtId="0" fontId="17" fillId="5" borderId="0" xfId="16" applyNumberFormat="1" applyFont="1" applyFill="1" applyAlignment="1">
      <alignment horizontal="right"/>
    </xf>
    <xf numFmtId="3" fontId="16" fillId="5" borderId="0" xfId="16" applyNumberFormat="1" applyFont="1" applyFill="1" applyAlignment="1">
      <alignment horizontal="right"/>
    </xf>
    <xf numFmtId="167" fontId="14" fillId="3" borderId="0" xfId="16" applyNumberFormat="1" applyFont="1" applyFill="1" applyAlignment="1">
      <alignment horizontal="left" indent="2"/>
    </xf>
    <xf numFmtId="0" fontId="15" fillId="3" borderId="0" xfId="16" applyNumberFormat="1" applyFont="1" applyFill="1" applyAlignment="1">
      <alignment horizontal="right"/>
    </xf>
    <xf numFmtId="3" fontId="14" fillId="3" borderId="0" xfId="16" applyNumberFormat="1" applyFont="1" applyFill="1" applyAlignment="1">
      <alignment horizontal="right"/>
    </xf>
    <xf numFmtId="167" fontId="16" fillId="5" borderId="0" xfId="16" applyNumberFormat="1" applyFont="1" applyFill="1" applyAlignment="1">
      <alignment horizontal="left" indent="3"/>
    </xf>
    <xf numFmtId="167" fontId="16" fillId="3" borderId="0" xfId="16" applyNumberFormat="1" applyFont="1" applyFill="1" applyAlignment="1">
      <alignment horizontal="left" indent="2"/>
    </xf>
    <xf numFmtId="167" fontId="16" fillId="5" borderId="0" xfId="16" applyNumberFormat="1" applyFont="1" applyFill="1" applyAlignment="1">
      <alignment horizontal="left" indent="2"/>
    </xf>
    <xf numFmtId="167" fontId="19" fillId="5" borderId="0" xfId="16" applyNumberFormat="1" applyFont="1" applyFill="1" applyAlignment="1">
      <alignment horizontal="left" indent="2"/>
    </xf>
    <xf numFmtId="167" fontId="14" fillId="5" borderId="0" xfId="16" applyNumberFormat="1" applyFont="1" applyFill="1" applyAlignment="1">
      <alignment horizontal="left" indent="1"/>
    </xf>
    <xf numFmtId="167" fontId="14" fillId="3" borderId="0" xfId="16" applyNumberFormat="1" applyFont="1" applyFill="1" applyAlignment="1">
      <alignment horizontal="left" wrapText="1" indent="2"/>
    </xf>
    <xf numFmtId="167" fontId="16" fillId="3" borderId="0" xfId="16" applyNumberFormat="1" applyFont="1" applyFill="1" applyAlignment="1">
      <alignment horizontal="right"/>
    </xf>
    <xf numFmtId="171" fontId="22" fillId="5" borderId="0" xfId="16" applyNumberFormat="1" applyFont="1" applyFill="1" applyAlignment="1">
      <alignment horizontal="right"/>
    </xf>
    <xf numFmtId="0" fontId="17" fillId="3" borderId="0" xfId="16" applyNumberFormat="1" applyFont="1" applyFill="1" applyAlignment="1"/>
    <xf numFmtId="0" fontId="15" fillId="5" borderId="0" xfId="16" applyNumberFormat="1" applyFont="1" applyFill="1" applyAlignment="1"/>
    <xf numFmtId="167" fontId="24" fillId="4" borderId="0" xfId="16" applyNumberFormat="1" applyFont="1" applyFill="1" applyAlignment="1">
      <alignment horizontal="left" wrapText="1"/>
    </xf>
    <xf numFmtId="0" fontId="17" fillId="4" borderId="0" xfId="16" applyNumberFormat="1" applyFont="1" applyFill="1" applyAlignment="1"/>
    <xf numFmtId="0" fontId="17" fillId="4" borderId="0" xfId="16" applyNumberFormat="1" applyFont="1" applyFill="1" applyAlignment="1">
      <alignment horizontal="right"/>
    </xf>
    <xf numFmtId="167" fontId="16" fillId="3" borderId="0" xfId="16" applyNumberFormat="1" applyFont="1" applyFill="1" applyAlignment="1">
      <alignment horizontal="left" wrapText="1" indent="4"/>
    </xf>
    <xf numFmtId="167" fontId="24" fillId="4" borderId="0" xfId="16" applyNumberFormat="1" applyFont="1" applyFill="1" applyAlignment="1">
      <alignment wrapText="1"/>
    </xf>
    <xf numFmtId="3" fontId="24" fillId="0" borderId="0" xfId="16" applyNumberFormat="1" applyFont="1" applyFill="1" applyAlignment="1"/>
    <xf numFmtId="167" fontId="14" fillId="5" borderId="0" xfId="16" applyNumberFormat="1" applyFont="1" applyFill="1" applyAlignment="1">
      <alignment wrapText="1"/>
    </xf>
    <xf numFmtId="3" fontId="14" fillId="0" borderId="0" xfId="16" applyNumberFormat="1" applyFont="1" applyFill="1" applyAlignment="1"/>
    <xf numFmtId="3" fontId="5" fillId="5" borderId="0" xfId="16" applyNumberFormat="1" applyFont="1" applyFill="1" applyAlignment="1"/>
    <xf numFmtId="3" fontId="10" fillId="5" borderId="0" xfId="16" applyNumberFormat="1" applyFont="1" applyFill="1" applyAlignment="1"/>
    <xf numFmtId="3" fontId="5" fillId="5" borderId="0" xfId="16" applyNumberFormat="1" applyFont="1" applyFill="1" applyAlignment="1">
      <alignment horizontal="right"/>
    </xf>
    <xf numFmtId="3" fontId="5" fillId="0" borderId="0" xfId="16" applyNumberFormat="1" applyFont="1" applyFill="1" applyAlignment="1">
      <alignment horizontal="right"/>
    </xf>
    <xf numFmtId="0" fontId="3" fillId="2" borderId="2" xfId="16" applyNumberFormat="1" applyFont="1" applyFill="1" applyBorder="1" applyAlignment="1">
      <alignment horizontal="center" vertical="center"/>
    </xf>
    <xf numFmtId="171" fontId="16" fillId="3" borderId="0" xfId="16" applyNumberFormat="1" applyFont="1" applyFill="1" applyAlignment="1">
      <alignment horizontal="right"/>
    </xf>
    <xf numFmtId="2" fontId="16" fillId="3" borderId="0" xfId="16" applyNumberFormat="1" applyFont="1" applyFill="1" applyAlignment="1">
      <alignment horizontal="right"/>
    </xf>
    <xf numFmtId="175" fontId="16" fillId="3" borderId="0" xfId="16" applyNumberFormat="1" applyFont="1" applyFill="1" applyAlignment="1">
      <alignment horizontal="right"/>
    </xf>
    <xf numFmtId="3" fontId="16" fillId="5" borderId="0" xfId="21" applyNumberFormat="1" applyFont="1" applyFill="1" applyBorder="1"/>
    <xf numFmtId="0" fontId="28" fillId="0" borderId="0" xfId="1" applyNumberFormat="1" applyFont="1"/>
    <xf numFmtId="0" fontId="20" fillId="0" borderId="0" xfId="1" applyNumberFormat="1" applyFont="1"/>
    <xf numFmtId="0" fontId="29" fillId="0" borderId="0" xfId="1" applyNumberFormat="1" applyFont="1"/>
    <xf numFmtId="166" fontId="16" fillId="3" borderId="0" xfId="16" applyNumberFormat="1" applyFont="1" applyFill="1" applyAlignment="1">
      <alignment horizontal="right"/>
    </xf>
    <xf numFmtId="179" fontId="16" fillId="3" borderId="0" xfId="21" applyNumberFormat="1" applyFont="1" applyFill="1" applyBorder="1"/>
    <xf numFmtId="179" fontId="16" fillId="3" borderId="0" xfId="16" applyNumberFormat="1" applyFont="1" applyFill="1" applyAlignment="1">
      <alignment horizontal="right"/>
    </xf>
    <xf numFmtId="178" fontId="30" fillId="4" borderId="0" xfId="21" applyNumberFormat="1" applyFont="1" applyFill="1" applyBorder="1" applyAlignment="1">
      <alignment vertical="center"/>
    </xf>
    <xf numFmtId="0" fontId="27" fillId="5" borderId="0" xfId="1" applyNumberFormat="1" applyFont="1" applyFill="1"/>
    <xf numFmtId="0" fontId="27" fillId="0" borderId="0" xfId="1" applyNumberFormat="1" applyFont="1"/>
    <xf numFmtId="171" fontId="27" fillId="0" borderId="0" xfId="1" applyNumberFormat="1" applyFont="1"/>
    <xf numFmtId="3" fontId="30" fillId="3" borderId="0" xfId="16" applyNumberFormat="1" applyFont="1" applyFill="1" applyAlignment="1">
      <alignment horizontal="right"/>
    </xf>
    <xf numFmtId="3" fontId="31" fillId="5" borderId="0" xfId="16" applyNumberFormat="1" applyFont="1" applyFill="1" applyAlignment="1">
      <alignment horizontal="right"/>
    </xf>
    <xf numFmtId="3" fontId="13" fillId="3" borderId="0" xfId="16" applyNumberFormat="1" applyFont="1" applyFill="1" applyAlignment="1">
      <alignment horizontal="right"/>
    </xf>
    <xf numFmtId="3" fontId="21" fillId="5" borderId="0" xfId="16" applyNumberFormat="1" applyFont="1" applyFill="1" applyAlignment="1">
      <alignment horizontal="right"/>
    </xf>
    <xf numFmtId="167" fontId="13" fillId="5" borderId="0" xfId="16" applyNumberFormat="1" applyFont="1" applyFill="1" applyAlignment="1">
      <alignment horizontal="left" indent="1"/>
    </xf>
    <xf numFmtId="178" fontId="8" fillId="0" borderId="0" xfId="1" applyNumberFormat="1" applyFont="1" applyAlignment="1">
      <alignment horizontal="center"/>
    </xf>
    <xf numFmtId="3" fontId="7" fillId="0" borderId="0" xfId="1" applyNumberFormat="1" applyFont="1" applyAlignment="1">
      <alignment horizontal="right"/>
    </xf>
    <xf numFmtId="3" fontId="8" fillId="0" borderId="0" xfId="1" applyNumberFormat="1" applyFont="1" applyAlignment="1">
      <alignment horizontal="center"/>
    </xf>
    <xf numFmtId="167" fontId="19" fillId="3" borderId="0" xfId="16" applyNumberFormat="1" applyFont="1" applyFill="1" applyAlignment="1">
      <alignment horizontal="left" indent="4"/>
    </xf>
    <xf numFmtId="167" fontId="19" fillId="3" borderId="0" xfId="15" applyNumberFormat="1" applyFont="1" applyFill="1" applyAlignment="1">
      <alignment horizontal="left" indent="4"/>
    </xf>
    <xf numFmtId="170" fontId="33" fillId="7" borderId="0" xfId="16" applyNumberFormat="1" applyFont="1" applyFill="1" applyBorder="1" applyAlignment="1">
      <alignment horizontal="left"/>
    </xf>
    <xf numFmtId="0" fontId="6" fillId="7" borderId="0" xfId="15" applyNumberFormat="1" applyFont="1" applyFill="1" applyBorder="1" applyAlignment="1">
      <alignment horizontal="left" wrapText="1"/>
    </xf>
    <xf numFmtId="167" fontId="16" fillId="8" borderId="0" xfId="15" applyNumberFormat="1" applyFont="1" applyFill="1" applyAlignment="1">
      <alignment horizontal="left" indent="3"/>
    </xf>
    <xf numFmtId="167" fontId="16" fillId="8" borderId="0" xfId="15" applyNumberFormat="1" applyFont="1" applyFill="1" applyAlignment="1">
      <alignment horizontal="left" indent="2"/>
    </xf>
    <xf numFmtId="167" fontId="16" fillId="8" borderId="0" xfId="15" applyNumberFormat="1" applyFont="1" applyFill="1" applyAlignment="1">
      <alignment horizontal="left" indent="4"/>
    </xf>
    <xf numFmtId="167" fontId="16" fillId="8" borderId="0" xfId="15" applyNumberFormat="1" applyFont="1" applyFill="1" applyAlignment="1">
      <alignment horizontal="left" wrapText="1" indent="4"/>
    </xf>
    <xf numFmtId="0" fontId="6" fillId="7" borderId="0" xfId="15" applyNumberFormat="1" applyFont="1" applyFill="1" applyBorder="1" applyAlignment="1">
      <alignment horizontal="left"/>
    </xf>
    <xf numFmtId="0" fontId="16" fillId="0" borderId="0" xfId="1" applyNumberFormat="1" applyFont="1" applyFill="1"/>
    <xf numFmtId="0" fontId="14" fillId="0" borderId="0" xfId="1" applyNumberFormat="1" applyFont="1" applyFill="1"/>
    <xf numFmtId="0" fontId="19" fillId="0" borderId="0" xfId="1" applyNumberFormat="1" applyFont="1" applyFill="1"/>
    <xf numFmtId="0" fontId="6" fillId="0" borderId="0" xfId="15" applyNumberFormat="1" applyFont="1" applyFill="1" applyBorder="1" applyAlignment="1">
      <alignment horizontal="left" wrapText="1"/>
    </xf>
    <xf numFmtId="167" fontId="19" fillId="3" borderId="0" xfId="15" applyNumberFormat="1" applyFont="1" applyFill="1" applyAlignment="1">
      <alignment horizontal="left" indent="3"/>
    </xf>
    <xf numFmtId="167" fontId="14" fillId="4" borderId="0" xfId="15" applyNumberFormat="1" applyFont="1" applyFill="1" applyAlignment="1">
      <alignment horizontal="left" wrapText="1"/>
    </xf>
    <xf numFmtId="167" fontId="19" fillId="3" borderId="0" xfId="16" applyNumberFormat="1" applyFont="1" applyFill="1" applyAlignment="1">
      <alignment horizontal="left" indent="3"/>
    </xf>
    <xf numFmtId="167" fontId="19" fillId="3" borderId="0" xfId="16" applyNumberFormat="1" applyFont="1" applyFill="1" applyAlignment="1">
      <alignment horizontal="left" indent="2"/>
    </xf>
    <xf numFmtId="167" fontId="19" fillId="3" borderId="0" xfId="16" applyNumberFormat="1" applyFont="1" applyFill="1" applyAlignment="1">
      <alignment horizontal="left"/>
    </xf>
    <xf numFmtId="178" fontId="24" fillId="0" borderId="0" xfId="21" applyNumberFormat="1" applyFont="1" applyFill="1" applyBorder="1" applyAlignment="1"/>
    <xf numFmtId="178" fontId="13" fillId="0" borderId="0" xfId="21" applyNumberFormat="1" applyFont="1" applyFill="1" applyBorder="1" applyAlignment="1"/>
    <xf numFmtId="0" fontId="0" fillId="0" borderId="0" xfId="1" applyNumberFormat="1" applyFont="1" applyFill="1" applyAlignment="1"/>
    <xf numFmtId="0" fontId="4" fillId="0" borderId="0" xfId="15" applyNumberFormat="1" applyFont="1" applyFill="1" applyAlignment="1"/>
    <xf numFmtId="0" fontId="2" fillId="0" borderId="6" xfId="15" applyNumberFormat="1" applyFont="1" applyFill="1" applyBorder="1" applyAlignment="1"/>
    <xf numFmtId="0" fontId="16" fillId="0" borderId="0" xfId="1" applyNumberFormat="1" applyFont="1" applyFill="1" applyAlignment="1"/>
    <xf numFmtId="0" fontId="14" fillId="0" borderId="0" xfId="1" applyNumberFormat="1" applyFont="1" applyFill="1" applyAlignment="1"/>
    <xf numFmtId="178" fontId="16" fillId="0" borderId="0" xfId="21" applyNumberFormat="1" applyFont="1" applyFill="1" applyBorder="1" applyAlignment="1"/>
    <xf numFmtId="0" fontId="27" fillId="0" borderId="0" xfId="1" applyNumberFormat="1" applyFont="1" applyFill="1" applyAlignment="1"/>
    <xf numFmtId="0" fontId="27" fillId="0" borderId="0" xfId="1" applyNumberFormat="1" applyFont="1" applyFill="1"/>
    <xf numFmtId="0" fontId="4" fillId="0" borderId="0" xfId="16" applyNumberFormat="1" applyFont="1" applyFill="1" applyAlignment="1"/>
    <xf numFmtId="0" fontId="2" fillId="0" borderId="6" xfId="16" applyNumberFormat="1" applyFont="1" applyFill="1" applyBorder="1" applyAlignment="1"/>
    <xf numFmtId="0" fontId="1" fillId="0" borderId="0" xfId="1" applyNumberFormat="1" applyFont="1" applyFill="1" applyAlignment="1"/>
    <xf numFmtId="0" fontId="1" fillId="0" borderId="0" xfId="37" applyFill="1" applyAlignment="1"/>
    <xf numFmtId="0" fontId="1" fillId="0" borderId="0" xfId="37" applyFill="1"/>
    <xf numFmtId="0" fontId="4" fillId="0" borderId="0" xfId="1" applyNumberFormat="1" applyFont="1" applyFill="1" applyAlignment="1"/>
    <xf numFmtId="0" fontId="2" fillId="0" borderId="6" xfId="1" applyNumberFormat="1" applyFont="1" applyFill="1" applyBorder="1" applyAlignment="1"/>
    <xf numFmtId="167" fontId="19" fillId="3" borderId="0" xfId="15" applyNumberFormat="1" applyFont="1" applyFill="1" applyAlignment="1">
      <alignment horizontal="left" indent="2"/>
    </xf>
    <xf numFmtId="167" fontId="19" fillId="3" borderId="0" xfId="15" applyNumberFormat="1" applyFont="1" applyFill="1" applyAlignment="1">
      <alignment horizontal="left"/>
    </xf>
    <xf numFmtId="0" fontId="34" fillId="5" borderId="0" xfId="0" applyNumberFormat="1" applyFont="1" applyFill="1"/>
    <xf numFmtId="0" fontId="14" fillId="0" borderId="0" xfId="0" applyNumberFormat="1" applyFont="1"/>
    <xf numFmtId="0" fontId="13" fillId="0" borderId="0" xfId="0" applyNumberFormat="1" applyFont="1" applyAlignment="1"/>
    <xf numFmtId="0" fontId="13" fillId="0" borderId="0" xfId="0" applyNumberFormat="1" applyFont="1"/>
    <xf numFmtId="0" fontId="14" fillId="0" borderId="0" xfId="0" applyNumberFormat="1" applyFont="1" applyAlignment="1"/>
    <xf numFmtId="178" fontId="14" fillId="3" borderId="0" xfId="1" applyNumberFormat="1" applyFont="1" applyFill="1" applyAlignment="1">
      <alignment horizontal="right"/>
    </xf>
    <xf numFmtId="178" fontId="34" fillId="0" borderId="0" xfId="1" applyNumberFormat="1" applyFont="1" applyFill="1" applyAlignment="1"/>
    <xf numFmtId="0" fontId="13" fillId="0" borderId="0" xfId="1" applyNumberFormat="1" applyFont="1" applyFill="1" applyAlignment="1"/>
    <xf numFmtId="0" fontId="13" fillId="0" borderId="0" xfId="1" applyNumberFormat="1" applyFont="1" applyFill="1"/>
    <xf numFmtId="178" fontId="39" fillId="0" borderId="0" xfId="1" applyNumberFormat="1" applyFont="1" applyFill="1" applyAlignment="1"/>
    <xf numFmtId="0" fontId="36" fillId="0" borderId="0" xfId="1" applyNumberFormat="1" applyFont="1" applyAlignment="1"/>
    <xf numFmtId="0" fontId="35" fillId="0" borderId="0" xfId="1" applyNumberFormat="1" applyFont="1" applyFill="1" applyAlignment="1">
      <alignment horizontal="right"/>
    </xf>
    <xf numFmtId="178" fontId="35" fillId="0" borderId="0" xfId="1" applyNumberFormat="1" applyFont="1" applyAlignment="1">
      <alignment horizontal="right"/>
    </xf>
    <xf numFmtId="178" fontId="37" fillId="0" borderId="0" xfId="1" applyNumberFormat="1" applyFont="1" applyAlignment="1">
      <alignment horizontal="center"/>
    </xf>
    <xf numFmtId="0" fontId="40" fillId="0" borderId="0" xfId="1" applyNumberFormat="1" applyFont="1" applyFill="1" applyAlignment="1">
      <alignment horizontal="right"/>
    </xf>
    <xf numFmtId="178" fontId="40" fillId="0" borderId="0" xfId="1" applyNumberFormat="1" applyFont="1" applyAlignment="1">
      <alignment horizontal="right"/>
    </xf>
    <xf numFmtId="167" fontId="14" fillId="3" borderId="0" xfId="1" applyNumberFormat="1" applyFont="1" applyFill="1" applyAlignment="1">
      <alignment horizontal="left" wrapText="1" indent="1"/>
    </xf>
    <xf numFmtId="0" fontId="41" fillId="0" borderId="0" xfId="1" applyNumberFormat="1" applyFont="1" applyAlignment="1"/>
    <xf numFmtId="178" fontId="14" fillId="0" borderId="0" xfId="1" applyNumberFormat="1" applyFont="1" applyAlignment="1">
      <alignment horizontal="center"/>
    </xf>
    <xf numFmtId="178" fontId="42" fillId="0" borderId="0" xfId="1" applyNumberFormat="1" applyFont="1" applyAlignment="1">
      <alignment horizontal="center"/>
    </xf>
    <xf numFmtId="178" fontId="13" fillId="0" borderId="0" xfId="1" applyNumberFormat="1" applyFont="1" applyAlignment="1">
      <alignment horizontal="center"/>
    </xf>
    <xf numFmtId="178" fontId="13" fillId="0" borderId="0" xfId="1" applyNumberFormat="1" applyFont="1" applyFill="1" applyAlignment="1"/>
    <xf numFmtId="167" fontId="14" fillId="4" borderId="0" xfId="1" applyNumberFormat="1" applyFont="1" applyFill="1" applyAlignment="1">
      <alignment wrapText="1"/>
    </xf>
    <xf numFmtId="0" fontId="15" fillId="4" borderId="0" xfId="1" applyNumberFormat="1" applyFont="1" applyFill="1" applyAlignment="1"/>
    <xf numFmtId="178" fontId="14" fillId="4" borderId="0" xfId="1" applyNumberFormat="1" applyFont="1" applyFill="1" applyAlignment="1"/>
    <xf numFmtId="0" fontId="38" fillId="0" borderId="0" xfId="1" applyNumberFormat="1" applyFont="1" applyFill="1" applyAlignment="1"/>
    <xf numFmtId="0" fontId="13" fillId="0" borderId="0" xfId="0" applyNumberFormat="1" applyFont="1" applyFill="1"/>
    <xf numFmtId="0" fontId="11" fillId="0" borderId="0" xfId="35" applyNumberFormat="1" applyFont="1"/>
    <xf numFmtId="0" fontId="11" fillId="5" borderId="0" xfId="35" applyNumberFormat="1" applyFont="1" applyFill="1"/>
    <xf numFmtId="0" fontId="34" fillId="5" borderId="0" xfId="35" applyNumberFormat="1" applyFont="1" applyFill="1"/>
    <xf numFmtId="0" fontId="11" fillId="0" borderId="0" xfId="35" applyNumberFormat="1" applyFont="1" applyAlignment="1"/>
    <xf numFmtId="0" fontId="13" fillId="0" borderId="0" xfId="17" applyNumberFormat="1" applyFont="1" applyAlignment="1"/>
    <xf numFmtId="0" fontId="16" fillId="0" borderId="6" xfId="17" applyNumberFormat="1" applyFont="1" applyBorder="1" applyAlignment="1"/>
    <xf numFmtId="0" fontId="14" fillId="0" borderId="0" xfId="35" applyNumberFormat="1" applyFont="1"/>
    <xf numFmtId="178" fontId="34" fillId="0" borderId="0" xfId="7" applyNumberFormat="1" applyFont="1" applyFill="1" applyAlignment="1"/>
    <xf numFmtId="0" fontId="13" fillId="0" borderId="0" xfId="7" applyNumberFormat="1" applyFont="1" applyFill="1"/>
    <xf numFmtId="0" fontId="16" fillId="0" borderId="0" xfId="35" applyNumberFormat="1" applyFont="1"/>
    <xf numFmtId="178" fontId="39" fillId="0" borderId="0" xfId="7" applyNumberFormat="1" applyFont="1" applyFill="1" applyAlignment="1"/>
    <xf numFmtId="0" fontId="11" fillId="0" borderId="0" xfId="7" applyNumberFormat="1" applyFont="1" applyFill="1"/>
    <xf numFmtId="178" fontId="11" fillId="0" borderId="0" xfId="7" applyNumberFormat="1" applyFont="1" applyFill="1" applyAlignment="1">
      <alignment horizontal="right"/>
    </xf>
    <xf numFmtId="0" fontId="13" fillId="0" borderId="0" xfId="35" applyNumberFormat="1" applyFont="1"/>
    <xf numFmtId="0" fontId="38" fillId="0" borderId="0" xfId="7" applyNumberFormat="1" applyFont="1" applyFill="1" applyAlignment="1"/>
    <xf numFmtId="178" fontId="11" fillId="0" borderId="0" xfId="35" applyNumberFormat="1" applyFont="1" applyFill="1" applyAlignment="1"/>
    <xf numFmtId="0" fontId="11" fillId="0" borderId="0" xfId="35" applyNumberFormat="1" applyFont="1" applyFill="1"/>
    <xf numFmtId="178" fontId="14" fillId="0" borderId="0" xfId="26" applyNumberFormat="1" applyFont="1" applyFill="1" applyBorder="1" applyAlignment="1"/>
    <xf numFmtId="178" fontId="13" fillId="0" borderId="0" xfId="26" applyNumberFormat="1" applyFont="1" applyFill="1" applyBorder="1" applyAlignment="1"/>
    <xf numFmtId="0" fontId="13" fillId="0" borderId="0" xfId="35" applyNumberFormat="1" applyFont="1" applyAlignment="1"/>
    <xf numFmtId="0" fontId="16" fillId="0" borderId="0" xfId="35" applyNumberFormat="1" applyFont="1" applyFill="1"/>
    <xf numFmtId="0" fontId="16" fillId="0" borderId="0" xfId="35" applyNumberFormat="1" applyFont="1" applyAlignment="1"/>
    <xf numFmtId="0" fontId="13" fillId="0" borderId="0" xfId="35" applyNumberFormat="1" applyFont="1" applyFill="1"/>
    <xf numFmtId="171" fontId="11" fillId="0" borderId="0" xfId="35" applyNumberFormat="1" applyFont="1"/>
    <xf numFmtId="0" fontId="11" fillId="0" borderId="0" xfId="0" applyNumberFormat="1" applyFont="1"/>
    <xf numFmtId="0" fontId="11" fillId="5" borderId="0" xfId="0" applyNumberFormat="1" applyFont="1" applyFill="1"/>
    <xf numFmtId="0" fontId="11" fillId="0" borderId="0" xfId="0" applyNumberFormat="1" applyFont="1" applyAlignment="1"/>
    <xf numFmtId="0" fontId="13" fillId="0" borderId="0" xfId="18" applyNumberFormat="1" applyFont="1" applyAlignment="1"/>
    <xf numFmtId="0" fontId="16" fillId="0" borderId="6" xfId="18" applyNumberFormat="1" applyFont="1" applyBorder="1" applyAlignment="1"/>
    <xf numFmtId="0" fontId="3" fillId="2" borderId="1" xfId="18" applyNumberFormat="1" applyFont="1" applyFill="1" applyBorder="1" applyAlignment="1">
      <alignment horizontal="center" vertical="center"/>
    </xf>
    <xf numFmtId="0" fontId="3" fillId="2" borderId="2" xfId="18" applyNumberFormat="1" applyFont="1" applyFill="1" applyBorder="1" applyAlignment="1">
      <alignment horizontal="center" vertical="center"/>
    </xf>
    <xf numFmtId="0" fontId="3" fillId="2" borderId="3" xfId="18" applyNumberFormat="1" applyFont="1" applyFill="1" applyBorder="1" applyAlignment="1">
      <alignment horizontal="center" vertical="center"/>
    </xf>
    <xf numFmtId="0" fontId="3" fillId="2" borderId="4" xfId="18" applyNumberFormat="1" applyFont="1" applyFill="1" applyBorder="1" applyAlignment="1">
      <alignment horizontal="center" vertical="center"/>
    </xf>
    <xf numFmtId="0" fontId="3" fillId="2" borderId="3" xfId="18" applyNumberFormat="1" applyFont="1" applyFill="1" applyBorder="1" applyAlignment="1">
      <alignment horizontal="center" vertical="center" wrapText="1"/>
    </xf>
    <xf numFmtId="0" fontId="3" fillId="2" borderId="0" xfId="18" applyNumberFormat="1" applyFont="1" applyFill="1" applyBorder="1" applyAlignment="1">
      <alignment horizontal="center" vertical="center"/>
    </xf>
    <xf numFmtId="0" fontId="11" fillId="7" borderId="4" xfId="18" applyNumberFormat="1" applyFont="1" applyFill="1" applyBorder="1"/>
    <xf numFmtId="0" fontId="3" fillId="6" borderId="5" xfId="18" applyNumberFormat="1" applyFont="1" applyFill="1" applyBorder="1" applyAlignment="1">
      <alignment horizontal="center" vertical="center"/>
    </xf>
    <xf numFmtId="178" fontId="14" fillId="3" borderId="0" xfId="24" applyNumberFormat="1" applyFont="1" applyFill="1" applyBorder="1"/>
    <xf numFmtId="178" fontId="13" fillId="3" borderId="0" xfId="24" applyNumberFormat="1" applyFont="1" applyFill="1" applyBorder="1"/>
    <xf numFmtId="180" fontId="13" fillId="0" borderId="0" xfId="24" applyNumberFormat="1" applyFont="1" applyFill="1" applyAlignment="1"/>
    <xf numFmtId="0" fontId="16" fillId="0" borderId="0" xfId="0" applyNumberFormat="1" applyFont="1"/>
    <xf numFmtId="0" fontId="18" fillId="3" borderId="0" xfId="1" applyNumberFormat="1" applyFont="1" applyFill="1" applyAlignment="1">
      <alignment horizontal="right"/>
    </xf>
    <xf numFmtId="178" fontId="16" fillId="3" borderId="0" xfId="24" applyNumberFormat="1" applyFont="1" applyFill="1" applyBorder="1"/>
    <xf numFmtId="178" fontId="11" fillId="3" borderId="0" xfId="24" applyNumberFormat="1" applyFont="1" applyFill="1" applyBorder="1"/>
    <xf numFmtId="178" fontId="16" fillId="3" borderId="0" xfId="1" applyNumberFormat="1" applyFont="1" applyFill="1" applyAlignment="1">
      <alignment horizontal="right"/>
    </xf>
    <xf numFmtId="180" fontId="11" fillId="0" borderId="0" xfId="24" applyNumberFormat="1" applyFont="1" applyFill="1" applyAlignment="1"/>
    <xf numFmtId="0" fontId="11" fillId="0" borderId="0" xfId="1" applyNumberFormat="1" applyFont="1" applyFill="1" applyAlignment="1"/>
    <xf numFmtId="0" fontId="11" fillId="0" borderId="0" xfId="1" applyNumberFormat="1" applyFont="1" applyFill="1"/>
    <xf numFmtId="178" fontId="16" fillId="3" borderId="0" xfId="20" applyNumberFormat="1" applyFont="1" applyFill="1" applyAlignment="1">
      <alignment horizontal="right"/>
    </xf>
    <xf numFmtId="178" fontId="16" fillId="0" borderId="0" xfId="1" applyNumberFormat="1" applyFont="1" applyAlignment="1">
      <alignment horizontal="center"/>
    </xf>
    <xf numFmtId="178" fontId="11" fillId="0" borderId="0" xfId="1" applyNumberFormat="1" applyFont="1" applyAlignment="1">
      <alignment horizontal="center"/>
    </xf>
    <xf numFmtId="178" fontId="11" fillId="0" borderId="0" xfId="24" applyNumberFormat="1" applyFont="1" applyAlignment="1">
      <alignment horizontal="center"/>
    </xf>
    <xf numFmtId="178" fontId="11" fillId="0" borderId="0" xfId="1" applyNumberFormat="1" applyFont="1" applyFill="1" applyAlignment="1"/>
    <xf numFmtId="178" fontId="11" fillId="0" borderId="0" xfId="1" applyNumberFormat="1" applyFont="1" applyFill="1" applyAlignment="1">
      <alignment horizontal="right"/>
    </xf>
    <xf numFmtId="180" fontId="11" fillId="0" borderId="0" xfId="24" applyNumberFormat="1" applyFont="1" applyFill="1" applyAlignment="1">
      <alignment horizontal="right"/>
    </xf>
    <xf numFmtId="173" fontId="11" fillId="0" borderId="0" xfId="1" applyNumberFormat="1" applyFont="1" applyFill="1" applyAlignment="1">
      <alignment horizontal="right"/>
    </xf>
    <xf numFmtId="167" fontId="16" fillId="3" borderId="0" xfId="1" applyNumberFormat="1" applyFont="1" applyFill="1" applyAlignment="1">
      <alignment horizontal="left" indent="1"/>
    </xf>
    <xf numFmtId="178" fontId="37" fillId="0" borderId="0" xfId="11" applyNumberFormat="1" applyFont="1" applyAlignment="1">
      <alignment horizontal="center"/>
    </xf>
    <xf numFmtId="167" fontId="16" fillId="3" borderId="0" xfId="1" applyNumberFormat="1" applyFont="1" applyFill="1" applyAlignment="1">
      <alignment horizontal="left" wrapText="1" indent="1"/>
    </xf>
    <xf numFmtId="167" fontId="16" fillId="3" borderId="0" xfId="1" applyNumberFormat="1" applyFont="1" applyFill="1" applyAlignment="1">
      <alignment horizontal="left" wrapText="1" indent="2"/>
    </xf>
    <xf numFmtId="178" fontId="14" fillId="4" borderId="0" xfId="24" applyNumberFormat="1" applyFont="1" applyFill="1" applyBorder="1" applyAlignment="1">
      <alignment vertical="center"/>
    </xf>
    <xf numFmtId="178" fontId="13" fillId="4" borderId="0" xfId="24" applyNumberFormat="1" applyFont="1" applyFill="1" applyBorder="1"/>
    <xf numFmtId="167" fontId="16" fillId="3" borderId="0" xfId="1" applyNumberFormat="1" applyFont="1" applyFill="1" applyAlignment="1">
      <alignment horizontal="center" wrapText="1"/>
    </xf>
    <xf numFmtId="178" fontId="16" fillId="8" borderId="0" xfId="24" applyNumberFormat="1" applyFont="1" applyFill="1" applyBorder="1" applyAlignment="1">
      <alignment vertical="center"/>
    </xf>
    <xf numFmtId="178" fontId="11" fillId="8" borderId="0" xfId="24" applyNumberFormat="1" applyFont="1" applyFill="1" applyBorder="1"/>
    <xf numFmtId="178" fontId="16" fillId="8" borderId="0" xfId="1" applyNumberFormat="1" applyFont="1" applyFill="1" applyAlignment="1"/>
    <xf numFmtId="180" fontId="38" fillId="0" borderId="0" xfId="24" applyNumberFormat="1" applyFont="1" applyFill="1" applyAlignment="1"/>
    <xf numFmtId="178" fontId="16" fillId="0" borderId="0" xfId="24" applyNumberFormat="1" applyFont="1" applyFill="1" applyBorder="1" applyAlignment="1">
      <alignment vertical="center"/>
    </xf>
    <xf numFmtId="178" fontId="11" fillId="0" borderId="0" xfId="24" applyNumberFormat="1" applyFont="1" applyFill="1" applyBorder="1"/>
    <xf numFmtId="178" fontId="16" fillId="0" borderId="0" xfId="1" applyNumberFormat="1" applyFont="1" applyFill="1" applyAlignment="1"/>
    <xf numFmtId="178" fontId="11" fillId="0" borderId="0" xfId="0" applyNumberFormat="1" applyFont="1" applyFill="1" applyAlignment="1"/>
    <xf numFmtId="0" fontId="11" fillId="0" borderId="0" xfId="0" applyNumberFormat="1" applyFont="1" applyFill="1" applyAlignment="1"/>
    <xf numFmtId="0" fontId="11" fillId="0" borderId="0" xfId="0" applyNumberFormat="1" applyFont="1" applyFill="1"/>
    <xf numFmtId="167" fontId="14" fillId="4" borderId="0" xfId="18" applyNumberFormat="1" applyFont="1" applyFill="1" applyAlignment="1">
      <alignment wrapText="1"/>
    </xf>
    <xf numFmtId="0" fontId="15" fillId="4" borderId="0" xfId="18" applyNumberFormat="1" applyFont="1" applyFill="1" applyAlignment="1"/>
    <xf numFmtId="178" fontId="14" fillId="0" borderId="0" xfId="24" applyNumberFormat="1" applyFont="1" applyFill="1" applyBorder="1" applyAlignment="1"/>
    <xf numFmtId="3" fontId="14" fillId="0" borderId="0" xfId="18" applyNumberFormat="1" applyFont="1" applyFill="1" applyAlignment="1"/>
    <xf numFmtId="0" fontId="3" fillId="7" borderId="0" xfId="18" applyNumberFormat="1" applyFont="1" applyFill="1" applyBorder="1" applyAlignment="1">
      <alignment horizontal="left"/>
    </xf>
    <xf numFmtId="178" fontId="13" fillId="0" borderId="0" xfId="24" applyNumberFormat="1" applyFont="1" applyFill="1" applyBorder="1" applyAlignment="1"/>
    <xf numFmtId="167" fontId="14" fillId="5" borderId="0" xfId="18" applyNumberFormat="1" applyFont="1" applyFill="1" applyAlignment="1">
      <alignment wrapText="1"/>
    </xf>
    <xf numFmtId="0" fontId="15" fillId="5" borderId="0" xfId="18" applyNumberFormat="1" applyFont="1" applyFill="1" applyAlignment="1"/>
    <xf numFmtId="178" fontId="13" fillId="5" borderId="0" xfId="24" applyNumberFormat="1" applyFont="1" applyFill="1" applyBorder="1"/>
    <xf numFmtId="0" fontId="16" fillId="0" borderId="0" xfId="0" applyNumberFormat="1" applyFont="1" applyFill="1"/>
    <xf numFmtId="167" fontId="16" fillId="3" borderId="0" xfId="18" applyNumberFormat="1" applyFont="1" applyFill="1" applyAlignment="1">
      <alignment horizontal="left"/>
    </xf>
    <xf numFmtId="0" fontId="18" fillId="3" borderId="0" xfId="18" applyNumberFormat="1" applyFont="1" applyFill="1" applyAlignment="1">
      <alignment horizontal="right"/>
    </xf>
    <xf numFmtId="171" fontId="16" fillId="3" borderId="0" xfId="18" applyNumberFormat="1" applyFont="1" applyFill="1" applyAlignment="1">
      <alignment horizontal="right"/>
    </xf>
    <xf numFmtId="0" fontId="16" fillId="0" borderId="0" xfId="0" applyNumberFormat="1" applyFont="1" applyAlignment="1"/>
    <xf numFmtId="2" fontId="16" fillId="3" borderId="0" xfId="18" applyNumberFormat="1" applyFont="1" applyFill="1" applyAlignment="1">
      <alignment horizontal="right"/>
    </xf>
    <xf numFmtId="175" fontId="16" fillId="3" borderId="0" xfId="18" applyNumberFormat="1" applyFont="1" applyFill="1" applyAlignment="1">
      <alignment horizontal="right"/>
    </xf>
    <xf numFmtId="171" fontId="11" fillId="0" borderId="0" xfId="0" applyNumberFormat="1" applyFont="1"/>
    <xf numFmtId="0" fontId="3" fillId="7" borderId="0" xfId="20" applyNumberFormat="1" applyFont="1" applyFill="1" applyBorder="1" applyAlignment="1">
      <alignment horizontal="left"/>
    </xf>
    <xf numFmtId="0" fontId="3" fillId="7" borderId="0" xfId="18" applyNumberFormat="1" applyFont="1" applyFill="1" applyBorder="1" applyAlignment="1">
      <alignment horizontal="left" vertical="top"/>
    </xf>
    <xf numFmtId="0" fontId="3" fillId="2" borderId="1" xfId="17" applyNumberFormat="1" applyFont="1" applyFill="1" applyBorder="1" applyAlignment="1">
      <alignment horizontal="center" vertical="center"/>
    </xf>
    <xf numFmtId="0" fontId="3" fillId="2" borderId="2" xfId="17" applyNumberFormat="1" applyFont="1" applyFill="1" applyBorder="1" applyAlignment="1">
      <alignment horizontal="center" vertical="center"/>
    </xf>
    <xf numFmtId="0" fontId="11" fillId="7" borderId="4" xfId="17" applyNumberFormat="1" applyFont="1" applyFill="1" applyBorder="1"/>
    <xf numFmtId="0" fontId="3" fillId="6" borderId="5" xfId="17" applyNumberFormat="1" applyFont="1" applyFill="1" applyBorder="1" applyAlignment="1">
      <alignment horizontal="center" vertical="center"/>
    </xf>
    <xf numFmtId="167" fontId="14" fillId="3" borderId="0" xfId="7" applyNumberFormat="1" applyFont="1" applyFill="1" applyAlignment="1">
      <alignment horizontal="left" indent="2"/>
    </xf>
    <xf numFmtId="0" fontId="15" fillId="3" borderId="0" xfId="7" applyNumberFormat="1" applyFont="1" applyFill="1" applyAlignment="1">
      <alignment horizontal="right"/>
    </xf>
    <xf numFmtId="178" fontId="14" fillId="3" borderId="0" xfId="26" applyNumberFormat="1" applyFont="1" applyFill="1" applyBorder="1"/>
    <xf numFmtId="178" fontId="13" fillId="3" borderId="0" xfId="26" applyNumberFormat="1" applyFont="1" applyFill="1" applyBorder="1"/>
    <xf numFmtId="178" fontId="14" fillId="3" borderId="0" xfId="7" applyNumberFormat="1" applyFont="1" applyFill="1" applyAlignment="1">
      <alignment horizontal="right"/>
    </xf>
    <xf numFmtId="167" fontId="16" fillId="3" borderId="0" xfId="7" applyNumberFormat="1" applyFont="1" applyFill="1" applyAlignment="1">
      <alignment horizontal="left" indent="3"/>
    </xf>
    <xf numFmtId="0" fontId="18" fillId="3" borderId="0" xfId="7" applyNumberFormat="1" applyFont="1" applyFill="1" applyAlignment="1">
      <alignment horizontal="right"/>
    </xf>
    <xf numFmtId="178" fontId="16" fillId="3" borderId="0" xfId="26" applyNumberFormat="1" applyFont="1" applyFill="1" applyBorder="1"/>
    <xf numFmtId="178" fontId="11" fillId="3" borderId="0" xfId="26" applyNumberFormat="1" applyFont="1" applyFill="1" applyBorder="1"/>
    <xf numFmtId="178" fontId="16" fillId="3" borderId="0" xfId="7" applyNumberFormat="1" applyFont="1" applyFill="1" applyAlignment="1">
      <alignment horizontal="right"/>
    </xf>
    <xf numFmtId="167" fontId="16" fillId="3" borderId="0" xfId="7" applyNumberFormat="1" applyFont="1" applyFill="1" applyAlignment="1">
      <alignment horizontal="left" indent="4"/>
    </xf>
    <xf numFmtId="178" fontId="16" fillId="3" borderId="0" xfId="19" applyNumberFormat="1" applyFont="1" applyFill="1" applyAlignment="1">
      <alignment horizontal="right"/>
    </xf>
    <xf numFmtId="0" fontId="36" fillId="0" borderId="0" xfId="7" applyNumberFormat="1" applyFont="1" applyAlignment="1"/>
    <xf numFmtId="0" fontId="35" fillId="0" borderId="0" xfId="7" applyNumberFormat="1" applyFont="1" applyFill="1" applyAlignment="1">
      <alignment horizontal="right"/>
    </xf>
    <xf numFmtId="178" fontId="16" fillId="0" borderId="0" xfId="7" applyNumberFormat="1" applyFont="1" applyAlignment="1">
      <alignment horizontal="center"/>
    </xf>
    <xf numFmtId="178" fontId="35" fillId="0" borderId="0" xfId="7" applyNumberFormat="1" applyFont="1" applyAlignment="1">
      <alignment horizontal="right"/>
    </xf>
    <xf numFmtId="178" fontId="37" fillId="0" borderId="0" xfId="7" applyNumberFormat="1" applyFont="1" applyAlignment="1">
      <alignment horizontal="center"/>
    </xf>
    <xf numFmtId="178" fontId="11" fillId="0" borderId="0" xfId="7" applyNumberFormat="1" applyFont="1" applyAlignment="1">
      <alignment horizontal="center"/>
    </xf>
    <xf numFmtId="178" fontId="11" fillId="0" borderId="0" xfId="26" applyNumberFormat="1" applyFont="1" applyAlignment="1">
      <alignment horizontal="center"/>
    </xf>
    <xf numFmtId="178" fontId="11" fillId="0" borderId="0" xfId="7" applyNumberFormat="1" applyFont="1" applyFill="1" applyAlignment="1"/>
    <xf numFmtId="167" fontId="16" fillId="3" borderId="0" xfId="7" applyNumberFormat="1" applyFont="1" applyFill="1" applyAlignment="1">
      <alignment horizontal="left" indent="2"/>
    </xf>
    <xf numFmtId="0" fontId="36" fillId="0" borderId="0" xfId="7" applyNumberFormat="1" applyFont="1" applyAlignment="1">
      <alignment horizontal="left" indent="1"/>
    </xf>
    <xf numFmtId="0" fontId="40" fillId="0" borderId="0" xfId="7" applyNumberFormat="1" applyFont="1" applyFill="1" applyAlignment="1">
      <alignment horizontal="right"/>
    </xf>
    <xf numFmtId="178" fontId="40" fillId="0" borderId="0" xfId="7" applyNumberFormat="1" applyFont="1" applyAlignment="1">
      <alignment horizontal="right"/>
    </xf>
    <xf numFmtId="167" fontId="16" fillId="3" borderId="0" xfId="7" applyNumberFormat="1" applyFont="1" applyFill="1" applyAlignment="1">
      <alignment horizontal="left" wrapText="1" indent="2"/>
    </xf>
    <xf numFmtId="167" fontId="16" fillId="3" borderId="0" xfId="7" applyNumberFormat="1" applyFont="1" applyFill="1" applyAlignment="1">
      <alignment horizontal="left" wrapText="1" indent="4"/>
    </xf>
    <xf numFmtId="167" fontId="14" fillId="4" borderId="0" xfId="7" applyNumberFormat="1" applyFont="1" applyFill="1" applyAlignment="1">
      <alignment horizontal="left" vertical="center" wrapText="1"/>
    </xf>
    <xf numFmtId="0" fontId="15" fillId="4" borderId="0" xfId="7" applyNumberFormat="1" applyFont="1" applyFill="1" applyAlignment="1"/>
    <xf numFmtId="178" fontId="14" fillId="4" borderId="0" xfId="26" applyNumberFormat="1" applyFont="1" applyFill="1" applyBorder="1" applyAlignment="1">
      <alignment vertical="center"/>
    </xf>
    <xf numFmtId="178" fontId="13" fillId="4" borderId="0" xfId="26" applyNumberFormat="1" applyFont="1" applyFill="1" applyBorder="1"/>
    <xf numFmtId="178" fontId="14" fillId="4" borderId="0" xfId="7" applyNumberFormat="1" applyFont="1" applyFill="1" applyAlignment="1"/>
    <xf numFmtId="0" fontId="41" fillId="0" borderId="0" xfId="7" applyNumberFormat="1" applyFont="1" applyAlignment="1"/>
    <xf numFmtId="178" fontId="14" fillId="0" borderId="0" xfId="7" applyNumberFormat="1" applyFont="1" applyAlignment="1">
      <alignment horizontal="center"/>
    </xf>
    <xf numFmtId="178" fontId="42" fillId="0" borderId="0" xfId="7" applyNumberFormat="1" applyFont="1" applyAlignment="1">
      <alignment horizontal="center"/>
    </xf>
    <xf numFmtId="178" fontId="13" fillId="0" borderId="0" xfId="7" applyNumberFormat="1" applyFont="1" applyAlignment="1">
      <alignment horizontal="center"/>
    </xf>
    <xf numFmtId="178" fontId="13" fillId="0" borderId="0" xfId="7" applyNumberFormat="1" applyFont="1" applyFill="1" applyAlignment="1"/>
    <xf numFmtId="167" fontId="14" fillId="3" borderId="0" xfId="7" applyNumberFormat="1" applyFont="1" applyFill="1" applyAlignment="1">
      <alignment horizontal="left" wrapText="1" indent="2"/>
    </xf>
    <xf numFmtId="167" fontId="16" fillId="3" borderId="0" xfId="7" applyNumberFormat="1" applyFont="1" applyFill="1" applyAlignment="1">
      <alignment horizontal="right"/>
    </xf>
    <xf numFmtId="167" fontId="14" fillId="4" borderId="0" xfId="7" applyNumberFormat="1" applyFont="1" applyFill="1" applyAlignment="1">
      <alignment horizontal="left" wrapText="1"/>
    </xf>
    <xf numFmtId="178" fontId="16" fillId="8" borderId="0" xfId="26" applyNumberFormat="1" applyFont="1" applyFill="1" applyBorder="1" applyAlignment="1">
      <alignment vertical="center"/>
    </xf>
    <xf numFmtId="178" fontId="11" fillId="8" borderId="0" xfId="26" applyNumberFormat="1" applyFont="1" applyFill="1" applyBorder="1"/>
    <xf numFmtId="178" fontId="16" fillId="8" borderId="0" xfId="7" applyNumberFormat="1" applyFont="1" applyFill="1" applyAlignment="1"/>
    <xf numFmtId="178" fontId="16" fillId="0" borderId="0" xfId="26" applyNumberFormat="1" applyFont="1" applyFill="1" applyBorder="1" applyAlignment="1">
      <alignment vertical="center"/>
    </xf>
    <xf numFmtId="178" fontId="11" fillId="0" borderId="0" xfId="26" applyNumberFormat="1" applyFont="1" applyFill="1" applyBorder="1"/>
    <xf numFmtId="178" fontId="16" fillId="0" borderId="0" xfId="7" applyNumberFormat="1" applyFont="1" applyFill="1" applyAlignment="1"/>
    <xf numFmtId="167" fontId="14" fillId="4" borderId="0" xfId="18" applyNumberFormat="1" applyFont="1" applyFill="1" applyAlignment="1">
      <alignment horizontal="left" wrapText="1"/>
    </xf>
    <xf numFmtId="0" fontId="15" fillId="4" borderId="0" xfId="17" applyNumberFormat="1" applyFont="1" applyFill="1" applyAlignment="1"/>
    <xf numFmtId="0" fontId="3" fillId="7" borderId="0" xfId="17" applyNumberFormat="1" applyFont="1" applyFill="1" applyBorder="1" applyAlignment="1">
      <alignment horizontal="left"/>
    </xf>
    <xf numFmtId="167" fontId="14" fillId="5" borderId="0" xfId="17" applyNumberFormat="1" applyFont="1" applyFill="1" applyAlignment="1">
      <alignment wrapText="1"/>
    </xf>
    <xf numFmtId="0" fontId="15" fillId="5" borderId="0" xfId="17" applyNumberFormat="1" applyFont="1" applyFill="1" applyAlignment="1"/>
    <xf numFmtId="178" fontId="13" fillId="5" borderId="0" xfId="26" applyNumberFormat="1" applyFont="1" applyFill="1" applyBorder="1"/>
    <xf numFmtId="167" fontId="16" fillId="3" borderId="0" xfId="17" applyNumberFormat="1" applyFont="1" applyFill="1" applyAlignment="1">
      <alignment horizontal="left"/>
    </xf>
    <xf numFmtId="0" fontId="18" fillId="3" borderId="0" xfId="17" applyNumberFormat="1" applyFont="1" applyFill="1" applyAlignment="1">
      <alignment horizontal="right"/>
    </xf>
    <xf numFmtId="171" fontId="16" fillId="3" borderId="0" xfId="17" applyNumberFormat="1" applyFont="1" applyFill="1" applyAlignment="1">
      <alignment horizontal="right"/>
    </xf>
    <xf numFmtId="2" fontId="16" fillId="3" borderId="0" xfId="17" applyNumberFormat="1" applyFont="1" applyFill="1" applyAlignment="1">
      <alignment horizontal="right"/>
    </xf>
    <xf numFmtId="175" fontId="16" fillId="3" borderId="0" xfId="17" applyNumberFormat="1" applyFont="1" applyFill="1" applyAlignment="1">
      <alignment horizontal="right"/>
    </xf>
    <xf numFmtId="1" fontId="16" fillId="3" borderId="0" xfId="17" applyNumberFormat="1" applyFont="1" applyFill="1" applyAlignment="1">
      <alignment horizontal="right"/>
    </xf>
    <xf numFmtId="0" fontId="3" fillId="2" borderId="3" xfId="17" applyNumberFormat="1" applyFont="1" applyFill="1" applyBorder="1" applyAlignment="1">
      <alignment horizontal="center" vertical="center"/>
    </xf>
    <xf numFmtId="0" fontId="3" fillId="2" borderId="4" xfId="17" applyNumberFormat="1" applyFont="1" applyFill="1" applyBorder="1" applyAlignment="1">
      <alignment horizontal="center" vertical="center"/>
    </xf>
    <xf numFmtId="0" fontId="3" fillId="2" borderId="0" xfId="17" applyNumberFormat="1" applyFont="1" applyFill="1" applyBorder="1" applyAlignment="1">
      <alignment horizontal="center" vertical="center"/>
    </xf>
    <xf numFmtId="0" fontId="3" fillId="2" borderId="3" xfId="17" applyNumberFormat="1" applyFont="1" applyFill="1" applyBorder="1" applyAlignment="1">
      <alignment horizontal="center" vertical="center" wrapText="1"/>
    </xf>
    <xf numFmtId="0" fontId="3" fillId="2" borderId="3" xfId="17" applyNumberFormat="1" applyFont="1" applyFill="1" applyBorder="1" applyAlignment="1">
      <alignment horizontal="center" vertical="center"/>
    </xf>
    <xf numFmtId="0" fontId="3" fillId="2" borderId="4" xfId="17" applyNumberFormat="1" applyFont="1" applyFill="1" applyBorder="1" applyAlignment="1">
      <alignment horizontal="center" vertical="center"/>
    </xf>
    <xf numFmtId="0" fontId="3" fillId="2" borderId="0" xfId="17" applyNumberFormat="1" applyFont="1" applyFill="1" applyBorder="1" applyAlignment="1">
      <alignment horizontal="center" vertical="center"/>
    </xf>
    <xf numFmtId="0" fontId="3" fillId="2" borderId="3" xfId="17" applyNumberFormat="1" applyFont="1" applyFill="1" applyBorder="1" applyAlignment="1">
      <alignment horizontal="center" vertical="center" wrapText="1"/>
    </xf>
    <xf numFmtId="167" fontId="14" fillId="4" borderId="0" xfId="38" applyNumberFormat="1" applyFont="1" applyFill="1" applyAlignment="1">
      <alignment horizontal="left" wrapText="1"/>
    </xf>
    <xf numFmtId="0" fontId="3" fillId="7" borderId="0" xfId="38" applyNumberFormat="1" applyFont="1" applyFill="1" applyBorder="1" applyAlignment="1">
      <alignment horizontal="left"/>
    </xf>
    <xf numFmtId="0" fontId="3" fillId="7" borderId="0" xfId="39" applyNumberFormat="1" applyFont="1" applyFill="1" applyBorder="1" applyAlignment="1">
      <alignment horizontal="left"/>
    </xf>
    <xf numFmtId="0" fontId="3" fillId="7" borderId="0" xfId="38" applyNumberFormat="1" applyFont="1" applyFill="1" applyBorder="1" applyAlignment="1">
      <alignment horizontal="left" vertical="top"/>
    </xf>
    <xf numFmtId="0" fontId="3" fillId="2" borderId="3" xfId="17" applyNumberFormat="1" applyFont="1" applyFill="1" applyBorder="1" applyAlignment="1">
      <alignment horizontal="center" vertical="center"/>
    </xf>
    <xf numFmtId="0" fontId="3" fillId="2" borderId="0" xfId="17" applyNumberFormat="1" applyFont="1" applyFill="1" applyBorder="1" applyAlignment="1">
      <alignment horizontal="center" vertical="center"/>
    </xf>
    <xf numFmtId="176" fontId="16" fillId="3" borderId="0" xfId="17" applyNumberFormat="1" applyFont="1" applyFill="1" applyAlignment="1">
      <alignment horizontal="right"/>
    </xf>
    <xf numFmtId="0" fontId="3" fillId="2" borderId="3" xfId="17" applyNumberFormat="1" applyFont="1" applyFill="1" applyBorder="1" applyAlignment="1">
      <alignment horizontal="center" vertical="center"/>
    </xf>
    <xf numFmtId="0" fontId="3" fillId="2" borderId="3" xfId="17" applyNumberFormat="1" applyFont="1" applyFill="1" applyBorder="1" applyAlignment="1">
      <alignment horizontal="center" vertical="center" wrapText="1"/>
    </xf>
    <xf numFmtId="0" fontId="3" fillId="2" borderId="3" xfId="17" applyNumberFormat="1" applyFont="1" applyFill="1" applyBorder="1" applyAlignment="1">
      <alignment horizontal="center" vertical="center"/>
    </xf>
    <xf numFmtId="0" fontId="3" fillId="6" borderId="9" xfId="17" applyNumberFormat="1" applyFont="1" applyFill="1" applyBorder="1" applyAlignment="1">
      <alignment horizontal="center" vertical="center"/>
    </xf>
    <xf numFmtId="0" fontId="3" fillId="2" borderId="3" xfId="17" applyNumberFormat="1" applyFont="1" applyFill="1" applyBorder="1" applyAlignment="1">
      <alignment horizontal="center" vertical="center" wrapText="1"/>
    </xf>
    <xf numFmtId="0" fontId="3" fillId="2" borderId="7" xfId="17" applyNumberFormat="1" applyFont="1" applyFill="1" applyBorder="1" applyAlignment="1">
      <alignment horizontal="center" vertical="center"/>
    </xf>
    <xf numFmtId="178" fontId="1" fillId="5" borderId="0" xfId="26" applyNumberFormat="1" applyFont="1" applyFill="1" applyBorder="1"/>
    <xf numFmtId="178" fontId="16" fillId="5" borderId="0" xfId="20" applyNumberFormat="1" applyFont="1" applyFill="1" applyAlignment="1">
      <alignment horizontal="right"/>
    </xf>
    <xf numFmtId="178" fontId="16" fillId="5" borderId="0" xfId="26" applyNumberFormat="1" applyFont="1" applyFill="1" applyBorder="1"/>
    <xf numFmtId="178" fontId="16" fillId="3" borderId="0" xfId="18" applyNumberFormat="1" applyFont="1" applyFill="1" applyAlignment="1">
      <alignment horizontal="right"/>
    </xf>
    <xf numFmtId="178" fontId="14" fillId="5" borderId="0" xfId="18" applyNumberFormat="1" applyFont="1" applyFill="1" applyAlignment="1">
      <alignment horizontal="left" indent="1"/>
    </xf>
    <xf numFmtId="178" fontId="14" fillId="5" borderId="0" xfId="20" applyNumberFormat="1" applyFont="1" applyFill="1" applyAlignment="1">
      <alignment horizontal="left" indent="1"/>
    </xf>
    <xf numFmtId="178" fontId="1" fillId="3" borderId="0" xfId="26" applyNumberFormat="1" applyFont="1" applyFill="1" applyBorder="1"/>
    <xf numFmtId="178" fontId="1" fillId="5" borderId="0" xfId="35" applyNumberFormat="1" applyFont="1" applyFill="1"/>
    <xf numFmtId="167" fontId="16" fillId="0" borderId="0" xfId="7" applyNumberFormat="1" applyFont="1" applyFill="1" applyAlignment="1">
      <alignment horizontal="left" indent="1"/>
    </xf>
    <xf numFmtId="178" fontId="13" fillId="0" borderId="0" xfId="26" applyNumberFormat="1" applyFont="1" applyFill="1" applyBorder="1"/>
    <xf numFmtId="178" fontId="14" fillId="0" borderId="0" xfId="20" applyNumberFormat="1" applyFont="1" applyFill="1" applyAlignment="1">
      <alignment horizontal="left" indent="1"/>
    </xf>
    <xf numFmtId="0" fontId="0" fillId="0" borderId="0" xfId="0" applyNumberFormat="1" applyFill="1"/>
    <xf numFmtId="178" fontId="14" fillId="4" borderId="13" xfId="26" applyNumberFormat="1" applyFont="1" applyFill="1" applyBorder="1" applyAlignment="1">
      <alignment vertical="center"/>
    </xf>
    <xf numFmtId="178" fontId="14" fillId="4" borderId="14" xfId="26" applyNumberFormat="1" applyFont="1" applyFill="1" applyBorder="1" applyAlignment="1">
      <alignment vertical="center"/>
    </xf>
    <xf numFmtId="178" fontId="14" fillId="4" borderId="15" xfId="26" applyNumberFormat="1" applyFont="1" applyFill="1" applyBorder="1" applyAlignment="1">
      <alignment vertical="center"/>
    </xf>
    <xf numFmtId="167" fontId="14" fillId="4" borderId="12" xfId="18" applyNumberFormat="1" applyFont="1" applyFill="1" applyBorder="1" applyAlignment="1">
      <alignment horizontal="left" wrapText="1"/>
    </xf>
    <xf numFmtId="178" fontId="14" fillId="4" borderId="13" xfId="26" applyNumberFormat="1" applyFont="1" applyFill="1" applyBorder="1"/>
    <xf numFmtId="178" fontId="14" fillId="4" borderId="14" xfId="26" applyNumberFormat="1" applyFont="1" applyFill="1" applyBorder="1"/>
    <xf numFmtId="178" fontId="14" fillId="4" borderId="15" xfId="26" applyNumberFormat="1" applyFont="1" applyFill="1" applyBorder="1"/>
    <xf numFmtId="167" fontId="14" fillId="4" borderId="13" xfId="7" applyNumberFormat="1" applyFont="1" applyFill="1" applyBorder="1" applyAlignment="1">
      <alignment horizontal="left" vertical="center" wrapText="1"/>
    </xf>
    <xf numFmtId="0" fontId="11" fillId="5" borderId="16" xfId="0" applyNumberFormat="1" applyFont="1" applyFill="1" applyBorder="1"/>
    <xf numFmtId="178" fontId="1" fillId="5" borderId="16" xfId="35" applyNumberFormat="1" applyFont="1" applyFill="1" applyBorder="1"/>
    <xf numFmtId="0" fontId="4" fillId="5" borderId="0" xfId="15" applyNumberFormat="1" applyFont="1" applyFill="1" applyAlignment="1">
      <alignment horizontal="center"/>
    </xf>
    <xf numFmtId="0" fontId="20" fillId="2" borderId="3" xfId="15" applyNumberFormat="1" applyFont="1" applyFill="1" applyBorder="1" applyAlignment="1">
      <alignment horizontal="center" vertical="center"/>
    </xf>
    <xf numFmtId="0" fontId="20" fillId="2" borderId="4" xfId="15" applyNumberFormat="1" applyFont="1" applyFill="1" applyBorder="1" applyAlignment="1">
      <alignment horizontal="center" vertical="center"/>
    </xf>
    <xf numFmtId="0" fontId="3" fillId="2" borderId="7" xfId="15" applyNumberFormat="1" applyFont="1" applyFill="1" applyBorder="1" applyAlignment="1">
      <alignment horizontal="center" vertical="center"/>
    </xf>
    <xf numFmtId="0" fontId="1" fillId="0" borderId="8" xfId="15" applyNumberFormat="1" applyFont="1" applyBorder="1"/>
    <xf numFmtId="0" fontId="20" fillId="2" borderId="3" xfId="15" applyNumberFormat="1" applyFont="1" applyFill="1" applyBorder="1" applyAlignment="1">
      <alignment horizontal="center" vertical="center" wrapText="1"/>
    </xf>
    <xf numFmtId="0" fontId="25" fillId="5" borderId="0" xfId="15" applyNumberFormat="1" applyFont="1" applyFill="1" applyAlignment="1">
      <alignment horizontal="center"/>
    </xf>
    <xf numFmtId="0" fontId="1" fillId="0" borderId="4" xfId="15" applyNumberFormat="1" applyFont="1" applyBorder="1"/>
    <xf numFmtId="0" fontId="20" fillId="2" borderId="0" xfId="15" applyNumberFormat="1" applyFont="1" applyFill="1" applyBorder="1" applyAlignment="1">
      <alignment horizontal="center" vertical="center"/>
    </xf>
    <xf numFmtId="0" fontId="3" fillId="2" borderId="11" xfId="15" applyNumberFormat="1" applyFont="1" applyFill="1" applyBorder="1" applyAlignment="1">
      <alignment horizontal="center" vertical="center"/>
    </xf>
    <xf numFmtId="0" fontId="3" fillId="2" borderId="8" xfId="15" applyNumberFormat="1" applyFont="1" applyFill="1" applyBorder="1" applyAlignment="1">
      <alignment horizontal="center" vertical="center"/>
    </xf>
    <xf numFmtId="0" fontId="6" fillId="7" borderId="0" xfId="15" applyNumberFormat="1" applyFont="1" applyFill="1" applyBorder="1" applyAlignment="1">
      <alignment horizontal="left" wrapText="1"/>
    </xf>
    <xf numFmtId="0" fontId="3" fillId="6" borderId="9" xfId="15" applyNumberFormat="1" applyFont="1" applyFill="1" applyBorder="1" applyAlignment="1">
      <alignment horizontal="center" vertical="center"/>
    </xf>
    <xf numFmtId="0" fontId="3" fillId="6" borderId="10" xfId="15" applyNumberFormat="1" applyFont="1" applyFill="1" applyBorder="1" applyAlignment="1">
      <alignment horizontal="center" vertical="center"/>
    </xf>
    <xf numFmtId="0" fontId="3" fillId="6" borderId="6" xfId="15" applyNumberFormat="1" applyFont="1" applyFill="1" applyBorder="1" applyAlignment="1">
      <alignment horizontal="center" vertical="center"/>
    </xf>
    <xf numFmtId="0" fontId="1" fillId="5" borderId="10" xfId="15" applyNumberFormat="1" applyFont="1" applyFill="1" applyBorder="1"/>
    <xf numFmtId="0" fontId="3" fillId="2" borderId="3" xfId="15" applyNumberFormat="1" applyFont="1" applyFill="1" applyBorder="1" applyAlignment="1">
      <alignment horizontal="center" vertical="center"/>
    </xf>
    <xf numFmtId="0" fontId="3" fillId="2" borderId="4" xfId="15" applyNumberFormat="1" applyFont="1" applyFill="1" applyBorder="1" applyAlignment="1">
      <alignment horizontal="center" vertical="center"/>
    </xf>
    <xf numFmtId="0" fontId="3" fillId="2" borderId="3" xfId="15" applyNumberFormat="1" applyFont="1" applyFill="1" applyBorder="1" applyAlignment="1">
      <alignment horizontal="center" vertical="center" wrapText="1"/>
    </xf>
    <xf numFmtId="0" fontId="33" fillId="7" borderId="0" xfId="12" applyNumberFormat="1" applyFont="1" applyFill="1" applyBorder="1" applyAlignment="1">
      <alignment horizontal="left" wrapText="1"/>
    </xf>
    <xf numFmtId="0" fontId="3" fillId="2" borderId="0" xfId="15" applyNumberFormat="1" applyFont="1" applyFill="1" applyBorder="1" applyAlignment="1">
      <alignment horizontal="center" vertical="center"/>
    </xf>
    <xf numFmtId="0" fontId="6" fillId="7" borderId="0" xfId="16" applyNumberFormat="1" applyFont="1" applyFill="1" applyBorder="1" applyAlignment="1">
      <alignment horizontal="left" wrapText="1"/>
    </xf>
    <xf numFmtId="0" fontId="4" fillId="5" borderId="0" xfId="1" applyNumberFormat="1" applyFont="1" applyFill="1" applyAlignment="1">
      <alignment horizontal="center"/>
    </xf>
    <xf numFmtId="0" fontId="33" fillId="7" borderId="0" xfId="16" applyNumberFormat="1" applyFont="1" applyFill="1" applyBorder="1" applyAlignment="1">
      <alignment horizontal="left" wrapText="1"/>
    </xf>
    <xf numFmtId="0" fontId="25" fillId="5" borderId="0" xfId="1" applyNumberFormat="1" applyFont="1" applyFill="1" applyAlignment="1">
      <alignment horizontal="center"/>
    </xf>
    <xf numFmtId="0" fontId="3" fillId="6" borderId="9" xfId="1" applyNumberFormat="1" applyFont="1" applyFill="1" applyBorder="1" applyAlignment="1">
      <alignment horizontal="center" vertical="center"/>
    </xf>
    <xf numFmtId="0" fontId="0" fillId="5" borderId="10" xfId="1" applyNumberFormat="1" applyFont="1" applyFill="1" applyBorder="1"/>
    <xf numFmtId="0" fontId="3" fillId="6" borderId="10" xfId="1" applyNumberFormat="1" applyFont="1" applyFill="1" applyBorder="1" applyAlignment="1">
      <alignment horizontal="center" vertical="center"/>
    </xf>
    <xf numFmtId="0" fontId="20" fillId="2" borderId="3" xfId="1" applyNumberFormat="1" applyFont="1" applyFill="1" applyBorder="1" applyAlignment="1">
      <alignment horizontal="center" vertical="center"/>
    </xf>
    <xf numFmtId="0" fontId="20" fillId="2" borderId="0" xfId="1" applyNumberFormat="1" applyFont="1" applyFill="1" applyBorder="1" applyAlignment="1">
      <alignment horizontal="center" vertical="center"/>
    </xf>
    <xf numFmtId="0" fontId="20" fillId="2" borderId="4" xfId="1" applyNumberFormat="1" applyFont="1" applyFill="1" applyBorder="1" applyAlignment="1">
      <alignment horizontal="center" vertical="center"/>
    </xf>
    <xf numFmtId="0" fontId="20" fillId="2" borderId="3" xfId="1" applyNumberFormat="1" applyFont="1" applyFill="1" applyBorder="1" applyAlignment="1">
      <alignment horizontal="center" vertical="center" wrapText="1"/>
    </xf>
    <xf numFmtId="0" fontId="3" fillId="6" borderId="6" xfId="1" applyNumberFormat="1" applyFont="1" applyFill="1" applyBorder="1" applyAlignment="1">
      <alignment horizontal="center" vertical="center"/>
    </xf>
    <xf numFmtId="0" fontId="3" fillId="2" borderId="7" xfId="1" applyNumberFormat="1" applyFont="1" applyFill="1" applyBorder="1" applyAlignment="1">
      <alignment horizontal="center" vertical="center"/>
    </xf>
    <xf numFmtId="0" fontId="3" fillId="2" borderId="11" xfId="1" applyNumberFormat="1" applyFont="1" applyFill="1" applyBorder="1" applyAlignment="1">
      <alignment horizontal="center" vertical="center"/>
    </xf>
    <xf numFmtId="0" fontId="21" fillId="0" borderId="4" xfId="1" applyNumberFormat="1" applyFont="1" applyBorder="1"/>
    <xf numFmtId="0" fontId="3" fillId="2" borderId="8" xfId="1" applyNumberFormat="1" applyFont="1" applyFill="1" applyBorder="1" applyAlignment="1">
      <alignment horizontal="center" vertical="center"/>
    </xf>
    <xf numFmtId="0" fontId="3" fillId="2" borderId="3" xfId="1" applyNumberFormat="1" applyFont="1" applyFill="1" applyBorder="1" applyAlignment="1">
      <alignment horizontal="center" vertical="center"/>
    </xf>
    <xf numFmtId="0" fontId="3" fillId="2" borderId="4" xfId="1" applyNumberFormat="1" applyFont="1" applyFill="1" applyBorder="1" applyAlignment="1">
      <alignment horizontal="center" vertical="center"/>
    </xf>
    <xf numFmtId="0" fontId="0" fillId="0" borderId="8" xfId="1" applyNumberFormat="1" applyFont="1" applyBorder="1"/>
    <xf numFmtId="0" fontId="0" fillId="0" borderId="4" xfId="1" applyNumberFormat="1" applyFont="1" applyBorder="1"/>
    <xf numFmtId="0" fontId="3" fillId="2" borderId="0" xfId="1" applyNumberFormat="1" applyFont="1" applyFill="1" applyBorder="1" applyAlignment="1">
      <alignment horizontal="center" vertical="center"/>
    </xf>
    <xf numFmtId="0" fontId="3" fillId="2" borderId="3" xfId="1" applyNumberFormat="1" applyFont="1" applyFill="1" applyBorder="1" applyAlignment="1">
      <alignment horizontal="center" vertical="center" wrapText="1"/>
    </xf>
    <xf numFmtId="0" fontId="3" fillId="2" borderId="3" xfId="16" applyNumberFormat="1" applyFont="1" applyFill="1" applyBorder="1" applyAlignment="1">
      <alignment horizontal="center" vertical="center"/>
    </xf>
    <xf numFmtId="0" fontId="1" fillId="0" borderId="4" xfId="16" applyNumberFormat="1" applyFont="1" applyBorder="1"/>
    <xf numFmtId="0" fontId="3" fillId="2" borderId="4" xfId="16" applyNumberFormat="1" applyFont="1" applyFill="1" applyBorder="1" applyAlignment="1">
      <alignment horizontal="center" vertical="center"/>
    </xf>
    <xf numFmtId="0" fontId="3" fillId="2" borderId="0" xfId="16" applyNumberFormat="1" applyFont="1" applyFill="1" applyBorder="1" applyAlignment="1">
      <alignment horizontal="center" vertical="center"/>
    </xf>
    <xf numFmtId="0" fontId="3" fillId="2" borderId="3" xfId="16" applyNumberFormat="1" applyFont="1" applyFill="1" applyBorder="1" applyAlignment="1">
      <alignment horizontal="center" vertical="center" wrapText="1"/>
    </xf>
    <xf numFmtId="0" fontId="4" fillId="5" borderId="0" xfId="16" applyNumberFormat="1" applyFont="1" applyFill="1" applyAlignment="1">
      <alignment horizontal="center"/>
    </xf>
    <xf numFmtId="0" fontId="20" fillId="2" borderId="3" xfId="16" applyNumberFormat="1" applyFont="1" applyFill="1" applyBorder="1" applyAlignment="1">
      <alignment horizontal="center" vertical="center"/>
    </xf>
    <xf numFmtId="0" fontId="20" fillId="2" borderId="0" xfId="16" applyNumberFormat="1" applyFont="1" applyFill="1" applyBorder="1" applyAlignment="1">
      <alignment horizontal="center" vertical="center"/>
    </xf>
    <xf numFmtId="0" fontId="3" fillId="6" borderId="9" xfId="16" applyNumberFormat="1" applyFont="1" applyFill="1" applyBorder="1" applyAlignment="1">
      <alignment horizontal="center" vertical="center"/>
    </xf>
    <xf numFmtId="0" fontId="3" fillId="6" borderId="10" xfId="16" applyNumberFormat="1" applyFont="1" applyFill="1" applyBorder="1" applyAlignment="1">
      <alignment horizontal="center" vertical="center"/>
    </xf>
    <xf numFmtId="0" fontId="20" fillId="2" borderId="4" xfId="16" applyNumberFormat="1" applyFont="1" applyFill="1" applyBorder="1" applyAlignment="1">
      <alignment horizontal="center" vertical="center"/>
    </xf>
    <xf numFmtId="0" fontId="20" fillId="2" borderId="3" xfId="16" applyNumberFormat="1" applyFont="1" applyFill="1" applyBorder="1" applyAlignment="1">
      <alignment horizontal="center" vertical="center" wrapText="1"/>
    </xf>
    <xf numFmtId="0" fontId="1" fillId="5" borderId="10" xfId="16" applyNumberFormat="1" applyFont="1" applyFill="1" applyBorder="1"/>
    <xf numFmtId="0" fontId="3" fillId="6" borderId="6" xfId="16" applyNumberFormat="1" applyFont="1" applyFill="1" applyBorder="1" applyAlignment="1">
      <alignment horizontal="center" vertical="center"/>
    </xf>
    <xf numFmtId="0" fontId="25" fillId="5" borderId="0" xfId="16" applyNumberFormat="1" applyFont="1" applyFill="1" applyAlignment="1">
      <alignment horizontal="center"/>
    </xf>
    <xf numFmtId="0" fontId="3" fillId="2" borderId="7" xfId="16" applyNumberFormat="1" applyFont="1" applyFill="1" applyBorder="1" applyAlignment="1">
      <alignment horizontal="center" vertical="center"/>
    </xf>
    <xf numFmtId="0" fontId="1" fillId="0" borderId="8" xfId="16" applyNumberFormat="1" applyFont="1" applyBorder="1"/>
    <xf numFmtId="0" fontId="3" fillId="2" borderId="8" xfId="16" applyNumberFormat="1" applyFont="1" applyFill="1" applyBorder="1" applyAlignment="1">
      <alignment horizontal="center" vertical="center"/>
    </xf>
    <xf numFmtId="0" fontId="3" fillId="2" borderId="11" xfId="16" applyNumberFormat="1" applyFont="1" applyFill="1" applyBorder="1" applyAlignment="1">
      <alignment horizontal="center" vertical="center"/>
    </xf>
    <xf numFmtId="0" fontId="3" fillId="7" borderId="0" xfId="14" applyNumberFormat="1" applyFont="1" applyFill="1" applyBorder="1" applyAlignment="1">
      <alignment horizontal="left" wrapText="1"/>
    </xf>
    <xf numFmtId="0" fontId="3" fillId="2" borderId="3" xfId="18" applyNumberFormat="1" applyFont="1" applyFill="1" applyBorder="1" applyAlignment="1">
      <alignment horizontal="center" vertical="center"/>
    </xf>
    <xf numFmtId="0" fontId="11" fillId="0" borderId="4" xfId="18" applyNumberFormat="1" applyFont="1" applyBorder="1"/>
    <xf numFmtId="0" fontId="3" fillId="2" borderId="4" xfId="18" applyNumberFormat="1" applyFont="1" applyFill="1" applyBorder="1" applyAlignment="1">
      <alignment horizontal="center" vertical="center"/>
    </xf>
    <xf numFmtId="0" fontId="3" fillId="6" borderId="9" xfId="18" applyNumberFormat="1" applyFont="1" applyFill="1" applyBorder="1" applyAlignment="1">
      <alignment horizontal="center" vertical="center"/>
    </xf>
    <xf numFmtId="0" fontId="3" fillId="6" borderId="10" xfId="18" applyNumberFormat="1" applyFont="1" applyFill="1" applyBorder="1" applyAlignment="1">
      <alignment horizontal="center" vertical="center"/>
    </xf>
    <xf numFmtId="0" fontId="3" fillId="6" borderId="6" xfId="18" applyNumberFormat="1" applyFont="1" applyFill="1" applyBorder="1" applyAlignment="1">
      <alignment horizontal="center" vertical="center"/>
    </xf>
    <xf numFmtId="0" fontId="13" fillId="5" borderId="0" xfId="18" applyNumberFormat="1" applyFont="1" applyFill="1" applyAlignment="1">
      <alignment horizontal="center"/>
    </xf>
    <xf numFmtId="0" fontId="3" fillId="2" borderId="0" xfId="18" applyNumberFormat="1" applyFont="1" applyFill="1" applyBorder="1" applyAlignment="1">
      <alignment horizontal="center" vertical="center"/>
    </xf>
    <xf numFmtId="0" fontId="11" fillId="5" borderId="10" xfId="18" applyNumberFormat="1" applyFont="1" applyFill="1" applyBorder="1"/>
    <xf numFmtId="0" fontId="3" fillId="2" borderId="3" xfId="18" applyNumberFormat="1" applyFont="1" applyFill="1" applyBorder="1" applyAlignment="1">
      <alignment horizontal="center" vertical="center" wrapText="1"/>
    </xf>
    <xf numFmtId="0" fontId="3" fillId="2" borderId="7" xfId="18" applyNumberFormat="1" applyFont="1" applyFill="1" applyBorder="1" applyAlignment="1">
      <alignment horizontal="center" vertical="center"/>
    </xf>
    <xf numFmtId="0" fontId="3" fillId="2" borderId="8" xfId="18" applyNumberFormat="1" applyFont="1" applyFill="1" applyBorder="1" applyAlignment="1">
      <alignment horizontal="center" vertical="center"/>
    </xf>
    <xf numFmtId="0" fontId="3" fillId="2" borderId="11" xfId="18" applyNumberFormat="1" applyFont="1" applyFill="1" applyBorder="1" applyAlignment="1">
      <alignment horizontal="center" vertical="center"/>
    </xf>
    <xf numFmtId="0" fontId="13" fillId="5" borderId="0" xfId="18" applyNumberFormat="1" applyFont="1" applyFill="1" applyAlignment="1">
      <alignment horizontal="center" wrapText="1"/>
    </xf>
    <xf numFmtId="0" fontId="11" fillId="0" borderId="8" xfId="18" applyNumberFormat="1" applyFont="1" applyBorder="1"/>
    <xf numFmtId="0" fontId="13" fillId="5" borderId="0" xfId="17" applyNumberFormat="1" applyFont="1" applyFill="1" applyAlignment="1">
      <alignment horizontal="center" wrapText="1"/>
    </xf>
    <xf numFmtId="0" fontId="13" fillId="5" borderId="0" xfId="17" applyNumberFormat="1" applyFont="1" applyFill="1" applyAlignment="1">
      <alignment horizontal="center"/>
    </xf>
    <xf numFmtId="0" fontId="3" fillId="2" borderId="7" xfId="17" applyNumberFormat="1" applyFont="1" applyFill="1" applyBorder="1" applyAlignment="1">
      <alignment horizontal="center" vertical="center"/>
    </xf>
    <xf numFmtId="0" fontId="11" fillId="0" borderId="8" xfId="17" applyNumberFormat="1" applyFont="1" applyBorder="1"/>
    <xf numFmtId="0" fontId="3" fillId="2" borderId="8" xfId="17" applyNumberFormat="1" applyFont="1" applyFill="1" applyBorder="1" applyAlignment="1">
      <alignment horizontal="center" vertical="center"/>
    </xf>
    <xf numFmtId="0" fontId="3" fillId="2" borderId="11" xfId="17" applyNumberFormat="1" applyFont="1" applyFill="1" applyBorder="1" applyAlignment="1">
      <alignment horizontal="center" vertical="center"/>
    </xf>
    <xf numFmtId="0" fontId="3" fillId="2" borderId="3" xfId="17" applyNumberFormat="1" applyFont="1" applyFill="1" applyBorder="1" applyAlignment="1">
      <alignment horizontal="center" vertical="center"/>
    </xf>
    <xf numFmtId="0" fontId="11" fillId="0" borderId="4" xfId="17" applyNumberFormat="1" applyFont="1" applyBorder="1"/>
    <xf numFmtId="0" fontId="3" fillId="2" borderId="4" xfId="17" applyNumberFormat="1" applyFont="1" applyFill="1" applyBorder="1" applyAlignment="1">
      <alignment horizontal="center" vertical="center"/>
    </xf>
    <xf numFmtId="0" fontId="3" fillId="2" borderId="0" xfId="17" applyNumberFormat="1" applyFont="1" applyFill="1" applyBorder="1" applyAlignment="1">
      <alignment horizontal="center" vertical="center"/>
    </xf>
    <xf numFmtId="0" fontId="3" fillId="7" borderId="0" xfId="17" applyNumberFormat="1" applyFont="1" applyFill="1" applyBorder="1" applyAlignment="1">
      <alignment horizontal="left" wrapText="1"/>
    </xf>
    <xf numFmtId="0" fontId="3" fillId="6" borderId="9" xfId="17" applyNumberFormat="1" applyFont="1" applyFill="1" applyBorder="1" applyAlignment="1">
      <alignment horizontal="center" vertical="center"/>
    </xf>
    <xf numFmtId="0" fontId="11" fillId="5" borderId="10" xfId="17" applyNumberFormat="1" applyFont="1" applyFill="1" applyBorder="1"/>
    <xf numFmtId="0" fontId="3" fillId="6" borderId="10" xfId="17" applyNumberFormat="1" applyFont="1" applyFill="1" applyBorder="1" applyAlignment="1">
      <alignment horizontal="center" vertical="center"/>
    </xf>
    <xf numFmtId="0" fontId="3" fillId="2" borderId="3" xfId="17" applyNumberFormat="1" applyFont="1" applyFill="1" applyBorder="1" applyAlignment="1">
      <alignment horizontal="center" vertical="center" wrapText="1"/>
    </xf>
    <xf numFmtId="0" fontId="3" fillId="6" borderId="6" xfId="17" applyNumberFormat="1" applyFont="1" applyFill="1" applyBorder="1" applyAlignment="1">
      <alignment horizontal="center" vertical="center"/>
    </xf>
    <xf numFmtId="0" fontId="3" fillId="7" borderId="0" xfId="13" applyNumberFormat="1" applyFont="1" applyFill="1" applyBorder="1" applyAlignment="1">
      <alignment horizontal="left" wrapText="1"/>
    </xf>
    <xf numFmtId="0" fontId="3" fillId="7" borderId="0" xfId="16" applyNumberFormat="1" applyFont="1" applyFill="1" applyBorder="1" applyAlignment="1">
      <alignment horizontal="left" wrapText="1"/>
    </xf>
  </cellXfs>
  <cellStyles count="40">
    <cellStyle name="=C:\WINNT\SYSTEM32\COMMAND.COM" xfId="1"/>
    <cellStyle name="=C:\WINNT\SYSTEM32\COMMAND.COM 2" xfId="2"/>
    <cellStyle name="=C:\WINNT\SYSTEM32\COMMAND.COM 2 2" xfId="3"/>
    <cellStyle name="=C:\WINNT\SYSTEM32\COMMAND.COM 3" xfId="4"/>
    <cellStyle name="=C:\WINNT\SYSTEM32\COMMAND.COM 3 2" xfId="5"/>
    <cellStyle name="=C:\WINNT\SYSTEM32\COMMAND.COM 3 2 2" xfId="6"/>
    <cellStyle name="=C:\WINNT\SYSTEM32\COMMAND.COM 4" xfId="7"/>
    <cellStyle name="=C:\WINNT\SYSTEM32\COMMAND.COM 4 2" xfId="8"/>
    <cellStyle name="=C:\WINNT\SYSTEM32\COMMAND.COM 5" xfId="9"/>
    <cellStyle name="=C:\WINNT\SYSTEM32\COMMAND.COM_Balance primario" xfId="10"/>
    <cellStyle name="=C:\WINNT\SYSTEM32\COMMAND.COM_Balance primario 2" xfId="11"/>
    <cellStyle name="=C:\WINNT\SYSTEM32\COMMAND.COM_Formato ingresos y egresos con PIDIREGAS 080221" xfId="12"/>
    <cellStyle name="=C:\WINNT\SYSTEM32\COMMAND.COM_Formato ingresos y egresos con PIDIREGAS 080221 2" xfId="13"/>
    <cellStyle name="=C:\WINNT\SYSTEM32\COMMAND.COM_Formato ingresos y egresos con PIDIREGAS 080221 3" xfId="14"/>
    <cellStyle name="=C:\WINNT\SYSTEM32\COMMAND.COM_Nuevo formato  seguimiento presupuestal 080117 v3" xfId="15"/>
    <cellStyle name="=C:\WINNT\SYSTEM32\COMMAND.COM_Nuevo formato seguimiento presupuestal 080221" xfId="16"/>
    <cellStyle name="=C:\WINNT\SYSTEM32\COMMAND.COM_Nuevo formato seguimiento presupuestal 080221 2" xfId="17"/>
    <cellStyle name="=C:\WINNT\SYSTEM32\COMMAND.COM_Nuevo formato seguimiento presupuestal 080221 3" xfId="18"/>
    <cellStyle name="=C:\WINNT\SYSTEM32\COMMAND.COM_Nuevo formato seguimiento presupuestal 080221 3 2" xfId="38"/>
    <cellStyle name="=C:\WINNT\SYSTEM32\COMMAND.COM_PEMEX revenues and expenses 080221 2" xfId="19"/>
    <cellStyle name="=C:\WINNT\SYSTEM32\COMMAND.COM_PEMEX revenues and expenses 080221 3" xfId="20"/>
    <cellStyle name="=C:\WINNT\SYSTEM32\COMMAND.COM_PEMEX revenues and expenses 080221 3 2" xfId="39"/>
    <cellStyle name="Comma 2" xfId="22"/>
    <cellStyle name="Comma 2 2" xfId="23"/>
    <cellStyle name="Comma 3" xfId="24"/>
    <cellStyle name="Comma 3 2" xfId="25"/>
    <cellStyle name="Comma 4" xfId="26"/>
    <cellStyle name="Millares" xfId="21" builtinId="3"/>
    <cellStyle name="Normal" xfId="0" builtinId="0"/>
    <cellStyle name="Normal 2" xfId="27"/>
    <cellStyle name="Normal 2 2" xfId="28"/>
    <cellStyle name="Normal 2 2 2" xfId="29"/>
    <cellStyle name="Normal 2 3" xfId="30"/>
    <cellStyle name="Normal 2 3 2" xfId="31"/>
    <cellStyle name="Normal 2_Balance primario" xfId="32"/>
    <cellStyle name="Normal 3" xfId="33"/>
    <cellStyle name="Normal 3 2" xfId="34"/>
    <cellStyle name="Normal 3_Ingresos y egresos de PEMEX 0809 (Nvo formato)" xfId="35"/>
    <cellStyle name="Normal 4 2" xfId="36"/>
    <cellStyle name="Normal_Memorándum Automatizado 080418" xfId="37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40001"/>
      <rgbColor rgb="00FFFFFF"/>
      <rgbColor rgb="00FF0000"/>
      <rgbColor rgb="0000FF00"/>
      <rgbColor rgb="000000FF"/>
      <rgbColor rgb="00FFFF00"/>
      <rgbColor rgb="00FF00FF"/>
      <rgbColor rgb="0000FFFF"/>
      <rgbColor rgb="00A2A2A2"/>
      <rgbColor rgb="00008000"/>
      <rgbColor rgb="0000603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336699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EAEAEA"/>
      <rgbColor rgb="00003366"/>
      <rgbColor rgb="00339966"/>
      <rgbColor rgb="00003300"/>
      <rgbColor rgb="00333300"/>
      <rgbColor rgb="00993300"/>
      <rgbColor rgb="00993366"/>
      <rgbColor rgb="002C5A88"/>
      <rgbColor rgb="00333333"/>
    </indexed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0"/>
  <sheetViews>
    <sheetView showGridLines="0" zoomScale="75" zoomScaleNormal="75" workbookViewId="0">
      <selection activeCell="AC17" sqref="AC17"/>
    </sheetView>
  </sheetViews>
  <sheetFormatPr baseColWidth="10" defaultColWidth="9.140625" defaultRowHeight="12.75"/>
  <cols>
    <col min="1" max="1" width="0.140625" style="18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5703125" customWidth="1"/>
    <col min="26" max="26" width="10.5703125" customWidth="1"/>
    <col min="27" max="27" width="2.5703125" customWidth="1"/>
    <col min="28" max="28" width="10.570312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2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2:35" ht="23.25">
      <c r="B2" s="453" t="s">
        <v>43</v>
      </c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453"/>
      <c r="Y2" s="453"/>
      <c r="Z2" s="453"/>
      <c r="AA2" s="453"/>
      <c r="AB2" s="453"/>
      <c r="AC2" s="214"/>
      <c r="AD2" s="214"/>
      <c r="AE2" s="214"/>
      <c r="AF2" s="214"/>
    </row>
    <row r="3" spans="2:35" ht="15.75" customHeight="1" thickBot="1">
      <c r="B3" s="459" t="s">
        <v>57</v>
      </c>
      <c r="C3" s="459"/>
      <c r="D3" s="459"/>
      <c r="E3" s="459"/>
      <c r="F3" s="459"/>
      <c r="G3" s="459"/>
      <c r="H3" s="459"/>
      <c r="I3" s="459"/>
      <c r="J3" s="459"/>
      <c r="K3" s="459"/>
      <c r="L3" s="459"/>
      <c r="M3" s="459"/>
      <c r="N3" s="459"/>
      <c r="O3" s="459"/>
      <c r="P3" s="459"/>
      <c r="Q3" s="459"/>
      <c r="R3" s="459"/>
      <c r="S3" s="459"/>
      <c r="T3" s="459"/>
      <c r="U3" s="459"/>
      <c r="V3" s="459"/>
      <c r="W3" s="459"/>
      <c r="X3" s="459"/>
      <c r="Y3" s="459"/>
      <c r="Z3" s="459"/>
      <c r="AA3" s="459"/>
      <c r="AB3" s="459"/>
      <c r="AC3" s="215"/>
      <c r="AD3" s="215"/>
      <c r="AE3" s="215"/>
      <c r="AF3" s="215"/>
    </row>
    <row r="4" spans="2:35">
      <c r="B4" s="63"/>
      <c r="C4" s="456"/>
      <c r="D4" s="457"/>
      <c r="E4" s="456"/>
      <c r="F4" s="463"/>
      <c r="G4" s="456"/>
      <c r="H4" s="463"/>
      <c r="I4" s="456"/>
      <c r="J4" s="463"/>
      <c r="K4" s="456"/>
      <c r="L4" s="463"/>
      <c r="M4" s="456"/>
      <c r="N4" s="463"/>
      <c r="O4" s="456"/>
      <c r="P4" s="463"/>
      <c r="Q4" s="456"/>
      <c r="R4" s="463"/>
      <c r="S4" s="456"/>
      <c r="T4" s="463"/>
      <c r="U4" s="456"/>
      <c r="V4" s="462"/>
      <c r="W4" s="456"/>
      <c r="X4" s="462"/>
      <c r="Y4" s="456"/>
      <c r="Z4" s="462"/>
      <c r="AA4" s="456"/>
      <c r="AB4" s="462"/>
    </row>
    <row r="5" spans="2:35">
      <c r="B5" s="64">
        <v>1993</v>
      </c>
      <c r="C5" s="454" t="s">
        <v>4</v>
      </c>
      <c r="D5" s="460"/>
      <c r="E5" s="454" t="s">
        <v>5</v>
      </c>
      <c r="F5" s="455"/>
      <c r="G5" s="454" t="s">
        <v>6</v>
      </c>
      <c r="H5" s="455"/>
      <c r="I5" s="454" t="s">
        <v>7</v>
      </c>
      <c r="J5" s="455"/>
      <c r="K5" s="454" t="s">
        <v>8</v>
      </c>
      <c r="L5" s="455"/>
      <c r="M5" s="454" t="s">
        <v>9</v>
      </c>
      <c r="N5" s="455"/>
      <c r="O5" s="454" t="s">
        <v>10</v>
      </c>
      <c r="P5" s="455"/>
      <c r="Q5" s="458" t="s">
        <v>11</v>
      </c>
      <c r="R5" s="455"/>
      <c r="S5" s="458" t="s">
        <v>12</v>
      </c>
      <c r="T5" s="455"/>
      <c r="U5" s="454" t="s">
        <v>0</v>
      </c>
      <c r="V5" s="461"/>
      <c r="W5" s="454" t="s">
        <v>1</v>
      </c>
      <c r="X5" s="461"/>
      <c r="Y5" s="454" t="s">
        <v>2</v>
      </c>
      <c r="Z5" s="461"/>
      <c r="AA5" s="454" t="s">
        <v>15</v>
      </c>
      <c r="AB5" s="461"/>
    </row>
    <row r="6" spans="2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2:35" ht="3.75" customHeight="1" thickBot="1">
      <c r="B7" s="70"/>
      <c r="C7" s="465"/>
      <c r="D7" s="468"/>
      <c r="E7" s="465"/>
      <c r="F7" s="466"/>
      <c r="G7" s="465"/>
      <c r="H7" s="466"/>
      <c r="I7" s="465"/>
      <c r="J7" s="466"/>
      <c r="K7" s="465"/>
      <c r="L7" s="466"/>
      <c r="M7" s="465"/>
      <c r="N7" s="466"/>
      <c r="O7" s="465"/>
      <c r="P7" s="466"/>
      <c r="Q7" s="465"/>
      <c r="R7" s="466"/>
      <c r="S7" s="465"/>
      <c r="T7" s="466"/>
      <c r="U7" s="465"/>
      <c r="V7" s="467"/>
      <c r="W7" s="465"/>
      <c r="X7" s="467"/>
      <c r="Y7" s="465"/>
      <c r="Z7" s="467"/>
      <c r="AA7" s="465"/>
      <c r="AB7" s="467"/>
    </row>
    <row r="8" spans="2:35" s="202" customFormat="1" ht="14.25" customHeight="1">
      <c r="B8" s="71" t="s">
        <v>16</v>
      </c>
      <c r="C8" s="72"/>
      <c r="D8" s="41">
        <f>D9+D12</f>
        <v>7218.5259999999989</v>
      </c>
      <c r="E8" s="42"/>
      <c r="F8" s="41">
        <f>F9+F12</f>
        <v>6560.8088000000007</v>
      </c>
      <c r="G8" s="41"/>
      <c r="H8" s="41">
        <f>H9+H12</f>
        <v>7852.3197</v>
      </c>
      <c r="I8" s="41"/>
      <c r="J8" s="41">
        <f>J9+J12</f>
        <v>7418.9163000000008</v>
      </c>
      <c r="K8" s="41"/>
      <c r="L8" s="41">
        <f>L9+L12</f>
        <v>7024.9795999999997</v>
      </c>
      <c r="M8" s="41"/>
      <c r="N8" s="41">
        <f>N9+N12</f>
        <v>7431.1284999999998</v>
      </c>
      <c r="O8" s="41"/>
      <c r="P8" s="41">
        <f>P9+P12</f>
        <v>7518.8427000000011</v>
      </c>
      <c r="Q8" s="41"/>
      <c r="R8" s="41">
        <f>R9+R12</f>
        <v>7502.5978999999988</v>
      </c>
      <c r="S8" s="41"/>
      <c r="T8" s="41">
        <f>T9+T12</f>
        <v>7292.6456000000007</v>
      </c>
      <c r="U8" s="41"/>
      <c r="V8" s="41">
        <f>V9+V12</f>
        <v>7044.7343000000019</v>
      </c>
      <c r="W8" s="41"/>
      <c r="X8" s="41">
        <f>X9+X12</f>
        <v>7553.2961999999998</v>
      </c>
      <c r="Y8" s="41"/>
      <c r="Z8" s="41">
        <f>Z9+Z12</f>
        <v>6161.5147999999999</v>
      </c>
      <c r="AA8" s="73"/>
      <c r="AB8" s="73">
        <f>AB9+AB12</f>
        <v>86580.310400000002</v>
      </c>
      <c r="AC8" s="216"/>
      <c r="AD8" s="216"/>
      <c r="AE8" s="216"/>
      <c r="AF8" s="216"/>
      <c r="AG8" s="216"/>
      <c r="AH8" s="216"/>
      <c r="AI8" s="216"/>
    </row>
    <row r="9" spans="2:35" s="202" customFormat="1" ht="14.25">
      <c r="B9" s="74" t="s">
        <v>17</v>
      </c>
      <c r="C9" s="72"/>
      <c r="D9" s="42">
        <f>+D10+D11</f>
        <v>7026.049399999999</v>
      </c>
      <c r="E9" s="42"/>
      <c r="F9" s="42">
        <f>+F10+F11</f>
        <v>6471.6260000000011</v>
      </c>
      <c r="G9" s="42"/>
      <c r="H9" s="42">
        <f>+H10+H11</f>
        <v>7763.5649000000003</v>
      </c>
      <c r="I9" s="42"/>
      <c r="J9" s="42">
        <f>+J10+J11</f>
        <v>7293.0838000000003</v>
      </c>
      <c r="K9" s="42"/>
      <c r="L9" s="42">
        <f>+L10+L11</f>
        <v>6757.2137999999995</v>
      </c>
      <c r="M9" s="42"/>
      <c r="N9" s="42">
        <f>+N10+N11</f>
        <v>7409.1131999999998</v>
      </c>
      <c r="O9" s="42"/>
      <c r="P9" s="42">
        <f>+P10+P11</f>
        <v>7309.7671000000009</v>
      </c>
      <c r="Q9" s="42"/>
      <c r="R9" s="42">
        <f>+R10+R11</f>
        <v>7310.430699999999</v>
      </c>
      <c r="S9" s="42"/>
      <c r="T9" s="42">
        <f>+T10+T11</f>
        <v>7071.1562000000004</v>
      </c>
      <c r="U9" s="42"/>
      <c r="V9" s="42">
        <f>+V10+V11</f>
        <v>6954.5340000000015</v>
      </c>
      <c r="W9" s="42"/>
      <c r="X9" s="42">
        <f>+X10+X11</f>
        <v>7388.3719000000001</v>
      </c>
      <c r="Y9" s="42"/>
      <c r="Z9" s="42">
        <f>+Z10+Z11</f>
        <v>5921.1091999999999</v>
      </c>
      <c r="AA9" s="75"/>
      <c r="AB9" s="75">
        <f>+AB10+AB11</f>
        <v>84676.020199999999</v>
      </c>
      <c r="AC9" s="216"/>
      <c r="AD9" s="216"/>
      <c r="AE9" s="216"/>
      <c r="AF9" s="216"/>
      <c r="AG9" s="216"/>
      <c r="AH9" s="216"/>
      <c r="AI9" s="216"/>
    </row>
    <row r="10" spans="2:35" s="202" customFormat="1" ht="14.25">
      <c r="B10" s="194" t="s">
        <v>77</v>
      </c>
      <c r="C10" s="72"/>
      <c r="D10" s="42">
        <v>1953.165</v>
      </c>
      <c r="E10" s="42"/>
      <c r="F10" s="42">
        <v>1721.1346000000001</v>
      </c>
      <c r="G10" s="42"/>
      <c r="H10" s="42">
        <v>2156.6511</v>
      </c>
      <c r="I10" s="42"/>
      <c r="J10" s="42">
        <v>2243.9752000000003</v>
      </c>
      <c r="K10" s="42"/>
      <c r="L10" s="42">
        <v>1770.0293999999999</v>
      </c>
      <c r="M10" s="42"/>
      <c r="N10" s="42">
        <v>2145.6622000000002</v>
      </c>
      <c r="O10" s="42"/>
      <c r="P10" s="42">
        <v>2060.328</v>
      </c>
      <c r="Q10" s="42"/>
      <c r="R10" s="42">
        <v>1964.8076999999998</v>
      </c>
      <c r="S10" s="42"/>
      <c r="T10" s="42">
        <v>1884.1547</v>
      </c>
      <c r="U10" s="42"/>
      <c r="V10" s="42">
        <v>1895.3802000000001</v>
      </c>
      <c r="W10" s="42"/>
      <c r="X10" s="42">
        <v>2150.4798000000001</v>
      </c>
      <c r="Y10" s="42"/>
      <c r="Z10" s="42">
        <v>2077.5344999999998</v>
      </c>
      <c r="AA10" s="75"/>
      <c r="AB10" s="75">
        <f>SUM(D10:Z10)</f>
        <v>24023.3024</v>
      </c>
      <c r="AC10" s="216"/>
      <c r="AD10" s="216"/>
      <c r="AE10" s="216"/>
      <c r="AF10" s="216"/>
      <c r="AG10" s="216"/>
      <c r="AH10" s="216"/>
      <c r="AI10" s="216"/>
    </row>
    <row r="11" spans="2:35" s="202" customFormat="1" ht="14.25">
      <c r="B11" s="194" t="s">
        <v>78</v>
      </c>
      <c r="C11" s="72"/>
      <c r="D11" s="42">
        <v>5072.884399999999</v>
      </c>
      <c r="E11" s="42"/>
      <c r="F11" s="42">
        <v>4750.4914000000008</v>
      </c>
      <c r="G11" s="42"/>
      <c r="H11" s="42">
        <v>5606.9138000000003</v>
      </c>
      <c r="I11" s="42"/>
      <c r="J11" s="42">
        <v>5049.1085999999996</v>
      </c>
      <c r="K11" s="42"/>
      <c r="L11" s="42">
        <v>4987.1844000000001</v>
      </c>
      <c r="M11" s="42"/>
      <c r="N11" s="42">
        <v>5263.451</v>
      </c>
      <c r="O11" s="42"/>
      <c r="P11" s="42">
        <v>5249.4391000000005</v>
      </c>
      <c r="Q11" s="42"/>
      <c r="R11" s="42">
        <v>5345.6229999999996</v>
      </c>
      <c r="S11" s="42"/>
      <c r="T11" s="42">
        <v>5187.0015000000003</v>
      </c>
      <c r="U11" s="42"/>
      <c r="V11" s="42">
        <v>5059.153800000001</v>
      </c>
      <c r="W11" s="42"/>
      <c r="X11" s="42">
        <v>5237.8921</v>
      </c>
      <c r="Y11" s="42"/>
      <c r="Z11" s="42">
        <v>3843.5747000000001</v>
      </c>
      <c r="AA11" s="77"/>
      <c r="AB11" s="75">
        <f>SUM(D11:Z11)</f>
        <v>60652.717799999999</v>
      </c>
      <c r="AC11" s="216"/>
      <c r="AD11" s="216"/>
      <c r="AE11" s="216"/>
      <c r="AF11" s="216"/>
      <c r="AG11" s="216"/>
      <c r="AH11" s="216"/>
      <c r="AI11" s="216"/>
    </row>
    <row r="12" spans="2:35" s="202" customFormat="1" ht="14.25">
      <c r="B12" s="206" t="s">
        <v>79</v>
      </c>
      <c r="C12" s="72"/>
      <c r="D12" s="42">
        <v>192.47659999999999</v>
      </c>
      <c r="E12" s="42"/>
      <c r="F12" s="42">
        <v>89.1828</v>
      </c>
      <c r="G12" s="42"/>
      <c r="H12" s="42">
        <v>88.754800000000003</v>
      </c>
      <c r="I12" s="42"/>
      <c r="J12" s="42">
        <v>125.8325</v>
      </c>
      <c r="K12" s="42"/>
      <c r="L12" s="42">
        <v>267.76580000000001</v>
      </c>
      <c r="M12" s="42"/>
      <c r="N12" s="42">
        <v>22.0153</v>
      </c>
      <c r="O12" s="42"/>
      <c r="P12" s="42">
        <v>209.07560000000001</v>
      </c>
      <c r="Q12" s="42"/>
      <c r="R12" s="42">
        <v>192.16720000000001</v>
      </c>
      <c r="S12" s="42"/>
      <c r="T12" s="42">
        <v>221.48940000000002</v>
      </c>
      <c r="U12" s="42"/>
      <c r="V12" s="42">
        <v>90.200299999999999</v>
      </c>
      <c r="W12" s="42"/>
      <c r="X12" s="42">
        <v>164.92429999999999</v>
      </c>
      <c r="Y12" s="42"/>
      <c r="Z12" s="42">
        <v>240.40559999999999</v>
      </c>
      <c r="AA12" s="75"/>
      <c r="AB12" s="75">
        <f>SUM(D12:Z12)</f>
        <v>1904.2901999999999</v>
      </c>
      <c r="AC12" s="216"/>
      <c r="AD12" s="216"/>
      <c r="AE12" s="216"/>
      <c r="AF12" s="216"/>
      <c r="AG12" s="216"/>
      <c r="AH12" s="216"/>
      <c r="AI12" s="216"/>
    </row>
    <row r="13" spans="2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2:35" s="203" customFormat="1" ht="14.25">
      <c r="B14" s="81" t="s">
        <v>80</v>
      </c>
      <c r="C14" s="82"/>
      <c r="D14" s="45">
        <f>+D15+D16+D17</f>
        <v>1134.8375999999996</v>
      </c>
      <c r="E14" s="45"/>
      <c r="F14" s="45">
        <f>+F15+F16+F17</f>
        <v>1125.7684999999999</v>
      </c>
      <c r="G14" s="45"/>
      <c r="H14" s="45">
        <f>+H15+H16+H17</f>
        <v>1173.3569</v>
      </c>
      <c r="I14" s="45"/>
      <c r="J14" s="45">
        <f>+J15+J16+J17</f>
        <v>1124.4591</v>
      </c>
      <c r="K14" s="45"/>
      <c r="L14" s="45">
        <f>+L15+L16+L17</f>
        <v>1102.5557000000001</v>
      </c>
      <c r="M14" s="45"/>
      <c r="N14" s="45">
        <f>+N15+N16+N17</f>
        <v>1147.7102</v>
      </c>
      <c r="O14" s="45"/>
      <c r="P14" s="45">
        <f>+P15+P16+P17</f>
        <v>1242.3253000000002</v>
      </c>
      <c r="Q14" s="45"/>
      <c r="R14" s="45">
        <f>+R15+R16+R17</f>
        <v>1217.0171</v>
      </c>
      <c r="S14" s="45"/>
      <c r="T14" s="45">
        <f>+T15+T16+T17</f>
        <v>1037.0428000000002</v>
      </c>
      <c r="U14" s="45"/>
      <c r="V14" s="45">
        <f>+V15+V16+V17</f>
        <v>1218.5051000000001</v>
      </c>
      <c r="W14" s="45"/>
      <c r="X14" s="45">
        <f>+X15+X16+X17</f>
        <v>1249.1380000000004</v>
      </c>
      <c r="Y14" s="45"/>
      <c r="Z14" s="45">
        <f>+Z15+Z16+Z17</f>
        <v>2249.5625999999993</v>
      </c>
      <c r="AA14" s="83"/>
      <c r="AB14" s="83">
        <f>+AB15+AB16+AB17</f>
        <v>15022.278899999998</v>
      </c>
      <c r="AC14" s="217"/>
      <c r="AD14" s="217"/>
      <c r="AE14" s="217"/>
      <c r="AF14" s="217"/>
      <c r="AG14" s="217"/>
      <c r="AH14" s="217"/>
      <c r="AI14" s="217"/>
    </row>
    <row r="15" spans="2:35" s="202" customFormat="1" ht="14.25">
      <c r="B15" s="74" t="s">
        <v>34</v>
      </c>
      <c r="C15" s="72"/>
      <c r="D15" s="42">
        <v>289.34770000000003</v>
      </c>
      <c r="E15" s="42"/>
      <c r="F15" s="42">
        <v>300.65429999999998</v>
      </c>
      <c r="G15" s="42"/>
      <c r="H15" s="42">
        <v>341.48819999999995</v>
      </c>
      <c r="I15" s="42"/>
      <c r="J15" s="42">
        <v>300.89690000000002</v>
      </c>
      <c r="K15" s="42"/>
      <c r="L15" s="42">
        <v>286.48140000000001</v>
      </c>
      <c r="M15" s="42"/>
      <c r="N15" s="42">
        <v>300.02850000000001</v>
      </c>
      <c r="O15" s="42"/>
      <c r="P15" s="42">
        <v>304.65340000000003</v>
      </c>
      <c r="Q15" s="42"/>
      <c r="R15" s="42">
        <v>301.91310000000004</v>
      </c>
      <c r="S15" s="42"/>
      <c r="T15" s="42">
        <v>282.57640000000004</v>
      </c>
      <c r="U15" s="42"/>
      <c r="V15" s="42">
        <v>348.44029999999998</v>
      </c>
      <c r="W15" s="42"/>
      <c r="X15" s="42">
        <v>308.49730000000005</v>
      </c>
      <c r="Y15" s="42"/>
      <c r="Z15" s="42">
        <v>843.75389999999993</v>
      </c>
      <c r="AA15" s="75"/>
      <c r="AB15" s="75">
        <f>SUM(D15:Z15)</f>
        <v>4208.7313999999997</v>
      </c>
      <c r="AC15" s="216"/>
      <c r="AD15" s="216"/>
      <c r="AE15" s="216"/>
      <c r="AF15" s="216"/>
      <c r="AG15" s="216"/>
      <c r="AH15" s="216"/>
      <c r="AI15" s="216"/>
    </row>
    <row r="16" spans="2:35" s="202" customFormat="1" ht="14.25">
      <c r="B16" s="74" t="s">
        <v>13</v>
      </c>
      <c r="C16" s="72"/>
      <c r="D16" s="42">
        <v>162.29469999999998</v>
      </c>
      <c r="E16" s="42"/>
      <c r="F16" s="42">
        <v>161.91619999999998</v>
      </c>
      <c r="G16" s="42"/>
      <c r="H16" s="42">
        <v>162.5634</v>
      </c>
      <c r="I16" s="42"/>
      <c r="J16" s="42">
        <v>159.52860000000001</v>
      </c>
      <c r="K16" s="42"/>
      <c r="L16" s="42">
        <v>150.40600000000001</v>
      </c>
      <c r="M16" s="42"/>
      <c r="N16" s="42">
        <v>164.9691</v>
      </c>
      <c r="O16" s="42"/>
      <c r="P16" s="42">
        <v>229.76760000000002</v>
      </c>
      <c r="Q16" s="42"/>
      <c r="R16" s="42">
        <v>188.58610000000002</v>
      </c>
      <c r="S16" s="42"/>
      <c r="T16" s="42">
        <v>131.79580000000001</v>
      </c>
      <c r="U16" s="42"/>
      <c r="V16" s="42">
        <v>157.33649999999997</v>
      </c>
      <c r="W16" s="42"/>
      <c r="X16" s="42">
        <v>234.60450000000003</v>
      </c>
      <c r="Y16" s="42"/>
      <c r="Z16" s="42">
        <v>166.77259999999998</v>
      </c>
      <c r="AA16" s="75"/>
      <c r="AB16" s="75">
        <f>SUM(D16:Z16)</f>
        <v>2070.5410999999999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B17" s="206" t="s">
        <v>81</v>
      </c>
      <c r="C17" s="72"/>
      <c r="D17" s="42">
        <v>683.19519999999966</v>
      </c>
      <c r="E17" s="42"/>
      <c r="F17" s="42">
        <v>663.19799999999998</v>
      </c>
      <c r="G17" s="42"/>
      <c r="H17" s="42">
        <v>669.30529999999999</v>
      </c>
      <c r="I17" s="42"/>
      <c r="J17" s="42">
        <v>664.03360000000009</v>
      </c>
      <c r="K17" s="42"/>
      <c r="L17" s="42">
        <v>665.66830000000004</v>
      </c>
      <c r="M17" s="42"/>
      <c r="N17" s="42">
        <v>682.71259999999995</v>
      </c>
      <c r="O17" s="42"/>
      <c r="P17" s="42">
        <v>707.90430000000015</v>
      </c>
      <c r="Q17" s="42"/>
      <c r="R17" s="42">
        <v>726.51790000000005</v>
      </c>
      <c r="S17" s="42"/>
      <c r="T17" s="42">
        <v>622.67060000000015</v>
      </c>
      <c r="U17" s="42"/>
      <c r="V17" s="42">
        <v>712.7283000000001</v>
      </c>
      <c r="W17" s="42"/>
      <c r="X17" s="42">
        <v>706.03620000000012</v>
      </c>
      <c r="Y17" s="42"/>
      <c r="Z17" s="42">
        <v>1239.0360999999994</v>
      </c>
      <c r="AA17" s="75"/>
      <c r="AB17" s="75">
        <f>SUM(D17:Z17)</f>
        <v>8743.0063999999984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B19" s="85" t="s">
        <v>40</v>
      </c>
      <c r="C19" s="72"/>
      <c r="D19" s="42">
        <v>104.37950000000001</v>
      </c>
      <c r="E19" s="42"/>
      <c r="F19" s="42">
        <v>7.5910000000000082</v>
      </c>
      <c r="G19" s="42"/>
      <c r="H19" s="42">
        <v>55.518600000000006</v>
      </c>
      <c r="I19" s="42"/>
      <c r="J19" s="42">
        <v>41.938600000000001</v>
      </c>
      <c r="K19" s="42"/>
      <c r="L19" s="42">
        <v>81.575600000000009</v>
      </c>
      <c r="M19" s="42"/>
      <c r="N19" s="42">
        <v>48.099100000000021</v>
      </c>
      <c r="O19" s="42"/>
      <c r="P19" s="42">
        <v>-5.5630000000000104</v>
      </c>
      <c r="Q19" s="42"/>
      <c r="R19" s="42">
        <v>-0.75249999999999773</v>
      </c>
      <c r="S19" s="42"/>
      <c r="T19" s="42">
        <v>-46.905200000000008</v>
      </c>
      <c r="U19" s="42"/>
      <c r="V19" s="42">
        <v>52.015599999999999</v>
      </c>
      <c r="W19" s="42"/>
      <c r="X19" s="42">
        <v>50.341100000000012</v>
      </c>
      <c r="Y19" s="42"/>
      <c r="Z19" s="42">
        <v>-64.563600000000051</v>
      </c>
      <c r="AA19" s="42"/>
      <c r="AB19" s="124">
        <f>SUM(D19:Z19)</f>
        <v>323.6748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B21" s="228" t="s">
        <v>82</v>
      </c>
      <c r="C21" s="72"/>
      <c r="D21" s="42">
        <v>461.18099999999998</v>
      </c>
      <c r="E21" s="42"/>
      <c r="F21" s="42">
        <v>438.6</v>
      </c>
      <c r="G21" s="42"/>
      <c r="H21" s="42">
        <v>471.38</v>
      </c>
      <c r="I21" s="42"/>
      <c r="J21" s="42">
        <v>491.6</v>
      </c>
      <c r="K21" s="42"/>
      <c r="L21" s="42">
        <v>479.10750000000002</v>
      </c>
      <c r="M21" s="42"/>
      <c r="N21" s="42">
        <v>511.08009999999996</v>
      </c>
      <c r="O21" s="42"/>
      <c r="P21" s="42">
        <v>484.89140000000003</v>
      </c>
      <c r="Q21" s="42"/>
      <c r="R21" s="42">
        <v>357.63309999999996</v>
      </c>
      <c r="S21" s="42"/>
      <c r="T21" s="42">
        <v>286.62090000000001</v>
      </c>
      <c r="U21" s="42"/>
      <c r="V21" s="42">
        <v>306.58909999999997</v>
      </c>
      <c r="W21" s="42"/>
      <c r="X21" s="42">
        <v>268.61369999999999</v>
      </c>
      <c r="Y21" s="42"/>
      <c r="Z21" s="42">
        <v>281.45709999999997</v>
      </c>
      <c r="AA21" s="42"/>
      <c r="AB21" s="75">
        <f>SUM(D21:Z21)</f>
        <v>4838.7538999999997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B23" s="89" t="s">
        <v>83</v>
      </c>
      <c r="C23" s="82"/>
      <c r="D23" s="45">
        <f>D8-D14-D19-D21</f>
        <v>5518.1278999999995</v>
      </c>
      <c r="E23" s="45"/>
      <c r="F23" s="45">
        <f>F8-F14-F19-F21</f>
        <v>4988.8492999999999</v>
      </c>
      <c r="G23" s="45"/>
      <c r="H23" s="45">
        <f>H8-H14-H19-H21</f>
        <v>6152.0641999999998</v>
      </c>
      <c r="I23" s="45"/>
      <c r="J23" s="45">
        <f>J8-J14-J19-J21</f>
        <v>5760.9186</v>
      </c>
      <c r="K23" s="45"/>
      <c r="L23" s="45">
        <f>L8-L14-L19-L21</f>
        <v>5361.7407999999996</v>
      </c>
      <c r="M23" s="45"/>
      <c r="N23" s="45">
        <f>N8-N14-N19-N21</f>
        <v>5724.2390999999989</v>
      </c>
      <c r="O23" s="45"/>
      <c r="P23" s="45">
        <f>P8-P14-P19-P21</f>
        <v>5797.1890000000003</v>
      </c>
      <c r="Q23" s="45"/>
      <c r="R23" s="45">
        <f>R8-R14-R19-R21</f>
        <v>5928.7001999999984</v>
      </c>
      <c r="S23" s="45"/>
      <c r="T23" s="45">
        <f>T8-T14-T19-T21</f>
        <v>6015.8871000000008</v>
      </c>
      <c r="U23" s="45"/>
      <c r="V23" s="45">
        <f>V8-V14-V19-V21</f>
        <v>5467.6245000000017</v>
      </c>
      <c r="W23" s="45"/>
      <c r="X23" s="45">
        <f>X8-X14-X19-X21</f>
        <v>5985.2034000000003</v>
      </c>
      <c r="Y23" s="45"/>
      <c r="Z23" s="45">
        <f>Z8-Z14-Z19-Z21</f>
        <v>3695.0587000000005</v>
      </c>
      <c r="AA23" s="45"/>
      <c r="AB23" s="83">
        <f>AB8-AB14-AB19-AB21</f>
        <v>66395.602800000022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204"/>
      <c r="B25" s="81" t="s">
        <v>84</v>
      </c>
      <c r="C25" s="82"/>
      <c r="D25" s="45">
        <f>+D27+D26</f>
        <v>509.57350000000002</v>
      </c>
      <c r="E25" s="82"/>
      <c r="F25" s="45">
        <f>+F27+F26</f>
        <v>494.53809999999999</v>
      </c>
      <c r="G25" s="82"/>
      <c r="H25" s="45">
        <f>+H27+H26</f>
        <v>375.75279999999992</v>
      </c>
      <c r="I25" s="82"/>
      <c r="J25" s="45">
        <f>+J27+J26</f>
        <v>519.38499999999999</v>
      </c>
      <c r="K25" s="82"/>
      <c r="L25" s="45">
        <f>+L27+L26</f>
        <v>545.35069999999996</v>
      </c>
      <c r="M25" s="82"/>
      <c r="N25" s="45">
        <f>+N27+N26</f>
        <v>572.23689999999988</v>
      </c>
      <c r="O25" s="82"/>
      <c r="P25" s="45">
        <f>+P27+P26</f>
        <v>856.68379999999979</v>
      </c>
      <c r="Q25" s="82"/>
      <c r="R25" s="45">
        <f>+R27+R26</f>
        <v>1025.3598</v>
      </c>
      <c r="S25" s="82"/>
      <c r="T25" s="45">
        <f>+T27+T26</f>
        <v>1097.9341999999997</v>
      </c>
      <c r="U25" s="82"/>
      <c r="V25" s="45">
        <f>+V27+V26</f>
        <v>1012.7513</v>
      </c>
      <c r="W25" s="82"/>
      <c r="X25" s="45">
        <f>+X27+X26</f>
        <v>932.94439999999975</v>
      </c>
      <c r="Y25" s="82"/>
      <c r="Z25" s="45">
        <f>+Z27+Z26</f>
        <v>689.41849999999999</v>
      </c>
      <c r="AA25" s="82"/>
      <c r="AB25" s="45">
        <f>+AB27+AB26</f>
        <v>8631.9289999999983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B26" s="206" t="s">
        <v>86</v>
      </c>
      <c r="C26" s="72"/>
      <c r="D26" s="42">
        <v>0</v>
      </c>
      <c r="E26" s="42"/>
      <c r="F26" s="42">
        <v>0</v>
      </c>
      <c r="G26" s="42"/>
      <c r="H26" s="42">
        <v>0</v>
      </c>
      <c r="I26" s="42"/>
      <c r="J26" s="42">
        <v>0</v>
      </c>
      <c r="K26" s="42"/>
      <c r="L26" s="42">
        <v>0</v>
      </c>
      <c r="M26" s="42"/>
      <c r="N26" s="42">
        <v>0</v>
      </c>
      <c r="O26" s="42"/>
      <c r="P26" s="42">
        <v>0</v>
      </c>
      <c r="Q26" s="77"/>
      <c r="R26" s="42">
        <v>0</v>
      </c>
      <c r="S26" s="42"/>
      <c r="T26" s="42">
        <v>0</v>
      </c>
      <c r="U26" s="42"/>
      <c r="V26" s="42">
        <v>0</v>
      </c>
      <c r="W26" s="42"/>
      <c r="X26" s="42">
        <v>0</v>
      </c>
      <c r="Y26" s="42"/>
      <c r="Z26" s="42">
        <v>0</v>
      </c>
      <c r="AA26" s="42"/>
      <c r="AB26" s="42">
        <f>SUM(D26:Z26)</f>
        <v>0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B27" s="197" t="s">
        <v>35</v>
      </c>
      <c r="C27" s="72"/>
      <c r="D27" s="42">
        <f>+D28+D29</f>
        <v>509.57350000000002</v>
      </c>
      <c r="E27" s="42"/>
      <c r="F27" s="42">
        <f>+F28+F29</f>
        <v>494.53809999999999</v>
      </c>
      <c r="G27" s="42"/>
      <c r="H27" s="42">
        <f>+H28+H29</f>
        <v>375.75279999999992</v>
      </c>
      <c r="I27" s="42"/>
      <c r="J27" s="42">
        <f>+J28+J29</f>
        <v>519.38499999999999</v>
      </c>
      <c r="K27" s="42"/>
      <c r="L27" s="42">
        <f>+L28+L29</f>
        <v>545.35069999999996</v>
      </c>
      <c r="M27" s="42"/>
      <c r="N27" s="42">
        <f>+N28+N29</f>
        <v>572.23689999999988</v>
      </c>
      <c r="O27" s="42"/>
      <c r="P27" s="42">
        <f>+P28+P29</f>
        <v>856.68379999999979</v>
      </c>
      <c r="Q27" s="42"/>
      <c r="R27" s="42">
        <f>+R28+R29</f>
        <v>1025.3598</v>
      </c>
      <c r="S27" s="42"/>
      <c r="T27" s="42">
        <f>+T28+T29</f>
        <v>1097.9341999999997</v>
      </c>
      <c r="U27" s="42"/>
      <c r="V27" s="42">
        <f>+V28+V29</f>
        <v>1012.7513</v>
      </c>
      <c r="W27" s="42"/>
      <c r="X27" s="42">
        <f>+X28+X29</f>
        <v>932.94439999999975</v>
      </c>
      <c r="Y27" s="42"/>
      <c r="Z27" s="42">
        <f>+Z28+Z29</f>
        <v>689.41849999999999</v>
      </c>
      <c r="AA27" s="75"/>
      <c r="AB27" s="75">
        <f>+AB28+AB29</f>
        <v>8631.9289999999983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B28" s="194" t="s">
        <v>87</v>
      </c>
      <c r="C28" s="90"/>
      <c r="D28" s="42">
        <v>509.57350000000002</v>
      </c>
      <c r="E28" s="42"/>
      <c r="F28" s="42">
        <v>494.53809999999999</v>
      </c>
      <c r="G28" s="42"/>
      <c r="H28" s="42">
        <v>375.75279999999992</v>
      </c>
      <c r="I28" s="42"/>
      <c r="J28" s="42">
        <v>519.38499999999999</v>
      </c>
      <c r="K28" s="42"/>
      <c r="L28" s="42">
        <v>545.35069999999996</v>
      </c>
      <c r="M28" s="42"/>
      <c r="N28" s="42">
        <v>572.23689999999988</v>
      </c>
      <c r="O28" s="42"/>
      <c r="P28" s="42">
        <v>856.68379999999979</v>
      </c>
      <c r="Q28" s="42"/>
      <c r="R28" s="42">
        <v>1025.3598</v>
      </c>
      <c r="S28" s="42"/>
      <c r="T28" s="42">
        <v>1097.9341999999997</v>
      </c>
      <c r="U28" s="42"/>
      <c r="V28" s="42">
        <v>1012.7513</v>
      </c>
      <c r="W28" s="42"/>
      <c r="X28" s="42">
        <v>932.94439999999975</v>
      </c>
      <c r="Y28" s="42"/>
      <c r="Z28" s="42">
        <v>689.41849999999999</v>
      </c>
      <c r="AA28" s="75"/>
      <c r="AB28" s="75">
        <f>SUM(D28:Z28)</f>
        <v>8631.9289999999983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B29" s="76" t="s">
        <v>14</v>
      </c>
      <c r="C29" s="72"/>
      <c r="D29" s="42">
        <v>0</v>
      </c>
      <c r="E29" s="42"/>
      <c r="F29" s="42">
        <v>0</v>
      </c>
      <c r="G29" s="42"/>
      <c r="H29" s="42">
        <v>0</v>
      </c>
      <c r="I29" s="42"/>
      <c r="J29" s="42">
        <v>0</v>
      </c>
      <c r="K29" s="42"/>
      <c r="L29" s="42">
        <v>0</v>
      </c>
      <c r="M29" s="42"/>
      <c r="N29" s="42">
        <v>0</v>
      </c>
      <c r="O29" s="42"/>
      <c r="P29" s="42">
        <v>0</v>
      </c>
      <c r="Q29" s="42"/>
      <c r="R29" s="42">
        <v>0</v>
      </c>
      <c r="S29" s="42"/>
      <c r="T29" s="42">
        <v>0</v>
      </c>
      <c r="U29" s="42"/>
      <c r="V29" s="42">
        <v>0</v>
      </c>
      <c r="W29" s="42"/>
      <c r="X29" s="42">
        <v>0</v>
      </c>
      <c r="Y29" s="42"/>
      <c r="Z29" s="42">
        <v>0</v>
      </c>
      <c r="AA29" s="75"/>
      <c r="AB29" s="42">
        <f>SUM(D29:Z29)</f>
        <v>0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0</v>
      </c>
      <c r="U31" s="118"/>
      <c r="V31" s="118">
        <v>0</v>
      </c>
      <c r="W31" s="118"/>
      <c r="X31" s="118">
        <v>0</v>
      </c>
      <c r="Y31" s="118"/>
      <c r="Z31" s="118">
        <v>0</v>
      </c>
      <c r="AA31" s="41"/>
      <c r="AB31" s="118">
        <f>SUM(D31:Z31)</f>
        <v>0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2:35" s="202" customFormat="1" ht="27">
      <c r="B33" s="207" t="s">
        <v>106</v>
      </c>
      <c r="C33" s="95"/>
      <c r="D33" s="119">
        <f>D23-D25+D31</f>
        <v>5008.5543999999991</v>
      </c>
      <c r="E33" s="119"/>
      <c r="F33" s="119">
        <f>F23-F25+F31</f>
        <v>4494.3112000000001</v>
      </c>
      <c r="G33" s="119"/>
      <c r="H33" s="119">
        <f>H23-H25+H31</f>
        <v>5776.3113999999996</v>
      </c>
      <c r="I33" s="119"/>
      <c r="J33" s="119">
        <f>J23-J25+J31</f>
        <v>5241.5335999999998</v>
      </c>
      <c r="K33" s="119"/>
      <c r="L33" s="119">
        <f>L23-L25+L31</f>
        <v>4816.3900999999996</v>
      </c>
      <c r="M33" s="119"/>
      <c r="N33" s="119">
        <f>N23-N25+N31</f>
        <v>5152.002199999999</v>
      </c>
      <c r="O33" s="119"/>
      <c r="P33" s="119">
        <f>P23-P25+P31</f>
        <v>4940.5052000000005</v>
      </c>
      <c r="Q33" s="119"/>
      <c r="R33" s="119">
        <f>R23-R25+R31</f>
        <v>4903.3403999999982</v>
      </c>
      <c r="S33" s="119"/>
      <c r="T33" s="119">
        <f>T23-T25+T31</f>
        <v>4917.9529000000011</v>
      </c>
      <c r="U33" s="119"/>
      <c r="V33" s="119">
        <f>V23-V25+V31</f>
        <v>4454.8732000000018</v>
      </c>
      <c r="W33" s="119"/>
      <c r="X33" s="119">
        <f>X23-X25+X31</f>
        <v>5052.2590000000009</v>
      </c>
      <c r="Y33" s="119"/>
      <c r="Z33" s="119">
        <f>Z23-Z25+Z31</f>
        <v>3005.6402000000007</v>
      </c>
      <c r="AA33" s="119"/>
      <c r="AB33" s="119">
        <f>AB23-AB25+AB31</f>
        <v>57763.673800000026</v>
      </c>
      <c r="AC33" s="216"/>
      <c r="AD33" s="216"/>
      <c r="AE33" s="216"/>
      <c r="AF33" s="216"/>
      <c r="AG33" s="216"/>
      <c r="AH33" s="216"/>
      <c r="AI33" s="216"/>
    </row>
    <row r="34" spans="2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2:35" s="202" customFormat="1" ht="14.25">
      <c r="B35" s="85" t="s">
        <v>18</v>
      </c>
      <c r="C35" s="72"/>
      <c r="D35" s="42">
        <v>4873.7230999999992</v>
      </c>
      <c r="E35" s="42"/>
      <c r="F35" s="42">
        <v>4750.0572000000002</v>
      </c>
      <c r="G35" s="42"/>
      <c r="H35" s="42">
        <v>5031.4916000000003</v>
      </c>
      <c r="I35" s="42"/>
      <c r="J35" s="42">
        <v>4785.6302999999998</v>
      </c>
      <c r="K35" s="42"/>
      <c r="L35" s="42">
        <v>5281.2961999999998</v>
      </c>
      <c r="M35" s="42"/>
      <c r="N35" s="42">
        <v>3051.7812000000004</v>
      </c>
      <c r="O35" s="42"/>
      <c r="P35" s="42">
        <v>4465.5290999999997</v>
      </c>
      <c r="Q35" s="42"/>
      <c r="R35" s="42">
        <v>4199.2313999999997</v>
      </c>
      <c r="S35" s="42"/>
      <c r="T35" s="42">
        <v>4127.6004000000003</v>
      </c>
      <c r="U35" s="42"/>
      <c r="V35" s="42">
        <v>3858.1012999999994</v>
      </c>
      <c r="W35" s="42"/>
      <c r="X35" s="42">
        <v>6478.6993000000011</v>
      </c>
      <c r="Y35" s="42"/>
      <c r="Z35" s="42">
        <v>3106.5705000000003</v>
      </c>
      <c r="AA35" s="42"/>
      <c r="AB35" s="75">
        <f>SUM(D35:Z35)</f>
        <v>54009.71160000001</v>
      </c>
      <c r="AC35" s="216"/>
      <c r="AD35" s="216"/>
      <c r="AE35" s="216"/>
      <c r="AF35" s="216"/>
      <c r="AG35" s="216"/>
      <c r="AH35" s="216"/>
      <c r="AI35" s="216"/>
    </row>
    <row r="36" spans="2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2:35" s="202" customFormat="1" ht="25.5">
      <c r="B37" s="94" t="s">
        <v>36</v>
      </c>
      <c r="C37" s="96"/>
      <c r="D37" s="119">
        <f>D33-D35</f>
        <v>134.83129999999983</v>
      </c>
      <c r="E37" s="119"/>
      <c r="F37" s="119">
        <f>F33-F35</f>
        <v>-255.74600000000009</v>
      </c>
      <c r="G37" s="119"/>
      <c r="H37" s="119">
        <f>H33-H35</f>
        <v>744.8197999999993</v>
      </c>
      <c r="I37" s="119"/>
      <c r="J37" s="119">
        <f>J33-J35</f>
        <v>455.90329999999994</v>
      </c>
      <c r="K37" s="119"/>
      <c r="L37" s="119">
        <f>L33-L35</f>
        <v>-464.90610000000015</v>
      </c>
      <c r="M37" s="119"/>
      <c r="N37" s="119">
        <f>N33-N35</f>
        <v>2100.2209999999986</v>
      </c>
      <c r="O37" s="119"/>
      <c r="P37" s="119">
        <f>P33-P35</f>
        <v>474.97610000000077</v>
      </c>
      <c r="Q37" s="119"/>
      <c r="R37" s="119">
        <f>R33-R35</f>
        <v>704.10899999999856</v>
      </c>
      <c r="S37" s="119"/>
      <c r="T37" s="119">
        <f>T33-T35</f>
        <v>790.35250000000087</v>
      </c>
      <c r="U37" s="119"/>
      <c r="V37" s="119">
        <f>V33-V35</f>
        <v>596.77190000000246</v>
      </c>
      <c r="W37" s="119"/>
      <c r="X37" s="119">
        <f>X33-X35</f>
        <v>-1426.4403000000002</v>
      </c>
      <c r="Y37" s="119"/>
      <c r="Z37" s="119">
        <f>Z33-Z35</f>
        <v>-100.93029999999953</v>
      </c>
      <c r="AA37" s="119"/>
      <c r="AB37" s="119">
        <f>AB33-AB35</f>
        <v>3753.9622000000163</v>
      </c>
      <c r="AC37" s="216"/>
      <c r="AD37" s="216"/>
      <c r="AE37" s="216"/>
      <c r="AF37" s="216"/>
      <c r="AG37" s="216"/>
      <c r="AH37" s="216"/>
      <c r="AI37" s="216"/>
    </row>
    <row r="38" spans="2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2:35" s="202" customFormat="1" ht="12.75" customHeight="1">
      <c r="B39" s="198" t="s">
        <v>19</v>
      </c>
      <c r="C39" s="72"/>
      <c r="D39" s="42">
        <f>D40+D43</f>
        <v>221.23160000000001</v>
      </c>
      <c r="E39" s="72"/>
      <c r="F39" s="42">
        <f>F40+F43</f>
        <v>153.15360000000001</v>
      </c>
      <c r="G39" s="72"/>
      <c r="H39" s="42">
        <f>H40+H43</f>
        <v>373.11959999999999</v>
      </c>
      <c r="I39" s="72"/>
      <c r="J39" s="42">
        <f>J40+J43</f>
        <v>230.70279999999997</v>
      </c>
      <c r="K39" s="72"/>
      <c r="L39" s="42">
        <f>L40+L43</f>
        <v>287.59340000000003</v>
      </c>
      <c r="M39" s="72"/>
      <c r="N39" s="42">
        <f>N40+N43</f>
        <v>352.22140000000002</v>
      </c>
      <c r="O39" s="72"/>
      <c r="P39" s="42">
        <f>P40+P43</f>
        <v>239.17660000000001</v>
      </c>
      <c r="Q39" s="72"/>
      <c r="R39" s="42">
        <f>R40+R43</f>
        <v>236.40909999999997</v>
      </c>
      <c r="S39" s="72"/>
      <c r="T39" s="42">
        <f>T40+T43</f>
        <v>294.85289999999998</v>
      </c>
      <c r="U39" s="72"/>
      <c r="V39" s="42">
        <f>V40+V43</f>
        <v>332.27179999999998</v>
      </c>
      <c r="W39" s="72"/>
      <c r="X39" s="42">
        <f>X40+X43</f>
        <v>209.9597</v>
      </c>
      <c r="Y39" s="72"/>
      <c r="Z39" s="42">
        <f>Z40+Z43</f>
        <v>370.86980000000005</v>
      </c>
      <c r="AA39" s="72"/>
      <c r="AB39" s="42">
        <f>AB40+AB43</f>
        <v>3301.5623000000001</v>
      </c>
      <c r="AC39" s="218"/>
      <c r="AD39" s="216"/>
      <c r="AE39" s="216"/>
      <c r="AF39" s="216"/>
      <c r="AG39" s="216"/>
      <c r="AH39" s="216"/>
      <c r="AI39" s="216"/>
    </row>
    <row r="40" spans="2:35" s="202" customFormat="1" ht="12.75" customHeight="1">
      <c r="B40" s="197" t="s">
        <v>20</v>
      </c>
      <c r="C40" s="72"/>
      <c r="D40" s="42">
        <f>D41+D42</f>
        <v>135.40309999999999</v>
      </c>
      <c r="E40" s="42"/>
      <c r="F40" s="42">
        <f>F41+F42</f>
        <v>98.343800000000002</v>
      </c>
      <c r="G40" s="42"/>
      <c r="H40" s="42">
        <f>H41+H42</f>
        <v>133.22069999999997</v>
      </c>
      <c r="I40" s="42"/>
      <c r="J40" s="42">
        <f>J41+J42</f>
        <v>149.14749999999998</v>
      </c>
      <c r="K40" s="42"/>
      <c r="L40" s="42">
        <f>L41+L42</f>
        <v>115.99120000000001</v>
      </c>
      <c r="M40" s="42"/>
      <c r="N40" s="42">
        <f>N41+N42</f>
        <v>112.37750000000003</v>
      </c>
      <c r="O40" s="42"/>
      <c r="P40" s="42">
        <f>P41+P42</f>
        <v>124.13589999999999</v>
      </c>
      <c r="Q40" s="42"/>
      <c r="R40" s="42">
        <f>R41+R42</f>
        <v>85.819299999999984</v>
      </c>
      <c r="S40" s="42"/>
      <c r="T40" s="42">
        <f>T41+T42</f>
        <v>114.30399999999999</v>
      </c>
      <c r="U40" s="42"/>
      <c r="V40" s="42">
        <f>+V41+V42</f>
        <v>121.98710000000001</v>
      </c>
      <c r="W40" s="42"/>
      <c r="X40" s="42">
        <f>+X41+X42</f>
        <v>130.04859999999999</v>
      </c>
      <c r="Y40" s="42"/>
      <c r="Z40" s="42">
        <f>+Z41+Z42</f>
        <v>94.458300000000079</v>
      </c>
      <c r="AA40" s="75"/>
      <c r="AB40" s="75">
        <f>+AB41+AB42</f>
        <v>1415.2370000000001</v>
      </c>
      <c r="AC40" s="216"/>
      <c r="AD40" s="216"/>
      <c r="AE40" s="216"/>
      <c r="AF40" s="216"/>
      <c r="AG40" s="216"/>
      <c r="AH40" s="216"/>
      <c r="AI40" s="216"/>
    </row>
    <row r="41" spans="2:35" s="202" customFormat="1" ht="12.75" customHeight="1">
      <c r="B41" s="199" t="s">
        <v>56</v>
      </c>
      <c r="C41" s="72"/>
      <c r="D41" s="118">
        <v>0.12089999999999179</v>
      </c>
      <c r="E41" s="118"/>
      <c r="F41" s="118">
        <v>5.5650000000000004</v>
      </c>
      <c r="G41" s="118"/>
      <c r="H41" s="118">
        <v>64.127999999999986</v>
      </c>
      <c r="I41" s="118"/>
      <c r="J41" s="118">
        <v>1.7699999999990723E-2</v>
      </c>
      <c r="K41" s="118"/>
      <c r="L41" s="118">
        <v>6.158600000000007</v>
      </c>
      <c r="M41" s="118"/>
      <c r="N41" s="118">
        <v>45.745400000000018</v>
      </c>
      <c r="O41" s="118"/>
      <c r="P41" s="118">
        <v>9.0999999999894499E-3</v>
      </c>
      <c r="Q41" s="118"/>
      <c r="R41" s="118">
        <v>4.7819999999999823</v>
      </c>
      <c r="S41" s="118"/>
      <c r="T41" s="118">
        <v>45.723099999999988</v>
      </c>
      <c r="U41" s="118"/>
      <c r="V41" s="118">
        <v>2.0100000000013551E-2</v>
      </c>
      <c r="W41" s="118"/>
      <c r="X41" s="118">
        <v>4.3877999999999844</v>
      </c>
      <c r="Y41" s="118"/>
      <c r="Z41" s="118">
        <v>29.774800000000084</v>
      </c>
      <c r="AA41" s="118"/>
      <c r="AB41" s="118">
        <f>SUM(D41:Z41)</f>
        <v>206.4325</v>
      </c>
      <c r="AC41" s="216"/>
      <c r="AD41" s="216"/>
      <c r="AE41" s="216"/>
      <c r="AF41" s="216"/>
      <c r="AG41" s="216"/>
      <c r="AH41" s="216"/>
      <c r="AI41" s="216"/>
    </row>
    <row r="42" spans="2:35" s="202" customFormat="1" ht="12.75" customHeight="1">
      <c r="B42" s="200" t="s">
        <v>21</v>
      </c>
      <c r="C42" s="72"/>
      <c r="D42" s="42">
        <v>135.28220000000002</v>
      </c>
      <c r="E42" s="42"/>
      <c r="F42" s="42">
        <v>92.778800000000004</v>
      </c>
      <c r="G42" s="42"/>
      <c r="H42" s="42">
        <v>69.092699999999994</v>
      </c>
      <c r="I42" s="42"/>
      <c r="J42" s="42">
        <v>149.12979999999999</v>
      </c>
      <c r="K42" s="42"/>
      <c r="L42" s="42">
        <v>109.8326</v>
      </c>
      <c r="M42" s="42"/>
      <c r="N42" s="42">
        <v>66.632100000000008</v>
      </c>
      <c r="O42" s="42"/>
      <c r="P42" s="42">
        <v>124.1268</v>
      </c>
      <c r="Q42" s="42"/>
      <c r="R42" s="42">
        <v>81.037300000000002</v>
      </c>
      <c r="S42" s="42"/>
      <c r="T42" s="42">
        <v>68.5809</v>
      </c>
      <c r="U42" s="42"/>
      <c r="V42" s="42">
        <v>121.967</v>
      </c>
      <c r="W42" s="42"/>
      <c r="X42" s="42">
        <v>125.66080000000001</v>
      </c>
      <c r="Y42" s="42"/>
      <c r="Z42" s="42">
        <v>64.683499999999995</v>
      </c>
      <c r="AA42" s="75"/>
      <c r="AB42" s="75">
        <f>SUM(D42:Z42)</f>
        <v>1208.8045000000002</v>
      </c>
      <c r="AC42" s="216"/>
      <c r="AD42" s="216"/>
      <c r="AE42" s="216"/>
      <c r="AF42" s="216"/>
      <c r="AG42" s="216"/>
      <c r="AH42" s="216"/>
      <c r="AI42" s="216"/>
    </row>
    <row r="43" spans="2:35" s="202" customFormat="1" ht="12.75" customHeight="1">
      <c r="B43" s="197" t="s">
        <v>22</v>
      </c>
      <c r="C43" s="72"/>
      <c r="D43" s="42">
        <v>85.828500000000005</v>
      </c>
      <c r="E43" s="42"/>
      <c r="F43" s="42">
        <v>54.809800000000003</v>
      </c>
      <c r="G43" s="42"/>
      <c r="H43" s="42">
        <v>239.89890000000003</v>
      </c>
      <c r="I43" s="42"/>
      <c r="J43" s="42">
        <v>81.555300000000003</v>
      </c>
      <c r="K43" s="42"/>
      <c r="L43" s="42">
        <v>171.60220000000001</v>
      </c>
      <c r="M43" s="42"/>
      <c r="N43" s="42">
        <v>239.84390000000002</v>
      </c>
      <c r="O43" s="42"/>
      <c r="P43" s="42">
        <v>115.04070000000002</v>
      </c>
      <c r="Q43" s="42"/>
      <c r="R43" s="42">
        <v>150.5898</v>
      </c>
      <c r="S43" s="42"/>
      <c r="T43" s="42">
        <v>180.5489</v>
      </c>
      <c r="U43" s="42"/>
      <c r="V43" s="42">
        <v>210.28469999999999</v>
      </c>
      <c r="W43" s="42"/>
      <c r="X43" s="42">
        <v>79.911100000000005</v>
      </c>
      <c r="Y43" s="42"/>
      <c r="Z43" s="42">
        <v>276.41149999999999</v>
      </c>
      <c r="AA43" s="75"/>
      <c r="AB43" s="75">
        <f>SUM(D43:Z43)</f>
        <v>1886.3253</v>
      </c>
      <c r="AC43" s="216"/>
      <c r="AD43" s="216"/>
      <c r="AE43" s="216"/>
      <c r="AF43" s="216"/>
      <c r="AG43" s="216"/>
      <c r="AH43" s="216"/>
      <c r="AI43" s="216"/>
    </row>
    <row r="44" spans="2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2:35" s="202" customFormat="1" ht="12.75" customHeight="1">
      <c r="B45" s="98" t="s">
        <v>37</v>
      </c>
      <c r="C45" s="95"/>
      <c r="D45" s="48">
        <f>D37-D39</f>
        <v>-86.400300000000186</v>
      </c>
      <c r="E45" s="48"/>
      <c r="F45" s="48">
        <f>F37-F39</f>
        <v>-408.89960000000008</v>
      </c>
      <c r="G45" s="48"/>
      <c r="H45" s="48">
        <f>H37-H39</f>
        <v>371.70019999999931</v>
      </c>
      <c r="I45" s="48"/>
      <c r="J45" s="48">
        <f>J37-J39</f>
        <v>225.20049999999998</v>
      </c>
      <c r="K45" s="48"/>
      <c r="L45" s="48">
        <f>L37-L39</f>
        <v>-752.49950000000013</v>
      </c>
      <c r="M45" s="48"/>
      <c r="N45" s="48">
        <f>N37-N39</f>
        <v>1747.9995999999987</v>
      </c>
      <c r="O45" s="48"/>
      <c r="P45" s="48">
        <f>P37-P39</f>
        <v>235.79950000000076</v>
      </c>
      <c r="Q45" s="48"/>
      <c r="R45" s="48">
        <f>R37-R39</f>
        <v>467.69989999999859</v>
      </c>
      <c r="S45" s="48"/>
      <c r="T45" s="48">
        <f>T37-T39</f>
        <v>495.4996000000009</v>
      </c>
      <c r="U45" s="48"/>
      <c r="V45" s="48">
        <f>V37-V39</f>
        <v>264.50010000000248</v>
      </c>
      <c r="W45" s="48"/>
      <c r="X45" s="48">
        <f>X37-X39</f>
        <v>-1636.4</v>
      </c>
      <c r="Y45" s="48"/>
      <c r="Z45" s="48">
        <f>Z37-Z39</f>
        <v>-471.80009999999959</v>
      </c>
      <c r="AA45" s="48"/>
      <c r="AB45" s="48">
        <f>AB37-AB39</f>
        <v>452.39990000001626</v>
      </c>
      <c r="AC45" s="211"/>
      <c r="AD45" s="211"/>
      <c r="AE45" s="99"/>
      <c r="AF45" s="211"/>
      <c r="AG45" s="216"/>
      <c r="AH45" s="216"/>
      <c r="AI45" s="216"/>
    </row>
    <row r="46" spans="2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2:35" ht="14.25" customHeight="1">
      <c r="B47" s="464" t="s">
        <v>41</v>
      </c>
      <c r="C47" s="464"/>
      <c r="D47" s="464"/>
      <c r="E47" s="464"/>
      <c r="F47" s="464"/>
      <c r="G47" s="464"/>
      <c r="H47" s="464"/>
      <c r="I47" s="464"/>
      <c r="J47" s="464"/>
      <c r="K47" s="464"/>
      <c r="L47" s="464"/>
      <c r="M47" s="464"/>
      <c r="N47" s="464"/>
      <c r="O47" s="464"/>
      <c r="P47" s="464"/>
      <c r="Q47" s="464"/>
      <c r="R47" s="464"/>
      <c r="S47" s="464"/>
      <c r="T47" s="464"/>
      <c r="U47" s="464"/>
      <c r="V47" s="464"/>
      <c r="W47" s="464"/>
      <c r="X47" s="464"/>
      <c r="Y47" s="464"/>
      <c r="Z47" s="464"/>
      <c r="AA47" s="464"/>
      <c r="AB47" s="464"/>
      <c r="AC47" s="212"/>
      <c r="AD47" s="212"/>
      <c r="AE47" s="101"/>
      <c r="AF47" s="212"/>
    </row>
    <row r="48" spans="2:35" ht="14.25" customHeight="1">
      <c r="B48" s="464" t="s">
        <v>107</v>
      </c>
      <c r="C48" s="464"/>
      <c r="D48" s="464"/>
      <c r="E48" s="464"/>
      <c r="F48" s="464"/>
      <c r="G48" s="464"/>
      <c r="H48" s="464"/>
      <c r="I48" s="464"/>
      <c r="J48" s="464"/>
      <c r="K48" s="464"/>
      <c r="L48" s="464"/>
      <c r="M48" s="464"/>
      <c r="N48" s="464"/>
      <c r="O48" s="464"/>
      <c r="P48" s="464"/>
      <c r="Q48" s="464"/>
      <c r="R48" s="464"/>
      <c r="S48" s="464"/>
      <c r="T48" s="464"/>
      <c r="U48" s="464"/>
      <c r="V48" s="464"/>
      <c r="W48" s="464"/>
      <c r="X48" s="464"/>
      <c r="Y48" s="464"/>
      <c r="Z48" s="464"/>
      <c r="AA48" s="464"/>
      <c r="AB48" s="464"/>
      <c r="AC48" s="212"/>
      <c r="AD48" s="212"/>
      <c r="AE48" s="101"/>
      <c r="AF48" s="212"/>
    </row>
    <row r="49" spans="2:35" ht="14.25" customHeight="1">
      <c r="B49" s="464" t="s">
        <v>108</v>
      </c>
      <c r="C49" s="464"/>
      <c r="D49" s="464"/>
      <c r="E49" s="464"/>
      <c r="F49" s="464"/>
      <c r="G49" s="464"/>
      <c r="H49" s="464"/>
      <c r="I49" s="464"/>
      <c r="J49" s="464"/>
      <c r="K49" s="464"/>
      <c r="L49" s="464"/>
      <c r="M49" s="464"/>
      <c r="N49" s="464"/>
      <c r="O49" s="464"/>
      <c r="P49" s="464"/>
      <c r="Q49" s="464"/>
      <c r="R49" s="464"/>
      <c r="S49" s="464"/>
      <c r="T49" s="464"/>
      <c r="U49" s="464"/>
      <c r="V49" s="464"/>
      <c r="W49" s="464"/>
      <c r="X49" s="464"/>
      <c r="Y49" s="464"/>
      <c r="Z49" s="464"/>
      <c r="AA49" s="464"/>
      <c r="AB49" s="464"/>
      <c r="AC49" s="212"/>
      <c r="AD49" s="212"/>
      <c r="AE49" s="101"/>
      <c r="AF49" s="212"/>
    </row>
    <row r="50" spans="2:35" ht="14.25" customHeight="1">
      <c r="B50" s="464" t="s">
        <v>90</v>
      </c>
      <c r="C50" s="464"/>
      <c r="D50" s="464"/>
      <c r="E50" s="464"/>
      <c r="F50" s="464"/>
      <c r="G50" s="464"/>
      <c r="H50" s="464"/>
      <c r="I50" s="464"/>
      <c r="J50" s="464"/>
      <c r="K50" s="464"/>
      <c r="L50" s="464"/>
      <c r="M50" s="464"/>
      <c r="N50" s="464"/>
      <c r="O50" s="464"/>
      <c r="P50" s="464"/>
      <c r="Q50" s="464"/>
      <c r="R50" s="464"/>
      <c r="S50" s="464"/>
      <c r="T50" s="464"/>
      <c r="U50" s="464"/>
      <c r="V50" s="464"/>
      <c r="W50" s="464"/>
      <c r="X50" s="464"/>
      <c r="Y50" s="464"/>
      <c r="Z50" s="464"/>
      <c r="AA50" s="464"/>
      <c r="AB50" s="464"/>
      <c r="AC50" s="212"/>
      <c r="AD50" s="212"/>
      <c r="AE50" s="101"/>
      <c r="AF50" s="212"/>
    </row>
    <row r="51" spans="2:35" ht="14.25" customHeight="1">
      <c r="B51" s="464" t="s">
        <v>109</v>
      </c>
      <c r="C51" s="464"/>
      <c r="D51" s="464"/>
      <c r="E51" s="464"/>
      <c r="F51" s="464"/>
      <c r="G51" s="464"/>
      <c r="H51" s="464"/>
      <c r="I51" s="464"/>
      <c r="J51" s="464"/>
      <c r="K51" s="464"/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464"/>
      <c r="X51" s="464"/>
      <c r="Y51" s="464"/>
      <c r="Z51" s="464"/>
      <c r="AA51" s="464"/>
      <c r="AB51" s="464"/>
      <c r="AC51" s="212"/>
      <c r="AD51" s="212"/>
      <c r="AE51" s="101"/>
      <c r="AF51" s="212"/>
    </row>
    <row r="52" spans="2:35" ht="14.25" customHeight="1">
      <c r="B52" s="464" t="s">
        <v>92</v>
      </c>
      <c r="C52" s="464"/>
      <c r="D52" s="464"/>
      <c r="E52" s="464"/>
      <c r="F52" s="464"/>
      <c r="G52" s="464"/>
      <c r="H52" s="464"/>
      <c r="I52" s="464"/>
      <c r="J52" s="464"/>
      <c r="K52" s="464"/>
      <c r="L52" s="464"/>
      <c r="M52" s="464"/>
      <c r="N52" s="464"/>
      <c r="O52" s="464"/>
      <c r="P52" s="464"/>
      <c r="Q52" s="464"/>
      <c r="R52" s="464"/>
      <c r="S52" s="464"/>
      <c r="T52" s="464"/>
      <c r="U52" s="464"/>
      <c r="V52" s="464"/>
      <c r="W52" s="464"/>
      <c r="X52" s="464"/>
      <c r="Y52" s="464"/>
      <c r="Z52" s="464"/>
      <c r="AA52" s="464"/>
      <c r="AB52" s="464"/>
      <c r="AC52" s="212"/>
      <c r="AD52" s="212"/>
      <c r="AE52" s="101"/>
      <c r="AF52" s="212"/>
    </row>
    <row r="53" spans="2:35" ht="14.25" customHeight="1">
      <c r="B53" s="201" t="s">
        <v>93</v>
      </c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212"/>
      <c r="AD53" s="212"/>
      <c r="AE53" s="101"/>
      <c r="AF53" s="212"/>
    </row>
    <row r="54" spans="2:35" ht="14.25" customHeight="1">
      <c r="B54" s="464" t="s">
        <v>94</v>
      </c>
      <c r="C54" s="464"/>
      <c r="D54" s="464"/>
      <c r="E54" s="464"/>
      <c r="F54" s="464"/>
      <c r="G54" s="464"/>
      <c r="H54" s="464"/>
      <c r="I54" s="464"/>
      <c r="J54" s="464"/>
      <c r="K54" s="464"/>
      <c r="L54" s="464"/>
      <c r="M54" s="464"/>
      <c r="N54" s="464"/>
      <c r="O54" s="464"/>
      <c r="P54" s="464"/>
      <c r="Q54" s="464"/>
      <c r="R54" s="464"/>
      <c r="S54" s="464"/>
      <c r="T54" s="464"/>
      <c r="U54" s="464"/>
      <c r="V54" s="464"/>
      <c r="W54" s="464"/>
      <c r="X54" s="464"/>
      <c r="Y54" s="464"/>
      <c r="Z54" s="464"/>
      <c r="AA54" s="464"/>
      <c r="AB54" s="464"/>
      <c r="AC54" s="212"/>
      <c r="AD54" s="212"/>
      <c r="AE54" s="101"/>
      <c r="AF54" s="212"/>
    </row>
    <row r="55" spans="2:35" ht="14.25" customHeight="1">
      <c r="B55" s="201" t="s">
        <v>95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2:35" ht="14.25" customHeight="1">
      <c r="B56" s="464" t="s">
        <v>110</v>
      </c>
      <c r="C56" s="464"/>
      <c r="D56" s="464"/>
      <c r="E56" s="464"/>
      <c r="F56" s="464"/>
      <c r="G56" s="464"/>
      <c r="H56" s="464"/>
      <c r="I56" s="464"/>
      <c r="J56" s="464"/>
      <c r="K56" s="464"/>
      <c r="L56" s="464"/>
      <c r="M56" s="464"/>
      <c r="N56" s="464"/>
      <c r="O56" s="464"/>
      <c r="P56" s="464"/>
      <c r="Q56" s="464"/>
      <c r="R56" s="464"/>
      <c r="S56" s="464"/>
      <c r="T56" s="464"/>
      <c r="U56" s="464"/>
      <c r="V56" s="464"/>
      <c r="W56" s="464"/>
      <c r="X56" s="464"/>
      <c r="Y56" s="464"/>
      <c r="Z56" s="464"/>
      <c r="AA56" s="464"/>
      <c r="AB56" s="464"/>
      <c r="AC56" s="212"/>
      <c r="AD56" s="212"/>
      <c r="AE56" s="101"/>
      <c r="AF56" s="212"/>
    </row>
    <row r="57" spans="2:35" ht="14.25" customHeight="1">
      <c r="B57" s="464" t="s">
        <v>68</v>
      </c>
      <c r="C57" s="464"/>
      <c r="D57" s="464"/>
      <c r="E57" s="464"/>
      <c r="F57" s="464"/>
      <c r="G57" s="464"/>
      <c r="H57" s="464"/>
      <c r="I57" s="464"/>
      <c r="J57" s="464"/>
      <c r="K57" s="464"/>
      <c r="L57" s="464"/>
      <c r="M57" s="464"/>
      <c r="N57" s="464"/>
      <c r="O57" s="464"/>
      <c r="P57" s="464"/>
      <c r="Q57" s="464"/>
      <c r="R57" s="464"/>
      <c r="S57" s="464"/>
      <c r="T57" s="464"/>
      <c r="U57" s="464"/>
      <c r="V57" s="464"/>
      <c r="W57" s="464"/>
      <c r="X57" s="464"/>
      <c r="Y57" s="464"/>
      <c r="Z57" s="464"/>
      <c r="AA57" s="464"/>
      <c r="AB57" s="464"/>
      <c r="AC57" s="212"/>
      <c r="AD57" s="212"/>
      <c r="AE57" s="101"/>
      <c r="AF57" s="212"/>
    </row>
    <row r="58" spans="2:35" ht="14.25" customHeight="1">
      <c r="B58" s="464" t="s">
        <v>3</v>
      </c>
      <c r="C58" s="464"/>
      <c r="D58" s="464"/>
      <c r="E58" s="464"/>
      <c r="F58" s="464"/>
      <c r="G58" s="464"/>
      <c r="H58" s="464"/>
      <c r="I58" s="464"/>
      <c r="J58" s="464"/>
      <c r="K58" s="464"/>
      <c r="L58" s="464"/>
      <c r="M58" s="464"/>
      <c r="N58" s="464"/>
      <c r="O58" s="464"/>
      <c r="P58" s="464"/>
      <c r="Q58" s="464"/>
      <c r="R58" s="464"/>
      <c r="S58" s="464"/>
      <c r="T58" s="464"/>
      <c r="U58" s="464"/>
      <c r="V58" s="464"/>
      <c r="W58" s="464"/>
      <c r="X58" s="464"/>
      <c r="Y58" s="464"/>
      <c r="Z58" s="464"/>
      <c r="AA58" s="464"/>
      <c r="AB58" s="464"/>
      <c r="AC58" s="212"/>
      <c r="AD58" s="212"/>
      <c r="AE58" s="101"/>
      <c r="AF58" s="212"/>
    </row>
    <row r="59" spans="2:35" ht="14.25" customHeight="1"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12"/>
      <c r="AD59" s="212"/>
      <c r="AE59" s="101"/>
      <c r="AF59" s="212"/>
    </row>
    <row r="60" spans="2:35" ht="20.25">
      <c r="B60" s="453" t="s">
        <v>32</v>
      </c>
      <c r="C60" s="453"/>
      <c r="D60" s="453"/>
      <c r="E60" s="453"/>
      <c r="F60" s="453"/>
      <c r="G60" s="453"/>
      <c r="H60" s="453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Y60" s="453"/>
      <c r="Z60" s="453"/>
      <c r="AA60" s="453"/>
      <c r="AB60" s="453"/>
      <c r="AC60" s="214"/>
      <c r="AD60" s="214"/>
      <c r="AE60" s="214"/>
      <c r="AF60" s="214"/>
    </row>
    <row r="61" spans="2:35">
      <c r="B61" s="102"/>
      <c r="C61" s="469"/>
      <c r="D61" s="460"/>
      <c r="E61" s="469"/>
      <c r="F61" s="470"/>
      <c r="G61" s="469"/>
      <c r="H61" s="470"/>
      <c r="I61" s="469"/>
      <c r="J61" s="470"/>
      <c r="K61" s="469"/>
      <c r="L61" s="470"/>
      <c r="M61" s="469"/>
      <c r="N61" s="470"/>
      <c r="O61" s="469"/>
      <c r="P61" s="470"/>
      <c r="Q61" s="469"/>
      <c r="R61" s="470"/>
      <c r="S61" s="469"/>
      <c r="T61" s="470"/>
      <c r="U61" s="469"/>
      <c r="V61" s="470"/>
      <c r="W61" s="469"/>
      <c r="X61" s="470"/>
      <c r="Y61" s="469"/>
      <c r="Z61" s="470"/>
      <c r="AA61" s="469"/>
      <c r="AB61" s="470"/>
    </row>
    <row r="62" spans="2:35">
      <c r="B62" s="102">
        <f>B5</f>
        <v>1993</v>
      </c>
      <c r="C62" s="469" t="s">
        <v>4</v>
      </c>
      <c r="D62" s="460"/>
      <c r="E62" s="469" t="s">
        <v>5</v>
      </c>
      <c r="F62" s="470"/>
      <c r="G62" s="469" t="s">
        <v>6</v>
      </c>
      <c r="H62" s="470"/>
      <c r="I62" s="469" t="s">
        <v>7</v>
      </c>
      <c r="J62" s="470"/>
      <c r="K62" s="469" t="s">
        <v>8</v>
      </c>
      <c r="L62" s="470"/>
      <c r="M62" s="469" t="s">
        <v>9</v>
      </c>
      <c r="N62" s="470"/>
      <c r="O62" s="469" t="s">
        <v>10</v>
      </c>
      <c r="P62" s="470"/>
      <c r="Q62" s="471" t="s">
        <v>11</v>
      </c>
      <c r="R62" s="470"/>
      <c r="S62" s="471" t="s">
        <v>12</v>
      </c>
      <c r="T62" s="470"/>
      <c r="U62" s="469" t="s">
        <v>0</v>
      </c>
      <c r="V62" s="473"/>
      <c r="W62" s="469" t="s">
        <v>1</v>
      </c>
      <c r="X62" s="473"/>
      <c r="Y62" s="469" t="s">
        <v>2</v>
      </c>
      <c r="Z62" s="473"/>
      <c r="AA62" s="469" t="s">
        <v>102</v>
      </c>
      <c r="AB62" s="460"/>
    </row>
    <row r="63" spans="2:35">
      <c r="B63" s="102"/>
      <c r="C63" s="469"/>
      <c r="D63" s="460"/>
      <c r="E63" s="469"/>
      <c r="F63" s="460"/>
      <c r="G63" s="469"/>
      <c r="H63" s="460"/>
      <c r="I63" s="469"/>
      <c r="J63" s="460"/>
      <c r="K63" s="469"/>
      <c r="L63" s="460"/>
      <c r="M63" s="469"/>
      <c r="N63" s="460"/>
      <c r="O63" s="469"/>
      <c r="P63" s="460"/>
      <c r="Q63" s="469"/>
      <c r="R63" s="460"/>
      <c r="S63" s="469"/>
      <c r="T63" s="460"/>
      <c r="U63" s="469"/>
      <c r="V63" s="460"/>
      <c r="W63" s="469"/>
      <c r="X63" s="460"/>
      <c r="Y63" s="469"/>
      <c r="Z63" s="460"/>
      <c r="AA63" s="469"/>
      <c r="AB63" s="460"/>
    </row>
    <row r="64" spans="2:35" s="202" customFormat="1" ht="14.25">
      <c r="B64" s="103" t="s">
        <v>24</v>
      </c>
      <c r="C64" s="72"/>
      <c r="D64" s="104">
        <v>2604.23</v>
      </c>
      <c r="E64" s="104"/>
      <c r="F64" s="104">
        <v>2611.4699999999998</v>
      </c>
      <c r="G64" s="104"/>
      <c r="H64" s="104">
        <v>2635.06</v>
      </c>
      <c r="I64" s="104"/>
      <c r="J64" s="104">
        <v>2673.51</v>
      </c>
      <c r="K64" s="104"/>
      <c r="L64" s="104">
        <v>2672.87</v>
      </c>
      <c r="M64" s="104"/>
      <c r="N64" s="104">
        <v>2675.09</v>
      </c>
      <c r="O64" s="104"/>
      <c r="P64" s="104">
        <v>2649.25</v>
      </c>
      <c r="Q64" s="104"/>
      <c r="R64" s="104">
        <v>2649.89</v>
      </c>
      <c r="S64" s="120"/>
      <c r="T64" s="104">
        <v>2700.03</v>
      </c>
      <c r="U64" s="120"/>
      <c r="V64" s="104">
        <v>2730.87</v>
      </c>
      <c r="W64" s="120"/>
      <c r="X64" s="104">
        <v>2730.08</v>
      </c>
      <c r="Y64" s="120"/>
      <c r="Z64" s="120">
        <v>2745.22</v>
      </c>
      <c r="AA64" s="104"/>
      <c r="AB64" s="104">
        <f>AVERAGE(D64:Z64)</f>
        <v>2673.1308333333332</v>
      </c>
      <c r="AC64" s="216"/>
      <c r="AD64" s="216"/>
      <c r="AE64" s="216"/>
      <c r="AF64" s="216"/>
      <c r="AG64" s="216"/>
      <c r="AH64" s="216"/>
      <c r="AI64" s="216"/>
    </row>
    <row r="65" spans="2:35" s="202" customFormat="1" ht="14.25">
      <c r="B65" s="103" t="s">
        <v>39</v>
      </c>
      <c r="C65" s="72"/>
      <c r="D65" s="104">
        <v>3375.02</v>
      </c>
      <c r="E65" s="104"/>
      <c r="F65" s="104">
        <v>3531.98</v>
      </c>
      <c r="G65" s="104"/>
      <c r="H65" s="104">
        <v>3571.79</v>
      </c>
      <c r="I65" s="104"/>
      <c r="J65" s="104">
        <v>3630.99</v>
      </c>
      <c r="K65" s="104"/>
      <c r="L65" s="104">
        <v>3589.35</v>
      </c>
      <c r="M65" s="104"/>
      <c r="N65" s="104">
        <v>3582.54</v>
      </c>
      <c r="O65" s="104"/>
      <c r="P65" s="104">
        <v>3518.43</v>
      </c>
      <c r="Q65" s="104"/>
      <c r="R65" s="104">
        <v>3611.39</v>
      </c>
      <c r="S65" s="120"/>
      <c r="T65" s="104">
        <v>3650.33</v>
      </c>
      <c r="U65" s="120"/>
      <c r="V65" s="104">
        <v>3554.59</v>
      </c>
      <c r="W65" s="120"/>
      <c r="X65" s="104">
        <v>3645.14</v>
      </c>
      <c r="Y65" s="120"/>
      <c r="Z65" s="120">
        <v>3658.33</v>
      </c>
      <c r="AA65" s="104"/>
      <c r="AB65" s="104">
        <f t="shared" ref="AB65:AB75" si="0">AVERAGE(D65:Z65)</f>
        <v>3576.6566666666672</v>
      </c>
      <c r="AC65" s="216"/>
      <c r="AD65" s="216"/>
      <c r="AE65" s="216"/>
      <c r="AF65" s="216"/>
      <c r="AG65" s="216"/>
      <c r="AH65" s="216"/>
      <c r="AI65" s="216"/>
    </row>
    <row r="66" spans="2:35" s="202" customFormat="1" ht="14.25">
      <c r="B66" s="103" t="s">
        <v>25</v>
      </c>
      <c r="C66" s="72"/>
      <c r="D66" s="104">
        <v>460.17378958186248</v>
      </c>
      <c r="E66" s="104"/>
      <c r="F66" s="104">
        <v>512.63851938319851</v>
      </c>
      <c r="G66" s="104"/>
      <c r="H66" s="104">
        <v>506.49659385757764</v>
      </c>
      <c r="I66" s="104"/>
      <c r="J66" s="104">
        <v>498.43425757316561</v>
      </c>
      <c r="K66" s="104"/>
      <c r="L66" s="104">
        <v>480.41502425197808</v>
      </c>
      <c r="M66" s="104"/>
      <c r="N66" s="104">
        <v>494.14817604989514</v>
      </c>
      <c r="O66" s="104"/>
      <c r="P66" s="104">
        <v>485.44981384986812</v>
      </c>
      <c r="Q66" s="104"/>
      <c r="R66" s="104">
        <v>477.24499026435382</v>
      </c>
      <c r="S66" s="120"/>
      <c r="T66" s="104">
        <v>480.29464591194966</v>
      </c>
      <c r="U66" s="120"/>
      <c r="V66" s="104">
        <v>473.1670245802394</v>
      </c>
      <c r="W66" s="120"/>
      <c r="X66" s="104">
        <v>495.97122558658282</v>
      </c>
      <c r="Y66" s="120"/>
      <c r="Z66" s="120">
        <v>537.61524984783932</v>
      </c>
      <c r="AA66" s="104"/>
      <c r="AB66" s="104">
        <f t="shared" si="0"/>
        <v>491.83744256154256</v>
      </c>
      <c r="AC66" s="216"/>
      <c r="AD66" s="216"/>
      <c r="AE66" s="216"/>
      <c r="AF66" s="216"/>
      <c r="AG66" s="216"/>
      <c r="AH66" s="216"/>
      <c r="AI66" s="216"/>
    </row>
    <row r="67" spans="2:35" s="202" customFormat="1" ht="14.25">
      <c r="B67" s="103" t="s">
        <v>26</v>
      </c>
      <c r="C67" s="72"/>
      <c r="D67" s="104">
        <v>213.72262215946441</v>
      </c>
      <c r="E67" s="104"/>
      <c r="F67" s="104">
        <v>252.46293109905662</v>
      </c>
      <c r="G67" s="104"/>
      <c r="H67" s="104">
        <v>252.6051211687969</v>
      </c>
      <c r="I67" s="104"/>
      <c r="J67" s="104">
        <v>233.66752180188678</v>
      </c>
      <c r="K67" s="104"/>
      <c r="L67" s="104">
        <v>227.15690156603773</v>
      </c>
      <c r="M67" s="104"/>
      <c r="N67" s="104">
        <v>242.85336882704402</v>
      </c>
      <c r="O67" s="104"/>
      <c r="P67" s="104">
        <v>227.6698155812538</v>
      </c>
      <c r="Q67" s="104"/>
      <c r="R67" s="104">
        <v>220.63936518563602</v>
      </c>
      <c r="S67" s="120"/>
      <c r="T67" s="104">
        <v>222.75043752620545</v>
      </c>
      <c r="U67" s="120"/>
      <c r="V67" s="104">
        <v>235.60235083850679</v>
      </c>
      <c r="W67" s="120"/>
      <c r="X67" s="104">
        <v>240.00320990587002</v>
      </c>
      <c r="Y67" s="120"/>
      <c r="Z67" s="120">
        <v>243.32769380117671</v>
      </c>
      <c r="AA67" s="104"/>
      <c r="AB67" s="104">
        <f t="shared" si="0"/>
        <v>234.37177828841129</v>
      </c>
      <c r="AC67" s="216"/>
      <c r="AD67" s="216"/>
      <c r="AE67" s="216"/>
      <c r="AF67" s="216"/>
      <c r="AG67" s="216"/>
      <c r="AH67" s="216"/>
      <c r="AI67" s="216"/>
    </row>
    <row r="68" spans="2:35" s="202" customFormat="1" ht="14.25">
      <c r="B68" s="103" t="s">
        <v>27</v>
      </c>
      <c r="C68" s="72"/>
      <c r="D68" s="104">
        <v>366.52172225542705</v>
      </c>
      <c r="E68" s="104"/>
      <c r="F68" s="104">
        <v>379.12490341419584</v>
      </c>
      <c r="G68" s="104"/>
      <c r="H68" s="104">
        <v>400.20090119699734</v>
      </c>
      <c r="I68" s="104"/>
      <c r="J68" s="104">
        <v>404.28393941299788</v>
      </c>
      <c r="K68" s="104"/>
      <c r="L68" s="104">
        <v>408.73221707952928</v>
      </c>
      <c r="M68" s="104"/>
      <c r="N68" s="104">
        <v>427.56520226163525</v>
      </c>
      <c r="O68" s="104"/>
      <c r="P68" s="104">
        <v>391.98836356258875</v>
      </c>
      <c r="Q68" s="104"/>
      <c r="R68" s="104">
        <v>357.37291681882732</v>
      </c>
      <c r="S68" s="120"/>
      <c r="T68" s="104">
        <v>370.4528758909853</v>
      </c>
      <c r="U68" s="120"/>
      <c r="V68" s="104">
        <v>322.24998376952726</v>
      </c>
      <c r="W68" s="120"/>
      <c r="X68" s="104">
        <v>359.13816163522011</v>
      </c>
      <c r="Y68" s="120"/>
      <c r="Z68" s="120">
        <v>383.38067559342664</v>
      </c>
      <c r="AA68" s="104"/>
      <c r="AB68" s="104">
        <f t="shared" si="0"/>
        <v>380.91765524094649</v>
      </c>
      <c r="AC68" s="216"/>
      <c r="AD68" s="216"/>
      <c r="AE68" s="216"/>
      <c r="AF68" s="216"/>
      <c r="AG68" s="216"/>
      <c r="AH68" s="216"/>
      <c r="AI68" s="216"/>
    </row>
    <row r="69" spans="2:35" s="202" customFormat="1" ht="14.25">
      <c r="B69" s="103" t="s">
        <v>28</v>
      </c>
      <c r="C69" s="72"/>
      <c r="D69" s="104">
        <v>267.34555953803266</v>
      </c>
      <c r="E69" s="104"/>
      <c r="F69" s="104">
        <v>271.06985374862734</v>
      </c>
      <c r="G69" s="104"/>
      <c r="H69" s="104">
        <v>257.48624354725996</v>
      </c>
      <c r="I69" s="104"/>
      <c r="J69" s="104">
        <v>236.58559049615653</v>
      </c>
      <c r="K69" s="104"/>
      <c r="L69" s="104">
        <v>234.8148553909966</v>
      </c>
      <c r="M69" s="104"/>
      <c r="N69" s="104">
        <v>230.09841447317339</v>
      </c>
      <c r="O69" s="104"/>
      <c r="P69" s="104">
        <v>232.23247634934589</v>
      </c>
      <c r="Q69" s="104"/>
      <c r="R69" s="104">
        <v>233.62158202024301</v>
      </c>
      <c r="S69" s="120"/>
      <c r="T69" s="104">
        <v>238.14605481792066</v>
      </c>
      <c r="U69" s="120"/>
      <c r="V69" s="104">
        <v>249.26761006289308</v>
      </c>
      <c r="W69" s="120"/>
      <c r="X69" s="104">
        <v>259.22607733519681</v>
      </c>
      <c r="Y69" s="120"/>
      <c r="Z69" s="120">
        <v>272.76509133397957</v>
      </c>
      <c r="AA69" s="104"/>
      <c r="AB69" s="104">
        <f t="shared" si="0"/>
        <v>248.55495075948545</v>
      </c>
      <c r="AC69" s="216"/>
      <c r="AD69" s="216"/>
      <c r="AE69" s="216"/>
      <c r="AF69" s="216"/>
      <c r="AG69" s="216"/>
      <c r="AH69" s="216"/>
      <c r="AI69" s="216"/>
    </row>
    <row r="70" spans="2:35" s="202" customFormat="1" ht="14.25">
      <c r="B70" s="103" t="s">
        <v>38</v>
      </c>
      <c r="C70" s="72"/>
      <c r="D70" s="104">
        <v>1328.3</v>
      </c>
      <c r="E70" s="104"/>
      <c r="F70" s="104">
        <v>1385.63</v>
      </c>
      <c r="G70" s="104"/>
      <c r="H70" s="104">
        <v>1365.51</v>
      </c>
      <c r="I70" s="104"/>
      <c r="J70" s="104">
        <v>1295.93</v>
      </c>
      <c r="K70" s="104"/>
      <c r="L70" s="104">
        <v>1321.34</v>
      </c>
      <c r="M70" s="104"/>
      <c r="N70" s="104">
        <v>1386.24</v>
      </c>
      <c r="O70" s="104"/>
      <c r="P70" s="104">
        <v>1286.8800000000001</v>
      </c>
      <c r="Q70" s="104"/>
      <c r="R70" s="104">
        <v>1222.4000000000001</v>
      </c>
      <c r="S70" s="120"/>
      <c r="T70" s="104">
        <v>1185.08</v>
      </c>
      <c r="U70" s="120"/>
      <c r="V70" s="104">
        <v>1209.52</v>
      </c>
      <c r="W70" s="120"/>
      <c r="X70" s="104">
        <v>1226.8900000000001</v>
      </c>
      <c r="Y70" s="120"/>
      <c r="Z70" s="120">
        <v>1156.3800000000001</v>
      </c>
      <c r="AA70" s="104"/>
      <c r="AB70" s="104">
        <f t="shared" si="0"/>
        <v>1280.8416666666669</v>
      </c>
      <c r="AC70" s="216"/>
      <c r="AD70" s="216"/>
      <c r="AE70" s="216"/>
      <c r="AF70" s="216"/>
      <c r="AG70" s="216"/>
      <c r="AH70" s="216"/>
      <c r="AI70" s="216"/>
    </row>
    <row r="71" spans="2:35" s="202" customFormat="1" ht="14.25">
      <c r="B71" s="229" t="s">
        <v>98</v>
      </c>
      <c r="C71" s="72"/>
      <c r="D71" s="104">
        <v>1302.3072580645162</v>
      </c>
      <c r="E71" s="104"/>
      <c r="F71" s="104">
        <v>1303.33</v>
      </c>
      <c r="G71" s="104"/>
      <c r="H71" s="104">
        <v>1341.6997741935484</v>
      </c>
      <c r="I71" s="104"/>
      <c r="J71" s="104">
        <v>1338.4146000000001</v>
      </c>
      <c r="K71" s="104"/>
      <c r="L71" s="104">
        <v>1350.8401935483871</v>
      </c>
      <c r="M71" s="104"/>
      <c r="N71" s="104">
        <v>1358.8287</v>
      </c>
      <c r="O71" s="104"/>
      <c r="P71" s="104">
        <v>1357.6355806451613</v>
      </c>
      <c r="Q71" s="104"/>
      <c r="R71" s="105">
        <v>1346.4648709677419</v>
      </c>
      <c r="S71" s="120"/>
      <c r="T71" s="104">
        <v>1371.8885</v>
      </c>
      <c r="U71" s="120"/>
      <c r="V71" s="104">
        <v>1394.9699032258065</v>
      </c>
      <c r="W71" s="120"/>
      <c r="X71" s="104">
        <v>1338.8543333333334</v>
      </c>
      <c r="Y71" s="120"/>
      <c r="Z71" s="120">
        <v>1338.8070967741935</v>
      </c>
      <c r="AA71" s="104"/>
      <c r="AB71" s="104">
        <f t="shared" si="0"/>
        <v>1345.3367342293907</v>
      </c>
      <c r="AC71" s="216"/>
      <c r="AD71" s="216"/>
      <c r="AE71" s="216"/>
      <c r="AF71" s="216"/>
      <c r="AG71" s="216"/>
      <c r="AH71" s="216"/>
      <c r="AI71" s="216"/>
    </row>
    <row r="72" spans="2:35" s="202" customFormat="1" ht="12.75" customHeight="1">
      <c r="B72" s="103" t="s">
        <v>29</v>
      </c>
      <c r="C72" s="72"/>
      <c r="D72" s="106">
        <v>13.543159277485803</v>
      </c>
      <c r="E72" s="106"/>
      <c r="F72" s="106">
        <v>14.272599691614118</v>
      </c>
      <c r="G72" s="106"/>
      <c r="H72" s="106">
        <v>14.511864845827608</v>
      </c>
      <c r="I72" s="106"/>
      <c r="J72" s="106">
        <v>14.668830824170627</v>
      </c>
      <c r="K72" s="106"/>
      <c r="L72" s="106">
        <v>14.199729537502181</v>
      </c>
      <c r="M72" s="106"/>
      <c r="N72" s="106">
        <v>13.101235777303398</v>
      </c>
      <c r="O72" s="106"/>
      <c r="P72" s="106">
        <v>12.85035691629254</v>
      </c>
      <c r="Q72" s="106"/>
      <c r="R72" s="121">
        <v>12.949615904357051</v>
      </c>
      <c r="S72" s="122"/>
      <c r="T72" s="121">
        <v>13.008332012890746</v>
      </c>
      <c r="U72" s="122"/>
      <c r="V72" s="121">
        <v>13.183262161489113</v>
      </c>
      <c r="W72" s="122"/>
      <c r="X72" s="121">
        <v>11.668038863077712</v>
      </c>
      <c r="Y72" s="122"/>
      <c r="Z72" s="122">
        <v>10.629857739509077</v>
      </c>
      <c r="AA72" s="104"/>
      <c r="AB72" s="107">
        <f t="shared" si="0"/>
        <v>13.215573629293331</v>
      </c>
      <c r="AC72" s="216"/>
      <c r="AD72" s="216"/>
      <c r="AE72" s="216"/>
      <c r="AF72" s="216"/>
      <c r="AG72" s="216"/>
      <c r="AH72" s="216"/>
      <c r="AI72" s="216"/>
    </row>
    <row r="73" spans="2:35" s="202" customFormat="1" ht="14.25">
      <c r="B73" s="103" t="s">
        <v>31</v>
      </c>
      <c r="C73" s="72"/>
      <c r="D73" s="108">
        <v>3.1154000000000002</v>
      </c>
      <c r="E73" s="108"/>
      <c r="F73" s="108">
        <v>3.0939000000000001</v>
      </c>
      <c r="G73" s="108"/>
      <c r="H73" s="108">
        <v>3.0937999999999999</v>
      </c>
      <c r="I73" s="108"/>
      <c r="J73" s="108">
        <v>3.1149</v>
      </c>
      <c r="K73" s="108"/>
      <c r="L73" s="108">
        <v>3.0937000000000001</v>
      </c>
      <c r="M73" s="108"/>
      <c r="N73" s="108">
        <v>3.1172</v>
      </c>
      <c r="O73" s="108"/>
      <c r="P73" s="108">
        <v>3.1156999999999999</v>
      </c>
      <c r="Q73" s="108"/>
      <c r="R73" s="108">
        <v>3.1229</v>
      </c>
      <c r="S73" s="123"/>
      <c r="T73" s="108">
        <v>3.1109</v>
      </c>
      <c r="U73" s="123"/>
      <c r="V73" s="108">
        <v>3.1162999999999998</v>
      </c>
      <c r="W73" s="123"/>
      <c r="X73" s="108">
        <v>3.1124999999999998</v>
      </c>
      <c r="Y73" s="123"/>
      <c r="Z73" s="123">
        <v>3.1021000000000001</v>
      </c>
      <c r="AA73" s="104"/>
      <c r="AB73" s="109">
        <f t="shared" si="0"/>
        <v>3.1091083333333334</v>
      </c>
      <c r="AC73" s="216"/>
      <c r="AD73" s="216"/>
      <c r="AE73" s="216"/>
      <c r="AF73" s="216"/>
      <c r="AG73" s="216"/>
      <c r="AH73" s="216"/>
      <c r="AI73" s="216"/>
    </row>
    <row r="74" spans="2:35" s="202" customFormat="1" ht="14.25">
      <c r="B74" s="229" t="s">
        <v>100</v>
      </c>
      <c r="C74" s="72"/>
      <c r="D74" s="104">
        <v>217.61574921173903</v>
      </c>
      <c r="E74" s="104"/>
      <c r="F74" s="104">
        <v>211.37739587940439</v>
      </c>
      <c r="G74" s="104"/>
      <c r="H74" s="104">
        <v>237.0350010510146</v>
      </c>
      <c r="I74" s="104"/>
      <c r="J74" s="104">
        <v>203.67736500073715</v>
      </c>
      <c r="K74" s="104"/>
      <c r="L74" s="104">
        <v>227.34763387120555</v>
      </c>
      <c r="M74" s="104"/>
      <c r="N74" s="104">
        <v>243.81216082854195</v>
      </c>
      <c r="O74" s="104"/>
      <c r="P74" s="104">
        <v>152.10842617454452</v>
      </c>
      <c r="Q74" s="104"/>
      <c r="R74" s="104">
        <v>151.41122724743548</v>
      </c>
      <c r="S74" s="104"/>
      <c r="T74" s="104">
        <v>170.2897149638803</v>
      </c>
      <c r="U74" s="120"/>
      <c r="V74" s="104">
        <v>139.19330286342043</v>
      </c>
      <c r="W74" s="120"/>
      <c r="X74" s="104">
        <v>144.90246340852127</v>
      </c>
      <c r="Y74" s="120"/>
      <c r="Z74" s="120">
        <v>190.10273753644071</v>
      </c>
      <c r="AA74" s="104"/>
      <c r="AB74" s="104">
        <f t="shared" si="0"/>
        <v>190.73943150307375</v>
      </c>
      <c r="AC74" s="216"/>
      <c r="AD74" s="216"/>
      <c r="AE74" s="216"/>
      <c r="AF74" s="216"/>
      <c r="AG74" s="216"/>
      <c r="AH74" s="216"/>
      <c r="AI74" s="216"/>
    </row>
    <row r="75" spans="2:35" s="202" customFormat="1" ht="14.25">
      <c r="B75" s="103" t="s">
        <v>70</v>
      </c>
      <c r="C75" s="72"/>
      <c r="D75" s="104">
        <v>4.2</v>
      </c>
      <c r="E75" s="104"/>
      <c r="F75" s="104">
        <v>4.2</v>
      </c>
      <c r="G75" s="104"/>
      <c r="H75" s="104">
        <v>4.2</v>
      </c>
      <c r="I75" s="104"/>
      <c r="J75" s="104">
        <v>10.9</v>
      </c>
      <c r="K75" s="104"/>
      <c r="L75" s="104">
        <v>0</v>
      </c>
      <c r="M75" s="104"/>
      <c r="N75" s="104">
        <v>6.8</v>
      </c>
      <c r="O75" s="104"/>
      <c r="P75" s="104">
        <v>6.8</v>
      </c>
      <c r="Q75" s="104"/>
      <c r="R75" s="104">
        <v>4.3</v>
      </c>
      <c r="S75" s="104"/>
      <c r="T75" s="104">
        <v>17</v>
      </c>
      <c r="U75" s="120"/>
      <c r="V75" s="104">
        <v>10.6</v>
      </c>
      <c r="W75" s="120"/>
      <c r="X75" s="104">
        <v>5.0060000000000002</v>
      </c>
      <c r="Y75" s="120"/>
      <c r="Z75" s="120">
        <v>12.705</v>
      </c>
      <c r="AA75" s="104"/>
      <c r="AB75" s="104">
        <f t="shared" si="0"/>
        <v>7.2259166666666665</v>
      </c>
      <c r="AC75" s="216"/>
      <c r="AD75" s="216"/>
      <c r="AE75" s="216"/>
      <c r="AF75" s="216"/>
      <c r="AG75" s="216"/>
      <c r="AH75" s="216"/>
      <c r="AI75" s="216"/>
    </row>
    <row r="76" spans="2:35">
      <c r="B76" s="472" t="s">
        <v>101</v>
      </c>
      <c r="C76" s="472"/>
      <c r="D76" s="472"/>
      <c r="E76" s="472"/>
      <c r="F76" s="472"/>
      <c r="G76" s="472"/>
      <c r="H76" s="472"/>
      <c r="I76" s="472"/>
      <c r="J76" s="472"/>
      <c r="K76" s="472"/>
      <c r="L76" s="472"/>
      <c r="M76" s="472"/>
      <c r="N76" s="472"/>
      <c r="O76" s="472"/>
      <c r="P76" s="472"/>
      <c r="Q76" s="472"/>
      <c r="R76" s="472"/>
      <c r="S76" s="472"/>
      <c r="T76" s="472"/>
      <c r="U76" s="472"/>
      <c r="V76" s="472"/>
      <c r="W76" s="472"/>
      <c r="X76" s="472"/>
      <c r="Y76" s="472"/>
      <c r="Z76" s="472"/>
      <c r="AA76" s="472"/>
      <c r="AB76" s="472"/>
    </row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</sheetData>
  <mergeCells count="92">
    <mergeCell ref="B56:AB56"/>
    <mergeCell ref="S62:T62"/>
    <mergeCell ref="C62:D62"/>
    <mergeCell ref="K62:L62"/>
    <mergeCell ref="B76:AB76"/>
    <mergeCell ref="AA63:AB63"/>
    <mergeCell ref="O63:P63"/>
    <mergeCell ref="Q63:R63"/>
    <mergeCell ref="O62:P62"/>
    <mergeCell ref="Y63:Z63"/>
    <mergeCell ref="Y62:Z62"/>
    <mergeCell ref="I62:J62"/>
    <mergeCell ref="W62:X62"/>
    <mergeCell ref="K63:L63"/>
    <mergeCell ref="U62:V62"/>
    <mergeCell ref="M63:N63"/>
    <mergeCell ref="B57:AB57"/>
    <mergeCell ref="E61:F61"/>
    <mergeCell ref="M62:N62"/>
    <mergeCell ref="E62:F62"/>
    <mergeCell ref="G62:H62"/>
    <mergeCell ref="G61:H61"/>
    <mergeCell ref="B58:AB58"/>
    <mergeCell ref="I61:J61"/>
    <mergeCell ref="K61:L61"/>
    <mergeCell ref="W61:X61"/>
    <mergeCell ref="O61:P61"/>
    <mergeCell ref="Y61:Z61"/>
    <mergeCell ref="Q61:R61"/>
    <mergeCell ref="U61:V61"/>
    <mergeCell ref="C61:D61"/>
    <mergeCell ref="AA62:AB62"/>
    <mergeCell ref="C63:D63"/>
    <mergeCell ref="E63:F63"/>
    <mergeCell ref="G63:H63"/>
    <mergeCell ref="I63:J63"/>
    <mergeCell ref="B60:AB60"/>
    <mergeCell ref="S63:T63"/>
    <mergeCell ref="S61:T61"/>
    <mergeCell ref="U63:V63"/>
    <mergeCell ref="W63:X63"/>
    <mergeCell ref="M61:N61"/>
    <mergeCell ref="AA61:AB61"/>
    <mergeCell ref="Q62:R62"/>
    <mergeCell ref="I4:J4"/>
    <mergeCell ref="K4:L4"/>
    <mergeCell ref="B52:AB52"/>
    <mergeCell ref="E4:F4"/>
    <mergeCell ref="G4:H4"/>
    <mergeCell ref="O4:P4"/>
    <mergeCell ref="S4:T4"/>
    <mergeCell ref="U4:V4"/>
    <mergeCell ref="C7:D7"/>
    <mergeCell ref="B51:AB51"/>
    <mergeCell ref="M4:N4"/>
    <mergeCell ref="K7:L7"/>
    <mergeCell ref="AA4:AB4"/>
    <mergeCell ref="W5:X5"/>
    <mergeCell ref="M5:N5"/>
    <mergeCell ref="Y4:Z4"/>
    <mergeCell ref="B54:AB54"/>
    <mergeCell ref="G7:H7"/>
    <mergeCell ref="B48:AB48"/>
    <mergeCell ref="B49:AB49"/>
    <mergeCell ref="B50:AB50"/>
    <mergeCell ref="B47:AB47"/>
    <mergeCell ref="E7:F7"/>
    <mergeCell ref="W7:X7"/>
    <mergeCell ref="Y7:Z7"/>
    <mergeCell ref="U7:V7"/>
    <mergeCell ref="I7:J7"/>
    <mergeCell ref="Q7:R7"/>
    <mergeCell ref="M7:N7"/>
    <mergeCell ref="O7:P7"/>
    <mergeCell ref="AA7:AB7"/>
    <mergeCell ref="S7:T7"/>
    <mergeCell ref="B2:AB2"/>
    <mergeCell ref="G5:H5"/>
    <mergeCell ref="I5:J5"/>
    <mergeCell ref="K5:L5"/>
    <mergeCell ref="C4:D4"/>
    <mergeCell ref="Q5:R5"/>
    <mergeCell ref="B3:AB3"/>
    <mergeCell ref="O5:P5"/>
    <mergeCell ref="C5:D5"/>
    <mergeCell ref="E5:F5"/>
    <mergeCell ref="Y5:Z5"/>
    <mergeCell ref="AA5:AB5"/>
    <mergeCell ref="S5:T5"/>
    <mergeCell ref="W4:X4"/>
    <mergeCell ref="U5:V5"/>
    <mergeCell ref="Q4:R4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61" orientation="landscape" r:id="rId1"/>
  <headerFooter alignWithMargins="0"/>
  <ignoredErrors>
    <ignoredError sqref="AB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0"/>
  <sheetViews>
    <sheetView showGridLines="0" topLeftCell="A57" zoomScale="75" zoomScaleNormal="75" workbookViewId="0">
      <selection activeCell="AC17" sqref="AC17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53" t="s">
        <v>43</v>
      </c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453"/>
      <c r="Y2" s="453"/>
      <c r="Z2" s="453"/>
      <c r="AA2" s="453"/>
      <c r="AB2" s="453"/>
      <c r="AC2" s="214"/>
      <c r="AD2" s="214"/>
      <c r="AE2" s="214"/>
      <c r="AF2" s="214"/>
    </row>
    <row r="3" spans="1:35" ht="15.75" customHeight="1" thickBot="1">
      <c r="B3" s="459" t="s">
        <v>57</v>
      </c>
      <c r="C3" s="459"/>
      <c r="D3" s="459"/>
      <c r="E3" s="459"/>
      <c r="F3" s="459"/>
      <c r="G3" s="459"/>
      <c r="H3" s="459"/>
      <c r="I3" s="459"/>
      <c r="J3" s="459"/>
      <c r="K3" s="459"/>
      <c r="L3" s="459"/>
      <c r="M3" s="459"/>
      <c r="N3" s="459"/>
      <c r="O3" s="459"/>
      <c r="P3" s="459"/>
      <c r="Q3" s="459"/>
      <c r="R3" s="459"/>
      <c r="S3" s="459"/>
      <c r="T3" s="459"/>
      <c r="U3" s="459"/>
      <c r="V3" s="459"/>
      <c r="W3" s="459"/>
      <c r="X3" s="459"/>
      <c r="Y3" s="459"/>
      <c r="Z3" s="459"/>
      <c r="AA3" s="459"/>
      <c r="AB3" s="459"/>
      <c r="AC3" s="215"/>
      <c r="AD3" s="215"/>
      <c r="AE3" s="215"/>
      <c r="AF3" s="215"/>
    </row>
    <row r="4" spans="1:35">
      <c r="B4" s="63"/>
      <c r="C4" s="456"/>
      <c r="D4" s="457"/>
      <c r="E4" s="456"/>
      <c r="F4" s="463"/>
      <c r="G4" s="456"/>
      <c r="H4" s="463"/>
      <c r="I4" s="456"/>
      <c r="J4" s="463"/>
      <c r="K4" s="456"/>
      <c r="L4" s="463"/>
      <c r="M4" s="456"/>
      <c r="N4" s="463"/>
      <c r="O4" s="456"/>
      <c r="P4" s="463"/>
      <c r="Q4" s="456"/>
      <c r="R4" s="463"/>
      <c r="S4" s="456"/>
      <c r="T4" s="463"/>
      <c r="U4" s="456"/>
      <c r="V4" s="462"/>
      <c r="W4" s="456"/>
      <c r="X4" s="462"/>
      <c r="Y4" s="456"/>
      <c r="Z4" s="462"/>
      <c r="AA4" s="456"/>
      <c r="AB4" s="462"/>
    </row>
    <row r="5" spans="1:35">
      <c r="B5" s="64">
        <v>1994</v>
      </c>
      <c r="C5" s="454" t="s">
        <v>4</v>
      </c>
      <c r="D5" s="460"/>
      <c r="E5" s="454" t="s">
        <v>5</v>
      </c>
      <c r="F5" s="455"/>
      <c r="G5" s="454" t="s">
        <v>6</v>
      </c>
      <c r="H5" s="455"/>
      <c r="I5" s="454" t="s">
        <v>7</v>
      </c>
      <c r="J5" s="455"/>
      <c r="K5" s="454" t="s">
        <v>8</v>
      </c>
      <c r="L5" s="455"/>
      <c r="M5" s="454" t="s">
        <v>9</v>
      </c>
      <c r="N5" s="455"/>
      <c r="O5" s="454" t="s">
        <v>10</v>
      </c>
      <c r="P5" s="455"/>
      <c r="Q5" s="458" t="s">
        <v>11</v>
      </c>
      <c r="R5" s="455"/>
      <c r="S5" s="458" t="s">
        <v>12</v>
      </c>
      <c r="T5" s="455"/>
      <c r="U5" s="454" t="s">
        <v>0</v>
      </c>
      <c r="V5" s="461"/>
      <c r="W5" s="454" t="s">
        <v>1</v>
      </c>
      <c r="X5" s="461"/>
      <c r="Y5" s="454" t="s">
        <v>2</v>
      </c>
      <c r="Z5" s="461"/>
      <c r="AA5" s="454" t="s">
        <v>15</v>
      </c>
      <c r="AB5" s="46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5"/>
      <c r="D7" s="468"/>
      <c r="E7" s="465"/>
      <c r="F7" s="466"/>
      <c r="G7" s="465"/>
      <c r="H7" s="466"/>
      <c r="I7" s="465"/>
      <c r="J7" s="466"/>
      <c r="K7" s="465"/>
      <c r="L7" s="466"/>
      <c r="M7" s="465"/>
      <c r="N7" s="466"/>
      <c r="O7" s="465"/>
      <c r="P7" s="466"/>
      <c r="Q7" s="465"/>
      <c r="R7" s="466"/>
      <c r="S7" s="465"/>
      <c r="T7" s="466"/>
      <c r="U7" s="465"/>
      <c r="V7" s="467"/>
      <c r="W7" s="465"/>
      <c r="X7" s="467"/>
      <c r="Y7" s="465"/>
      <c r="Z7" s="467"/>
      <c r="AA7" s="465"/>
      <c r="AB7" s="467"/>
    </row>
    <row r="8" spans="1:35" s="202" customFormat="1" ht="14.25" customHeight="1">
      <c r="A8" s="44"/>
      <c r="B8" s="71" t="s">
        <v>16</v>
      </c>
      <c r="C8" s="72"/>
      <c r="D8" s="41">
        <f>D9+D12</f>
        <v>6445.5585000000001</v>
      </c>
      <c r="E8" s="42"/>
      <c r="F8" s="41">
        <f>F9+F12</f>
        <v>6717.0079000000005</v>
      </c>
      <c r="G8" s="41"/>
      <c r="H8" s="41">
        <f>H9+H12</f>
        <v>7793.9618000000009</v>
      </c>
      <c r="I8" s="41"/>
      <c r="J8" s="41">
        <f>J9+J12</f>
        <v>7327.1658000000007</v>
      </c>
      <c r="K8" s="41"/>
      <c r="L8" s="41">
        <f>L9+L12</f>
        <v>7906.0745999999999</v>
      </c>
      <c r="M8" s="41"/>
      <c r="N8" s="41">
        <f>N9+N12</f>
        <v>8530.5768000000007</v>
      </c>
      <c r="O8" s="41"/>
      <c r="P8" s="41">
        <f>P9+P12</f>
        <v>7683.4372000000003</v>
      </c>
      <c r="Q8" s="41"/>
      <c r="R8" s="41">
        <f>R9+R12</f>
        <v>8792.0339999999997</v>
      </c>
      <c r="S8" s="41"/>
      <c r="T8" s="41">
        <f>T9+T12</f>
        <v>7966.7855</v>
      </c>
      <c r="U8" s="41"/>
      <c r="V8" s="41">
        <f>V9+V12</f>
        <v>8898.6764000000003</v>
      </c>
      <c r="W8" s="41"/>
      <c r="X8" s="41">
        <f>X9+X12</f>
        <v>9908.0667999999987</v>
      </c>
      <c r="Y8" s="41"/>
      <c r="Z8" s="41">
        <f>Z9+Z12</f>
        <v>9291.520300000002</v>
      </c>
      <c r="AA8" s="73"/>
      <c r="AB8" s="73">
        <f>AB9+AB12</f>
        <v>97260.865600000019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6364.2239</v>
      </c>
      <c r="E9" s="42"/>
      <c r="F9" s="42">
        <f>+F10+F11</f>
        <v>6636.0298000000003</v>
      </c>
      <c r="G9" s="42"/>
      <c r="H9" s="42">
        <f>+H10+H11</f>
        <v>7621.234300000001</v>
      </c>
      <c r="I9" s="42"/>
      <c r="J9" s="42">
        <f>+J10+J11</f>
        <v>7197.2665000000006</v>
      </c>
      <c r="K9" s="42"/>
      <c r="L9" s="42">
        <f>+L10+L11</f>
        <v>7828.8330999999998</v>
      </c>
      <c r="M9" s="42"/>
      <c r="N9" s="42">
        <f>+N10+N11</f>
        <v>8289.2788</v>
      </c>
      <c r="O9" s="42"/>
      <c r="P9" s="42">
        <f>+P10+P11</f>
        <v>7540.4151000000002</v>
      </c>
      <c r="Q9" s="42"/>
      <c r="R9" s="42">
        <f>+R10+R11</f>
        <v>8652.2492999999995</v>
      </c>
      <c r="S9" s="42"/>
      <c r="T9" s="42">
        <f>+T10+T11</f>
        <v>7756.9645</v>
      </c>
      <c r="U9" s="42"/>
      <c r="V9" s="42">
        <f>+V10+V11</f>
        <v>8758.6697999999997</v>
      </c>
      <c r="W9" s="42"/>
      <c r="X9" s="42">
        <f>+X10+X11</f>
        <v>8545.0299999999988</v>
      </c>
      <c r="Y9" s="42"/>
      <c r="Z9" s="42">
        <f>+Z10+Z11</f>
        <v>9095.0832600000012</v>
      </c>
      <c r="AA9" s="75"/>
      <c r="AB9" s="75">
        <f>+AB10+AB11</f>
        <v>94285.278360000011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76" t="s">
        <v>77</v>
      </c>
      <c r="C10" s="72"/>
      <c r="D10" s="42">
        <v>1322.6268</v>
      </c>
      <c r="E10" s="42"/>
      <c r="F10" s="42">
        <v>1421.3798000000002</v>
      </c>
      <c r="G10" s="42"/>
      <c r="H10" s="42">
        <v>1726.0150000000001</v>
      </c>
      <c r="I10" s="42"/>
      <c r="J10" s="42">
        <v>1615.8152</v>
      </c>
      <c r="K10" s="42"/>
      <c r="L10" s="42">
        <v>1926.9915999999998</v>
      </c>
      <c r="M10" s="42"/>
      <c r="N10" s="42">
        <v>2489.1961000000001</v>
      </c>
      <c r="O10" s="42"/>
      <c r="P10" s="42">
        <v>2111.9522999999999</v>
      </c>
      <c r="Q10" s="42"/>
      <c r="R10" s="42">
        <v>2611.8337999999999</v>
      </c>
      <c r="S10" s="42"/>
      <c r="T10" s="42">
        <v>2222.5675000000001</v>
      </c>
      <c r="U10" s="42"/>
      <c r="V10" s="42">
        <v>2009.6226999999999</v>
      </c>
      <c r="W10" s="42"/>
      <c r="X10" s="42">
        <v>2260.7632999999996</v>
      </c>
      <c r="Y10" s="42"/>
      <c r="Z10" s="42">
        <v>2723.395</v>
      </c>
      <c r="AA10" s="75"/>
      <c r="AB10" s="75">
        <f>SUM(D10:Z10)</f>
        <v>24442.159100000001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76" t="s">
        <v>103</v>
      </c>
      <c r="C11" s="72"/>
      <c r="D11" s="42">
        <v>5041.5971</v>
      </c>
      <c r="E11" s="42"/>
      <c r="F11" s="42">
        <v>5214.6499999999996</v>
      </c>
      <c r="G11" s="42"/>
      <c r="H11" s="42">
        <v>5895.2193000000007</v>
      </c>
      <c r="I11" s="42"/>
      <c r="J11" s="42">
        <v>5581.4513000000006</v>
      </c>
      <c r="K11" s="42"/>
      <c r="L11" s="42">
        <v>5901.8415000000005</v>
      </c>
      <c r="M11" s="42"/>
      <c r="N11" s="42">
        <v>5800.0826999999999</v>
      </c>
      <c r="O11" s="42"/>
      <c r="P11" s="42">
        <v>5428.4628000000002</v>
      </c>
      <c r="Q11" s="42"/>
      <c r="R11" s="42">
        <v>6040.4155000000001</v>
      </c>
      <c r="S11" s="42"/>
      <c r="T11" s="42">
        <v>5534.3969999999999</v>
      </c>
      <c r="U11" s="42"/>
      <c r="V11" s="42">
        <v>6749.0470999999998</v>
      </c>
      <c r="W11" s="42"/>
      <c r="X11" s="42">
        <v>6284.2667000000001</v>
      </c>
      <c r="Y11" s="42"/>
      <c r="Z11" s="42">
        <v>6371.6882600000008</v>
      </c>
      <c r="AA11" s="77"/>
      <c r="AB11" s="75">
        <f>SUM(D11:Z11)</f>
        <v>69843.119260000007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74" t="s">
        <v>104</v>
      </c>
      <c r="C12" s="72"/>
      <c r="D12" s="42">
        <v>81.334599999999995</v>
      </c>
      <c r="E12" s="42"/>
      <c r="F12" s="42">
        <v>80.978100000000012</v>
      </c>
      <c r="G12" s="42"/>
      <c r="H12" s="42">
        <v>172.72749999999999</v>
      </c>
      <c r="I12" s="42"/>
      <c r="J12" s="42">
        <v>129.89929999999998</v>
      </c>
      <c r="K12" s="42"/>
      <c r="L12" s="42">
        <v>77.241500000000016</v>
      </c>
      <c r="M12" s="42"/>
      <c r="N12" s="42">
        <v>241.298</v>
      </c>
      <c r="O12" s="42"/>
      <c r="P12" s="42">
        <v>143.02209999999999</v>
      </c>
      <c r="Q12" s="42"/>
      <c r="R12" s="42">
        <v>139.78469999999999</v>
      </c>
      <c r="S12" s="42"/>
      <c r="T12" s="42">
        <v>209.821</v>
      </c>
      <c r="U12" s="42"/>
      <c r="V12" s="42">
        <v>140.00659999999999</v>
      </c>
      <c r="W12" s="42"/>
      <c r="X12" s="42">
        <v>1363.0368000000003</v>
      </c>
      <c r="Y12" s="42"/>
      <c r="Z12" s="42">
        <v>196.43704000000071</v>
      </c>
      <c r="AA12" s="75"/>
      <c r="AB12" s="75">
        <f>SUM(D12:Z12)</f>
        <v>2975.5872400000007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80</v>
      </c>
      <c r="C14" s="82"/>
      <c r="D14" s="45">
        <f>+D15+D16+D17</f>
        <v>985.30740000000014</v>
      </c>
      <c r="E14" s="45"/>
      <c r="F14" s="45">
        <f>+F15+F16+F17</f>
        <v>1076.8426999999999</v>
      </c>
      <c r="G14" s="45"/>
      <c r="H14" s="45">
        <f>+H15+H16+H17</f>
        <v>1135.4418999999998</v>
      </c>
      <c r="I14" s="45"/>
      <c r="J14" s="45">
        <f>+J15+J16+J17</f>
        <v>1036.7134000000001</v>
      </c>
      <c r="K14" s="45"/>
      <c r="L14" s="45">
        <f>+L15+L16+L17</f>
        <v>1194.1081999999999</v>
      </c>
      <c r="M14" s="45"/>
      <c r="N14" s="45">
        <f>+N15+N16+N17</f>
        <v>1205.5383999999999</v>
      </c>
      <c r="O14" s="45"/>
      <c r="P14" s="45">
        <f>+P15+P16+P17</f>
        <v>1401.0431000000001</v>
      </c>
      <c r="Q14" s="45"/>
      <c r="R14" s="45">
        <f>+R15+R16+R17</f>
        <v>1195.8958</v>
      </c>
      <c r="S14" s="45"/>
      <c r="T14" s="45">
        <f>+T15+T16+T17</f>
        <v>1197.3652999999999</v>
      </c>
      <c r="U14" s="45"/>
      <c r="V14" s="45">
        <f>+V15+V16+V17</f>
        <v>1509.8668</v>
      </c>
      <c r="W14" s="45"/>
      <c r="X14" s="45">
        <f>+X15+X16+X17</f>
        <v>1380.3293999999999</v>
      </c>
      <c r="Y14" s="45"/>
      <c r="Z14" s="45">
        <f>+Z15+Z16+Z17</f>
        <v>2643.7733399999997</v>
      </c>
      <c r="AA14" s="83"/>
      <c r="AB14" s="83">
        <f>+AB15+AB16+AB17</f>
        <v>15962.225739999998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550.38300000000004</v>
      </c>
      <c r="E15" s="42"/>
      <c r="F15" s="42">
        <v>589.42870000000005</v>
      </c>
      <c r="G15" s="42"/>
      <c r="H15" s="42">
        <v>659.75810000000013</v>
      </c>
      <c r="I15" s="42"/>
      <c r="J15" s="42">
        <v>672.9579</v>
      </c>
      <c r="K15" s="42"/>
      <c r="L15" s="42">
        <v>675.01390000000004</v>
      </c>
      <c r="M15" s="42"/>
      <c r="N15" s="42">
        <v>722.86279999999999</v>
      </c>
      <c r="O15" s="42"/>
      <c r="P15" s="42">
        <v>668.02830000000006</v>
      </c>
      <c r="Q15" s="42"/>
      <c r="R15" s="42">
        <v>655.86759999999992</v>
      </c>
      <c r="S15" s="42"/>
      <c r="T15" s="42">
        <v>637.48479999999995</v>
      </c>
      <c r="U15" s="42"/>
      <c r="V15" s="42">
        <v>744.65740000000005</v>
      </c>
      <c r="W15" s="42"/>
      <c r="X15" s="42">
        <v>862.4819</v>
      </c>
      <c r="Y15" s="42"/>
      <c r="Z15" s="42">
        <v>1399.7312999999999</v>
      </c>
      <c r="AA15" s="75"/>
      <c r="AB15" s="75">
        <f>SUM(D15:Z15)</f>
        <v>8838.6556999999993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143.4545</v>
      </c>
      <c r="E16" s="42"/>
      <c r="F16" s="42">
        <v>144.03749999999999</v>
      </c>
      <c r="G16" s="42"/>
      <c r="H16" s="42">
        <v>148.4811</v>
      </c>
      <c r="I16" s="42"/>
      <c r="J16" s="42">
        <v>126.9264</v>
      </c>
      <c r="K16" s="42"/>
      <c r="L16" s="42">
        <v>131.09539999999998</v>
      </c>
      <c r="M16" s="42"/>
      <c r="N16" s="42">
        <v>101.8203</v>
      </c>
      <c r="O16" s="42"/>
      <c r="P16" s="42">
        <v>217.4522</v>
      </c>
      <c r="Q16" s="42"/>
      <c r="R16" s="42">
        <v>145.6206</v>
      </c>
      <c r="S16" s="42"/>
      <c r="T16" s="42">
        <v>195.01920000000001</v>
      </c>
      <c r="U16" s="42"/>
      <c r="V16" s="42">
        <v>185.8306</v>
      </c>
      <c r="W16" s="42"/>
      <c r="X16" s="42">
        <v>129.03919999999999</v>
      </c>
      <c r="Y16" s="42"/>
      <c r="Z16" s="42">
        <v>157.28479999999999</v>
      </c>
      <c r="AA16" s="75"/>
      <c r="AB16" s="75">
        <f>SUM(D16:Z16)</f>
        <v>1826.0617999999997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74" t="s">
        <v>105</v>
      </c>
      <c r="C17" s="72"/>
      <c r="D17" s="42">
        <v>291.4699</v>
      </c>
      <c r="E17" s="42"/>
      <c r="F17" s="42">
        <v>343.37649999999985</v>
      </c>
      <c r="G17" s="42"/>
      <c r="H17" s="42">
        <v>327.20269999999971</v>
      </c>
      <c r="I17" s="42"/>
      <c r="J17" s="42">
        <v>236.8291000000001</v>
      </c>
      <c r="K17" s="42"/>
      <c r="L17" s="42">
        <v>387.99889999999988</v>
      </c>
      <c r="M17" s="42"/>
      <c r="N17" s="42">
        <v>380.85529999999994</v>
      </c>
      <c r="O17" s="42"/>
      <c r="P17" s="42">
        <v>515.56259999999997</v>
      </c>
      <c r="Q17" s="42"/>
      <c r="R17" s="42">
        <v>394.40760000000012</v>
      </c>
      <c r="S17" s="42"/>
      <c r="T17" s="42">
        <v>364.86129999999997</v>
      </c>
      <c r="U17" s="42"/>
      <c r="V17" s="42">
        <v>579.37879999999996</v>
      </c>
      <c r="W17" s="42"/>
      <c r="X17" s="42">
        <v>388.80829999999986</v>
      </c>
      <c r="Y17" s="42"/>
      <c r="Z17" s="42">
        <v>1086.7572399999999</v>
      </c>
      <c r="AA17" s="75"/>
      <c r="AB17" s="75">
        <f>SUM(D17:Z17)</f>
        <v>5297.5082399999992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91.91279999999999</v>
      </c>
      <c r="E19" s="42"/>
      <c r="F19" s="42">
        <v>61.305800000000005</v>
      </c>
      <c r="G19" s="42"/>
      <c r="H19" s="42">
        <v>67.827700000000007</v>
      </c>
      <c r="I19" s="42"/>
      <c r="J19" s="42">
        <v>103.47880000000001</v>
      </c>
      <c r="K19" s="42"/>
      <c r="L19" s="42">
        <v>89.14609999999999</v>
      </c>
      <c r="M19" s="42"/>
      <c r="N19" s="42">
        <v>-128.4975</v>
      </c>
      <c r="O19" s="42"/>
      <c r="P19" s="42">
        <v>114.45450000000005</v>
      </c>
      <c r="Q19" s="42"/>
      <c r="R19" s="42">
        <v>63.458500000000043</v>
      </c>
      <c r="S19" s="42"/>
      <c r="T19" s="42">
        <v>14.08959999999999</v>
      </c>
      <c r="U19" s="42"/>
      <c r="V19" s="42">
        <v>21.028399999999976</v>
      </c>
      <c r="W19" s="42"/>
      <c r="X19" s="42">
        <v>136.14119999999988</v>
      </c>
      <c r="Y19" s="42"/>
      <c r="Z19" s="42">
        <v>-1265.8526999999999</v>
      </c>
      <c r="AA19" s="42"/>
      <c r="AB19" s="124">
        <f>SUM(D19:Z19)</f>
        <v>-631.5068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85" t="s">
        <v>82</v>
      </c>
      <c r="C21" s="72"/>
      <c r="D21" s="42">
        <v>276.4753</v>
      </c>
      <c r="E21" s="42"/>
      <c r="F21" s="42">
        <v>217.97820000000002</v>
      </c>
      <c r="G21" s="42"/>
      <c r="H21" s="42">
        <v>266.58390000000003</v>
      </c>
      <c r="I21" s="42"/>
      <c r="J21" s="42">
        <v>405.24619999999999</v>
      </c>
      <c r="K21" s="42"/>
      <c r="L21" s="42">
        <v>363.3904</v>
      </c>
      <c r="M21" s="42"/>
      <c r="N21" s="42">
        <v>268.73869999999999</v>
      </c>
      <c r="O21" s="42"/>
      <c r="P21" s="42">
        <v>350.0154</v>
      </c>
      <c r="Q21" s="42"/>
      <c r="R21" s="42">
        <v>403.44749999999999</v>
      </c>
      <c r="S21" s="42"/>
      <c r="T21" s="42">
        <v>525.98739999999998</v>
      </c>
      <c r="U21" s="42"/>
      <c r="V21" s="42">
        <v>425.37559999999996</v>
      </c>
      <c r="W21" s="42"/>
      <c r="X21" s="42">
        <v>535.9819</v>
      </c>
      <c r="Y21" s="42"/>
      <c r="Z21" s="42">
        <v>448.19220000000001</v>
      </c>
      <c r="AA21" s="42"/>
      <c r="AB21" s="75">
        <f>SUM(D21:Z21)</f>
        <v>4487.4127000000008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83</v>
      </c>
      <c r="C23" s="82"/>
      <c r="D23" s="45">
        <f>D8-D14-D19-D21</f>
        <v>5091.8629999999994</v>
      </c>
      <c r="E23" s="45"/>
      <c r="F23" s="45">
        <f>F8-F14-F19-F21</f>
        <v>5360.8811999999998</v>
      </c>
      <c r="G23" s="45"/>
      <c r="H23" s="45">
        <f>H8-H14-H19-H21</f>
        <v>6324.1083000000017</v>
      </c>
      <c r="I23" s="45"/>
      <c r="J23" s="45">
        <f>J8-J14-J19-J21</f>
        <v>5781.7274000000007</v>
      </c>
      <c r="K23" s="45"/>
      <c r="L23" s="45">
        <f>L8-L14-L19-L21</f>
        <v>6259.4299000000001</v>
      </c>
      <c r="M23" s="45"/>
      <c r="N23" s="45">
        <f>N8-N14-N19-N21</f>
        <v>7184.7972000000018</v>
      </c>
      <c r="O23" s="45"/>
      <c r="P23" s="45">
        <f>P8-P14-P19-P21</f>
        <v>5817.9242000000004</v>
      </c>
      <c r="Q23" s="45"/>
      <c r="R23" s="45">
        <f>R8-R14-R19-R21</f>
        <v>7129.2321999999995</v>
      </c>
      <c r="S23" s="45"/>
      <c r="T23" s="45">
        <f>T8-T14-T19-T21</f>
        <v>6229.3432000000003</v>
      </c>
      <c r="U23" s="45"/>
      <c r="V23" s="45">
        <f>V8-V14-V19-V21</f>
        <v>6942.4056</v>
      </c>
      <c r="W23" s="45"/>
      <c r="X23" s="45">
        <f>X8-X14-X19-X21</f>
        <v>7855.6142999999984</v>
      </c>
      <c r="Y23" s="45"/>
      <c r="Z23" s="45">
        <f>Z8-Z14-Z19-Z21</f>
        <v>7465.4074600000013</v>
      </c>
      <c r="AA23" s="45"/>
      <c r="AB23" s="83">
        <f>AB8-AB14-AB19-AB21</f>
        <v>77442.733960000027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84</v>
      </c>
      <c r="C25" s="82"/>
      <c r="D25" s="45">
        <f>+D27+D26</f>
        <v>615.80700000000002</v>
      </c>
      <c r="E25" s="82"/>
      <c r="F25" s="45">
        <f>+F27+F26</f>
        <v>551.47519999999997</v>
      </c>
      <c r="G25" s="82"/>
      <c r="H25" s="45">
        <f>+H27+H26</f>
        <v>745.2478000000001</v>
      </c>
      <c r="I25" s="82"/>
      <c r="J25" s="45">
        <f>+J27+J26</f>
        <v>536.31869999999992</v>
      </c>
      <c r="K25" s="82"/>
      <c r="L25" s="45">
        <f>+L27+L26</f>
        <v>674.0181</v>
      </c>
      <c r="M25" s="82"/>
      <c r="N25" s="45">
        <f>+N27+N26</f>
        <v>733.56530000000009</v>
      </c>
      <c r="O25" s="82"/>
      <c r="P25" s="45">
        <f>+P27+P26</f>
        <v>1047.829</v>
      </c>
      <c r="Q25" s="82"/>
      <c r="R25" s="45">
        <f>+R27+R26</f>
        <v>1488.3146000000002</v>
      </c>
      <c r="S25" s="82"/>
      <c r="T25" s="45">
        <f>+T27+T26</f>
        <v>896.37519999999995</v>
      </c>
      <c r="U25" s="82"/>
      <c r="V25" s="45">
        <f>+V27+V26</f>
        <v>727.07180000000005</v>
      </c>
      <c r="W25" s="82"/>
      <c r="X25" s="45">
        <f>+X27+X26</f>
        <v>800.05560000000003</v>
      </c>
      <c r="Y25" s="82"/>
      <c r="Z25" s="45">
        <f>+Z27+Z26</f>
        <v>1671.9559999999999</v>
      </c>
      <c r="AA25" s="82"/>
      <c r="AB25" s="45">
        <f>+AB27+AB26</f>
        <v>10488.034300000001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74" t="s">
        <v>85</v>
      </c>
      <c r="C26" s="72"/>
      <c r="D26" s="42">
        <v>0</v>
      </c>
      <c r="E26" s="42"/>
      <c r="F26" s="42">
        <v>0</v>
      </c>
      <c r="G26" s="42"/>
      <c r="H26" s="42">
        <v>0</v>
      </c>
      <c r="I26" s="42"/>
      <c r="J26" s="42">
        <v>0</v>
      </c>
      <c r="K26" s="42"/>
      <c r="L26" s="42">
        <v>0</v>
      </c>
      <c r="M26" s="42"/>
      <c r="N26" s="42">
        <v>0</v>
      </c>
      <c r="O26" s="42"/>
      <c r="P26" s="42">
        <v>0</v>
      </c>
      <c r="Q26" s="77"/>
      <c r="R26" s="42">
        <v>0</v>
      </c>
      <c r="S26" s="42"/>
      <c r="T26" s="42">
        <v>0</v>
      </c>
      <c r="U26" s="42"/>
      <c r="V26" s="42">
        <v>0</v>
      </c>
      <c r="W26" s="42"/>
      <c r="X26" s="42">
        <v>0</v>
      </c>
      <c r="Y26" s="42"/>
      <c r="Z26" s="42">
        <v>0</v>
      </c>
      <c r="AA26" s="42"/>
      <c r="AB26" s="42">
        <f>SUM(D26:Z26)</f>
        <v>0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615.80700000000002</v>
      </c>
      <c r="E27" s="42"/>
      <c r="F27" s="42">
        <f>+F28+F29</f>
        <v>551.47519999999997</v>
      </c>
      <c r="G27" s="42"/>
      <c r="H27" s="42">
        <f>+H28+H29</f>
        <v>745.2478000000001</v>
      </c>
      <c r="I27" s="42"/>
      <c r="J27" s="42">
        <f>+J28+J29</f>
        <v>536.31869999999992</v>
      </c>
      <c r="K27" s="42"/>
      <c r="L27" s="42">
        <f>+L28+L29</f>
        <v>674.0181</v>
      </c>
      <c r="M27" s="42"/>
      <c r="N27" s="42">
        <f>+N28+N29</f>
        <v>733.56530000000009</v>
      </c>
      <c r="O27" s="42"/>
      <c r="P27" s="42">
        <f>+P28+P29</f>
        <v>1047.829</v>
      </c>
      <c r="Q27" s="42"/>
      <c r="R27" s="42">
        <f>+R28+R29</f>
        <v>1488.3146000000002</v>
      </c>
      <c r="S27" s="42"/>
      <c r="T27" s="42">
        <f>+T28+T29</f>
        <v>896.37519999999995</v>
      </c>
      <c r="U27" s="42"/>
      <c r="V27" s="42">
        <f>+V28+V29</f>
        <v>727.07180000000005</v>
      </c>
      <c r="W27" s="42"/>
      <c r="X27" s="42">
        <f>+X28+X29</f>
        <v>800.05560000000003</v>
      </c>
      <c r="Y27" s="42"/>
      <c r="Z27" s="42">
        <f>+Z28+Z29</f>
        <v>1671.9559999999999</v>
      </c>
      <c r="AA27" s="75"/>
      <c r="AB27" s="75">
        <f>+AB28+AB29</f>
        <v>10488.034300000001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76" t="s">
        <v>87</v>
      </c>
      <c r="C28" s="90"/>
      <c r="D28" s="42">
        <v>615.70050000000003</v>
      </c>
      <c r="E28" s="42"/>
      <c r="F28" s="42">
        <v>551.16769999999997</v>
      </c>
      <c r="G28" s="42"/>
      <c r="H28" s="42">
        <v>712.8053000000001</v>
      </c>
      <c r="I28" s="42"/>
      <c r="J28" s="42">
        <v>536.20229999999992</v>
      </c>
      <c r="K28" s="42"/>
      <c r="L28" s="42">
        <v>670.72180000000003</v>
      </c>
      <c r="M28" s="42"/>
      <c r="N28" s="42">
        <v>760.53840000000014</v>
      </c>
      <c r="O28" s="42"/>
      <c r="P28" s="42">
        <v>1048.3215</v>
      </c>
      <c r="Q28" s="42"/>
      <c r="R28" s="42">
        <v>1491.4725000000001</v>
      </c>
      <c r="S28" s="42"/>
      <c r="T28" s="42">
        <v>881.31039999999996</v>
      </c>
      <c r="U28" s="42"/>
      <c r="V28" s="42">
        <v>725.80840000000001</v>
      </c>
      <c r="W28" s="42"/>
      <c r="X28" s="42">
        <v>685.62360000000001</v>
      </c>
      <c r="Y28" s="42"/>
      <c r="Z28" s="42">
        <v>1228.6723</v>
      </c>
      <c r="AA28" s="75"/>
      <c r="AB28" s="75">
        <f>SUM(D28:Z28)</f>
        <v>9908.3447000000015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0.1065</v>
      </c>
      <c r="E29" s="42"/>
      <c r="F29" s="42">
        <v>0.3075</v>
      </c>
      <c r="G29" s="42"/>
      <c r="H29" s="42">
        <v>32.442500000000003</v>
      </c>
      <c r="I29" s="42"/>
      <c r="J29" s="42">
        <v>0.1164</v>
      </c>
      <c r="K29" s="42"/>
      <c r="L29" s="42">
        <v>3.2963</v>
      </c>
      <c r="M29" s="42"/>
      <c r="N29" s="42">
        <v>-26.973099999999999</v>
      </c>
      <c r="O29" s="42"/>
      <c r="P29" s="42">
        <v>-0.49249999999999999</v>
      </c>
      <c r="Q29" s="42"/>
      <c r="R29" s="42">
        <v>-3.1579000000000002</v>
      </c>
      <c r="S29" s="42"/>
      <c r="T29" s="42">
        <v>15.0648</v>
      </c>
      <c r="U29" s="42"/>
      <c r="V29" s="42">
        <v>1.2634000000000001</v>
      </c>
      <c r="W29" s="42"/>
      <c r="X29" s="42">
        <v>114.432</v>
      </c>
      <c r="Y29" s="42"/>
      <c r="Z29" s="42">
        <v>443.28370000000001</v>
      </c>
      <c r="AA29" s="75"/>
      <c r="AB29" s="42">
        <f>SUM(D29:Z29)</f>
        <v>579.68960000000004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0</v>
      </c>
      <c r="U31" s="118"/>
      <c r="V31" s="118">
        <v>0</v>
      </c>
      <c r="W31" s="118"/>
      <c r="X31" s="118">
        <v>0</v>
      </c>
      <c r="Y31" s="118"/>
      <c r="Z31" s="118">
        <v>0</v>
      </c>
      <c r="AA31" s="41"/>
      <c r="AB31" s="118">
        <f>SUM(D31:Z31)</f>
        <v>0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94" t="s">
        <v>46</v>
      </c>
      <c r="C33" s="95"/>
      <c r="D33" s="119">
        <f>D23-D25+D31</f>
        <v>4476.0559999999996</v>
      </c>
      <c r="E33" s="119"/>
      <c r="F33" s="119">
        <f>F23-F25+F31</f>
        <v>4809.4059999999999</v>
      </c>
      <c r="G33" s="119"/>
      <c r="H33" s="119">
        <f>H23-H25+H31</f>
        <v>5578.8605000000016</v>
      </c>
      <c r="I33" s="119"/>
      <c r="J33" s="119">
        <f>J23-J25+J31</f>
        <v>5245.4087000000009</v>
      </c>
      <c r="K33" s="119"/>
      <c r="L33" s="119">
        <f>L23-L25+L31</f>
        <v>5585.4117999999999</v>
      </c>
      <c r="M33" s="119"/>
      <c r="N33" s="119">
        <f>N23-N25+N31</f>
        <v>6451.2319000000016</v>
      </c>
      <c r="O33" s="119"/>
      <c r="P33" s="119">
        <f>P23-P25+P31</f>
        <v>4770.0952000000007</v>
      </c>
      <c r="Q33" s="119"/>
      <c r="R33" s="119">
        <f>R23-R25+R31</f>
        <v>5640.9175999999989</v>
      </c>
      <c r="S33" s="119"/>
      <c r="T33" s="119">
        <f>T23-T25+T31</f>
        <v>5332.9680000000008</v>
      </c>
      <c r="U33" s="119"/>
      <c r="V33" s="119">
        <f>V23-V25+V31</f>
        <v>6215.3338000000003</v>
      </c>
      <c r="W33" s="119"/>
      <c r="X33" s="119">
        <f>X23-X25+X31</f>
        <v>7055.5586999999987</v>
      </c>
      <c r="Y33" s="119"/>
      <c r="Z33" s="119">
        <f>Z23-Z25+Z31</f>
        <v>5793.4514600000011</v>
      </c>
      <c r="AA33" s="119"/>
      <c r="AB33" s="119">
        <f>AB23-AB25+AB31</f>
        <v>66954.699660000028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5361.3812999999991</v>
      </c>
      <c r="E35" s="42"/>
      <c r="F35" s="42">
        <v>4424.8768</v>
      </c>
      <c r="G35" s="42"/>
      <c r="H35" s="42">
        <v>4429.04</v>
      </c>
      <c r="I35" s="42"/>
      <c r="J35" s="42">
        <v>4296.2464</v>
      </c>
      <c r="K35" s="42"/>
      <c r="L35" s="42">
        <v>4464.0436</v>
      </c>
      <c r="M35" s="42"/>
      <c r="N35" s="42">
        <v>5307.7873999999993</v>
      </c>
      <c r="O35" s="42"/>
      <c r="P35" s="42">
        <v>5343.4783000000007</v>
      </c>
      <c r="Q35" s="42"/>
      <c r="R35" s="42">
        <v>5751.3744000000006</v>
      </c>
      <c r="S35" s="42"/>
      <c r="T35" s="42">
        <v>5286.9971999999998</v>
      </c>
      <c r="U35" s="42"/>
      <c r="V35" s="42">
        <v>5739.0103999999992</v>
      </c>
      <c r="W35" s="42"/>
      <c r="X35" s="42">
        <v>5465.5498000000007</v>
      </c>
      <c r="Y35" s="42"/>
      <c r="Z35" s="42">
        <v>5125.8161</v>
      </c>
      <c r="AA35" s="42"/>
      <c r="AB35" s="75">
        <f>SUM(D35:Z35)</f>
        <v>60995.601699999999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-885.32529999999952</v>
      </c>
      <c r="E37" s="119"/>
      <c r="F37" s="119">
        <f>F33-F35</f>
        <v>384.52919999999995</v>
      </c>
      <c r="G37" s="119"/>
      <c r="H37" s="119">
        <f>H33-H35</f>
        <v>1149.8205000000016</v>
      </c>
      <c r="I37" s="119"/>
      <c r="J37" s="119">
        <f>J33-J35</f>
        <v>949.16230000000087</v>
      </c>
      <c r="K37" s="119"/>
      <c r="L37" s="119">
        <f>L33-L35</f>
        <v>1121.3681999999999</v>
      </c>
      <c r="M37" s="119"/>
      <c r="N37" s="119">
        <f>N33-N35</f>
        <v>1143.4445000000023</v>
      </c>
      <c r="O37" s="119"/>
      <c r="P37" s="119">
        <f>P33-P35</f>
        <v>-573.38310000000001</v>
      </c>
      <c r="Q37" s="119"/>
      <c r="R37" s="119">
        <f>R33-R35</f>
        <v>-110.45680000000175</v>
      </c>
      <c r="S37" s="119"/>
      <c r="T37" s="119">
        <f>T33-T35</f>
        <v>45.970800000000963</v>
      </c>
      <c r="U37" s="119"/>
      <c r="V37" s="119">
        <f>V33-V35</f>
        <v>476.32340000000113</v>
      </c>
      <c r="W37" s="119"/>
      <c r="X37" s="119">
        <f>X33-X35</f>
        <v>1590.008899999998</v>
      </c>
      <c r="Y37" s="119"/>
      <c r="Z37" s="119">
        <f>Z33-Z35</f>
        <v>667.63536000000113</v>
      </c>
      <c r="AA37" s="119"/>
      <c r="AB37" s="119">
        <f>AB33-AB35</f>
        <v>5959.0979600000283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246.17610000000002</v>
      </c>
      <c r="E39" s="72"/>
      <c r="F39" s="42">
        <f>F40+F43</f>
        <v>214.70850000000002</v>
      </c>
      <c r="G39" s="72"/>
      <c r="H39" s="42">
        <f>H40+H43</f>
        <v>474.44159999999999</v>
      </c>
      <c r="I39" s="72"/>
      <c r="J39" s="42">
        <f>J40+J43</f>
        <v>255.46410000000003</v>
      </c>
      <c r="K39" s="72"/>
      <c r="L39" s="42">
        <f>L40+L43</f>
        <v>292.17769999999996</v>
      </c>
      <c r="M39" s="72"/>
      <c r="N39" s="42">
        <f>N40+N43</f>
        <v>484.95730000000003</v>
      </c>
      <c r="O39" s="72"/>
      <c r="P39" s="42">
        <f>P40+P43</f>
        <v>271.94630000000001</v>
      </c>
      <c r="Q39" s="72"/>
      <c r="R39" s="42">
        <f>R40+R43</f>
        <v>276.58309999999994</v>
      </c>
      <c r="S39" s="72"/>
      <c r="T39" s="42">
        <f>T40+T43</f>
        <v>414.72399999999999</v>
      </c>
      <c r="U39" s="72"/>
      <c r="V39" s="42">
        <f>V40+V43</f>
        <v>327.30549999999999</v>
      </c>
      <c r="W39" s="72"/>
      <c r="X39" s="42">
        <f>X40+X43</f>
        <v>426.71850000000001</v>
      </c>
      <c r="Y39" s="72"/>
      <c r="Z39" s="42">
        <f>Z40+Z43</f>
        <v>725.16959999999995</v>
      </c>
      <c r="AA39" s="72"/>
      <c r="AB39" s="42">
        <f>AB40+AB43</f>
        <v>4410.3722999999991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126.4392</v>
      </c>
      <c r="E40" s="42"/>
      <c r="F40" s="42">
        <f>F41+F42</f>
        <v>106.8809</v>
      </c>
      <c r="G40" s="42"/>
      <c r="H40" s="42">
        <f>H41+H42</f>
        <v>88.627899999999997</v>
      </c>
      <c r="I40" s="42"/>
      <c r="J40" s="42">
        <f>J41+J42</f>
        <v>130.01760000000002</v>
      </c>
      <c r="K40" s="42"/>
      <c r="L40" s="42">
        <f>L41+L42</f>
        <v>158.9469</v>
      </c>
      <c r="M40" s="42"/>
      <c r="N40" s="42">
        <f>N41+N42</f>
        <v>101.51130000000001</v>
      </c>
      <c r="O40" s="42"/>
      <c r="P40" s="42">
        <f>P41+P42</f>
        <v>145.08270000000002</v>
      </c>
      <c r="Q40" s="42"/>
      <c r="R40" s="42">
        <f>R41+R42</f>
        <v>135.54379999999998</v>
      </c>
      <c r="S40" s="42"/>
      <c r="T40" s="42">
        <f>T41+T42</f>
        <v>115.139</v>
      </c>
      <c r="U40" s="42"/>
      <c r="V40" s="42">
        <f>+V41+V42</f>
        <v>151.8878</v>
      </c>
      <c r="W40" s="42"/>
      <c r="X40" s="42">
        <f>+X41+X42</f>
        <v>195.5615</v>
      </c>
      <c r="Y40" s="42"/>
      <c r="Z40" s="42">
        <f>+Z41+Z42</f>
        <v>205.38639999999998</v>
      </c>
      <c r="AA40" s="75"/>
      <c r="AB40" s="75">
        <f>+AB41+AB42</f>
        <v>1661.0250000000001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76" t="s">
        <v>56</v>
      </c>
      <c r="C41" s="72"/>
      <c r="D41" s="118">
        <v>0</v>
      </c>
      <c r="E41" s="118"/>
      <c r="F41" s="118">
        <v>0</v>
      </c>
      <c r="G41" s="118"/>
      <c r="H41" s="118">
        <v>0</v>
      </c>
      <c r="I41" s="118"/>
      <c r="J41" s="118">
        <v>0</v>
      </c>
      <c r="K41" s="118"/>
      <c r="L41" s="118">
        <v>0</v>
      </c>
      <c r="M41" s="118"/>
      <c r="N41" s="118">
        <v>0</v>
      </c>
      <c r="O41" s="118"/>
      <c r="P41" s="118">
        <v>0</v>
      </c>
      <c r="Q41" s="118"/>
      <c r="R41" s="118">
        <v>0</v>
      </c>
      <c r="S41" s="118"/>
      <c r="T41" s="118">
        <v>0</v>
      </c>
      <c r="U41" s="118"/>
      <c r="V41" s="118">
        <v>0</v>
      </c>
      <c r="W41" s="118"/>
      <c r="X41" s="118">
        <v>0</v>
      </c>
      <c r="Y41" s="118"/>
      <c r="Z41" s="118">
        <v>0</v>
      </c>
      <c r="AA41" s="118"/>
      <c r="AB41" s="118">
        <f>SUM(D41:Z41)</f>
        <v>0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126.4392</v>
      </c>
      <c r="E42" s="42"/>
      <c r="F42" s="42">
        <v>106.8809</v>
      </c>
      <c r="G42" s="42"/>
      <c r="H42" s="42">
        <v>88.627899999999997</v>
      </c>
      <c r="I42" s="42"/>
      <c r="J42" s="42">
        <v>130.01760000000002</v>
      </c>
      <c r="K42" s="42"/>
      <c r="L42" s="42">
        <v>158.9469</v>
      </c>
      <c r="M42" s="42"/>
      <c r="N42" s="42">
        <v>101.51130000000001</v>
      </c>
      <c r="O42" s="42"/>
      <c r="P42" s="42">
        <v>145.08270000000002</v>
      </c>
      <c r="Q42" s="42"/>
      <c r="R42" s="42">
        <v>135.54379999999998</v>
      </c>
      <c r="S42" s="42"/>
      <c r="T42" s="42">
        <v>115.139</v>
      </c>
      <c r="U42" s="42"/>
      <c r="V42" s="42">
        <v>151.8878</v>
      </c>
      <c r="W42" s="42"/>
      <c r="X42" s="42">
        <v>195.5615</v>
      </c>
      <c r="Y42" s="42"/>
      <c r="Z42" s="42">
        <v>205.38639999999998</v>
      </c>
      <c r="AA42" s="75"/>
      <c r="AB42" s="75">
        <f>SUM(D42:Z42)</f>
        <v>1661.0250000000001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119.73690000000001</v>
      </c>
      <c r="E43" s="42"/>
      <c r="F43" s="42">
        <v>107.8276</v>
      </c>
      <c r="G43" s="42"/>
      <c r="H43" s="42">
        <v>385.81369999999998</v>
      </c>
      <c r="I43" s="42"/>
      <c r="J43" s="42">
        <v>125.4465</v>
      </c>
      <c r="K43" s="42"/>
      <c r="L43" s="42">
        <v>133.23079999999999</v>
      </c>
      <c r="M43" s="42"/>
      <c r="N43" s="42">
        <v>383.44600000000003</v>
      </c>
      <c r="O43" s="42"/>
      <c r="P43" s="42">
        <v>126.86360000000001</v>
      </c>
      <c r="Q43" s="42"/>
      <c r="R43" s="42">
        <v>141.0393</v>
      </c>
      <c r="S43" s="42"/>
      <c r="T43" s="42">
        <v>299.58499999999998</v>
      </c>
      <c r="U43" s="42"/>
      <c r="V43" s="42">
        <v>175.4177</v>
      </c>
      <c r="W43" s="42"/>
      <c r="X43" s="42">
        <v>231.15700000000001</v>
      </c>
      <c r="Y43" s="42"/>
      <c r="Z43" s="42">
        <v>519.78319999999997</v>
      </c>
      <c r="AA43" s="75"/>
      <c r="AB43" s="75">
        <f>SUM(D43:Z43)</f>
        <v>2749.3472999999994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-1131.5013999999996</v>
      </c>
      <c r="E45" s="95"/>
      <c r="F45" s="48">
        <f>F37-F39</f>
        <v>169.82069999999993</v>
      </c>
      <c r="G45" s="95"/>
      <c r="H45" s="48">
        <f>H37-H39</f>
        <v>675.37890000000164</v>
      </c>
      <c r="I45" s="95"/>
      <c r="J45" s="48">
        <f>J37-J39</f>
        <v>693.69820000000084</v>
      </c>
      <c r="K45" s="95"/>
      <c r="L45" s="48">
        <f>L37-L39</f>
        <v>829.19049999999993</v>
      </c>
      <c r="M45" s="95"/>
      <c r="N45" s="48">
        <f>N37-N39</f>
        <v>658.4872000000023</v>
      </c>
      <c r="O45" s="95"/>
      <c r="P45" s="48">
        <f>P37-P39</f>
        <v>-845.32940000000008</v>
      </c>
      <c r="Q45" s="95"/>
      <c r="R45" s="48">
        <f>R37-R39</f>
        <v>-387.03990000000169</v>
      </c>
      <c r="S45" s="95"/>
      <c r="T45" s="48">
        <f>T37-T39</f>
        <v>-368.75319999999903</v>
      </c>
      <c r="U45" s="95"/>
      <c r="V45" s="48">
        <f>V37-V39</f>
        <v>149.01790000000113</v>
      </c>
      <c r="W45" s="95"/>
      <c r="X45" s="48">
        <f>X37-X39</f>
        <v>1163.290399999998</v>
      </c>
      <c r="Y45" s="95"/>
      <c r="Z45" s="48">
        <f>Z37-Z39</f>
        <v>-57.534239999998817</v>
      </c>
      <c r="AA45" s="95"/>
      <c r="AB45" s="48">
        <f>AB37-AB39</f>
        <v>1548.7256600000292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64" t="s">
        <v>41</v>
      </c>
      <c r="C47" s="464"/>
      <c r="D47" s="464"/>
      <c r="E47" s="464"/>
      <c r="F47" s="464"/>
      <c r="G47" s="464"/>
      <c r="H47" s="464"/>
      <c r="I47" s="464"/>
      <c r="J47" s="464"/>
      <c r="K47" s="464"/>
      <c r="L47" s="464"/>
      <c r="M47" s="464"/>
      <c r="N47" s="464"/>
      <c r="O47" s="464"/>
      <c r="P47" s="464"/>
      <c r="Q47" s="464"/>
      <c r="R47" s="464"/>
      <c r="S47" s="464"/>
      <c r="T47" s="464"/>
      <c r="U47" s="464"/>
      <c r="V47" s="464"/>
      <c r="W47" s="464"/>
      <c r="X47" s="464"/>
      <c r="Y47" s="464"/>
      <c r="Z47" s="464"/>
      <c r="AA47" s="464"/>
      <c r="AB47" s="464"/>
      <c r="AC47" s="212"/>
      <c r="AD47" s="212"/>
      <c r="AE47" s="101"/>
      <c r="AF47" s="212"/>
    </row>
    <row r="48" spans="1:35" ht="14.25" customHeight="1">
      <c r="B48" s="464" t="s">
        <v>107</v>
      </c>
      <c r="C48" s="464"/>
      <c r="D48" s="464"/>
      <c r="E48" s="464"/>
      <c r="F48" s="464"/>
      <c r="G48" s="464"/>
      <c r="H48" s="464"/>
      <c r="I48" s="464"/>
      <c r="J48" s="464"/>
      <c r="K48" s="464"/>
      <c r="L48" s="464"/>
      <c r="M48" s="464"/>
      <c r="N48" s="464"/>
      <c r="O48" s="464"/>
      <c r="P48" s="464"/>
      <c r="Q48" s="464"/>
      <c r="R48" s="464"/>
      <c r="S48" s="464"/>
      <c r="T48" s="464"/>
      <c r="U48" s="464"/>
      <c r="V48" s="464"/>
      <c r="W48" s="464"/>
      <c r="X48" s="464"/>
      <c r="Y48" s="464"/>
      <c r="Z48" s="464"/>
      <c r="AA48" s="464"/>
      <c r="AB48" s="464"/>
      <c r="AC48" s="212"/>
      <c r="AD48" s="212"/>
      <c r="AE48" s="101"/>
      <c r="AF48" s="212"/>
    </row>
    <row r="49" spans="1:35" ht="14.25" customHeight="1">
      <c r="B49" s="464" t="s">
        <v>108</v>
      </c>
      <c r="C49" s="464"/>
      <c r="D49" s="464"/>
      <c r="E49" s="464"/>
      <c r="F49" s="464"/>
      <c r="G49" s="464"/>
      <c r="H49" s="464"/>
      <c r="I49" s="464"/>
      <c r="J49" s="464"/>
      <c r="K49" s="464"/>
      <c r="L49" s="464"/>
      <c r="M49" s="464"/>
      <c r="N49" s="464"/>
      <c r="O49" s="464"/>
      <c r="P49" s="464"/>
      <c r="Q49" s="464"/>
      <c r="R49" s="464"/>
      <c r="S49" s="464"/>
      <c r="T49" s="464"/>
      <c r="U49" s="464"/>
      <c r="V49" s="464"/>
      <c r="W49" s="464"/>
      <c r="X49" s="464"/>
      <c r="Y49" s="464"/>
      <c r="Z49" s="464"/>
      <c r="AA49" s="464"/>
      <c r="AB49" s="464"/>
      <c r="AC49" s="212"/>
      <c r="AD49" s="212"/>
      <c r="AE49" s="101"/>
      <c r="AF49" s="212"/>
    </row>
    <row r="50" spans="1:35" ht="14.25" customHeight="1">
      <c r="B50" s="464" t="s">
        <v>90</v>
      </c>
      <c r="C50" s="464"/>
      <c r="D50" s="464"/>
      <c r="E50" s="464"/>
      <c r="F50" s="464"/>
      <c r="G50" s="464"/>
      <c r="H50" s="464"/>
      <c r="I50" s="464"/>
      <c r="J50" s="464"/>
      <c r="K50" s="464"/>
      <c r="L50" s="464"/>
      <c r="M50" s="464"/>
      <c r="N50" s="464"/>
      <c r="O50" s="464"/>
      <c r="P50" s="464"/>
      <c r="Q50" s="464"/>
      <c r="R50" s="464"/>
      <c r="S50" s="464"/>
      <c r="T50" s="464"/>
      <c r="U50" s="464"/>
      <c r="V50" s="464"/>
      <c r="W50" s="464"/>
      <c r="X50" s="464"/>
      <c r="Y50" s="464"/>
      <c r="Z50" s="464"/>
      <c r="AA50" s="464"/>
      <c r="AB50" s="464"/>
      <c r="AC50" s="212"/>
      <c r="AD50" s="212"/>
      <c r="AE50" s="101"/>
      <c r="AF50" s="212"/>
    </row>
    <row r="51" spans="1:35" ht="14.25" customHeight="1">
      <c r="B51" s="464" t="s">
        <v>109</v>
      </c>
      <c r="C51" s="464"/>
      <c r="D51" s="464"/>
      <c r="E51" s="464"/>
      <c r="F51" s="464"/>
      <c r="G51" s="464"/>
      <c r="H51" s="464"/>
      <c r="I51" s="464"/>
      <c r="J51" s="464"/>
      <c r="K51" s="464"/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464"/>
      <c r="X51" s="464"/>
      <c r="Y51" s="464"/>
      <c r="Z51" s="464"/>
      <c r="AA51" s="464"/>
      <c r="AB51" s="464"/>
      <c r="AC51" s="212"/>
      <c r="AD51" s="212"/>
      <c r="AE51" s="101"/>
      <c r="AF51" s="212"/>
    </row>
    <row r="52" spans="1:35" ht="14.25" customHeight="1">
      <c r="B52" s="464" t="s">
        <v>92</v>
      </c>
      <c r="C52" s="464"/>
      <c r="D52" s="464"/>
      <c r="E52" s="464"/>
      <c r="F52" s="464"/>
      <c r="G52" s="464"/>
      <c r="H52" s="464"/>
      <c r="I52" s="464"/>
      <c r="J52" s="464"/>
      <c r="K52" s="464"/>
      <c r="L52" s="464"/>
      <c r="M52" s="464"/>
      <c r="N52" s="464"/>
      <c r="O52" s="464"/>
      <c r="P52" s="464"/>
      <c r="Q52" s="464"/>
      <c r="R52" s="464"/>
      <c r="S52" s="464"/>
      <c r="T52" s="464"/>
      <c r="U52" s="464"/>
      <c r="V52" s="464"/>
      <c r="W52" s="464"/>
      <c r="X52" s="464"/>
      <c r="Y52" s="464"/>
      <c r="Z52" s="464"/>
      <c r="AA52" s="464"/>
      <c r="AB52" s="464"/>
      <c r="AC52" s="212"/>
      <c r="AD52" s="212"/>
      <c r="AE52" s="101"/>
      <c r="AF52" s="212"/>
    </row>
    <row r="53" spans="1:35" ht="14.25" customHeight="1">
      <c r="B53" s="201" t="s">
        <v>93</v>
      </c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212"/>
      <c r="AD53" s="212"/>
      <c r="AE53" s="101"/>
      <c r="AF53" s="212"/>
    </row>
    <row r="54" spans="1:35" ht="14.25" customHeight="1">
      <c r="B54" s="464" t="s">
        <v>94</v>
      </c>
      <c r="C54" s="464"/>
      <c r="D54" s="464"/>
      <c r="E54" s="464"/>
      <c r="F54" s="464"/>
      <c r="G54" s="464"/>
      <c r="H54" s="464"/>
      <c r="I54" s="464"/>
      <c r="J54" s="464"/>
      <c r="K54" s="464"/>
      <c r="L54" s="464"/>
      <c r="M54" s="464"/>
      <c r="N54" s="464"/>
      <c r="O54" s="464"/>
      <c r="P54" s="464"/>
      <c r="Q54" s="464"/>
      <c r="R54" s="464"/>
      <c r="S54" s="464"/>
      <c r="T54" s="464"/>
      <c r="U54" s="464"/>
      <c r="V54" s="464"/>
      <c r="W54" s="464"/>
      <c r="X54" s="464"/>
      <c r="Y54" s="464"/>
      <c r="Z54" s="464"/>
      <c r="AA54" s="464"/>
      <c r="AB54" s="464"/>
      <c r="AC54" s="212"/>
      <c r="AD54" s="212"/>
      <c r="AE54" s="101"/>
      <c r="AF54" s="212"/>
    </row>
    <row r="55" spans="1:35" ht="14.25" customHeight="1">
      <c r="B55" s="201" t="s">
        <v>95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5" ht="14.25" customHeight="1">
      <c r="B56" s="464" t="s">
        <v>110</v>
      </c>
      <c r="C56" s="464"/>
      <c r="D56" s="464"/>
      <c r="E56" s="464"/>
      <c r="F56" s="464"/>
      <c r="G56" s="464"/>
      <c r="H56" s="464"/>
      <c r="I56" s="464"/>
      <c r="J56" s="464"/>
      <c r="K56" s="464"/>
      <c r="L56" s="464"/>
      <c r="M56" s="464"/>
      <c r="N56" s="464"/>
      <c r="O56" s="464"/>
      <c r="P56" s="464"/>
      <c r="Q56" s="464"/>
      <c r="R56" s="464"/>
      <c r="S56" s="464"/>
      <c r="T56" s="464"/>
      <c r="U56" s="464"/>
      <c r="V56" s="464"/>
      <c r="W56" s="464"/>
      <c r="X56" s="464"/>
      <c r="Y56" s="464"/>
      <c r="Z56" s="464"/>
      <c r="AA56" s="464"/>
      <c r="AB56" s="464"/>
      <c r="AC56" s="212"/>
      <c r="AD56" s="212"/>
      <c r="AE56" s="101"/>
      <c r="AF56" s="212"/>
    </row>
    <row r="57" spans="1:35" ht="14.25" customHeight="1">
      <c r="B57" s="464" t="s">
        <v>68</v>
      </c>
      <c r="C57" s="464"/>
      <c r="D57" s="464"/>
      <c r="E57" s="464"/>
      <c r="F57" s="464"/>
      <c r="G57" s="464"/>
      <c r="H57" s="464"/>
      <c r="I57" s="464"/>
      <c r="J57" s="464"/>
      <c r="K57" s="464"/>
      <c r="L57" s="464"/>
      <c r="M57" s="464"/>
      <c r="N57" s="464"/>
      <c r="O57" s="464"/>
      <c r="P57" s="464"/>
      <c r="Q57" s="464"/>
      <c r="R57" s="464"/>
      <c r="S57" s="464"/>
      <c r="T57" s="464"/>
      <c r="U57" s="464"/>
      <c r="V57" s="464"/>
      <c r="W57" s="464"/>
      <c r="X57" s="464"/>
      <c r="Y57" s="464"/>
      <c r="Z57" s="464"/>
      <c r="AA57" s="464"/>
      <c r="AB57" s="464"/>
      <c r="AC57" s="212"/>
      <c r="AD57" s="212"/>
      <c r="AE57" s="101"/>
      <c r="AF57" s="212"/>
    </row>
    <row r="58" spans="1:35" ht="14.25" customHeight="1">
      <c r="B58" s="464" t="s">
        <v>3</v>
      </c>
      <c r="C58" s="464"/>
      <c r="D58" s="464"/>
      <c r="E58" s="464"/>
      <c r="F58" s="464"/>
      <c r="G58" s="464"/>
      <c r="H58" s="464"/>
      <c r="I58" s="464"/>
      <c r="J58" s="464"/>
      <c r="K58" s="464"/>
      <c r="L58" s="464"/>
      <c r="M58" s="464"/>
      <c r="N58" s="464"/>
      <c r="O58" s="464"/>
      <c r="P58" s="464"/>
      <c r="Q58" s="464"/>
      <c r="R58" s="464"/>
      <c r="S58" s="464"/>
      <c r="T58" s="464"/>
      <c r="U58" s="464"/>
      <c r="V58" s="464"/>
      <c r="W58" s="464"/>
      <c r="X58" s="464"/>
      <c r="Y58" s="464"/>
      <c r="Z58" s="464"/>
      <c r="AA58" s="464"/>
      <c r="AB58" s="464"/>
      <c r="AC58" s="212"/>
      <c r="AD58" s="212"/>
      <c r="AE58" s="101"/>
      <c r="AF58" s="212"/>
    </row>
    <row r="59" spans="1:35" ht="14.25" customHeight="1">
      <c r="A59" s="18"/>
      <c r="B59" s="100"/>
      <c r="C59" s="93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12"/>
      <c r="AD59" s="212"/>
      <c r="AE59" s="101"/>
      <c r="AF59" s="212"/>
    </row>
    <row r="60" spans="1:35" ht="20.25">
      <c r="B60" s="453" t="s">
        <v>32</v>
      </c>
      <c r="C60" s="453"/>
      <c r="D60" s="453"/>
      <c r="E60" s="453"/>
      <c r="F60" s="453"/>
      <c r="G60" s="453"/>
      <c r="H60" s="453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Y60" s="453"/>
      <c r="Z60" s="453"/>
      <c r="AA60" s="453"/>
      <c r="AB60" s="453"/>
      <c r="AC60" s="214"/>
      <c r="AD60" s="214"/>
      <c r="AE60" s="214"/>
      <c r="AF60" s="214"/>
    </row>
    <row r="61" spans="1:35">
      <c r="B61" s="102"/>
      <c r="C61" s="469"/>
      <c r="D61" s="460"/>
      <c r="E61" s="469"/>
      <c r="F61" s="470"/>
      <c r="G61" s="469"/>
      <c r="H61" s="470"/>
      <c r="I61" s="469"/>
      <c r="J61" s="470"/>
      <c r="K61" s="469"/>
      <c r="L61" s="470"/>
      <c r="M61" s="469"/>
      <c r="N61" s="470"/>
      <c r="O61" s="469"/>
      <c r="P61" s="470"/>
      <c r="Q61" s="469"/>
      <c r="R61" s="470"/>
      <c r="S61" s="469"/>
      <c r="T61" s="470"/>
      <c r="U61" s="469"/>
      <c r="V61" s="470"/>
      <c r="W61" s="469"/>
      <c r="X61" s="470"/>
      <c r="Y61" s="469"/>
      <c r="Z61" s="470"/>
      <c r="AA61" s="469"/>
      <c r="AB61" s="470"/>
    </row>
    <row r="62" spans="1:35">
      <c r="B62" s="102">
        <f>B5</f>
        <v>1994</v>
      </c>
      <c r="C62" s="469" t="s">
        <v>4</v>
      </c>
      <c r="D62" s="460"/>
      <c r="E62" s="469" t="s">
        <v>5</v>
      </c>
      <c r="F62" s="470"/>
      <c r="G62" s="469" t="s">
        <v>6</v>
      </c>
      <c r="H62" s="470"/>
      <c r="I62" s="469" t="s">
        <v>7</v>
      </c>
      <c r="J62" s="470"/>
      <c r="K62" s="469" t="s">
        <v>8</v>
      </c>
      <c r="L62" s="470"/>
      <c r="M62" s="469" t="s">
        <v>9</v>
      </c>
      <c r="N62" s="470"/>
      <c r="O62" s="469" t="s">
        <v>10</v>
      </c>
      <c r="P62" s="470"/>
      <c r="Q62" s="471" t="s">
        <v>11</v>
      </c>
      <c r="R62" s="470"/>
      <c r="S62" s="471" t="s">
        <v>12</v>
      </c>
      <c r="T62" s="470"/>
      <c r="U62" s="469" t="s">
        <v>0</v>
      </c>
      <c r="V62" s="473"/>
      <c r="W62" s="469" t="s">
        <v>1</v>
      </c>
      <c r="X62" s="473"/>
      <c r="Y62" s="469" t="s">
        <v>2</v>
      </c>
      <c r="Z62" s="473"/>
      <c r="AA62" s="469" t="s">
        <v>102</v>
      </c>
      <c r="AB62" s="460"/>
    </row>
    <row r="63" spans="1:35">
      <c r="B63" s="102"/>
      <c r="C63" s="469"/>
      <c r="D63" s="460"/>
      <c r="E63" s="469"/>
      <c r="F63" s="460"/>
      <c r="G63" s="469"/>
      <c r="H63" s="460"/>
      <c r="I63" s="469"/>
      <c r="J63" s="460"/>
      <c r="K63" s="469"/>
      <c r="L63" s="460"/>
      <c r="M63" s="469"/>
      <c r="N63" s="460"/>
      <c r="O63" s="469"/>
      <c r="P63" s="460"/>
      <c r="Q63" s="469"/>
      <c r="R63" s="460"/>
      <c r="S63" s="469"/>
      <c r="T63" s="460"/>
      <c r="U63" s="469"/>
      <c r="V63" s="460"/>
      <c r="W63" s="469"/>
      <c r="X63" s="460"/>
      <c r="Y63" s="469"/>
      <c r="Z63" s="460"/>
      <c r="AA63" s="469"/>
      <c r="AB63" s="460"/>
    </row>
    <row r="64" spans="1:35" s="202" customFormat="1" ht="14.25">
      <c r="A64" s="44"/>
      <c r="B64" s="103" t="s">
        <v>24</v>
      </c>
      <c r="C64" s="72"/>
      <c r="D64" s="104">
        <v>2724.123</v>
      </c>
      <c r="E64" s="104"/>
      <c r="F64" s="104">
        <v>2706.5140000000001</v>
      </c>
      <c r="G64" s="104"/>
      <c r="H64" s="104">
        <v>2686.7890000000002</v>
      </c>
      <c r="I64" s="104"/>
      <c r="J64" s="104">
        <v>2698.8049000000001</v>
      </c>
      <c r="K64" s="104"/>
      <c r="L64" s="104">
        <v>2688.3890000000001</v>
      </c>
      <c r="M64" s="104"/>
      <c r="N64" s="104">
        <v>2673.0913999999998</v>
      </c>
      <c r="O64" s="104"/>
      <c r="P64" s="104">
        <v>2672.0349999999999</v>
      </c>
      <c r="Q64" s="104"/>
      <c r="R64" s="104">
        <v>2675.5940000000001</v>
      </c>
      <c r="S64" s="120"/>
      <c r="T64" s="104">
        <v>2667.1410000000001</v>
      </c>
      <c r="U64" s="120"/>
      <c r="V64" s="104">
        <v>2683.9059999999999</v>
      </c>
      <c r="W64" s="120"/>
      <c r="X64" s="104">
        <v>2672.54</v>
      </c>
      <c r="Y64" s="120"/>
      <c r="Z64" s="120">
        <v>2673.4375</v>
      </c>
      <c r="AA64" s="104"/>
      <c r="AB64" s="104">
        <f>AVERAGE(D64:Z64)</f>
        <v>2685.1970666666666</v>
      </c>
      <c r="AC64" s="216"/>
      <c r="AD64" s="216"/>
      <c r="AE64" s="216"/>
      <c r="AF64" s="216"/>
      <c r="AG64" s="216"/>
      <c r="AH64" s="216"/>
      <c r="AI64" s="216"/>
    </row>
    <row r="65" spans="1:35" s="202" customFormat="1" ht="14.25">
      <c r="A65" s="44"/>
      <c r="B65" s="103" t="s">
        <v>39</v>
      </c>
      <c r="C65" s="72"/>
      <c r="D65" s="104">
        <v>3649.1329999999998</v>
      </c>
      <c r="E65" s="104"/>
      <c r="F65" s="104">
        <v>3573.4670999999998</v>
      </c>
      <c r="G65" s="104"/>
      <c r="H65" s="104">
        <v>3609.1669999999999</v>
      </c>
      <c r="I65" s="104"/>
      <c r="J65" s="104">
        <v>3651.5250000000001</v>
      </c>
      <c r="K65" s="104"/>
      <c r="L65" s="104">
        <v>3638.1529999999998</v>
      </c>
      <c r="M65" s="104"/>
      <c r="N65" s="104">
        <v>3623.806</v>
      </c>
      <c r="O65" s="104"/>
      <c r="P65" s="104">
        <v>3640.5790000000002</v>
      </c>
      <c r="Q65" s="104"/>
      <c r="R65" s="104">
        <v>3610.4810000000002</v>
      </c>
      <c r="S65" s="120"/>
      <c r="T65" s="104">
        <v>3620.0709999999999</v>
      </c>
      <c r="U65" s="120"/>
      <c r="V65" s="104">
        <v>3631.114</v>
      </c>
      <c r="W65" s="120"/>
      <c r="X65" s="104">
        <v>3615.77</v>
      </c>
      <c r="Y65" s="120"/>
      <c r="Z65" s="120">
        <v>3628.3029999999999</v>
      </c>
      <c r="AA65" s="104"/>
      <c r="AB65" s="104">
        <f t="shared" ref="AB65:AB75" si="0">AVERAGE(D65:Z65)</f>
        <v>3624.2974249999993</v>
      </c>
      <c r="AC65" s="216"/>
      <c r="AD65" s="216"/>
      <c r="AE65" s="216"/>
      <c r="AF65" s="216"/>
      <c r="AG65" s="216"/>
      <c r="AH65" s="216"/>
      <c r="AI65" s="216"/>
    </row>
    <row r="66" spans="1:35" s="202" customFormat="1" ht="14.25">
      <c r="A66" s="44"/>
      <c r="B66" s="103" t="s">
        <v>25</v>
      </c>
      <c r="C66" s="72"/>
      <c r="D66" s="104">
        <v>471.85037377539999</v>
      </c>
      <c r="E66" s="104"/>
      <c r="F66" s="104">
        <v>500.7033533979</v>
      </c>
      <c r="G66" s="104"/>
      <c r="H66" s="104">
        <v>518.30851486460006</v>
      </c>
      <c r="I66" s="104"/>
      <c r="J66" s="104">
        <v>485.89316677980003</v>
      </c>
      <c r="K66" s="104"/>
      <c r="L66" s="104">
        <v>498.47031405090001</v>
      </c>
      <c r="M66" s="104"/>
      <c r="N66" s="104">
        <v>501.09404923630001</v>
      </c>
      <c r="O66" s="104"/>
      <c r="P66" s="104">
        <v>482.88589664310001</v>
      </c>
      <c r="Q66" s="104"/>
      <c r="R66" s="104">
        <v>508.10653918290001</v>
      </c>
      <c r="S66" s="120"/>
      <c r="T66" s="104">
        <v>502.97352378789998</v>
      </c>
      <c r="U66" s="120"/>
      <c r="V66" s="104">
        <v>492.31975835870003</v>
      </c>
      <c r="W66" s="120"/>
      <c r="X66" s="104">
        <v>517.95356190400003</v>
      </c>
      <c r="Y66" s="120"/>
      <c r="Z66" s="120">
        <v>540.11767777959994</v>
      </c>
      <c r="AA66" s="104"/>
      <c r="AB66" s="104">
        <f t="shared" si="0"/>
        <v>501.72306081342504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26</v>
      </c>
      <c r="C67" s="72"/>
      <c r="D67" s="104">
        <v>221.48612453609999</v>
      </c>
      <c r="E67" s="104"/>
      <c r="F67" s="104">
        <v>245.0908545659</v>
      </c>
      <c r="G67" s="104"/>
      <c r="H67" s="104">
        <v>257.1266946906</v>
      </c>
      <c r="I67" s="104"/>
      <c r="J67" s="104">
        <v>242.9848734915</v>
      </c>
      <c r="K67" s="104"/>
      <c r="L67" s="104">
        <v>250.82923138039999</v>
      </c>
      <c r="M67" s="104"/>
      <c r="N67" s="104">
        <v>255.23487391079999</v>
      </c>
      <c r="O67" s="104"/>
      <c r="P67" s="104">
        <v>242.22473475370001</v>
      </c>
      <c r="Q67" s="104"/>
      <c r="R67" s="104">
        <v>256.3576695177</v>
      </c>
      <c r="S67" s="120"/>
      <c r="T67" s="104">
        <v>243.42887890910001</v>
      </c>
      <c r="U67" s="120"/>
      <c r="V67" s="104">
        <v>247.66759045320001</v>
      </c>
      <c r="W67" s="120"/>
      <c r="X67" s="104">
        <v>265.97680684490001</v>
      </c>
      <c r="Y67" s="120"/>
      <c r="Z67" s="120">
        <v>244.55037385669999</v>
      </c>
      <c r="AA67" s="104"/>
      <c r="AB67" s="104">
        <f t="shared" si="0"/>
        <v>247.74655890921665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27</v>
      </c>
      <c r="C68" s="72"/>
      <c r="D68" s="104">
        <v>424.64684695210002</v>
      </c>
      <c r="E68" s="104"/>
      <c r="F68" s="104">
        <v>427.07641681849998</v>
      </c>
      <c r="G68" s="104"/>
      <c r="H68" s="104">
        <v>451.47049036779998</v>
      </c>
      <c r="I68" s="104"/>
      <c r="J68" s="104">
        <v>477.61854773099998</v>
      </c>
      <c r="K68" s="104"/>
      <c r="L68" s="104">
        <v>471.05144474280002</v>
      </c>
      <c r="M68" s="104"/>
      <c r="N68" s="104">
        <v>428.3996989291</v>
      </c>
      <c r="O68" s="104"/>
      <c r="P68" s="104">
        <v>410.00396053430001</v>
      </c>
      <c r="Q68" s="104"/>
      <c r="R68" s="104">
        <v>506.97382314110001</v>
      </c>
      <c r="S68" s="120"/>
      <c r="T68" s="104">
        <v>452.48751897419999</v>
      </c>
      <c r="U68" s="120"/>
      <c r="V68" s="104">
        <v>463.69428571190002</v>
      </c>
      <c r="W68" s="120"/>
      <c r="X68" s="104">
        <v>476.3075829622</v>
      </c>
      <c r="Y68" s="120"/>
      <c r="Z68" s="120">
        <v>445.83873240179997</v>
      </c>
      <c r="AA68" s="104"/>
      <c r="AB68" s="104">
        <f t="shared" si="0"/>
        <v>452.96411243890003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28</v>
      </c>
      <c r="C69" s="72"/>
      <c r="D69" s="104">
        <v>273.41129799999999</v>
      </c>
      <c r="E69" s="104"/>
      <c r="F69" s="104">
        <v>276.07131700000002</v>
      </c>
      <c r="G69" s="104"/>
      <c r="H69" s="104">
        <v>257.02966500000002</v>
      </c>
      <c r="I69" s="104"/>
      <c r="J69" s="104">
        <v>247.73743200000001</v>
      </c>
      <c r="K69" s="104"/>
      <c r="L69" s="104">
        <v>239.27849246849999</v>
      </c>
      <c r="M69" s="104"/>
      <c r="N69" s="104">
        <v>241.90833900000001</v>
      </c>
      <c r="O69" s="104"/>
      <c r="P69" s="104">
        <v>240.22341060799999</v>
      </c>
      <c r="Q69" s="104"/>
      <c r="R69" s="104">
        <v>244.24986884640001</v>
      </c>
      <c r="S69" s="120"/>
      <c r="T69" s="104">
        <v>246.42429454259999</v>
      </c>
      <c r="U69" s="120"/>
      <c r="V69" s="104">
        <v>250.521532339</v>
      </c>
      <c r="W69" s="120"/>
      <c r="X69" s="104">
        <v>266.95419011360002</v>
      </c>
      <c r="Y69" s="120"/>
      <c r="Z69" s="120">
        <v>281.4023605969</v>
      </c>
      <c r="AA69" s="104"/>
      <c r="AB69" s="104">
        <f t="shared" si="0"/>
        <v>255.43435004291666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38</v>
      </c>
      <c r="C70" s="72"/>
      <c r="D70" s="104">
        <v>1249.75</v>
      </c>
      <c r="E70" s="104"/>
      <c r="F70" s="104">
        <v>1269.18</v>
      </c>
      <c r="G70" s="104"/>
      <c r="H70" s="104">
        <v>1244.51</v>
      </c>
      <c r="I70" s="104"/>
      <c r="J70" s="104">
        <v>1279.3699999999999</v>
      </c>
      <c r="K70" s="104"/>
      <c r="L70" s="104">
        <v>1288.23</v>
      </c>
      <c r="M70" s="104"/>
      <c r="N70" s="104">
        <v>1306.7</v>
      </c>
      <c r="O70" s="104"/>
      <c r="P70" s="104">
        <v>1397.94</v>
      </c>
      <c r="Q70" s="104"/>
      <c r="R70" s="104">
        <v>1491.41</v>
      </c>
      <c r="S70" s="120"/>
      <c r="T70" s="104">
        <v>1450.86</v>
      </c>
      <c r="U70" s="120"/>
      <c r="V70" s="104">
        <v>1438.43</v>
      </c>
      <c r="W70" s="120"/>
      <c r="X70" s="104">
        <v>1522.66</v>
      </c>
      <c r="Y70" s="120"/>
      <c r="Z70" s="120">
        <v>1474.69</v>
      </c>
      <c r="AA70" s="104"/>
      <c r="AB70" s="104">
        <f t="shared" si="0"/>
        <v>1367.8108333333332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103" t="s">
        <v>98</v>
      </c>
      <c r="C71" s="72"/>
      <c r="D71" s="104">
        <v>1321.9100967741999</v>
      </c>
      <c r="E71" s="104"/>
      <c r="F71" s="104">
        <v>1349.2628214285</v>
      </c>
      <c r="G71" s="104"/>
      <c r="H71" s="104">
        <v>1321.9402258064999</v>
      </c>
      <c r="I71" s="104"/>
      <c r="J71" s="104">
        <v>1325.8702000000001</v>
      </c>
      <c r="K71" s="104"/>
      <c r="L71" s="104">
        <v>1316.0698064517001</v>
      </c>
      <c r="M71" s="104"/>
      <c r="N71" s="104">
        <v>1302.8272666667001</v>
      </c>
      <c r="O71" s="104"/>
      <c r="P71" s="104">
        <v>1309.5537096774001</v>
      </c>
      <c r="Q71" s="104"/>
      <c r="R71" s="105">
        <v>1331.4952580644999</v>
      </c>
      <c r="S71" s="120"/>
      <c r="T71" s="104">
        <v>1297.4033333333</v>
      </c>
      <c r="U71" s="120"/>
      <c r="V71" s="104">
        <v>1289.3138709678001</v>
      </c>
      <c r="W71" s="120"/>
      <c r="X71" s="104">
        <v>1276.4240666666999</v>
      </c>
      <c r="Y71" s="120"/>
      <c r="Z71" s="120">
        <v>1250.1521612903</v>
      </c>
      <c r="AA71" s="104"/>
      <c r="AB71" s="104">
        <f t="shared" si="0"/>
        <v>1307.6852347606334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2.75" customHeight="1">
      <c r="A72" s="44"/>
      <c r="B72" s="103" t="s">
        <v>29</v>
      </c>
      <c r="C72" s="72"/>
      <c r="D72" s="106">
        <v>11.702127508956728</v>
      </c>
      <c r="E72" s="106"/>
      <c r="F72" s="106">
        <v>11.337970977384664</v>
      </c>
      <c r="G72" s="106"/>
      <c r="H72" s="106">
        <v>11.64316057371385</v>
      </c>
      <c r="I72" s="106"/>
      <c r="J72" s="106">
        <v>13.323611255541302</v>
      </c>
      <c r="K72" s="106"/>
      <c r="L72" s="106">
        <v>14.310802943585998</v>
      </c>
      <c r="M72" s="106"/>
      <c r="N72" s="106">
        <v>15.26118721099067</v>
      </c>
      <c r="O72" s="106"/>
      <c r="P72" s="106">
        <v>15.772809767614774</v>
      </c>
      <c r="Q72" s="106"/>
      <c r="R72" s="121">
        <v>14.264940177406242</v>
      </c>
      <c r="S72" s="122"/>
      <c r="T72" s="121">
        <v>13.88269868767105</v>
      </c>
      <c r="U72" s="122"/>
      <c r="V72" s="121">
        <v>14.934139313035487</v>
      </c>
      <c r="W72" s="122"/>
      <c r="X72" s="121">
        <v>15.32521109237935</v>
      </c>
      <c r="Y72" s="122"/>
      <c r="Z72" s="122">
        <v>14.851596055793649</v>
      </c>
      <c r="AA72" s="104"/>
      <c r="AB72" s="107">
        <f t="shared" si="0"/>
        <v>13.884187963672815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31</v>
      </c>
      <c r="C73" s="72"/>
      <c r="D73" s="108">
        <v>3.1074999999999999</v>
      </c>
      <c r="E73" s="108"/>
      <c r="F73" s="108">
        <v>3.1114999999999999</v>
      </c>
      <c r="G73" s="108"/>
      <c r="H73" s="108">
        <v>3.2841</v>
      </c>
      <c r="I73" s="108"/>
      <c r="J73" s="108">
        <v>3.3536000000000001</v>
      </c>
      <c r="K73" s="108"/>
      <c r="L73" s="108">
        <v>3.3119999999999998</v>
      </c>
      <c r="M73" s="108"/>
      <c r="N73" s="108">
        <v>3.3607</v>
      </c>
      <c r="O73" s="108"/>
      <c r="P73" s="108">
        <v>3.4009</v>
      </c>
      <c r="Q73" s="108"/>
      <c r="R73" s="108">
        <v>3.3820999999999999</v>
      </c>
      <c r="S73" s="123"/>
      <c r="T73" s="108">
        <v>3.3997999999999999</v>
      </c>
      <c r="U73" s="123"/>
      <c r="V73" s="108">
        <v>3.4157999999999999</v>
      </c>
      <c r="W73" s="123"/>
      <c r="X73" s="108">
        <v>3.4426000000000001</v>
      </c>
      <c r="Y73" s="123"/>
      <c r="Z73" s="123">
        <v>3.9308000000000001</v>
      </c>
      <c r="AA73" s="104"/>
      <c r="AB73" s="109">
        <f t="shared" si="0"/>
        <v>3.3751166666666665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4.25">
      <c r="A74" s="44"/>
      <c r="B74" s="103" t="s">
        <v>100</v>
      </c>
      <c r="C74" s="72"/>
      <c r="D74" s="104">
        <v>176.65036834979983</v>
      </c>
      <c r="E74" s="104"/>
      <c r="F74" s="104">
        <v>203.19074406614746</v>
      </c>
      <c r="G74" s="104"/>
      <c r="H74" s="104">
        <v>201.95374742488676</v>
      </c>
      <c r="I74" s="104"/>
      <c r="J74" s="104">
        <v>186.61298779287858</v>
      </c>
      <c r="K74" s="104"/>
      <c r="L74" s="104">
        <v>164.65124919500209</v>
      </c>
      <c r="M74" s="104"/>
      <c r="N74" s="104">
        <v>159.09987117935248</v>
      </c>
      <c r="O74" s="104"/>
      <c r="P74" s="104">
        <v>196.56202218880912</v>
      </c>
      <c r="Q74" s="104"/>
      <c r="R74" s="104">
        <v>234.50527217766853</v>
      </c>
      <c r="S74" s="104"/>
      <c r="T74" s="104">
        <v>234.36677185765177</v>
      </c>
      <c r="U74" s="120"/>
      <c r="V74" s="104">
        <v>243.59719449498385</v>
      </c>
      <c r="W74" s="120"/>
      <c r="X74" s="104">
        <v>195.46663327439572</v>
      </c>
      <c r="Y74" s="120"/>
      <c r="Z74" s="120">
        <v>287.47814439504356</v>
      </c>
      <c r="AA74" s="104"/>
      <c r="AB74" s="104">
        <f t="shared" si="0"/>
        <v>207.01125053305168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103" t="s">
        <v>70</v>
      </c>
      <c r="C75" s="72"/>
      <c r="D75" s="104">
        <v>7.5330000000000004</v>
      </c>
      <c r="E75" s="104"/>
      <c r="F75" s="104">
        <v>9.8239999999999998</v>
      </c>
      <c r="G75" s="104"/>
      <c r="H75" s="104">
        <v>11.302</v>
      </c>
      <c r="I75" s="104"/>
      <c r="J75" s="104">
        <v>13.333</v>
      </c>
      <c r="K75" s="104"/>
      <c r="L75" s="104">
        <v>9.8889999999999993</v>
      </c>
      <c r="M75" s="104"/>
      <c r="N75" s="104">
        <v>4.601</v>
      </c>
      <c r="O75" s="104"/>
      <c r="P75" s="104">
        <v>18.722999999999999</v>
      </c>
      <c r="Q75" s="104"/>
      <c r="R75" s="104">
        <v>17.233000000000001</v>
      </c>
      <c r="S75" s="104"/>
      <c r="T75" s="104">
        <v>7.181</v>
      </c>
      <c r="U75" s="120"/>
      <c r="V75" s="104">
        <v>6.9770000000000003</v>
      </c>
      <c r="W75" s="120"/>
      <c r="X75" s="104">
        <v>42.213999999999999</v>
      </c>
      <c r="Y75" s="120"/>
      <c r="Z75" s="120">
        <v>5.2009999999999996</v>
      </c>
      <c r="AA75" s="104"/>
      <c r="AB75" s="104">
        <f t="shared" si="0"/>
        <v>12.834249999999999</v>
      </c>
      <c r="AC75" s="216"/>
      <c r="AD75" s="216"/>
      <c r="AE75" s="216"/>
      <c r="AF75" s="216"/>
      <c r="AG75" s="216"/>
      <c r="AH75" s="216"/>
      <c r="AI75" s="216"/>
    </row>
    <row r="76" spans="1:35">
      <c r="B76" s="472" t="s">
        <v>101</v>
      </c>
      <c r="C76" s="472"/>
      <c r="D76" s="472"/>
      <c r="E76" s="472"/>
      <c r="F76" s="472"/>
      <c r="G76" s="472"/>
      <c r="H76" s="472"/>
      <c r="I76" s="472"/>
      <c r="J76" s="472"/>
      <c r="K76" s="472"/>
      <c r="L76" s="472"/>
      <c r="M76" s="472"/>
      <c r="N76" s="472"/>
      <c r="O76" s="472"/>
      <c r="P76" s="472"/>
      <c r="Q76" s="472"/>
      <c r="R76" s="472"/>
      <c r="S76" s="472"/>
      <c r="T76" s="472"/>
      <c r="U76" s="472"/>
      <c r="V76" s="472"/>
      <c r="W76" s="472"/>
      <c r="X76" s="472"/>
      <c r="Y76" s="472"/>
      <c r="Z76" s="472"/>
      <c r="AA76" s="472"/>
      <c r="AB76" s="472"/>
    </row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</sheetData>
  <mergeCells count="92">
    <mergeCell ref="B2:AB2"/>
    <mergeCell ref="B47:AB47"/>
    <mergeCell ref="B48:AB48"/>
    <mergeCell ref="B3:AB3"/>
    <mergeCell ref="K7:L7"/>
    <mergeCell ref="M7:N7"/>
    <mergeCell ref="C7:D7"/>
    <mergeCell ref="E7:F7"/>
    <mergeCell ref="G7:H7"/>
    <mergeCell ref="I7:J7"/>
    <mergeCell ref="AA5:AB5"/>
    <mergeCell ref="W4:X4"/>
    <mergeCell ref="Y4:Z4"/>
    <mergeCell ref="Y5:Z5"/>
    <mergeCell ref="AA4:AB4"/>
    <mergeCell ref="C5:D5"/>
    <mergeCell ref="B58:AB58"/>
    <mergeCell ref="B54:AB54"/>
    <mergeCell ref="B51:AB51"/>
    <mergeCell ref="B52:AB52"/>
    <mergeCell ref="B56:AB56"/>
    <mergeCell ref="B49:AB49"/>
    <mergeCell ref="B50:AB50"/>
    <mergeCell ref="B57:AB57"/>
    <mergeCell ref="W7:X7"/>
    <mergeCell ref="Y7:Z7"/>
    <mergeCell ref="AA7:AB7"/>
    <mergeCell ref="O7:P7"/>
    <mergeCell ref="Q7:R7"/>
    <mergeCell ref="S7:T7"/>
    <mergeCell ref="U7:V7"/>
    <mergeCell ref="E5:F5"/>
    <mergeCell ref="G5:H5"/>
    <mergeCell ref="I5:J5"/>
    <mergeCell ref="K5:L5"/>
    <mergeCell ref="O4:P4"/>
    <mergeCell ref="M5:N5"/>
    <mergeCell ref="O5:P5"/>
    <mergeCell ref="M4:N4"/>
    <mergeCell ref="Q5:R5"/>
    <mergeCell ref="S5:T5"/>
    <mergeCell ref="U5:V5"/>
    <mergeCell ref="W5:X5"/>
    <mergeCell ref="Q4:R4"/>
    <mergeCell ref="S4:T4"/>
    <mergeCell ref="U4:V4"/>
    <mergeCell ref="C4:D4"/>
    <mergeCell ref="E4:F4"/>
    <mergeCell ref="G4:H4"/>
    <mergeCell ref="I4:J4"/>
    <mergeCell ref="K4:L4"/>
    <mergeCell ref="B76:AB76"/>
    <mergeCell ref="C61:D61"/>
    <mergeCell ref="E61:F61"/>
    <mergeCell ref="G61:H61"/>
    <mergeCell ref="I61:J61"/>
    <mergeCell ref="K61:L61"/>
    <mergeCell ref="M61:N61"/>
    <mergeCell ref="U61:V61"/>
    <mergeCell ref="AA61:AB61"/>
    <mergeCell ref="K62:L62"/>
    <mergeCell ref="O61:P61"/>
    <mergeCell ref="M62:N62"/>
    <mergeCell ref="O62:P62"/>
    <mergeCell ref="S61:T61"/>
    <mergeCell ref="C62:D62"/>
    <mergeCell ref="E62:F62"/>
    <mergeCell ref="G62:H62"/>
    <mergeCell ref="I62:J62"/>
    <mergeCell ref="Y61:Z61"/>
    <mergeCell ref="Q62:R62"/>
    <mergeCell ref="S62:T62"/>
    <mergeCell ref="U62:V62"/>
    <mergeCell ref="Q61:R61"/>
    <mergeCell ref="W61:X61"/>
    <mergeCell ref="W62:X62"/>
    <mergeCell ref="AA63:AB63"/>
    <mergeCell ref="B60:AB60"/>
    <mergeCell ref="S63:T63"/>
    <mergeCell ref="U63:V63"/>
    <mergeCell ref="W63:X63"/>
    <mergeCell ref="Y63:Z63"/>
    <mergeCell ref="Y62:Z62"/>
    <mergeCell ref="AA62:AB62"/>
    <mergeCell ref="C63:D63"/>
    <mergeCell ref="E63:F63"/>
    <mergeCell ref="G63:H63"/>
    <mergeCell ref="I63:J63"/>
    <mergeCell ref="K63:L63"/>
    <mergeCell ref="M63:N63"/>
    <mergeCell ref="O63:P63"/>
    <mergeCell ref="Q63:R63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61" orientation="landscape" r:id="rId1"/>
  <headerFooter alignWithMargins="0"/>
  <ignoredErrors>
    <ignoredError sqref="AB2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1"/>
  <sheetViews>
    <sheetView showGridLines="0" topLeftCell="A58" zoomScale="75" zoomScaleNormal="75" workbookViewId="0">
      <selection activeCell="AC17" sqref="AC17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53" t="s">
        <v>43</v>
      </c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453"/>
      <c r="Y2" s="453"/>
      <c r="Z2" s="453"/>
      <c r="AA2" s="453"/>
      <c r="AB2" s="453"/>
      <c r="AC2" s="214"/>
      <c r="AD2" s="214"/>
      <c r="AE2" s="214"/>
      <c r="AF2" s="214"/>
    </row>
    <row r="3" spans="1:35" ht="15.75" customHeight="1" thickBot="1">
      <c r="B3" s="459" t="s">
        <v>57</v>
      </c>
      <c r="C3" s="459"/>
      <c r="D3" s="459"/>
      <c r="E3" s="459"/>
      <c r="F3" s="459"/>
      <c r="G3" s="459"/>
      <c r="H3" s="459"/>
      <c r="I3" s="459"/>
      <c r="J3" s="459"/>
      <c r="K3" s="459"/>
      <c r="L3" s="459"/>
      <c r="M3" s="459"/>
      <c r="N3" s="459"/>
      <c r="O3" s="459"/>
      <c r="P3" s="459"/>
      <c r="Q3" s="459"/>
      <c r="R3" s="459"/>
      <c r="S3" s="459"/>
      <c r="T3" s="459"/>
      <c r="U3" s="459"/>
      <c r="V3" s="459"/>
      <c r="W3" s="459"/>
      <c r="X3" s="459"/>
      <c r="Y3" s="459"/>
      <c r="Z3" s="459"/>
      <c r="AA3" s="459"/>
      <c r="AB3" s="459"/>
      <c r="AC3" s="215"/>
      <c r="AD3" s="215"/>
      <c r="AE3" s="215"/>
      <c r="AF3" s="215"/>
    </row>
    <row r="4" spans="1:35">
      <c r="B4" s="63"/>
      <c r="C4" s="456"/>
      <c r="D4" s="457"/>
      <c r="E4" s="456"/>
      <c r="F4" s="463"/>
      <c r="G4" s="456"/>
      <c r="H4" s="463"/>
      <c r="I4" s="456"/>
      <c r="J4" s="463"/>
      <c r="K4" s="456"/>
      <c r="L4" s="463"/>
      <c r="M4" s="456"/>
      <c r="N4" s="463"/>
      <c r="O4" s="456"/>
      <c r="P4" s="463"/>
      <c r="Q4" s="456"/>
      <c r="R4" s="463"/>
      <c r="S4" s="456"/>
      <c r="T4" s="463"/>
      <c r="U4" s="456"/>
      <c r="V4" s="462"/>
      <c r="W4" s="456"/>
      <c r="X4" s="462"/>
      <c r="Y4" s="456"/>
      <c r="Z4" s="462"/>
      <c r="AA4" s="456"/>
      <c r="AB4" s="462"/>
    </row>
    <row r="5" spans="1:35">
      <c r="B5" s="64">
        <v>1995</v>
      </c>
      <c r="C5" s="454" t="s">
        <v>4</v>
      </c>
      <c r="D5" s="460"/>
      <c r="E5" s="454" t="s">
        <v>5</v>
      </c>
      <c r="F5" s="455"/>
      <c r="G5" s="454" t="s">
        <v>6</v>
      </c>
      <c r="H5" s="455"/>
      <c r="I5" s="454" t="s">
        <v>7</v>
      </c>
      <c r="J5" s="455"/>
      <c r="K5" s="454" t="s">
        <v>8</v>
      </c>
      <c r="L5" s="455"/>
      <c r="M5" s="454" t="s">
        <v>9</v>
      </c>
      <c r="N5" s="455"/>
      <c r="O5" s="454" t="s">
        <v>10</v>
      </c>
      <c r="P5" s="455"/>
      <c r="Q5" s="458" t="s">
        <v>11</v>
      </c>
      <c r="R5" s="455"/>
      <c r="S5" s="458" t="s">
        <v>12</v>
      </c>
      <c r="T5" s="455"/>
      <c r="U5" s="454" t="s">
        <v>0</v>
      </c>
      <c r="V5" s="461"/>
      <c r="W5" s="454" t="s">
        <v>1</v>
      </c>
      <c r="X5" s="461"/>
      <c r="Y5" s="454" t="s">
        <v>2</v>
      </c>
      <c r="Z5" s="461"/>
      <c r="AA5" s="454" t="s">
        <v>15</v>
      </c>
      <c r="AB5" s="46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5"/>
      <c r="D7" s="468"/>
      <c r="E7" s="465"/>
      <c r="F7" s="466"/>
      <c r="G7" s="465"/>
      <c r="H7" s="466"/>
      <c r="I7" s="465"/>
      <c r="J7" s="466"/>
      <c r="K7" s="465"/>
      <c r="L7" s="466"/>
      <c r="M7" s="465"/>
      <c r="N7" s="466"/>
      <c r="O7" s="465"/>
      <c r="P7" s="466"/>
      <c r="Q7" s="465"/>
      <c r="R7" s="466"/>
      <c r="S7" s="465"/>
      <c r="T7" s="466"/>
      <c r="U7" s="465"/>
      <c r="V7" s="467"/>
      <c r="W7" s="465"/>
      <c r="X7" s="467"/>
      <c r="Y7" s="465"/>
      <c r="Z7" s="467"/>
      <c r="AA7" s="465"/>
      <c r="AB7" s="467"/>
    </row>
    <row r="8" spans="1:35" s="202" customFormat="1" ht="14.25" customHeight="1">
      <c r="A8" s="44"/>
      <c r="B8" s="71" t="s">
        <v>16</v>
      </c>
      <c r="C8" s="72"/>
      <c r="D8" s="41">
        <f>D9+D12</f>
        <v>9858.7191999999995</v>
      </c>
      <c r="E8" s="42"/>
      <c r="F8" s="41">
        <f>F9+F12</f>
        <v>9838.3393999999989</v>
      </c>
      <c r="G8" s="41"/>
      <c r="H8" s="41">
        <f>H9+H12</f>
        <v>13731.182799999999</v>
      </c>
      <c r="I8" s="41"/>
      <c r="J8" s="41">
        <f>J9+J12</f>
        <v>10502.3367</v>
      </c>
      <c r="K8" s="41"/>
      <c r="L8" s="41">
        <f>L9+L12</f>
        <v>15505.987700000001</v>
      </c>
      <c r="M8" s="41"/>
      <c r="N8" s="41">
        <f>N9+N12</f>
        <v>15086.322200000001</v>
      </c>
      <c r="O8" s="41"/>
      <c r="P8" s="41">
        <f>P9+P12</f>
        <v>13627.867299999998</v>
      </c>
      <c r="Q8" s="41"/>
      <c r="R8" s="41">
        <f>R9+R12</f>
        <v>14782.313099999999</v>
      </c>
      <c r="S8" s="41"/>
      <c r="T8" s="41">
        <f>T9+T12</f>
        <v>13563.256800000001</v>
      </c>
      <c r="U8" s="41"/>
      <c r="V8" s="41">
        <f>V9+V12</f>
        <v>15632.660300000001</v>
      </c>
      <c r="W8" s="41"/>
      <c r="X8" s="41">
        <f>X9+X12</f>
        <v>13791.1188</v>
      </c>
      <c r="Y8" s="41"/>
      <c r="Z8" s="41">
        <f>Z9+Z12</f>
        <v>15131.746700000002</v>
      </c>
      <c r="AA8" s="73"/>
      <c r="AB8" s="73">
        <f>AB9+AB12</f>
        <v>161051.851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9390.1142999999993</v>
      </c>
      <c r="E9" s="42"/>
      <c r="F9" s="42">
        <f>+F10+F11</f>
        <v>9616.4161999999997</v>
      </c>
      <c r="G9" s="42"/>
      <c r="H9" s="42">
        <f>+H10+H11</f>
        <v>13126.864799999999</v>
      </c>
      <c r="I9" s="42"/>
      <c r="J9" s="42">
        <f>+J10+J11</f>
        <v>10381.461799999999</v>
      </c>
      <c r="K9" s="42"/>
      <c r="L9" s="42">
        <f>+L10+L11</f>
        <v>15146.553000000002</v>
      </c>
      <c r="M9" s="42"/>
      <c r="N9" s="42">
        <f>+N10+N11</f>
        <v>14568.717500000001</v>
      </c>
      <c r="O9" s="42"/>
      <c r="P9" s="42">
        <f>+P10+P11</f>
        <v>13597.560699999998</v>
      </c>
      <c r="Q9" s="42"/>
      <c r="R9" s="42">
        <f>+R10+R11</f>
        <v>14460.549299999999</v>
      </c>
      <c r="S9" s="42"/>
      <c r="T9" s="42">
        <f>+T10+T11</f>
        <v>13179.459800000001</v>
      </c>
      <c r="U9" s="42"/>
      <c r="V9" s="42">
        <f>+V10+V11</f>
        <v>15253.109400000001</v>
      </c>
      <c r="W9" s="42"/>
      <c r="X9" s="42">
        <f>+X10+X11</f>
        <v>13562.580400000001</v>
      </c>
      <c r="Y9" s="42"/>
      <c r="Z9" s="42">
        <f>+Z10+Z11</f>
        <v>14191.240000000002</v>
      </c>
      <c r="AA9" s="75"/>
      <c r="AB9" s="75">
        <f>+AB10+AB11</f>
        <v>156474.62719999999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76" t="s">
        <v>77</v>
      </c>
      <c r="C10" s="72"/>
      <c r="D10" s="42">
        <v>2942.4488999999999</v>
      </c>
      <c r="E10" s="42"/>
      <c r="F10" s="42">
        <v>3615.7424000000001</v>
      </c>
      <c r="G10" s="42"/>
      <c r="H10" s="42">
        <v>5656.6730000000007</v>
      </c>
      <c r="I10" s="42"/>
      <c r="J10" s="42">
        <v>3505.2414000000003</v>
      </c>
      <c r="K10" s="42"/>
      <c r="L10" s="42">
        <v>5122.5933000000005</v>
      </c>
      <c r="M10" s="42"/>
      <c r="N10" s="42">
        <v>4369.1959999999999</v>
      </c>
      <c r="O10" s="42"/>
      <c r="P10" s="42">
        <v>4687.5237999999999</v>
      </c>
      <c r="Q10" s="42"/>
      <c r="R10" s="42">
        <v>4795.7140999999992</v>
      </c>
      <c r="S10" s="42"/>
      <c r="T10" s="42">
        <v>4302.4779000000008</v>
      </c>
      <c r="U10" s="42"/>
      <c r="V10" s="42">
        <v>5399.2257</v>
      </c>
      <c r="W10" s="42"/>
      <c r="X10" s="42">
        <v>4229.3035</v>
      </c>
      <c r="Y10" s="42"/>
      <c r="Z10" s="42">
        <v>4349.0842999999995</v>
      </c>
      <c r="AA10" s="75"/>
      <c r="AB10" s="75">
        <f>SUM(D10:Z10)</f>
        <v>52975.224300000002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76" t="s">
        <v>103</v>
      </c>
      <c r="C11" s="72"/>
      <c r="D11" s="42">
        <v>6447.6653999999999</v>
      </c>
      <c r="E11" s="42"/>
      <c r="F11" s="42">
        <v>6000.6737999999996</v>
      </c>
      <c r="G11" s="42"/>
      <c r="H11" s="42">
        <v>7470.1917999999996</v>
      </c>
      <c r="I11" s="42"/>
      <c r="J11" s="42">
        <v>6876.2203999999992</v>
      </c>
      <c r="K11" s="42"/>
      <c r="L11" s="42">
        <v>10023.959700000001</v>
      </c>
      <c r="M11" s="42"/>
      <c r="N11" s="42">
        <v>10199.521500000001</v>
      </c>
      <c r="O11" s="42"/>
      <c r="P11" s="42">
        <v>8910.0368999999992</v>
      </c>
      <c r="Q11" s="42"/>
      <c r="R11" s="42">
        <v>9664.8351999999995</v>
      </c>
      <c r="S11" s="42"/>
      <c r="T11" s="42">
        <v>8876.9819000000007</v>
      </c>
      <c r="U11" s="42"/>
      <c r="V11" s="42">
        <v>9853.8837000000003</v>
      </c>
      <c r="W11" s="42"/>
      <c r="X11" s="42">
        <v>9333.2769000000008</v>
      </c>
      <c r="Y11" s="42"/>
      <c r="Z11" s="42">
        <v>9842.1557000000012</v>
      </c>
      <c r="AA11" s="77"/>
      <c r="AB11" s="75">
        <f>SUM(D11:Z11)</f>
        <v>103499.4029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74" t="s">
        <v>104</v>
      </c>
      <c r="C12" s="72"/>
      <c r="D12" s="42">
        <v>468.60490000000004</v>
      </c>
      <c r="E12" s="42"/>
      <c r="F12" s="42">
        <v>221.92320000000004</v>
      </c>
      <c r="G12" s="42"/>
      <c r="H12" s="42">
        <v>604.31799999999998</v>
      </c>
      <c r="I12" s="42"/>
      <c r="J12" s="42">
        <v>120.87489999999998</v>
      </c>
      <c r="K12" s="42"/>
      <c r="L12" s="42">
        <v>359.43470000000002</v>
      </c>
      <c r="M12" s="42"/>
      <c r="N12" s="42">
        <v>517.60470000000009</v>
      </c>
      <c r="O12" s="42"/>
      <c r="P12" s="42">
        <v>30.306600000000021</v>
      </c>
      <c r="Q12" s="42"/>
      <c r="R12" s="42">
        <v>321.76379999999995</v>
      </c>
      <c r="S12" s="42"/>
      <c r="T12" s="42">
        <v>383.79700000000003</v>
      </c>
      <c r="U12" s="42"/>
      <c r="V12" s="42">
        <v>379.55089999999996</v>
      </c>
      <c r="W12" s="42"/>
      <c r="X12" s="42">
        <v>228.5384</v>
      </c>
      <c r="Y12" s="42"/>
      <c r="Z12" s="42">
        <v>940.50670000000002</v>
      </c>
      <c r="AA12" s="75"/>
      <c r="AB12" s="75">
        <f>SUM(D12:Z12)</f>
        <v>4577.2237999999998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80</v>
      </c>
      <c r="C14" s="82"/>
      <c r="D14" s="45">
        <f>+D15+D16+D17</f>
        <v>1374.1061999999999</v>
      </c>
      <c r="E14" s="45"/>
      <c r="F14" s="45">
        <f>+F15+F16+F17</f>
        <v>1084.3889999999999</v>
      </c>
      <c r="G14" s="45"/>
      <c r="H14" s="45">
        <f>+H15+H16+H17</f>
        <v>1165.90194</v>
      </c>
      <c r="I14" s="45"/>
      <c r="J14" s="45">
        <f>+J15+J16+J17</f>
        <v>1133.2881</v>
      </c>
      <c r="K14" s="45"/>
      <c r="L14" s="45">
        <f>+L15+L16+L17</f>
        <v>1552.5228999999999</v>
      </c>
      <c r="M14" s="45"/>
      <c r="N14" s="45">
        <f>+N15+N16+N17</f>
        <v>1218.7237</v>
      </c>
      <c r="O14" s="45"/>
      <c r="P14" s="45">
        <f>+P15+P16+P17</f>
        <v>1431.2173</v>
      </c>
      <c r="Q14" s="45"/>
      <c r="R14" s="45">
        <f>+R15+R16+R17</f>
        <v>1603.9443999999999</v>
      </c>
      <c r="S14" s="45"/>
      <c r="T14" s="45">
        <f>+T15+T16+T17</f>
        <v>1403.7796000000001</v>
      </c>
      <c r="U14" s="45"/>
      <c r="V14" s="45">
        <f>+V15+V16+V17</f>
        <v>1669.7061000000001</v>
      </c>
      <c r="W14" s="45"/>
      <c r="X14" s="45">
        <f>+X15+X16+X17</f>
        <v>1638.3321000000001</v>
      </c>
      <c r="Y14" s="45"/>
      <c r="Z14" s="45">
        <f>+Z15+Z16+Z17</f>
        <v>3246.1540999999997</v>
      </c>
      <c r="AA14" s="83"/>
      <c r="AB14" s="83">
        <f>+AB15+AB16+AB17</f>
        <v>18522.065439999998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669.23879999999997</v>
      </c>
      <c r="E15" s="42"/>
      <c r="F15" s="42">
        <v>664.74559999999997</v>
      </c>
      <c r="G15" s="42"/>
      <c r="H15" s="42">
        <v>686.7432</v>
      </c>
      <c r="I15" s="42"/>
      <c r="J15" s="42">
        <v>645.41539999999998</v>
      </c>
      <c r="K15" s="42"/>
      <c r="L15" s="42">
        <v>801.72319999999991</v>
      </c>
      <c r="M15" s="42"/>
      <c r="N15" s="42">
        <v>667.87</v>
      </c>
      <c r="O15" s="42"/>
      <c r="P15" s="42">
        <v>726.12689999999998</v>
      </c>
      <c r="Q15" s="42"/>
      <c r="R15" s="42">
        <v>964.03459999999995</v>
      </c>
      <c r="S15" s="42"/>
      <c r="T15" s="42">
        <v>742.52719999999999</v>
      </c>
      <c r="U15" s="42"/>
      <c r="V15" s="42">
        <v>930.33659999999998</v>
      </c>
      <c r="W15" s="42"/>
      <c r="X15" s="42">
        <v>891.697</v>
      </c>
      <c r="Y15" s="42"/>
      <c r="Z15" s="42">
        <v>2011.3712999999998</v>
      </c>
      <c r="AA15" s="75"/>
      <c r="AB15" s="75">
        <f>SUM(D15:Z15)</f>
        <v>10401.8298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188.23729999999998</v>
      </c>
      <c r="E16" s="42"/>
      <c r="F16" s="42">
        <v>141.63139999999999</v>
      </c>
      <c r="G16" s="42"/>
      <c r="H16" s="42">
        <v>188.51434</v>
      </c>
      <c r="I16" s="42"/>
      <c r="J16" s="42">
        <v>151.21510000000001</v>
      </c>
      <c r="K16" s="42"/>
      <c r="L16" s="42">
        <v>202.4238</v>
      </c>
      <c r="M16" s="42"/>
      <c r="N16" s="42">
        <v>117.7136</v>
      </c>
      <c r="O16" s="42"/>
      <c r="P16" s="42">
        <v>245.18860000000001</v>
      </c>
      <c r="Q16" s="42"/>
      <c r="R16" s="42">
        <v>191.72239999999999</v>
      </c>
      <c r="S16" s="42"/>
      <c r="T16" s="42">
        <v>231.24329999999998</v>
      </c>
      <c r="U16" s="42"/>
      <c r="V16" s="42">
        <v>226.76750000000001</v>
      </c>
      <c r="W16" s="42"/>
      <c r="X16" s="42">
        <v>256.4332</v>
      </c>
      <c r="Y16" s="42"/>
      <c r="Z16" s="42">
        <v>385.50240000000002</v>
      </c>
      <c r="AA16" s="75"/>
      <c r="AB16" s="75">
        <f>SUM(D16:Z16)</f>
        <v>2526.59294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74" t="s">
        <v>105</v>
      </c>
      <c r="C17" s="72"/>
      <c r="D17" s="42">
        <v>516.63009999999997</v>
      </c>
      <c r="E17" s="42"/>
      <c r="F17" s="42">
        <v>278.01199999999994</v>
      </c>
      <c r="G17" s="42"/>
      <c r="H17" s="42">
        <v>290.64439999999996</v>
      </c>
      <c r="I17" s="42"/>
      <c r="J17" s="42">
        <v>336.6576</v>
      </c>
      <c r="K17" s="42"/>
      <c r="L17" s="42">
        <v>548.3759</v>
      </c>
      <c r="M17" s="42"/>
      <c r="N17" s="42">
        <v>433.14010000000002</v>
      </c>
      <c r="O17" s="42"/>
      <c r="P17" s="42">
        <v>459.90180000000004</v>
      </c>
      <c r="Q17" s="42"/>
      <c r="R17" s="42">
        <v>448.18739999999991</v>
      </c>
      <c r="S17" s="42"/>
      <c r="T17" s="42">
        <v>430.0091000000001</v>
      </c>
      <c r="U17" s="42"/>
      <c r="V17" s="42">
        <v>512.60200000000009</v>
      </c>
      <c r="W17" s="42"/>
      <c r="X17" s="42">
        <v>490.20190000000008</v>
      </c>
      <c r="Y17" s="42"/>
      <c r="Z17" s="42">
        <v>849.28040000000033</v>
      </c>
      <c r="AA17" s="75"/>
      <c r="AB17" s="75">
        <f>SUM(D17:Z17)</f>
        <v>5593.6427000000003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119.85879999999997</v>
      </c>
      <c r="E19" s="42"/>
      <c r="F19" s="42">
        <v>38.880299999999977</v>
      </c>
      <c r="G19" s="42"/>
      <c r="H19" s="42">
        <v>158.19709999999998</v>
      </c>
      <c r="I19" s="42"/>
      <c r="J19" s="42">
        <v>4.0110000000000241</v>
      </c>
      <c r="K19" s="42"/>
      <c r="L19" s="42">
        <v>119.18419999999992</v>
      </c>
      <c r="M19" s="42"/>
      <c r="N19" s="42">
        <v>314.42409999999995</v>
      </c>
      <c r="O19" s="42"/>
      <c r="P19" s="42">
        <v>5.3448999999999387</v>
      </c>
      <c r="Q19" s="42"/>
      <c r="R19" s="42">
        <v>-27.686199999999985</v>
      </c>
      <c r="S19" s="42"/>
      <c r="T19" s="42">
        <v>-10.985100000000017</v>
      </c>
      <c r="U19" s="42"/>
      <c r="V19" s="42">
        <v>188.89219999999995</v>
      </c>
      <c r="W19" s="42"/>
      <c r="X19" s="42">
        <v>114.29869999999997</v>
      </c>
      <c r="Y19" s="42"/>
      <c r="Z19" s="42">
        <v>-36.814399999999864</v>
      </c>
      <c r="AA19" s="42"/>
      <c r="AB19" s="124">
        <f>SUM(D19:Z19)</f>
        <v>987.60559999999998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85" t="s">
        <v>82</v>
      </c>
      <c r="C21" s="72"/>
      <c r="D21" s="42">
        <v>892.80039999999997</v>
      </c>
      <c r="E21" s="42"/>
      <c r="F21" s="42">
        <v>592.81369999999993</v>
      </c>
      <c r="G21" s="42"/>
      <c r="H21" s="42">
        <v>903.26260000000002</v>
      </c>
      <c r="I21" s="42"/>
      <c r="J21" s="42">
        <v>491.8415</v>
      </c>
      <c r="K21" s="42"/>
      <c r="L21" s="42">
        <v>745.9846</v>
      </c>
      <c r="M21" s="42"/>
      <c r="N21" s="42">
        <v>603.09469999999999</v>
      </c>
      <c r="O21" s="42"/>
      <c r="P21" s="42">
        <v>671.41690000000006</v>
      </c>
      <c r="Q21" s="42"/>
      <c r="R21" s="42">
        <v>595.32590000000005</v>
      </c>
      <c r="S21" s="42"/>
      <c r="T21" s="42">
        <v>630.7423</v>
      </c>
      <c r="U21" s="42"/>
      <c r="V21" s="42">
        <v>679.52240000000006</v>
      </c>
      <c r="W21" s="42"/>
      <c r="X21" s="42">
        <v>708.0501999999999</v>
      </c>
      <c r="Y21" s="42"/>
      <c r="Z21" s="42">
        <v>729.94399999999996</v>
      </c>
      <c r="AA21" s="42"/>
      <c r="AB21" s="75">
        <f>SUM(D21:Z21)</f>
        <v>8244.7991999999995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83</v>
      </c>
      <c r="C23" s="82"/>
      <c r="D23" s="45">
        <f>D8-D14-D19-D21</f>
        <v>7471.9537999999993</v>
      </c>
      <c r="E23" s="45"/>
      <c r="F23" s="45">
        <f>F8-F14-F19-F21</f>
        <v>8122.2563999999993</v>
      </c>
      <c r="G23" s="45"/>
      <c r="H23" s="45">
        <f>H8-H14-H19-H21</f>
        <v>11503.82116</v>
      </c>
      <c r="I23" s="45"/>
      <c r="J23" s="45">
        <f>J8-J14-J19-J21</f>
        <v>8873.1960999999992</v>
      </c>
      <c r="K23" s="45"/>
      <c r="L23" s="45">
        <f>L8-L14-L19-L21</f>
        <v>13088.296000000002</v>
      </c>
      <c r="M23" s="45"/>
      <c r="N23" s="45">
        <f>N8-N14-N19-N21</f>
        <v>12950.0797</v>
      </c>
      <c r="O23" s="45"/>
      <c r="P23" s="45">
        <f>P8-P14-P19-P21</f>
        <v>11519.888199999998</v>
      </c>
      <c r="Q23" s="45"/>
      <c r="R23" s="45">
        <f>R8-R14-R19-R21</f>
        <v>12610.728999999999</v>
      </c>
      <c r="S23" s="45"/>
      <c r="T23" s="45">
        <f>T8-T14-T19-T21</f>
        <v>11539.720000000001</v>
      </c>
      <c r="U23" s="45"/>
      <c r="V23" s="45">
        <f>V8-V14-V19-V21</f>
        <v>13094.539600000002</v>
      </c>
      <c r="W23" s="45"/>
      <c r="X23" s="45">
        <f>X8-X14-X19-X21</f>
        <v>11330.437800000002</v>
      </c>
      <c r="Y23" s="45"/>
      <c r="Z23" s="45">
        <f>Z8-Z14-Z19-Z21</f>
        <v>11192.463000000002</v>
      </c>
      <c r="AA23" s="45"/>
      <c r="AB23" s="83">
        <f>AB8-AB14-AB19-AB21</f>
        <v>133297.38075999997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84</v>
      </c>
      <c r="C25" s="82"/>
      <c r="D25" s="45">
        <f>+D27+D26</f>
        <v>1104.1286</v>
      </c>
      <c r="E25" s="82"/>
      <c r="F25" s="45">
        <f>+F27+F26</f>
        <v>613.4156999999999</v>
      </c>
      <c r="G25" s="82"/>
      <c r="H25" s="45">
        <f>+H27+H26</f>
        <v>626.41250000000002</v>
      </c>
      <c r="I25" s="82"/>
      <c r="J25" s="45">
        <f>+J27+J26</f>
        <v>555.13260000000002</v>
      </c>
      <c r="K25" s="82"/>
      <c r="L25" s="45">
        <f>+L27+L26</f>
        <v>938.52719999999999</v>
      </c>
      <c r="M25" s="82"/>
      <c r="N25" s="45">
        <f>+N27+N26</f>
        <v>1052.9116999999999</v>
      </c>
      <c r="O25" s="82"/>
      <c r="P25" s="45">
        <f>+P27+P26</f>
        <v>1132.8181999999999</v>
      </c>
      <c r="Q25" s="82"/>
      <c r="R25" s="45">
        <f>+R27+R26</f>
        <v>1270.6591000000001</v>
      </c>
      <c r="S25" s="82"/>
      <c r="T25" s="45">
        <f>+T27+T26</f>
        <v>1248.7583</v>
      </c>
      <c r="U25" s="82"/>
      <c r="V25" s="45">
        <f>+V27+V26</f>
        <v>1534.2672</v>
      </c>
      <c r="W25" s="82"/>
      <c r="X25" s="45">
        <f>+X27+X26</f>
        <v>1486.0387000000001</v>
      </c>
      <c r="Y25" s="82"/>
      <c r="Z25" s="45">
        <f>+Z27+Z26</f>
        <v>4427.1854999999996</v>
      </c>
      <c r="AA25" s="82"/>
      <c r="AB25" s="45">
        <f>+AB27+AB26</f>
        <v>15990.255299999999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206" t="s">
        <v>86</v>
      </c>
      <c r="C26" s="72"/>
      <c r="D26" s="42">
        <v>0</v>
      </c>
      <c r="E26" s="42"/>
      <c r="F26" s="42">
        <v>0</v>
      </c>
      <c r="G26" s="42"/>
      <c r="H26" s="42">
        <v>0</v>
      </c>
      <c r="I26" s="42"/>
      <c r="J26" s="42">
        <v>0</v>
      </c>
      <c r="K26" s="42"/>
      <c r="L26" s="42">
        <v>0</v>
      </c>
      <c r="M26" s="42"/>
      <c r="N26" s="42">
        <v>0</v>
      </c>
      <c r="O26" s="42"/>
      <c r="P26" s="42">
        <v>0</v>
      </c>
      <c r="Q26" s="77"/>
      <c r="R26" s="42">
        <v>0</v>
      </c>
      <c r="S26" s="42"/>
      <c r="T26" s="42">
        <v>0</v>
      </c>
      <c r="U26" s="42"/>
      <c r="V26" s="42">
        <v>0</v>
      </c>
      <c r="W26" s="42"/>
      <c r="X26" s="42">
        <v>0</v>
      </c>
      <c r="Y26" s="42"/>
      <c r="Z26" s="42">
        <v>0</v>
      </c>
      <c r="AA26" s="42"/>
      <c r="AB26" s="42">
        <f>SUM(D26:Z26)</f>
        <v>0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1104.1286</v>
      </c>
      <c r="E27" s="42"/>
      <c r="F27" s="42">
        <f>+F28+F29</f>
        <v>613.4156999999999</v>
      </c>
      <c r="G27" s="42"/>
      <c r="H27" s="42">
        <f>+H28+H29</f>
        <v>626.41250000000002</v>
      </c>
      <c r="I27" s="42"/>
      <c r="J27" s="42">
        <f>+J28+J29</f>
        <v>555.13260000000002</v>
      </c>
      <c r="K27" s="42"/>
      <c r="L27" s="42">
        <f>+L28+L29</f>
        <v>938.52719999999999</v>
      </c>
      <c r="M27" s="42"/>
      <c r="N27" s="42">
        <f>+N28+N29</f>
        <v>1052.9116999999999</v>
      </c>
      <c r="O27" s="42"/>
      <c r="P27" s="42">
        <f>+P28+P29</f>
        <v>1132.8181999999999</v>
      </c>
      <c r="Q27" s="42"/>
      <c r="R27" s="42">
        <f>+R28+R29</f>
        <v>1270.6591000000001</v>
      </c>
      <c r="S27" s="42"/>
      <c r="T27" s="42">
        <f>+T28+T29</f>
        <v>1248.7583</v>
      </c>
      <c r="U27" s="42"/>
      <c r="V27" s="42">
        <f>+V28+V29</f>
        <v>1534.2672</v>
      </c>
      <c r="W27" s="42"/>
      <c r="X27" s="42">
        <f>+X28+X29</f>
        <v>1486.0387000000001</v>
      </c>
      <c r="Y27" s="42"/>
      <c r="Z27" s="42">
        <f>+Z28+Z29</f>
        <v>4427.1854999999996</v>
      </c>
      <c r="AA27" s="75"/>
      <c r="AB27" s="75">
        <f>+AB28+AB29</f>
        <v>15990.255299999999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194" t="s">
        <v>87</v>
      </c>
      <c r="C28" s="90"/>
      <c r="D28" s="42">
        <v>1148.7644</v>
      </c>
      <c r="E28" s="42"/>
      <c r="F28" s="42">
        <v>682.10959999999989</v>
      </c>
      <c r="G28" s="42"/>
      <c r="H28" s="42">
        <v>704.91719999999998</v>
      </c>
      <c r="I28" s="42"/>
      <c r="J28" s="42">
        <v>739.23070000000007</v>
      </c>
      <c r="K28" s="42"/>
      <c r="L28" s="42">
        <v>952.47059999999999</v>
      </c>
      <c r="M28" s="42"/>
      <c r="N28" s="42">
        <v>1040.5328</v>
      </c>
      <c r="O28" s="42"/>
      <c r="P28" s="42">
        <v>1132.8181999999999</v>
      </c>
      <c r="Q28" s="42"/>
      <c r="R28" s="42">
        <v>1264.1888000000001</v>
      </c>
      <c r="S28" s="42"/>
      <c r="T28" s="42">
        <v>1243.3168000000001</v>
      </c>
      <c r="U28" s="42"/>
      <c r="V28" s="42">
        <v>1534.1829</v>
      </c>
      <c r="W28" s="42"/>
      <c r="X28" s="42">
        <v>1501.1108000000002</v>
      </c>
      <c r="Y28" s="42"/>
      <c r="Z28" s="42">
        <v>2661.6571999999996</v>
      </c>
      <c r="AA28" s="75"/>
      <c r="AB28" s="75">
        <f>SUM(D28:Z28)</f>
        <v>14605.3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-44.635800000000003</v>
      </c>
      <c r="E29" s="42"/>
      <c r="F29" s="42">
        <v>-68.693899999999999</v>
      </c>
      <c r="G29" s="42"/>
      <c r="H29" s="42">
        <v>-78.5047</v>
      </c>
      <c r="I29" s="42"/>
      <c r="J29" s="42">
        <v>-184.09810000000002</v>
      </c>
      <c r="K29" s="42"/>
      <c r="L29" s="42">
        <v>-13.9434</v>
      </c>
      <c r="M29" s="42"/>
      <c r="N29" s="42">
        <v>12.3789</v>
      </c>
      <c r="O29" s="42"/>
      <c r="P29" s="42">
        <v>0</v>
      </c>
      <c r="Q29" s="42"/>
      <c r="R29" s="42">
        <v>6.4702999999999999</v>
      </c>
      <c r="S29" s="42"/>
      <c r="T29" s="42">
        <v>5.4414999999999996</v>
      </c>
      <c r="U29" s="42"/>
      <c r="V29" s="42">
        <v>8.43E-2</v>
      </c>
      <c r="W29" s="42"/>
      <c r="X29" s="42">
        <v>-15.072100000000001</v>
      </c>
      <c r="Y29" s="42"/>
      <c r="Z29" s="42">
        <v>1765.5282999999999</v>
      </c>
      <c r="AA29" s="75"/>
      <c r="AB29" s="42">
        <f>SUM(D29:Z29)</f>
        <v>1384.9553000000001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0</v>
      </c>
      <c r="U31" s="118"/>
      <c r="V31" s="118">
        <v>0</v>
      </c>
      <c r="W31" s="118"/>
      <c r="X31" s="118">
        <v>0</v>
      </c>
      <c r="Y31" s="118"/>
      <c r="Z31" s="118">
        <v>0</v>
      </c>
      <c r="AA31" s="41"/>
      <c r="AB31" s="118">
        <f>SUM(D31:Z31)</f>
        <v>0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207" t="s">
        <v>106</v>
      </c>
      <c r="C33" s="95"/>
      <c r="D33" s="119">
        <f>D23-D25+D31</f>
        <v>6367.8251999999993</v>
      </c>
      <c r="E33" s="119"/>
      <c r="F33" s="119">
        <f>F23-F25+F31</f>
        <v>7508.8406999999997</v>
      </c>
      <c r="G33" s="119"/>
      <c r="H33" s="119">
        <f>H23-H25+H31</f>
        <v>10877.408659999999</v>
      </c>
      <c r="I33" s="119"/>
      <c r="J33" s="119">
        <f>J23-J25+J31</f>
        <v>8318.0634999999984</v>
      </c>
      <c r="K33" s="119"/>
      <c r="L33" s="119">
        <f>L23-L25+L31</f>
        <v>12149.768800000002</v>
      </c>
      <c r="M33" s="119"/>
      <c r="N33" s="119">
        <f>N23-N25+N31</f>
        <v>11897.168</v>
      </c>
      <c r="O33" s="119"/>
      <c r="P33" s="119">
        <f>P23-P25+P31</f>
        <v>10387.069999999998</v>
      </c>
      <c r="Q33" s="119"/>
      <c r="R33" s="119">
        <f>R23-R25+R31</f>
        <v>11340.069899999999</v>
      </c>
      <c r="S33" s="119"/>
      <c r="T33" s="119">
        <f>T23-T25+T31</f>
        <v>10290.961700000002</v>
      </c>
      <c r="U33" s="119"/>
      <c r="V33" s="119">
        <f>V23-V25+V31</f>
        <v>11560.272400000002</v>
      </c>
      <c r="W33" s="119"/>
      <c r="X33" s="119">
        <f>X23-X25+X31</f>
        <v>9844.3991000000024</v>
      </c>
      <c r="Y33" s="119"/>
      <c r="Z33" s="119">
        <f>Z23-Z25+Z31</f>
        <v>6765.277500000002</v>
      </c>
      <c r="AA33" s="119"/>
      <c r="AB33" s="119">
        <f>AB23-AB25+AB31</f>
        <v>117307.12545999997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6671.9297000000006</v>
      </c>
      <c r="E35" s="42"/>
      <c r="F35" s="42">
        <v>5565.0124999999998</v>
      </c>
      <c r="G35" s="42"/>
      <c r="H35" s="42">
        <v>5985.6210000000001</v>
      </c>
      <c r="I35" s="42"/>
      <c r="J35" s="42">
        <v>9634.9094999999998</v>
      </c>
      <c r="K35" s="42"/>
      <c r="L35" s="42">
        <v>12866.456099999999</v>
      </c>
      <c r="M35" s="42"/>
      <c r="N35" s="42">
        <v>8459.3094999999994</v>
      </c>
      <c r="O35" s="42"/>
      <c r="P35" s="42">
        <v>10041.700700000001</v>
      </c>
      <c r="Q35" s="42"/>
      <c r="R35" s="42">
        <v>9171.3564000000006</v>
      </c>
      <c r="S35" s="42"/>
      <c r="T35" s="42">
        <v>8376.8433000000005</v>
      </c>
      <c r="U35" s="42"/>
      <c r="V35" s="42">
        <v>9825.6278999999995</v>
      </c>
      <c r="W35" s="42"/>
      <c r="X35" s="42">
        <v>8625.1970999999994</v>
      </c>
      <c r="Y35" s="42"/>
      <c r="Z35" s="42">
        <v>7774.9198999999999</v>
      </c>
      <c r="AA35" s="42"/>
      <c r="AB35" s="75">
        <f>SUM(D35:Z35)</f>
        <v>102998.8836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-304.10450000000128</v>
      </c>
      <c r="E37" s="119"/>
      <c r="F37" s="119">
        <f>F33-F35</f>
        <v>1943.8281999999999</v>
      </c>
      <c r="G37" s="119"/>
      <c r="H37" s="119">
        <f>H33-H35</f>
        <v>4891.7876599999991</v>
      </c>
      <c r="I37" s="119"/>
      <c r="J37" s="119">
        <f>J33-J35</f>
        <v>-1316.8460000000014</v>
      </c>
      <c r="K37" s="119"/>
      <c r="L37" s="119">
        <f>L33-L35</f>
        <v>-716.68729999999778</v>
      </c>
      <c r="M37" s="119"/>
      <c r="N37" s="119">
        <f>N33-N35</f>
        <v>3437.8585000000003</v>
      </c>
      <c r="O37" s="119"/>
      <c r="P37" s="119">
        <f>P33-P35</f>
        <v>345.36929999999666</v>
      </c>
      <c r="Q37" s="119"/>
      <c r="R37" s="119">
        <f>R33-R35</f>
        <v>2168.713499999998</v>
      </c>
      <c r="S37" s="119"/>
      <c r="T37" s="119">
        <f>T33-T35</f>
        <v>1914.1184000000012</v>
      </c>
      <c r="U37" s="119"/>
      <c r="V37" s="119">
        <f>V33-V35</f>
        <v>1734.6445000000022</v>
      </c>
      <c r="W37" s="119"/>
      <c r="X37" s="119">
        <f>X33-X35</f>
        <v>1219.202000000003</v>
      </c>
      <c r="Y37" s="119"/>
      <c r="Z37" s="119">
        <f>Z33-Z35</f>
        <v>-1009.6423999999979</v>
      </c>
      <c r="AA37" s="119"/>
      <c r="AB37" s="119">
        <f>AB33-AB35</f>
        <v>14308.241859999966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1258.7694000000001</v>
      </c>
      <c r="E39" s="72"/>
      <c r="F39" s="42">
        <f>F40+F43</f>
        <v>1004.1715</v>
      </c>
      <c r="G39" s="72"/>
      <c r="H39" s="42">
        <f>H40+H43</f>
        <v>1335.5083999999999</v>
      </c>
      <c r="I39" s="72"/>
      <c r="J39" s="42">
        <f>J40+J43</f>
        <v>654.37879999999996</v>
      </c>
      <c r="K39" s="72"/>
      <c r="L39" s="42">
        <f>L40+L43</f>
        <v>784.76780000000008</v>
      </c>
      <c r="M39" s="72"/>
      <c r="N39" s="42">
        <f>N40+N43</f>
        <v>1152.1887000000002</v>
      </c>
      <c r="O39" s="72"/>
      <c r="P39" s="42">
        <f>P40+P43</f>
        <v>662.71770000000004</v>
      </c>
      <c r="Q39" s="72"/>
      <c r="R39" s="42">
        <f>R40+R43</f>
        <v>518.61159999999995</v>
      </c>
      <c r="S39" s="72"/>
      <c r="T39" s="42">
        <f>T40+T43</f>
        <v>812.36580000000004</v>
      </c>
      <c r="U39" s="72"/>
      <c r="V39" s="42">
        <f>V40+V43</f>
        <v>841.27890000000002</v>
      </c>
      <c r="W39" s="72"/>
      <c r="X39" s="42">
        <f>X40+X43</f>
        <v>904.4556</v>
      </c>
      <c r="Y39" s="72"/>
      <c r="Z39" s="42">
        <f>Z40+Z43</f>
        <v>1260.5113000000001</v>
      </c>
      <c r="AA39" s="72"/>
      <c r="AB39" s="42">
        <f>AB40+AB43</f>
        <v>11189.7255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286.96390000000002</v>
      </c>
      <c r="E40" s="42"/>
      <c r="F40" s="42">
        <f>F41+F42</f>
        <v>331.50729999999999</v>
      </c>
      <c r="G40" s="42"/>
      <c r="H40" s="42">
        <f>H41+H42</f>
        <v>399.33800000000002</v>
      </c>
      <c r="I40" s="42"/>
      <c r="J40" s="42">
        <f>J41+J42</f>
        <v>314.54509999999999</v>
      </c>
      <c r="K40" s="42"/>
      <c r="L40" s="42">
        <f>L41+L42</f>
        <v>345.4273</v>
      </c>
      <c r="M40" s="42"/>
      <c r="N40" s="42">
        <f>N41+N42</f>
        <v>363.1848</v>
      </c>
      <c r="O40" s="42"/>
      <c r="P40" s="42">
        <f>P41+P42</f>
        <v>333.04220000000004</v>
      </c>
      <c r="Q40" s="42"/>
      <c r="R40" s="42">
        <f>R41+R42</f>
        <v>360.41699999999997</v>
      </c>
      <c r="S40" s="42"/>
      <c r="T40" s="42">
        <f>T41+T42</f>
        <v>356.6354</v>
      </c>
      <c r="U40" s="42"/>
      <c r="V40" s="42">
        <f>+V41+V42</f>
        <v>353.65550000000002</v>
      </c>
      <c r="W40" s="42"/>
      <c r="X40" s="42">
        <f>+X41+X42</f>
        <v>431.27679999999998</v>
      </c>
      <c r="Y40" s="42"/>
      <c r="Z40" s="42">
        <f>+Z41+Z42</f>
        <v>413.3682</v>
      </c>
      <c r="AA40" s="75"/>
      <c r="AB40" s="75">
        <f>+AB41+AB42</f>
        <v>4289.3615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194" t="s">
        <v>56</v>
      </c>
      <c r="C41" s="72"/>
      <c r="D41" s="118">
        <v>0</v>
      </c>
      <c r="E41" s="118"/>
      <c r="F41" s="118">
        <v>0</v>
      </c>
      <c r="G41" s="118"/>
      <c r="H41" s="118">
        <v>0</v>
      </c>
      <c r="I41" s="118"/>
      <c r="J41" s="118">
        <v>0</v>
      </c>
      <c r="K41" s="118"/>
      <c r="L41" s="118">
        <v>0</v>
      </c>
      <c r="M41" s="118"/>
      <c r="N41" s="118">
        <v>0</v>
      </c>
      <c r="O41" s="118"/>
      <c r="P41" s="118">
        <v>0</v>
      </c>
      <c r="Q41" s="118"/>
      <c r="R41" s="118">
        <v>0</v>
      </c>
      <c r="S41" s="118"/>
      <c r="T41" s="118">
        <v>0</v>
      </c>
      <c r="U41" s="118"/>
      <c r="V41" s="118">
        <v>0</v>
      </c>
      <c r="W41" s="118"/>
      <c r="X41" s="118">
        <v>0</v>
      </c>
      <c r="Y41" s="118"/>
      <c r="Z41" s="118">
        <v>0</v>
      </c>
      <c r="AA41" s="118"/>
      <c r="AB41" s="118">
        <f>SUM(D41:Z41)</f>
        <v>0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286.96390000000002</v>
      </c>
      <c r="E42" s="42"/>
      <c r="F42" s="42">
        <v>331.50729999999999</v>
      </c>
      <c r="G42" s="42"/>
      <c r="H42" s="42">
        <v>399.33800000000002</v>
      </c>
      <c r="I42" s="42"/>
      <c r="J42" s="42">
        <v>314.54509999999999</v>
      </c>
      <c r="K42" s="42"/>
      <c r="L42" s="42">
        <v>345.4273</v>
      </c>
      <c r="M42" s="42"/>
      <c r="N42" s="42">
        <v>363.1848</v>
      </c>
      <c r="O42" s="42"/>
      <c r="P42" s="42">
        <v>333.04220000000004</v>
      </c>
      <c r="Q42" s="42"/>
      <c r="R42" s="42">
        <v>360.41699999999997</v>
      </c>
      <c r="S42" s="42"/>
      <c r="T42" s="42">
        <v>356.6354</v>
      </c>
      <c r="U42" s="42"/>
      <c r="V42" s="42">
        <v>353.65550000000002</v>
      </c>
      <c r="W42" s="42"/>
      <c r="X42" s="42">
        <v>431.27679999999998</v>
      </c>
      <c r="Y42" s="42"/>
      <c r="Z42" s="42">
        <v>413.3682</v>
      </c>
      <c r="AA42" s="75"/>
      <c r="AB42" s="75">
        <f>SUM(D42:Z42)</f>
        <v>4289.3615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971.80550000000005</v>
      </c>
      <c r="E43" s="42"/>
      <c r="F43" s="42">
        <v>672.66420000000005</v>
      </c>
      <c r="G43" s="42"/>
      <c r="H43" s="42">
        <v>936.17039999999997</v>
      </c>
      <c r="I43" s="42"/>
      <c r="J43" s="42">
        <v>339.83370000000002</v>
      </c>
      <c r="K43" s="42"/>
      <c r="L43" s="42">
        <v>439.34050000000002</v>
      </c>
      <c r="M43" s="42"/>
      <c r="N43" s="42">
        <v>789.00390000000004</v>
      </c>
      <c r="O43" s="42"/>
      <c r="P43" s="42">
        <v>329.6755</v>
      </c>
      <c r="Q43" s="42"/>
      <c r="R43" s="42">
        <v>158.19460000000001</v>
      </c>
      <c r="S43" s="42"/>
      <c r="T43" s="42">
        <v>455.73039999999997</v>
      </c>
      <c r="U43" s="42"/>
      <c r="V43" s="42">
        <v>487.6234</v>
      </c>
      <c r="W43" s="42"/>
      <c r="X43" s="42">
        <v>473.17880000000002</v>
      </c>
      <c r="Y43" s="42"/>
      <c r="Z43" s="42">
        <v>847.1431</v>
      </c>
      <c r="AA43" s="75"/>
      <c r="AB43" s="75">
        <f>SUM(D43:Z43)</f>
        <v>6900.3640000000005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-1562.8739000000014</v>
      </c>
      <c r="E45" s="95"/>
      <c r="F45" s="48">
        <f>F37-F39</f>
        <v>939.65669999999989</v>
      </c>
      <c r="G45" s="95"/>
      <c r="H45" s="48">
        <f>H37-H39</f>
        <v>3556.2792599999993</v>
      </c>
      <c r="I45" s="95"/>
      <c r="J45" s="48">
        <f>J37-J39</f>
        <v>-1971.2248000000013</v>
      </c>
      <c r="K45" s="95"/>
      <c r="L45" s="48">
        <f>L37-L39</f>
        <v>-1501.4550999999979</v>
      </c>
      <c r="M45" s="95"/>
      <c r="N45" s="48">
        <f>N37-N39</f>
        <v>2285.6698000000001</v>
      </c>
      <c r="O45" s="95"/>
      <c r="P45" s="48">
        <f>P37-P39</f>
        <v>-317.34840000000338</v>
      </c>
      <c r="Q45" s="95"/>
      <c r="R45" s="48">
        <f>R37-R39</f>
        <v>1650.1018999999981</v>
      </c>
      <c r="S45" s="95"/>
      <c r="T45" s="48">
        <f>T37-T39</f>
        <v>1101.7526000000012</v>
      </c>
      <c r="U45" s="95"/>
      <c r="V45" s="48">
        <f>V37-V39</f>
        <v>893.36560000000213</v>
      </c>
      <c r="W45" s="95"/>
      <c r="X45" s="48">
        <f>X37-X39</f>
        <v>314.74640000000295</v>
      </c>
      <c r="Y45" s="95"/>
      <c r="Z45" s="48">
        <f>Z37-Z39</f>
        <v>-2270.153699999998</v>
      </c>
      <c r="AA45" s="95"/>
      <c r="AB45" s="48">
        <f>AB37-AB39</f>
        <v>3118.5163599999651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64" t="s">
        <v>41</v>
      </c>
      <c r="C47" s="464"/>
      <c r="D47" s="464"/>
      <c r="E47" s="464"/>
      <c r="F47" s="464"/>
      <c r="G47" s="464"/>
      <c r="H47" s="464"/>
      <c r="I47" s="464"/>
      <c r="J47" s="464"/>
      <c r="K47" s="464"/>
      <c r="L47" s="464"/>
      <c r="M47" s="464"/>
      <c r="N47" s="464"/>
      <c r="O47" s="464"/>
      <c r="P47" s="464"/>
      <c r="Q47" s="464"/>
      <c r="R47" s="464"/>
      <c r="S47" s="464"/>
      <c r="T47" s="464"/>
      <c r="U47" s="464"/>
      <c r="V47" s="464"/>
      <c r="W47" s="464"/>
      <c r="X47" s="464"/>
      <c r="Y47" s="464"/>
      <c r="Z47" s="464"/>
      <c r="AA47" s="464"/>
      <c r="AB47" s="464"/>
      <c r="AC47" s="212"/>
      <c r="AD47" s="212"/>
      <c r="AE47" s="101"/>
      <c r="AF47" s="212"/>
    </row>
    <row r="48" spans="1:35" ht="14.25" customHeight="1">
      <c r="B48" s="464" t="s">
        <v>107</v>
      </c>
      <c r="C48" s="464"/>
      <c r="D48" s="464"/>
      <c r="E48" s="464"/>
      <c r="F48" s="464"/>
      <c r="G48" s="464"/>
      <c r="H48" s="464"/>
      <c r="I48" s="464"/>
      <c r="J48" s="464"/>
      <c r="K48" s="464"/>
      <c r="L48" s="464"/>
      <c r="M48" s="464"/>
      <c r="N48" s="464"/>
      <c r="O48" s="464"/>
      <c r="P48" s="464"/>
      <c r="Q48" s="464"/>
      <c r="R48" s="464"/>
      <c r="S48" s="464"/>
      <c r="T48" s="464"/>
      <c r="U48" s="464"/>
      <c r="V48" s="464"/>
      <c r="W48" s="464"/>
      <c r="X48" s="464"/>
      <c r="Y48" s="464"/>
      <c r="Z48" s="464"/>
      <c r="AA48" s="464"/>
      <c r="AB48" s="464"/>
      <c r="AC48" s="212"/>
      <c r="AD48" s="212"/>
      <c r="AE48" s="101"/>
      <c r="AF48" s="212"/>
    </row>
    <row r="49" spans="1:35" ht="14.25" customHeight="1">
      <c r="B49" s="464" t="s">
        <v>108</v>
      </c>
      <c r="C49" s="464"/>
      <c r="D49" s="464"/>
      <c r="E49" s="464"/>
      <c r="F49" s="464"/>
      <c r="G49" s="464"/>
      <c r="H49" s="464"/>
      <c r="I49" s="464"/>
      <c r="J49" s="464"/>
      <c r="K49" s="464"/>
      <c r="L49" s="464"/>
      <c r="M49" s="464"/>
      <c r="N49" s="464"/>
      <c r="O49" s="464"/>
      <c r="P49" s="464"/>
      <c r="Q49" s="464"/>
      <c r="R49" s="464"/>
      <c r="S49" s="464"/>
      <c r="T49" s="464"/>
      <c r="U49" s="464"/>
      <c r="V49" s="464"/>
      <c r="W49" s="464"/>
      <c r="X49" s="464"/>
      <c r="Y49" s="464"/>
      <c r="Z49" s="464"/>
      <c r="AA49" s="464"/>
      <c r="AB49" s="464"/>
      <c r="AC49" s="212"/>
      <c r="AD49" s="212"/>
      <c r="AE49" s="101"/>
      <c r="AF49" s="212"/>
    </row>
    <row r="50" spans="1:35" ht="14.25" customHeight="1">
      <c r="B50" s="464" t="s">
        <v>90</v>
      </c>
      <c r="C50" s="464"/>
      <c r="D50" s="464"/>
      <c r="E50" s="464"/>
      <c r="F50" s="464"/>
      <c r="G50" s="464"/>
      <c r="H50" s="464"/>
      <c r="I50" s="464"/>
      <c r="J50" s="464"/>
      <c r="K50" s="464"/>
      <c r="L50" s="464"/>
      <c r="M50" s="464"/>
      <c r="N50" s="464"/>
      <c r="O50" s="464"/>
      <c r="P50" s="464"/>
      <c r="Q50" s="464"/>
      <c r="R50" s="464"/>
      <c r="S50" s="464"/>
      <c r="T50" s="464"/>
      <c r="U50" s="464"/>
      <c r="V50" s="464"/>
      <c r="W50" s="464"/>
      <c r="X50" s="464"/>
      <c r="Y50" s="464"/>
      <c r="Z50" s="464"/>
      <c r="AA50" s="464"/>
      <c r="AB50" s="464"/>
      <c r="AC50" s="212"/>
      <c r="AD50" s="212"/>
      <c r="AE50" s="101"/>
      <c r="AF50" s="212"/>
    </row>
    <row r="51" spans="1:35" ht="14.25" customHeight="1">
      <c r="B51" s="464" t="s">
        <v>109</v>
      </c>
      <c r="C51" s="464"/>
      <c r="D51" s="464"/>
      <c r="E51" s="464"/>
      <c r="F51" s="464"/>
      <c r="G51" s="464"/>
      <c r="H51" s="464"/>
      <c r="I51" s="464"/>
      <c r="J51" s="464"/>
      <c r="K51" s="464"/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464"/>
      <c r="X51" s="464"/>
      <c r="Y51" s="464"/>
      <c r="Z51" s="464"/>
      <c r="AA51" s="464"/>
      <c r="AB51" s="464"/>
      <c r="AC51" s="212"/>
      <c r="AD51" s="212"/>
      <c r="AE51" s="101"/>
      <c r="AF51" s="212"/>
    </row>
    <row r="52" spans="1:35" ht="14.25" customHeight="1">
      <c r="B52" s="464" t="s">
        <v>92</v>
      </c>
      <c r="C52" s="464"/>
      <c r="D52" s="464"/>
      <c r="E52" s="464"/>
      <c r="F52" s="464"/>
      <c r="G52" s="464"/>
      <c r="H52" s="464"/>
      <c r="I52" s="464"/>
      <c r="J52" s="464"/>
      <c r="K52" s="464"/>
      <c r="L52" s="464"/>
      <c r="M52" s="464"/>
      <c r="N52" s="464"/>
      <c r="O52" s="464"/>
      <c r="P52" s="464"/>
      <c r="Q52" s="464"/>
      <c r="R52" s="464"/>
      <c r="S52" s="464"/>
      <c r="T52" s="464"/>
      <c r="U52" s="464"/>
      <c r="V52" s="464"/>
      <c r="W52" s="464"/>
      <c r="X52" s="464"/>
      <c r="Y52" s="464"/>
      <c r="Z52" s="464"/>
      <c r="AA52" s="464"/>
      <c r="AB52" s="464"/>
      <c r="AC52" s="212"/>
      <c r="AD52" s="212"/>
      <c r="AE52" s="101"/>
      <c r="AF52" s="212"/>
    </row>
    <row r="53" spans="1:35" ht="14.25" customHeight="1">
      <c r="B53" s="201" t="s">
        <v>93</v>
      </c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212"/>
      <c r="AD53" s="212"/>
      <c r="AE53" s="101"/>
      <c r="AF53" s="212"/>
    </row>
    <row r="54" spans="1:35" ht="14.25" customHeight="1">
      <c r="B54" s="464" t="s">
        <v>94</v>
      </c>
      <c r="C54" s="464"/>
      <c r="D54" s="464"/>
      <c r="E54" s="464"/>
      <c r="F54" s="464"/>
      <c r="G54" s="464"/>
      <c r="H54" s="464"/>
      <c r="I54" s="464"/>
      <c r="J54" s="464"/>
      <c r="K54" s="464"/>
      <c r="L54" s="464"/>
      <c r="M54" s="464"/>
      <c r="N54" s="464"/>
      <c r="O54" s="464"/>
      <c r="P54" s="464"/>
      <c r="Q54" s="464"/>
      <c r="R54" s="464"/>
      <c r="S54" s="464"/>
      <c r="T54" s="464"/>
      <c r="U54" s="464"/>
      <c r="V54" s="464"/>
      <c r="W54" s="464"/>
      <c r="X54" s="464"/>
      <c r="Y54" s="464"/>
      <c r="Z54" s="464"/>
      <c r="AA54" s="464"/>
      <c r="AB54" s="464"/>
      <c r="AC54" s="212"/>
      <c r="AD54" s="212"/>
      <c r="AE54" s="101"/>
      <c r="AF54" s="212"/>
    </row>
    <row r="55" spans="1:35" ht="14.25" customHeight="1">
      <c r="B55" s="201" t="s">
        <v>95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5" ht="14.25" customHeight="1">
      <c r="B56" s="464" t="s">
        <v>96</v>
      </c>
      <c r="C56" s="464"/>
      <c r="D56" s="464"/>
      <c r="E56" s="464"/>
      <c r="F56" s="464"/>
      <c r="G56" s="464"/>
      <c r="H56" s="464"/>
      <c r="I56" s="464"/>
      <c r="J56" s="464"/>
      <c r="K56" s="464"/>
      <c r="L56" s="464"/>
      <c r="M56" s="464"/>
      <c r="N56" s="464"/>
      <c r="O56" s="464"/>
      <c r="P56" s="464"/>
      <c r="Q56" s="464"/>
      <c r="R56" s="464"/>
      <c r="S56" s="464"/>
      <c r="T56" s="464"/>
      <c r="U56" s="464"/>
      <c r="V56" s="464"/>
      <c r="W56" s="464"/>
      <c r="X56" s="464"/>
      <c r="Y56" s="464"/>
      <c r="Z56" s="464"/>
      <c r="AA56" s="464"/>
      <c r="AB56" s="464"/>
      <c r="AC56" s="212"/>
      <c r="AD56" s="212"/>
      <c r="AE56" s="101"/>
      <c r="AF56" s="212"/>
    </row>
    <row r="57" spans="1:35" ht="14.25" customHeight="1">
      <c r="B57" s="464" t="s">
        <v>68</v>
      </c>
      <c r="C57" s="464"/>
      <c r="D57" s="464"/>
      <c r="E57" s="464"/>
      <c r="F57" s="464"/>
      <c r="G57" s="464"/>
      <c r="H57" s="464"/>
      <c r="I57" s="464"/>
      <c r="J57" s="464"/>
      <c r="K57" s="464"/>
      <c r="L57" s="464"/>
      <c r="M57" s="464"/>
      <c r="N57" s="464"/>
      <c r="O57" s="464"/>
      <c r="P57" s="464"/>
      <c r="Q57" s="464"/>
      <c r="R57" s="464"/>
      <c r="S57" s="464"/>
      <c r="T57" s="464"/>
      <c r="U57" s="464"/>
      <c r="V57" s="464"/>
      <c r="W57" s="464"/>
      <c r="X57" s="464"/>
      <c r="Y57" s="464"/>
      <c r="Z57" s="464"/>
      <c r="AA57" s="464"/>
      <c r="AB57" s="464"/>
      <c r="AC57" s="212"/>
      <c r="AD57" s="212"/>
      <c r="AE57" s="101"/>
      <c r="AF57" s="212"/>
    </row>
    <row r="58" spans="1:35" ht="14.25" customHeight="1">
      <c r="B58" s="464" t="s">
        <v>3</v>
      </c>
      <c r="C58" s="464"/>
      <c r="D58" s="464"/>
      <c r="E58" s="464"/>
      <c r="F58" s="464"/>
      <c r="G58" s="464"/>
      <c r="H58" s="464"/>
      <c r="I58" s="464"/>
      <c r="J58" s="464"/>
      <c r="K58" s="464"/>
      <c r="L58" s="464"/>
      <c r="M58" s="464"/>
      <c r="N58" s="464"/>
      <c r="O58" s="464"/>
      <c r="P58" s="464"/>
      <c r="Q58" s="464"/>
      <c r="R58" s="464"/>
      <c r="S58" s="464"/>
      <c r="T58" s="464"/>
      <c r="U58" s="464"/>
      <c r="V58" s="464"/>
      <c r="W58" s="464"/>
      <c r="X58" s="464"/>
      <c r="Y58" s="464"/>
      <c r="Z58" s="464"/>
      <c r="AA58" s="464"/>
      <c r="AB58" s="464"/>
      <c r="AC58" s="212"/>
      <c r="AD58" s="212"/>
      <c r="AE58" s="101"/>
      <c r="AF58" s="212"/>
    </row>
    <row r="59" spans="1:35" ht="14.25" customHeight="1">
      <c r="A59" s="18"/>
      <c r="B59" s="100"/>
      <c r="C59" s="93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12"/>
      <c r="AD59" s="212"/>
      <c r="AE59" s="101"/>
      <c r="AF59" s="212"/>
    </row>
    <row r="60" spans="1:35" ht="20.25">
      <c r="B60" s="453" t="s">
        <v>32</v>
      </c>
      <c r="C60" s="453"/>
      <c r="D60" s="453"/>
      <c r="E60" s="453"/>
      <c r="F60" s="453"/>
      <c r="G60" s="453"/>
      <c r="H60" s="453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Y60" s="453"/>
      <c r="Z60" s="453"/>
      <c r="AA60" s="453"/>
      <c r="AB60" s="453"/>
      <c r="AC60" s="214"/>
      <c r="AD60" s="214"/>
      <c r="AE60" s="214"/>
      <c r="AF60" s="214"/>
    </row>
    <row r="61" spans="1:35">
      <c r="B61" s="102"/>
      <c r="C61" s="469"/>
      <c r="D61" s="460"/>
      <c r="E61" s="469"/>
      <c r="F61" s="470"/>
      <c r="G61" s="469"/>
      <c r="H61" s="470"/>
      <c r="I61" s="469"/>
      <c r="J61" s="470"/>
      <c r="K61" s="469"/>
      <c r="L61" s="470"/>
      <c r="M61" s="469"/>
      <c r="N61" s="470"/>
      <c r="O61" s="469"/>
      <c r="P61" s="470"/>
      <c r="Q61" s="469"/>
      <c r="R61" s="470"/>
      <c r="S61" s="469"/>
      <c r="T61" s="470"/>
      <c r="U61" s="469"/>
      <c r="V61" s="470"/>
      <c r="W61" s="469"/>
      <c r="X61" s="470"/>
      <c r="Y61" s="469"/>
      <c r="Z61" s="470"/>
      <c r="AA61" s="469"/>
      <c r="AB61" s="470"/>
    </row>
    <row r="62" spans="1:35">
      <c r="B62" s="102">
        <f>B5</f>
        <v>1995</v>
      </c>
      <c r="C62" s="469" t="s">
        <v>4</v>
      </c>
      <c r="D62" s="460"/>
      <c r="E62" s="469" t="s">
        <v>5</v>
      </c>
      <c r="F62" s="470"/>
      <c r="G62" s="469" t="s">
        <v>6</v>
      </c>
      <c r="H62" s="470"/>
      <c r="I62" s="469" t="s">
        <v>7</v>
      </c>
      <c r="J62" s="470"/>
      <c r="K62" s="469" t="s">
        <v>8</v>
      </c>
      <c r="L62" s="470"/>
      <c r="M62" s="469" t="s">
        <v>9</v>
      </c>
      <c r="N62" s="470"/>
      <c r="O62" s="469" t="s">
        <v>10</v>
      </c>
      <c r="P62" s="470"/>
      <c r="Q62" s="471" t="s">
        <v>11</v>
      </c>
      <c r="R62" s="470"/>
      <c r="S62" s="471" t="s">
        <v>12</v>
      </c>
      <c r="T62" s="470"/>
      <c r="U62" s="469" t="s">
        <v>0</v>
      </c>
      <c r="V62" s="473"/>
      <c r="W62" s="469" t="s">
        <v>1</v>
      </c>
      <c r="X62" s="473"/>
      <c r="Y62" s="469" t="s">
        <v>2</v>
      </c>
      <c r="Z62" s="473"/>
      <c r="AA62" s="469" t="s">
        <v>102</v>
      </c>
      <c r="AB62" s="460"/>
    </row>
    <row r="63" spans="1:35">
      <c r="B63" s="102"/>
      <c r="C63" s="469"/>
      <c r="D63" s="460"/>
      <c r="E63" s="469"/>
      <c r="F63" s="460"/>
      <c r="G63" s="469"/>
      <c r="H63" s="460"/>
      <c r="I63" s="469"/>
      <c r="J63" s="460"/>
      <c r="K63" s="469"/>
      <c r="L63" s="460"/>
      <c r="M63" s="469"/>
      <c r="N63" s="460"/>
      <c r="O63" s="469"/>
      <c r="P63" s="460"/>
      <c r="Q63" s="469"/>
      <c r="R63" s="460"/>
      <c r="S63" s="469"/>
      <c r="T63" s="460"/>
      <c r="U63" s="469"/>
      <c r="V63" s="460"/>
      <c r="W63" s="469"/>
      <c r="X63" s="460"/>
      <c r="Y63" s="469"/>
      <c r="Z63" s="460"/>
      <c r="AA63" s="469"/>
      <c r="AB63" s="460"/>
    </row>
    <row r="64" spans="1:35" s="202" customFormat="1" ht="14.25">
      <c r="A64" s="44"/>
      <c r="B64" s="103" t="s">
        <v>24</v>
      </c>
      <c r="C64" s="72"/>
      <c r="D64" s="104">
        <v>2680.2150000000001</v>
      </c>
      <c r="E64" s="104"/>
      <c r="F64" s="104">
        <v>2647.355</v>
      </c>
      <c r="G64" s="104"/>
      <c r="H64" s="104">
        <v>2669.5070000000001</v>
      </c>
      <c r="I64" s="104"/>
      <c r="J64" s="104">
        <v>2668.4340000000002</v>
      </c>
      <c r="K64" s="104"/>
      <c r="L64" s="104">
        <v>2680.6039999999998</v>
      </c>
      <c r="M64" s="104"/>
      <c r="N64" s="104">
        <v>2699.3809999999999</v>
      </c>
      <c r="O64" s="104"/>
      <c r="P64" s="104">
        <v>2706.4140000000002</v>
      </c>
      <c r="Q64" s="104"/>
      <c r="R64" s="104">
        <v>2707.692</v>
      </c>
      <c r="S64" s="120"/>
      <c r="T64" s="104">
        <v>2738.66</v>
      </c>
      <c r="U64" s="120"/>
      <c r="V64" s="104">
        <v>1898.9780000000001</v>
      </c>
      <c r="W64" s="120"/>
      <c r="X64" s="104">
        <v>2555.799</v>
      </c>
      <c r="Y64" s="120"/>
      <c r="Z64" s="120">
        <v>2762.5149999999999</v>
      </c>
      <c r="AA64" s="104"/>
      <c r="AB64" s="104">
        <f>AVERAGE(D64:Z64)</f>
        <v>2617.9628333333326</v>
      </c>
      <c r="AC64" s="216"/>
      <c r="AD64" s="216"/>
      <c r="AE64" s="216"/>
      <c r="AF64" s="216"/>
      <c r="AG64" s="216"/>
      <c r="AH64" s="216"/>
      <c r="AI64" s="216"/>
    </row>
    <row r="65" spans="1:35" s="202" customFormat="1" ht="14.25">
      <c r="A65" s="44"/>
      <c r="B65" s="103" t="s">
        <v>39</v>
      </c>
      <c r="C65" s="72"/>
      <c r="D65" s="104">
        <v>3654.5210000000002</v>
      </c>
      <c r="E65" s="104"/>
      <c r="F65" s="104">
        <v>3580.3029999999999</v>
      </c>
      <c r="G65" s="104"/>
      <c r="H65" s="104">
        <v>3662.8710000000001</v>
      </c>
      <c r="I65" s="104"/>
      <c r="J65" s="104">
        <v>3668.03</v>
      </c>
      <c r="K65" s="104"/>
      <c r="L65" s="104">
        <v>3669.45</v>
      </c>
      <c r="M65" s="104"/>
      <c r="N65" s="104">
        <v>3717.373</v>
      </c>
      <c r="O65" s="104"/>
      <c r="P65" s="104">
        <v>3786.0920000000001</v>
      </c>
      <c r="Q65" s="104"/>
      <c r="R65" s="104">
        <v>3872.3119999999999</v>
      </c>
      <c r="S65" s="120"/>
      <c r="T65" s="104">
        <v>3981.444</v>
      </c>
      <c r="U65" s="120"/>
      <c r="V65" s="104">
        <v>3478.3389999999999</v>
      </c>
      <c r="W65" s="120"/>
      <c r="X65" s="104">
        <v>3950.4960000000001</v>
      </c>
      <c r="Y65" s="120"/>
      <c r="Z65" s="120">
        <v>4081.5479999999998</v>
      </c>
      <c r="AA65" s="104"/>
      <c r="AB65" s="104">
        <f t="shared" ref="AB65:AB76" si="0">AVERAGE(D65:Z65)</f>
        <v>3758.5649166666667</v>
      </c>
      <c r="AC65" s="216"/>
      <c r="AD65" s="216"/>
      <c r="AE65" s="216"/>
      <c r="AF65" s="216"/>
      <c r="AG65" s="216"/>
      <c r="AH65" s="216"/>
      <c r="AI65" s="216"/>
    </row>
    <row r="66" spans="1:35" s="202" customFormat="1" ht="14.25">
      <c r="A66" s="44"/>
      <c r="B66" s="103" t="s">
        <v>25</v>
      </c>
      <c r="C66" s="72"/>
      <c r="D66" s="104">
        <v>491.034628704</v>
      </c>
      <c r="E66" s="104"/>
      <c r="F66" s="104">
        <v>508.85147666130001</v>
      </c>
      <c r="G66" s="104"/>
      <c r="H66" s="104">
        <v>500.49374998489998</v>
      </c>
      <c r="I66" s="104"/>
      <c r="J66" s="104">
        <v>458.26327144200002</v>
      </c>
      <c r="K66" s="104"/>
      <c r="L66" s="104">
        <v>476.9756390622</v>
      </c>
      <c r="M66" s="104"/>
      <c r="N66" s="104">
        <v>477.76355238560001</v>
      </c>
      <c r="O66" s="104"/>
      <c r="P66" s="104">
        <v>456.17201176469996</v>
      </c>
      <c r="Q66" s="104"/>
      <c r="R66" s="104">
        <v>469.92136756920002</v>
      </c>
      <c r="S66" s="120"/>
      <c r="T66" s="104">
        <v>461.87914601529997</v>
      </c>
      <c r="U66" s="120"/>
      <c r="V66" s="104">
        <v>466.51339480280001</v>
      </c>
      <c r="W66" s="120"/>
      <c r="X66" s="104">
        <v>484.18107026939998</v>
      </c>
      <c r="Y66" s="120"/>
      <c r="Z66" s="120">
        <v>495.2046370713</v>
      </c>
      <c r="AA66" s="104"/>
      <c r="AB66" s="104">
        <f t="shared" si="0"/>
        <v>478.9378288110583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26</v>
      </c>
      <c r="C67" s="72"/>
      <c r="D67" s="104">
        <v>240.99995576859999</v>
      </c>
      <c r="E67" s="104"/>
      <c r="F67" s="104">
        <v>254.61224162459999</v>
      </c>
      <c r="G67" s="104"/>
      <c r="H67" s="104">
        <v>260.48384256219998</v>
      </c>
      <c r="I67" s="104"/>
      <c r="J67" s="104">
        <v>233.6143021277</v>
      </c>
      <c r="K67" s="104"/>
      <c r="L67" s="104">
        <v>253.13453358629999</v>
      </c>
      <c r="M67" s="104"/>
      <c r="N67" s="104">
        <v>252.41198706829999</v>
      </c>
      <c r="O67" s="104"/>
      <c r="P67" s="104">
        <v>227.67557827460001</v>
      </c>
      <c r="Q67" s="104"/>
      <c r="R67" s="104">
        <v>243.10991010060002</v>
      </c>
      <c r="S67" s="120"/>
      <c r="T67" s="104">
        <v>235.23621069929999</v>
      </c>
      <c r="U67" s="120"/>
      <c r="V67" s="104">
        <v>252.3552112271</v>
      </c>
      <c r="W67" s="120"/>
      <c r="X67" s="104">
        <v>261.435196367</v>
      </c>
      <c r="Y67" s="120"/>
      <c r="Z67" s="120">
        <v>249.45470423009999</v>
      </c>
      <c r="AA67" s="104"/>
      <c r="AB67" s="104">
        <f t="shared" si="0"/>
        <v>247.0436394697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27</v>
      </c>
      <c r="C68" s="72"/>
      <c r="D68" s="104">
        <v>477.4000391184</v>
      </c>
      <c r="E68" s="104"/>
      <c r="F68" s="104">
        <v>443.16972484899998</v>
      </c>
      <c r="G68" s="104"/>
      <c r="H68" s="104">
        <v>450.07420117729998</v>
      </c>
      <c r="I68" s="104"/>
      <c r="J68" s="104">
        <v>400.53245947279999</v>
      </c>
      <c r="K68" s="104"/>
      <c r="L68" s="104">
        <v>419.59584695780001</v>
      </c>
      <c r="M68" s="104"/>
      <c r="N68" s="104">
        <v>392.53260686340002</v>
      </c>
      <c r="O68" s="104"/>
      <c r="P68" s="104">
        <v>424.67521123519998</v>
      </c>
      <c r="Q68" s="104"/>
      <c r="R68" s="104">
        <v>353.2980648976</v>
      </c>
      <c r="S68" s="120"/>
      <c r="T68" s="104">
        <v>309.12945484350001</v>
      </c>
      <c r="U68" s="120"/>
      <c r="V68" s="104">
        <v>287.83865043169999</v>
      </c>
      <c r="W68" s="120"/>
      <c r="X68" s="104">
        <v>359.02675170449999</v>
      </c>
      <c r="Y68" s="120"/>
      <c r="Z68" s="120">
        <v>371.35840521950001</v>
      </c>
      <c r="AA68" s="104"/>
      <c r="AB68" s="104">
        <f t="shared" si="0"/>
        <v>390.71928473089162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28</v>
      </c>
      <c r="C69" s="72"/>
      <c r="D69" s="104">
        <v>288.57053680579997</v>
      </c>
      <c r="E69" s="104"/>
      <c r="F69" s="104">
        <v>272.86268109007398</v>
      </c>
      <c r="G69" s="104"/>
      <c r="H69" s="104">
        <v>266.999102027672</v>
      </c>
      <c r="I69" s="104"/>
      <c r="J69" s="104">
        <v>244.99708637878101</v>
      </c>
      <c r="K69" s="104"/>
      <c r="L69" s="104">
        <v>236.95540176524401</v>
      </c>
      <c r="M69" s="104"/>
      <c r="N69" s="104">
        <v>235.32766895680001</v>
      </c>
      <c r="O69" s="104"/>
      <c r="P69" s="104">
        <v>237.24733521370001</v>
      </c>
      <c r="Q69" s="104"/>
      <c r="R69" s="104">
        <v>240.80423410750001</v>
      </c>
      <c r="S69" s="120"/>
      <c r="T69" s="104">
        <v>249.30068990379999</v>
      </c>
      <c r="U69" s="120"/>
      <c r="V69" s="104">
        <v>246.57916782129999</v>
      </c>
      <c r="W69" s="120"/>
      <c r="X69" s="104">
        <v>274.96383996060001</v>
      </c>
      <c r="Y69" s="120"/>
      <c r="Z69" s="120">
        <v>278.20956273029998</v>
      </c>
      <c r="AA69" s="104"/>
      <c r="AB69" s="104">
        <f t="shared" si="0"/>
        <v>256.06810889679758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38</v>
      </c>
      <c r="C70" s="72"/>
      <c r="D70" s="104">
        <v>1527.93</v>
      </c>
      <c r="E70" s="104"/>
      <c r="F70" s="104">
        <v>1393.79</v>
      </c>
      <c r="G70" s="104"/>
      <c r="H70" s="104">
        <v>1474.47</v>
      </c>
      <c r="I70" s="104"/>
      <c r="J70" s="104">
        <v>1444.81</v>
      </c>
      <c r="K70" s="104"/>
      <c r="L70" s="104">
        <v>1469.27</v>
      </c>
      <c r="M70" s="104"/>
      <c r="N70" s="104">
        <v>1527.82</v>
      </c>
      <c r="O70" s="104"/>
      <c r="P70" s="104">
        <v>1534.71</v>
      </c>
      <c r="Q70" s="104"/>
      <c r="R70" s="104">
        <v>1453.11</v>
      </c>
      <c r="S70" s="120"/>
      <c r="T70" s="104">
        <v>1391.4</v>
      </c>
      <c r="U70" s="120"/>
      <c r="V70" s="104">
        <v>1396.18</v>
      </c>
      <c r="W70" s="120"/>
      <c r="X70" s="104">
        <v>1478.33</v>
      </c>
      <c r="Y70" s="120"/>
      <c r="Z70" s="120">
        <v>1467.71</v>
      </c>
      <c r="AA70" s="104"/>
      <c r="AB70" s="104">
        <f t="shared" si="0"/>
        <v>1463.2941666666666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103" t="s">
        <v>98</v>
      </c>
      <c r="C71" s="72"/>
      <c r="D71" s="104">
        <v>1248.8460322581</v>
      </c>
      <c r="E71" s="104"/>
      <c r="F71" s="104">
        <v>1280.4711785715001</v>
      </c>
      <c r="G71" s="104"/>
      <c r="H71" s="104">
        <v>1243.8624193547998</v>
      </c>
      <c r="I71" s="104"/>
      <c r="J71" s="104">
        <v>1214.5572000000002</v>
      </c>
      <c r="K71" s="104"/>
      <c r="L71" s="104">
        <v>1341.7576451612999</v>
      </c>
      <c r="M71" s="104"/>
      <c r="N71" s="104">
        <v>1346.3737666666</v>
      </c>
      <c r="O71" s="104"/>
      <c r="P71" s="104">
        <v>1440.3628387096001</v>
      </c>
      <c r="Q71" s="104"/>
      <c r="R71" s="105">
        <v>1506.2688064516999</v>
      </c>
      <c r="S71" s="120"/>
      <c r="T71" s="104">
        <v>1407.7429666666999</v>
      </c>
      <c r="U71" s="120"/>
      <c r="V71" s="104">
        <v>1095.5281935483999</v>
      </c>
      <c r="W71" s="120"/>
      <c r="X71" s="104">
        <v>1196.2448666667001</v>
      </c>
      <c r="Y71" s="120"/>
      <c r="Z71" s="120">
        <v>1339.2650322580998</v>
      </c>
      <c r="AA71" s="104"/>
      <c r="AB71" s="104">
        <f t="shared" si="0"/>
        <v>1305.106745526125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2.75" customHeight="1">
      <c r="A72" s="44"/>
      <c r="B72" s="103" t="s">
        <v>29</v>
      </c>
      <c r="C72" s="72"/>
      <c r="D72" s="106">
        <v>15.486298224157297</v>
      </c>
      <c r="E72" s="106"/>
      <c r="F72" s="106">
        <v>15.928110312528091</v>
      </c>
      <c r="G72" s="106"/>
      <c r="H72" s="106">
        <v>16.010966653167689</v>
      </c>
      <c r="I72" s="106"/>
      <c r="J72" s="106">
        <v>17.320854037184571</v>
      </c>
      <c r="K72" s="106"/>
      <c r="L72" s="106">
        <v>17.203032290065877</v>
      </c>
      <c r="M72" s="106"/>
      <c r="N72" s="106">
        <v>15.857611109122264</v>
      </c>
      <c r="O72" s="106"/>
      <c r="P72" s="106">
        <v>14.466733259041215</v>
      </c>
      <c r="Q72" s="106"/>
      <c r="R72" s="121">
        <v>14.838967837058989</v>
      </c>
      <c r="S72" s="122"/>
      <c r="T72" s="121">
        <v>14.959105865662135</v>
      </c>
      <c r="U72" s="122"/>
      <c r="V72" s="121">
        <v>14.822908273817777</v>
      </c>
      <c r="W72" s="122"/>
      <c r="X72" s="121">
        <v>15.311564446972824</v>
      </c>
      <c r="Y72" s="122"/>
      <c r="Z72" s="122">
        <v>16.401561195725293</v>
      </c>
      <c r="AA72" s="104"/>
      <c r="AB72" s="107">
        <f t="shared" si="0"/>
        <v>15.717309458708668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76</v>
      </c>
      <c r="C73" s="72"/>
      <c r="D73" s="106">
        <v>1.48</v>
      </c>
      <c r="E73" s="122"/>
      <c r="F73" s="106">
        <v>1.32</v>
      </c>
      <c r="G73" s="106"/>
      <c r="H73" s="106">
        <v>1.35</v>
      </c>
      <c r="I73" s="106"/>
      <c r="J73" s="106">
        <v>1.48</v>
      </c>
      <c r="K73" s="106"/>
      <c r="L73" s="106">
        <v>1.57</v>
      </c>
      <c r="M73" s="106"/>
      <c r="N73" s="106">
        <v>1.6</v>
      </c>
      <c r="O73" s="106"/>
      <c r="P73" s="106">
        <v>1.3983000000000001</v>
      </c>
      <c r="Q73" s="106"/>
      <c r="R73" s="106">
        <v>1.3232999999999999</v>
      </c>
      <c r="S73" s="106"/>
      <c r="T73" s="106">
        <v>1.53</v>
      </c>
      <c r="U73" s="106"/>
      <c r="V73" s="106">
        <v>1.65</v>
      </c>
      <c r="W73" s="106"/>
      <c r="X73" s="106">
        <v>2.0299999999999998</v>
      </c>
      <c r="Y73" s="106"/>
      <c r="Z73" s="122">
        <v>2.0699999999999998</v>
      </c>
      <c r="AA73" s="106"/>
      <c r="AB73" s="107">
        <f t="shared" si="0"/>
        <v>1.5668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4.25">
      <c r="A74" s="44"/>
      <c r="B74" s="103" t="s">
        <v>31</v>
      </c>
      <c r="C74" s="72"/>
      <c r="D74" s="108">
        <v>5.5133000000000001</v>
      </c>
      <c r="E74" s="108"/>
      <c r="F74" s="108">
        <v>5.6853999999999996</v>
      </c>
      <c r="G74" s="108"/>
      <c r="H74" s="108">
        <v>6.7019000000000002</v>
      </c>
      <c r="I74" s="108"/>
      <c r="J74" s="108">
        <v>6.2995999999999999</v>
      </c>
      <c r="K74" s="108"/>
      <c r="L74" s="108">
        <v>5.9626999999999999</v>
      </c>
      <c r="M74" s="108"/>
      <c r="N74" s="108">
        <v>6.2232000000000003</v>
      </c>
      <c r="O74" s="108"/>
      <c r="P74" s="108">
        <v>6.1394000000000002</v>
      </c>
      <c r="Q74" s="108"/>
      <c r="R74" s="108">
        <v>6.1909000000000001</v>
      </c>
      <c r="S74" s="123"/>
      <c r="T74" s="108">
        <v>6.3018000000000001</v>
      </c>
      <c r="U74" s="123"/>
      <c r="V74" s="108">
        <v>6.6910999999999996</v>
      </c>
      <c r="W74" s="123"/>
      <c r="X74" s="108">
        <v>7.6584000000000003</v>
      </c>
      <c r="Y74" s="123"/>
      <c r="Z74" s="123">
        <v>7.6597</v>
      </c>
      <c r="AA74" s="104"/>
      <c r="AB74" s="109">
        <f t="shared" si="0"/>
        <v>6.4189499999999988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103" t="s">
        <v>100</v>
      </c>
      <c r="C75" s="72"/>
      <c r="D75" s="104">
        <v>211.55311962708291</v>
      </c>
      <c r="E75" s="104"/>
      <c r="F75" s="104">
        <v>198.05988073576725</v>
      </c>
      <c r="G75" s="104"/>
      <c r="H75" s="104">
        <v>165.89016918794417</v>
      </c>
      <c r="I75" s="104"/>
      <c r="J75" s="104">
        <v>182.55563011112693</v>
      </c>
      <c r="K75" s="104"/>
      <c r="L75" s="104">
        <v>148.14363471547958</v>
      </c>
      <c r="M75" s="104"/>
      <c r="N75" s="104">
        <v>165.90858755716147</v>
      </c>
      <c r="O75" s="104"/>
      <c r="P75" s="104">
        <v>178.98415327179734</v>
      </c>
      <c r="Q75" s="104"/>
      <c r="R75" s="104">
        <v>136.86289249475396</v>
      </c>
      <c r="S75" s="104"/>
      <c r="T75" s="104">
        <v>130.50447671299219</v>
      </c>
      <c r="U75" s="120"/>
      <c r="V75" s="104">
        <v>157.17921426351049</v>
      </c>
      <c r="W75" s="120"/>
      <c r="X75" s="104">
        <v>154.81172191083979</v>
      </c>
      <c r="Y75" s="120"/>
      <c r="Z75" s="120">
        <v>152.0017297145352</v>
      </c>
      <c r="AA75" s="104"/>
      <c r="AB75" s="104">
        <f t="shared" si="0"/>
        <v>165.20460085858261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103" t="s">
        <v>70</v>
      </c>
      <c r="C76" s="72"/>
      <c r="D76" s="104">
        <v>4.5990000000000002</v>
      </c>
      <c r="E76" s="104"/>
      <c r="F76" s="104">
        <v>4.5730000000000004</v>
      </c>
      <c r="G76" s="104"/>
      <c r="H76" s="104">
        <v>7.2809999999999997</v>
      </c>
      <c r="I76" s="104"/>
      <c r="J76" s="104">
        <v>7.157</v>
      </c>
      <c r="K76" s="104"/>
      <c r="L76" s="104">
        <v>9.9789999999999992</v>
      </c>
      <c r="M76" s="104"/>
      <c r="N76" s="104">
        <v>4.6360000000000001</v>
      </c>
      <c r="O76" s="104"/>
      <c r="P76" s="104">
        <v>4.9180000000000001</v>
      </c>
      <c r="Q76" s="104"/>
      <c r="R76" s="104">
        <v>9.7260000000000009</v>
      </c>
      <c r="S76" s="104"/>
      <c r="T76" s="104">
        <v>6.907</v>
      </c>
      <c r="U76" s="120"/>
      <c r="V76" s="104">
        <v>12.952999999999999</v>
      </c>
      <c r="W76" s="120"/>
      <c r="X76" s="104">
        <v>4.8970000000000002</v>
      </c>
      <c r="Y76" s="120"/>
      <c r="Z76" s="120">
        <v>19.710999999999999</v>
      </c>
      <c r="AA76" s="104"/>
      <c r="AB76" s="104">
        <f t="shared" si="0"/>
        <v>8.1114166666666669</v>
      </c>
      <c r="AC76" s="216"/>
      <c r="AD76" s="216"/>
      <c r="AE76" s="216"/>
      <c r="AF76" s="216"/>
      <c r="AG76" s="216"/>
      <c r="AH76" s="216"/>
      <c r="AI76" s="216"/>
    </row>
    <row r="77" spans="1:35">
      <c r="B77" s="472" t="s">
        <v>101</v>
      </c>
      <c r="C77" s="472"/>
      <c r="D77" s="472"/>
      <c r="E77" s="472"/>
      <c r="F77" s="472"/>
      <c r="G77" s="472"/>
      <c r="H77" s="472"/>
      <c r="I77" s="472"/>
      <c r="J77" s="472"/>
      <c r="K77" s="472"/>
      <c r="L77" s="472"/>
      <c r="M77" s="472"/>
      <c r="N77" s="472"/>
      <c r="O77" s="472"/>
      <c r="P77" s="472"/>
      <c r="Q77" s="472"/>
      <c r="R77" s="472"/>
      <c r="S77" s="472"/>
      <c r="T77" s="472"/>
      <c r="U77" s="472"/>
      <c r="V77" s="472"/>
      <c r="W77" s="472"/>
      <c r="X77" s="472"/>
      <c r="Y77" s="472"/>
      <c r="Z77" s="472"/>
      <c r="AA77" s="472"/>
      <c r="AB77" s="472"/>
    </row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</sheetData>
  <mergeCells count="92">
    <mergeCell ref="B77:AB77"/>
    <mergeCell ref="AA63:AB63"/>
    <mergeCell ref="O63:P63"/>
    <mergeCell ref="Q63:R63"/>
    <mergeCell ref="O62:P62"/>
    <mergeCell ref="Y63:Z63"/>
    <mergeCell ref="Y62:Z62"/>
    <mergeCell ref="I62:J62"/>
    <mergeCell ref="W62:X62"/>
    <mergeCell ref="K63:L63"/>
    <mergeCell ref="U62:V62"/>
    <mergeCell ref="AA62:AB62"/>
    <mergeCell ref="G62:H62"/>
    <mergeCell ref="C62:D62"/>
    <mergeCell ref="K62:L62"/>
    <mergeCell ref="M62:N62"/>
    <mergeCell ref="B51:AB51"/>
    <mergeCell ref="C63:D63"/>
    <mergeCell ref="E63:F63"/>
    <mergeCell ref="G63:H63"/>
    <mergeCell ref="I63:J63"/>
    <mergeCell ref="S63:T63"/>
    <mergeCell ref="U63:V63"/>
    <mergeCell ref="S61:T61"/>
    <mergeCell ref="W63:X63"/>
    <mergeCell ref="M61:N61"/>
    <mergeCell ref="AA61:AB61"/>
    <mergeCell ref="Q62:R62"/>
    <mergeCell ref="S62:T62"/>
    <mergeCell ref="U61:V61"/>
    <mergeCell ref="M63:N63"/>
    <mergeCell ref="E62:F62"/>
    <mergeCell ref="I61:J61"/>
    <mergeCell ref="K61:L61"/>
    <mergeCell ref="Y61:Z61"/>
    <mergeCell ref="O61:P61"/>
    <mergeCell ref="B54:AB54"/>
    <mergeCell ref="C61:D61"/>
    <mergeCell ref="B57:AB57"/>
    <mergeCell ref="E61:F61"/>
    <mergeCell ref="G61:H61"/>
    <mergeCell ref="W61:X61"/>
    <mergeCell ref="B58:AB58"/>
    <mergeCell ref="Q61:R61"/>
    <mergeCell ref="B56:AB56"/>
    <mergeCell ref="B60:AB60"/>
    <mergeCell ref="B52:AB52"/>
    <mergeCell ref="E4:F4"/>
    <mergeCell ref="B49:AB49"/>
    <mergeCell ref="B50:AB50"/>
    <mergeCell ref="G4:H4"/>
    <mergeCell ref="C7:D7"/>
    <mergeCell ref="E7:F7"/>
    <mergeCell ref="M4:N4"/>
    <mergeCell ref="I4:J4"/>
    <mergeCell ref="Q4:R4"/>
    <mergeCell ref="M5:N5"/>
    <mergeCell ref="O7:P7"/>
    <mergeCell ref="O5:P5"/>
    <mergeCell ref="G7:H7"/>
    <mergeCell ref="B48:AB48"/>
    <mergeCell ref="B47:AB47"/>
    <mergeCell ref="B3:AB3"/>
    <mergeCell ref="M7:N7"/>
    <mergeCell ref="W5:X5"/>
    <mergeCell ref="Y5:Z5"/>
    <mergeCell ref="AA5:AB5"/>
    <mergeCell ref="U7:V7"/>
    <mergeCell ref="I7:J7"/>
    <mergeCell ref="Q7:R7"/>
    <mergeCell ref="W4:X4"/>
    <mergeCell ref="W7:X7"/>
    <mergeCell ref="Y7:Z7"/>
    <mergeCell ref="AA7:AB7"/>
    <mergeCell ref="S7:T7"/>
    <mergeCell ref="K7:L7"/>
    <mergeCell ref="B2:AB2"/>
    <mergeCell ref="S5:T5"/>
    <mergeCell ref="U5:V5"/>
    <mergeCell ref="C5:D5"/>
    <mergeCell ref="E5:F5"/>
    <mergeCell ref="G5:H5"/>
    <mergeCell ref="I5:J5"/>
    <mergeCell ref="K5:L5"/>
    <mergeCell ref="C4:D4"/>
    <mergeCell ref="Q5:R5"/>
    <mergeCell ref="K4:L4"/>
    <mergeCell ref="O4:P4"/>
    <mergeCell ref="S4:T4"/>
    <mergeCell ref="U4:V4"/>
    <mergeCell ref="Y4:Z4"/>
    <mergeCell ref="AA4:AB4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60" orientation="landscape" r:id="rId1"/>
  <headerFooter alignWithMargins="0"/>
  <ignoredErrors>
    <ignoredError sqref="AB2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1"/>
  <sheetViews>
    <sheetView showGridLines="0" topLeftCell="A58" zoomScale="75" zoomScaleNormal="75" workbookViewId="0">
      <selection activeCell="AC17" sqref="AC17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53" t="s">
        <v>43</v>
      </c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453"/>
      <c r="Y2" s="453"/>
      <c r="Z2" s="453"/>
      <c r="AA2" s="453"/>
      <c r="AB2" s="453"/>
      <c r="AC2" s="214"/>
      <c r="AD2" s="214"/>
      <c r="AE2" s="214"/>
      <c r="AF2" s="214"/>
    </row>
    <row r="3" spans="1:35" ht="15.75" customHeight="1" thickBot="1">
      <c r="B3" s="459" t="s">
        <v>57</v>
      </c>
      <c r="C3" s="459"/>
      <c r="D3" s="459"/>
      <c r="E3" s="459"/>
      <c r="F3" s="459"/>
      <c r="G3" s="459"/>
      <c r="H3" s="459"/>
      <c r="I3" s="459"/>
      <c r="J3" s="459"/>
      <c r="K3" s="459"/>
      <c r="L3" s="459"/>
      <c r="M3" s="459"/>
      <c r="N3" s="459"/>
      <c r="O3" s="459"/>
      <c r="P3" s="459"/>
      <c r="Q3" s="459"/>
      <c r="R3" s="459"/>
      <c r="S3" s="459"/>
      <c r="T3" s="459"/>
      <c r="U3" s="459"/>
      <c r="V3" s="459"/>
      <c r="W3" s="459"/>
      <c r="X3" s="459"/>
      <c r="Y3" s="459"/>
      <c r="Z3" s="459"/>
      <c r="AA3" s="459"/>
      <c r="AB3" s="459"/>
      <c r="AC3" s="215"/>
      <c r="AD3" s="215"/>
      <c r="AE3" s="215"/>
      <c r="AF3" s="215"/>
    </row>
    <row r="4" spans="1:35">
      <c r="B4" s="63"/>
      <c r="C4" s="456"/>
      <c r="D4" s="457"/>
      <c r="E4" s="456"/>
      <c r="F4" s="463"/>
      <c r="G4" s="456"/>
      <c r="H4" s="463"/>
      <c r="I4" s="456"/>
      <c r="J4" s="463"/>
      <c r="K4" s="456"/>
      <c r="L4" s="463"/>
      <c r="M4" s="456"/>
      <c r="N4" s="463"/>
      <c r="O4" s="456"/>
      <c r="P4" s="463"/>
      <c r="Q4" s="456"/>
      <c r="R4" s="463"/>
      <c r="S4" s="456"/>
      <c r="T4" s="463"/>
      <c r="U4" s="456"/>
      <c r="V4" s="462"/>
      <c r="W4" s="456"/>
      <c r="X4" s="462"/>
      <c r="Y4" s="456"/>
      <c r="Z4" s="462"/>
      <c r="AA4" s="456"/>
      <c r="AB4" s="462"/>
    </row>
    <row r="5" spans="1:35">
      <c r="B5" s="64">
        <v>1996</v>
      </c>
      <c r="C5" s="454" t="s">
        <v>4</v>
      </c>
      <c r="D5" s="460"/>
      <c r="E5" s="454" t="s">
        <v>5</v>
      </c>
      <c r="F5" s="455"/>
      <c r="G5" s="454" t="s">
        <v>6</v>
      </c>
      <c r="H5" s="455"/>
      <c r="I5" s="454" t="s">
        <v>7</v>
      </c>
      <c r="J5" s="455"/>
      <c r="K5" s="454" t="s">
        <v>8</v>
      </c>
      <c r="L5" s="455"/>
      <c r="M5" s="454" t="s">
        <v>9</v>
      </c>
      <c r="N5" s="455"/>
      <c r="O5" s="454" t="s">
        <v>10</v>
      </c>
      <c r="P5" s="455"/>
      <c r="Q5" s="458" t="s">
        <v>11</v>
      </c>
      <c r="R5" s="455"/>
      <c r="S5" s="458" t="s">
        <v>12</v>
      </c>
      <c r="T5" s="455"/>
      <c r="U5" s="454" t="s">
        <v>0</v>
      </c>
      <c r="V5" s="461"/>
      <c r="W5" s="454" t="s">
        <v>1</v>
      </c>
      <c r="X5" s="461"/>
      <c r="Y5" s="454" t="s">
        <v>2</v>
      </c>
      <c r="Z5" s="461"/>
      <c r="AA5" s="454" t="s">
        <v>15</v>
      </c>
      <c r="AB5" s="46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5"/>
      <c r="D7" s="468"/>
      <c r="E7" s="465"/>
      <c r="F7" s="466"/>
      <c r="G7" s="465"/>
      <c r="H7" s="466"/>
      <c r="I7" s="465"/>
      <c r="J7" s="466"/>
      <c r="K7" s="465"/>
      <c r="L7" s="466"/>
      <c r="M7" s="465"/>
      <c r="N7" s="466"/>
      <c r="O7" s="465"/>
      <c r="P7" s="466"/>
      <c r="Q7" s="465"/>
      <c r="R7" s="466"/>
      <c r="S7" s="465"/>
      <c r="T7" s="466"/>
      <c r="U7" s="465"/>
      <c r="V7" s="467"/>
      <c r="W7" s="465"/>
      <c r="X7" s="467"/>
      <c r="Y7" s="465"/>
      <c r="Z7" s="467"/>
      <c r="AA7" s="465"/>
      <c r="AB7" s="467"/>
    </row>
    <row r="8" spans="1:35" s="202" customFormat="1" ht="14.25" customHeight="1">
      <c r="A8" s="44"/>
      <c r="B8" s="71" t="s">
        <v>16</v>
      </c>
      <c r="C8" s="72"/>
      <c r="D8" s="41">
        <f>D9+D12</f>
        <v>17254.468144703915</v>
      </c>
      <c r="E8" s="42"/>
      <c r="F8" s="41">
        <f>F9+F12</f>
        <v>16233.146393164781</v>
      </c>
      <c r="G8" s="41"/>
      <c r="H8" s="41">
        <f>H9+H12</f>
        <v>16896.189760298261</v>
      </c>
      <c r="I8" s="41"/>
      <c r="J8" s="41">
        <f>J9+J12</f>
        <v>18954.36023311087</v>
      </c>
      <c r="K8" s="41"/>
      <c r="L8" s="41">
        <f>L9+L12</f>
        <v>21136.28091949</v>
      </c>
      <c r="M8" s="41"/>
      <c r="N8" s="41">
        <f>N9+N12</f>
        <v>18248.11686826</v>
      </c>
      <c r="O8" s="41"/>
      <c r="P8" s="41">
        <f>P9+P12</f>
        <v>22127.350119909996</v>
      </c>
      <c r="Q8" s="41"/>
      <c r="R8" s="41">
        <f>R9+R12</f>
        <v>19182.468251420003</v>
      </c>
      <c r="S8" s="41"/>
      <c r="T8" s="41">
        <f>T9+T12</f>
        <v>20044.07327348</v>
      </c>
      <c r="U8" s="41"/>
      <c r="V8" s="41">
        <f>V9+V12</f>
        <v>23702.34529723</v>
      </c>
      <c r="W8" s="41"/>
      <c r="X8" s="41">
        <f>X9+X12</f>
        <v>22406.08046945</v>
      </c>
      <c r="Y8" s="41"/>
      <c r="Z8" s="41">
        <f>Z9+Z12</f>
        <v>24430.112540729999</v>
      </c>
      <c r="AA8" s="73"/>
      <c r="AB8" s="73">
        <f>AB9+AB12</f>
        <v>240614.99227124781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16884.909474173914</v>
      </c>
      <c r="E9" s="42"/>
      <c r="F9" s="42">
        <f>+F10+F11</f>
        <v>15734.531724984781</v>
      </c>
      <c r="G9" s="42"/>
      <c r="H9" s="42">
        <f>+H10+H11</f>
        <v>16581.250896308262</v>
      </c>
      <c r="I9" s="42"/>
      <c r="J9" s="42">
        <f>+J10+J11</f>
        <v>18564.38779643087</v>
      </c>
      <c r="K9" s="42"/>
      <c r="L9" s="42">
        <f>+L10+L11</f>
        <v>20645.678458999999</v>
      </c>
      <c r="M9" s="42"/>
      <c r="N9" s="42">
        <f>+N10+N11</f>
        <v>17688.040119720001</v>
      </c>
      <c r="O9" s="42"/>
      <c r="P9" s="42">
        <f>+P10+P11</f>
        <v>21326.654589109996</v>
      </c>
      <c r="Q9" s="42"/>
      <c r="R9" s="42">
        <f>+R10+R11</f>
        <v>18566.433290190002</v>
      </c>
      <c r="S9" s="42"/>
      <c r="T9" s="42">
        <f>+T10+T11</f>
        <v>19372.423865000001</v>
      </c>
      <c r="U9" s="42"/>
      <c r="V9" s="42">
        <f>+V10+V11</f>
        <v>22432.46313158</v>
      </c>
      <c r="W9" s="42"/>
      <c r="X9" s="42">
        <f>+X10+X11</f>
        <v>21771.225688999999</v>
      </c>
      <c r="Y9" s="42"/>
      <c r="Z9" s="42">
        <f>+Z10+Z11</f>
        <v>24213.461091429999</v>
      </c>
      <c r="AA9" s="75"/>
      <c r="AB9" s="75">
        <f>+AB10+AB11</f>
        <v>233781.46012692782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194" t="s">
        <v>77</v>
      </c>
      <c r="C10" s="72"/>
      <c r="D10" s="42">
        <v>5949.8140519999997</v>
      </c>
      <c r="E10" s="42"/>
      <c r="F10" s="42">
        <v>5246.9116745499996</v>
      </c>
      <c r="G10" s="42"/>
      <c r="H10" s="42">
        <v>5823.0191028299996</v>
      </c>
      <c r="I10" s="42"/>
      <c r="J10" s="42">
        <v>6899.7185181700006</v>
      </c>
      <c r="K10" s="42"/>
      <c r="L10" s="42">
        <v>7693.1326790000003</v>
      </c>
      <c r="M10" s="42"/>
      <c r="N10" s="42">
        <v>6194.5867597200004</v>
      </c>
      <c r="O10" s="42"/>
      <c r="P10" s="42">
        <v>8273.7536280000004</v>
      </c>
      <c r="Q10" s="42"/>
      <c r="R10" s="42">
        <v>6266.3819301899994</v>
      </c>
      <c r="S10" s="42"/>
      <c r="T10" s="42">
        <v>6996.5035550000002</v>
      </c>
      <c r="U10" s="42"/>
      <c r="V10" s="42">
        <v>8888.2867515800008</v>
      </c>
      <c r="W10" s="42"/>
      <c r="X10" s="42">
        <v>8753.7615389999992</v>
      </c>
      <c r="Y10" s="42"/>
      <c r="Z10" s="42">
        <v>8953.6471384299984</v>
      </c>
      <c r="AA10" s="75"/>
      <c r="AB10" s="75">
        <f>SUM(D10:Z10)</f>
        <v>85939.517328469985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194" t="s">
        <v>78</v>
      </c>
      <c r="C11" s="72"/>
      <c r="D11" s="42">
        <v>10935.095422173914</v>
      </c>
      <c r="E11" s="42"/>
      <c r="F11" s="42">
        <v>10487.620050434782</v>
      </c>
      <c r="G11" s="42"/>
      <c r="H11" s="42">
        <v>10758.231793478262</v>
      </c>
      <c r="I11" s="42"/>
      <c r="J11" s="42">
        <v>11664.66927826087</v>
      </c>
      <c r="K11" s="42"/>
      <c r="L11" s="42">
        <v>12952.545779999999</v>
      </c>
      <c r="M11" s="42"/>
      <c r="N11" s="42">
        <v>11493.45336</v>
      </c>
      <c r="O11" s="42"/>
      <c r="P11" s="42">
        <v>13052.900961109997</v>
      </c>
      <c r="Q11" s="42"/>
      <c r="R11" s="42">
        <v>12300.051360000001</v>
      </c>
      <c r="S11" s="42"/>
      <c r="T11" s="42">
        <v>12375.920310000001</v>
      </c>
      <c r="U11" s="42"/>
      <c r="V11" s="42">
        <v>13544.176379999999</v>
      </c>
      <c r="W11" s="42"/>
      <c r="X11" s="42">
        <v>13017.46415</v>
      </c>
      <c r="Y11" s="42"/>
      <c r="Z11" s="42">
        <v>15259.813953000001</v>
      </c>
      <c r="AA11" s="77"/>
      <c r="AB11" s="75">
        <f>SUM(D11:Z11)</f>
        <v>147841.94279845784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206" t="s">
        <v>79</v>
      </c>
      <c r="C12" s="72"/>
      <c r="D12" s="42">
        <v>369.55867053000003</v>
      </c>
      <c r="E12" s="42"/>
      <c r="F12" s="42">
        <v>498.61466818000002</v>
      </c>
      <c r="G12" s="42"/>
      <c r="H12" s="42">
        <v>314.9388639899999</v>
      </c>
      <c r="I12" s="42"/>
      <c r="J12" s="42">
        <v>389.97243668000004</v>
      </c>
      <c r="K12" s="42"/>
      <c r="L12" s="42">
        <v>490.60246048999994</v>
      </c>
      <c r="M12" s="42"/>
      <c r="N12" s="42">
        <v>560.07674854000004</v>
      </c>
      <c r="O12" s="42"/>
      <c r="P12" s="42">
        <v>800.69553079999991</v>
      </c>
      <c r="Q12" s="42"/>
      <c r="R12" s="42">
        <v>616.03496123000002</v>
      </c>
      <c r="S12" s="42"/>
      <c r="T12" s="42">
        <v>671.64940848000003</v>
      </c>
      <c r="U12" s="42"/>
      <c r="V12" s="42">
        <v>1269.8821656499999</v>
      </c>
      <c r="W12" s="42"/>
      <c r="X12" s="42">
        <v>634.85478045000013</v>
      </c>
      <c r="Y12" s="42"/>
      <c r="Z12" s="42">
        <v>216.65144929999997</v>
      </c>
      <c r="AA12" s="75"/>
      <c r="AB12" s="75">
        <f>SUM(D12:Z12)</f>
        <v>6833.532144320001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80</v>
      </c>
      <c r="C14" s="82"/>
      <c r="D14" s="45">
        <f>+D15+D16+D17</f>
        <v>1592.18004</v>
      </c>
      <c r="E14" s="45"/>
      <c r="F14" s="45">
        <f>+F15+F16+F17</f>
        <v>1616.0370700000003</v>
      </c>
      <c r="G14" s="45"/>
      <c r="H14" s="45">
        <f>+H15+H16+H17</f>
        <v>1613.45397</v>
      </c>
      <c r="I14" s="45"/>
      <c r="J14" s="45">
        <f>+J15+J16+J17</f>
        <v>1890.7091600000001</v>
      </c>
      <c r="K14" s="45"/>
      <c r="L14" s="45">
        <f>+L15+L16+L17</f>
        <v>1806.7050999999999</v>
      </c>
      <c r="M14" s="45"/>
      <c r="N14" s="45">
        <f>+N15+N16+N17</f>
        <v>1580.768</v>
      </c>
      <c r="O14" s="45"/>
      <c r="P14" s="45">
        <f>+P15+P16+P17</f>
        <v>1876.0370245799995</v>
      </c>
      <c r="Q14" s="45"/>
      <c r="R14" s="45">
        <f>+R15+R16+R17</f>
        <v>2008.0049639999993</v>
      </c>
      <c r="S14" s="45"/>
      <c r="T14" s="45">
        <f>+T15+T16+T17</f>
        <v>1989.2066395700003</v>
      </c>
      <c r="U14" s="45"/>
      <c r="V14" s="45">
        <f>+V15+V16+V17</f>
        <v>2064.8136360999997</v>
      </c>
      <c r="W14" s="45"/>
      <c r="X14" s="45">
        <f>+X15+X16+X17</f>
        <v>3481.0588419999985</v>
      </c>
      <c r="Y14" s="45"/>
      <c r="Z14" s="45">
        <f>+Z15+Z16+Z17</f>
        <v>3943.1235102299997</v>
      </c>
      <c r="AA14" s="83"/>
      <c r="AB14" s="83">
        <f>+AB15+AB16+AB17</f>
        <v>25462.09795648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336.92975000000001</v>
      </c>
      <c r="E15" s="42"/>
      <c r="F15" s="42">
        <v>361.73896000000002</v>
      </c>
      <c r="G15" s="42"/>
      <c r="H15" s="42">
        <v>367.40316000000001</v>
      </c>
      <c r="I15" s="42"/>
      <c r="J15" s="42">
        <v>441.02359999999999</v>
      </c>
      <c r="K15" s="42"/>
      <c r="L15" s="42">
        <v>383.42788000000002</v>
      </c>
      <c r="M15" s="42"/>
      <c r="N15" s="42">
        <v>331.88477</v>
      </c>
      <c r="O15" s="42"/>
      <c r="P15" s="42">
        <v>416.19709999999998</v>
      </c>
      <c r="Q15" s="42"/>
      <c r="R15" s="42">
        <v>431.47676000000001</v>
      </c>
      <c r="S15" s="42"/>
      <c r="T15" s="42">
        <v>478.66399999999999</v>
      </c>
      <c r="U15" s="42"/>
      <c r="V15" s="42">
        <v>560.46694400000001</v>
      </c>
      <c r="W15" s="42"/>
      <c r="X15" s="42">
        <v>1767.0241575999996</v>
      </c>
      <c r="Y15" s="42"/>
      <c r="Z15" s="42">
        <v>1600.3159643999998</v>
      </c>
      <c r="AA15" s="75"/>
      <c r="AB15" s="75">
        <f>SUM(D15:Z15)</f>
        <v>7476.5530459999991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239.90745999999999</v>
      </c>
      <c r="E16" s="42"/>
      <c r="F16" s="42">
        <v>225.09809000000001</v>
      </c>
      <c r="G16" s="42"/>
      <c r="H16" s="42">
        <v>225.12052</v>
      </c>
      <c r="I16" s="42"/>
      <c r="J16" s="42">
        <v>197.06618</v>
      </c>
      <c r="K16" s="42"/>
      <c r="L16" s="42">
        <v>377.55257</v>
      </c>
      <c r="M16" s="42"/>
      <c r="N16" s="42">
        <v>219.18343999999999</v>
      </c>
      <c r="O16" s="42"/>
      <c r="P16" s="42">
        <v>268.29409999999996</v>
      </c>
      <c r="Q16" s="42"/>
      <c r="R16" s="42">
        <v>532.29350999999997</v>
      </c>
      <c r="S16" s="42"/>
      <c r="T16" s="42">
        <v>319.8039</v>
      </c>
      <c r="U16" s="42"/>
      <c r="V16" s="42">
        <v>380.69913445999998</v>
      </c>
      <c r="W16" s="42"/>
      <c r="X16" s="42">
        <v>330.70320407999998</v>
      </c>
      <c r="Y16" s="42"/>
      <c r="Z16" s="42">
        <v>382.03052100000008</v>
      </c>
      <c r="AA16" s="75"/>
      <c r="AB16" s="75">
        <f>SUM(D16:Z16)</f>
        <v>3697.7526295400003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206" t="s">
        <v>81</v>
      </c>
      <c r="C17" s="72"/>
      <c r="D17" s="42">
        <v>1015.3428299999999</v>
      </c>
      <c r="E17" s="42"/>
      <c r="F17" s="42">
        <v>1029.2000200000002</v>
      </c>
      <c r="G17" s="42"/>
      <c r="H17" s="42">
        <v>1020.93029</v>
      </c>
      <c r="I17" s="42"/>
      <c r="J17" s="42">
        <v>1252.6193800000001</v>
      </c>
      <c r="K17" s="42"/>
      <c r="L17" s="42">
        <v>1045.7246499999999</v>
      </c>
      <c r="M17" s="42"/>
      <c r="N17" s="42">
        <v>1029.6997899999999</v>
      </c>
      <c r="O17" s="42"/>
      <c r="P17" s="42">
        <v>1191.5458245799996</v>
      </c>
      <c r="Q17" s="42"/>
      <c r="R17" s="42">
        <v>1044.2346939999993</v>
      </c>
      <c r="S17" s="42"/>
      <c r="T17" s="42">
        <v>1190.7387395700002</v>
      </c>
      <c r="U17" s="42"/>
      <c r="V17" s="42">
        <v>1123.6475576399998</v>
      </c>
      <c r="W17" s="42"/>
      <c r="X17" s="42">
        <v>1383.3314803199994</v>
      </c>
      <c r="Y17" s="42"/>
      <c r="Z17" s="42">
        <v>1960.7770248299998</v>
      </c>
      <c r="AA17" s="75"/>
      <c r="AB17" s="75">
        <f>SUM(D17:Z17)</f>
        <v>14287.792280939999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157.353317</v>
      </c>
      <c r="E19" s="42"/>
      <c r="F19" s="42">
        <v>208.54581939999997</v>
      </c>
      <c r="G19" s="42"/>
      <c r="H19" s="42">
        <v>70.503212709999914</v>
      </c>
      <c r="I19" s="42"/>
      <c r="J19" s="42">
        <v>283.41842475999977</v>
      </c>
      <c r="K19" s="42"/>
      <c r="L19" s="42">
        <v>-1237.3686027700001</v>
      </c>
      <c r="M19" s="42"/>
      <c r="N19" s="42">
        <v>-166.95546101999994</v>
      </c>
      <c r="O19" s="42"/>
      <c r="P19" s="42">
        <v>1109.8974409800001</v>
      </c>
      <c r="Q19" s="42"/>
      <c r="R19" s="42">
        <v>-73.257187310000063</v>
      </c>
      <c r="S19" s="42"/>
      <c r="T19" s="42">
        <v>-847.76732600999992</v>
      </c>
      <c r="U19" s="42"/>
      <c r="V19" s="42">
        <v>963.10696051000014</v>
      </c>
      <c r="W19" s="42"/>
      <c r="X19" s="42">
        <v>417.68273500000049</v>
      </c>
      <c r="Y19" s="42"/>
      <c r="Z19" s="42">
        <v>1444.4828965899997</v>
      </c>
      <c r="AA19" s="42"/>
      <c r="AB19" s="124">
        <f>SUM(D19:Z19)</f>
        <v>2329.6422298400003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228" t="s">
        <v>82</v>
      </c>
      <c r="C21" s="72"/>
      <c r="D21" s="42">
        <v>715.26159999999993</v>
      </c>
      <c r="E21" s="42"/>
      <c r="F21" s="42">
        <v>840.26049999999998</v>
      </c>
      <c r="G21" s="42"/>
      <c r="H21" s="42">
        <v>856.77769999999998</v>
      </c>
      <c r="I21" s="42"/>
      <c r="J21" s="42">
        <v>856.70480000000009</v>
      </c>
      <c r="K21" s="42"/>
      <c r="L21" s="42">
        <v>761.01781999999992</v>
      </c>
      <c r="M21" s="42"/>
      <c r="N21" s="42">
        <v>762.79585999999995</v>
      </c>
      <c r="O21" s="42"/>
      <c r="P21" s="42">
        <v>966.91339000000005</v>
      </c>
      <c r="Q21" s="42"/>
      <c r="R21" s="42">
        <v>1188.6046000000001</v>
      </c>
      <c r="S21" s="42"/>
      <c r="T21" s="42">
        <v>1006.1737800000001</v>
      </c>
      <c r="U21" s="42"/>
      <c r="V21" s="42">
        <v>1300.08341</v>
      </c>
      <c r="W21" s="42"/>
      <c r="X21" s="42">
        <v>1123.9578799999999</v>
      </c>
      <c r="Y21" s="42"/>
      <c r="Z21" s="42">
        <v>1790.73568</v>
      </c>
      <c r="AA21" s="42"/>
      <c r="AB21" s="75">
        <f>SUM(D21:Z21)</f>
        <v>12169.28702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83</v>
      </c>
      <c r="C23" s="82"/>
      <c r="D23" s="45">
        <f>D8-D14-D19-D21</f>
        <v>14789.673187703916</v>
      </c>
      <c r="E23" s="45"/>
      <c r="F23" s="45">
        <f>F8-F14-F19-F21</f>
        <v>13568.30300376478</v>
      </c>
      <c r="G23" s="45"/>
      <c r="H23" s="45">
        <f>H8-H14-H19-H21</f>
        <v>14355.454877588259</v>
      </c>
      <c r="I23" s="45"/>
      <c r="J23" s="45">
        <f>J8-J14-J19-J21</f>
        <v>15923.527848350874</v>
      </c>
      <c r="K23" s="45"/>
      <c r="L23" s="45">
        <f>L8-L14-L19-L21</f>
        <v>19805.926602259999</v>
      </c>
      <c r="M23" s="45"/>
      <c r="N23" s="45">
        <f>N8-N14-N19-N21</f>
        <v>16071.508469279999</v>
      </c>
      <c r="O23" s="45"/>
      <c r="P23" s="45">
        <f>P8-P14-P19-P21</f>
        <v>18174.502264349994</v>
      </c>
      <c r="Q23" s="45"/>
      <c r="R23" s="45">
        <f>R8-R14-R19-R21</f>
        <v>16059.115874730001</v>
      </c>
      <c r="S23" s="45"/>
      <c r="T23" s="45">
        <f>T8-T14-T19-T21</f>
        <v>17896.460179919999</v>
      </c>
      <c r="U23" s="45"/>
      <c r="V23" s="45">
        <f>V8-V14-V19-V21</f>
        <v>19374.341290620003</v>
      </c>
      <c r="W23" s="45"/>
      <c r="X23" s="45">
        <f>X8-X14-X19-X21</f>
        <v>17383.381012450001</v>
      </c>
      <c r="Y23" s="45"/>
      <c r="Z23" s="45">
        <f>Z8-Z14-Z19-Z21</f>
        <v>17251.770453909998</v>
      </c>
      <c r="AA23" s="45"/>
      <c r="AB23" s="83">
        <f>AB8-AB14-AB19-AB21</f>
        <v>200653.96506492782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84</v>
      </c>
      <c r="C25" s="82"/>
      <c r="D25" s="45">
        <f>+D27+D26</f>
        <v>1551.18362</v>
      </c>
      <c r="E25" s="82"/>
      <c r="F25" s="45">
        <f>+F27+F26</f>
        <v>1242.40041</v>
      </c>
      <c r="G25" s="82"/>
      <c r="H25" s="45">
        <f>+H27+H26</f>
        <v>1435.52835</v>
      </c>
      <c r="I25" s="82"/>
      <c r="J25" s="45">
        <f>+J27+J26</f>
        <v>1346.31024</v>
      </c>
      <c r="K25" s="82"/>
      <c r="L25" s="45">
        <f>+L27+L26</f>
        <v>1506.9423899999999</v>
      </c>
      <c r="M25" s="82"/>
      <c r="N25" s="45">
        <f>+N27+N26</f>
        <v>1237.6430499999999</v>
      </c>
      <c r="O25" s="82"/>
      <c r="P25" s="45">
        <f>+P27+P26</f>
        <v>1595.559</v>
      </c>
      <c r="Q25" s="82"/>
      <c r="R25" s="45">
        <f>+R27+R26</f>
        <v>2092.02387</v>
      </c>
      <c r="S25" s="82"/>
      <c r="T25" s="45">
        <f>+T27+T26</f>
        <v>2042.3142082999998</v>
      </c>
      <c r="U25" s="82"/>
      <c r="V25" s="45">
        <f>+V27+V26</f>
        <v>2582.6396886299985</v>
      </c>
      <c r="W25" s="82"/>
      <c r="X25" s="45">
        <f>+X27+X26</f>
        <v>2429.7409032399996</v>
      </c>
      <c r="Y25" s="82"/>
      <c r="Z25" s="45">
        <f>+Z27+Z26</f>
        <v>12975.25389908</v>
      </c>
      <c r="AA25" s="82"/>
      <c r="AB25" s="45">
        <f>+AB27+AB26</f>
        <v>32037.539629249997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206" t="s">
        <v>86</v>
      </c>
      <c r="C26" s="72"/>
      <c r="D26" s="42">
        <v>0</v>
      </c>
      <c r="E26" s="42"/>
      <c r="F26" s="42">
        <v>0</v>
      </c>
      <c r="G26" s="42"/>
      <c r="H26" s="42">
        <v>0</v>
      </c>
      <c r="I26" s="42"/>
      <c r="J26" s="42">
        <v>0</v>
      </c>
      <c r="K26" s="42"/>
      <c r="L26" s="42">
        <v>0</v>
      </c>
      <c r="M26" s="42"/>
      <c r="N26" s="42">
        <v>0</v>
      </c>
      <c r="O26" s="42"/>
      <c r="P26" s="42">
        <v>0</v>
      </c>
      <c r="Q26" s="77"/>
      <c r="R26" s="42">
        <v>0</v>
      </c>
      <c r="S26" s="42"/>
      <c r="T26" s="42">
        <v>0</v>
      </c>
      <c r="U26" s="42"/>
      <c r="V26" s="42">
        <v>0</v>
      </c>
      <c r="W26" s="42"/>
      <c r="X26" s="42">
        <v>0</v>
      </c>
      <c r="Y26" s="42"/>
      <c r="Z26" s="42">
        <v>0</v>
      </c>
      <c r="AA26" s="42"/>
      <c r="AB26" s="42">
        <f>SUM(D26:Z26)</f>
        <v>0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1551.18362</v>
      </c>
      <c r="E27" s="42"/>
      <c r="F27" s="42">
        <f>+F28+F29</f>
        <v>1242.40041</v>
      </c>
      <c r="G27" s="42"/>
      <c r="H27" s="42">
        <f>+H28+H29</f>
        <v>1435.52835</v>
      </c>
      <c r="I27" s="42"/>
      <c r="J27" s="42">
        <f>+J28+J29</f>
        <v>1346.31024</v>
      </c>
      <c r="K27" s="42"/>
      <c r="L27" s="42">
        <f>+L28+L29</f>
        <v>1506.9423899999999</v>
      </c>
      <c r="M27" s="42"/>
      <c r="N27" s="42">
        <f>+N28+N29</f>
        <v>1237.6430499999999</v>
      </c>
      <c r="O27" s="42"/>
      <c r="P27" s="42">
        <f>+P28+P29</f>
        <v>1595.559</v>
      </c>
      <c r="Q27" s="42"/>
      <c r="R27" s="42">
        <f>+R28+R29</f>
        <v>2092.02387</v>
      </c>
      <c r="S27" s="42"/>
      <c r="T27" s="42">
        <f>+T28+T29</f>
        <v>2042.3142082999998</v>
      </c>
      <c r="U27" s="42"/>
      <c r="V27" s="42">
        <f>+V28+V29</f>
        <v>2582.6396886299985</v>
      </c>
      <c r="W27" s="42"/>
      <c r="X27" s="42">
        <f>+X28+X29</f>
        <v>2429.7409032399996</v>
      </c>
      <c r="Y27" s="42"/>
      <c r="Z27" s="42">
        <f>+Z28+Z29</f>
        <v>12975.25389908</v>
      </c>
      <c r="AA27" s="75"/>
      <c r="AB27" s="75">
        <f>+AB28+AB29</f>
        <v>32037.539629249997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194" t="s">
        <v>87</v>
      </c>
      <c r="C28" s="90"/>
      <c r="D28" s="42">
        <v>1548.3698200000001</v>
      </c>
      <c r="E28" s="42"/>
      <c r="F28" s="42">
        <v>1240.5683099999999</v>
      </c>
      <c r="G28" s="42"/>
      <c r="H28" s="42">
        <v>1430.0246500000001</v>
      </c>
      <c r="I28" s="42"/>
      <c r="J28" s="42">
        <v>1346.2735399999999</v>
      </c>
      <c r="K28" s="42"/>
      <c r="L28" s="42">
        <v>1498.86159</v>
      </c>
      <c r="M28" s="42"/>
      <c r="N28" s="42">
        <v>1242.7583499999998</v>
      </c>
      <c r="O28" s="42"/>
      <c r="P28" s="42">
        <v>1605.0572999999999</v>
      </c>
      <c r="Q28" s="42"/>
      <c r="R28" s="42">
        <v>2077.4619699999998</v>
      </c>
      <c r="S28" s="42"/>
      <c r="T28" s="42">
        <v>2041.5508082999997</v>
      </c>
      <c r="U28" s="42"/>
      <c r="V28" s="42">
        <v>2543.0496886299984</v>
      </c>
      <c r="W28" s="42"/>
      <c r="X28" s="42">
        <v>2429.8243632399995</v>
      </c>
      <c r="Y28" s="42"/>
      <c r="Z28" s="42">
        <v>4541.1477990799995</v>
      </c>
      <c r="AA28" s="75"/>
      <c r="AB28" s="75">
        <f>SUM(D28:Z28)</f>
        <v>23544.948189249997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2.8138000000000001</v>
      </c>
      <c r="E29" s="42"/>
      <c r="F29" s="42">
        <v>1.8321000000000001</v>
      </c>
      <c r="G29" s="42"/>
      <c r="H29" s="42">
        <v>5.5037000000000003</v>
      </c>
      <c r="I29" s="42"/>
      <c r="J29" s="42">
        <v>3.6699999999999816E-2</v>
      </c>
      <c r="K29" s="42"/>
      <c r="L29" s="42">
        <v>8.0808</v>
      </c>
      <c r="M29" s="42"/>
      <c r="N29" s="42">
        <v>-5.1153000000000004</v>
      </c>
      <c r="O29" s="42"/>
      <c r="P29" s="42">
        <v>-9.4983000000000004</v>
      </c>
      <c r="Q29" s="42"/>
      <c r="R29" s="42">
        <v>14.5619</v>
      </c>
      <c r="S29" s="42"/>
      <c r="T29" s="42">
        <v>0.76339999999999997</v>
      </c>
      <c r="U29" s="42"/>
      <c r="V29" s="42">
        <v>39.590000000000003</v>
      </c>
      <c r="W29" s="42"/>
      <c r="X29" s="42">
        <v>-8.3459999999962745E-2</v>
      </c>
      <c r="Y29" s="42"/>
      <c r="Z29" s="42">
        <v>8434.1061000000009</v>
      </c>
      <c r="AA29" s="75"/>
      <c r="AB29" s="42">
        <f>SUM(D29:Z29)</f>
        <v>8492.5914400000001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0</v>
      </c>
      <c r="U31" s="118"/>
      <c r="V31" s="118">
        <v>0</v>
      </c>
      <c r="W31" s="118"/>
      <c r="X31" s="118">
        <v>0</v>
      </c>
      <c r="Y31" s="118"/>
      <c r="Z31" s="118">
        <v>0</v>
      </c>
      <c r="AA31" s="41"/>
      <c r="AB31" s="118">
        <f>SUM(D31:Z31)</f>
        <v>0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207" t="s">
        <v>106</v>
      </c>
      <c r="C33" s="95"/>
      <c r="D33" s="119">
        <f>D23-D25+D31</f>
        <v>13238.489567703917</v>
      </c>
      <c r="E33" s="119"/>
      <c r="F33" s="119">
        <f>F23-F25+F31</f>
        <v>12325.90259376478</v>
      </c>
      <c r="G33" s="119"/>
      <c r="H33" s="119">
        <f>H23-H25+H31</f>
        <v>12919.926527588259</v>
      </c>
      <c r="I33" s="119"/>
      <c r="J33" s="119">
        <f>J23-J25+J31</f>
        <v>14577.217608350873</v>
      </c>
      <c r="K33" s="119"/>
      <c r="L33" s="119">
        <f>L23-L25+L31</f>
        <v>18298.984212259998</v>
      </c>
      <c r="M33" s="119"/>
      <c r="N33" s="119">
        <f>N23-N25+N31</f>
        <v>14833.865419279999</v>
      </c>
      <c r="O33" s="119"/>
      <c r="P33" s="119">
        <f>P23-P25+P31</f>
        <v>16578.943264349993</v>
      </c>
      <c r="Q33" s="119"/>
      <c r="R33" s="119">
        <f>R23-R25+R31</f>
        <v>13967.092004730002</v>
      </c>
      <c r="S33" s="119"/>
      <c r="T33" s="119">
        <f>T23-T25+T31</f>
        <v>15854.145971619999</v>
      </c>
      <c r="U33" s="119"/>
      <c r="V33" s="119">
        <f>V23-V25+V31</f>
        <v>16791.701601990004</v>
      </c>
      <c r="W33" s="119"/>
      <c r="X33" s="119">
        <f>X23-X25+X31</f>
        <v>14953.640109210002</v>
      </c>
      <c r="Y33" s="119"/>
      <c r="Z33" s="119">
        <f>Z23-Z25+Z31</f>
        <v>4276.5165548299974</v>
      </c>
      <c r="AA33" s="119"/>
      <c r="AB33" s="119">
        <f>AB23-AB25+AB31</f>
        <v>168616.42543567781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11259.59276</v>
      </c>
      <c r="E35" s="42"/>
      <c r="F35" s="42">
        <v>10594.447583450001</v>
      </c>
      <c r="G35" s="42"/>
      <c r="H35" s="42">
        <v>10389.40939726</v>
      </c>
      <c r="I35" s="42"/>
      <c r="J35" s="42">
        <v>13713.63714562</v>
      </c>
      <c r="K35" s="42"/>
      <c r="L35" s="42">
        <v>11691.650327549996</v>
      </c>
      <c r="M35" s="42"/>
      <c r="N35" s="42">
        <v>11177.951719619998</v>
      </c>
      <c r="O35" s="42"/>
      <c r="P35" s="42">
        <v>15601.603905</v>
      </c>
      <c r="Q35" s="42"/>
      <c r="R35" s="42">
        <v>13231.863140019999</v>
      </c>
      <c r="S35" s="42"/>
      <c r="T35" s="42">
        <v>12465.794569999998</v>
      </c>
      <c r="U35" s="42"/>
      <c r="V35" s="42">
        <v>15802.364200339998</v>
      </c>
      <c r="W35" s="42"/>
      <c r="X35" s="42">
        <v>12891.101060999999</v>
      </c>
      <c r="Y35" s="42"/>
      <c r="Z35" s="42">
        <v>15519.516077780001</v>
      </c>
      <c r="AA35" s="42"/>
      <c r="AB35" s="75">
        <f>SUM(D35:Z35)</f>
        <v>154338.93188763998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1978.8968077039171</v>
      </c>
      <c r="E37" s="119"/>
      <c r="F37" s="119">
        <f>F33-F35</f>
        <v>1731.4550103147794</v>
      </c>
      <c r="G37" s="119"/>
      <c r="H37" s="119">
        <f>H33-H35</f>
        <v>2530.5171303282586</v>
      </c>
      <c r="I37" s="119"/>
      <c r="J37" s="119">
        <f>J33-J35</f>
        <v>863.58046273087348</v>
      </c>
      <c r="K37" s="119"/>
      <c r="L37" s="119">
        <f>L33-L35</f>
        <v>6607.3338847100022</v>
      </c>
      <c r="M37" s="119"/>
      <c r="N37" s="119">
        <f>N33-N35</f>
        <v>3655.9136996600009</v>
      </c>
      <c r="O37" s="119"/>
      <c r="P37" s="119">
        <f>P33-P35</f>
        <v>977.33935934999317</v>
      </c>
      <c r="Q37" s="119"/>
      <c r="R37" s="119">
        <f>R33-R35</f>
        <v>735.22886471000311</v>
      </c>
      <c r="S37" s="119"/>
      <c r="T37" s="119">
        <f>T33-T35</f>
        <v>3388.3514016200006</v>
      </c>
      <c r="U37" s="119"/>
      <c r="V37" s="119">
        <f>V33-V35</f>
        <v>989.33740165000563</v>
      </c>
      <c r="W37" s="119"/>
      <c r="X37" s="119">
        <f>X33-X35</f>
        <v>2062.5390482100029</v>
      </c>
      <c r="Y37" s="119"/>
      <c r="Z37" s="119">
        <f>Z33-Z35</f>
        <v>-11242.999522950004</v>
      </c>
      <c r="AA37" s="119"/>
      <c r="AB37" s="119">
        <f>AB33-AB35</f>
        <v>14277.493548037834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879.79899999999998</v>
      </c>
      <c r="E39" s="72"/>
      <c r="F39" s="42">
        <f>F40+F43</f>
        <v>846.20479999999998</v>
      </c>
      <c r="G39" s="72"/>
      <c r="H39" s="42">
        <f>H40+H43</f>
        <v>1203.9623999999999</v>
      </c>
      <c r="I39" s="72"/>
      <c r="J39" s="42">
        <f>J40+J43</f>
        <v>958.47749999999996</v>
      </c>
      <c r="K39" s="72"/>
      <c r="L39" s="42">
        <f>L40+L43</f>
        <v>1183.3429999999998</v>
      </c>
      <c r="M39" s="72"/>
      <c r="N39" s="42">
        <f>N40+N43</f>
        <v>1619.7049</v>
      </c>
      <c r="O39" s="72"/>
      <c r="P39" s="42">
        <f>P40+P43</f>
        <v>787.11929999999995</v>
      </c>
      <c r="Q39" s="72"/>
      <c r="R39" s="42">
        <f>R40+R43</f>
        <v>755.34319999999991</v>
      </c>
      <c r="S39" s="72"/>
      <c r="T39" s="42">
        <f>T40+T43</f>
        <v>1156.5336</v>
      </c>
      <c r="U39" s="72"/>
      <c r="V39" s="42">
        <f>V40+V43</f>
        <v>1193.2049</v>
      </c>
      <c r="W39" s="72"/>
      <c r="X39" s="42">
        <f>X40+X43</f>
        <v>1244.7572999999998</v>
      </c>
      <c r="Y39" s="72"/>
      <c r="Z39" s="42">
        <f>Z40+Z43</f>
        <v>1481.2544800000001</v>
      </c>
      <c r="AA39" s="72"/>
      <c r="AB39" s="42">
        <f>AB40+AB43</f>
        <v>13309.704379999999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556.87940000000003</v>
      </c>
      <c r="E40" s="42"/>
      <c r="F40" s="42">
        <f>F41+F42</f>
        <v>586.41700000000003</v>
      </c>
      <c r="G40" s="42"/>
      <c r="H40" s="42">
        <f>H41+H42</f>
        <v>607.45550000000003</v>
      </c>
      <c r="I40" s="42"/>
      <c r="J40" s="42">
        <f>J41+J42</f>
        <v>510.38040000000001</v>
      </c>
      <c r="K40" s="42"/>
      <c r="L40" s="42">
        <f>L41+L42</f>
        <v>536.18799999999999</v>
      </c>
      <c r="M40" s="42"/>
      <c r="N40" s="42">
        <f>N41+N42</f>
        <v>599.72769999999991</v>
      </c>
      <c r="O40" s="42"/>
      <c r="P40" s="42">
        <f>P41+P42</f>
        <v>518.95119999999997</v>
      </c>
      <c r="Q40" s="42"/>
      <c r="R40" s="42">
        <f>R41+R42</f>
        <v>556.06949999999995</v>
      </c>
      <c r="S40" s="42"/>
      <c r="T40" s="42">
        <f>T41+T42</f>
        <v>595.32899999999995</v>
      </c>
      <c r="U40" s="42"/>
      <c r="V40" s="42">
        <f>+V41+V42</f>
        <v>525.16409999999996</v>
      </c>
      <c r="W40" s="42"/>
      <c r="X40" s="42">
        <f>+X41+X42</f>
        <v>578.68509999999992</v>
      </c>
      <c r="Y40" s="42"/>
      <c r="Z40" s="42">
        <f>+Z41+Z42</f>
        <v>610.26983999999993</v>
      </c>
      <c r="AA40" s="75"/>
      <c r="AB40" s="75">
        <f>+AB41+AB42</f>
        <v>6781.5167399999991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194" t="s">
        <v>56</v>
      </c>
      <c r="C41" s="72"/>
      <c r="D41" s="118">
        <v>0</v>
      </c>
      <c r="E41" s="118"/>
      <c r="F41" s="118">
        <v>0</v>
      </c>
      <c r="G41" s="118"/>
      <c r="H41" s="118">
        <v>0</v>
      </c>
      <c r="I41" s="118"/>
      <c r="J41" s="118">
        <v>0</v>
      </c>
      <c r="K41" s="118"/>
      <c r="L41" s="118">
        <v>0</v>
      </c>
      <c r="M41" s="118"/>
      <c r="N41" s="118">
        <v>0</v>
      </c>
      <c r="O41" s="118"/>
      <c r="P41" s="118">
        <v>0</v>
      </c>
      <c r="Q41" s="118"/>
      <c r="R41" s="118">
        <v>0</v>
      </c>
      <c r="S41" s="118"/>
      <c r="T41" s="118">
        <v>0</v>
      </c>
      <c r="U41" s="118"/>
      <c r="V41" s="118">
        <v>0</v>
      </c>
      <c r="W41" s="118"/>
      <c r="X41" s="118">
        <v>0</v>
      </c>
      <c r="Y41" s="118"/>
      <c r="Z41" s="118">
        <v>0</v>
      </c>
      <c r="AA41" s="118"/>
      <c r="AB41" s="118">
        <f>SUM(D41:Z41)</f>
        <v>0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556.87940000000003</v>
      </c>
      <c r="E42" s="42"/>
      <c r="F42" s="42">
        <v>586.41700000000003</v>
      </c>
      <c r="G42" s="42"/>
      <c r="H42" s="42">
        <v>607.45550000000003</v>
      </c>
      <c r="I42" s="42"/>
      <c r="J42" s="42">
        <v>510.38040000000001</v>
      </c>
      <c r="K42" s="42"/>
      <c r="L42" s="42">
        <v>536.18799999999999</v>
      </c>
      <c r="M42" s="42"/>
      <c r="N42" s="42">
        <v>599.72769999999991</v>
      </c>
      <c r="O42" s="42"/>
      <c r="P42" s="42">
        <v>518.95119999999997</v>
      </c>
      <c r="Q42" s="42"/>
      <c r="R42" s="42">
        <v>556.06949999999995</v>
      </c>
      <c r="S42" s="42"/>
      <c r="T42" s="42">
        <v>595.32899999999995</v>
      </c>
      <c r="U42" s="42"/>
      <c r="V42" s="42">
        <v>525.16409999999996</v>
      </c>
      <c r="W42" s="42"/>
      <c r="X42" s="42">
        <v>578.68509999999992</v>
      </c>
      <c r="Y42" s="42"/>
      <c r="Z42" s="42">
        <v>610.26983999999993</v>
      </c>
      <c r="AA42" s="75"/>
      <c r="AB42" s="75">
        <f>SUM(D42:Z42)</f>
        <v>6781.5167399999991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322.9196</v>
      </c>
      <c r="E43" s="42"/>
      <c r="F43" s="42">
        <v>259.7878</v>
      </c>
      <c r="G43" s="42"/>
      <c r="H43" s="42">
        <v>596.50689999999997</v>
      </c>
      <c r="I43" s="42"/>
      <c r="J43" s="42">
        <v>448.09710000000001</v>
      </c>
      <c r="K43" s="42"/>
      <c r="L43" s="42">
        <v>647.15499999999997</v>
      </c>
      <c r="M43" s="42"/>
      <c r="N43" s="42">
        <v>1019.9772</v>
      </c>
      <c r="O43" s="42"/>
      <c r="P43" s="42">
        <v>268.16809999999998</v>
      </c>
      <c r="Q43" s="42"/>
      <c r="R43" s="42">
        <v>199.27369999999999</v>
      </c>
      <c r="S43" s="42"/>
      <c r="T43" s="42">
        <v>561.20460000000003</v>
      </c>
      <c r="U43" s="42"/>
      <c r="V43" s="42">
        <v>668.04079999999999</v>
      </c>
      <c r="W43" s="42"/>
      <c r="X43" s="42">
        <v>666.07219999999995</v>
      </c>
      <c r="Y43" s="42"/>
      <c r="Z43" s="42">
        <v>870.98464000000001</v>
      </c>
      <c r="AA43" s="75"/>
      <c r="AB43" s="75">
        <f>SUM(D43:Z43)</f>
        <v>6528.1876399999992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1099.0978077039172</v>
      </c>
      <c r="E45" s="95"/>
      <c r="F45" s="48">
        <f>F37-F39</f>
        <v>885.25021031477945</v>
      </c>
      <c r="G45" s="95"/>
      <c r="H45" s="48">
        <f>H37-H39</f>
        <v>1326.5547303282588</v>
      </c>
      <c r="I45" s="95"/>
      <c r="J45" s="48">
        <f>J37-J39</f>
        <v>-94.897037269126486</v>
      </c>
      <c r="K45" s="95"/>
      <c r="L45" s="48">
        <f>L37-L39</f>
        <v>5423.9908847100023</v>
      </c>
      <c r="M45" s="95"/>
      <c r="N45" s="48">
        <f>N37-N39</f>
        <v>2036.208799660001</v>
      </c>
      <c r="O45" s="95"/>
      <c r="P45" s="48">
        <f>P37-P39</f>
        <v>190.22005934999322</v>
      </c>
      <c r="Q45" s="95"/>
      <c r="R45" s="48">
        <f>R37-R39</f>
        <v>-20.114335289996802</v>
      </c>
      <c r="S45" s="95"/>
      <c r="T45" s="48">
        <f>T37-T39</f>
        <v>2231.8178016200009</v>
      </c>
      <c r="U45" s="95"/>
      <c r="V45" s="48">
        <f>V37-V39</f>
        <v>-203.86749834999432</v>
      </c>
      <c r="W45" s="95"/>
      <c r="X45" s="48">
        <f>X37-X39</f>
        <v>817.78174821000312</v>
      </c>
      <c r="Y45" s="95"/>
      <c r="Z45" s="48">
        <f>Z37-Z39</f>
        <v>-12724.254002950003</v>
      </c>
      <c r="AA45" s="95"/>
      <c r="AB45" s="48">
        <f>AB37-AB39</f>
        <v>967.78916803783432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64" t="s">
        <v>41</v>
      </c>
      <c r="C47" s="464"/>
      <c r="D47" s="464"/>
      <c r="E47" s="464"/>
      <c r="F47" s="464"/>
      <c r="G47" s="464"/>
      <c r="H47" s="464"/>
      <c r="I47" s="464"/>
      <c r="J47" s="464"/>
      <c r="K47" s="464"/>
      <c r="L47" s="464"/>
      <c r="M47" s="464"/>
      <c r="N47" s="464"/>
      <c r="O47" s="464"/>
      <c r="P47" s="464"/>
      <c r="Q47" s="464"/>
      <c r="R47" s="464"/>
      <c r="S47" s="464"/>
      <c r="T47" s="464"/>
      <c r="U47" s="464"/>
      <c r="V47" s="464"/>
      <c r="W47" s="464"/>
      <c r="X47" s="464"/>
      <c r="Y47" s="464"/>
      <c r="Z47" s="464"/>
      <c r="AA47" s="464"/>
      <c r="AB47" s="464"/>
      <c r="AC47" s="212"/>
      <c r="AD47" s="212"/>
      <c r="AE47" s="101"/>
      <c r="AF47" s="212"/>
    </row>
    <row r="48" spans="1:35" ht="14.25" customHeight="1">
      <c r="B48" s="464" t="s">
        <v>107</v>
      </c>
      <c r="C48" s="464"/>
      <c r="D48" s="464"/>
      <c r="E48" s="464"/>
      <c r="F48" s="464"/>
      <c r="G48" s="464"/>
      <c r="H48" s="464"/>
      <c r="I48" s="464"/>
      <c r="J48" s="464"/>
      <c r="K48" s="464"/>
      <c r="L48" s="464"/>
      <c r="M48" s="464"/>
      <c r="N48" s="464"/>
      <c r="O48" s="464"/>
      <c r="P48" s="464"/>
      <c r="Q48" s="464"/>
      <c r="R48" s="464"/>
      <c r="S48" s="464"/>
      <c r="T48" s="464"/>
      <c r="U48" s="464"/>
      <c r="V48" s="464"/>
      <c r="W48" s="464"/>
      <c r="X48" s="464"/>
      <c r="Y48" s="464"/>
      <c r="Z48" s="464"/>
      <c r="AA48" s="464"/>
      <c r="AB48" s="464"/>
      <c r="AC48" s="212"/>
      <c r="AD48" s="212"/>
      <c r="AE48" s="101"/>
      <c r="AF48" s="212"/>
    </row>
    <row r="49" spans="1:35" ht="14.25" customHeight="1">
      <c r="B49" s="464" t="s">
        <v>108</v>
      </c>
      <c r="C49" s="464"/>
      <c r="D49" s="464"/>
      <c r="E49" s="464"/>
      <c r="F49" s="464"/>
      <c r="G49" s="464"/>
      <c r="H49" s="464"/>
      <c r="I49" s="464"/>
      <c r="J49" s="464"/>
      <c r="K49" s="464"/>
      <c r="L49" s="464"/>
      <c r="M49" s="464"/>
      <c r="N49" s="464"/>
      <c r="O49" s="464"/>
      <c r="P49" s="464"/>
      <c r="Q49" s="464"/>
      <c r="R49" s="464"/>
      <c r="S49" s="464"/>
      <c r="T49" s="464"/>
      <c r="U49" s="464"/>
      <c r="V49" s="464"/>
      <c r="W49" s="464"/>
      <c r="X49" s="464"/>
      <c r="Y49" s="464"/>
      <c r="Z49" s="464"/>
      <c r="AA49" s="464"/>
      <c r="AB49" s="464"/>
      <c r="AC49" s="212"/>
      <c r="AD49" s="212"/>
      <c r="AE49" s="101"/>
      <c r="AF49" s="212"/>
    </row>
    <row r="50" spans="1:35" ht="14.25" customHeight="1">
      <c r="B50" s="464" t="s">
        <v>90</v>
      </c>
      <c r="C50" s="464"/>
      <c r="D50" s="464"/>
      <c r="E50" s="464"/>
      <c r="F50" s="464"/>
      <c r="G50" s="464"/>
      <c r="H50" s="464"/>
      <c r="I50" s="464"/>
      <c r="J50" s="464"/>
      <c r="K50" s="464"/>
      <c r="L50" s="464"/>
      <c r="M50" s="464"/>
      <c r="N50" s="464"/>
      <c r="O50" s="464"/>
      <c r="P50" s="464"/>
      <c r="Q50" s="464"/>
      <c r="R50" s="464"/>
      <c r="S50" s="464"/>
      <c r="T50" s="464"/>
      <c r="U50" s="464"/>
      <c r="V50" s="464"/>
      <c r="W50" s="464"/>
      <c r="X50" s="464"/>
      <c r="Y50" s="464"/>
      <c r="Z50" s="464"/>
      <c r="AA50" s="464"/>
      <c r="AB50" s="464"/>
      <c r="AC50" s="212"/>
      <c r="AD50" s="212"/>
      <c r="AE50" s="101"/>
      <c r="AF50" s="212"/>
    </row>
    <row r="51" spans="1:35" ht="14.25" customHeight="1">
      <c r="B51" s="464" t="s">
        <v>109</v>
      </c>
      <c r="C51" s="464"/>
      <c r="D51" s="464"/>
      <c r="E51" s="464"/>
      <c r="F51" s="464"/>
      <c r="G51" s="464"/>
      <c r="H51" s="464"/>
      <c r="I51" s="464"/>
      <c r="J51" s="464"/>
      <c r="K51" s="464"/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464"/>
      <c r="X51" s="464"/>
      <c r="Y51" s="464"/>
      <c r="Z51" s="464"/>
      <c r="AA51" s="464"/>
      <c r="AB51" s="464"/>
      <c r="AC51" s="212"/>
      <c r="AD51" s="212"/>
      <c r="AE51" s="101"/>
      <c r="AF51" s="212"/>
    </row>
    <row r="52" spans="1:35" ht="14.25" customHeight="1">
      <c r="B52" s="464" t="s">
        <v>92</v>
      </c>
      <c r="C52" s="464"/>
      <c r="D52" s="464"/>
      <c r="E52" s="464"/>
      <c r="F52" s="464"/>
      <c r="G52" s="464"/>
      <c r="H52" s="464"/>
      <c r="I52" s="464"/>
      <c r="J52" s="464"/>
      <c r="K52" s="464"/>
      <c r="L52" s="464"/>
      <c r="M52" s="464"/>
      <c r="N52" s="464"/>
      <c r="O52" s="464"/>
      <c r="P52" s="464"/>
      <c r="Q52" s="464"/>
      <c r="R52" s="464"/>
      <c r="S52" s="464"/>
      <c r="T52" s="464"/>
      <c r="U52" s="464"/>
      <c r="V52" s="464"/>
      <c r="W52" s="464"/>
      <c r="X52" s="464"/>
      <c r="Y52" s="464"/>
      <c r="Z52" s="464"/>
      <c r="AA52" s="464"/>
      <c r="AB52" s="464"/>
      <c r="AC52" s="212"/>
      <c r="AD52" s="212"/>
      <c r="AE52" s="101"/>
      <c r="AF52" s="212"/>
    </row>
    <row r="53" spans="1:35" ht="14.25" customHeight="1">
      <c r="B53" s="201" t="s">
        <v>93</v>
      </c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212"/>
      <c r="AD53" s="212"/>
      <c r="AE53" s="101"/>
      <c r="AF53" s="212"/>
    </row>
    <row r="54" spans="1:35" ht="14.25" customHeight="1">
      <c r="B54" s="464" t="s">
        <v>94</v>
      </c>
      <c r="C54" s="464"/>
      <c r="D54" s="464"/>
      <c r="E54" s="464"/>
      <c r="F54" s="464"/>
      <c r="G54" s="464"/>
      <c r="H54" s="464"/>
      <c r="I54" s="464"/>
      <c r="J54" s="464"/>
      <c r="K54" s="464"/>
      <c r="L54" s="464"/>
      <c r="M54" s="464"/>
      <c r="N54" s="464"/>
      <c r="O54" s="464"/>
      <c r="P54" s="464"/>
      <c r="Q54" s="464"/>
      <c r="R54" s="464"/>
      <c r="S54" s="464"/>
      <c r="T54" s="464"/>
      <c r="U54" s="464"/>
      <c r="V54" s="464"/>
      <c r="W54" s="464"/>
      <c r="X54" s="464"/>
      <c r="Y54" s="464"/>
      <c r="Z54" s="464"/>
      <c r="AA54" s="464"/>
      <c r="AB54" s="464"/>
      <c r="AC54" s="212"/>
      <c r="AD54" s="212"/>
      <c r="AE54" s="101"/>
      <c r="AF54" s="212"/>
    </row>
    <row r="55" spans="1:35" ht="14.25" customHeight="1">
      <c r="B55" s="201" t="s">
        <v>95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5" ht="14.25" customHeight="1">
      <c r="B56" s="464" t="s">
        <v>96</v>
      </c>
      <c r="C56" s="464"/>
      <c r="D56" s="464"/>
      <c r="E56" s="464"/>
      <c r="F56" s="464"/>
      <c r="G56" s="464"/>
      <c r="H56" s="464"/>
      <c r="I56" s="464"/>
      <c r="J56" s="464"/>
      <c r="K56" s="464"/>
      <c r="L56" s="464"/>
      <c r="M56" s="464"/>
      <c r="N56" s="464"/>
      <c r="O56" s="464"/>
      <c r="P56" s="464"/>
      <c r="Q56" s="464"/>
      <c r="R56" s="464"/>
      <c r="S56" s="464"/>
      <c r="T56" s="464"/>
      <c r="U56" s="464"/>
      <c r="V56" s="464"/>
      <c r="W56" s="464"/>
      <c r="X56" s="464"/>
      <c r="Y56" s="464"/>
      <c r="Z56" s="464"/>
      <c r="AA56" s="464"/>
      <c r="AB56" s="464"/>
      <c r="AC56" s="212"/>
      <c r="AD56" s="212"/>
      <c r="AE56" s="101"/>
      <c r="AF56" s="212"/>
    </row>
    <row r="57" spans="1:35" ht="14.25" customHeight="1">
      <c r="B57" s="464" t="s">
        <v>68</v>
      </c>
      <c r="C57" s="464"/>
      <c r="D57" s="464"/>
      <c r="E57" s="464"/>
      <c r="F57" s="464"/>
      <c r="G57" s="464"/>
      <c r="H57" s="464"/>
      <c r="I57" s="464"/>
      <c r="J57" s="464"/>
      <c r="K57" s="464"/>
      <c r="L57" s="464"/>
      <c r="M57" s="464"/>
      <c r="N57" s="464"/>
      <c r="O57" s="464"/>
      <c r="P57" s="464"/>
      <c r="Q57" s="464"/>
      <c r="R57" s="464"/>
      <c r="S57" s="464"/>
      <c r="T57" s="464"/>
      <c r="U57" s="464"/>
      <c r="V57" s="464"/>
      <c r="W57" s="464"/>
      <c r="X57" s="464"/>
      <c r="Y57" s="464"/>
      <c r="Z57" s="464"/>
      <c r="AA57" s="464"/>
      <c r="AB57" s="464"/>
      <c r="AC57" s="212"/>
      <c r="AD57" s="212"/>
      <c r="AE57" s="101"/>
      <c r="AF57" s="212"/>
    </row>
    <row r="58" spans="1:35" ht="14.25" customHeight="1">
      <c r="B58" s="464" t="s">
        <v>3</v>
      </c>
      <c r="C58" s="464"/>
      <c r="D58" s="464"/>
      <c r="E58" s="464"/>
      <c r="F58" s="464"/>
      <c r="G58" s="464"/>
      <c r="H58" s="464"/>
      <c r="I58" s="464"/>
      <c r="J58" s="464"/>
      <c r="K58" s="464"/>
      <c r="L58" s="464"/>
      <c r="M58" s="464"/>
      <c r="N58" s="464"/>
      <c r="O58" s="464"/>
      <c r="P58" s="464"/>
      <c r="Q58" s="464"/>
      <c r="R58" s="464"/>
      <c r="S58" s="464"/>
      <c r="T58" s="464"/>
      <c r="U58" s="464"/>
      <c r="V58" s="464"/>
      <c r="W58" s="464"/>
      <c r="X58" s="464"/>
      <c r="Y58" s="464"/>
      <c r="Z58" s="464"/>
      <c r="AA58" s="464"/>
      <c r="AB58" s="464"/>
      <c r="AC58" s="212"/>
      <c r="AD58" s="212"/>
      <c r="AE58" s="101"/>
      <c r="AF58" s="212"/>
    </row>
    <row r="59" spans="1:35" ht="14.25" customHeight="1">
      <c r="A59" s="18"/>
      <c r="B59" s="100"/>
      <c r="C59" s="93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12"/>
      <c r="AD59" s="212"/>
      <c r="AE59" s="101"/>
      <c r="AF59" s="212"/>
    </row>
    <row r="60" spans="1:35" ht="20.25">
      <c r="B60" s="453" t="s">
        <v>32</v>
      </c>
      <c r="C60" s="453"/>
      <c r="D60" s="453"/>
      <c r="E60" s="453"/>
      <c r="F60" s="453"/>
      <c r="G60" s="453"/>
      <c r="H60" s="453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Y60" s="453"/>
      <c r="Z60" s="453"/>
      <c r="AA60" s="453"/>
      <c r="AB60" s="453"/>
      <c r="AC60" s="214"/>
      <c r="AD60" s="214"/>
      <c r="AE60" s="214"/>
      <c r="AF60" s="214"/>
    </row>
    <row r="61" spans="1:35">
      <c r="B61" s="102"/>
      <c r="C61" s="469"/>
      <c r="D61" s="460"/>
      <c r="E61" s="469"/>
      <c r="F61" s="470"/>
      <c r="G61" s="469"/>
      <c r="H61" s="470"/>
      <c r="I61" s="469"/>
      <c r="J61" s="470"/>
      <c r="K61" s="469"/>
      <c r="L61" s="470"/>
      <c r="M61" s="469"/>
      <c r="N61" s="470"/>
      <c r="O61" s="469"/>
      <c r="P61" s="470"/>
      <c r="Q61" s="469"/>
      <c r="R61" s="470"/>
      <c r="S61" s="469"/>
      <c r="T61" s="470"/>
      <c r="U61" s="469"/>
      <c r="V61" s="470"/>
      <c r="W61" s="469"/>
      <c r="X61" s="470"/>
      <c r="Y61" s="469"/>
      <c r="Z61" s="470"/>
      <c r="AA61" s="469"/>
      <c r="AB61" s="470"/>
    </row>
    <row r="62" spans="1:35">
      <c r="B62" s="102">
        <f>B5</f>
        <v>1996</v>
      </c>
      <c r="C62" s="469" t="s">
        <v>4</v>
      </c>
      <c r="D62" s="460"/>
      <c r="E62" s="469" t="s">
        <v>5</v>
      </c>
      <c r="F62" s="470"/>
      <c r="G62" s="469" t="s">
        <v>6</v>
      </c>
      <c r="H62" s="470"/>
      <c r="I62" s="469" t="s">
        <v>7</v>
      </c>
      <c r="J62" s="470"/>
      <c r="K62" s="469" t="s">
        <v>8</v>
      </c>
      <c r="L62" s="470"/>
      <c r="M62" s="469" t="s">
        <v>9</v>
      </c>
      <c r="N62" s="470"/>
      <c r="O62" s="469" t="s">
        <v>10</v>
      </c>
      <c r="P62" s="470"/>
      <c r="Q62" s="471" t="s">
        <v>11</v>
      </c>
      <c r="R62" s="470"/>
      <c r="S62" s="471" t="s">
        <v>12</v>
      </c>
      <c r="T62" s="470"/>
      <c r="U62" s="469" t="s">
        <v>0</v>
      </c>
      <c r="V62" s="473"/>
      <c r="W62" s="469" t="s">
        <v>1</v>
      </c>
      <c r="X62" s="473"/>
      <c r="Y62" s="469" t="s">
        <v>2</v>
      </c>
      <c r="Z62" s="473"/>
      <c r="AA62" s="469" t="s">
        <v>102</v>
      </c>
      <c r="AB62" s="460"/>
    </row>
    <row r="63" spans="1:35">
      <c r="B63" s="102"/>
      <c r="C63" s="469"/>
      <c r="D63" s="460"/>
      <c r="E63" s="469"/>
      <c r="F63" s="460"/>
      <c r="G63" s="469"/>
      <c r="H63" s="460"/>
      <c r="I63" s="469"/>
      <c r="J63" s="460"/>
      <c r="K63" s="469"/>
      <c r="L63" s="460"/>
      <c r="M63" s="469"/>
      <c r="N63" s="460"/>
      <c r="O63" s="469"/>
      <c r="P63" s="460"/>
      <c r="Q63" s="469"/>
      <c r="R63" s="460"/>
      <c r="S63" s="469"/>
      <c r="T63" s="460"/>
      <c r="U63" s="469"/>
      <c r="V63" s="460"/>
      <c r="W63" s="469"/>
      <c r="X63" s="460"/>
      <c r="Y63" s="469"/>
      <c r="Z63" s="460"/>
      <c r="AA63" s="469"/>
      <c r="AB63" s="460"/>
    </row>
    <row r="64" spans="1:35" s="202" customFormat="1" ht="14.25">
      <c r="A64" s="44"/>
      <c r="B64" s="103" t="s">
        <v>24</v>
      </c>
      <c r="C64" s="72"/>
      <c r="D64" s="104">
        <v>2795.8209999999999</v>
      </c>
      <c r="E64" s="104"/>
      <c r="F64" s="104">
        <v>2844.3960000000002</v>
      </c>
      <c r="G64" s="104"/>
      <c r="H64" s="104">
        <v>2868.6469999999999</v>
      </c>
      <c r="I64" s="104"/>
      <c r="J64" s="104">
        <v>2852.241</v>
      </c>
      <c r="K64" s="104"/>
      <c r="L64" s="104">
        <v>2874.2570000000001</v>
      </c>
      <c r="M64" s="104"/>
      <c r="N64" s="104">
        <v>2879.8240000000001</v>
      </c>
      <c r="O64" s="104"/>
      <c r="P64" s="104">
        <v>2872.3719999999998</v>
      </c>
      <c r="Q64" s="104"/>
      <c r="R64" s="104">
        <v>2830.444</v>
      </c>
      <c r="S64" s="120"/>
      <c r="T64" s="104">
        <v>2862.2179999999998</v>
      </c>
      <c r="U64" s="120"/>
      <c r="V64" s="104">
        <v>2858.26</v>
      </c>
      <c r="W64" s="120"/>
      <c r="X64" s="104">
        <v>2859.4749999999999</v>
      </c>
      <c r="Y64" s="120"/>
      <c r="Z64" s="120">
        <v>2901.799</v>
      </c>
      <c r="AA64" s="104"/>
      <c r="AB64" s="104">
        <f>AVERAGE(D64:Z64)</f>
        <v>2858.3128333333334</v>
      </c>
      <c r="AC64" s="216"/>
      <c r="AD64" s="216"/>
      <c r="AE64" s="216"/>
      <c r="AF64" s="216"/>
      <c r="AG64" s="216"/>
      <c r="AH64" s="216"/>
      <c r="AI64" s="216"/>
    </row>
    <row r="65" spans="1:35" s="202" customFormat="1" ht="14.25">
      <c r="A65" s="44"/>
      <c r="B65" s="103" t="s">
        <v>39</v>
      </c>
      <c r="C65" s="72"/>
      <c r="D65" s="104">
        <v>4180.2700000000004</v>
      </c>
      <c r="E65" s="104"/>
      <c r="F65" s="104">
        <v>4270.7110000000002</v>
      </c>
      <c r="G65" s="104"/>
      <c r="H65" s="104">
        <v>4256.6379999999999</v>
      </c>
      <c r="I65" s="104"/>
      <c r="J65" s="104">
        <v>4284.8320000000003</v>
      </c>
      <c r="K65" s="104"/>
      <c r="L65" s="104">
        <v>4328.415</v>
      </c>
      <c r="M65" s="104"/>
      <c r="N65" s="104">
        <v>4334.7269999999999</v>
      </c>
      <c r="O65" s="104"/>
      <c r="P65" s="104">
        <v>4204.5450000000001</v>
      </c>
      <c r="Q65" s="104"/>
      <c r="R65" s="104">
        <v>3788.9110000000001</v>
      </c>
      <c r="S65" s="120"/>
      <c r="T65" s="104">
        <v>4123.1310000000003</v>
      </c>
      <c r="U65" s="120"/>
      <c r="V65" s="104">
        <v>4176.348</v>
      </c>
      <c r="W65" s="120"/>
      <c r="X65" s="104">
        <v>4153.8829999999998</v>
      </c>
      <c r="Y65" s="120"/>
      <c r="Z65" s="120">
        <v>4245.6509999999998</v>
      </c>
      <c r="AA65" s="104"/>
      <c r="AB65" s="104">
        <f t="shared" ref="AB65:AB76" si="0">AVERAGE(D65:Z65)</f>
        <v>4195.6718333333329</v>
      </c>
      <c r="AC65" s="216"/>
      <c r="AD65" s="216"/>
      <c r="AE65" s="216"/>
      <c r="AF65" s="216"/>
      <c r="AG65" s="216"/>
      <c r="AH65" s="216"/>
      <c r="AI65" s="216"/>
    </row>
    <row r="66" spans="1:35" s="202" customFormat="1" ht="14.25">
      <c r="A66" s="44"/>
      <c r="B66" s="103" t="s">
        <v>25</v>
      </c>
      <c r="C66" s="72"/>
      <c r="D66" s="104">
        <v>471.02681314160003</v>
      </c>
      <c r="E66" s="104"/>
      <c r="F66" s="104">
        <v>480.76561884160003</v>
      </c>
      <c r="G66" s="104"/>
      <c r="H66" s="104">
        <v>472.81718719910003</v>
      </c>
      <c r="I66" s="104"/>
      <c r="J66" s="104">
        <v>479.45658792920005</v>
      </c>
      <c r="K66" s="104"/>
      <c r="L66" s="104">
        <v>488.9267166647</v>
      </c>
      <c r="M66" s="104"/>
      <c r="N66" s="104">
        <v>462.52942276179994</v>
      </c>
      <c r="O66" s="104"/>
      <c r="P66" s="104">
        <v>489.00397757769997</v>
      </c>
      <c r="Q66" s="104"/>
      <c r="R66" s="104">
        <v>476.96579250869996</v>
      </c>
      <c r="S66" s="120"/>
      <c r="T66" s="104">
        <v>465.98222088049994</v>
      </c>
      <c r="U66" s="120"/>
      <c r="V66" s="104">
        <v>491.93512271579999</v>
      </c>
      <c r="W66" s="120"/>
      <c r="X66" s="104">
        <v>499.01265923640005</v>
      </c>
      <c r="Y66" s="120"/>
      <c r="Z66" s="120">
        <v>509.82102524260006</v>
      </c>
      <c r="AA66" s="104"/>
      <c r="AB66" s="104">
        <f t="shared" si="0"/>
        <v>482.3535953916417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26</v>
      </c>
      <c r="C67" s="72"/>
      <c r="D67" s="104">
        <v>249.61292879070001</v>
      </c>
      <c r="E67" s="104"/>
      <c r="F67" s="104">
        <v>262.06712196040002</v>
      </c>
      <c r="G67" s="104"/>
      <c r="H67" s="104">
        <v>259.67773384379996</v>
      </c>
      <c r="I67" s="104"/>
      <c r="J67" s="104">
        <v>263.34968047910002</v>
      </c>
      <c r="K67" s="104"/>
      <c r="L67" s="104">
        <v>275.89289960619999</v>
      </c>
      <c r="M67" s="104"/>
      <c r="N67" s="104">
        <v>264.963521356</v>
      </c>
      <c r="O67" s="104"/>
      <c r="P67" s="104">
        <v>274.43506590469997</v>
      </c>
      <c r="Q67" s="104"/>
      <c r="R67" s="104">
        <v>265.40175480900001</v>
      </c>
      <c r="S67" s="120"/>
      <c r="T67" s="104">
        <v>254.75842621229998</v>
      </c>
      <c r="U67" s="120"/>
      <c r="V67" s="104">
        <v>287.54044736169999</v>
      </c>
      <c r="W67" s="120"/>
      <c r="X67" s="104">
        <v>290.5434015985</v>
      </c>
      <c r="Y67" s="120"/>
      <c r="Z67" s="120">
        <v>277.02255069770001</v>
      </c>
      <c r="AA67" s="104"/>
      <c r="AB67" s="104">
        <f t="shared" si="0"/>
        <v>268.77212771834166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27</v>
      </c>
      <c r="C68" s="72"/>
      <c r="D68" s="104">
        <v>398.81378752879999</v>
      </c>
      <c r="E68" s="104"/>
      <c r="F68" s="104">
        <v>422.93627235370002</v>
      </c>
      <c r="G68" s="104"/>
      <c r="H68" s="104">
        <v>424.65024343490001</v>
      </c>
      <c r="I68" s="104"/>
      <c r="J68" s="104">
        <v>443.20590233220003</v>
      </c>
      <c r="K68" s="104"/>
      <c r="L68" s="104">
        <v>407.95925559800003</v>
      </c>
      <c r="M68" s="104"/>
      <c r="N68" s="104">
        <v>405.89804639340002</v>
      </c>
      <c r="O68" s="104"/>
      <c r="P68" s="104">
        <v>428.97077685720001</v>
      </c>
      <c r="Q68" s="104"/>
      <c r="R68" s="104">
        <v>393.8222462722</v>
      </c>
      <c r="S68" s="120"/>
      <c r="T68" s="104">
        <v>456.33915138259999</v>
      </c>
      <c r="U68" s="120"/>
      <c r="V68" s="104">
        <v>398.0608741419</v>
      </c>
      <c r="W68" s="120"/>
      <c r="X68" s="104">
        <v>368.77461401699998</v>
      </c>
      <c r="Y68" s="120"/>
      <c r="Z68" s="120">
        <v>387.17408576989999</v>
      </c>
      <c r="AA68" s="104"/>
      <c r="AB68" s="104">
        <f t="shared" si="0"/>
        <v>411.38377134014996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28</v>
      </c>
      <c r="C69" s="72"/>
      <c r="D69" s="104">
        <v>300.2284784295</v>
      </c>
      <c r="E69" s="104"/>
      <c r="F69" s="104">
        <v>284.98917249620001</v>
      </c>
      <c r="G69" s="104"/>
      <c r="H69" s="104">
        <v>265.69402952159999</v>
      </c>
      <c r="I69" s="104"/>
      <c r="J69" s="104">
        <v>254.9048860586</v>
      </c>
      <c r="K69" s="104"/>
      <c r="L69" s="104">
        <v>246.41161349110001</v>
      </c>
      <c r="M69" s="104"/>
      <c r="N69" s="104">
        <v>239.8064746403</v>
      </c>
      <c r="O69" s="104"/>
      <c r="P69" s="104">
        <v>247.57388082669999</v>
      </c>
      <c r="Q69" s="104"/>
      <c r="R69" s="104">
        <v>249.7404292274</v>
      </c>
      <c r="S69" s="120"/>
      <c r="T69" s="104">
        <v>246.38961609649999</v>
      </c>
      <c r="U69" s="120"/>
      <c r="V69" s="104">
        <v>269.08319373320001</v>
      </c>
      <c r="W69" s="120"/>
      <c r="X69" s="104">
        <v>282.14060374770003</v>
      </c>
      <c r="Y69" s="120"/>
      <c r="Z69" s="120">
        <v>296.88381612260002</v>
      </c>
      <c r="AA69" s="104"/>
      <c r="AB69" s="104">
        <f t="shared" si="0"/>
        <v>265.3205161992833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38</v>
      </c>
      <c r="C70" s="72"/>
      <c r="D70" s="104">
        <v>1475.81</v>
      </c>
      <c r="E70" s="104"/>
      <c r="F70" s="104">
        <v>1501.73</v>
      </c>
      <c r="G70" s="104"/>
      <c r="H70" s="104">
        <v>1496.11</v>
      </c>
      <c r="I70" s="104"/>
      <c r="J70" s="104">
        <v>1482.91</v>
      </c>
      <c r="K70" s="104"/>
      <c r="L70" s="104">
        <v>1514.72</v>
      </c>
      <c r="M70" s="104"/>
      <c r="N70" s="104">
        <v>1607.53</v>
      </c>
      <c r="O70" s="104"/>
      <c r="P70" s="104">
        <v>1529.92</v>
      </c>
      <c r="Q70" s="104"/>
      <c r="R70" s="104">
        <v>1514.01</v>
      </c>
      <c r="S70" s="120"/>
      <c r="T70" s="104">
        <v>1610.03</v>
      </c>
      <c r="U70" s="120"/>
      <c r="V70" s="104">
        <v>1606.87</v>
      </c>
      <c r="W70" s="120"/>
      <c r="X70" s="104">
        <v>1566.7</v>
      </c>
      <c r="Y70" s="120"/>
      <c r="Z70" s="120">
        <v>1584.29</v>
      </c>
      <c r="AA70" s="104"/>
      <c r="AB70" s="104">
        <f t="shared" si="0"/>
        <v>1540.8858333333335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229" t="s">
        <v>98</v>
      </c>
      <c r="C71" s="72"/>
      <c r="D71" s="104">
        <v>1498.7496774194001</v>
      </c>
      <c r="E71" s="104"/>
      <c r="F71" s="104">
        <v>1505.4907241379001</v>
      </c>
      <c r="G71" s="104"/>
      <c r="H71" s="104">
        <v>1448.8321290322001</v>
      </c>
      <c r="I71" s="104"/>
      <c r="J71" s="104">
        <v>1561.1124333334001</v>
      </c>
      <c r="K71" s="104"/>
      <c r="L71" s="104">
        <v>1536.1495483870999</v>
      </c>
      <c r="M71" s="104"/>
      <c r="N71" s="104">
        <v>1713.7998333333999</v>
      </c>
      <c r="O71" s="104"/>
      <c r="P71" s="104">
        <v>1461.4489677419999</v>
      </c>
      <c r="Q71" s="104"/>
      <c r="R71" s="105">
        <v>1524.2533225806001</v>
      </c>
      <c r="S71" s="120"/>
      <c r="T71" s="104">
        <v>1616.0383999999999</v>
      </c>
      <c r="U71" s="120"/>
      <c r="V71" s="104">
        <v>1656.2261935483</v>
      </c>
      <c r="W71" s="120"/>
      <c r="X71" s="104">
        <v>1498.4587000001</v>
      </c>
      <c r="Y71" s="120"/>
      <c r="Z71" s="120">
        <v>1509.8690645161</v>
      </c>
      <c r="AA71" s="104"/>
      <c r="AB71" s="104">
        <f t="shared" si="0"/>
        <v>1544.2024161692086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2.75" customHeight="1">
      <c r="A72" s="44"/>
      <c r="B72" s="103" t="s">
        <v>29</v>
      </c>
      <c r="C72" s="72"/>
      <c r="D72" s="106">
        <v>16.16945162222331</v>
      </c>
      <c r="E72" s="106"/>
      <c r="F72" s="106">
        <v>16.49617665780557</v>
      </c>
      <c r="G72" s="106"/>
      <c r="H72" s="106">
        <v>18.265711388291209</v>
      </c>
      <c r="I72" s="106"/>
      <c r="J72" s="106">
        <v>19.240086421090769</v>
      </c>
      <c r="K72" s="106"/>
      <c r="L72" s="106">
        <v>17.607416945870451</v>
      </c>
      <c r="M72" s="106"/>
      <c r="N72" s="106">
        <v>17.1162544352179</v>
      </c>
      <c r="O72" s="106"/>
      <c r="P72" s="106">
        <v>17.711100253640609</v>
      </c>
      <c r="Q72" s="106"/>
      <c r="R72" s="121">
        <v>18.800236779102502</v>
      </c>
      <c r="S72" s="122"/>
      <c r="T72" s="121">
        <v>20.854457692333785</v>
      </c>
      <c r="U72" s="122"/>
      <c r="V72" s="121">
        <v>22.20343763626915</v>
      </c>
      <c r="W72" s="122"/>
      <c r="X72" s="121">
        <v>20.840925388852895</v>
      </c>
      <c r="Y72" s="122"/>
      <c r="Z72" s="122">
        <v>21.662736899361843</v>
      </c>
      <c r="AA72" s="104"/>
      <c r="AB72" s="107">
        <f t="shared" si="0"/>
        <v>18.913999343338332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30</v>
      </c>
      <c r="C73" s="72"/>
      <c r="D73" s="106">
        <v>2.0699999999999998</v>
      </c>
      <c r="E73" s="122"/>
      <c r="F73" s="106">
        <v>1.7749999999999999</v>
      </c>
      <c r="G73" s="106"/>
      <c r="H73" s="106">
        <v>1.92</v>
      </c>
      <c r="I73" s="106"/>
      <c r="J73" s="106">
        <v>2.2000000000000002</v>
      </c>
      <c r="K73" s="106"/>
      <c r="L73" s="106">
        <v>2.09</v>
      </c>
      <c r="M73" s="106"/>
      <c r="N73" s="106">
        <v>2.21</v>
      </c>
      <c r="O73" s="106"/>
      <c r="P73" s="106">
        <v>2.4550000000000001</v>
      </c>
      <c r="Q73" s="106"/>
      <c r="R73" s="106">
        <v>2.1800000000000002</v>
      </c>
      <c r="S73" s="106"/>
      <c r="T73" s="106">
        <v>1.7150000000000001</v>
      </c>
      <c r="U73" s="106"/>
      <c r="V73" s="106">
        <v>1.72</v>
      </c>
      <c r="W73" s="106"/>
      <c r="X73" s="106">
        <v>2.5449999999999999</v>
      </c>
      <c r="Y73" s="106"/>
      <c r="Z73" s="122">
        <v>3.6150000000000002</v>
      </c>
      <c r="AA73" s="106"/>
      <c r="AB73" s="107">
        <f t="shared" si="0"/>
        <v>2.2079166666666672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4.25">
      <c r="A74" s="44"/>
      <c r="B74" s="103" t="s">
        <v>31</v>
      </c>
      <c r="C74" s="72"/>
      <c r="D74" s="108">
        <v>7.5048000000000004</v>
      </c>
      <c r="E74" s="108"/>
      <c r="F74" s="108">
        <v>7.5042</v>
      </c>
      <c r="G74" s="108"/>
      <c r="H74" s="108">
        <v>7.5735999999999999</v>
      </c>
      <c r="I74" s="108"/>
      <c r="J74" s="108">
        <v>7.4713000000000003</v>
      </c>
      <c r="K74" s="108"/>
      <c r="L74" s="108">
        <v>7.4344999999999999</v>
      </c>
      <c r="M74" s="108"/>
      <c r="N74" s="108">
        <v>7.5425000000000004</v>
      </c>
      <c r="O74" s="108"/>
      <c r="P74" s="108">
        <v>7.6228999999999996</v>
      </c>
      <c r="Q74" s="108"/>
      <c r="R74" s="108">
        <v>7.5141</v>
      </c>
      <c r="S74" s="123"/>
      <c r="T74" s="108">
        <v>7.5446999999999997</v>
      </c>
      <c r="U74" s="123"/>
      <c r="V74" s="108">
        <v>7.6851000000000003</v>
      </c>
      <c r="W74" s="123"/>
      <c r="X74" s="108">
        <v>7.9188999999999998</v>
      </c>
      <c r="Y74" s="123"/>
      <c r="Z74" s="123">
        <v>7.8753000000000002</v>
      </c>
      <c r="AA74" s="104"/>
      <c r="AB74" s="109">
        <f t="shared" si="0"/>
        <v>7.5993250000000003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229" t="s">
        <v>100</v>
      </c>
      <c r="C75" s="72"/>
      <c r="D75" s="104">
        <v>169.37305690431964</v>
      </c>
      <c r="E75" s="104"/>
      <c r="F75" s="104">
        <v>176.54990932404542</v>
      </c>
      <c r="G75" s="104"/>
      <c r="H75" s="104">
        <v>154.70936750862452</v>
      </c>
      <c r="I75" s="104"/>
      <c r="J75" s="104">
        <v>127.55993715509362</v>
      </c>
      <c r="K75" s="104"/>
      <c r="L75" s="104">
        <v>153.37580826330532</v>
      </c>
      <c r="M75" s="104"/>
      <c r="N75" s="104">
        <v>197.46287259649125</v>
      </c>
      <c r="O75" s="104"/>
      <c r="P75" s="104">
        <v>197.08889238051009</v>
      </c>
      <c r="Q75" s="104"/>
      <c r="R75" s="104">
        <v>229.7262455556538</v>
      </c>
      <c r="S75" s="104"/>
      <c r="T75" s="104">
        <v>220.67827049653542</v>
      </c>
      <c r="U75" s="120"/>
      <c r="V75" s="104">
        <v>172.44370995606664</v>
      </c>
      <c r="W75" s="120"/>
      <c r="X75" s="104">
        <v>232.61184028114403</v>
      </c>
      <c r="Y75" s="120"/>
      <c r="Z75" s="120">
        <v>242.60264992894</v>
      </c>
      <c r="AA75" s="104"/>
      <c r="AB75" s="104">
        <f t="shared" si="0"/>
        <v>189.51521336256079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103" t="s">
        <v>70</v>
      </c>
      <c r="C76" s="72"/>
      <c r="D76" s="104">
        <v>4.3913000000000002</v>
      </c>
      <c r="E76" s="104"/>
      <c r="F76" s="104">
        <v>15.245900000000001</v>
      </c>
      <c r="G76" s="104"/>
      <c r="H76" s="104">
        <v>5.0069999999999997</v>
      </c>
      <c r="I76" s="104"/>
      <c r="J76" s="104">
        <v>4.9869300000000001</v>
      </c>
      <c r="K76" s="104"/>
      <c r="L76" s="104">
        <v>0</v>
      </c>
      <c r="M76" s="104"/>
      <c r="N76" s="104">
        <v>8.3904200000000007</v>
      </c>
      <c r="O76" s="104"/>
      <c r="P76" s="104">
        <v>4.6877000000000004</v>
      </c>
      <c r="Q76" s="104"/>
      <c r="R76" s="104">
        <v>23.74025</v>
      </c>
      <c r="S76" s="104"/>
      <c r="T76" s="104">
        <v>0</v>
      </c>
      <c r="U76" s="120"/>
      <c r="V76" s="104">
        <v>18.893529999999998</v>
      </c>
      <c r="W76" s="120"/>
      <c r="X76" s="104">
        <v>0</v>
      </c>
      <c r="Y76" s="120"/>
      <c r="Z76" s="120">
        <v>5.0150499999999996</v>
      </c>
      <c r="AA76" s="104"/>
      <c r="AB76" s="104">
        <f t="shared" si="0"/>
        <v>7.5298400000000001</v>
      </c>
      <c r="AC76" s="216"/>
      <c r="AD76" s="216"/>
      <c r="AE76" s="216"/>
      <c r="AF76" s="216"/>
      <c r="AG76" s="216"/>
      <c r="AH76" s="216"/>
      <c r="AI76" s="216"/>
    </row>
    <row r="77" spans="1:35">
      <c r="B77" s="472" t="s">
        <v>101</v>
      </c>
      <c r="C77" s="472"/>
      <c r="D77" s="472"/>
      <c r="E77" s="472"/>
      <c r="F77" s="472"/>
      <c r="G77" s="472"/>
      <c r="H77" s="472"/>
      <c r="I77" s="472"/>
      <c r="J77" s="472"/>
      <c r="K77" s="472"/>
      <c r="L77" s="472"/>
      <c r="M77" s="472"/>
      <c r="N77" s="472"/>
      <c r="O77" s="472"/>
      <c r="P77" s="472"/>
      <c r="Q77" s="472"/>
      <c r="R77" s="472"/>
      <c r="S77" s="472"/>
      <c r="T77" s="472"/>
      <c r="U77" s="472"/>
      <c r="V77" s="472"/>
      <c r="W77" s="472"/>
      <c r="X77" s="472"/>
      <c r="Y77" s="472"/>
      <c r="Z77" s="472"/>
      <c r="AA77" s="472"/>
      <c r="AB77" s="472"/>
    </row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</sheetData>
  <mergeCells count="92">
    <mergeCell ref="B2:AB2"/>
    <mergeCell ref="B47:AB47"/>
    <mergeCell ref="B48:AB48"/>
    <mergeCell ref="B3:AB3"/>
    <mergeCell ref="K7:L7"/>
    <mergeCell ref="M7:N7"/>
    <mergeCell ref="C7:D7"/>
    <mergeCell ref="E7:F7"/>
    <mergeCell ref="G7:H7"/>
    <mergeCell ref="I7:J7"/>
    <mergeCell ref="AA5:AB5"/>
    <mergeCell ref="W4:X4"/>
    <mergeCell ref="Y4:Z4"/>
    <mergeCell ref="Y5:Z5"/>
    <mergeCell ref="AA4:AB4"/>
    <mergeCell ref="C5:D5"/>
    <mergeCell ref="B58:AB58"/>
    <mergeCell ref="B54:AB54"/>
    <mergeCell ref="B51:AB51"/>
    <mergeCell ref="B52:AB52"/>
    <mergeCell ref="B56:AB56"/>
    <mergeCell ref="B49:AB49"/>
    <mergeCell ref="B50:AB50"/>
    <mergeCell ref="B57:AB57"/>
    <mergeCell ref="W7:X7"/>
    <mergeCell ref="Y7:Z7"/>
    <mergeCell ref="AA7:AB7"/>
    <mergeCell ref="O7:P7"/>
    <mergeCell ref="Q7:R7"/>
    <mergeCell ref="S7:T7"/>
    <mergeCell ref="U7:V7"/>
    <mergeCell ref="E5:F5"/>
    <mergeCell ref="G5:H5"/>
    <mergeCell ref="I5:J5"/>
    <mergeCell ref="K5:L5"/>
    <mergeCell ref="O4:P4"/>
    <mergeCell ref="M5:N5"/>
    <mergeCell ref="O5:P5"/>
    <mergeCell ref="M4:N4"/>
    <mergeCell ref="Q5:R5"/>
    <mergeCell ref="S5:T5"/>
    <mergeCell ref="U5:V5"/>
    <mergeCell ref="W5:X5"/>
    <mergeCell ref="Q4:R4"/>
    <mergeCell ref="S4:T4"/>
    <mergeCell ref="U4:V4"/>
    <mergeCell ref="C4:D4"/>
    <mergeCell ref="E4:F4"/>
    <mergeCell ref="G4:H4"/>
    <mergeCell ref="I4:J4"/>
    <mergeCell ref="K4:L4"/>
    <mergeCell ref="B77:AB77"/>
    <mergeCell ref="C61:D61"/>
    <mergeCell ref="E61:F61"/>
    <mergeCell ref="G61:H61"/>
    <mergeCell ref="I61:J61"/>
    <mergeCell ref="K61:L61"/>
    <mergeCell ref="M61:N61"/>
    <mergeCell ref="U61:V61"/>
    <mergeCell ref="AA61:AB61"/>
    <mergeCell ref="K62:L62"/>
    <mergeCell ref="O61:P61"/>
    <mergeCell ref="M62:N62"/>
    <mergeCell ref="O62:P62"/>
    <mergeCell ref="S61:T61"/>
    <mergeCell ref="C62:D62"/>
    <mergeCell ref="E62:F62"/>
    <mergeCell ref="G62:H62"/>
    <mergeCell ref="I62:J62"/>
    <mergeCell ref="Y61:Z61"/>
    <mergeCell ref="Q62:R62"/>
    <mergeCell ref="S62:T62"/>
    <mergeCell ref="U62:V62"/>
    <mergeCell ref="Q61:R61"/>
    <mergeCell ref="W61:X61"/>
    <mergeCell ref="W62:X62"/>
    <mergeCell ref="AA63:AB63"/>
    <mergeCell ref="B60:AB60"/>
    <mergeCell ref="S63:T63"/>
    <mergeCell ref="U63:V63"/>
    <mergeCell ref="W63:X63"/>
    <mergeCell ref="Y63:Z63"/>
    <mergeCell ref="Y62:Z62"/>
    <mergeCell ref="AA62:AB62"/>
    <mergeCell ref="C63:D63"/>
    <mergeCell ref="E63:F63"/>
    <mergeCell ref="G63:H63"/>
    <mergeCell ref="I63:J63"/>
    <mergeCell ref="K63:L63"/>
    <mergeCell ref="M63:N63"/>
    <mergeCell ref="O63:P63"/>
    <mergeCell ref="Q63:R63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60" orientation="landscape" r:id="rId1"/>
  <headerFooter alignWithMargins="0"/>
  <ignoredErrors>
    <ignoredError sqref="AB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1"/>
  <sheetViews>
    <sheetView showGridLines="0" topLeftCell="A58" zoomScale="75" zoomScaleNormal="75" workbookViewId="0">
      <selection activeCell="AC17" sqref="AC17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53" t="s">
        <v>43</v>
      </c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453"/>
      <c r="Y2" s="453"/>
      <c r="Z2" s="453"/>
      <c r="AA2" s="453"/>
      <c r="AB2" s="453"/>
      <c r="AC2" s="214"/>
      <c r="AD2" s="214"/>
      <c r="AE2" s="214"/>
      <c r="AF2" s="214"/>
    </row>
    <row r="3" spans="1:35" ht="15.75" customHeight="1" thickBot="1">
      <c r="B3" s="459" t="s">
        <v>57</v>
      </c>
      <c r="C3" s="459"/>
      <c r="D3" s="459"/>
      <c r="E3" s="459"/>
      <c r="F3" s="459"/>
      <c r="G3" s="459"/>
      <c r="H3" s="459"/>
      <c r="I3" s="459"/>
      <c r="J3" s="459"/>
      <c r="K3" s="459"/>
      <c r="L3" s="459"/>
      <c r="M3" s="459"/>
      <c r="N3" s="459"/>
      <c r="O3" s="459"/>
      <c r="P3" s="459"/>
      <c r="Q3" s="459"/>
      <c r="R3" s="459"/>
      <c r="S3" s="459"/>
      <c r="T3" s="459"/>
      <c r="U3" s="459"/>
      <c r="V3" s="459"/>
      <c r="W3" s="459"/>
      <c r="X3" s="459"/>
      <c r="Y3" s="459"/>
      <c r="Z3" s="459"/>
      <c r="AA3" s="459"/>
      <c r="AB3" s="459"/>
      <c r="AC3" s="215"/>
      <c r="AD3" s="215"/>
      <c r="AE3" s="215"/>
      <c r="AF3" s="215"/>
    </row>
    <row r="4" spans="1:35">
      <c r="B4" s="63"/>
      <c r="C4" s="456"/>
      <c r="D4" s="457"/>
      <c r="E4" s="456"/>
      <c r="F4" s="463"/>
      <c r="G4" s="456"/>
      <c r="H4" s="463"/>
      <c r="I4" s="456"/>
      <c r="J4" s="463"/>
      <c r="K4" s="456"/>
      <c r="L4" s="463"/>
      <c r="M4" s="456"/>
      <c r="N4" s="463"/>
      <c r="O4" s="456"/>
      <c r="P4" s="463"/>
      <c r="Q4" s="456"/>
      <c r="R4" s="463"/>
      <c r="S4" s="456"/>
      <c r="T4" s="463"/>
      <c r="U4" s="456"/>
      <c r="V4" s="462"/>
      <c r="W4" s="456"/>
      <c r="X4" s="462"/>
      <c r="Y4" s="456"/>
      <c r="Z4" s="462"/>
      <c r="AA4" s="456"/>
      <c r="AB4" s="462"/>
    </row>
    <row r="5" spans="1:35">
      <c r="B5" s="64">
        <v>1997</v>
      </c>
      <c r="C5" s="454" t="s">
        <v>4</v>
      </c>
      <c r="D5" s="460"/>
      <c r="E5" s="454" t="s">
        <v>5</v>
      </c>
      <c r="F5" s="455"/>
      <c r="G5" s="454" t="s">
        <v>6</v>
      </c>
      <c r="H5" s="455"/>
      <c r="I5" s="454" t="s">
        <v>7</v>
      </c>
      <c r="J5" s="455"/>
      <c r="K5" s="454" t="s">
        <v>8</v>
      </c>
      <c r="L5" s="455"/>
      <c r="M5" s="454" t="s">
        <v>9</v>
      </c>
      <c r="N5" s="455"/>
      <c r="O5" s="454" t="s">
        <v>10</v>
      </c>
      <c r="P5" s="455"/>
      <c r="Q5" s="458" t="s">
        <v>11</v>
      </c>
      <c r="R5" s="455"/>
      <c r="S5" s="458" t="s">
        <v>12</v>
      </c>
      <c r="T5" s="455"/>
      <c r="U5" s="454" t="s">
        <v>0</v>
      </c>
      <c r="V5" s="461"/>
      <c r="W5" s="454" t="s">
        <v>1</v>
      </c>
      <c r="X5" s="461"/>
      <c r="Y5" s="454" t="s">
        <v>2</v>
      </c>
      <c r="Z5" s="461"/>
      <c r="AA5" s="454" t="s">
        <v>15</v>
      </c>
      <c r="AB5" s="46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5"/>
      <c r="D7" s="468"/>
      <c r="E7" s="465"/>
      <c r="F7" s="466"/>
      <c r="G7" s="465"/>
      <c r="H7" s="466"/>
      <c r="I7" s="465"/>
      <c r="J7" s="466"/>
      <c r="K7" s="465"/>
      <c r="L7" s="466"/>
      <c r="M7" s="465"/>
      <c r="N7" s="466"/>
      <c r="O7" s="465"/>
      <c r="P7" s="466"/>
      <c r="Q7" s="465"/>
      <c r="R7" s="466"/>
      <c r="S7" s="465"/>
      <c r="T7" s="466"/>
      <c r="U7" s="465"/>
      <c r="V7" s="467"/>
      <c r="W7" s="465"/>
      <c r="X7" s="467"/>
      <c r="Y7" s="465"/>
      <c r="Z7" s="467"/>
      <c r="AA7" s="465"/>
      <c r="AB7" s="467"/>
    </row>
    <row r="8" spans="1:35" s="202" customFormat="1" ht="14.25" customHeight="1">
      <c r="A8" s="44"/>
      <c r="B8" s="71" t="s">
        <v>16</v>
      </c>
      <c r="C8" s="72"/>
      <c r="D8" s="41">
        <f>D9+D12</f>
        <v>24906.446952847393</v>
      </c>
      <c r="E8" s="42"/>
      <c r="F8" s="41">
        <f>F9+F12</f>
        <v>23011.438440280002</v>
      </c>
      <c r="G8" s="41"/>
      <c r="H8" s="41">
        <f>H9+H12</f>
        <v>23546.393183940003</v>
      </c>
      <c r="I8" s="41"/>
      <c r="J8" s="41">
        <f>J9+J12</f>
        <v>23082.241584629999</v>
      </c>
      <c r="K8" s="41"/>
      <c r="L8" s="41">
        <f>L9+L12</f>
        <v>26924.043811500003</v>
      </c>
      <c r="M8" s="41"/>
      <c r="N8" s="41">
        <f>N9+N12</f>
        <v>23619.521517110868</v>
      </c>
      <c r="O8" s="41"/>
      <c r="P8" s="41">
        <f>P9+P12</f>
        <v>24504.344055730002</v>
      </c>
      <c r="Q8" s="41"/>
      <c r="R8" s="41">
        <f>R9+R12</f>
        <v>23145.462494540003</v>
      </c>
      <c r="S8" s="41"/>
      <c r="T8" s="41">
        <f>T9+T12</f>
        <v>22458.87464554</v>
      </c>
      <c r="U8" s="41"/>
      <c r="V8" s="41">
        <f>V9+V12</f>
        <v>26089.621478180001</v>
      </c>
      <c r="W8" s="41"/>
      <c r="X8" s="41">
        <f>X9+X12</f>
        <v>24974.496189000005</v>
      </c>
      <c r="Y8" s="41"/>
      <c r="Z8" s="41">
        <f>Z9+Z12</f>
        <v>30697.897239087499</v>
      </c>
      <c r="AA8" s="73"/>
      <c r="AB8" s="73">
        <f>AB9+AB12</f>
        <v>296960.78159238579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23841.312747967393</v>
      </c>
      <c r="E9" s="42"/>
      <c r="F9" s="42">
        <f>+F10+F11</f>
        <v>22131.182915870002</v>
      </c>
      <c r="G9" s="42"/>
      <c r="H9" s="42">
        <f>+H10+H11</f>
        <v>22577.518400070003</v>
      </c>
      <c r="I9" s="42"/>
      <c r="J9" s="42">
        <f>+J10+J11</f>
        <v>22854.771215950001</v>
      </c>
      <c r="K9" s="42"/>
      <c r="L9" s="42">
        <f>+L10+L11</f>
        <v>22405.913438130003</v>
      </c>
      <c r="M9" s="42"/>
      <c r="N9" s="42">
        <f>+N10+N11</f>
        <v>22677.551785160867</v>
      </c>
      <c r="O9" s="42"/>
      <c r="P9" s="42">
        <f>+P10+P11</f>
        <v>23327.856988060001</v>
      </c>
      <c r="Q9" s="42"/>
      <c r="R9" s="42">
        <f>+R10+R11</f>
        <v>22463.693608570004</v>
      </c>
      <c r="S9" s="42"/>
      <c r="T9" s="42">
        <f>+T10+T11</f>
        <v>21402.443565990001</v>
      </c>
      <c r="U9" s="42"/>
      <c r="V9" s="42">
        <f>+V10+V11</f>
        <v>25175.064779920001</v>
      </c>
      <c r="W9" s="42"/>
      <c r="X9" s="42">
        <f>+X10+X11</f>
        <v>22460.477628690001</v>
      </c>
      <c r="Y9" s="42"/>
      <c r="Z9" s="42">
        <f>+Z10+Z11</f>
        <v>27430.7694909075</v>
      </c>
      <c r="AA9" s="75"/>
      <c r="AB9" s="75">
        <f>+AB10+AB11</f>
        <v>278748.55656528578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194" t="s">
        <v>77</v>
      </c>
      <c r="C10" s="72"/>
      <c r="D10" s="42">
        <v>8722.9268282200028</v>
      </c>
      <c r="E10" s="42"/>
      <c r="F10" s="42">
        <v>7612.3498458700005</v>
      </c>
      <c r="G10" s="42"/>
      <c r="H10" s="42">
        <v>7559.1312700700009</v>
      </c>
      <c r="I10" s="42"/>
      <c r="J10" s="42">
        <v>7377.5192559500001</v>
      </c>
      <c r="K10" s="42"/>
      <c r="L10" s="42">
        <v>7061.6876481300005</v>
      </c>
      <c r="M10" s="42"/>
      <c r="N10" s="42">
        <v>7563.0266613999993</v>
      </c>
      <c r="O10" s="42"/>
      <c r="P10" s="42">
        <v>7018.625588060002</v>
      </c>
      <c r="Q10" s="42"/>
      <c r="R10" s="42">
        <v>6277.0063685699997</v>
      </c>
      <c r="S10" s="42"/>
      <c r="T10" s="42">
        <v>6525.9876924300006</v>
      </c>
      <c r="U10" s="42"/>
      <c r="V10" s="42">
        <v>9255.2975099199994</v>
      </c>
      <c r="W10" s="42"/>
      <c r="X10" s="42">
        <v>7102.0597186899995</v>
      </c>
      <c r="Y10" s="42"/>
      <c r="Z10" s="42">
        <v>9390.5310080074996</v>
      </c>
      <c r="AA10" s="75"/>
      <c r="AB10" s="75">
        <f>SUM(D10:Z10)</f>
        <v>91466.149395317494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194" t="s">
        <v>78</v>
      </c>
      <c r="C11" s="72"/>
      <c r="D11" s="42">
        <v>15118.385919747392</v>
      </c>
      <c r="E11" s="42"/>
      <c r="F11" s="42">
        <v>14518.833070000001</v>
      </c>
      <c r="G11" s="42"/>
      <c r="H11" s="42">
        <v>15018.387130000001</v>
      </c>
      <c r="I11" s="42"/>
      <c r="J11" s="42">
        <v>15477.251960000001</v>
      </c>
      <c r="K11" s="42"/>
      <c r="L11" s="42">
        <v>15344.225790000002</v>
      </c>
      <c r="M11" s="42"/>
      <c r="N11" s="42">
        <v>15114.52512376087</v>
      </c>
      <c r="O11" s="42"/>
      <c r="P11" s="42">
        <v>16309.231399999999</v>
      </c>
      <c r="Q11" s="42"/>
      <c r="R11" s="42">
        <v>16186.687240000003</v>
      </c>
      <c r="S11" s="42"/>
      <c r="T11" s="42">
        <v>14876.45587356</v>
      </c>
      <c r="U11" s="42"/>
      <c r="V11" s="42">
        <v>15919.76727</v>
      </c>
      <c r="W11" s="42"/>
      <c r="X11" s="42">
        <v>15358.41791</v>
      </c>
      <c r="Y11" s="42"/>
      <c r="Z11" s="42">
        <v>18040.2384829</v>
      </c>
      <c r="AA11" s="77"/>
      <c r="AB11" s="75">
        <f>SUM(D11:Z11)</f>
        <v>187282.40716996827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206" t="s">
        <v>79</v>
      </c>
      <c r="C12" s="72"/>
      <c r="D12" s="42">
        <v>1065.13420488</v>
      </c>
      <c r="E12" s="42"/>
      <c r="F12" s="42">
        <v>880.25552440999979</v>
      </c>
      <c r="G12" s="42"/>
      <c r="H12" s="42">
        <v>968.87478386999999</v>
      </c>
      <c r="I12" s="42"/>
      <c r="J12" s="42">
        <v>227.47036867999972</v>
      </c>
      <c r="K12" s="42"/>
      <c r="L12" s="42">
        <v>4518.1303733700006</v>
      </c>
      <c r="M12" s="42"/>
      <c r="N12" s="42">
        <v>941.96973194999953</v>
      </c>
      <c r="O12" s="42"/>
      <c r="P12" s="42">
        <v>1176.4870676700014</v>
      </c>
      <c r="Q12" s="42"/>
      <c r="R12" s="42">
        <v>681.76888597000004</v>
      </c>
      <c r="S12" s="42"/>
      <c r="T12" s="42">
        <v>1056.43107955</v>
      </c>
      <c r="U12" s="42"/>
      <c r="V12" s="42">
        <v>914.55669825999928</v>
      </c>
      <c r="W12" s="42"/>
      <c r="X12" s="42">
        <v>2514.0185603100017</v>
      </c>
      <c r="Y12" s="42"/>
      <c r="Z12" s="42">
        <v>3267.1277481799998</v>
      </c>
      <c r="AA12" s="75"/>
      <c r="AB12" s="75">
        <f>SUM(D12:Z12)</f>
        <v>18212.225027100001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80</v>
      </c>
      <c r="C14" s="82"/>
      <c r="D14" s="45">
        <f>+D15+D16+D17</f>
        <v>1875.99437225</v>
      </c>
      <c r="E14" s="45"/>
      <c r="F14" s="45">
        <f>+F15+F16+F17</f>
        <v>2677.02426014</v>
      </c>
      <c r="G14" s="45"/>
      <c r="H14" s="45">
        <f>+H15+H16+H17</f>
        <v>2114.9815340599998</v>
      </c>
      <c r="I14" s="45"/>
      <c r="J14" s="45">
        <f>+J15+J16+J17</f>
        <v>2524.2391573799996</v>
      </c>
      <c r="K14" s="45"/>
      <c r="L14" s="45">
        <f>+L15+L16+L17</f>
        <v>1916.1450600999999</v>
      </c>
      <c r="M14" s="45"/>
      <c r="N14" s="45">
        <f>+N15+N16+N17</f>
        <v>2587.9333643399996</v>
      </c>
      <c r="O14" s="45"/>
      <c r="P14" s="45">
        <f>+P15+P16+P17</f>
        <v>2680.0112179099997</v>
      </c>
      <c r="Q14" s="45"/>
      <c r="R14" s="45">
        <f>+R15+R16+R17</f>
        <v>2943.5649674000006</v>
      </c>
      <c r="S14" s="45"/>
      <c r="T14" s="45">
        <f>+T15+T16+T17</f>
        <v>3182.2059307</v>
      </c>
      <c r="U14" s="45"/>
      <c r="V14" s="45">
        <f>+V15+V16+V17</f>
        <v>3383.9756055500006</v>
      </c>
      <c r="W14" s="45"/>
      <c r="X14" s="45">
        <f>+X15+X16+X17</f>
        <v>2846.8932403500003</v>
      </c>
      <c r="Y14" s="45"/>
      <c r="Z14" s="45">
        <f>+Z15+Z16+Z17</f>
        <v>7609.7977440600007</v>
      </c>
      <c r="AA14" s="83"/>
      <c r="AB14" s="83">
        <f>+AB15+AB16+AB17</f>
        <v>36342.766454240002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392.15279844999992</v>
      </c>
      <c r="E15" s="42"/>
      <c r="F15" s="42">
        <v>561.13126270999999</v>
      </c>
      <c r="G15" s="42"/>
      <c r="H15" s="42">
        <v>584.29687131999992</v>
      </c>
      <c r="I15" s="42"/>
      <c r="J15" s="42">
        <v>788.75675242000011</v>
      </c>
      <c r="K15" s="42"/>
      <c r="L15" s="42">
        <v>496.66292660000005</v>
      </c>
      <c r="M15" s="42"/>
      <c r="N15" s="42">
        <v>641.23313810000002</v>
      </c>
      <c r="O15" s="42"/>
      <c r="P15" s="42">
        <v>648.18754009999998</v>
      </c>
      <c r="Q15" s="42"/>
      <c r="R15" s="42">
        <v>704.69553050000002</v>
      </c>
      <c r="S15" s="42"/>
      <c r="T15" s="42">
        <v>899.19735151000009</v>
      </c>
      <c r="U15" s="42"/>
      <c r="V15" s="42">
        <v>1017.7310897799999</v>
      </c>
      <c r="W15" s="42"/>
      <c r="X15" s="42">
        <v>859.16351394000014</v>
      </c>
      <c r="Y15" s="42"/>
      <c r="Z15" s="42">
        <v>2864.13252693</v>
      </c>
      <c r="AA15" s="75"/>
      <c r="AB15" s="75">
        <f>SUM(D15:Z15)</f>
        <v>10457.341302360001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393.40246213</v>
      </c>
      <c r="E16" s="42"/>
      <c r="F16" s="42">
        <v>527.67004771999996</v>
      </c>
      <c r="G16" s="42"/>
      <c r="H16" s="42">
        <v>311.79917284999999</v>
      </c>
      <c r="I16" s="42"/>
      <c r="J16" s="42">
        <v>299.06684414</v>
      </c>
      <c r="K16" s="42"/>
      <c r="L16" s="42">
        <v>319.61234005</v>
      </c>
      <c r="M16" s="42"/>
      <c r="N16" s="42">
        <v>370.45729108999996</v>
      </c>
      <c r="O16" s="42"/>
      <c r="P16" s="42">
        <v>405.36289829000003</v>
      </c>
      <c r="Q16" s="42"/>
      <c r="R16" s="42">
        <v>402.05645054999997</v>
      </c>
      <c r="S16" s="42"/>
      <c r="T16" s="42">
        <v>432.75667833999995</v>
      </c>
      <c r="U16" s="42"/>
      <c r="V16" s="42">
        <v>453.23517780999998</v>
      </c>
      <c r="W16" s="42"/>
      <c r="X16" s="42">
        <v>485.81255269999997</v>
      </c>
      <c r="Y16" s="42"/>
      <c r="Z16" s="42">
        <v>552.97134964999998</v>
      </c>
      <c r="AA16" s="75"/>
      <c r="AB16" s="75">
        <f>SUM(D16:Z16)</f>
        <v>4954.2032653199994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206" t="s">
        <v>81</v>
      </c>
      <c r="C17" s="72"/>
      <c r="D17" s="42">
        <v>1090.4391116700001</v>
      </c>
      <c r="E17" s="42"/>
      <c r="F17" s="42">
        <v>1588.2229497100002</v>
      </c>
      <c r="G17" s="42"/>
      <c r="H17" s="42">
        <v>1218.8854898899999</v>
      </c>
      <c r="I17" s="42"/>
      <c r="J17" s="42">
        <v>1436.4155608199997</v>
      </c>
      <c r="K17" s="42"/>
      <c r="L17" s="42">
        <v>1099.8697934499999</v>
      </c>
      <c r="M17" s="42"/>
      <c r="N17" s="42">
        <v>1576.2429351499995</v>
      </c>
      <c r="O17" s="42"/>
      <c r="P17" s="42">
        <v>1626.4607795199997</v>
      </c>
      <c r="Q17" s="42"/>
      <c r="R17" s="42">
        <v>1836.8129863500003</v>
      </c>
      <c r="S17" s="42"/>
      <c r="T17" s="42">
        <v>1850.2519008500001</v>
      </c>
      <c r="U17" s="42"/>
      <c r="V17" s="42">
        <v>1913.0093379600007</v>
      </c>
      <c r="W17" s="42"/>
      <c r="X17" s="42">
        <v>1501.91717371</v>
      </c>
      <c r="Y17" s="42"/>
      <c r="Z17" s="42">
        <v>4192.6938674800003</v>
      </c>
      <c r="AA17" s="75"/>
      <c r="AB17" s="75">
        <f>SUM(D17:Z17)</f>
        <v>20931.221886560001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330.83619032000001</v>
      </c>
      <c r="E19" s="42"/>
      <c r="F19" s="42">
        <v>338.73103690000011</v>
      </c>
      <c r="G19" s="42"/>
      <c r="H19" s="42">
        <v>0.86119553999996179</v>
      </c>
      <c r="I19" s="42"/>
      <c r="J19" s="42">
        <v>154.16457940999985</v>
      </c>
      <c r="K19" s="42"/>
      <c r="L19" s="42">
        <v>84.919633199999993</v>
      </c>
      <c r="M19" s="42"/>
      <c r="N19" s="42">
        <v>32.603014910000084</v>
      </c>
      <c r="O19" s="42"/>
      <c r="P19" s="42">
        <v>353.92302702000114</v>
      </c>
      <c r="Q19" s="42"/>
      <c r="R19" s="42">
        <v>238.06581348999973</v>
      </c>
      <c r="S19" s="42"/>
      <c r="T19" s="42">
        <v>61.07018214999998</v>
      </c>
      <c r="U19" s="42"/>
      <c r="V19" s="42">
        <v>32.879873049999716</v>
      </c>
      <c r="W19" s="42"/>
      <c r="X19" s="42">
        <v>480.81591452999976</v>
      </c>
      <c r="Y19" s="42"/>
      <c r="Z19" s="42">
        <v>-416.18341759999987</v>
      </c>
      <c r="AA19" s="42"/>
      <c r="AB19" s="124">
        <f>SUM(D19:Z19)</f>
        <v>1692.6870429200007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228" t="s">
        <v>82</v>
      </c>
      <c r="C21" s="72"/>
      <c r="D21" s="42">
        <v>1602.0004899999999</v>
      </c>
      <c r="E21" s="42"/>
      <c r="F21" s="42">
        <v>1220.0741399999999</v>
      </c>
      <c r="G21" s="42"/>
      <c r="H21" s="42">
        <v>1330.3668799999998</v>
      </c>
      <c r="I21" s="42"/>
      <c r="J21" s="42">
        <v>1813.30116</v>
      </c>
      <c r="K21" s="42"/>
      <c r="L21" s="42">
        <v>1153.6620700000001</v>
      </c>
      <c r="M21" s="42"/>
      <c r="N21" s="42">
        <v>1178.99369</v>
      </c>
      <c r="O21" s="42"/>
      <c r="P21" s="42">
        <v>1364.8397</v>
      </c>
      <c r="Q21" s="42"/>
      <c r="R21" s="42">
        <v>1668.82188</v>
      </c>
      <c r="S21" s="42"/>
      <c r="T21" s="42">
        <v>2413.1795200000001</v>
      </c>
      <c r="U21" s="42"/>
      <c r="V21" s="42">
        <v>2089.0182</v>
      </c>
      <c r="W21" s="42"/>
      <c r="X21" s="42">
        <v>2123.9850899999997</v>
      </c>
      <c r="Y21" s="42"/>
      <c r="Z21" s="42">
        <v>2409.5182599999998</v>
      </c>
      <c r="AA21" s="42"/>
      <c r="AB21" s="75">
        <f>SUM(D21:Z21)</f>
        <v>20367.76108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83</v>
      </c>
      <c r="C23" s="82"/>
      <c r="D23" s="45">
        <f>D8-D14-D19-D21</f>
        <v>21097.615900277397</v>
      </c>
      <c r="E23" s="45"/>
      <c r="F23" s="45">
        <f>F8-F14-F19-F21</f>
        <v>18775.609003240002</v>
      </c>
      <c r="G23" s="45"/>
      <c r="H23" s="45">
        <f>H8-H14-H19-H21</f>
        <v>20100.183574340001</v>
      </c>
      <c r="I23" s="45"/>
      <c r="J23" s="45">
        <f>J8-J14-J19-J21</f>
        <v>18590.536687840002</v>
      </c>
      <c r="K23" s="45"/>
      <c r="L23" s="45">
        <f>L8-L14-L19-L21</f>
        <v>23769.317048200006</v>
      </c>
      <c r="M23" s="45"/>
      <c r="N23" s="45">
        <f>N8-N14-N19-N21</f>
        <v>19819.99144786087</v>
      </c>
      <c r="O23" s="45"/>
      <c r="P23" s="45">
        <f>P8-P14-P19-P21</f>
        <v>20105.570110799999</v>
      </c>
      <c r="Q23" s="45"/>
      <c r="R23" s="45">
        <f>R8-R14-R19-R21</f>
        <v>18295.009833650001</v>
      </c>
      <c r="S23" s="45"/>
      <c r="T23" s="45">
        <f>T8-T14-T19-T21</f>
        <v>16802.419012689999</v>
      </c>
      <c r="U23" s="45"/>
      <c r="V23" s="45">
        <f>V8-V14-V19-V21</f>
        <v>20583.747799580004</v>
      </c>
      <c r="W23" s="45"/>
      <c r="X23" s="45">
        <f>X8-X14-X19-X21</f>
        <v>19522.801944120005</v>
      </c>
      <c r="Y23" s="45"/>
      <c r="Z23" s="45">
        <f>Z8-Z14-Z19-Z21</f>
        <v>21094.764652627498</v>
      </c>
      <c r="AA23" s="45"/>
      <c r="AB23" s="83">
        <f>AB8-AB14-AB19-AB21</f>
        <v>238557.56701522577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84</v>
      </c>
      <c r="C25" s="82"/>
      <c r="D25" s="45">
        <f>+D27+D26</f>
        <v>3003.4634985999987</v>
      </c>
      <c r="E25" s="82"/>
      <c r="F25" s="45">
        <f>+F27+F26</f>
        <v>2491.5572927199996</v>
      </c>
      <c r="G25" s="82"/>
      <c r="H25" s="45">
        <f>+H27+H26</f>
        <v>1670.9401089799999</v>
      </c>
      <c r="I25" s="82"/>
      <c r="J25" s="45">
        <f>+J27+J26</f>
        <v>1701.9061886099996</v>
      </c>
      <c r="K25" s="82"/>
      <c r="L25" s="45">
        <f>+L27+L26</f>
        <v>1801.7036621900002</v>
      </c>
      <c r="M25" s="82"/>
      <c r="N25" s="45">
        <f>+N27+N26</f>
        <v>2248.3000532699994</v>
      </c>
      <c r="O25" s="82"/>
      <c r="P25" s="45">
        <f>+P27+P26</f>
        <v>2201.2274591999999</v>
      </c>
      <c r="Q25" s="82"/>
      <c r="R25" s="45">
        <f>+R27+R26</f>
        <v>2268.5300821300002</v>
      </c>
      <c r="S25" s="82"/>
      <c r="T25" s="45">
        <f>+T27+T26</f>
        <v>2667.1539755499998</v>
      </c>
      <c r="U25" s="82"/>
      <c r="V25" s="45">
        <f>+V27+V26</f>
        <v>2282.8931881899994</v>
      </c>
      <c r="W25" s="82"/>
      <c r="X25" s="45">
        <f>+X27+X26</f>
        <v>2206.7488283900002</v>
      </c>
      <c r="Y25" s="82"/>
      <c r="Z25" s="45">
        <f>+Z27+Z26</f>
        <v>4249.3799016899984</v>
      </c>
      <c r="AA25" s="82"/>
      <c r="AB25" s="45">
        <f>+AB27+AB26</f>
        <v>28793.804239519995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206" t="s">
        <v>86</v>
      </c>
      <c r="C26" s="72"/>
      <c r="D26" s="42">
        <v>0</v>
      </c>
      <c r="E26" s="42"/>
      <c r="F26" s="42">
        <v>0</v>
      </c>
      <c r="G26" s="42"/>
      <c r="H26" s="42">
        <v>0</v>
      </c>
      <c r="I26" s="42"/>
      <c r="J26" s="42">
        <v>0</v>
      </c>
      <c r="K26" s="42"/>
      <c r="L26" s="42">
        <v>0</v>
      </c>
      <c r="M26" s="42"/>
      <c r="N26" s="42">
        <v>0</v>
      </c>
      <c r="O26" s="42"/>
      <c r="P26" s="42">
        <v>0</v>
      </c>
      <c r="Q26" s="77"/>
      <c r="R26" s="42">
        <v>0</v>
      </c>
      <c r="S26" s="42"/>
      <c r="T26" s="42">
        <v>0</v>
      </c>
      <c r="U26" s="42"/>
      <c r="V26" s="42">
        <v>0</v>
      </c>
      <c r="W26" s="42"/>
      <c r="X26" s="42">
        <v>0</v>
      </c>
      <c r="Y26" s="42"/>
      <c r="Z26" s="42">
        <v>0</v>
      </c>
      <c r="AA26" s="42"/>
      <c r="AB26" s="42">
        <f>SUM(D26:Z26)</f>
        <v>0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3003.4634985999987</v>
      </c>
      <c r="E27" s="42"/>
      <c r="F27" s="42">
        <f>+F28+F29</f>
        <v>2491.5572927199996</v>
      </c>
      <c r="G27" s="42"/>
      <c r="H27" s="42">
        <f>+H28+H29</f>
        <v>1670.9401089799999</v>
      </c>
      <c r="I27" s="42"/>
      <c r="J27" s="42">
        <f>+J28+J29</f>
        <v>1701.9061886099996</v>
      </c>
      <c r="K27" s="42"/>
      <c r="L27" s="42">
        <f>+L28+L29</f>
        <v>1801.7036621900002</v>
      </c>
      <c r="M27" s="42"/>
      <c r="N27" s="42">
        <f>+N28+N29</f>
        <v>2248.3000532699994</v>
      </c>
      <c r="O27" s="42"/>
      <c r="P27" s="42">
        <f>+P28+P29</f>
        <v>2201.2274591999999</v>
      </c>
      <c r="Q27" s="42"/>
      <c r="R27" s="42">
        <f>+R28+R29</f>
        <v>2268.5300821300002</v>
      </c>
      <c r="S27" s="42"/>
      <c r="T27" s="42">
        <f>+T28+T29</f>
        <v>2667.1539755499998</v>
      </c>
      <c r="U27" s="42"/>
      <c r="V27" s="42">
        <f>+V28+V29</f>
        <v>2282.8931881899994</v>
      </c>
      <c r="W27" s="42"/>
      <c r="X27" s="42">
        <f>+X28+X29</f>
        <v>2206.7488283900002</v>
      </c>
      <c r="Y27" s="42"/>
      <c r="Z27" s="42">
        <f>+Z28+Z29</f>
        <v>4249.3799016899984</v>
      </c>
      <c r="AA27" s="75"/>
      <c r="AB27" s="75">
        <f>+AB28+AB29</f>
        <v>28793.804239519995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194" t="s">
        <v>87</v>
      </c>
      <c r="C28" s="90"/>
      <c r="D28" s="42">
        <v>3003.4634985999987</v>
      </c>
      <c r="E28" s="42"/>
      <c r="F28" s="42">
        <v>2491.5572927199996</v>
      </c>
      <c r="G28" s="42"/>
      <c r="H28" s="42">
        <v>1668.5696189799999</v>
      </c>
      <c r="I28" s="42"/>
      <c r="J28" s="42">
        <v>1701.9061886099996</v>
      </c>
      <c r="K28" s="42"/>
      <c r="L28" s="42">
        <v>1804.0741621900002</v>
      </c>
      <c r="M28" s="42"/>
      <c r="N28" s="42">
        <v>2248.3000432699992</v>
      </c>
      <c r="O28" s="42"/>
      <c r="P28" s="42">
        <v>2174.2661392</v>
      </c>
      <c r="Q28" s="42"/>
      <c r="R28" s="42">
        <v>2241.64265213</v>
      </c>
      <c r="S28" s="42"/>
      <c r="T28" s="42">
        <v>2630.7833693499997</v>
      </c>
      <c r="U28" s="42"/>
      <c r="V28" s="42">
        <v>2276.5261881899992</v>
      </c>
      <c r="W28" s="42"/>
      <c r="X28" s="42">
        <v>2186.1349963900002</v>
      </c>
      <c r="Y28" s="42"/>
      <c r="Z28" s="42">
        <v>4247.5442216899983</v>
      </c>
      <c r="AA28" s="75"/>
      <c r="AB28" s="75">
        <f>SUM(D28:Z28)</f>
        <v>28674.768371319995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0</v>
      </c>
      <c r="E29" s="42"/>
      <c r="F29" s="42">
        <v>0</v>
      </c>
      <c r="G29" s="42"/>
      <c r="H29" s="42">
        <v>2.3704900000000002</v>
      </c>
      <c r="I29" s="42"/>
      <c r="J29" s="42">
        <v>0</v>
      </c>
      <c r="K29" s="42"/>
      <c r="L29" s="42">
        <v>-2.3704999999999998</v>
      </c>
      <c r="M29" s="42"/>
      <c r="N29" s="42">
        <v>1.000000000021828E-5</v>
      </c>
      <c r="O29" s="42"/>
      <c r="P29" s="42">
        <v>26.961320000000001</v>
      </c>
      <c r="Q29" s="42"/>
      <c r="R29" s="42">
        <v>26.887429999999998</v>
      </c>
      <c r="S29" s="42"/>
      <c r="T29" s="42">
        <v>36.370606200000005</v>
      </c>
      <c r="U29" s="42"/>
      <c r="V29" s="42">
        <v>6.367</v>
      </c>
      <c r="W29" s="42"/>
      <c r="X29" s="42">
        <v>20.613832000000002</v>
      </c>
      <c r="Y29" s="42"/>
      <c r="Z29" s="42">
        <v>1.83568</v>
      </c>
      <c r="AA29" s="75"/>
      <c r="AB29" s="42">
        <f>SUM(D29:Z29)</f>
        <v>119.0358682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0</v>
      </c>
      <c r="U31" s="118"/>
      <c r="V31" s="118">
        <v>0</v>
      </c>
      <c r="W31" s="118"/>
      <c r="X31" s="118">
        <v>0</v>
      </c>
      <c r="Y31" s="118"/>
      <c r="Z31" s="118">
        <v>0</v>
      </c>
      <c r="AA31" s="41"/>
      <c r="AB31" s="118">
        <f>SUM(D31:Z31)</f>
        <v>0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207" t="s">
        <v>106</v>
      </c>
      <c r="C33" s="95"/>
      <c r="D33" s="119">
        <f>D23-D25+D31</f>
        <v>18094.152401677398</v>
      </c>
      <c r="E33" s="119"/>
      <c r="F33" s="119">
        <f>F23-F25+F31</f>
        <v>16284.051710520003</v>
      </c>
      <c r="G33" s="119"/>
      <c r="H33" s="119">
        <f>H23-H25+H31</f>
        <v>18429.243465359999</v>
      </c>
      <c r="I33" s="119"/>
      <c r="J33" s="119">
        <f>J23-J25+J31</f>
        <v>16888.630499230003</v>
      </c>
      <c r="K33" s="119"/>
      <c r="L33" s="119">
        <f>L23-L25+L31</f>
        <v>21967.613386010005</v>
      </c>
      <c r="M33" s="119"/>
      <c r="N33" s="119">
        <f>N23-N25+N31</f>
        <v>17571.691394590871</v>
      </c>
      <c r="O33" s="119"/>
      <c r="P33" s="119">
        <f>P23-P25+P31</f>
        <v>17904.3426516</v>
      </c>
      <c r="Q33" s="119"/>
      <c r="R33" s="119">
        <f>R23-R25+R31</f>
        <v>16026.479751520001</v>
      </c>
      <c r="S33" s="119"/>
      <c r="T33" s="119">
        <f>T23-T25+T31</f>
        <v>14135.26503714</v>
      </c>
      <c r="U33" s="119"/>
      <c r="V33" s="119">
        <f>V23-V25+V31</f>
        <v>18300.854611390005</v>
      </c>
      <c r="W33" s="119"/>
      <c r="X33" s="119">
        <f>X23-X25+X31</f>
        <v>17316.053115730007</v>
      </c>
      <c r="Y33" s="119"/>
      <c r="Z33" s="119">
        <f>Z23-Z25+Z31</f>
        <v>16845.384750937501</v>
      </c>
      <c r="AA33" s="119"/>
      <c r="AB33" s="119">
        <f>AB23-AB25+AB31</f>
        <v>209763.76277570578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20286.73998749</v>
      </c>
      <c r="E35" s="42"/>
      <c r="F35" s="42">
        <v>16786.624740310002</v>
      </c>
      <c r="G35" s="42"/>
      <c r="H35" s="42">
        <v>15945.767789660002</v>
      </c>
      <c r="I35" s="42"/>
      <c r="J35" s="42">
        <v>15847.757933969999</v>
      </c>
      <c r="K35" s="42"/>
      <c r="L35" s="42">
        <v>13467.468187290002</v>
      </c>
      <c r="M35" s="42"/>
      <c r="N35" s="42">
        <v>15874.813656020002</v>
      </c>
      <c r="O35" s="42"/>
      <c r="P35" s="42">
        <v>15475.676090339999</v>
      </c>
      <c r="Q35" s="42"/>
      <c r="R35" s="42">
        <v>13706.412345139999</v>
      </c>
      <c r="S35" s="42"/>
      <c r="T35" s="42">
        <v>15762.39481586</v>
      </c>
      <c r="U35" s="42"/>
      <c r="V35" s="42">
        <v>15603.258393689999</v>
      </c>
      <c r="W35" s="42"/>
      <c r="X35" s="42">
        <v>14548.026653840003</v>
      </c>
      <c r="Y35" s="42"/>
      <c r="Z35" s="42">
        <v>17336.746422329998</v>
      </c>
      <c r="AA35" s="42"/>
      <c r="AB35" s="75">
        <f>SUM(D35:Z35)</f>
        <v>190641.68701594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-2192.5875858126019</v>
      </c>
      <c r="E37" s="119"/>
      <c r="F37" s="119">
        <f>F33-F35</f>
        <v>-502.57302978999905</v>
      </c>
      <c r="G37" s="119"/>
      <c r="H37" s="119">
        <f>H33-H35</f>
        <v>2483.4756756999977</v>
      </c>
      <c r="I37" s="119"/>
      <c r="J37" s="119">
        <f>J33-J35</f>
        <v>1040.8725652600042</v>
      </c>
      <c r="K37" s="119"/>
      <c r="L37" s="119">
        <f>L33-L35</f>
        <v>8500.1451987200035</v>
      </c>
      <c r="M37" s="119"/>
      <c r="N37" s="119">
        <f>N33-N35</f>
        <v>1696.877738570869</v>
      </c>
      <c r="O37" s="119"/>
      <c r="P37" s="119">
        <f>P33-P35</f>
        <v>2428.6665612600009</v>
      </c>
      <c r="Q37" s="119"/>
      <c r="R37" s="119">
        <f>R33-R35</f>
        <v>2320.0674063800016</v>
      </c>
      <c r="S37" s="119"/>
      <c r="T37" s="119">
        <f>T33-T35</f>
        <v>-1627.1297787200001</v>
      </c>
      <c r="U37" s="119"/>
      <c r="V37" s="119">
        <f>V33-V35</f>
        <v>2697.5962177000056</v>
      </c>
      <c r="W37" s="119"/>
      <c r="X37" s="119">
        <f>X33-X35</f>
        <v>2768.0264618900037</v>
      </c>
      <c r="Y37" s="119"/>
      <c r="Z37" s="119">
        <f>Z33-Z35</f>
        <v>-491.36167139249665</v>
      </c>
      <c r="AA37" s="119"/>
      <c r="AB37" s="119">
        <f>AB33-AB35</f>
        <v>19122.075759765779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813.35490000000004</v>
      </c>
      <c r="E39" s="72"/>
      <c r="F39" s="42">
        <f>F40+F43</f>
        <v>889.57819999999992</v>
      </c>
      <c r="G39" s="72"/>
      <c r="H39" s="42">
        <f>H40+H43</f>
        <v>1245.5033000000001</v>
      </c>
      <c r="I39" s="72"/>
      <c r="J39" s="42">
        <f>J40+J43</f>
        <v>1063.7481</v>
      </c>
      <c r="K39" s="72"/>
      <c r="L39" s="42">
        <f>L40+L43</f>
        <v>975.76659999999993</v>
      </c>
      <c r="M39" s="72"/>
      <c r="N39" s="42">
        <f>N40+N43</f>
        <v>1442.29314</v>
      </c>
      <c r="O39" s="72"/>
      <c r="P39" s="42">
        <f>P40+P43</f>
        <v>753.54129999999998</v>
      </c>
      <c r="Q39" s="72"/>
      <c r="R39" s="42">
        <f>R40+R43</f>
        <v>758.96159999999998</v>
      </c>
      <c r="S39" s="72"/>
      <c r="T39" s="42">
        <f>T40+T43</f>
        <v>1114.1763000000001</v>
      </c>
      <c r="U39" s="72"/>
      <c r="V39" s="42">
        <f>V40+V43</f>
        <v>1185.8749</v>
      </c>
      <c r="W39" s="72"/>
      <c r="X39" s="42">
        <f>X40+X43</f>
        <v>1094.7651999999998</v>
      </c>
      <c r="Y39" s="72"/>
      <c r="Z39" s="42">
        <f>Z40+Z43</f>
        <v>1860.7329999999999</v>
      </c>
      <c r="AA39" s="72"/>
      <c r="AB39" s="42">
        <f>AB40+AB43</f>
        <v>13198.296539999999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409.38779999999997</v>
      </c>
      <c r="E40" s="42"/>
      <c r="F40" s="42">
        <f>F41+F42</f>
        <v>485.75029999999998</v>
      </c>
      <c r="G40" s="42"/>
      <c r="H40" s="42">
        <f>H41+H42</f>
        <v>523.96910000000003</v>
      </c>
      <c r="I40" s="42"/>
      <c r="J40" s="42">
        <f>J41+J42</f>
        <v>387.16840000000002</v>
      </c>
      <c r="K40" s="42"/>
      <c r="L40" s="42">
        <f>L41+L42</f>
        <v>480.77499999999998</v>
      </c>
      <c r="M40" s="42"/>
      <c r="N40" s="42">
        <f>N41+N42</f>
        <v>538.54999999999995</v>
      </c>
      <c r="O40" s="42"/>
      <c r="P40" s="42">
        <f>P41+P42</f>
        <v>387.37599999999998</v>
      </c>
      <c r="Q40" s="42"/>
      <c r="R40" s="42">
        <f>R41+R42</f>
        <v>491.1069</v>
      </c>
      <c r="S40" s="42"/>
      <c r="T40" s="42">
        <f>T41+T42</f>
        <v>525.97180000000003</v>
      </c>
      <c r="U40" s="42"/>
      <c r="V40" s="42">
        <f>+V41+V42</f>
        <v>386.3295</v>
      </c>
      <c r="W40" s="42"/>
      <c r="X40" s="42">
        <f>+X41+X42</f>
        <v>511.34879999999998</v>
      </c>
      <c r="Y40" s="42"/>
      <c r="Z40" s="42">
        <f>+Z41+Z42</f>
        <v>676.20730000000003</v>
      </c>
      <c r="AA40" s="75"/>
      <c r="AB40" s="75">
        <f>+AB41+AB42</f>
        <v>5803.9408999999996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194" t="s">
        <v>56</v>
      </c>
      <c r="C41" s="72"/>
      <c r="D41" s="118">
        <v>0</v>
      </c>
      <c r="E41" s="118"/>
      <c r="F41" s="118">
        <v>0</v>
      </c>
      <c r="G41" s="118"/>
      <c r="H41" s="118">
        <v>0</v>
      </c>
      <c r="I41" s="118"/>
      <c r="J41" s="118">
        <v>0</v>
      </c>
      <c r="K41" s="118"/>
      <c r="L41" s="118">
        <v>0</v>
      </c>
      <c r="M41" s="118"/>
      <c r="N41" s="118">
        <v>0</v>
      </c>
      <c r="O41" s="118"/>
      <c r="P41" s="118">
        <v>0</v>
      </c>
      <c r="Q41" s="118"/>
      <c r="R41" s="118">
        <v>0</v>
      </c>
      <c r="S41" s="118"/>
      <c r="T41" s="118">
        <v>0</v>
      </c>
      <c r="U41" s="118"/>
      <c r="V41" s="118">
        <v>0</v>
      </c>
      <c r="W41" s="118"/>
      <c r="X41" s="118">
        <v>0</v>
      </c>
      <c r="Y41" s="118"/>
      <c r="Z41" s="118">
        <v>0</v>
      </c>
      <c r="AA41" s="118"/>
      <c r="AB41" s="118">
        <f>SUM(D41:Z41)</f>
        <v>0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409.38779999999997</v>
      </c>
      <c r="E42" s="42"/>
      <c r="F42" s="42">
        <v>485.75029999999998</v>
      </c>
      <c r="G42" s="42"/>
      <c r="H42" s="42">
        <v>523.96910000000003</v>
      </c>
      <c r="I42" s="42"/>
      <c r="J42" s="42">
        <v>387.16840000000002</v>
      </c>
      <c r="K42" s="42"/>
      <c r="L42" s="42">
        <v>480.77499999999998</v>
      </c>
      <c r="M42" s="42"/>
      <c r="N42" s="42">
        <v>538.54999999999995</v>
      </c>
      <c r="O42" s="42"/>
      <c r="P42" s="42">
        <v>387.37599999999998</v>
      </c>
      <c r="Q42" s="42"/>
      <c r="R42" s="42">
        <v>491.1069</v>
      </c>
      <c r="S42" s="42"/>
      <c r="T42" s="42">
        <v>525.97180000000003</v>
      </c>
      <c r="U42" s="42"/>
      <c r="V42" s="42">
        <v>386.3295</v>
      </c>
      <c r="W42" s="42"/>
      <c r="X42" s="42">
        <v>511.34879999999998</v>
      </c>
      <c r="Y42" s="42"/>
      <c r="Z42" s="42">
        <v>676.20730000000003</v>
      </c>
      <c r="AA42" s="75"/>
      <c r="AB42" s="75">
        <f>SUM(D42:Z42)</f>
        <v>5803.9408999999996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403.96710000000002</v>
      </c>
      <c r="E43" s="42"/>
      <c r="F43" s="42">
        <v>403.8279</v>
      </c>
      <c r="G43" s="42"/>
      <c r="H43" s="42">
        <v>721.53420000000006</v>
      </c>
      <c r="I43" s="42"/>
      <c r="J43" s="42">
        <v>676.5797</v>
      </c>
      <c r="K43" s="42"/>
      <c r="L43" s="42">
        <v>494.99160000000001</v>
      </c>
      <c r="M43" s="42"/>
      <c r="N43" s="42">
        <v>903.74314000000004</v>
      </c>
      <c r="O43" s="42"/>
      <c r="P43" s="42">
        <v>366.1653</v>
      </c>
      <c r="Q43" s="42"/>
      <c r="R43" s="42">
        <v>267.85469999999998</v>
      </c>
      <c r="S43" s="42"/>
      <c r="T43" s="42">
        <v>588.20450000000005</v>
      </c>
      <c r="U43" s="42"/>
      <c r="V43" s="42">
        <v>799.54539999999997</v>
      </c>
      <c r="W43" s="42"/>
      <c r="X43" s="42">
        <v>583.41639999999995</v>
      </c>
      <c r="Y43" s="42"/>
      <c r="Z43" s="42">
        <v>1184.5256999999999</v>
      </c>
      <c r="AA43" s="75"/>
      <c r="AB43" s="75">
        <f>SUM(D43:Z43)</f>
        <v>7394.3556400000007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-3005.9424858126022</v>
      </c>
      <c r="E45" s="95"/>
      <c r="F45" s="48">
        <f>F37-F39</f>
        <v>-1392.151229789999</v>
      </c>
      <c r="G45" s="95"/>
      <c r="H45" s="48">
        <f>H37-H39</f>
        <v>1237.9723756999977</v>
      </c>
      <c r="I45" s="95"/>
      <c r="J45" s="48">
        <f>J37-J39</f>
        <v>-22.875534739995828</v>
      </c>
      <c r="K45" s="95"/>
      <c r="L45" s="48">
        <f>L37-L39</f>
        <v>7524.3785987200035</v>
      </c>
      <c r="M45" s="95"/>
      <c r="N45" s="48">
        <f>N37-N39</f>
        <v>254.58459857086905</v>
      </c>
      <c r="O45" s="95"/>
      <c r="P45" s="48">
        <f>P37-P39</f>
        <v>1675.125261260001</v>
      </c>
      <c r="Q45" s="95"/>
      <c r="R45" s="48">
        <f>R37-R39</f>
        <v>1561.1058063800015</v>
      </c>
      <c r="S45" s="95"/>
      <c r="T45" s="48">
        <f>T37-T39</f>
        <v>-2741.3060787200002</v>
      </c>
      <c r="U45" s="95"/>
      <c r="V45" s="48">
        <f>V37-V39</f>
        <v>1511.7213177000056</v>
      </c>
      <c r="W45" s="95"/>
      <c r="X45" s="48">
        <f>X37-X39</f>
        <v>1673.2612618900039</v>
      </c>
      <c r="Y45" s="95"/>
      <c r="Z45" s="48">
        <f>Z37-Z39</f>
        <v>-2352.0946713924968</v>
      </c>
      <c r="AA45" s="95"/>
      <c r="AB45" s="48">
        <f>AB37-AB39</f>
        <v>5923.77921976578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64" t="s">
        <v>41</v>
      </c>
      <c r="C47" s="464"/>
      <c r="D47" s="464"/>
      <c r="E47" s="464"/>
      <c r="F47" s="464"/>
      <c r="G47" s="464"/>
      <c r="H47" s="464"/>
      <c r="I47" s="464"/>
      <c r="J47" s="464"/>
      <c r="K47" s="464"/>
      <c r="L47" s="464"/>
      <c r="M47" s="464"/>
      <c r="N47" s="464"/>
      <c r="O47" s="464"/>
      <c r="P47" s="464"/>
      <c r="Q47" s="464"/>
      <c r="R47" s="464"/>
      <c r="S47" s="464"/>
      <c r="T47" s="464"/>
      <c r="U47" s="464"/>
      <c r="V47" s="464"/>
      <c r="W47" s="464"/>
      <c r="X47" s="464"/>
      <c r="Y47" s="464"/>
      <c r="Z47" s="464"/>
      <c r="AA47" s="464"/>
      <c r="AB47" s="464"/>
      <c r="AC47" s="212"/>
      <c r="AD47" s="212"/>
      <c r="AE47" s="101"/>
      <c r="AF47" s="212"/>
    </row>
    <row r="48" spans="1:35" ht="14.25" customHeight="1">
      <c r="B48" s="464" t="s">
        <v>107</v>
      </c>
      <c r="C48" s="464"/>
      <c r="D48" s="464"/>
      <c r="E48" s="464"/>
      <c r="F48" s="464"/>
      <c r="G48" s="464"/>
      <c r="H48" s="464"/>
      <c r="I48" s="464"/>
      <c r="J48" s="464"/>
      <c r="K48" s="464"/>
      <c r="L48" s="464"/>
      <c r="M48" s="464"/>
      <c r="N48" s="464"/>
      <c r="O48" s="464"/>
      <c r="P48" s="464"/>
      <c r="Q48" s="464"/>
      <c r="R48" s="464"/>
      <c r="S48" s="464"/>
      <c r="T48" s="464"/>
      <c r="U48" s="464"/>
      <c r="V48" s="464"/>
      <c r="W48" s="464"/>
      <c r="X48" s="464"/>
      <c r="Y48" s="464"/>
      <c r="Z48" s="464"/>
      <c r="AA48" s="464"/>
      <c r="AB48" s="464"/>
      <c r="AC48" s="212"/>
      <c r="AD48" s="212"/>
      <c r="AE48" s="101"/>
      <c r="AF48" s="212"/>
    </row>
    <row r="49" spans="1:35" ht="14.25" customHeight="1">
      <c r="B49" s="464" t="s">
        <v>108</v>
      </c>
      <c r="C49" s="464"/>
      <c r="D49" s="464"/>
      <c r="E49" s="464"/>
      <c r="F49" s="464"/>
      <c r="G49" s="464"/>
      <c r="H49" s="464"/>
      <c r="I49" s="464"/>
      <c r="J49" s="464"/>
      <c r="K49" s="464"/>
      <c r="L49" s="464"/>
      <c r="M49" s="464"/>
      <c r="N49" s="464"/>
      <c r="O49" s="464"/>
      <c r="P49" s="464"/>
      <c r="Q49" s="464"/>
      <c r="R49" s="464"/>
      <c r="S49" s="464"/>
      <c r="T49" s="464"/>
      <c r="U49" s="464"/>
      <c r="V49" s="464"/>
      <c r="W49" s="464"/>
      <c r="X49" s="464"/>
      <c r="Y49" s="464"/>
      <c r="Z49" s="464"/>
      <c r="AA49" s="464"/>
      <c r="AB49" s="464"/>
      <c r="AC49" s="212"/>
      <c r="AD49" s="212"/>
      <c r="AE49" s="101"/>
      <c r="AF49" s="212"/>
    </row>
    <row r="50" spans="1:35" ht="14.25" customHeight="1">
      <c r="B50" s="464" t="s">
        <v>90</v>
      </c>
      <c r="C50" s="464"/>
      <c r="D50" s="464"/>
      <c r="E50" s="464"/>
      <c r="F50" s="464"/>
      <c r="G50" s="464"/>
      <c r="H50" s="464"/>
      <c r="I50" s="464"/>
      <c r="J50" s="464"/>
      <c r="K50" s="464"/>
      <c r="L50" s="464"/>
      <c r="M50" s="464"/>
      <c r="N50" s="464"/>
      <c r="O50" s="464"/>
      <c r="P50" s="464"/>
      <c r="Q50" s="464"/>
      <c r="R50" s="464"/>
      <c r="S50" s="464"/>
      <c r="T50" s="464"/>
      <c r="U50" s="464"/>
      <c r="V50" s="464"/>
      <c r="W50" s="464"/>
      <c r="X50" s="464"/>
      <c r="Y50" s="464"/>
      <c r="Z50" s="464"/>
      <c r="AA50" s="464"/>
      <c r="AB50" s="464"/>
      <c r="AC50" s="212"/>
      <c r="AD50" s="212"/>
      <c r="AE50" s="101"/>
      <c r="AF50" s="212"/>
    </row>
    <row r="51" spans="1:35" ht="14.25" customHeight="1">
      <c r="B51" s="464" t="s">
        <v>109</v>
      </c>
      <c r="C51" s="464"/>
      <c r="D51" s="464"/>
      <c r="E51" s="464"/>
      <c r="F51" s="464"/>
      <c r="G51" s="464"/>
      <c r="H51" s="464"/>
      <c r="I51" s="464"/>
      <c r="J51" s="464"/>
      <c r="K51" s="464"/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464"/>
      <c r="X51" s="464"/>
      <c r="Y51" s="464"/>
      <c r="Z51" s="464"/>
      <c r="AA51" s="464"/>
      <c r="AB51" s="464"/>
      <c r="AC51" s="212"/>
      <c r="AD51" s="212"/>
      <c r="AE51" s="101"/>
      <c r="AF51" s="212"/>
    </row>
    <row r="52" spans="1:35" ht="14.25" customHeight="1">
      <c r="B52" s="464" t="s">
        <v>92</v>
      </c>
      <c r="C52" s="464"/>
      <c r="D52" s="464"/>
      <c r="E52" s="464"/>
      <c r="F52" s="464"/>
      <c r="G52" s="464"/>
      <c r="H52" s="464"/>
      <c r="I52" s="464"/>
      <c r="J52" s="464"/>
      <c r="K52" s="464"/>
      <c r="L52" s="464"/>
      <c r="M52" s="464"/>
      <c r="N52" s="464"/>
      <c r="O52" s="464"/>
      <c r="P52" s="464"/>
      <c r="Q52" s="464"/>
      <c r="R52" s="464"/>
      <c r="S52" s="464"/>
      <c r="T52" s="464"/>
      <c r="U52" s="464"/>
      <c r="V52" s="464"/>
      <c r="W52" s="464"/>
      <c r="X52" s="464"/>
      <c r="Y52" s="464"/>
      <c r="Z52" s="464"/>
      <c r="AA52" s="464"/>
      <c r="AB52" s="464"/>
      <c r="AC52" s="212"/>
      <c r="AD52" s="212"/>
      <c r="AE52" s="101"/>
      <c r="AF52" s="212"/>
    </row>
    <row r="53" spans="1:35" ht="14.25" customHeight="1">
      <c r="B53" s="201" t="s">
        <v>93</v>
      </c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212"/>
      <c r="AD53" s="212"/>
      <c r="AE53" s="101"/>
      <c r="AF53" s="212"/>
    </row>
    <row r="54" spans="1:35" ht="14.25" customHeight="1">
      <c r="B54" s="464" t="s">
        <v>94</v>
      </c>
      <c r="C54" s="464"/>
      <c r="D54" s="464"/>
      <c r="E54" s="464"/>
      <c r="F54" s="464"/>
      <c r="G54" s="464"/>
      <c r="H54" s="464"/>
      <c r="I54" s="464"/>
      <c r="J54" s="464"/>
      <c r="K54" s="464"/>
      <c r="L54" s="464"/>
      <c r="M54" s="464"/>
      <c r="N54" s="464"/>
      <c r="O54" s="464"/>
      <c r="P54" s="464"/>
      <c r="Q54" s="464"/>
      <c r="R54" s="464"/>
      <c r="S54" s="464"/>
      <c r="T54" s="464"/>
      <c r="U54" s="464"/>
      <c r="V54" s="464"/>
      <c r="W54" s="464"/>
      <c r="X54" s="464"/>
      <c r="Y54" s="464"/>
      <c r="Z54" s="464"/>
      <c r="AA54" s="464"/>
      <c r="AB54" s="464"/>
      <c r="AC54" s="212"/>
      <c r="AD54" s="212"/>
      <c r="AE54" s="101"/>
      <c r="AF54" s="212"/>
    </row>
    <row r="55" spans="1:35" ht="14.25" customHeight="1">
      <c r="B55" s="201" t="s">
        <v>95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5" ht="14.25" customHeight="1">
      <c r="B56" s="464" t="s">
        <v>96</v>
      </c>
      <c r="C56" s="464"/>
      <c r="D56" s="464"/>
      <c r="E56" s="464"/>
      <c r="F56" s="464"/>
      <c r="G56" s="464"/>
      <c r="H56" s="464"/>
      <c r="I56" s="464"/>
      <c r="J56" s="464"/>
      <c r="K56" s="464"/>
      <c r="L56" s="464"/>
      <c r="M56" s="464"/>
      <c r="N56" s="464"/>
      <c r="O56" s="464"/>
      <c r="P56" s="464"/>
      <c r="Q56" s="464"/>
      <c r="R56" s="464"/>
      <c r="S56" s="464"/>
      <c r="T56" s="464"/>
      <c r="U56" s="464"/>
      <c r="V56" s="464"/>
      <c r="W56" s="464"/>
      <c r="X56" s="464"/>
      <c r="Y56" s="464"/>
      <c r="Z56" s="464"/>
      <c r="AA56" s="464"/>
      <c r="AB56" s="464"/>
      <c r="AC56" s="212"/>
      <c r="AD56" s="212"/>
      <c r="AE56" s="101"/>
      <c r="AF56" s="212"/>
    </row>
    <row r="57" spans="1:35" ht="14.25" customHeight="1">
      <c r="B57" s="464" t="s">
        <v>68</v>
      </c>
      <c r="C57" s="464"/>
      <c r="D57" s="464"/>
      <c r="E57" s="464"/>
      <c r="F57" s="464"/>
      <c r="G57" s="464"/>
      <c r="H57" s="464"/>
      <c r="I57" s="464"/>
      <c r="J57" s="464"/>
      <c r="K57" s="464"/>
      <c r="L57" s="464"/>
      <c r="M57" s="464"/>
      <c r="N57" s="464"/>
      <c r="O57" s="464"/>
      <c r="P57" s="464"/>
      <c r="Q57" s="464"/>
      <c r="R57" s="464"/>
      <c r="S57" s="464"/>
      <c r="T57" s="464"/>
      <c r="U57" s="464"/>
      <c r="V57" s="464"/>
      <c r="W57" s="464"/>
      <c r="X57" s="464"/>
      <c r="Y57" s="464"/>
      <c r="Z57" s="464"/>
      <c r="AA57" s="464"/>
      <c r="AB57" s="464"/>
      <c r="AC57" s="212"/>
      <c r="AD57" s="212"/>
      <c r="AE57" s="101"/>
      <c r="AF57" s="212"/>
    </row>
    <row r="58" spans="1:35" ht="14.25" customHeight="1">
      <c r="B58" s="464" t="s">
        <v>3</v>
      </c>
      <c r="C58" s="464"/>
      <c r="D58" s="464"/>
      <c r="E58" s="464"/>
      <c r="F58" s="464"/>
      <c r="G58" s="464"/>
      <c r="H58" s="464"/>
      <c r="I58" s="464"/>
      <c r="J58" s="464"/>
      <c r="K58" s="464"/>
      <c r="L58" s="464"/>
      <c r="M58" s="464"/>
      <c r="N58" s="464"/>
      <c r="O58" s="464"/>
      <c r="P58" s="464"/>
      <c r="Q58" s="464"/>
      <c r="R58" s="464"/>
      <c r="S58" s="464"/>
      <c r="T58" s="464"/>
      <c r="U58" s="464"/>
      <c r="V58" s="464"/>
      <c r="W58" s="464"/>
      <c r="X58" s="464"/>
      <c r="Y58" s="464"/>
      <c r="Z58" s="464"/>
      <c r="AA58" s="464"/>
      <c r="AB58" s="464"/>
      <c r="AC58" s="212"/>
      <c r="AD58" s="212"/>
      <c r="AE58" s="101"/>
      <c r="AF58" s="212"/>
    </row>
    <row r="59" spans="1:35" ht="14.25" customHeight="1">
      <c r="A59" s="18"/>
      <c r="B59" s="100"/>
      <c r="C59" s="93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12"/>
      <c r="AD59" s="212"/>
      <c r="AE59" s="101"/>
      <c r="AF59" s="212"/>
    </row>
    <row r="60" spans="1:35" ht="20.25">
      <c r="B60" s="453" t="s">
        <v>32</v>
      </c>
      <c r="C60" s="453"/>
      <c r="D60" s="453"/>
      <c r="E60" s="453"/>
      <c r="F60" s="453"/>
      <c r="G60" s="453"/>
      <c r="H60" s="453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Y60" s="453"/>
      <c r="Z60" s="453"/>
      <c r="AA60" s="453"/>
      <c r="AB60" s="453"/>
      <c r="AC60" s="214"/>
      <c r="AD60" s="214"/>
      <c r="AE60" s="214"/>
      <c r="AF60" s="214"/>
    </row>
    <row r="61" spans="1:35">
      <c r="B61" s="102"/>
      <c r="C61" s="469"/>
      <c r="D61" s="460"/>
      <c r="E61" s="469"/>
      <c r="F61" s="470"/>
      <c r="G61" s="469"/>
      <c r="H61" s="470"/>
      <c r="I61" s="469"/>
      <c r="J61" s="470"/>
      <c r="K61" s="469"/>
      <c r="L61" s="470"/>
      <c r="M61" s="469"/>
      <c r="N61" s="470"/>
      <c r="O61" s="469"/>
      <c r="P61" s="470"/>
      <c r="Q61" s="469"/>
      <c r="R61" s="470"/>
      <c r="S61" s="469"/>
      <c r="T61" s="470"/>
      <c r="U61" s="469"/>
      <c r="V61" s="470"/>
      <c r="W61" s="469"/>
      <c r="X61" s="470"/>
      <c r="Y61" s="469"/>
      <c r="Z61" s="470"/>
      <c r="AA61" s="469"/>
      <c r="AB61" s="470"/>
    </row>
    <row r="62" spans="1:35">
      <c r="B62" s="102">
        <f>B5</f>
        <v>1997</v>
      </c>
      <c r="C62" s="469" t="s">
        <v>4</v>
      </c>
      <c r="D62" s="460"/>
      <c r="E62" s="469" t="s">
        <v>5</v>
      </c>
      <c r="F62" s="470"/>
      <c r="G62" s="469" t="s">
        <v>6</v>
      </c>
      <c r="H62" s="470"/>
      <c r="I62" s="469" t="s">
        <v>7</v>
      </c>
      <c r="J62" s="470"/>
      <c r="K62" s="469" t="s">
        <v>8</v>
      </c>
      <c r="L62" s="470"/>
      <c r="M62" s="469" t="s">
        <v>9</v>
      </c>
      <c r="N62" s="470"/>
      <c r="O62" s="469" t="s">
        <v>10</v>
      </c>
      <c r="P62" s="470"/>
      <c r="Q62" s="471" t="s">
        <v>11</v>
      </c>
      <c r="R62" s="470"/>
      <c r="S62" s="471" t="s">
        <v>12</v>
      </c>
      <c r="T62" s="470"/>
      <c r="U62" s="469" t="s">
        <v>0</v>
      </c>
      <c r="V62" s="473"/>
      <c r="W62" s="469" t="s">
        <v>1</v>
      </c>
      <c r="X62" s="473"/>
      <c r="Y62" s="469" t="s">
        <v>2</v>
      </c>
      <c r="Z62" s="473"/>
      <c r="AA62" s="469" t="s">
        <v>102</v>
      </c>
      <c r="AB62" s="460"/>
    </row>
    <row r="63" spans="1:35">
      <c r="B63" s="102"/>
      <c r="C63" s="469"/>
      <c r="D63" s="460"/>
      <c r="E63" s="469"/>
      <c r="F63" s="460"/>
      <c r="G63" s="469"/>
      <c r="H63" s="460"/>
      <c r="I63" s="469"/>
      <c r="J63" s="460"/>
      <c r="K63" s="469"/>
      <c r="L63" s="460"/>
      <c r="M63" s="469"/>
      <c r="N63" s="460"/>
      <c r="O63" s="469"/>
      <c r="P63" s="460"/>
      <c r="Q63" s="469"/>
      <c r="R63" s="460"/>
      <c r="S63" s="469"/>
      <c r="T63" s="460"/>
      <c r="U63" s="469"/>
      <c r="V63" s="460"/>
      <c r="W63" s="469"/>
      <c r="X63" s="460"/>
      <c r="Y63" s="469"/>
      <c r="Z63" s="460"/>
      <c r="AA63" s="469"/>
      <c r="AB63" s="460"/>
    </row>
    <row r="64" spans="1:35" s="202" customFormat="1" ht="14.25">
      <c r="A64" s="44"/>
      <c r="B64" s="103" t="s">
        <v>24</v>
      </c>
      <c r="C64" s="72"/>
      <c r="D64" s="104">
        <v>2938.607951</v>
      </c>
      <c r="E64" s="104"/>
      <c r="F64" s="104">
        <v>2968.4920010000001</v>
      </c>
      <c r="G64" s="104"/>
      <c r="H64" s="104">
        <v>2969.325711</v>
      </c>
      <c r="I64" s="104"/>
      <c r="J64" s="104">
        <v>2946.8889199999999</v>
      </c>
      <c r="K64" s="104"/>
      <c r="L64" s="104">
        <v>2988.53334</v>
      </c>
      <c r="M64" s="104"/>
      <c r="N64" s="104">
        <v>3006.6246160000001</v>
      </c>
      <c r="O64" s="104"/>
      <c r="P64" s="104">
        <v>3032.8480239999999</v>
      </c>
      <c r="Q64" s="104"/>
      <c r="R64" s="104">
        <v>3079.5003230000002</v>
      </c>
      <c r="S64" s="120"/>
      <c r="T64" s="104">
        <v>3104.8920499999999</v>
      </c>
      <c r="U64" s="120"/>
      <c r="V64" s="104">
        <v>3087.0255189999998</v>
      </c>
      <c r="W64" s="120"/>
      <c r="X64" s="104">
        <v>3084.5407740000001</v>
      </c>
      <c r="Y64" s="120"/>
      <c r="Z64" s="120">
        <v>3055.9041999999999</v>
      </c>
      <c r="AA64" s="104"/>
      <c r="AB64" s="104">
        <f>AVERAGE(D64:Z64)</f>
        <v>3021.9319524166658</v>
      </c>
      <c r="AC64" s="216"/>
      <c r="AD64" s="216"/>
      <c r="AE64" s="216"/>
      <c r="AF64" s="216"/>
      <c r="AG64" s="216"/>
      <c r="AH64" s="216"/>
      <c r="AI64" s="216"/>
    </row>
    <row r="65" spans="1:35" s="202" customFormat="1" ht="14.25">
      <c r="A65" s="44"/>
      <c r="B65" s="103" t="s">
        <v>39</v>
      </c>
      <c r="C65" s="72"/>
      <c r="D65" s="104">
        <v>4316.7474629999997</v>
      </c>
      <c r="E65" s="104"/>
      <c r="F65" s="104">
        <v>4330.7060099999999</v>
      </c>
      <c r="G65" s="104"/>
      <c r="H65" s="104">
        <v>4392.1900569999998</v>
      </c>
      <c r="I65" s="104"/>
      <c r="J65" s="104">
        <v>4397.5767260000002</v>
      </c>
      <c r="K65" s="104"/>
      <c r="L65" s="104">
        <v>4422.3116790000004</v>
      </c>
      <c r="M65" s="104"/>
      <c r="N65" s="104">
        <v>4412.3553709999996</v>
      </c>
      <c r="O65" s="104"/>
      <c r="P65" s="104">
        <v>4487.9107709999998</v>
      </c>
      <c r="Q65" s="104"/>
      <c r="R65" s="104">
        <v>4560.9020289999999</v>
      </c>
      <c r="S65" s="120"/>
      <c r="T65" s="104">
        <v>4571.4957610000001</v>
      </c>
      <c r="U65" s="120"/>
      <c r="V65" s="104">
        <v>4563.5034939999996</v>
      </c>
      <c r="W65" s="120"/>
      <c r="X65" s="104">
        <v>4542.1401020000003</v>
      </c>
      <c r="Y65" s="120"/>
      <c r="Z65" s="120">
        <v>4597.2083590000002</v>
      </c>
      <c r="AA65" s="104"/>
      <c r="AB65" s="104">
        <f t="shared" ref="AB65:AB76" si="0">AVERAGE(D65:Z65)</f>
        <v>4466.2539851666661</v>
      </c>
      <c r="AC65" s="216"/>
      <c r="AD65" s="216"/>
      <c r="AE65" s="216"/>
      <c r="AF65" s="216"/>
      <c r="AG65" s="216"/>
      <c r="AH65" s="216"/>
      <c r="AI65" s="216"/>
    </row>
    <row r="66" spans="1:35" s="202" customFormat="1" ht="14.25">
      <c r="A66" s="44"/>
      <c r="B66" s="103" t="s">
        <v>25</v>
      </c>
      <c r="C66" s="72"/>
      <c r="D66" s="104">
        <v>487.08831545009997</v>
      </c>
      <c r="E66" s="104"/>
      <c r="F66" s="104">
        <v>491.88388207200001</v>
      </c>
      <c r="G66" s="104"/>
      <c r="H66" s="104">
        <v>485.11306391970004</v>
      </c>
      <c r="I66" s="104"/>
      <c r="J66" s="104">
        <v>497.12950453279996</v>
      </c>
      <c r="K66" s="104"/>
      <c r="L66" s="104">
        <v>499.89046038780003</v>
      </c>
      <c r="M66" s="104"/>
      <c r="N66" s="104">
        <v>488.96566617190001</v>
      </c>
      <c r="O66" s="104"/>
      <c r="P66" s="104">
        <v>509.7769156041</v>
      </c>
      <c r="Q66" s="104"/>
      <c r="R66" s="104">
        <v>486.51272930329998</v>
      </c>
      <c r="S66" s="120"/>
      <c r="T66" s="104">
        <v>500.08608196850003</v>
      </c>
      <c r="U66" s="120"/>
      <c r="V66" s="104">
        <v>506.49198519339996</v>
      </c>
      <c r="W66" s="120"/>
      <c r="X66" s="104">
        <v>485.73745188300006</v>
      </c>
      <c r="Y66" s="120"/>
      <c r="Z66" s="120">
        <v>555.03075906720005</v>
      </c>
      <c r="AA66" s="104"/>
      <c r="AB66" s="104">
        <f t="shared" si="0"/>
        <v>499.47556796281674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26</v>
      </c>
      <c r="C67" s="72"/>
      <c r="D67" s="104">
        <v>246.72584337879999</v>
      </c>
      <c r="E67" s="104"/>
      <c r="F67" s="104">
        <v>260.692078288</v>
      </c>
      <c r="G67" s="104"/>
      <c r="H67" s="104">
        <v>245.093393131</v>
      </c>
      <c r="I67" s="104"/>
      <c r="J67" s="104">
        <v>267.64515560929999</v>
      </c>
      <c r="K67" s="104"/>
      <c r="L67" s="104">
        <v>264.72488286800001</v>
      </c>
      <c r="M67" s="104"/>
      <c r="N67" s="104">
        <v>262.82391962489999</v>
      </c>
      <c r="O67" s="104"/>
      <c r="P67" s="104">
        <v>274.4635058682</v>
      </c>
      <c r="Q67" s="104"/>
      <c r="R67" s="104">
        <v>255.841518167</v>
      </c>
      <c r="S67" s="120"/>
      <c r="T67" s="104">
        <v>258.38309809539999</v>
      </c>
      <c r="U67" s="120"/>
      <c r="V67" s="104">
        <v>274.0937964885</v>
      </c>
      <c r="W67" s="120"/>
      <c r="X67" s="104">
        <v>266.75283878850001</v>
      </c>
      <c r="Y67" s="120"/>
      <c r="Z67" s="120">
        <v>272.69083201249998</v>
      </c>
      <c r="AA67" s="104"/>
      <c r="AB67" s="104">
        <f t="shared" si="0"/>
        <v>262.49423852667502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27</v>
      </c>
      <c r="C68" s="72"/>
      <c r="D68" s="104">
        <v>427.37422057420002</v>
      </c>
      <c r="E68" s="104"/>
      <c r="F68" s="104">
        <v>406.33206369570001</v>
      </c>
      <c r="G68" s="104"/>
      <c r="H68" s="104">
        <v>425.61855145089999</v>
      </c>
      <c r="I68" s="104"/>
      <c r="J68" s="104">
        <v>464.7241489923</v>
      </c>
      <c r="K68" s="104"/>
      <c r="L68" s="104">
        <v>443.4214146411</v>
      </c>
      <c r="M68" s="104"/>
      <c r="N68" s="104">
        <v>474.23620692539998</v>
      </c>
      <c r="O68" s="104"/>
      <c r="P68" s="104">
        <v>408.17987845710002</v>
      </c>
      <c r="Q68" s="104"/>
      <c r="R68" s="104">
        <v>530.11955254079999</v>
      </c>
      <c r="S68" s="120"/>
      <c r="T68" s="104">
        <v>489.95638874219998</v>
      </c>
      <c r="U68" s="120"/>
      <c r="V68" s="104">
        <v>427.14116180000002</v>
      </c>
      <c r="W68" s="120"/>
      <c r="X68" s="104">
        <v>484.70042602789999</v>
      </c>
      <c r="Y68" s="120"/>
      <c r="Z68" s="120">
        <v>463.66548053539998</v>
      </c>
      <c r="AA68" s="104"/>
      <c r="AB68" s="104">
        <f t="shared" si="0"/>
        <v>453.78912453191668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28</v>
      </c>
      <c r="C69" s="72"/>
      <c r="D69" s="104">
        <v>303.62624656809999</v>
      </c>
      <c r="E69" s="104"/>
      <c r="F69" s="104">
        <v>289.43151369920002</v>
      </c>
      <c r="G69" s="104"/>
      <c r="H69" s="104">
        <v>264.65743422729997</v>
      </c>
      <c r="I69" s="104"/>
      <c r="J69" s="104">
        <v>267.29282969410002</v>
      </c>
      <c r="K69" s="104"/>
      <c r="L69" s="104">
        <v>268.07949242519999</v>
      </c>
      <c r="M69" s="104"/>
      <c r="N69" s="104">
        <v>257.14823768050002</v>
      </c>
      <c r="O69" s="104"/>
      <c r="P69" s="104">
        <v>261.87470766040002</v>
      </c>
      <c r="Q69" s="104"/>
      <c r="R69" s="104">
        <v>251.82802882959999</v>
      </c>
      <c r="S69" s="120"/>
      <c r="T69" s="104">
        <v>260.2544675318</v>
      </c>
      <c r="U69" s="120"/>
      <c r="V69" s="104">
        <v>275.43738488830002</v>
      </c>
      <c r="W69" s="120"/>
      <c r="X69" s="104">
        <v>284.6919307055</v>
      </c>
      <c r="Y69" s="120"/>
      <c r="Z69" s="120">
        <v>308.49797985999999</v>
      </c>
      <c r="AA69" s="104"/>
      <c r="AB69" s="104">
        <f t="shared" si="0"/>
        <v>274.40168781416668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38</v>
      </c>
      <c r="C70" s="72"/>
      <c r="D70" s="104">
        <v>1534.62</v>
      </c>
      <c r="E70" s="104"/>
      <c r="F70" s="104">
        <v>1521.59</v>
      </c>
      <c r="G70" s="104"/>
      <c r="H70" s="104">
        <v>1513.84</v>
      </c>
      <c r="I70" s="104"/>
      <c r="J70" s="104">
        <v>1537.83</v>
      </c>
      <c r="K70" s="104"/>
      <c r="L70" s="104">
        <v>1543.33</v>
      </c>
      <c r="M70" s="104"/>
      <c r="N70" s="104">
        <v>1592.91</v>
      </c>
      <c r="O70" s="104"/>
      <c r="P70" s="104">
        <v>1620.46</v>
      </c>
      <c r="Q70" s="104"/>
      <c r="R70" s="104">
        <v>1714.28</v>
      </c>
      <c r="S70" s="120"/>
      <c r="T70" s="104">
        <v>1736.47</v>
      </c>
      <c r="U70" s="120"/>
      <c r="V70" s="104">
        <v>1692.47</v>
      </c>
      <c r="W70" s="120"/>
      <c r="X70" s="104">
        <v>1695.76</v>
      </c>
      <c r="Y70" s="120"/>
      <c r="Z70" s="120">
        <v>1727.18</v>
      </c>
      <c r="AA70" s="104"/>
      <c r="AB70" s="104">
        <f t="shared" si="0"/>
        <v>1619.2283333333335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229" t="s">
        <v>98</v>
      </c>
      <c r="C71" s="72"/>
      <c r="D71" s="104">
        <v>1589.6994193548001</v>
      </c>
      <c r="E71" s="104"/>
      <c r="F71" s="104">
        <v>1566.5351071429</v>
      </c>
      <c r="G71" s="104"/>
      <c r="H71" s="104">
        <v>1678.5077741934999</v>
      </c>
      <c r="I71" s="104"/>
      <c r="J71" s="104">
        <v>1816.1321</v>
      </c>
      <c r="K71" s="104"/>
      <c r="L71" s="104">
        <v>1664.1416129030999</v>
      </c>
      <c r="M71" s="104"/>
      <c r="N71" s="104">
        <v>1702.3173333333998</v>
      </c>
      <c r="O71" s="104"/>
      <c r="P71" s="104">
        <v>1795.9243225806999</v>
      </c>
      <c r="Q71" s="104"/>
      <c r="R71" s="105">
        <v>1766.7751290321999</v>
      </c>
      <c r="S71" s="120"/>
      <c r="T71" s="104">
        <v>1813.9740666666999</v>
      </c>
      <c r="U71" s="120"/>
      <c r="V71" s="104">
        <v>1726.2632580645</v>
      </c>
      <c r="W71" s="120"/>
      <c r="X71" s="104">
        <v>1881.5510333334</v>
      </c>
      <c r="Y71" s="120"/>
      <c r="Z71" s="120">
        <v>1642.7539677418999</v>
      </c>
      <c r="AA71" s="104"/>
      <c r="AB71" s="104">
        <f t="shared" si="0"/>
        <v>1720.3812603622582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2.75" customHeight="1">
      <c r="A72" s="44"/>
      <c r="B72" s="103" t="s">
        <v>29</v>
      </c>
      <c r="C72" s="72"/>
      <c r="D72" s="106">
        <v>20.523092347725932</v>
      </c>
      <c r="E72" s="106"/>
      <c r="F72" s="106">
        <v>18.425509661847354</v>
      </c>
      <c r="G72" s="106"/>
      <c r="H72" s="106">
        <v>16.465122294551403</v>
      </c>
      <c r="I72" s="106"/>
      <c r="J72" s="106">
        <v>15.803418077766976</v>
      </c>
      <c r="K72" s="106"/>
      <c r="L72" s="106">
        <v>16.605610489480014</v>
      </c>
      <c r="M72" s="106"/>
      <c r="N72" s="106">
        <v>15.318256408693109</v>
      </c>
      <c r="O72" s="106"/>
      <c r="P72" s="106">
        <v>15.769107284242601</v>
      </c>
      <c r="Q72" s="106"/>
      <c r="R72" s="121">
        <v>16.265385084968255</v>
      </c>
      <c r="S72" s="122"/>
      <c r="T72" s="121">
        <v>16.091159930105277</v>
      </c>
      <c r="U72" s="122"/>
      <c r="V72" s="121">
        <v>17.35736289658216</v>
      </c>
      <c r="W72" s="122"/>
      <c r="X72" s="121">
        <v>16.061655219060675</v>
      </c>
      <c r="Y72" s="122"/>
      <c r="Z72" s="122">
        <v>13.428346947576188</v>
      </c>
      <c r="AA72" s="104"/>
      <c r="AB72" s="107">
        <f t="shared" si="0"/>
        <v>16.509502220216664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30</v>
      </c>
      <c r="C73" s="72"/>
      <c r="D73" s="106">
        <v>3.78</v>
      </c>
      <c r="E73" s="122"/>
      <c r="F73" s="106">
        <v>2.6850000000000001</v>
      </c>
      <c r="G73" s="106"/>
      <c r="H73" s="106">
        <v>1.61</v>
      </c>
      <c r="I73" s="106"/>
      <c r="J73" s="106">
        <v>1.72</v>
      </c>
      <c r="K73" s="106"/>
      <c r="L73" s="106">
        <v>1.9950000000000001</v>
      </c>
      <c r="M73" s="106"/>
      <c r="N73" s="106">
        <v>2.19</v>
      </c>
      <c r="O73" s="106"/>
      <c r="P73" s="106">
        <v>2.0499999999999998</v>
      </c>
      <c r="Q73" s="106"/>
      <c r="R73" s="106">
        <v>2.085</v>
      </c>
      <c r="S73" s="106"/>
      <c r="T73" s="106">
        <v>2.41</v>
      </c>
      <c r="U73" s="106"/>
      <c r="V73" s="106">
        <v>2.98</v>
      </c>
      <c r="W73" s="106"/>
      <c r="X73" s="106">
        <v>3.1549999999999998</v>
      </c>
      <c r="Y73" s="106"/>
      <c r="Z73" s="122">
        <v>2.3199999999999998</v>
      </c>
      <c r="AA73" s="106"/>
      <c r="AB73" s="107">
        <f t="shared" si="0"/>
        <v>2.415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4.25">
      <c r="A74" s="44"/>
      <c r="B74" s="103" t="s">
        <v>31</v>
      </c>
      <c r="C74" s="72"/>
      <c r="D74" s="108">
        <v>7.8299000000000003</v>
      </c>
      <c r="E74" s="108"/>
      <c r="F74" s="108">
        <v>7.7926000000000002</v>
      </c>
      <c r="G74" s="108"/>
      <c r="H74" s="108">
        <v>7.9627999999999997</v>
      </c>
      <c r="I74" s="108"/>
      <c r="J74" s="108">
        <v>7.9036999999999997</v>
      </c>
      <c r="K74" s="108"/>
      <c r="L74" s="108">
        <v>7.9057000000000004</v>
      </c>
      <c r="M74" s="108"/>
      <c r="N74" s="108">
        <v>7.9465000000000003</v>
      </c>
      <c r="O74" s="108"/>
      <c r="P74" s="108">
        <v>7.8856999999999999</v>
      </c>
      <c r="Q74" s="108"/>
      <c r="R74" s="108">
        <v>7.7843</v>
      </c>
      <c r="S74" s="123"/>
      <c r="T74" s="108">
        <v>7.7792000000000003</v>
      </c>
      <c r="U74" s="123"/>
      <c r="V74" s="108">
        <v>7.8113999999999999</v>
      </c>
      <c r="W74" s="123"/>
      <c r="X74" s="108">
        <v>8.2836999999999996</v>
      </c>
      <c r="Y74" s="123"/>
      <c r="Z74" s="123">
        <v>8.1359999999999992</v>
      </c>
      <c r="AA74" s="104"/>
      <c r="AB74" s="109">
        <f t="shared" si="0"/>
        <v>7.9184583333333336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229" t="s">
        <v>100</v>
      </c>
      <c r="C75" s="72"/>
      <c r="D75" s="104">
        <v>199.84625930589738</v>
      </c>
      <c r="E75" s="104"/>
      <c r="F75" s="104">
        <v>280.18961154291759</v>
      </c>
      <c r="G75" s="104"/>
      <c r="H75" s="104">
        <v>262.76813942216722</v>
      </c>
      <c r="I75" s="104"/>
      <c r="J75" s="104">
        <v>213.39084615726654</v>
      </c>
      <c r="K75" s="104"/>
      <c r="L75" s="104">
        <v>241.5001394533422</v>
      </c>
      <c r="M75" s="104"/>
      <c r="N75" s="104">
        <v>259.55667265669911</v>
      </c>
      <c r="O75" s="104"/>
      <c r="P75" s="104">
        <v>326.08107035539291</v>
      </c>
      <c r="Q75" s="104"/>
      <c r="R75" s="104">
        <v>420.07722244577764</v>
      </c>
      <c r="S75" s="104"/>
      <c r="T75" s="104">
        <v>375.46509000055732</v>
      </c>
      <c r="U75" s="120"/>
      <c r="V75" s="104">
        <v>356.28490945436391</v>
      </c>
      <c r="W75" s="120"/>
      <c r="X75" s="104">
        <v>401.62752684416927</v>
      </c>
      <c r="Y75" s="120"/>
      <c r="Z75" s="120">
        <v>446.54550939022994</v>
      </c>
      <c r="AA75" s="104"/>
      <c r="AB75" s="104">
        <f t="shared" si="0"/>
        <v>315.27774975239845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103" t="s">
        <v>70</v>
      </c>
      <c r="C76" s="72"/>
      <c r="D76" s="104">
        <v>0</v>
      </c>
      <c r="E76" s="104"/>
      <c r="F76" s="104">
        <v>5.0109700000000004</v>
      </c>
      <c r="G76" s="104"/>
      <c r="H76" s="104">
        <v>24.950742000000002</v>
      </c>
      <c r="I76" s="104"/>
      <c r="J76" s="104">
        <v>0</v>
      </c>
      <c r="K76" s="104"/>
      <c r="L76" s="104">
        <v>4.1465360000000002</v>
      </c>
      <c r="M76" s="104"/>
      <c r="N76" s="104">
        <v>7.806959</v>
      </c>
      <c r="O76" s="104"/>
      <c r="P76" s="104">
        <v>10.259527</v>
      </c>
      <c r="Q76" s="104"/>
      <c r="R76" s="104">
        <v>9.9431399999999996</v>
      </c>
      <c r="S76" s="104"/>
      <c r="T76" s="104">
        <v>4.9059699999999999</v>
      </c>
      <c r="U76" s="120"/>
      <c r="V76" s="104">
        <v>14.18389</v>
      </c>
      <c r="W76" s="120"/>
      <c r="X76" s="104">
        <v>14.428497</v>
      </c>
      <c r="Y76" s="120"/>
      <c r="Z76" s="120">
        <v>24.021788999999998</v>
      </c>
      <c r="AA76" s="104"/>
      <c r="AB76" s="104">
        <f t="shared" si="0"/>
        <v>9.9715016666666667</v>
      </c>
      <c r="AC76" s="216"/>
      <c r="AD76" s="216"/>
      <c r="AE76" s="216"/>
      <c r="AF76" s="216"/>
      <c r="AG76" s="216"/>
      <c r="AH76" s="216"/>
      <c r="AI76" s="216"/>
    </row>
    <row r="77" spans="1:35">
      <c r="B77" s="472" t="s">
        <v>101</v>
      </c>
      <c r="C77" s="472"/>
      <c r="D77" s="472"/>
      <c r="E77" s="472"/>
      <c r="F77" s="472"/>
      <c r="G77" s="472"/>
      <c r="H77" s="472"/>
      <c r="I77" s="472"/>
      <c r="J77" s="472"/>
      <c r="K77" s="472"/>
      <c r="L77" s="472"/>
      <c r="M77" s="472"/>
      <c r="N77" s="472"/>
      <c r="O77" s="472"/>
      <c r="P77" s="472"/>
      <c r="Q77" s="472"/>
      <c r="R77" s="472"/>
      <c r="S77" s="472"/>
      <c r="T77" s="472"/>
      <c r="U77" s="472"/>
      <c r="V77" s="472"/>
      <c r="W77" s="472"/>
      <c r="X77" s="472"/>
      <c r="Y77" s="472"/>
      <c r="Z77" s="472"/>
      <c r="AA77" s="472"/>
      <c r="AB77" s="472"/>
    </row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</sheetData>
  <mergeCells count="92">
    <mergeCell ref="B77:AB77"/>
    <mergeCell ref="AA63:AB63"/>
    <mergeCell ref="O63:P63"/>
    <mergeCell ref="Q63:R63"/>
    <mergeCell ref="O62:P62"/>
    <mergeCell ref="Y63:Z63"/>
    <mergeCell ref="Y62:Z62"/>
    <mergeCell ref="I62:J62"/>
    <mergeCell ref="W62:X62"/>
    <mergeCell ref="K63:L63"/>
    <mergeCell ref="U62:V62"/>
    <mergeCell ref="AA62:AB62"/>
    <mergeCell ref="G62:H62"/>
    <mergeCell ref="C62:D62"/>
    <mergeCell ref="K62:L62"/>
    <mergeCell ref="M62:N62"/>
    <mergeCell ref="B51:AB51"/>
    <mergeCell ref="C63:D63"/>
    <mergeCell ref="E63:F63"/>
    <mergeCell ref="G63:H63"/>
    <mergeCell ref="I63:J63"/>
    <mergeCell ref="S63:T63"/>
    <mergeCell ref="U63:V63"/>
    <mergeCell ref="S61:T61"/>
    <mergeCell ref="W63:X63"/>
    <mergeCell ref="M61:N61"/>
    <mergeCell ref="AA61:AB61"/>
    <mergeCell ref="Q62:R62"/>
    <mergeCell ref="S62:T62"/>
    <mergeCell ref="U61:V61"/>
    <mergeCell ref="M63:N63"/>
    <mergeCell ref="E62:F62"/>
    <mergeCell ref="I61:J61"/>
    <mergeCell ref="K61:L61"/>
    <mergeCell ref="Y61:Z61"/>
    <mergeCell ref="O61:P61"/>
    <mergeCell ref="B54:AB54"/>
    <mergeCell ref="C61:D61"/>
    <mergeCell ref="B57:AB57"/>
    <mergeCell ref="E61:F61"/>
    <mergeCell ref="G61:H61"/>
    <mergeCell ref="W61:X61"/>
    <mergeCell ref="B58:AB58"/>
    <mergeCell ref="Q61:R61"/>
    <mergeCell ref="B56:AB56"/>
    <mergeCell ref="B60:AB60"/>
    <mergeCell ref="B52:AB52"/>
    <mergeCell ref="E4:F4"/>
    <mergeCell ref="B49:AB49"/>
    <mergeCell ref="B50:AB50"/>
    <mergeCell ref="G4:H4"/>
    <mergeCell ref="C7:D7"/>
    <mergeCell ref="E7:F7"/>
    <mergeCell ref="M4:N4"/>
    <mergeCell ref="I4:J4"/>
    <mergeCell ref="Q4:R4"/>
    <mergeCell ref="M5:N5"/>
    <mergeCell ref="O7:P7"/>
    <mergeCell ref="O5:P5"/>
    <mergeCell ref="G7:H7"/>
    <mergeCell ref="B48:AB48"/>
    <mergeCell ref="B47:AB47"/>
    <mergeCell ref="B3:AB3"/>
    <mergeCell ref="M7:N7"/>
    <mergeCell ref="W5:X5"/>
    <mergeCell ref="Y5:Z5"/>
    <mergeCell ref="AA5:AB5"/>
    <mergeCell ref="U7:V7"/>
    <mergeCell ref="I7:J7"/>
    <mergeCell ref="Q7:R7"/>
    <mergeCell ref="W4:X4"/>
    <mergeCell ref="W7:X7"/>
    <mergeCell ref="Y7:Z7"/>
    <mergeCell ref="AA7:AB7"/>
    <mergeCell ref="S7:T7"/>
    <mergeCell ref="K7:L7"/>
    <mergeCell ref="B2:AB2"/>
    <mergeCell ref="S5:T5"/>
    <mergeCell ref="U5:V5"/>
    <mergeCell ref="C5:D5"/>
    <mergeCell ref="E5:F5"/>
    <mergeCell ref="G5:H5"/>
    <mergeCell ref="I5:J5"/>
    <mergeCell ref="K5:L5"/>
    <mergeCell ref="C4:D4"/>
    <mergeCell ref="Q5:R5"/>
    <mergeCell ref="K4:L4"/>
    <mergeCell ref="O4:P4"/>
    <mergeCell ref="S4:T4"/>
    <mergeCell ref="U4:V4"/>
    <mergeCell ref="Y4:Z4"/>
    <mergeCell ref="AA4:AB4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60" orientation="landscape" r:id="rId1"/>
  <headerFooter alignWithMargins="0"/>
  <ignoredErrors>
    <ignoredError sqref="AB27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1"/>
  <sheetViews>
    <sheetView showGridLines="0" topLeftCell="A58" zoomScale="75" zoomScaleNormal="75" workbookViewId="0">
      <selection activeCell="AC17" sqref="AC17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53" t="s">
        <v>43</v>
      </c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453"/>
      <c r="Y2" s="453"/>
      <c r="Z2" s="453"/>
      <c r="AA2" s="453"/>
      <c r="AB2" s="453"/>
      <c r="AC2" s="214"/>
      <c r="AD2" s="214"/>
      <c r="AE2" s="214"/>
      <c r="AF2" s="214"/>
    </row>
    <row r="3" spans="1:35" ht="15.75" customHeight="1" thickBot="1">
      <c r="B3" s="459" t="s">
        <v>57</v>
      </c>
      <c r="C3" s="459"/>
      <c r="D3" s="459"/>
      <c r="E3" s="459"/>
      <c r="F3" s="459"/>
      <c r="G3" s="459"/>
      <c r="H3" s="459"/>
      <c r="I3" s="459"/>
      <c r="J3" s="459"/>
      <c r="K3" s="459"/>
      <c r="L3" s="459"/>
      <c r="M3" s="459"/>
      <c r="N3" s="459"/>
      <c r="O3" s="459"/>
      <c r="P3" s="459"/>
      <c r="Q3" s="459"/>
      <c r="R3" s="459"/>
      <c r="S3" s="459"/>
      <c r="T3" s="459"/>
      <c r="U3" s="459"/>
      <c r="V3" s="459"/>
      <c r="W3" s="459"/>
      <c r="X3" s="459"/>
      <c r="Y3" s="459"/>
      <c r="Z3" s="459"/>
      <c r="AA3" s="459"/>
      <c r="AB3" s="459"/>
      <c r="AC3" s="215"/>
      <c r="AD3" s="215"/>
      <c r="AE3" s="215"/>
      <c r="AF3" s="215"/>
    </row>
    <row r="4" spans="1:35">
      <c r="B4" s="63"/>
      <c r="C4" s="456"/>
      <c r="D4" s="457"/>
      <c r="E4" s="456"/>
      <c r="F4" s="463"/>
      <c r="G4" s="456"/>
      <c r="H4" s="463"/>
      <c r="I4" s="456"/>
      <c r="J4" s="463"/>
      <c r="K4" s="456"/>
      <c r="L4" s="463"/>
      <c r="M4" s="456"/>
      <c r="N4" s="463"/>
      <c r="O4" s="456"/>
      <c r="P4" s="463"/>
      <c r="Q4" s="456"/>
      <c r="R4" s="463"/>
      <c r="S4" s="456"/>
      <c r="T4" s="463"/>
      <c r="U4" s="456"/>
      <c r="V4" s="462"/>
      <c r="W4" s="456"/>
      <c r="X4" s="462"/>
      <c r="Y4" s="456"/>
      <c r="Z4" s="462"/>
      <c r="AA4" s="456"/>
      <c r="AB4" s="462"/>
    </row>
    <row r="5" spans="1:35">
      <c r="B5" s="64">
        <v>1998</v>
      </c>
      <c r="C5" s="454" t="s">
        <v>4</v>
      </c>
      <c r="D5" s="460"/>
      <c r="E5" s="454" t="s">
        <v>5</v>
      </c>
      <c r="F5" s="455"/>
      <c r="G5" s="454" t="s">
        <v>6</v>
      </c>
      <c r="H5" s="455"/>
      <c r="I5" s="454" t="s">
        <v>7</v>
      </c>
      <c r="J5" s="455"/>
      <c r="K5" s="454" t="s">
        <v>8</v>
      </c>
      <c r="L5" s="455"/>
      <c r="M5" s="454" t="s">
        <v>9</v>
      </c>
      <c r="N5" s="455"/>
      <c r="O5" s="454" t="s">
        <v>10</v>
      </c>
      <c r="P5" s="455"/>
      <c r="Q5" s="458" t="s">
        <v>11</v>
      </c>
      <c r="R5" s="455"/>
      <c r="S5" s="458" t="s">
        <v>12</v>
      </c>
      <c r="T5" s="455"/>
      <c r="U5" s="454" t="s">
        <v>0</v>
      </c>
      <c r="V5" s="461"/>
      <c r="W5" s="454" t="s">
        <v>1</v>
      </c>
      <c r="X5" s="461"/>
      <c r="Y5" s="454" t="s">
        <v>2</v>
      </c>
      <c r="Z5" s="461"/>
      <c r="AA5" s="454" t="s">
        <v>15</v>
      </c>
      <c r="AB5" s="46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5"/>
      <c r="D7" s="468"/>
      <c r="E7" s="465"/>
      <c r="F7" s="466"/>
      <c r="G7" s="465"/>
      <c r="H7" s="466"/>
      <c r="I7" s="465"/>
      <c r="J7" s="466"/>
      <c r="K7" s="465"/>
      <c r="L7" s="466"/>
      <c r="M7" s="465"/>
      <c r="N7" s="466"/>
      <c r="O7" s="465"/>
      <c r="P7" s="466"/>
      <c r="Q7" s="465"/>
      <c r="R7" s="466"/>
      <c r="S7" s="465"/>
      <c r="T7" s="466"/>
      <c r="U7" s="465"/>
      <c r="V7" s="467"/>
      <c r="W7" s="465"/>
      <c r="X7" s="467"/>
      <c r="Y7" s="465"/>
      <c r="Z7" s="467"/>
      <c r="AA7" s="465"/>
      <c r="AB7" s="467"/>
    </row>
    <row r="8" spans="1:35" s="202" customFormat="1" ht="14.25" customHeight="1">
      <c r="A8" s="44"/>
      <c r="B8" s="71" t="s">
        <v>16</v>
      </c>
      <c r="C8" s="72"/>
      <c r="D8" s="41">
        <f>D9+D12</f>
        <v>24225.794899999997</v>
      </c>
      <c r="E8" s="42"/>
      <c r="F8" s="41">
        <f>F9+F12</f>
        <v>21958.800900000002</v>
      </c>
      <c r="G8" s="41"/>
      <c r="H8" s="41">
        <f>H9+H12</f>
        <v>24406.072700000001</v>
      </c>
      <c r="I8" s="41"/>
      <c r="J8" s="41">
        <f>J9+J12</f>
        <v>22803.5916</v>
      </c>
      <c r="K8" s="41"/>
      <c r="L8" s="41">
        <f>L9+L12</f>
        <v>22378.9653</v>
      </c>
      <c r="M8" s="41"/>
      <c r="N8" s="41">
        <f>N9+N12</f>
        <v>24498.749500000002</v>
      </c>
      <c r="O8" s="41"/>
      <c r="P8" s="41">
        <f>P9+P12</f>
        <v>24064.5779</v>
      </c>
      <c r="Q8" s="41"/>
      <c r="R8" s="41">
        <f>R9+R12</f>
        <v>22707.064199999997</v>
      </c>
      <c r="S8" s="41"/>
      <c r="T8" s="41">
        <f>T9+T12</f>
        <v>23167.2271</v>
      </c>
      <c r="U8" s="41"/>
      <c r="V8" s="41">
        <f>V9+V12</f>
        <v>24896.959900000002</v>
      </c>
      <c r="W8" s="41"/>
      <c r="X8" s="41">
        <f>X9+X12</f>
        <v>24560.524199999996</v>
      </c>
      <c r="Y8" s="41"/>
      <c r="Z8" s="41">
        <f>Z9+Z12</f>
        <v>28953.5242</v>
      </c>
      <c r="AA8" s="73"/>
      <c r="AB8" s="73">
        <f>AB9+AB12</f>
        <v>288621.85240000003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23724.860999999997</v>
      </c>
      <c r="E9" s="42"/>
      <c r="F9" s="42">
        <f>+F10+F11</f>
        <v>21649.337900000002</v>
      </c>
      <c r="G9" s="42"/>
      <c r="H9" s="42">
        <f>+H10+H11</f>
        <v>23914.390500000001</v>
      </c>
      <c r="I9" s="42"/>
      <c r="J9" s="42">
        <f>+J10+J11</f>
        <v>22548.726999999999</v>
      </c>
      <c r="K9" s="42"/>
      <c r="L9" s="42">
        <f>+L10+L11</f>
        <v>21576.850299999998</v>
      </c>
      <c r="M9" s="42"/>
      <c r="N9" s="42">
        <f>+N10+N11</f>
        <v>23694.6054</v>
      </c>
      <c r="O9" s="42"/>
      <c r="P9" s="42">
        <f>+P10+P11</f>
        <v>23760.788800000002</v>
      </c>
      <c r="Q9" s="42"/>
      <c r="R9" s="42">
        <f>+R10+R11</f>
        <v>21873.083399999996</v>
      </c>
      <c r="S9" s="42"/>
      <c r="T9" s="42">
        <f>+T10+T11</f>
        <v>22737.813200000001</v>
      </c>
      <c r="U9" s="42"/>
      <c r="V9" s="42">
        <f>+V10+V11</f>
        <v>23832.8037</v>
      </c>
      <c r="W9" s="42"/>
      <c r="X9" s="42">
        <f>+X10+X11</f>
        <v>24084.243899999998</v>
      </c>
      <c r="Y9" s="42"/>
      <c r="Z9" s="42">
        <f>+Z10+Z11</f>
        <v>28114.999100000001</v>
      </c>
      <c r="AA9" s="75"/>
      <c r="AB9" s="75">
        <f>+AB10+AB11</f>
        <v>281512.50420000002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194" t="s">
        <v>77</v>
      </c>
      <c r="C10" s="72"/>
      <c r="D10" s="42">
        <v>5956.0532999999996</v>
      </c>
      <c r="E10" s="42"/>
      <c r="F10" s="42">
        <v>5911.6495000000014</v>
      </c>
      <c r="G10" s="42"/>
      <c r="H10" s="42">
        <v>5806.4801000000007</v>
      </c>
      <c r="I10" s="42"/>
      <c r="J10" s="42">
        <v>4969.9228999999996</v>
      </c>
      <c r="K10" s="42"/>
      <c r="L10" s="42">
        <v>5067.2568000000001</v>
      </c>
      <c r="M10" s="42"/>
      <c r="N10" s="42">
        <v>6344.7183999999997</v>
      </c>
      <c r="O10" s="42"/>
      <c r="P10" s="42">
        <v>5300.7142000000013</v>
      </c>
      <c r="Q10" s="42"/>
      <c r="R10" s="42">
        <v>5026.8119999999999</v>
      </c>
      <c r="S10" s="42"/>
      <c r="T10" s="42">
        <v>5627.9581000000007</v>
      </c>
      <c r="U10" s="42"/>
      <c r="V10" s="42">
        <v>5876.0832000000009</v>
      </c>
      <c r="W10" s="42"/>
      <c r="X10" s="42">
        <v>5293.0623999999998</v>
      </c>
      <c r="Y10" s="42"/>
      <c r="Z10" s="42">
        <v>6287.4437000000016</v>
      </c>
      <c r="AA10" s="75"/>
      <c r="AB10" s="75">
        <f>SUM(D10:Z10)</f>
        <v>67468.154600000009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194" t="s">
        <v>78</v>
      </c>
      <c r="C11" s="72"/>
      <c r="D11" s="42">
        <v>17768.807699999998</v>
      </c>
      <c r="E11" s="42"/>
      <c r="F11" s="42">
        <v>15737.688400000001</v>
      </c>
      <c r="G11" s="42"/>
      <c r="H11" s="42">
        <v>18107.910400000001</v>
      </c>
      <c r="I11" s="42"/>
      <c r="J11" s="42">
        <v>17578.804099999998</v>
      </c>
      <c r="K11" s="42"/>
      <c r="L11" s="42">
        <v>16509.593499999999</v>
      </c>
      <c r="M11" s="42"/>
      <c r="N11" s="42">
        <v>17349.886999999999</v>
      </c>
      <c r="O11" s="42"/>
      <c r="P11" s="42">
        <v>18460.0746</v>
      </c>
      <c r="Q11" s="42"/>
      <c r="R11" s="42">
        <v>16846.271399999998</v>
      </c>
      <c r="S11" s="42"/>
      <c r="T11" s="42">
        <v>17109.855100000001</v>
      </c>
      <c r="U11" s="42"/>
      <c r="V11" s="42">
        <v>17956.720499999999</v>
      </c>
      <c r="W11" s="42"/>
      <c r="X11" s="42">
        <v>18791.181499999999</v>
      </c>
      <c r="Y11" s="42"/>
      <c r="Z11" s="42">
        <v>21827.555400000001</v>
      </c>
      <c r="AA11" s="77"/>
      <c r="AB11" s="75">
        <f>SUM(D11:Z11)</f>
        <v>214044.34960000002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206" t="s">
        <v>79</v>
      </c>
      <c r="C12" s="72"/>
      <c r="D12" s="42">
        <v>500.93390000000011</v>
      </c>
      <c r="E12" s="42"/>
      <c r="F12" s="42">
        <v>309.46300000000002</v>
      </c>
      <c r="G12" s="42"/>
      <c r="H12" s="42">
        <v>491.68219999999997</v>
      </c>
      <c r="I12" s="42"/>
      <c r="J12" s="42">
        <v>254.86459999999994</v>
      </c>
      <c r="K12" s="42"/>
      <c r="L12" s="42">
        <v>802.11500000000001</v>
      </c>
      <c r="M12" s="42"/>
      <c r="N12" s="42">
        <v>804.14409999999998</v>
      </c>
      <c r="O12" s="42"/>
      <c r="P12" s="42">
        <v>303.78909999999991</v>
      </c>
      <c r="Q12" s="42"/>
      <c r="R12" s="42">
        <v>833.98079999999993</v>
      </c>
      <c r="S12" s="42"/>
      <c r="T12" s="42">
        <v>429.41389999999996</v>
      </c>
      <c r="U12" s="42"/>
      <c r="V12" s="42">
        <v>1064.1562000000001</v>
      </c>
      <c r="W12" s="42"/>
      <c r="X12" s="42">
        <v>476.28030000000007</v>
      </c>
      <c r="Y12" s="42"/>
      <c r="Z12" s="42">
        <v>838.52509999999972</v>
      </c>
      <c r="AA12" s="75"/>
      <c r="AB12" s="75">
        <f>SUM(D12:Z12)</f>
        <v>7109.3482000000004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80</v>
      </c>
      <c r="C14" s="82"/>
      <c r="D14" s="45">
        <f>+D15+D16+D17</f>
        <v>3070.4553999999998</v>
      </c>
      <c r="E14" s="45"/>
      <c r="F14" s="45">
        <f>+F15+F16+F17</f>
        <v>2356.8568</v>
      </c>
      <c r="G14" s="45"/>
      <c r="H14" s="45">
        <f>+H15+H16+H17</f>
        <v>3195.6770999999999</v>
      </c>
      <c r="I14" s="45"/>
      <c r="J14" s="45">
        <f>+J15+J16+J17</f>
        <v>3399.6102000000001</v>
      </c>
      <c r="K14" s="45"/>
      <c r="L14" s="45">
        <f>+L15+L16+L17</f>
        <v>1868.1214999999997</v>
      </c>
      <c r="M14" s="45"/>
      <c r="N14" s="45">
        <f>+N15+N16+N17</f>
        <v>2615.4989999999998</v>
      </c>
      <c r="O14" s="45"/>
      <c r="P14" s="45">
        <f>+P15+P16+P17</f>
        <v>3005.6586000000002</v>
      </c>
      <c r="Q14" s="45"/>
      <c r="R14" s="45">
        <f>+R15+R16+R17</f>
        <v>2891.3778000000002</v>
      </c>
      <c r="S14" s="45"/>
      <c r="T14" s="45">
        <f>+T15+T16+T17</f>
        <v>3237.1986999999999</v>
      </c>
      <c r="U14" s="45"/>
      <c r="V14" s="45">
        <f>+V15+V16+V17</f>
        <v>2940.46</v>
      </c>
      <c r="W14" s="45"/>
      <c r="X14" s="45">
        <f>+X15+X16+X17</f>
        <v>3102.0302000000001</v>
      </c>
      <c r="Y14" s="45"/>
      <c r="Z14" s="45">
        <f>+Z15+Z16+Z17</f>
        <v>7898.6560000000027</v>
      </c>
      <c r="AA14" s="83"/>
      <c r="AB14" s="83">
        <f>+AB15+AB16+AB17</f>
        <v>39581.601300000002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1591.0599</v>
      </c>
      <c r="E15" s="42"/>
      <c r="F15" s="42">
        <v>1194.5655999999999</v>
      </c>
      <c r="G15" s="42"/>
      <c r="H15" s="42">
        <v>2048.1707000000001</v>
      </c>
      <c r="I15" s="42"/>
      <c r="J15" s="42">
        <v>2241.7826</v>
      </c>
      <c r="K15" s="42"/>
      <c r="L15" s="42">
        <v>292.0213</v>
      </c>
      <c r="M15" s="42"/>
      <c r="N15" s="42">
        <v>1602.0199</v>
      </c>
      <c r="O15" s="42"/>
      <c r="P15" s="42">
        <v>1368.4380000000001</v>
      </c>
      <c r="Q15" s="42"/>
      <c r="R15" s="42">
        <v>1597.8522</v>
      </c>
      <c r="S15" s="42"/>
      <c r="T15" s="42">
        <v>1936.0596</v>
      </c>
      <c r="U15" s="42"/>
      <c r="V15" s="42">
        <v>1519.2909</v>
      </c>
      <c r="W15" s="42"/>
      <c r="X15" s="42">
        <v>1679.4992999999999</v>
      </c>
      <c r="Y15" s="42"/>
      <c r="Z15" s="42">
        <v>5067.1584999999995</v>
      </c>
      <c r="AA15" s="75"/>
      <c r="AB15" s="75">
        <f>SUM(D15:Z15)</f>
        <v>22137.9185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501.67360000000002</v>
      </c>
      <c r="E16" s="42"/>
      <c r="F16" s="42">
        <v>497.31569999999999</v>
      </c>
      <c r="G16" s="42"/>
      <c r="H16" s="42">
        <v>325.57429999999999</v>
      </c>
      <c r="I16" s="42"/>
      <c r="J16" s="42">
        <v>392.92939999999999</v>
      </c>
      <c r="K16" s="42"/>
      <c r="L16" s="42">
        <v>328.48739999999998</v>
      </c>
      <c r="M16" s="42"/>
      <c r="N16" s="42">
        <v>216.9265</v>
      </c>
      <c r="O16" s="42"/>
      <c r="P16" s="42">
        <v>549.63049999999998</v>
      </c>
      <c r="Q16" s="42"/>
      <c r="R16" s="42">
        <v>530.25890000000004</v>
      </c>
      <c r="S16" s="42"/>
      <c r="T16" s="42">
        <v>317.0684</v>
      </c>
      <c r="U16" s="42"/>
      <c r="V16" s="42">
        <v>367.4468</v>
      </c>
      <c r="W16" s="42"/>
      <c r="X16" s="42">
        <v>463.17439999999999</v>
      </c>
      <c r="Y16" s="42"/>
      <c r="Z16" s="42">
        <v>906.53959999999995</v>
      </c>
      <c r="AA16" s="75"/>
      <c r="AB16" s="75">
        <f>SUM(D16:Z16)</f>
        <v>5397.0255000000006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206" t="s">
        <v>81</v>
      </c>
      <c r="C17" s="72"/>
      <c r="D17" s="42">
        <v>977.72189999999978</v>
      </c>
      <c r="E17" s="42"/>
      <c r="F17" s="42">
        <v>664.97550000000012</v>
      </c>
      <c r="G17" s="42"/>
      <c r="H17" s="42">
        <v>821.93209999999976</v>
      </c>
      <c r="I17" s="42"/>
      <c r="J17" s="42">
        <v>764.89820000000009</v>
      </c>
      <c r="K17" s="42"/>
      <c r="L17" s="42">
        <v>1247.6127999999999</v>
      </c>
      <c r="M17" s="42"/>
      <c r="N17" s="42">
        <v>796.55259999999976</v>
      </c>
      <c r="O17" s="42"/>
      <c r="P17" s="42">
        <v>1087.5901000000001</v>
      </c>
      <c r="Q17" s="42"/>
      <c r="R17" s="42">
        <v>763.26670000000013</v>
      </c>
      <c r="S17" s="42"/>
      <c r="T17" s="42">
        <v>984.07069999999987</v>
      </c>
      <c r="U17" s="42"/>
      <c r="V17" s="42">
        <v>1053.7223000000001</v>
      </c>
      <c r="W17" s="42"/>
      <c r="X17" s="42">
        <v>959.35650000000021</v>
      </c>
      <c r="Y17" s="42"/>
      <c r="Z17" s="42">
        <v>1924.9579000000031</v>
      </c>
      <c r="AA17" s="75"/>
      <c r="AB17" s="75">
        <f>SUM(D17:Z17)</f>
        <v>12046.657300000003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444.48840000000001</v>
      </c>
      <c r="E19" s="42"/>
      <c r="F19" s="42">
        <v>-60.1843</v>
      </c>
      <c r="G19" s="42"/>
      <c r="H19" s="42">
        <v>214.7397</v>
      </c>
      <c r="I19" s="42"/>
      <c r="J19" s="42">
        <v>226.36179999999999</v>
      </c>
      <c r="K19" s="42"/>
      <c r="L19" s="42">
        <v>1104.269</v>
      </c>
      <c r="M19" s="42"/>
      <c r="N19" s="42">
        <v>-824.18529999999998</v>
      </c>
      <c r="O19" s="42"/>
      <c r="P19" s="42">
        <v>259.97059999999999</v>
      </c>
      <c r="Q19" s="42"/>
      <c r="R19" s="42">
        <v>22.5791</v>
      </c>
      <c r="S19" s="42"/>
      <c r="T19" s="42">
        <v>45.194000000000003</v>
      </c>
      <c r="U19" s="42"/>
      <c r="V19" s="42">
        <v>41.296100000000003</v>
      </c>
      <c r="W19" s="42"/>
      <c r="X19" s="42">
        <v>553.47879999999998</v>
      </c>
      <c r="Y19" s="42"/>
      <c r="Z19" s="42">
        <v>-337.75369999999998</v>
      </c>
      <c r="AA19" s="42"/>
      <c r="AB19" s="124">
        <f>SUM(D19:Z19)</f>
        <v>1690.2542000000001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228" t="s">
        <v>82</v>
      </c>
      <c r="C21" s="72"/>
      <c r="D21" s="42">
        <v>2547.7114999999999</v>
      </c>
      <c r="E21" s="42"/>
      <c r="F21" s="42">
        <v>2073.3370000000004</v>
      </c>
      <c r="G21" s="42"/>
      <c r="H21" s="42">
        <v>1694.3828000000001</v>
      </c>
      <c r="I21" s="42"/>
      <c r="J21" s="42">
        <v>1273.2042000000001</v>
      </c>
      <c r="K21" s="42"/>
      <c r="L21" s="42">
        <v>1237.6347000000001</v>
      </c>
      <c r="M21" s="42"/>
      <c r="N21" s="42">
        <v>1347.4344999999998</v>
      </c>
      <c r="O21" s="42"/>
      <c r="P21" s="42">
        <v>2224.1226000000001</v>
      </c>
      <c r="Q21" s="42"/>
      <c r="R21" s="42">
        <v>1886.0748000000001</v>
      </c>
      <c r="S21" s="42"/>
      <c r="T21" s="42">
        <v>1382.0024000000001</v>
      </c>
      <c r="U21" s="42"/>
      <c r="V21" s="42">
        <v>2323.4904999999999</v>
      </c>
      <c r="W21" s="42"/>
      <c r="X21" s="42">
        <v>1625.0001000000002</v>
      </c>
      <c r="Y21" s="42"/>
      <c r="Z21" s="42">
        <v>1854.7021999999999</v>
      </c>
      <c r="AA21" s="42"/>
      <c r="AB21" s="75">
        <f>SUM(D21:Z21)</f>
        <v>21469.097300000001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83</v>
      </c>
      <c r="C23" s="82"/>
      <c r="D23" s="45">
        <f>D8-D14-D19-D21</f>
        <v>18163.139599999999</v>
      </c>
      <c r="E23" s="45"/>
      <c r="F23" s="45">
        <f>F8-F14-F19-F21</f>
        <v>17588.791400000002</v>
      </c>
      <c r="G23" s="45"/>
      <c r="H23" s="45">
        <f>H8-H14-H19-H21</f>
        <v>19301.273100000002</v>
      </c>
      <c r="I23" s="45"/>
      <c r="J23" s="45">
        <f>J8-J14-J19-J21</f>
        <v>17904.415400000002</v>
      </c>
      <c r="K23" s="45"/>
      <c r="L23" s="45">
        <f>L8-L14-L19-L21</f>
        <v>18168.9401</v>
      </c>
      <c r="M23" s="45"/>
      <c r="N23" s="45">
        <f>N8-N14-N19-N21</f>
        <v>21360.001300000004</v>
      </c>
      <c r="O23" s="45"/>
      <c r="P23" s="45">
        <f>P8-P14-P19-P21</f>
        <v>18574.826100000002</v>
      </c>
      <c r="Q23" s="45"/>
      <c r="R23" s="45">
        <f>R8-R14-R19-R21</f>
        <v>17907.032500000001</v>
      </c>
      <c r="S23" s="45"/>
      <c r="T23" s="45">
        <f>T8-T14-T19-T21</f>
        <v>18502.831999999999</v>
      </c>
      <c r="U23" s="45"/>
      <c r="V23" s="45">
        <f>V8-V14-V19-V21</f>
        <v>19591.713300000003</v>
      </c>
      <c r="W23" s="45"/>
      <c r="X23" s="45">
        <f>X8-X14-X19-X21</f>
        <v>19280.015099999993</v>
      </c>
      <c r="Y23" s="45"/>
      <c r="Z23" s="45">
        <f>Z8-Z14-Z19-Z21</f>
        <v>19537.919699999999</v>
      </c>
      <c r="AA23" s="45"/>
      <c r="AB23" s="83">
        <f>AB8-AB14-AB19-AB21</f>
        <v>225880.89960000003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84</v>
      </c>
      <c r="C25" s="82"/>
      <c r="D25" s="45">
        <f>+D27+D26</f>
        <v>3262.2989425000005</v>
      </c>
      <c r="E25" s="82"/>
      <c r="F25" s="45">
        <f>+F27+F26</f>
        <v>2342.3105999999998</v>
      </c>
      <c r="G25" s="82"/>
      <c r="H25" s="45">
        <f>+H27+H26</f>
        <v>1915.5143</v>
      </c>
      <c r="I25" s="82"/>
      <c r="J25" s="45">
        <f>+J27+J26</f>
        <v>2323.3420999999998</v>
      </c>
      <c r="K25" s="82"/>
      <c r="L25" s="45">
        <f>+L27+L26</f>
        <v>2235.8674000000001</v>
      </c>
      <c r="M25" s="82"/>
      <c r="N25" s="45">
        <f>+N27+N26</f>
        <v>1171.67346</v>
      </c>
      <c r="O25" s="82"/>
      <c r="P25" s="45">
        <f>+P27+P26</f>
        <v>4069.9546999999998</v>
      </c>
      <c r="Q25" s="82"/>
      <c r="R25" s="45">
        <f>+R27+R26</f>
        <v>2587.2338</v>
      </c>
      <c r="S25" s="82"/>
      <c r="T25" s="45">
        <f>+T27+T26</f>
        <v>2353.6588999999999</v>
      </c>
      <c r="U25" s="82"/>
      <c r="V25" s="45">
        <f>+V27+V26</f>
        <v>2544.1138999999998</v>
      </c>
      <c r="W25" s="82"/>
      <c r="X25" s="45">
        <f>+X27+X26</f>
        <v>1938.0751</v>
      </c>
      <c r="Y25" s="82"/>
      <c r="Z25" s="45">
        <f>+Z27+Z26</f>
        <v>4299.1005974999998</v>
      </c>
      <c r="AA25" s="82"/>
      <c r="AB25" s="45">
        <f>+AB27+AB26</f>
        <v>31043.143799999998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206" t="s">
        <v>86</v>
      </c>
      <c r="C26" s="72"/>
      <c r="D26" s="42">
        <v>5.4302000000000001</v>
      </c>
      <c r="E26" s="42"/>
      <c r="F26" s="42">
        <v>10.368499999999999</v>
      </c>
      <c r="G26" s="42"/>
      <c r="H26" s="42">
        <v>3.3431000000000002</v>
      </c>
      <c r="I26" s="42"/>
      <c r="J26" s="42">
        <v>14.477499999999999</v>
      </c>
      <c r="K26" s="42"/>
      <c r="L26" s="42">
        <v>7.3952</v>
      </c>
      <c r="M26" s="42"/>
      <c r="N26" s="42">
        <v>3.4691999999999998</v>
      </c>
      <c r="O26" s="42"/>
      <c r="P26" s="42">
        <v>14.063800000000001</v>
      </c>
      <c r="Q26" s="77"/>
      <c r="R26" s="42">
        <v>5.3650000000000002</v>
      </c>
      <c r="S26" s="42"/>
      <c r="T26" s="42">
        <v>9.9748999999999999</v>
      </c>
      <c r="U26" s="42"/>
      <c r="V26" s="42">
        <v>5.0538999999999996</v>
      </c>
      <c r="W26" s="42"/>
      <c r="X26" s="42">
        <v>5.9584999999999999</v>
      </c>
      <c r="Y26" s="42"/>
      <c r="Z26" s="42">
        <v>19.815200000000001</v>
      </c>
      <c r="AA26" s="42"/>
      <c r="AB26" s="75">
        <f>SUM(D26:Z26)</f>
        <v>104.715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3256.8687425000007</v>
      </c>
      <c r="E27" s="42"/>
      <c r="F27" s="42">
        <f>+F28+F29</f>
        <v>2331.9420999999998</v>
      </c>
      <c r="G27" s="42"/>
      <c r="H27" s="42">
        <f>+H28+H29</f>
        <v>1912.1712</v>
      </c>
      <c r="I27" s="42"/>
      <c r="J27" s="42">
        <f>+J28+J29</f>
        <v>2308.8645999999999</v>
      </c>
      <c r="K27" s="42"/>
      <c r="L27" s="42">
        <f>+L28+L29</f>
        <v>2228.4722000000002</v>
      </c>
      <c r="M27" s="42"/>
      <c r="N27" s="42">
        <f>+N28+N29</f>
        <v>1168.20426</v>
      </c>
      <c r="O27" s="42"/>
      <c r="P27" s="42">
        <f>+P28+P29</f>
        <v>4055.8908999999999</v>
      </c>
      <c r="Q27" s="42"/>
      <c r="R27" s="42">
        <f>+R28+R29</f>
        <v>2581.8688000000002</v>
      </c>
      <c r="S27" s="42"/>
      <c r="T27" s="42">
        <f>+T28+T29</f>
        <v>2343.6839999999997</v>
      </c>
      <c r="U27" s="42"/>
      <c r="V27" s="42">
        <f>+V28+V29</f>
        <v>2539.06</v>
      </c>
      <c r="W27" s="42"/>
      <c r="X27" s="42">
        <f>+X28+X29</f>
        <v>1932.1166000000001</v>
      </c>
      <c r="Y27" s="42"/>
      <c r="Z27" s="42">
        <f>+Z28+Z29</f>
        <v>4279.2853974999998</v>
      </c>
      <c r="AA27" s="75"/>
      <c r="AB27" s="75">
        <f>+AB28+AB29</f>
        <v>30938.428799999998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194" t="s">
        <v>87</v>
      </c>
      <c r="C28" s="90"/>
      <c r="D28" s="42">
        <v>3247.0612000000006</v>
      </c>
      <c r="E28" s="42"/>
      <c r="F28" s="42">
        <v>2318.1172999999999</v>
      </c>
      <c r="G28" s="42"/>
      <c r="H28" s="42">
        <v>1887.5705</v>
      </c>
      <c r="I28" s="42"/>
      <c r="J28" s="42">
        <v>2285.5551999999998</v>
      </c>
      <c r="K28" s="42"/>
      <c r="L28" s="42">
        <v>2193.4842000000003</v>
      </c>
      <c r="M28" s="42"/>
      <c r="N28" s="42">
        <v>1162.79946</v>
      </c>
      <c r="O28" s="42"/>
      <c r="P28" s="42">
        <v>4023.3183999999997</v>
      </c>
      <c r="Q28" s="42"/>
      <c r="R28" s="42">
        <v>2537.7833000000001</v>
      </c>
      <c r="S28" s="42"/>
      <c r="T28" s="42">
        <v>2307.7735999999995</v>
      </c>
      <c r="U28" s="42"/>
      <c r="V28" s="42">
        <v>2514.6826000000001</v>
      </c>
      <c r="W28" s="42"/>
      <c r="X28" s="42">
        <v>1903.9145000000001</v>
      </c>
      <c r="Y28" s="42"/>
      <c r="Z28" s="42">
        <v>3988.6041399999999</v>
      </c>
      <c r="AA28" s="75"/>
      <c r="AB28" s="75">
        <f>SUM(D28:Z28)</f>
        <v>30370.664399999998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9.8075425000000003</v>
      </c>
      <c r="E29" s="42"/>
      <c r="F29" s="42">
        <v>13.8248</v>
      </c>
      <c r="G29" s="42"/>
      <c r="H29" s="42">
        <v>24.6007</v>
      </c>
      <c r="I29" s="42"/>
      <c r="J29" s="42">
        <v>23.3094</v>
      </c>
      <c r="K29" s="42"/>
      <c r="L29" s="42">
        <v>34.988</v>
      </c>
      <c r="M29" s="42"/>
      <c r="N29" s="42">
        <v>5.4047999999999998</v>
      </c>
      <c r="O29" s="42"/>
      <c r="P29" s="42">
        <v>32.572499999999998</v>
      </c>
      <c r="Q29" s="42"/>
      <c r="R29" s="42">
        <v>44.085500000000003</v>
      </c>
      <c r="S29" s="42"/>
      <c r="T29" s="42">
        <v>35.910400000000003</v>
      </c>
      <c r="U29" s="42"/>
      <c r="V29" s="42">
        <v>24.377400000000002</v>
      </c>
      <c r="W29" s="42"/>
      <c r="X29" s="42">
        <v>28.202100000000002</v>
      </c>
      <c r="Y29" s="42"/>
      <c r="Z29" s="42">
        <v>290.68125750000002</v>
      </c>
      <c r="AA29" s="75"/>
      <c r="AB29" s="42">
        <f>SUM(D29:Z29)</f>
        <v>567.76440000000002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0</v>
      </c>
      <c r="U31" s="118"/>
      <c r="V31" s="118">
        <v>0</v>
      </c>
      <c r="W31" s="118"/>
      <c r="X31" s="118">
        <v>0</v>
      </c>
      <c r="Y31" s="118"/>
      <c r="Z31" s="118">
        <v>0</v>
      </c>
      <c r="AA31" s="41"/>
      <c r="AB31" s="118">
        <f>SUM(D31:Z31)</f>
        <v>0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207" t="s">
        <v>106</v>
      </c>
      <c r="C33" s="95"/>
      <c r="D33" s="119">
        <f>D23-D25+D31</f>
        <v>14900.840657499997</v>
      </c>
      <c r="E33" s="119"/>
      <c r="F33" s="119">
        <f>F23-F25+F31</f>
        <v>15246.480800000001</v>
      </c>
      <c r="G33" s="119"/>
      <c r="H33" s="119">
        <f>H23-H25+H31</f>
        <v>17385.758800000003</v>
      </c>
      <c r="I33" s="119"/>
      <c r="J33" s="119">
        <f>J23-J25+J31</f>
        <v>15581.073300000002</v>
      </c>
      <c r="K33" s="119"/>
      <c r="L33" s="119">
        <f>L23-L25+L31</f>
        <v>15933.072700000001</v>
      </c>
      <c r="M33" s="119"/>
      <c r="N33" s="119">
        <f>N23-N25+N31</f>
        <v>20188.327840000005</v>
      </c>
      <c r="O33" s="119"/>
      <c r="P33" s="119">
        <f>P23-P25+P31</f>
        <v>14504.871400000002</v>
      </c>
      <c r="Q33" s="119"/>
      <c r="R33" s="119">
        <f>R23-R25+R31</f>
        <v>15319.798700000001</v>
      </c>
      <c r="S33" s="119"/>
      <c r="T33" s="119">
        <f>T23-T25+T31</f>
        <v>16149.173099999998</v>
      </c>
      <c r="U33" s="119"/>
      <c r="V33" s="119">
        <f>V23-V25+V31</f>
        <v>17047.599400000003</v>
      </c>
      <c r="W33" s="119"/>
      <c r="X33" s="119">
        <f>X23-X25+X31</f>
        <v>17341.939999999995</v>
      </c>
      <c r="Y33" s="119"/>
      <c r="Z33" s="119">
        <f>Z23-Z25+Z31</f>
        <v>15238.819102499998</v>
      </c>
      <c r="AA33" s="119"/>
      <c r="AB33" s="119">
        <f>AB23-AB25+AB31</f>
        <v>194837.75580000004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19128.219899999996</v>
      </c>
      <c r="E35" s="42"/>
      <c r="F35" s="42">
        <v>15250.8305</v>
      </c>
      <c r="G35" s="42"/>
      <c r="H35" s="42">
        <v>17289.822800000002</v>
      </c>
      <c r="I35" s="42"/>
      <c r="J35" s="42">
        <v>15079.325299999999</v>
      </c>
      <c r="K35" s="42"/>
      <c r="L35" s="42">
        <v>13118.238800000001</v>
      </c>
      <c r="M35" s="42"/>
      <c r="N35" s="42">
        <v>15606.069</v>
      </c>
      <c r="O35" s="42"/>
      <c r="P35" s="42">
        <v>15427.248500000002</v>
      </c>
      <c r="Q35" s="42"/>
      <c r="R35" s="42">
        <v>15197.7502</v>
      </c>
      <c r="S35" s="42"/>
      <c r="T35" s="42">
        <v>14193.9053</v>
      </c>
      <c r="U35" s="42"/>
      <c r="V35" s="42">
        <v>13334.342800000002</v>
      </c>
      <c r="W35" s="42"/>
      <c r="X35" s="42">
        <v>14446.9787</v>
      </c>
      <c r="Y35" s="42"/>
      <c r="Z35" s="42">
        <v>16013.548499999999</v>
      </c>
      <c r="AA35" s="42"/>
      <c r="AB35" s="75">
        <f>SUM(D35:Z35)</f>
        <v>184086.28030000004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-4227.3792424999992</v>
      </c>
      <c r="E37" s="119"/>
      <c r="F37" s="119">
        <f>F33-F35</f>
        <v>-4.3496999999988475</v>
      </c>
      <c r="G37" s="119"/>
      <c r="H37" s="119">
        <f>H33-H35</f>
        <v>95.936000000001513</v>
      </c>
      <c r="I37" s="119"/>
      <c r="J37" s="119">
        <f>J33-J35</f>
        <v>501.74800000000323</v>
      </c>
      <c r="K37" s="119"/>
      <c r="L37" s="119">
        <f>L33-L35</f>
        <v>2814.8338999999996</v>
      </c>
      <c r="M37" s="119"/>
      <c r="N37" s="119">
        <f>N33-N35</f>
        <v>4582.2588400000059</v>
      </c>
      <c r="O37" s="119"/>
      <c r="P37" s="119">
        <f>P33-P35</f>
        <v>-922.3770999999997</v>
      </c>
      <c r="Q37" s="119"/>
      <c r="R37" s="119">
        <f>R33-R35</f>
        <v>122.04850000000079</v>
      </c>
      <c r="S37" s="119"/>
      <c r="T37" s="119">
        <f>T33-T35</f>
        <v>1955.2677999999978</v>
      </c>
      <c r="U37" s="119"/>
      <c r="V37" s="119">
        <f>V33-V35</f>
        <v>3713.2566000000006</v>
      </c>
      <c r="W37" s="119"/>
      <c r="X37" s="119">
        <f>X33-X35</f>
        <v>2894.9612999999954</v>
      </c>
      <c r="Y37" s="119"/>
      <c r="Z37" s="119">
        <f>Z33-Z35</f>
        <v>-774.72939750000114</v>
      </c>
      <c r="AA37" s="119"/>
      <c r="AB37" s="119">
        <f>AB33-AB35</f>
        <v>10751.4755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210.1516</v>
      </c>
      <c r="E39" s="72"/>
      <c r="F39" s="42">
        <f>F40+F43</f>
        <v>470.31020000000001</v>
      </c>
      <c r="G39" s="72"/>
      <c r="H39" s="42">
        <f>H40+H43</f>
        <v>1637.80309072</v>
      </c>
      <c r="I39" s="72"/>
      <c r="J39" s="42">
        <f>J40+J43</f>
        <v>898.26030000000003</v>
      </c>
      <c r="K39" s="72"/>
      <c r="L39" s="42">
        <f>L40+L43</f>
        <v>768.44510000000002</v>
      </c>
      <c r="M39" s="72"/>
      <c r="N39" s="42">
        <f>N40+N43</f>
        <v>1757.4232620491698</v>
      </c>
      <c r="O39" s="72"/>
      <c r="P39" s="42">
        <f>P40+P43</f>
        <v>348.94970000000001</v>
      </c>
      <c r="Q39" s="72"/>
      <c r="R39" s="42">
        <f>R40+R43</f>
        <v>581.59950000000003</v>
      </c>
      <c r="S39" s="72"/>
      <c r="T39" s="42">
        <f>T40+T43</f>
        <v>2368.9562250569697</v>
      </c>
      <c r="U39" s="72"/>
      <c r="V39" s="42">
        <f>V40+V43</f>
        <v>1525.0857000000001</v>
      </c>
      <c r="W39" s="72"/>
      <c r="X39" s="42">
        <f>X40+X43</f>
        <v>746.95429999999999</v>
      </c>
      <c r="Y39" s="72"/>
      <c r="Z39" s="42">
        <f>Z40+Z43</f>
        <v>1310.870271815088</v>
      </c>
      <c r="AA39" s="72"/>
      <c r="AB39" s="42">
        <f>AB40+AB43</f>
        <v>12624.809249641228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0</v>
      </c>
      <c r="E40" s="42"/>
      <c r="F40" s="42">
        <f>F41+F42</f>
        <v>0</v>
      </c>
      <c r="G40" s="42"/>
      <c r="H40" s="42">
        <f>H41+H42</f>
        <v>766.98499072000004</v>
      </c>
      <c r="I40" s="42"/>
      <c r="J40" s="42">
        <f>J41+J42</f>
        <v>0</v>
      </c>
      <c r="K40" s="42"/>
      <c r="L40" s="42">
        <f>L41+L42</f>
        <v>0</v>
      </c>
      <c r="M40" s="42"/>
      <c r="N40" s="42">
        <f>N41+N42</f>
        <v>724.20636204916991</v>
      </c>
      <c r="O40" s="42"/>
      <c r="P40" s="42">
        <f>P41+P42</f>
        <v>0</v>
      </c>
      <c r="Q40" s="42"/>
      <c r="R40" s="42">
        <f>R41+R42</f>
        <v>0</v>
      </c>
      <c r="S40" s="42"/>
      <c r="T40" s="42">
        <f>T41+T42</f>
        <v>817.86942505696993</v>
      </c>
      <c r="U40" s="42"/>
      <c r="V40" s="42">
        <f>+V41+V42</f>
        <v>0</v>
      </c>
      <c r="W40" s="42"/>
      <c r="X40" s="42">
        <f>+X41+X42</f>
        <v>0</v>
      </c>
      <c r="Y40" s="42"/>
      <c r="Z40" s="42">
        <f>+Z41+Z42</f>
        <v>754.68687181508801</v>
      </c>
      <c r="AA40" s="75"/>
      <c r="AB40" s="75">
        <f>+AB41+AB42</f>
        <v>3063.7476496412282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194" t="s">
        <v>56</v>
      </c>
      <c r="C41" s="72"/>
      <c r="D41" s="118">
        <v>0</v>
      </c>
      <c r="E41" s="118"/>
      <c r="F41" s="118">
        <v>0</v>
      </c>
      <c r="G41" s="118"/>
      <c r="H41" s="118">
        <v>0</v>
      </c>
      <c r="I41" s="118"/>
      <c r="J41" s="118">
        <v>0</v>
      </c>
      <c r="K41" s="118"/>
      <c r="L41" s="118">
        <v>0</v>
      </c>
      <c r="M41" s="118"/>
      <c r="N41" s="118">
        <v>0</v>
      </c>
      <c r="O41" s="118"/>
      <c r="P41" s="118">
        <v>0</v>
      </c>
      <c r="Q41" s="118"/>
      <c r="R41" s="118">
        <v>0</v>
      </c>
      <c r="S41" s="118"/>
      <c r="T41" s="118">
        <v>0</v>
      </c>
      <c r="U41" s="118"/>
      <c r="V41" s="118">
        <v>0</v>
      </c>
      <c r="W41" s="118"/>
      <c r="X41" s="118">
        <v>0</v>
      </c>
      <c r="Y41" s="118"/>
      <c r="Z41" s="118">
        <v>0</v>
      </c>
      <c r="AA41" s="118"/>
      <c r="AB41" s="118">
        <f>SUM(D41:Z41)</f>
        <v>0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0</v>
      </c>
      <c r="E42" s="42"/>
      <c r="F42" s="42">
        <v>0</v>
      </c>
      <c r="G42" s="42"/>
      <c r="H42" s="42">
        <v>766.98499072000004</v>
      </c>
      <c r="I42" s="42"/>
      <c r="J42" s="42">
        <v>0</v>
      </c>
      <c r="K42" s="42"/>
      <c r="L42" s="42">
        <v>0</v>
      </c>
      <c r="M42" s="42"/>
      <c r="N42" s="42">
        <v>724.20636204916991</v>
      </c>
      <c r="O42" s="42"/>
      <c r="P42" s="42">
        <v>0</v>
      </c>
      <c r="Q42" s="42"/>
      <c r="R42" s="42">
        <v>0</v>
      </c>
      <c r="S42" s="42"/>
      <c r="T42" s="42">
        <v>817.86942505696993</v>
      </c>
      <c r="U42" s="42"/>
      <c r="V42" s="42">
        <v>0</v>
      </c>
      <c r="W42" s="42"/>
      <c r="X42" s="42">
        <v>0</v>
      </c>
      <c r="Y42" s="42"/>
      <c r="Z42" s="42">
        <v>754.68687181508801</v>
      </c>
      <c r="AA42" s="75"/>
      <c r="AB42" s="75">
        <f>SUM(D42:Z42)</f>
        <v>3063.7476496412282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210.1516</v>
      </c>
      <c r="E43" s="42"/>
      <c r="F43" s="42">
        <v>470.31020000000001</v>
      </c>
      <c r="G43" s="42"/>
      <c r="H43" s="42">
        <v>870.81809999999996</v>
      </c>
      <c r="I43" s="42"/>
      <c r="J43" s="42">
        <v>898.26030000000003</v>
      </c>
      <c r="K43" s="42"/>
      <c r="L43" s="42">
        <v>768.44510000000002</v>
      </c>
      <c r="M43" s="42"/>
      <c r="N43" s="42">
        <v>1033.2168999999999</v>
      </c>
      <c r="O43" s="42"/>
      <c r="P43" s="42">
        <v>348.94970000000001</v>
      </c>
      <c r="Q43" s="42"/>
      <c r="R43" s="42">
        <v>581.59950000000003</v>
      </c>
      <c r="S43" s="42"/>
      <c r="T43" s="42">
        <v>1551.0868</v>
      </c>
      <c r="U43" s="42"/>
      <c r="V43" s="42">
        <v>1525.0857000000001</v>
      </c>
      <c r="W43" s="42"/>
      <c r="X43" s="42">
        <v>746.95429999999999</v>
      </c>
      <c r="Y43" s="42"/>
      <c r="Z43" s="42">
        <v>556.18340000000001</v>
      </c>
      <c r="AA43" s="75"/>
      <c r="AB43" s="75">
        <f>SUM(D43:Z43)</f>
        <v>9561.0615999999991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-4437.5308424999994</v>
      </c>
      <c r="E45" s="95"/>
      <c r="F45" s="48">
        <f>F37-F39</f>
        <v>-474.65989999999886</v>
      </c>
      <c r="G45" s="95"/>
      <c r="H45" s="48">
        <f>H37-H39</f>
        <v>-1541.8670907199985</v>
      </c>
      <c r="I45" s="95"/>
      <c r="J45" s="48">
        <f>J37-J39</f>
        <v>-396.5122999999968</v>
      </c>
      <c r="K45" s="95"/>
      <c r="L45" s="48">
        <f>L37-L39</f>
        <v>2046.3887999999997</v>
      </c>
      <c r="M45" s="95"/>
      <c r="N45" s="48">
        <f>N37-N39</f>
        <v>2824.8355779508361</v>
      </c>
      <c r="O45" s="95"/>
      <c r="P45" s="48">
        <f>P37-P39</f>
        <v>-1271.3267999999998</v>
      </c>
      <c r="Q45" s="95"/>
      <c r="R45" s="48">
        <f>R37-R39</f>
        <v>-459.55099999999925</v>
      </c>
      <c r="S45" s="95"/>
      <c r="T45" s="48">
        <f>T37-T39</f>
        <v>-413.68842505697194</v>
      </c>
      <c r="U45" s="95"/>
      <c r="V45" s="48">
        <f>V37-V39</f>
        <v>2188.1709000000005</v>
      </c>
      <c r="W45" s="95"/>
      <c r="X45" s="48">
        <f>X37-X39</f>
        <v>2148.0069999999955</v>
      </c>
      <c r="Y45" s="95"/>
      <c r="Z45" s="48">
        <f>Z37-Z39</f>
        <v>-2085.5996693150892</v>
      </c>
      <c r="AA45" s="95"/>
      <c r="AB45" s="48">
        <f>AB37-AB39</f>
        <v>-1873.3337496412278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64" t="s">
        <v>41</v>
      </c>
      <c r="C47" s="464"/>
      <c r="D47" s="464"/>
      <c r="E47" s="464"/>
      <c r="F47" s="464"/>
      <c r="G47" s="464"/>
      <c r="H47" s="464"/>
      <c r="I47" s="464"/>
      <c r="J47" s="464"/>
      <c r="K47" s="464"/>
      <c r="L47" s="464"/>
      <c r="M47" s="464"/>
      <c r="N47" s="464"/>
      <c r="O47" s="464"/>
      <c r="P47" s="464"/>
      <c r="Q47" s="464"/>
      <c r="R47" s="464"/>
      <c r="S47" s="464"/>
      <c r="T47" s="464"/>
      <c r="U47" s="464"/>
      <c r="V47" s="464"/>
      <c r="W47" s="464"/>
      <c r="X47" s="464"/>
      <c r="Y47" s="464"/>
      <c r="Z47" s="464"/>
      <c r="AA47" s="464"/>
      <c r="AB47" s="464"/>
      <c r="AC47" s="212"/>
      <c r="AD47" s="212"/>
      <c r="AE47" s="101"/>
      <c r="AF47" s="212"/>
    </row>
    <row r="48" spans="1:35" ht="14.25" customHeight="1">
      <c r="B48" s="464" t="s">
        <v>107</v>
      </c>
      <c r="C48" s="464"/>
      <c r="D48" s="464"/>
      <c r="E48" s="464"/>
      <c r="F48" s="464"/>
      <c r="G48" s="464"/>
      <c r="H48" s="464"/>
      <c r="I48" s="464"/>
      <c r="J48" s="464"/>
      <c r="K48" s="464"/>
      <c r="L48" s="464"/>
      <c r="M48" s="464"/>
      <c r="N48" s="464"/>
      <c r="O48" s="464"/>
      <c r="P48" s="464"/>
      <c r="Q48" s="464"/>
      <c r="R48" s="464"/>
      <c r="S48" s="464"/>
      <c r="T48" s="464"/>
      <c r="U48" s="464"/>
      <c r="V48" s="464"/>
      <c r="W48" s="464"/>
      <c r="X48" s="464"/>
      <c r="Y48" s="464"/>
      <c r="Z48" s="464"/>
      <c r="AA48" s="464"/>
      <c r="AB48" s="464"/>
      <c r="AC48" s="212"/>
      <c r="AD48" s="212"/>
      <c r="AE48" s="101"/>
      <c r="AF48" s="212"/>
    </row>
    <row r="49" spans="1:35" ht="14.25" customHeight="1">
      <c r="B49" s="464" t="s">
        <v>108</v>
      </c>
      <c r="C49" s="464"/>
      <c r="D49" s="464"/>
      <c r="E49" s="464"/>
      <c r="F49" s="464"/>
      <c r="G49" s="464"/>
      <c r="H49" s="464"/>
      <c r="I49" s="464"/>
      <c r="J49" s="464"/>
      <c r="K49" s="464"/>
      <c r="L49" s="464"/>
      <c r="M49" s="464"/>
      <c r="N49" s="464"/>
      <c r="O49" s="464"/>
      <c r="P49" s="464"/>
      <c r="Q49" s="464"/>
      <c r="R49" s="464"/>
      <c r="S49" s="464"/>
      <c r="T49" s="464"/>
      <c r="U49" s="464"/>
      <c r="V49" s="464"/>
      <c r="W49" s="464"/>
      <c r="X49" s="464"/>
      <c r="Y49" s="464"/>
      <c r="Z49" s="464"/>
      <c r="AA49" s="464"/>
      <c r="AB49" s="464"/>
      <c r="AC49" s="212"/>
      <c r="AD49" s="212"/>
      <c r="AE49" s="101"/>
      <c r="AF49" s="212"/>
    </row>
    <row r="50" spans="1:35" ht="14.25" customHeight="1">
      <c r="B50" s="464" t="s">
        <v>90</v>
      </c>
      <c r="C50" s="464"/>
      <c r="D50" s="464"/>
      <c r="E50" s="464"/>
      <c r="F50" s="464"/>
      <c r="G50" s="464"/>
      <c r="H50" s="464"/>
      <c r="I50" s="464"/>
      <c r="J50" s="464"/>
      <c r="K50" s="464"/>
      <c r="L50" s="464"/>
      <c r="M50" s="464"/>
      <c r="N50" s="464"/>
      <c r="O50" s="464"/>
      <c r="P50" s="464"/>
      <c r="Q50" s="464"/>
      <c r="R50" s="464"/>
      <c r="S50" s="464"/>
      <c r="T50" s="464"/>
      <c r="U50" s="464"/>
      <c r="V50" s="464"/>
      <c r="W50" s="464"/>
      <c r="X50" s="464"/>
      <c r="Y50" s="464"/>
      <c r="Z50" s="464"/>
      <c r="AA50" s="464"/>
      <c r="AB50" s="464"/>
      <c r="AC50" s="212"/>
      <c r="AD50" s="212"/>
      <c r="AE50" s="101"/>
      <c r="AF50" s="212"/>
    </row>
    <row r="51" spans="1:35" ht="14.25" customHeight="1">
      <c r="B51" s="464" t="s">
        <v>109</v>
      </c>
      <c r="C51" s="464"/>
      <c r="D51" s="464"/>
      <c r="E51" s="464"/>
      <c r="F51" s="464"/>
      <c r="G51" s="464"/>
      <c r="H51" s="464"/>
      <c r="I51" s="464"/>
      <c r="J51" s="464"/>
      <c r="K51" s="464"/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464"/>
      <c r="X51" s="464"/>
      <c r="Y51" s="464"/>
      <c r="Z51" s="464"/>
      <c r="AA51" s="464"/>
      <c r="AB51" s="464"/>
      <c r="AC51" s="212"/>
      <c r="AD51" s="212"/>
      <c r="AE51" s="101"/>
      <c r="AF51" s="212"/>
    </row>
    <row r="52" spans="1:35" ht="14.25" customHeight="1">
      <c r="B52" s="464" t="s">
        <v>92</v>
      </c>
      <c r="C52" s="464"/>
      <c r="D52" s="464"/>
      <c r="E52" s="464"/>
      <c r="F52" s="464"/>
      <c r="G52" s="464"/>
      <c r="H52" s="464"/>
      <c r="I52" s="464"/>
      <c r="J52" s="464"/>
      <c r="K52" s="464"/>
      <c r="L52" s="464"/>
      <c r="M52" s="464"/>
      <c r="N52" s="464"/>
      <c r="O52" s="464"/>
      <c r="P52" s="464"/>
      <c r="Q52" s="464"/>
      <c r="R52" s="464"/>
      <c r="S52" s="464"/>
      <c r="T52" s="464"/>
      <c r="U52" s="464"/>
      <c r="V52" s="464"/>
      <c r="W52" s="464"/>
      <c r="X52" s="464"/>
      <c r="Y52" s="464"/>
      <c r="Z52" s="464"/>
      <c r="AA52" s="464"/>
      <c r="AB52" s="464"/>
      <c r="AC52" s="212"/>
      <c r="AD52" s="212"/>
      <c r="AE52" s="101"/>
      <c r="AF52" s="212"/>
    </row>
    <row r="53" spans="1:35" ht="14.25" customHeight="1">
      <c r="B53" s="201" t="s">
        <v>93</v>
      </c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212"/>
      <c r="AD53" s="212"/>
      <c r="AE53" s="101"/>
      <c r="AF53" s="212"/>
    </row>
    <row r="54" spans="1:35" ht="14.25" customHeight="1">
      <c r="B54" s="464" t="s">
        <v>94</v>
      </c>
      <c r="C54" s="464"/>
      <c r="D54" s="464"/>
      <c r="E54" s="464"/>
      <c r="F54" s="464"/>
      <c r="G54" s="464"/>
      <c r="H54" s="464"/>
      <c r="I54" s="464"/>
      <c r="J54" s="464"/>
      <c r="K54" s="464"/>
      <c r="L54" s="464"/>
      <c r="M54" s="464"/>
      <c r="N54" s="464"/>
      <c r="O54" s="464"/>
      <c r="P54" s="464"/>
      <c r="Q54" s="464"/>
      <c r="R54" s="464"/>
      <c r="S54" s="464"/>
      <c r="T54" s="464"/>
      <c r="U54" s="464"/>
      <c r="V54" s="464"/>
      <c r="W54" s="464"/>
      <c r="X54" s="464"/>
      <c r="Y54" s="464"/>
      <c r="Z54" s="464"/>
      <c r="AA54" s="464"/>
      <c r="AB54" s="464"/>
      <c r="AC54" s="212"/>
      <c r="AD54" s="212"/>
      <c r="AE54" s="101"/>
      <c r="AF54" s="212"/>
    </row>
    <row r="55" spans="1:35" ht="14.25" customHeight="1">
      <c r="B55" s="201" t="s">
        <v>95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5" ht="14.25" customHeight="1">
      <c r="B56" s="464" t="s">
        <v>96</v>
      </c>
      <c r="C56" s="464"/>
      <c r="D56" s="464"/>
      <c r="E56" s="464"/>
      <c r="F56" s="464"/>
      <c r="G56" s="464"/>
      <c r="H56" s="464"/>
      <c r="I56" s="464"/>
      <c r="J56" s="464"/>
      <c r="K56" s="464"/>
      <c r="L56" s="464"/>
      <c r="M56" s="464"/>
      <c r="N56" s="464"/>
      <c r="O56" s="464"/>
      <c r="P56" s="464"/>
      <c r="Q56" s="464"/>
      <c r="R56" s="464"/>
      <c r="S56" s="464"/>
      <c r="T56" s="464"/>
      <c r="U56" s="464"/>
      <c r="V56" s="464"/>
      <c r="W56" s="464"/>
      <c r="X56" s="464"/>
      <c r="Y56" s="464"/>
      <c r="Z56" s="464"/>
      <c r="AA56" s="464"/>
      <c r="AB56" s="464"/>
      <c r="AC56" s="212"/>
      <c r="AD56" s="212"/>
      <c r="AE56" s="101"/>
      <c r="AF56" s="212"/>
    </row>
    <row r="57" spans="1:35" ht="14.25" customHeight="1">
      <c r="B57" s="464" t="s">
        <v>68</v>
      </c>
      <c r="C57" s="464"/>
      <c r="D57" s="464"/>
      <c r="E57" s="464"/>
      <c r="F57" s="464"/>
      <c r="G57" s="464"/>
      <c r="H57" s="464"/>
      <c r="I57" s="464"/>
      <c r="J57" s="464"/>
      <c r="K57" s="464"/>
      <c r="L57" s="464"/>
      <c r="M57" s="464"/>
      <c r="N57" s="464"/>
      <c r="O57" s="464"/>
      <c r="P57" s="464"/>
      <c r="Q57" s="464"/>
      <c r="R57" s="464"/>
      <c r="S57" s="464"/>
      <c r="T57" s="464"/>
      <c r="U57" s="464"/>
      <c r="V57" s="464"/>
      <c r="W57" s="464"/>
      <c r="X57" s="464"/>
      <c r="Y57" s="464"/>
      <c r="Z57" s="464"/>
      <c r="AA57" s="464"/>
      <c r="AB57" s="464"/>
      <c r="AC57" s="212"/>
      <c r="AD57" s="212"/>
      <c r="AE57" s="101"/>
      <c r="AF57" s="212"/>
    </row>
    <row r="58" spans="1:35" ht="14.25" customHeight="1">
      <c r="B58" s="464" t="s">
        <v>3</v>
      </c>
      <c r="C58" s="464"/>
      <c r="D58" s="464"/>
      <c r="E58" s="464"/>
      <c r="F58" s="464"/>
      <c r="G58" s="464"/>
      <c r="H58" s="464"/>
      <c r="I58" s="464"/>
      <c r="J58" s="464"/>
      <c r="K58" s="464"/>
      <c r="L58" s="464"/>
      <c r="M58" s="464"/>
      <c r="N58" s="464"/>
      <c r="O58" s="464"/>
      <c r="P58" s="464"/>
      <c r="Q58" s="464"/>
      <c r="R58" s="464"/>
      <c r="S58" s="464"/>
      <c r="T58" s="464"/>
      <c r="U58" s="464"/>
      <c r="V58" s="464"/>
      <c r="W58" s="464"/>
      <c r="X58" s="464"/>
      <c r="Y58" s="464"/>
      <c r="Z58" s="464"/>
      <c r="AA58" s="464"/>
      <c r="AB58" s="464"/>
      <c r="AC58" s="212"/>
      <c r="AD58" s="212"/>
      <c r="AE58" s="101"/>
      <c r="AF58" s="212"/>
    </row>
    <row r="59" spans="1:35" ht="14.25" customHeight="1">
      <c r="A59" s="18"/>
      <c r="B59" s="100"/>
      <c r="C59" s="93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12"/>
      <c r="AD59" s="212"/>
      <c r="AE59" s="101"/>
      <c r="AF59" s="212"/>
    </row>
    <row r="60" spans="1:35" ht="20.25">
      <c r="B60" s="453" t="s">
        <v>32</v>
      </c>
      <c r="C60" s="453"/>
      <c r="D60" s="453"/>
      <c r="E60" s="453"/>
      <c r="F60" s="453"/>
      <c r="G60" s="453"/>
      <c r="H60" s="453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Y60" s="453"/>
      <c r="Z60" s="453"/>
      <c r="AA60" s="453"/>
      <c r="AB60" s="453"/>
      <c r="AC60" s="214"/>
      <c r="AD60" s="214"/>
      <c r="AE60" s="214"/>
      <c r="AF60" s="214"/>
    </row>
    <row r="61" spans="1:35">
      <c r="B61" s="102"/>
      <c r="C61" s="469"/>
      <c r="D61" s="460"/>
      <c r="E61" s="469"/>
      <c r="F61" s="470"/>
      <c r="G61" s="469"/>
      <c r="H61" s="470"/>
      <c r="I61" s="469"/>
      <c r="J61" s="470"/>
      <c r="K61" s="469"/>
      <c r="L61" s="470"/>
      <c r="M61" s="469"/>
      <c r="N61" s="470"/>
      <c r="O61" s="469"/>
      <c r="P61" s="470"/>
      <c r="Q61" s="469"/>
      <c r="R61" s="470"/>
      <c r="S61" s="469"/>
      <c r="T61" s="470"/>
      <c r="U61" s="469"/>
      <c r="V61" s="470"/>
      <c r="W61" s="469"/>
      <c r="X61" s="470"/>
      <c r="Y61" s="469"/>
      <c r="Z61" s="470"/>
      <c r="AA61" s="469"/>
      <c r="AB61" s="470"/>
    </row>
    <row r="62" spans="1:35">
      <c r="B62" s="102">
        <f>B5</f>
        <v>1998</v>
      </c>
      <c r="C62" s="469" t="s">
        <v>4</v>
      </c>
      <c r="D62" s="460"/>
      <c r="E62" s="469" t="s">
        <v>5</v>
      </c>
      <c r="F62" s="470"/>
      <c r="G62" s="469" t="s">
        <v>6</v>
      </c>
      <c r="H62" s="470"/>
      <c r="I62" s="469" t="s">
        <v>7</v>
      </c>
      <c r="J62" s="470"/>
      <c r="K62" s="469" t="s">
        <v>8</v>
      </c>
      <c r="L62" s="470"/>
      <c r="M62" s="469" t="s">
        <v>9</v>
      </c>
      <c r="N62" s="470"/>
      <c r="O62" s="469" t="s">
        <v>10</v>
      </c>
      <c r="P62" s="470"/>
      <c r="Q62" s="471" t="s">
        <v>11</v>
      </c>
      <c r="R62" s="470"/>
      <c r="S62" s="471" t="s">
        <v>12</v>
      </c>
      <c r="T62" s="470"/>
      <c r="U62" s="469" t="s">
        <v>0</v>
      </c>
      <c r="V62" s="473"/>
      <c r="W62" s="469" t="s">
        <v>1</v>
      </c>
      <c r="X62" s="473"/>
      <c r="Y62" s="469" t="s">
        <v>2</v>
      </c>
      <c r="Z62" s="473"/>
      <c r="AA62" s="469" t="s">
        <v>102</v>
      </c>
      <c r="AB62" s="460"/>
    </row>
    <row r="63" spans="1:35">
      <c r="B63" s="102"/>
      <c r="C63" s="469"/>
      <c r="D63" s="460"/>
      <c r="E63" s="469"/>
      <c r="F63" s="460"/>
      <c r="G63" s="469"/>
      <c r="H63" s="460"/>
      <c r="I63" s="469"/>
      <c r="J63" s="460"/>
      <c r="K63" s="469"/>
      <c r="L63" s="460"/>
      <c r="M63" s="469"/>
      <c r="N63" s="460"/>
      <c r="O63" s="469"/>
      <c r="P63" s="460"/>
      <c r="Q63" s="469"/>
      <c r="R63" s="460"/>
      <c r="S63" s="469"/>
      <c r="T63" s="460"/>
      <c r="U63" s="469"/>
      <c r="V63" s="460"/>
      <c r="W63" s="469"/>
      <c r="X63" s="460"/>
      <c r="Y63" s="469"/>
      <c r="Z63" s="460"/>
      <c r="AA63" s="469"/>
      <c r="AB63" s="460"/>
    </row>
    <row r="64" spans="1:35" s="202" customFormat="1" ht="14.25">
      <c r="A64" s="44"/>
      <c r="B64" s="103" t="s">
        <v>24</v>
      </c>
      <c r="C64" s="72"/>
      <c r="D64" s="104">
        <v>3084.709942</v>
      </c>
      <c r="E64" s="104"/>
      <c r="F64" s="104">
        <v>3140.7345810000002</v>
      </c>
      <c r="G64" s="104"/>
      <c r="H64" s="104">
        <v>3157.7336260000002</v>
      </c>
      <c r="I64" s="104"/>
      <c r="J64" s="104">
        <v>3140.837689</v>
      </c>
      <c r="K64" s="104"/>
      <c r="L64" s="104">
        <v>3149.1195910000001</v>
      </c>
      <c r="M64" s="104"/>
      <c r="N64" s="104">
        <v>3049.6205839999998</v>
      </c>
      <c r="O64" s="104"/>
      <c r="P64" s="104">
        <v>3121.5538889999998</v>
      </c>
      <c r="Q64" s="104"/>
      <c r="R64" s="104">
        <v>3054.9788749999998</v>
      </c>
      <c r="S64" s="120"/>
      <c r="T64" s="104">
        <v>2905.740436</v>
      </c>
      <c r="U64" s="120"/>
      <c r="V64" s="104">
        <v>2791.9458439999999</v>
      </c>
      <c r="W64" s="120"/>
      <c r="X64" s="104">
        <v>3146.7630389999999</v>
      </c>
      <c r="Y64" s="120"/>
      <c r="Z64" s="120">
        <v>3107.2634579999999</v>
      </c>
      <c r="AA64" s="104"/>
      <c r="AB64" s="104">
        <f>AVERAGE(D64:Z64)</f>
        <v>3070.9167961666662</v>
      </c>
      <c r="AC64" s="216"/>
      <c r="AD64" s="216"/>
      <c r="AE64" s="216"/>
      <c r="AF64" s="216"/>
      <c r="AG64" s="216"/>
      <c r="AH64" s="216"/>
      <c r="AI64" s="216"/>
    </row>
    <row r="65" spans="1:35" s="202" customFormat="1" ht="14.25">
      <c r="A65" s="44"/>
      <c r="B65" s="103" t="s">
        <v>39</v>
      </c>
      <c r="C65" s="72"/>
      <c r="D65" s="104">
        <v>4666.0001460000003</v>
      </c>
      <c r="E65" s="104"/>
      <c r="F65" s="104">
        <v>4746.7776430000004</v>
      </c>
      <c r="G65" s="104"/>
      <c r="H65" s="104">
        <v>4821.7654810000004</v>
      </c>
      <c r="I65" s="104"/>
      <c r="J65" s="104">
        <v>4811.2062120000001</v>
      </c>
      <c r="K65" s="104"/>
      <c r="L65" s="104">
        <v>4768.0311300000003</v>
      </c>
      <c r="M65" s="104"/>
      <c r="N65" s="104">
        <v>4741.7605139999996</v>
      </c>
      <c r="O65" s="104"/>
      <c r="P65" s="104">
        <v>4797.418146</v>
      </c>
      <c r="Q65" s="104"/>
      <c r="R65" s="104">
        <v>4844.2502199999999</v>
      </c>
      <c r="S65" s="120"/>
      <c r="T65" s="104">
        <v>4785.3716649999997</v>
      </c>
      <c r="U65" s="120"/>
      <c r="V65" s="104">
        <v>4679.066777</v>
      </c>
      <c r="W65" s="120"/>
      <c r="X65" s="104">
        <v>4912.7738049999998</v>
      </c>
      <c r="Y65" s="120"/>
      <c r="Z65" s="120">
        <v>4912.7961949999999</v>
      </c>
      <c r="AA65" s="104"/>
      <c r="AB65" s="104">
        <f t="shared" ref="AB65:AB76" si="0">AVERAGE(D65:Z65)</f>
        <v>4790.6014944999997</v>
      </c>
      <c r="AC65" s="216"/>
      <c r="AD65" s="216"/>
      <c r="AE65" s="216"/>
      <c r="AF65" s="216"/>
      <c r="AG65" s="216"/>
      <c r="AH65" s="216"/>
      <c r="AI65" s="216"/>
    </row>
    <row r="66" spans="1:35" s="202" customFormat="1" ht="14.25">
      <c r="A66" s="44"/>
      <c r="B66" s="103" t="s">
        <v>25</v>
      </c>
      <c r="C66" s="72"/>
      <c r="D66" s="104">
        <v>501.3654002696</v>
      </c>
      <c r="E66" s="104"/>
      <c r="F66" s="104">
        <v>509.8290641433</v>
      </c>
      <c r="G66" s="104"/>
      <c r="H66" s="104">
        <v>505.1355833714</v>
      </c>
      <c r="I66" s="104"/>
      <c r="J66" s="104">
        <v>519.0007413559</v>
      </c>
      <c r="K66" s="104"/>
      <c r="L66" s="104">
        <v>496.0922796365</v>
      </c>
      <c r="M66" s="104"/>
      <c r="N66" s="104">
        <v>523.16083540889997</v>
      </c>
      <c r="O66" s="104"/>
      <c r="P66" s="104">
        <v>520.4525803125</v>
      </c>
      <c r="Q66" s="104"/>
      <c r="R66" s="104">
        <v>499.69446669550001</v>
      </c>
      <c r="S66" s="120"/>
      <c r="T66" s="104">
        <v>509.06701344329997</v>
      </c>
      <c r="U66" s="120"/>
      <c r="V66" s="104">
        <v>520.56355642990002</v>
      </c>
      <c r="W66" s="120"/>
      <c r="X66" s="104">
        <v>499.57512726319999</v>
      </c>
      <c r="Y66" s="120"/>
      <c r="Z66" s="120">
        <v>556.22099902840012</v>
      </c>
      <c r="AA66" s="104"/>
      <c r="AB66" s="104">
        <f t="shared" si="0"/>
        <v>513.34647061319993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26</v>
      </c>
      <c r="C67" s="72"/>
      <c r="D67" s="104">
        <v>258.54997374519996</v>
      </c>
      <c r="E67" s="104"/>
      <c r="F67" s="104">
        <v>273.38679334279999</v>
      </c>
      <c r="G67" s="104"/>
      <c r="H67" s="104">
        <v>275.13368629170003</v>
      </c>
      <c r="I67" s="104"/>
      <c r="J67" s="104">
        <v>279.2311147172</v>
      </c>
      <c r="K67" s="104"/>
      <c r="L67" s="104">
        <v>266.65408446319998</v>
      </c>
      <c r="M67" s="104"/>
      <c r="N67" s="104">
        <v>290.88461183650003</v>
      </c>
      <c r="O67" s="104"/>
      <c r="P67" s="104">
        <v>289.03397862439999</v>
      </c>
      <c r="Q67" s="104"/>
      <c r="R67" s="104">
        <v>263.15836577639999</v>
      </c>
      <c r="S67" s="120"/>
      <c r="T67" s="104">
        <v>265.1828655832</v>
      </c>
      <c r="U67" s="120"/>
      <c r="V67" s="104">
        <v>285.12558261640004</v>
      </c>
      <c r="W67" s="120"/>
      <c r="X67" s="104">
        <v>276.942576379</v>
      </c>
      <c r="Y67" s="120"/>
      <c r="Z67" s="120">
        <v>290.95383339940003</v>
      </c>
      <c r="AA67" s="104"/>
      <c r="AB67" s="104">
        <f t="shared" si="0"/>
        <v>276.18645556461667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27</v>
      </c>
      <c r="C68" s="72"/>
      <c r="D68" s="104">
        <v>473.33396028269999</v>
      </c>
      <c r="E68" s="104"/>
      <c r="F68" s="104">
        <v>509.04306344780002</v>
      </c>
      <c r="G68" s="104"/>
      <c r="H68" s="104">
        <v>489.13022853410001</v>
      </c>
      <c r="I68" s="104"/>
      <c r="J68" s="104">
        <v>494.57700581170002</v>
      </c>
      <c r="K68" s="104"/>
      <c r="L68" s="104">
        <v>479.39568171920001</v>
      </c>
      <c r="M68" s="104"/>
      <c r="N68" s="104">
        <v>596.97759788999997</v>
      </c>
      <c r="O68" s="104"/>
      <c r="P68" s="104">
        <v>526.85683723739999</v>
      </c>
      <c r="Q68" s="104"/>
      <c r="R68" s="104">
        <v>513.26125850849996</v>
      </c>
      <c r="S68" s="120"/>
      <c r="T68" s="104">
        <v>462.84515812519999</v>
      </c>
      <c r="U68" s="120"/>
      <c r="V68" s="104">
        <v>412.48902331440001</v>
      </c>
      <c r="W68" s="120"/>
      <c r="X68" s="104">
        <v>459.4601185834</v>
      </c>
      <c r="Y68" s="120"/>
      <c r="Z68" s="120">
        <v>455.49739400099998</v>
      </c>
      <c r="AA68" s="104"/>
      <c r="AB68" s="104">
        <f t="shared" si="0"/>
        <v>489.40561062128336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28</v>
      </c>
      <c r="C69" s="72"/>
      <c r="D69" s="104">
        <v>311.14691299999998</v>
      </c>
      <c r="E69" s="104"/>
      <c r="F69" s="104">
        <v>315.88981699999999</v>
      </c>
      <c r="G69" s="104"/>
      <c r="H69" s="104">
        <v>294.69322499999998</v>
      </c>
      <c r="I69" s="104"/>
      <c r="J69" s="104">
        <v>273.41277200000002</v>
      </c>
      <c r="K69" s="104"/>
      <c r="L69" s="104">
        <v>258.95345099999997</v>
      </c>
      <c r="M69" s="104"/>
      <c r="N69" s="104">
        <v>262.78045400000002</v>
      </c>
      <c r="O69" s="104"/>
      <c r="P69" s="104">
        <v>266.253421</v>
      </c>
      <c r="Q69" s="104"/>
      <c r="R69" s="104">
        <v>263.61</v>
      </c>
      <c r="S69" s="120"/>
      <c r="T69" s="104">
        <v>279.07</v>
      </c>
      <c r="U69" s="120"/>
      <c r="V69" s="104">
        <v>285.79000000000002</v>
      </c>
      <c r="W69" s="120"/>
      <c r="X69" s="104">
        <v>312.84821299999999</v>
      </c>
      <c r="Y69" s="120"/>
      <c r="Z69" s="120">
        <v>325.20939299999998</v>
      </c>
      <c r="AA69" s="104"/>
      <c r="AB69" s="104">
        <f t="shared" si="0"/>
        <v>287.47147158333337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38</v>
      </c>
      <c r="C70" s="72"/>
      <c r="D70" s="104">
        <v>1698.51</v>
      </c>
      <c r="E70" s="104"/>
      <c r="F70" s="104">
        <v>1735.3</v>
      </c>
      <c r="G70" s="104"/>
      <c r="H70" s="104">
        <v>1809.44</v>
      </c>
      <c r="I70" s="104"/>
      <c r="J70" s="104">
        <v>1674.75</v>
      </c>
      <c r="K70" s="104"/>
      <c r="L70" s="104">
        <v>1768.39</v>
      </c>
      <c r="M70" s="104"/>
      <c r="N70" s="104">
        <v>1786</v>
      </c>
      <c r="O70" s="104"/>
      <c r="P70" s="104">
        <v>1847.99</v>
      </c>
      <c r="Q70" s="104"/>
      <c r="R70" s="104">
        <v>1870.6</v>
      </c>
      <c r="S70" s="120"/>
      <c r="T70" s="104">
        <v>1845.57</v>
      </c>
      <c r="U70" s="120"/>
      <c r="V70" s="104">
        <v>1727.44</v>
      </c>
      <c r="W70" s="120"/>
      <c r="X70" s="104">
        <v>1785</v>
      </c>
      <c r="Y70" s="120"/>
      <c r="Z70" s="120">
        <v>1909.16</v>
      </c>
      <c r="AA70" s="104"/>
      <c r="AB70" s="104">
        <f t="shared" si="0"/>
        <v>1788.1791666666666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229" t="s">
        <v>98</v>
      </c>
      <c r="C71" s="72"/>
      <c r="D71" s="104">
        <v>1957.7341612904002</v>
      </c>
      <c r="E71" s="104"/>
      <c r="F71" s="104">
        <v>1624.4778571428001</v>
      </c>
      <c r="G71" s="104"/>
      <c r="H71" s="104">
        <v>1926.0139999999999</v>
      </c>
      <c r="I71" s="104"/>
      <c r="J71" s="104">
        <v>1676.3861666666999</v>
      </c>
      <c r="K71" s="104"/>
      <c r="L71" s="104">
        <v>1804.5287741935999</v>
      </c>
      <c r="M71" s="104"/>
      <c r="N71" s="104">
        <v>1744.1129333332999</v>
      </c>
      <c r="O71" s="104"/>
      <c r="P71" s="104">
        <v>1639.7417096774</v>
      </c>
      <c r="Q71" s="104"/>
      <c r="R71" s="105">
        <v>1643.8201290323</v>
      </c>
      <c r="S71" s="120"/>
      <c r="T71" s="104">
        <v>1648.5394999999999</v>
      </c>
      <c r="U71" s="120"/>
      <c r="V71" s="104">
        <v>1570.379516129</v>
      </c>
      <c r="W71" s="120"/>
      <c r="X71" s="104">
        <v>1827.0997</v>
      </c>
      <c r="Y71" s="120"/>
      <c r="Z71" s="120">
        <v>1818.3839032257999</v>
      </c>
      <c r="AA71" s="104"/>
      <c r="AB71" s="104">
        <f t="shared" si="0"/>
        <v>1740.1015292242748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2.75" customHeight="1">
      <c r="A72" s="44"/>
      <c r="B72" s="103" t="s">
        <v>29</v>
      </c>
      <c r="C72" s="72"/>
      <c r="D72" s="106">
        <v>11.817330303841223</v>
      </c>
      <c r="E72" s="106"/>
      <c r="F72" s="106">
        <v>10.792779295249114</v>
      </c>
      <c r="G72" s="106"/>
      <c r="H72" s="106">
        <v>9.670848173782753</v>
      </c>
      <c r="I72" s="106"/>
      <c r="J72" s="106">
        <v>10.692369070858637</v>
      </c>
      <c r="K72" s="106"/>
      <c r="L72" s="106">
        <v>10.786131448111707</v>
      </c>
      <c r="M72" s="106"/>
      <c r="N72" s="106">
        <v>9.9868843248700809</v>
      </c>
      <c r="O72" s="106"/>
      <c r="P72" s="106">
        <v>10.139039379577083</v>
      </c>
      <c r="Q72" s="106"/>
      <c r="R72" s="121">
        <v>9.7731769244042486</v>
      </c>
      <c r="S72" s="122"/>
      <c r="T72" s="121">
        <v>10.882880544462068</v>
      </c>
      <c r="U72" s="122"/>
      <c r="V72" s="121">
        <v>10.440530175756003</v>
      </c>
      <c r="W72" s="122"/>
      <c r="X72" s="121">
        <v>9.3302520344622408</v>
      </c>
      <c r="Y72" s="122"/>
      <c r="Z72" s="122">
        <v>7.8962991035837256</v>
      </c>
      <c r="AA72" s="104"/>
      <c r="AB72" s="107">
        <f t="shared" si="0"/>
        <v>10.184043398246574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30</v>
      </c>
      <c r="C73" s="72"/>
      <c r="D73" s="106">
        <v>2.12</v>
      </c>
      <c r="E73" s="122"/>
      <c r="F73" s="106">
        <v>1.9</v>
      </c>
      <c r="G73" s="106"/>
      <c r="H73" s="106">
        <v>2.13</v>
      </c>
      <c r="I73" s="106"/>
      <c r="J73" s="106">
        <v>2.1949999999999998</v>
      </c>
      <c r="K73" s="106"/>
      <c r="L73" s="106">
        <v>2.1800000000000002</v>
      </c>
      <c r="M73" s="106"/>
      <c r="N73" s="106">
        <v>1.94</v>
      </c>
      <c r="O73" s="106"/>
      <c r="P73" s="106">
        <v>2.2650000000000001</v>
      </c>
      <c r="Q73" s="106"/>
      <c r="R73" s="106">
        <v>1.845</v>
      </c>
      <c r="S73" s="106"/>
      <c r="T73" s="106">
        <v>1.5249999999999999</v>
      </c>
      <c r="U73" s="106"/>
      <c r="V73" s="106">
        <v>1.91</v>
      </c>
      <c r="W73" s="106"/>
      <c r="X73" s="106">
        <v>1.885</v>
      </c>
      <c r="Y73" s="106"/>
      <c r="Z73" s="122">
        <v>1.99</v>
      </c>
      <c r="AA73" s="106"/>
      <c r="AB73" s="107">
        <f t="shared" si="0"/>
        <v>1.9904166666666665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4.25">
      <c r="A74" s="44"/>
      <c r="B74" s="103" t="s">
        <v>31</v>
      </c>
      <c r="C74" s="72"/>
      <c r="D74" s="108">
        <v>8.1798000000000002</v>
      </c>
      <c r="E74" s="108"/>
      <c r="F74" s="108">
        <v>8.4931999999999999</v>
      </c>
      <c r="G74" s="108"/>
      <c r="H74" s="108">
        <v>8.5688999999999993</v>
      </c>
      <c r="I74" s="108"/>
      <c r="J74" s="108">
        <v>8.4995999999999992</v>
      </c>
      <c r="K74" s="108"/>
      <c r="L74" s="108">
        <v>8.5611999999999995</v>
      </c>
      <c r="M74" s="108"/>
      <c r="N74" s="108">
        <v>8.8948</v>
      </c>
      <c r="O74" s="108"/>
      <c r="P74" s="108">
        <v>8.9039999999999999</v>
      </c>
      <c r="Q74" s="108"/>
      <c r="R74" s="108">
        <v>9.2596000000000007</v>
      </c>
      <c r="S74" s="123"/>
      <c r="T74" s="108">
        <v>10.215400000000001</v>
      </c>
      <c r="U74" s="123"/>
      <c r="V74" s="108">
        <v>10.1523</v>
      </c>
      <c r="W74" s="123"/>
      <c r="X74" s="108">
        <v>9.9873999999999992</v>
      </c>
      <c r="Y74" s="123"/>
      <c r="Z74" s="123">
        <v>9.9116999999999997</v>
      </c>
      <c r="AA74" s="104"/>
      <c r="AB74" s="109">
        <f t="shared" si="0"/>
        <v>9.1356583333333337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229" t="s">
        <v>100</v>
      </c>
      <c r="C75" s="72"/>
      <c r="D75" s="104">
        <v>432.44429585059652</v>
      </c>
      <c r="E75" s="104"/>
      <c r="F75" s="104">
        <v>382.52976706229197</v>
      </c>
      <c r="G75" s="104"/>
      <c r="H75" s="104">
        <v>288.52043188572219</v>
      </c>
      <c r="I75" s="104"/>
      <c r="J75" s="104">
        <v>270.96030283232096</v>
      </c>
      <c r="K75" s="104"/>
      <c r="L75" s="104">
        <v>312.69792290314467</v>
      </c>
      <c r="M75" s="104"/>
      <c r="N75" s="104">
        <v>410.41629214314139</v>
      </c>
      <c r="O75" s="104"/>
      <c r="P75" s="104">
        <v>384.03531968391758</v>
      </c>
      <c r="Q75" s="104"/>
      <c r="R75" s="104">
        <v>402.26247708064074</v>
      </c>
      <c r="S75" s="104"/>
      <c r="T75" s="104">
        <v>292.6853047261049</v>
      </c>
      <c r="U75" s="120"/>
      <c r="V75" s="104">
        <v>317.97884769762538</v>
      </c>
      <c r="W75" s="120"/>
      <c r="X75" s="104">
        <v>343.46129198133912</v>
      </c>
      <c r="Y75" s="120"/>
      <c r="Z75" s="120">
        <v>349.74985903380752</v>
      </c>
      <c r="AA75" s="104"/>
      <c r="AB75" s="104">
        <f t="shared" si="0"/>
        <v>348.97850940672106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103" t="s">
        <v>70</v>
      </c>
      <c r="C76" s="72"/>
      <c r="D76" s="104">
        <v>3.917395</v>
      </c>
      <c r="E76" s="104"/>
      <c r="F76" s="104">
        <v>13.121943</v>
      </c>
      <c r="G76" s="104"/>
      <c r="H76" s="104">
        <v>0</v>
      </c>
      <c r="I76" s="104"/>
      <c r="J76" s="104">
        <v>4.9674569999999996</v>
      </c>
      <c r="K76" s="104"/>
      <c r="L76" s="104">
        <v>0</v>
      </c>
      <c r="M76" s="104"/>
      <c r="N76" s="104">
        <v>0</v>
      </c>
      <c r="O76" s="104"/>
      <c r="P76" s="104">
        <v>0</v>
      </c>
      <c r="Q76" s="104"/>
      <c r="R76" s="104">
        <v>0</v>
      </c>
      <c r="S76" s="104"/>
      <c r="T76" s="104">
        <v>0.97199999999999998</v>
      </c>
      <c r="U76" s="120"/>
      <c r="V76" s="104">
        <v>0.42525000000000002</v>
      </c>
      <c r="W76" s="120"/>
      <c r="X76" s="104">
        <v>0.70874999999999999</v>
      </c>
      <c r="Y76" s="120"/>
      <c r="Z76" s="120">
        <v>0.42525000000000002</v>
      </c>
      <c r="AA76" s="104"/>
      <c r="AB76" s="104">
        <f t="shared" si="0"/>
        <v>2.0448370833333329</v>
      </c>
      <c r="AC76" s="216"/>
      <c r="AD76" s="216"/>
      <c r="AE76" s="216"/>
      <c r="AF76" s="216"/>
      <c r="AG76" s="216"/>
      <c r="AH76" s="216"/>
      <c r="AI76" s="216"/>
    </row>
    <row r="77" spans="1:35">
      <c r="B77" s="472" t="s">
        <v>101</v>
      </c>
      <c r="C77" s="472"/>
      <c r="D77" s="472"/>
      <c r="E77" s="472"/>
      <c r="F77" s="472"/>
      <c r="G77" s="472"/>
      <c r="H77" s="472"/>
      <c r="I77" s="472"/>
      <c r="J77" s="472"/>
      <c r="K77" s="472"/>
      <c r="L77" s="472"/>
      <c r="M77" s="472"/>
      <c r="N77" s="472"/>
      <c r="O77" s="472"/>
      <c r="P77" s="472"/>
      <c r="Q77" s="472"/>
      <c r="R77" s="472"/>
      <c r="S77" s="472"/>
      <c r="T77" s="472"/>
      <c r="U77" s="472"/>
      <c r="V77" s="472"/>
      <c r="W77" s="472"/>
      <c r="X77" s="472"/>
      <c r="Y77" s="472"/>
      <c r="Z77" s="472"/>
      <c r="AA77" s="472"/>
      <c r="AB77" s="472"/>
    </row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</sheetData>
  <mergeCells count="92">
    <mergeCell ref="B2:AB2"/>
    <mergeCell ref="B47:AB47"/>
    <mergeCell ref="B48:AB48"/>
    <mergeCell ref="B3:AB3"/>
    <mergeCell ref="K7:L7"/>
    <mergeCell ref="M7:N7"/>
    <mergeCell ref="C7:D7"/>
    <mergeCell ref="E7:F7"/>
    <mergeCell ref="G7:H7"/>
    <mergeCell ref="I7:J7"/>
    <mergeCell ref="AA5:AB5"/>
    <mergeCell ref="W4:X4"/>
    <mergeCell ref="Y4:Z4"/>
    <mergeCell ref="Y5:Z5"/>
    <mergeCell ref="AA4:AB4"/>
    <mergeCell ref="C5:D5"/>
    <mergeCell ref="B58:AB58"/>
    <mergeCell ref="B54:AB54"/>
    <mergeCell ref="B51:AB51"/>
    <mergeCell ref="B52:AB52"/>
    <mergeCell ref="B56:AB56"/>
    <mergeCell ref="B49:AB49"/>
    <mergeCell ref="B50:AB50"/>
    <mergeCell ref="B57:AB57"/>
    <mergeCell ref="W7:X7"/>
    <mergeCell ref="Y7:Z7"/>
    <mergeCell ref="AA7:AB7"/>
    <mergeCell ref="O7:P7"/>
    <mergeCell ref="Q7:R7"/>
    <mergeCell ref="S7:T7"/>
    <mergeCell ref="U7:V7"/>
    <mergeCell ref="E5:F5"/>
    <mergeCell ref="G5:H5"/>
    <mergeCell ref="I5:J5"/>
    <mergeCell ref="K5:L5"/>
    <mergeCell ref="O4:P4"/>
    <mergeCell ref="M5:N5"/>
    <mergeCell ref="O5:P5"/>
    <mergeCell ref="M4:N4"/>
    <mergeCell ref="Q5:R5"/>
    <mergeCell ref="S5:T5"/>
    <mergeCell ref="U5:V5"/>
    <mergeCell ref="W5:X5"/>
    <mergeCell ref="Q4:R4"/>
    <mergeCell ref="S4:T4"/>
    <mergeCell ref="U4:V4"/>
    <mergeCell ref="C4:D4"/>
    <mergeCell ref="E4:F4"/>
    <mergeCell ref="G4:H4"/>
    <mergeCell ref="I4:J4"/>
    <mergeCell ref="K4:L4"/>
    <mergeCell ref="B77:AB77"/>
    <mergeCell ref="C61:D61"/>
    <mergeCell ref="E61:F61"/>
    <mergeCell ref="G61:H61"/>
    <mergeCell ref="I61:J61"/>
    <mergeCell ref="K61:L61"/>
    <mergeCell ref="M61:N61"/>
    <mergeCell ref="U61:V61"/>
    <mergeCell ref="AA61:AB61"/>
    <mergeCell ref="K62:L62"/>
    <mergeCell ref="O61:P61"/>
    <mergeCell ref="M62:N62"/>
    <mergeCell ref="O62:P62"/>
    <mergeCell ref="S61:T61"/>
    <mergeCell ref="C62:D62"/>
    <mergeCell ref="E62:F62"/>
    <mergeCell ref="G62:H62"/>
    <mergeCell ref="I62:J62"/>
    <mergeCell ref="Y61:Z61"/>
    <mergeCell ref="Q62:R62"/>
    <mergeCell ref="S62:T62"/>
    <mergeCell ref="U62:V62"/>
    <mergeCell ref="Q61:R61"/>
    <mergeCell ref="W61:X61"/>
    <mergeCell ref="W62:X62"/>
    <mergeCell ref="AA63:AB63"/>
    <mergeCell ref="B60:AB60"/>
    <mergeCell ref="S63:T63"/>
    <mergeCell ref="U63:V63"/>
    <mergeCell ref="W63:X63"/>
    <mergeCell ref="Y63:Z63"/>
    <mergeCell ref="Y62:Z62"/>
    <mergeCell ref="AA62:AB62"/>
    <mergeCell ref="C63:D63"/>
    <mergeCell ref="E63:F63"/>
    <mergeCell ref="G63:H63"/>
    <mergeCell ref="I63:J63"/>
    <mergeCell ref="K63:L63"/>
    <mergeCell ref="M63:N63"/>
    <mergeCell ref="O63:P63"/>
    <mergeCell ref="Q63:R63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60" orientation="landscape" r:id="rId1"/>
  <headerFooter alignWithMargins="0"/>
  <ignoredErrors>
    <ignoredError sqref="AB2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5"/>
  <sheetViews>
    <sheetView showGridLines="0" topLeftCell="B62" zoomScale="75" zoomScaleNormal="75" workbookViewId="0">
      <selection activeCell="AC17" sqref="AC17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53" t="s">
        <v>43</v>
      </c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453"/>
      <c r="Y2" s="453"/>
      <c r="Z2" s="453"/>
      <c r="AA2" s="453"/>
      <c r="AB2" s="453"/>
      <c r="AC2" s="214"/>
      <c r="AD2" s="214"/>
      <c r="AE2" s="214"/>
      <c r="AF2" s="214"/>
    </row>
    <row r="3" spans="1:35" ht="15.75" customHeight="1" thickBot="1">
      <c r="B3" s="459" t="s">
        <v>57</v>
      </c>
      <c r="C3" s="459"/>
      <c r="D3" s="459"/>
      <c r="E3" s="459"/>
      <c r="F3" s="459"/>
      <c r="G3" s="459"/>
      <c r="H3" s="459"/>
      <c r="I3" s="459"/>
      <c r="J3" s="459"/>
      <c r="K3" s="459"/>
      <c r="L3" s="459"/>
      <c r="M3" s="459"/>
      <c r="N3" s="459"/>
      <c r="O3" s="459"/>
      <c r="P3" s="459"/>
      <c r="Q3" s="459"/>
      <c r="R3" s="459"/>
      <c r="S3" s="459"/>
      <c r="T3" s="459"/>
      <c r="U3" s="459"/>
      <c r="V3" s="459"/>
      <c r="W3" s="459"/>
      <c r="X3" s="459"/>
      <c r="Y3" s="459"/>
      <c r="Z3" s="459"/>
      <c r="AA3" s="459"/>
      <c r="AB3" s="459"/>
      <c r="AC3" s="215"/>
      <c r="AD3" s="215"/>
      <c r="AE3" s="215"/>
      <c r="AF3" s="215"/>
    </row>
    <row r="4" spans="1:35">
      <c r="B4" s="63"/>
      <c r="C4" s="456"/>
      <c r="D4" s="457"/>
      <c r="E4" s="456"/>
      <c r="F4" s="463"/>
      <c r="G4" s="456"/>
      <c r="H4" s="463"/>
      <c r="I4" s="456"/>
      <c r="J4" s="463"/>
      <c r="K4" s="456"/>
      <c r="L4" s="463"/>
      <c r="M4" s="456"/>
      <c r="N4" s="463"/>
      <c r="O4" s="456"/>
      <c r="P4" s="463"/>
      <c r="Q4" s="456"/>
      <c r="R4" s="463"/>
      <c r="S4" s="456"/>
      <c r="T4" s="463"/>
      <c r="U4" s="456"/>
      <c r="V4" s="462"/>
      <c r="W4" s="456"/>
      <c r="X4" s="462"/>
      <c r="Y4" s="456"/>
      <c r="Z4" s="462"/>
      <c r="AA4" s="456"/>
      <c r="AB4" s="462"/>
    </row>
    <row r="5" spans="1:35">
      <c r="B5" s="64">
        <v>1999</v>
      </c>
      <c r="C5" s="454" t="s">
        <v>4</v>
      </c>
      <c r="D5" s="460"/>
      <c r="E5" s="454" t="s">
        <v>5</v>
      </c>
      <c r="F5" s="455"/>
      <c r="G5" s="454" t="s">
        <v>6</v>
      </c>
      <c r="H5" s="455"/>
      <c r="I5" s="454" t="s">
        <v>7</v>
      </c>
      <c r="J5" s="455"/>
      <c r="K5" s="454" t="s">
        <v>8</v>
      </c>
      <c r="L5" s="455"/>
      <c r="M5" s="454" t="s">
        <v>9</v>
      </c>
      <c r="N5" s="455"/>
      <c r="O5" s="454" t="s">
        <v>10</v>
      </c>
      <c r="P5" s="455"/>
      <c r="Q5" s="458" t="s">
        <v>11</v>
      </c>
      <c r="R5" s="455"/>
      <c r="S5" s="458" t="s">
        <v>12</v>
      </c>
      <c r="T5" s="455"/>
      <c r="U5" s="454" t="s">
        <v>0</v>
      </c>
      <c r="V5" s="461"/>
      <c r="W5" s="454" t="s">
        <v>1</v>
      </c>
      <c r="X5" s="461"/>
      <c r="Y5" s="454" t="s">
        <v>2</v>
      </c>
      <c r="Z5" s="461"/>
      <c r="AA5" s="454" t="s">
        <v>15</v>
      </c>
      <c r="AB5" s="46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5"/>
      <c r="D7" s="468"/>
      <c r="E7" s="465"/>
      <c r="F7" s="466"/>
      <c r="G7" s="465"/>
      <c r="H7" s="466"/>
      <c r="I7" s="465"/>
      <c r="J7" s="466"/>
      <c r="K7" s="465"/>
      <c r="L7" s="466"/>
      <c r="M7" s="465"/>
      <c r="N7" s="466"/>
      <c r="O7" s="465"/>
      <c r="P7" s="466"/>
      <c r="Q7" s="465"/>
      <c r="R7" s="466"/>
      <c r="S7" s="465"/>
      <c r="T7" s="466"/>
      <c r="U7" s="465"/>
      <c r="V7" s="467"/>
      <c r="W7" s="465"/>
      <c r="X7" s="467"/>
      <c r="Y7" s="465"/>
      <c r="Z7" s="467"/>
      <c r="AA7" s="465"/>
      <c r="AB7" s="467"/>
    </row>
    <row r="8" spans="1:35" s="202" customFormat="1" ht="14.25" customHeight="1">
      <c r="A8" s="44"/>
      <c r="B8" s="71" t="s">
        <v>16</v>
      </c>
      <c r="C8" s="72"/>
      <c r="D8" s="41">
        <f>D9+D12</f>
        <v>22674.518999999997</v>
      </c>
      <c r="E8" s="42"/>
      <c r="F8" s="41">
        <f>F9+F12</f>
        <v>23394.873500000002</v>
      </c>
      <c r="G8" s="41"/>
      <c r="H8" s="41">
        <f>H9+H12</f>
        <v>27101.715199999999</v>
      </c>
      <c r="I8" s="41"/>
      <c r="J8" s="41">
        <f>J9+J12</f>
        <v>26618.295399999999</v>
      </c>
      <c r="K8" s="41"/>
      <c r="L8" s="41">
        <f>L9+L12</f>
        <v>28812.014600000002</v>
      </c>
      <c r="M8" s="41"/>
      <c r="N8" s="41">
        <f>N9+N12</f>
        <v>28346.3161</v>
      </c>
      <c r="O8" s="41"/>
      <c r="P8" s="41">
        <f>P9+P12</f>
        <v>27820.147300000001</v>
      </c>
      <c r="Q8" s="41"/>
      <c r="R8" s="41">
        <f>R9+R12</f>
        <v>28415.381600000001</v>
      </c>
      <c r="S8" s="41"/>
      <c r="T8" s="41">
        <f>T9+T12</f>
        <v>30480.606399999997</v>
      </c>
      <c r="U8" s="41"/>
      <c r="V8" s="41">
        <f>V9+V12</f>
        <v>33768.9424</v>
      </c>
      <c r="W8" s="41"/>
      <c r="X8" s="41">
        <f>X9+X12</f>
        <v>34292.5694</v>
      </c>
      <c r="Y8" s="41"/>
      <c r="Z8" s="41">
        <f>Z9+Z12</f>
        <v>35185.814899999998</v>
      </c>
      <c r="AA8" s="73"/>
      <c r="AB8" s="73">
        <f>AB9+AB12</f>
        <v>346911.19579999999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22122.913099999998</v>
      </c>
      <c r="E9" s="42"/>
      <c r="F9" s="42">
        <f>+F10+F11</f>
        <v>22942.5756</v>
      </c>
      <c r="G9" s="42"/>
      <c r="H9" s="42">
        <f>+H10+H11</f>
        <v>26534.7297</v>
      </c>
      <c r="I9" s="42"/>
      <c r="J9" s="42">
        <f>+J10+J11</f>
        <v>25495.832399999999</v>
      </c>
      <c r="K9" s="42"/>
      <c r="L9" s="42">
        <f>+L10+L11</f>
        <v>25944.240300000001</v>
      </c>
      <c r="M9" s="42"/>
      <c r="N9" s="42">
        <f>+N10+N11</f>
        <v>28014.888599999998</v>
      </c>
      <c r="O9" s="42"/>
      <c r="P9" s="42">
        <f>+P10+P11</f>
        <v>27363.286599999999</v>
      </c>
      <c r="Q9" s="42"/>
      <c r="R9" s="42">
        <f>+R10+R11</f>
        <v>29813.4918</v>
      </c>
      <c r="S9" s="42"/>
      <c r="T9" s="42">
        <f>+T10+T11</f>
        <v>30102.582999999999</v>
      </c>
      <c r="U9" s="42"/>
      <c r="V9" s="42">
        <f>+V10+V11</f>
        <v>32968.359199999999</v>
      </c>
      <c r="W9" s="42"/>
      <c r="X9" s="42">
        <f>+X10+X11</f>
        <v>32903.870900000002</v>
      </c>
      <c r="Y9" s="42"/>
      <c r="Z9" s="42">
        <f>+Z10+Z11</f>
        <v>35866.112300000001</v>
      </c>
      <c r="AA9" s="75"/>
      <c r="AB9" s="75">
        <f>+AB10+AB11</f>
        <v>340072.8835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76" t="s">
        <v>47</v>
      </c>
      <c r="C10" s="72"/>
      <c r="D10" s="42">
        <v>4240.9130999999998</v>
      </c>
      <c r="E10" s="42"/>
      <c r="F10" s="42">
        <v>4407.5755999999992</v>
      </c>
      <c r="G10" s="42"/>
      <c r="H10" s="42">
        <v>5041.729699999999</v>
      </c>
      <c r="I10" s="42"/>
      <c r="J10" s="42">
        <v>5730.8323999999993</v>
      </c>
      <c r="K10" s="42"/>
      <c r="L10" s="42">
        <v>6073.2403000000004</v>
      </c>
      <c r="M10" s="42"/>
      <c r="N10" s="42">
        <v>7177.8886000000002</v>
      </c>
      <c r="O10" s="42"/>
      <c r="P10" s="42">
        <v>6902.2866000000004</v>
      </c>
      <c r="Q10" s="42"/>
      <c r="R10" s="42">
        <v>8086.4918000000007</v>
      </c>
      <c r="S10" s="42"/>
      <c r="T10" s="42">
        <v>8875.5829999999987</v>
      </c>
      <c r="U10" s="42"/>
      <c r="V10" s="42">
        <v>9979.359199999999</v>
      </c>
      <c r="W10" s="42"/>
      <c r="X10" s="42">
        <v>9698.8708999999999</v>
      </c>
      <c r="Y10" s="42"/>
      <c r="Z10" s="42">
        <v>10416.112300000001</v>
      </c>
      <c r="AA10" s="75"/>
      <c r="AB10" s="75">
        <f>SUM(D10:Z10)</f>
        <v>86630.883499999996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76" t="s">
        <v>48</v>
      </c>
      <c r="C11" s="72"/>
      <c r="D11" s="42">
        <v>17882</v>
      </c>
      <c r="E11" s="42"/>
      <c r="F11" s="42">
        <v>18535</v>
      </c>
      <c r="G11" s="42"/>
      <c r="H11" s="42">
        <v>21493</v>
      </c>
      <c r="I11" s="42"/>
      <c r="J11" s="42">
        <v>19765</v>
      </c>
      <c r="K11" s="42"/>
      <c r="L11" s="42">
        <v>19871</v>
      </c>
      <c r="M11" s="42"/>
      <c r="N11" s="42">
        <v>20837</v>
      </c>
      <c r="O11" s="42"/>
      <c r="P11" s="42">
        <v>20461</v>
      </c>
      <c r="Q11" s="42"/>
      <c r="R11" s="42">
        <v>21727</v>
      </c>
      <c r="S11" s="42"/>
      <c r="T11" s="42">
        <v>21227</v>
      </c>
      <c r="U11" s="42"/>
      <c r="V11" s="42">
        <v>22989</v>
      </c>
      <c r="W11" s="42"/>
      <c r="X11" s="42">
        <v>23205</v>
      </c>
      <c r="Y11" s="42"/>
      <c r="Z11" s="42">
        <v>25450</v>
      </c>
      <c r="AA11" s="77"/>
      <c r="AB11" s="75">
        <f>SUM(D11:Z11)</f>
        <v>253442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74" t="s">
        <v>49</v>
      </c>
      <c r="C12" s="72"/>
      <c r="D12" s="42">
        <v>551.60589999999991</v>
      </c>
      <c r="E12" s="42"/>
      <c r="F12" s="42">
        <v>452.29790000000003</v>
      </c>
      <c r="G12" s="42"/>
      <c r="H12" s="42">
        <v>566.98550000000012</v>
      </c>
      <c r="I12" s="42"/>
      <c r="J12" s="42">
        <v>1122.463</v>
      </c>
      <c r="K12" s="42"/>
      <c r="L12" s="42">
        <v>2867.7743</v>
      </c>
      <c r="M12" s="42"/>
      <c r="N12" s="42">
        <v>331.42750000000001</v>
      </c>
      <c r="O12" s="42"/>
      <c r="P12" s="42">
        <v>456.86069999999995</v>
      </c>
      <c r="Q12" s="42"/>
      <c r="R12" s="42">
        <v>-1398.1101999999998</v>
      </c>
      <c r="S12" s="42"/>
      <c r="T12" s="42">
        <v>378.02339999999998</v>
      </c>
      <c r="U12" s="42"/>
      <c r="V12" s="42">
        <v>800.58320000000003</v>
      </c>
      <c r="W12" s="42"/>
      <c r="X12" s="42">
        <v>1388.6985000000002</v>
      </c>
      <c r="Y12" s="42"/>
      <c r="Z12" s="42">
        <v>-680.29740000000015</v>
      </c>
      <c r="AA12" s="75"/>
      <c r="AB12" s="75">
        <f>SUM(D12:Z12)</f>
        <v>6838.3122999999996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44</v>
      </c>
      <c r="C14" s="82"/>
      <c r="D14" s="45">
        <f>+D15+D16+D17</f>
        <v>3242.5466000000001</v>
      </c>
      <c r="E14" s="45"/>
      <c r="F14" s="45">
        <f>+F15+F16+F17</f>
        <v>2602.6329000000001</v>
      </c>
      <c r="G14" s="45"/>
      <c r="H14" s="45">
        <f>+H15+H16+H17</f>
        <v>3025.0343000000003</v>
      </c>
      <c r="I14" s="45"/>
      <c r="J14" s="45">
        <f>+J15+J16+J17</f>
        <v>2491.0860000000002</v>
      </c>
      <c r="K14" s="45"/>
      <c r="L14" s="45">
        <f>+L15+L16+L17</f>
        <v>4433.8796000000002</v>
      </c>
      <c r="M14" s="45"/>
      <c r="N14" s="45">
        <f>+N15+N16+N17</f>
        <v>2999.7053000000001</v>
      </c>
      <c r="O14" s="45"/>
      <c r="P14" s="45">
        <f>+P15+P16+P17</f>
        <v>3911.7867999999999</v>
      </c>
      <c r="Q14" s="45"/>
      <c r="R14" s="45">
        <f>+R15+R16+R17</f>
        <v>3368.1606000000002</v>
      </c>
      <c r="S14" s="45"/>
      <c r="T14" s="45">
        <f>+T15+T16+T17</f>
        <v>3531.7855</v>
      </c>
      <c r="U14" s="45"/>
      <c r="V14" s="45">
        <f>+V15+V16+V17</f>
        <v>3325.6152999999999</v>
      </c>
      <c r="W14" s="45"/>
      <c r="X14" s="45">
        <f>+X15+X16+X17</f>
        <v>4105.7548999999999</v>
      </c>
      <c r="Y14" s="45"/>
      <c r="Z14" s="45">
        <f>+Z15+Z16+Z17</f>
        <v>15051.9198</v>
      </c>
      <c r="AA14" s="83"/>
      <c r="AB14" s="83">
        <f>+AB15+AB16+AB17</f>
        <v>52089.907599999999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969</v>
      </c>
      <c r="E15" s="42"/>
      <c r="F15" s="42">
        <v>905</v>
      </c>
      <c r="G15" s="42"/>
      <c r="H15" s="42">
        <v>1162</v>
      </c>
      <c r="I15" s="42"/>
      <c r="J15" s="42">
        <v>951</v>
      </c>
      <c r="K15" s="42"/>
      <c r="L15" s="42">
        <v>950</v>
      </c>
      <c r="M15" s="42"/>
      <c r="N15" s="42">
        <v>877</v>
      </c>
      <c r="O15" s="42"/>
      <c r="P15" s="42">
        <v>1055</v>
      </c>
      <c r="Q15" s="42"/>
      <c r="R15" s="42">
        <v>1131</v>
      </c>
      <c r="S15" s="42"/>
      <c r="T15" s="42">
        <v>1201</v>
      </c>
      <c r="U15" s="42"/>
      <c r="V15" s="42">
        <v>1103</v>
      </c>
      <c r="W15" s="42"/>
      <c r="X15" s="42">
        <v>1114</v>
      </c>
      <c r="Y15" s="42"/>
      <c r="Z15" s="42">
        <v>3365</v>
      </c>
      <c r="AA15" s="75"/>
      <c r="AB15" s="75">
        <f>SUM(D15:Z15)</f>
        <v>14783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504.54660000000001</v>
      </c>
      <c r="E16" s="42"/>
      <c r="F16" s="42">
        <v>423.63290000000001</v>
      </c>
      <c r="G16" s="42"/>
      <c r="H16" s="42">
        <v>269.03429999999997</v>
      </c>
      <c r="I16" s="42"/>
      <c r="J16" s="42">
        <v>246.08600000000001</v>
      </c>
      <c r="K16" s="42"/>
      <c r="L16" s="42">
        <v>186.87960000000001</v>
      </c>
      <c r="M16" s="42"/>
      <c r="N16" s="42">
        <v>257.70530000000002</v>
      </c>
      <c r="O16" s="42"/>
      <c r="P16" s="42">
        <v>251.7868</v>
      </c>
      <c r="Q16" s="42"/>
      <c r="R16" s="42">
        <v>286.16059999999999</v>
      </c>
      <c r="S16" s="42"/>
      <c r="T16" s="42">
        <v>433.78550000000001</v>
      </c>
      <c r="U16" s="42"/>
      <c r="V16" s="42">
        <v>298.61529999999999</v>
      </c>
      <c r="W16" s="42"/>
      <c r="X16" s="42">
        <v>354.75490000000002</v>
      </c>
      <c r="Y16" s="42"/>
      <c r="Z16" s="42">
        <v>766.91980000000001</v>
      </c>
      <c r="AA16" s="75"/>
      <c r="AB16" s="75">
        <f>SUM(D16:Z16)</f>
        <v>4279.9075999999995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74" t="s">
        <v>51</v>
      </c>
      <c r="C17" s="72"/>
      <c r="D17" s="42">
        <v>1769</v>
      </c>
      <c r="E17" s="42"/>
      <c r="F17" s="42">
        <v>1274</v>
      </c>
      <c r="G17" s="42"/>
      <c r="H17" s="42">
        <v>1594</v>
      </c>
      <c r="I17" s="42"/>
      <c r="J17" s="42">
        <v>1294</v>
      </c>
      <c r="K17" s="42"/>
      <c r="L17" s="42">
        <v>3297</v>
      </c>
      <c r="M17" s="42"/>
      <c r="N17" s="42">
        <v>1865</v>
      </c>
      <c r="O17" s="42"/>
      <c r="P17" s="42">
        <v>2605</v>
      </c>
      <c r="Q17" s="42"/>
      <c r="R17" s="42">
        <v>1951</v>
      </c>
      <c r="S17" s="42"/>
      <c r="T17" s="42">
        <v>1897</v>
      </c>
      <c r="U17" s="42"/>
      <c r="V17" s="42">
        <v>1924</v>
      </c>
      <c r="W17" s="42"/>
      <c r="X17" s="42">
        <v>2637</v>
      </c>
      <c r="Y17" s="42"/>
      <c r="Z17" s="42">
        <v>10920</v>
      </c>
      <c r="AA17" s="75"/>
      <c r="AB17" s="75">
        <f>SUM(D17:Z17)</f>
        <v>33027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762</v>
      </c>
      <c r="E19" s="42"/>
      <c r="F19" s="42">
        <v>-435</v>
      </c>
      <c r="G19" s="42"/>
      <c r="H19" s="42">
        <v>-95</v>
      </c>
      <c r="I19" s="42"/>
      <c r="J19" s="42">
        <v>-168</v>
      </c>
      <c r="K19" s="42"/>
      <c r="L19" s="42">
        <v>-742</v>
      </c>
      <c r="M19" s="42"/>
      <c r="N19" s="42">
        <v>-875</v>
      </c>
      <c r="O19" s="42"/>
      <c r="P19" s="42">
        <v>2973</v>
      </c>
      <c r="Q19" s="42"/>
      <c r="R19" s="42">
        <v>54</v>
      </c>
      <c r="S19" s="42"/>
      <c r="T19" s="42">
        <v>-331</v>
      </c>
      <c r="U19" s="42"/>
      <c r="V19" s="42">
        <v>59</v>
      </c>
      <c r="W19" s="42"/>
      <c r="X19" s="42">
        <v>44</v>
      </c>
      <c r="Y19" s="42"/>
      <c r="Z19" s="42">
        <v>785</v>
      </c>
      <c r="AA19" s="42"/>
      <c r="AB19" s="124">
        <f>SUM(D19:Z19)</f>
        <v>2031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85" t="s">
        <v>50</v>
      </c>
      <c r="C21" s="72"/>
      <c r="D21" s="42">
        <v>1691</v>
      </c>
      <c r="E21" s="42"/>
      <c r="F21" s="42">
        <v>1320</v>
      </c>
      <c r="G21" s="42"/>
      <c r="H21" s="42">
        <v>1257</v>
      </c>
      <c r="I21" s="42"/>
      <c r="J21" s="42">
        <v>1454</v>
      </c>
      <c r="K21" s="42"/>
      <c r="L21" s="42">
        <v>1840</v>
      </c>
      <c r="M21" s="42"/>
      <c r="N21" s="42">
        <v>2098</v>
      </c>
      <c r="O21" s="42"/>
      <c r="P21" s="42">
        <v>2477</v>
      </c>
      <c r="Q21" s="42"/>
      <c r="R21" s="42">
        <v>2038</v>
      </c>
      <c r="S21" s="42"/>
      <c r="T21" s="42">
        <v>2420</v>
      </c>
      <c r="U21" s="42"/>
      <c r="V21" s="42">
        <v>3189</v>
      </c>
      <c r="W21" s="42"/>
      <c r="X21" s="42">
        <v>1575</v>
      </c>
      <c r="Y21" s="42"/>
      <c r="Z21" s="42">
        <v>2202</v>
      </c>
      <c r="AA21" s="42"/>
      <c r="AB21" s="75">
        <f>SUM(D21:Z21)</f>
        <v>23561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45</v>
      </c>
      <c r="C23" s="82"/>
      <c r="D23" s="45">
        <f>D8-D14-D19-D21</f>
        <v>16978.972399999995</v>
      </c>
      <c r="E23" s="45"/>
      <c r="F23" s="45">
        <f>F8-F14-F19-F21</f>
        <v>19907.240600000001</v>
      </c>
      <c r="G23" s="45"/>
      <c r="H23" s="45">
        <f>H8-H14-H19-H21</f>
        <v>22914.680899999999</v>
      </c>
      <c r="I23" s="45"/>
      <c r="J23" s="45">
        <f>J8-J14-J19-J21</f>
        <v>22841.2094</v>
      </c>
      <c r="K23" s="45"/>
      <c r="L23" s="45">
        <f>L8-L14-L19-L21</f>
        <v>23280.135000000002</v>
      </c>
      <c r="M23" s="45"/>
      <c r="N23" s="45">
        <f>N8-N14-N19-N21</f>
        <v>24123.610799999999</v>
      </c>
      <c r="O23" s="45"/>
      <c r="P23" s="45">
        <f>P8-P14-P19-P21</f>
        <v>18458.360500000003</v>
      </c>
      <c r="Q23" s="45"/>
      <c r="R23" s="45">
        <f>R8-R14-R19-R21</f>
        <v>22955.221000000001</v>
      </c>
      <c r="S23" s="45"/>
      <c r="T23" s="45">
        <f>T8-T14-T19-T21</f>
        <v>24859.820899999999</v>
      </c>
      <c r="U23" s="45"/>
      <c r="V23" s="45">
        <f>V8-V14-V19-V21</f>
        <v>27195.327099999999</v>
      </c>
      <c r="W23" s="45"/>
      <c r="X23" s="45">
        <f>X8-X14-X19-X21</f>
        <v>28567.8145</v>
      </c>
      <c r="Y23" s="45"/>
      <c r="Z23" s="45">
        <f>Z8-Z14-Z19-Z21</f>
        <v>17146.895099999998</v>
      </c>
      <c r="AA23" s="45"/>
      <c r="AB23" s="83">
        <f>AB8-AB14-AB19-AB21</f>
        <v>269229.28820000001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63</v>
      </c>
      <c r="C25" s="82"/>
      <c r="D25" s="45">
        <f>+D27+D26</f>
        <v>2974.7163</v>
      </c>
      <c r="E25" s="82"/>
      <c r="F25" s="45">
        <f>+F27+F26</f>
        <v>1907.2609</v>
      </c>
      <c r="G25" s="82"/>
      <c r="H25" s="45">
        <f>+H27+H26</f>
        <v>1481.2084</v>
      </c>
      <c r="I25" s="82"/>
      <c r="J25" s="45">
        <f>+J27+J26</f>
        <v>1221.1487</v>
      </c>
      <c r="K25" s="82"/>
      <c r="L25" s="45">
        <f>+L27+L26</f>
        <v>1244.5636999999999</v>
      </c>
      <c r="M25" s="82"/>
      <c r="N25" s="45">
        <f>+N27+N26</f>
        <v>1512.9902999999999</v>
      </c>
      <c r="O25" s="82"/>
      <c r="P25" s="45">
        <f>+P27+P26</f>
        <v>1885.1884</v>
      </c>
      <c r="Q25" s="82"/>
      <c r="R25" s="45">
        <f>+R27+R26</f>
        <v>1764.2493999999999</v>
      </c>
      <c r="S25" s="82"/>
      <c r="T25" s="45">
        <f>+T27+T26</f>
        <v>2199.9367000000002</v>
      </c>
      <c r="U25" s="82"/>
      <c r="V25" s="45">
        <f>+V27+V26</f>
        <v>1682.5877</v>
      </c>
      <c r="W25" s="82"/>
      <c r="X25" s="45">
        <f>+X27+X26</f>
        <v>2113.8733999999999</v>
      </c>
      <c r="Y25" s="82"/>
      <c r="Z25" s="45">
        <f>+Z27+Z26</f>
        <v>5148.2654000000002</v>
      </c>
      <c r="AA25" s="82"/>
      <c r="AB25" s="45">
        <f>+AB27+AB26</f>
        <v>25135.989299999997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206" t="s">
        <v>72</v>
      </c>
      <c r="C26" s="72"/>
      <c r="D26" s="42">
        <v>0</v>
      </c>
      <c r="E26" s="42"/>
      <c r="F26" s="42">
        <v>0</v>
      </c>
      <c r="G26" s="42"/>
      <c r="H26" s="42">
        <v>0</v>
      </c>
      <c r="I26" s="42"/>
      <c r="J26" s="42">
        <v>0</v>
      </c>
      <c r="K26" s="42"/>
      <c r="L26" s="42">
        <v>0</v>
      </c>
      <c r="M26" s="42"/>
      <c r="N26" s="42">
        <v>0</v>
      </c>
      <c r="O26" s="42"/>
      <c r="P26" s="42">
        <v>0</v>
      </c>
      <c r="Q26" s="77"/>
      <c r="R26" s="42">
        <v>0</v>
      </c>
      <c r="S26" s="42"/>
      <c r="T26" s="42">
        <v>0</v>
      </c>
      <c r="U26" s="42"/>
      <c r="V26" s="42">
        <v>0</v>
      </c>
      <c r="W26" s="42"/>
      <c r="X26" s="42">
        <v>0</v>
      </c>
      <c r="Y26" s="42"/>
      <c r="Z26" s="42">
        <v>146.32509999999999</v>
      </c>
      <c r="AA26" s="42"/>
      <c r="AB26" s="75">
        <f>SUM(D26:Z26)</f>
        <v>146.32509999999999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2974.7163</v>
      </c>
      <c r="E27" s="42"/>
      <c r="F27" s="42">
        <f>+F28+F29</f>
        <v>1907.2609</v>
      </c>
      <c r="G27" s="42"/>
      <c r="H27" s="42">
        <f>+H28+H29</f>
        <v>1481.2084</v>
      </c>
      <c r="I27" s="42"/>
      <c r="J27" s="42">
        <f>+J28+J29</f>
        <v>1221.1487</v>
      </c>
      <c r="K27" s="42"/>
      <c r="L27" s="42">
        <f>+L28+L29</f>
        <v>1244.5636999999999</v>
      </c>
      <c r="M27" s="42"/>
      <c r="N27" s="42">
        <f>+N28+N29</f>
        <v>1512.9902999999999</v>
      </c>
      <c r="O27" s="42"/>
      <c r="P27" s="42">
        <f>+P28+P29</f>
        <v>1885.1884</v>
      </c>
      <c r="Q27" s="42"/>
      <c r="R27" s="42">
        <f>+R28+R29</f>
        <v>1764.2493999999999</v>
      </c>
      <c r="S27" s="42"/>
      <c r="T27" s="42">
        <f>+T28+T29</f>
        <v>2199.9367000000002</v>
      </c>
      <c r="U27" s="42"/>
      <c r="V27" s="42">
        <f>+V28+V29</f>
        <v>1682.5877</v>
      </c>
      <c r="W27" s="42"/>
      <c r="X27" s="42">
        <f>+X28+X29</f>
        <v>2113.8733999999999</v>
      </c>
      <c r="Y27" s="42"/>
      <c r="Z27" s="42">
        <f>+Z28+Z29</f>
        <v>5001.9403000000002</v>
      </c>
      <c r="AA27" s="75"/>
      <c r="AB27" s="75">
        <f>+AB28+AB29</f>
        <v>24989.664199999999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194" t="s">
        <v>66</v>
      </c>
      <c r="C28" s="90"/>
      <c r="D28" s="42">
        <v>2974.7163</v>
      </c>
      <c r="E28" s="42"/>
      <c r="F28" s="42">
        <v>1907.2609</v>
      </c>
      <c r="G28" s="42"/>
      <c r="H28" s="42">
        <v>1481.2084</v>
      </c>
      <c r="I28" s="42"/>
      <c r="J28" s="42">
        <v>1221.1487</v>
      </c>
      <c r="K28" s="42"/>
      <c r="L28" s="42">
        <v>1244.5636999999999</v>
      </c>
      <c r="M28" s="42"/>
      <c r="N28" s="42">
        <v>1512.9902999999999</v>
      </c>
      <c r="O28" s="42"/>
      <c r="P28" s="42">
        <v>1885.1884</v>
      </c>
      <c r="Q28" s="42"/>
      <c r="R28" s="42">
        <v>1764.2493999999999</v>
      </c>
      <c r="S28" s="42"/>
      <c r="T28" s="42">
        <v>2199.9367000000002</v>
      </c>
      <c r="U28" s="42"/>
      <c r="V28" s="42">
        <v>1682.5877</v>
      </c>
      <c r="W28" s="42"/>
      <c r="X28" s="42">
        <v>2113.8733999999999</v>
      </c>
      <c r="Y28" s="42"/>
      <c r="Z28" s="42">
        <v>5001.9403000000002</v>
      </c>
      <c r="AA28" s="75"/>
      <c r="AB28" s="75">
        <f>SUM(D28:Z28)</f>
        <v>24989.664199999999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0</v>
      </c>
      <c r="E29" s="42"/>
      <c r="F29" s="42">
        <v>0</v>
      </c>
      <c r="G29" s="42"/>
      <c r="H29" s="42">
        <v>0</v>
      </c>
      <c r="I29" s="42"/>
      <c r="J29" s="42">
        <v>0</v>
      </c>
      <c r="K29" s="42"/>
      <c r="L29" s="42">
        <v>0</v>
      </c>
      <c r="M29" s="42"/>
      <c r="N29" s="42">
        <v>0</v>
      </c>
      <c r="O29" s="42"/>
      <c r="P29" s="42">
        <v>0</v>
      </c>
      <c r="Q29" s="42"/>
      <c r="R29" s="42">
        <v>0</v>
      </c>
      <c r="S29" s="42"/>
      <c r="T29" s="42">
        <v>0</v>
      </c>
      <c r="U29" s="42"/>
      <c r="V29" s="42">
        <v>0</v>
      </c>
      <c r="W29" s="42"/>
      <c r="X29" s="42">
        <v>0</v>
      </c>
      <c r="Y29" s="42"/>
      <c r="Z29" s="42">
        <v>0</v>
      </c>
      <c r="AA29" s="75"/>
      <c r="AB29" s="42">
        <f>SUM(D29:Z29)</f>
        <v>0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0</v>
      </c>
      <c r="U31" s="118"/>
      <c r="V31" s="118">
        <v>0</v>
      </c>
      <c r="W31" s="118"/>
      <c r="X31" s="118">
        <v>0</v>
      </c>
      <c r="Y31" s="118"/>
      <c r="Z31" s="118">
        <v>0</v>
      </c>
      <c r="AA31" s="41"/>
      <c r="AB31" s="118">
        <f>SUM(D31:Z31)</f>
        <v>0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207" t="s">
        <v>73</v>
      </c>
      <c r="C33" s="95"/>
      <c r="D33" s="119">
        <f>D23-D25+D31</f>
        <v>14004.256099999995</v>
      </c>
      <c r="E33" s="119"/>
      <c r="F33" s="119">
        <f>F23-F25+F31</f>
        <v>17999.9797</v>
      </c>
      <c r="G33" s="119"/>
      <c r="H33" s="119">
        <f>H23-H25+H31</f>
        <v>21433.4725</v>
      </c>
      <c r="I33" s="119"/>
      <c r="J33" s="119">
        <f>J23-J25+J31</f>
        <v>21620.060699999998</v>
      </c>
      <c r="K33" s="119"/>
      <c r="L33" s="119">
        <f>L23-L25+L31</f>
        <v>22035.571300000003</v>
      </c>
      <c r="M33" s="119"/>
      <c r="N33" s="119">
        <f>N23-N25+N31</f>
        <v>22610.620499999997</v>
      </c>
      <c r="O33" s="119"/>
      <c r="P33" s="119">
        <f>P23-P25+P31</f>
        <v>16573.172100000003</v>
      </c>
      <c r="Q33" s="119"/>
      <c r="R33" s="119">
        <f>R23-R25+R31</f>
        <v>21190.971600000001</v>
      </c>
      <c r="S33" s="119"/>
      <c r="T33" s="119">
        <f>T23-T25+T31</f>
        <v>22659.8842</v>
      </c>
      <c r="U33" s="119"/>
      <c r="V33" s="119">
        <f>V23-V25+V31</f>
        <v>25512.739399999999</v>
      </c>
      <c r="W33" s="119"/>
      <c r="X33" s="119">
        <f>X23-X25+X31</f>
        <v>26453.9411</v>
      </c>
      <c r="Y33" s="119"/>
      <c r="Z33" s="119">
        <f>Z23-Z25+Z31</f>
        <v>11998.629699999998</v>
      </c>
      <c r="AA33" s="119"/>
      <c r="AB33" s="119">
        <f>AB23-AB25+AB31</f>
        <v>244093.29890000002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17010</v>
      </c>
      <c r="E35" s="42"/>
      <c r="F35" s="42">
        <v>14636</v>
      </c>
      <c r="G35" s="42"/>
      <c r="H35" s="42">
        <v>16757</v>
      </c>
      <c r="I35" s="42"/>
      <c r="J35" s="42">
        <v>16804</v>
      </c>
      <c r="K35" s="42"/>
      <c r="L35" s="42">
        <v>15847</v>
      </c>
      <c r="M35" s="42"/>
      <c r="N35" s="42">
        <v>16414</v>
      </c>
      <c r="O35" s="42"/>
      <c r="P35" s="42">
        <v>20407</v>
      </c>
      <c r="Q35" s="42"/>
      <c r="R35" s="42">
        <v>18914</v>
      </c>
      <c r="S35" s="42"/>
      <c r="T35" s="42">
        <v>18801</v>
      </c>
      <c r="U35" s="42"/>
      <c r="V35" s="42">
        <v>24166</v>
      </c>
      <c r="W35" s="42"/>
      <c r="X35" s="42">
        <v>22181</v>
      </c>
      <c r="Y35" s="42"/>
      <c r="Z35" s="42">
        <v>21879</v>
      </c>
      <c r="AA35" s="42"/>
      <c r="AB35" s="75">
        <f>SUM(D35:Z35)</f>
        <v>223816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-3005.7439000000049</v>
      </c>
      <c r="E37" s="119"/>
      <c r="F37" s="119">
        <f>F33-F35</f>
        <v>3363.9796999999999</v>
      </c>
      <c r="G37" s="119"/>
      <c r="H37" s="119">
        <f>H33-H35</f>
        <v>4676.4724999999999</v>
      </c>
      <c r="I37" s="119"/>
      <c r="J37" s="119">
        <f>J33-J35</f>
        <v>4816.0606999999982</v>
      </c>
      <c r="K37" s="119"/>
      <c r="L37" s="119">
        <f>L33-L35</f>
        <v>6188.5713000000032</v>
      </c>
      <c r="M37" s="119"/>
      <c r="N37" s="119">
        <f>N33-N35</f>
        <v>6196.6204999999973</v>
      </c>
      <c r="O37" s="119"/>
      <c r="P37" s="119">
        <f>P33-P35</f>
        <v>-3833.8278999999966</v>
      </c>
      <c r="Q37" s="119"/>
      <c r="R37" s="119">
        <f>R33-R35</f>
        <v>2276.9716000000008</v>
      </c>
      <c r="S37" s="119"/>
      <c r="T37" s="119">
        <f>T33-T35</f>
        <v>3858.8842000000004</v>
      </c>
      <c r="U37" s="119"/>
      <c r="V37" s="119">
        <f>V33-V35</f>
        <v>1346.7393999999986</v>
      </c>
      <c r="W37" s="119"/>
      <c r="X37" s="119">
        <f>X33-X35</f>
        <v>4272.9411</v>
      </c>
      <c r="Y37" s="119"/>
      <c r="Z37" s="119">
        <f>Z33-Z35</f>
        <v>-9880.3703000000023</v>
      </c>
      <c r="AA37" s="119"/>
      <c r="AB37" s="119">
        <f>AB33-AB35</f>
        <v>20277.298900000023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296.54149999999998</v>
      </c>
      <c r="E39" s="72"/>
      <c r="F39" s="42">
        <f>F40+F43</f>
        <v>305.60969999999998</v>
      </c>
      <c r="G39" s="72"/>
      <c r="H39" s="42">
        <f>H40+H43</f>
        <v>2055.7865000000002</v>
      </c>
      <c r="I39" s="72"/>
      <c r="J39" s="42">
        <f>J40+J43</f>
        <v>438.41609999999997</v>
      </c>
      <c r="K39" s="72"/>
      <c r="L39" s="42">
        <f>L40+L43</f>
        <v>641.3329</v>
      </c>
      <c r="M39" s="72"/>
      <c r="N39" s="42">
        <f>N40+N43</f>
        <v>2065.058</v>
      </c>
      <c r="O39" s="72"/>
      <c r="P39" s="42">
        <f>P40+P43</f>
        <v>231.93719999999999</v>
      </c>
      <c r="Q39" s="72"/>
      <c r="R39" s="42">
        <f>R40+R43</f>
        <v>792.19740000000002</v>
      </c>
      <c r="S39" s="72"/>
      <c r="T39" s="42">
        <f>T40+T43</f>
        <v>4560.5329999999994</v>
      </c>
      <c r="U39" s="72"/>
      <c r="V39" s="42">
        <f>V40+V43</f>
        <v>503.10899999999998</v>
      </c>
      <c r="W39" s="72"/>
      <c r="X39" s="42">
        <f>X40+X43</f>
        <v>609.4742</v>
      </c>
      <c r="Y39" s="72"/>
      <c r="Z39" s="42">
        <f>Z40+Z43</f>
        <v>1872.3103999999998</v>
      </c>
      <c r="AA39" s="72"/>
      <c r="AB39" s="42">
        <f>AB40+AB43</f>
        <v>14372.305899999999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296.54149999999998</v>
      </c>
      <c r="E40" s="42"/>
      <c r="F40" s="42">
        <f>F41+F42</f>
        <v>305.60969999999998</v>
      </c>
      <c r="G40" s="42"/>
      <c r="H40" s="42">
        <f>H41+H42</f>
        <v>2055.7865000000002</v>
      </c>
      <c r="I40" s="42"/>
      <c r="J40" s="42">
        <f>J41+J42</f>
        <v>438.41609999999997</v>
      </c>
      <c r="K40" s="42"/>
      <c r="L40" s="42">
        <f>L41+L42</f>
        <v>641.3329</v>
      </c>
      <c r="M40" s="42"/>
      <c r="N40" s="42">
        <f>N41+N42</f>
        <v>2065.058</v>
      </c>
      <c r="O40" s="42"/>
      <c r="P40" s="42">
        <f>P41+P42</f>
        <v>231.93719999999999</v>
      </c>
      <c r="Q40" s="42"/>
      <c r="R40" s="42">
        <f>R41+R42</f>
        <v>792.19740000000002</v>
      </c>
      <c r="S40" s="42"/>
      <c r="T40" s="42">
        <f>T41+T42</f>
        <v>4560.5329999999994</v>
      </c>
      <c r="U40" s="42"/>
      <c r="V40" s="42">
        <f>+V41+V42</f>
        <v>503.10899999999998</v>
      </c>
      <c r="W40" s="42"/>
      <c r="X40" s="42">
        <f>+X41+X42</f>
        <v>609.4742</v>
      </c>
      <c r="Y40" s="42"/>
      <c r="Z40" s="42">
        <f>+Z41+Z42</f>
        <v>1872.3103999999998</v>
      </c>
      <c r="AA40" s="75"/>
      <c r="AB40" s="75">
        <f>+AB41+AB42</f>
        <v>14372.305899999999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194" t="s">
        <v>56</v>
      </c>
      <c r="C41" s="72"/>
      <c r="D41" s="118">
        <v>296.54149999999998</v>
      </c>
      <c r="E41" s="118"/>
      <c r="F41" s="118">
        <v>305.60969999999998</v>
      </c>
      <c r="G41" s="118"/>
      <c r="H41" s="118">
        <v>1343.9617000000001</v>
      </c>
      <c r="I41" s="118"/>
      <c r="J41" s="118">
        <v>438.41609999999997</v>
      </c>
      <c r="K41" s="118"/>
      <c r="L41" s="118">
        <v>641.3329</v>
      </c>
      <c r="M41" s="118"/>
      <c r="N41" s="118">
        <v>1380.9028000000001</v>
      </c>
      <c r="O41" s="118"/>
      <c r="P41" s="118">
        <v>231.93719999999999</v>
      </c>
      <c r="Q41" s="118"/>
      <c r="R41" s="118">
        <v>792.19740000000002</v>
      </c>
      <c r="S41" s="118"/>
      <c r="T41" s="118">
        <v>1513.9584</v>
      </c>
      <c r="U41" s="118"/>
      <c r="V41" s="118">
        <v>503.10899999999998</v>
      </c>
      <c r="W41" s="118"/>
      <c r="X41" s="118">
        <v>609.4742</v>
      </c>
      <c r="Y41" s="118"/>
      <c r="Z41" s="118">
        <v>1176.9758999999999</v>
      </c>
      <c r="AA41" s="118"/>
      <c r="AB41" s="118">
        <f>SUM(D41:Z41)</f>
        <v>9234.4168000000009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0</v>
      </c>
      <c r="E42" s="42"/>
      <c r="F42" s="42">
        <v>0</v>
      </c>
      <c r="G42" s="42"/>
      <c r="H42" s="42">
        <v>711.8248000000001</v>
      </c>
      <c r="I42" s="42"/>
      <c r="J42" s="42">
        <v>0</v>
      </c>
      <c r="K42" s="42"/>
      <c r="L42" s="42">
        <v>0</v>
      </c>
      <c r="M42" s="42"/>
      <c r="N42" s="42">
        <v>684.15519999999992</v>
      </c>
      <c r="O42" s="42"/>
      <c r="P42" s="42">
        <v>0</v>
      </c>
      <c r="Q42" s="42"/>
      <c r="R42" s="42">
        <v>0</v>
      </c>
      <c r="S42" s="42"/>
      <c r="T42" s="42">
        <v>3046.5745999999999</v>
      </c>
      <c r="U42" s="42"/>
      <c r="V42" s="42">
        <v>0</v>
      </c>
      <c r="W42" s="42"/>
      <c r="X42" s="42">
        <v>0</v>
      </c>
      <c r="Y42" s="42"/>
      <c r="Z42" s="42">
        <v>695.33450000000005</v>
      </c>
      <c r="AA42" s="75"/>
      <c r="AB42" s="75">
        <f>SUM(D42:Z42)</f>
        <v>5137.8890999999994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0</v>
      </c>
      <c r="E43" s="42"/>
      <c r="F43" s="42">
        <v>0</v>
      </c>
      <c r="G43" s="42"/>
      <c r="H43" s="42">
        <v>0</v>
      </c>
      <c r="I43" s="42"/>
      <c r="J43" s="42">
        <v>0</v>
      </c>
      <c r="K43" s="42"/>
      <c r="L43" s="42">
        <v>0</v>
      </c>
      <c r="M43" s="42"/>
      <c r="N43" s="42">
        <v>0</v>
      </c>
      <c r="O43" s="42"/>
      <c r="P43" s="42">
        <v>0</v>
      </c>
      <c r="Q43" s="42"/>
      <c r="R43" s="42">
        <v>0</v>
      </c>
      <c r="S43" s="42"/>
      <c r="T43" s="42">
        <v>0</v>
      </c>
      <c r="U43" s="42"/>
      <c r="V43" s="42">
        <v>0</v>
      </c>
      <c r="W43" s="42"/>
      <c r="X43" s="42">
        <v>0</v>
      </c>
      <c r="Y43" s="42"/>
      <c r="Z43" s="42">
        <v>0</v>
      </c>
      <c r="AA43" s="75"/>
      <c r="AB43" s="75">
        <f>SUM(D43:Z43)</f>
        <v>0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-3302.2854000000048</v>
      </c>
      <c r="E45" s="95"/>
      <c r="F45" s="48">
        <f>F37-F39</f>
        <v>3058.37</v>
      </c>
      <c r="G45" s="95"/>
      <c r="H45" s="48">
        <f>H37-H39</f>
        <v>2620.6859999999997</v>
      </c>
      <c r="I45" s="95"/>
      <c r="J45" s="48">
        <f>J37-J39</f>
        <v>4377.6445999999978</v>
      </c>
      <c r="K45" s="95"/>
      <c r="L45" s="48">
        <f>L37-L39</f>
        <v>5547.2384000000029</v>
      </c>
      <c r="M45" s="95"/>
      <c r="N45" s="48">
        <f>N37-N39</f>
        <v>4131.5624999999973</v>
      </c>
      <c r="O45" s="95"/>
      <c r="P45" s="48">
        <f>P37-P39</f>
        <v>-4065.7650999999964</v>
      </c>
      <c r="Q45" s="95"/>
      <c r="R45" s="48">
        <f>R37-R39</f>
        <v>1484.7742000000007</v>
      </c>
      <c r="S45" s="95"/>
      <c r="T45" s="48">
        <f>T37-T39</f>
        <v>-701.64879999999903</v>
      </c>
      <c r="U45" s="95"/>
      <c r="V45" s="48">
        <f>V37-V39</f>
        <v>843.63039999999864</v>
      </c>
      <c r="W45" s="95"/>
      <c r="X45" s="48">
        <f>X37-X39</f>
        <v>3663.4668999999999</v>
      </c>
      <c r="Y45" s="95"/>
      <c r="Z45" s="48">
        <f>Z37-Z39</f>
        <v>-11752.680700000003</v>
      </c>
      <c r="AA45" s="95"/>
      <c r="AB45" s="48">
        <f>AB37-AB39</f>
        <v>5904.993000000024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64" t="s">
        <v>41</v>
      </c>
      <c r="C47" s="464"/>
      <c r="D47" s="464"/>
      <c r="E47" s="464"/>
      <c r="F47" s="464"/>
      <c r="G47" s="464"/>
      <c r="H47" s="464"/>
      <c r="I47" s="464"/>
      <c r="J47" s="464"/>
      <c r="K47" s="464"/>
      <c r="L47" s="464"/>
      <c r="M47" s="464"/>
      <c r="N47" s="464"/>
      <c r="O47" s="464"/>
      <c r="P47" s="464"/>
      <c r="Q47" s="464"/>
      <c r="R47" s="464"/>
      <c r="S47" s="464"/>
      <c r="T47" s="464"/>
      <c r="U47" s="464"/>
      <c r="V47" s="464"/>
      <c r="W47" s="464"/>
      <c r="X47" s="464"/>
      <c r="Y47" s="464"/>
      <c r="Z47" s="464"/>
      <c r="AA47" s="464"/>
      <c r="AB47" s="464"/>
      <c r="AC47" s="212"/>
      <c r="AD47" s="212"/>
      <c r="AE47" s="101"/>
      <c r="AF47" s="212"/>
    </row>
    <row r="48" spans="1:35" ht="14.25" customHeight="1">
      <c r="B48" s="474" t="s">
        <v>58</v>
      </c>
      <c r="C48" s="474"/>
      <c r="D48" s="474"/>
      <c r="E48" s="474"/>
      <c r="F48" s="474"/>
      <c r="G48" s="474"/>
      <c r="H48" s="474"/>
      <c r="I48" s="474"/>
      <c r="J48" s="474"/>
      <c r="K48" s="474"/>
      <c r="L48" s="474"/>
      <c r="M48" s="474"/>
      <c r="N48" s="474"/>
      <c r="O48" s="474"/>
      <c r="P48" s="474"/>
      <c r="Q48" s="474"/>
      <c r="R48" s="474"/>
      <c r="S48" s="474"/>
      <c r="T48" s="474"/>
      <c r="U48" s="474"/>
      <c r="V48" s="474"/>
      <c r="W48" s="474"/>
      <c r="X48" s="474"/>
      <c r="Y48" s="474"/>
      <c r="Z48" s="474"/>
      <c r="AA48" s="474"/>
      <c r="AB48" s="474"/>
      <c r="AC48" s="212"/>
      <c r="AD48" s="212"/>
      <c r="AE48" s="101"/>
      <c r="AF48" s="212"/>
    </row>
    <row r="49" spans="1:32" ht="14.25" customHeight="1">
      <c r="B49" s="464" t="s">
        <v>59</v>
      </c>
      <c r="C49" s="464"/>
      <c r="D49" s="464"/>
      <c r="E49" s="464"/>
      <c r="F49" s="464"/>
      <c r="G49" s="464"/>
      <c r="H49" s="464"/>
      <c r="I49" s="464"/>
      <c r="J49" s="464"/>
      <c r="K49" s="464"/>
      <c r="L49" s="464"/>
      <c r="M49" s="464"/>
      <c r="N49" s="464"/>
      <c r="O49" s="464"/>
      <c r="P49" s="464"/>
      <c r="Q49" s="464"/>
      <c r="R49" s="464"/>
      <c r="S49" s="464"/>
      <c r="T49" s="464"/>
      <c r="U49" s="464"/>
      <c r="V49" s="464"/>
      <c r="W49" s="464"/>
      <c r="X49" s="464"/>
      <c r="Y49" s="464"/>
      <c r="Z49" s="464"/>
      <c r="AA49" s="464"/>
      <c r="AB49" s="464"/>
      <c r="AC49" s="212"/>
      <c r="AD49" s="212"/>
      <c r="AE49" s="101"/>
      <c r="AF49" s="212"/>
    </row>
    <row r="50" spans="1:32" ht="14.25" customHeight="1">
      <c r="B50" s="464" t="s">
        <v>60</v>
      </c>
      <c r="C50" s="464"/>
      <c r="D50" s="464"/>
      <c r="E50" s="464"/>
      <c r="F50" s="464"/>
      <c r="G50" s="464"/>
      <c r="H50" s="464"/>
      <c r="I50" s="464"/>
      <c r="J50" s="464"/>
      <c r="K50" s="464"/>
      <c r="L50" s="464"/>
      <c r="M50" s="464"/>
      <c r="N50" s="464"/>
      <c r="O50" s="464"/>
      <c r="P50" s="464"/>
      <c r="Q50" s="464"/>
      <c r="R50" s="464"/>
      <c r="S50" s="464"/>
      <c r="T50" s="464"/>
      <c r="U50" s="464"/>
      <c r="V50" s="464"/>
      <c r="W50" s="464"/>
      <c r="X50" s="464"/>
      <c r="Y50" s="464"/>
      <c r="Z50" s="464"/>
      <c r="AA50" s="464"/>
      <c r="AB50" s="464"/>
      <c r="AC50" s="212"/>
      <c r="AD50" s="212"/>
      <c r="AE50" s="101"/>
      <c r="AF50" s="212"/>
    </row>
    <row r="51" spans="1:32" ht="14.25" customHeight="1">
      <c r="B51" s="464" t="s">
        <v>42</v>
      </c>
      <c r="C51" s="464"/>
      <c r="D51" s="464"/>
      <c r="E51" s="464"/>
      <c r="F51" s="464"/>
      <c r="G51" s="464"/>
      <c r="H51" s="464"/>
      <c r="I51" s="464"/>
      <c r="J51" s="464"/>
      <c r="K51" s="464"/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464"/>
      <c r="X51" s="464"/>
      <c r="Y51" s="464"/>
      <c r="Z51" s="464"/>
      <c r="AA51" s="464"/>
      <c r="AB51" s="464"/>
      <c r="AC51" s="212"/>
      <c r="AD51" s="212"/>
      <c r="AE51" s="101"/>
      <c r="AF51" s="212"/>
    </row>
    <row r="52" spans="1:32" ht="14.25" customHeight="1">
      <c r="B52" s="464" t="s">
        <v>52</v>
      </c>
      <c r="C52" s="464"/>
      <c r="D52" s="464"/>
      <c r="E52" s="464"/>
      <c r="F52" s="464"/>
      <c r="G52" s="464"/>
      <c r="H52" s="464"/>
      <c r="I52" s="464"/>
      <c r="J52" s="464"/>
      <c r="K52" s="464"/>
      <c r="L52" s="464"/>
      <c r="M52" s="464"/>
      <c r="N52" s="464"/>
      <c r="O52" s="464"/>
      <c r="P52" s="464"/>
      <c r="Q52" s="464"/>
      <c r="R52" s="464"/>
      <c r="S52" s="464"/>
      <c r="T52" s="464"/>
      <c r="U52" s="464"/>
      <c r="V52" s="464"/>
      <c r="W52" s="464"/>
      <c r="X52" s="464"/>
      <c r="Y52" s="464"/>
      <c r="Z52" s="464"/>
      <c r="AA52" s="464"/>
      <c r="AB52" s="464"/>
      <c r="AC52" s="212"/>
      <c r="AD52" s="212"/>
      <c r="AE52" s="101"/>
      <c r="AF52" s="212"/>
    </row>
    <row r="53" spans="1:32" ht="14.25" customHeight="1">
      <c r="B53" s="474" t="s">
        <v>61</v>
      </c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212"/>
      <c r="AD53" s="212"/>
      <c r="AE53" s="101"/>
      <c r="AF53" s="212"/>
    </row>
    <row r="54" spans="1:32" ht="14.25" customHeight="1">
      <c r="B54" s="464" t="s">
        <v>62</v>
      </c>
      <c r="C54" s="464"/>
      <c r="D54" s="464"/>
      <c r="E54" s="464"/>
      <c r="F54" s="464"/>
      <c r="G54" s="464"/>
      <c r="H54" s="464"/>
      <c r="I54" s="464"/>
      <c r="J54" s="464"/>
      <c r="K54" s="464"/>
      <c r="L54" s="464"/>
      <c r="M54" s="464"/>
      <c r="N54" s="464"/>
      <c r="O54" s="464"/>
      <c r="P54" s="464"/>
      <c r="Q54" s="464"/>
      <c r="R54" s="464"/>
      <c r="S54" s="464"/>
      <c r="T54" s="464"/>
      <c r="U54" s="464"/>
      <c r="V54" s="464"/>
      <c r="W54" s="464"/>
      <c r="X54" s="464"/>
      <c r="Y54" s="464"/>
      <c r="Z54" s="464"/>
      <c r="AA54" s="464"/>
      <c r="AB54" s="464"/>
      <c r="AC54" s="212"/>
      <c r="AD54" s="212"/>
      <c r="AE54" s="101"/>
      <c r="AF54" s="212"/>
    </row>
    <row r="55" spans="1:32" ht="14.25" customHeight="1">
      <c r="B55" s="201" t="s">
        <v>64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2" ht="14.25" customHeight="1">
      <c r="B56" s="464" t="s">
        <v>65</v>
      </c>
      <c r="C56" s="464"/>
      <c r="D56" s="464"/>
      <c r="E56" s="464"/>
      <c r="F56" s="464"/>
      <c r="G56" s="464"/>
      <c r="H56" s="464"/>
      <c r="I56" s="464"/>
      <c r="J56" s="464"/>
      <c r="K56" s="464"/>
      <c r="L56" s="464"/>
      <c r="M56" s="464"/>
      <c r="N56" s="464"/>
      <c r="O56" s="464"/>
      <c r="P56" s="464"/>
      <c r="Q56" s="464"/>
      <c r="R56" s="464"/>
      <c r="S56" s="464"/>
      <c r="T56" s="464"/>
      <c r="U56" s="464"/>
      <c r="V56" s="464"/>
      <c r="W56" s="464"/>
      <c r="X56" s="464"/>
      <c r="Y56" s="464"/>
      <c r="Z56" s="464"/>
      <c r="AA56" s="464"/>
      <c r="AB56" s="464"/>
      <c r="AC56" s="212"/>
      <c r="AD56" s="212"/>
      <c r="AE56" s="101"/>
      <c r="AF56" s="212"/>
    </row>
    <row r="57" spans="1:32" ht="14.25" customHeight="1">
      <c r="B57" s="201" t="s">
        <v>74</v>
      </c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212"/>
      <c r="AD57" s="212"/>
      <c r="AE57" s="101"/>
      <c r="AF57" s="212"/>
    </row>
    <row r="58" spans="1:32" ht="14.25" customHeight="1">
      <c r="B58" s="464" t="s">
        <v>67</v>
      </c>
      <c r="C58" s="464"/>
      <c r="D58" s="464"/>
      <c r="E58" s="464"/>
      <c r="F58" s="464"/>
      <c r="G58" s="464"/>
      <c r="H58" s="464"/>
      <c r="I58" s="464"/>
      <c r="J58" s="464"/>
      <c r="K58" s="464"/>
      <c r="L58" s="464"/>
      <c r="M58" s="464"/>
      <c r="N58" s="464"/>
      <c r="O58" s="464"/>
      <c r="P58" s="464"/>
      <c r="Q58" s="464"/>
      <c r="R58" s="464"/>
      <c r="S58" s="464"/>
      <c r="T58" s="464"/>
      <c r="U58" s="464"/>
      <c r="V58" s="464"/>
      <c r="W58" s="464"/>
      <c r="X58" s="464"/>
      <c r="Y58" s="464"/>
      <c r="Z58" s="464"/>
      <c r="AA58" s="464"/>
      <c r="AB58" s="464"/>
      <c r="AC58" s="212"/>
      <c r="AD58" s="212"/>
      <c r="AE58" s="101"/>
      <c r="AF58" s="212"/>
    </row>
    <row r="59" spans="1:32" ht="14.25" customHeight="1">
      <c r="B59" s="464" t="s">
        <v>68</v>
      </c>
      <c r="C59" s="464"/>
      <c r="D59" s="464"/>
      <c r="E59" s="464"/>
      <c r="F59" s="464"/>
      <c r="G59" s="464"/>
      <c r="H59" s="464"/>
      <c r="I59" s="464"/>
      <c r="J59" s="464"/>
      <c r="K59" s="464"/>
      <c r="L59" s="464"/>
      <c r="M59" s="464"/>
      <c r="N59" s="464"/>
      <c r="O59" s="464"/>
      <c r="P59" s="464"/>
      <c r="Q59" s="464"/>
      <c r="R59" s="464"/>
      <c r="S59" s="464"/>
      <c r="T59" s="464"/>
      <c r="U59" s="464"/>
      <c r="V59" s="464"/>
      <c r="W59" s="464"/>
      <c r="X59" s="464"/>
      <c r="Y59" s="464"/>
      <c r="Z59" s="464"/>
      <c r="AA59" s="464"/>
      <c r="AB59" s="464"/>
      <c r="AC59" s="212"/>
      <c r="AD59" s="212"/>
      <c r="AE59" s="101"/>
      <c r="AF59" s="212"/>
    </row>
    <row r="60" spans="1:32" ht="14.25" customHeight="1">
      <c r="B60" s="464" t="s">
        <v>3</v>
      </c>
      <c r="C60" s="464"/>
      <c r="D60" s="464"/>
      <c r="E60" s="464"/>
      <c r="F60" s="464"/>
      <c r="G60" s="464"/>
      <c r="H60" s="464"/>
      <c r="I60" s="464"/>
      <c r="J60" s="464"/>
      <c r="K60" s="464"/>
      <c r="L60" s="464"/>
      <c r="M60" s="464"/>
      <c r="N60" s="464"/>
      <c r="O60" s="464"/>
      <c r="P60" s="464"/>
      <c r="Q60" s="464"/>
      <c r="R60" s="464"/>
      <c r="S60" s="464"/>
      <c r="T60" s="464"/>
      <c r="U60" s="464"/>
      <c r="V60" s="464"/>
      <c r="W60" s="464"/>
      <c r="X60" s="464"/>
      <c r="Y60" s="464"/>
      <c r="Z60" s="464"/>
      <c r="AA60" s="464"/>
      <c r="AB60" s="464"/>
      <c r="AC60" s="212"/>
      <c r="AD60" s="212"/>
      <c r="AE60" s="101"/>
      <c r="AF60" s="212"/>
    </row>
    <row r="61" spans="1:32" ht="14.25" customHeight="1">
      <c r="A61" s="18"/>
      <c r="B61" s="100"/>
      <c r="C61" s="93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12"/>
      <c r="AD61" s="212"/>
      <c r="AE61" s="101"/>
      <c r="AF61" s="212"/>
    </row>
    <row r="62" spans="1:32" ht="20.25">
      <c r="B62" s="453" t="s">
        <v>32</v>
      </c>
      <c r="C62" s="453"/>
      <c r="D62" s="453"/>
      <c r="E62" s="453"/>
      <c r="F62" s="453"/>
      <c r="G62" s="453"/>
      <c r="H62" s="453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Y62" s="453"/>
      <c r="Z62" s="453"/>
      <c r="AA62" s="453"/>
      <c r="AB62" s="453"/>
      <c r="AC62" s="214"/>
      <c r="AD62" s="214"/>
      <c r="AE62" s="214"/>
      <c r="AF62" s="214"/>
    </row>
    <row r="63" spans="1:32">
      <c r="B63" s="102"/>
      <c r="C63" s="469"/>
      <c r="D63" s="460"/>
      <c r="E63" s="469"/>
      <c r="F63" s="470"/>
      <c r="G63" s="469"/>
      <c r="H63" s="470"/>
      <c r="I63" s="469"/>
      <c r="J63" s="470"/>
      <c r="K63" s="469"/>
      <c r="L63" s="470"/>
      <c r="M63" s="469"/>
      <c r="N63" s="470"/>
      <c r="O63" s="469"/>
      <c r="P63" s="470"/>
      <c r="Q63" s="469"/>
      <c r="R63" s="470"/>
      <c r="S63" s="469"/>
      <c r="T63" s="470"/>
      <c r="U63" s="469"/>
      <c r="V63" s="470"/>
      <c r="W63" s="469"/>
      <c r="X63" s="470"/>
      <c r="Y63" s="469"/>
      <c r="Z63" s="470"/>
      <c r="AA63" s="469"/>
      <c r="AB63" s="470"/>
    </row>
    <row r="64" spans="1:32">
      <c r="B64" s="102">
        <f>B5</f>
        <v>1999</v>
      </c>
      <c r="C64" s="469" t="s">
        <v>4</v>
      </c>
      <c r="D64" s="460"/>
      <c r="E64" s="469" t="s">
        <v>5</v>
      </c>
      <c r="F64" s="470"/>
      <c r="G64" s="469" t="s">
        <v>6</v>
      </c>
      <c r="H64" s="470"/>
      <c r="I64" s="469" t="s">
        <v>7</v>
      </c>
      <c r="J64" s="470"/>
      <c r="K64" s="469" t="s">
        <v>8</v>
      </c>
      <c r="L64" s="470"/>
      <c r="M64" s="469" t="s">
        <v>9</v>
      </c>
      <c r="N64" s="470"/>
      <c r="O64" s="469" t="s">
        <v>10</v>
      </c>
      <c r="P64" s="470"/>
      <c r="Q64" s="471" t="s">
        <v>11</v>
      </c>
      <c r="R64" s="470"/>
      <c r="S64" s="471" t="s">
        <v>12</v>
      </c>
      <c r="T64" s="470"/>
      <c r="U64" s="469" t="s">
        <v>0</v>
      </c>
      <c r="V64" s="473"/>
      <c r="W64" s="469" t="s">
        <v>1</v>
      </c>
      <c r="X64" s="473"/>
      <c r="Y64" s="469" t="s">
        <v>2</v>
      </c>
      <c r="Z64" s="473"/>
      <c r="AA64" s="469" t="s">
        <v>102</v>
      </c>
      <c r="AB64" s="460"/>
    </row>
    <row r="65" spans="1:35">
      <c r="B65" s="102"/>
      <c r="C65" s="469"/>
      <c r="D65" s="460"/>
      <c r="E65" s="469"/>
      <c r="F65" s="460"/>
      <c r="G65" s="469"/>
      <c r="H65" s="460"/>
      <c r="I65" s="469"/>
      <c r="J65" s="460"/>
      <c r="K65" s="469"/>
      <c r="L65" s="460"/>
      <c r="M65" s="469"/>
      <c r="N65" s="460"/>
      <c r="O65" s="469"/>
      <c r="P65" s="460"/>
      <c r="Q65" s="469"/>
      <c r="R65" s="460"/>
      <c r="S65" s="469"/>
      <c r="T65" s="460"/>
      <c r="U65" s="469"/>
      <c r="V65" s="460"/>
      <c r="W65" s="469"/>
      <c r="X65" s="460"/>
      <c r="Y65" s="469"/>
      <c r="Z65" s="460"/>
      <c r="AA65" s="469"/>
      <c r="AB65" s="460"/>
    </row>
    <row r="66" spans="1:35" s="202" customFormat="1" ht="14.25">
      <c r="A66" s="44"/>
      <c r="B66" s="103" t="s">
        <v>24</v>
      </c>
      <c r="C66" s="72"/>
      <c r="D66" s="104">
        <v>3143.5083730000001</v>
      </c>
      <c r="E66" s="104"/>
      <c r="F66" s="104">
        <v>3019.734876</v>
      </c>
      <c r="G66" s="104"/>
      <c r="H66" s="104">
        <v>3052.915328</v>
      </c>
      <c r="I66" s="104"/>
      <c r="J66" s="104">
        <v>2893.4818089999999</v>
      </c>
      <c r="K66" s="104"/>
      <c r="L66" s="104">
        <v>2926.3742889999999</v>
      </c>
      <c r="M66" s="104"/>
      <c r="N66" s="104">
        <v>2801.224909</v>
      </c>
      <c r="O66" s="104"/>
      <c r="P66" s="104">
        <v>2919.8067249999999</v>
      </c>
      <c r="Q66" s="104"/>
      <c r="R66" s="104">
        <v>2847.5311839999999</v>
      </c>
      <c r="S66" s="120"/>
      <c r="T66" s="104">
        <v>2861.4542609999999</v>
      </c>
      <c r="U66" s="120"/>
      <c r="V66" s="104">
        <v>2765.5034609999998</v>
      </c>
      <c r="W66" s="120"/>
      <c r="X66" s="104">
        <v>2851.535132</v>
      </c>
      <c r="Y66" s="120"/>
      <c r="Z66" s="120">
        <v>2793.2926539999999</v>
      </c>
      <c r="AA66" s="104"/>
      <c r="AB66" s="104">
        <f>AVERAGE(D66:Z66)</f>
        <v>2906.3635834166666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39</v>
      </c>
      <c r="C67" s="72"/>
      <c r="D67" s="104">
        <v>4916.9304849999999</v>
      </c>
      <c r="E67" s="104"/>
      <c r="F67" s="104">
        <v>4787.4378589999997</v>
      </c>
      <c r="G67" s="104"/>
      <c r="H67" s="104">
        <v>4768.3237019999997</v>
      </c>
      <c r="I67" s="104"/>
      <c r="J67" s="104">
        <v>4876.2746109999998</v>
      </c>
      <c r="K67" s="104"/>
      <c r="L67" s="104">
        <v>4865.517175</v>
      </c>
      <c r="M67" s="104"/>
      <c r="N67" s="104">
        <v>4689.8853639999998</v>
      </c>
      <c r="O67" s="104"/>
      <c r="P67" s="104">
        <v>4853.9532419999996</v>
      </c>
      <c r="Q67" s="104"/>
      <c r="R67" s="104">
        <v>4798.684835</v>
      </c>
      <c r="S67" s="120"/>
      <c r="T67" s="104">
        <v>4772.4047620000001</v>
      </c>
      <c r="U67" s="120"/>
      <c r="V67" s="104">
        <v>4747.7778159999998</v>
      </c>
      <c r="W67" s="120"/>
      <c r="X67" s="104">
        <v>4659.9482319999997</v>
      </c>
      <c r="Y67" s="120"/>
      <c r="Z67" s="120">
        <v>4743.9811929999996</v>
      </c>
      <c r="AA67" s="104"/>
      <c r="AB67" s="104">
        <f t="shared" ref="AB67:AB76" si="0">AVERAGE(D67:Z67)</f>
        <v>4790.0932730000004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25</v>
      </c>
      <c r="C68" s="72"/>
      <c r="D68" s="104">
        <v>480.72855775439996</v>
      </c>
      <c r="E68" s="104"/>
      <c r="F68" s="104">
        <v>510.14992105980002</v>
      </c>
      <c r="G68" s="104"/>
      <c r="H68" s="104">
        <v>532.6014276558999</v>
      </c>
      <c r="I68" s="104"/>
      <c r="J68" s="104">
        <v>504.13239996839997</v>
      </c>
      <c r="K68" s="104"/>
      <c r="L68" s="104">
        <v>500.82799881670007</v>
      </c>
      <c r="M68" s="104"/>
      <c r="N68" s="104">
        <v>518.09021523319996</v>
      </c>
      <c r="O68" s="104"/>
      <c r="P68" s="104">
        <v>507.95621685920003</v>
      </c>
      <c r="Q68" s="104"/>
      <c r="R68" s="104">
        <v>492.53463259110003</v>
      </c>
      <c r="S68" s="120"/>
      <c r="T68" s="104">
        <v>512.44020200529997</v>
      </c>
      <c r="U68" s="120"/>
      <c r="V68" s="104">
        <v>491.32949214509995</v>
      </c>
      <c r="W68" s="120"/>
      <c r="X68" s="104">
        <v>525.57881960470002</v>
      </c>
      <c r="Y68" s="120"/>
      <c r="Z68" s="120">
        <v>574.7251031113999</v>
      </c>
      <c r="AA68" s="104"/>
      <c r="AB68" s="104">
        <f t="shared" si="0"/>
        <v>512.59124890043324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26</v>
      </c>
      <c r="C69" s="72"/>
      <c r="D69" s="104">
        <v>250.58594700750001</v>
      </c>
      <c r="E69" s="104"/>
      <c r="F69" s="104">
        <v>277.26113422010002</v>
      </c>
      <c r="G69" s="104"/>
      <c r="H69" s="104">
        <v>286.22839216660003</v>
      </c>
      <c r="I69" s="104"/>
      <c r="J69" s="104">
        <v>266.77179001619999</v>
      </c>
      <c r="K69" s="104"/>
      <c r="L69" s="104">
        <v>272.5036594755</v>
      </c>
      <c r="M69" s="104"/>
      <c r="N69" s="104">
        <v>283.34876205519998</v>
      </c>
      <c r="O69" s="104"/>
      <c r="P69" s="104">
        <v>272.36343313689997</v>
      </c>
      <c r="Q69" s="104"/>
      <c r="R69" s="104">
        <v>258.93228315960005</v>
      </c>
      <c r="S69" s="120"/>
      <c r="T69" s="104">
        <v>275.39203816730003</v>
      </c>
      <c r="U69" s="120"/>
      <c r="V69" s="104">
        <v>272.26552256190001</v>
      </c>
      <c r="W69" s="120"/>
      <c r="X69" s="104">
        <v>289.39873952829998</v>
      </c>
      <c r="Y69" s="120"/>
      <c r="Z69" s="120">
        <v>292.31815765890002</v>
      </c>
      <c r="AA69" s="104"/>
      <c r="AB69" s="104">
        <f t="shared" si="0"/>
        <v>274.78082159616667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27</v>
      </c>
      <c r="C70" s="72"/>
      <c r="D70" s="104">
        <v>464.78103642640002</v>
      </c>
      <c r="E70" s="104"/>
      <c r="F70" s="104">
        <v>464.76137686940001</v>
      </c>
      <c r="G70" s="104"/>
      <c r="H70" s="104">
        <v>521.56134770159997</v>
      </c>
      <c r="I70" s="104"/>
      <c r="J70" s="104">
        <v>420.07857196769999</v>
      </c>
      <c r="K70" s="104"/>
      <c r="L70" s="104">
        <v>450.1318967469</v>
      </c>
      <c r="M70" s="104"/>
      <c r="N70" s="104">
        <v>588.06962789650004</v>
      </c>
      <c r="O70" s="104"/>
      <c r="P70" s="104">
        <v>467.07709731800003</v>
      </c>
      <c r="Q70" s="104"/>
      <c r="R70" s="104">
        <v>439.61217807470001</v>
      </c>
      <c r="S70" s="120"/>
      <c r="T70" s="104">
        <v>465.15108268130001</v>
      </c>
      <c r="U70" s="120"/>
      <c r="V70" s="104">
        <v>434.9801364599</v>
      </c>
      <c r="W70" s="120"/>
      <c r="X70" s="104">
        <v>436.0365520249</v>
      </c>
      <c r="Y70" s="120"/>
      <c r="Z70" s="120">
        <v>497.82197608000001</v>
      </c>
      <c r="AA70" s="104"/>
      <c r="AB70" s="104">
        <f t="shared" si="0"/>
        <v>470.83857335394168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103" t="s">
        <v>28</v>
      </c>
      <c r="C71" s="72"/>
      <c r="D71" s="104">
        <v>324.19003400000003</v>
      </c>
      <c r="E71" s="104"/>
      <c r="F71" s="104">
        <v>313.55251399999997</v>
      </c>
      <c r="G71" s="104"/>
      <c r="H71" s="104">
        <v>311.495859</v>
      </c>
      <c r="I71" s="104"/>
      <c r="J71" s="104">
        <v>296.94329399999998</v>
      </c>
      <c r="K71" s="104"/>
      <c r="L71" s="104">
        <v>285.85485399999999</v>
      </c>
      <c r="M71" s="104"/>
      <c r="N71" s="104">
        <v>292.588393</v>
      </c>
      <c r="O71" s="104"/>
      <c r="P71" s="104">
        <v>297.19582800000001</v>
      </c>
      <c r="Q71" s="104"/>
      <c r="R71" s="104">
        <v>295.49376999999998</v>
      </c>
      <c r="S71" s="120"/>
      <c r="T71" s="104">
        <v>311.83255300000002</v>
      </c>
      <c r="U71" s="120"/>
      <c r="V71" s="104">
        <v>318.494417</v>
      </c>
      <c r="W71" s="120"/>
      <c r="X71" s="104">
        <v>333.45856500000002</v>
      </c>
      <c r="Y71" s="120"/>
      <c r="Z71" s="120">
        <v>357.14</v>
      </c>
      <c r="AA71" s="104"/>
      <c r="AB71" s="104">
        <f t="shared" si="0"/>
        <v>311.52000674999999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4.25">
      <c r="A72" s="44"/>
      <c r="B72" s="103" t="s">
        <v>38</v>
      </c>
      <c r="C72" s="72"/>
      <c r="D72" s="104">
        <v>1861.29</v>
      </c>
      <c r="E72" s="104"/>
      <c r="F72" s="104">
        <v>1905.67</v>
      </c>
      <c r="G72" s="104"/>
      <c r="H72" s="104">
        <v>1911.35</v>
      </c>
      <c r="I72" s="104"/>
      <c r="J72" s="104">
        <v>1903.46</v>
      </c>
      <c r="K72" s="104"/>
      <c r="L72" s="104">
        <v>1989.98</v>
      </c>
      <c r="M72" s="104"/>
      <c r="N72" s="104">
        <v>2011.98</v>
      </c>
      <c r="O72" s="104"/>
      <c r="P72" s="104">
        <v>1951.74</v>
      </c>
      <c r="Q72" s="104"/>
      <c r="R72" s="104">
        <v>1888.53</v>
      </c>
      <c r="S72" s="120"/>
      <c r="T72" s="104">
        <v>1854.62</v>
      </c>
      <c r="U72" s="120"/>
      <c r="V72" s="104">
        <v>1854.74</v>
      </c>
      <c r="W72" s="120"/>
      <c r="X72" s="104">
        <v>1834.47</v>
      </c>
      <c r="Y72" s="120"/>
      <c r="Z72" s="120">
        <v>1821.71</v>
      </c>
      <c r="AA72" s="104"/>
      <c r="AB72" s="104">
        <f t="shared" si="0"/>
        <v>1899.1283333333333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33</v>
      </c>
      <c r="C73" s="72"/>
      <c r="D73" s="104">
        <v>1604.0791290321999</v>
      </c>
      <c r="E73" s="104"/>
      <c r="F73" s="104">
        <v>1698.8429285714001</v>
      </c>
      <c r="G73" s="104"/>
      <c r="H73" s="104">
        <v>1639.0136129032001</v>
      </c>
      <c r="I73" s="104"/>
      <c r="J73" s="104">
        <v>1519.5414333334002</v>
      </c>
      <c r="K73" s="104"/>
      <c r="L73" s="104">
        <v>1534.3469677418998</v>
      </c>
      <c r="M73" s="104"/>
      <c r="N73" s="104">
        <v>1509.1278666666999</v>
      </c>
      <c r="O73" s="104"/>
      <c r="P73" s="104">
        <v>1517.1649032258999</v>
      </c>
      <c r="Q73" s="104"/>
      <c r="R73" s="105">
        <v>1520.3819032256999</v>
      </c>
      <c r="S73" s="120"/>
      <c r="T73" s="104">
        <v>1528.3587666665999</v>
      </c>
      <c r="U73" s="120"/>
      <c r="V73" s="104">
        <v>1518.7996129031999</v>
      </c>
      <c r="W73" s="120"/>
      <c r="X73" s="104">
        <v>1514.5814666665999</v>
      </c>
      <c r="Y73" s="120"/>
      <c r="Z73" s="120">
        <v>1547.1092903225999</v>
      </c>
      <c r="AA73" s="104"/>
      <c r="AB73" s="104">
        <f t="shared" si="0"/>
        <v>1554.2789901049498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2.75" customHeight="1">
      <c r="A74" s="44"/>
      <c r="B74" s="103" t="s">
        <v>29</v>
      </c>
      <c r="C74" s="72"/>
      <c r="D74" s="106">
        <v>8.6815560144966302</v>
      </c>
      <c r="E74" s="106"/>
      <c r="F74" s="106">
        <v>8.2642228315233464</v>
      </c>
      <c r="G74" s="106"/>
      <c r="H74" s="106">
        <v>10.792976405217608</v>
      </c>
      <c r="I74" s="106"/>
      <c r="J74" s="106">
        <v>13.495645531481021</v>
      </c>
      <c r="K74" s="106"/>
      <c r="L74" s="106">
        <v>13.607046563260919</v>
      </c>
      <c r="M74" s="106"/>
      <c r="N74" s="106">
        <v>14.290724813990533</v>
      </c>
      <c r="O74" s="106"/>
      <c r="P74" s="106">
        <v>16.540991163042882</v>
      </c>
      <c r="Q74" s="106"/>
      <c r="R74" s="121">
        <v>18.562039704843421</v>
      </c>
      <c r="S74" s="122"/>
      <c r="T74" s="121">
        <v>20.462902717023944</v>
      </c>
      <c r="U74" s="122"/>
      <c r="V74" s="121">
        <v>19.859013823701119</v>
      </c>
      <c r="W74" s="122"/>
      <c r="X74" s="121">
        <v>21.75134564240884</v>
      </c>
      <c r="Y74" s="122"/>
      <c r="Z74" s="122">
        <v>22.138523609761499</v>
      </c>
      <c r="AA74" s="104"/>
      <c r="AB74" s="107">
        <f t="shared" si="0"/>
        <v>15.703915735062646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103" t="s">
        <v>30</v>
      </c>
      <c r="C75" s="72"/>
      <c r="D75" s="106">
        <v>1.665</v>
      </c>
      <c r="E75" s="122"/>
      <c r="F75" s="106">
        <v>1.6850000000000001</v>
      </c>
      <c r="G75" s="106"/>
      <c r="H75" s="106">
        <v>1.5449999999999999</v>
      </c>
      <c r="I75" s="106"/>
      <c r="J75" s="106">
        <v>1.7749999999999999</v>
      </c>
      <c r="K75" s="106"/>
      <c r="L75" s="106">
        <v>2.2400000000000002</v>
      </c>
      <c r="M75" s="106"/>
      <c r="N75" s="106">
        <v>2.12</v>
      </c>
      <c r="O75" s="106"/>
      <c r="P75" s="106">
        <v>2.16</v>
      </c>
      <c r="Q75" s="106"/>
      <c r="R75" s="106">
        <v>2.4900000000000002</v>
      </c>
      <c r="S75" s="106"/>
      <c r="T75" s="106">
        <v>2.7749999999999999</v>
      </c>
      <c r="U75" s="106"/>
      <c r="V75" s="106">
        <v>2.415</v>
      </c>
      <c r="W75" s="106"/>
      <c r="X75" s="106">
        <v>2.895</v>
      </c>
      <c r="Y75" s="106"/>
      <c r="Z75" s="122">
        <v>1.9950000000000001</v>
      </c>
      <c r="AA75" s="106"/>
      <c r="AB75" s="107">
        <f t="shared" si="0"/>
        <v>2.1466666666666669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103" t="s">
        <v>31</v>
      </c>
      <c r="C76" s="72"/>
      <c r="D76" s="108">
        <v>10.1104</v>
      </c>
      <c r="E76" s="108"/>
      <c r="F76" s="108">
        <v>10.015000000000001</v>
      </c>
      <c r="G76" s="108"/>
      <c r="H76" s="108">
        <v>9.7693999999999992</v>
      </c>
      <c r="I76" s="108"/>
      <c r="J76" s="108">
        <v>9.4460999999999995</v>
      </c>
      <c r="K76" s="108"/>
      <c r="L76" s="108">
        <v>9.3622999999999994</v>
      </c>
      <c r="M76" s="108"/>
      <c r="N76" s="108">
        <v>9.5418000000000003</v>
      </c>
      <c r="O76" s="108"/>
      <c r="P76" s="108">
        <v>9.3671000000000006</v>
      </c>
      <c r="Q76" s="108"/>
      <c r="R76" s="108">
        <v>9.3980999999999995</v>
      </c>
      <c r="S76" s="123"/>
      <c r="T76" s="108">
        <v>9.3402999999999992</v>
      </c>
      <c r="U76" s="123"/>
      <c r="V76" s="108">
        <v>9.5403000000000002</v>
      </c>
      <c r="W76" s="123"/>
      <c r="X76" s="108">
        <v>9.4205000000000005</v>
      </c>
      <c r="Y76" s="123"/>
      <c r="Z76" s="123">
        <v>9.4151000000000007</v>
      </c>
      <c r="AA76" s="104"/>
      <c r="AB76" s="109">
        <f t="shared" si="0"/>
        <v>9.5605333333333338</v>
      </c>
      <c r="AC76" s="216"/>
      <c r="AD76" s="216"/>
      <c r="AE76" s="216"/>
      <c r="AF76" s="216"/>
      <c r="AG76" s="216"/>
      <c r="AH76" s="216"/>
      <c r="AI76" s="216"/>
    </row>
    <row r="77" spans="1:35" s="202" customFormat="1" ht="14.25">
      <c r="A77" s="44"/>
      <c r="B77" s="103" t="s">
        <v>69</v>
      </c>
      <c r="C77" s="72"/>
      <c r="D77" s="104">
        <v>332.42497331238883</v>
      </c>
      <c r="E77" s="104"/>
      <c r="F77" s="104">
        <v>279.12214542524015</v>
      </c>
      <c r="G77" s="104"/>
      <c r="H77" s="104">
        <v>284.20789653804883</v>
      </c>
      <c r="I77" s="104"/>
      <c r="J77" s="104">
        <v>396.1503472752637</v>
      </c>
      <c r="K77" s="104"/>
      <c r="L77" s="104">
        <v>456.72515924897192</v>
      </c>
      <c r="M77" s="104"/>
      <c r="N77" s="104">
        <v>465.89029948095379</v>
      </c>
      <c r="O77" s="104"/>
      <c r="P77" s="104">
        <v>353.57688706145359</v>
      </c>
      <c r="Q77" s="104"/>
      <c r="R77" s="104">
        <v>335.50304359686072</v>
      </c>
      <c r="S77" s="104"/>
      <c r="T77" s="104">
        <v>406.94838458940399</v>
      </c>
      <c r="U77" s="120"/>
      <c r="V77" s="104">
        <v>418.16920199477266</v>
      </c>
      <c r="W77" s="120"/>
      <c r="X77" s="104">
        <v>349.01332040242949</v>
      </c>
      <c r="Y77" s="120"/>
      <c r="Z77" s="120">
        <v>516.77902052247464</v>
      </c>
      <c r="AA77" s="104"/>
      <c r="AB77" s="104">
        <f>AVERAGE(D77:Z77)</f>
        <v>382.87588995402183</v>
      </c>
      <c r="AC77" s="216"/>
      <c r="AD77" s="216"/>
      <c r="AE77" s="216"/>
      <c r="AF77" s="216"/>
      <c r="AG77" s="216"/>
      <c r="AH77" s="216"/>
      <c r="AI77" s="216"/>
    </row>
    <row r="78" spans="1:35" s="202" customFormat="1" ht="14.25">
      <c r="A78" s="44"/>
      <c r="B78" s="103" t="s">
        <v>70</v>
      </c>
      <c r="C78" s="72"/>
      <c r="D78" s="104">
        <v>0.64761000000000002</v>
      </c>
      <c r="E78" s="104"/>
      <c r="F78" s="104">
        <v>0.23774999999999999</v>
      </c>
      <c r="G78" s="104"/>
      <c r="H78" s="104">
        <v>0.17710000000000001</v>
      </c>
      <c r="I78" s="104"/>
      <c r="J78" s="104">
        <v>0.32500000000000001</v>
      </c>
      <c r="K78" s="104"/>
      <c r="L78" s="104">
        <v>0.30375000000000002</v>
      </c>
      <c r="M78" s="104"/>
      <c r="N78" s="104">
        <v>0.20250000000000001</v>
      </c>
      <c r="O78" s="104"/>
      <c r="P78" s="104">
        <v>0</v>
      </c>
      <c r="Q78" s="104"/>
      <c r="R78" s="104">
        <v>5.9851239999999999</v>
      </c>
      <c r="S78" s="104"/>
      <c r="T78" s="104">
        <v>31.254110000000001</v>
      </c>
      <c r="U78" s="120"/>
      <c r="V78" s="104">
        <v>0</v>
      </c>
      <c r="W78" s="120"/>
      <c r="X78" s="104">
        <v>30.190624</v>
      </c>
      <c r="Y78" s="120"/>
      <c r="Z78" s="120">
        <v>0</v>
      </c>
      <c r="AA78" s="104"/>
      <c r="AB78" s="104">
        <f>AVERAGE(D78:Z78)</f>
        <v>5.7769639999999995</v>
      </c>
      <c r="AC78" s="216"/>
      <c r="AD78" s="216"/>
      <c r="AE78" s="216"/>
      <c r="AF78" s="216"/>
      <c r="AG78" s="216"/>
      <c r="AH78" s="216"/>
      <c r="AI78" s="216"/>
    </row>
    <row r="79" spans="1:35" ht="13.5">
      <c r="B79" s="195" t="s">
        <v>71</v>
      </c>
      <c r="C79" s="111"/>
      <c r="D79" s="110"/>
      <c r="E79" s="112"/>
      <c r="F79" s="113"/>
      <c r="G79" s="112"/>
      <c r="H79" s="113"/>
      <c r="I79" s="112"/>
      <c r="J79" s="113"/>
      <c r="K79" s="112"/>
      <c r="L79" s="113"/>
      <c r="M79" s="113"/>
      <c r="N79" s="112"/>
      <c r="O79" s="113"/>
      <c r="P79" s="112"/>
      <c r="Q79" s="114"/>
      <c r="R79" s="115"/>
      <c r="S79" s="114"/>
      <c r="T79" s="116"/>
      <c r="U79" s="114"/>
      <c r="V79" s="117"/>
      <c r="W79" s="114"/>
      <c r="X79" s="117"/>
      <c r="Y79" s="114"/>
      <c r="Z79" s="117"/>
      <c r="AA79" s="117"/>
      <c r="AB79" s="117"/>
    </row>
    <row r="80" spans="1:35">
      <c r="B80" s="474" t="s">
        <v>75</v>
      </c>
      <c r="C80" s="474"/>
      <c r="D80" s="474"/>
      <c r="E80" s="474"/>
      <c r="F80" s="474"/>
      <c r="G80" s="474"/>
      <c r="H80" s="474"/>
      <c r="I80" s="474"/>
      <c r="J80" s="474"/>
      <c r="K80" s="474"/>
      <c r="L80" s="474"/>
      <c r="M80" s="474"/>
      <c r="N80" s="474"/>
      <c r="O80" s="474"/>
      <c r="P80" s="474"/>
      <c r="Q80" s="474"/>
      <c r="R80" s="474"/>
      <c r="S80" s="474"/>
      <c r="T80" s="474"/>
      <c r="U80" s="474"/>
      <c r="V80" s="474"/>
      <c r="W80" s="474"/>
      <c r="X80" s="474"/>
      <c r="Y80" s="474"/>
      <c r="Z80" s="474"/>
      <c r="AA80" s="474"/>
      <c r="AB80" s="474"/>
    </row>
    <row r="81" spans="2:28">
      <c r="B81" s="472" t="s">
        <v>101</v>
      </c>
      <c r="C81" s="472"/>
      <c r="D81" s="472"/>
      <c r="E81" s="472"/>
      <c r="F81" s="472"/>
      <c r="G81" s="472"/>
      <c r="H81" s="472"/>
      <c r="I81" s="472"/>
      <c r="J81" s="472"/>
      <c r="K81" s="472"/>
      <c r="L81" s="472"/>
      <c r="M81" s="472"/>
      <c r="N81" s="472"/>
      <c r="O81" s="472"/>
      <c r="P81" s="472"/>
      <c r="Q81" s="472"/>
      <c r="R81" s="472"/>
      <c r="S81" s="472"/>
      <c r="T81" s="472"/>
      <c r="U81" s="472"/>
      <c r="V81" s="472"/>
      <c r="W81" s="472"/>
      <c r="X81" s="472"/>
      <c r="Y81" s="472"/>
      <c r="Z81" s="472"/>
      <c r="AA81" s="472"/>
      <c r="AB81" s="472"/>
    </row>
    <row r="87" spans="2:28" ht="12.75" customHeight="1"/>
    <row r="88" spans="2:28" ht="12.75" customHeight="1"/>
    <row r="89" spans="2:28" ht="12.75" customHeight="1"/>
    <row r="90" spans="2:28" ht="12.75" customHeight="1"/>
    <row r="91" spans="2:28" ht="12.75" customHeight="1"/>
    <row r="92" spans="2:28" ht="12.75" customHeight="1"/>
    <row r="93" spans="2:28" ht="12.75" customHeight="1"/>
    <row r="94" spans="2:28" ht="12.75" customHeight="1"/>
    <row r="95" spans="2:28" ht="12.75" customHeight="1"/>
  </sheetData>
  <mergeCells count="95">
    <mergeCell ref="B81:AB81"/>
    <mergeCell ref="AA65:AB65"/>
    <mergeCell ref="B62:AB62"/>
    <mergeCell ref="S65:T65"/>
    <mergeCell ref="U65:V65"/>
    <mergeCell ref="W65:X65"/>
    <mergeCell ref="Y65:Z65"/>
    <mergeCell ref="C65:D65"/>
    <mergeCell ref="O64:P64"/>
    <mergeCell ref="G65:H65"/>
    <mergeCell ref="AA64:AB64"/>
    <mergeCell ref="O65:P65"/>
    <mergeCell ref="Q65:R65"/>
    <mergeCell ref="B80:AB80"/>
    <mergeCell ref="I65:J65"/>
    <mergeCell ref="K65:L65"/>
    <mergeCell ref="E65:F65"/>
    <mergeCell ref="I63:J63"/>
    <mergeCell ref="Y63:Z63"/>
    <mergeCell ref="Q64:R64"/>
    <mergeCell ref="S64:T64"/>
    <mergeCell ref="U64:V64"/>
    <mergeCell ref="Q63:R63"/>
    <mergeCell ref="W63:X63"/>
    <mergeCell ref="W64:X64"/>
    <mergeCell ref="U63:V63"/>
    <mergeCell ref="M64:N64"/>
    <mergeCell ref="S63:T63"/>
    <mergeCell ref="M65:N65"/>
    <mergeCell ref="K64:L64"/>
    <mergeCell ref="C64:D64"/>
    <mergeCell ref="E64:F64"/>
    <mergeCell ref="G64:H64"/>
    <mergeCell ref="I64:J64"/>
    <mergeCell ref="AA63:AB63"/>
    <mergeCell ref="Y64:Z64"/>
    <mergeCell ref="K63:L63"/>
    <mergeCell ref="M63:N63"/>
    <mergeCell ref="O63:P63"/>
    <mergeCell ref="C63:D63"/>
    <mergeCell ref="E63:F63"/>
    <mergeCell ref="G63:H63"/>
    <mergeCell ref="B50:AB50"/>
    <mergeCell ref="B51:AB51"/>
    <mergeCell ref="B59:AB59"/>
    <mergeCell ref="W5:X5"/>
    <mergeCell ref="Y5:Z5"/>
    <mergeCell ref="AA5:AB5"/>
    <mergeCell ref="U7:V7"/>
    <mergeCell ref="O5:P5"/>
    <mergeCell ref="Q5:R5"/>
    <mergeCell ref="S5:T5"/>
    <mergeCell ref="E5:F5"/>
    <mergeCell ref="G5:H5"/>
    <mergeCell ref="I5:J5"/>
    <mergeCell ref="K5:L5"/>
    <mergeCell ref="M5:N5"/>
    <mergeCell ref="B47:AB47"/>
    <mergeCell ref="B60:AB60"/>
    <mergeCell ref="B56:AB56"/>
    <mergeCell ref="B52:AB52"/>
    <mergeCell ref="B53:AB53"/>
    <mergeCell ref="B54:AB54"/>
    <mergeCell ref="B58:AB58"/>
    <mergeCell ref="B2:AB2"/>
    <mergeCell ref="S4:T4"/>
    <mergeCell ref="U5:V5"/>
    <mergeCell ref="W7:X7"/>
    <mergeCell ref="Y7:Z7"/>
    <mergeCell ref="C5:D5"/>
    <mergeCell ref="O4:P4"/>
    <mergeCell ref="I4:J4"/>
    <mergeCell ref="K4:L4"/>
    <mergeCell ref="M4:N4"/>
    <mergeCell ref="C4:D4"/>
    <mergeCell ref="E4:F4"/>
    <mergeCell ref="G4:H4"/>
    <mergeCell ref="W4:X4"/>
    <mergeCell ref="Y4:Z4"/>
    <mergeCell ref="AA4:AB4"/>
    <mergeCell ref="B48:AB48"/>
    <mergeCell ref="B49:AB49"/>
    <mergeCell ref="B3:AB3"/>
    <mergeCell ref="M7:N7"/>
    <mergeCell ref="C7:D7"/>
    <mergeCell ref="E7:F7"/>
    <mergeCell ref="G7:H7"/>
    <mergeCell ref="I7:J7"/>
    <mergeCell ref="AA7:AB7"/>
    <mergeCell ref="O7:P7"/>
    <mergeCell ref="Q7:R7"/>
    <mergeCell ref="S7:T7"/>
    <mergeCell ref="K7:L7"/>
    <mergeCell ref="Q4:R4"/>
    <mergeCell ref="U4:V4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57" orientation="landscape" r:id="rId1"/>
  <headerFooter alignWithMargins="0"/>
  <ignoredErrors>
    <ignoredError sqref="AB2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5"/>
  <sheetViews>
    <sheetView showGridLines="0" topLeftCell="A62" zoomScale="75" zoomScaleNormal="75" workbookViewId="0">
      <selection activeCell="AC17" sqref="AC17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53" t="s">
        <v>43</v>
      </c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453"/>
      <c r="Y2" s="453"/>
      <c r="Z2" s="453"/>
      <c r="AA2" s="453"/>
      <c r="AB2" s="453"/>
      <c r="AC2" s="214"/>
      <c r="AD2" s="214"/>
      <c r="AE2" s="214"/>
      <c r="AF2" s="214"/>
    </row>
    <row r="3" spans="1:35" ht="15.75" customHeight="1" thickBot="1">
      <c r="B3" s="459" t="s">
        <v>57</v>
      </c>
      <c r="C3" s="459"/>
      <c r="D3" s="459"/>
      <c r="E3" s="459"/>
      <c r="F3" s="459"/>
      <c r="G3" s="459"/>
      <c r="H3" s="459"/>
      <c r="I3" s="459"/>
      <c r="J3" s="459"/>
      <c r="K3" s="459"/>
      <c r="L3" s="459"/>
      <c r="M3" s="459"/>
      <c r="N3" s="459"/>
      <c r="O3" s="459"/>
      <c r="P3" s="459"/>
      <c r="Q3" s="459"/>
      <c r="R3" s="459"/>
      <c r="S3" s="459"/>
      <c r="T3" s="459"/>
      <c r="U3" s="459"/>
      <c r="V3" s="459"/>
      <c r="W3" s="459"/>
      <c r="X3" s="459"/>
      <c r="Y3" s="459"/>
      <c r="Z3" s="459"/>
      <c r="AA3" s="459"/>
      <c r="AB3" s="459"/>
      <c r="AC3" s="215"/>
      <c r="AD3" s="215"/>
      <c r="AE3" s="215"/>
      <c r="AF3" s="215"/>
    </row>
    <row r="4" spans="1:35">
      <c r="B4" s="63"/>
      <c r="C4" s="456"/>
      <c r="D4" s="457"/>
      <c r="E4" s="456"/>
      <c r="F4" s="463"/>
      <c r="G4" s="456"/>
      <c r="H4" s="463"/>
      <c r="I4" s="456"/>
      <c r="J4" s="463"/>
      <c r="K4" s="456"/>
      <c r="L4" s="463"/>
      <c r="M4" s="456"/>
      <c r="N4" s="463"/>
      <c r="O4" s="456"/>
      <c r="P4" s="463"/>
      <c r="Q4" s="456"/>
      <c r="R4" s="463"/>
      <c r="S4" s="456"/>
      <c r="T4" s="463"/>
      <c r="U4" s="456"/>
      <c r="V4" s="462"/>
      <c r="W4" s="456"/>
      <c r="X4" s="462"/>
      <c r="Y4" s="456"/>
      <c r="Z4" s="462"/>
      <c r="AA4" s="456"/>
      <c r="AB4" s="462"/>
    </row>
    <row r="5" spans="1:35">
      <c r="B5" s="64">
        <v>2000</v>
      </c>
      <c r="C5" s="454" t="s">
        <v>4</v>
      </c>
      <c r="D5" s="460"/>
      <c r="E5" s="454" t="s">
        <v>5</v>
      </c>
      <c r="F5" s="455"/>
      <c r="G5" s="454" t="s">
        <v>6</v>
      </c>
      <c r="H5" s="455"/>
      <c r="I5" s="454" t="s">
        <v>7</v>
      </c>
      <c r="J5" s="455"/>
      <c r="K5" s="454" t="s">
        <v>8</v>
      </c>
      <c r="L5" s="455"/>
      <c r="M5" s="454" t="s">
        <v>9</v>
      </c>
      <c r="N5" s="455"/>
      <c r="O5" s="454" t="s">
        <v>10</v>
      </c>
      <c r="P5" s="455"/>
      <c r="Q5" s="458" t="s">
        <v>11</v>
      </c>
      <c r="R5" s="455"/>
      <c r="S5" s="458" t="s">
        <v>12</v>
      </c>
      <c r="T5" s="455"/>
      <c r="U5" s="454" t="s">
        <v>0</v>
      </c>
      <c r="V5" s="461"/>
      <c r="W5" s="454" t="s">
        <v>1</v>
      </c>
      <c r="X5" s="461"/>
      <c r="Y5" s="454" t="s">
        <v>2</v>
      </c>
      <c r="Z5" s="461"/>
      <c r="AA5" s="454" t="s">
        <v>15</v>
      </c>
      <c r="AB5" s="46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5"/>
      <c r="D7" s="468"/>
      <c r="E7" s="465"/>
      <c r="F7" s="466"/>
      <c r="G7" s="465"/>
      <c r="H7" s="466"/>
      <c r="I7" s="465"/>
      <c r="J7" s="466"/>
      <c r="K7" s="465"/>
      <c r="L7" s="466"/>
      <c r="M7" s="465"/>
      <c r="N7" s="466"/>
      <c r="O7" s="465"/>
      <c r="P7" s="466"/>
      <c r="Q7" s="465"/>
      <c r="R7" s="466"/>
      <c r="S7" s="465"/>
      <c r="T7" s="466"/>
      <c r="U7" s="465"/>
      <c r="V7" s="467"/>
      <c r="W7" s="465"/>
      <c r="X7" s="467"/>
      <c r="Y7" s="465"/>
      <c r="Z7" s="467"/>
      <c r="AA7" s="465"/>
      <c r="AB7" s="467"/>
    </row>
    <row r="8" spans="1:35" s="202" customFormat="1" ht="14.25" customHeight="1">
      <c r="A8" s="44"/>
      <c r="B8" s="71" t="s">
        <v>16</v>
      </c>
      <c r="C8" s="72"/>
      <c r="D8" s="41">
        <f>D9+D12</f>
        <v>35924.309800000003</v>
      </c>
      <c r="E8" s="42"/>
      <c r="F8" s="41">
        <f>F9+F12</f>
        <v>33372.612000000001</v>
      </c>
      <c r="G8" s="41"/>
      <c r="H8" s="41">
        <f>H9+H12</f>
        <v>38756.764499999997</v>
      </c>
      <c r="I8" s="41"/>
      <c r="J8" s="41">
        <f>J9+J12</f>
        <v>36047.493699999999</v>
      </c>
      <c r="K8" s="41"/>
      <c r="L8" s="41">
        <f>L9+L12</f>
        <v>38809.382799999999</v>
      </c>
      <c r="M8" s="41"/>
      <c r="N8" s="41">
        <f>N9+N12</f>
        <v>40070.602800000001</v>
      </c>
      <c r="O8" s="41"/>
      <c r="P8" s="41">
        <f>P9+P12</f>
        <v>39687.770400000001</v>
      </c>
      <c r="Q8" s="41"/>
      <c r="R8" s="41">
        <f>R9+R12</f>
        <v>40747.255400000002</v>
      </c>
      <c r="S8" s="41"/>
      <c r="T8" s="41">
        <f>T9+T12</f>
        <v>39657.260300000002</v>
      </c>
      <c r="U8" s="41"/>
      <c r="V8" s="41">
        <f>V9+V12</f>
        <v>49497.825800000006</v>
      </c>
      <c r="W8" s="41"/>
      <c r="X8" s="41">
        <f>X9+X12</f>
        <v>42153.219400000002</v>
      </c>
      <c r="Y8" s="41"/>
      <c r="Z8" s="41">
        <f>Z9+Z12</f>
        <v>46526.369599999998</v>
      </c>
      <c r="AA8" s="73"/>
      <c r="AB8" s="73">
        <f>AB9+AB12</f>
        <v>481250.8665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35173.279699999999</v>
      </c>
      <c r="E9" s="42"/>
      <c r="F9" s="42">
        <f>+F10+F11</f>
        <v>34553.612000000001</v>
      </c>
      <c r="G9" s="42"/>
      <c r="H9" s="42">
        <f>+H10+H11</f>
        <v>38413.764499999997</v>
      </c>
      <c r="I9" s="42"/>
      <c r="J9" s="42">
        <f>+J10+J11</f>
        <v>35710.493699999999</v>
      </c>
      <c r="K9" s="42"/>
      <c r="L9" s="42">
        <f>+L10+L11</f>
        <v>38565.382799999999</v>
      </c>
      <c r="M9" s="42"/>
      <c r="N9" s="42">
        <f>+N10+N11</f>
        <v>39522.602800000001</v>
      </c>
      <c r="O9" s="42"/>
      <c r="P9" s="42">
        <f>+P10+P11</f>
        <v>39155.770400000001</v>
      </c>
      <c r="Q9" s="42"/>
      <c r="R9" s="42">
        <f>+R10+R11</f>
        <v>39846.255400000002</v>
      </c>
      <c r="S9" s="42"/>
      <c r="T9" s="42">
        <f>+T10+T11</f>
        <v>39274.260300000002</v>
      </c>
      <c r="U9" s="42"/>
      <c r="V9" s="42">
        <f>+V10+V11</f>
        <v>49134.825800000006</v>
      </c>
      <c r="W9" s="42"/>
      <c r="X9" s="42">
        <f>+X10+X11</f>
        <v>41745.219400000002</v>
      </c>
      <c r="Y9" s="42"/>
      <c r="Z9" s="42">
        <f>+Z10+Z11</f>
        <v>45761.369599999998</v>
      </c>
      <c r="AA9" s="75"/>
      <c r="AB9" s="75">
        <f>+AB10+AB11</f>
        <v>476856.83640000003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76" t="s">
        <v>47</v>
      </c>
      <c r="C10" s="72"/>
      <c r="D10" s="42">
        <v>10531.279699999999</v>
      </c>
      <c r="E10" s="42"/>
      <c r="F10" s="42">
        <v>10913.611999999999</v>
      </c>
      <c r="G10" s="42"/>
      <c r="H10" s="42">
        <v>12342.764499999999</v>
      </c>
      <c r="I10" s="42"/>
      <c r="J10" s="42">
        <v>11751.493700000001</v>
      </c>
      <c r="K10" s="42"/>
      <c r="L10" s="42">
        <v>11500.382799999999</v>
      </c>
      <c r="M10" s="42"/>
      <c r="N10" s="42">
        <v>12991.602800000002</v>
      </c>
      <c r="O10" s="42"/>
      <c r="P10" s="42">
        <v>13274.770400000001</v>
      </c>
      <c r="Q10" s="42"/>
      <c r="R10" s="42">
        <v>12065.2554</v>
      </c>
      <c r="S10" s="42"/>
      <c r="T10" s="42">
        <v>13634.2603</v>
      </c>
      <c r="U10" s="42"/>
      <c r="V10" s="42">
        <v>14851.825800000002</v>
      </c>
      <c r="W10" s="42"/>
      <c r="X10" s="42">
        <v>13604.2194</v>
      </c>
      <c r="Y10" s="42"/>
      <c r="Z10" s="42">
        <v>12079.369599999998</v>
      </c>
      <c r="AA10" s="75"/>
      <c r="AB10" s="75">
        <f>SUM(D10:Z10)</f>
        <v>149540.8364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76" t="s">
        <v>48</v>
      </c>
      <c r="C11" s="72"/>
      <c r="D11" s="42">
        <v>24642</v>
      </c>
      <c r="E11" s="42"/>
      <c r="F11" s="42">
        <v>23640</v>
      </c>
      <c r="G11" s="42"/>
      <c r="H11" s="42">
        <v>26071</v>
      </c>
      <c r="I11" s="42"/>
      <c r="J11" s="42">
        <v>23959</v>
      </c>
      <c r="K11" s="42"/>
      <c r="L11" s="42">
        <v>27065</v>
      </c>
      <c r="M11" s="42"/>
      <c r="N11" s="42">
        <v>26531</v>
      </c>
      <c r="O11" s="42"/>
      <c r="P11" s="42">
        <v>25881</v>
      </c>
      <c r="Q11" s="42"/>
      <c r="R11" s="42">
        <v>27781</v>
      </c>
      <c r="S11" s="42"/>
      <c r="T11" s="42">
        <v>25640</v>
      </c>
      <c r="U11" s="42"/>
      <c r="V11" s="42">
        <v>34283</v>
      </c>
      <c r="W11" s="42"/>
      <c r="X11" s="42">
        <v>28141</v>
      </c>
      <c r="Y11" s="42"/>
      <c r="Z11" s="42">
        <v>33682</v>
      </c>
      <c r="AA11" s="77"/>
      <c r="AB11" s="75">
        <f>SUM(D11:Z11)</f>
        <v>327316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74" t="s">
        <v>49</v>
      </c>
      <c r="C12" s="72"/>
      <c r="D12" s="42">
        <v>751.03009999999995</v>
      </c>
      <c r="E12" s="42"/>
      <c r="F12" s="42">
        <v>-1181</v>
      </c>
      <c r="G12" s="42"/>
      <c r="H12" s="42">
        <v>343</v>
      </c>
      <c r="I12" s="42"/>
      <c r="J12" s="42">
        <v>337</v>
      </c>
      <c r="K12" s="42"/>
      <c r="L12" s="42">
        <v>244</v>
      </c>
      <c r="M12" s="42"/>
      <c r="N12" s="42">
        <v>548</v>
      </c>
      <c r="O12" s="42"/>
      <c r="P12" s="42">
        <v>532</v>
      </c>
      <c r="Q12" s="42"/>
      <c r="R12" s="42">
        <v>901</v>
      </c>
      <c r="S12" s="42"/>
      <c r="T12" s="42">
        <v>383</v>
      </c>
      <c r="U12" s="42"/>
      <c r="V12" s="42">
        <v>363</v>
      </c>
      <c r="W12" s="42"/>
      <c r="X12" s="42">
        <v>408</v>
      </c>
      <c r="Y12" s="42"/>
      <c r="Z12" s="42">
        <v>765</v>
      </c>
      <c r="AA12" s="75"/>
      <c r="AB12" s="75">
        <f>SUM(D12:Z12)</f>
        <v>4394.0300999999999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44</v>
      </c>
      <c r="C14" s="82"/>
      <c r="D14" s="45">
        <f>+D15+D16+D17</f>
        <v>3043.9394000000002</v>
      </c>
      <c r="E14" s="45"/>
      <c r="F14" s="45">
        <f>+F15+F16+F17</f>
        <v>3057.0481</v>
      </c>
      <c r="G14" s="45"/>
      <c r="H14" s="45">
        <f>+H15+H16+H17</f>
        <v>3348.2542000000003</v>
      </c>
      <c r="I14" s="45"/>
      <c r="J14" s="45">
        <f>+J15+J16+J17</f>
        <v>2809.0776999999998</v>
      </c>
      <c r="K14" s="45"/>
      <c r="L14" s="45">
        <f>+L15+L16+L17</f>
        <v>3353.0553</v>
      </c>
      <c r="M14" s="45"/>
      <c r="N14" s="45">
        <f>+N15+N16+N17</f>
        <v>3732.3739</v>
      </c>
      <c r="O14" s="45"/>
      <c r="P14" s="45">
        <f>+P15+P16+P17</f>
        <v>4033.9164000000001</v>
      </c>
      <c r="Q14" s="45"/>
      <c r="R14" s="45">
        <f>+R15+R16+R17</f>
        <v>4157.7746000000006</v>
      </c>
      <c r="S14" s="45"/>
      <c r="T14" s="45">
        <f>+T15+T16+T17</f>
        <v>3595.6363999999999</v>
      </c>
      <c r="U14" s="45"/>
      <c r="V14" s="45">
        <f>+V15+V16+V17</f>
        <v>6845.2024000000001</v>
      </c>
      <c r="W14" s="45"/>
      <c r="X14" s="45">
        <f>+X15+X16+X17</f>
        <v>4188.1360999999997</v>
      </c>
      <c r="Y14" s="45"/>
      <c r="Z14" s="45">
        <f>+Z15+Z16+Z17</f>
        <v>11252.7142</v>
      </c>
      <c r="AA14" s="83"/>
      <c r="AB14" s="83">
        <f>+AB15+AB16+AB17</f>
        <v>53417.128700000001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923</v>
      </c>
      <c r="E15" s="42"/>
      <c r="F15" s="42">
        <v>1157</v>
      </c>
      <c r="G15" s="42"/>
      <c r="H15" s="42">
        <v>1452</v>
      </c>
      <c r="I15" s="42"/>
      <c r="J15" s="42">
        <v>1176</v>
      </c>
      <c r="K15" s="42"/>
      <c r="L15" s="42">
        <v>1465</v>
      </c>
      <c r="M15" s="42"/>
      <c r="N15" s="42">
        <v>1227</v>
      </c>
      <c r="O15" s="42"/>
      <c r="P15" s="42">
        <v>1223</v>
      </c>
      <c r="Q15" s="42"/>
      <c r="R15" s="42">
        <v>1645</v>
      </c>
      <c r="S15" s="42"/>
      <c r="T15" s="42">
        <v>1282</v>
      </c>
      <c r="U15" s="42"/>
      <c r="V15" s="42">
        <v>2639</v>
      </c>
      <c r="W15" s="42"/>
      <c r="X15" s="42">
        <v>1333</v>
      </c>
      <c r="Y15" s="42"/>
      <c r="Z15" s="42">
        <v>3618</v>
      </c>
      <c r="AA15" s="75"/>
      <c r="AB15" s="75">
        <f>SUM(D15:Z15)</f>
        <v>19140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417.93939999999998</v>
      </c>
      <c r="E16" s="42"/>
      <c r="F16" s="42">
        <v>395.04809999999998</v>
      </c>
      <c r="G16" s="42"/>
      <c r="H16" s="42">
        <v>288.25420000000003</v>
      </c>
      <c r="I16" s="42"/>
      <c r="J16" s="42">
        <v>312.07769999999999</v>
      </c>
      <c r="K16" s="42"/>
      <c r="L16" s="42">
        <v>244.05529999999999</v>
      </c>
      <c r="M16" s="42"/>
      <c r="N16" s="42">
        <v>351.37389999999999</v>
      </c>
      <c r="O16" s="42"/>
      <c r="P16" s="42">
        <v>399.91640000000001</v>
      </c>
      <c r="Q16" s="42"/>
      <c r="R16" s="42">
        <v>481.77460000000002</v>
      </c>
      <c r="S16" s="42"/>
      <c r="T16" s="42">
        <v>430.63639999999998</v>
      </c>
      <c r="U16" s="42"/>
      <c r="V16" s="42">
        <v>509.20240000000001</v>
      </c>
      <c r="W16" s="42"/>
      <c r="X16" s="42">
        <v>682.13610000000006</v>
      </c>
      <c r="Y16" s="42"/>
      <c r="Z16" s="42">
        <v>957.71420000000001</v>
      </c>
      <c r="AA16" s="75"/>
      <c r="AB16" s="75">
        <f>SUM(D16:Z16)</f>
        <v>5470.1287000000002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74" t="s">
        <v>51</v>
      </c>
      <c r="C17" s="72"/>
      <c r="D17" s="42">
        <v>1703</v>
      </c>
      <c r="E17" s="42"/>
      <c r="F17" s="42">
        <v>1505</v>
      </c>
      <c r="G17" s="42"/>
      <c r="H17" s="42">
        <v>1608</v>
      </c>
      <c r="I17" s="42"/>
      <c r="J17" s="42">
        <v>1321</v>
      </c>
      <c r="K17" s="42"/>
      <c r="L17" s="42">
        <v>1644</v>
      </c>
      <c r="M17" s="42"/>
      <c r="N17" s="42">
        <v>2154</v>
      </c>
      <c r="O17" s="42"/>
      <c r="P17" s="42">
        <v>2411</v>
      </c>
      <c r="Q17" s="42"/>
      <c r="R17" s="42">
        <v>2031</v>
      </c>
      <c r="S17" s="42"/>
      <c r="T17" s="42">
        <v>1883</v>
      </c>
      <c r="U17" s="42"/>
      <c r="V17" s="42">
        <v>3697</v>
      </c>
      <c r="W17" s="42"/>
      <c r="X17" s="42">
        <v>2173</v>
      </c>
      <c r="Y17" s="42"/>
      <c r="Z17" s="42">
        <v>6677</v>
      </c>
      <c r="AA17" s="75"/>
      <c r="AB17" s="75">
        <f>SUM(D17:Z17)</f>
        <v>28807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610</v>
      </c>
      <c r="E19" s="42"/>
      <c r="F19" s="42">
        <v>-3672</v>
      </c>
      <c r="G19" s="42"/>
      <c r="H19" s="42">
        <v>-725</v>
      </c>
      <c r="I19" s="42"/>
      <c r="J19" s="42">
        <v>539</v>
      </c>
      <c r="K19" s="42"/>
      <c r="L19" s="42">
        <v>867</v>
      </c>
      <c r="M19" s="42"/>
      <c r="N19" s="42">
        <v>122</v>
      </c>
      <c r="O19" s="42"/>
      <c r="P19" s="42">
        <v>-1833</v>
      </c>
      <c r="Q19" s="42"/>
      <c r="R19" s="42">
        <v>-94</v>
      </c>
      <c r="S19" s="42"/>
      <c r="T19" s="42">
        <v>-871</v>
      </c>
      <c r="U19" s="42"/>
      <c r="V19" s="42">
        <v>-370</v>
      </c>
      <c r="W19" s="42"/>
      <c r="X19" s="42">
        <v>279</v>
      </c>
      <c r="Y19" s="42"/>
      <c r="Z19" s="42">
        <v>-1602</v>
      </c>
      <c r="AA19" s="42"/>
      <c r="AB19" s="124">
        <f>SUM(D19:Z19)</f>
        <v>-6750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85" t="s">
        <v>50</v>
      </c>
      <c r="C21" s="72"/>
      <c r="D21" s="42">
        <v>3686</v>
      </c>
      <c r="E21" s="42"/>
      <c r="F21" s="42">
        <v>2628</v>
      </c>
      <c r="G21" s="42"/>
      <c r="H21" s="42">
        <v>3259</v>
      </c>
      <c r="I21" s="42"/>
      <c r="J21" s="42">
        <v>3199</v>
      </c>
      <c r="K21" s="42"/>
      <c r="L21" s="42">
        <v>4014</v>
      </c>
      <c r="M21" s="42"/>
      <c r="N21" s="42">
        <v>3937</v>
      </c>
      <c r="O21" s="42"/>
      <c r="P21" s="42">
        <v>3830</v>
      </c>
      <c r="Q21" s="42"/>
      <c r="R21" s="42">
        <v>3173</v>
      </c>
      <c r="S21" s="42"/>
      <c r="T21" s="42">
        <v>4685</v>
      </c>
      <c r="U21" s="42"/>
      <c r="V21" s="42">
        <v>4746</v>
      </c>
      <c r="W21" s="42"/>
      <c r="X21" s="42">
        <v>4483</v>
      </c>
      <c r="Y21" s="42"/>
      <c r="Z21" s="42">
        <v>5136</v>
      </c>
      <c r="AA21" s="42"/>
      <c r="AB21" s="75">
        <f>SUM(D21:Z21)</f>
        <v>46776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45</v>
      </c>
      <c r="C23" s="82"/>
      <c r="D23" s="45">
        <f>D8-D14-D19-D21</f>
        <v>28584.3704</v>
      </c>
      <c r="E23" s="45"/>
      <c r="F23" s="45">
        <f>F8-F14-F19-F21</f>
        <v>31359.563900000001</v>
      </c>
      <c r="G23" s="45"/>
      <c r="H23" s="45">
        <f>H8-H14-H19-H21</f>
        <v>32874.510299999994</v>
      </c>
      <c r="I23" s="45"/>
      <c r="J23" s="45">
        <f>J8-J14-J19-J21</f>
        <v>29500.415999999997</v>
      </c>
      <c r="K23" s="45"/>
      <c r="L23" s="45">
        <f>L8-L14-L19-L21</f>
        <v>30575.327499999999</v>
      </c>
      <c r="M23" s="45"/>
      <c r="N23" s="45">
        <f>N8-N14-N19-N21</f>
        <v>32279.228900000002</v>
      </c>
      <c r="O23" s="45"/>
      <c r="P23" s="45">
        <f>P8-P14-P19-P21</f>
        <v>33656.853999999999</v>
      </c>
      <c r="Q23" s="45"/>
      <c r="R23" s="45">
        <f>R8-R14-R19-R21</f>
        <v>33510.480800000005</v>
      </c>
      <c r="S23" s="45"/>
      <c r="T23" s="45">
        <f>T8-T14-T19-T21</f>
        <v>32247.623899999999</v>
      </c>
      <c r="U23" s="45"/>
      <c r="V23" s="45">
        <f>V8-V14-V19-V21</f>
        <v>38276.623400000004</v>
      </c>
      <c r="W23" s="45"/>
      <c r="X23" s="45">
        <f>X8-X14-X19-X21</f>
        <v>33203.083299999998</v>
      </c>
      <c r="Y23" s="45"/>
      <c r="Z23" s="45">
        <f>Z8-Z14-Z19-Z21</f>
        <v>31739.655399999996</v>
      </c>
      <c r="AA23" s="45"/>
      <c r="AB23" s="83">
        <f>AB8-AB14-AB19-AB21</f>
        <v>387807.7378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63</v>
      </c>
      <c r="C25" s="82"/>
      <c r="D25" s="45">
        <f>+D27+D26</f>
        <v>2815</v>
      </c>
      <c r="E25" s="82"/>
      <c r="F25" s="45">
        <f>+F27+F26</f>
        <v>2101</v>
      </c>
      <c r="G25" s="82"/>
      <c r="H25" s="45">
        <f>+H27+H26</f>
        <v>1537</v>
      </c>
      <c r="I25" s="82"/>
      <c r="J25" s="45">
        <f>+J27+J26</f>
        <v>1208</v>
      </c>
      <c r="K25" s="82"/>
      <c r="L25" s="45">
        <f>+L27+L26</f>
        <v>2111</v>
      </c>
      <c r="M25" s="82"/>
      <c r="N25" s="45">
        <f>+N27+N26</f>
        <v>2172</v>
      </c>
      <c r="O25" s="82"/>
      <c r="P25" s="45">
        <f>+P27+P26</f>
        <v>1941</v>
      </c>
      <c r="Q25" s="82"/>
      <c r="R25" s="45">
        <f>+R27+R26</f>
        <v>2801</v>
      </c>
      <c r="S25" s="82"/>
      <c r="T25" s="45">
        <f>+T27+T26</f>
        <v>2200</v>
      </c>
      <c r="U25" s="82"/>
      <c r="V25" s="45">
        <f>+V27+V26</f>
        <v>2684</v>
      </c>
      <c r="W25" s="82"/>
      <c r="X25" s="45">
        <f>+X27+X26</f>
        <v>3472</v>
      </c>
      <c r="Y25" s="82"/>
      <c r="Z25" s="45">
        <f>+Z27+Z26</f>
        <v>6266.4</v>
      </c>
      <c r="AA25" s="82"/>
      <c r="AB25" s="45">
        <f>+AB27+AB26</f>
        <v>31308.400000000001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206" t="s">
        <v>72</v>
      </c>
      <c r="C26" s="72"/>
      <c r="D26" s="42">
        <v>12</v>
      </c>
      <c r="E26" s="42"/>
      <c r="F26" s="42">
        <v>307</v>
      </c>
      <c r="G26" s="42"/>
      <c r="H26" s="42">
        <v>11</v>
      </c>
      <c r="I26" s="42"/>
      <c r="J26" s="42">
        <v>12</v>
      </c>
      <c r="K26" s="42"/>
      <c r="L26" s="42">
        <v>461</v>
      </c>
      <c r="M26" s="42"/>
      <c r="N26" s="42">
        <v>65</v>
      </c>
      <c r="O26" s="42"/>
      <c r="P26" s="42">
        <v>12</v>
      </c>
      <c r="Q26" s="77"/>
      <c r="R26" s="42">
        <v>593</v>
      </c>
      <c r="S26" s="42"/>
      <c r="T26" s="42">
        <v>43</v>
      </c>
      <c r="U26" s="42"/>
      <c r="V26" s="42">
        <v>13</v>
      </c>
      <c r="W26" s="42"/>
      <c r="X26" s="42">
        <v>465</v>
      </c>
      <c r="Y26" s="42"/>
      <c r="Z26" s="42">
        <v>579</v>
      </c>
      <c r="AA26" s="42"/>
      <c r="AB26" s="75">
        <f>SUM(D26:Z26)</f>
        <v>2573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2803</v>
      </c>
      <c r="E27" s="42"/>
      <c r="F27" s="42">
        <f>+F28+F29</f>
        <v>1794</v>
      </c>
      <c r="G27" s="42"/>
      <c r="H27" s="42">
        <f>+H28+H29</f>
        <v>1526</v>
      </c>
      <c r="I27" s="42"/>
      <c r="J27" s="42">
        <f>+J28+J29</f>
        <v>1196</v>
      </c>
      <c r="K27" s="42"/>
      <c r="L27" s="42">
        <f>+L28+L29</f>
        <v>1650</v>
      </c>
      <c r="M27" s="42"/>
      <c r="N27" s="42">
        <f>+N28+N29</f>
        <v>2107</v>
      </c>
      <c r="O27" s="42"/>
      <c r="P27" s="42">
        <f>+P28+P29</f>
        <v>1929</v>
      </c>
      <c r="Q27" s="42"/>
      <c r="R27" s="42">
        <f>+R28+R29</f>
        <v>2208</v>
      </c>
      <c r="S27" s="42"/>
      <c r="T27" s="42">
        <f>+T28+T29</f>
        <v>2157</v>
      </c>
      <c r="U27" s="42"/>
      <c r="V27" s="42">
        <f>+V28+V29</f>
        <v>2671</v>
      </c>
      <c r="W27" s="42"/>
      <c r="X27" s="42">
        <f>+X28+X29</f>
        <v>3007</v>
      </c>
      <c r="Y27" s="42"/>
      <c r="Z27" s="42">
        <f>+Z28+Z29</f>
        <v>5687.4</v>
      </c>
      <c r="AA27" s="75"/>
      <c r="AB27" s="75">
        <f>+AB28+AB29</f>
        <v>28735.4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194" t="s">
        <v>66</v>
      </c>
      <c r="C28" s="90"/>
      <c r="D28" s="42">
        <v>2803</v>
      </c>
      <c r="E28" s="42"/>
      <c r="F28" s="42">
        <v>1794</v>
      </c>
      <c r="G28" s="42"/>
      <c r="H28" s="42">
        <v>1526</v>
      </c>
      <c r="I28" s="42"/>
      <c r="J28" s="42">
        <v>1196</v>
      </c>
      <c r="K28" s="42"/>
      <c r="L28" s="42">
        <v>1650</v>
      </c>
      <c r="M28" s="42"/>
      <c r="N28" s="42">
        <v>2107</v>
      </c>
      <c r="O28" s="42"/>
      <c r="P28" s="42">
        <v>1929</v>
      </c>
      <c r="Q28" s="42"/>
      <c r="R28" s="42">
        <v>2208</v>
      </c>
      <c r="S28" s="42"/>
      <c r="T28" s="42">
        <v>2157</v>
      </c>
      <c r="U28" s="42"/>
      <c r="V28" s="42">
        <v>2671</v>
      </c>
      <c r="W28" s="42"/>
      <c r="X28" s="42">
        <v>3007</v>
      </c>
      <c r="Y28" s="42"/>
      <c r="Z28" s="42">
        <v>5685</v>
      </c>
      <c r="AA28" s="75"/>
      <c r="AB28" s="75">
        <f>SUM(D28:Z28)</f>
        <v>28733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0</v>
      </c>
      <c r="E29" s="42"/>
      <c r="F29" s="42">
        <v>0</v>
      </c>
      <c r="G29" s="42"/>
      <c r="H29" s="42">
        <v>0</v>
      </c>
      <c r="I29" s="42"/>
      <c r="J29" s="42">
        <v>0</v>
      </c>
      <c r="K29" s="42"/>
      <c r="L29" s="42">
        <v>0</v>
      </c>
      <c r="M29" s="42"/>
      <c r="N29" s="42">
        <v>0</v>
      </c>
      <c r="O29" s="42"/>
      <c r="P29" s="42">
        <v>0</v>
      </c>
      <c r="Q29" s="42"/>
      <c r="R29" s="42">
        <v>0</v>
      </c>
      <c r="S29" s="42"/>
      <c r="T29" s="42">
        <v>0</v>
      </c>
      <c r="U29" s="42"/>
      <c r="V29" s="42">
        <v>0</v>
      </c>
      <c r="W29" s="42"/>
      <c r="X29" s="42">
        <v>0</v>
      </c>
      <c r="Y29" s="42"/>
      <c r="Z29" s="42">
        <v>2.4</v>
      </c>
      <c r="AA29" s="75"/>
      <c r="AB29" s="42">
        <f>SUM(D29:Z29)</f>
        <v>2.4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0</v>
      </c>
      <c r="U31" s="118"/>
      <c r="V31" s="118">
        <v>0</v>
      </c>
      <c r="W31" s="118"/>
      <c r="X31" s="118">
        <v>0</v>
      </c>
      <c r="Y31" s="118"/>
      <c r="Z31" s="118">
        <v>0</v>
      </c>
      <c r="AA31" s="41"/>
      <c r="AB31" s="118">
        <f>SUM(D31:Z31)</f>
        <v>0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207" t="s">
        <v>73</v>
      </c>
      <c r="C33" s="95"/>
      <c r="D33" s="119">
        <f>D23-D25+D31</f>
        <v>25769.3704</v>
      </c>
      <c r="E33" s="119"/>
      <c r="F33" s="119">
        <f>F23-F25+F31</f>
        <v>29258.563900000001</v>
      </c>
      <c r="G33" s="119"/>
      <c r="H33" s="119">
        <f>H23-H25+H31</f>
        <v>31337.510299999994</v>
      </c>
      <c r="I33" s="119"/>
      <c r="J33" s="119">
        <f>J23-J25+J31</f>
        <v>28292.415999999997</v>
      </c>
      <c r="K33" s="119"/>
      <c r="L33" s="119">
        <f>L23-L25+L31</f>
        <v>28464.327499999999</v>
      </c>
      <c r="M33" s="119"/>
      <c r="N33" s="119">
        <f>N23-N25+N31</f>
        <v>30107.228900000002</v>
      </c>
      <c r="O33" s="119"/>
      <c r="P33" s="119">
        <f>P23-P25+P31</f>
        <v>31715.853999999999</v>
      </c>
      <c r="Q33" s="119"/>
      <c r="R33" s="119">
        <f>R23-R25+R31</f>
        <v>30709.480800000005</v>
      </c>
      <c r="S33" s="119"/>
      <c r="T33" s="119">
        <f>T23-T25+T31</f>
        <v>30047.623899999999</v>
      </c>
      <c r="U33" s="119"/>
      <c r="V33" s="119">
        <f>V23-V25+V31</f>
        <v>35592.623400000004</v>
      </c>
      <c r="W33" s="119"/>
      <c r="X33" s="119">
        <f>X23-X25+X31</f>
        <v>29731.083299999998</v>
      </c>
      <c r="Y33" s="119"/>
      <c r="Z33" s="119">
        <f>Z23-Z25+Z31</f>
        <v>25473.255399999995</v>
      </c>
      <c r="AA33" s="119"/>
      <c r="AB33" s="119">
        <f>AB23-AB25+AB31</f>
        <v>356499.33779999998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31754</v>
      </c>
      <c r="E35" s="42"/>
      <c r="F35" s="42">
        <v>26275</v>
      </c>
      <c r="G35" s="42"/>
      <c r="H35" s="42">
        <v>22154</v>
      </c>
      <c r="I35" s="42"/>
      <c r="J35" s="42">
        <v>27668</v>
      </c>
      <c r="K35" s="42"/>
      <c r="L35" s="42">
        <v>26006</v>
      </c>
      <c r="M35" s="42"/>
      <c r="N35" s="42">
        <v>24958</v>
      </c>
      <c r="O35" s="42"/>
      <c r="P35" s="42">
        <v>31424</v>
      </c>
      <c r="Q35" s="42"/>
      <c r="R35" s="42">
        <v>26752</v>
      </c>
      <c r="S35" s="42"/>
      <c r="T35" s="42">
        <v>25438</v>
      </c>
      <c r="U35" s="42"/>
      <c r="V35" s="42">
        <v>36103</v>
      </c>
      <c r="W35" s="42"/>
      <c r="X35" s="42">
        <v>27116</v>
      </c>
      <c r="Y35" s="42"/>
      <c r="Z35" s="42">
        <v>28235</v>
      </c>
      <c r="AA35" s="42"/>
      <c r="AB35" s="75">
        <f>SUM(D35:Z35)</f>
        <v>333883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-5984.6296000000002</v>
      </c>
      <c r="E37" s="119"/>
      <c r="F37" s="119">
        <f>F33-F35</f>
        <v>2983.563900000001</v>
      </c>
      <c r="G37" s="119"/>
      <c r="H37" s="119">
        <f>H33-H35</f>
        <v>9183.5102999999945</v>
      </c>
      <c r="I37" s="119"/>
      <c r="J37" s="119">
        <f>J33-J35</f>
        <v>624.41599999999744</v>
      </c>
      <c r="K37" s="119"/>
      <c r="L37" s="119">
        <f>L33-L35</f>
        <v>2458.3274999999994</v>
      </c>
      <c r="M37" s="119"/>
      <c r="N37" s="119">
        <f>N33-N35</f>
        <v>5149.2289000000019</v>
      </c>
      <c r="O37" s="119"/>
      <c r="P37" s="119">
        <f>P33-P35</f>
        <v>291.85399999999936</v>
      </c>
      <c r="Q37" s="119"/>
      <c r="R37" s="119">
        <f>R33-R35</f>
        <v>3957.4808000000048</v>
      </c>
      <c r="S37" s="119"/>
      <c r="T37" s="119">
        <f>T33-T35</f>
        <v>4609.6238999999987</v>
      </c>
      <c r="U37" s="119"/>
      <c r="V37" s="119">
        <f>V33-V35</f>
        <v>-510.37659999999596</v>
      </c>
      <c r="W37" s="119"/>
      <c r="X37" s="119">
        <f>X33-X35</f>
        <v>2615.0832999999984</v>
      </c>
      <c r="Y37" s="119"/>
      <c r="Z37" s="119">
        <f>Z33-Z35</f>
        <v>-2761.7446000000054</v>
      </c>
      <c r="AA37" s="119"/>
      <c r="AB37" s="119">
        <f>AB33-AB35</f>
        <v>22616.337799999979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331.81810000000002</v>
      </c>
      <c r="E39" s="72"/>
      <c r="F39" s="42">
        <f>F40+F43</f>
        <v>456.79759999999999</v>
      </c>
      <c r="G39" s="72"/>
      <c r="H39" s="42">
        <f>H40+H43</f>
        <v>2325.5709000000002</v>
      </c>
      <c r="I39" s="72"/>
      <c r="J39" s="42">
        <f>J40+J43</f>
        <v>614.79759999999999</v>
      </c>
      <c r="K39" s="72"/>
      <c r="L39" s="42">
        <f>L40+L43</f>
        <v>682.95799999999997</v>
      </c>
      <c r="M39" s="72"/>
      <c r="N39" s="42">
        <f>N40+N43</f>
        <v>2026.2359000000001</v>
      </c>
      <c r="O39" s="72"/>
      <c r="P39" s="42">
        <f>P40+P43</f>
        <v>2644.3971000000001</v>
      </c>
      <c r="Q39" s="72"/>
      <c r="R39" s="42">
        <f>R40+R43</f>
        <v>794.83019999999999</v>
      </c>
      <c r="S39" s="72"/>
      <c r="T39" s="42">
        <f>T40+T43</f>
        <v>4432.9894999999997</v>
      </c>
      <c r="U39" s="72"/>
      <c r="V39" s="42">
        <f>V40+V43</f>
        <v>1021.9219000000001</v>
      </c>
      <c r="W39" s="72"/>
      <c r="X39" s="42">
        <f>X40+X43</f>
        <v>1597.0444</v>
      </c>
      <c r="Y39" s="72"/>
      <c r="Z39" s="42">
        <f>Z40+Z43</f>
        <v>2207.4180999999999</v>
      </c>
      <c r="AA39" s="72"/>
      <c r="AB39" s="42">
        <f>AB40+AB43</f>
        <v>19136.779300000002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2.6200000000000001E-2</v>
      </c>
      <c r="E40" s="42"/>
      <c r="F40" s="42">
        <f>F41+F42</f>
        <v>15.7477</v>
      </c>
      <c r="G40" s="42"/>
      <c r="H40" s="42">
        <f>H41+H42</f>
        <v>832.37290000000007</v>
      </c>
      <c r="I40" s="42"/>
      <c r="J40" s="42">
        <f>J41+J42</f>
        <v>2.5700000000000001E-2</v>
      </c>
      <c r="K40" s="42"/>
      <c r="L40" s="42">
        <f>L41+L42</f>
        <v>119.82080000000001</v>
      </c>
      <c r="M40" s="42"/>
      <c r="N40" s="42">
        <f>N41+N42</f>
        <v>940.03390000000002</v>
      </c>
      <c r="O40" s="42"/>
      <c r="P40" s="42">
        <f>P41+P42</f>
        <v>2.63E-2</v>
      </c>
      <c r="Q40" s="42"/>
      <c r="R40" s="42">
        <f>R41+R42</f>
        <v>15.813000000000001</v>
      </c>
      <c r="S40" s="42"/>
      <c r="T40" s="42">
        <f>T41+T42</f>
        <v>3241.3332</v>
      </c>
      <c r="U40" s="42"/>
      <c r="V40" s="42">
        <f>+V41+V42</f>
        <v>2.6100000000000002E-2</v>
      </c>
      <c r="W40" s="42"/>
      <c r="X40" s="42">
        <f>+X41+X42</f>
        <v>82.007999999999996</v>
      </c>
      <c r="Y40" s="42"/>
      <c r="Z40" s="42">
        <f>+Z41+Z42</f>
        <v>878.84939999999995</v>
      </c>
      <c r="AA40" s="75"/>
      <c r="AB40" s="75">
        <f>+AB41+AB42</f>
        <v>6126.0832000000009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194" t="s">
        <v>56</v>
      </c>
      <c r="C41" s="72"/>
      <c r="D41" s="118">
        <v>2.6200000000000001E-2</v>
      </c>
      <c r="E41" s="118"/>
      <c r="F41" s="118">
        <v>15.7477</v>
      </c>
      <c r="G41" s="118"/>
      <c r="H41" s="118">
        <v>83.167599999999993</v>
      </c>
      <c r="I41" s="118"/>
      <c r="J41" s="118">
        <v>2.5700000000000001E-2</v>
      </c>
      <c r="K41" s="118"/>
      <c r="L41" s="118">
        <v>119.82080000000001</v>
      </c>
      <c r="M41" s="118"/>
      <c r="N41" s="118">
        <v>104.0916</v>
      </c>
      <c r="O41" s="118"/>
      <c r="P41" s="118">
        <v>2.63E-2</v>
      </c>
      <c r="Q41" s="118"/>
      <c r="R41" s="118">
        <v>15.813000000000001</v>
      </c>
      <c r="S41" s="118"/>
      <c r="T41" s="118">
        <v>48.373100000000001</v>
      </c>
      <c r="U41" s="118"/>
      <c r="V41" s="118">
        <v>2.6100000000000002E-2</v>
      </c>
      <c r="W41" s="118"/>
      <c r="X41" s="118">
        <v>82.007999999999996</v>
      </c>
      <c r="Y41" s="118"/>
      <c r="Z41" s="118">
        <v>93.157700000000006</v>
      </c>
      <c r="AA41" s="118"/>
      <c r="AB41" s="118">
        <f>SUM(D41:Z41)</f>
        <v>562.28379999999993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0</v>
      </c>
      <c r="E42" s="42"/>
      <c r="F42" s="42">
        <v>0</v>
      </c>
      <c r="G42" s="42"/>
      <c r="H42" s="42">
        <v>749.20530000000008</v>
      </c>
      <c r="I42" s="42"/>
      <c r="J42" s="42">
        <v>0</v>
      </c>
      <c r="K42" s="42"/>
      <c r="L42" s="42">
        <v>0</v>
      </c>
      <c r="M42" s="42"/>
      <c r="N42" s="42">
        <v>835.94230000000005</v>
      </c>
      <c r="O42" s="42"/>
      <c r="P42" s="42">
        <v>0</v>
      </c>
      <c r="Q42" s="42"/>
      <c r="R42" s="42">
        <v>0</v>
      </c>
      <c r="S42" s="42"/>
      <c r="T42" s="42">
        <v>3192.9601000000002</v>
      </c>
      <c r="U42" s="42"/>
      <c r="V42" s="42">
        <v>0</v>
      </c>
      <c r="W42" s="42"/>
      <c r="X42" s="42">
        <v>0</v>
      </c>
      <c r="Y42" s="42"/>
      <c r="Z42" s="42">
        <v>785.69169999999997</v>
      </c>
      <c r="AA42" s="75"/>
      <c r="AB42" s="75">
        <f>SUM(D42:Z42)</f>
        <v>5563.7994000000008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331.7919</v>
      </c>
      <c r="E43" s="42"/>
      <c r="F43" s="42">
        <v>441.04989999999998</v>
      </c>
      <c r="G43" s="42"/>
      <c r="H43" s="42">
        <v>1493.1980000000001</v>
      </c>
      <c r="I43" s="42"/>
      <c r="J43" s="42">
        <v>614.77189999999996</v>
      </c>
      <c r="K43" s="42"/>
      <c r="L43" s="42">
        <v>563.13720000000001</v>
      </c>
      <c r="M43" s="42"/>
      <c r="N43" s="42">
        <v>1086.202</v>
      </c>
      <c r="O43" s="42"/>
      <c r="P43" s="42">
        <v>2644.3708000000001</v>
      </c>
      <c r="Q43" s="42"/>
      <c r="R43" s="42">
        <v>779.0172</v>
      </c>
      <c r="S43" s="42"/>
      <c r="T43" s="42">
        <v>1191.6563000000001</v>
      </c>
      <c r="U43" s="42"/>
      <c r="V43" s="42">
        <v>1021.8958</v>
      </c>
      <c r="W43" s="42"/>
      <c r="X43" s="42">
        <v>1515.0364</v>
      </c>
      <c r="Y43" s="42"/>
      <c r="Z43" s="42">
        <v>1328.5687</v>
      </c>
      <c r="AA43" s="75"/>
      <c r="AB43" s="75">
        <f>SUM(D43:Z43)</f>
        <v>13010.696100000001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-6316.4477000000006</v>
      </c>
      <c r="E45" s="95"/>
      <c r="F45" s="48">
        <f>F37-F39</f>
        <v>2526.7663000000011</v>
      </c>
      <c r="G45" s="95"/>
      <c r="H45" s="48">
        <f>H37-H39</f>
        <v>6857.9393999999938</v>
      </c>
      <c r="I45" s="95"/>
      <c r="J45" s="48">
        <f>J37-J39</f>
        <v>9.6183999999974503</v>
      </c>
      <c r="K45" s="95"/>
      <c r="L45" s="48">
        <f>L37-L39</f>
        <v>1775.3694999999993</v>
      </c>
      <c r="M45" s="95"/>
      <c r="N45" s="48">
        <f>N37-N39</f>
        <v>3122.9930000000018</v>
      </c>
      <c r="O45" s="95"/>
      <c r="P45" s="48">
        <f>P37-P39</f>
        <v>-2352.5431000000008</v>
      </c>
      <c r="Q45" s="95"/>
      <c r="R45" s="48">
        <f>R37-R39</f>
        <v>3162.6506000000049</v>
      </c>
      <c r="S45" s="95"/>
      <c r="T45" s="48">
        <f>T37-T39</f>
        <v>176.634399999999</v>
      </c>
      <c r="U45" s="95"/>
      <c r="V45" s="48">
        <f>V37-V39</f>
        <v>-1532.298499999996</v>
      </c>
      <c r="W45" s="95"/>
      <c r="X45" s="48">
        <f>X37-X39</f>
        <v>1018.0388999999984</v>
      </c>
      <c r="Y45" s="95"/>
      <c r="Z45" s="48">
        <f>Z37-Z39</f>
        <v>-4969.1627000000053</v>
      </c>
      <c r="AA45" s="95"/>
      <c r="AB45" s="48">
        <f>AB37-AB39</f>
        <v>3479.5584999999774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64" t="s">
        <v>41</v>
      </c>
      <c r="C47" s="464"/>
      <c r="D47" s="464"/>
      <c r="E47" s="464"/>
      <c r="F47" s="464"/>
      <c r="G47" s="464"/>
      <c r="H47" s="464"/>
      <c r="I47" s="464"/>
      <c r="J47" s="464"/>
      <c r="K47" s="464"/>
      <c r="L47" s="464"/>
      <c r="M47" s="464"/>
      <c r="N47" s="464"/>
      <c r="O47" s="464"/>
      <c r="P47" s="464"/>
      <c r="Q47" s="464"/>
      <c r="R47" s="464"/>
      <c r="S47" s="464"/>
      <c r="T47" s="464"/>
      <c r="U47" s="464"/>
      <c r="V47" s="464"/>
      <c r="W47" s="464"/>
      <c r="X47" s="464"/>
      <c r="Y47" s="464"/>
      <c r="Z47" s="464"/>
      <c r="AA47" s="464"/>
      <c r="AB47" s="464"/>
      <c r="AC47" s="212"/>
      <c r="AD47" s="212"/>
      <c r="AE47" s="101"/>
      <c r="AF47" s="212"/>
    </row>
    <row r="48" spans="1:35" ht="14.25" customHeight="1">
      <c r="B48" s="474" t="s">
        <v>58</v>
      </c>
      <c r="C48" s="474"/>
      <c r="D48" s="474"/>
      <c r="E48" s="474"/>
      <c r="F48" s="474"/>
      <c r="G48" s="474"/>
      <c r="H48" s="474"/>
      <c r="I48" s="474"/>
      <c r="J48" s="474"/>
      <c r="K48" s="474"/>
      <c r="L48" s="474"/>
      <c r="M48" s="474"/>
      <c r="N48" s="474"/>
      <c r="O48" s="474"/>
      <c r="P48" s="474"/>
      <c r="Q48" s="474"/>
      <c r="R48" s="474"/>
      <c r="S48" s="474"/>
      <c r="T48" s="474"/>
      <c r="U48" s="474"/>
      <c r="V48" s="474"/>
      <c r="W48" s="474"/>
      <c r="X48" s="474"/>
      <c r="Y48" s="474"/>
      <c r="Z48" s="474"/>
      <c r="AA48" s="474"/>
      <c r="AB48" s="474"/>
      <c r="AC48" s="212"/>
      <c r="AD48" s="212"/>
      <c r="AE48" s="101"/>
      <c r="AF48" s="212"/>
    </row>
    <row r="49" spans="1:32" ht="14.25" customHeight="1">
      <c r="B49" s="464" t="s">
        <v>59</v>
      </c>
      <c r="C49" s="464"/>
      <c r="D49" s="464"/>
      <c r="E49" s="464"/>
      <c r="F49" s="464"/>
      <c r="G49" s="464"/>
      <c r="H49" s="464"/>
      <c r="I49" s="464"/>
      <c r="J49" s="464"/>
      <c r="K49" s="464"/>
      <c r="L49" s="464"/>
      <c r="M49" s="464"/>
      <c r="N49" s="464"/>
      <c r="O49" s="464"/>
      <c r="P49" s="464"/>
      <c r="Q49" s="464"/>
      <c r="R49" s="464"/>
      <c r="S49" s="464"/>
      <c r="T49" s="464"/>
      <c r="U49" s="464"/>
      <c r="V49" s="464"/>
      <c r="W49" s="464"/>
      <c r="X49" s="464"/>
      <c r="Y49" s="464"/>
      <c r="Z49" s="464"/>
      <c r="AA49" s="464"/>
      <c r="AB49" s="464"/>
      <c r="AC49" s="212"/>
      <c r="AD49" s="212"/>
      <c r="AE49" s="101"/>
      <c r="AF49" s="212"/>
    </row>
    <row r="50" spans="1:32" ht="14.25" customHeight="1">
      <c r="B50" s="464" t="s">
        <v>60</v>
      </c>
      <c r="C50" s="464"/>
      <c r="D50" s="464"/>
      <c r="E50" s="464"/>
      <c r="F50" s="464"/>
      <c r="G50" s="464"/>
      <c r="H50" s="464"/>
      <c r="I50" s="464"/>
      <c r="J50" s="464"/>
      <c r="K50" s="464"/>
      <c r="L50" s="464"/>
      <c r="M50" s="464"/>
      <c r="N50" s="464"/>
      <c r="O50" s="464"/>
      <c r="P50" s="464"/>
      <c r="Q50" s="464"/>
      <c r="R50" s="464"/>
      <c r="S50" s="464"/>
      <c r="T50" s="464"/>
      <c r="U50" s="464"/>
      <c r="V50" s="464"/>
      <c r="W50" s="464"/>
      <c r="X50" s="464"/>
      <c r="Y50" s="464"/>
      <c r="Z50" s="464"/>
      <c r="AA50" s="464"/>
      <c r="AB50" s="464"/>
      <c r="AC50" s="212"/>
      <c r="AD50" s="212"/>
      <c r="AE50" s="101"/>
      <c r="AF50" s="212"/>
    </row>
    <row r="51" spans="1:32" ht="14.25" customHeight="1">
      <c r="B51" s="464" t="s">
        <v>42</v>
      </c>
      <c r="C51" s="464"/>
      <c r="D51" s="464"/>
      <c r="E51" s="464"/>
      <c r="F51" s="464"/>
      <c r="G51" s="464"/>
      <c r="H51" s="464"/>
      <c r="I51" s="464"/>
      <c r="J51" s="464"/>
      <c r="K51" s="464"/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464"/>
      <c r="X51" s="464"/>
      <c r="Y51" s="464"/>
      <c r="Z51" s="464"/>
      <c r="AA51" s="464"/>
      <c r="AB51" s="464"/>
      <c r="AC51" s="212"/>
      <c r="AD51" s="212"/>
      <c r="AE51" s="101"/>
      <c r="AF51" s="212"/>
    </row>
    <row r="52" spans="1:32" ht="14.25" customHeight="1">
      <c r="B52" s="464" t="s">
        <v>52</v>
      </c>
      <c r="C52" s="464"/>
      <c r="D52" s="464"/>
      <c r="E52" s="464"/>
      <c r="F52" s="464"/>
      <c r="G52" s="464"/>
      <c r="H52" s="464"/>
      <c r="I52" s="464"/>
      <c r="J52" s="464"/>
      <c r="K52" s="464"/>
      <c r="L52" s="464"/>
      <c r="M52" s="464"/>
      <c r="N52" s="464"/>
      <c r="O52" s="464"/>
      <c r="P52" s="464"/>
      <c r="Q52" s="464"/>
      <c r="R52" s="464"/>
      <c r="S52" s="464"/>
      <c r="T52" s="464"/>
      <c r="U52" s="464"/>
      <c r="V52" s="464"/>
      <c r="W52" s="464"/>
      <c r="X52" s="464"/>
      <c r="Y52" s="464"/>
      <c r="Z52" s="464"/>
      <c r="AA52" s="464"/>
      <c r="AB52" s="464"/>
      <c r="AC52" s="212"/>
      <c r="AD52" s="212"/>
      <c r="AE52" s="101"/>
      <c r="AF52" s="212"/>
    </row>
    <row r="53" spans="1:32" ht="14.25" customHeight="1">
      <c r="B53" s="474" t="s">
        <v>61</v>
      </c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212"/>
      <c r="AD53" s="212"/>
      <c r="AE53" s="101"/>
      <c r="AF53" s="212"/>
    </row>
    <row r="54" spans="1:32" ht="14.25" customHeight="1">
      <c r="B54" s="464" t="s">
        <v>62</v>
      </c>
      <c r="C54" s="464"/>
      <c r="D54" s="464"/>
      <c r="E54" s="464"/>
      <c r="F54" s="464"/>
      <c r="G54" s="464"/>
      <c r="H54" s="464"/>
      <c r="I54" s="464"/>
      <c r="J54" s="464"/>
      <c r="K54" s="464"/>
      <c r="L54" s="464"/>
      <c r="M54" s="464"/>
      <c r="N54" s="464"/>
      <c r="O54" s="464"/>
      <c r="P54" s="464"/>
      <c r="Q54" s="464"/>
      <c r="R54" s="464"/>
      <c r="S54" s="464"/>
      <c r="T54" s="464"/>
      <c r="U54" s="464"/>
      <c r="V54" s="464"/>
      <c r="W54" s="464"/>
      <c r="X54" s="464"/>
      <c r="Y54" s="464"/>
      <c r="Z54" s="464"/>
      <c r="AA54" s="464"/>
      <c r="AB54" s="464"/>
      <c r="AC54" s="212"/>
      <c r="AD54" s="212"/>
      <c r="AE54" s="101"/>
      <c r="AF54" s="212"/>
    </row>
    <row r="55" spans="1:32" ht="14.25" customHeight="1">
      <c r="B55" s="201" t="s">
        <v>64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2" ht="14.25" customHeight="1">
      <c r="B56" s="464" t="s">
        <v>65</v>
      </c>
      <c r="C56" s="464"/>
      <c r="D56" s="464"/>
      <c r="E56" s="464"/>
      <c r="F56" s="464"/>
      <c r="G56" s="464"/>
      <c r="H56" s="464"/>
      <c r="I56" s="464"/>
      <c r="J56" s="464"/>
      <c r="K56" s="464"/>
      <c r="L56" s="464"/>
      <c r="M56" s="464"/>
      <c r="N56" s="464"/>
      <c r="O56" s="464"/>
      <c r="P56" s="464"/>
      <c r="Q56" s="464"/>
      <c r="R56" s="464"/>
      <c r="S56" s="464"/>
      <c r="T56" s="464"/>
      <c r="U56" s="464"/>
      <c r="V56" s="464"/>
      <c r="W56" s="464"/>
      <c r="X56" s="464"/>
      <c r="Y56" s="464"/>
      <c r="Z56" s="464"/>
      <c r="AA56" s="464"/>
      <c r="AB56" s="464"/>
      <c r="AC56" s="212"/>
      <c r="AD56" s="212"/>
      <c r="AE56" s="101"/>
      <c r="AF56" s="212"/>
    </row>
    <row r="57" spans="1:32" ht="14.25" customHeight="1">
      <c r="B57" s="201" t="s">
        <v>74</v>
      </c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212"/>
      <c r="AD57" s="212"/>
      <c r="AE57" s="101"/>
      <c r="AF57" s="212"/>
    </row>
    <row r="58" spans="1:32" ht="14.25" customHeight="1">
      <c r="B58" s="464" t="s">
        <v>67</v>
      </c>
      <c r="C58" s="464"/>
      <c r="D58" s="464"/>
      <c r="E58" s="464"/>
      <c r="F58" s="464"/>
      <c r="G58" s="464"/>
      <c r="H58" s="464"/>
      <c r="I58" s="464"/>
      <c r="J58" s="464"/>
      <c r="K58" s="464"/>
      <c r="L58" s="464"/>
      <c r="M58" s="464"/>
      <c r="N58" s="464"/>
      <c r="O58" s="464"/>
      <c r="P58" s="464"/>
      <c r="Q58" s="464"/>
      <c r="R58" s="464"/>
      <c r="S58" s="464"/>
      <c r="T58" s="464"/>
      <c r="U58" s="464"/>
      <c r="V58" s="464"/>
      <c r="W58" s="464"/>
      <c r="X58" s="464"/>
      <c r="Y58" s="464"/>
      <c r="Z58" s="464"/>
      <c r="AA58" s="464"/>
      <c r="AB58" s="464"/>
      <c r="AC58" s="212"/>
      <c r="AD58" s="212"/>
      <c r="AE58" s="101"/>
      <c r="AF58" s="212"/>
    </row>
    <row r="59" spans="1:32" ht="14.25" customHeight="1">
      <c r="B59" s="464" t="s">
        <v>68</v>
      </c>
      <c r="C59" s="464"/>
      <c r="D59" s="464"/>
      <c r="E59" s="464"/>
      <c r="F59" s="464"/>
      <c r="G59" s="464"/>
      <c r="H59" s="464"/>
      <c r="I59" s="464"/>
      <c r="J59" s="464"/>
      <c r="K59" s="464"/>
      <c r="L59" s="464"/>
      <c r="M59" s="464"/>
      <c r="N59" s="464"/>
      <c r="O59" s="464"/>
      <c r="P59" s="464"/>
      <c r="Q59" s="464"/>
      <c r="R59" s="464"/>
      <c r="S59" s="464"/>
      <c r="T59" s="464"/>
      <c r="U59" s="464"/>
      <c r="V59" s="464"/>
      <c r="W59" s="464"/>
      <c r="X59" s="464"/>
      <c r="Y59" s="464"/>
      <c r="Z59" s="464"/>
      <c r="AA59" s="464"/>
      <c r="AB59" s="464"/>
      <c r="AC59" s="212"/>
      <c r="AD59" s="212"/>
      <c r="AE59" s="101"/>
      <c r="AF59" s="212"/>
    </row>
    <row r="60" spans="1:32" ht="14.25" customHeight="1">
      <c r="B60" s="464" t="s">
        <v>3</v>
      </c>
      <c r="C60" s="464"/>
      <c r="D60" s="464"/>
      <c r="E60" s="464"/>
      <c r="F60" s="464"/>
      <c r="G60" s="464"/>
      <c r="H60" s="464"/>
      <c r="I60" s="464"/>
      <c r="J60" s="464"/>
      <c r="K60" s="464"/>
      <c r="L60" s="464"/>
      <c r="M60" s="464"/>
      <c r="N60" s="464"/>
      <c r="O60" s="464"/>
      <c r="P60" s="464"/>
      <c r="Q60" s="464"/>
      <c r="R60" s="464"/>
      <c r="S60" s="464"/>
      <c r="T60" s="464"/>
      <c r="U60" s="464"/>
      <c r="V60" s="464"/>
      <c r="W60" s="464"/>
      <c r="X60" s="464"/>
      <c r="Y60" s="464"/>
      <c r="Z60" s="464"/>
      <c r="AA60" s="464"/>
      <c r="AB60" s="464"/>
      <c r="AC60" s="212"/>
      <c r="AD60" s="212"/>
      <c r="AE60" s="101"/>
      <c r="AF60" s="212"/>
    </row>
    <row r="61" spans="1:32" ht="14.25" customHeight="1">
      <c r="A61" s="18"/>
      <c r="B61" s="100"/>
      <c r="C61" s="93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12"/>
      <c r="AD61" s="212"/>
      <c r="AE61" s="101"/>
      <c r="AF61" s="212"/>
    </row>
    <row r="62" spans="1:32" ht="20.25">
      <c r="B62" s="453" t="s">
        <v>32</v>
      </c>
      <c r="C62" s="453"/>
      <c r="D62" s="453"/>
      <c r="E62" s="453"/>
      <c r="F62" s="453"/>
      <c r="G62" s="453"/>
      <c r="H62" s="453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Y62" s="453"/>
      <c r="Z62" s="453"/>
      <c r="AA62" s="453"/>
      <c r="AB62" s="453"/>
      <c r="AC62" s="214"/>
      <c r="AD62" s="214"/>
      <c r="AE62" s="214"/>
      <c r="AF62" s="214"/>
    </row>
    <row r="63" spans="1:32">
      <c r="B63" s="102"/>
      <c r="C63" s="469"/>
      <c r="D63" s="460"/>
      <c r="E63" s="469"/>
      <c r="F63" s="470"/>
      <c r="G63" s="469"/>
      <c r="H63" s="470"/>
      <c r="I63" s="469"/>
      <c r="J63" s="470"/>
      <c r="K63" s="469"/>
      <c r="L63" s="470"/>
      <c r="M63" s="469"/>
      <c r="N63" s="470"/>
      <c r="O63" s="469"/>
      <c r="P63" s="470"/>
      <c r="Q63" s="469"/>
      <c r="R63" s="470"/>
      <c r="S63" s="469"/>
      <c r="T63" s="470"/>
      <c r="U63" s="469"/>
      <c r="V63" s="470"/>
      <c r="W63" s="469"/>
      <c r="X63" s="470"/>
      <c r="Y63" s="469"/>
      <c r="Z63" s="470"/>
      <c r="AA63" s="469"/>
      <c r="AB63" s="470"/>
    </row>
    <row r="64" spans="1:32">
      <c r="B64" s="102">
        <f>B5</f>
        <v>2000</v>
      </c>
      <c r="C64" s="469" t="s">
        <v>4</v>
      </c>
      <c r="D64" s="460"/>
      <c r="E64" s="469" t="s">
        <v>5</v>
      </c>
      <c r="F64" s="470"/>
      <c r="G64" s="469" t="s">
        <v>6</v>
      </c>
      <c r="H64" s="470"/>
      <c r="I64" s="469" t="s">
        <v>7</v>
      </c>
      <c r="J64" s="470"/>
      <c r="K64" s="469" t="s">
        <v>8</v>
      </c>
      <c r="L64" s="470"/>
      <c r="M64" s="469" t="s">
        <v>9</v>
      </c>
      <c r="N64" s="470"/>
      <c r="O64" s="469" t="s">
        <v>10</v>
      </c>
      <c r="P64" s="470"/>
      <c r="Q64" s="471" t="s">
        <v>11</v>
      </c>
      <c r="R64" s="470"/>
      <c r="S64" s="471" t="s">
        <v>12</v>
      </c>
      <c r="T64" s="470"/>
      <c r="U64" s="469" t="s">
        <v>0</v>
      </c>
      <c r="V64" s="473"/>
      <c r="W64" s="469" t="s">
        <v>1</v>
      </c>
      <c r="X64" s="473"/>
      <c r="Y64" s="469" t="s">
        <v>2</v>
      </c>
      <c r="Z64" s="473"/>
      <c r="AA64" s="469" t="s">
        <v>102</v>
      </c>
      <c r="AB64" s="460"/>
    </row>
    <row r="65" spans="1:35">
      <c r="B65" s="102"/>
      <c r="C65" s="469"/>
      <c r="D65" s="460"/>
      <c r="E65" s="469"/>
      <c r="F65" s="460"/>
      <c r="G65" s="469"/>
      <c r="H65" s="460"/>
      <c r="I65" s="469"/>
      <c r="J65" s="460"/>
      <c r="K65" s="469"/>
      <c r="L65" s="460"/>
      <c r="M65" s="469"/>
      <c r="N65" s="460"/>
      <c r="O65" s="469"/>
      <c r="P65" s="460"/>
      <c r="Q65" s="469"/>
      <c r="R65" s="460"/>
      <c r="S65" s="469"/>
      <c r="T65" s="460"/>
      <c r="U65" s="469"/>
      <c r="V65" s="460"/>
      <c r="W65" s="469"/>
      <c r="X65" s="460"/>
      <c r="Y65" s="469"/>
      <c r="Z65" s="460"/>
      <c r="AA65" s="469"/>
      <c r="AB65" s="460"/>
    </row>
    <row r="66" spans="1:35" s="202" customFormat="1" ht="14.25">
      <c r="A66" s="44"/>
      <c r="B66" s="103" t="s">
        <v>24</v>
      </c>
      <c r="C66" s="72"/>
      <c r="D66" s="104">
        <v>3031.521749</v>
      </c>
      <c r="E66" s="104"/>
      <c r="F66" s="104">
        <v>2897.158332</v>
      </c>
      <c r="G66" s="104"/>
      <c r="H66" s="104">
        <v>2997.9486219999999</v>
      </c>
      <c r="I66" s="104"/>
      <c r="J66" s="104">
        <v>3040.7236360000002</v>
      </c>
      <c r="K66" s="104"/>
      <c r="L66" s="104">
        <v>3039.6938239999999</v>
      </c>
      <c r="M66" s="104"/>
      <c r="N66" s="104">
        <v>3055.5234300000002</v>
      </c>
      <c r="O66" s="104"/>
      <c r="P66" s="104">
        <v>2876.1064900000001</v>
      </c>
      <c r="Q66" s="104"/>
      <c r="R66" s="104">
        <v>3162.4747619999998</v>
      </c>
      <c r="S66" s="120"/>
      <c r="T66" s="104">
        <v>3172.851392</v>
      </c>
      <c r="U66" s="120"/>
      <c r="V66" s="104">
        <v>2860.8662079999999</v>
      </c>
      <c r="W66" s="120"/>
      <c r="X66" s="104">
        <v>2964.5501530000001</v>
      </c>
      <c r="Y66" s="120"/>
      <c r="Z66" s="120">
        <v>3042.7488579999999</v>
      </c>
      <c r="AA66" s="104"/>
      <c r="AB66" s="104">
        <f>AVERAGE(D66:Z66)</f>
        <v>3011.8472879999995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39</v>
      </c>
      <c r="C67" s="72"/>
      <c r="D67" s="104">
        <v>4809.2234930000004</v>
      </c>
      <c r="E67" s="104"/>
      <c r="F67" s="104">
        <v>4658.4481299999998</v>
      </c>
      <c r="G67" s="104"/>
      <c r="H67" s="104">
        <v>4766.7502020000002</v>
      </c>
      <c r="I67" s="104"/>
      <c r="J67" s="104">
        <v>4668.8933720000005</v>
      </c>
      <c r="K67" s="104"/>
      <c r="L67" s="104">
        <v>4786.6942570000001</v>
      </c>
      <c r="M67" s="104"/>
      <c r="N67" s="104">
        <v>4780.9065970000001</v>
      </c>
      <c r="O67" s="104"/>
      <c r="P67" s="104">
        <v>4592.4328480000004</v>
      </c>
      <c r="Q67" s="104"/>
      <c r="R67" s="104">
        <v>4750.8994110000003</v>
      </c>
      <c r="S67" s="120"/>
      <c r="T67" s="104">
        <v>4655.8558160000002</v>
      </c>
      <c r="U67" s="120"/>
      <c r="V67" s="104">
        <v>4517.5702069999998</v>
      </c>
      <c r="W67" s="120"/>
      <c r="X67" s="104">
        <v>4566.2204599999995</v>
      </c>
      <c r="Y67" s="120"/>
      <c r="Z67" s="120">
        <v>4596.1131999999998</v>
      </c>
      <c r="AA67" s="104"/>
      <c r="AB67" s="104">
        <f t="shared" ref="AB67:AB76" si="0">AVERAGE(D67:Z67)</f>
        <v>4679.1673327500002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25</v>
      </c>
      <c r="C68" s="72"/>
      <c r="D68" s="104">
        <v>500.54994962669997</v>
      </c>
      <c r="E68" s="104"/>
      <c r="F68" s="104">
        <v>529.24903047359999</v>
      </c>
      <c r="G68" s="104"/>
      <c r="H68" s="104">
        <v>538.2770879469</v>
      </c>
      <c r="I68" s="104"/>
      <c r="J68" s="104">
        <v>511.6143169595</v>
      </c>
      <c r="K68" s="104"/>
      <c r="L68" s="104">
        <v>540.35692321470003</v>
      </c>
      <c r="M68" s="104"/>
      <c r="N68" s="104">
        <v>538.22893895699997</v>
      </c>
      <c r="O68" s="104"/>
      <c r="P68" s="104">
        <v>519.73003521550004</v>
      </c>
      <c r="Q68" s="104"/>
      <c r="R68" s="104">
        <v>542.47776249560002</v>
      </c>
      <c r="S68" s="120"/>
      <c r="T68" s="104">
        <v>528.43731589200002</v>
      </c>
      <c r="U68" s="120"/>
      <c r="V68" s="104">
        <v>526.72530390750001</v>
      </c>
      <c r="W68" s="120"/>
      <c r="X68" s="104">
        <v>547.47168686800012</v>
      </c>
      <c r="Y68" s="120"/>
      <c r="Z68" s="120">
        <v>569.10576539680005</v>
      </c>
      <c r="AA68" s="104"/>
      <c r="AB68" s="104">
        <f t="shared" si="0"/>
        <v>532.68534307948346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26</v>
      </c>
      <c r="C69" s="72"/>
      <c r="D69" s="104">
        <v>253.17444545879999</v>
      </c>
      <c r="E69" s="104"/>
      <c r="F69" s="104">
        <v>283.18966893330003</v>
      </c>
      <c r="G69" s="104"/>
      <c r="H69" s="104">
        <v>289.89010450440003</v>
      </c>
      <c r="I69" s="104"/>
      <c r="J69" s="104">
        <v>262.91088271500001</v>
      </c>
      <c r="K69" s="104"/>
      <c r="L69" s="104">
        <v>297.40709462950002</v>
      </c>
      <c r="M69" s="104"/>
      <c r="N69" s="104">
        <v>299.86788649499999</v>
      </c>
      <c r="O69" s="104"/>
      <c r="P69" s="104">
        <v>280.43315574440004</v>
      </c>
      <c r="Q69" s="104"/>
      <c r="R69" s="104">
        <v>299.89252760010004</v>
      </c>
      <c r="S69" s="120"/>
      <c r="T69" s="104">
        <v>288.58958308000001</v>
      </c>
      <c r="U69" s="120"/>
      <c r="V69" s="104">
        <v>292.08558006499999</v>
      </c>
      <c r="W69" s="120"/>
      <c r="X69" s="104">
        <v>301.12823769900001</v>
      </c>
      <c r="Y69" s="120"/>
      <c r="Z69" s="120">
        <v>268.30466283959998</v>
      </c>
      <c r="AA69" s="104"/>
      <c r="AB69" s="104">
        <f t="shared" si="0"/>
        <v>284.739485813675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27</v>
      </c>
      <c r="C70" s="72"/>
      <c r="D70" s="104">
        <v>461.48660947899998</v>
      </c>
      <c r="E70" s="104"/>
      <c r="F70" s="104">
        <v>451.14949729099999</v>
      </c>
      <c r="G70" s="104"/>
      <c r="H70" s="104">
        <v>515.86351412900001</v>
      </c>
      <c r="I70" s="104"/>
      <c r="J70" s="104">
        <v>539.35387327599994</v>
      </c>
      <c r="K70" s="104"/>
      <c r="L70" s="104">
        <v>549.99557765500003</v>
      </c>
      <c r="M70" s="104"/>
      <c r="N70" s="104">
        <v>496.43400657799998</v>
      </c>
      <c r="O70" s="104"/>
      <c r="P70" s="104">
        <v>449.65994537699999</v>
      </c>
      <c r="Q70" s="104"/>
      <c r="R70" s="104">
        <v>521.74875736800004</v>
      </c>
      <c r="S70" s="120"/>
      <c r="T70" s="104">
        <v>504.38187823499999</v>
      </c>
      <c r="U70" s="120"/>
      <c r="V70" s="104">
        <v>513.73087369200005</v>
      </c>
      <c r="W70" s="120"/>
      <c r="X70" s="104">
        <v>446.40224845699998</v>
      </c>
      <c r="Y70" s="120"/>
      <c r="Z70" s="120">
        <v>456.45074471300001</v>
      </c>
      <c r="AA70" s="104"/>
      <c r="AB70" s="104">
        <f t="shared" si="0"/>
        <v>492.22146052083332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103" t="s">
        <v>28</v>
      </c>
      <c r="C71" s="72"/>
      <c r="D71" s="104">
        <v>373.03464178600001</v>
      </c>
      <c r="E71" s="104"/>
      <c r="F71" s="104">
        <v>340.76046506599999</v>
      </c>
      <c r="G71" s="104"/>
      <c r="H71" s="104">
        <v>331.42358095999998</v>
      </c>
      <c r="I71" s="104"/>
      <c r="J71" s="104">
        <v>309.03236717200002</v>
      </c>
      <c r="K71" s="104"/>
      <c r="L71" s="104">
        <v>309.973714503</v>
      </c>
      <c r="M71" s="104"/>
      <c r="N71" s="104">
        <v>319.53307547700001</v>
      </c>
      <c r="O71" s="104"/>
      <c r="P71" s="104">
        <v>308.38398107799998</v>
      </c>
      <c r="Q71" s="104"/>
      <c r="R71" s="104">
        <v>313.449488702</v>
      </c>
      <c r="S71" s="120"/>
      <c r="T71" s="104">
        <v>317.14906487500002</v>
      </c>
      <c r="U71" s="120"/>
      <c r="V71" s="104">
        <v>327.92360536400003</v>
      </c>
      <c r="W71" s="120"/>
      <c r="X71" s="104">
        <v>343.79552680199998</v>
      </c>
      <c r="Y71" s="120"/>
      <c r="Z71" s="120">
        <v>361.62949290400002</v>
      </c>
      <c r="AA71" s="104"/>
      <c r="AB71" s="104">
        <f t="shared" si="0"/>
        <v>329.67408372408335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4.25">
      <c r="A72" s="44"/>
      <c r="B72" s="103" t="s">
        <v>38</v>
      </c>
      <c r="C72" s="72"/>
      <c r="D72" s="104">
        <v>1956.94</v>
      </c>
      <c r="E72" s="104"/>
      <c r="F72" s="104">
        <v>2182.38</v>
      </c>
      <c r="G72" s="104"/>
      <c r="H72" s="104">
        <v>2133.66</v>
      </c>
      <c r="I72" s="104"/>
      <c r="J72" s="104">
        <v>1982.2</v>
      </c>
      <c r="K72" s="104"/>
      <c r="L72" s="104">
        <v>2079.61</v>
      </c>
      <c r="M72" s="104"/>
      <c r="N72" s="104">
        <v>2028.39</v>
      </c>
      <c r="O72" s="104"/>
      <c r="P72" s="104">
        <v>2023.35</v>
      </c>
      <c r="Q72" s="104"/>
      <c r="R72" s="104">
        <v>2085.34</v>
      </c>
      <c r="S72" s="120"/>
      <c r="T72" s="104">
        <v>2107.38</v>
      </c>
      <c r="U72" s="120"/>
      <c r="V72" s="104">
        <v>2054.5</v>
      </c>
      <c r="W72" s="120"/>
      <c r="X72" s="104">
        <v>2226.17</v>
      </c>
      <c r="Y72" s="120"/>
      <c r="Z72" s="120">
        <v>1880.4</v>
      </c>
      <c r="AA72" s="104"/>
      <c r="AB72" s="104">
        <f t="shared" si="0"/>
        <v>2061.6933333333341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33</v>
      </c>
      <c r="C73" s="72"/>
      <c r="D73" s="104">
        <v>1517.127</v>
      </c>
      <c r="E73" s="104"/>
      <c r="F73" s="104">
        <v>1530.7609655171998</v>
      </c>
      <c r="G73" s="104"/>
      <c r="H73" s="104">
        <v>1533.7141290321999</v>
      </c>
      <c r="I73" s="104"/>
      <c r="J73" s="104">
        <v>1679.2927999999999</v>
      </c>
      <c r="K73" s="104"/>
      <c r="L73" s="104">
        <v>1683.6868064516</v>
      </c>
      <c r="M73" s="104"/>
      <c r="N73" s="104">
        <v>1685.0920333332999</v>
      </c>
      <c r="O73" s="104"/>
      <c r="P73" s="104">
        <v>1722.9576129032002</v>
      </c>
      <c r="Q73" s="104"/>
      <c r="R73" s="105">
        <v>1756.0826451612002</v>
      </c>
      <c r="S73" s="120"/>
      <c r="T73" s="104">
        <v>1719.7700999998999</v>
      </c>
      <c r="U73" s="120"/>
      <c r="V73" s="104">
        <v>1548.8506129031998</v>
      </c>
      <c r="W73" s="120"/>
      <c r="X73" s="104">
        <v>1697.1002666666</v>
      </c>
      <c r="Y73" s="120"/>
      <c r="Z73" s="120">
        <v>1748.7379677419001</v>
      </c>
      <c r="AA73" s="104"/>
      <c r="AB73" s="104">
        <f t="shared" si="0"/>
        <v>1651.9310783091917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2.75" customHeight="1">
      <c r="A74" s="44"/>
      <c r="B74" s="103" t="s">
        <v>29</v>
      </c>
      <c r="C74" s="72"/>
      <c r="D74" s="106">
        <v>22.980086808843762</v>
      </c>
      <c r="E74" s="106"/>
      <c r="F74" s="106">
        <v>25.652062627255429</v>
      </c>
      <c r="G74" s="106"/>
      <c r="H74" s="106">
        <v>24.461646734915682</v>
      </c>
      <c r="I74" s="106"/>
      <c r="J74" s="106">
        <v>21.782053107531741</v>
      </c>
      <c r="K74" s="106"/>
      <c r="L74" s="106">
        <v>25.054188875931132</v>
      </c>
      <c r="M74" s="106"/>
      <c r="N74" s="106">
        <v>26.501103911825371</v>
      </c>
      <c r="O74" s="106"/>
      <c r="P74" s="106">
        <v>24.164812003897811</v>
      </c>
      <c r="Q74" s="106"/>
      <c r="R74" s="121">
        <v>27.13985325730836</v>
      </c>
      <c r="S74" s="122"/>
      <c r="T74" s="121">
        <v>27.597117214247085</v>
      </c>
      <c r="U74" s="122"/>
      <c r="V74" s="121">
        <v>26.673711558719596</v>
      </c>
      <c r="W74" s="122"/>
      <c r="X74" s="121">
        <v>24.900415174674873</v>
      </c>
      <c r="Y74" s="122"/>
      <c r="Z74" s="122">
        <v>18.79959641456929</v>
      </c>
      <c r="AA74" s="104"/>
      <c r="AB74" s="107">
        <f t="shared" si="0"/>
        <v>24.64222064081001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103" t="s">
        <v>30</v>
      </c>
      <c r="C75" s="72"/>
      <c r="D75" s="106">
        <v>2.23</v>
      </c>
      <c r="E75" s="122"/>
      <c r="F75" s="106">
        <v>2.4750000000000001</v>
      </c>
      <c r="G75" s="106"/>
      <c r="H75" s="106">
        <v>2.48</v>
      </c>
      <c r="I75" s="106"/>
      <c r="J75" s="106">
        <v>2.7549999999999999</v>
      </c>
      <c r="K75" s="106"/>
      <c r="L75" s="106">
        <v>2.9449999999999998</v>
      </c>
      <c r="M75" s="106"/>
      <c r="N75" s="106">
        <v>4.21</v>
      </c>
      <c r="O75" s="106"/>
      <c r="P75" s="106">
        <v>4.2149999999999999</v>
      </c>
      <c r="Q75" s="106"/>
      <c r="R75" s="106">
        <v>3.7050000000000001</v>
      </c>
      <c r="S75" s="106"/>
      <c r="T75" s="106">
        <v>4.45</v>
      </c>
      <c r="U75" s="106"/>
      <c r="V75" s="106">
        <v>5.1050000000000004</v>
      </c>
      <c r="W75" s="106"/>
      <c r="X75" s="106">
        <v>4.3099999999999996</v>
      </c>
      <c r="Y75" s="106"/>
      <c r="Z75" s="122">
        <v>5.7750000000000004</v>
      </c>
      <c r="AA75" s="106"/>
      <c r="AB75" s="107">
        <f t="shared" si="0"/>
        <v>3.7212499999999999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103" t="s">
        <v>31</v>
      </c>
      <c r="C76" s="72"/>
      <c r="D76" s="108">
        <v>9.4793000000000003</v>
      </c>
      <c r="E76" s="108"/>
      <c r="F76" s="108">
        <v>9.4456000000000007</v>
      </c>
      <c r="G76" s="108"/>
      <c r="H76" s="108">
        <v>9.2958999999999996</v>
      </c>
      <c r="I76" s="108"/>
      <c r="J76" s="108">
        <v>9.3748000000000005</v>
      </c>
      <c r="K76" s="108"/>
      <c r="L76" s="108">
        <v>9.5081000000000007</v>
      </c>
      <c r="M76" s="108"/>
      <c r="N76" s="108">
        <v>9.7978000000000005</v>
      </c>
      <c r="O76" s="108"/>
      <c r="P76" s="108">
        <v>9.4687999999999999</v>
      </c>
      <c r="Q76" s="108"/>
      <c r="R76" s="108">
        <v>9.2845999999999993</v>
      </c>
      <c r="S76" s="123"/>
      <c r="T76" s="108">
        <v>9.3318999999999992</v>
      </c>
      <c r="U76" s="123"/>
      <c r="V76" s="108">
        <v>9.5182000000000002</v>
      </c>
      <c r="W76" s="123"/>
      <c r="X76" s="108">
        <v>9.5178999999999991</v>
      </c>
      <c r="Y76" s="123"/>
      <c r="Z76" s="123">
        <v>9.4441000000000006</v>
      </c>
      <c r="AA76" s="104"/>
      <c r="AB76" s="109">
        <f t="shared" si="0"/>
        <v>9.4555833333333332</v>
      </c>
      <c r="AC76" s="216"/>
      <c r="AD76" s="216"/>
      <c r="AE76" s="216"/>
      <c r="AF76" s="216"/>
      <c r="AG76" s="216"/>
      <c r="AH76" s="216"/>
      <c r="AI76" s="216"/>
    </row>
    <row r="77" spans="1:35" s="202" customFormat="1" ht="14.25">
      <c r="A77" s="44"/>
      <c r="B77" s="103" t="s">
        <v>69</v>
      </c>
      <c r="C77" s="72"/>
      <c r="D77" s="104">
        <v>449.95687729399134</v>
      </c>
      <c r="E77" s="104"/>
      <c r="F77" s="104">
        <v>430.49924621523587</v>
      </c>
      <c r="G77" s="104"/>
      <c r="H77" s="104">
        <v>457.97795303903683</v>
      </c>
      <c r="I77" s="104"/>
      <c r="J77" s="104">
        <v>491.49605227239607</v>
      </c>
      <c r="K77" s="104"/>
      <c r="L77" s="104">
        <v>475.05740240939076</v>
      </c>
      <c r="M77" s="104"/>
      <c r="N77" s="104">
        <v>425.78743271281246</v>
      </c>
      <c r="O77" s="104"/>
      <c r="P77" s="104">
        <v>393.6933867200928</v>
      </c>
      <c r="Q77" s="104"/>
      <c r="R77" s="104">
        <v>575.13241357391075</v>
      </c>
      <c r="S77" s="104"/>
      <c r="T77" s="104">
        <v>507.54428074610991</v>
      </c>
      <c r="U77" s="120"/>
      <c r="V77" s="104">
        <v>621.88650647685665</v>
      </c>
      <c r="W77" s="120"/>
      <c r="X77" s="104">
        <v>476.41300878675042</v>
      </c>
      <c r="Y77" s="120"/>
      <c r="Z77" s="120">
        <v>430.73196884182835</v>
      </c>
      <c r="AA77" s="104"/>
      <c r="AB77" s="104">
        <f>AVERAGE(D77:Z77)</f>
        <v>478.01471075736771</v>
      </c>
      <c r="AC77" s="216"/>
      <c r="AD77" s="216"/>
      <c r="AE77" s="216"/>
      <c r="AF77" s="216"/>
      <c r="AG77" s="216"/>
      <c r="AH77" s="216"/>
      <c r="AI77" s="216"/>
    </row>
    <row r="78" spans="1:35" s="202" customFormat="1" ht="14.25">
      <c r="A78" s="44"/>
      <c r="B78" s="103" t="s">
        <v>70</v>
      </c>
      <c r="C78" s="72"/>
      <c r="D78" s="104">
        <v>20.678270000000001</v>
      </c>
      <c r="E78" s="104"/>
      <c r="F78" s="104">
        <v>37.47092</v>
      </c>
      <c r="G78" s="104"/>
      <c r="H78" s="104">
        <v>33.46998</v>
      </c>
      <c r="I78" s="104"/>
      <c r="J78" s="104">
        <v>41.922373</v>
      </c>
      <c r="K78" s="104"/>
      <c r="L78" s="104">
        <v>7.7039299999999997</v>
      </c>
      <c r="M78" s="104"/>
      <c r="N78" s="104">
        <v>0.18225</v>
      </c>
      <c r="O78" s="104"/>
      <c r="P78" s="104">
        <v>14.7</v>
      </c>
      <c r="Q78" s="104"/>
      <c r="R78" s="104">
        <v>13.205359</v>
      </c>
      <c r="S78" s="104"/>
      <c r="T78" s="104">
        <v>10.181929999999999</v>
      </c>
      <c r="U78" s="120"/>
      <c r="V78" s="104">
        <v>37.974182999999996</v>
      </c>
      <c r="W78" s="120"/>
      <c r="X78" s="104">
        <v>32.446365</v>
      </c>
      <c r="Y78" s="120"/>
      <c r="Z78" s="120">
        <v>35.736139000000001</v>
      </c>
      <c r="AA78" s="104"/>
      <c r="AB78" s="104">
        <f>AVERAGE(D78:Z78)</f>
        <v>23.805974916666667</v>
      </c>
      <c r="AC78" s="216"/>
      <c r="AD78" s="216"/>
      <c r="AE78" s="216"/>
      <c r="AF78" s="216"/>
      <c r="AG78" s="216"/>
      <c r="AH78" s="216"/>
      <c r="AI78" s="216"/>
    </row>
    <row r="79" spans="1:35" ht="13.5">
      <c r="B79" s="195" t="s">
        <v>71</v>
      </c>
      <c r="C79" s="111"/>
      <c r="D79" s="110"/>
      <c r="E79" s="112"/>
      <c r="F79" s="113"/>
      <c r="G79" s="112"/>
      <c r="H79" s="113"/>
      <c r="I79" s="112"/>
      <c r="J79" s="113"/>
      <c r="K79" s="112"/>
      <c r="L79" s="113"/>
      <c r="M79" s="113"/>
      <c r="N79" s="112"/>
      <c r="O79" s="113"/>
      <c r="P79" s="112"/>
      <c r="Q79" s="114"/>
      <c r="R79" s="115"/>
      <c r="S79" s="114"/>
      <c r="T79" s="116"/>
      <c r="U79" s="114"/>
      <c r="V79" s="117"/>
      <c r="W79" s="114"/>
      <c r="X79" s="117"/>
      <c r="Y79" s="114"/>
      <c r="Z79" s="117"/>
      <c r="AA79" s="117"/>
      <c r="AB79" s="117"/>
    </row>
    <row r="80" spans="1:35">
      <c r="B80" s="474" t="s">
        <v>75</v>
      </c>
      <c r="C80" s="474"/>
      <c r="D80" s="474"/>
      <c r="E80" s="474"/>
      <c r="F80" s="474"/>
      <c r="G80" s="474"/>
      <c r="H80" s="474"/>
      <c r="I80" s="474"/>
      <c r="J80" s="474"/>
      <c r="K80" s="474"/>
      <c r="L80" s="474"/>
      <c r="M80" s="474"/>
      <c r="N80" s="474"/>
      <c r="O80" s="474"/>
      <c r="P80" s="474"/>
      <c r="Q80" s="474"/>
      <c r="R80" s="474"/>
      <c r="S80" s="474"/>
      <c r="T80" s="474"/>
      <c r="U80" s="474"/>
      <c r="V80" s="474"/>
      <c r="W80" s="474"/>
      <c r="X80" s="474"/>
      <c r="Y80" s="474"/>
      <c r="Z80" s="474"/>
      <c r="AA80" s="474"/>
      <c r="AB80" s="474"/>
    </row>
    <row r="81" spans="2:28">
      <c r="B81" s="472" t="s">
        <v>101</v>
      </c>
      <c r="C81" s="472"/>
      <c r="D81" s="472"/>
      <c r="E81" s="472"/>
      <c r="F81" s="472"/>
      <c r="G81" s="472"/>
      <c r="H81" s="472"/>
      <c r="I81" s="472"/>
      <c r="J81" s="472"/>
      <c r="K81" s="472"/>
      <c r="L81" s="472"/>
      <c r="M81" s="472"/>
      <c r="N81" s="472"/>
      <c r="O81" s="472"/>
      <c r="P81" s="472"/>
      <c r="Q81" s="472"/>
      <c r="R81" s="472"/>
      <c r="S81" s="472"/>
      <c r="T81" s="472"/>
      <c r="U81" s="472"/>
      <c r="V81" s="472"/>
      <c r="W81" s="472"/>
      <c r="X81" s="472"/>
      <c r="Y81" s="472"/>
      <c r="Z81" s="472"/>
      <c r="AA81" s="472"/>
      <c r="AB81" s="472"/>
    </row>
    <row r="87" spans="2:28" ht="12.75" customHeight="1"/>
    <row r="88" spans="2:28" ht="12.75" customHeight="1"/>
    <row r="89" spans="2:28" ht="12.75" customHeight="1"/>
    <row r="90" spans="2:28" ht="12.75" customHeight="1"/>
    <row r="91" spans="2:28" ht="12.75" customHeight="1"/>
    <row r="92" spans="2:28" ht="12.75" customHeight="1"/>
    <row r="93" spans="2:28" ht="12.75" customHeight="1"/>
    <row r="94" spans="2:28" ht="12.75" customHeight="1"/>
    <row r="95" spans="2:28" ht="12.75" customHeight="1"/>
  </sheetData>
  <mergeCells count="95">
    <mergeCell ref="B2:AB2"/>
    <mergeCell ref="B47:AB47"/>
    <mergeCell ref="B48:AB48"/>
    <mergeCell ref="B49:AB49"/>
    <mergeCell ref="B3:AB3"/>
    <mergeCell ref="K7:L7"/>
    <mergeCell ref="M7:N7"/>
    <mergeCell ref="C7:D7"/>
    <mergeCell ref="E7:F7"/>
    <mergeCell ref="G7:H7"/>
    <mergeCell ref="O4:P4"/>
    <mergeCell ref="Q4:R4"/>
    <mergeCell ref="AA5:AB5"/>
    <mergeCell ref="K4:L4"/>
    <mergeCell ref="U5:V5"/>
    <mergeCell ref="W5:X5"/>
    <mergeCell ref="B50:AB50"/>
    <mergeCell ref="B51:AB51"/>
    <mergeCell ref="B59:AB59"/>
    <mergeCell ref="W7:X7"/>
    <mergeCell ref="Y7:Z7"/>
    <mergeCell ref="AA7:AB7"/>
    <mergeCell ref="O7:P7"/>
    <mergeCell ref="Q7:R7"/>
    <mergeCell ref="S7:T7"/>
    <mergeCell ref="U7:V7"/>
    <mergeCell ref="I7:J7"/>
    <mergeCell ref="I4:J4"/>
    <mergeCell ref="AA4:AB4"/>
    <mergeCell ref="C5:D5"/>
    <mergeCell ref="E5:F5"/>
    <mergeCell ref="G5:H5"/>
    <mergeCell ref="I5:J5"/>
    <mergeCell ref="K5:L5"/>
    <mergeCell ref="Y5:Z5"/>
    <mergeCell ref="M5:N5"/>
    <mergeCell ref="O5:P5"/>
    <mergeCell ref="Q5:R5"/>
    <mergeCell ref="S5:T5"/>
    <mergeCell ref="G64:H64"/>
    <mergeCell ref="I64:J64"/>
    <mergeCell ref="S4:T4"/>
    <mergeCell ref="U4:V4"/>
    <mergeCell ref="B60:AB60"/>
    <mergeCell ref="B56:AB56"/>
    <mergeCell ref="B52:AB52"/>
    <mergeCell ref="B53:AB53"/>
    <mergeCell ref="B54:AB54"/>
    <mergeCell ref="B58:AB58"/>
    <mergeCell ref="M4:N4"/>
    <mergeCell ref="W4:X4"/>
    <mergeCell ref="Y4:Z4"/>
    <mergeCell ref="C4:D4"/>
    <mergeCell ref="E4:F4"/>
    <mergeCell ref="G4:H4"/>
    <mergeCell ref="S63:T63"/>
    <mergeCell ref="Y63:Z63"/>
    <mergeCell ref="B80:AB80"/>
    <mergeCell ref="B81:AB81"/>
    <mergeCell ref="C63:D63"/>
    <mergeCell ref="E63:F63"/>
    <mergeCell ref="G63:H63"/>
    <mergeCell ref="I63:J63"/>
    <mergeCell ref="K63:L63"/>
    <mergeCell ref="M63:N63"/>
    <mergeCell ref="U63:V63"/>
    <mergeCell ref="O63:P63"/>
    <mergeCell ref="S64:T64"/>
    <mergeCell ref="AA63:AB63"/>
    <mergeCell ref="C64:D64"/>
    <mergeCell ref="E64:F64"/>
    <mergeCell ref="K65:L65"/>
    <mergeCell ref="M65:N65"/>
    <mergeCell ref="O65:P65"/>
    <mergeCell ref="Q65:R65"/>
    <mergeCell ref="Q64:R64"/>
    <mergeCell ref="K64:L64"/>
    <mergeCell ref="M64:N64"/>
    <mergeCell ref="O64:P64"/>
    <mergeCell ref="AA65:AB65"/>
    <mergeCell ref="B62:AB62"/>
    <mergeCell ref="S65:T65"/>
    <mergeCell ref="U65:V65"/>
    <mergeCell ref="W65:X65"/>
    <mergeCell ref="Y65:Z65"/>
    <mergeCell ref="Y64:Z64"/>
    <mergeCell ref="AA64:AB64"/>
    <mergeCell ref="W63:X63"/>
    <mergeCell ref="W64:X64"/>
    <mergeCell ref="U64:V64"/>
    <mergeCell ref="Q63:R63"/>
    <mergeCell ref="C65:D65"/>
    <mergeCell ref="E65:F65"/>
    <mergeCell ref="G65:H65"/>
    <mergeCell ref="I65:J65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57" orientation="landscape" r:id="rId1"/>
  <headerFooter alignWithMargins="0"/>
  <ignoredErrors>
    <ignoredError sqref="AB27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5"/>
  <sheetViews>
    <sheetView showGridLines="0" topLeftCell="A62" zoomScale="75" zoomScaleNormal="75" workbookViewId="0">
      <selection activeCell="AC17" sqref="AC17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53" t="s">
        <v>43</v>
      </c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453"/>
      <c r="Y2" s="453"/>
      <c r="Z2" s="453"/>
      <c r="AA2" s="453"/>
      <c r="AB2" s="453"/>
      <c r="AC2" s="214"/>
      <c r="AD2" s="214"/>
      <c r="AE2" s="214"/>
      <c r="AF2" s="214"/>
    </row>
    <row r="3" spans="1:35" ht="15.75" customHeight="1" thickBot="1">
      <c r="B3" s="459" t="s">
        <v>57</v>
      </c>
      <c r="C3" s="459"/>
      <c r="D3" s="459"/>
      <c r="E3" s="459"/>
      <c r="F3" s="459"/>
      <c r="G3" s="459"/>
      <c r="H3" s="459"/>
      <c r="I3" s="459"/>
      <c r="J3" s="459"/>
      <c r="K3" s="459"/>
      <c r="L3" s="459"/>
      <c r="M3" s="459"/>
      <c r="N3" s="459"/>
      <c r="O3" s="459"/>
      <c r="P3" s="459"/>
      <c r="Q3" s="459"/>
      <c r="R3" s="459"/>
      <c r="S3" s="459"/>
      <c r="T3" s="459"/>
      <c r="U3" s="459"/>
      <c r="V3" s="459"/>
      <c r="W3" s="459"/>
      <c r="X3" s="459"/>
      <c r="Y3" s="459"/>
      <c r="Z3" s="459"/>
      <c r="AA3" s="459"/>
      <c r="AB3" s="459"/>
      <c r="AC3" s="215"/>
      <c r="AD3" s="215"/>
      <c r="AE3" s="215"/>
      <c r="AF3" s="215"/>
    </row>
    <row r="4" spans="1:35">
      <c r="B4" s="63"/>
      <c r="C4" s="456"/>
      <c r="D4" s="457"/>
      <c r="E4" s="456"/>
      <c r="F4" s="463"/>
      <c r="G4" s="456"/>
      <c r="H4" s="463"/>
      <c r="I4" s="456"/>
      <c r="J4" s="463"/>
      <c r="K4" s="456"/>
      <c r="L4" s="463"/>
      <c r="M4" s="456"/>
      <c r="N4" s="463"/>
      <c r="O4" s="456"/>
      <c r="P4" s="463"/>
      <c r="Q4" s="456"/>
      <c r="R4" s="463"/>
      <c r="S4" s="456"/>
      <c r="T4" s="463"/>
      <c r="U4" s="456"/>
      <c r="V4" s="462"/>
      <c r="W4" s="456"/>
      <c r="X4" s="462"/>
      <c r="Y4" s="456"/>
      <c r="Z4" s="462"/>
      <c r="AA4" s="456"/>
      <c r="AB4" s="462"/>
    </row>
    <row r="5" spans="1:35">
      <c r="B5" s="64">
        <v>2001</v>
      </c>
      <c r="C5" s="454" t="s">
        <v>4</v>
      </c>
      <c r="D5" s="460"/>
      <c r="E5" s="454" t="s">
        <v>5</v>
      </c>
      <c r="F5" s="455"/>
      <c r="G5" s="454" t="s">
        <v>6</v>
      </c>
      <c r="H5" s="455"/>
      <c r="I5" s="454" t="s">
        <v>7</v>
      </c>
      <c r="J5" s="455"/>
      <c r="K5" s="454" t="s">
        <v>8</v>
      </c>
      <c r="L5" s="455"/>
      <c r="M5" s="454" t="s">
        <v>9</v>
      </c>
      <c r="N5" s="455"/>
      <c r="O5" s="454" t="s">
        <v>10</v>
      </c>
      <c r="P5" s="455"/>
      <c r="Q5" s="458" t="s">
        <v>11</v>
      </c>
      <c r="R5" s="455"/>
      <c r="S5" s="458" t="s">
        <v>12</v>
      </c>
      <c r="T5" s="455"/>
      <c r="U5" s="454" t="s">
        <v>0</v>
      </c>
      <c r="V5" s="461"/>
      <c r="W5" s="454" t="s">
        <v>1</v>
      </c>
      <c r="X5" s="461"/>
      <c r="Y5" s="454" t="s">
        <v>2</v>
      </c>
      <c r="Z5" s="461"/>
      <c r="AA5" s="454" t="s">
        <v>15</v>
      </c>
      <c r="AB5" s="46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5"/>
      <c r="D7" s="468"/>
      <c r="E7" s="465"/>
      <c r="F7" s="466"/>
      <c r="G7" s="465"/>
      <c r="H7" s="466"/>
      <c r="I7" s="465"/>
      <c r="J7" s="466"/>
      <c r="K7" s="465"/>
      <c r="L7" s="466"/>
      <c r="M7" s="465"/>
      <c r="N7" s="466"/>
      <c r="O7" s="465"/>
      <c r="P7" s="466"/>
      <c r="Q7" s="465"/>
      <c r="R7" s="466"/>
      <c r="S7" s="465"/>
      <c r="T7" s="466"/>
      <c r="U7" s="465"/>
      <c r="V7" s="467"/>
      <c r="W7" s="465"/>
      <c r="X7" s="467"/>
      <c r="Y7" s="465"/>
      <c r="Z7" s="467"/>
      <c r="AA7" s="465"/>
      <c r="AB7" s="467"/>
    </row>
    <row r="8" spans="1:35" s="202" customFormat="1" ht="14.25" customHeight="1">
      <c r="A8" s="44"/>
      <c r="B8" s="71" t="s">
        <v>16</v>
      </c>
      <c r="C8" s="72"/>
      <c r="D8" s="41">
        <f>D9+D12</f>
        <v>41018.957500000004</v>
      </c>
      <c r="E8" s="42"/>
      <c r="F8" s="41">
        <f>F9+F12</f>
        <v>38184.101600000002</v>
      </c>
      <c r="G8" s="41"/>
      <c r="H8" s="41">
        <f>H9+H12</f>
        <v>41304.8315</v>
      </c>
      <c r="I8" s="41"/>
      <c r="J8" s="41">
        <f>J9+J12</f>
        <v>38765.9565</v>
      </c>
      <c r="K8" s="41"/>
      <c r="L8" s="41">
        <f>L9+L12</f>
        <v>40248.614099999999</v>
      </c>
      <c r="M8" s="41"/>
      <c r="N8" s="41">
        <f>N9+N12</f>
        <v>47104.158900000002</v>
      </c>
      <c r="O8" s="41"/>
      <c r="P8" s="41">
        <f>P9+P12</f>
        <v>39416.635699999999</v>
      </c>
      <c r="Q8" s="41"/>
      <c r="R8" s="41">
        <f>R9+R12</f>
        <v>40298.3027</v>
      </c>
      <c r="S8" s="41"/>
      <c r="T8" s="41">
        <f>T9+T12</f>
        <v>39312.847000000002</v>
      </c>
      <c r="U8" s="41"/>
      <c r="V8" s="41">
        <f>V9+V12</f>
        <v>39047.296399999999</v>
      </c>
      <c r="W8" s="41"/>
      <c r="X8" s="41">
        <f>X9+X12</f>
        <v>36515.951699999998</v>
      </c>
      <c r="Y8" s="41"/>
      <c r="Z8" s="41">
        <f>Z9+Z12</f>
        <v>39166.7399</v>
      </c>
      <c r="AA8" s="73"/>
      <c r="AB8" s="73">
        <f>AB9+AB12</f>
        <v>480384.39350000001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40226.957500000004</v>
      </c>
      <c r="E9" s="42"/>
      <c r="F9" s="42">
        <f>+F10+F11</f>
        <v>37753.101600000002</v>
      </c>
      <c r="G9" s="42"/>
      <c r="H9" s="42">
        <f>+H10+H11</f>
        <v>41778.8315</v>
      </c>
      <c r="I9" s="42"/>
      <c r="J9" s="42">
        <f>+J10+J11</f>
        <v>39155.9565</v>
      </c>
      <c r="K9" s="42"/>
      <c r="L9" s="42">
        <f>+L10+L11</f>
        <v>40589.614099999999</v>
      </c>
      <c r="M9" s="42"/>
      <c r="N9" s="42">
        <f>+N10+N11</f>
        <v>47090.158900000002</v>
      </c>
      <c r="O9" s="42"/>
      <c r="P9" s="42">
        <f>+P10+P11</f>
        <v>39133.635699999999</v>
      </c>
      <c r="Q9" s="42"/>
      <c r="R9" s="42">
        <f>+R10+R11</f>
        <v>40379.3027</v>
      </c>
      <c r="S9" s="42"/>
      <c r="T9" s="42">
        <f>+T10+T11</f>
        <v>39070.847000000002</v>
      </c>
      <c r="U9" s="42"/>
      <c r="V9" s="42">
        <f>+V10+V11</f>
        <v>39485.296399999999</v>
      </c>
      <c r="W9" s="42"/>
      <c r="X9" s="42">
        <f>+X10+X11</f>
        <v>36434.951699999998</v>
      </c>
      <c r="Y9" s="42"/>
      <c r="Z9" s="42">
        <f>+Z10+Z11</f>
        <v>37028.7399</v>
      </c>
      <c r="AA9" s="75"/>
      <c r="AB9" s="75">
        <f>+AB10+AB11</f>
        <v>478127.39350000001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76" t="s">
        <v>47</v>
      </c>
      <c r="C10" s="72"/>
      <c r="D10" s="42">
        <v>11409.957500000002</v>
      </c>
      <c r="E10" s="42"/>
      <c r="F10" s="42">
        <v>11282.1016</v>
      </c>
      <c r="G10" s="42"/>
      <c r="H10" s="42">
        <v>11740.8315</v>
      </c>
      <c r="I10" s="42"/>
      <c r="J10" s="42">
        <v>10346.956500000002</v>
      </c>
      <c r="K10" s="42"/>
      <c r="L10" s="42">
        <v>10377.614099999999</v>
      </c>
      <c r="M10" s="42"/>
      <c r="N10" s="42">
        <v>10145.1589</v>
      </c>
      <c r="O10" s="42"/>
      <c r="P10" s="42">
        <v>10423.635699999999</v>
      </c>
      <c r="Q10" s="42"/>
      <c r="R10" s="42">
        <v>10813.302700000002</v>
      </c>
      <c r="S10" s="42"/>
      <c r="T10" s="42">
        <v>9669.8469999999998</v>
      </c>
      <c r="U10" s="42"/>
      <c r="V10" s="42">
        <v>11105.296400000001</v>
      </c>
      <c r="W10" s="42"/>
      <c r="X10" s="42">
        <v>8595.9516999999996</v>
      </c>
      <c r="Y10" s="42"/>
      <c r="Z10" s="42">
        <v>7950.7399000000005</v>
      </c>
      <c r="AA10" s="75"/>
      <c r="AB10" s="75">
        <f>SUM(D10:Z10)</f>
        <v>123861.39350000001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76" t="s">
        <v>48</v>
      </c>
      <c r="C11" s="72"/>
      <c r="D11" s="42">
        <v>28817</v>
      </c>
      <c r="E11" s="42"/>
      <c r="F11" s="42">
        <v>26471</v>
      </c>
      <c r="G11" s="42"/>
      <c r="H11" s="42">
        <v>30038</v>
      </c>
      <c r="I11" s="42"/>
      <c r="J11" s="42">
        <v>28809</v>
      </c>
      <c r="K11" s="42"/>
      <c r="L11" s="42">
        <v>30212</v>
      </c>
      <c r="M11" s="42"/>
      <c r="N11" s="42">
        <v>36945</v>
      </c>
      <c r="O11" s="42"/>
      <c r="P11" s="42">
        <v>28710</v>
      </c>
      <c r="Q11" s="42"/>
      <c r="R11" s="42">
        <v>29566</v>
      </c>
      <c r="S11" s="42"/>
      <c r="T11" s="42">
        <v>29401</v>
      </c>
      <c r="U11" s="42"/>
      <c r="V11" s="42">
        <v>28380</v>
      </c>
      <c r="W11" s="42"/>
      <c r="X11" s="42">
        <v>27839</v>
      </c>
      <c r="Y11" s="42"/>
      <c r="Z11" s="42">
        <v>29078</v>
      </c>
      <c r="AA11" s="77"/>
      <c r="AB11" s="75">
        <f>SUM(D11:Z11)</f>
        <v>354266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74" t="s">
        <v>49</v>
      </c>
      <c r="C12" s="72"/>
      <c r="D12" s="42">
        <v>792</v>
      </c>
      <c r="E12" s="42"/>
      <c r="F12" s="42">
        <v>431</v>
      </c>
      <c r="G12" s="42"/>
      <c r="H12" s="42">
        <v>-474</v>
      </c>
      <c r="I12" s="42"/>
      <c r="J12" s="42">
        <v>-390</v>
      </c>
      <c r="K12" s="42"/>
      <c r="L12" s="42">
        <v>-341</v>
      </c>
      <c r="M12" s="42"/>
      <c r="N12" s="42">
        <v>14</v>
      </c>
      <c r="O12" s="42"/>
      <c r="P12" s="42">
        <v>283</v>
      </c>
      <c r="Q12" s="42"/>
      <c r="R12" s="42">
        <v>-81</v>
      </c>
      <c r="S12" s="42"/>
      <c r="T12" s="42">
        <v>242</v>
      </c>
      <c r="U12" s="42"/>
      <c r="V12" s="42">
        <v>-438</v>
      </c>
      <c r="W12" s="42"/>
      <c r="X12" s="42">
        <v>81</v>
      </c>
      <c r="Y12" s="42"/>
      <c r="Z12" s="42">
        <v>2138</v>
      </c>
      <c r="AA12" s="75"/>
      <c r="AB12" s="75">
        <f>SUM(D12:Z12)</f>
        <v>2257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44</v>
      </c>
      <c r="C14" s="82"/>
      <c r="D14" s="45">
        <f>+D15+D16+D17</f>
        <v>4616.6761999999999</v>
      </c>
      <c r="E14" s="45"/>
      <c r="F14" s="45">
        <f>+F15+F16+F17</f>
        <v>3440.4737000000005</v>
      </c>
      <c r="G14" s="45"/>
      <c r="H14" s="45">
        <f>+H15+H16+H17</f>
        <v>3536.4812000000002</v>
      </c>
      <c r="I14" s="45"/>
      <c r="J14" s="45">
        <f>+J15+J16+J17</f>
        <v>3169.1804000000002</v>
      </c>
      <c r="K14" s="45"/>
      <c r="L14" s="45">
        <f>+L15+L16+L17</f>
        <v>3843.0662000000002</v>
      </c>
      <c r="M14" s="45"/>
      <c r="N14" s="45">
        <f>+N15+N16+N17</f>
        <v>4407.7687000000005</v>
      </c>
      <c r="O14" s="45"/>
      <c r="P14" s="45">
        <f>+P15+P16+P17</f>
        <v>5399.6846999999998</v>
      </c>
      <c r="Q14" s="45"/>
      <c r="R14" s="45">
        <f>+R15+R16+R17</f>
        <v>5658.0020000000004</v>
      </c>
      <c r="S14" s="45"/>
      <c r="T14" s="45">
        <f>+T15+T16+T17</f>
        <v>5025.3950999999997</v>
      </c>
      <c r="U14" s="45"/>
      <c r="V14" s="45">
        <f>+V15+V16+V17</f>
        <v>5483.7020000000002</v>
      </c>
      <c r="W14" s="45"/>
      <c r="X14" s="45">
        <f>+X15+X16+X17</f>
        <v>4768.1206000000002</v>
      </c>
      <c r="Y14" s="45"/>
      <c r="Z14" s="45">
        <f>+Z15+Z16+Z17</f>
        <v>9311.1149000000005</v>
      </c>
      <c r="AA14" s="83"/>
      <c r="AB14" s="83">
        <f>+AB15+AB16+AB17</f>
        <v>58659.665700000005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1621.9</v>
      </c>
      <c r="E15" s="42"/>
      <c r="F15" s="42">
        <v>1281.9000000000001</v>
      </c>
      <c r="G15" s="42"/>
      <c r="H15" s="42">
        <v>1378.9</v>
      </c>
      <c r="I15" s="42"/>
      <c r="J15" s="42">
        <v>1245.9000000000001</v>
      </c>
      <c r="K15" s="42"/>
      <c r="L15" s="42">
        <v>1503.4</v>
      </c>
      <c r="M15" s="42"/>
      <c r="N15" s="42">
        <v>1385.9</v>
      </c>
      <c r="O15" s="42"/>
      <c r="P15" s="42">
        <v>1493.9</v>
      </c>
      <c r="Q15" s="42"/>
      <c r="R15" s="42">
        <v>1898.6</v>
      </c>
      <c r="S15" s="42"/>
      <c r="T15" s="42">
        <v>1534.6</v>
      </c>
      <c r="U15" s="42"/>
      <c r="V15" s="42">
        <v>1866.9</v>
      </c>
      <c r="W15" s="42"/>
      <c r="X15" s="42">
        <v>1567</v>
      </c>
      <c r="Y15" s="42"/>
      <c r="Z15" s="42">
        <v>4478</v>
      </c>
      <c r="AA15" s="75"/>
      <c r="AB15" s="75">
        <f>SUM(D15:Z15)</f>
        <v>21256.9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645.37620000000004</v>
      </c>
      <c r="E16" s="42"/>
      <c r="F16" s="42">
        <v>559.77370000000008</v>
      </c>
      <c r="G16" s="42"/>
      <c r="H16" s="42">
        <v>435.88120000000004</v>
      </c>
      <c r="I16" s="42"/>
      <c r="J16" s="42">
        <v>415.38040000000001</v>
      </c>
      <c r="K16" s="42"/>
      <c r="L16" s="42">
        <v>478.96619999999996</v>
      </c>
      <c r="M16" s="42"/>
      <c r="N16" s="42">
        <v>529.06869999999992</v>
      </c>
      <c r="O16" s="42"/>
      <c r="P16" s="42">
        <v>527.88469999999995</v>
      </c>
      <c r="Q16" s="42"/>
      <c r="R16" s="42">
        <v>570.80200000000002</v>
      </c>
      <c r="S16" s="42"/>
      <c r="T16" s="42">
        <v>543.39509999999996</v>
      </c>
      <c r="U16" s="42"/>
      <c r="V16" s="42">
        <v>626.40200000000004</v>
      </c>
      <c r="W16" s="42"/>
      <c r="X16" s="42">
        <v>635.42059999999992</v>
      </c>
      <c r="Y16" s="42"/>
      <c r="Z16" s="42">
        <v>845.71489999999994</v>
      </c>
      <c r="AA16" s="75"/>
      <c r="AB16" s="75">
        <f>SUM(D16:Z16)</f>
        <v>6814.0657000000001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74" t="s">
        <v>51</v>
      </c>
      <c r="C17" s="72"/>
      <c r="D17" s="42">
        <v>2349.4</v>
      </c>
      <c r="E17" s="42"/>
      <c r="F17" s="42">
        <v>1598.8</v>
      </c>
      <c r="G17" s="42"/>
      <c r="H17" s="42">
        <v>1721.7</v>
      </c>
      <c r="I17" s="42"/>
      <c r="J17" s="42">
        <v>1507.9</v>
      </c>
      <c r="K17" s="42"/>
      <c r="L17" s="42">
        <v>1860.7</v>
      </c>
      <c r="M17" s="42"/>
      <c r="N17" s="42">
        <v>2492.8000000000002</v>
      </c>
      <c r="O17" s="42"/>
      <c r="P17" s="42">
        <v>3377.9</v>
      </c>
      <c r="Q17" s="42"/>
      <c r="R17" s="42">
        <v>3188.6</v>
      </c>
      <c r="S17" s="42"/>
      <c r="T17" s="42">
        <v>2947.4</v>
      </c>
      <c r="U17" s="42"/>
      <c r="V17" s="42">
        <v>2990.4</v>
      </c>
      <c r="W17" s="42"/>
      <c r="X17" s="42">
        <v>2565.6999999999998</v>
      </c>
      <c r="Y17" s="42"/>
      <c r="Z17" s="42">
        <v>3987.4</v>
      </c>
      <c r="AA17" s="75"/>
      <c r="AB17" s="75">
        <f>SUM(D17:Z17)</f>
        <v>30588.700000000004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985.8</v>
      </c>
      <c r="E19" s="42"/>
      <c r="F19" s="42">
        <v>592.29999999999995</v>
      </c>
      <c r="G19" s="42"/>
      <c r="H19" s="42">
        <v>-19.399999999999999</v>
      </c>
      <c r="I19" s="42"/>
      <c r="J19" s="42">
        <v>133.6</v>
      </c>
      <c r="K19" s="42"/>
      <c r="L19" s="42">
        <v>77.099999999999994</v>
      </c>
      <c r="M19" s="42"/>
      <c r="N19" s="42">
        <v>-207.1</v>
      </c>
      <c r="O19" s="42"/>
      <c r="P19" s="42">
        <v>261.5</v>
      </c>
      <c r="Q19" s="42"/>
      <c r="R19" s="42">
        <v>626.6</v>
      </c>
      <c r="S19" s="42"/>
      <c r="T19" s="42">
        <v>1221.2</v>
      </c>
      <c r="U19" s="42"/>
      <c r="V19" s="42">
        <v>-3130.3</v>
      </c>
      <c r="W19" s="42"/>
      <c r="X19" s="42">
        <v>1396.4</v>
      </c>
      <c r="Y19" s="42"/>
      <c r="Z19" s="42">
        <v>-632.20000000000005</v>
      </c>
      <c r="AA19" s="42"/>
      <c r="AB19" s="124">
        <f>SUM(D19:Z19)</f>
        <v>1305.4999999999993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85" t="s">
        <v>50</v>
      </c>
      <c r="C21" s="72"/>
      <c r="D21" s="42">
        <v>4100.7421999999997</v>
      </c>
      <c r="E21" s="42"/>
      <c r="F21" s="42">
        <v>4285.8999999999996</v>
      </c>
      <c r="G21" s="42"/>
      <c r="H21" s="42">
        <v>4265.3999999999996</v>
      </c>
      <c r="I21" s="42"/>
      <c r="J21" s="42">
        <v>4032.7</v>
      </c>
      <c r="K21" s="42"/>
      <c r="L21" s="42">
        <v>3840.9</v>
      </c>
      <c r="M21" s="42"/>
      <c r="N21" s="42">
        <v>4251.8</v>
      </c>
      <c r="O21" s="42"/>
      <c r="P21" s="42">
        <v>2427.1999999999998</v>
      </c>
      <c r="Q21" s="42"/>
      <c r="R21" s="42">
        <v>2928.9</v>
      </c>
      <c r="S21" s="42"/>
      <c r="T21" s="42">
        <v>3870.9</v>
      </c>
      <c r="U21" s="42"/>
      <c r="V21" s="42">
        <v>3765.2</v>
      </c>
      <c r="W21" s="42"/>
      <c r="X21" s="42">
        <v>2407.6999999999998</v>
      </c>
      <c r="Y21" s="42"/>
      <c r="Z21" s="42">
        <v>2422.1</v>
      </c>
      <c r="AA21" s="42"/>
      <c r="AB21" s="75">
        <f>SUM(D21:Z21)</f>
        <v>42599.44219999999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45</v>
      </c>
      <c r="C23" s="82"/>
      <c r="D23" s="45">
        <f>D8-D14-D19-D21</f>
        <v>31315.739099999999</v>
      </c>
      <c r="E23" s="45"/>
      <c r="F23" s="45">
        <f>F8-F14-F19-F21</f>
        <v>29865.427899999995</v>
      </c>
      <c r="G23" s="45"/>
      <c r="H23" s="45">
        <f>H8-H14-H19-H21</f>
        <v>33522.350299999998</v>
      </c>
      <c r="I23" s="45"/>
      <c r="J23" s="45">
        <f>J8-J14-J19-J21</f>
        <v>31430.476100000003</v>
      </c>
      <c r="K23" s="45"/>
      <c r="L23" s="45">
        <f>L8-L14-L19-L21</f>
        <v>32487.547899999998</v>
      </c>
      <c r="M23" s="45"/>
      <c r="N23" s="45">
        <f>N8-N14-N19-N21</f>
        <v>38651.690199999997</v>
      </c>
      <c r="O23" s="45"/>
      <c r="P23" s="45">
        <f>P8-P14-P19-P21</f>
        <v>31328.251</v>
      </c>
      <c r="Q23" s="45"/>
      <c r="R23" s="45">
        <f>R8-R14-R19-R21</f>
        <v>31084.8007</v>
      </c>
      <c r="S23" s="45"/>
      <c r="T23" s="45">
        <f>T8-T14-T19-T21</f>
        <v>29195.351900000001</v>
      </c>
      <c r="U23" s="45"/>
      <c r="V23" s="45">
        <f>V8-V14-V19-V21</f>
        <v>32928.694400000008</v>
      </c>
      <c r="W23" s="45"/>
      <c r="X23" s="45">
        <f>X8-X14-X19-X21</f>
        <v>27943.731099999994</v>
      </c>
      <c r="Y23" s="45"/>
      <c r="Z23" s="45">
        <f>Z8-Z14-Z19-Z21</f>
        <v>28065.725000000002</v>
      </c>
      <c r="AA23" s="45"/>
      <c r="AB23" s="83">
        <f>AB8-AB14-AB19-AB21</f>
        <v>377819.7856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63</v>
      </c>
      <c r="C25" s="82"/>
      <c r="D25" s="45">
        <f>+D27+D26</f>
        <v>3764.8999999999996</v>
      </c>
      <c r="E25" s="82"/>
      <c r="F25" s="45">
        <f>+F27+F26</f>
        <v>2905.3999999999996</v>
      </c>
      <c r="G25" s="82"/>
      <c r="H25" s="45">
        <f>+H27+H26</f>
        <v>1627.3</v>
      </c>
      <c r="I25" s="82"/>
      <c r="J25" s="45">
        <f>+J27+J26</f>
        <v>1543.2</v>
      </c>
      <c r="K25" s="82"/>
      <c r="L25" s="45">
        <f>+L27+L26</f>
        <v>2088.4</v>
      </c>
      <c r="M25" s="82"/>
      <c r="N25" s="45">
        <f>+N27+N26</f>
        <v>3735.7</v>
      </c>
      <c r="O25" s="82"/>
      <c r="P25" s="45">
        <f>+P27+P26</f>
        <v>1758.7</v>
      </c>
      <c r="Q25" s="82"/>
      <c r="R25" s="45">
        <f>+R27+R26</f>
        <v>2116.6999999999998</v>
      </c>
      <c r="S25" s="82"/>
      <c r="T25" s="45">
        <f>+T27+T26</f>
        <v>2310.6999999999998</v>
      </c>
      <c r="U25" s="82"/>
      <c r="V25" s="45">
        <f>+V27+V26</f>
        <v>2295.2000000000003</v>
      </c>
      <c r="W25" s="82"/>
      <c r="X25" s="45">
        <f>+X27+X26</f>
        <v>2967.7000000000003</v>
      </c>
      <c r="Y25" s="82"/>
      <c r="Z25" s="45">
        <f>+Z27+Z26</f>
        <v>4595.8999999999996</v>
      </c>
      <c r="AA25" s="82"/>
      <c r="AB25" s="45">
        <f>+AB27+AB26</f>
        <v>31709.800000000003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206" t="s">
        <v>72</v>
      </c>
      <c r="C26" s="72"/>
      <c r="D26" s="42">
        <v>107.7</v>
      </c>
      <c r="E26" s="42"/>
      <c r="F26" s="42">
        <v>682.8</v>
      </c>
      <c r="G26" s="42"/>
      <c r="H26" s="42">
        <v>24.7</v>
      </c>
      <c r="I26" s="42"/>
      <c r="J26" s="42">
        <v>18.8</v>
      </c>
      <c r="K26" s="42"/>
      <c r="L26" s="42">
        <v>551.9</v>
      </c>
      <c r="M26" s="42"/>
      <c r="N26" s="42">
        <v>1601.7</v>
      </c>
      <c r="O26" s="42"/>
      <c r="P26" s="42">
        <v>111.8</v>
      </c>
      <c r="Q26" s="77"/>
      <c r="R26" s="42">
        <v>726.8</v>
      </c>
      <c r="S26" s="42"/>
      <c r="T26" s="42"/>
      <c r="U26" s="42"/>
      <c r="V26" s="42">
        <v>113.3</v>
      </c>
      <c r="W26" s="42"/>
      <c r="X26" s="42">
        <v>496.8</v>
      </c>
      <c r="Y26" s="42"/>
      <c r="Z26" s="42">
        <v>566.29999999999995</v>
      </c>
      <c r="AA26" s="42"/>
      <c r="AB26" s="75">
        <f>SUM(D26:Z26)</f>
        <v>5002.6000000000013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3657.2</v>
      </c>
      <c r="E27" s="42"/>
      <c r="F27" s="42">
        <f>+F28+F29</f>
        <v>2222.6</v>
      </c>
      <c r="G27" s="42"/>
      <c r="H27" s="42">
        <f>+H28+H29</f>
        <v>1602.6</v>
      </c>
      <c r="I27" s="42"/>
      <c r="J27" s="42">
        <f>+J28+J29</f>
        <v>1524.4</v>
      </c>
      <c r="K27" s="42"/>
      <c r="L27" s="42">
        <f>+L28+L29</f>
        <v>1536.5</v>
      </c>
      <c r="M27" s="42"/>
      <c r="N27" s="42">
        <f>+N28+N29</f>
        <v>2134</v>
      </c>
      <c r="O27" s="42"/>
      <c r="P27" s="42">
        <f>+P28+P29</f>
        <v>1646.9</v>
      </c>
      <c r="Q27" s="42"/>
      <c r="R27" s="42">
        <f>+R28+R29</f>
        <v>1389.9</v>
      </c>
      <c r="S27" s="42"/>
      <c r="T27" s="42">
        <f>+T28+T29</f>
        <v>2310.6999999999998</v>
      </c>
      <c r="U27" s="42"/>
      <c r="V27" s="42">
        <f>+V28+V29</f>
        <v>2181.9</v>
      </c>
      <c r="W27" s="42"/>
      <c r="X27" s="42">
        <f>+X28+X29</f>
        <v>2470.9</v>
      </c>
      <c r="Y27" s="42"/>
      <c r="Z27" s="42">
        <f>+Z28+Z29</f>
        <v>4029.6</v>
      </c>
      <c r="AA27" s="75"/>
      <c r="AB27" s="75">
        <f>+AB28+AB29</f>
        <v>26707.200000000001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194" t="s">
        <v>66</v>
      </c>
      <c r="C28" s="90"/>
      <c r="D28" s="42">
        <v>3657.2</v>
      </c>
      <c r="E28" s="42"/>
      <c r="F28" s="42">
        <v>2222.6</v>
      </c>
      <c r="G28" s="42"/>
      <c r="H28" s="42">
        <v>1602.6</v>
      </c>
      <c r="I28" s="42"/>
      <c r="J28" s="42">
        <v>1524.4</v>
      </c>
      <c r="K28" s="42"/>
      <c r="L28" s="42">
        <v>1536.5</v>
      </c>
      <c r="M28" s="42"/>
      <c r="N28" s="42">
        <v>2134</v>
      </c>
      <c r="O28" s="42"/>
      <c r="P28" s="42">
        <v>1646.9</v>
      </c>
      <c r="Q28" s="42"/>
      <c r="R28" s="42">
        <v>1389.9</v>
      </c>
      <c r="S28" s="42"/>
      <c r="T28" s="42">
        <v>2310.6999999999998</v>
      </c>
      <c r="U28" s="42"/>
      <c r="V28" s="42">
        <v>2181.9</v>
      </c>
      <c r="W28" s="42"/>
      <c r="X28" s="42">
        <v>2470.9</v>
      </c>
      <c r="Y28" s="42"/>
      <c r="Z28" s="42">
        <v>3708.6</v>
      </c>
      <c r="AA28" s="75"/>
      <c r="AB28" s="75">
        <f>SUM(D28:Z28)</f>
        <v>26386.2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0</v>
      </c>
      <c r="E29" s="42"/>
      <c r="F29" s="42">
        <v>0</v>
      </c>
      <c r="G29" s="42"/>
      <c r="H29" s="42">
        <v>0</v>
      </c>
      <c r="I29" s="42"/>
      <c r="J29" s="42">
        <v>0</v>
      </c>
      <c r="K29" s="42"/>
      <c r="L29" s="42">
        <v>0</v>
      </c>
      <c r="M29" s="42"/>
      <c r="N29" s="42">
        <v>0</v>
      </c>
      <c r="O29" s="42"/>
      <c r="P29" s="42">
        <v>0</v>
      </c>
      <c r="Q29" s="42"/>
      <c r="R29" s="42">
        <v>0</v>
      </c>
      <c r="S29" s="42"/>
      <c r="T29" s="42">
        <v>0</v>
      </c>
      <c r="U29" s="42"/>
      <c r="V29" s="42">
        <v>0</v>
      </c>
      <c r="W29" s="42"/>
      <c r="X29" s="42">
        <v>0</v>
      </c>
      <c r="Y29" s="42"/>
      <c r="Z29" s="42">
        <v>321</v>
      </c>
      <c r="AA29" s="75"/>
      <c r="AB29" s="42">
        <f>SUM(D29:Z29)</f>
        <v>321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0</v>
      </c>
      <c r="U31" s="118"/>
      <c r="V31" s="118">
        <v>0</v>
      </c>
      <c r="W31" s="118"/>
      <c r="X31" s="118">
        <v>0</v>
      </c>
      <c r="Y31" s="118"/>
      <c r="Z31" s="118">
        <v>0</v>
      </c>
      <c r="AA31" s="41"/>
      <c r="AB31" s="118">
        <f>SUM(D31:Z31)</f>
        <v>0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207" t="s">
        <v>73</v>
      </c>
      <c r="C33" s="95"/>
      <c r="D33" s="119">
        <f>D23-D25+D31</f>
        <v>27550.839099999997</v>
      </c>
      <c r="E33" s="119"/>
      <c r="F33" s="119">
        <f>F23-F25+F31</f>
        <v>26960.027899999994</v>
      </c>
      <c r="G33" s="119"/>
      <c r="H33" s="119">
        <f>H23-H25+H31</f>
        <v>31895.050299999999</v>
      </c>
      <c r="I33" s="119"/>
      <c r="J33" s="119">
        <f>J23-J25+J31</f>
        <v>29887.276100000003</v>
      </c>
      <c r="K33" s="119"/>
      <c r="L33" s="119">
        <f>L23-L25+L31</f>
        <v>30399.147899999996</v>
      </c>
      <c r="M33" s="119"/>
      <c r="N33" s="119">
        <f>N23-N25+N31</f>
        <v>34915.9902</v>
      </c>
      <c r="O33" s="119"/>
      <c r="P33" s="119">
        <f>P23-P25+P31</f>
        <v>29569.550999999999</v>
      </c>
      <c r="Q33" s="119"/>
      <c r="R33" s="119">
        <f>R23-R25+R31</f>
        <v>28968.100699999999</v>
      </c>
      <c r="S33" s="119"/>
      <c r="T33" s="119">
        <f>T23-T25+T31</f>
        <v>26884.651900000001</v>
      </c>
      <c r="U33" s="119"/>
      <c r="V33" s="119">
        <f>V23-V25+V31</f>
        <v>30633.494400000007</v>
      </c>
      <c r="W33" s="119"/>
      <c r="X33" s="119">
        <f>X23-X25+X31</f>
        <v>24976.031099999993</v>
      </c>
      <c r="Y33" s="119"/>
      <c r="Z33" s="119">
        <f>Z23-Z25+Z31</f>
        <v>23469.825000000004</v>
      </c>
      <c r="AA33" s="119"/>
      <c r="AB33" s="119">
        <f>AB23-AB25+AB31</f>
        <v>346109.98560000001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36865</v>
      </c>
      <c r="E35" s="42"/>
      <c r="F35" s="42">
        <v>31698</v>
      </c>
      <c r="G35" s="42"/>
      <c r="H35" s="42">
        <v>26306</v>
      </c>
      <c r="I35" s="42"/>
      <c r="J35" s="42">
        <v>29881</v>
      </c>
      <c r="K35" s="42"/>
      <c r="L35" s="42">
        <v>26750</v>
      </c>
      <c r="M35" s="42"/>
      <c r="N35" s="42">
        <v>23334</v>
      </c>
      <c r="O35" s="42"/>
      <c r="P35" s="42">
        <v>29323</v>
      </c>
      <c r="Q35" s="42"/>
      <c r="R35" s="42">
        <v>27071</v>
      </c>
      <c r="S35" s="42"/>
      <c r="T35" s="42">
        <v>24523</v>
      </c>
      <c r="U35" s="42"/>
      <c r="V35" s="42">
        <v>27696</v>
      </c>
      <c r="W35" s="42"/>
      <c r="X35" s="42">
        <v>23878</v>
      </c>
      <c r="Y35" s="42"/>
      <c r="Z35" s="42">
        <v>26937</v>
      </c>
      <c r="AA35" s="42"/>
      <c r="AB35" s="75">
        <f>SUM(D35:Z35)</f>
        <v>334262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-9314.1609000000026</v>
      </c>
      <c r="E37" s="119"/>
      <c r="F37" s="119">
        <f>F33-F35</f>
        <v>-4737.9721000000063</v>
      </c>
      <c r="G37" s="119"/>
      <c r="H37" s="119">
        <f>H33-H35</f>
        <v>5589.050299999999</v>
      </c>
      <c r="I37" s="119"/>
      <c r="J37" s="119">
        <f>J33-J35</f>
        <v>6.2761000000027707</v>
      </c>
      <c r="K37" s="119"/>
      <c r="L37" s="119">
        <f>L33-L35</f>
        <v>3649.1478999999963</v>
      </c>
      <c r="M37" s="119"/>
      <c r="N37" s="119">
        <f>N33-N35</f>
        <v>11581.9902</v>
      </c>
      <c r="O37" s="119"/>
      <c r="P37" s="119">
        <f>P33-P35</f>
        <v>246.55099999999948</v>
      </c>
      <c r="Q37" s="119"/>
      <c r="R37" s="119">
        <f>R33-R35</f>
        <v>1897.1006999999991</v>
      </c>
      <c r="S37" s="119"/>
      <c r="T37" s="119">
        <f>T33-T35</f>
        <v>2361.6519000000008</v>
      </c>
      <c r="U37" s="119"/>
      <c r="V37" s="119">
        <f>V33-V35</f>
        <v>2937.4944000000069</v>
      </c>
      <c r="W37" s="119"/>
      <c r="X37" s="119">
        <f>X33-X35</f>
        <v>1098.0310999999929</v>
      </c>
      <c r="Y37" s="119"/>
      <c r="Z37" s="119">
        <f>Z33-Z35</f>
        <v>-3467.1749999999956</v>
      </c>
      <c r="AA37" s="119"/>
      <c r="AB37" s="119">
        <f>AB33-AB35</f>
        <v>11847.985600000015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317.50310000000002</v>
      </c>
      <c r="E39" s="72"/>
      <c r="F39" s="42">
        <f>F40+F43</f>
        <v>1181.8413999999998</v>
      </c>
      <c r="G39" s="72"/>
      <c r="H39" s="42">
        <f>H40+H43</f>
        <v>2318.8131000000003</v>
      </c>
      <c r="I39" s="72"/>
      <c r="J39" s="42">
        <f>J40+J43</f>
        <v>833.32559999999978</v>
      </c>
      <c r="K39" s="72"/>
      <c r="L39" s="42">
        <f>L40+L43</f>
        <v>1205.8209999999999</v>
      </c>
      <c r="M39" s="72"/>
      <c r="N39" s="42">
        <f>N40+N43</f>
        <v>2152.4175999999998</v>
      </c>
      <c r="O39" s="72"/>
      <c r="P39" s="42">
        <f>P40+P43</f>
        <v>552.23519999999996</v>
      </c>
      <c r="Q39" s="72"/>
      <c r="R39" s="42">
        <f>R40+R43</f>
        <v>1108.1280999999999</v>
      </c>
      <c r="S39" s="72"/>
      <c r="T39" s="42">
        <f>T40+T43</f>
        <v>1561.7400999999998</v>
      </c>
      <c r="U39" s="72"/>
      <c r="V39" s="42">
        <f>V40+V43</f>
        <v>968.9027000000001</v>
      </c>
      <c r="W39" s="72"/>
      <c r="X39" s="42">
        <f>X40+X43</f>
        <v>751.05089999999996</v>
      </c>
      <c r="Y39" s="72"/>
      <c r="Z39" s="42">
        <f>Z40+Z43</f>
        <v>1875.9746000000002</v>
      </c>
      <c r="AA39" s="72"/>
      <c r="AB39" s="42">
        <f>AB40+AB43</f>
        <v>14827.753399999998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2.7300000000000001E-2</v>
      </c>
      <c r="E40" s="42"/>
      <c r="F40" s="42">
        <f>F41+F42</f>
        <v>15.6683</v>
      </c>
      <c r="G40" s="42"/>
      <c r="H40" s="42">
        <f>H41+H42</f>
        <v>798.78250000000003</v>
      </c>
      <c r="I40" s="42"/>
      <c r="J40" s="42">
        <f>J41+J42</f>
        <v>2.5999999999999999E-2</v>
      </c>
      <c r="K40" s="42"/>
      <c r="L40" s="42">
        <f>L41+L42</f>
        <v>64.283799999999999</v>
      </c>
      <c r="M40" s="42"/>
      <c r="N40" s="42">
        <f>N41+N42</f>
        <v>645.61839999999995</v>
      </c>
      <c r="O40" s="42"/>
      <c r="P40" s="42">
        <f>P41+P42</f>
        <v>2.5000000000000001E-2</v>
      </c>
      <c r="Q40" s="42"/>
      <c r="R40" s="42">
        <f>R41+R42</f>
        <v>8.9405999999999981</v>
      </c>
      <c r="S40" s="42"/>
      <c r="T40" s="42">
        <f>T41+T42</f>
        <v>505.43280000000004</v>
      </c>
      <c r="U40" s="42"/>
      <c r="V40" s="42">
        <f>+V41+V42</f>
        <v>2.6400000000001454E-2</v>
      </c>
      <c r="W40" s="42"/>
      <c r="X40" s="42">
        <f>+X41+X42</f>
        <v>61.356599999999993</v>
      </c>
      <c r="Y40" s="42"/>
      <c r="Z40" s="42">
        <f>+Z41+Z42</f>
        <v>395.80340000000001</v>
      </c>
      <c r="AA40" s="75"/>
      <c r="AB40" s="75">
        <f>+AB41+AB42</f>
        <v>2495.9910999999997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194" t="s">
        <v>56</v>
      </c>
      <c r="C41" s="72"/>
      <c r="D41" s="118">
        <v>2.7300000000000001E-2</v>
      </c>
      <c r="E41" s="118"/>
      <c r="F41" s="118">
        <v>15.6683</v>
      </c>
      <c r="G41" s="118"/>
      <c r="H41" s="118">
        <v>42.658099999999997</v>
      </c>
      <c r="I41" s="118"/>
      <c r="J41" s="118">
        <v>2.5999999999999999E-2</v>
      </c>
      <c r="K41" s="118"/>
      <c r="L41" s="118">
        <v>64.283799999999999</v>
      </c>
      <c r="M41" s="118"/>
      <c r="N41" s="118">
        <v>70.851199999999992</v>
      </c>
      <c r="O41" s="118"/>
      <c r="P41" s="118">
        <v>2.5000000000000001E-2</v>
      </c>
      <c r="Q41" s="118"/>
      <c r="R41" s="118">
        <v>8.9405999999999981</v>
      </c>
      <c r="S41" s="118"/>
      <c r="T41" s="118">
        <v>25.467500000000001</v>
      </c>
      <c r="U41" s="118"/>
      <c r="V41" s="118">
        <v>2.6400000000001454E-2</v>
      </c>
      <c r="W41" s="118"/>
      <c r="X41" s="118">
        <v>61.356599999999993</v>
      </c>
      <c r="Y41" s="118"/>
      <c r="Z41" s="118">
        <v>53.872399999999999</v>
      </c>
      <c r="AA41" s="118"/>
      <c r="AB41" s="118">
        <f>SUM(D41:Z41)</f>
        <v>343.20320000000004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0</v>
      </c>
      <c r="E42" s="42"/>
      <c r="F42" s="42">
        <v>0</v>
      </c>
      <c r="G42" s="42"/>
      <c r="H42" s="42">
        <v>756.12440000000004</v>
      </c>
      <c r="I42" s="42"/>
      <c r="J42" s="42">
        <v>0</v>
      </c>
      <c r="K42" s="42"/>
      <c r="L42" s="42">
        <v>0</v>
      </c>
      <c r="M42" s="42"/>
      <c r="N42" s="42">
        <v>574.7672</v>
      </c>
      <c r="O42" s="42"/>
      <c r="P42" s="42">
        <v>0</v>
      </c>
      <c r="Q42" s="42"/>
      <c r="R42" s="42">
        <v>0</v>
      </c>
      <c r="S42" s="42"/>
      <c r="T42" s="42">
        <v>479.96530000000001</v>
      </c>
      <c r="U42" s="42"/>
      <c r="V42" s="42">
        <v>0</v>
      </c>
      <c r="W42" s="42"/>
      <c r="X42" s="42">
        <v>0</v>
      </c>
      <c r="Y42" s="42"/>
      <c r="Z42" s="42">
        <v>341.93099999999998</v>
      </c>
      <c r="AA42" s="75"/>
      <c r="AB42" s="75">
        <f>SUM(D42:Z42)</f>
        <v>2152.7878999999998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317.47579999999999</v>
      </c>
      <c r="E43" s="42"/>
      <c r="F43" s="42">
        <v>1166.1730999999997</v>
      </c>
      <c r="G43" s="42"/>
      <c r="H43" s="42">
        <v>1520.0306</v>
      </c>
      <c r="I43" s="42"/>
      <c r="J43" s="42">
        <v>833.29959999999983</v>
      </c>
      <c r="K43" s="42"/>
      <c r="L43" s="42">
        <v>1141.5372</v>
      </c>
      <c r="M43" s="42"/>
      <c r="N43" s="42">
        <v>1506.7991999999999</v>
      </c>
      <c r="O43" s="42"/>
      <c r="P43" s="42">
        <v>552.21019999999999</v>
      </c>
      <c r="Q43" s="42"/>
      <c r="R43" s="42">
        <v>1099.1875</v>
      </c>
      <c r="S43" s="42"/>
      <c r="T43" s="42">
        <v>1056.3072999999997</v>
      </c>
      <c r="U43" s="42"/>
      <c r="V43" s="42">
        <v>968.87630000000013</v>
      </c>
      <c r="W43" s="42"/>
      <c r="X43" s="42">
        <v>689.6943</v>
      </c>
      <c r="Y43" s="42"/>
      <c r="Z43" s="42">
        <v>1480.1712000000002</v>
      </c>
      <c r="AA43" s="75"/>
      <c r="AB43" s="75">
        <f>SUM(D43:Z43)</f>
        <v>12331.762299999999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-9631.6640000000025</v>
      </c>
      <c r="E45" s="95"/>
      <c r="F45" s="48">
        <f>F37-F39</f>
        <v>-5919.8135000000057</v>
      </c>
      <c r="G45" s="95"/>
      <c r="H45" s="48">
        <f>H37-H39</f>
        <v>3270.2371999999987</v>
      </c>
      <c r="I45" s="95"/>
      <c r="J45" s="48">
        <f>J37-J39</f>
        <v>-827.04949999999701</v>
      </c>
      <c r="K45" s="95"/>
      <c r="L45" s="48">
        <f>L37-L39</f>
        <v>2443.3268999999964</v>
      </c>
      <c r="M45" s="95"/>
      <c r="N45" s="48">
        <f>N37-N39</f>
        <v>9429.5725999999995</v>
      </c>
      <c r="O45" s="95"/>
      <c r="P45" s="48">
        <f>P37-P39</f>
        <v>-305.68420000000049</v>
      </c>
      <c r="Q45" s="95"/>
      <c r="R45" s="48">
        <f>R37-R39</f>
        <v>788.97259999999915</v>
      </c>
      <c r="S45" s="95"/>
      <c r="T45" s="48">
        <f>T37-T39</f>
        <v>799.91180000000099</v>
      </c>
      <c r="U45" s="95"/>
      <c r="V45" s="48">
        <f>V37-V39</f>
        <v>1968.5917000000068</v>
      </c>
      <c r="W45" s="95"/>
      <c r="X45" s="48">
        <f>X37-X39</f>
        <v>346.98019999999292</v>
      </c>
      <c r="Y45" s="95"/>
      <c r="Z45" s="48">
        <f>Z37-Z39</f>
        <v>-5343.1495999999961</v>
      </c>
      <c r="AA45" s="95"/>
      <c r="AB45" s="48">
        <f>AB37-AB39</f>
        <v>-2979.7677999999833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64" t="s">
        <v>41</v>
      </c>
      <c r="C47" s="464"/>
      <c r="D47" s="464"/>
      <c r="E47" s="464"/>
      <c r="F47" s="464"/>
      <c r="G47" s="464"/>
      <c r="H47" s="464"/>
      <c r="I47" s="464"/>
      <c r="J47" s="464"/>
      <c r="K47" s="464"/>
      <c r="L47" s="464"/>
      <c r="M47" s="464"/>
      <c r="N47" s="464"/>
      <c r="O47" s="464"/>
      <c r="P47" s="464"/>
      <c r="Q47" s="464"/>
      <c r="R47" s="464"/>
      <c r="S47" s="464"/>
      <c r="T47" s="464"/>
      <c r="U47" s="464"/>
      <c r="V47" s="464"/>
      <c r="W47" s="464"/>
      <c r="X47" s="464"/>
      <c r="Y47" s="464"/>
      <c r="Z47" s="464"/>
      <c r="AA47" s="464"/>
      <c r="AB47" s="464"/>
      <c r="AC47" s="212"/>
      <c r="AD47" s="212"/>
      <c r="AE47" s="101"/>
      <c r="AF47" s="212"/>
    </row>
    <row r="48" spans="1:35" ht="14.25" customHeight="1">
      <c r="B48" s="474" t="s">
        <v>58</v>
      </c>
      <c r="C48" s="474"/>
      <c r="D48" s="474"/>
      <c r="E48" s="474"/>
      <c r="F48" s="474"/>
      <c r="G48" s="474"/>
      <c r="H48" s="474"/>
      <c r="I48" s="474"/>
      <c r="J48" s="474"/>
      <c r="K48" s="474"/>
      <c r="L48" s="474"/>
      <c r="M48" s="474"/>
      <c r="N48" s="474"/>
      <c r="O48" s="474"/>
      <c r="P48" s="474"/>
      <c r="Q48" s="474"/>
      <c r="R48" s="474"/>
      <c r="S48" s="474"/>
      <c r="T48" s="474"/>
      <c r="U48" s="474"/>
      <c r="V48" s="474"/>
      <c r="W48" s="474"/>
      <c r="X48" s="474"/>
      <c r="Y48" s="474"/>
      <c r="Z48" s="474"/>
      <c r="AA48" s="474"/>
      <c r="AB48" s="474"/>
      <c r="AC48" s="212"/>
      <c r="AD48" s="212"/>
      <c r="AE48" s="101"/>
      <c r="AF48" s="212"/>
    </row>
    <row r="49" spans="1:32" ht="14.25" customHeight="1">
      <c r="B49" s="464" t="s">
        <v>59</v>
      </c>
      <c r="C49" s="464"/>
      <c r="D49" s="464"/>
      <c r="E49" s="464"/>
      <c r="F49" s="464"/>
      <c r="G49" s="464"/>
      <c r="H49" s="464"/>
      <c r="I49" s="464"/>
      <c r="J49" s="464"/>
      <c r="K49" s="464"/>
      <c r="L49" s="464"/>
      <c r="M49" s="464"/>
      <c r="N49" s="464"/>
      <c r="O49" s="464"/>
      <c r="P49" s="464"/>
      <c r="Q49" s="464"/>
      <c r="R49" s="464"/>
      <c r="S49" s="464"/>
      <c r="T49" s="464"/>
      <c r="U49" s="464"/>
      <c r="V49" s="464"/>
      <c r="W49" s="464"/>
      <c r="X49" s="464"/>
      <c r="Y49" s="464"/>
      <c r="Z49" s="464"/>
      <c r="AA49" s="464"/>
      <c r="AB49" s="464"/>
      <c r="AC49" s="212"/>
      <c r="AD49" s="212"/>
      <c r="AE49" s="101"/>
      <c r="AF49" s="212"/>
    </row>
    <row r="50" spans="1:32" ht="14.25" customHeight="1">
      <c r="B50" s="464" t="s">
        <v>60</v>
      </c>
      <c r="C50" s="464"/>
      <c r="D50" s="464"/>
      <c r="E50" s="464"/>
      <c r="F50" s="464"/>
      <c r="G50" s="464"/>
      <c r="H50" s="464"/>
      <c r="I50" s="464"/>
      <c r="J50" s="464"/>
      <c r="K50" s="464"/>
      <c r="L50" s="464"/>
      <c r="M50" s="464"/>
      <c r="N50" s="464"/>
      <c r="O50" s="464"/>
      <c r="P50" s="464"/>
      <c r="Q50" s="464"/>
      <c r="R50" s="464"/>
      <c r="S50" s="464"/>
      <c r="T50" s="464"/>
      <c r="U50" s="464"/>
      <c r="V50" s="464"/>
      <c r="W50" s="464"/>
      <c r="X50" s="464"/>
      <c r="Y50" s="464"/>
      <c r="Z50" s="464"/>
      <c r="AA50" s="464"/>
      <c r="AB50" s="464"/>
      <c r="AC50" s="212"/>
      <c r="AD50" s="212"/>
      <c r="AE50" s="101"/>
      <c r="AF50" s="212"/>
    </row>
    <row r="51" spans="1:32" ht="14.25" customHeight="1">
      <c r="B51" s="464" t="s">
        <v>42</v>
      </c>
      <c r="C51" s="464"/>
      <c r="D51" s="464"/>
      <c r="E51" s="464"/>
      <c r="F51" s="464"/>
      <c r="G51" s="464"/>
      <c r="H51" s="464"/>
      <c r="I51" s="464"/>
      <c r="J51" s="464"/>
      <c r="K51" s="464"/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464"/>
      <c r="X51" s="464"/>
      <c r="Y51" s="464"/>
      <c r="Z51" s="464"/>
      <c r="AA51" s="464"/>
      <c r="AB51" s="464"/>
      <c r="AC51" s="212"/>
      <c r="AD51" s="212"/>
      <c r="AE51" s="101"/>
      <c r="AF51" s="212"/>
    </row>
    <row r="52" spans="1:32" ht="14.25" customHeight="1">
      <c r="B52" s="464" t="s">
        <v>52</v>
      </c>
      <c r="C52" s="464"/>
      <c r="D52" s="464"/>
      <c r="E52" s="464"/>
      <c r="F52" s="464"/>
      <c r="G52" s="464"/>
      <c r="H52" s="464"/>
      <c r="I52" s="464"/>
      <c r="J52" s="464"/>
      <c r="K52" s="464"/>
      <c r="L52" s="464"/>
      <c r="M52" s="464"/>
      <c r="N52" s="464"/>
      <c r="O52" s="464"/>
      <c r="P52" s="464"/>
      <c r="Q52" s="464"/>
      <c r="R52" s="464"/>
      <c r="S52" s="464"/>
      <c r="T52" s="464"/>
      <c r="U52" s="464"/>
      <c r="V52" s="464"/>
      <c r="W52" s="464"/>
      <c r="X52" s="464"/>
      <c r="Y52" s="464"/>
      <c r="Z52" s="464"/>
      <c r="AA52" s="464"/>
      <c r="AB52" s="464"/>
      <c r="AC52" s="212"/>
      <c r="AD52" s="212"/>
      <c r="AE52" s="101"/>
      <c r="AF52" s="212"/>
    </row>
    <row r="53" spans="1:32" ht="14.25" customHeight="1">
      <c r="B53" s="474" t="s">
        <v>61</v>
      </c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212"/>
      <c r="AD53" s="212"/>
      <c r="AE53" s="101"/>
      <c r="AF53" s="212"/>
    </row>
    <row r="54" spans="1:32" ht="14.25" customHeight="1">
      <c r="B54" s="464" t="s">
        <v>62</v>
      </c>
      <c r="C54" s="464"/>
      <c r="D54" s="464"/>
      <c r="E54" s="464"/>
      <c r="F54" s="464"/>
      <c r="G54" s="464"/>
      <c r="H54" s="464"/>
      <c r="I54" s="464"/>
      <c r="J54" s="464"/>
      <c r="K54" s="464"/>
      <c r="L54" s="464"/>
      <c r="M54" s="464"/>
      <c r="N54" s="464"/>
      <c r="O54" s="464"/>
      <c r="P54" s="464"/>
      <c r="Q54" s="464"/>
      <c r="R54" s="464"/>
      <c r="S54" s="464"/>
      <c r="T54" s="464"/>
      <c r="U54" s="464"/>
      <c r="V54" s="464"/>
      <c r="W54" s="464"/>
      <c r="X54" s="464"/>
      <c r="Y54" s="464"/>
      <c r="Z54" s="464"/>
      <c r="AA54" s="464"/>
      <c r="AB54" s="464"/>
      <c r="AC54" s="212"/>
      <c r="AD54" s="212"/>
      <c r="AE54" s="101"/>
      <c r="AF54" s="212"/>
    </row>
    <row r="55" spans="1:32" ht="14.25" customHeight="1">
      <c r="B55" s="201" t="s">
        <v>64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2" ht="14.25" customHeight="1">
      <c r="B56" s="464" t="s">
        <v>65</v>
      </c>
      <c r="C56" s="464"/>
      <c r="D56" s="464"/>
      <c r="E56" s="464"/>
      <c r="F56" s="464"/>
      <c r="G56" s="464"/>
      <c r="H56" s="464"/>
      <c r="I56" s="464"/>
      <c r="J56" s="464"/>
      <c r="K56" s="464"/>
      <c r="L56" s="464"/>
      <c r="M56" s="464"/>
      <c r="N56" s="464"/>
      <c r="O56" s="464"/>
      <c r="P56" s="464"/>
      <c r="Q56" s="464"/>
      <c r="R56" s="464"/>
      <c r="S56" s="464"/>
      <c r="T56" s="464"/>
      <c r="U56" s="464"/>
      <c r="V56" s="464"/>
      <c r="W56" s="464"/>
      <c r="X56" s="464"/>
      <c r="Y56" s="464"/>
      <c r="Z56" s="464"/>
      <c r="AA56" s="464"/>
      <c r="AB56" s="464"/>
      <c r="AC56" s="212"/>
      <c r="AD56" s="212"/>
      <c r="AE56" s="101"/>
      <c r="AF56" s="212"/>
    </row>
    <row r="57" spans="1:32" ht="14.25" customHeight="1">
      <c r="B57" s="201" t="s">
        <v>74</v>
      </c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212"/>
      <c r="AD57" s="212"/>
      <c r="AE57" s="101"/>
      <c r="AF57" s="212"/>
    </row>
    <row r="58" spans="1:32" ht="14.25" customHeight="1">
      <c r="B58" s="464" t="s">
        <v>67</v>
      </c>
      <c r="C58" s="464"/>
      <c r="D58" s="464"/>
      <c r="E58" s="464"/>
      <c r="F58" s="464"/>
      <c r="G58" s="464"/>
      <c r="H58" s="464"/>
      <c r="I58" s="464"/>
      <c r="J58" s="464"/>
      <c r="K58" s="464"/>
      <c r="L58" s="464"/>
      <c r="M58" s="464"/>
      <c r="N58" s="464"/>
      <c r="O58" s="464"/>
      <c r="P58" s="464"/>
      <c r="Q58" s="464"/>
      <c r="R58" s="464"/>
      <c r="S58" s="464"/>
      <c r="T58" s="464"/>
      <c r="U58" s="464"/>
      <c r="V58" s="464"/>
      <c r="W58" s="464"/>
      <c r="X58" s="464"/>
      <c r="Y58" s="464"/>
      <c r="Z58" s="464"/>
      <c r="AA58" s="464"/>
      <c r="AB58" s="464"/>
      <c r="AC58" s="212"/>
      <c r="AD58" s="212"/>
      <c r="AE58" s="101"/>
      <c r="AF58" s="212"/>
    </row>
    <row r="59" spans="1:32" ht="14.25" customHeight="1">
      <c r="B59" s="464" t="s">
        <v>68</v>
      </c>
      <c r="C59" s="464"/>
      <c r="D59" s="464"/>
      <c r="E59" s="464"/>
      <c r="F59" s="464"/>
      <c r="G59" s="464"/>
      <c r="H59" s="464"/>
      <c r="I59" s="464"/>
      <c r="J59" s="464"/>
      <c r="K59" s="464"/>
      <c r="L59" s="464"/>
      <c r="M59" s="464"/>
      <c r="N59" s="464"/>
      <c r="O59" s="464"/>
      <c r="P59" s="464"/>
      <c r="Q59" s="464"/>
      <c r="R59" s="464"/>
      <c r="S59" s="464"/>
      <c r="T59" s="464"/>
      <c r="U59" s="464"/>
      <c r="V59" s="464"/>
      <c r="W59" s="464"/>
      <c r="X59" s="464"/>
      <c r="Y59" s="464"/>
      <c r="Z59" s="464"/>
      <c r="AA59" s="464"/>
      <c r="AB59" s="464"/>
      <c r="AC59" s="212"/>
      <c r="AD59" s="212"/>
      <c r="AE59" s="101"/>
      <c r="AF59" s="212"/>
    </row>
    <row r="60" spans="1:32" ht="14.25" customHeight="1">
      <c r="B60" s="464" t="s">
        <v>3</v>
      </c>
      <c r="C60" s="464"/>
      <c r="D60" s="464"/>
      <c r="E60" s="464"/>
      <c r="F60" s="464"/>
      <c r="G60" s="464"/>
      <c r="H60" s="464"/>
      <c r="I60" s="464"/>
      <c r="J60" s="464"/>
      <c r="K60" s="464"/>
      <c r="L60" s="464"/>
      <c r="M60" s="464"/>
      <c r="N60" s="464"/>
      <c r="O60" s="464"/>
      <c r="P60" s="464"/>
      <c r="Q60" s="464"/>
      <c r="R60" s="464"/>
      <c r="S60" s="464"/>
      <c r="T60" s="464"/>
      <c r="U60" s="464"/>
      <c r="V60" s="464"/>
      <c r="W60" s="464"/>
      <c r="X60" s="464"/>
      <c r="Y60" s="464"/>
      <c r="Z60" s="464"/>
      <c r="AA60" s="464"/>
      <c r="AB60" s="464"/>
      <c r="AC60" s="212"/>
      <c r="AD60" s="212"/>
      <c r="AE60" s="101"/>
      <c r="AF60" s="212"/>
    </row>
    <row r="61" spans="1:32" ht="14.25" customHeight="1">
      <c r="A61" s="18"/>
      <c r="B61" s="100"/>
      <c r="C61" s="93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12"/>
      <c r="AD61" s="212"/>
      <c r="AE61" s="101"/>
      <c r="AF61" s="212"/>
    </row>
    <row r="62" spans="1:32" ht="20.25">
      <c r="B62" s="453" t="s">
        <v>32</v>
      </c>
      <c r="C62" s="453"/>
      <c r="D62" s="453"/>
      <c r="E62" s="453"/>
      <c r="F62" s="453"/>
      <c r="G62" s="453"/>
      <c r="H62" s="453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Y62" s="453"/>
      <c r="Z62" s="453"/>
      <c r="AA62" s="453"/>
      <c r="AB62" s="453"/>
      <c r="AC62" s="214"/>
      <c r="AD62" s="214"/>
      <c r="AE62" s="214"/>
      <c r="AF62" s="214"/>
    </row>
    <row r="63" spans="1:32">
      <c r="B63" s="102"/>
      <c r="C63" s="469"/>
      <c r="D63" s="460"/>
      <c r="E63" s="469"/>
      <c r="F63" s="470"/>
      <c r="G63" s="469"/>
      <c r="H63" s="470"/>
      <c r="I63" s="469"/>
      <c r="J63" s="470"/>
      <c r="K63" s="469"/>
      <c r="L63" s="470"/>
      <c r="M63" s="469"/>
      <c r="N63" s="470"/>
      <c r="O63" s="469"/>
      <c r="P63" s="470"/>
      <c r="Q63" s="469"/>
      <c r="R63" s="470"/>
      <c r="S63" s="469"/>
      <c r="T63" s="470"/>
      <c r="U63" s="469"/>
      <c r="V63" s="470"/>
      <c r="W63" s="469"/>
      <c r="X63" s="470"/>
      <c r="Y63" s="469"/>
      <c r="Z63" s="470"/>
      <c r="AA63" s="469"/>
      <c r="AB63" s="470"/>
    </row>
    <row r="64" spans="1:32">
      <c r="B64" s="102">
        <f>B5</f>
        <v>2001</v>
      </c>
      <c r="C64" s="469" t="s">
        <v>4</v>
      </c>
      <c r="D64" s="460"/>
      <c r="E64" s="469" t="s">
        <v>5</v>
      </c>
      <c r="F64" s="470"/>
      <c r="G64" s="469" t="s">
        <v>6</v>
      </c>
      <c r="H64" s="470"/>
      <c r="I64" s="469" t="s">
        <v>7</v>
      </c>
      <c r="J64" s="470"/>
      <c r="K64" s="469" t="s">
        <v>8</v>
      </c>
      <c r="L64" s="470"/>
      <c r="M64" s="469" t="s">
        <v>9</v>
      </c>
      <c r="N64" s="470"/>
      <c r="O64" s="469" t="s">
        <v>10</v>
      </c>
      <c r="P64" s="470"/>
      <c r="Q64" s="471" t="s">
        <v>11</v>
      </c>
      <c r="R64" s="470"/>
      <c r="S64" s="471" t="s">
        <v>12</v>
      </c>
      <c r="T64" s="470"/>
      <c r="U64" s="469" t="s">
        <v>0</v>
      </c>
      <c r="V64" s="473"/>
      <c r="W64" s="469" t="s">
        <v>1</v>
      </c>
      <c r="X64" s="473"/>
      <c r="Y64" s="469" t="s">
        <v>2</v>
      </c>
      <c r="Z64" s="473"/>
      <c r="AA64" s="469" t="s">
        <v>102</v>
      </c>
      <c r="AB64" s="460"/>
    </row>
    <row r="65" spans="1:35">
      <c r="B65" s="102"/>
      <c r="C65" s="469"/>
      <c r="D65" s="460"/>
      <c r="E65" s="469"/>
      <c r="F65" s="460"/>
      <c r="G65" s="469"/>
      <c r="H65" s="460"/>
      <c r="I65" s="469"/>
      <c r="J65" s="460"/>
      <c r="K65" s="469"/>
      <c r="L65" s="460"/>
      <c r="M65" s="469"/>
      <c r="N65" s="460"/>
      <c r="O65" s="469"/>
      <c r="P65" s="460"/>
      <c r="Q65" s="469"/>
      <c r="R65" s="460"/>
      <c r="S65" s="469"/>
      <c r="T65" s="460"/>
      <c r="U65" s="469"/>
      <c r="V65" s="460"/>
      <c r="W65" s="469"/>
      <c r="X65" s="460"/>
      <c r="Y65" s="469"/>
      <c r="Z65" s="460"/>
      <c r="AA65" s="469"/>
      <c r="AB65" s="460"/>
    </row>
    <row r="66" spans="1:35" s="202" customFormat="1" ht="14.25">
      <c r="A66" s="44"/>
      <c r="B66" s="103" t="s">
        <v>24</v>
      </c>
      <c r="C66" s="72"/>
      <c r="D66" s="104">
        <v>3087.2989600000001</v>
      </c>
      <c r="E66" s="104"/>
      <c r="F66" s="104">
        <v>3136.4488019999999</v>
      </c>
      <c r="G66" s="104"/>
      <c r="H66" s="104">
        <v>3150.7200309999998</v>
      </c>
      <c r="I66" s="104"/>
      <c r="J66" s="104">
        <v>3007.8732709999999</v>
      </c>
      <c r="K66" s="104"/>
      <c r="L66" s="104">
        <v>3031.4177060000002</v>
      </c>
      <c r="M66" s="104"/>
      <c r="N66" s="104">
        <v>3139.5655400000001</v>
      </c>
      <c r="O66" s="104"/>
      <c r="P66" s="104">
        <v>3184.8780059999999</v>
      </c>
      <c r="Q66" s="104"/>
      <c r="R66" s="104">
        <v>3174.9208549999998</v>
      </c>
      <c r="S66" s="120"/>
      <c r="T66" s="104">
        <v>3177.3620759999999</v>
      </c>
      <c r="U66" s="120"/>
      <c r="V66" s="104">
        <v>2992.5445289999998</v>
      </c>
      <c r="W66" s="120"/>
      <c r="X66" s="104">
        <v>3167.5271980000002</v>
      </c>
      <c r="Y66" s="120"/>
      <c r="Z66" s="120">
        <v>3274.2807309999998</v>
      </c>
      <c r="AA66" s="104"/>
      <c r="AB66" s="104">
        <f>AVERAGE(D66:Z66)</f>
        <v>3127.06980875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39</v>
      </c>
      <c r="C67" s="72"/>
      <c r="D67" s="104">
        <v>4574.5247669999999</v>
      </c>
      <c r="E67" s="104"/>
      <c r="F67" s="104">
        <v>4570.4238809999997</v>
      </c>
      <c r="G67" s="104"/>
      <c r="H67" s="104">
        <v>4630.614673</v>
      </c>
      <c r="I67" s="104"/>
      <c r="J67" s="104">
        <v>4514.9262129999997</v>
      </c>
      <c r="K67" s="104"/>
      <c r="L67" s="104">
        <v>4480.1258010000001</v>
      </c>
      <c r="M67" s="104"/>
      <c r="N67" s="104">
        <v>4549.3120280000003</v>
      </c>
      <c r="O67" s="104"/>
      <c r="P67" s="104">
        <v>4581.9959090000002</v>
      </c>
      <c r="Q67" s="104"/>
      <c r="R67" s="104">
        <v>4535.7325780000001</v>
      </c>
      <c r="S67" s="120"/>
      <c r="T67" s="104">
        <v>4348.4535729999998</v>
      </c>
      <c r="U67" s="120"/>
      <c r="V67" s="104">
        <v>4362.0465050000003</v>
      </c>
      <c r="W67" s="120"/>
      <c r="X67" s="104">
        <v>4492.8758330000001</v>
      </c>
      <c r="Y67" s="120"/>
      <c r="Z67" s="120">
        <v>4488.4364969999997</v>
      </c>
      <c r="AA67" s="104"/>
      <c r="AB67" s="104">
        <f t="shared" ref="AB67:AB76" si="0">AVERAGE(D67:Z67)</f>
        <v>4510.7890214999998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25</v>
      </c>
      <c r="C68" s="72"/>
      <c r="D68" s="104">
        <v>538.63223795099998</v>
      </c>
      <c r="E68" s="104"/>
      <c r="F68" s="104">
        <v>541.60308650000002</v>
      </c>
      <c r="G68" s="104"/>
      <c r="H68" s="104">
        <v>553.43870119299993</v>
      </c>
      <c r="I68" s="104"/>
      <c r="J68" s="104">
        <v>535.64251111899989</v>
      </c>
      <c r="K68" s="104"/>
      <c r="L68" s="104">
        <v>562.63675943200008</v>
      </c>
      <c r="M68" s="104"/>
      <c r="N68" s="104">
        <v>557.20323631000008</v>
      </c>
      <c r="O68" s="104"/>
      <c r="P68" s="104">
        <v>543.73157546100003</v>
      </c>
      <c r="Q68" s="104"/>
      <c r="R68" s="104">
        <v>557.72273309200011</v>
      </c>
      <c r="S68" s="120"/>
      <c r="T68" s="104">
        <v>524.23911646800002</v>
      </c>
      <c r="U68" s="120"/>
      <c r="V68" s="104">
        <v>562.40374589699991</v>
      </c>
      <c r="W68" s="120"/>
      <c r="X68" s="104">
        <v>559.57843020299993</v>
      </c>
      <c r="Y68" s="120"/>
      <c r="Z68" s="120">
        <v>583.12143338400006</v>
      </c>
      <c r="AA68" s="104"/>
      <c r="AB68" s="104">
        <f t="shared" si="0"/>
        <v>551.66279725083325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26</v>
      </c>
      <c r="C69" s="72"/>
      <c r="D69" s="104">
        <v>273.41955603600002</v>
      </c>
      <c r="E69" s="104"/>
      <c r="F69" s="104">
        <v>278.67231828800004</v>
      </c>
      <c r="G69" s="104"/>
      <c r="H69" s="104">
        <v>288.07736212899999</v>
      </c>
      <c r="I69" s="104"/>
      <c r="J69" s="104">
        <v>270.95505909999997</v>
      </c>
      <c r="K69" s="104"/>
      <c r="L69" s="104">
        <v>296.06835173600001</v>
      </c>
      <c r="M69" s="104"/>
      <c r="N69" s="104">
        <v>285.24844536400002</v>
      </c>
      <c r="O69" s="104"/>
      <c r="P69" s="104">
        <v>271.06895855099998</v>
      </c>
      <c r="Q69" s="104"/>
      <c r="R69" s="104">
        <v>277.29477151200001</v>
      </c>
      <c r="S69" s="120"/>
      <c r="T69" s="104">
        <v>256.356346653</v>
      </c>
      <c r="U69" s="120"/>
      <c r="V69" s="104">
        <v>278.90988808999998</v>
      </c>
      <c r="W69" s="120"/>
      <c r="X69" s="104">
        <v>276.0680213</v>
      </c>
      <c r="Y69" s="120"/>
      <c r="Z69" s="120">
        <v>257.81591118900002</v>
      </c>
      <c r="AA69" s="104"/>
      <c r="AB69" s="104">
        <f t="shared" si="0"/>
        <v>275.82958249566667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27</v>
      </c>
      <c r="C70" s="72"/>
      <c r="D70" s="104">
        <v>485.88378201699999</v>
      </c>
      <c r="E70" s="104"/>
      <c r="F70" s="104">
        <v>493.74840662299999</v>
      </c>
      <c r="G70" s="104"/>
      <c r="H70" s="104">
        <v>509.93299079500002</v>
      </c>
      <c r="I70" s="104"/>
      <c r="J70" s="104">
        <v>466.48747444200001</v>
      </c>
      <c r="K70" s="104"/>
      <c r="L70" s="104">
        <v>485.85275014500002</v>
      </c>
      <c r="M70" s="104"/>
      <c r="N70" s="104">
        <v>520.889710713</v>
      </c>
      <c r="O70" s="104"/>
      <c r="P70" s="104">
        <v>517.92037557000003</v>
      </c>
      <c r="Q70" s="104"/>
      <c r="R70" s="104">
        <v>498.23102453799999</v>
      </c>
      <c r="S70" s="120"/>
      <c r="T70" s="104">
        <v>406.60524371700001</v>
      </c>
      <c r="U70" s="120"/>
      <c r="V70" s="104">
        <v>511.54169668899999</v>
      </c>
      <c r="W70" s="120"/>
      <c r="X70" s="104">
        <v>403.34838298400001</v>
      </c>
      <c r="Y70" s="120"/>
      <c r="Z70" s="120">
        <v>397.25749671300002</v>
      </c>
      <c r="AA70" s="104"/>
      <c r="AB70" s="104">
        <f t="shared" si="0"/>
        <v>474.80827791216666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103" t="s">
        <v>28</v>
      </c>
      <c r="C71" s="72"/>
      <c r="D71" s="104">
        <v>351.49400000000003</v>
      </c>
      <c r="E71" s="104"/>
      <c r="F71" s="104">
        <v>341.32</v>
      </c>
      <c r="G71" s="104"/>
      <c r="H71" s="104">
        <v>331.81799999999998</v>
      </c>
      <c r="I71" s="104"/>
      <c r="J71" s="104">
        <v>302.29399999999998</v>
      </c>
      <c r="K71" s="104"/>
      <c r="L71" s="104">
        <v>308.31299999999999</v>
      </c>
      <c r="M71" s="104"/>
      <c r="N71" s="104">
        <v>304.66699999999997</v>
      </c>
      <c r="O71" s="104"/>
      <c r="P71" s="104">
        <v>302.64800000000002</v>
      </c>
      <c r="Q71" s="104"/>
      <c r="R71" s="104">
        <v>311.28800000000001</v>
      </c>
      <c r="S71" s="120"/>
      <c r="T71" s="104">
        <v>313.03699999999998</v>
      </c>
      <c r="U71" s="120"/>
      <c r="V71" s="104">
        <v>327.92200000000003</v>
      </c>
      <c r="W71" s="120"/>
      <c r="X71" s="104">
        <v>340.62799999999999</v>
      </c>
      <c r="Y71" s="120"/>
      <c r="Z71" s="120">
        <v>361.44200000000001</v>
      </c>
      <c r="AA71" s="104"/>
      <c r="AB71" s="104">
        <f t="shared" si="0"/>
        <v>324.73925000000003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4.25">
      <c r="A72" s="44"/>
      <c r="B72" s="103" t="s">
        <v>38</v>
      </c>
      <c r="C72" s="72"/>
      <c r="D72" s="104">
        <v>1894.86</v>
      </c>
      <c r="E72" s="104"/>
      <c r="F72" s="104">
        <v>1917.7</v>
      </c>
      <c r="G72" s="104"/>
      <c r="H72" s="104">
        <v>1889.95</v>
      </c>
      <c r="I72" s="104"/>
      <c r="J72" s="104">
        <v>1882.36</v>
      </c>
      <c r="K72" s="104"/>
      <c r="L72" s="104">
        <v>1979.83</v>
      </c>
      <c r="M72" s="104"/>
      <c r="N72" s="104">
        <v>1831.15</v>
      </c>
      <c r="O72" s="104"/>
      <c r="P72" s="104">
        <v>2101.0100000000002</v>
      </c>
      <c r="Q72" s="104"/>
      <c r="R72" s="104">
        <v>2115.9</v>
      </c>
      <c r="S72" s="120"/>
      <c r="T72" s="104">
        <v>2119.58</v>
      </c>
      <c r="U72" s="120"/>
      <c r="V72" s="104">
        <v>2144.64</v>
      </c>
      <c r="W72" s="120"/>
      <c r="X72" s="104">
        <v>2077.38</v>
      </c>
      <c r="Y72" s="120"/>
      <c r="Z72" s="120">
        <v>1956.08</v>
      </c>
      <c r="AA72" s="104"/>
      <c r="AB72" s="104">
        <f t="shared" si="0"/>
        <v>1992.5366666666669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33</v>
      </c>
      <c r="C73" s="72"/>
      <c r="D73" s="104">
        <v>1749.9922903226002</v>
      </c>
      <c r="E73" s="104"/>
      <c r="F73" s="104">
        <v>1758.8427857142001</v>
      </c>
      <c r="G73" s="104"/>
      <c r="H73" s="104">
        <v>1756.9973548388</v>
      </c>
      <c r="I73" s="104"/>
      <c r="J73" s="104">
        <v>1715.7829999999999</v>
      </c>
      <c r="K73" s="104"/>
      <c r="L73" s="104">
        <v>1718.5829032258</v>
      </c>
      <c r="M73" s="104"/>
      <c r="N73" s="104">
        <v>1716.6333666667001</v>
      </c>
      <c r="O73" s="104"/>
      <c r="P73" s="104">
        <v>1711.0372580644998</v>
      </c>
      <c r="Q73" s="104"/>
      <c r="R73" s="105">
        <v>1648.2259354839002</v>
      </c>
      <c r="S73" s="120"/>
      <c r="T73" s="104">
        <v>1647.4506999999999</v>
      </c>
      <c r="U73" s="120"/>
      <c r="V73" s="104">
        <v>1732.8629032258</v>
      </c>
      <c r="W73" s="120"/>
      <c r="X73" s="104">
        <v>1681.0387000000999</v>
      </c>
      <c r="Y73" s="120"/>
      <c r="Z73" s="120">
        <v>1683.9833225806999</v>
      </c>
      <c r="AA73" s="104"/>
      <c r="AB73" s="104">
        <f t="shared" si="0"/>
        <v>1710.1192100102583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2.75" customHeight="1">
      <c r="A74" s="44"/>
      <c r="B74" s="103" t="s">
        <v>29</v>
      </c>
      <c r="C74" s="72"/>
      <c r="D74" s="106">
        <v>20.70873680974902</v>
      </c>
      <c r="E74" s="106"/>
      <c r="F74" s="106">
        <v>20.116623896435716</v>
      </c>
      <c r="G74" s="106"/>
      <c r="H74" s="106">
        <v>18.017097896699031</v>
      </c>
      <c r="I74" s="106"/>
      <c r="J74" s="106">
        <v>18.910152411044443</v>
      </c>
      <c r="K74" s="106"/>
      <c r="L74" s="106">
        <v>20.309490918746061</v>
      </c>
      <c r="M74" s="106"/>
      <c r="N74" s="106">
        <v>20.321937757773188</v>
      </c>
      <c r="O74" s="106"/>
      <c r="P74" s="106">
        <v>19.638793124656068</v>
      </c>
      <c r="Q74" s="106"/>
      <c r="R74" s="121">
        <v>20.684856035873327</v>
      </c>
      <c r="S74" s="122"/>
      <c r="T74" s="121">
        <v>19.393511523986444</v>
      </c>
      <c r="U74" s="122"/>
      <c r="V74" s="121">
        <v>16.123091354347313</v>
      </c>
      <c r="W74" s="122"/>
      <c r="X74" s="121">
        <v>14.259993178038496</v>
      </c>
      <c r="Y74" s="122"/>
      <c r="Z74" s="122">
        <v>14.382367454694565</v>
      </c>
      <c r="AA74" s="104"/>
      <c r="AB74" s="107">
        <f t="shared" si="0"/>
        <v>18.572221030170304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103" t="s">
        <v>30</v>
      </c>
      <c r="C75" s="72"/>
      <c r="D75" s="106">
        <v>9.5649999999999995</v>
      </c>
      <c r="E75" s="122"/>
      <c r="F75" s="106">
        <v>5.8449999999999998</v>
      </c>
      <c r="G75" s="106"/>
      <c r="H75" s="106">
        <v>4.7450000000000001</v>
      </c>
      <c r="I75" s="106"/>
      <c r="J75" s="106">
        <v>5.12</v>
      </c>
      <c r="K75" s="106"/>
      <c r="L75" s="106">
        <v>4.68</v>
      </c>
      <c r="M75" s="106"/>
      <c r="N75" s="106">
        <v>3.5449999999999999</v>
      </c>
      <c r="O75" s="106"/>
      <c r="P75" s="106">
        <v>3.02</v>
      </c>
      <c r="Q75" s="106"/>
      <c r="R75" s="106">
        <v>3.01</v>
      </c>
      <c r="S75" s="106"/>
      <c r="T75" s="106">
        <v>2.11</v>
      </c>
      <c r="U75" s="106"/>
      <c r="V75" s="106">
        <v>1.69</v>
      </c>
      <c r="W75" s="106"/>
      <c r="X75" s="106">
        <v>2.9350000000000001</v>
      </c>
      <c r="Y75" s="106"/>
      <c r="Z75" s="122">
        <v>2.1</v>
      </c>
      <c r="AA75" s="106"/>
      <c r="AB75" s="107">
        <f t="shared" si="0"/>
        <v>4.0304166666666665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103" t="s">
        <v>31</v>
      </c>
      <c r="C76" s="72"/>
      <c r="D76" s="108">
        <v>9.7700999999999993</v>
      </c>
      <c r="E76" s="108"/>
      <c r="F76" s="108">
        <v>9.7027000000000001</v>
      </c>
      <c r="G76" s="108"/>
      <c r="H76" s="108">
        <v>9.6181999999999999</v>
      </c>
      <c r="I76" s="108"/>
      <c r="J76" s="108">
        <v>9.3507999999999996</v>
      </c>
      <c r="K76" s="108"/>
      <c r="L76" s="108">
        <v>9.1466999999999992</v>
      </c>
      <c r="M76" s="108"/>
      <c r="N76" s="108">
        <v>9.0957000000000008</v>
      </c>
      <c r="O76" s="108"/>
      <c r="P76" s="108">
        <v>9.1560000000000006</v>
      </c>
      <c r="Q76" s="108"/>
      <c r="R76" s="108">
        <v>9.1272000000000002</v>
      </c>
      <c r="S76" s="123"/>
      <c r="T76" s="108">
        <v>9.3841000000000001</v>
      </c>
      <c r="U76" s="123"/>
      <c r="V76" s="108">
        <v>9.3684999999999992</v>
      </c>
      <c r="W76" s="123"/>
      <c r="X76" s="108">
        <v>9.2223000000000006</v>
      </c>
      <c r="Y76" s="123"/>
      <c r="Z76" s="123">
        <v>9.1671999999999993</v>
      </c>
      <c r="AA76" s="104"/>
      <c r="AB76" s="109">
        <f t="shared" si="0"/>
        <v>9.3424583333333331</v>
      </c>
      <c r="AC76" s="216"/>
      <c r="AD76" s="216"/>
      <c r="AE76" s="216"/>
      <c r="AF76" s="216"/>
      <c r="AG76" s="216"/>
      <c r="AH76" s="216"/>
      <c r="AI76" s="216"/>
    </row>
    <row r="77" spans="1:35" s="202" customFormat="1" ht="14.25">
      <c r="A77" s="44"/>
      <c r="B77" s="103" t="s">
        <v>69</v>
      </c>
      <c r="C77" s="72"/>
      <c r="D77" s="104">
        <v>434.050909130783</v>
      </c>
      <c r="E77" s="104"/>
      <c r="F77" s="104">
        <v>415.57153904837213</v>
      </c>
      <c r="G77" s="104"/>
      <c r="H77" s="104">
        <v>402.60176195634375</v>
      </c>
      <c r="I77" s="104"/>
      <c r="J77" s="104">
        <v>405.37253171237126</v>
      </c>
      <c r="K77" s="104"/>
      <c r="L77" s="104">
        <v>313.04886607960174</v>
      </c>
      <c r="M77" s="104"/>
      <c r="N77" s="104">
        <v>399.2838403411443</v>
      </c>
      <c r="O77" s="104"/>
      <c r="P77" s="104">
        <v>389.22217245979834</v>
      </c>
      <c r="Q77" s="104"/>
      <c r="R77" s="104">
        <v>510.52494948988516</v>
      </c>
      <c r="S77" s="104"/>
      <c r="T77" s="104">
        <v>448.60401949486044</v>
      </c>
      <c r="U77" s="120"/>
      <c r="V77" s="104">
        <v>458.15867652323118</v>
      </c>
      <c r="W77" s="120"/>
      <c r="X77" s="104">
        <v>448.15927031489878</v>
      </c>
      <c r="Y77" s="120"/>
      <c r="Z77" s="120">
        <v>510.2720266455234</v>
      </c>
      <c r="AA77" s="104"/>
      <c r="AB77" s="104">
        <f>AVERAGE(D77:Z77)</f>
        <v>427.9058802664012</v>
      </c>
      <c r="AC77" s="216"/>
      <c r="AD77" s="216"/>
      <c r="AE77" s="216"/>
      <c r="AF77" s="216"/>
      <c r="AG77" s="216"/>
      <c r="AH77" s="216"/>
      <c r="AI77" s="216"/>
    </row>
    <row r="78" spans="1:35" s="202" customFormat="1" ht="14.25">
      <c r="A78" s="44"/>
      <c r="B78" s="103" t="s">
        <v>70</v>
      </c>
      <c r="C78" s="72"/>
      <c r="D78" s="104">
        <v>0</v>
      </c>
      <c r="E78" s="104"/>
      <c r="F78" s="104">
        <v>32.297400000000003</v>
      </c>
      <c r="G78" s="104"/>
      <c r="H78" s="104">
        <v>23.51895</v>
      </c>
      <c r="I78" s="104"/>
      <c r="J78" s="104">
        <v>4.7240000000000002</v>
      </c>
      <c r="K78" s="104"/>
      <c r="L78" s="104">
        <v>0</v>
      </c>
      <c r="M78" s="104"/>
      <c r="N78" s="104">
        <v>0</v>
      </c>
      <c r="O78" s="104"/>
      <c r="P78" s="104">
        <v>0</v>
      </c>
      <c r="Q78" s="104"/>
      <c r="R78" s="104">
        <v>12.28928</v>
      </c>
      <c r="S78" s="104"/>
      <c r="T78" s="104">
        <v>0</v>
      </c>
      <c r="U78" s="120"/>
      <c r="V78" s="104">
        <v>23.499865</v>
      </c>
      <c r="W78" s="120"/>
      <c r="X78" s="104">
        <v>23.520406000000001</v>
      </c>
      <c r="Y78" s="120"/>
      <c r="Z78" s="120">
        <v>0</v>
      </c>
      <c r="AA78" s="104"/>
      <c r="AB78" s="104">
        <f>AVERAGE(D78:Z78)</f>
        <v>9.987491750000002</v>
      </c>
      <c r="AC78" s="216"/>
      <c r="AD78" s="216"/>
      <c r="AE78" s="216"/>
      <c r="AF78" s="216"/>
      <c r="AG78" s="216"/>
      <c r="AH78" s="216"/>
      <c r="AI78" s="216"/>
    </row>
    <row r="79" spans="1:35" ht="13.5">
      <c r="B79" s="195" t="s">
        <v>71</v>
      </c>
      <c r="C79" s="111"/>
      <c r="D79" s="110"/>
      <c r="E79" s="112"/>
      <c r="F79" s="113"/>
      <c r="G79" s="112"/>
      <c r="H79" s="113"/>
      <c r="I79" s="112"/>
      <c r="J79" s="113"/>
      <c r="K79" s="112"/>
      <c r="L79" s="113"/>
      <c r="M79" s="113"/>
      <c r="N79" s="112"/>
      <c r="O79" s="113"/>
      <c r="P79" s="112"/>
      <c r="Q79" s="114"/>
      <c r="R79" s="115"/>
      <c r="S79" s="114"/>
      <c r="T79" s="116"/>
      <c r="U79" s="114"/>
      <c r="V79" s="117"/>
      <c r="W79" s="114"/>
      <c r="X79" s="117"/>
      <c r="Y79" s="114"/>
      <c r="Z79" s="117"/>
      <c r="AA79" s="117"/>
      <c r="AB79" s="117"/>
    </row>
    <row r="80" spans="1:35">
      <c r="B80" s="474" t="s">
        <v>75</v>
      </c>
      <c r="C80" s="474"/>
      <c r="D80" s="474"/>
      <c r="E80" s="474"/>
      <c r="F80" s="474"/>
      <c r="G80" s="474"/>
      <c r="H80" s="474"/>
      <c r="I80" s="474"/>
      <c r="J80" s="474"/>
      <c r="K80" s="474"/>
      <c r="L80" s="474"/>
      <c r="M80" s="474"/>
      <c r="N80" s="474"/>
      <c r="O80" s="474"/>
      <c r="P80" s="474"/>
      <c r="Q80" s="474"/>
      <c r="R80" s="474"/>
      <c r="S80" s="474"/>
      <c r="T80" s="474"/>
      <c r="U80" s="474"/>
      <c r="V80" s="474"/>
      <c r="W80" s="474"/>
      <c r="X80" s="474"/>
      <c r="Y80" s="474"/>
      <c r="Z80" s="474"/>
      <c r="AA80" s="474"/>
      <c r="AB80" s="474"/>
    </row>
    <row r="81" spans="2:28">
      <c r="B81" s="472" t="s">
        <v>101</v>
      </c>
      <c r="C81" s="472"/>
      <c r="D81" s="472"/>
      <c r="E81" s="472"/>
      <c r="F81" s="472"/>
      <c r="G81" s="472"/>
      <c r="H81" s="472"/>
      <c r="I81" s="472"/>
      <c r="J81" s="472"/>
      <c r="K81" s="472"/>
      <c r="L81" s="472"/>
      <c r="M81" s="472"/>
      <c r="N81" s="472"/>
      <c r="O81" s="472"/>
      <c r="P81" s="472"/>
      <c r="Q81" s="472"/>
      <c r="R81" s="472"/>
      <c r="S81" s="472"/>
      <c r="T81" s="472"/>
      <c r="U81" s="472"/>
      <c r="V81" s="472"/>
      <c r="W81" s="472"/>
      <c r="X81" s="472"/>
      <c r="Y81" s="472"/>
      <c r="Z81" s="472"/>
      <c r="AA81" s="472"/>
      <c r="AB81" s="472"/>
    </row>
    <row r="87" spans="2:28" ht="12.75" customHeight="1"/>
    <row r="88" spans="2:28" ht="12.75" customHeight="1"/>
    <row r="89" spans="2:28" ht="12.75" customHeight="1"/>
    <row r="90" spans="2:28" ht="12.75" customHeight="1"/>
    <row r="91" spans="2:28" ht="12.75" customHeight="1"/>
    <row r="92" spans="2:28" ht="12.75" customHeight="1"/>
    <row r="93" spans="2:28" ht="12.75" customHeight="1"/>
    <row r="94" spans="2:28" ht="12.75" customHeight="1"/>
    <row r="95" spans="2:28" ht="12.75" customHeight="1"/>
  </sheetData>
  <mergeCells count="95">
    <mergeCell ref="B81:AB81"/>
    <mergeCell ref="AA65:AB65"/>
    <mergeCell ref="B62:AB62"/>
    <mergeCell ref="S65:T65"/>
    <mergeCell ref="U65:V65"/>
    <mergeCell ref="W65:X65"/>
    <mergeCell ref="Y65:Z65"/>
    <mergeCell ref="C65:D65"/>
    <mergeCell ref="O64:P64"/>
    <mergeCell ref="G65:H65"/>
    <mergeCell ref="AA64:AB64"/>
    <mergeCell ref="O65:P65"/>
    <mergeCell ref="Q65:R65"/>
    <mergeCell ref="B80:AB80"/>
    <mergeCell ref="I65:J65"/>
    <mergeCell ref="K65:L65"/>
    <mergeCell ref="E65:F65"/>
    <mergeCell ref="I63:J63"/>
    <mergeCell ref="Y63:Z63"/>
    <mergeCell ref="Q64:R64"/>
    <mergeCell ref="S64:T64"/>
    <mergeCell ref="U64:V64"/>
    <mergeCell ref="Q63:R63"/>
    <mergeCell ref="W63:X63"/>
    <mergeCell ref="W64:X64"/>
    <mergeCell ref="U63:V63"/>
    <mergeCell ref="M64:N64"/>
    <mergeCell ref="S63:T63"/>
    <mergeCell ref="M65:N65"/>
    <mergeCell ref="K64:L64"/>
    <mergeCell ref="C64:D64"/>
    <mergeCell ref="E64:F64"/>
    <mergeCell ref="G64:H64"/>
    <mergeCell ref="I64:J64"/>
    <mergeCell ref="AA63:AB63"/>
    <mergeCell ref="Y64:Z64"/>
    <mergeCell ref="K63:L63"/>
    <mergeCell ref="M63:N63"/>
    <mergeCell ref="O63:P63"/>
    <mergeCell ref="C63:D63"/>
    <mergeCell ref="E63:F63"/>
    <mergeCell ref="G63:H63"/>
    <mergeCell ref="B50:AB50"/>
    <mergeCell ref="B51:AB51"/>
    <mergeCell ref="B59:AB59"/>
    <mergeCell ref="W5:X5"/>
    <mergeCell ref="Y5:Z5"/>
    <mergeCell ref="AA5:AB5"/>
    <mergeCell ref="U7:V7"/>
    <mergeCell ref="O5:P5"/>
    <mergeCell ref="Q5:R5"/>
    <mergeCell ref="S5:T5"/>
    <mergeCell ref="E5:F5"/>
    <mergeCell ref="G5:H5"/>
    <mergeCell ref="I5:J5"/>
    <mergeCell ref="K5:L5"/>
    <mergeCell ref="M5:N5"/>
    <mergeCell ref="B47:AB47"/>
    <mergeCell ref="B60:AB60"/>
    <mergeCell ref="B56:AB56"/>
    <mergeCell ref="B52:AB52"/>
    <mergeCell ref="B53:AB53"/>
    <mergeCell ref="B54:AB54"/>
    <mergeCell ref="B58:AB58"/>
    <mergeCell ref="B2:AB2"/>
    <mergeCell ref="S4:T4"/>
    <mergeCell ref="U5:V5"/>
    <mergeCell ref="W7:X7"/>
    <mergeCell ref="Y7:Z7"/>
    <mergeCell ref="C5:D5"/>
    <mergeCell ref="O4:P4"/>
    <mergeCell ref="I4:J4"/>
    <mergeCell ref="K4:L4"/>
    <mergeCell ref="M4:N4"/>
    <mergeCell ref="C4:D4"/>
    <mergeCell ref="E4:F4"/>
    <mergeCell ref="G4:H4"/>
    <mergeCell ref="W4:X4"/>
    <mergeCell ref="Y4:Z4"/>
    <mergeCell ref="AA4:AB4"/>
    <mergeCell ref="B48:AB48"/>
    <mergeCell ref="B49:AB49"/>
    <mergeCell ref="B3:AB3"/>
    <mergeCell ref="M7:N7"/>
    <mergeCell ref="C7:D7"/>
    <mergeCell ref="E7:F7"/>
    <mergeCell ref="G7:H7"/>
    <mergeCell ref="I7:J7"/>
    <mergeCell ref="AA7:AB7"/>
    <mergeCell ref="O7:P7"/>
    <mergeCell ref="Q7:R7"/>
    <mergeCell ref="S7:T7"/>
    <mergeCell ref="K7:L7"/>
    <mergeCell ref="Q4:R4"/>
    <mergeCell ref="U4:V4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57" orientation="landscape" r:id="rId1"/>
  <headerFooter alignWithMargins="0"/>
  <ignoredErrors>
    <ignoredError sqref="AB2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5"/>
  <sheetViews>
    <sheetView showGridLines="0" topLeftCell="A62" zoomScale="75" zoomScaleNormal="75" workbookViewId="0">
      <selection activeCell="AC17" sqref="AC17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53" t="s">
        <v>43</v>
      </c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453"/>
      <c r="Y2" s="453"/>
      <c r="Z2" s="453"/>
      <c r="AA2" s="453"/>
      <c r="AB2" s="453"/>
      <c r="AC2" s="214"/>
      <c r="AD2" s="214"/>
      <c r="AE2" s="214"/>
      <c r="AF2" s="214"/>
    </row>
    <row r="3" spans="1:35" ht="15.75" customHeight="1" thickBot="1">
      <c r="B3" s="459" t="s">
        <v>57</v>
      </c>
      <c r="C3" s="459"/>
      <c r="D3" s="459"/>
      <c r="E3" s="459"/>
      <c r="F3" s="459"/>
      <c r="G3" s="459"/>
      <c r="H3" s="459"/>
      <c r="I3" s="459"/>
      <c r="J3" s="459"/>
      <c r="K3" s="459"/>
      <c r="L3" s="459"/>
      <c r="M3" s="459"/>
      <c r="N3" s="459"/>
      <c r="O3" s="459"/>
      <c r="P3" s="459"/>
      <c r="Q3" s="459"/>
      <c r="R3" s="459"/>
      <c r="S3" s="459"/>
      <c r="T3" s="459"/>
      <c r="U3" s="459"/>
      <c r="V3" s="459"/>
      <c r="W3" s="459"/>
      <c r="X3" s="459"/>
      <c r="Y3" s="459"/>
      <c r="Z3" s="459"/>
      <c r="AA3" s="459"/>
      <c r="AB3" s="459"/>
      <c r="AC3" s="215"/>
      <c r="AD3" s="215"/>
      <c r="AE3" s="215"/>
      <c r="AF3" s="215"/>
    </row>
    <row r="4" spans="1:35">
      <c r="B4" s="63"/>
      <c r="C4" s="456"/>
      <c r="D4" s="457"/>
      <c r="E4" s="456"/>
      <c r="F4" s="463"/>
      <c r="G4" s="456"/>
      <c r="H4" s="463"/>
      <c r="I4" s="456"/>
      <c r="J4" s="463"/>
      <c r="K4" s="456"/>
      <c r="L4" s="463"/>
      <c r="M4" s="456"/>
      <c r="N4" s="463"/>
      <c r="O4" s="456"/>
      <c r="P4" s="463"/>
      <c r="Q4" s="456"/>
      <c r="R4" s="463"/>
      <c r="S4" s="456"/>
      <c r="T4" s="463"/>
      <c r="U4" s="456"/>
      <c r="V4" s="462"/>
      <c r="W4" s="456"/>
      <c r="X4" s="462"/>
      <c r="Y4" s="456"/>
      <c r="Z4" s="462"/>
      <c r="AA4" s="456"/>
      <c r="AB4" s="462"/>
    </row>
    <row r="5" spans="1:35">
      <c r="B5" s="64">
        <v>2002</v>
      </c>
      <c r="C5" s="454" t="s">
        <v>4</v>
      </c>
      <c r="D5" s="460"/>
      <c r="E5" s="454" t="s">
        <v>5</v>
      </c>
      <c r="F5" s="455"/>
      <c r="G5" s="454" t="s">
        <v>6</v>
      </c>
      <c r="H5" s="455"/>
      <c r="I5" s="454" t="s">
        <v>7</v>
      </c>
      <c r="J5" s="455"/>
      <c r="K5" s="454" t="s">
        <v>8</v>
      </c>
      <c r="L5" s="455"/>
      <c r="M5" s="454" t="s">
        <v>9</v>
      </c>
      <c r="N5" s="455"/>
      <c r="O5" s="454" t="s">
        <v>10</v>
      </c>
      <c r="P5" s="455"/>
      <c r="Q5" s="458" t="s">
        <v>11</v>
      </c>
      <c r="R5" s="455"/>
      <c r="S5" s="458" t="s">
        <v>12</v>
      </c>
      <c r="T5" s="455"/>
      <c r="U5" s="454" t="s">
        <v>0</v>
      </c>
      <c r="V5" s="461"/>
      <c r="W5" s="454" t="s">
        <v>1</v>
      </c>
      <c r="X5" s="461"/>
      <c r="Y5" s="454" t="s">
        <v>2</v>
      </c>
      <c r="Z5" s="461"/>
      <c r="AA5" s="454" t="s">
        <v>15</v>
      </c>
      <c r="AB5" s="46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5"/>
      <c r="D7" s="468"/>
      <c r="E7" s="465"/>
      <c r="F7" s="466"/>
      <c r="G7" s="465"/>
      <c r="H7" s="466"/>
      <c r="I7" s="465"/>
      <c r="J7" s="466"/>
      <c r="K7" s="465"/>
      <c r="L7" s="466"/>
      <c r="M7" s="465"/>
      <c r="N7" s="466"/>
      <c r="O7" s="465"/>
      <c r="P7" s="466"/>
      <c r="Q7" s="465"/>
      <c r="R7" s="466"/>
      <c r="S7" s="465"/>
      <c r="T7" s="466"/>
      <c r="U7" s="465"/>
      <c r="V7" s="467"/>
      <c r="W7" s="465"/>
      <c r="X7" s="467"/>
      <c r="Y7" s="465"/>
      <c r="Z7" s="467"/>
      <c r="AA7" s="465"/>
      <c r="AB7" s="467"/>
    </row>
    <row r="8" spans="1:35" s="202" customFormat="1" ht="14.25" customHeight="1">
      <c r="A8" s="44"/>
      <c r="B8" s="71" t="s">
        <v>16</v>
      </c>
      <c r="C8" s="72"/>
      <c r="D8" s="41">
        <f>D9+D12</f>
        <v>36012.914199999992</v>
      </c>
      <c r="E8" s="42"/>
      <c r="F8" s="41">
        <f>F9+F12</f>
        <v>31772.044600000001</v>
      </c>
      <c r="G8" s="41"/>
      <c r="H8" s="41">
        <f>H9+H12</f>
        <v>32147.185600000001</v>
      </c>
      <c r="I8" s="41"/>
      <c r="J8" s="41">
        <f>J9+J12</f>
        <v>40383.916199999992</v>
      </c>
      <c r="K8" s="41"/>
      <c r="L8" s="41">
        <f>L9+L12</f>
        <v>41996.955399999999</v>
      </c>
      <c r="M8" s="41"/>
      <c r="N8" s="41">
        <f>N9+N12</f>
        <v>40045.537000000004</v>
      </c>
      <c r="O8" s="41"/>
      <c r="P8" s="41">
        <f>P9+P12</f>
        <v>44957.481299999999</v>
      </c>
      <c r="Q8" s="41"/>
      <c r="R8" s="41">
        <f>R9+R12</f>
        <v>45518.331400000003</v>
      </c>
      <c r="S8" s="41"/>
      <c r="T8" s="41">
        <f>T9+T12</f>
        <v>42992.930399999997</v>
      </c>
      <c r="U8" s="41"/>
      <c r="V8" s="41">
        <f>V9+V12</f>
        <v>45664.987100000006</v>
      </c>
      <c r="W8" s="41"/>
      <c r="X8" s="41">
        <f>X9+X12</f>
        <v>44711.938099999999</v>
      </c>
      <c r="Y8" s="41"/>
      <c r="Z8" s="41">
        <f>Z9+Z12</f>
        <v>49608.618699999999</v>
      </c>
      <c r="AA8" s="73"/>
      <c r="AB8" s="73">
        <f>AB9+AB12</f>
        <v>495812.83999999997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36832.214199999995</v>
      </c>
      <c r="E9" s="42"/>
      <c r="F9" s="42">
        <f>+F10+F11</f>
        <v>31778.044600000001</v>
      </c>
      <c r="G9" s="42"/>
      <c r="H9" s="42">
        <f>+H10+H11</f>
        <v>32877.4856</v>
      </c>
      <c r="I9" s="42"/>
      <c r="J9" s="42">
        <f>+J10+J11</f>
        <v>40280.216199999995</v>
      </c>
      <c r="K9" s="42"/>
      <c r="L9" s="42">
        <f>+L10+L11</f>
        <v>41425.8554</v>
      </c>
      <c r="M9" s="42"/>
      <c r="N9" s="42">
        <f>+N10+N11</f>
        <v>37344.237000000001</v>
      </c>
      <c r="O9" s="42"/>
      <c r="P9" s="42">
        <f>+P10+P11</f>
        <v>43906.881300000001</v>
      </c>
      <c r="Q9" s="42"/>
      <c r="R9" s="42">
        <f>+R10+R11</f>
        <v>45248.5314</v>
      </c>
      <c r="S9" s="42"/>
      <c r="T9" s="42">
        <f>+T10+T11</f>
        <v>41851.930399999997</v>
      </c>
      <c r="U9" s="42"/>
      <c r="V9" s="42">
        <f>+V10+V11</f>
        <v>45520.087100000004</v>
      </c>
      <c r="W9" s="42"/>
      <c r="X9" s="42">
        <f>+X10+X11</f>
        <v>44173.438099999999</v>
      </c>
      <c r="Y9" s="42"/>
      <c r="Z9" s="42">
        <f>+Z10+Z11</f>
        <v>47788.518700000001</v>
      </c>
      <c r="AA9" s="75"/>
      <c r="AB9" s="75">
        <f>+AB10+AB11</f>
        <v>489027.43999999994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76" t="s">
        <v>47</v>
      </c>
      <c r="C10" s="72"/>
      <c r="D10" s="42">
        <v>7645.1141999999991</v>
      </c>
      <c r="E10" s="42"/>
      <c r="F10" s="42">
        <v>7124.8446000000004</v>
      </c>
      <c r="G10" s="42"/>
      <c r="H10" s="42">
        <v>7983.6856000000007</v>
      </c>
      <c r="I10" s="42"/>
      <c r="J10" s="42">
        <v>11013.616199999999</v>
      </c>
      <c r="K10" s="42"/>
      <c r="L10" s="42">
        <v>12024.055400000001</v>
      </c>
      <c r="M10" s="42"/>
      <c r="N10" s="42">
        <v>10913.736999999999</v>
      </c>
      <c r="O10" s="42"/>
      <c r="P10" s="42">
        <v>11855.581300000002</v>
      </c>
      <c r="Q10" s="42"/>
      <c r="R10" s="42">
        <v>13041.831400000001</v>
      </c>
      <c r="S10" s="42"/>
      <c r="T10" s="42">
        <v>12691.830399999999</v>
      </c>
      <c r="U10" s="42"/>
      <c r="V10" s="42">
        <v>14017.687099999999</v>
      </c>
      <c r="W10" s="42"/>
      <c r="X10" s="42">
        <v>13570.1381</v>
      </c>
      <c r="Y10" s="42"/>
      <c r="Z10" s="42">
        <v>12698.718699999999</v>
      </c>
      <c r="AA10" s="75"/>
      <c r="AB10" s="75">
        <f>SUM(D10:Z10)</f>
        <v>134580.84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76" t="s">
        <v>48</v>
      </c>
      <c r="C11" s="72"/>
      <c r="D11" s="42">
        <v>29187.1</v>
      </c>
      <c r="E11" s="42"/>
      <c r="F11" s="42">
        <v>24653.200000000001</v>
      </c>
      <c r="G11" s="42"/>
      <c r="H11" s="42">
        <v>24893.8</v>
      </c>
      <c r="I11" s="42"/>
      <c r="J11" s="42">
        <v>29266.6</v>
      </c>
      <c r="K11" s="42"/>
      <c r="L11" s="42">
        <v>29401.8</v>
      </c>
      <c r="M11" s="42"/>
      <c r="N11" s="42">
        <v>26430.5</v>
      </c>
      <c r="O11" s="42"/>
      <c r="P11" s="42">
        <v>32051.3</v>
      </c>
      <c r="Q11" s="42"/>
      <c r="R11" s="42">
        <v>32206.7</v>
      </c>
      <c r="S11" s="42"/>
      <c r="T11" s="42">
        <v>29160.1</v>
      </c>
      <c r="U11" s="42"/>
      <c r="V11" s="42">
        <v>31502.400000000001</v>
      </c>
      <c r="W11" s="42"/>
      <c r="X11" s="42">
        <v>30603.3</v>
      </c>
      <c r="Y11" s="42"/>
      <c r="Z11" s="42">
        <v>35089.800000000003</v>
      </c>
      <c r="AA11" s="77"/>
      <c r="AB11" s="75">
        <f>SUM(D11:Z11)</f>
        <v>354446.6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74" t="s">
        <v>49</v>
      </c>
      <c r="C12" s="72"/>
      <c r="D12" s="42">
        <v>-819.3</v>
      </c>
      <c r="E12" s="42"/>
      <c r="F12" s="42">
        <v>-6</v>
      </c>
      <c r="G12" s="42"/>
      <c r="H12" s="42">
        <v>-730.3</v>
      </c>
      <c r="I12" s="42"/>
      <c r="J12" s="42">
        <v>103.7</v>
      </c>
      <c r="K12" s="42"/>
      <c r="L12" s="42">
        <v>571.1</v>
      </c>
      <c r="M12" s="42"/>
      <c r="N12" s="42">
        <v>2701.3</v>
      </c>
      <c r="O12" s="42"/>
      <c r="P12" s="42">
        <v>1050.5999999999999</v>
      </c>
      <c r="Q12" s="42"/>
      <c r="R12" s="42">
        <v>269.8</v>
      </c>
      <c r="S12" s="42"/>
      <c r="T12" s="42">
        <v>1141</v>
      </c>
      <c r="U12" s="42"/>
      <c r="V12" s="42">
        <v>144.9</v>
      </c>
      <c r="W12" s="42"/>
      <c r="X12" s="42">
        <v>538.5</v>
      </c>
      <c r="Y12" s="42"/>
      <c r="Z12" s="42">
        <v>1820.1</v>
      </c>
      <c r="AA12" s="75"/>
      <c r="AB12" s="75">
        <f>SUM(D12:Z12)</f>
        <v>6785.4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44</v>
      </c>
      <c r="C14" s="82"/>
      <c r="D14" s="45">
        <f>+D15+D16+D17</f>
        <v>4976.8</v>
      </c>
      <c r="E14" s="45"/>
      <c r="F14" s="45">
        <f>+F15+F16+F17</f>
        <v>3977.7999999999997</v>
      </c>
      <c r="G14" s="45"/>
      <c r="H14" s="45">
        <f>+H15+H16+H17</f>
        <v>3718</v>
      </c>
      <c r="I14" s="45"/>
      <c r="J14" s="45">
        <f>+J15+J16+J17</f>
        <v>4791.3999999999996</v>
      </c>
      <c r="K14" s="45"/>
      <c r="L14" s="45">
        <f>+L15+L16+L17</f>
        <v>4912.1000000000004</v>
      </c>
      <c r="M14" s="45"/>
      <c r="N14" s="45">
        <f>+N15+N16+N17</f>
        <v>5119.3999999999996</v>
      </c>
      <c r="O14" s="45"/>
      <c r="P14" s="45">
        <f>+P15+P16+P17</f>
        <v>7815.6</v>
      </c>
      <c r="Q14" s="45"/>
      <c r="R14" s="45">
        <f>+R15+R16+R17</f>
        <v>5897.8</v>
      </c>
      <c r="S14" s="45"/>
      <c r="T14" s="45">
        <f>+T15+T16+T17</f>
        <v>6226.2999999999993</v>
      </c>
      <c r="U14" s="45"/>
      <c r="V14" s="45">
        <f>+V15+V16+V17</f>
        <v>5707.9</v>
      </c>
      <c r="W14" s="45"/>
      <c r="X14" s="45">
        <f>+X15+X16+X17</f>
        <v>6521.1</v>
      </c>
      <c r="Y14" s="45"/>
      <c r="Z14" s="45">
        <f>+Z15+Z16+Z17</f>
        <v>12412.8</v>
      </c>
      <c r="AA14" s="83"/>
      <c r="AB14" s="83">
        <f>+AB15+AB16+AB17</f>
        <v>72077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2759.3</v>
      </c>
      <c r="E15" s="42"/>
      <c r="F15" s="42">
        <v>2431.1</v>
      </c>
      <c r="G15" s="42"/>
      <c r="H15" s="42">
        <v>2481.9</v>
      </c>
      <c r="I15" s="42"/>
      <c r="J15" s="42">
        <v>2828.7</v>
      </c>
      <c r="K15" s="42"/>
      <c r="L15" s="42">
        <v>2558.4</v>
      </c>
      <c r="M15" s="42"/>
      <c r="N15" s="42">
        <v>3024.8</v>
      </c>
      <c r="O15" s="42"/>
      <c r="P15" s="42">
        <v>3391.9</v>
      </c>
      <c r="Q15" s="42"/>
      <c r="R15" s="42">
        <v>2586.9</v>
      </c>
      <c r="S15" s="42"/>
      <c r="T15" s="42">
        <v>2778</v>
      </c>
      <c r="U15" s="42"/>
      <c r="V15" s="42">
        <v>2919.8</v>
      </c>
      <c r="W15" s="42"/>
      <c r="X15" s="42">
        <v>2648.6</v>
      </c>
      <c r="Y15" s="42"/>
      <c r="Z15" s="42">
        <v>6656.2</v>
      </c>
      <c r="AA15" s="75"/>
      <c r="AB15" s="75">
        <f>SUM(D15:Z15)</f>
        <v>37065.599999999999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522.1</v>
      </c>
      <c r="E16" s="42"/>
      <c r="F16" s="42">
        <v>379.7</v>
      </c>
      <c r="G16" s="42"/>
      <c r="H16" s="42">
        <v>214.8</v>
      </c>
      <c r="I16" s="42"/>
      <c r="J16" s="42">
        <v>262.60000000000002</v>
      </c>
      <c r="K16" s="42"/>
      <c r="L16" s="42">
        <v>293.10000000000002</v>
      </c>
      <c r="M16" s="42"/>
      <c r="N16" s="42">
        <v>333.6</v>
      </c>
      <c r="O16" s="42"/>
      <c r="P16" s="42">
        <v>439.5</v>
      </c>
      <c r="Q16" s="42"/>
      <c r="R16" s="42">
        <v>448.3</v>
      </c>
      <c r="S16" s="42"/>
      <c r="T16" s="42">
        <v>431.1</v>
      </c>
      <c r="U16" s="42"/>
      <c r="V16" s="42">
        <v>584.20000000000005</v>
      </c>
      <c r="W16" s="42"/>
      <c r="X16" s="42">
        <v>450.8</v>
      </c>
      <c r="Y16" s="42"/>
      <c r="Z16" s="42">
        <v>887.7</v>
      </c>
      <c r="AA16" s="75"/>
      <c r="AB16" s="75">
        <f>SUM(D16:Z16)</f>
        <v>5247.5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74" t="s">
        <v>51</v>
      </c>
      <c r="C17" s="72"/>
      <c r="D17" s="42">
        <v>1695.4</v>
      </c>
      <c r="E17" s="42"/>
      <c r="F17" s="42">
        <v>1167</v>
      </c>
      <c r="G17" s="42"/>
      <c r="H17" s="42">
        <v>1021.3</v>
      </c>
      <c r="I17" s="42"/>
      <c r="J17" s="42">
        <v>1700.1</v>
      </c>
      <c r="K17" s="42"/>
      <c r="L17" s="42">
        <v>2060.6</v>
      </c>
      <c r="M17" s="42"/>
      <c r="N17" s="42">
        <v>1761</v>
      </c>
      <c r="O17" s="42"/>
      <c r="P17" s="42">
        <v>3984.2</v>
      </c>
      <c r="Q17" s="42"/>
      <c r="R17" s="42">
        <v>2862.6</v>
      </c>
      <c r="S17" s="42"/>
      <c r="T17" s="42">
        <v>3017.2</v>
      </c>
      <c r="U17" s="42"/>
      <c r="V17" s="42">
        <v>2203.9</v>
      </c>
      <c r="W17" s="42"/>
      <c r="X17" s="42">
        <v>3421.7</v>
      </c>
      <c r="Y17" s="42"/>
      <c r="Z17" s="42">
        <v>4868.8999999999996</v>
      </c>
      <c r="AA17" s="75"/>
      <c r="AB17" s="75">
        <f>SUM(D17:Z17)</f>
        <v>29763.9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1132.0999999999999</v>
      </c>
      <c r="E19" s="42"/>
      <c r="F19" s="42">
        <v>-113.6</v>
      </c>
      <c r="G19" s="42"/>
      <c r="H19" s="42">
        <v>-1171.0999999999999</v>
      </c>
      <c r="I19" s="42"/>
      <c r="J19" s="42">
        <v>84.8</v>
      </c>
      <c r="K19" s="42"/>
      <c r="L19" s="42">
        <v>39.4</v>
      </c>
      <c r="M19" s="42"/>
      <c r="N19" s="42">
        <v>536.6</v>
      </c>
      <c r="O19" s="42"/>
      <c r="P19" s="42">
        <v>-901.6</v>
      </c>
      <c r="Q19" s="42"/>
      <c r="R19" s="42">
        <v>96.1</v>
      </c>
      <c r="S19" s="42"/>
      <c r="T19" s="42">
        <v>63.1</v>
      </c>
      <c r="U19" s="42"/>
      <c r="V19" s="42">
        <v>123.9</v>
      </c>
      <c r="W19" s="42"/>
      <c r="X19" s="42">
        <v>200.6</v>
      </c>
      <c r="Y19" s="42"/>
      <c r="Z19" s="42">
        <v>-376.3</v>
      </c>
      <c r="AA19" s="42"/>
      <c r="AB19" s="124">
        <f>SUM(D19:Z19)</f>
        <v>-286.00000000000011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85" t="s">
        <v>50</v>
      </c>
      <c r="C21" s="72"/>
      <c r="D21" s="42">
        <v>1820</v>
      </c>
      <c r="E21" s="42"/>
      <c r="F21" s="42">
        <v>1835.3</v>
      </c>
      <c r="G21" s="42"/>
      <c r="H21" s="42">
        <v>1875.6</v>
      </c>
      <c r="I21" s="42"/>
      <c r="J21" s="42">
        <v>2115.3000000000002</v>
      </c>
      <c r="K21" s="42"/>
      <c r="L21" s="42">
        <v>2776.8</v>
      </c>
      <c r="M21" s="42"/>
      <c r="N21" s="42">
        <v>2198.6999999999998</v>
      </c>
      <c r="O21" s="42"/>
      <c r="P21" s="42">
        <v>2731.2</v>
      </c>
      <c r="Q21" s="42"/>
      <c r="R21" s="42">
        <v>3087.7</v>
      </c>
      <c r="S21" s="42"/>
      <c r="T21" s="42">
        <v>2791</v>
      </c>
      <c r="U21" s="42"/>
      <c r="V21" s="42">
        <v>3211.4</v>
      </c>
      <c r="W21" s="42"/>
      <c r="X21" s="42">
        <v>4485.2</v>
      </c>
      <c r="Y21" s="42"/>
      <c r="Z21" s="42">
        <v>4801.6000000000004</v>
      </c>
      <c r="AA21" s="42"/>
      <c r="AB21" s="75">
        <f>SUM(D21:Z21)</f>
        <v>33729.800000000003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45</v>
      </c>
      <c r="C23" s="82"/>
      <c r="D23" s="45">
        <f>D8-D14-D19-D21</f>
        <v>28084.014199999994</v>
      </c>
      <c r="E23" s="45"/>
      <c r="F23" s="45">
        <f>F8-F14-F19-F21</f>
        <v>26072.544600000001</v>
      </c>
      <c r="G23" s="45"/>
      <c r="H23" s="45">
        <f>H8-H14-H19-H21</f>
        <v>27724.685600000001</v>
      </c>
      <c r="I23" s="45"/>
      <c r="J23" s="45">
        <f>J8-J14-J19-J21</f>
        <v>33392.416199999985</v>
      </c>
      <c r="K23" s="45"/>
      <c r="L23" s="45">
        <f>L8-L14-L19-L21</f>
        <v>34268.655399999996</v>
      </c>
      <c r="M23" s="45"/>
      <c r="N23" s="45">
        <f>N8-N14-N19-N21</f>
        <v>32190.837000000003</v>
      </c>
      <c r="O23" s="45"/>
      <c r="P23" s="45">
        <f>P8-P14-P19-P21</f>
        <v>35312.281300000002</v>
      </c>
      <c r="Q23" s="45"/>
      <c r="R23" s="45">
        <f>R8-R14-R19-R21</f>
        <v>36436.731400000004</v>
      </c>
      <c r="S23" s="45"/>
      <c r="T23" s="45">
        <f>T8-T14-T19-T21</f>
        <v>33912.530399999996</v>
      </c>
      <c r="U23" s="45"/>
      <c r="V23" s="45">
        <f>V8-V14-V19-V21</f>
        <v>36621.787100000001</v>
      </c>
      <c r="W23" s="45"/>
      <c r="X23" s="45">
        <f>X8-X14-X19-X21</f>
        <v>33505.038100000005</v>
      </c>
      <c r="Y23" s="45"/>
      <c r="Z23" s="45">
        <f>Z8-Z14-Z19-Z21</f>
        <v>32770.518700000008</v>
      </c>
      <c r="AA23" s="45"/>
      <c r="AB23" s="83">
        <f>AB8-AB14-AB19-AB21</f>
        <v>390292.04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63</v>
      </c>
      <c r="C25" s="82"/>
      <c r="D25" s="45">
        <f>+D27+D26</f>
        <v>3274.6000000000004</v>
      </c>
      <c r="E25" s="82"/>
      <c r="F25" s="45">
        <f>+F27+F26</f>
        <v>2959.8</v>
      </c>
      <c r="G25" s="82"/>
      <c r="H25" s="45">
        <f>+H27+H26</f>
        <v>1103.8</v>
      </c>
      <c r="I25" s="82"/>
      <c r="J25" s="45">
        <f>+J27+J26</f>
        <v>1024.5</v>
      </c>
      <c r="K25" s="82"/>
      <c r="L25" s="45">
        <f>+L27+L26</f>
        <v>2299.1999999999998</v>
      </c>
      <c r="M25" s="82"/>
      <c r="N25" s="45">
        <f>+N27+N26</f>
        <v>2020.3999999999999</v>
      </c>
      <c r="O25" s="82"/>
      <c r="P25" s="45">
        <f>+P27+P26</f>
        <v>1411.3999999999999</v>
      </c>
      <c r="Q25" s="82"/>
      <c r="R25" s="45">
        <f>+R27+R26</f>
        <v>2377.4</v>
      </c>
      <c r="S25" s="82"/>
      <c r="T25" s="45">
        <f>+T27+T26</f>
        <v>1465.8</v>
      </c>
      <c r="U25" s="82"/>
      <c r="V25" s="45">
        <f>+V27+V26</f>
        <v>5942.2</v>
      </c>
      <c r="W25" s="82"/>
      <c r="X25" s="45">
        <f>+X27+X26</f>
        <v>3317.8</v>
      </c>
      <c r="Y25" s="82"/>
      <c r="Z25" s="45">
        <f>+Z27+Z26</f>
        <v>5542.0999999999995</v>
      </c>
      <c r="AA25" s="82"/>
      <c r="AB25" s="45">
        <f>+AB27+AB26</f>
        <v>32739.000000000004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206" t="s">
        <v>72</v>
      </c>
      <c r="C26" s="72"/>
      <c r="D26" s="42">
        <v>99.8</v>
      </c>
      <c r="E26" s="42"/>
      <c r="F26" s="42">
        <v>707.7</v>
      </c>
      <c r="G26" s="42"/>
      <c r="H26" s="42">
        <v>35.200000000000003</v>
      </c>
      <c r="I26" s="42"/>
      <c r="J26" s="42">
        <v>89.4</v>
      </c>
      <c r="K26" s="42"/>
      <c r="L26" s="42">
        <v>1204.3</v>
      </c>
      <c r="M26" s="42"/>
      <c r="N26" s="42">
        <v>778.3</v>
      </c>
      <c r="O26" s="42"/>
      <c r="P26" s="42">
        <v>128.30000000000001</v>
      </c>
      <c r="Q26" s="77"/>
      <c r="R26" s="42">
        <v>993.5</v>
      </c>
      <c r="S26" s="42"/>
      <c r="T26" s="42">
        <v>30.2</v>
      </c>
      <c r="U26" s="42"/>
      <c r="V26" s="42">
        <v>3922.5</v>
      </c>
      <c r="W26" s="42"/>
      <c r="X26" s="42">
        <v>1332.8</v>
      </c>
      <c r="Y26" s="42"/>
      <c r="Z26" s="42">
        <v>914.7</v>
      </c>
      <c r="AA26" s="42"/>
      <c r="AB26" s="75">
        <f>SUM(D26:Z26)</f>
        <v>10236.700000000001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3174.8</v>
      </c>
      <c r="E27" s="42"/>
      <c r="F27" s="42">
        <f>+F28+F29</f>
        <v>2252.1</v>
      </c>
      <c r="G27" s="42"/>
      <c r="H27" s="42">
        <f>+H28+H29</f>
        <v>1068.5999999999999</v>
      </c>
      <c r="I27" s="42"/>
      <c r="J27" s="42">
        <f>+J28+J29</f>
        <v>935.1</v>
      </c>
      <c r="K27" s="42"/>
      <c r="L27" s="42">
        <f>+L28+L29</f>
        <v>1094.9000000000001</v>
      </c>
      <c r="M27" s="42"/>
      <c r="N27" s="42">
        <f>+N28+N29</f>
        <v>1242.0999999999999</v>
      </c>
      <c r="O27" s="42"/>
      <c r="P27" s="42">
        <f>+P28+P29</f>
        <v>1283.0999999999999</v>
      </c>
      <c r="Q27" s="42"/>
      <c r="R27" s="42">
        <f>+R28+R29</f>
        <v>1383.9</v>
      </c>
      <c r="S27" s="42"/>
      <c r="T27" s="42">
        <f>+T28+T29</f>
        <v>1435.6</v>
      </c>
      <c r="U27" s="42"/>
      <c r="V27" s="42">
        <f>+V28+V29</f>
        <v>2019.7</v>
      </c>
      <c r="W27" s="42"/>
      <c r="X27" s="42">
        <f>+X28+X29</f>
        <v>1985</v>
      </c>
      <c r="Y27" s="42"/>
      <c r="Z27" s="42">
        <f>+Z28+Z29</f>
        <v>4627.3999999999996</v>
      </c>
      <c r="AA27" s="75"/>
      <c r="AB27" s="75">
        <f>+AB28+AB29</f>
        <v>22502.300000000003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194" t="s">
        <v>66</v>
      </c>
      <c r="C28" s="90"/>
      <c r="D28" s="42">
        <v>3174.8</v>
      </c>
      <c r="E28" s="42"/>
      <c r="F28" s="42">
        <v>2252.1</v>
      </c>
      <c r="G28" s="42"/>
      <c r="H28" s="42">
        <v>1068.5999999999999</v>
      </c>
      <c r="I28" s="42"/>
      <c r="J28" s="42">
        <v>935.1</v>
      </c>
      <c r="K28" s="42"/>
      <c r="L28" s="42">
        <v>1094.9000000000001</v>
      </c>
      <c r="M28" s="42"/>
      <c r="N28" s="42">
        <v>1242.0999999999999</v>
      </c>
      <c r="O28" s="42"/>
      <c r="P28" s="42">
        <v>1283.0999999999999</v>
      </c>
      <c r="Q28" s="42"/>
      <c r="R28" s="42">
        <v>1383.9</v>
      </c>
      <c r="S28" s="42"/>
      <c r="T28" s="42">
        <v>1435.6</v>
      </c>
      <c r="U28" s="42"/>
      <c r="V28" s="42">
        <v>2019.7</v>
      </c>
      <c r="W28" s="42"/>
      <c r="X28" s="42">
        <v>1978</v>
      </c>
      <c r="Y28" s="42"/>
      <c r="Z28" s="42">
        <v>4627.3999999999996</v>
      </c>
      <c r="AA28" s="75"/>
      <c r="AB28" s="75">
        <f>SUM(D28:Z28)</f>
        <v>22495.300000000003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0</v>
      </c>
      <c r="E29" s="42"/>
      <c r="F29" s="42">
        <v>0</v>
      </c>
      <c r="G29" s="42"/>
      <c r="H29" s="42">
        <v>0</v>
      </c>
      <c r="I29" s="42"/>
      <c r="J29" s="42">
        <v>0</v>
      </c>
      <c r="K29" s="42"/>
      <c r="L29" s="42">
        <v>0</v>
      </c>
      <c r="M29" s="42"/>
      <c r="N29" s="42">
        <v>0</v>
      </c>
      <c r="O29" s="42"/>
      <c r="P29" s="42">
        <v>0</v>
      </c>
      <c r="Q29" s="42"/>
      <c r="R29" s="42">
        <v>0</v>
      </c>
      <c r="S29" s="42"/>
      <c r="T29" s="42">
        <v>0</v>
      </c>
      <c r="U29" s="42"/>
      <c r="V29" s="42">
        <v>0</v>
      </c>
      <c r="W29" s="42"/>
      <c r="X29" s="42">
        <v>7</v>
      </c>
      <c r="Y29" s="42"/>
      <c r="Z29" s="42">
        <v>0</v>
      </c>
      <c r="AA29" s="75"/>
      <c r="AB29" s="42">
        <f>SUM(D29:Z29)</f>
        <v>7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0</v>
      </c>
      <c r="U31" s="118"/>
      <c r="V31" s="118">
        <v>0</v>
      </c>
      <c r="W31" s="118"/>
      <c r="X31" s="118">
        <v>0</v>
      </c>
      <c r="Y31" s="118"/>
      <c r="Z31" s="118">
        <v>0</v>
      </c>
      <c r="AA31" s="41"/>
      <c r="AB31" s="118">
        <f>SUM(D31:Z31)</f>
        <v>0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207" t="s">
        <v>73</v>
      </c>
      <c r="C33" s="95"/>
      <c r="D33" s="119">
        <f>D23-D25+D31</f>
        <v>24809.414199999992</v>
      </c>
      <c r="E33" s="119"/>
      <c r="F33" s="119">
        <f>F23-F25+F31</f>
        <v>23112.744600000002</v>
      </c>
      <c r="G33" s="119"/>
      <c r="H33" s="119">
        <f>H23-H25+H31</f>
        <v>26620.885600000001</v>
      </c>
      <c r="I33" s="119"/>
      <c r="J33" s="119">
        <f>J23-J25+J31</f>
        <v>32367.916199999985</v>
      </c>
      <c r="K33" s="119"/>
      <c r="L33" s="119">
        <f>L23-L25+L31</f>
        <v>31969.455399999995</v>
      </c>
      <c r="M33" s="119"/>
      <c r="N33" s="119">
        <f>N23-N25+N31</f>
        <v>30170.437000000002</v>
      </c>
      <c r="O33" s="119"/>
      <c r="P33" s="119">
        <f>P23-P25+P31</f>
        <v>33900.881300000001</v>
      </c>
      <c r="Q33" s="119"/>
      <c r="R33" s="119">
        <f>R23-R25+R31</f>
        <v>34059.331400000003</v>
      </c>
      <c r="S33" s="119"/>
      <c r="T33" s="119">
        <f>T23-T25+T31</f>
        <v>32446.730399999997</v>
      </c>
      <c r="U33" s="119"/>
      <c r="V33" s="119">
        <f>V23-V25+V31</f>
        <v>30679.587100000001</v>
      </c>
      <c r="W33" s="119"/>
      <c r="X33" s="119">
        <f>X23-X25+X31</f>
        <v>30187.238100000006</v>
      </c>
      <c r="Y33" s="119"/>
      <c r="Z33" s="119">
        <f>Z23-Z25+Z31</f>
        <v>27228.418700000009</v>
      </c>
      <c r="AA33" s="119"/>
      <c r="AB33" s="119">
        <f>AB23-AB25+AB31</f>
        <v>357553.04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23998.400000000001</v>
      </c>
      <c r="E35" s="42"/>
      <c r="F35" s="42">
        <v>18134.3</v>
      </c>
      <c r="G35" s="42"/>
      <c r="H35" s="42">
        <v>19043.5</v>
      </c>
      <c r="I35" s="42"/>
      <c r="J35" s="42">
        <v>24249.8</v>
      </c>
      <c r="K35" s="42"/>
      <c r="L35" s="42">
        <v>23849.599999999999</v>
      </c>
      <c r="M35" s="42"/>
      <c r="N35" s="42">
        <v>23514.9</v>
      </c>
      <c r="O35" s="42"/>
      <c r="P35" s="42">
        <v>32425.7</v>
      </c>
      <c r="Q35" s="42"/>
      <c r="R35" s="42">
        <v>27175.5</v>
      </c>
      <c r="S35" s="42"/>
      <c r="T35" s="42">
        <v>27551.5</v>
      </c>
      <c r="U35" s="42"/>
      <c r="V35" s="42">
        <v>34127.699999999997</v>
      </c>
      <c r="W35" s="42"/>
      <c r="X35" s="42">
        <v>25708.799999999999</v>
      </c>
      <c r="Y35" s="42"/>
      <c r="Z35" s="42">
        <v>32271.8</v>
      </c>
      <c r="AA35" s="42"/>
      <c r="AB35" s="75">
        <f>SUM(D35:Z35)</f>
        <v>312051.5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811.01419999999052</v>
      </c>
      <c r="E37" s="119"/>
      <c r="F37" s="119">
        <f>F33-F35</f>
        <v>4978.4446000000025</v>
      </c>
      <c r="G37" s="119"/>
      <c r="H37" s="119">
        <f>H33-H35</f>
        <v>7577.3856000000014</v>
      </c>
      <c r="I37" s="119"/>
      <c r="J37" s="119">
        <f>J33-J35</f>
        <v>8118.1161999999858</v>
      </c>
      <c r="K37" s="119"/>
      <c r="L37" s="119">
        <f>L33-L35</f>
        <v>8119.8553999999967</v>
      </c>
      <c r="M37" s="119"/>
      <c r="N37" s="119">
        <f>N33-N35</f>
        <v>6655.5370000000003</v>
      </c>
      <c r="O37" s="119"/>
      <c r="P37" s="119">
        <f>P33-P35</f>
        <v>1475.1813000000002</v>
      </c>
      <c r="Q37" s="119"/>
      <c r="R37" s="119">
        <f>R33-R35</f>
        <v>6883.8314000000028</v>
      </c>
      <c r="S37" s="119"/>
      <c r="T37" s="119">
        <f>T33-T35</f>
        <v>4895.2303999999967</v>
      </c>
      <c r="U37" s="119"/>
      <c r="V37" s="119">
        <f>V33-V35</f>
        <v>-3448.1128999999964</v>
      </c>
      <c r="W37" s="119"/>
      <c r="X37" s="119">
        <f>X33-X35</f>
        <v>4478.4381000000067</v>
      </c>
      <c r="Y37" s="119"/>
      <c r="Z37" s="119">
        <f>Z33-Z35</f>
        <v>-5043.38129999999</v>
      </c>
      <c r="AA37" s="119"/>
      <c r="AB37" s="119">
        <f>AB33-AB35</f>
        <v>45501.539999999979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301.32030000000003</v>
      </c>
      <c r="E39" s="72"/>
      <c r="F39" s="42">
        <f>F40+F43</f>
        <v>902.95249999999999</v>
      </c>
      <c r="G39" s="72"/>
      <c r="H39" s="42">
        <f>H40+H43</f>
        <v>1743.4270999999994</v>
      </c>
      <c r="I39" s="72"/>
      <c r="J39" s="42">
        <f>J40+J43</f>
        <v>869.90449999999987</v>
      </c>
      <c r="K39" s="72"/>
      <c r="L39" s="42">
        <f>L40+L43</f>
        <v>1552.8389</v>
      </c>
      <c r="M39" s="72"/>
      <c r="N39" s="42">
        <f>N40+N43</f>
        <v>1706.7093</v>
      </c>
      <c r="O39" s="72"/>
      <c r="P39" s="42">
        <f>P40+P43</f>
        <v>243.82640000000001</v>
      </c>
      <c r="Q39" s="72"/>
      <c r="R39" s="42">
        <f>R40+R43</f>
        <v>1312.2889</v>
      </c>
      <c r="S39" s="72"/>
      <c r="T39" s="42">
        <f>T40+T43</f>
        <v>1691.6331999999998</v>
      </c>
      <c r="U39" s="72"/>
      <c r="V39" s="42">
        <f>V40+V43</f>
        <v>489.90350000000001</v>
      </c>
      <c r="W39" s="72"/>
      <c r="X39" s="42">
        <f>X40+X43</f>
        <v>1046.4293</v>
      </c>
      <c r="Y39" s="72"/>
      <c r="Z39" s="42">
        <f>Z40+Z43</f>
        <v>1824.8004999999998</v>
      </c>
      <c r="AA39" s="72"/>
      <c r="AB39" s="42">
        <f>AB40+AB43</f>
        <v>13686.0344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0</v>
      </c>
      <c r="E40" s="42"/>
      <c r="F40" s="42">
        <f>F41+F42</f>
        <v>5.1028000000000002</v>
      </c>
      <c r="G40" s="42"/>
      <c r="H40" s="42">
        <f>H41+H42</f>
        <v>281.36279999999977</v>
      </c>
      <c r="I40" s="42"/>
      <c r="J40" s="42">
        <f>J41+J42</f>
        <v>2.5700000000000004E-2</v>
      </c>
      <c r="K40" s="42"/>
      <c r="L40" s="42">
        <f>L41+L42</f>
        <v>54.797899999999998</v>
      </c>
      <c r="M40" s="42"/>
      <c r="N40" s="42">
        <f>N41+N42</f>
        <v>354.5988000000001</v>
      </c>
      <c r="O40" s="42"/>
      <c r="P40" s="42">
        <f>P41+P42</f>
        <v>2.8300000000000002E-2</v>
      </c>
      <c r="Q40" s="42"/>
      <c r="R40" s="42">
        <f>R41+R42</f>
        <v>4.6101999999999999</v>
      </c>
      <c r="S40" s="42"/>
      <c r="T40" s="42">
        <f>T41+T42</f>
        <v>286.03859999999997</v>
      </c>
      <c r="U40" s="42"/>
      <c r="V40" s="42">
        <f>+V41+V42</f>
        <v>2.8799999999999999E-2</v>
      </c>
      <c r="W40" s="42"/>
      <c r="X40" s="42">
        <f>+X41+X42</f>
        <v>60.574100000000008</v>
      </c>
      <c r="Y40" s="42"/>
      <c r="Z40" s="42">
        <f>+Z41+Z42</f>
        <v>300.13980000000004</v>
      </c>
      <c r="AA40" s="75"/>
      <c r="AB40" s="75">
        <f>+AB41+AB42</f>
        <v>1347.3077999999998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194" t="s">
        <v>56</v>
      </c>
      <c r="C41" s="72"/>
      <c r="D41" s="118">
        <v>0</v>
      </c>
      <c r="E41" s="118"/>
      <c r="F41" s="118">
        <v>5.1028000000000002</v>
      </c>
      <c r="G41" s="118"/>
      <c r="H41" s="118">
        <v>13.4498</v>
      </c>
      <c r="I41" s="118"/>
      <c r="J41" s="118">
        <v>2.5700000000000004E-2</v>
      </c>
      <c r="K41" s="118"/>
      <c r="L41" s="118">
        <v>54.797899999999998</v>
      </c>
      <c r="M41" s="118"/>
      <c r="N41" s="118">
        <v>51.229200000000006</v>
      </c>
      <c r="O41" s="118"/>
      <c r="P41" s="118">
        <v>2.8300000000000002E-2</v>
      </c>
      <c r="Q41" s="118"/>
      <c r="R41" s="118">
        <v>4.6101999999999999</v>
      </c>
      <c r="S41" s="118"/>
      <c r="T41" s="118">
        <v>13.5062</v>
      </c>
      <c r="U41" s="118"/>
      <c r="V41" s="118">
        <v>2.8799999999999999E-2</v>
      </c>
      <c r="W41" s="118"/>
      <c r="X41" s="118">
        <v>60.574100000000008</v>
      </c>
      <c r="Y41" s="118"/>
      <c r="Z41" s="118">
        <v>48.983699999999999</v>
      </c>
      <c r="AA41" s="118"/>
      <c r="AB41" s="118">
        <f>SUM(D41:Z41)</f>
        <v>252.33670000000001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0</v>
      </c>
      <c r="E42" s="42"/>
      <c r="F42" s="42">
        <v>0</v>
      </c>
      <c r="G42" s="42"/>
      <c r="H42" s="42">
        <v>267.91299999999978</v>
      </c>
      <c r="I42" s="42"/>
      <c r="J42" s="42">
        <v>0</v>
      </c>
      <c r="K42" s="42"/>
      <c r="L42" s="42">
        <v>0</v>
      </c>
      <c r="M42" s="42"/>
      <c r="N42" s="42">
        <v>303.3696000000001</v>
      </c>
      <c r="O42" s="42"/>
      <c r="P42" s="42">
        <v>0</v>
      </c>
      <c r="Q42" s="42"/>
      <c r="R42" s="42">
        <v>0</v>
      </c>
      <c r="S42" s="42"/>
      <c r="T42" s="42">
        <v>272.5324</v>
      </c>
      <c r="U42" s="42"/>
      <c r="V42" s="42">
        <v>0</v>
      </c>
      <c r="W42" s="42"/>
      <c r="X42" s="42">
        <v>0</v>
      </c>
      <c r="Y42" s="42"/>
      <c r="Z42" s="42">
        <v>251.15610000000001</v>
      </c>
      <c r="AA42" s="75"/>
      <c r="AB42" s="75">
        <f>SUM(D42:Z42)</f>
        <v>1094.9710999999998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301.32030000000003</v>
      </c>
      <c r="E43" s="42"/>
      <c r="F43" s="42">
        <v>897.84969999999998</v>
      </c>
      <c r="G43" s="42"/>
      <c r="H43" s="42">
        <v>1462.0642999999998</v>
      </c>
      <c r="I43" s="42"/>
      <c r="J43" s="42">
        <v>869.87879999999984</v>
      </c>
      <c r="K43" s="42"/>
      <c r="L43" s="42">
        <v>1498.0409999999999</v>
      </c>
      <c r="M43" s="42"/>
      <c r="N43" s="42">
        <v>1352.1105</v>
      </c>
      <c r="O43" s="42"/>
      <c r="P43" s="42">
        <v>243.79810000000001</v>
      </c>
      <c r="Q43" s="42"/>
      <c r="R43" s="42">
        <v>1307.6786999999999</v>
      </c>
      <c r="S43" s="42"/>
      <c r="T43" s="42">
        <v>1405.5945999999999</v>
      </c>
      <c r="U43" s="42"/>
      <c r="V43" s="42">
        <v>489.87470000000002</v>
      </c>
      <c r="W43" s="42"/>
      <c r="X43" s="42">
        <v>985.85519999999997</v>
      </c>
      <c r="Y43" s="42"/>
      <c r="Z43" s="42">
        <v>1524.6606999999999</v>
      </c>
      <c r="AA43" s="75"/>
      <c r="AB43" s="75">
        <f>SUM(D43:Z43)</f>
        <v>12338.7266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509.69389999999049</v>
      </c>
      <c r="E45" s="95"/>
      <c r="F45" s="48">
        <f>F37-F39</f>
        <v>4075.4921000000027</v>
      </c>
      <c r="G45" s="95"/>
      <c r="H45" s="48">
        <f>H37-H39</f>
        <v>5833.9585000000025</v>
      </c>
      <c r="I45" s="95"/>
      <c r="J45" s="48">
        <f>J37-J39</f>
        <v>7248.2116999999862</v>
      </c>
      <c r="K45" s="95"/>
      <c r="L45" s="48">
        <f>L37-L39</f>
        <v>6567.016499999997</v>
      </c>
      <c r="M45" s="95"/>
      <c r="N45" s="48">
        <f>N37-N39</f>
        <v>4948.8276999999998</v>
      </c>
      <c r="O45" s="95"/>
      <c r="P45" s="48">
        <f>P37-P39</f>
        <v>1231.3549000000003</v>
      </c>
      <c r="Q45" s="95"/>
      <c r="R45" s="48">
        <f>R37-R39</f>
        <v>5571.5425000000032</v>
      </c>
      <c r="S45" s="95"/>
      <c r="T45" s="48">
        <f>T37-T39</f>
        <v>3203.597199999997</v>
      </c>
      <c r="U45" s="95"/>
      <c r="V45" s="48">
        <f>V37-V39</f>
        <v>-3938.0163999999963</v>
      </c>
      <c r="W45" s="95"/>
      <c r="X45" s="48">
        <f>X37-X39</f>
        <v>3432.0088000000069</v>
      </c>
      <c r="Y45" s="95"/>
      <c r="Z45" s="48">
        <f>Z37-Z39</f>
        <v>-6868.1817999999894</v>
      </c>
      <c r="AA45" s="95"/>
      <c r="AB45" s="48">
        <f>AB37-AB39</f>
        <v>31815.505599999979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64" t="s">
        <v>41</v>
      </c>
      <c r="C47" s="464"/>
      <c r="D47" s="464"/>
      <c r="E47" s="464"/>
      <c r="F47" s="464"/>
      <c r="G47" s="464"/>
      <c r="H47" s="464"/>
      <c r="I47" s="464"/>
      <c r="J47" s="464"/>
      <c r="K47" s="464"/>
      <c r="L47" s="464"/>
      <c r="M47" s="464"/>
      <c r="N47" s="464"/>
      <c r="O47" s="464"/>
      <c r="P47" s="464"/>
      <c r="Q47" s="464"/>
      <c r="R47" s="464"/>
      <c r="S47" s="464"/>
      <c r="T47" s="464"/>
      <c r="U47" s="464"/>
      <c r="V47" s="464"/>
      <c r="W47" s="464"/>
      <c r="X47" s="464"/>
      <c r="Y47" s="464"/>
      <c r="Z47" s="464"/>
      <c r="AA47" s="464"/>
      <c r="AB47" s="464"/>
      <c r="AC47" s="212"/>
      <c r="AD47" s="212"/>
      <c r="AE47" s="101"/>
      <c r="AF47" s="212"/>
    </row>
    <row r="48" spans="1:35" ht="14.25" customHeight="1">
      <c r="B48" s="474" t="s">
        <v>58</v>
      </c>
      <c r="C48" s="474"/>
      <c r="D48" s="474"/>
      <c r="E48" s="474"/>
      <c r="F48" s="474"/>
      <c r="G48" s="474"/>
      <c r="H48" s="474"/>
      <c r="I48" s="474"/>
      <c r="J48" s="474"/>
      <c r="K48" s="474"/>
      <c r="L48" s="474"/>
      <c r="M48" s="474"/>
      <c r="N48" s="474"/>
      <c r="O48" s="474"/>
      <c r="P48" s="474"/>
      <c r="Q48" s="474"/>
      <c r="R48" s="474"/>
      <c r="S48" s="474"/>
      <c r="T48" s="474"/>
      <c r="U48" s="474"/>
      <c r="V48" s="474"/>
      <c r="W48" s="474"/>
      <c r="X48" s="474"/>
      <c r="Y48" s="474"/>
      <c r="Z48" s="474"/>
      <c r="AA48" s="474"/>
      <c r="AB48" s="474"/>
      <c r="AC48" s="212"/>
      <c r="AD48" s="212"/>
      <c r="AE48" s="101"/>
      <c r="AF48" s="212"/>
    </row>
    <row r="49" spans="1:32" ht="14.25" customHeight="1">
      <c r="B49" s="464" t="s">
        <v>59</v>
      </c>
      <c r="C49" s="464"/>
      <c r="D49" s="464"/>
      <c r="E49" s="464"/>
      <c r="F49" s="464"/>
      <c r="G49" s="464"/>
      <c r="H49" s="464"/>
      <c r="I49" s="464"/>
      <c r="J49" s="464"/>
      <c r="K49" s="464"/>
      <c r="L49" s="464"/>
      <c r="M49" s="464"/>
      <c r="N49" s="464"/>
      <c r="O49" s="464"/>
      <c r="P49" s="464"/>
      <c r="Q49" s="464"/>
      <c r="R49" s="464"/>
      <c r="S49" s="464"/>
      <c r="T49" s="464"/>
      <c r="U49" s="464"/>
      <c r="V49" s="464"/>
      <c r="W49" s="464"/>
      <c r="X49" s="464"/>
      <c r="Y49" s="464"/>
      <c r="Z49" s="464"/>
      <c r="AA49" s="464"/>
      <c r="AB49" s="464"/>
      <c r="AC49" s="212"/>
      <c r="AD49" s="212"/>
      <c r="AE49" s="101"/>
      <c r="AF49" s="212"/>
    </row>
    <row r="50" spans="1:32" ht="14.25" customHeight="1">
      <c r="B50" s="464" t="s">
        <v>60</v>
      </c>
      <c r="C50" s="464"/>
      <c r="D50" s="464"/>
      <c r="E50" s="464"/>
      <c r="F50" s="464"/>
      <c r="G50" s="464"/>
      <c r="H50" s="464"/>
      <c r="I50" s="464"/>
      <c r="J50" s="464"/>
      <c r="K50" s="464"/>
      <c r="L50" s="464"/>
      <c r="M50" s="464"/>
      <c r="N50" s="464"/>
      <c r="O50" s="464"/>
      <c r="P50" s="464"/>
      <c r="Q50" s="464"/>
      <c r="R50" s="464"/>
      <c r="S50" s="464"/>
      <c r="T50" s="464"/>
      <c r="U50" s="464"/>
      <c r="V50" s="464"/>
      <c r="W50" s="464"/>
      <c r="X50" s="464"/>
      <c r="Y50" s="464"/>
      <c r="Z50" s="464"/>
      <c r="AA50" s="464"/>
      <c r="AB50" s="464"/>
      <c r="AC50" s="212"/>
      <c r="AD50" s="212"/>
      <c r="AE50" s="101"/>
      <c r="AF50" s="212"/>
    </row>
    <row r="51" spans="1:32" ht="14.25" customHeight="1">
      <c r="B51" s="464" t="s">
        <v>42</v>
      </c>
      <c r="C51" s="464"/>
      <c r="D51" s="464"/>
      <c r="E51" s="464"/>
      <c r="F51" s="464"/>
      <c r="G51" s="464"/>
      <c r="H51" s="464"/>
      <c r="I51" s="464"/>
      <c r="J51" s="464"/>
      <c r="K51" s="464"/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464"/>
      <c r="X51" s="464"/>
      <c r="Y51" s="464"/>
      <c r="Z51" s="464"/>
      <c r="AA51" s="464"/>
      <c r="AB51" s="464"/>
      <c r="AC51" s="212"/>
      <c r="AD51" s="212"/>
      <c r="AE51" s="101"/>
      <c r="AF51" s="212"/>
    </row>
    <row r="52" spans="1:32" ht="14.25" customHeight="1">
      <c r="B52" s="464" t="s">
        <v>52</v>
      </c>
      <c r="C52" s="464"/>
      <c r="D52" s="464"/>
      <c r="E52" s="464"/>
      <c r="F52" s="464"/>
      <c r="G52" s="464"/>
      <c r="H52" s="464"/>
      <c r="I52" s="464"/>
      <c r="J52" s="464"/>
      <c r="K52" s="464"/>
      <c r="L52" s="464"/>
      <c r="M52" s="464"/>
      <c r="N52" s="464"/>
      <c r="O52" s="464"/>
      <c r="P52" s="464"/>
      <c r="Q52" s="464"/>
      <c r="R52" s="464"/>
      <c r="S52" s="464"/>
      <c r="T52" s="464"/>
      <c r="U52" s="464"/>
      <c r="V52" s="464"/>
      <c r="W52" s="464"/>
      <c r="X52" s="464"/>
      <c r="Y52" s="464"/>
      <c r="Z52" s="464"/>
      <c r="AA52" s="464"/>
      <c r="AB52" s="464"/>
      <c r="AC52" s="212"/>
      <c r="AD52" s="212"/>
      <c r="AE52" s="101"/>
      <c r="AF52" s="212"/>
    </row>
    <row r="53" spans="1:32" ht="14.25" customHeight="1">
      <c r="B53" s="474" t="s">
        <v>61</v>
      </c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212"/>
      <c r="AD53" s="212"/>
      <c r="AE53" s="101"/>
      <c r="AF53" s="212"/>
    </row>
    <row r="54" spans="1:32" ht="14.25" customHeight="1">
      <c r="B54" s="464" t="s">
        <v>62</v>
      </c>
      <c r="C54" s="464"/>
      <c r="D54" s="464"/>
      <c r="E54" s="464"/>
      <c r="F54" s="464"/>
      <c r="G54" s="464"/>
      <c r="H54" s="464"/>
      <c r="I54" s="464"/>
      <c r="J54" s="464"/>
      <c r="K54" s="464"/>
      <c r="L54" s="464"/>
      <c r="M54" s="464"/>
      <c r="N54" s="464"/>
      <c r="O54" s="464"/>
      <c r="P54" s="464"/>
      <c r="Q54" s="464"/>
      <c r="R54" s="464"/>
      <c r="S54" s="464"/>
      <c r="T54" s="464"/>
      <c r="U54" s="464"/>
      <c r="V54" s="464"/>
      <c r="W54" s="464"/>
      <c r="X54" s="464"/>
      <c r="Y54" s="464"/>
      <c r="Z54" s="464"/>
      <c r="AA54" s="464"/>
      <c r="AB54" s="464"/>
      <c r="AC54" s="212"/>
      <c r="AD54" s="212"/>
      <c r="AE54" s="101"/>
      <c r="AF54" s="212"/>
    </row>
    <row r="55" spans="1:32" ht="14.25" customHeight="1">
      <c r="B55" s="201" t="s">
        <v>64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2" ht="14.25" customHeight="1">
      <c r="B56" s="464" t="s">
        <v>65</v>
      </c>
      <c r="C56" s="464"/>
      <c r="D56" s="464"/>
      <c r="E56" s="464"/>
      <c r="F56" s="464"/>
      <c r="G56" s="464"/>
      <c r="H56" s="464"/>
      <c r="I56" s="464"/>
      <c r="J56" s="464"/>
      <c r="K56" s="464"/>
      <c r="L56" s="464"/>
      <c r="M56" s="464"/>
      <c r="N56" s="464"/>
      <c r="O56" s="464"/>
      <c r="P56" s="464"/>
      <c r="Q56" s="464"/>
      <c r="R56" s="464"/>
      <c r="S56" s="464"/>
      <c r="T56" s="464"/>
      <c r="U56" s="464"/>
      <c r="V56" s="464"/>
      <c r="W56" s="464"/>
      <c r="X56" s="464"/>
      <c r="Y56" s="464"/>
      <c r="Z56" s="464"/>
      <c r="AA56" s="464"/>
      <c r="AB56" s="464"/>
      <c r="AC56" s="212"/>
      <c r="AD56" s="212"/>
      <c r="AE56" s="101"/>
      <c r="AF56" s="212"/>
    </row>
    <row r="57" spans="1:32" ht="14.25" customHeight="1">
      <c r="B57" s="201" t="s">
        <v>74</v>
      </c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212"/>
      <c r="AD57" s="212"/>
      <c r="AE57" s="101"/>
      <c r="AF57" s="212"/>
    </row>
    <row r="58" spans="1:32" ht="14.25" customHeight="1">
      <c r="B58" s="464" t="s">
        <v>67</v>
      </c>
      <c r="C58" s="464"/>
      <c r="D58" s="464"/>
      <c r="E58" s="464"/>
      <c r="F58" s="464"/>
      <c r="G58" s="464"/>
      <c r="H58" s="464"/>
      <c r="I58" s="464"/>
      <c r="J58" s="464"/>
      <c r="K58" s="464"/>
      <c r="L58" s="464"/>
      <c r="M58" s="464"/>
      <c r="N58" s="464"/>
      <c r="O58" s="464"/>
      <c r="P58" s="464"/>
      <c r="Q58" s="464"/>
      <c r="R58" s="464"/>
      <c r="S58" s="464"/>
      <c r="T58" s="464"/>
      <c r="U58" s="464"/>
      <c r="V58" s="464"/>
      <c r="W58" s="464"/>
      <c r="X58" s="464"/>
      <c r="Y58" s="464"/>
      <c r="Z58" s="464"/>
      <c r="AA58" s="464"/>
      <c r="AB58" s="464"/>
      <c r="AC58" s="212"/>
      <c r="AD58" s="212"/>
      <c r="AE58" s="101"/>
      <c r="AF58" s="212"/>
    </row>
    <row r="59" spans="1:32" ht="14.25" customHeight="1">
      <c r="B59" s="464" t="s">
        <v>68</v>
      </c>
      <c r="C59" s="464"/>
      <c r="D59" s="464"/>
      <c r="E59" s="464"/>
      <c r="F59" s="464"/>
      <c r="G59" s="464"/>
      <c r="H59" s="464"/>
      <c r="I59" s="464"/>
      <c r="J59" s="464"/>
      <c r="K59" s="464"/>
      <c r="L59" s="464"/>
      <c r="M59" s="464"/>
      <c r="N59" s="464"/>
      <c r="O59" s="464"/>
      <c r="P59" s="464"/>
      <c r="Q59" s="464"/>
      <c r="R59" s="464"/>
      <c r="S59" s="464"/>
      <c r="T59" s="464"/>
      <c r="U59" s="464"/>
      <c r="V59" s="464"/>
      <c r="W59" s="464"/>
      <c r="X59" s="464"/>
      <c r="Y59" s="464"/>
      <c r="Z59" s="464"/>
      <c r="AA59" s="464"/>
      <c r="AB59" s="464"/>
      <c r="AC59" s="212"/>
      <c r="AD59" s="212"/>
      <c r="AE59" s="101"/>
      <c r="AF59" s="212"/>
    </row>
    <row r="60" spans="1:32" ht="14.25" customHeight="1">
      <c r="B60" s="464" t="s">
        <v>3</v>
      </c>
      <c r="C60" s="464"/>
      <c r="D60" s="464"/>
      <c r="E60" s="464"/>
      <c r="F60" s="464"/>
      <c r="G60" s="464"/>
      <c r="H60" s="464"/>
      <c r="I60" s="464"/>
      <c r="J60" s="464"/>
      <c r="K60" s="464"/>
      <c r="L60" s="464"/>
      <c r="M60" s="464"/>
      <c r="N60" s="464"/>
      <c r="O60" s="464"/>
      <c r="P60" s="464"/>
      <c r="Q60" s="464"/>
      <c r="R60" s="464"/>
      <c r="S60" s="464"/>
      <c r="T60" s="464"/>
      <c r="U60" s="464"/>
      <c r="V60" s="464"/>
      <c r="W60" s="464"/>
      <c r="X60" s="464"/>
      <c r="Y60" s="464"/>
      <c r="Z60" s="464"/>
      <c r="AA60" s="464"/>
      <c r="AB60" s="464"/>
      <c r="AC60" s="212"/>
      <c r="AD60" s="212"/>
      <c r="AE60" s="101"/>
      <c r="AF60" s="212"/>
    </row>
    <row r="61" spans="1:32" ht="14.25" customHeight="1">
      <c r="A61" s="18"/>
      <c r="B61" s="100"/>
      <c r="C61" s="93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12"/>
      <c r="AD61" s="212"/>
      <c r="AE61" s="101"/>
      <c r="AF61" s="212"/>
    </row>
    <row r="62" spans="1:32" ht="20.25">
      <c r="B62" s="453" t="s">
        <v>32</v>
      </c>
      <c r="C62" s="453"/>
      <c r="D62" s="453"/>
      <c r="E62" s="453"/>
      <c r="F62" s="453"/>
      <c r="G62" s="453"/>
      <c r="H62" s="453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Y62" s="453"/>
      <c r="Z62" s="453"/>
      <c r="AA62" s="453"/>
      <c r="AB62" s="453"/>
      <c r="AC62" s="214"/>
      <c r="AD62" s="214"/>
      <c r="AE62" s="214"/>
      <c r="AF62" s="214"/>
    </row>
    <row r="63" spans="1:32">
      <c r="B63" s="102"/>
      <c r="C63" s="469"/>
      <c r="D63" s="460"/>
      <c r="E63" s="469"/>
      <c r="F63" s="470"/>
      <c r="G63" s="469"/>
      <c r="H63" s="470"/>
      <c r="I63" s="469"/>
      <c r="J63" s="470"/>
      <c r="K63" s="469"/>
      <c r="L63" s="470"/>
      <c r="M63" s="469"/>
      <c r="N63" s="470"/>
      <c r="O63" s="469"/>
      <c r="P63" s="470"/>
      <c r="Q63" s="469"/>
      <c r="R63" s="470"/>
      <c r="S63" s="469"/>
      <c r="T63" s="470"/>
      <c r="U63" s="469"/>
      <c r="V63" s="470"/>
      <c r="W63" s="469"/>
      <c r="X63" s="470"/>
      <c r="Y63" s="469"/>
      <c r="Z63" s="470"/>
      <c r="AA63" s="469"/>
      <c r="AB63" s="470"/>
    </row>
    <row r="64" spans="1:32">
      <c r="B64" s="102">
        <f>B5</f>
        <v>2002</v>
      </c>
      <c r="C64" s="469" t="s">
        <v>4</v>
      </c>
      <c r="D64" s="460"/>
      <c r="E64" s="469" t="s">
        <v>5</v>
      </c>
      <c r="F64" s="470"/>
      <c r="G64" s="469" t="s">
        <v>6</v>
      </c>
      <c r="H64" s="470"/>
      <c r="I64" s="469" t="s">
        <v>7</v>
      </c>
      <c r="J64" s="470"/>
      <c r="K64" s="469" t="s">
        <v>8</v>
      </c>
      <c r="L64" s="470"/>
      <c r="M64" s="469" t="s">
        <v>9</v>
      </c>
      <c r="N64" s="470"/>
      <c r="O64" s="469" t="s">
        <v>10</v>
      </c>
      <c r="P64" s="470"/>
      <c r="Q64" s="471" t="s">
        <v>11</v>
      </c>
      <c r="R64" s="470"/>
      <c r="S64" s="471" t="s">
        <v>12</v>
      </c>
      <c r="T64" s="470"/>
      <c r="U64" s="469" t="s">
        <v>0</v>
      </c>
      <c r="V64" s="473"/>
      <c r="W64" s="469" t="s">
        <v>1</v>
      </c>
      <c r="X64" s="473"/>
      <c r="Y64" s="469" t="s">
        <v>2</v>
      </c>
      <c r="Z64" s="473"/>
      <c r="AA64" s="469" t="s">
        <v>102</v>
      </c>
      <c r="AB64" s="460"/>
    </row>
    <row r="65" spans="1:35">
      <c r="B65" s="102"/>
      <c r="C65" s="469"/>
      <c r="D65" s="460"/>
      <c r="E65" s="469"/>
      <c r="F65" s="460"/>
      <c r="G65" s="469"/>
      <c r="H65" s="460"/>
      <c r="I65" s="469"/>
      <c r="J65" s="460"/>
      <c r="K65" s="469"/>
      <c r="L65" s="460"/>
      <c r="M65" s="469"/>
      <c r="N65" s="460"/>
      <c r="O65" s="469"/>
      <c r="P65" s="460"/>
      <c r="Q65" s="469"/>
      <c r="R65" s="460"/>
      <c r="S65" s="469"/>
      <c r="T65" s="460"/>
      <c r="U65" s="469"/>
      <c r="V65" s="460"/>
      <c r="W65" s="469"/>
      <c r="X65" s="460"/>
      <c r="Y65" s="469"/>
      <c r="Z65" s="460"/>
      <c r="AA65" s="469"/>
      <c r="AB65" s="460"/>
    </row>
    <row r="66" spans="1:35" s="202" customFormat="1" ht="14.25">
      <c r="A66" s="44"/>
      <c r="B66" s="103" t="s">
        <v>24</v>
      </c>
      <c r="C66" s="72"/>
      <c r="D66" s="104">
        <v>3252.6102580000002</v>
      </c>
      <c r="E66" s="104"/>
      <c r="F66" s="104">
        <v>3141.750047</v>
      </c>
      <c r="G66" s="104"/>
      <c r="H66" s="104">
        <v>3124.8593340000002</v>
      </c>
      <c r="I66" s="104"/>
      <c r="J66" s="104">
        <v>3177.7460110000002</v>
      </c>
      <c r="K66" s="104"/>
      <c r="L66" s="104">
        <v>3135.8206140000002</v>
      </c>
      <c r="M66" s="104"/>
      <c r="N66" s="104">
        <v>3157.738014</v>
      </c>
      <c r="O66" s="104"/>
      <c r="P66" s="104">
        <v>3144.6632610000001</v>
      </c>
      <c r="Q66" s="104"/>
      <c r="R66" s="104">
        <v>3214.1039089999999</v>
      </c>
      <c r="S66" s="120"/>
      <c r="T66" s="104">
        <v>3161.7161430000001</v>
      </c>
      <c r="U66" s="120"/>
      <c r="V66" s="104">
        <v>3257.2741019999999</v>
      </c>
      <c r="W66" s="120"/>
      <c r="X66" s="104">
        <v>3080.3849970000001</v>
      </c>
      <c r="Y66" s="120"/>
      <c r="Z66" s="120">
        <v>3268.8809059999999</v>
      </c>
      <c r="AA66" s="104"/>
      <c r="AB66" s="104">
        <f>AVERAGE(D66:Z66)</f>
        <v>3176.4622996666671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39</v>
      </c>
      <c r="C67" s="72"/>
      <c r="D67" s="104">
        <v>4462.2537060000004</v>
      </c>
      <c r="E67" s="104"/>
      <c r="F67" s="104">
        <v>4443.2822910000004</v>
      </c>
      <c r="G67" s="104"/>
      <c r="H67" s="104">
        <v>4418.081811</v>
      </c>
      <c r="I67" s="104"/>
      <c r="J67" s="104">
        <v>4445.4303840000002</v>
      </c>
      <c r="K67" s="104"/>
      <c r="L67" s="104">
        <v>4434.0591260000001</v>
      </c>
      <c r="M67" s="104"/>
      <c r="N67" s="104">
        <v>4448.7551830000002</v>
      </c>
      <c r="O67" s="104"/>
      <c r="P67" s="104">
        <v>4408.4470330000004</v>
      </c>
      <c r="Q67" s="104"/>
      <c r="R67" s="104">
        <v>4454.3739610000002</v>
      </c>
      <c r="S67" s="120"/>
      <c r="T67" s="104">
        <v>4361.7310829999997</v>
      </c>
      <c r="U67" s="120"/>
      <c r="V67" s="104">
        <v>4421.9574659999998</v>
      </c>
      <c r="W67" s="120"/>
      <c r="X67" s="104">
        <v>4341.2213860000002</v>
      </c>
      <c r="Y67" s="120"/>
      <c r="Z67" s="120">
        <v>4440.7498539999997</v>
      </c>
      <c r="AA67" s="104"/>
      <c r="AB67" s="104">
        <f t="shared" ref="AB67:AB76" si="0">AVERAGE(D67:Z67)</f>
        <v>4423.3619403333332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25</v>
      </c>
      <c r="C68" s="72"/>
      <c r="D68" s="104">
        <v>555.41791770399993</v>
      </c>
      <c r="E68" s="104"/>
      <c r="F68" s="104">
        <v>550.40444595999998</v>
      </c>
      <c r="G68" s="104"/>
      <c r="H68" s="104">
        <v>544.85025713900006</v>
      </c>
      <c r="I68" s="104"/>
      <c r="J68" s="104">
        <v>563.69953334000002</v>
      </c>
      <c r="K68" s="104"/>
      <c r="L68" s="104">
        <v>576.49455265400002</v>
      </c>
      <c r="M68" s="104"/>
      <c r="N68" s="104">
        <v>541.37197236400004</v>
      </c>
      <c r="O68" s="104"/>
      <c r="P68" s="104">
        <v>574.04811454399999</v>
      </c>
      <c r="Q68" s="104"/>
      <c r="R68" s="104">
        <v>570.73545818100001</v>
      </c>
      <c r="S68" s="120"/>
      <c r="T68" s="104">
        <v>542.47400873700008</v>
      </c>
      <c r="U68" s="120"/>
      <c r="V68" s="104">
        <v>575.55721912199999</v>
      </c>
      <c r="W68" s="120"/>
      <c r="X68" s="104">
        <v>571.61845067900003</v>
      </c>
      <c r="Y68" s="120"/>
      <c r="Z68" s="120">
        <v>625.13912604699999</v>
      </c>
      <c r="AA68" s="104"/>
      <c r="AB68" s="104">
        <f t="shared" si="0"/>
        <v>565.98425470591667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26</v>
      </c>
      <c r="C69" s="72"/>
      <c r="D69" s="104">
        <v>253.88096325999999</v>
      </c>
      <c r="E69" s="104"/>
      <c r="F69" s="104">
        <v>257.46819170399999</v>
      </c>
      <c r="G69" s="104"/>
      <c r="H69" s="104">
        <v>248.58118950400001</v>
      </c>
      <c r="I69" s="104"/>
      <c r="J69" s="104">
        <v>269.56207121</v>
      </c>
      <c r="K69" s="104"/>
      <c r="L69" s="104">
        <v>273.18349668299999</v>
      </c>
      <c r="M69" s="104"/>
      <c r="N69" s="104">
        <v>266.93336918400001</v>
      </c>
      <c r="O69" s="104"/>
      <c r="P69" s="104">
        <v>282.10847697999998</v>
      </c>
      <c r="Q69" s="104"/>
      <c r="R69" s="104">
        <v>277.78097330999998</v>
      </c>
      <c r="S69" s="120"/>
      <c r="T69" s="104">
        <v>261.27127097300001</v>
      </c>
      <c r="U69" s="120"/>
      <c r="V69" s="104">
        <v>293.15188435699997</v>
      </c>
      <c r="W69" s="120"/>
      <c r="X69" s="104">
        <v>283.39072231099999</v>
      </c>
      <c r="Y69" s="120"/>
      <c r="Z69" s="120">
        <v>279.19602747300002</v>
      </c>
      <c r="AA69" s="104"/>
      <c r="AB69" s="104">
        <f t="shared" si="0"/>
        <v>270.54238641241659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27</v>
      </c>
      <c r="C70" s="72"/>
      <c r="D70" s="104">
        <v>453.55399829800001</v>
      </c>
      <c r="E70" s="104"/>
      <c r="F70" s="104">
        <v>429.25535840700002</v>
      </c>
      <c r="G70" s="104"/>
      <c r="H70" s="104">
        <v>396.54499531900001</v>
      </c>
      <c r="I70" s="104"/>
      <c r="J70" s="104">
        <v>430.677740465</v>
      </c>
      <c r="K70" s="104"/>
      <c r="L70" s="104">
        <v>423.18940793500002</v>
      </c>
      <c r="M70" s="104"/>
      <c r="N70" s="104">
        <v>438.02912538499999</v>
      </c>
      <c r="O70" s="104"/>
      <c r="P70" s="104">
        <v>438.47937176699998</v>
      </c>
      <c r="Q70" s="104"/>
      <c r="R70" s="104">
        <v>426.64662633099999</v>
      </c>
      <c r="S70" s="120"/>
      <c r="T70" s="104">
        <v>377.32821919000003</v>
      </c>
      <c r="U70" s="120"/>
      <c r="V70" s="104">
        <v>376.66582576899998</v>
      </c>
      <c r="W70" s="120"/>
      <c r="X70" s="104">
        <v>295.41756696300001</v>
      </c>
      <c r="Y70" s="120"/>
      <c r="Z70" s="120">
        <v>387.74550146500002</v>
      </c>
      <c r="AA70" s="104"/>
      <c r="AB70" s="104">
        <f t="shared" si="0"/>
        <v>406.12781144116667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103" t="s">
        <v>28</v>
      </c>
      <c r="C71" s="72"/>
      <c r="D71" s="104">
        <v>357.09899999999999</v>
      </c>
      <c r="E71" s="104"/>
      <c r="F71" s="104">
        <v>355.779</v>
      </c>
      <c r="G71" s="104"/>
      <c r="H71" s="104">
        <v>327.54199999999997</v>
      </c>
      <c r="I71" s="104"/>
      <c r="J71" s="104">
        <v>322.2</v>
      </c>
      <c r="K71" s="104"/>
      <c r="L71" s="104">
        <v>309.62900000000002</v>
      </c>
      <c r="M71" s="104"/>
      <c r="N71" s="104">
        <v>301.14999999999998</v>
      </c>
      <c r="O71" s="104"/>
      <c r="P71" s="104">
        <v>319.19499999999999</v>
      </c>
      <c r="Q71" s="104"/>
      <c r="R71" s="104">
        <v>318.64600000000002</v>
      </c>
      <c r="S71" s="120"/>
      <c r="T71" s="104">
        <v>320.298</v>
      </c>
      <c r="U71" s="120"/>
      <c r="V71" s="104">
        <v>330.90300000000002</v>
      </c>
      <c r="W71" s="120"/>
      <c r="X71" s="104">
        <v>350.363</v>
      </c>
      <c r="Y71" s="120"/>
      <c r="Z71" s="120">
        <v>371.65600000000001</v>
      </c>
      <c r="AA71" s="104"/>
      <c r="AB71" s="104">
        <f t="shared" si="0"/>
        <v>332.03833333333336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4.25">
      <c r="A72" s="44"/>
      <c r="B72" s="103" t="s">
        <v>38</v>
      </c>
      <c r="C72" s="72"/>
      <c r="D72" s="104">
        <v>2170.73</v>
      </c>
      <c r="E72" s="104"/>
      <c r="F72" s="104">
        <v>2185.4</v>
      </c>
      <c r="G72" s="104"/>
      <c r="H72" s="104">
        <v>2305.88</v>
      </c>
      <c r="I72" s="104"/>
      <c r="J72" s="104">
        <v>2369.81</v>
      </c>
      <c r="K72" s="104"/>
      <c r="L72" s="104">
        <v>2474.23</v>
      </c>
      <c r="M72" s="104"/>
      <c r="N72" s="104">
        <v>2522.42</v>
      </c>
      <c r="O72" s="104"/>
      <c r="P72" s="104">
        <v>2545.61</v>
      </c>
      <c r="Q72" s="104"/>
      <c r="R72" s="104">
        <v>2650.19</v>
      </c>
      <c r="S72" s="120"/>
      <c r="T72" s="104">
        <v>2557.6799999999998</v>
      </c>
      <c r="U72" s="120"/>
      <c r="V72" s="104">
        <v>2484.89</v>
      </c>
      <c r="W72" s="120"/>
      <c r="X72" s="104">
        <v>2328.9699999999998</v>
      </c>
      <c r="Y72" s="120"/>
      <c r="Z72" s="120">
        <v>2484.5700000000002</v>
      </c>
      <c r="AA72" s="104"/>
      <c r="AB72" s="104">
        <f t="shared" si="0"/>
        <v>2423.3649999999998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33</v>
      </c>
      <c r="C73" s="72"/>
      <c r="D73" s="104">
        <v>1669.2899032258001</v>
      </c>
      <c r="E73" s="104"/>
      <c r="F73" s="104">
        <v>1663.1636785713999</v>
      </c>
      <c r="G73" s="104"/>
      <c r="H73" s="104">
        <v>1750.2196451611999</v>
      </c>
      <c r="I73" s="104"/>
      <c r="J73" s="104">
        <v>1747.2462666667</v>
      </c>
      <c r="K73" s="104"/>
      <c r="L73" s="104">
        <v>1749.7460967741999</v>
      </c>
      <c r="M73" s="104"/>
      <c r="N73" s="104">
        <v>1769.7629999999001</v>
      </c>
      <c r="O73" s="104"/>
      <c r="P73" s="104">
        <v>1574.4848387096001</v>
      </c>
      <c r="Q73" s="104"/>
      <c r="R73" s="105">
        <v>1789.8423225807001</v>
      </c>
      <c r="S73" s="120"/>
      <c r="T73" s="104">
        <v>1790.0076000001</v>
      </c>
      <c r="U73" s="120"/>
      <c r="V73" s="104">
        <v>1789.9906129031999</v>
      </c>
      <c r="W73" s="120"/>
      <c r="X73" s="104">
        <v>1667.0732666665999</v>
      </c>
      <c r="Y73" s="120"/>
      <c r="Z73" s="120">
        <v>1622.4781290321998</v>
      </c>
      <c r="AA73" s="104"/>
      <c r="AB73" s="104">
        <f t="shared" si="0"/>
        <v>1715.2754466909666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2.75" customHeight="1">
      <c r="A74" s="44"/>
      <c r="B74" s="103" t="s">
        <v>29</v>
      </c>
      <c r="C74" s="72"/>
      <c r="D74" s="106">
        <v>14.902223780976218</v>
      </c>
      <c r="E74" s="106"/>
      <c r="F74" s="106">
        <v>16.044773531537334</v>
      </c>
      <c r="G74" s="106"/>
      <c r="H74" s="106">
        <v>19.948700726054067</v>
      </c>
      <c r="I74" s="106"/>
      <c r="J74" s="106">
        <v>22.522373229429498</v>
      </c>
      <c r="K74" s="106"/>
      <c r="L74" s="106">
        <v>22.460990887590722</v>
      </c>
      <c r="M74" s="106"/>
      <c r="N74" s="106">
        <v>22.084656532177068</v>
      </c>
      <c r="O74" s="106"/>
      <c r="P74" s="106">
        <v>23.101198996360999</v>
      </c>
      <c r="Q74" s="106"/>
      <c r="R74" s="121">
        <v>24.115353287921021</v>
      </c>
      <c r="S74" s="122"/>
      <c r="T74" s="121">
        <v>25.090482972765287</v>
      </c>
      <c r="U74" s="122"/>
      <c r="V74" s="121">
        <v>22.55436608330243</v>
      </c>
      <c r="W74" s="122"/>
      <c r="X74" s="121">
        <v>20.836145964214982</v>
      </c>
      <c r="Y74" s="122"/>
      <c r="Z74" s="122">
        <v>24.855351357423029</v>
      </c>
      <c r="AA74" s="104"/>
      <c r="AB74" s="107">
        <f t="shared" si="0"/>
        <v>21.543051445812722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103" t="s">
        <v>30</v>
      </c>
      <c r="C75" s="72"/>
      <c r="D75" s="106">
        <v>2.4049999999999998</v>
      </c>
      <c r="E75" s="122"/>
      <c r="F75" s="106">
        <v>1.845</v>
      </c>
      <c r="G75" s="106"/>
      <c r="H75" s="106">
        <v>2.1749999999999998</v>
      </c>
      <c r="I75" s="106"/>
      <c r="J75" s="106">
        <v>3.1749999999999998</v>
      </c>
      <c r="K75" s="106"/>
      <c r="L75" s="106">
        <v>3.13</v>
      </c>
      <c r="M75" s="106"/>
      <c r="N75" s="106">
        <v>3.12</v>
      </c>
      <c r="O75" s="106"/>
      <c r="P75" s="106">
        <v>3.5</v>
      </c>
      <c r="Q75" s="106"/>
      <c r="R75" s="106">
        <v>3.7</v>
      </c>
      <c r="S75" s="106"/>
      <c r="T75" s="106">
        <v>3.5</v>
      </c>
      <c r="U75" s="106"/>
      <c r="V75" s="106">
        <v>3.55</v>
      </c>
      <c r="W75" s="106"/>
      <c r="X75" s="106">
        <v>3.65</v>
      </c>
      <c r="Y75" s="106"/>
      <c r="Z75" s="122">
        <v>3.85</v>
      </c>
      <c r="AA75" s="106"/>
      <c r="AB75" s="107">
        <f t="shared" si="0"/>
        <v>3.1333333333333333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103" t="s">
        <v>31</v>
      </c>
      <c r="C76" s="72"/>
      <c r="D76" s="108">
        <v>9.1614000000000004</v>
      </c>
      <c r="E76" s="108"/>
      <c r="F76" s="108">
        <v>9.1061999999999994</v>
      </c>
      <c r="G76" s="108"/>
      <c r="H76" s="108">
        <v>9.0808999999999997</v>
      </c>
      <c r="I76" s="108"/>
      <c r="J76" s="108">
        <v>9.1317000000000004</v>
      </c>
      <c r="K76" s="108"/>
      <c r="L76" s="108">
        <v>9.4899000000000004</v>
      </c>
      <c r="M76" s="108"/>
      <c r="N76" s="108">
        <v>9.7378</v>
      </c>
      <c r="O76" s="108"/>
      <c r="P76" s="108">
        <v>9.7978000000000005</v>
      </c>
      <c r="Q76" s="108"/>
      <c r="R76" s="108">
        <v>9.8257999999999992</v>
      </c>
      <c r="S76" s="123"/>
      <c r="T76" s="108">
        <v>10.0425</v>
      </c>
      <c r="U76" s="123"/>
      <c r="V76" s="108">
        <v>10.0961</v>
      </c>
      <c r="W76" s="123"/>
      <c r="X76" s="108">
        <v>10.203200000000001</v>
      </c>
      <c r="Y76" s="123"/>
      <c r="Z76" s="123">
        <v>10.1982</v>
      </c>
      <c r="AA76" s="104"/>
      <c r="AB76" s="109">
        <f t="shared" si="0"/>
        <v>9.6559583333333325</v>
      </c>
      <c r="AC76" s="216"/>
      <c r="AD76" s="216"/>
      <c r="AE76" s="216"/>
      <c r="AF76" s="216"/>
      <c r="AG76" s="216"/>
      <c r="AH76" s="216"/>
      <c r="AI76" s="216"/>
    </row>
    <row r="77" spans="1:35" s="202" customFormat="1" ht="14.25">
      <c r="A77" s="44"/>
      <c r="B77" s="103" t="s">
        <v>69</v>
      </c>
      <c r="C77" s="72"/>
      <c r="D77" s="104">
        <v>391.71375353235345</v>
      </c>
      <c r="E77" s="104"/>
      <c r="F77" s="104">
        <v>346.34881890301648</v>
      </c>
      <c r="G77" s="104"/>
      <c r="H77" s="104">
        <v>401.08776118958144</v>
      </c>
      <c r="I77" s="104"/>
      <c r="J77" s="104">
        <v>421.66678309052872</v>
      </c>
      <c r="K77" s="104"/>
      <c r="L77" s="104">
        <v>347.41415035369874</v>
      </c>
      <c r="M77" s="104"/>
      <c r="N77" s="104">
        <v>423.05623263314664</v>
      </c>
      <c r="O77" s="104"/>
      <c r="P77" s="104">
        <v>410.57611878154557</v>
      </c>
      <c r="Q77" s="104"/>
      <c r="R77" s="104">
        <v>460.16617083128176</v>
      </c>
      <c r="S77" s="104"/>
      <c r="T77" s="104">
        <v>431.98021769442119</v>
      </c>
      <c r="U77" s="120"/>
      <c r="V77" s="104">
        <v>518.74161688148911</v>
      </c>
      <c r="W77" s="120"/>
      <c r="X77" s="104">
        <v>494.96858878910228</v>
      </c>
      <c r="Y77" s="120"/>
      <c r="Z77" s="120">
        <v>575.68267165787938</v>
      </c>
      <c r="AA77" s="104"/>
      <c r="AB77" s="104">
        <f>AVERAGE(D77:Z77)</f>
        <v>435.283573694837</v>
      </c>
      <c r="AC77" s="216"/>
      <c r="AD77" s="216"/>
      <c r="AE77" s="216"/>
      <c r="AF77" s="216"/>
      <c r="AG77" s="216"/>
      <c r="AH77" s="216"/>
      <c r="AI77" s="216"/>
    </row>
    <row r="78" spans="1:35" s="202" customFormat="1" ht="14.25">
      <c r="A78" s="44"/>
      <c r="B78" s="103" t="s">
        <v>70</v>
      </c>
      <c r="C78" s="72"/>
      <c r="D78" s="104">
        <v>3.9806569999999999</v>
      </c>
      <c r="E78" s="104"/>
      <c r="F78" s="104">
        <v>0</v>
      </c>
      <c r="G78" s="104"/>
      <c r="H78" s="104">
        <v>0</v>
      </c>
      <c r="I78" s="104"/>
      <c r="J78" s="104">
        <v>0</v>
      </c>
      <c r="K78" s="104"/>
      <c r="L78" s="104">
        <v>0</v>
      </c>
      <c r="M78" s="104"/>
      <c r="N78" s="104">
        <v>9.2798409999999993</v>
      </c>
      <c r="O78" s="104"/>
      <c r="P78" s="104">
        <v>31.970327999999999</v>
      </c>
      <c r="Q78" s="104"/>
      <c r="R78" s="104">
        <v>18.258780000000002</v>
      </c>
      <c r="S78" s="104"/>
      <c r="T78" s="104">
        <v>14.028916000000001</v>
      </c>
      <c r="U78" s="120"/>
      <c r="V78" s="104">
        <v>25.861460000000001</v>
      </c>
      <c r="W78" s="120"/>
      <c r="X78" s="104">
        <v>20.734919000000001</v>
      </c>
      <c r="Y78" s="120"/>
      <c r="Z78" s="120">
        <v>0</v>
      </c>
      <c r="AA78" s="104"/>
      <c r="AB78" s="104">
        <f>AVERAGE(D78:Z78)</f>
        <v>10.342908416666665</v>
      </c>
      <c r="AC78" s="216"/>
      <c r="AD78" s="216"/>
      <c r="AE78" s="216"/>
      <c r="AF78" s="216"/>
      <c r="AG78" s="216"/>
      <c r="AH78" s="216"/>
      <c r="AI78" s="216"/>
    </row>
    <row r="79" spans="1:35" ht="13.5">
      <c r="B79" s="195" t="s">
        <v>71</v>
      </c>
      <c r="C79" s="111"/>
      <c r="D79" s="110"/>
      <c r="E79" s="112"/>
      <c r="F79" s="113"/>
      <c r="G79" s="112"/>
      <c r="H79" s="113"/>
      <c r="I79" s="112"/>
      <c r="J79" s="113"/>
      <c r="K79" s="112"/>
      <c r="L79" s="113"/>
      <c r="M79" s="113"/>
      <c r="N79" s="112"/>
      <c r="O79" s="113"/>
      <c r="P79" s="112"/>
      <c r="Q79" s="114"/>
      <c r="R79" s="115"/>
      <c r="S79" s="114"/>
      <c r="T79" s="116"/>
      <c r="U79" s="114"/>
      <c r="V79" s="117"/>
      <c r="W79" s="114"/>
      <c r="X79" s="117"/>
      <c r="Y79" s="114"/>
      <c r="Z79" s="117"/>
      <c r="AA79" s="117"/>
      <c r="AB79" s="117"/>
    </row>
    <row r="80" spans="1:35">
      <c r="B80" s="474" t="s">
        <v>75</v>
      </c>
      <c r="C80" s="474"/>
      <c r="D80" s="474"/>
      <c r="E80" s="474"/>
      <c r="F80" s="474"/>
      <c r="G80" s="474"/>
      <c r="H80" s="474"/>
      <c r="I80" s="474"/>
      <c r="J80" s="474"/>
      <c r="K80" s="474"/>
      <c r="L80" s="474"/>
      <c r="M80" s="474"/>
      <c r="N80" s="474"/>
      <c r="O80" s="474"/>
      <c r="P80" s="474"/>
      <c r="Q80" s="474"/>
      <c r="R80" s="474"/>
      <c r="S80" s="474"/>
      <c r="T80" s="474"/>
      <c r="U80" s="474"/>
      <c r="V80" s="474"/>
      <c r="W80" s="474"/>
      <c r="X80" s="474"/>
      <c r="Y80" s="474"/>
      <c r="Z80" s="474"/>
      <c r="AA80" s="474"/>
      <c r="AB80" s="474"/>
    </row>
    <row r="81" spans="2:28">
      <c r="B81" s="472" t="s">
        <v>101</v>
      </c>
      <c r="C81" s="472"/>
      <c r="D81" s="472"/>
      <c r="E81" s="472"/>
      <c r="F81" s="472"/>
      <c r="G81" s="472"/>
      <c r="H81" s="472"/>
      <c r="I81" s="472"/>
      <c r="J81" s="472"/>
      <c r="K81" s="472"/>
      <c r="L81" s="472"/>
      <c r="M81" s="472"/>
      <c r="N81" s="472"/>
      <c r="O81" s="472"/>
      <c r="P81" s="472"/>
      <c r="Q81" s="472"/>
      <c r="R81" s="472"/>
      <c r="S81" s="472"/>
      <c r="T81" s="472"/>
      <c r="U81" s="472"/>
      <c r="V81" s="472"/>
      <c r="W81" s="472"/>
      <c r="X81" s="472"/>
      <c r="Y81" s="472"/>
      <c r="Z81" s="472"/>
      <c r="AA81" s="472"/>
      <c r="AB81" s="472"/>
    </row>
    <row r="87" spans="2:28" ht="12.75" customHeight="1"/>
    <row r="88" spans="2:28" ht="12.75" customHeight="1"/>
    <row r="89" spans="2:28" ht="12.75" customHeight="1"/>
    <row r="90" spans="2:28" ht="12.75" customHeight="1"/>
    <row r="91" spans="2:28" ht="12.75" customHeight="1"/>
    <row r="92" spans="2:28" ht="12.75" customHeight="1"/>
    <row r="93" spans="2:28" ht="12.75" customHeight="1"/>
    <row r="94" spans="2:28" ht="12.75" customHeight="1"/>
    <row r="95" spans="2:28" ht="12.75" customHeight="1"/>
  </sheetData>
  <mergeCells count="95">
    <mergeCell ref="B2:AB2"/>
    <mergeCell ref="B47:AB47"/>
    <mergeCell ref="B48:AB48"/>
    <mergeCell ref="B49:AB49"/>
    <mergeCell ref="B3:AB3"/>
    <mergeCell ref="K7:L7"/>
    <mergeCell ref="M7:N7"/>
    <mergeCell ref="C7:D7"/>
    <mergeCell ref="E7:F7"/>
    <mergeCell ref="G7:H7"/>
    <mergeCell ref="O4:P4"/>
    <mergeCell ref="Q4:R4"/>
    <mergeCell ref="AA5:AB5"/>
    <mergeCell ref="K4:L4"/>
    <mergeCell ref="U5:V5"/>
    <mergeCell ref="W5:X5"/>
    <mergeCell ref="B50:AB50"/>
    <mergeCell ref="B51:AB51"/>
    <mergeCell ref="B59:AB59"/>
    <mergeCell ref="W7:X7"/>
    <mergeCell ref="Y7:Z7"/>
    <mergeCell ref="AA7:AB7"/>
    <mergeCell ref="O7:P7"/>
    <mergeCell ref="Q7:R7"/>
    <mergeCell ref="S7:T7"/>
    <mergeCell ref="U7:V7"/>
    <mergeCell ref="I7:J7"/>
    <mergeCell ref="I4:J4"/>
    <mergeCell ref="AA4:AB4"/>
    <mergeCell ref="C5:D5"/>
    <mergeCell ref="E5:F5"/>
    <mergeCell ref="G5:H5"/>
    <mergeCell ref="I5:J5"/>
    <mergeCell ref="K5:L5"/>
    <mergeCell ref="Y5:Z5"/>
    <mergeCell ref="M5:N5"/>
    <mergeCell ref="O5:P5"/>
    <mergeCell ref="Q5:R5"/>
    <mergeCell ref="S5:T5"/>
    <mergeCell ref="G64:H64"/>
    <mergeCell ref="I64:J64"/>
    <mergeCell ref="S4:T4"/>
    <mergeCell ref="U4:V4"/>
    <mergeCell ref="B60:AB60"/>
    <mergeCell ref="B56:AB56"/>
    <mergeCell ref="B52:AB52"/>
    <mergeCell ref="B53:AB53"/>
    <mergeCell ref="B54:AB54"/>
    <mergeCell ref="B58:AB58"/>
    <mergeCell ref="M4:N4"/>
    <mergeCell ref="W4:X4"/>
    <mergeCell ref="Y4:Z4"/>
    <mergeCell ref="C4:D4"/>
    <mergeCell ref="E4:F4"/>
    <mergeCell ref="G4:H4"/>
    <mergeCell ref="S63:T63"/>
    <mergeCell ref="Y63:Z63"/>
    <mergeCell ref="B80:AB80"/>
    <mergeCell ref="B81:AB81"/>
    <mergeCell ref="C63:D63"/>
    <mergeCell ref="E63:F63"/>
    <mergeCell ref="G63:H63"/>
    <mergeCell ref="I63:J63"/>
    <mergeCell ref="K63:L63"/>
    <mergeCell ref="M63:N63"/>
    <mergeCell ref="U63:V63"/>
    <mergeCell ref="O63:P63"/>
    <mergeCell ref="S64:T64"/>
    <mergeCell ref="AA63:AB63"/>
    <mergeCell ref="C64:D64"/>
    <mergeCell ref="E64:F64"/>
    <mergeCell ref="K65:L65"/>
    <mergeCell ref="M65:N65"/>
    <mergeCell ref="O65:P65"/>
    <mergeCell ref="Q65:R65"/>
    <mergeCell ref="Q64:R64"/>
    <mergeCell ref="K64:L64"/>
    <mergeCell ref="M64:N64"/>
    <mergeCell ref="O64:P64"/>
    <mergeCell ref="AA65:AB65"/>
    <mergeCell ref="B62:AB62"/>
    <mergeCell ref="S65:T65"/>
    <mergeCell ref="U65:V65"/>
    <mergeCell ref="W65:X65"/>
    <mergeCell ref="Y65:Z65"/>
    <mergeCell ref="Y64:Z64"/>
    <mergeCell ref="AA64:AB64"/>
    <mergeCell ref="W63:X63"/>
    <mergeCell ref="W64:X64"/>
    <mergeCell ref="U64:V64"/>
    <mergeCell ref="Q63:R63"/>
    <mergeCell ref="C65:D65"/>
    <mergeCell ref="E65:F65"/>
    <mergeCell ref="G65:H65"/>
    <mergeCell ref="I65:J65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57" orientation="landscape" r:id="rId1"/>
  <headerFooter alignWithMargins="0"/>
  <ignoredErrors>
    <ignoredError sqref="AB2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5"/>
  <sheetViews>
    <sheetView showGridLines="0" zoomScale="75" zoomScaleNormal="75" workbookViewId="0">
      <selection activeCell="AC17" sqref="AC17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53" t="s">
        <v>43</v>
      </c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453"/>
      <c r="Y2" s="453"/>
      <c r="Z2" s="453"/>
      <c r="AA2" s="453"/>
      <c r="AB2" s="453"/>
      <c r="AC2" s="214"/>
      <c r="AD2" s="214"/>
      <c r="AE2" s="214"/>
      <c r="AF2" s="214"/>
    </row>
    <row r="3" spans="1:35" ht="15.75" customHeight="1" thickBot="1">
      <c r="B3" s="459" t="s">
        <v>57</v>
      </c>
      <c r="C3" s="459"/>
      <c r="D3" s="459"/>
      <c r="E3" s="459"/>
      <c r="F3" s="459"/>
      <c r="G3" s="459"/>
      <c r="H3" s="459"/>
      <c r="I3" s="459"/>
      <c r="J3" s="459"/>
      <c r="K3" s="459"/>
      <c r="L3" s="459"/>
      <c r="M3" s="459"/>
      <c r="N3" s="459"/>
      <c r="O3" s="459"/>
      <c r="P3" s="459"/>
      <c r="Q3" s="459"/>
      <c r="R3" s="459"/>
      <c r="S3" s="459"/>
      <c r="T3" s="459"/>
      <c r="U3" s="459"/>
      <c r="V3" s="459"/>
      <c r="W3" s="459"/>
      <c r="X3" s="459"/>
      <c r="Y3" s="459"/>
      <c r="Z3" s="459"/>
      <c r="AA3" s="459"/>
      <c r="AB3" s="459"/>
      <c r="AC3" s="215"/>
      <c r="AD3" s="215"/>
      <c r="AE3" s="215"/>
      <c r="AF3" s="215"/>
    </row>
    <row r="4" spans="1:35">
      <c r="B4" s="63"/>
      <c r="C4" s="456"/>
      <c r="D4" s="457"/>
      <c r="E4" s="456"/>
      <c r="F4" s="463"/>
      <c r="G4" s="456"/>
      <c r="H4" s="463"/>
      <c r="I4" s="456"/>
      <c r="J4" s="463"/>
      <c r="K4" s="456"/>
      <c r="L4" s="463"/>
      <c r="M4" s="456"/>
      <c r="N4" s="463"/>
      <c r="O4" s="456"/>
      <c r="P4" s="463"/>
      <c r="Q4" s="456"/>
      <c r="R4" s="463"/>
      <c r="S4" s="456"/>
      <c r="T4" s="463"/>
      <c r="U4" s="456"/>
      <c r="V4" s="462"/>
      <c r="W4" s="456"/>
      <c r="X4" s="462"/>
      <c r="Y4" s="456"/>
      <c r="Z4" s="462"/>
      <c r="AA4" s="456"/>
      <c r="AB4" s="462"/>
    </row>
    <row r="5" spans="1:35">
      <c r="B5" s="64">
        <v>2003</v>
      </c>
      <c r="C5" s="454" t="s">
        <v>4</v>
      </c>
      <c r="D5" s="460"/>
      <c r="E5" s="454" t="s">
        <v>5</v>
      </c>
      <c r="F5" s="455"/>
      <c r="G5" s="454" t="s">
        <v>6</v>
      </c>
      <c r="H5" s="455"/>
      <c r="I5" s="454" t="s">
        <v>7</v>
      </c>
      <c r="J5" s="455"/>
      <c r="K5" s="454" t="s">
        <v>8</v>
      </c>
      <c r="L5" s="455"/>
      <c r="M5" s="454" t="s">
        <v>9</v>
      </c>
      <c r="N5" s="455"/>
      <c r="O5" s="454" t="s">
        <v>10</v>
      </c>
      <c r="P5" s="455"/>
      <c r="Q5" s="458" t="s">
        <v>11</v>
      </c>
      <c r="R5" s="455"/>
      <c r="S5" s="458" t="s">
        <v>12</v>
      </c>
      <c r="T5" s="455"/>
      <c r="U5" s="454" t="s">
        <v>0</v>
      </c>
      <c r="V5" s="461"/>
      <c r="W5" s="454" t="s">
        <v>1</v>
      </c>
      <c r="X5" s="461"/>
      <c r="Y5" s="454" t="s">
        <v>2</v>
      </c>
      <c r="Z5" s="461"/>
      <c r="AA5" s="454" t="s">
        <v>15</v>
      </c>
      <c r="AB5" s="46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5"/>
      <c r="D7" s="468"/>
      <c r="E7" s="465"/>
      <c r="F7" s="466"/>
      <c r="G7" s="465"/>
      <c r="H7" s="466"/>
      <c r="I7" s="465"/>
      <c r="J7" s="466"/>
      <c r="K7" s="465"/>
      <c r="L7" s="466"/>
      <c r="M7" s="465"/>
      <c r="N7" s="466"/>
      <c r="O7" s="465"/>
      <c r="P7" s="466"/>
      <c r="Q7" s="465"/>
      <c r="R7" s="466"/>
      <c r="S7" s="465"/>
      <c r="T7" s="466"/>
      <c r="U7" s="465"/>
      <c r="V7" s="467"/>
      <c r="W7" s="465"/>
      <c r="X7" s="467"/>
      <c r="Y7" s="465"/>
      <c r="Z7" s="467"/>
      <c r="AA7" s="465"/>
      <c r="AB7" s="467"/>
    </row>
    <row r="8" spans="1:35" s="202" customFormat="1" ht="14.25" customHeight="1">
      <c r="A8" s="44"/>
      <c r="B8" s="71" t="s">
        <v>16</v>
      </c>
      <c r="C8" s="72"/>
      <c r="D8" s="41">
        <f>D9+D12</f>
        <v>50310.136978070004</v>
      </c>
      <c r="E8" s="42"/>
      <c r="F8" s="41">
        <f>F9+F12</f>
        <v>50359.280924840001</v>
      </c>
      <c r="G8" s="41"/>
      <c r="H8" s="41">
        <f>H9+H12</f>
        <v>53922.927582590004</v>
      </c>
      <c r="I8" s="41"/>
      <c r="J8" s="41">
        <f>J9+J12</f>
        <v>48772.067528579995</v>
      </c>
      <c r="K8" s="41"/>
      <c r="L8" s="41">
        <f>L9+L12</f>
        <v>51994.378774240009</v>
      </c>
      <c r="M8" s="41"/>
      <c r="N8" s="41">
        <f>N9+N12</f>
        <v>54608.576060749998</v>
      </c>
      <c r="O8" s="41"/>
      <c r="P8" s="41">
        <f>P9+P12</f>
        <v>55075.59149277</v>
      </c>
      <c r="Q8" s="41"/>
      <c r="R8" s="41">
        <f>R9+R12</f>
        <v>53841.606884499997</v>
      </c>
      <c r="S8" s="41"/>
      <c r="T8" s="41">
        <f>T9+T12</f>
        <v>55212.607480660001</v>
      </c>
      <c r="U8" s="41"/>
      <c r="V8" s="41">
        <f>V9+V12</f>
        <v>54444.238813230004</v>
      </c>
      <c r="W8" s="41"/>
      <c r="X8" s="41">
        <f>X9+X12</f>
        <v>54483.732695770006</v>
      </c>
      <c r="Y8" s="41"/>
      <c r="Z8" s="41">
        <f>Z9+Z12</f>
        <v>63690.389701999993</v>
      </c>
      <c r="AA8" s="73"/>
      <c r="AB8" s="73">
        <f>AB9+AB12</f>
        <v>646715.53491799999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48072.336978070001</v>
      </c>
      <c r="E9" s="42"/>
      <c r="F9" s="42">
        <f>+F10+F11</f>
        <v>48967.180924840002</v>
      </c>
      <c r="G9" s="42"/>
      <c r="H9" s="42">
        <f>+H10+H11</f>
        <v>52005.027582590003</v>
      </c>
      <c r="I9" s="42"/>
      <c r="J9" s="42">
        <f>+J10+J11</f>
        <v>46213.967528579997</v>
      </c>
      <c r="K9" s="42"/>
      <c r="L9" s="42">
        <f>+L10+L11</f>
        <v>52180.478774240008</v>
      </c>
      <c r="M9" s="42"/>
      <c r="N9" s="42">
        <f>+N10+N11</f>
        <v>52828.876060750001</v>
      </c>
      <c r="O9" s="42"/>
      <c r="P9" s="42">
        <f>+P10+P11</f>
        <v>53422.191492769998</v>
      </c>
      <c r="Q9" s="42"/>
      <c r="R9" s="42">
        <f>+R10+R11</f>
        <v>51373.9068845</v>
      </c>
      <c r="S9" s="42"/>
      <c r="T9" s="42">
        <f>+T10+T11</f>
        <v>53332.707480659999</v>
      </c>
      <c r="U9" s="42"/>
      <c r="V9" s="42">
        <f>+V10+V11</f>
        <v>52017.938813230001</v>
      </c>
      <c r="W9" s="42"/>
      <c r="X9" s="42">
        <f>+X10+X11</f>
        <v>53332.832695770005</v>
      </c>
      <c r="Y9" s="42"/>
      <c r="Z9" s="42">
        <f>+Z10+Z11</f>
        <v>61717.989701999992</v>
      </c>
      <c r="AA9" s="75"/>
      <c r="AB9" s="75">
        <f>+AB10+AB11</f>
        <v>625465.43491800001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76" t="s">
        <v>47</v>
      </c>
      <c r="C10" s="72"/>
      <c r="D10" s="42">
        <v>15634.83697807</v>
      </c>
      <c r="E10" s="42"/>
      <c r="F10" s="42">
        <v>17749.180924840002</v>
      </c>
      <c r="G10" s="42"/>
      <c r="H10" s="42">
        <v>19522.027582590003</v>
      </c>
      <c r="I10" s="42"/>
      <c r="J10" s="42">
        <v>13788.167528579999</v>
      </c>
      <c r="K10" s="42"/>
      <c r="L10" s="42">
        <v>13999.178774240001</v>
      </c>
      <c r="M10" s="42"/>
      <c r="N10" s="42">
        <v>12523.476060750003</v>
      </c>
      <c r="O10" s="42"/>
      <c r="P10" s="42">
        <v>16349.59149277</v>
      </c>
      <c r="Q10" s="42"/>
      <c r="R10" s="42">
        <v>15973.106884500001</v>
      </c>
      <c r="S10" s="42"/>
      <c r="T10" s="42">
        <v>17286.207480659999</v>
      </c>
      <c r="U10" s="42"/>
      <c r="V10" s="42">
        <v>16264.438813230001</v>
      </c>
      <c r="W10" s="42"/>
      <c r="X10" s="42">
        <v>15952.53269577</v>
      </c>
      <c r="Y10" s="42"/>
      <c r="Z10" s="42">
        <v>17398.289701999998</v>
      </c>
      <c r="AA10" s="75"/>
      <c r="AB10" s="75">
        <f>SUM(D10:Z10)</f>
        <v>192441.03491800002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76" t="s">
        <v>48</v>
      </c>
      <c r="C11" s="72"/>
      <c r="D11" s="42">
        <v>32437.5</v>
      </c>
      <c r="E11" s="42"/>
      <c r="F11" s="42">
        <v>31218</v>
      </c>
      <c r="G11" s="42"/>
      <c r="H11" s="42">
        <v>32483</v>
      </c>
      <c r="I11" s="42"/>
      <c r="J11" s="42">
        <v>32425.8</v>
      </c>
      <c r="K11" s="42"/>
      <c r="L11" s="42">
        <v>38181.300000000003</v>
      </c>
      <c r="M11" s="42"/>
      <c r="N11" s="42">
        <v>40305.4</v>
      </c>
      <c r="O11" s="42"/>
      <c r="P11" s="42">
        <v>37072.6</v>
      </c>
      <c r="Q11" s="42"/>
      <c r="R11" s="42">
        <v>35400.800000000003</v>
      </c>
      <c r="S11" s="42"/>
      <c r="T11" s="42">
        <v>36046.5</v>
      </c>
      <c r="U11" s="42"/>
      <c r="V11" s="42">
        <v>35753.5</v>
      </c>
      <c r="W11" s="42"/>
      <c r="X11" s="42">
        <v>37380.300000000003</v>
      </c>
      <c r="Y11" s="42"/>
      <c r="Z11" s="42">
        <v>44319.7</v>
      </c>
      <c r="AA11" s="77"/>
      <c r="AB11" s="75">
        <f>SUM(D11:Z11)</f>
        <v>433024.4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74" t="s">
        <v>49</v>
      </c>
      <c r="C12" s="72"/>
      <c r="D12" s="42">
        <v>2237.8000000000002</v>
      </c>
      <c r="E12" s="42"/>
      <c r="F12" s="42">
        <v>1392.1</v>
      </c>
      <c r="G12" s="42"/>
      <c r="H12" s="42">
        <v>1917.9</v>
      </c>
      <c r="I12" s="42"/>
      <c r="J12" s="42">
        <v>2558.1</v>
      </c>
      <c r="K12" s="42"/>
      <c r="L12" s="42">
        <v>-186.1</v>
      </c>
      <c r="M12" s="42"/>
      <c r="N12" s="42">
        <v>1779.7</v>
      </c>
      <c r="O12" s="42"/>
      <c r="P12" s="42">
        <v>1653.4</v>
      </c>
      <c r="Q12" s="42"/>
      <c r="R12" s="42">
        <v>2467.6999999999998</v>
      </c>
      <c r="S12" s="42"/>
      <c r="T12" s="42">
        <v>1879.9</v>
      </c>
      <c r="U12" s="42"/>
      <c r="V12" s="42">
        <v>2426.3000000000002</v>
      </c>
      <c r="W12" s="42"/>
      <c r="X12" s="42">
        <v>1150.9000000000001</v>
      </c>
      <c r="Y12" s="42"/>
      <c r="Z12" s="42">
        <v>1972.4</v>
      </c>
      <c r="AA12" s="75"/>
      <c r="AB12" s="75">
        <f>SUM(D12:Z12)</f>
        <v>21250.100000000002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44</v>
      </c>
      <c r="C14" s="82"/>
      <c r="D14" s="45">
        <f>+D15+D16+D17</f>
        <v>5198.1409723099987</v>
      </c>
      <c r="E14" s="45"/>
      <c r="F14" s="45">
        <f>+F15+F16+F17</f>
        <v>4691.1794638699994</v>
      </c>
      <c r="G14" s="45"/>
      <c r="H14" s="45">
        <f>+H15+H16+H17</f>
        <v>5135.0107641499999</v>
      </c>
      <c r="I14" s="45"/>
      <c r="J14" s="45">
        <f>+J15+J16+J17</f>
        <v>5335.8002598300009</v>
      </c>
      <c r="K14" s="45"/>
      <c r="L14" s="45">
        <f>+L15+L16+L17</f>
        <v>4724.5517778200001</v>
      </c>
      <c r="M14" s="45"/>
      <c r="N14" s="45">
        <f>+N15+N16+N17</f>
        <v>5247.0578752199999</v>
      </c>
      <c r="O14" s="45"/>
      <c r="P14" s="45">
        <f>+P15+P16+P17</f>
        <v>8425.2926355599993</v>
      </c>
      <c r="Q14" s="45"/>
      <c r="R14" s="45">
        <f>+R15+R16+R17</f>
        <v>6191.905364709999</v>
      </c>
      <c r="S14" s="45"/>
      <c r="T14" s="45">
        <f>+T15+T16+T17</f>
        <v>6408.5514150999998</v>
      </c>
      <c r="U14" s="45"/>
      <c r="V14" s="45">
        <f>+V15+V16+V17</f>
        <v>6582.646124320001</v>
      </c>
      <c r="W14" s="45"/>
      <c r="X14" s="45">
        <f>+X15+X16+X17</f>
        <v>6334.8427733699991</v>
      </c>
      <c r="Y14" s="45"/>
      <c r="Z14" s="45">
        <f>+Z15+Z16+Z17</f>
        <v>22141.033784740001</v>
      </c>
      <c r="AA14" s="83"/>
      <c r="AB14" s="83">
        <f>+AB15+AB16+AB17</f>
        <v>86416.013211000012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2808.716776369999</v>
      </c>
      <c r="E15" s="42"/>
      <c r="F15" s="42">
        <v>2659.9780118799995</v>
      </c>
      <c r="G15" s="42"/>
      <c r="H15" s="42">
        <v>2972.2437432700003</v>
      </c>
      <c r="I15" s="42"/>
      <c r="J15" s="42">
        <v>3133.0653634400001</v>
      </c>
      <c r="K15" s="42"/>
      <c r="L15" s="42">
        <v>2841.7766134600001</v>
      </c>
      <c r="M15" s="42"/>
      <c r="N15" s="42">
        <v>3309.6084872000006</v>
      </c>
      <c r="O15" s="42"/>
      <c r="P15" s="42">
        <v>3825.9194657100002</v>
      </c>
      <c r="Q15" s="42"/>
      <c r="R15" s="42">
        <v>2925.0134359699996</v>
      </c>
      <c r="S15" s="42"/>
      <c r="T15" s="42">
        <v>3274.9557728599998</v>
      </c>
      <c r="U15" s="42"/>
      <c r="V15" s="42">
        <v>2928.4674931800005</v>
      </c>
      <c r="W15" s="42"/>
      <c r="X15" s="42">
        <v>3058.65938633</v>
      </c>
      <c r="Y15" s="42"/>
      <c r="Z15" s="42">
        <v>7122.6624413299996</v>
      </c>
      <c r="AA15" s="75"/>
      <c r="AB15" s="75">
        <f>SUM(D15:Z15)</f>
        <v>40861.066991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637.12419593999994</v>
      </c>
      <c r="E16" s="42"/>
      <c r="F16" s="42">
        <v>606.10145198999999</v>
      </c>
      <c r="G16" s="42"/>
      <c r="H16" s="42">
        <v>284.96702087999995</v>
      </c>
      <c r="I16" s="42"/>
      <c r="J16" s="42">
        <v>363.83489639000004</v>
      </c>
      <c r="K16" s="42"/>
      <c r="L16" s="42">
        <v>420.77516436000002</v>
      </c>
      <c r="M16" s="42"/>
      <c r="N16" s="42">
        <v>303.44938801999996</v>
      </c>
      <c r="O16" s="42"/>
      <c r="P16" s="42">
        <v>428.07316984999994</v>
      </c>
      <c r="Q16" s="42"/>
      <c r="R16" s="42">
        <v>467.79192874</v>
      </c>
      <c r="S16" s="42"/>
      <c r="T16" s="42">
        <v>381.99564224</v>
      </c>
      <c r="U16" s="42"/>
      <c r="V16" s="42">
        <v>463.67863114000005</v>
      </c>
      <c r="W16" s="42"/>
      <c r="X16" s="42">
        <v>421.98338703999997</v>
      </c>
      <c r="Y16" s="42"/>
      <c r="Z16" s="42">
        <v>1200.37134341</v>
      </c>
      <c r="AA16" s="75"/>
      <c r="AB16" s="75">
        <f>SUM(D16:Z16)</f>
        <v>5980.1462199999996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74" t="s">
        <v>51</v>
      </c>
      <c r="C17" s="72"/>
      <c r="D17" s="42">
        <v>1752.3</v>
      </c>
      <c r="E17" s="42"/>
      <c r="F17" s="42">
        <v>1425.1</v>
      </c>
      <c r="G17" s="42"/>
      <c r="H17" s="42">
        <v>1877.8</v>
      </c>
      <c r="I17" s="42"/>
      <c r="J17" s="42">
        <v>1838.9</v>
      </c>
      <c r="K17" s="42"/>
      <c r="L17" s="42">
        <v>1462</v>
      </c>
      <c r="M17" s="42"/>
      <c r="N17" s="42">
        <v>1634</v>
      </c>
      <c r="O17" s="42"/>
      <c r="P17" s="42">
        <v>4171.3</v>
      </c>
      <c r="Q17" s="42"/>
      <c r="R17" s="42">
        <v>2799.1</v>
      </c>
      <c r="S17" s="42"/>
      <c r="T17" s="42">
        <v>2751.6</v>
      </c>
      <c r="U17" s="42"/>
      <c r="V17" s="42">
        <v>3190.5</v>
      </c>
      <c r="W17" s="42"/>
      <c r="X17" s="42">
        <v>2854.2</v>
      </c>
      <c r="Y17" s="42"/>
      <c r="Z17" s="42">
        <v>13818</v>
      </c>
      <c r="AA17" s="75"/>
      <c r="AB17" s="75">
        <f>SUM(D17:Z17)</f>
        <v>39574.800000000003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520.1</v>
      </c>
      <c r="E19" s="42"/>
      <c r="F19" s="42">
        <v>-115.9</v>
      </c>
      <c r="G19" s="42"/>
      <c r="H19" s="42">
        <v>5.4</v>
      </c>
      <c r="I19" s="42"/>
      <c r="J19" s="42">
        <v>461.8</v>
      </c>
      <c r="K19" s="42"/>
      <c r="L19" s="42">
        <v>-851.9</v>
      </c>
      <c r="M19" s="42"/>
      <c r="N19" s="42">
        <v>216.5</v>
      </c>
      <c r="O19" s="42"/>
      <c r="P19" s="42">
        <v>-18.100000000000001</v>
      </c>
      <c r="Q19" s="42"/>
      <c r="R19" s="42">
        <v>455.9</v>
      </c>
      <c r="S19" s="42"/>
      <c r="T19" s="42">
        <v>930.3</v>
      </c>
      <c r="U19" s="42"/>
      <c r="V19" s="42">
        <v>325.39999999999998</v>
      </c>
      <c r="W19" s="42"/>
      <c r="X19" s="42">
        <v>-160.1</v>
      </c>
      <c r="Y19" s="42"/>
      <c r="Z19" s="42">
        <v>-411.4</v>
      </c>
      <c r="AA19" s="42"/>
      <c r="AB19" s="124">
        <f>SUM(D19:Z19)</f>
        <v>1358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85" t="s">
        <v>50</v>
      </c>
      <c r="C21" s="72"/>
      <c r="D21" s="42">
        <v>4794.6942594499997</v>
      </c>
      <c r="E21" s="42"/>
      <c r="F21" s="42">
        <v>4072.3</v>
      </c>
      <c r="G21" s="42"/>
      <c r="H21" s="42">
        <v>5784.2</v>
      </c>
      <c r="I21" s="42"/>
      <c r="J21" s="42">
        <v>5191.8</v>
      </c>
      <c r="K21" s="42"/>
      <c r="L21" s="42">
        <v>2735.2</v>
      </c>
      <c r="M21" s="42"/>
      <c r="N21" s="42">
        <v>4195.8999999999996</v>
      </c>
      <c r="O21" s="42"/>
      <c r="P21" s="42">
        <v>3877.1</v>
      </c>
      <c r="Q21" s="42"/>
      <c r="R21" s="42">
        <v>3354.2</v>
      </c>
      <c r="S21" s="42"/>
      <c r="T21" s="42">
        <v>4132.8999999999996</v>
      </c>
      <c r="U21" s="42"/>
      <c r="V21" s="42">
        <v>3995.6</v>
      </c>
      <c r="W21" s="42"/>
      <c r="X21" s="42">
        <v>3528.4</v>
      </c>
      <c r="Y21" s="42"/>
      <c r="Z21" s="42">
        <v>3873.2</v>
      </c>
      <c r="AA21" s="42"/>
      <c r="AB21" s="75">
        <f>SUM(D21:Z21)</f>
        <v>49535.494259449995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45</v>
      </c>
      <c r="C23" s="82"/>
      <c r="D23" s="45">
        <f>D8-D14-D19-D21</f>
        <v>39797.201746310006</v>
      </c>
      <c r="E23" s="45"/>
      <c r="F23" s="45">
        <f>F8-F14-F19-F21</f>
        <v>41711.701460969998</v>
      </c>
      <c r="G23" s="45"/>
      <c r="H23" s="45">
        <f>H8-H14-H19-H21</f>
        <v>42998.316818440006</v>
      </c>
      <c r="I23" s="45"/>
      <c r="J23" s="45">
        <f>J8-J14-J19-J21</f>
        <v>37782.667268749989</v>
      </c>
      <c r="K23" s="45"/>
      <c r="L23" s="45">
        <f>L8-L14-L19-L21</f>
        <v>45386.526996420012</v>
      </c>
      <c r="M23" s="45"/>
      <c r="N23" s="45">
        <f>N8-N14-N19-N21</f>
        <v>44949.118185529995</v>
      </c>
      <c r="O23" s="45"/>
      <c r="P23" s="45">
        <f>P8-P14-P19-P21</f>
        <v>42791.29885721</v>
      </c>
      <c r="Q23" s="45"/>
      <c r="R23" s="45">
        <f>R8-R14-R19-R21</f>
        <v>43839.601519789998</v>
      </c>
      <c r="S23" s="45"/>
      <c r="T23" s="45">
        <f>T8-T14-T19-T21</f>
        <v>43740.856065559994</v>
      </c>
      <c r="U23" s="45"/>
      <c r="V23" s="45">
        <f>V8-V14-V19-V21</f>
        <v>43540.592688910001</v>
      </c>
      <c r="W23" s="45"/>
      <c r="X23" s="45">
        <f>X8-X14-X19-X21</f>
        <v>44780.589922400002</v>
      </c>
      <c r="Y23" s="45"/>
      <c r="Z23" s="45">
        <f>Z8-Z14-Z19-Z21</f>
        <v>38087.555917259997</v>
      </c>
      <c r="AA23" s="45"/>
      <c r="AB23" s="83">
        <f>AB8-AB14-AB19-AB21</f>
        <v>509406.02744754998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63</v>
      </c>
      <c r="C25" s="82"/>
      <c r="D25" s="45">
        <f>+D27+D26</f>
        <v>3295.0295508000008</v>
      </c>
      <c r="E25" s="82"/>
      <c r="F25" s="45">
        <f>+F27+F26</f>
        <v>3299.0198417299994</v>
      </c>
      <c r="G25" s="82"/>
      <c r="H25" s="45">
        <f>+H27+H26</f>
        <v>1399.80987235</v>
      </c>
      <c r="I25" s="82"/>
      <c r="J25" s="45">
        <f>+J27+J26</f>
        <v>1873.8356175599997</v>
      </c>
      <c r="K25" s="82"/>
      <c r="L25" s="45">
        <f>+L27+L26</f>
        <v>2442.7918925399999</v>
      </c>
      <c r="M25" s="82"/>
      <c r="N25" s="45">
        <f>+N27+N26</f>
        <v>2793.6401013</v>
      </c>
      <c r="O25" s="82"/>
      <c r="P25" s="45">
        <f>+P27+P26</f>
        <v>1271.05460702</v>
      </c>
      <c r="Q25" s="82"/>
      <c r="R25" s="45">
        <f>+R27+R26</f>
        <v>2645.2379058400006</v>
      </c>
      <c r="S25" s="82"/>
      <c r="T25" s="45">
        <f>+T27+T26</f>
        <v>1611.3595459799999</v>
      </c>
      <c r="U25" s="82"/>
      <c r="V25" s="45">
        <f>+V27+V26</f>
        <v>5542.0284046299994</v>
      </c>
      <c r="W25" s="82"/>
      <c r="X25" s="45">
        <f>+X27+X26</f>
        <v>3234.7523641100001</v>
      </c>
      <c r="Y25" s="82"/>
      <c r="Z25" s="45">
        <f>+Z27+Z26</f>
        <v>7240.8858161400021</v>
      </c>
      <c r="AA25" s="82"/>
      <c r="AB25" s="45">
        <f>+AB27+AB26</f>
        <v>36649.445520000001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206" t="s">
        <v>72</v>
      </c>
      <c r="C26" s="72"/>
      <c r="D26" s="42">
        <v>233.68882056000001</v>
      </c>
      <c r="E26" s="42"/>
      <c r="F26" s="42">
        <v>1269.877988</v>
      </c>
      <c r="G26" s="42"/>
      <c r="H26" s="42">
        <v>388.34547900999996</v>
      </c>
      <c r="I26" s="42"/>
      <c r="J26" s="42">
        <v>699.08703604999994</v>
      </c>
      <c r="K26" s="42"/>
      <c r="L26" s="42">
        <v>1518.80654162</v>
      </c>
      <c r="M26" s="42"/>
      <c r="N26" s="42">
        <v>1784.1843637500001</v>
      </c>
      <c r="O26" s="42"/>
      <c r="P26" s="42">
        <v>232.21504911000002</v>
      </c>
      <c r="Q26" s="77"/>
      <c r="R26" s="42">
        <v>1270.9331021600001</v>
      </c>
      <c r="S26" s="42"/>
      <c r="T26" s="42">
        <v>489.44499289000004</v>
      </c>
      <c r="U26" s="42"/>
      <c r="V26" s="42">
        <v>4282.14948018</v>
      </c>
      <c r="W26" s="42"/>
      <c r="X26" s="42">
        <v>1758.9955568399998</v>
      </c>
      <c r="Y26" s="42"/>
      <c r="Z26" s="42">
        <v>3859.3569768300003</v>
      </c>
      <c r="AA26" s="42"/>
      <c r="AB26" s="75">
        <f>SUM(D26:Z26)</f>
        <v>17787.085386999999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3061.340730240001</v>
      </c>
      <c r="E27" s="42"/>
      <c r="F27" s="42">
        <f>+F28+F29</f>
        <v>2029.1418537299994</v>
      </c>
      <c r="G27" s="42"/>
      <c r="H27" s="42">
        <f>+H28+H29</f>
        <v>1011.46439334</v>
      </c>
      <c r="I27" s="42"/>
      <c r="J27" s="42">
        <f>+J28+J29</f>
        <v>1174.7485815099999</v>
      </c>
      <c r="K27" s="42"/>
      <c r="L27" s="42">
        <f>+L28+L29</f>
        <v>923.98535091999997</v>
      </c>
      <c r="M27" s="42"/>
      <c r="N27" s="42">
        <f>+N28+N29</f>
        <v>1009.4557375499999</v>
      </c>
      <c r="O27" s="42"/>
      <c r="P27" s="42">
        <f>+P28+P29</f>
        <v>1038.8395579099999</v>
      </c>
      <c r="Q27" s="42"/>
      <c r="R27" s="42">
        <f>+R28+R29</f>
        <v>1374.3048036800005</v>
      </c>
      <c r="S27" s="42"/>
      <c r="T27" s="42">
        <f>+T28+T29</f>
        <v>1121.9145530899998</v>
      </c>
      <c r="U27" s="42"/>
      <c r="V27" s="42">
        <f>+V28+V29</f>
        <v>1259.8789244499994</v>
      </c>
      <c r="W27" s="42"/>
      <c r="X27" s="42">
        <f>+X28+X29</f>
        <v>1475.7568072700003</v>
      </c>
      <c r="Y27" s="42"/>
      <c r="Z27" s="42">
        <f>+Z28+Z29</f>
        <v>3381.5288393100018</v>
      </c>
      <c r="AA27" s="75"/>
      <c r="AB27" s="75">
        <f>+AB28+AB29</f>
        <v>18862.360133000002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194" t="s">
        <v>66</v>
      </c>
      <c r="C28" s="90"/>
      <c r="D28" s="42">
        <v>3061.340730240001</v>
      </c>
      <c r="E28" s="42"/>
      <c r="F28" s="42">
        <v>2029.1418537299994</v>
      </c>
      <c r="G28" s="42"/>
      <c r="H28" s="42">
        <v>1011.46439334</v>
      </c>
      <c r="I28" s="42"/>
      <c r="J28" s="42">
        <v>1174.7485815099999</v>
      </c>
      <c r="K28" s="42"/>
      <c r="L28" s="42">
        <v>923.98535091999997</v>
      </c>
      <c r="M28" s="42"/>
      <c r="N28" s="42">
        <v>1009.4557375499999</v>
      </c>
      <c r="O28" s="42"/>
      <c r="P28" s="42">
        <v>1038.8395579099999</v>
      </c>
      <c r="Q28" s="42"/>
      <c r="R28" s="42">
        <v>1374.3048036800005</v>
      </c>
      <c r="S28" s="42"/>
      <c r="T28" s="42">
        <v>1121.9145530899998</v>
      </c>
      <c r="U28" s="42"/>
      <c r="V28" s="42">
        <v>1259.8789244499994</v>
      </c>
      <c r="W28" s="42"/>
      <c r="X28" s="42">
        <v>1475.7568072700003</v>
      </c>
      <c r="Y28" s="42"/>
      <c r="Z28" s="42">
        <v>3381.5288393100018</v>
      </c>
      <c r="AA28" s="75"/>
      <c r="AB28" s="75">
        <f>SUM(D28:Z28)</f>
        <v>18862.360133000002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0</v>
      </c>
      <c r="E29" s="42"/>
      <c r="F29" s="42">
        <v>0</v>
      </c>
      <c r="G29" s="42"/>
      <c r="H29" s="42">
        <v>0</v>
      </c>
      <c r="I29" s="42"/>
      <c r="J29" s="42">
        <v>0</v>
      </c>
      <c r="K29" s="42"/>
      <c r="L29" s="42">
        <v>0</v>
      </c>
      <c r="M29" s="42"/>
      <c r="N29" s="42">
        <v>0</v>
      </c>
      <c r="O29" s="42"/>
      <c r="P29" s="42">
        <v>0</v>
      </c>
      <c r="Q29" s="42"/>
      <c r="R29" s="42">
        <v>0</v>
      </c>
      <c r="S29" s="42"/>
      <c r="T29" s="42">
        <v>0</v>
      </c>
      <c r="U29" s="42"/>
      <c r="V29" s="42">
        <v>0</v>
      </c>
      <c r="W29" s="42"/>
      <c r="X29" s="42">
        <v>0</v>
      </c>
      <c r="Y29" s="42"/>
      <c r="Z29" s="42">
        <v>0</v>
      </c>
      <c r="AA29" s="75"/>
      <c r="AB29" s="42">
        <f>SUM(D29:Z29)</f>
        <v>0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0</v>
      </c>
      <c r="U31" s="118"/>
      <c r="V31" s="118">
        <v>0</v>
      </c>
      <c r="W31" s="118"/>
      <c r="X31" s="118">
        <v>0</v>
      </c>
      <c r="Y31" s="118"/>
      <c r="Z31" s="118">
        <v>0</v>
      </c>
      <c r="AA31" s="41"/>
      <c r="AB31" s="118">
        <f>SUM(D31:Z31)</f>
        <v>0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207" t="s">
        <v>73</v>
      </c>
      <c r="C33" s="95"/>
      <c r="D33" s="119">
        <f>D23-D25+D31</f>
        <v>36502.172195510007</v>
      </c>
      <c r="E33" s="119"/>
      <c r="F33" s="119">
        <f>F23-F25+F31</f>
        <v>38412.68161924</v>
      </c>
      <c r="G33" s="119"/>
      <c r="H33" s="119">
        <f>H23-H25+H31</f>
        <v>41598.506946090005</v>
      </c>
      <c r="I33" s="119"/>
      <c r="J33" s="119">
        <f>J23-J25+J31</f>
        <v>35908.83165118999</v>
      </c>
      <c r="K33" s="119"/>
      <c r="L33" s="119">
        <f>L23-L25+L31</f>
        <v>42943.735103880012</v>
      </c>
      <c r="M33" s="119"/>
      <c r="N33" s="119">
        <f>N23-N25+N31</f>
        <v>42155.478084229995</v>
      </c>
      <c r="O33" s="119"/>
      <c r="P33" s="119">
        <f>P23-P25+P31</f>
        <v>41520.24425019</v>
      </c>
      <c r="Q33" s="119"/>
      <c r="R33" s="119">
        <f>R23-R25+R31</f>
        <v>41194.363613949994</v>
      </c>
      <c r="S33" s="119"/>
      <c r="T33" s="119">
        <f>T23-T25+T31</f>
        <v>42129.496519579996</v>
      </c>
      <c r="U33" s="119"/>
      <c r="V33" s="119">
        <f>V23-V25+V31</f>
        <v>37998.564284280001</v>
      </c>
      <c r="W33" s="119"/>
      <c r="X33" s="119">
        <f>X23-X25+X31</f>
        <v>41545.837558290004</v>
      </c>
      <c r="Y33" s="119"/>
      <c r="Z33" s="119">
        <f>Z23-Z25+Z31</f>
        <v>30846.670101119995</v>
      </c>
      <c r="AA33" s="119"/>
      <c r="AB33" s="119">
        <f>AB23-AB25+AB31</f>
        <v>472756.58192754997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38179.699999999997</v>
      </c>
      <c r="E35" s="42"/>
      <c r="F35" s="42">
        <v>29469.9</v>
      </c>
      <c r="G35" s="42"/>
      <c r="H35" s="42">
        <v>37760.300000000003</v>
      </c>
      <c r="I35" s="42"/>
      <c r="J35" s="42">
        <v>36033.300000000003</v>
      </c>
      <c r="K35" s="42"/>
      <c r="L35" s="42">
        <v>35795.199999999997</v>
      </c>
      <c r="M35" s="42"/>
      <c r="N35" s="42">
        <v>35587.9</v>
      </c>
      <c r="O35" s="42"/>
      <c r="P35" s="42">
        <v>36657.199999999997</v>
      </c>
      <c r="Q35" s="42"/>
      <c r="R35" s="42">
        <v>30171.7</v>
      </c>
      <c r="S35" s="42"/>
      <c r="T35" s="42">
        <v>35322.6</v>
      </c>
      <c r="U35" s="42"/>
      <c r="V35" s="42">
        <v>37749.800000000003</v>
      </c>
      <c r="W35" s="42"/>
      <c r="X35" s="42">
        <v>31571.7</v>
      </c>
      <c r="Y35" s="42"/>
      <c r="Z35" s="42">
        <v>37104.1</v>
      </c>
      <c r="AA35" s="42"/>
      <c r="AB35" s="75">
        <f>SUM(D35:Z35)</f>
        <v>421403.39999999997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-1677.5278044899896</v>
      </c>
      <c r="E37" s="119"/>
      <c r="F37" s="119">
        <f>F33-F35</f>
        <v>8942.7816192399987</v>
      </c>
      <c r="G37" s="119"/>
      <c r="H37" s="119">
        <f>H33-H35</f>
        <v>3838.206946090002</v>
      </c>
      <c r="I37" s="119"/>
      <c r="J37" s="119">
        <f>J33-J35</f>
        <v>-124.46834881001269</v>
      </c>
      <c r="K37" s="119"/>
      <c r="L37" s="119">
        <f>L33-L35</f>
        <v>7148.5351038800145</v>
      </c>
      <c r="M37" s="119"/>
      <c r="N37" s="119">
        <f>N33-N35</f>
        <v>6567.5780842299937</v>
      </c>
      <c r="O37" s="119"/>
      <c r="P37" s="119">
        <f>P33-P35</f>
        <v>4863.0442501900034</v>
      </c>
      <c r="Q37" s="119"/>
      <c r="R37" s="119">
        <f>R33-R35</f>
        <v>11022.663613949993</v>
      </c>
      <c r="S37" s="119"/>
      <c r="T37" s="119">
        <f>T33-T35</f>
        <v>6806.8965195799974</v>
      </c>
      <c r="U37" s="119"/>
      <c r="V37" s="119">
        <f>V33-V35</f>
        <v>248.76428427999781</v>
      </c>
      <c r="W37" s="119"/>
      <c r="X37" s="119">
        <f>X33-X35</f>
        <v>9974.1375582900037</v>
      </c>
      <c r="Y37" s="119"/>
      <c r="Z37" s="119">
        <f>Z33-Z35</f>
        <v>-6257.4298988800037</v>
      </c>
      <c r="AA37" s="119"/>
      <c r="AB37" s="119">
        <f>AB33-AB35</f>
        <v>51353.181927550002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2903</v>
      </c>
      <c r="E39" s="72"/>
      <c r="F39" s="42">
        <f>F40+F43</f>
        <v>1704.6</v>
      </c>
      <c r="G39" s="72"/>
      <c r="H39" s="42">
        <f>H40+H43</f>
        <v>2853.0353824599997</v>
      </c>
      <c r="I39" s="72"/>
      <c r="J39" s="42">
        <f>J40+J43</f>
        <v>1132.5999999999999</v>
      </c>
      <c r="K39" s="72"/>
      <c r="L39" s="42">
        <f>L40+L43</f>
        <v>1381.9</v>
      </c>
      <c r="M39" s="72"/>
      <c r="N39" s="42">
        <f>N40+N43</f>
        <v>2099.23674407</v>
      </c>
      <c r="O39" s="72"/>
      <c r="P39" s="42">
        <f>P40+P43</f>
        <v>415.9</v>
      </c>
      <c r="Q39" s="72"/>
      <c r="R39" s="42">
        <f>R40+R43</f>
        <v>1744.9</v>
      </c>
      <c r="S39" s="72"/>
      <c r="T39" s="42">
        <f>T40+T43</f>
        <v>4029.4131103899999</v>
      </c>
      <c r="U39" s="72"/>
      <c r="V39" s="42">
        <f>V40+V43</f>
        <v>1470.4</v>
      </c>
      <c r="W39" s="72"/>
      <c r="X39" s="42">
        <f>X40+X43</f>
        <v>2028.1</v>
      </c>
      <c r="Y39" s="72"/>
      <c r="Z39" s="42">
        <f>Z40+Z43</f>
        <v>2448.9310970800002</v>
      </c>
      <c r="AA39" s="72"/>
      <c r="AB39" s="42">
        <f>AB40+AB43</f>
        <v>24212.016334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2582</v>
      </c>
      <c r="E40" s="42"/>
      <c r="F40" s="42">
        <f>F41+F42</f>
        <v>585.4</v>
      </c>
      <c r="G40" s="42"/>
      <c r="H40" s="42">
        <f>H41+H42</f>
        <v>1147.3353824599999</v>
      </c>
      <c r="I40" s="42"/>
      <c r="J40" s="42">
        <f>J41+J42</f>
        <v>860.8</v>
      </c>
      <c r="K40" s="42"/>
      <c r="L40" s="42">
        <f>L41+L42</f>
        <v>512.6</v>
      </c>
      <c r="M40" s="42"/>
      <c r="N40" s="42">
        <f>N41+N42</f>
        <v>651.63674407000008</v>
      </c>
      <c r="O40" s="42"/>
      <c r="P40" s="42">
        <f>P41+P42</f>
        <v>283.8</v>
      </c>
      <c r="Q40" s="42"/>
      <c r="R40" s="42">
        <f>R41+R42</f>
        <v>161.19999999999999</v>
      </c>
      <c r="S40" s="42"/>
      <c r="T40" s="42">
        <f>T41+T42</f>
        <v>733.41311038999993</v>
      </c>
      <c r="U40" s="42"/>
      <c r="V40" s="42">
        <f>+V41+V42</f>
        <v>-114.1</v>
      </c>
      <c r="W40" s="42"/>
      <c r="X40" s="42">
        <f>+X41+X42</f>
        <v>630.4</v>
      </c>
      <c r="Y40" s="42"/>
      <c r="Z40" s="42">
        <f>+Z41+Z42</f>
        <v>495.03109708</v>
      </c>
      <c r="AA40" s="75"/>
      <c r="AB40" s="75">
        <f>+AB41+AB42</f>
        <v>8529.5163339999999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194" t="s">
        <v>56</v>
      </c>
      <c r="C41" s="72"/>
      <c r="D41" s="118">
        <v>2582</v>
      </c>
      <c r="E41" s="118"/>
      <c r="F41" s="118">
        <v>585.4</v>
      </c>
      <c r="G41" s="118"/>
      <c r="H41" s="118">
        <v>939.5</v>
      </c>
      <c r="I41" s="118"/>
      <c r="J41" s="118">
        <v>860.8</v>
      </c>
      <c r="K41" s="118"/>
      <c r="L41" s="118">
        <v>512.6</v>
      </c>
      <c r="M41" s="118"/>
      <c r="N41" s="118">
        <v>467.1</v>
      </c>
      <c r="O41" s="118"/>
      <c r="P41" s="118">
        <v>283.8</v>
      </c>
      <c r="Q41" s="118"/>
      <c r="R41" s="118">
        <v>161.19999999999999</v>
      </c>
      <c r="S41" s="118"/>
      <c r="T41" s="118">
        <v>571.79999999999995</v>
      </c>
      <c r="U41" s="118"/>
      <c r="V41" s="118">
        <v>-114.1</v>
      </c>
      <c r="W41" s="118"/>
      <c r="X41" s="118">
        <v>630.4</v>
      </c>
      <c r="Y41" s="118"/>
      <c r="Z41" s="118">
        <v>337</v>
      </c>
      <c r="AA41" s="118"/>
      <c r="AB41" s="118">
        <f>SUM(D41:Z41)</f>
        <v>7817.5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0</v>
      </c>
      <c r="E42" s="42"/>
      <c r="F42" s="42">
        <v>0</v>
      </c>
      <c r="G42" s="42"/>
      <c r="H42" s="42">
        <v>207.83538246000001</v>
      </c>
      <c r="I42" s="42"/>
      <c r="J42" s="42">
        <v>0</v>
      </c>
      <c r="K42" s="42"/>
      <c r="L42" s="42">
        <v>0</v>
      </c>
      <c r="M42" s="42"/>
      <c r="N42" s="42">
        <v>184.53674407</v>
      </c>
      <c r="O42" s="42"/>
      <c r="P42" s="42">
        <v>0</v>
      </c>
      <c r="Q42" s="42"/>
      <c r="R42" s="42">
        <v>0</v>
      </c>
      <c r="S42" s="42"/>
      <c r="T42" s="42">
        <v>161.61311038999997</v>
      </c>
      <c r="U42" s="42"/>
      <c r="V42" s="42">
        <v>0</v>
      </c>
      <c r="W42" s="42"/>
      <c r="X42" s="42">
        <v>0</v>
      </c>
      <c r="Y42" s="42"/>
      <c r="Z42" s="42">
        <v>158.03109708</v>
      </c>
      <c r="AA42" s="75"/>
      <c r="AB42" s="75">
        <f>SUM(D42:Z42)</f>
        <v>712.01633400000003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321</v>
      </c>
      <c r="E43" s="42"/>
      <c r="F43" s="42">
        <v>1119.2</v>
      </c>
      <c r="G43" s="42"/>
      <c r="H43" s="42">
        <v>1705.7</v>
      </c>
      <c r="I43" s="42"/>
      <c r="J43" s="42">
        <v>271.8</v>
      </c>
      <c r="K43" s="42"/>
      <c r="L43" s="42">
        <v>869.3</v>
      </c>
      <c r="M43" s="42"/>
      <c r="N43" s="42">
        <v>1447.6</v>
      </c>
      <c r="O43" s="42"/>
      <c r="P43" s="42">
        <v>132.1</v>
      </c>
      <c r="Q43" s="42"/>
      <c r="R43" s="42">
        <v>1583.7</v>
      </c>
      <c r="S43" s="42"/>
      <c r="T43" s="42">
        <v>3296</v>
      </c>
      <c r="U43" s="42"/>
      <c r="V43" s="42">
        <v>1584.5</v>
      </c>
      <c r="W43" s="42"/>
      <c r="X43" s="42">
        <v>1397.7</v>
      </c>
      <c r="Y43" s="42"/>
      <c r="Z43" s="42">
        <v>1953.9</v>
      </c>
      <c r="AA43" s="75"/>
      <c r="AB43" s="75">
        <f>SUM(D43:Z43)</f>
        <v>15682.500000000002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-4580.5278044899896</v>
      </c>
      <c r="E45" s="95"/>
      <c r="F45" s="48">
        <f>F37-F39</f>
        <v>7238.1816192399983</v>
      </c>
      <c r="G45" s="95"/>
      <c r="H45" s="48">
        <f>H37-H39</f>
        <v>985.17156363000231</v>
      </c>
      <c r="I45" s="95"/>
      <c r="J45" s="48">
        <f>J37-J39</f>
        <v>-1257.0683488100126</v>
      </c>
      <c r="K45" s="95"/>
      <c r="L45" s="48">
        <f>L37-L39</f>
        <v>5766.6351038800149</v>
      </c>
      <c r="M45" s="95"/>
      <c r="N45" s="48">
        <f>N37-N39</f>
        <v>4468.3413401599937</v>
      </c>
      <c r="O45" s="95"/>
      <c r="P45" s="48">
        <f>P37-P39</f>
        <v>4447.1442501900037</v>
      </c>
      <c r="Q45" s="95"/>
      <c r="R45" s="48">
        <f>R37-R39</f>
        <v>9277.7636139499937</v>
      </c>
      <c r="S45" s="95"/>
      <c r="T45" s="48">
        <f>T37-T39</f>
        <v>2777.4834091899975</v>
      </c>
      <c r="U45" s="95"/>
      <c r="V45" s="48">
        <f>V37-V39</f>
        <v>-1221.6357157200023</v>
      </c>
      <c r="W45" s="95"/>
      <c r="X45" s="48">
        <f>X37-X39</f>
        <v>7946.0375582900033</v>
      </c>
      <c r="Y45" s="95"/>
      <c r="Z45" s="48">
        <f>Z37-Z39</f>
        <v>-8706.3609959600035</v>
      </c>
      <c r="AA45" s="95"/>
      <c r="AB45" s="48">
        <f>AB37-AB39</f>
        <v>27141.165593550002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64" t="s">
        <v>41</v>
      </c>
      <c r="C47" s="464"/>
      <c r="D47" s="464"/>
      <c r="E47" s="464"/>
      <c r="F47" s="464"/>
      <c r="G47" s="464"/>
      <c r="H47" s="464"/>
      <c r="I47" s="464"/>
      <c r="J47" s="464"/>
      <c r="K47" s="464"/>
      <c r="L47" s="464"/>
      <c r="M47" s="464"/>
      <c r="N47" s="464"/>
      <c r="O47" s="464"/>
      <c r="P47" s="464"/>
      <c r="Q47" s="464"/>
      <c r="R47" s="464"/>
      <c r="S47" s="464"/>
      <c r="T47" s="464"/>
      <c r="U47" s="464"/>
      <c r="V47" s="464"/>
      <c r="W47" s="464"/>
      <c r="X47" s="464"/>
      <c r="Y47" s="464"/>
      <c r="Z47" s="464"/>
      <c r="AA47" s="464"/>
      <c r="AB47" s="464"/>
      <c r="AC47" s="212"/>
      <c r="AD47" s="212"/>
      <c r="AE47" s="101"/>
      <c r="AF47" s="212"/>
    </row>
    <row r="48" spans="1:35" ht="14.25" customHeight="1">
      <c r="B48" s="474" t="s">
        <v>58</v>
      </c>
      <c r="C48" s="474"/>
      <c r="D48" s="474"/>
      <c r="E48" s="474"/>
      <c r="F48" s="474"/>
      <c r="G48" s="474"/>
      <c r="H48" s="474"/>
      <c r="I48" s="474"/>
      <c r="J48" s="474"/>
      <c r="K48" s="474"/>
      <c r="L48" s="474"/>
      <c r="M48" s="474"/>
      <c r="N48" s="474"/>
      <c r="O48" s="474"/>
      <c r="P48" s="474"/>
      <c r="Q48" s="474"/>
      <c r="R48" s="474"/>
      <c r="S48" s="474"/>
      <c r="T48" s="474"/>
      <c r="U48" s="474"/>
      <c r="V48" s="474"/>
      <c r="W48" s="474"/>
      <c r="X48" s="474"/>
      <c r="Y48" s="474"/>
      <c r="Z48" s="474"/>
      <c r="AA48" s="474"/>
      <c r="AB48" s="474"/>
      <c r="AC48" s="212"/>
      <c r="AD48" s="212"/>
      <c r="AE48" s="101"/>
      <c r="AF48" s="212"/>
    </row>
    <row r="49" spans="1:32" ht="14.25" customHeight="1">
      <c r="B49" s="464" t="s">
        <v>59</v>
      </c>
      <c r="C49" s="464"/>
      <c r="D49" s="464"/>
      <c r="E49" s="464"/>
      <c r="F49" s="464"/>
      <c r="G49" s="464"/>
      <c r="H49" s="464"/>
      <c r="I49" s="464"/>
      <c r="J49" s="464"/>
      <c r="K49" s="464"/>
      <c r="L49" s="464"/>
      <c r="M49" s="464"/>
      <c r="N49" s="464"/>
      <c r="O49" s="464"/>
      <c r="P49" s="464"/>
      <c r="Q49" s="464"/>
      <c r="R49" s="464"/>
      <c r="S49" s="464"/>
      <c r="T49" s="464"/>
      <c r="U49" s="464"/>
      <c r="V49" s="464"/>
      <c r="W49" s="464"/>
      <c r="X49" s="464"/>
      <c r="Y49" s="464"/>
      <c r="Z49" s="464"/>
      <c r="AA49" s="464"/>
      <c r="AB49" s="464"/>
      <c r="AC49" s="212"/>
      <c r="AD49" s="212"/>
      <c r="AE49" s="101"/>
      <c r="AF49" s="212"/>
    </row>
    <row r="50" spans="1:32" ht="14.25" customHeight="1">
      <c r="B50" s="464" t="s">
        <v>60</v>
      </c>
      <c r="C50" s="464"/>
      <c r="D50" s="464"/>
      <c r="E50" s="464"/>
      <c r="F50" s="464"/>
      <c r="G50" s="464"/>
      <c r="H50" s="464"/>
      <c r="I50" s="464"/>
      <c r="J50" s="464"/>
      <c r="K50" s="464"/>
      <c r="L50" s="464"/>
      <c r="M50" s="464"/>
      <c r="N50" s="464"/>
      <c r="O50" s="464"/>
      <c r="P50" s="464"/>
      <c r="Q50" s="464"/>
      <c r="R50" s="464"/>
      <c r="S50" s="464"/>
      <c r="T50" s="464"/>
      <c r="U50" s="464"/>
      <c r="V50" s="464"/>
      <c r="W50" s="464"/>
      <c r="X50" s="464"/>
      <c r="Y50" s="464"/>
      <c r="Z50" s="464"/>
      <c r="AA50" s="464"/>
      <c r="AB50" s="464"/>
      <c r="AC50" s="212"/>
      <c r="AD50" s="212"/>
      <c r="AE50" s="101"/>
      <c r="AF50" s="212"/>
    </row>
    <row r="51" spans="1:32" ht="14.25" customHeight="1">
      <c r="B51" s="464" t="s">
        <v>42</v>
      </c>
      <c r="C51" s="464"/>
      <c r="D51" s="464"/>
      <c r="E51" s="464"/>
      <c r="F51" s="464"/>
      <c r="G51" s="464"/>
      <c r="H51" s="464"/>
      <c r="I51" s="464"/>
      <c r="J51" s="464"/>
      <c r="K51" s="464"/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464"/>
      <c r="X51" s="464"/>
      <c r="Y51" s="464"/>
      <c r="Z51" s="464"/>
      <c r="AA51" s="464"/>
      <c r="AB51" s="464"/>
      <c r="AC51" s="212"/>
      <c r="AD51" s="212"/>
      <c r="AE51" s="101"/>
      <c r="AF51" s="212"/>
    </row>
    <row r="52" spans="1:32" ht="14.25" customHeight="1">
      <c r="B52" s="464" t="s">
        <v>52</v>
      </c>
      <c r="C52" s="464"/>
      <c r="D52" s="464"/>
      <c r="E52" s="464"/>
      <c r="F52" s="464"/>
      <c r="G52" s="464"/>
      <c r="H52" s="464"/>
      <c r="I52" s="464"/>
      <c r="J52" s="464"/>
      <c r="K52" s="464"/>
      <c r="L52" s="464"/>
      <c r="M52" s="464"/>
      <c r="N52" s="464"/>
      <c r="O52" s="464"/>
      <c r="P52" s="464"/>
      <c r="Q52" s="464"/>
      <c r="R52" s="464"/>
      <c r="S52" s="464"/>
      <c r="T52" s="464"/>
      <c r="U52" s="464"/>
      <c r="V52" s="464"/>
      <c r="W52" s="464"/>
      <c r="X52" s="464"/>
      <c r="Y52" s="464"/>
      <c r="Z52" s="464"/>
      <c r="AA52" s="464"/>
      <c r="AB52" s="464"/>
      <c r="AC52" s="212"/>
      <c r="AD52" s="212"/>
      <c r="AE52" s="101"/>
      <c r="AF52" s="212"/>
    </row>
    <row r="53" spans="1:32" ht="14.25" customHeight="1">
      <c r="B53" s="474" t="s">
        <v>61</v>
      </c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212"/>
      <c r="AD53" s="212"/>
      <c r="AE53" s="101"/>
      <c r="AF53" s="212"/>
    </row>
    <row r="54" spans="1:32" ht="14.25" customHeight="1">
      <c r="B54" s="464" t="s">
        <v>62</v>
      </c>
      <c r="C54" s="464"/>
      <c r="D54" s="464"/>
      <c r="E54" s="464"/>
      <c r="F54" s="464"/>
      <c r="G54" s="464"/>
      <c r="H54" s="464"/>
      <c r="I54" s="464"/>
      <c r="J54" s="464"/>
      <c r="K54" s="464"/>
      <c r="L54" s="464"/>
      <c r="M54" s="464"/>
      <c r="N54" s="464"/>
      <c r="O54" s="464"/>
      <c r="P54" s="464"/>
      <c r="Q54" s="464"/>
      <c r="R54" s="464"/>
      <c r="S54" s="464"/>
      <c r="T54" s="464"/>
      <c r="U54" s="464"/>
      <c r="V54" s="464"/>
      <c r="W54" s="464"/>
      <c r="X54" s="464"/>
      <c r="Y54" s="464"/>
      <c r="Z54" s="464"/>
      <c r="AA54" s="464"/>
      <c r="AB54" s="464"/>
      <c r="AC54" s="212"/>
      <c r="AD54" s="212"/>
      <c r="AE54" s="101"/>
      <c r="AF54" s="212"/>
    </row>
    <row r="55" spans="1:32" ht="14.25" customHeight="1">
      <c r="B55" s="201" t="s">
        <v>64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2" ht="14.25" customHeight="1">
      <c r="B56" s="464" t="s">
        <v>65</v>
      </c>
      <c r="C56" s="464"/>
      <c r="D56" s="464"/>
      <c r="E56" s="464"/>
      <c r="F56" s="464"/>
      <c r="G56" s="464"/>
      <c r="H56" s="464"/>
      <c r="I56" s="464"/>
      <c r="J56" s="464"/>
      <c r="K56" s="464"/>
      <c r="L56" s="464"/>
      <c r="M56" s="464"/>
      <c r="N56" s="464"/>
      <c r="O56" s="464"/>
      <c r="P56" s="464"/>
      <c r="Q56" s="464"/>
      <c r="R56" s="464"/>
      <c r="S56" s="464"/>
      <c r="T56" s="464"/>
      <c r="U56" s="464"/>
      <c r="V56" s="464"/>
      <c r="W56" s="464"/>
      <c r="X56" s="464"/>
      <c r="Y56" s="464"/>
      <c r="Z56" s="464"/>
      <c r="AA56" s="464"/>
      <c r="AB56" s="464"/>
      <c r="AC56" s="212"/>
      <c r="AD56" s="212"/>
      <c r="AE56" s="101"/>
      <c r="AF56" s="212"/>
    </row>
    <row r="57" spans="1:32" ht="14.25" customHeight="1">
      <c r="B57" s="201" t="s">
        <v>74</v>
      </c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212"/>
      <c r="AD57" s="212"/>
      <c r="AE57" s="101"/>
      <c r="AF57" s="212"/>
    </row>
    <row r="58" spans="1:32" ht="14.25" customHeight="1">
      <c r="B58" s="464" t="s">
        <v>67</v>
      </c>
      <c r="C58" s="464"/>
      <c r="D58" s="464"/>
      <c r="E58" s="464"/>
      <c r="F58" s="464"/>
      <c r="G58" s="464"/>
      <c r="H58" s="464"/>
      <c r="I58" s="464"/>
      <c r="J58" s="464"/>
      <c r="K58" s="464"/>
      <c r="L58" s="464"/>
      <c r="M58" s="464"/>
      <c r="N58" s="464"/>
      <c r="O58" s="464"/>
      <c r="P58" s="464"/>
      <c r="Q58" s="464"/>
      <c r="R58" s="464"/>
      <c r="S58" s="464"/>
      <c r="T58" s="464"/>
      <c r="U58" s="464"/>
      <c r="V58" s="464"/>
      <c r="W58" s="464"/>
      <c r="X58" s="464"/>
      <c r="Y58" s="464"/>
      <c r="Z58" s="464"/>
      <c r="AA58" s="464"/>
      <c r="AB58" s="464"/>
      <c r="AC58" s="212"/>
      <c r="AD58" s="212"/>
      <c r="AE58" s="101"/>
      <c r="AF58" s="212"/>
    </row>
    <row r="59" spans="1:32" ht="14.25" customHeight="1">
      <c r="B59" s="464" t="s">
        <v>68</v>
      </c>
      <c r="C59" s="464"/>
      <c r="D59" s="464"/>
      <c r="E59" s="464"/>
      <c r="F59" s="464"/>
      <c r="G59" s="464"/>
      <c r="H59" s="464"/>
      <c r="I59" s="464"/>
      <c r="J59" s="464"/>
      <c r="K59" s="464"/>
      <c r="L59" s="464"/>
      <c r="M59" s="464"/>
      <c r="N59" s="464"/>
      <c r="O59" s="464"/>
      <c r="P59" s="464"/>
      <c r="Q59" s="464"/>
      <c r="R59" s="464"/>
      <c r="S59" s="464"/>
      <c r="T59" s="464"/>
      <c r="U59" s="464"/>
      <c r="V59" s="464"/>
      <c r="W59" s="464"/>
      <c r="X59" s="464"/>
      <c r="Y59" s="464"/>
      <c r="Z59" s="464"/>
      <c r="AA59" s="464"/>
      <c r="AB59" s="464"/>
      <c r="AC59" s="212"/>
      <c r="AD59" s="212"/>
      <c r="AE59" s="101"/>
      <c r="AF59" s="212"/>
    </row>
    <row r="60" spans="1:32" ht="14.25" customHeight="1">
      <c r="B60" s="464" t="s">
        <v>3</v>
      </c>
      <c r="C60" s="464"/>
      <c r="D60" s="464"/>
      <c r="E60" s="464"/>
      <c r="F60" s="464"/>
      <c r="G60" s="464"/>
      <c r="H60" s="464"/>
      <c r="I60" s="464"/>
      <c r="J60" s="464"/>
      <c r="K60" s="464"/>
      <c r="L60" s="464"/>
      <c r="M60" s="464"/>
      <c r="N60" s="464"/>
      <c r="O60" s="464"/>
      <c r="P60" s="464"/>
      <c r="Q60" s="464"/>
      <c r="R60" s="464"/>
      <c r="S60" s="464"/>
      <c r="T60" s="464"/>
      <c r="U60" s="464"/>
      <c r="V60" s="464"/>
      <c r="W60" s="464"/>
      <c r="X60" s="464"/>
      <c r="Y60" s="464"/>
      <c r="Z60" s="464"/>
      <c r="AA60" s="464"/>
      <c r="AB60" s="464"/>
      <c r="AC60" s="212"/>
      <c r="AD60" s="212"/>
      <c r="AE60" s="101"/>
      <c r="AF60" s="212"/>
    </row>
    <row r="61" spans="1:32" ht="14.25" customHeight="1">
      <c r="A61" s="18"/>
      <c r="B61" s="100"/>
      <c r="C61" s="93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12"/>
      <c r="AD61" s="212"/>
      <c r="AE61" s="101"/>
      <c r="AF61" s="212"/>
    </row>
    <row r="62" spans="1:32" ht="20.25">
      <c r="B62" s="453" t="s">
        <v>32</v>
      </c>
      <c r="C62" s="453"/>
      <c r="D62" s="453"/>
      <c r="E62" s="453"/>
      <c r="F62" s="453"/>
      <c r="G62" s="453"/>
      <c r="H62" s="453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Y62" s="453"/>
      <c r="Z62" s="453"/>
      <c r="AA62" s="453"/>
      <c r="AB62" s="453"/>
      <c r="AC62" s="214"/>
      <c r="AD62" s="214"/>
      <c r="AE62" s="214"/>
      <c r="AF62" s="214"/>
    </row>
    <row r="63" spans="1:32">
      <c r="B63" s="102"/>
      <c r="C63" s="469"/>
      <c r="D63" s="460"/>
      <c r="E63" s="469"/>
      <c r="F63" s="470"/>
      <c r="G63" s="469"/>
      <c r="H63" s="470"/>
      <c r="I63" s="469"/>
      <c r="J63" s="470"/>
      <c r="K63" s="469"/>
      <c r="L63" s="470"/>
      <c r="M63" s="469"/>
      <c r="N63" s="470"/>
      <c r="O63" s="469"/>
      <c r="P63" s="470"/>
      <c r="Q63" s="469"/>
      <c r="R63" s="470"/>
      <c r="S63" s="469"/>
      <c r="T63" s="470"/>
      <c r="U63" s="469"/>
      <c r="V63" s="470"/>
      <c r="W63" s="469"/>
      <c r="X63" s="470"/>
      <c r="Y63" s="469"/>
      <c r="Z63" s="470"/>
      <c r="AA63" s="469"/>
      <c r="AB63" s="470"/>
    </row>
    <row r="64" spans="1:32">
      <c r="B64" s="102">
        <f>B5</f>
        <v>2003</v>
      </c>
      <c r="C64" s="469" t="s">
        <v>4</v>
      </c>
      <c r="D64" s="460"/>
      <c r="E64" s="469" t="s">
        <v>5</v>
      </c>
      <c r="F64" s="470"/>
      <c r="G64" s="469" t="s">
        <v>6</v>
      </c>
      <c r="H64" s="470"/>
      <c r="I64" s="469" t="s">
        <v>7</v>
      </c>
      <c r="J64" s="470"/>
      <c r="K64" s="469" t="s">
        <v>8</v>
      </c>
      <c r="L64" s="470"/>
      <c r="M64" s="469" t="s">
        <v>9</v>
      </c>
      <c r="N64" s="470"/>
      <c r="O64" s="469" t="s">
        <v>10</v>
      </c>
      <c r="P64" s="470"/>
      <c r="Q64" s="471" t="s">
        <v>11</v>
      </c>
      <c r="R64" s="470"/>
      <c r="S64" s="471" t="s">
        <v>12</v>
      </c>
      <c r="T64" s="470"/>
      <c r="U64" s="469" t="s">
        <v>0</v>
      </c>
      <c r="V64" s="473"/>
      <c r="W64" s="469" t="s">
        <v>1</v>
      </c>
      <c r="X64" s="473"/>
      <c r="Y64" s="469" t="s">
        <v>2</v>
      </c>
      <c r="Z64" s="473"/>
      <c r="AA64" s="469" t="s">
        <v>102</v>
      </c>
      <c r="AB64" s="460"/>
    </row>
    <row r="65" spans="1:35">
      <c r="B65" s="102"/>
      <c r="C65" s="469"/>
      <c r="D65" s="460"/>
      <c r="E65" s="469"/>
      <c r="F65" s="460"/>
      <c r="G65" s="469"/>
      <c r="H65" s="460"/>
      <c r="I65" s="469"/>
      <c r="J65" s="460"/>
      <c r="K65" s="469"/>
      <c r="L65" s="460"/>
      <c r="M65" s="469"/>
      <c r="N65" s="460"/>
      <c r="O65" s="469"/>
      <c r="P65" s="460"/>
      <c r="Q65" s="469"/>
      <c r="R65" s="460"/>
      <c r="S65" s="469"/>
      <c r="T65" s="460"/>
      <c r="U65" s="469"/>
      <c r="V65" s="460"/>
      <c r="W65" s="469"/>
      <c r="X65" s="460"/>
      <c r="Y65" s="469"/>
      <c r="Z65" s="460"/>
      <c r="AA65" s="469"/>
      <c r="AB65" s="460"/>
    </row>
    <row r="66" spans="1:35" s="202" customFormat="1" ht="14.25">
      <c r="A66" s="44"/>
      <c r="B66" s="103" t="s">
        <v>24</v>
      </c>
      <c r="C66" s="72"/>
      <c r="D66" s="104">
        <v>3329.9080990000002</v>
      </c>
      <c r="E66" s="104"/>
      <c r="F66" s="104">
        <v>3324.0291269999998</v>
      </c>
      <c r="G66" s="104"/>
      <c r="H66" s="104">
        <v>3317.4399290000001</v>
      </c>
      <c r="I66" s="104"/>
      <c r="J66" s="104">
        <v>3282.1173699999999</v>
      </c>
      <c r="K66" s="104"/>
      <c r="L66" s="104">
        <v>3319.7295779999999</v>
      </c>
      <c r="M66" s="104"/>
      <c r="N66" s="104">
        <v>3395.9258159999999</v>
      </c>
      <c r="O66" s="104"/>
      <c r="P66" s="104">
        <v>3400.4057809999999</v>
      </c>
      <c r="Q66" s="104"/>
      <c r="R66" s="104">
        <v>3426.0487629999998</v>
      </c>
      <c r="S66" s="120"/>
      <c r="T66" s="104">
        <v>3417.4708580000001</v>
      </c>
      <c r="U66" s="120"/>
      <c r="V66" s="104">
        <v>3398.2678310000001</v>
      </c>
      <c r="W66" s="120"/>
      <c r="X66" s="104">
        <v>3379.8359180000002</v>
      </c>
      <c r="Y66" s="120"/>
      <c r="Z66" s="120">
        <v>3454.771463</v>
      </c>
      <c r="AA66" s="104"/>
      <c r="AB66" s="104">
        <f>AVERAGE(D66:Z66)</f>
        <v>3370.4958777499996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39</v>
      </c>
      <c r="C67" s="72"/>
      <c r="D67" s="104">
        <v>4447.2770270000001</v>
      </c>
      <c r="E67" s="104"/>
      <c r="F67" s="104">
        <v>4436.8891599999997</v>
      </c>
      <c r="G67" s="104"/>
      <c r="H67" s="104">
        <v>4437.493923</v>
      </c>
      <c r="I67" s="104"/>
      <c r="J67" s="104">
        <v>4390.4042719999998</v>
      </c>
      <c r="K67" s="104"/>
      <c r="L67" s="104">
        <v>4437.7391580000003</v>
      </c>
      <c r="M67" s="104"/>
      <c r="N67" s="104">
        <v>4447.2979180000002</v>
      </c>
      <c r="O67" s="104"/>
      <c r="P67" s="104">
        <v>4565.1290010000002</v>
      </c>
      <c r="Q67" s="104"/>
      <c r="R67" s="104">
        <v>4585.3033210000003</v>
      </c>
      <c r="S67" s="120"/>
      <c r="T67" s="104">
        <v>4539.161658</v>
      </c>
      <c r="U67" s="120"/>
      <c r="V67" s="104">
        <v>4544.5295640000004</v>
      </c>
      <c r="W67" s="120"/>
      <c r="X67" s="104">
        <v>4525.5507429999998</v>
      </c>
      <c r="Y67" s="120"/>
      <c r="Z67" s="120">
        <v>4615.6132090000001</v>
      </c>
      <c r="AA67" s="104"/>
      <c r="AB67" s="104">
        <f t="shared" ref="AB67:AB76" si="0">AVERAGE(D67:Z67)</f>
        <v>4497.6990794999992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25</v>
      </c>
      <c r="C68" s="72"/>
      <c r="D68" s="104">
        <v>581.40690688199993</v>
      </c>
      <c r="E68" s="104"/>
      <c r="F68" s="104">
        <v>590.6424251630001</v>
      </c>
      <c r="G68" s="104"/>
      <c r="H68" s="104">
        <v>579.56812800499995</v>
      </c>
      <c r="I68" s="104"/>
      <c r="J68" s="104">
        <v>602.97240027899988</v>
      </c>
      <c r="K68" s="104"/>
      <c r="L68" s="104">
        <v>607.95842541299999</v>
      </c>
      <c r="M68" s="104"/>
      <c r="N68" s="104">
        <v>586.75487622200001</v>
      </c>
      <c r="O68" s="104"/>
      <c r="P68" s="104">
        <v>610.69766430700008</v>
      </c>
      <c r="Q68" s="104"/>
      <c r="R68" s="104">
        <v>583.40563334500007</v>
      </c>
      <c r="S68" s="120"/>
      <c r="T68" s="104">
        <v>596.32771012399996</v>
      </c>
      <c r="U68" s="120"/>
      <c r="V68" s="104">
        <v>607.74686406199999</v>
      </c>
      <c r="W68" s="120"/>
      <c r="X68" s="104">
        <v>590.7507019950001</v>
      </c>
      <c r="Y68" s="120"/>
      <c r="Z68" s="120">
        <v>674.06747658899985</v>
      </c>
      <c r="AA68" s="104"/>
      <c r="AB68" s="104">
        <f t="shared" si="0"/>
        <v>601.02493436549992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26</v>
      </c>
      <c r="C69" s="72"/>
      <c r="D69" s="104">
        <v>270.47211263499997</v>
      </c>
      <c r="E69" s="104"/>
      <c r="F69" s="104">
        <v>288.57036008799997</v>
      </c>
      <c r="G69" s="104"/>
      <c r="H69" s="104">
        <v>288.252107921</v>
      </c>
      <c r="I69" s="104"/>
      <c r="J69" s="104">
        <v>295.57567576999998</v>
      </c>
      <c r="K69" s="104"/>
      <c r="L69" s="104">
        <v>309.00379655400002</v>
      </c>
      <c r="M69" s="104"/>
      <c r="N69" s="104">
        <v>303.26539403000004</v>
      </c>
      <c r="O69" s="104"/>
      <c r="P69" s="104">
        <v>305.09268810000003</v>
      </c>
      <c r="Q69" s="104"/>
      <c r="R69" s="104">
        <v>281.77239932999998</v>
      </c>
      <c r="S69" s="120"/>
      <c r="T69" s="104">
        <v>281.58236455999997</v>
      </c>
      <c r="U69" s="120"/>
      <c r="V69" s="104">
        <v>308.54093648000003</v>
      </c>
      <c r="W69" s="120"/>
      <c r="X69" s="104">
        <v>295.644470377</v>
      </c>
      <c r="Y69" s="120"/>
      <c r="Z69" s="120">
        <v>307.91631917000001</v>
      </c>
      <c r="AA69" s="104"/>
      <c r="AB69" s="104">
        <f t="shared" si="0"/>
        <v>294.64071875124995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27</v>
      </c>
      <c r="C70" s="72"/>
      <c r="D70" s="104">
        <v>322.09182876400001</v>
      </c>
      <c r="E70" s="104"/>
      <c r="F70" s="104">
        <v>361.50980454299997</v>
      </c>
      <c r="G70" s="104"/>
      <c r="H70" s="104">
        <v>371.658716653</v>
      </c>
      <c r="I70" s="104"/>
      <c r="J70" s="104">
        <v>435.543322015</v>
      </c>
      <c r="K70" s="104"/>
      <c r="L70" s="104">
        <v>385.92597457400001</v>
      </c>
      <c r="M70" s="104"/>
      <c r="N70" s="104">
        <v>391.75129218900003</v>
      </c>
      <c r="O70" s="104"/>
      <c r="P70" s="104">
        <v>408.65781442100001</v>
      </c>
      <c r="Q70" s="104"/>
      <c r="R70" s="104">
        <v>341.557654383</v>
      </c>
      <c r="S70" s="120"/>
      <c r="T70" s="104">
        <v>353.10091456599997</v>
      </c>
      <c r="U70" s="120"/>
      <c r="V70" s="104">
        <v>294.82436288100001</v>
      </c>
      <c r="W70" s="120"/>
      <c r="X70" s="104">
        <v>277.573183562</v>
      </c>
      <c r="Y70" s="120"/>
      <c r="Z70" s="120">
        <v>313.05932847700001</v>
      </c>
      <c r="AA70" s="104"/>
      <c r="AB70" s="104">
        <f t="shared" si="0"/>
        <v>354.77118308566668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103" t="s">
        <v>28</v>
      </c>
      <c r="C71" s="72"/>
      <c r="D71" s="104">
        <v>353.00599999999997</v>
      </c>
      <c r="E71" s="104"/>
      <c r="F71" s="104">
        <v>347.76400000000001</v>
      </c>
      <c r="G71" s="104"/>
      <c r="H71" s="104">
        <v>324.72300000000001</v>
      </c>
      <c r="I71" s="104"/>
      <c r="J71" s="104">
        <v>319.64499999999998</v>
      </c>
      <c r="K71" s="104"/>
      <c r="L71" s="104">
        <v>301.26799999999997</v>
      </c>
      <c r="M71" s="104"/>
      <c r="N71" s="104">
        <v>299.91899999999998</v>
      </c>
      <c r="O71" s="104"/>
      <c r="P71" s="104">
        <v>312.19499999999999</v>
      </c>
      <c r="Q71" s="104"/>
      <c r="R71" s="104">
        <v>309.25200000000001</v>
      </c>
      <c r="S71" s="120"/>
      <c r="T71" s="104">
        <v>316.00299999999999</v>
      </c>
      <c r="U71" s="120"/>
      <c r="V71" s="104">
        <v>331.11200000000002</v>
      </c>
      <c r="W71" s="120"/>
      <c r="X71" s="104">
        <v>335.988</v>
      </c>
      <c r="Y71" s="120"/>
      <c r="Z71" s="120">
        <v>372.20400000000001</v>
      </c>
      <c r="AA71" s="104"/>
      <c r="AB71" s="104">
        <f t="shared" si="0"/>
        <v>326.92325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4.25">
      <c r="A72" s="44"/>
      <c r="B72" s="103" t="s">
        <v>38</v>
      </c>
      <c r="C72" s="72"/>
      <c r="D72" s="104">
        <v>2592.81</v>
      </c>
      <c r="E72" s="104"/>
      <c r="F72" s="104">
        <v>2645.6</v>
      </c>
      <c r="G72" s="104"/>
      <c r="H72" s="104">
        <v>2393.98</v>
      </c>
      <c r="I72" s="104"/>
      <c r="J72" s="104">
        <v>2356.36</v>
      </c>
      <c r="K72" s="104"/>
      <c r="L72" s="104">
        <v>2639.76</v>
      </c>
      <c r="M72" s="104"/>
      <c r="N72" s="104">
        <v>2692.29</v>
      </c>
      <c r="O72" s="104"/>
      <c r="P72" s="104">
        <v>2698.17</v>
      </c>
      <c r="Q72" s="104"/>
      <c r="R72" s="104">
        <v>2686.06</v>
      </c>
      <c r="S72" s="120"/>
      <c r="T72" s="104">
        <v>2625.43</v>
      </c>
      <c r="U72" s="120"/>
      <c r="V72" s="104">
        <v>2682.47</v>
      </c>
      <c r="W72" s="120"/>
      <c r="X72" s="104">
        <v>2743.37</v>
      </c>
      <c r="Y72" s="120"/>
      <c r="Z72" s="120">
        <v>2701.03</v>
      </c>
      <c r="AA72" s="104"/>
      <c r="AB72" s="104">
        <f t="shared" si="0"/>
        <v>2621.4441666666667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33</v>
      </c>
      <c r="C73" s="72"/>
      <c r="D73" s="104">
        <v>1973.4803548387094</v>
      </c>
      <c r="E73" s="104"/>
      <c r="F73" s="104">
        <v>1885.645178571426</v>
      </c>
      <c r="G73" s="104"/>
      <c r="H73" s="104">
        <v>1554.2776451612951</v>
      </c>
      <c r="I73" s="104"/>
      <c r="J73" s="104">
        <v>1889.2870000000003</v>
      </c>
      <c r="K73" s="104"/>
      <c r="L73" s="104">
        <v>1666.2357096774172</v>
      </c>
      <c r="M73" s="104"/>
      <c r="N73" s="104">
        <v>1800.6128333333365</v>
      </c>
      <c r="O73" s="104"/>
      <c r="P73" s="104">
        <v>1866.4038709677393</v>
      </c>
      <c r="Q73" s="104"/>
      <c r="R73" s="105">
        <v>1922.2989677419325</v>
      </c>
      <c r="S73" s="120"/>
      <c r="T73" s="104">
        <v>1900.2560333333304</v>
      </c>
      <c r="U73" s="120"/>
      <c r="V73" s="104">
        <v>1828.512903225811</v>
      </c>
      <c r="W73" s="120"/>
      <c r="X73" s="104">
        <v>1700.0185666666669</v>
      </c>
      <c r="Y73" s="120"/>
      <c r="Z73" s="120">
        <v>2141.3672580645148</v>
      </c>
      <c r="AA73" s="104"/>
      <c r="AB73" s="104">
        <f t="shared" si="0"/>
        <v>1844.0330267985148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2.75" customHeight="1">
      <c r="A74" s="44"/>
      <c r="B74" s="103" t="s">
        <v>29</v>
      </c>
      <c r="C74" s="72"/>
      <c r="D74" s="106">
        <v>27.628087325370537</v>
      </c>
      <c r="E74" s="106"/>
      <c r="F74" s="106">
        <v>27.750277265464216</v>
      </c>
      <c r="G74" s="106"/>
      <c r="H74" s="106">
        <v>24.684210894607599</v>
      </c>
      <c r="I74" s="106"/>
      <c r="J74" s="106">
        <v>21.107101366106193</v>
      </c>
      <c r="K74" s="106"/>
      <c r="L74" s="106">
        <v>22.485700041238438</v>
      </c>
      <c r="M74" s="106"/>
      <c r="N74" s="106">
        <v>24.207085202010344</v>
      </c>
      <c r="O74" s="106"/>
      <c r="P74" s="106">
        <v>25.315924716705545</v>
      </c>
      <c r="Q74" s="106"/>
      <c r="R74" s="121">
        <v>25.667293928365517</v>
      </c>
      <c r="S74" s="122"/>
      <c r="T74" s="121">
        <v>23.052973025161325</v>
      </c>
      <c r="U74" s="122"/>
      <c r="V74" s="121">
        <v>24.822702615733856</v>
      </c>
      <c r="W74" s="122"/>
      <c r="X74" s="121">
        <v>24.934536711432386</v>
      </c>
      <c r="Y74" s="122"/>
      <c r="Z74" s="122">
        <v>25.291652264075797</v>
      </c>
      <c r="AA74" s="104"/>
      <c r="AB74" s="107">
        <f t="shared" si="0"/>
        <v>24.745628779689316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103" t="s">
        <v>30</v>
      </c>
      <c r="C75" s="72"/>
      <c r="D75" s="106">
        <v>4.6349999999999998</v>
      </c>
      <c r="E75" s="122"/>
      <c r="F75" s="106">
        <v>5.4349999999999996</v>
      </c>
      <c r="G75" s="106"/>
      <c r="H75" s="106">
        <v>8.7050000000000001</v>
      </c>
      <c r="I75" s="106"/>
      <c r="J75" s="106">
        <v>4.8150000000000004</v>
      </c>
      <c r="K75" s="106"/>
      <c r="L75" s="106">
        <v>4.8550000000000004</v>
      </c>
      <c r="M75" s="106"/>
      <c r="N75" s="106">
        <v>5.7249999999999996</v>
      </c>
      <c r="O75" s="106"/>
      <c r="P75" s="106">
        <v>5.085</v>
      </c>
      <c r="Q75" s="106"/>
      <c r="R75" s="106">
        <v>4.51</v>
      </c>
      <c r="S75" s="106"/>
      <c r="T75" s="106">
        <v>4.75</v>
      </c>
      <c r="U75" s="106"/>
      <c r="V75" s="106">
        <v>4.2450000000000001</v>
      </c>
      <c r="W75" s="106"/>
      <c r="X75" s="106">
        <v>4.2850000000000001</v>
      </c>
      <c r="Y75" s="106"/>
      <c r="Z75" s="122">
        <v>4.6150000000000002</v>
      </c>
      <c r="AA75" s="106"/>
      <c r="AB75" s="107">
        <f t="shared" si="0"/>
        <v>5.1383333333333336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103" t="s">
        <v>31</v>
      </c>
      <c r="C76" s="72"/>
      <c r="D76" s="108">
        <v>10.5762</v>
      </c>
      <c r="E76" s="108"/>
      <c r="F76" s="108">
        <v>10.9216</v>
      </c>
      <c r="G76" s="108"/>
      <c r="H76" s="108">
        <v>10.9427</v>
      </c>
      <c r="I76" s="108"/>
      <c r="J76" s="108">
        <v>10.632400000000001</v>
      </c>
      <c r="K76" s="108"/>
      <c r="L76" s="108">
        <v>10.2506</v>
      </c>
      <c r="M76" s="108"/>
      <c r="N76" s="108">
        <v>10.4953</v>
      </c>
      <c r="O76" s="108"/>
      <c r="P76" s="108">
        <v>10.4434</v>
      </c>
      <c r="Q76" s="108"/>
      <c r="R76" s="108">
        <v>10.732699999999999</v>
      </c>
      <c r="S76" s="123"/>
      <c r="T76" s="108">
        <v>10.9255</v>
      </c>
      <c r="U76" s="123"/>
      <c r="V76" s="108">
        <v>11.170400000000001</v>
      </c>
      <c r="W76" s="123"/>
      <c r="X76" s="108">
        <v>11.1145</v>
      </c>
      <c r="Y76" s="123"/>
      <c r="Z76" s="123">
        <v>11.2629</v>
      </c>
      <c r="AA76" s="104"/>
      <c r="AB76" s="109">
        <f t="shared" si="0"/>
        <v>10.789016666666667</v>
      </c>
      <c r="AC76" s="216"/>
      <c r="AD76" s="216"/>
      <c r="AE76" s="216"/>
      <c r="AF76" s="216"/>
      <c r="AG76" s="216"/>
      <c r="AH76" s="216"/>
      <c r="AI76" s="216"/>
    </row>
    <row r="77" spans="1:35" s="202" customFormat="1" ht="14.25">
      <c r="A77" s="44"/>
      <c r="B77" s="103" t="s">
        <v>69</v>
      </c>
      <c r="C77" s="72"/>
      <c r="D77" s="104">
        <v>464.34258101535988</v>
      </c>
      <c r="E77" s="104"/>
      <c r="F77" s="104">
        <v>424.51700675884649</v>
      </c>
      <c r="G77" s="104"/>
      <c r="H77" s="104">
        <v>381.66639308977835</v>
      </c>
      <c r="I77" s="104"/>
      <c r="J77" s="104">
        <v>348.562209868585</v>
      </c>
      <c r="K77" s="104"/>
      <c r="L77" s="104">
        <v>477.13417603990729</v>
      </c>
      <c r="M77" s="104"/>
      <c r="N77" s="104">
        <v>447.07734102962854</v>
      </c>
      <c r="O77" s="104"/>
      <c r="P77" s="104">
        <v>381.80002170456771</v>
      </c>
      <c r="Q77" s="104"/>
      <c r="R77" s="104">
        <v>371.87319890241901</v>
      </c>
      <c r="S77" s="104"/>
      <c r="T77" s="104">
        <v>418.62362362586367</v>
      </c>
      <c r="U77" s="120"/>
      <c r="V77" s="104">
        <v>443.27057232177464</v>
      </c>
      <c r="W77" s="120"/>
      <c r="X77" s="104">
        <v>379.10466102502846</v>
      </c>
      <c r="Y77" s="120"/>
      <c r="Z77" s="120">
        <v>467.0910606704976</v>
      </c>
      <c r="AA77" s="104"/>
      <c r="AB77" s="104">
        <f>AVERAGE(D77:Z77)</f>
        <v>417.08857050435472</v>
      </c>
      <c r="AC77" s="216"/>
      <c r="AD77" s="216"/>
      <c r="AE77" s="216"/>
      <c r="AF77" s="216"/>
      <c r="AG77" s="216"/>
      <c r="AH77" s="216"/>
      <c r="AI77" s="216"/>
    </row>
    <row r="78" spans="1:35" s="202" customFormat="1" ht="14.25">
      <c r="A78" s="44"/>
      <c r="B78" s="103" t="s">
        <v>70</v>
      </c>
      <c r="C78" s="72"/>
      <c r="D78" s="104">
        <v>0</v>
      </c>
      <c r="E78" s="104"/>
      <c r="F78" s="104">
        <v>0</v>
      </c>
      <c r="G78" s="104"/>
      <c r="H78" s="104">
        <v>23.36063</v>
      </c>
      <c r="I78" s="104"/>
      <c r="J78" s="104">
        <v>0</v>
      </c>
      <c r="K78" s="104"/>
      <c r="L78" s="104">
        <v>0.22434499999999999</v>
      </c>
      <c r="M78" s="104"/>
      <c r="N78" s="104">
        <v>0.24368700000000001</v>
      </c>
      <c r="O78" s="104"/>
      <c r="P78" s="104">
        <v>6.0906400000000005</v>
      </c>
      <c r="Q78" s="104"/>
      <c r="R78" s="104">
        <v>3.5112519999999998</v>
      </c>
      <c r="S78" s="104"/>
      <c r="T78" s="104">
        <v>0.31362800000000002</v>
      </c>
      <c r="U78" s="120"/>
      <c r="V78" s="104">
        <v>11.422985999999998</v>
      </c>
      <c r="W78" s="120"/>
      <c r="X78" s="104">
        <v>17.489229000000002</v>
      </c>
      <c r="Y78" s="120"/>
      <c r="Z78" s="120">
        <v>22.300773</v>
      </c>
      <c r="AA78" s="104"/>
      <c r="AB78" s="104">
        <f>AVERAGE(D78:Z78)</f>
        <v>7.0797641666666671</v>
      </c>
      <c r="AC78" s="216"/>
      <c r="AD78" s="216"/>
      <c r="AE78" s="216"/>
      <c r="AF78" s="216"/>
      <c r="AG78" s="216"/>
      <c r="AH78" s="216"/>
      <c r="AI78" s="216"/>
    </row>
    <row r="79" spans="1:35" ht="13.5">
      <c r="B79" s="195" t="s">
        <v>71</v>
      </c>
      <c r="C79" s="111"/>
      <c r="D79" s="110"/>
      <c r="E79" s="112"/>
      <c r="F79" s="113"/>
      <c r="G79" s="112"/>
      <c r="H79" s="113"/>
      <c r="I79" s="112"/>
      <c r="J79" s="113"/>
      <c r="K79" s="112"/>
      <c r="L79" s="113"/>
      <c r="M79" s="113"/>
      <c r="N79" s="112"/>
      <c r="O79" s="113"/>
      <c r="P79" s="112"/>
      <c r="Q79" s="114"/>
      <c r="R79" s="115"/>
      <c r="S79" s="114"/>
      <c r="T79" s="116"/>
      <c r="U79" s="114"/>
      <c r="V79" s="117"/>
      <c r="W79" s="114"/>
      <c r="X79" s="117"/>
      <c r="Y79" s="114"/>
      <c r="Z79" s="117"/>
      <c r="AA79" s="117"/>
      <c r="AB79" s="117"/>
    </row>
    <row r="80" spans="1:35">
      <c r="B80" s="474" t="s">
        <v>75</v>
      </c>
      <c r="C80" s="474"/>
      <c r="D80" s="474"/>
      <c r="E80" s="474"/>
      <c r="F80" s="474"/>
      <c r="G80" s="474"/>
      <c r="H80" s="474"/>
      <c r="I80" s="474"/>
      <c r="J80" s="474"/>
      <c r="K80" s="474"/>
      <c r="L80" s="474"/>
      <c r="M80" s="474"/>
      <c r="N80" s="474"/>
      <c r="O80" s="474"/>
      <c r="P80" s="474"/>
      <c r="Q80" s="474"/>
      <c r="R80" s="474"/>
      <c r="S80" s="474"/>
      <c r="T80" s="474"/>
      <c r="U80" s="474"/>
      <c r="V80" s="474"/>
      <c r="W80" s="474"/>
      <c r="X80" s="474"/>
      <c r="Y80" s="474"/>
      <c r="Z80" s="474"/>
      <c r="AA80" s="474"/>
      <c r="AB80" s="474"/>
    </row>
    <row r="81" spans="2:28">
      <c r="B81" s="472" t="s">
        <v>101</v>
      </c>
      <c r="C81" s="472"/>
      <c r="D81" s="472"/>
      <c r="E81" s="472"/>
      <c r="F81" s="472"/>
      <c r="G81" s="472"/>
      <c r="H81" s="472"/>
      <c r="I81" s="472"/>
      <c r="J81" s="472"/>
      <c r="K81" s="472"/>
      <c r="L81" s="472"/>
      <c r="M81" s="472"/>
      <c r="N81" s="472"/>
      <c r="O81" s="472"/>
      <c r="P81" s="472"/>
      <c r="Q81" s="472"/>
      <c r="R81" s="472"/>
      <c r="S81" s="472"/>
      <c r="T81" s="472"/>
      <c r="U81" s="472"/>
      <c r="V81" s="472"/>
      <c r="W81" s="472"/>
      <c r="X81" s="472"/>
      <c r="Y81" s="472"/>
      <c r="Z81" s="472"/>
      <c r="AA81" s="472"/>
      <c r="AB81" s="472"/>
    </row>
    <row r="87" spans="2:28" ht="12.75" customHeight="1"/>
    <row r="88" spans="2:28" ht="12.75" customHeight="1"/>
    <row r="89" spans="2:28" ht="12.75" customHeight="1"/>
    <row r="90" spans="2:28" ht="12.75" customHeight="1"/>
    <row r="91" spans="2:28" ht="12.75" customHeight="1"/>
    <row r="92" spans="2:28" ht="12.75" customHeight="1"/>
    <row r="93" spans="2:28" ht="12.75" customHeight="1"/>
    <row r="94" spans="2:28" ht="12.75" customHeight="1"/>
    <row r="95" spans="2:28" ht="12.75" customHeight="1"/>
  </sheetData>
  <mergeCells count="95">
    <mergeCell ref="B81:AB81"/>
    <mergeCell ref="AA65:AB65"/>
    <mergeCell ref="B62:AB62"/>
    <mergeCell ref="S65:T65"/>
    <mergeCell ref="U65:V65"/>
    <mergeCell ref="W65:X65"/>
    <mergeCell ref="Y65:Z65"/>
    <mergeCell ref="C65:D65"/>
    <mergeCell ref="O64:P64"/>
    <mergeCell ref="G65:H65"/>
    <mergeCell ref="AA64:AB64"/>
    <mergeCell ref="O65:P65"/>
    <mergeCell ref="Q65:R65"/>
    <mergeCell ref="B80:AB80"/>
    <mergeCell ref="I65:J65"/>
    <mergeCell ref="K65:L65"/>
    <mergeCell ref="E65:F65"/>
    <mergeCell ref="I63:J63"/>
    <mergeCell ref="Y63:Z63"/>
    <mergeCell ref="Q64:R64"/>
    <mergeCell ref="S64:T64"/>
    <mergeCell ref="U64:V64"/>
    <mergeCell ref="Q63:R63"/>
    <mergeCell ref="W63:X63"/>
    <mergeCell ref="W64:X64"/>
    <mergeCell ref="U63:V63"/>
    <mergeCell ref="M64:N64"/>
    <mergeCell ref="S63:T63"/>
    <mergeCell ref="M65:N65"/>
    <mergeCell ref="K64:L64"/>
    <mergeCell ref="C64:D64"/>
    <mergeCell ref="E64:F64"/>
    <mergeCell ref="G64:H64"/>
    <mergeCell ref="I64:J64"/>
    <mergeCell ref="AA63:AB63"/>
    <mergeCell ref="Y64:Z64"/>
    <mergeCell ref="K63:L63"/>
    <mergeCell ref="M63:N63"/>
    <mergeCell ref="O63:P63"/>
    <mergeCell ref="C63:D63"/>
    <mergeCell ref="E63:F63"/>
    <mergeCell ref="G63:H63"/>
    <mergeCell ref="B50:AB50"/>
    <mergeCell ref="B51:AB51"/>
    <mergeCell ref="B59:AB59"/>
    <mergeCell ref="W5:X5"/>
    <mergeCell ref="Y5:Z5"/>
    <mergeCell ref="AA5:AB5"/>
    <mergeCell ref="U7:V7"/>
    <mergeCell ref="O5:P5"/>
    <mergeCell ref="Q5:R5"/>
    <mergeCell ref="S5:T5"/>
    <mergeCell ref="E5:F5"/>
    <mergeCell ref="G5:H5"/>
    <mergeCell ref="I5:J5"/>
    <mergeCell ref="K5:L5"/>
    <mergeCell ref="M5:N5"/>
    <mergeCell ref="B47:AB47"/>
    <mergeCell ref="B60:AB60"/>
    <mergeCell ref="B56:AB56"/>
    <mergeCell ref="B52:AB52"/>
    <mergeCell ref="B53:AB53"/>
    <mergeCell ref="B54:AB54"/>
    <mergeCell ref="B58:AB58"/>
    <mergeCell ref="B2:AB2"/>
    <mergeCell ref="S4:T4"/>
    <mergeCell ref="U5:V5"/>
    <mergeCell ref="W7:X7"/>
    <mergeCell ref="Y7:Z7"/>
    <mergeCell ref="C5:D5"/>
    <mergeCell ref="O4:P4"/>
    <mergeCell ref="I4:J4"/>
    <mergeCell ref="K4:L4"/>
    <mergeCell ref="M4:N4"/>
    <mergeCell ref="C4:D4"/>
    <mergeCell ref="E4:F4"/>
    <mergeCell ref="G4:H4"/>
    <mergeCell ref="W4:X4"/>
    <mergeCell ref="Y4:Z4"/>
    <mergeCell ref="AA4:AB4"/>
    <mergeCell ref="B48:AB48"/>
    <mergeCell ref="B49:AB49"/>
    <mergeCell ref="B3:AB3"/>
    <mergeCell ref="M7:N7"/>
    <mergeCell ref="C7:D7"/>
    <mergeCell ref="E7:F7"/>
    <mergeCell ref="G7:H7"/>
    <mergeCell ref="I7:J7"/>
    <mergeCell ref="AA7:AB7"/>
    <mergeCell ref="O7:P7"/>
    <mergeCell ref="Q7:R7"/>
    <mergeCell ref="S7:T7"/>
    <mergeCell ref="K7:L7"/>
    <mergeCell ref="Q4:R4"/>
    <mergeCell ref="U4:V4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57" orientation="landscape" r:id="rId1"/>
  <headerFooter alignWithMargins="0"/>
  <ignoredErrors>
    <ignoredError sqref="AB2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5"/>
  <sheetViews>
    <sheetView showGridLines="0" topLeftCell="A62" zoomScale="75" zoomScaleNormal="75" workbookViewId="0">
      <selection activeCell="AC17" sqref="AC17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53" t="s">
        <v>43</v>
      </c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453"/>
      <c r="Y2" s="453"/>
      <c r="Z2" s="453"/>
      <c r="AA2" s="453"/>
      <c r="AB2" s="453"/>
      <c r="AC2" s="214"/>
      <c r="AD2" s="214"/>
      <c r="AE2" s="214"/>
      <c r="AF2" s="214"/>
    </row>
    <row r="3" spans="1:35" ht="15.75" customHeight="1" thickBot="1">
      <c r="B3" s="459" t="s">
        <v>57</v>
      </c>
      <c r="C3" s="459"/>
      <c r="D3" s="459"/>
      <c r="E3" s="459"/>
      <c r="F3" s="459"/>
      <c r="G3" s="459"/>
      <c r="H3" s="459"/>
      <c r="I3" s="459"/>
      <c r="J3" s="459"/>
      <c r="K3" s="459"/>
      <c r="L3" s="459"/>
      <c r="M3" s="459"/>
      <c r="N3" s="459"/>
      <c r="O3" s="459"/>
      <c r="P3" s="459"/>
      <c r="Q3" s="459"/>
      <c r="R3" s="459"/>
      <c r="S3" s="459"/>
      <c r="T3" s="459"/>
      <c r="U3" s="459"/>
      <c r="V3" s="459"/>
      <c r="W3" s="459"/>
      <c r="X3" s="459"/>
      <c r="Y3" s="459"/>
      <c r="Z3" s="459"/>
      <c r="AA3" s="459"/>
      <c r="AB3" s="459"/>
      <c r="AC3" s="215"/>
      <c r="AD3" s="215"/>
      <c r="AE3" s="215"/>
      <c r="AF3" s="215"/>
    </row>
    <row r="4" spans="1:35">
      <c r="B4" s="63"/>
      <c r="C4" s="456"/>
      <c r="D4" s="457"/>
      <c r="E4" s="456"/>
      <c r="F4" s="463"/>
      <c r="G4" s="456"/>
      <c r="H4" s="463"/>
      <c r="I4" s="456"/>
      <c r="J4" s="463"/>
      <c r="K4" s="456"/>
      <c r="L4" s="463"/>
      <c r="M4" s="456"/>
      <c r="N4" s="463"/>
      <c r="O4" s="456"/>
      <c r="P4" s="463"/>
      <c r="Q4" s="456"/>
      <c r="R4" s="463"/>
      <c r="S4" s="456"/>
      <c r="T4" s="463"/>
      <c r="U4" s="456"/>
      <c r="V4" s="462"/>
      <c r="W4" s="456"/>
      <c r="X4" s="462"/>
      <c r="Y4" s="456"/>
      <c r="Z4" s="462"/>
      <c r="AA4" s="456"/>
      <c r="AB4" s="462"/>
    </row>
    <row r="5" spans="1:35">
      <c r="B5" s="64">
        <v>2004</v>
      </c>
      <c r="C5" s="454" t="s">
        <v>4</v>
      </c>
      <c r="D5" s="460"/>
      <c r="E5" s="454" t="s">
        <v>5</v>
      </c>
      <c r="F5" s="455"/>
      <c r="G5" s="454" t="s">
        <v>6</v>
      </c>
      <c r="H5" s="455"/>
      <c r="I5" s="454" t="s">
        <v>7</v>
      </c>
      <c r="J5" s="455"/>
      <c r="K5" s="454" t="s">
        <v>8</v>
      </c>
      <c r="L5" s="455"/>
      <c r="M5" s="454" t="s">
        <v>9</v>
      </c>
      <c r="N5" s="455"/>
      <c r="O5" s="454" t="s">
        <v>10</v>
      </c>
      <c r="P5" s="455"/>
      <c r="Q5" s="458" t="s">
        <v>11</v>
      </c>
      <c r="R5" s="455"/>
      <c r="S5" s="458" t="s">
        <v>12</v>
      </c>
      <c r="T5" s="455"/>
      <c r="U5" s="454" t="s">
        <v>0</v>
      </c>
      <c r="V5" s="461"/>
      <c r="W5" s="454" t="s">
        <v>1</v>
      </c>
      <c r="X5" s="461"/>
      <c r="Y5" s="454" t="s">
        <v>2</v>
      </c>
      <c r="Z5" s="461"/>
      <c r="AA5" s="454" t="s">
        <v>15</v>
      </c>
      <c r="AB5" s="46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5"/>
      <c r="D7" s="468"/>
      <c r="E7" s="465"/>
      <c r="F7" s="466"/>
      <c r="G7" s="465"/>
      <c r="H7" s="466"/>
      <c r="I7" s="465"/>
      <c r="J7" s="466"/>
      <c r="K7" s="465"/>
      <c r="L7" s="466"/>
      <c r="M7" s="465"/>
      <c r="N7" s="466"/>
      <c r="O7" s="465"/>
      <c r="P7" s="466"/>
      <c r="Q7" s="465"/>
      <c r="R7" s="466"/>
      <c r="S7" s="465"/>
      <c r="T7" s="466"/>
      <c r="U7" s="465"/>
      <c r="V7" s="467"/>
      <c r="W7" s="465"/>
      <c r="X7" s="467"/>
      <c r="Y7" s="465"/>
      <c r="Z7" s="467"/>
      <c r="AA7" s="465"/>
      <c r="AB7" s="467"/>
    </row>
    <row r="8" spans="1:35" s="202" customFormat="1" ht="14.25" customHeight="1">
      <c r="A8" s="44"/>
      <c r="B8" s="71" t="s">
        <v>16</v>
      </c>
      <c r="C8" s="72"/>
      <c r="D8" s="41">
        <f>D9+D12</f>
        <v>60533.830365000002</v>
      </c>
      <c r="E8" s="42"/>
      <c r="F8" s="41">
        <f>F9+F12</f>
        <v>52608.612532000006</v>
      </c>
      <c r="G8" s="41"/>
      <c r="H8" s="41">
        <f>H9+H12</f>
        <v>60601.999604000004</v>
      </c>
      <c r="I8" s="41"/>
      <c r="J8" s="41">
        <f>J9+J12</f>
        <v>58407.318216000007</v>
      </c>
      <c r="K8" s="41"/>
      <c r="L8" s="41">
        <f>L9+L12</f>
        <v>56786.577950999999</v>
      </c>
      <c r="M8" s="41"/>
      <c r="N8" s="41">
        <f>N9+N12</f>
        <v>71577.079905999999</v>
      </c>
      <c r="O8" s="41"/>
      <c r="P8" s="41">
        <f>P9+P12</f>
        <v>64294.110610000003</v>
      </c>
      <c r="Q8" s="41"/>
      <c r="R8" s="41">
        <f>R9+R12</f>
        <v>65957.471349000014</v>
      </c>
      <c r="S8" s="41"/>
      <c r="T8" s="41">
        <f>T9+T12</f>
        <v>66013.195603</v>
      </c>
      <c r="U8" s="41"/>
      <c r="V8" s="41">
        <f>V9+V12</f>
        <v>63582.036722999997</v>
      </c>
      <c r="W8" s="41"/>
      <c r="X8" s="41">
        <f>X9+X12</f>
        <v>73276.263346000007</v>
      </c>
      <c r="Y8" s="41"/>
      <c r="Z8" s="41">
        <f>Z9+Z12</f>
        <v>81027.522324999998</v>
      </c>
      <c r="AA8" s="73"/>
      <c r="AB8" s="73">
        <f>AB9+AB12</f>
        <v>774666.01853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53952.521657999998</v>
      </c>
      <c r="E9" s="42"/>
      <c r="F9" s="42">
        <f>+F10+F11</f>
        <v>51767.523960000006</v>
      </c>
      <c r="G9" s="42"/>
      <c r="H9" s="42">
        <f>+H10+H11</f>
        <v>59687.266971000005</v>
      </c>
      <c r="I9" s="42"/>
      <c r="J9" s="42">
        <f>+J10+J11</f>
        <v>56903.764218000004</v>
      </c>
      <c r="K9" s="42"/>
      <c r="L9" s="42">
        <f>+L10+L11</f>
        <v>55721.646928000002</v>
      </c>
      <c r="M9" s="42"/>
      <c r="N9" s="42">
        <f>+N10+N11</f>
        <v>70331.418804000001</v>
      </c>
      <c r="O9" s="42"/>
      <c r="P9" s="42">
        <f>+P10+P11</f>
        <v>62605.796424</v>
      </c>
      <c r="Q9" s="42"/>
      <c r="R9" s="42">
        <f>+R10+R11</f>
        <v>65192.905133000007</v>
      </c>
      <c r="S9" s="42"/>
      <c r="T9" s="42">
        <f>+T10+T11</f>
        <v>65278.484511000002</v>
      </c>
      <c r="U9" s="42"/>
      <c r="V9" s="42">
        <f>+V10+V11</f>
        <v>62074.943859999999</v>
      </c>
      <c r="W9" s="42"/>
      <c r="X9" s="42">
        <f>+X10+X11</f>
        <v>73700.399650000007</v>
      </c>
      <c r="Y9" s="42"/>
      <c r="Z9" s="42">
        <f>+Z10+Z11</f>
        <v>80472.598887999993</v>
      </c>
      <c r="AA9" s="75"/>
      <c r="AB9" s="75">
        <f>+AB10+AB11</f>
        <v>757689.27100499999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76" t="s">
        <v>47</v>
      </c>
      <c r="C10" s="72"/>
      <c r="D10" s="42">
        <v>20406.321658000001</v>
      </c>
      <c r="E10" s="42"/>
      <c r="F10" s="42">
        <v>16495.023960000002</v>
      </c>
      <c r="G10" s="42"/>
      <c r="H10" s="42">
        <v>19599.366970999999</v>
      </c>
      <c r="I10" s="42"/>
      <c r="J10" s="42">
        <v>19486.464218000001</v>
      </c>
      <c r="K10" s="42"/>
      <c r="L10" s="42">
        <v>17218.646928000002</v>
      </c>
      <c r="M10" s="42"/>
      <c r="N10" s="42">
        <v>25280.018803999999</v>
      </c>
      <c r="O10" s="42"/>
      <c r="P10" s="42">
        <v>20900.696424000002</v>
      </c>
      <c r="Q10" s="42"/>
      <c r="R10" s="42">
        <v>23093.105133000001</v>
      </c>
      <c r="S10" s="42"/>
      <c r="T10" s="42">
        <v>22839.984510999999</v>
      </c>
      <c r="U10" s="42"/>
      <c r="V10" s="42">
        <v>23791.243859999999</v>
      </c>
      <c r="W10" s="42"/>
      <c r="X10" s="42">
        <v>30161.59965</v>
      </c>
      <c r="Y10" s="42"/>
      <c r="Z10" s="42">
        <v>25347.398888</v>
      </c>
      <c r="AA10" s="75"/>
      <c r="AB10" s="75">
        <f>SUM(D10:Z10)</f>
        <v>264619.87100499996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76" t="s">
        <v>48</v>
      </c>
      <c r="C11" s="72"/>
      <c r="D11" s="42">
        <v>33546.199999999997</v>
      </c>
      <c r="E11" s="42"/>
      <c r="F11" s="42">
        <v>35272.5</v>
      </c>
      <c r="G11" s="42"/>
      <c r="H11" s="42">
        <v>40087.9</v>
      </c>
      <c r="I11" s="42"/>
      <c r="J11" s="42">
        <v>37417.300000000003</v>
      </c>
      <c r="K11" s="42"/>
      <c r="L11" s="42">
        <v>38503</v>
      </c>
      <c r="M11" s="42"/>
      <c r="N11" s="42">
        <v>45051.4</v>
      </c>
      <c r="O11" s="42"/>
      <c r="P11" s="42">
        <v>41705.1</v>
      </c>
      <c r="Q11" s="42"/>
      <c r="R11" s="42">
        <v>42099.8</v>
      </c>
      <c r="S11" s="42"/>
      <c r="T11" s="42">
        <v>42438.5</v>
      </c>
      <c r="U11" s="42"/>
      <c r="V11" s="42">
        <v>38283.699999999997</v>
      </c>
      <c r="W11" s="42"/>
      <c r="X11" s="42">
        <v>43538.8</v>
      </c>
      <c r="Y11" s="42"/>
      <c r="Z11" s="42">
        <v>55125.2</v>
      </c>
      <c r="AA11" s="77"/>
      <c r="AB11" s="75">
        <f>SUM(D11:Z11)</f>
        <v>493069.4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74" t="s">
        <v>49</v>
      </c>
      <c r="C12" s="72"/>
      <c r="D12" s="42">
        <v>6581.3087070000001</v>
      </c>
      <c r="E12" s="42"/>
      <c r="F12" s="42">
        <v>841.088572</v>
      </c>
      <c r="G12" s="42"/>
      <c r="H12" s="42">
        <v>914.73263299999996</v>
      </c>
      <c r="I12" s="42"/>
      <c r="J12" s="42">
        <v>1503.5539980000001</v>
      </c>
      <c r="K12" s="42"/>
      <c r="L12" s="42">
        <v>1064.9310230000001</v>
      </c>
      <c r="M12" s="42"/>
      <c r="N12" s="42">
        <v>1245.661102</v>
      </c>
      <c r="O12" s="42"/>
      <c r="P12" s="42">
        <v>1688.3141860000001</v>
      </c>
      <c r="Q12" s="42"/>
      <c r="R12" s="42">
        <v>764.56621600000005</v>
      </c>
      <c r="S12" s="42"/>
      <c r="T12" s="42">
        <v>734.71109199999955</v>
      </c>
      <c r="U12" s="42"/>
      <c r="V12" s="42">
        <v>1507.0928630000001</v>
      </c>
      <c r="W12" s="42"/>
      <c r="X12" s="42">
        <v>-424.136304</v>
      </c>
      <c r="Y12" s="42"/>
      <c r="Z12" s="42">
        <v>554.92343700000129</v>
      </c>
      <c r="AA12" s="75"/>
      <c r="AB12" s="75">
        <f>SUM(D12:Z12)</f>
        <v>16976.747525000002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44</v>
      </c>
      <c r="C14" s="82"/>
      <c r="D14" s="45">
        <f>+D15+D16+D17</f>
        <v>5934.7652740000003</v>
      </c>
      <c r="E14" s="45"/>
      <c r="F14" s="45">
        <f>+F15+F16+F17</f>
        <v>4580.279262</v>
      </c>
      <c r="G14" s="45"/>
      <c r="H14" s="45">
        <f>+H15+H16+H17</f>
        <v>5538.2124970000004</v>
      </c>
      <c r="I14" s="45"/>
      <c r="J14" s="45">
        <f>+J15+J16+J17</f>
        <v>4762.6544309999999</v>
      </c>
      <c r="K14" s="45"/>
      <c r="L14" s="45">
        <f>+L15+L16+L17</f>
        <v>5075.6255019999999</v>
      </c>
      <c r="M14" s="45"/>
      <c r="N14" s="45">
        <f>+N15+N16+N17</f>
        <v>6523.3374110000004</v>
      </c>
      <c r="O14" s="45"/>
      <c r="P14" s="45">
        <f>+P15+P16+P17</f>
        <v>6437.9610620000003</v>
      </c>
      <c r="Q14" s="45"/>
      <c r="R14" s="45">
        <f>+R15+R16+R17</f>
        <v>5687.9722190000002</v>
      </c>
      <c r="S14" s="45"/>
      <c r="T14" s="45">
        <f>+T15+T16+T17</f>
        <v>5805.5901389999999</v>
      </c>
      <c r="U14" s="45"/>
      <c r="V14" s="45">
        <f>+V15+V16+V17</f>
        <v>5931.6210419999998</v>
      </c>
      <c r="W14" s="45"/>
      <c r="X14" s="45">
        <f>+X15+X16+X17</f>
        <v>7103.4403130000001</v>
      </c>
      <c r="Y14" s="45"/>
      <c r="Z14" s="45">
        <f>+Z15+Z16+Z17</f>
        <v>12897.476854</v>
      </c>
      <c r="AA14" s="83"/>
      <c r="AB14" s="83">
        <f>+AB15+AB16+AB17</f>
        <v>76278.936006000004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3026.3710780000001</v>
      </c>
      <c r="E15" s="42"/>
      <c r="F15" s="42">
        <v>2889.29925</v>
      </c>
      <c r="G15" s="42"/>
      <c r="H15" s="42">
        <v>3600.8542120000002</v>
      </c>
      <c r="I15" s="42"/>
      <c r="J15" s="42">
        <v>3058.9745440000002</v>
      </c>
      <c r="K15" s="42"/>
      <c r="L15" s="42">
        <v>3301.3493939999998</v>
      </c>
      <c r="M15" s="42"/>
      <c r="N15" s="42">
        <v>4551.0236320000004</v>
      </c>
      <c r="O15" s="42"/>
      <c r="P15" s="42">
        <v>3195.0069570000001</v>
      </c>
      <c r="Q15" s="42"/>
      <c r="R15" s="42">
        <v>3248.5205380000002</v>
      </c>
      <c r="S15" s="42"/>
      <c r="T15" s="42">
        <v>3189.718813</v>
      </c>
      <c r="U15" s="42"/>
      <c r="V15" s="42">
        <v>3225.7700049999999</v>
      </c>
      <c r="W15" s="42"/>
      <c r="X15" s="42">
        <v>3934.0339570000001</v>
      </c>
      <c r="Y15" s="42"/>
      <c r="Z15" s="42">
        <v>6668.0212240000001</v>
      </c>
      <c r="AA15" s="75"/>
      <c r="AB15" s="75">
        <f>SUM(D15:Z15)</f>
        <v>43888.943604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519.89419599999997</v>
      </c>
      <c r="E16" s="42"/>
      <c r="F16" s="42">
        <v>338.48001199999999</v>
      </c>
      <c r="G16" s="42"/>
      <c r="H16" s="42">
        <v>439.85828500000002</v>
      </c>
      <c r="I16" s="42"/>
      <c r="J16" s="42">
        <v>278.47988700000002</v>
      </c>
      <c r="K16" s="42"/>
      <c r="L16" s="42">
        <v>248.97610800000001</v>
      </c>
      <c r="M16" s="42"/>
      <c r="N16" s="42">
        <v>374.11377900000002</v>
      </c>
      <c r="O16" s="42"/>
      <c r="P16" s="42">
        <v>387.45410500000003</v>
      </c>
      <c r="Q16" s="42"/>
      <c r="R16" s="42">
        <v>482.75168100000002</v>
      </c>
      <c r="S16" s="42"/>
      <c r="T16" s="42">
        <v>636.87132599999995</v>
      </c>
      <c r="U16" s="42"/>
      <c r="V16" s="42">
        <v>596.251037</v>
      </c>
      <c r="W16" s="42"/>
      <c r="X16" s="42">
        <v>553.70635600000003</v>
      </c>
      <c r="Y16" s="42"/>
      <c r="Z16" s="42">
        <v>1318.7556300000001</v>
      </c>
      <c r="AA16" s="75"/>
      <c r="AB16" s="75">
        <f>SUM(D16:Z16)</f>
        <v>6175.5924020000002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74" t="s">
        <v>51</v>
      </c>
      <c r="C17" s="72"/>
      <c r="D17" s="42">
        <v>2388.5</v>
      </c>
      <c r="E17" s="42"/>
      <c r="F17" s="42">
        <v>1352.5</v>
      </c>
      <c r="G17" s="42"/>
      <c r="H17" s="42">
        <v>1497.5</v>
      </c>
      <c r="I17" s="42"/>
      <c r="J17" s="42">
        <v>1425.2</v>
      </c>
      <c r="K17" s="42"/>
      <c r="L17" s="42">
        <v>1525.3</v>
      </c>
      <c r="M17" s="42"/>
      <c r="N17" s="42">
        <v>1598.2</v>
      </c>
      <c r="O17" s="42"/>
      <c r="P17" s="42">
        <v>2855.5</v>
      </c>
      <c r="Q17" s="42"/>
      <c r="R17" s="42">
        <v>1956.7</v>
      </c>
      <c r="S17" s="42"/>
      <c r="T17" s="42">
        <v>1979</v>
      </c>
      <c r="U17" s="42"/>
      <c r="V17" s="42">
        <v>2109.6</v>
      </c>
      <c r="W17" s="42"/>
      <c r="X17" s="42">
        <v>2615.6999999999998</v>
      </c>
      <c r="Y17" s="42"/>
      <c r="Z17" s="42">
        <v>4910.7</v>
      </c>
      <c r="AA17" s="75"/>
      <c r="AB17" s="75">
        <f>SUM(D17:Z17)</f>
        <v>26214.400000000001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841.4</v>
      </c>
      <c r="E19" s="42"/>
      <c r="F19" s="42">
        <v>63.4</v>
      </c>
      <c r="G19" s="42"/>
      <c r="H19" s="42">
        <v>-406.2</v>
      </c>
      <c r="I19" s="42"/>
      <c r="J19" s="42">
        <v>122.6</v>
      </c>
      <c r="K19" s="42"/>
      <c r="L19" s="42">
        <v>262.2</v>
      </c>
      <c r="M19" s="42"/>
      <c r="N19" s="42">
        <v>-1525.5</v>
      </c>
      <c r="O19" s="42"/>
      <c r="P19" s="42">
        <v>1134.2</v>
      </c>
      <c r="Q19" s="42"/>
      <c r="R19" s="42">
        <v>-1355.9</v>
      </c>
      <c r="S19" s="42"/>
      <c r="T19" s="42">
        <v>459.1</v>
      </c>
      <c r="U19" s="42"/>
      <c r="V19" s="42">
        <v>-357.2</v>
      </c>
      <c r="W19" s="42"/>
      <c r="X19" s="42">
        <v>-575.9</v>
      </c>
      <c r="Y19" s="42"/>
      <c r="Z19" s="42">
        <v>-2811</v>
      </c>
      <c r="AA19" s="42"/>
      <c r="AB19" s="124">
        <f>SUM(D19:Z19)</f>
        <v>-4148.8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85" t="s">
        <v>50</v>
      </c>
      <c r="C21" s="72"/>
      <c r="D21" s="42">
        <v>3608.7692900000002</v>
      </c>
      <c r="E21" s="42"/>
      <c r="F21" s="42">
        <v>4702.3623960000004</v>
      </c>
      <c r="G21" s="42"/>
      <c r="H21" s="42">
        <v>4351.54961</v>
      </c>
      <c r="I21" s="42"/>
      <c r="J21" s="42">
        <v>4603.7662620000001</v>
      </c>
      <c r="K21" s="42"/>
      <c r="L21" s="42">
        <v>4542.0010650000004</v>
      </c>
      <c r="M21" s="42"/>
      <c r="N21" s="42">
        <v>4702.408179</v>
      </c>
      <c r="O21" s="42"/>
      <c r="P21" s="42">
        <v>5710.4568070000005</v>
      </c>
      <c r="Q21" s="42"/>
      <c r="R21" s="42">
        <v>4475.1999539999997</v>
      </c>
      <c r="S21" s="42"/>
      <c r="T21" s="42">
        <v>4876.2186519999996</v>
      </c>
      <c r="U21" s="42"/>
      <c r="V21" s="42">
        <v>5876.8876090000003</v>
      </c>
      <c r="W21" s="42"/>
      <c r="X21" s="42">
        <v>7666.091633</v>
      </c>
      <c r="Y21" s="42"/>
      <c r="Z21" s="42">
        <v>9494.4050420000003</v>
      </c>
      <c r="AA21" s="42"/>
      <c r="AB21" s="75">
        <f>SUM(D21:Z21)</f>
        <v>64610.116498999996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45</v>
      </c>
      <c r="C23" s="82"/>
      <c r="D23" s="45">
        <f>D8-D14-D19-D21</f>
        <v>50148.895801000006</v>
      </c>
      <c r="E23" s="45"/>
      <c r="F23" s="45">
        <f>F8-F14-F19-F21</f>
        <v>43262.570873999997</v>
      </c>
      <c r="G23" s="45"/>
      <c r="H23" s="45">
        <f>H8-H14-H19-H21</f>
        <v>51118.437496999999</v>
      </c>
      <c r="I23" s="45"/>
      <c r="J23" s="45">
        <f>J8-J14-J19-J21</f>
        <v>48918.297523000008</v>
      </c>
      <c r="K23" s="45"/>
      <c r="L23" s="45">
        <f>L8-L14-L19-L21</f>
        <v>46906.751384000003</v>
      </c>
      <c r="M23" s="45"/>
      <c r="N23" s="45">
        <f>N8-N14-N19-N21</f>
        <v>61876.834316</v>
      </c>
      <c r="O23" s="45"/>
      <c r="P23" s="45">
        <f>P8-P14-P19-P21</f>
        <v>51011.492741000002</v>
      </c>
      <c r="Q23" s="45"/>
      <c r="R23" s="45">
        <f>R8-R14-R19-R21</f>
        <v>57150.199176000009</v>
      </c>
      <c r="S23" s="45"/>
      <c r="T23" s="45">
        <f>T8-T14-T19-T21</f>
        <v>54872.286812000006</v>
      </c>
      <c r="U23" s="45"/>
      <c r="V23" s="45">
        <f>V8-V14-V19-V21</f>
        <v>52130.728071999998</v>
      </c>
      <c r="W23" s="45"/>
      <c r="X23" s="45">
        <f>X8-X14-X19-X21</f>
        <v>59082.631399999998</v>
      </c>
      <c r="Y23" s="45"/>
      <c r="Z23" s="45">
        <f>Z8-Z14-Z19-Z21</f>
        <v>61446.640428999992</v>
      </c>
      <c r="AA23" s="45"/>
      <c r="AB23" s="83">
        <f>AB8-AB14-AB19-AB21</f>
        <v>637925.76602500002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63</v>
      </c>
      <c r="C25" s="82"/>
      <c r="D25" s="45">
        <f>+D27+D26</f>
        <v>1486.2057830000003</v>
      </c>
      <c r="E25" s="82"/>
      <c r="F25" s="45">
        <f>+F27+F26</f>
        <v>2207.1483819999999</v>
      </c>
      <c r="G25" s="82"/>
      <c r="H25" s="45">
        <f>+H27+H26</f>
        <v>1362.2281809999999</v>
      </c>
      <c r="I25" s="82"/>
      <c r="J25" s="45">
        <f>+J27+J26</f>
        <v>3216.9820770000001</v>
      </c>
      <c r="K25" s="82"/>
      <c r="L25" s="45">
        <f>+L27+L26</f>
        <v>2355.5268080000001</v>
      </c>
      <c r="M25" s="82"/>
      <c r="N25" s="45">
        <f>+N27+N26</f>
        <v>3080.5220199999999</v>
      </c>
      <c r="O25" s="82"/>
      <c r="P25" s="45">
        <f>+P27+P26</f>
        <v>1276.1125239999999</v>
      </c>
      <c r="Q25" s="82"/>
      <c r="R25" s="45">
        <f>+R27+R26</f>
        <v>2140.9516250000001</v>
      </c>
      <c r="S25" s="82"/>
      <c r="T25" s="45">
        <f>+T27+T26</f>
        <v>4139.6158310000001</v>
      </c>
      <c r="U25" s="82"/>
      <c r="V25" s="45">
        <f>+V27+V26</f>
        <v>10204.047843</v>
      </c>
      <c r="W25" s="82"/>
      <c r="X25" s="45">
        <f>+X27+X26</f>
        <v>3029.7295489999997</v>
      </c>
      <c r="Y25" s="82"/>
      <c r="Z25" s="45">
        <f>+Z27+Z26</f>
        <v>42722.375586999995</v>
      </c>
      <c r="AA25" s="82"/>
      <c r="AB25" s="45">
        <f>+AB27+AB26</f>
        <v>77221.446209999995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206" t="s">
        <v>72</v>
      </c>
      <c r="C26" s="72"/>
      <c r="D26" s="42">
        <v>264.80156499999998</v>
      </c>
      <c r="E26" s="42"/>
      <c r="F26" s="42">
        <v>1216.9994389999999</v>
      </c>
      <c r="G26" s="42"/>
      <c r="H26" s="42">
        <v>436.74228399999998</v>
      </c>
      <c r="I26" s="42"/>
      <c r="J26" s="42">
        <v>2633.822216</v>
      </c>
      <c r="K26" s="42"/>
      <c r="L26" s="42">
        <v>1908.463939</v>
      </c>
      <c r="M26" s="42"/>
      <c r="N26" s="42">
        <v>2543.7794370000001</v>
      </c>
      <c r="O26" s="42"/>
      <c r="P26" s="42">
        <v>575.88135999999997</v>
      </c>
      <c r="Q26" s="77"/>
      <c r="R26" s="42">
        <v>1520.2138640000001</v>
      </c>
      <c r="S26" s="42"/>
      <c r="T26" s="42">
        <v>3372.117686</v>
      </c>
      <c r="U26" s="42"/>
      <c r="V26" s="42">
        <v>9284.1798390000004</v>
      </c>
      <c r="W26" s="42"/>
      <c r="X26" s="42">
        <v>1864.8314969999999</v>
      </c>
      <c r="Y26" s="42"/>
      <c r="Z26" s="42">
        <v>6718.623732</v>
      </c>
      <c r="AA26" s="42"/>
      <c r="AB26" s="75">
        <f>SUM(D26:Z26)</f>
        <v>32340.456857999998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1221.4042180000004</v>
      </c>
      <c r="E27" s="42"/>
      <c r="F27" s="42">
        <f>+F28+F29</f>
        <v>990.14894299999992</v>
      </c>
      <c r="G27" s="42"/>
      <c r="H27" s="42">
        <f>+H28+H29</f>
        <v>925.48589700000002</v>
      </c>
      <c r="I27" s="42"/>
      <c r="J27" s="42">
        <f>+J28+J29</f>
        <v>583.15986100000009</v>
      </c>
      <c r="K27" s="42"/>
      <c r="L27" s="42">
        <f>+L28+L29</f>
        <v>447.06286900000009</v>
      </c>
      <c r="M27" s="42"/>
      <c r="N27" s="42">
        <f>+N28+N29</f>
        <v>536.74258299999974</v>
      </c>
      <c r="O27" s="42"/>
      <c r="P27" s="42">
        <f>+P28+P29</f>
        <v>700.23116399999992</v>
      </c>
      <c r="Q27" s="42"/>
      <c r="R27" s="42">
        <f>+R28+R29</f>
        <v>620.73776100000009</v>
      </c>
      <c r="S27" s="42"/>
      <c r="T27" s="42">
        <f>+T28+T29</f>
        <v>767.49814500000002</v>
      </c>
      <c r="U27" s="42"/>
      <c r="V27" s="42">
        <f>+V28+V29</f>
        <v>919.86800399999993</v>
      </c>
      <c r="W27" s="42"/>
      <c r="X27" s="42">
        <f>+X28+X29</f>
        <v>1164.8980519999998</v>
      </c>
      <c r="Y27" s="42"/>
      <c r="Z27" s="42">
        <f>+Z28+Z29</f>
        <v>36003.751854999995</v>
      </c>
      <c r="AA27" s="75"/>
      <c r="AB27" s="75">
        <f>+AB28+AB29</f>
        <v>44880.989352000004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194" t="s">
        <v>66</v>
      </c>
      <c r="C28" s="90"/>
      <c r="D28" s="42">
        <v>1221.4042180000004</v>
      </c>
      <c r="E28" s="42"/>
      <c r="F28" s="42">
        <v>990.14894299999992</v>
      </c>
      <c r="G28" s="42"/>
      <c r="H28" s="42">
        <v>925.48589700000002</v>
      </c>
      <c r="I28" s="42"/>
      <c r="J28" s="42">
        <v>583.15986100000009</v>
      </c>
      <c r="K28" s="42"/>
      <c r="L28" s="42">
        <v>447.06286900000009</v>
      </c>
      <c r="M28" s="42"/>
      <c r="N28" s="42">
        <v>536.74258299999974</v>
      </c>
      <c r="O28" s="42"/>
      <c r="P28" s="42">
        <v>700.23116399999992</v>
      </c>
      <c r="Q28" s="42"/>
      <c r="R28" s="42">
        <v>620.73776100000009</v>
      </c>
      <c r="S28" s="42"/>
      <c r="T28" s="42">
        <v>767.49814500000002</v>
      </c>
      <c r="U28" s="42"/>
      <c r="V28" s="42">
        <v>919.86800399999993</v>
      </c>
      <c r="W28" s="42"/>
      <c r="X28" s="42">
        <v>1164.8980519999998</v>
      </c>
      <c r="Y28" s="42"/>
      <c r="Z28" s="42">
        <v>3366.2518549999986</v>
      </c>
      <c r="AA28" s="75"/>
      <c r="AB28" s="75">
        <f>SUM(D28:Z28)</f>
        <v>12243.489352000001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0</v>
      </c>
      <c r="E29" s="42"/>
      <c r="F29" s="42">
        <v>0</v>
      </c>
      <c r="G29" s="42"/>
      <c r="H29" s="42">
        <v>0</v>
      </c>
      <c r="I29" s="42"/>
      <c r="J29" s="42">
        <v>0</v>
      </c>
      <c r="K29" s="42"/>
      <c r="L29" s="42">
        <v>0</v>
      </c>
      <c r="M29" s="42"/>
      <c r="N29" s="42">
        <v>0</v>
      </c>
      <c r="O29" s="42"/>
      <c r="P29" s="42">
        <v>0</v>
      </c>
      <c r="Q29" s="42"/>
      <c r="R29" s="42">
        <v>0</v>
      </c>
      <c r="S29" s="42"/>
      <c r="T29" s="42">
        <v>0</v>
      </c>
      <c r="U29" s="42"/>
      <c r="V29" s="42">
        <v>0</v>
      </c>
      <c r="W29" s="42"/>
      <c r="X29" s="42">
        <v>0</v>
      </c>
      <c r="Y29" s="42"/>
      <c r="Z29" s="42">
        <v>32637.5</v>
      </c>
      <c r="AA29" s="75"/>
      <c r="AB29" s="42">
        <f>SUM(D29:Z29)</f>
        <v>32637.5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12549</v>
      </c>
      <c r="U31" s="118"/>
      <c r="V31" s="118">
        <v>0</v>
      </c>
      <c r="W31" s="118"/>
      <c r="X31" s="118">
        <v>0</v>
      </c>
      <c r="Y31" s="118"/>
      <c r="Z31" s="118">
        <v>20451</v>
      </c>
      <c r="AA31" s="41"/>
      <c r="AB31" s="75">
        <f>SUM(D31:Z31)</f>
        <v>33000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207" t="s">
        <v>73</v>
      </c>
      <c r="C33" s="95"/>
      <c r="D33" s="119">
        <f>D23-D25+D31</f>
        <v>48662.690018000008</v>
      </c>
      <c r="E33" s="119"/>
      <c r="F33" s="119">
        <f>F23-F25+F31</f>
        <v>41055.422491999998</v>
      </c>
      <c r="G33" s="119"/>
      <c r="H33" s="119">
        <f>H23-H25+H31</f>
        <v>49756.209316</v>
      </c>
      <c r="I33" s="119"/>
      <c r="J33" s="119">
        <f>J23-J25+J31</f>
        <v>45701.315446000008</v>
      </c>
      <c r="K33" s="119"/>
      <c r="L33" s="119">
        <f>L23-L25+L31</f>
        <v>44551.224576000001</v>
      </c>
      <c r="M33" s="119"/>
      <c r="N33" s="119">
        <f>N23-N25+N31</f>
        <v>58796.312296000004</v>
      </c>
      <c r="O33" s="119"/>
      <c r="P33" s="119">
        <f>P23-P25+P31</f>
        <v>49735.380217000005</v>
      </c>
      <c r="Q33" s="119"/>
      <c r="R33" s="119">
        <f>R23-R25+R31</f>
        <v>55009.247551000008</v>
      </c>
      <c r="S33" s="119"/>
      <c r="T33" s="119">
        <f>T23-T25+T31</f>
        <v>63281.670981000003</v>
      </c>
      <c r="U33" s="119"/>
      <c r="V33" s="119">
        <f>V23-V25+V31</f>
        <v>41926.680228999998</v>
      </c>
      <c r="W33" s="119"/>
      <c r="X33" s="119">
        <f>X23-X25+X31</f>
        <v>56052.901851000002</v>
      </c>
      <c r="Y33" s="119"/>
      <c r="Z33" s="119">
        <f>Z23-Z25+Z31</f>
        <v>39175.264841999997</v>
      </c>
      <c r="AA33" s="119"/>
      <c r="AB33" s="119">
        <f>AB23-AB25+AB31</f>
        <v>593704.31981500005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43438.9</v>
      </c>
      <c r="E35" s="42"/>
      <c r="F35" s="42">
        <v>37839.699999999997</v>
      </c>
      <c r="G35" s="42"/>
      <c r="H35" s="42">
        <v>40065</v>
      </c>
      <c r="I35" s="42"/>
      <c r="J35" s="42">
        <v>39654.400000000001</v>
      </c>
      <c r="K35" s="42"/>
      <c r="L35" s="42">
        <v>37413.4</v>
      </c>
      <c r="M35" s="42"/>
      <c r="N35" s="42">
        <v>36778</v>
      </c>
      <c r="O35" s="42"/>
      <c r="P35" s="42">
        <v>46036.9</v>
      </c>
      <c r="Q35" s="42"/>
      <c r="R35" s="42">
        <v>44977.3</v>
      </c>
      <c r="S35" s="42"/>
      <c r="T35" s="42">
        <v>41028.199999999997</v>
      </c>
      <c r="U35" s="42"/>
      <c r="V35" s="42">
        <v>50211.9</v>
      </c>
      <c r="W35" s="42"/>
      <c r="X35" s="42">
        <v>55262.1</v>
      </c>
      <c r="Y35" s="42"/>
      <c r="Z35" s="42">
        <v>46578.1</v>
      </c>
      <c r="AA35" s="42"/>
      <c r="AB35" s="75">
        <f>SUM(D35:Z35)</f>
        <v>519283.89999999997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5223.790018000007</v>
      </c>
      <c r="E37" s="119"/>
      <c r="F37" s="119">
        <f>F33-F35</f>
        <v>3215.7224920000008</v>
      </c>
      <c r="G37" s="119"/>
      <c r="H37" s="119">
        <f>H33-H35</f>
        <v>9691.2093160000004</v>
      </c>
      <c r="I37" s="119"/>
      <c r="J37" s="119">
        <f>J33-J35</f>
        <v>6046.9154460000063</v>
      </c>
      <c r="K37" s="119"/>
      <c r="L37" s="119">
        <f>L33-L35</f>
        <v>7137.8245759999991</v>
      </c>
      <c r="M37" s="119"/>
      <c r="N37" s="119">
        <f>N33-N35</f>
        <v>22018.312296000004</v>
      </c>
      <c r="O37" s="119"/>
      <c r="P37" s="119">
        <f>P33-P35</f>
        <v>3698.4802170000039</v>
      </c>
      <c r="Q37" s="119"/>
      <c r="R37" s="119">
        <f>R33-R35</f>
        <v>10031.947551000005</v>
      </c>
      <c r="S37" s="119"/>
      <c r="T37" s="119">
        <f>T33-T35</f>
        <v>22253.470981000006</v>
      </c>
      <c r="U37" s="119"/>
      <c r="V37" s="119">
        <f>V33-V35</f>
        <v>-8285.2197710000037</v>
      </c>
      <c r="W37" s="119"/>
      <c r="X37" s="119">
        <f>X33-X35</f>
        <v>790.80185100000381</v>
      </c>
      <c r="Y37" s="119"/>
      <c r="Z37" s="119">
        <f>Z33-Z35</f>
        <v>-7402.8351580000017</v>
      </c>
      <c r="AA37" s="119"/>
      <c r="AB37" s="119">
        <f>AB33-AB35</f>
        <v>74420.419815000088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542.91165100000001</v>
      </c>
      <c r="E39" s="72"/>
      <c r="F39" s="42">
        <f>F40+F43</f>
        <v>2592.942661</v>
      </c>
      <c r="G39" s="72"/>
      <c r="H39" s="42">
        <f>H40+H43</f>
        <v>2406.4414340000003</v>
      </c>
      <c r="I39" s="72"/>
      <c r="J39" s="42">
        <f>J40+J43</f>
        <v>663.09334899999999</v>
      </c>
      <c r="K39" s="72"/>
      <c r="L39" s="42">
        <f>L40+L43</f>
        <v>1668.7905740000001</v>
      </c>
      <c r="M39" s="72"/>
      <c r="N39" s="42">
        <f>N40+N43</f>
        <v>3020.4774319999997</v>
      </c>
      <c r="O39" s="72"/>
      <c r="P39" s="42">
        <f>P40+P43</f>
        <v>1394.0940129999999</v>
      </c>
      <c r="Q39" s="72"/>
      <c r="R39" s="42">
        <f>R40+R43</f>
        <v>4045.2604689999998</v>
      </c>
      <c r="S39" s="72"/>
      <c r="T39" s="42">
        <f>T40+T43</f>
        <v>2248.2484490000002</v>
      </c>
      <c r="U39" s="72"/>
      <c r="V39" s="42">
        <f>V40+V43</f>
        <v>1831.2467710000001</v>
      </c>
      <c r="W39" s="72"/>
      <c r="X39" s="42">
        <f>X40+X43</f>
        <v>1878.5152149999999</v>
      </c>
      <c r="Y39" s="72"/>
      <c r="Z39" s="42">
        <f>Z40+Z43</f>
        <v>3888.6432290000002</v>
      </c>
      <c r="AA39" s="72"/>
      <c r="AB39" s="42">
        <f>AB40+AB43</f>
        <v>26180.665246999997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272.97580699999997</v>
      </c>
      <c r="E40" s="42"/>
      <c r="F40" s="42">
        <f>F41+F42</f>
        <v>412.07718599999998</v>
      </c>
      <c r="G40" s="42"/>
      <c r="H40" s="42">
        <f>H41+H42</f>
        <v>367.52197200000001</v>
      </c>
      <c r="I40" s="42"/>
      <c r="J40" s="42">
        <f>J41+J42</f>
        <v>207.91743700000001</v>
      </c>
      <c r="K40" s="42"/>
      <c r="L40" s="42">
        <f>L41+L42</f>
        <v>398.85524300000003</v>
      </c>
      <c r="M40" s="42"/>
      <c r="N40" s="42">
        <f>N41+N42</f>
        <v>813.39383199999997</v>
      </c>
      <c r="O40" s="42"/>
      <c r="P40" s="42">
        <f>P41+P42</f>
        <v>818.37991699999998</v>
      </c>
      <c r="Q40" s="42"/>
      <c r="R40" s="42">
        <f>R41+R42</f>
        <v>419.229783</v>
      </c>
      <c r="S40" s="42"/>
      <c r="T40" s="42">
        <f>T41+T42</f>
        <v>464.87795700000004</v>
      </c>
      <c r="U40" s="42"/>
      <c r="V40" s="42">
        <f>+V41+V42</f>
        <v>1276.9969590000001</v>
      </c>
      <c r="W40" s="42"/>
      <c r="X40" s="42">
        <f>+X41+X42</f>
        <v>706.15987000000007</v>
      </c>
      <c r="Y40" s="42"/>
      <c r="Z40" s="42">
        <f>+Z41+Z42</f>
        <v>1298.4066350000001</v>
      </c>
      <c r="AA40" s="75"/>
      <c r="AB40" s="75">
        <f>+AB41+AB42</f>
        <v>7456.792598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194" t="s">
        <v>56</v>
      </c>
      <c r="C41" s="72"/>
      <c r="D41" s="118">
        <v>272.97580699999997</v>
      </c>
      <c r="E41" s="118"/>
      <c r="F41" s="118">
        <v>412.07718599999998</v>
      </c>
      <c r="G41" s="118"/>
      <c r="H41" s="118">
        <v>222.83987200000001</v>
      </c>
      <c r="I41" s="118"/>
      <c r="J41" s="118">
        <v>207.91743700000001</v>
      </c>
      <c r="K41" s="118"/>
      <c r="L41" s="118">
        <v>398.85524300000003</v>
      </c>
      <c r="M41" s="118"/>
      <c r="N41" s="118">
        <v>679.97596099999998</v>
      </c>
      <c r="O41" s="118"/>
      <c r="P41" s="118">
        <v>818.37991699999998</v>
      </c>
      <c r="Q41" s="118"/>
      <c r="R41" s="118">
        <v>419.229783</v>
      </c>
      <c r="S41" s="118"/>
      <c r="T41" s="118">
        <v>312.06243000000001</v>
      </c>
      <c r="U41" s="118"/>
      <c r="V41" s="118">
        <v>1276.9969590000001</v>
      </c>
      <c r="W41" s="118"/>
      <c r="X41" s="118">
        <v>706.15987000000007</v>
      </c>
      <c r="Y41" s="118"/>
      <c r="Z41" s="118">
        <v>1144.7668630000001</v>
      </c>
      <c r="AA41" s="118"/>
      <c r="AB41" s="118">
        <f>SUM(D41:Z41)</f>
        <v>6872.2373280000002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0</v>
      </c>
      <c r="E42" s="42"/>
      <c r="F42" s="42">
        <v>0</v>
      </c>
      <c r="G42" s="42"/>
      <c r="H42" s="42">
        <v>144.68209999999999</v>
      </c>
      <c r="I42" s="42"/>
      <c r="J42" s="42">
        <v>0</v>
      </c>
      <c r="K42" s="42"/>
      <c r="L42" s="42">
        <v>0</v>
      </c>
      <c r="M42" s="42"/>
      <c r="N42" s="42">
        <v>133.41787099999999</v>
      </c>
      <c r="O42" s="42"/>
      <c r="P42" s="42">
        <v>0</v>
      </c>
      <c r="Q42" s="42"/>
      <c r="R42" s="42">
        <v>0</v>
      </c>
      <c r="S42" s="42"/>
      <c r="T42" s="42">
        <v>152.815527</v>
      </c>
      <c r="U42" s="42"/>
      <c r="V42" s="42">
        <v>0</v>
      </c>
      <c r="W42" s="42"/>
      <c r="X42" s="42">
        <v>0</v>
      </c>
      <c r="Y42" s="42"/>
      <c r="Z42" s="42">
        <v>153.63977199999999</v>
      </c>
      <c r="AA42" s="75"/>
      <c r="AB42" s="75">
        <f>SUM(D42:Z42)</f>
        <v>584.55526999999995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269.93584400000003</v>
      </c>
      <c r="E43" s="42"/>
      <c r="F43" s="42">
        <v>2180.8654750000001</v>
      </c>
      <c r="G43" s="42"/>
      <c r="H43" s="42">
        <v>2038.9194620000001</v>
      </c>
      <c r="I43" s="42"/>
      <c r="J43" s="42">
        <v>455.17591199999998</v>
      </c>
      <c r="K43" s="42"/>
      <c r="L43" s="42">
        <v>1269.9353310000001</v>
      </c>
      <c r="M43" s="42"/>
      <c r="N43" s="42">
        <v>2207.0835999999999</v>
      </c>
      <c r="O43" s="42"/>
      <c r="P43" s="42">
        <v>575.71409600000004</v>
      </c>
      <c r="Q43" s="42"/>
      <c r="R43" s="42">
        <v>3626.0306860000001</v>
      </c>
      <c r="S43" s="42"/>
      <c r="T43" s="42">
        <v>1783.370492</v>
      </c>
      <c r="U43" s="42"/>
      <c r="V43" s="42">
        <v>554.24981200000002</v>
      </c>
      <c r="W43" s="42"/>
      <c r="X43" s="42">
        <v>1172.3553449999999</v>
      </c>
      <c r="Y43" s="42"/>
      <c r="Z43" s="42">
        <v>2590.236594</v>
      </c>
      <c r="AA43" s="75"/>
      <c r="AB43" s="75">
        <f>SUM(D43:Z43)</f>
        <v>18723.872648999997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4680.8783670000066</v>
      </c>
      <c r="E45" s="95"/>
      <c r="F45" s="48">
        <f>F37-F39</f>
        <v>622.77983100000074</v>
      </c>
      <c r="G45" s="95"/>
      <c r="H45" s="48">
        <f>H37-H39</f>
        <v>7284.7678820000001</v>
      </c>
      <c r="I45" s="95"/>
      <c r="J45" s="48">
        <f>J37-J39</f>
        <v>5383.8220970000066</v>
      </c>
      <c r="K45" s="95"/>
      <c r="L45" s="48">
        <f>L37-L39</f>
        <v>5469.0340019999985</v>
      </c>
      <c r="M45" s="95"/>
      <c r="N45" s="48">
        <f>N37-N39</f>
        <v>18997.834864000004</v>
      </c>
      <c r="O45" s="95"/>
      <c r="P45" s="48">
        <f>P37-P39</f>
        <v>2304.386204000004</v>
      </c>
      <c r="Q45" s="95"/>
      <c r="R45" s="48">
        <f>R37-R39</f>
        <v>5986.6870820000049</v>
      </c>
      <c r="S45" s="95"/>
      <c r="T45" s="48">
        <f>T37-T39</f>
        <v>20005.222532000007</v>
      </c>
      <c r="U45" s="95"/>
      <c r="V45" s="48">
        <f>V37-V39</f>
        <v>-10116.466542000004</v>
      </c>
      <c r="W45" s="95"/>
      <c r="X45" s="48">
        <f>X37-X39</f>
        <v>-1087.7133639999961</v>
      </c>
      <c r="Y45" s="95"/>
      <c r="Z45" s="48">
        <f>Z37-Z39</f>
        <v>-11291.478387000003</v>
      </c>
      <c r="AA45" s="95"/>
      <c r="AB45" s="48">
        <f>AB37-AB39</f>
        <v>48239.754568000091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64" t="s">
        <v>41</v>
      </c>
      <c r="C47" s="464"/>
      <c r="D47" s="464"/>
      <c r="E47" s="464"/>
      <c r="F47" s="464"/>
      <c r="G47" s="464"/>
      <c r="H47" s="464"/>
      <c r="I47" s="464"/>
      <c r="J47" s="464"/>
      <c r="K47" s="464"/>
      <c r="L47" s="464"/>
      <c r="M47" s="464"/>
      <c r="N47" s="464"/>
      <c r="O47" s="464"/>
      <c r="P47" s="464"/>
      <c r="Q47" s="464"/>
      <c r="R47" s="464"/>
      <c r="S47" s="464"/>
      <c r="T47" s="464"/>
      <c r="U47" s="464"/>
      <c r="V47" s="464"/>
      <c r="W47" s="464"/>
      <c r="X47" s="464"/>
      <c r="Y47" s="464"/>
      <c r="Z47" s="464"/>
      <c r="AA47" s="464"/>
      <c r="AB47" s="464"/>
      <c r="AC47" s="212"/>
      <c r="AD47" s="212"/>
      <c r="AE47" s="101"/>
      <c r="AF47" s="212"/>
    </row>
    <row r="48" spans="1:35" ht="14.25" customHeight="1">
      <c r="B48" s="474" t="s">
        <v>58</v>
      </c>
      <c r="C48" s="474"/>
      <c r="D48" s="474"/>
      <c r="E48" s="474"/>
      <c r="F48" s="474"/>
      <c r="G48" s="474"/>
      <c r="H48" s="474"/>
      <c r="I48" s="474"/>
      <c r="J48" s="474"/>
      <c r="K48" s="474"/>
      <c r="L48" s="474"/>
      <c r="M48" s="474"/>
      <c r="N48" s="474"/>
      <c r="O48" s="474"/>
      <c r="P48" s="474"/>
      <c r="Q48" s="474"/>
      <c r="R48" s="474"/>
      <c r="S48" s="474"/>
      <c r="T48" s="474"/>
      <c r="U48" s="474"/>
      <c r="V48" s="474"/>
      <c r="W48" s="474"/>
      <c r="X48" s="474"/>
      <c r="Y48" s="474"/>
      <c r="Z48" s="474"/>
      <c r="AA48" s="474"/>
      <c r="AB48" s="474"/>
      <c r="AC48" s="212"/>
      <c r="AD48" s="212"/>
      <c r="AE48" s="101"/>
      <c r="AF48" s="212"/>
    </row>
    <row r="49" spans="1:32" ht="14.25" customHeight="1">
      <c r="B49" s="464" t="s">
        <v>59</v>
      </c>
      <c r="C49" s="464"/>
      <c r="D49" s="464"/>
      <c r="E49" s="464"/>
      <c r="F49" s="464"/>
      <c r="G49" s="464"/>
      <c r="H49" s="464"/>
      <c r="I49" s="464"/>
      <c r="J49" s="464"/>
      <c r="K49" s="464"/>
      <c r="L49" s="464"/>
      <c r="M49" s="464"/>
      <c r="N49" s="464"/>
      <c r="O49" s="464"/>
      <c r="P49" s="464"/>
      <c r="Q49" s="464"/>
      <c r="R49" s="464"/>
      <c r="S49" s="464"/>
      <c r="T49" s="464"/>
      <c r="U49" s="464"/>
      <c r="V49" s="464"/>
      <c r="W49" s="464"/>
      <c r="X49" s="464"/>
      <c r="Y49" s="464"/>
      <c r="Z49" s="464"/>
      <c r="AA49" s="464"/>
      <c r="AB49" s="464"/>
      <c r="AC49" s="212"/>
      <c r="AD49" s="212"/>
      <c r="AE49" s="101"/>
      <c r="AF49" s="212"/>
    </row>
    <row r="50" spans="1:32" ht="14.25" customHeight="1">
      <c r="B50" s="464" t="s">
        <v>60</v>
      </c>
      <c r="C50" s="464"/>
      <c r="D50" s="464"/>
      <c r="E50" s="464"/>
      <c r="F50" s="464"/>
      <c r="G50" s="464"/>
      <c r="H50" s="464"/>
      <c r="I50" s="464"/>
      <c r="J50" s="464"/>
      <c r="K50" s="464"/>
      <c r="L50" s="464"/>
      <c r="M50" s="464"/>
      <c r="N50" s="464"/>
      <c r="O50" s="464"/>
      <c r="P50" s="464"/>
      <c r="Q50" s="464"/>
      <c r="R50" s="464"/>
      <c r="S50" s="464"/>
      <c r="T50" s="464"/>
      <c r="U50" s="464"/>
      <c r="V50" s="464"/>
      <c r="W50" s="464"/>
      <c r="X50" s="464"/>
      <c r="Y50" s="464"/>
      <c r="Z50" s="464"/>
      <c r="AA50" s="464"/>
      <c r="AB50" s="464"/>
      <c r="AC50" s="212"/>
      <c r="AD50" s="212"/>
      <c r="AE50" s="101"/>
      <c r="AF50" s="212"/>
    </row>
    <row r="51" spans="1:32" ht="14.25" customHeight="1">
      <c r="B51" s="464" t="s">
        <v>42</v>
      </c>
      <c r="C51" s="464"/>
      <c r="D51" s="464"/>
      <c r="E51" s="464"/>
      <c r="F51" s="464"/>
      <c r="G51" s="464"/>
      <c r="H51" s="464"/>
      <c r="I51" s="464"/>
      <c r="J51" s="464"/>
      <c r="K51" s="464"/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464"/>
      <c r="X51" s="464"/>
      <c r="Y51" s="464"/>
      <c r="Z51" s="464"/>
      <c r="AA51" s="464"/>
      <c r="AB51" s="464"/>
      <c r="AC51" s="212"/>
      <c r="AD51" s="212"/>
      <c r="AE51" s="101"/>
      <c r="AF51" s="212"/>
    </row>
    <row r="52" spans="1:32" ht="14.25" customHeight="1">
      <c r="B52" s="464" t="s">
        <v>52</v>
      </c>
      <c r="C52" s="464"/>
      <c r="D52" s="464"/>
      <c r="E52" s="464"/>
      <c r="F52" s="464"/>
      <c r="G52" s="464"/>
      <c r="H52" s="464"/>
      <c r="I52" s="464"/>
      <c r="J52" s="464"/>
      <c r="K52" s="464"/>
      <c r="L52" s="464"/>
      <c r="M52" s="464"/>
      <c r="N52" s="464"/>
      <c r="O52" s="464"/>
      <c r="P52" s="464"/>
      <c r="Q52" s="464"/>
      <c r="R52" s="464"/>
      <c r="S52" s="464"/>
      <c r="T52" s="464"/>
      <c r="U52" s="464"/>
      <c r="V52" s="464"/>
      <c r="W52" s="464"/>
      <c r="X52" s="464"/>
      <c r="Y52" s="464"/>
      <c r="Z52" s="464"/>
      <c r="AA52" s="464"/>
      <c r="AB52" s="464"/>
      <c r="AC52" s="212"/>
      <c r="AD52" s="212"/>
      <c r="AE52" s="101"/>
      <c r="AF52" s="212"/>
    </row>
    <row r="53" spans="1:32" ht="14.25" customHeight="1">
      <c r="B53" s="474" t="s">
        <v>61</v>
      </c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212"/>
      <c r="AD53" s="212"/>
      <c r="AE53" s="101"/>
      <c r="AF53" s="212"/>
    </row>
    <row r="54" spans="1:32" ht="14.25" customHeight="1">
      <c r="B54" s="464" t="s">
        <v>62</v>
      </c>
      <c r="C54" s="464"/>
      <c r="D54" s="464"/>
      <c r="E54" s="464"/>
      <c r="F54" s="464"/>
      <c r="G54" s="464"/>
      <c r="H54" s="464"/>
      <c r="I54" s="464"/>
      <c r="J54" s="464"/>
      <c r="K54" s="464"/>
      <c r="L54" s="464"/>
      <c r="M54" s="464"/>
      <c r="N54" s="464"/>
      <c r="O54" s="464"/>
      <c r="P54" s="464"/>
      <c r="Q54" s="464"/>
      <c r="R54" s="464"/>
      <c r="S54" s="464"/>
      <c r="T54" s="464"/>
      <c r="U54" s="464"/>
      <c r="V54" s="464"/>
      <c r="W54" s="464"/>
      <c r="X54" s="464"/>
      <c r="Y54" s="464"/>
      <c r="Z54" s="464"/>
      <c r="AA54" s="464"/>
      <c r="AB54" s="464"/>
      <c r="AC54" s="212"/>
      <c r="AD54" s="212"/>
      <c r="AE54" s="101"/>
      <c r="AF54" s="212"/>
    </row>
    <row r="55" spans="1:32" ht="14.25" customHeight="1">
      <c r="B55" s="201" t="s">
        <v>64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2" ht="14.25" customHeight="1">
      <c r="B56" s="464" t="s">
        <v>65</v>
      </c>
      <c r="C56" s="464"/>
      <c r="D56" s="464"/>
      <c r="E56" s="464"/>
      <c r="F56" s="464"/>
      <c r="G56" s="464"/>
      <c r="H56" s="464"/>
      <c r="I56" s="464"/>
      <c r="J56" s="464"/>
      <c r="K56" s="464"/>
      <c r="L56" s="464"/>
      <c r="M56" s="464"/>
      <c r="N56" s="464"/>
      <c r="O56" s="464"/>
      <c r="P56" s="464"/>
      <c r="Q56" s="464"/>
      <c r="R56" s="464"/>
      <c r="S56" s="464"/>
      <c r="T56" s="464"/>
      <c r="U56" s="464"/>
      <c r="V56" s="464"/>
      <c r="W56" s="464"/>
      <c r="X56" s="464"/>
      <c r="Y56" s="464"/>
      <c r="Z56" s="464"/>
      <c r="AA56" s="464"/>
      <c r="AB56" s="464"/>
      <c r="AC56" s="212"/>
      <c r="AD56" s="212"/>
      <c r="AE56" s="101"/>
      <c r="AF56" s="212"/>
    </row>
    <row r="57" spans="1:32" ht="14.25" customHeight="1">
      <c r="B57" s="201" t="s">
        <v>74</v>
      </c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212"/>
      <c r="AD57" s="212"/>
      <c r="AE57" s="101"/>
      <c r="AF57" s="212"/>
    </row>
    <row r="58" spans="1:32" ht="14.25" customHeight="1">
      <c r="B58" s="464" t="s">
        <v>67</v>
      </c>
      <c r="C58" s="464"/>
      <c r="D58" s="464"/>
      <c r="E58" s="464"/>
      <c r="F58" s="464"/>
      <c r="G58" s="464"/>
      <c r="H58" s="464"/>
      <c r="I58" s="464"/>
      <c r="J58" s="464"/>
      <c r="K58" s="464"/>
      <c r="L58" s="464"/>
      <c r="M58" s="464"/>
      <c r="N58" s="464"/>
      <c r="O58" s="464"/>
      <c r="P58" s="464"/>
      <c r="Q58" s="464"/>
      <c r="R58" s="464"/>
      <c r="S58" s="464"/>
      <c r="T58" s="464"/>
      <c r="U58" s="464"/>
      <c r="V58" s="464"/>
      <c r="W58" s="464"/>
      <c r="X58" s="464"/>
      <c r="Y58" s="464"/>
      <c r="Z58" s="464"/>
      <c r="AA58" s="464"/>
      <c r="AB58" s="464"/>
      <c r="AC58" s="212"/>
      <c r="AD58" s="212"/>
      <c r="AE58" s="101"/>
      <c r="AF58" s="212"/>
    </row>
    <row r="59" spans="1:32" ht="14.25" customHeight="1">
      <c r="B59" s="464" t="s">
        <v>68</v>
      </c>
      <c r="C59" s="464"/>
      <c r="D59" s="464"/>
      <c r="E59" s="464"/>
      <c r="F59" s="464"/>
      <c r="G59" s="464"/>
      <c r="H59" s="464"/>
      <c r="I59" s="464"/>
      <c r="J59" s="464"/>
      <c r="K59" s="464"/>
      <c r="L59" s="464"/>
      <c r="M59" s="464"/>
      <c r="N59" s="464"/>
      <c r="O59" s="464"/>
      <c r="P59" s="464"/>
      <c r="Q59" s="464"/>
      <c r="R59" s="464"/>
      <c r="S59" s="464"/>
      <c r="T59" s="464"/>
      <c r="U59" s="464"/>
      <c r="V59" s="464"/>
      <c r="W59" s="464"/>
      <c r="X59" s="464"/>
      <c r="Y59" s="464"/>
      <c r="Z59" s="464"/>
      <c r="AA59" s="464"/>
      <c r="AB59" s="464"/>
      <c r="AC59" s="212"/>
      <c r="AD59" s="212"/>
      <c r="AE59" s="101"/>
      <c r="AF59" s="212"/>
    </row>
    <row r="60" spans="1:32" ht="14.25" customHeight="1">
      <c r="B60" s="464" t="s">
        <v>3</v>
      </c>
      <c r="C60" s="464"/>
      <c r="D60" s="464"/>
      <c r="E60" s="464"/>
      <c r="F60" s="464"/>
      <c r="G60" s="464"/>
      <c r="H60" s="464"/>
      <c r="I60" s="464"/>
      <c r="J60" s="464"/>
      <c r="K60" s="464"/>
      <c r="L60" s="464"/>
      <c r="M60" s="464"/>
      <c r="N60" s="464"/>
      <c r="O60" s="464"/>
      <c r="P60" s="464"/>
      <c r="Q60" s="464"/>
      <c r="R60" s="464"/>
      <c r="S60" s="464"/>
      <c r="T60" s="464"/>
      <c r="U60" s="464"/>
      <c r="V60" s="464"/>
      <c r="W60" s="464"/>
      <c r="X60" s="464"/>
      <c r="Y60" s="464"/>
      <c r="Z60" s="464"/>
      <c r="AA60" s="464"/>
      <c r="AB60" s="464"/>
      <c r="AC60" s="212"/>
      <c r="AD60" s="212"/>
      <c r="AE60" s="101"/>
      <c r="AF60" s="212"/>
    </row>
    <row r="61" spans="1:32" ht="14.25" customHeight="1">
      <c r="A61" s="18"/>
      <c r="B61" s="100"/>
      <c r="C61" s="93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12"/>
      <c r="AD61" s="212"/>
      <c r="AE61" s="101"/>
      <c r="AF61" s="212"/>
    </row>
    <row r="62" spans="1:32" ht="20.25">
      <c r="B62" s="453" t="s">
        <v>32</v>
      </c>
      <c r="C62" s="453"/>
      <c r="D62" s="453"/>
      <c r="E62" s="453"/>
      <c r="F62" s="453"/>
      <c r="G62" s="453"/>
      <c r="H62" s="453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Y62" s="453"/>
      <c r="Z62" s="453"/>
      <c r="AA62" s="453"/>
      <c r="AB62" s="453"/>
      <c r="AC62" s="214"/>
      <c r="AD62" s="214"/>
      <c r="AE62" s="214"/>
      <c r="AF62" s="214"/>
    </row>
    <row r="63" spans="1:32">
      <c r="B63" s="102"/>
      <c r="C63" s="469"/>
      <c r="D63" s="460"/>
      <c r="E63" s="469"/>
      <c r="F63" s="470"/>
      <c r="G63" s="469"/>
      <c r="H63" s="470"/>
      <c r="I63" s="469"/>
      <c r="J63" s="470"/>
      <c r="K63" s="469"/>
      <c r="L63" s="470"/>
      <c r="M63" s="469"/>
      <c r="N63" s="470"/>
      <c r="O63" s="469"/>
      <c r="P63" s="470"/>
      <c r="Q63" s="469"/>
      <c r="R63" s="470"/>
      <c r="S63" s="469"/>
      <c r="T63" s="470"/>
      <c r="U63" s="469"/>
      <c r="V63" s="470"/>
      <c r="W63" s="469"/>
      <c r="X63" s="470"/>
      <c r="Y63" s="469"/>
      <c r="Z63" s="470"/>
      <c r="AA63" s="469"/>
      <c r="AB63" s="470"/>
    </row>
    <row r="64" spans="1:32">
      <c r="B64" s="102">
        <f>B5</f>
        <v>2004</v>
      </c>
      <c r="C64" s="469" t="s">
        <v>4</v>
      </c>
      <c r="D64" s="460"/>
      <c r="E64" s="469" t="s">
        <v>5</v>
      </c>
      <c r="F64" s="470"/>
      <c r="G64" s="469" t="s">
        <v>6</v>
      </c>
      <c r="H64" s="470"/>
      <c r="I64" s="469" t="s">
        <v>7</v>
      </c>
      <c r="J64" s="470"/>
      <c r="K64" s="469" t="s">
        <v>8</v>
      </c>
      <c r="L64" s="470"/>
      <c r="M64" s="469" t="s">
        <v>9</v>
      </c>
      <c r="N64" s="470"/>
      <c r="O64" s="469" t="s">
        <v>10</v>
      </c>
      <c r="P64" s="470"/>
      <c r="Q64" s="471" t="s">
        <v>11</v>
      </c>
      <c r="R64" s="470"/>
      <c r="S64" s="471" t="s">
        <v>12</v>
      </c>
      <c r="T64" s="470"/>
      <c r="U64" s="469" t="s">
        <v>0</v>
      </c>
      <c r="V64" s="473"/>
      <c r="W64" s="469" t="s">
        <v>1</v>
      </c>
      <c r="X64" s="473"/>
      <c r="Y64" s="469" t="s">
        <v>2</v>
      </c>
      <c r="Z64" s="473"/>
      <c r="AA64" s="469" t="s">
        <v>102</v>
      </c>
      <c r="AB64" s="460"/>
    </row>
    <row r="65" spans="1:35">
      <c r="B65" s="102"/>
      <c r="C65" s="469"/>
      <c r="D65" s="460"/>
      <c r="E65" s="469"/>
      <c r="F65" s="460"/>
      <c r="G65" s="469"/>
      <c r="H65" s="460"/>
      <c r="I65" s="469"/>
      <c r="J65" s="460"/>
      <c r="K65" s="469"/>
      <c r="L65" s="460"/>
      <c r="M65" s="469"/>
      <c r="N65" s="460"/>
      <c r="O65" s="469"/>
      <c r="P65" s="460"/>
      <c r="Q65" s="469"/>
      <c r="R65" s="460"/>
      <c r="S65" s="469"/>
      <c r="T65" s="460"/>
      <c r="U65" s="469"/>
      <c r="V65" s="460"/>
      <c r="W65" s="469"/>
      <c r="X65" s="460"/>
      <c r="Y65" s="469"/>
      <c r="Z65" s="460"/>
      <c r="AA65" s="469"/>
      <c r="AB65" s="460"/>
    </row>
    <row r="66" spans="1:35" s="202" customFormat="1" ht="14.25">
      <c r="A66" s="44"/>
      <c r="B66" s="103" t="s">
        <v>24</v>
      </c>
      <c r="C66" s="72"/>
      <c r="D66" s="104">
        <v>3417.1983270000001</v>
      </c>
      <c r="E66" s="104"/>
      <c r="F66" s="104">
        <v>3360.050604</v>
      </c>
      <c r="G66" s="104"/>
      <c r="H66" s="104">
        <v>3367.5792839999999</v>
      </c>
      <c r="I66" s="104"/>
      <c r="J66" s="104">
        <v>3438.6223669999999</v>
      </c>
      <c r="K66" s="104"/>
      <c r="L66" s="104">
        <v>3393.8292839999999</v>
      </c>
      <c r="M66" s="104"/>
      <c r="N66" s="104">
        <v>3435.5426750000001</v>
      </c>
      <c r="O66" s="104"/>
      <c r="P66" s="104">
        <v>3362.542074</v>
      </c>
      <c r="Q66" s="104"/>
      <c r="R66" s="104">
        <v>3353.9756830000001</v>
      </c>
      <c r="S66" s="120"/>
      <c r="T66" s="104">
        <v>3430.7809790000001</v>
      </c>
      <c r="U66" s="120"/>
      <c r="V66" s="104">
        <v>3451.393501</v>
      </c>
      <c r="W66" s="120"/>
      <c r="X66" s="104">
        <v>3364.2914540000002</v>
      </c>
      <c r="Y66" s="120"/>
      <c r="Z66" s="120">
        <v>3221.9396729999999</v>
      </c>
      <c r="AA66" s="104"/>
      <c r="AB66" s="104">
        <f>AVERAGE(D66:Z66)</f>
        <v>3383.1454920833335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39</v>
      </c>
      <c r="C67" s="72"/>
      <c r="D67" s="104">
        <v>4611.2252699999999</v>
      </c>
      <c r="E67" s="104"/>
      <c r="F67" s="104">
        <v>4540.1178739999996</v>
      </c>
      <c r="G67" s="104"/>
      <c r="H67" s="104">
        <v>4519.9993979999999</v>
      </c>
      <c r="I67" s="104"/>
      <c r="J67" s="104">
        <v>4565.329444</v>
      </c>
      <c r="K67" s="104"/>
      <c r="L67" s="104">
        <v>4582.9372389999999</v>
      </c>
      <c r="M67" s="104"/>
      <c r="N67" s="104">
        <v>4562.352476</v>
      </c>
      <c r="O67" s="104"/>
      <c r="P67" s="104">
        <v>4569.6952920000003</v>
      </c>
      <c r="Q67" s="104"/>
      <c r="R67" s="104">
        <v>4562.9319759999998</v>
      </c>
      <c r="S67" s="120"/>
      <c r="T67" s="104">
        <v>4599.9017279999998</v>
      </c>
      <c r="U67" s="120"/>
      <c r="V67" s="104">
        <v>4632.1712349999998</v>
      </c>
      <c r="W67" s="120"/>
      <c r="X67" s="104">
        <v>4588.3715439999996</v>
      </c>
      <c r="Y67" s="120"/>
      <c r="Z67" s="120">
        <v>4538.5369440000004</v>
      </c>
      <c r="AA67" s="104"/>
      <c r="AB67" s="104">
        <f t="shared" ref="AB67:AB76" si="0">AVERAGE(D67:Z67)</f>
        <v>4572.7975349999997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25</v>
      </c>
      <c r="C68" s="72"/>
      <c r="D68" s="104">
        <v>609.93645536399993</v>
      </c>
      <c r="E68" s="104"/>
      <c r="F68" s="104">
        <v>602.23644903499996</v>
      </c>
      <c r="G68" s="104"/>
      <c r="H68" s="104">
        <v>641.12944241399998</v>
      </c>
      <c r="I68" s="104"/>
      <c r="J68" s="104">
        <v>633.09506129199997</v>
      </c>
      <c r="K68" s="104"/>
      <c r="L68" s="104">
        <v>619.53008360699994</v>
      </c>
      <c r="M68" s="104"/>
      <c r="N68" s="104">
        <v>645.95509181800003</v>
      </c>
      <c r="O68" s="104"/>
      <c r="P68" s="104">
        <v>640.98889493399997</v>
      </c>
      <c r="Q68" s="104"/>
      <c r="R68" s="104">
        <v>620.92316954</v>
      </c>
      <c r="S68" s="120"/>
      <c r="T68" s="104">
        <v>634.21852941600002</v>
      </c>
      <c r="U68" s="120"/>
      <c r="V68" s="104">
        <v>621.249940197</v>
      </c>
      <c r="W68" s="120"/>
      <c r="X68" s="104">
        <v>656.08734836099995</v>
      </c>
      <c r="Y68" s="120"/>
      <c r="Z68" s="120">
        <v>713.59871488599993</v>
      </c>
      <c r="AA68" s="104"/>
      <c r="AB68" s="104">
        <f t="shared" si="0"/>
        <v>636.57909840533341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26</v>
      </c>
      <c r="C69" s="72"/>
      <c r="D69" s="104">
        <v>270.42946380000001</v>
      </c>
      <c r="E69" s="104"/>
      <c r="F69" s="104">
        <v>281.17781429000001</v>
      </c>
      <c r="G69" s="104"/>
      <c r="H69" s="104">
        <v>306.55943556</v>
      </c>
      <c r="I69" s="104"/>
      <c r="J69" s="104">
        <v>296.77053827999998</v>
      </c>
      <c r="K69" s="104"/>
      <c r="L69" s="104">
        <v>299.06131871999997</v>
      </c>
      <c r="M69" s="104"/>
      <c r="N69" s="104">
        <v>319.43555059999994</v>
      </c>
      <c r="O69" s="104"/>
      <c r="P69" s="104">
        <v>307.80994117500001</v>
      </c>
      <c r="Q69" s="104"/>
      <c r="R69" s="104">
        <v>301.24670241000001</v>
      </c>
      <c r="S69" s="120"/>
      <c r="T69" s="104">
        <v>305.34447549999999</v>
      </c>
      <c r="U69" s="120"/>
      <c r="V69" s="104">
        <v>306.79947078999999</v>
      </c>
      <c r="W69" s="120"/>
      <c r="X69" s="104">
        <v>321.08692293000001</v>
      </c>
      <c r="Y69" s="120"/>
      <c r="Z69" s="120">
        <v>316.24119423000002</v>
      </c>
      <c r="AA69" s="104"/>
      <c r="AB69" s="104">
        <f t="shared" si="0"/>
        <v>302.66356902374997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27</v>
      </c>
      <c r="C70" s="72"/>
      <c r="D70" s="104">
        <v>306.859770438</v>
      </c>
      <c r="E70" s="104"/>
      <c r="F70" s="104">
        <v>340.25313281899997</v>
      </c>
      <c r="G70" s="104"/>
      <c r="H70" s="104">
        <v>377.25825310099998</v>
      </c>
      <c r="I70" s="104"/>
      <c r="J70" s="104">
        <v>316.52625891600002</v>
      </c>
      <c r="K70" s="104"/>
      <c r="L70" s="104">
        <v>308.64410698</v>
      </c>
      <c r="M70" s="104"/>
      <c r="N70" s="104">
        <v>367.56736743200003</v>
      </c>
      <c r="O70" s="104"/>
      <c r="P70" s="104">
        <v>336.69479181200001</v>
      </c>
      <c r="Q70" s="104"/>
      <c r="R70" s="104">
        <v>316.38761460900002</v>
      </c>
      <c r="S70" s="120"/>
      <c r="T70" s="104">
        <v>357.252260939</v>
      </c>
      <c r="U70" s="120"/>
      <c r="V70" s="104">
        <v>306.89764459600002</v>
      </c>
      <c r="W70" s="120"/>
      <c r="X70" s="104">
        <v>393.43366032400002</v>
      </c>
      <c r="Y70" s="120"/>
      <c r="Z70" s="120">
        <v>265.59907748900002</v>
      </c>
      <c r="AA70" s="104"/>
      <c r="AB70" s="104">
        <f t="shared" si="0"/>
        <v>332.78116162125002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103" t="s">
        <v>28</v>
      </c>
      <c r="C71" s="72"/>
      <c r="D71" s="104">
        <v>358.721820783152</v>
      </c>
      <c r="E71" s="104"/>
      <c r="F71" s="104">
        <v>347.54299117164101</v>
      </c>
      <c r="G71" s="104"/>
      <c r="H71" s="104">
        <v>334.578991500955</v>
      </c>
      <c r="I71" s="104"/>
      <c r="J71" s="104">
        <v>318.52399190878799</v>
      </c>
      <c r="K71" s="104"/>
      <c r="L71" s="104">
        <v>307.92844646360197</v>
      </c>
      <c r="M71" s="104"/>
      <c r="N71" s="104">
        <v>313.97599202431599</v>
      </c>
      <c r="O71" s="104"/>
      <c r="P71" s="104">
        <v>309.23399214477399</v>
      </c>
      <c r="Q71" s="104"/>
      <c r="R71" s="104">
        <v>303.11599230018498</v>
      </c>
      <c r="S71" s="120"/>
      <c r="T71" s="104">
        <v>314.42399201293699</v>
      </c>
      <c r="U71" s="120"/>
      <c r="V71" s="104">
        <v>318.71099190403697</v>
      </c>
      <c r="W71" s="120"/>
      <c r="X71" s="104">
        <v>340.01599136284301</v>
      </c>
      <c r="Y71" s="120"/>
      <c r="Z71" s="120">
        <v>364.78299073370698</v>
      </c>
      <c r="AA71" s="104"/>
      <c r="AB71" s="104">
        <f t="shared" si="0"/>
        <v>327.62968202591145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4.25">
      <c r="A72" s="44"/>
      <c r="B72" s="103" t="s">
        <v>38</v>
      </c>
      <c r="C72" s="72"/>
      <c r="D72" s="104">
        <v>2697.84</v>
      </c>
      <c r="E72" s="104"/>
      <c r="F72" s="104">
        <v>2755.43</v>
      </c>
      <c r="G72" s="104"/>
      <c r="H72" s="104">
        <v>2812.18</v>
      </c>
      <c r="I72" s="104"/>
      <c r="J72" s="104">
        <v>2561.46</v>
      </c>
      <c r="K72" s="104"/>
      <c r="L72" s="104">
        <v>2718.37</v>
      </c>
      <c r="M72" s="104"/>
      <c r="N72" s="104">
        <v>2821.08</v>
      </c>
      <c r="O72" s="104"/>
      <c r="P72" s="104">
        <v>2803.3</v>
      </c>
      <c r="Q72" s="104"/>
      <c r="R72" s="104">
        <v>2815.15</v>
      </c>
      <c r="S72" s="120"/>
      <c r="T72" s="104">
        <v>2809.1</v>
      </c>
      <c r="U72" s="120"/>
      <c r="V72" s="104">
        <v>2755.14</v>
      </c>
      <c r="W72" s="120"/>
      <c r="X72" s="104">
        <v>2751.71</v>
      </c>
      <c r="Y72" s="120"/>
      <c r="Z72" s="120">
        <v>2772.41</v>
      </c>
      <c r="AA72" s="104"/>
      <c r="AB72" s="104">
        <f t="shared" si="0"/>
        <v>2756.0974999999999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33</v>
      </c>
      <c r="C73" s="72"/>
      <c r="D73" s="104">
        <v>1896.7624838709717</v>
      </c>
      <c r="E73" s="104"/>
      <c r="F73" s="104">
        <v>1752.4298275862059</v>
      </c>
      <c r="G73" s="104"/>
      <c r="H73" s="104">
        <v>1788.6659032258103</v>
      </c>
      <c r="I73" s="104"/>
      <c r="J73" s="104">
        <v>1766.301633333333</v>
      </c>
      <c r="K73" s="104"/>
      <c r="L73" s="104">
        <v>1967.2131290322618</v>
      </c>
      <c r="M73" s="104"/>
      <c r="N73" s="104">
        <v>1845.8701333333363</v>
      </c>
      <c r="O73" s="104"/>
      <c r="P73" s="104">
        <v>1804.9141290322621</v>
      </c>
      <c r="Q73" s="104"/>
      <c r="R73" s="105">
        <v>1815.0663225806502</v>
      </c>
      <c r="S73" s="120"/>
      <c r="T73" s="104">
        <v>1894.1255999999996</v>
      </c>
      <c r="U73" s="120"/>
      <c r="V73" s="104">
        <v>1979.6408709677401</v>
      </c>
      <c r="W73" s="120"/>
      <c r="X73" s="104">
        <v>1950.3338000000003</v>
      </c>
      <c r="Y73" s="120"/>
      <c r="Z73" s="120">
        <v>1974.2671935483891</v>
      </c>
      <c r="AA73" s="104"/>
      <c r="AB73" s="104">
        <f t="shared" si="0"/>
        <v>1869.63258554258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2.75" customHeight="1">
      <c r="A74" s="44"/>
      <c r="B74" s="103" t="s">
        <v>29</v>
      </c>
      <c r="C74" s="72"/>
      <c r="D74" s="106">
        <v>26.330647706719635</v>
      </c>
      <c r="E74" s="106"/>
      <c r="F74" s="106">
        <v>26.07892289553039</v>
      </c>
      <c r="G74" s="106"/>
      <c r="H74" s="106">
        <v>27.86361707066477</v>
      </c>
      <c r="I74" s="106"/>
      <c r="J74" s="106">
        <v>28.782909220733519</v>
      </c>
      <c r="K74" s="106"/>
      <c r="L74" s="106">
        <v>31.675115513419797</v>
      </c>
      <c r="M74" s="106"/>
      <c r="N74" s="106">
        <v>30.036086203897575</v>
      </c>
      <c r="O74" s="106"/>
      <c r="P74" s="106">
        <v>31.787494572076611</v>
      </c>
      <c r="Q74" s="106"/>
      <c r="R74" s="121">
        <v>33.851036864626344</v>
      </c>
      <c r="S74" s="122"/>
      <c r="T74" s="121">
        <v>34.808601728241612</v>
      </c>
      <c r="U74" s="122"/>
      <c r="V74" s="121">
        <v>38.933226122620162</v>
      </c>
      <c r="W74" s="122"/>
      <c r="X74" s="121">
        <v>32.406051300209903</v>
      </c>
      <c r="Y74" s="122"/>
      <c r="Z74" s="122">
        <v>28.96357084146678</v>
      </c>
      <c r="AA74" s="104"/>
      <c r="AB74" s="107">
        <f t="shared" si="0"/>
        <v>30.959773336683927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103" t="s">
        <v>30</v>
      </c>
      <c r="C75" s="72"/>
      <c r="D75" s="106">
        <v>5.8049999999999997</v>
      </c>
      <c r="E75" s="122"/>
      <c r="F75" s="106">
        <v>5.2850000000000001</v>
      </c>
      <c r="G75" s="106"/>
      <c r="H75" s="106">
        <v>4.8049999999999997</v>
      </c>
      <c r="I75" s="106"/>
      <c r="J75" s="106">
        <v>5.1150000000000002</v>
      </c>
      <c r="K75" s="106"/>
      <c r="L75" s="106">
        <v>5.7350000000000003</v>
      </c>
      <c r="M75" s="106"/>
      <c r="N75" s="106">
        <v>6.4749999999999996</v>
      </c>
      <c r="O75" s="106"/>
      <c r="P75" s="106">
        <v>5.9050000000000002</v>
      </c>
      <c r="Q75" s="106"/>
      <c r="R75" s="106">
        <v>5.8049999999999997</v>
      </c>
      <c r="S75" s="106"/>
      <c r="T75" s="106">
        <v>4.7949999999999999</v>
      </c>
      <c r="U75" s="106"/>
      <c r="V75" s="106">
        <v>5.48</v>
      </c>
      <c r="W75" s="106"/>
      <c r="X75" s="106">
        <v>7.27</v>
      </c>
      <c r="Y75" s="106"/>
      <c r="Z75" s="122">
        <v>7.44</v>
      </c>
      <c r="AA75" s="106"/>
      <c r="AB75" s="107">
        <f t="shared" si="0"/>
        <v>5.826249999999999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103" t="s">
        <v>31</v>
      </c>
      <c r="C76" s="72"/>
      <c r="D76" s="108">
        <v>10.9308</v>
      </c>
      <c r="E76" s="108"/>
      <c r="F76" s="108">
        <v>11.0128</v>
      </c>
      <c r="G76" s="108"/>
      <c r="H76" s="108">
        <v>10.9984</v>
      </c>
      <c r="I76" s="108"/>
      <c r="J76" s="108">
        <v>11.253500000000001</v>
      </c>
      <c r="K76" s="108"/>
      <c r="L76" s="108">
        <v>11.511900000000001</v>
      </c>
      <c r="M76" s="108"/>
      <c r="N76" s="108">
        <v>11.379</v>
      </c>
      <c r="O76" s="108"/>
      <c r="P76" s="108">
        <v>11.4735</v>
      </c>
      <c r="Q76" s="108"/>
      <c r="R76" s="108">
        <v>11.3957</v>
      </c>
      <c r="S76" s="123"/>
      <c r="T76" s="108">
        <v>11.485799999999999</v>
      </c>
      <c r="U76" s="123"/>
      <c r="V76" s="108">
        <v>11.3864</v>
      </c>
      <c r="W76" s="123"/>
      <c r="X76" s="108">
        <v>11.393800000000001</v>
      </c>
      <c r="Y76" s="123"/>
      <c r="Z76" s="123">
        <v>11.21</v>
      </c>
      <c r="AA76" s="104"/>
      <c r="AB76" s="109">
        <f t="shared" si="0"/>
        <v>11.285966666666667</v>
      </c>
      <c r="AC76" s="216"/>
      <c r="AD76" s="216"/>
      <c r="AE76" s="216"/>
      <c r="AF76" s="216"/>
      <c r="AG76" s="216"/>
      <c r="AH76" s="216"/>
      <c r="AI76" s="216"/>
    </row>
    <row r="77" spans="1:35" s="202" customFormat="1" ht="14.25">
      <c r="A77" s="44"/>
      <c r="B77" s="103" t="s">
        <v>69</v>
      </c>
      <c r="C77" s="72"/>
      <c r="D77" s="104">
        <v>428.22035551966042</v>
      </c>
      <c r="E77" s="104"/>
      <c r="F77" s="104">
        <v>396.79065448359171</v>
      </c>
      <c r="G77" s="104"/>
      <c r="H77" s="104">
        <v>433.6840498121266</v>
      </c>
      <c r="I77" s="104"/>
      <c r="J77" s="104">
        <v>366.76712782150082</v>
      </c>
      <c r="K77" s="104"/>
      <c r="L77" s="104">
        <v>344.26088906944733</v>
      </c>
      <c r="M77" s="104"/>
      <c r="N77" s="104">
        <v>441.86703345862003</v>
      </c>
      <c r="O77" s="104"/>
      <c r="P77" s="104">
        <v>375.47543672021777</v>
      </c>
      <c r="Q77" s="104"/>
      <c r="R77" s="104">
        <v>436.84116670169431</v>
      </c>
      <c r="S77" s="104"/>
      <c r="T77" s="104">
        <v>467.91252592983085</v>
      </c>
      <c r="U77" s="120"/>
      <c r="V77" s="104">
        <v>540.42333226261803</v>
      </c>
      <c r="W77" s="120"/>
      <c r="X77" s="104">
        <v>535.75058867032658</v>
      </c>
      <c r="Y77" s="120"/>
      <c r="Z77" s="120">
        <v>500.31883140171414</v>
      </c>
      <c r="AA77" s="104"/>
      <c r="AB77" s="104">
        <f>AVERAGE(D77:Z77)</f>
        <v>439.02599932094569</v>
      </c>
      <c r="AC77" s="216"/>
      <c r="AD77" s="216"/>
      <c r="AE77" s="216"/>
      <c r="AF77" s="216"/>
      <c r="AG77" s="216"/>
      <c r="AH77" s="216"/>
      <c r="AI77" s="216"/>
    </row>
    <row r="78" spans="1:35" s="202" customFormat="1" ht="14.25">
      <c r="A78" s="44"/>
      <c r="B78" s="103" t="s">
        <v>70</v>
      </c>
      <c r="C78" s="72"/>
      <c r="D78" s="104">
        <v>8.4618490000000008</v>
      </c>
      <c r="E78" s="104"/>
      <c r="F78" s="104">
        <v>0.44197399999999998</v>
      </c>
      <c r="G78" s="104"/>
      <c r="H78" s="104">
        <v>1.6726919999999998</v>
      </c>
      <c r="I78" s="104"/>
      <c r="J78" s="104">
        <v>17.917096000000001</v>
      </c>
      <c r="K78" s="104"/>
      <c r="L78" s="104">
        <v>0.38705999999999996</v>
      </c>
      <c r="M78" s="104"/>
      <c r="N78" s="104">
        <v>2.574592</v>
      </c>
      <c r="O78" s="104"/>
      <c r="P78" s="104">
        <v>3.1528870000000002</v>
      </c>
      <c r="Q78" s="104"/>
      <c r="R78" s="104">
        <v>25.393982999999999</v>
      </c>
      <c r="S78" s="104"/>
      <c r="T78" s="104">
        <v>6.8909050000000001</v>
      </c>
      <c r="U78" s="120"/>
      <c r="V78" s="104">
        <v>14.967481999999999</v>
      </c>
      <c r="W78" s="120"/>
      <c r="X78" s="104">
        <v>3.9579279999999999</v>
      </c>
      <c r="Y78" s="120"/>
      <c r="Z78" s="120">
        <v>18.036707000000003</v>
      </c>
      <c r="AA78" s="104"/>
      <c r="AB78" s="104">
        <f>AVERAGE(D78:Z78)</f>
        <v>8.6545962500000009</v>
      </c>
      <c r="AC78" s="216"/>
      <c r="AD78" s="216"/>
      <c r="AE78" s="216"/>
      <c r="AF78" s="216"/>
      <c r="AG78" s="216"/>
      <c r="AH78" s="216"/>
      <c r="AI78" s="216"/>
    </row>
    <row r="79" spans="1:35" ht="13.5">
      <c r="B79" s="195" t="s">
        <v>71</v>
      </c>
      <c r="C79" s="111"/>
      <c r="D79" s="110"/>
      <c r="E79" s="112"/>
      <c r="F79" s="113"/>
      <c r="G79" s="112"/>
      <c r="H79" s="113"/>
      <c r="I79" s="112"/>
      <c r="J79" s="113"/>
      <c r="K79" s="112"/>
      <c r="L79" s="113"/>
      <c r="M79" s="113"/>
      <c r="N79" s="112"/>
      <c r="O79" s="113"/>
      <c r="P79" s="112"/>
      <c r="Q79" s="114"/>
      <c r="R79" s="115"/>
      <c r="S79" s="114"/>
      <c r="T79" s="116"/>
      <c r="U79" s="114"/>
      <c r="V79" s="117"/>
      <c r="W79" s="114"/>
      <c r="X79" s="117"/>
      <c r="Y79" s="114"/>
      <c r="Z79" s="117"/>
      <c r="AA79" s="117"/>
      <c r="AB79" s="117"/>
    </row>
    <row r="80" spans="1:35">
      <c r="B80" s="474" t="s">
        <v>75</v>
      </c>
      <c r="C80" s="474"/>
      <c r="D80" s="474"/>
      <c r="E80" s="474"/>
      <c r="F80" s="474"/>
      <c r="G80" s="474"/>
      <c r="H80" s="474"/>
      <c r="I80" s="474"/>
      <c r="J80" s="474"/>
      <c r="K80" s="474"/>
      <c r="L80" s="474"/>
      <c r="M80" s="474"/>
      <c r="N80" s="474"/>
      <c r="O80" s="474"/>
      <c r="P80" s="474"/>
      <c r="Q80" s="474"/>
      <c r="R80" s="474"/>
      <c r="S80" s="474"/>
      <c r="T80" s="474"/>
      <c r="U80" s="474"/>
      <c r="V80" s="474"/>
      <c r="W80" s="474"/>
      <c r="X80" s="474"/>
      <c r="Y80" s="474"/>
      <c r="Z80" s="474"/>
      <c r="AA80" s="474"/>
      <c r="AB80" s="474"/>
    </row>
    <row r="81" spans="2:28">
      <c r="B81" s="472" t="s">
        <v>101</v>
      </c>
      <c r="C81" s="472"/>
      <c r="D81" s="472"/>
      <c r="E81" s="472"/>
      <c r="F81" s="472"/>
      <c r="G81" s="472"/>
      <c r="H81" s="472"/>
      <c r="I81" s="472"/>
      <c r="J81" s="472"/>
      <c r="K81" s="472"/>
      <c r="L81" s="472"/>
      <c r="M81" s="472"/>
      <c r="N81" s="472"/>
      <c r="O81" s="472"/>
      <c r="P81" s="472"/>
      <c r="Q81" s="472"/>
      <c r="R81" s="472"/>
      <c r="S81" s="472"/>
      <c r="T81" s="472"/>
      <c r="U81" s="472"/>
      <c r="V81" s="472"/>
      <c r="W81" s="472"/>
      <c r="X81" s="472"/>
      <c r="Y81" s="472"/>
      <c r="Z81" s="472"/>
      <c r="AA81" s="472"/>
      <c r="AB81" s="472"/>
    </row>
    <row r="87" spans="2:28" ht="12.75" customHeight="1"/>
    <row r="88" spans="2:28" ht="12.75" customHeight="1"/>
    <row r="89" spans="2:28" ht="12.75" customHeight="1"/>
    <row r="90" spans="2:28" ht="12.75" customHeight="1"/>
    <row r="91" spans="2:28" ht="12.75" customHeight="1"/>
    <row r="92" spans="2:28" ht="12.75" customHeight="1"/>
    <row r="93" spans="2:28" ht="12.75" customHeight="1"/>
    <row r="94" spans="2:28" ht="12.75" customHeight="1"/>
    <row r="95" spans="2:28" ht="12.75" customHeight="1"/>
  </sheetData>
  <mergeCells count="95">
    <mergeCell ref="B2:AB2"/>
    <mergeCell ref="B47:AB47"/>
    <mergeCell ref="B48:AB48"/>
    <mergeCell ref="B49:AB49"/>
    <mergeCell ref="B3:AB3"/>
    <mergeCell ref="K7:L7"/>
    <mergeCell ref="M7:N7"/>
    <mergeCell ref="C7:D7"/>
    <mergeCell ref="E7:F7"/>
    <mergeCell ref="G7:H7"/>
    <mergeCell ref="O4:P4"/>
    <mergeCell ref="Q4:R4"/>
    <mergeCell ref="AA5:AB5"/>
    <mergeCell ref="K4:L4"/>
    <mergeCell ref="U5:V5"/>
    <mergeCell ref="W5:X5"/>
    <mergeCell ref="B50:AB50"/>
    <mergeCell ref="B51:AB51"/>
    <mergeCell ref="B59:AB59"/>
    <mergeCell ref="W7:X7"/>
    <mergeCell ref="Y7:Z7"/>
    <mergeCell ref="AA7:AB7"/>
    <mergeCell ref="O7:P7"/>
    <mergeCell ref="Q7:R7"/>
    <mergeCell ref="S7:T7"/>
    <mergeCell ref="U7:V7"/>
    <mergeCell ref="I7:J7"/>
    <mergeCell ref="I4:J4"/>
    <mergeCell ref="AA4:AB4"/>
    <mergeCell ref="C5:D5"/>
    <mergeCell ref="E5:F5"/>
    <mergeCell ref="G5:H5"/>
    <mergeCell ref="I5:J5"/>
    <mergeCell ref="K5:L5"/>
    <mergeCell ref="Y5:Z5"/>
    <mergeCell ref="M5:N5"/>
    <mergeCell ref="O5:P5"/>
    <mergeCell ref="Q5:R5"/>
    <mergeCell ref="S5:T5"/>
    <mergeCell ref="G64:H64"/>
    <mergeCell ref="I64:J64"/>
    <mergeCell ref="S4:T4"/>
    <mergeCell ref="U4:V4"/>
    <mergeCell ref="B60:AB60"/>
    <mergeCell ref="B56:AB56"/>
    <mergeCell ref="B52:AB52"/>
    <mergeCell ref="B53:AB53"/>
    <mergeCell ref="B54:AB54"/>
    <mergeCell ref="B58:AB58"/>
    <mergeCell ref="M4:N4"/>
    <mergeCell ref="W4:X4"/>
    <mergeCell ref="Y4:Z4"/>
    <mergeCell ref="C4:D4"/>
    <mergeCell ref="E4:F4"/>
    <mergeCell ref="G4:H4"/>
    <mergeCell ref="S63:T63"/>
    <mergeCell ref="Y63:Z63"/>
    <mergeCell ref="B80:AB80"/>
    <mergeCell ref="B81:AB81"/>
    <mergeCell ref="C63:D63"/>
    <mergeCell ref="E63:F63"/>
    <mergeCell ref="G63:H63"/>
    <mergeCell ref="I63:J63"/>
    <mergeCell ref="K63:L63"/>
    <mergeCell ref="M63:N63"/>
    <mergeCell ref="U63:V63"/>
    <mergeCell ref="O63:P63"/>
    <mergeCell ref="S64:T64"/>
    <mergeCell ref="AA63:AB63"/>
    <mergeCell ref="C64:D64"/>
    <mergeCell ref="E64:F64"/>
    <mergeCell ref="K65:L65"/>
    <mergeCell ref="M65:N65"/>
    <mergeCell ref="O65:P65"/>
    <mergeCell ref="Q65:R65"/>
    <mergeCell ref="Q64:R64"/>
    <mergeCell ref="K64:L64"/>
    <mergeCell ref="M64:N64"/>
    <mergeCell ref="O64:P64"/>
    <mergeCell ref="AA65:AB65"/>
    <mergeCell ref="B62:AB62"/>
    <mergeCell ref="S65:T65"/>
    <mergeCell ref="U65:V65"/>
    <mergeCell ref="W65:X65"/>
    <mergeCell ref="Y65:Z65"/>
    <mergeCell ref="Y64:Z64"/>
    <mergeCell ref="AA64:AB64"/>
    <mergeCell ref="W63:X63"/>
    <mergeCell ref="W64:X64"/>
    <mergeCell ref="U64:V64"/>
    <mergeCell ref="Q63:R63"/>
    <mergeCell ref="C65:D65"/>
    <mergeCell ref="E65:F65"/>
    <mergeCell ref="G65:H65"/>
    <mergeCell ref="I65:J65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57" orientation="landscape" r:id="rId1"/>
  <headerFooter alignWithMargins="0"/>
  <ignoredErrors>
    <ignoredError sqref="AB2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5"/>
  <sheetViews>
    <sheetView showGridLines="0" topLeftCell="A62" zoomScale="75" zoomScaleNormal="75" workbookViewId="0">
      <selection activeCell="AC17" sqref="AC17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53" t="s">
        <v>43</v>
      </c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453"/>
      <c r="Y2" s="453"/>
      <c r="Z2" s="453"/>
      <c r="AA2" s="453"/>
      <c r="AB2" s="453"/>
      <c r="AC2" s="214"/>
      <c r="AD2" s="214"/>
      <c r="AE2" s="214"/>
      <c r="AF2" s="214"/>
    </row>
    <row r="3" spans="1:35" ht="15.75" customHeight="1" thickBot="1">
      <c r="B3" s="459" t="s">
        <v>57</v>
      </c>
      <c r="C3" s="459"/>
      <c r="D3" s="459"/>
      <c r="E3" s="459"/>
      <c r="F3" s="459"/>
      <c r="G3" s="459"/>
      <c r="H3" s="459"/>
      <c r="I3" s="459"/>
      <c r="J3" s="459"/>
      <c r="K3" s="459"/>
      <c r="L3" s="459"/>
      <c r="M3" s="459"/>
      <c r="N3" s="459"/>
      <c r="O3" s="459"/>
      <c r="P3" s="459"/>
      <c r="Q3" s="459"/>
      <c r="R3" s="459"/>
      <c r="S3" s="459"/>
      <c r="T3" s="459"/>
      <c r="U3" s="459"/>
      <c r="V3" s="459"/>
      <c r="W3" s="459"/>
      <c r="X3" s="459"/>
      <c r="Y3" s="459"/>
      <c r="Z3" s="459"/>
      <c r="AA3" s="459"/>
      <c r="AB3" s="459"/>
      <c r="AC3" s="215"/>
      <c r="AD3" s="215"/>
      <c r="AE3" s="215"/>
      <c r="AF3" s="215"/>
    </row>
    <row r="4" spans="1:35">
      <c r="B4" s="63"/>
      <c r="C4" s="456"/>
      <c r="D4" s="457"/>
      <c r="E4" s="456"/>
      <c r="F4" s="463"/>
      <c r="G4" s="456"/>
      <c r="H4" s="463"/>
      <c r="I4" s="456"/>
      <c r="J4" s="463"/>
      <c r="K4" s="456"/>
      <c r="L4" s="463"/>
      <c r="M4" s="456"/>
      <c r="N4" s="463"/>
      <c r="O4" s="456"/>
      <c r="P4" s="463"/>
      <c r="Q4" s="456"/>
      <c r="R4" s="463"/>
      <c r="S4" s="456"/>
      <c r="T4" s="463"/>
      <c r="U4" s="456"/>
      <c r="V4" s="462"/>
      <c r="W4" s="456"/>
      <c r="X4" s="462"/>
      <c r="Y4" s="456"/>
      <c r="Z4" s="462"/>
      <c r="AA4" s="456"/>
      <c r="AB4" s="462"/>
    </row>
    <row r="5" spans="1:35">
      <c r="B5" s="64">
        <v>2005</v>
      </c>
      <c r="C5" s="454" t="s">
        <v>4</v>
      </c>
      <c r="D5" s="460"/>
      <c r="E5" s="454" t="s">
        <v>5</v>
      </c>
      <c r="F5" s="455"/>
      <c r="G5" s="454" t="s">
        <v>6</v>
      </c>
      <c r="H5" s="455"/>
      <c r="I5" s="454" t="s">
        <v>7</v>
      </c>
      <c r="J5" s="455"/>
      <c r="K5" s="454" t="s">
        <v>8</v>
      </c>
      <c r="L5" s="455"/>
      <c r="M5" s="454" t="s">
        <v>9</v>
      </c>
      <c r="N5" s="455"/>
      <c r="O5" s="454" t="s">
        <v>10</v>
      </c>
      <c r="P5" s="455"/>
      <c r="Q5" s="458" t="s">
        <v>11</v>
      </c>
      <c r="R5" s="455"/>
      <c r="S5" s="458" t="s">
        <v>12</v>
      </c>
      <c r="T5" s="455"/>
      <c r="U5" s="454" t="s">
        <v>0</v>
      </c>
      <c r="V5" s="461"/>
      <c r="W5" s="454" t="s">
        <v>1</v>
      </c>
      <c r="X5" s="461"/>
      <c r="Y5" s="454" t="s">
        <v>2</v>
      </c>
      <c r="Z5" s="461"/>
      <c r="AA5" s="454" t="s">
        <v>15</v>
      </c>
      <c r="AB5" s="46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5"/>
      <c r="D7" s="468"/>
      <c r="E7" s="465"/>
      <c r="F7" s="466"/>
      <c r="G7" s="465"/>
      <c r="H7" s="466"/>
      <c r="I7" s="465"/>
      <c r="J7" s="466"/>
      <c r="K7" s="465"/>
      <c r="L7" s="466"/>
      <c r="M7" s="465"/>
      <c r="N7" s="466"/>
      <c r="O7" s="465"/>
      <c r="P7" s="466"/>
      <c r="Q7" s="465"/>
      <c r="R7" s="466"/>
      <c r="S7" s="465"/>
      <c r="T7" s="466"/>
      <c r="U7" s="465"/>
      <c r="V7" s="467"/>
      <c r="W7" s="465"/>
      <c r="X7" s="467"/>
      <c r="Y7" s="465"/>
      <c r="Z7" s="467"/>
      <c r="AA7" s="465"/>
      <c r="AB7" s="467"/>
    </row>
    <row r="8" spans="1:35" s="202" customFormat="1" ht="14.25" customHeight="1">
      <c r="A8" s="44"/>
      <c r="B8" s="71" t="s">
        <v>16</v>
      </c>
      <c r="C8" s="72"/>
      <c r="D8" s="41">
        <f>D9+D12</f>
        <v>63607.460179000002</v>
      </c>
      <c r="E8" s="42"/>
      <c r="F8" s="41">
        <f>F9+F12</f>
        <v>60176.186950999996</v>
      </c>
      <c r="G8" s="41"/>
      <c r="H8" s="41">
        <f>H9+H12</f>
        <v>74095.867896999989</v>
      </c>
      <c r="I8" s="41"/>
      <c r="J8" s="41">
        <f>J9+J12</f>
        <v>71648.202018999989</v>
      </c>
      <c r="K8" s="41"/>
      <c r="L8" s="41">
        <f>L9+L12</f>
        <v>70784.475749999998</v>
      </c>
      <c r="M8" s="41"/>
      <c r="N8" s="41">
        <f>N9+N12</f>
        <v>76019.422082999998</v>
      </c>
      <c r="O8" s="41"/>
      <c r="P8" s="41">
        <f>P9+P12</f>
        <v>71551.693045000007</v>
      </c>
      <c r="Q8" s="41"/>
      <c r="R8" s="41">
        <f>R9+R12</f>
        <v>75614.991223999998</v>
      </c>
      <c r="S8" s="41"/>
      <c r="T8" s="41">
        <f>T9+T12</f>
        <v>78892.054824999985</v>
      </c>
      <c r="U8" s="41"/>
      <c r="V8" s="41">
        <f>V9+V12</f>
        <v>73690.578158999997</v>
      </c>
      <c r="W8" s="41"/>
      <c r="X8" s="41">
        <f>X9+X12</f>
        <v>91324.195806999996</v>
      </c>
      <c r="Y8" s="41"/>
      <c r="Z8" s="41">
        <f>Z9+Z12</f>
        <v>100691.85315899999</v>
      </c>
      <c r="AA8" s="73"/>
      <c r="AB8" s="73">
        <f>AB9+AB12</f>
        <v>908096.98109799996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62899.667283000002</v>
      </c>
      <c r="E9" s="42"/>
      <c r="F9" s="42">
        <f>+F10+F11</f>
        <v>59763.282657999996</v>
      </c>
      <c r="G9" s="42"/>
      <c r="H9" s="42">
        <f>+H10+H11</f>
        <v>72077.936799999996</v>
      </c>
      <c r="I9" s="42"/>
      <c r="J9" s="42">
        <f>+J10+J11</f>
        <v>70336.407356999989</v>
      </c>
      <c r="K9" s="42"/>
      <c r="L9" s="42">
        <f>+L10+L11</f>
        <v>70502.517603999993</v>
      </c>
      <c r="M9" s="42"/>
      <c r="N9" s="42">
        <f>+N10+N11</f>
        <v>75575.522056999995</v>
      </c>
      <c r="O9" s="42"/>
      <c r="P9" s="42">
        <f>+P10+P11</f>
        <v>70957.012231000001</v>
      </c>
      <c r="Q9" s="42"/>
      <c r="R9" s="42">
        <f>+R10+R11</f>
        <v>72442.605137999999</v>
      </c>
      <c r="S9" s="42"/>
      <c r="T9" s="42">
        <f>+T10+T11</f>
        <v>76273.39871899999</v>
      </c>
      <c r="U9" s="42"/>
      <c r="V9" s="42">
        <f>+V10+V11</f>
        <v>71828.298221999998</v>
      </c>
      <c r="W9" s="42"/>
      <c r="X9" s="42">
        <f>+X10+X11</f>
        <v>90778.854840999993</v>
      </c>
      <c r="Y9" s="42"/>
      <c r="Z9" s="42">
        <f>+Z10+Z11</f>
        <v>98334.501605999991</v>
      </c>
      <c r="AA9" s="75"/>
      <c r="AB9" s="75">
        <f>+AB10+AB11</f>
        <v>891770.00451599993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76" t="s">
        <v>47</v>
      </c>
      <c r="C10" s="72"/>
      <c r="D10" s="42">
        <v>20146.567283</v>
      </c>
      <c r="E10" s="42"/>
      <c r="F10" s="42">
        <v>20084.082657999999</v>
      </c>
      <c r="G10" s="42"/>
      <c r="H10" s="42">
        <v>24383.936799999999</v>
      </c>
      <c r="I10" s="42"/>
      <c r="J10" s="42">
        <v>26997.707356999999</v>
      </c>
      <c r="K10" s="42"/>
      <c r="L10" s="42">
        <v>26470.817604</v>
      </c>
      <c r="M10" s="42"/>
      <c r="N10" s="42">
        <v>28894.722056999999</v>
      </c>
      <c r="O10" s="42"/>
      <c r="P10" s="42">
        <v>29713.612230999999</v>
      </c>
      <c r="Q10" s="42"/>
      <c r="R10" s="42">
        <v>29615.605137999999</v>
      </c>
      <c r="S10" s="42"/>
      <c r="T10" s="42">
        <v>34008.298718999999</v>
      </c>
      <c r="U10" s="42"/>
      <c r="V10" s="42">
        <v>30102.998221999998</v>
      </c>
      <c r="W10" s="42"/>
      <c r="X10" s="42">
        <v>31428.454840999999</v>
      </c>
      <c r="Y10" s="42"/>
      <c r="Z10" s="42">
        <v>32351.101606</v>
      </c>
      <c r="AA10" s="75"/>
      <c r="AB10" s="75">
        <f>SUM(D10:Z10)</f>
        <v>334197.90451599995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76" t="s">
        <v>48</v>
      </c>
      <c r="C11" s="72"/>
      <c r="D11" s="42">
        <v>42753.1</v>
      </c>
      <c r="E11" s="42"/>
      <c r="F11" s="42">
        <v>39679.199999999997</v>
      </c>
      <c r="G11" s="42"/>
      <c r="H11" s="42">
        <v>47694</v>
      </c>
      <c r="I11" s="42"/>
      <c r="J11" s="42">
        <v>43338.7</v>
      </c>
      <c r="K11" s="42"/>
      <c r="L11" s="42">
        <v>44031.7</v>
      </c>
      <c r="M11" s="42"/>
      <c r="N11" s="42">
        <v>46680.800000000003</v>
      </c>
      <c r="O11" s="42"/>
      <c r="P11" s="42">
        <v>41243.4</v>
      </c>
      <c r="Q11" s="42"/>
      <c r="R11" s="42">
        <v>42827</v>
      </c>
      <c r="S11" s="42"/>
      <c r="T11" s="42">
        <v>42265.1</v>
      </c>
      <c r="U11" s="42"/>
      <c r="V11" s="42">
        <v>41725.300000000003</v>
      </c>
      <c r="W11" s="42"/>
      <c r="X11" s="42">
        <v>59350.400000000001</v>
      </c>
      <c r="Y11" s="42"/>
      <c r="Z11" s="42">
        <v>65983.399999999994</v>
      </c>
      <c r="AA11" s="77"/>
      <c r="AB11" s="75">
        <f>SUM(D11:Z11)</f>
        <v>557572.1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74" t="s">
        <v>49</v>
      </c>
      <c r="C12" s="72"/>
      <c r="D12" s="42">
        <v>707.79289600000004</v>
      </c>
      <c r="E12" s="42"/>
      <c r="F12" s="42">
        <v>412.904293</v>
      </c>
      <c r="G12" s="42"/>
      <c r="H12" s="42">
        <v>2017.9310969999999</v>
      </c>
      <c r="I12" s="42"/>
      <c r="J12" s="42">
        <v>1311.794662</v>
      </c>
      <c r="K12" s="42"/>
      <c r="L12" s="42">
        <v>281.95814599999994</v>
      </c>
      <c r="M12" s="42"/>
      <c r="N12" s="42">
        <v>443.90002600000003</v>
      </c>
      <c r="O12" s="42"/>
      <c r="P12" s="42">
        <v>594.68081400000005</v>
      </c>
      <c r="Q12" s="42"/>
      <c r="R12" s="42">
        <v>3172.3860860000004</v>
      </c>
      <c r="S12" s="42"/>
      <c r="T12" s="42">
        <v>2618.6561059999999</v>
      </c>
      <c r="U12" s="42"/>
      <c r="V12" s="42">
        <v>1862.279937</v>
      </c>
      <c r="W12" s="42"/>
      <c r="X12" s="42">
        <v>545.34096599999975</v>
      </c>
      <c r="Y12" s="42"/>
      <c r="Z12" s="42">
        <v>2357.3515530000004</v>
      </c>
      <c r="AA12" s="75"/>
      <c r="AB12" s="75">
        <f>SUM(D12:Z12)</f>
        <v>16326.976582000001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44</v>
      </c>
      <c r="C14" s="82"/>
      <c r="D14" s="45">
        <f>+D15+D16+D17</f>
        <v>6942.2507649999998</v>
      </c>
      <c r="E14" s="45"/>
      <c r="F14" s="45">
        <f>+F15+F16+F17</f>
        <v>5851.8077999999996</v>
      </c>
      <c r="G14" s="45"/>
      <c r="H14" s="45">
        <f>+H15+H16+H17</f>
        <v>7152.7576580000004</v>
      </c>
      <c r="I14" s="45"/>
      <c r="J14" s="45">
        <f>+J15+J16+J17</f>
        <v>5663.6650890000001</v>
      </c>
      <c r="K14" s="45"/>
      <c r="L14" s="45">
        <f>+L15+L16+L17</f>
        <v>8039.9486020000004</v>
      </c>
      <c r="M14" s="45"/>
      <c r="N14" s="45">
        <f>+N15+N16+N17</f>
        <v>7792.9906190000002</v>
      </c>
      <c r="O14" s="45"/>
      <c r="P14" s="45">
        <f>+P15+P16+P17</f>
        <v>8160.2885880000003</v>
      </c>
      <c r="Q14" s="45"/>
      <c r="R14" s="45">
        <f>+R15+R16+R17</f>
        <v>10275.342803</v>
      </c>
      <c r="S14" s="45"/>
      <c r="T14" s="45">
        <f>+T15+T16+T17</f>
        <v>7145.3519940000006</v>
      </c>
      <c r="U14" s="45"/>
      <c r="V14" s="45">
        <f>+V15+V16+V17</f>
        <v>8566.1266959999994</v>
      </c>
      <c r="W14" s="45"/>
      <c r="X14" s="45">
        <f>+X15+X16+X17</f>
        <v>8583.0989809999992</v>
      </c>
      <c r="Y14" s="45"/>
      <c r="Z14" s="45">
        <f>+Z15+Z16+Z17</f>
        <v>14958.173492</v>
      </c>
      <c r="AA14" s="83"/>
      <c r="AB14" s="83">
        <f>+AB15+AB16+AB17</f>
        <v>99131.803086999993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3243.5365529999999</v>
      </c>
      <c r="E15" s="42"/>
      <c r="F15" s="42">
        <v>3197.7754599999998</v>
      </c>
      <c r="G15" s="42"/>
      <c r="H15" s="42">
        <v>3385.6158129999999</v>
      </c>
      <c r="I15" s="42"/>
      <c r="J15" s="42">
        <v>3204.3839910000002</v>
      </c>
      <c r="K15" s="42"/>
      <c r="L15" s="42">
        <v>3868.047372</v>
      </c>
      <c r="M15" s="42"/>
      <c r="N15" s="42">
        <v>4308.5070059999998</v>
      </c>
      <c r="O15" s="42"/>
      <c r="P15" s="42">
        <v>3404.0572160000002</v>
      </c>
      <c r="Q15" s="42"/>
      <c r="R15" s="42">
        <v>3794.1249069999999</v>
      </c>
      <c r="S15" s="42"/>
      <c r="T15" s="42">
        <v>3553.948907</v>
      </c>
      <c r="U15" s="42"/>
      <c r="V15" s="42">
        <v>4042.8792429999999</v>
      </c>
      <c r="W15" s="42"/>
      <c r="X15" s="42">
        <v>3702.0321239999998</v>
      </c>
      <c r="Y15" s="42"/>
      <c r="Z15" s="42">
        <v>7182.5166879999997</v>
      </c>
      <c r="AA15" s="75"/>
      <c r="AB15" s="75">
        <f>SUM(D15:Z15)</f>
        <v>46887.425279999996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516.61421199999995</v>
      </c>
      <c r="E16" s="42"/>
      <c r="F16" s="42">
        <v>425.43234000000001</v>
      </c>
      <c r="G16" s="42"/>
      <c r="H16" s="42">
        <v>328.74184500000001</v>
      </c>
      <c r="I16" s="42"/>
      <c r="J16" s="42">
        <v>350.88109800000001</v>
      </c>
      <c r="K16" s="42"/>
      <c r="L16" s="42">
        <v>406.50123000000002</v>
      </c>
      <c r="M16" s="42"/>
      <c r="N16" s="42">
        <v>502.08361300000001</v>
      </c>
      <c r="O16" s="42"/>
      <c r="P16" s="42">
        <v>497.43137200000001</v>
      </c>
      <c r="Q16" s="42"/>
      <c r="R16" s="42">
        <v>569.217896</v>
      </c>
      <c r="S16" s="42"/>
      <c r="T16" s="42">
        <v>535.10308699999996</v>
      </c>
      <c r="U16" s="42"/>
      <c r="V16" s="42">
        <v>602.84745299999997</v>
      </c>
      <c r="W16" s="42"/>
      <c r="X16" s="42">
        <v>666.16685700000005</v>
      </c>
      <c r="Y16" s="42"/>
      <c r="Z16" s="42">
        <v>2166.7568040000001</v>
      </c>
      <c r="AA16" s="75"/>
      <c r="AB16" s="75">
        <f>SUM(D16:Z16)</f>
        <v>7567.7778070000004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74" t="s">
        <v>51</v>
      </c>
      <c r="C17" s="72"/>
      <c r="D17" s="42">
        <v>3182.1</v>
      </c>
      <c r="E17" s="42"/>
      <c r="F17" s="42">
        <v>2228.6</v>
      </c>
      <c r="G17" s="42"/>
      <c r="H17" s="42">
        <v>3438.4</v>
      </c>
      <c r="I17" s="42"/>
      <c r="J17" s="42">
        <v>2108.4</v>
      </c>
      <c r="K17" s="42"/>
      <c r="L17" s="42">
        <v>3765.4</v>
      </c>
      <c r="M17" s="42"/>
      <c r="N17" s="42">
        <v>2982.4</v>
      </c>
      <c r="O17" s="42"/>
      <c r="P17" s="42">
        <v>4258.8</v>
      </c>
      <c r="Q17" s="42"/>
      <c r="R17" s="42">
        <v>5912</v>
      </c>
      <c r="S17" s="42"/>
      <c r="T17" s="42">
        <v>3056.3</v>
      </c>
      <c r="U17" s="42"/>
      <c r="V17" s="42">
        <v>3920.4</v>
      </c>
      <c r="W17" s="42"/>
      <c r="X17" s="42">
        <v>4214.8999999999996</v>
      </c>
      <c r="Y17" s="42"/>
      <c r="Z17" s="42">
        <v>5608.9</v>
      </c>
      <c r="AA17" s="75"/>
      <c r="AB17" s="75">
        <f>SUM(D17:Z17)</f>
        <v>44676.6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341.3</v>
      </c>
      <c r="E19" s="42"/>
      <c r="F19" s="42">
        <v>169.9</v>
      </c>
      <c r="G19" s="42"/>
      <c r="H19" s="42">
        <v>233.9</v>
      </c>
      <c r="I19" s="42"/>
      <c r="J19" s="42">
        <v>-742.4</v>
      </c>
      <c r="K19" s="42"/>
      <c r="L19" s="42">
        <v>-1050</v>
      </c>
      <c r="M19" s="42"/>
      <c r="N19" s="42">
        <v>-6568.7</v>
      </c>
      <c r="O19" s="42"/>
      <c r="P19" s="42">
        <v>-28.8</v>
      </c>
      <c r="Q19" s="42"/>
      <c r="R19" s="42">
        <v>513.79999999999995</v>
      </c>
      <c r="S19" s="42"/>
      <c r="T19" s="42">
        <v>-149.19999999999999</v>
      </c>
      <c r="U19" s="42"/>
      <c r="V19" s="42">
        <v>-66</v>
      </c>
      <c r="W19" s="42"/>
      <c r="X19" s="42">
        <v>128.9</v>
      </c>
      <c r="Y19" s="42"/>
      <c r="Z19" s="42">
        <v>5685.7</v>
      </c>
      <c r="AA19" s="42"/>
      <c r="AB19" s="124">
        <f>SUM(D19:Z19)</f>
        <v>-1531.6000000000004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85" t="s">
        <v>50</v>
      </c>
      <c r="C21" s="72"/>
      <c r="D21" s="42">
        <v>7971.6101600000002</v>
      </c>
      <c r="E21" s="42"/>
      <c r="F21" s="42">
        <v>7507.8176320000002</v>
      </c>
      <c r="G21" s="42"/>
      <c r="H21" s="42">
        <v>7128.8185709999998</v>
      </c>
      <c r="I21" s="42"/>
      <c r="J21" s="42">
        <v>9033.8143249999994</v>
      </c>
      <c r="K21" s="42"/>
      <c r="L21" s="42">
        <v>5943.3065480000005</v>
      </c>
      <c r="M21" s="42"/>
      <c r="N21" s="42">
        <v>6533.7346739999994</v>
      </c>
      <c r="O21" s="42"/>
      <c r="P21" s="42">
        <v>8451.5658820000008</v>
      </c>
      <c r="Q21" s="42"/>
      <c r="R21" s="42">
        <v>8214.8693230000008</v>
      </c>
      <c r="S21" s="42"/>
      <c r="T21" s="42">
        <v>8489.3445530000008</v>
      </c>
      <c r="U21" s="42"/>
      <c r="V21" s="42">
        <v>13182.095326000001</v>
      </c>
      <c r="W21" s="42"/>
      <c r="X21" s="42">
        <v>13401.188603000001</v>
      </c>
      <c r="Y21" s="42"/>
      <c r="Z21" s="42">
        <v>10668.890504000001</v>
      </c>
      <c r="AA21" s="42"/>
      <c r="AB21" s="75">
        <f>SUM(D21:Z21)</f>
        <v>106527.05610099999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45</v>
      </c>
      <c r="C23" s="82"/>
      <c r="D23" s="45">
        <f>D8-D14-D19-D21</f>
        <v>48352.299253999998</v>
      </c>
      <c r="E23" s="45"/>
      <c r="F23" s="45">
        <f>F8-F14-F19-F21</f>
        <v>46646.661518999994</v>
      </c>
      <c r="G23" s="45"/>
      <c r="H23" s="45">
        <f>H8-H14-H19-H21</f>
        <v>59580.391667999997</v>
      </c>
      <c r="I23" s="45"/>
      <c r="J23" s="45">
        <f>J8-J14-J19-J21</f>
        <v>57693.122604999982</v>
      </c>
      <c r="K23" s="45"/>
      <c r="L23" s="45">
        <f>L8-L14-L19-L21</f>
        <v>57851.220599999993</v>
      </c>
      <c r="M23" s="45"/>
      <c r="N23" s="45">
        <f>N8-N14-N19-N21</f>
        <v>68261.396789999999</v>
      </c>
      <c r="O23" s="45"/>
      <c r="P23" s="45">
        <f>P8-P14-P19-P21</f>
        <v>54968.638575000004</v>
      </c>
      <c r="Q23" s="45"/>
      <c r="R23" s="45">
        <f>R8-R14-R19-R21</f>
        <v>56610.979097999996</v>
      </c>
      <c r="S23" s="45"/>
      <c r="T23" s="45">
        <f>T8-T14-T19-T21</f>
        <v>63406.558277999982</v>
      </c>
      <c r="U23" s="45"/>
      <c r="V23" s="45">
        <f>V8-V14-V19-V21</f>
        <v>52008.356136999995</v>
      </c>
      <c r="W23" s="45"/>
      <c r="X23" s="45">
        <f>X8-X14-X19-X21</f>
        <v>69211.008222999997</v>
      </c>
      <c r="Y23" s="45"/>
      <c r="Z23" s="45">
        <f>Z8-Z14-Z19-Z21</f>
        <v>69379.089162999997</v>
      </c>
      <c r="AA23" s="45"/>
      <c r="AB23" s="83">
        <f>AB8-AB14-AB19-AB21</f>
        <v>703969.72190999985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63</v>
      </c>
      <c r="C25" s="82"/>
      <c r="D25" s="45">
        <f>+D27+D26</f>
        <v>7086.1502200000004</v>
      </c>
      <c r="E25" s="82"/>
      <c r="F25" s="45">
        <f>+F27+F26</f>
        <v>1971.8524820000002</v>
      </c>
      <c r="G25" s="82"/>
      <c r="H25" s="45">
        <f>+H27+H26</f>
        <v>2027.7266920000002</v>
      </c>
      <c r="I25" s="82"/>
      <c r="J25" s="45">
        <f>+J27+J26</f>
        <v>1143.961082</v>
      </c>
      <c r="K25" s="82"/>
      <c r="L25" s="45">
        <f>+L27+L26</f>
        <v>1437.7629890000001</v>
      </c>
      <c r="M25" s="82"/>
      <c r="N25" s="45">
        <f>+N27+N26</f>
        <v>2219.8323350000001</v>
      </c>
      <c r="O25" s="82"/>
      <c r="P25" s="45">
        <f>+P27+P26</f>
        <v>370.81537600000001</v>
      </c>
      <c r="Q25" s="82"/>
      <c r="R25" s="45">
        <f>+R27+R26</f>
        <v>1332.1282309999999</v>
      </c>
      <c r="S25" s="82"/>
      <c r="T25" s="45">
        <f>+T27+T26</f>
        <v>1048.7499789999999</v>
      </c>
      <c r="U25" s="82"/>
      <c r="V25" s="45">
        <f>+V27+V26</f>
        <v>1294.3772719999999</v>
      </c>
      <c r="W25" s="82"/>
      <c r="X25" s="45">
        <f>+X27+X26</f>
        <v>1455.664765</v>
      </c>
      <c r="Y25" s="82"/>
      <c r="Z25" s="45">
        <f>+Z27+Z26</f>
        <v>30737.818004000004</v>
      </c>
      <c r="AA25" s="82"/>
      <c r="AB25" s="45">
        <f>+AB27+AB26</f>
        <v>52126.839426999999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206" t="s">
        <v>72</v>
      </c>
      <c r="C26" s="72"/>
      <c r="D26" s="42">
        <v>7015.0502200000001</v>
      </c>
      <c r="E26" s="42"/>
      <c r="F26" s="42">
        <v>1899.532927</v>
      </c>
      <c r="G26" s="42"/>
      <c r="H26" s="42">
        <v>1635.7493420000001</v>
      </c>
      <c r="I26" s="42"/>
      <c r="J26" s="42">
        <v>1116.3519699999999</v>
      </c>
      <c r="K26" s="42"/>
      <c r="L26" s="42">
        <v>1352.519108</v>
      </c>
      <c r="M26" s="42"/>
      <c r="N26" s="42">
        <v>2111.4019990000002</v>
      </c>
      <c r="O26" s="42"/>
      <c r="P26" s="42">
        <v>252.954172</v>
      </c>
      <c r="Q26" s="77"/>
      <c r="R26" s="42">
        <v>1193.5052900000001</v>
      </c>
      <c r="S26" s="42"/>
      <c r="T26" s="42">
        <v>591.52606000000003</v>
      </c>
      <c r="U26" s="42"/>
      <c r="V26" s="42">
        <v>740.83227399999998</v>
      </c>
      <c r="W26" s="42"/>
      <c r="X26" s="42">
        <v>331.541561</v>
      </c>
      <c r="Y26" s="42"/>
      <c r="Z26" s="42">
        <v>2118.7433030000002</v>
      </c>
      <c r="AA26" s="42"/>
      <c r="AB26" s="75">
        <f>SUM(D26:Z26)</f>
        <v>20359.708225999999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71.100000000000364</v>
      </c>
      <c r="E27" s="42"/>
      <c r="F27" s="42">
        <f>+F28+F29</f>
        <v>72.319555000000264</v>
      </c>
      <c r="G27" s="42"/>
      <c r="H27" s="42">
        <f>+H28+H29</f>
        <v>391.97735000000011</v>
      </c>
      <c r="I27" s="42"/>
      <c r="J27" s="42">
        <f>+J28+J29</f>
        <v>27.609112000000096</v>
      </c>
      <c r="K27" s="42"/>
      <c r="L27" s="42">
        <f>+L28+L29</f>
        <v>85.243881000000101</v>
      </c>
      <c r="M27" s="42"/>
      <c r="N27" s="42">
        <f>+N28+N29</f>
        <v>108.4303359999999</v>
      </c>
      <c r="O27" s="42"/>
      <c r="P27" s="42">
        <f>+P28+P29</f>
        <v>117.86120400000001</v>
      </c>
      <c r="Q27" s="42"/>
      <c r="R27" s="42">
        <f>+R28+R29</f>
        <v>138.62294099999986</v>
      </c>
      <c r="S27" s="42"/>
      <c r="T27" s="42">
        <f>+T28+T29</f>
        <v>457.22391899999991</v>
      </c>
      <c r="U27" s="42"/>
      <c r="V27" s="42">
        <f>+V28+V29</f>
        <v>553.54499799999996</v>
      </c>
      <c r="W27" s="42"/>
      <c r="X27" s="42">
        <f>+X28+X29</f>
        <v>1124.123204</v>
      </c>
      <c r="Y27" s="42"/>
      <c r="Z27" s="42">
        <f>+Z28+Z29</f>
        <v>28619.074701000005</v>
      </c>
      <c r="AA27" s="75"/>
      <c r="AB27" s="75">
        <f>+AB28+AB29</f>
        <v>31767.131201000004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194" t="s">
        <v>66</v>
      </c>
      <c r="C28" s="90"/>
      <c r="D28" s="42">
        <v>71.100000000000364</v>
      </c>
      <c r="E28" s="42"/>
      <c r="F28" s="42">
        <v>72.319555000000264</v>
      </c>
      <c r="G28" s="42"/>
      <c r="H28" s="42">
        <v>29.477350000000115</v>
      </c>
      <c r="I28" s="42"/>
      <c r="J28" s="42">
        <v>27.609112000000096</v>
      </c>
      <c r="K28" s="42"/>
      <c r="L28" s="42">
        <v>85.243881000000101</v>
      </c>
      <c r="M28" s="42"/>
      <c r="N28" s="42">
        <v>108.4303359999999</v>
      </c>
      <c r="O28" s="42"/>
      <c r="P28" s="42">
        <v>117.86120400000001</v>
      </c>
      <c r="Q28" s="42"/>
      <c r="R28" s="42">
        <v>138.62294099999986</v>
      </c>
      <c r="S28" s="42"/>
      <c r="T28" s="42">
        <v>457.22391899999991</v>
      </c>
      <c r="U28" s="42"/>
      <c r="V28" s="42">
        <v>553.54499799999996</v>
      </c>
      <c r="W28" s="42"/>
      <c r="X28" s="42">
        <v>1124.123204</v>
      </c>
      <c r="Y28" s="42"/>
      <c r="Z28" s="42">
        <v>2881.5747010000032</v>
      </c>
      <c r="AA28" s="75"/>
      <c r="AB28" s="75">
        <f>SUM(D28:Z28)</f>
        <v>5667.1312010000038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0</v>
      </c>
      <c r="E29" s="42"/>
      <c r="F29" s="42">
        <v>0</v>
      </c>
      <c r="G29" s="42"/>
      <c r="H29" s="42">
        <v>362.5</v>
      </c>
      <c r="I29" s="42"/>
      <c r="J29" s="42">
        <v>0</v>
      </c>
      <c r="K29" s="42"/>
      <c r="L29" s="42">
        <v>0</v>
      </c>
      <c r="M29" s="42"/>
      <c r="N29" s="42">
        <v>0</v>
      </c>
      <c r="O29" s="42"/>
      <c r="P29" s="42">
        <v>0</v>
      </c>
      <c r="Q29" s="42"/>
      <c r="R29" s="42">
        <v>0</v>
      </c>
      <c r="S29" s="42"/>
      <c r="T29" s="42">
        <v>0</v>
      </c>
      <c r="U29" s="42"/>
      <c r="V29" s="42">
        <v>0</v>
      </c>
      <c r="W29" s="42"/>
      <c r="X29" s="42">
        <v>0</v>
      </c>
      <c r="Y29" s="42"/>
      <c r="Z29" s="42">
        <v>25737.5</v>
      </c>
      <c r="AA29" s="75"/>
      <c r="AB29" s="42">
        <f>SUM(D29:Z29)</f>
        <v>26100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0</v>
      </c>
      <c r="I31" s="118"/>
      <c r="J31" s="118">
        <v>0</v>
      </c>
      <c r="K31" s="118"/>
      <c r="L31" s="118">
        <v>661.93482800000004</v>
      </c>
      <c r="M31" s="118"/>
      <c r="N31" s="118">
        <v>0</v>
      </c>
      <c r="O31" s="118"/>
      <c r="P31" s="118">
        <v>0</v>
      </c>
      <c r="Q31" s="118"/>
      <c r="R31" s="118">
        <v>3251.441186</v>
      </c>
      <c r="S31" s="118"/>
      <c r="T31" s="118">
        <v>0</v>
      </c>
      <c r="U31" s="118"/>
      <c r="V31" s="118">
        <v>0</v>
      </c>
      <c r="W31" s="118"/>
      <c r="X31" s="118">
        <v>7689.1828999999998</v>
      </c>
      <c r="Y31" s="118"/>
      <c r="Z31" s="118">
        <v>33141.633418999998</v>
      </c>
      <c r="AA31" s="41"/>
      <c r="AB31" s="75">
        <f>SUM(D31:Z31)</f>
        <v>44744.192332999999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207" t="s">
        <v>73</v>
      </c>
      <c r="C33" s="95"/>
      <c r="D33" s="119">
        <f>D23-D25+D31</f>
        <v>41266.149033999995</v>
      </c>
      <c r="E33" s="119"/>
      <c r="F33" s="119">
        <f>F23-F25+F31</f>
        <v>44674.809036999992</v>
      </c>
      <c r="G33" s="119"/>
      <c r="H33" s="119">
        <f>H23-H25+H31</f>
        <v>57552.664976</v>
      </c>
      <c r="I33" s="119"/>
      <c r="J33" s="119">
        <f>J23-J25+J31</f>
        <v>56549.161522999981</v>
      </c>
      <c r="K33" s="119"/>
      <c r="L33" s="119">
        <f>L23-L25+L31</f>
        <v>57075.392438999988</v>
      </c>
      <c r="M33" s="119"/>
      <c r="N33" s="119">
        <f>N23-N25+N31</f>
        <v>66041.564455</v>
      </c>
      <c r="O33" s="119"/>
      <c r="P33" s="119">
        <f>P23-P25+P31</f>
        <v>54597.823199000006</v>
      </c>
      <c r="Q33" s="119"/>
      <c r="R33" s="119">
        <f>R23-R25+R31</f>
        <v>58530.292052999997</v>
      </c>
      <c r="S33" s="119"/>
      <c r="T33" s="119">
        <f>T23-T25+T31</f>
        <v>62357.808298999982</v>
      </c>
      <c r="U33" s="119"/>
      <c r="V33" s="119">
        <f>V23-V25+V31</f>
        <v>50713.978864999997</v>
      </c>
      <c r="W33" s="119"/>
      <c r="X33" s="119">
        <f>X23-X25+X31</f>
        <v>75444.526358000003</v>
      </c>
      <c r="Y33" s="119"/>
      <c r="Z33" s="119">
        <f>Z23-Z25+Z31</f>
        <v>71782.904577999987</v>
      </c>
      <c r="AA33" s="119"/>
      <c r="AB33" s="119">
        <f>AB23-AB25+AB31</f>
        <v>696587.07481599983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45596.4</v>
      </c>
      <c r="E35" s="42"/>
      <c r="F35" s="42">
        <v>46396</v>
      </c>
      <c r="G35" s="42"/>
      <c r="H35" s="42">
        <v>39215.199999999997</v>
      </c>
      <c r="I35" s="42"/>
      <c r="J35" s="42">
        <v>48485.8</v>
      </c>
      <c r="K35" s="42"/>
      <c r="L35" s="42">
        <v>48466.5</v>
      </c>
      <c r="M35" s="42"/>
      <c r="N35" s="42">
        <v>45216.1</v>
      </c>
      <c r="O35" s="42"/>
      <c r="P35" s="42">
        <v>58952.6</v>
      </c>
      <c r="Q35" s="42"/>
      <c r="R35" s="42">
        <v>49579.199999999997</v>
      </c>
      <c r="S35" s="42"/>
      <c r="T35" s="42">
        <v>46972.2</v>
      </c>
      <c r="U35" s="42"/>
      <c r="V35" s="42">
        <v>67366.7</v>
      </c>
      <c r="W35" s="42"/>
      <c r="X35" s="42">
        <v>52238.2</v>
      </c>
      <c r="Y35" s="42"/>
      <c r="Z35" s="42">
        <v>67555.8</v>
      </c>
      <c r="AA35" s="42"/>
      <c r="AB35" s="75">
        <f>SUM(D35:Z35)</f>
        <v>616040.69999999995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-4330.2509660000069</v>
      </c>
      <c r="E37" s="119"/>
      <c r="F37" s="119">
        <f>F33-F35</f>
        <v>-1721.1909630000082</v>
      </c>
      <c r="G37" s="119"/>
      <c r="H37" s="119">
        <f>H33-H35</f>
        <v>18337.464976000003</v>
      </c>
      <c r="I37" s="119"/>
      <c r="J37" s="119">
        <f>J33-J35</f>
        <v>8063.3615229999778</v>
      </c>
      <c r="K37" s="119"/>
      <c r="L37" s="119">
        <f>L33-L35</f>
        <v>8608.8924389999884</v>
      </c>
      <c r="M37" s="119"/>
      <c r="N37" s="119">
        <f>N33-N35</f>
        <v>20825.464455000001</v>
      </c>
      <c r="O37" s="119"/>
      <c r="P37" s="119">
        <f>P33-P35</f>
        <v>-4354.7768009999927</v>
      </c>
      <c r="Q37" s="119"/>
      <c r="R37" s="119">
        <f>R33-R35</f>
        <v>8951.0920530000003</v>
      </c>
      <c r="S37" s="119"/>
      <c r="T37" s="119">
        <f>T33-T35</f>
        <v>15385.608298999985</v>
      </c>
      <c r="U37" s="119"/>
      <c r="V37" s="119">
        <f>V33-V35</f>
        <v>-16652.721135</v>
      </c>
      <c r="W37" s="119"/>
      <c r="X37" s="119">
        <f>X33-X35</f>
        <v>23206.326358000006</v>
      </c>
      <c r="Y37" s="119"/>
      <c r="Z37" s="119">
        <f>Z33-Z35</f>
        <v>4227.104577999984</v>
      </c>
      <c r="AA37" s="119"/>
      <c r="AB37" s="119">
        <f>AB33-AB35</f>
        <v>80546.37481599988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1225.0041590000001</v>
      </c>
      <c r="E39" s="72"/>
      <c r="F39" s="42">
        <f>F40+F43</f>
        <v>3121.5448580000002</v>
      </c>
      <c r="G39" s="72"/>
      <c r="H39" s="42">
        <f>H40+H43</f>
        <v>482.6856479999999</v>
      </c>
      <c r="I39" s="72"/>
      <c r="J39" s="42">
        <f>J40+J43</f>
        <v>2409.4930410000002</v>
      </c>
      <c r="K39" s="72"/>
      <c r="L39" s="42">
        <f>L40+L43</f>
        <v>2049.9747700000003</v>
      </c>
      <c r="M39" s="72"/>
      <c r="N39" s="42">
        <f>N40+N43</f>
        <v>2852.844122</v>
      </c>
      <c r="O39" s="72"/>
      <c r="P39" s="42">
        <f>P40+P43</f>
        <v>3328.344126</v>
      </c>
      <c r="Q39" s="72"/>
      <c r="R39" s="42">
        <f>R40+R43</f>
        <v>4175.9203419999994</v>
      </c>
      <c r="S39" s="72"/>
      <c r="T39" s="42">
        <f>T40+T43</f>
        <v>1949.8183020000001</v>
      </c>
      <c r="U39" s="72"/>
      <c r="V39" s="42">
        <f>V40+V43</f>
        <v>3374.4107290000002</v>
      </c>
      <c r="W39" s="72"/>
      <c r="X39" s="42">
        <f>X40+X43</f>
        <v>2179.8304189999999</v>
      </c>
      <c r="Y39" s="72"/>
      <c r="Z39" s="42">
        <f>Z40+Z43</f>
        <v>4008.2944239999997</v>
      </c>
      <c r="AA39" s="72"/>
      <c r="AB39" s="42">
        <f>AB40+AB43</f>
        <v>31158.164940000002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887.31847800000003</v>
      </c>
      <c r="E40" s="42"/>
      <c r="F40" s="42">
        <f>F41+F42</f>
        <v>487.19383199999999</v>
      </c>
      <c r="G40" s="42"/>
      <c r="H40" s="42">
        <f>H41+H42</f>
        <v>1943.359897</v>
      </c>
      <c r="I40" s="42"/>
      <c r="J40" s="42">
        <f>J41+J42</f>
        <v>1456.6925470000001</v>
      </c>
      <c r="K40" s="42"/>
      <c r="L40" s="42">
        <f>L41+L42</f>
        <v>665.42670299999997</v>
      </c>
      <c r="M40" s="42"/>
      <c r="N40" s="42">
        <f>N41+N42</f>
        <v>783.97687499999995</v>
      </c>
      <c r="O40" s="42"/>
      <c r="P40" s="42">
        <f>P41+P42</f>
        <v>1912.208042</v>
      </c>
      <c r="Q40" s="42"/>
      <c r="R40" s="42">
        <f>R41+R42</f>
        <v>532.39040699999998</v>
      </c>
      <c r="S40" s="42"/>
      <c r="T40" s="42">
        <f>T41+T42</f>
        <v>758.39510200000007</v>
      </c>
      <c r="U40" s="42"/>
      <c r="V40" s="42">
        <f>+V41+V42</f>
        <v>2178.602234</v>
      </c>
      <c r="W40" s="42"/>
      <c r="X40" s="42">
        <f>+X41+X42</f>
        <v>859.73907199999996</v>
      </c>
      <c r="Y40" s="42"/>
      <c r="Z40" s="42">
        <f>+Z41+Z42</f>
        <v>840.551963</v>
      </c>
      <c r="AA40" s="75"/>
      <c r="AB40" s="75">
        <f>+AB41+AB42</f>
        <v>13305.855152000002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194" t="s">
        <v>56</v>
      </c>
      <c r="C41" s="72"/>
      <c r="D41" s="118">
        <v>887.31847800000003</v>
      </c>
      <c r="E41" s="118"/>
      <c r="F41" s="118">
        <v>487.19383199999999</v>
      </c>
      <c r="G41" s="118"/>
      <c r="H41" s="118">
        <v>1778.964201</v>
      </c>
      <c r="I41" s="118"/>
      <c r="J41" s="118">
        <v>1456.6925470000001</v>
      </c>
      <c r="K41" s="118"/>
      <c r="L41" s="118">
        <v>665.42670299999997</v>
      </c>
      <c r="M41" s="118"/>
      <c r="N41" s="118">
        <v>621.07263699999999</v>
      </c>
      <c r="O41" s="118"/>
      <c r="P41" s="118">
        <v>1912.208042</v>
      </c>
      <c r="Q41" s="118"/>
      <c r="R41" s="118">
        <v>532.39040699999998</v>
      </c>
      <c r="S41" s="118"/>
      <c r="T41" s="118">
        <v>602.07937600000002</v>
      </c>
      <c r="U41" s="118"/>
      <c r="V41" s="118">
        <v>2178.602234</v>
      </c>
      <c r="W41" s="118"/>
      <c r="X41" s="118">
        <v>859.73907199999996</v>
      </c>
      <c r="Y41" s="118"/>
      <c r="Z41" s="118">
        <v>698.46207900000002</v>
      </c>
      <c r="AA41" s="118"/>
      <c r="AB41" s="118">
        <f>SUM(D41:Z41)</f>
        <v>12680.149608000002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0</v>
      </c>
      <c r="E42" s="42"/>
      <c r="F42" s="42">
        <v>0</v>
      </c>
      <c r="G42" s="42"/>
      <c r="H42" s="42">
        <v>164.39569599999999</v>
      </c>
      <c r="I42" s="42"/>
      <c r="J42" s="42">
        <v>0</v>
      </c>
      <c r="K42" s="42"/>
      <c r="L42" s="42">
        <v>0</v>
      </c>
      <c r="M42" s="42"/>
      <c r="N42" s="42">
        <v>162.90423799999999</v>
      </c>
      <c r="O42" s="42"/>
      <c r="P42" s="42">
        <v>0</v>
      </c>
      <c r="Q42" s="42"/>
      <c r="R42" s="42">
        <v>0</v>
      </c>
      <c r="S42" s="42"/>
      <c r="T42" s="42">
        <v>156.31572600000001</v>
      </c>
      <c r="U42" s="42"/>
      <c r="V42" s="42">
        <v>0</v>
      </c>
      <c r="W42" s="42"/>
      <c r="X42" s="42">
        <v>0</v>
      </c>
      <c r="Y42" s="42"/>
      <c r="Z42" s="42">
        <v>142.08988400000001</v>
      </c>
      <c r="AA42" s="75"/>
      <c r="AB42" s="75">
        <f>SUM(D42:Z42)</f>
        <v>625.70554400000003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337.68568099999999</v>
      </c>
      <c r="E43" s="42"/>
      <c r="F43" s="42">
        <v>2634.3510260000003</v>
      </c>
      <c r="G43" s="42"/>
      <c r="H43" s="42">
        <v>-1460.6742490000001</v>
      </c>
      <c r="I43" s="42"/>
      <c r="J43" s="42">
        <v>952.80049399999996</v>
      </c>
      <c r="K43" s="42"/>
      <c r="L43" s="42">
        <v>1384.5480670000002</v>
      </c>
      <c r="M43" s="42"/>
      <c r="N43" s="42">
        <v>2068.8672470000001</v>
      </c>
      <c r="O43" s="42"/>
      <c r="P43" s="42">
        <v>1416.136084</v>
      </c>
      <c r="Q43" s="42"/>
      <c r="R43" s="42">
        <v>3643.5299349999996</v>
      </c>
      <c r="S43" s="42"/>
      <c r="T43" s="42">
        <v>1191.4232</v>
      </c>
      <c r="U43" s="42"/>
      <c r="V43" s="42">
        <v>1195.808495</v>
      </c>
      <c r="W43" s="42"/>
      <c r="X43" s="42">
        <v>1320.091347</v>
      </c>
      <c r="Y43" s="42"/>
      <c r="Z43" s="42">
        <v>3167.7424609999998</v>
      </c>
      <c r="AA43" s="75"/>
      <c r="AB43" s="75">
        <f>SUM(D43:Z43)</f>
        <v>17852.309787999999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-5555.255125000007</v>
      </c>
      <c r="E45" s="95"/>
      <c r="F45" s="48">
        <f>F37-F39</f>
        <v>-4842.7358210000084</v>
      </c>
      <c r="G45" s="95"/>
      <c r="H45" s="48">
        <f>H37-H39</f>
        <v>17854.779328000004</v>
      </c>
      <c r="I45" s="95"/>
      <c r="J45" s="48">
        <f>J37-J39</f>
        <v>5653.868481999978</v>
      </c>
      <c r="K45" s="95"/>
      <c r="L45" s="48">
        <f>L37-L39</f>
        <v>6558.9176689999877</v>
      </c>
      <c r="M45" s="95"/>
      <c r="N45" s="48">
        <f>N37-N39</f>
        <v>17972.620333000003</v>
      </c>
      <c r="O45" s="95"/>
      <c r="P45" s="48">
        <f>P37-P39</f>
        <v>-7683.1209269999927</v>
      </c>
      <c r="Q45" s="95"/>
      <c r="R45" s="48">
        <f>R37-R39</f>
        <v>4775.1717110000009</v>
      </c>
      <c r="S45" s="95"/>
      <c r="T45" s="48">
        <f>T37-T39</f>
        <v>13435.789996999985</v>
      </c>
      <c r="U45" s="95"/>
      <c r="V45" s="48">
        <f>V37-V39</f>
        <v>-20027.131863999999</v>
      </c>
      <c r="W45" s="95"/>
      <c r="X45" s="48">
        <f>X37-X39</f>
        <v>21026.495939000008</v>
      </c>
      <c r="Y45" s="95"/>
      <c r="Z45" s="48">
        <f>Z37-Z39</f>
        <v>218.81015399998432</v>
      </c>
      <c r="AA45" s="95"/>
      <c r="AB45" s="48">
        <f>AB37-AB39</f>
        <v>49388.209875999877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64" t="s">
        <v>41</v>
      </c>
      <c r="C47" s="464"/>
      <c r="D47" s="464"/>
      <c r="E47" s="464"/>
      <c r="F47" s="464"/>
      <c r="G47" s="464"/>
      <c r="H47" s="464"/>
      <c r="I47" s="464"/>
      <c r="J47" s="464"/>
      <c r="K47" s="464"/>
      <c r="L47" s="464"/>
      <c r="M47" s="464"/>
      <c r="N47" s="464"/>
      <c r="O47" s="464"/>
      <c r="P47" s="464"/>
      <c r="Q47" s="464"/>
      <c r="R47" s="464"/>
      <c r="S47" s="464"/>
      <c r="T47" s="464"/>
      <c r="U47" s="464"/>
      <c r="V47" s="464"/>
      <c r="W47" s="464"/>
      <c r="X47" s="464"/>
      <c r="Y47" s="464"/>
      <c r="Z47" s="464"/>
      <c r="AA47" s="464"/>
      <c r="AB47" s="464"/>
      <c r="AC47" s="212"/>
      <c r="AD47" s="212"/>
      <c r="AE47" s="101"/>
      <c r="AF47" s="212"/>
    </row>
    <row r="48" spans="1:35" ht="14.25" customHeight="1">
      <c r="B48" s="474" t="s">
        <v>58</v>
      </c>
      <c r="C48" s="474"/>
      <c r="D48" s="474"/>
      <c r="E48" s="474"/>
      <c r="F48" s="474"/>
      <c r="G48" s="474"/>
      <c r="H48" s="474"/>
      <c r="I48" s="474"/>
      <c r="J48" s="474"/>
      <c r="K48" s="474"/>
      <c r="L48" s="474"/>
      <c r="M48" s="474"/>
      <c r="N48" s="474"/>
      <c r="O48" s="474"/>
      <c r="P48" s="474"/>
      <c r="Q48" s="474"/>
      <c r="R48" s="474"/>
      <c r="S48" s="474"/>
      <c r="T48" s="474"/>
      <c r="U48" s="474"/>
      <c r="V48" s="474"/>
      <c r="W48" s="474"/>
      <c r="X48" s="474"/>
      <c r="Y48" s="474"/>
      <c r="Z48" s="474"/>
      <c r="AA48" s="474"/>
      <c r="AB48" s="474"/>
      <c r="AC48" s="212"/>
      <c r="AD48" s="212"/>
      <c r="AE48" s="101"/>
      <c r="AF48" s="212"/>
    </row>
    <row r="49" spans="1:32" ht="14.25" customHeight="1">
      <c r="B49" s="464" t="s">
        <v>59</v>
      </c>
      <c r="C49" s="464"/>
      <c r="D49" s="464"/>
      <c r="E49" s="464"/>
      <c r="F49" s="464"/>
      <c r="G49" s="464"/>
      <c r="H49" s="464"/>
      <c r="I49" s="464"/>
      <c r="J49" s="464"/>
      <c r="K49" s="464"/>
      <c r="L49" s="464"/>
      <c r="M49" s="464"/>
      <c r="N49" s="464"/>
      <c r="O49" s="464"/>
      <c r="P49" s="464"/>
      <c r="Q49" s="464"/>
      <c r="R49" s="464"/>
      <c r="S49" s="464"/>
      <c r="T49" s="464"/>
      <c r="U49" s="464"/>
      <c r="V49" s="464"/>
      <c r="W49" s="464"/>
      <c r="X49" s="464"/>
      <c r="Y49" s="464"/>
      <c r="Z49" s="464"/>
      <c r="AA49" s="464"/>
      <c r="AB49" s="464"/>
      <c r="AC49" s="212"/>
      <c r="AD49" s="212"/>
      <c r="AE49" s="101"/>
      <c r="AF49" s="212"/>
    </row>
    <row r="50" spans="1:32" ht="14.25" customHeight="1">
      <c r="B50" s="464" t="s">
        <v>60</v>
      </c>
      <c r="C50" s="464"/>
      <c r="D50" s="464"/>
      <c r="E50" s="464"/>
      <c r="F50" s="464"/>
      <c r="G50" s="464"/>
      <c r="H50" s="464"/>
      <c r="I50" s="464"/>
      <c r="J50" s="464"/>
      <c r="K50" s="464"/>
      <c r="L50" s="464"/>
      <c r="M50" s="464"/>
      <c r="N50" s="464"/>
      <c r="O50" s="464"/>
      <c r="P50" s="464"/>
      <c r="Q50" s="464"/>
      <c r="R50" s="464"/>
      <c r="S50" s="464"/>
      <c r="T50" s="464"/>
      <c r="U50" s="464"/>
      <c r="V50" s="464"/>
      <c r="W50" s="464"/>
      <c r="X50" s="464"/>
      <c r="Y50" s="464"/>
      <c r="Z50" s="464"/>
      <c r="AA50" s="464"/>
      <c r="AB50" s="464"/>
      <c r="AC50" s="212"/>
      <c r="AD50" s="212"/>
      <c r="AE50" s="101"/>
      <c r="AF50" s="212"/>
    </row>
    <row r="51" spans="1:32" ht="14.25" customHeight="1">
      <c r="B51" s="464" t="s">
        <v>42</v>
      </c>
      <c r="C51" s="464"/>
      <c r="D51" s="464"/>
      <c r="E51" s="464"/>
      <c r="F51" s="464"/>
      <c r="G51" s="464"/>
      <c r="H51" s="464"/>
      <c r="I51" s="464"/>
      <c r="J51" s="464"/>
      <c r="K51" s="464"/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464"/>
      <c r="X51" s="464"/>
      <c r="Y51" s="464"/>
      <c r="Z51" s="464"/>
      <c r="AA51" s="464"/>
      <c r="AB51" s="464"/>
      <c r="AC51" s="212"/>
      <c r="AD51" s="212"/>
      <c r="AE51" s="101"/>
      <c r="AF51" s="212"/>
    </row>
    <row r="52" spans="1:32" ht="14.25" customHeight="1">
      <c r="B52" s="464" t="s">
        <v>52</v>
      </c>
      <c r="C52" s="464"/>
      <c r="D52" s="464"/>
      <c r="E52" s="464"/>
      <c r="F52" s="464"/>
      <c r="G52" s="464"/>
      <c r="H52" s="464"/>
      <c r="I52" s="464"/>
      <c r="J52" s="464"/>
      <c r="K52" s="464"/>
      <c r="L52" s="464"/>
      <c r="M52" s="464"/>
      <c r="N52" s="464"/>
      <c r="O52" s="464"/>
      <c r="P52" s="464"/>
      <c r="Q52" s="464"/>
      <c r="R52" s="464"/>
      <c r="S52" s="464"/>
      <c r="T52" s="464"/>
      <c r="U52" s="464"/>
      <c r="V52" s="464"/>
      <c r="W52" s="464"/>
      <c r="X52" s="464"/>
      <c r="Y52" s="464"/>
      <c r="Z52" s="464"/>
      <c r="AA52" s="464"/>
      <c r="AB52" s="464"/>
      <c r="AC52" s="212"/>
      <c r="AD52" s="212"/>
      <c r="AE52" s="101"/>
      <c r="AF52" s="212"/>
    </row>
    <row r="53" spans="1:32" ht="14.25" customHeight="1">
      <c r="B53" s="474" t="s">
        <v>61</v>
      </c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212"/>
      <c r="AD53" s="212"/>
      <c r="AE53" s="101"/>
      <c r="AF53" s="212"/>
    </row>
    <row r="54" spans="1:32" ht="14.25" customHeight="1">
      <c r="B54" s="464" t="s">
        <v>62</v>
      </c>
      <c r="C54" s="464"/>
      <c r="D54" s="464"/>
      <c r="E54" s="464"/>
      <c r="F54" s="464"/>
      <c r="G54" s="464"/>
      <c r="H54" s="464"/>
      <c r="I54" s="464"/>
      <c r="J54" s="464"/>
      <c r="K54" s="464"/>
      <c r="L54" s="464"/>
      <c r="M54" s="464"/>
      <c r="N54" s="464"/>
      <c r="O54" s="464"/>
      <c r="P54" s="464"/>
      <c r="Q54" s="464"/>
      <c r="R54" s="464"/>
      <c r="S54" s="464"/>
      <c r="T54" s="464"/>
      <c r="U54" s="464"/>
      <c r="V54" s="464"/>
      <c r="W54" s="464"/>
      <c r="X54" s="464"/>
      <c r="Y54" s="464"/>
      <c r="Z54" s="464"/>
      <c r="AA54" s="464"/>
      <c r="AB54" s="464"/>
      <c r="AC54" s="212"/>
      <c r="AD54" s="212"/>
      <c r="AE54" s="101"/>
      <c r="AF54" s="212"/>
    </row>
    <row r="55" spans="1:32" ht="14.25" customHeight="1">
      <c r="B55" s="201" t="s">
        <v>64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2" ht="14.25" customHeight="1">
      <c r="B56" s="464" t="s">
        <v>65</v>
      </c>
      <c r="C56" s="464"/>
      <c r="D56" s="464"/>
      <c r="E56" s="464"/>
      <c r="F56" s="464"/>
      <c r="G56" s="464"/>
      <c r="H56" s="464"/>
      <c r="I56" s="464"/>
      <c r="J56" s="464"/>
      <c r="K56" s="464"/>
      <c r="L56" s="464"/>
      <c r="M56" s="464"/>
      <c r="N56" s="464"/>
      <c r="O56" s="464"/>
      <c r="P56" s="464"/>
      <c r="Q56" s="464"/>
      <c r="R56" s="464"/>
      <c r="S56" s="464"/>
      <c r="T56" s="464"/>
      <c r="U56" s="464"/>
      <c r="V56" s="464"/>
      <c r="W56" s="464"/>
      <c r="X56" s="464"/>
      <c r="Y56" s="464"/>
      <c r="Z56" s="464"/>
      <c r="AA56" s="464"/>
      <c r="AB56" s="464"/>
      <c r="AC56" s="212"/>
      <c r="AD56" s="212"/>
      <c r="AE56" s="101"/>
      <c r="AF56" s="212"/>
    </row>
    <row r="57" spans="1:32" ht="14.25" customHeight="1">
      <c r="B57" s="201" t="s">
        <v>74</v>
      </c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212"/>
      <c r="AD57" s="212"/>
      <c r="AE57" s="101"/>
      <c r="AF57" s="212"/>
    </row>
    <row r="58" spans="1:32" ht="14.25" customHeight="1">
      <c r="B58" s="464" t="s">
        <v>67</v>
      </c>
      <c r="C58" s="464"/>
      <c r="D58" s="464"/>
      <c r="E58" s="464"/>
      <c r="F58" s="464"/>
      <c r="G58" s="464"/>
      <c r="H58" s="464"/>
      <c r="I58" s="464"/>
      <c r="J58" s="464"/>
      <c r="K58" s="464"/>
      <c r="L58" s="464"/>
      <c r="M58" s="464"/>
      <c r="N58" s="464"/>
      <c r="O58" s="464"/>
      <c r="P58" s="464"/>
      <c r="Q58" s="464"/>
      <c r="R58" s="464"/>
      <c r="S58" s="464"/>
      <c r="T58" s="464"/>
      <c r="U58" s="464"/>
      <c r="V58" s="464"/>
      <c r="W58" s="464"/>
      <c r="X58" s="464"/>
      <c r="Y58" s="464"/>
      <c r="Z58" s="464"/>
      <c r="AA58" s="464"/>
      <c r="AB58" s="464"/>
      <c r="AC58" s="212"/>
      <c r="AD58" s="212"/>
      <c r="AE58" s="101"/>
      <c r="AF58" s="212"/>
    </row>
    <row r="59" spans="1:32" ht="14.25" customHeight="1">
      <c r="B59" s="464" t="s">
        <v>68</v>
      </c>
      <c r="C59" s="464"/>
      <c r="D59" s="464"/>
      <c r="E59" s="464"/>
      <c r="F59" s="464"/>
      <c r="G59" s="464"/>
      <c r="H59" s="464"/>
      <c r="I59" s="464"/>
      <c r="J59" s="464"/>
      <c r="K59" s="464"/>
      <c r="L59" s="464"/>
      <c r="M59" s="464"/>
      <c r="N59" s="464"/>
      <c r="O59" s="464"/>
      <c r="P59" s="464"/>
      <c r="Q59" s="464"/>
      <c r="R59" s="464"/>
      <c r="S59" s="464"/>
      <c r="T59" s="464"/>
      <c r="U59" s="464"/>
      <c r="V59" s="464"/>
      <c r="W59" s="464"/>
      <c r="X59" s="464"/>
      <c r="Y59" s="464"/>
      <c r="Z59" s="464"/>
      <c r="AA59" s="464"/>
      <c r="AB59" s="464"/>
      <c r="AC59" s="212"/>
      <c r="AD59" s="212"/>
      <c r="AE59" s="101"/>
      <c r="AF59" s="212"/>
    </row>
    <row r="60" spans="1:32" ht="14.25" customHeight="1">
      <c r="B60" s="464" t="s">
        <v>3</v>
      </c>
      <c r="C60" s="464"/>
      <c r="D60" s="464"/>
      <c r="E60" s="464"/>
      <c r="F60" s="464"/>
      <c r="G60" s="464"/>
      <c r="H60" s="464"/>
      <c r="I60" s="464"/>
      <c r="J60" s="464"/>
      <c r="K60" s="464"/>
      <c r="L60" s="464"/>
      <c r="M60" s="464"/>
      <c r="N60" s="464"/>
      <c r="O60" s="464"/>
      <c r="P60" s="464"/>
      <c r="Q60" s="464"/>
      <c r="R60" s="464"/>
      <c r="S60" s="464"/>
      <c r="T60" s="464"/>
      <c r="U60" s="464"/>
      <c r="V60" s="464"/>
      <c r="W60" s="464"/>
      <c r="X60" s="464"/>
      <c r="Y60" s="464"/>
      <c r="Z60" s="464"/>
      <c r="AA60" s="464"/>
      <c r="AB60" s="464"/>
      <c r="AC60" s="212"/>
      <c r="AD60" s="212"/>
      <c r="AE60" s="101"/>
      <c r="AF60" s="212"/>
    </row>
    <row r="61" spans="1:32" ht="14.25" customHeight="1">
      <c r="A61" s="18"/>
      <c r="B61" s="100"/>
      <c r="C61" s="93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12"/>
      <c r="AD61" s="212"/>
      <c r="AE61" s="101"/>
      <c r="AF61" s="212"/>
    </row>
    <row r="62" spans="1:32" ht="20.25">
      <c r="B62" s="453" t="s">
        <v>32</v>
      </c>
      <c r="C62" s="453"/>
      <c r="D62" s="453"/>
      <c r="E62" s="453"/>
      <c r="F62" s="453"/>
      <c r="G62" s="453"/>
      <c r="H62" s="453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Y62" s="453"/>
      <c r="Z62" s="453"/>
      <c r="AA62" s="453"/>
      <c r="AB62" s="453"/>
      <c r="AC62" s="214"/>
      <c r="AD62" s="214"/>
      <c r="AE62" s="214"/>
      <c r="AF62" s="214"/>
    </row>
    <row r="63" spans="1:32">
      <c r="B63" s="102"/>
      <c r="C63" s="469"/>
      <c r="D63" s="460"/>
      <c r="E63" s="469"/>
      <c r="F63" s="470"/>
      <c r="G63" s="469"/>
      <c r="H63" s="470"/>
      <c r="I63" s="469"/>
      <c r="J63" s="470"/>
      <c r="K63" s="469"/>
      <c r="L63" s="470"/>
      <c r="M63" s="469"/>
      <c r="N63" s="470"/>
      <c r="O63" s="469"/>
      <c r="P63" s="470"/>
      <c r="Q63" s="469"/>
      <c r="R63" s="470"/>
      <c r="S63" s="469"/>
      <c r="T63" s="470"/>
      <c r="U63" s="469"/>
      <c r="V63" s="470"/>
      <c r="W63" s="469"/>
      <c r="X63" s="470"/>
      <c r="Y63" s="469"/>
      <c r="Z63" s="470"/>
      <c r="AA63" s="469"/>
      <c r="AB63" s="470"/>
    </row>
    <row r="64" spans="1:32">
      <c r="B64" s="102">
        <f>B5</f>
        <v>2005</v>
      </c>
      <c r="C64" s="469" t="s">
        <v>4</v>
      </c>
      <c r="D64" s="460"/>
      <c r="E64" s="469" t="s">
        <v>5</v>
      </c>
      <c r="F64" s="470"/>
      <c r="G64" s="469" t="s">
        <v>6</v>
      </c>
      <c r="H64" s="470"/>
      <c r="I64" s="469" t="s">
        <v>7</v>
      </c>
      <c r="J64" s="470"/>
      <c r="K64" s="469" t="s">
        <v>8</v>
      </c>
      <c r="L64" s="470"/>
      <c r="M64" s="469" t="s">
        <v>9</v>
      </c>
      <c r="N64" s="470"/>
      <c r="O64" s="469" t="s">
        <v>10</v>
      </c>
      <c r="P64" s="470"/>
      <c r="Q64" s="471" t="s">
        <v>11</v>
      </c>
      <c r="R64" s="470"/>
      <c r="S64" s="471" t="s">
        <v>12</v>
      </c>
      <c r="T64" s="470"/>
      <c r="U64" s="469" t="s">
        <v>0</v>
      </c>
      <c r="V64" s="473"/>
      <c r="W64" s="469" t="s">
        <v>1</v>
      </c>
      <c r="X64" s="473"/>
      <c r="Y64" s="469" t="s">
        <v>2</v>
      </c>
      <c r="Z64" s="473"/>
      <c r="AA64" s="469" t="s">
        <v>102</v>
      </c>
      <c r="AB64" s="460"/>
    </row>
    <row r="65" spans="1:35">
      <c r="B65" s="102"/>
      <c r="C65" s="469"/>
      <c r="D65" s="460"/>
      <c r="E65" s="469"/>
      <c r="F65" s="460"/>
      <c r="G65" s="469"/>
      <c r="H65" s="460"/>
      <c r="I65" s="469"/>
      <c r="J65" s="460"/>
      <c r="K65" s="469"/>
      <c r="L65" s="460"/>
      <c r="M65" s="469"/>
      <c r="N65" s="460"/>
      <c r="O65" s="469"/>
      <c r="P65" s="460"/>
      <c r="Q65" s="469"/>
      <c r="R65" s="460"/>
      <c r="S65" s="469"/>
      <c r="T65" s="460"/>
      <c r="U65" s="469"/>
      <c r="V65" s="460"/>
      <c r="W65" s="469"/>
      <c r="X65" s="460"/>
      <c r="Y65" s="469"/>
      <c r="Z65" s="460"/>
      <c r="AA65" s="469"/>
      <c r="AB65" s="460"/>
    </row>
    <row r="66" spans="1:35" s="202" customFormat="1" ht="14.25">
      <c r="A66" s="44"/>
      <c r="B66" s="103" t="s">
        <v>24</v>
      </c>
      <c r="C66" s="72"/>
      <c r="D66" s="104">
        <v>3351.0930069999999</v>
      </c>
      <c r="E66" s="104"/>
      <c r="F66" s="104">
        <v>3348.9279219999999</v>
      </c>
      <c r="G66" s="104"/>
      <c r="H66" s="104">
        <v>3251.6080160000001</v>
      </c>
      <c r="I66" s="104"/>
      <c r="J66" s="104">
        <v>3409.1035499999998</v>
      </c>
      <c r="K66" s="104"/>
      <c r="L66" s="104">
        <v>3440.6988200000001</v>
      </c>
      <c r="M66" s="104"/>
      <c r="N66" s="104">
        <v>3425.0209730000001</v>
      </c>
      <c r="O66" s="104"/>
      <c r="P66" s="104">
        <v>3081.5086470000001</v>
      </c>
      <c r="Q66" s="104"/>
      <c r="R66" s="104">
        <v>3413.797024</v>
      </c>
      <c r="S66" s="120"/>
      <c r="T66" s="104">
        <v>3366.7308229999999</v>
      </c>
      <c r="U66" s="120"/>
      <c r="V66" s="104">
        <v>3220.8377930000001</v>
      </c>
      <c r="W66" s="120"/>
      <c r="X66" s="104">
        <v>3310.5514929999999</v>
      </c>
      <c r="Y66" s="120"/>
      <c r="Z66" s="120">
        <v>3387.5557899999999</v>
      </c>
      <c r="AA66" s="104"/>
      <c r="AB66" s="104">
        <f>AVERAGE(D66:Z66)</f>
        <v>3333.9528214999996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39</v>
      </c>
      <c r="C67" s="72"/>
      <c r="D67" s="104">
        <v>4610.0979829999997</v>
      </c>
      <c r="E67" s="104"/>
      <c r="F67" s="104">
        <v>4643.60671</v>
      </c>
      <c r="G67" s="104"/>
      <c r="H67" s="104">
        <v>4666.9149369999996</v>
      </c>
      <c r="I67" s="104"/>
      <c r="J67" s="104">
        <v>4828.5530250000002</v>
      </c>
      <c r="K67" s="104"/>
      <c r="L67" s="104">
        <v>4844.0832929999997</v>
      </c>
      <c r="M67" s="104"/>
      <c r="N67" s="104">
        <v>4910.3494680000003</v>
      </c>
      <c r="O67" s="104"/>
      <c r="P67" s="104">
        <v>4697.4888810000002</v>
      </c>
      <c r="Q67" s="104"/>
      <c r="R67" s="104">
        <v>4926.8933690000003</v>
      </c>
      <c r="S67" s="120"/>
      <c r="T67" s="104">
        <v>4895.3317960000004</v>
      </c>
      <c r="U67" s="120"/>
      <c r="V67" s="104">
        <v>4864.3525250000002</v>
      </c>
      <c r="W67" s="120"/>
      <c r="X67" s="104">
        <v>4922.9520000000002</v>
      </c>
      <c r="Y67" s="120"/>
      <c r="Z67" s="120">
        <v>4997.7805850000004</v>
      </c>
      <c r="AA67" s="104"/>
      <c r="AB67" s="104">
        <f t="shared" ref="AB67:AB76" si="0">AVERAGE(D67:Z67)</f>
        <v>4817.3670476666657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25</v>
      </c>
      <c r="C68" s="72"/>
      <c r="D68" s="104">
        <v>626.24649073623846</v>
      </c>
      <c r="E68" s="104"/>
      <c r="F68" s="104">
        <v>652.68250923043615</v>
      </c>
      <c r="G68" s="104"/>
      <c r="H68" s="104">
        <v>675.29591914344064</v>
      </c>
      <c r="I68" s="104"/>
      <c r="J68" s="104">
        <v>659.34071990132509</v>
      </c>
      <c r="K68" s="104"/>
      <c r="L68" s="104">
        <v>658.29460198173626</v>
      </c>
      <c r="M68" s="104"/>
      <c r="N68" s="104">
        <v>680.73015109247035</v>
      </c>
      <c r="O68" s="104"/>
      <c r="P68" s="104">
        <v>646.8030830585692</v>
      </c>
      <c r="Q68" s="104"/>
      <c r="R68" s="104">
        <v>681.06675648492319</v>
      </c>
      <c r="S68" s="120"/>
      <c r="T68" s="104">
        <v>684.30597037001803</v>
      </c>
      <c r="U68" s="120"/>
      <c r="V68" s="104">
        <v>655.61266395308235</v>
      </c>
      <c r="W68" s="120"/>
      <c r="X68" s="104">
        <v>697.37973253341079</v>
      </c>
      <c r="Y68" s="120"/>
      <c r="Z68" s="120">
        <v>746.69215504513386</v>
      </c>
      <c r="AA68" s="104"/>
      <c r="AB68" s="104">
        <f t="shared" si="0"/>
        <v>672.03756279423214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26</v>
      </c>
      <c r="C69" s="72"/>
      <c r="D69" s="104">
        <v>286.0132644784108</v>
      </c>
      <c r="E69" s="104"/>
      <c r="F69" s="104">
        <v>306.36445362882489</v>
      </c>
      <c r="G69" s="104"/>
      <c r="H69" s="104">
        <v>309.92769156624183</v>
      </c>
      <c r="I69" s="104"/>
      <c r="J69" s="104">
        <v>327.45663381618721</v>
      </c>
      <c r="K69" s="104"/>
      <c r="L69" s="104">
        <v>319.9343861052609</v>
      </c>
      <c r="M69" s="104"/>
      <c r="N69" s="104">
        <v>331.36081117856696</v>
      </c>
      <c r="O69" s="104"/>
      <c r="P69" s="104">
        <v>314.28044549894003</v>
      </c>
      <c r="Q69" s="104"/>
      <c r="R69" s="104">
        <v>329.42512120653799</v>
      </c>
      <c r="S69" s="120"/>
      <c r="T69" s="104">
        <v>323.66629678072002</v>
      </c>
      <c r="U69" s="120"/>
      <c r="V69" s="104">
        <v>316.50508712257238</v>
      </c>
      <c r="W69" s="120"/>
      <c r="X69" s="104">
        <v>343.25040855719772</v>
      </c>
      <c r="Y69" s="120"/>
      <c r="Z69" s="120">
        <v>333.33916979061092</v>
      </c>
      <c r="AA69" s="104"/>
      <c r="AB69" s="104">
        <f t="shared" si="0"/>
        <v>320.12698081083926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27</v>
      </c>
      <c r="C70" s="72"/>
      <c r="D70" s="104">
        <v>366.517699154203</v>
      </c>
      <c r="E70" s="104"/>
      <c r="F70" s="104">
        <v>304.46994184217698</v>
      </c>
      <c r="G70" s="104"/>
      <c r="H70" s="104">
        <v>330.21748900041001</v>
      </c>
      <c r="I70" s="104"/>
      <c r="J70" s="104">
        <v>406.07291186165401</v>
      </c>
      <c r="K70" s="104"/>
      <c r="L70" s="104">
        <v>355.66149308214699</v>
      </c>
      <c r="M70" s="104"/>
      <c r="N70" s="104">
        <v>340.01908450206997</v>
      </c>
      <c r="O70" s="104"/>
      <c r="P70" s="104">
        <v>335.88046055709799</v>
      </c>
      <c r="Q70" s="104"/>
      <c r="R70" s="104">
        <v>351.94633865099001</v>
      </c>
      <c r="S70" s="120"/>
      <c r="T70" s="104">
        <v>334.10198519432799</v>
      </c>
      <c r="U70" s="120"/>
      <c r="V70" s="104">
        <v>301.13313033319201</v>
      </c>
      <c r="W70" s="120"/>
      <c r="X70" s="104">
        <v>313.18352431400598</v>
      </c>
      <c r="Y70" s="120"/>
      <c r="Z70" s="120">
        <v>345.551611971483</v>
      </c>
      <c r="AA70" s="104"/>
      <c r="AB70" s="104">
        <f t="shared" si="0"/>
        <v>340.39630587197985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103" t="s">
        <v>28</v>
      </c>
      <c r="C71" s="72"/>
      <c r="D71" s="104">
        <v>338.12714741082402</v>
      </c>
      <c r="E71" s="104"/>
      <c r="F71" s="104">
        <v>337.951800415278</v>
      </c>
      <c r="G71" s="104"/>
      <c r="H71" s="104">
        <v>318.92325089864499</v>
      </c>
      <c r="I71" s="104"/>
      <c r="J71" s="104">
        <v>308.75529115693399</v>
      </c>
      <c r="K71" s="104"/>
      <c r="L71" s="104">
        <v>291.95844658361102</v>
      </c>
      <c r="M71" s="104"/>
      <c r="N71" s="104">
        <v>292.88140156016601</v>
      </c>
      <c r="O71" s="104"/>
      <c r="P71" s="104">
        <v>281.50965684903298</v>
      </c>
      <c r="Q71" s="104"/>
      <c r="R71" s="104">
        <v>295.44634649501103</v>
      </c>
      <c r="S71" s="120"/>
      <c r="T71" s="104">
        <v>306.90453620394698</v>
      </c>
      <c r="U71" s="120"/>
      <c r="V71" s="104">
        <v>307.10613719882599</v>
      </c>
      <c r="W71" s="120"/>
      <c r="X71" s="104">
        <v>328.97976164318698</v>
      </c>
      <c r="Y71" s="120"/>
      <c r="Z71" s="120">
        <v>353.92727600946603</v>
      </c>
      <c r="AA71" s="104"/>
      <c r="AB71" s="104">
        <f t="shared" si="0"/>
        <v>313.53925436874391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4.25">
      <c r="A72" s="44"/>
      <c r="B72" s="103" t="s">
        <v>38</v>
      </c>
      <c r="C72" s="72"/>
      <c r="D72" s="104">
        <v>2770.69</v>
      </c>
      <c r="E72" s="104"/>
      <c r="F72" s="104">
        <v>2875.23</v>
      </c>
      <c r="G72" s="104"/>
      <c r="H72" s="104">
        <v>2679.11</v>
      </c>
      <c r="I72" s="104"/>
      <c r="J72" s="104">
        <v>2557.54</v>
      </c>
      <c r="K72" s="104"/>
      <c r="L72" s="104">
        <v>2651.39</v>
      </c>
      <c r="M72" s="104"/>
      <c r="N72" s="104">
        <v>2788.31</v>
      </c>
      <c r="O72" s="104"/>
      <c r="P72" s="104">
        <v>2591.48</v>
      </c>
      <c r="Q72" s="104"/>
      <c r="R72" s="104">
        <v>2656.69</v>
      </c>
      <c r="S72" s="120"/>
      <c r="T72" s="104">
        <v>2518.62</v>
      </c>
      <c r="U72" s="120"/>
      <c r="V72" s="104">
        <v>2548.77</v>
      </c>
      <c r="W72" s="120"/>
      <c r="X72" s="104">
        <v>2488.98</v>
      </c>
      <c r="Y72" s="120"/>
      <c r="Z72" s="120">
        <v>2480.25</v>
      </c>
      <c r="AA72" s="104"/>
      <c r="AB72" s="104">
        <f t="shared" si="0"/>
        <v>2633.9216666666666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33</v>
      </c>
      <c r="C73" s="72"/>
      <c r="D73" s="104">
        <v>1817.9247096774225</v>
      </c>
      <c r="E73" s="104"/>
      <c r="F73" s="104">
        <v>1897.8056071428532</v>
      </c>
      <c r="G73" s="104"/>
      <c r="H73" s="104">
        <v>1855.6064516128993</v>
      </c>
      <c r="I73" s="104"/>
      <c r="J73" s="104">
        <v>1781.1673999999998</v>
      </c>
      <c r="K73" s="104"/>
      <c r="L73" s="104">
        <v>1841.3501935483907</v>
      </c>
      <c r="M73" s="104"/>
      <c r="N73" s="104">
        <v>1795.7619666666669</v>
      </c>
      <c r="O73" s="104"/>
      <c r="P73" s="104">
        <v>1713.5681290322614</v>
      </c>
      <c r="Q73" s="104"/>
      <c r="R73" s="105">
        <v>1765.8204193548399</v>
      </c>
      <c r="S73" s="120"/>
      <c r="T73" s="104">
        <v>1677.1908333333331</v>
      </c>
      <c r="U73" s="120"/>
      <c r="V73" s="104">
        <v>1907.5145806451605</v>
      </c>
      <c r="W73" s="120"/>
      <c r="X73" s="104">
        <v>1908.6043666666701</v>
      </c>
      <c r="Y73" s="120"/>
      <c r="Z73" s="120">
        <v>1847.5476451612897</v>
      </c>
      <c r="AA73" s="104"/>
      <c r="AB73" s="104">
        <f t="shared" si="0"/>
        <v>1817.4885252368158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2.75" customHeight="1">
      <c r="A74" s="44"/>
      <c r="B74" s="103" t="s">
        <v>29</v>
      </c>
      <c r="C74" s="72"/>
      <c r="D74" s="106">
        <v>31.691874725959181</v>
      </c>
      <c r="E74" s="106"/>
      <c r="F74" s="106">
        <v>33.686620361557878</v>
      </c>
      <c r="G74" s="106"/>
      <c r="H74" s="106">
        <v>38.425444882639965</v>
      </c>
      <c r="I74" s="106"/>
      <c r="J74" s="106">
        <v>39.860371906836683</v>
      </c>
      <c r="K74" s="106"/>
      <c r="L74" s="106">
        <v>40.053230907032805</v>
      </c>
      <c r="M74" s="106"/>
      <c r="N74" s="106">
        <v>44.679045701844032</v>
      </c>
      <c r="O74" s="106"/>
      <c r="P74" s="106">
        <v>46.555751736632764</v>
      </c>
      <c r="Q74" s="106"/>
      <c r="R74" s="121">
        <v>50.337948554042285</v>
      </c>
      <c r="S74" s="122"/>
      <c r="T74" s="121">
        <v>50.966522733996179</v>
      </c>
      <c r="U74" s="122"/>
      <c r="V74" s="121">
        <v>48.006952670314874</v>
      </c>
      <c r="W74" s="122"/>
      <c r="X74" s="121">
        <v>43.757956645318998</v>
      </c>
      <c r="Y74" s="122"/>
      <c r="Z74" s="122">
        <v>45.087856915017461</v>
      </c>
      <c r="AA74" s="104"/>
      <c r="AB74" s="107">
        <f t="shared" si="0"/>
        <v>42.759131478432757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103" t="s">
        <v>30</v>
      </c>
      <c r="C75" s="72"/>
      <c r="D75" s="106">
        <v>5.7</v>
      </c>
      <c r="E75" s="122"/>
      <c r="F75" s="106">
        <v>5.7</v>
      </c>
      <c r="G75" s="106"/>
      <c r="H75" s="106">
        <v>5.91</v>
      </c>
      <c r="I75" s="106"/>
      <c r="J75" s="106">
        <v>6.6520000000000001</v>
      </c>
      <c r="K75" s="106"/>
      <c r="L75" s="106">
        <v>6.4</v>
      </c>
      <c r="M75" s="106"/>
      <c r="N75" s="106">
        <v>5.86</v>
      </c>
      <c r="O75" s="106"/>
      <c r="P75" s="106">
        <v>6.7</v>
      </c>
      <c r="Q75" s="106"/>
      <c r="R75" s="106">
        <v>7.2530000000000001</v>
      </c>
      <c r="S75" s="106"/>
      <c r="T75" s="106">
        <v>9.8789999999999996</v>
      </c>
      <c r="U75" s="106"/>
      <c r="V75" s="106">
        <v>10.9688</v>
      </c>
      <c r="W75" s="106"/>
      <c r="X75" s="106">
        <v>11.355</v>
      </c>
      <c r="Y75" s="106"/>
      <c r="Z75" s="122">
        <v>8.18</v>
      </c>
      <c r="AA75" s="106"/>
      <c r="AB75" s="107">
        <f t="shared" si="0"/>
        <v>7.5464833333333345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103" t="s">
        <v>31</v>
      </c>
      <c r="C76" s="72"/>
      <c r="D76" s="108">
        <v>11.255599999999999</v>
      </c>
      <c r="E76" s="108"/>
      <c r="F76" s="108">
        <v>11.1502</v>
      </c>
      <c r="G76" s="108"/>
      <c r="H76" s="108">
        <v>11.1326</v>
      </c>
      <c r="I76" s="108"/>
      <c r="J76" s="108">
        <v>11.126200000000001</v>
      </c>
      <c r="K76" s="108"/>
      <c r="L76" s="108">
        <v>10.992000000000001</v>
      </c>
      <c r="M76" s="108"/>
      <c r="N76" s="108">
        <v>10.834</v>
      </c>
      <c r="O76" s="108"/>
      <c r="P76" s="108">
        <v>10.693099999999999</v>
      </c>
      <c r="Q76" s="108"/>
      <c r="R76" s="108">
        <v>10.670299999999999</v>
      </c>
      <c r="S76" s="123"/>
      <c r="T76" s="108">
        <v>10.7791</v>
      </c>
      <c r="U76" s="123"/>
      <c r="V76" s="108">
        <v>10.831200000000001</v>
      </c>
      <c r="W76" s="123"/>
      <c r="X76" s="108">
        <v>10.690300000000001</v>
      </c>
      <c r="Y76" s="123"/>
      <c r="Z76" s="123">
        <v>10.620100000000001</v>
      </c>
      <c r="AA76" s="104"/>
      <c r="AB76" s="109">
        <f t="shared" si="0"/>
        <v>10.897891666666666</v>
      </c>
      <c r="AC76" s="216"/>
      <c r="AD76" s="216"/>
      <c r="AE76" s="216"/>
      <c r="AF76" s="216"/>
      <c r="AG76" s="216"/>
      <c r="AH76" s="216"/>
      <c r="AI76" s="216"/>
    </row>
    <row r="77" spans="1:35" s="202" customFormat="1" ht="14.25">
      <c r="A77" s="44"/>
      <c r="B77" s="103" t="s">
        <v>69</v>
      </c>
      <c r="C77" s="72"/>
      <c r="D77" s="104">
        <v>497.0001626681385</v>
      </c>
      <c r="E77" s="104"/>
      <c r="F77" s="104">
        <v>496.51727101746917</v>
      </c>
      <c r="G77" s="104"/>
      <c r="H77" s="104">
        <v>460.1244269030741</v>
      </c>
      <c r="I77" s="104"/>
      <c r="J77" s="104">
        <v>389.554701382958</v>
      </c>
      <c r="K77" s="104"/>
      <c r="L77" s="104">
        <v>467.25399088783985</v>
      </c>
      <c r="M77" s="104"/>
      <c r="N77" s="104">
        <v>521.93617874318397</v>
      </c>
      <c r="O77" s="104"/>
      <c r="P77" s="104">
        <v>452.28878767846129</v>
      </c>
      <c r="Q77" s="104"/>
      <c r="R77" s="104">
        <v>429.45744176563096</v>
      </c>
      <c r="S77" s="104"/>
      <c r="T77" s="104">
        <v>492.56910550929803</v>
      </c>
      <c r="U77" s="120"/>
      <c r="V77" s="104">
        <v>594.27428949969863</v>
      </c>
      <c r="W77" s="120"/>
      <c r="X77" s="104">
        <v>443.78281022207796</v>
      </c>
      <c r="Y77" s="120"/>
      <c r="Z77" s="120">
        <v>484.62147618826299</v>
      </c>
      <c r="AA77" s="104"/>
      <c r="AB77" s="104">
        <f>AVERAGE(D77:Z77)</f>
        <v>477.44838687217452</v>
      </c>
      <c r="AC77" s="216"/>
      <c r="AD77" s="216"/>
      <c r="AE77" s="216"/>
      <c r="AF77" s="216"/>
      <c r="AG77" s="216"/>
      <c r="AH77" s="216"/>
      <c r="AI77" s="216"/>
    </row>
    <row r="78" spans="1:35" s="202" customFormat="1" ht="14.25">
      <c r="A78" s="44"/>
      <c r="B78" s="103" t="s">
        <v>70</v>
      </c>
      <c r="C78" s="72"/>
      <c r="D78" s="104">
        <v>15.626016000000002</v>
      </c>
      <c r="E78" s="104"/>
      <c r="F78" s="104">
        <v>20.009021000000001</v>
      </c>
      <c r="G78" s="104"/>
      <c r="H78" s="104">
        <v>20.811905000000003</v>
      </c>
      <c r="I78" s="104"/>
      <c r="J78" s="104">
        <v>7.7531379999999999</v>
      </c>
      <c r="K78" s="104"/>
      <c r="L78" s="104">
        <v>7.1746600000000011</v>
      </c>
      <c r="M78" s="104"/>
      <c r="N78" s="104">
        <v>14.015563</v>
      </c>
      <c r="O78" s="104"/>
      <c r="P78" s="104">
        <v>7.2596959999999999</v>
      </c>
      <c r="Q78" s="104"/>
      <c r="R78" s="104">
        <v>35.352989000000001</v>
      </c>
      <c r="S78" s="104"/>
      <c r="T78" s="104">
        <v>11.272191000000001</v>
      </c>
      <c r="U78" s="120"/>
      <c r="V78" s="104">
        <v>38.610214999999997</v>
      </c>
      <c r="W78" s="120"/>
      <c r="X78" s="104">
        <v>46.467351000000001</v>
      </c>
      <c r="Y78" s="120"/>
      <c r="Z78" s="120">
        <v>14.248629999999999</v>
      </c>
      <c r="AA78" s="104"/>
      <c r="AB78" s="104">
        <f>AVERAGE(D78:Z78)</f>
        <v>19.883447916666668</v>
      </c>
      <c r="AC78" s="216"/>
      <c r="AD78" s="216"/>
      <c r="AE78" s="216"/>
      <c r="AF78" s="216"/>
      <c r="AG78" s="216"/>
      <c r="AH78" s="216"/>
      <c r="AI78" s="216"/>
    </row>
    <row r="79" spans="1:35" ht="13.5">
      <c r="B79" s="195" t="s">
        <v>71</v>
      </c>
      <c r="C79" s="111"/>
      <c r="D79" s="110"/>
      <c r="E79" s="112"/>
      <c r="F79" s="113"/>
      <c r="G79" s="112"/>
      <c r="H79" s="113"/>
      <c r="I79" s="112"/>
      <c r="J79" s="113"/>
      <c r="K79" s="112"/>
      <c r="L79" s="113"/>
      <c r="M79" s="113"/>
      <c r="N79" s="112"/>
      <c r="O79" s="113"/>
      <c r="P79" s="112"/>
      <c r="Q79" s="114"/>
      <c r="R79" s="115"/>
      <c r="S79" s="114"/>
      <c r="T79" s="116"/>
      <c r="U79" s="114"/>
      <c r="V79" s="117"/>
      <c r="W79" s="114"/>
      <c r="X79" s="117"/>
      <c r="Y79" s="114"/>
      <c r="Z79" s="117"/>
      <c r="AA79" s="117"/>
      <c r="AB79" s="117"/>
    </row>
    <row r="80" spans="1:35">
      <c r="B80" s="474" t="s">
        <v>75</v>
      </c>
      <c r="C80" s="474"/>
      <c r="D80" s="474"/>
      <c r="E80" s="474"/>
      <c r="F80" s="474"/>
      <c r="G80" s="474"/>
      <c r="H80" s="474"/>
      <c r="I80" s="474"/>
      <c r="J80" s="474"/>
      <c r="K80" s="474"/>
      <c r="L80" s="474"/>
      <c r="M80" s="474"/>
      <c r="N80" s="474"/>
      <c r="O80" s="474"/>
      <c r="P80" s="474"/>
      <c r="Q80" s="474"/>
      <c r="R80" s="474"/>
      <c r="S80" s="474"/>
      <c r="T80" s="474"/>
      <c r="U80" s="474"/>
      <c r="V80" s="474"/>
      <c r="W80" s="474"/>
      <c r="X80" s="474"/>
      <c r="Y80" s="474"/>
      <c r="Z80" s="474"/>
      <c r="AA80" s="474"/>
      <c r="AB80" s="474"/>
    </row>
    <row r="81" spans="2:28">
      <c r="B81" s="472" t="s">
        <v>101</v>
      </c>
      <c r="C81" s="472"/>
      <c r="D81" s="472"/>
      <c r="E81" s="472"/>
      <c r="F81" s="472"/>
      <c r="G81" s="472"/>
      <c r="H81" s="472"/>
      <c r="I81" s="472"/>
      <c r="J81" s="472"/>
      <c r="K81" s="472"/>
      <c r="L81" s="472"/>
      <c r="M81" s="472"/>
      <c r="N81" s="472"/>
      <c r="O81" s="472"/>
      <c r="P81" s="472"/>
      <c r="Q81" s="472"/>
      <c r="R81" s="472"/>
      <c r="S81" s="472"/>
      <c r="T81" s="472"/>
      <c r="U81" s="472"/>
      <c r="V81" s="472"/>
      <c r="W81" s="472"/>
      <c r="X81" s="472"/>
      <c r="Y81" s="472"/>
      <c r="Z81" s="472"/>
      <c r="AA81" s="472"/>
      <c r="AB81" s="472"/>
    </row>
    <row r="87" spans="2:28" ht="12.75" customHeight="1"/>
    <row r="88" spans="2:28" ht="12.75" customHeight="1"/>
    <row r="89" spans="2:28" ht="12.75" customHeight="1"/>
    <row r="90" spans="2:28" ht="12.75" customHeight="1"/>
    <row r="91" spans="2:28" ht="12.75" customHeight="1"/>
    <row r="92" spans="2:28" ht="12.75" customHeight="1"/>
    <row r="93" spans="2:28" ht="12.75" customHeight="1"/>
    <row r="94" spans="2:28" ht="12.75" customHeight="1"/>
    <row r="95" spans="2:28" ht="12.75" customHeight="1"/>
  </sheetData>
  <mergeCells count="95">
    <mergeCell ref="B81:AB81"/>
    <mergeCell ref="AA65:AB65"/>
    <mergeCell ref="B62:AB62"/>
    <mergeCell ref="S65:T65"/>
    <mergeCell ref="U65:V65"/>
    <mergeCell ref="W65:X65"/>
    <mergeCell ref="Y65:Z65"/>
    <mergeCell ref="C65:D65"/>
    <mergeCell ref="O64:P64"/>
    <mergeCell ref="G65:H65"/>
    <mergeCell ref="AA64:AB64"/>
    <mergeCell ref="O65:P65"/>
    <mergeCell ref="Q65:R65"/>
    <mergeCell ref="B80:AB80"/>
    <mergeCell ref="I65:J65"/>
    <mergeCell ref="K65:L65"/>
    <mergeCell ref="E65:F65"/>
    <mergeCell ref="I63:J63"/>
    <mergeCell ref="Y63:Z63"/>
    <mergeCell ref="Q64:R64"/>
    <mergeCell ref="S64:T64"/>
    <mergeCell ref="U64:V64"/>
    <mergeCell ref="Q63:R63"/>
    <mergeCell ref="W63:X63"/>
    <mergeCell ref="W64:X64"/>
    <mergeCell ref="U63:V63"/>
    <mergeCell ref="M64:N64"/>
    <mergeCell ref="S63:T63"/>
    <mergeCell ref="M65:N65"/>
    <mergeCell ref="K64:L64"/>
    <mergeCell ref="C64:D64"/>
    <mergeCell ref="E64:F64"/>
    <mergeCell ref="G64:H64"/>
    <mergeCell ref="I64:J64"/>
    <mergeCell ref="AA63:AB63"/>
    <mergeCell ref="Y64:Z64"/>
    <mergeCell ref="K63:L63"/>
    <mergeCell ref="M63:N63"/>
    <mergeCell ref="O63:P63"/>
    <mergeCell ref="C63:D63"/>
    <mergeCell ref="E63:F63"/>
    <mergeCell ref="G63:H63"/>
    <mergeCell ref="B50:AB50"/>
    <mergeCell ref="B51:AB51"/>
    <mergeCell ref="B59:AB59"/>
    <mergeCell ref="W5:X5"/>
    <mergeCell ref="Y5:Z5"/>
    <mergeCell ref="AA5:AB5"/>
    <mergeCell ref="U7:V7"/>
    <mergeCell ref="O5:P5"/>
    <mergeCell ref="Q5:R5"/>
    <mergeCell ref="S5:T5"/>
    <mergeCell ref="E5:F5"/>
    <mergeCell ref="G5:H5"/>
    <mergeCell ref="I5:J5"/>
    <mergeCell ref="K5:L5"/>
    <mergeCell ref="M5:N5"/>
    <mergeCell ref="B47:AB47"/>
    <mergeCell ref="B60:AB60"/>
    <mergeCell ref="B56:AB56"/>
    <mergeCell ref="B52:AB52"/>
    <mergeCell ref="B53:AB53"/>
    <mergeCell ref="B54:AB54"/>
    <mergeCell ref="B58:AB58"/>
    <mergeCell ref="B2:AB2"/>
    <mergeCell ref="S4:T4"/>
    <mergeCell ref="U5:V5"/>
    <mergeCell ref="W7:X7"/>
    <mergeCell ref="Y7:Z7"/>
    <mergeCell ref="C5:D5"/>
    <mergeCell ref="O4:P4"/>
    <mergeCell ref="I4:J4"/>
    <mergeCell ref="K4:L4"/>
    <mergeCell ref="M4:N4"/>
    <mergeCell ref="C4:D4"/>
    <mergeCell ref="E4:F4"/>
    <mergeCell ref="G4:H4"/>
    <mergeCell ref="W4:X4"/>
    <mergeCell ref="Y4:Z4"/>
    <mergeCell ref="AA4:AB4"/>
    <mergeCell ref="B48:AB48"/>
    <mergeCell ref="B49:AB49"/>
    <mergeCell ref="B3:AB3"/>
    <mergeCell ref="M7:N7"/>
    <mergeCell ref="C7:D7"/>
    <mergeCell ref="E7:F7"/>
    <mergeCell ref="G7:H7"/>
    <mergeCell ref="I7:J7"/>
    <mergeCell ref="AA7:AB7"/>
    <mergeCell ref="O7:P7"/>
    <mergeCell ref="Q7:R7"/>
    <mergeCell ref="S7:T7"/>
    <mergeCell ref="K7:L7"/>
    <mergeCell ref="Q4:R4"/>
    <mergeCell ref="U4:V4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57" orientation="landscape" r:id="rId1"/>
  <headerFooter alignWithMargins="0"/>
  <ignoredErrors>
    <ignoredError sqref="AB27" formula="1"/>
    <ignoredError sqref="AB3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5"/>
  <sheetViews>
    <sheetView showGridLines="0" topLeftCell="A62" zoomScale="75" zoomScaleNormal="75" workbookViewId="0">
      <selection activeCell="AC17" sqref="AC17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53" t="s">
        <v>43</v>
      </c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453"/>
      <c r="Y2" s="453"/>
      <c r="Z2" s="453"/>
      <c r="AA2" s="453"/>
      <c r="AB2" s="453"/>
      <c r="AC2" s="214"/>
      <c r="AD2" s="214"/>
      <c r="AE2" s="214"/>
      <c r="AF2" s="214"/>
    </row>
    <row r="3" spans="1:35" ht="15.75" customHeight="1" thickBot="1">
      <c r="B3" s="459" t="s">
        <v>57</v>
      </c>
      <c r="C3" s="459"/>
      <c r="D3" s="459"/>
      <c r="E3" s="459"/>
      <c r="F3" s="459"/>
      <c r="G3" s="459"/>
      <c r="H3" s="459"/>
      <c r="I3" s="459"/>
      <c r="J3" s="459"/>
      <c r="K3" s="459"/>
      <c r="L3" s="459"/>
      <c r="M3" s="459"/>
      <c r="N3" s="459"/>
      <c r="O3" s="459"/>
      <c r="P3" s="459"/>
      <c r="Q3" s="459"/>
      <c r="R3" s="459"/>
      <c r="S3" s="459"/>
      <c r="T3" s="459"/>
      <c r="U3" s="459"/>
      <c r="V3" s="459"/>
      <c r="W3" s="459"/>
      <c r="X3" s="459"/>
      <c r="Y3" s="459"/>
      <c r="Z3" s="459"/>
      <c r="AA3" s="459"/>
      <c r="AB3" s="459"/>
      <c r="AC3" s="215"/>
      <c r="AD3" s="215"/>
      <c r="AE3" s="215"/>
      <c r="AF3" s="215"/>
    </row>
    <row r="4" spans="1:35">
      <c r="B4" s="63"/>
      <c r="C4" s="456"/>
      <c r="D4" s="457"/>
      <c r="E4" s="456"/>
      <c r="F4" s="463"/>
      <c r="G4" s="456"/>
      <c r="H4" s="463"/>
      <c r="I4" s="456"/>
      <c r="J4" s="463"/>
      <c r="K4" s="456"/>
      <c r="L4" s="463"/>
      <c r="M4" s="456"/>
      <c r="N4" s="463"/>
      <c r="O4" s="456"/>
      <c r="P4" s="463"/>
      <c r="Q4" s="456"/>
      <c r="R4" s="463"/>
      <c r="S4" s="456"/>
      <c r="T4" s="463"/>
      <c r="U4" s="456"/>
      <c r="V4" s="462"/>
      <c r="W4" s="456"/>
      <c r="X4" s="462"/>
      <c r="Y4" s="456"/>
      <c r="Z4" s="462"/>
      <c r="AA4" s="456"/>
      <c r="AB4" s="462"/>
    </row>
    <row r="5" spans="1:35">
      <c r="B5" s="64">
        <v>2006</v>
      </c>
      <c r="C5" s="454" t="s">
        <v>4</v>
      </c>
      <c r="D5" s="460"/>
      <c r="E5" s="454" t="s">
        <v>5</v>
      </c>
      <c r="F5" s="455"/>
      <c r="G5" s="454" t="s">
        <v>6</v>
      </c>
      <c r="H5" s="455"/>
      <c r="I5" s="454" t="s">
        <v>7</v>
      </c>
      <c r="J5" s="455"/>
      <c r="K5" s="454" t="s">
        <v>8</v>
      </c>
      <c r="L5" s="455"/>
      <c r="M5" s="454" t="s">
        <v>9</v>
      </c>
      <c r="N5" s="455"/>
      <c r="O5" s="454" t="s">
        <v>10</v>
      </c>
      <c r="P5" s="455"/>
      <c r="Q5" s="458" t="s">
        <v>11</v>
      </c>
      <c r="R5" s="455"/>
      <c r="S5" s="458" t="s">
        <v>12</v>
      </c>
      <c r="T5" s="455"/>
      <c r="U5" s="454" t="s">
        <v>0</v>
      </c>
      <c r="V5" s="461"/>
      <c r="W5" s="454" t="s">
        <v>1</v>
      </c>
      <c r="X5" s="461"/>
      <c r="Y5" s="454" t="s">
        <v>2</v>
      </c>
      <c r="Z5" s="461"/>
      <c r="AA5" s="454" t="s">
        <v>15</v>
      </c>
      <c r="AB5" s="461"/>
    </row>
    <row r="6" spans="1:35">
      <c r="B6" s="64"/>
      <c r="C6" s="65"/>
      <c r="D6" s="69"/>
      <c r="E6" s="65"/>
      <c r="F6" s="66"/>
      <c r="G6" s="65"/>
      <c r="H6" s="66"/>
      <c r="I6" s="65"/>
      <c r="J6" s="66"/>
      <c r="K6" s="65"/>
      <c r="L6" s="66"/>
      <c r="M6" s="65"/>
      <c r="N6" s="66"/>
      <c r="O6" s="65"/>
      <c r="P6" s="66"/>
      <c r="Q6" s="67"/>
      <c r="R6" s="66"/>
      <c r="S6" s="67"/>
      <c r="T6" s="66"/>
      <c r="U6" s="65"/>
      <c r="V6" s="68"/>
      <c r="W6" s="65"/>
      <c r="X6" s="68"/>
      <c r="Y6" s="65"/>
      <c r="Z6" s="68"/>
      <c r="AA6" s="65"/>
      <c r="AB6" s="68"/>
    </row>
    <row r="7" spans="1:35" ht="3.75" customHeight="1" thickBot="1">
      <c r="B7" s="70"/>
      <c r="C7" s="465"/>
      <c r="D7" s="468"/>
      <c r="E7" s="465"/>
      <c r="F7" s="466"/>
      <c r="G7" s="465"/>
      <c r="H7" s="466"/>
      <c r="I7" s="465"/>
      <c r="J7" s="466"/>
      <c r="K7" s="465"/>
      <c r="L7" s="466"/>
      <c r="M7" s="465"/>
      <c r="N7" s="466"/>
      <c r="O7" s="465"/>
      <c r="P7" s="466"/>
      <c r="Q7" s="465"/>
      <c r="R7" s="466"/>
      <c r="S7" s="465"/>
      <c r="T7" s="466"/>
      <c r="U7" s="465"/>
      <c r="V7" s="467"/>
      <c r="W7" s="465"/>
      <c r="X7" s="467"/>
      <c r="Y7" s="465"/>
      <c r="Z7" s="467"/>
      <c r="AA7" s="465"/>
      <c r="AB7" s="467"/>
    </row>
    <row r="8" spans="1:35" s="202" customFormat="1" ht="14.25" customHeight="1">
      <c r="A8" s="44"/>
      <c r="B8" s="71" t="s">
        <v>16</v>
      </c>
      <c r="C8" s="72"/>
      <c r="D8" s="41">
        <f>D9+D12</f>
        <v>80515.820619000006</v>
      </c>
      <c r="E8" s="42"/>
      <c r="F8" s="41">
        <f>F9+F12</f>
        <v>81196.238752000005</v>
      </c>
      <c r="G8" s="41"/>
      <c r="H8" s="41">
        <f>H9+H12</f>
        <v>88938.235516999994</v>
      </c>
      <c r="I8" s="41"/>
      <c r="J8" s="41">
        <f>J9+J12</f>
        <v>80056.623107999985</v>
      </c>
      <c r="K8" s="41"/>
      <c r="L8" s="41">
        <f>L9+L12</f>
        <v>94270.483165999991</v>
      </c>
      <c r="M8" s="41"/>
      <c r="N8" s="41">
        <f>N9+N12</f>
        <v>99083.763778000008</v>
      </c>
      <c r="O8" s="41"/>
      <c r="P8" s="41">
        <f>P9+P12</f>
        <v>93167.026114000008</v>
      </c>
      <c r="Q8" s="41"/>
      <c r="R8" s="41">
        <f>R9+R12</f>
        <v>92701.075570000001</v>
      </c>
      <c r="S8" s="41"/>
      <c r="T8" s="41">
        <f>T9+T12</f>
        <v>92123.730731999996</v>
      </c>
      <c r="U8" s="41"/>
      <c r="V8" s="41">
        <f>V9+V12</f>
        <v>88516.816810999997</v>
      </c>
      <c r="W8" s="41"/>
      <c r="X8" s="41">
        <f>X9+X12</f>
        <v>87850.475380999997</v>
      </c>
      <c r="Y8" s="41"/>
      <c r="Z8" s="41">
        <f>Z9+Z12</f>
        <v>134758.21782600001</v>
      </c>
      <c r="AA8" s="73"/>
      <c r="AB8" s="73">
        <f>AB9+AB12</f>
        <v>1113178.507374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4" t="s">
        <v>17</v>
      </c>
      <c r="C9" s="72"/>
      <c r="D9" s="42">
        <f>+D10+D11</f>
        <v>80890.117714000007</v>
      </c>
      <c r="E9" s="42"/>
      <c r="F9" s="42">
        <f>+F10+F11</f>
        <v>80654.832668000003</v>
      </c>
      <c r="G9" s="42"/>
      <c r="H9" s="42">
        <f>+H10+H11</f>
        <v>82726.00936299999</v>
      </c>
      <c r="I9" s="42"/>
      <c r="J9" s="42">
        <f>+J10+J11</f>
        <v>77747.871233999991</v>
      </c>
      <c r="K9" s="42"/>
      <c r="L9" s="42">
        <f>+L10+L11</f>
        <v>89282.305655999997</v>
      </c>
      <c r="M9" s="42"/>
      <c r="N9" s="42">
        <f>+N10+N11</f>
        <v>89326.692819000004</v>
      </c>
      <c r="O9" s="42"/>
      <c r="P9" s="42">
        <f>+P10+P11</f>
        <v>89503.869310000009</v>
      </c>
      <c r="Q9" s="42"/>
      <c r="R9" s="42">
        <f>+R10+R11</f>
        <v>86279.358376999997</v>
      </c>
      <c r="S9" s="42"/>
      <c r="T9" s="42">
        <f>+T10+T11</f>
        <v>86548.076302000001</v>
      </c>
      <c r="U9" s="42"/>
      <c r="V9" s="42">
        <f>+V10+V11</f>
        <v>82137.206884999992</v>
      </c>
      <c r="W9" s="42"/>
      <c r="X9" s="42">
        <f>+X10+X11</f>
        <v>81173.528212999998</v>
      </c>
      <c r="Y9" s="42"/>
      <c r="Z9" s="42">
        <f>+Z10+Z11</f>
        <v>115156.751519</v>
      </c>
      <c r="AA9" s="75"/>
      <c r="AB9" s="75">
        <f>+AB10+AB11</f>
        <v>1041426.6200600001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76" t="s">
        <v>47</v>
      </c>
      <c r="C10" s="72"/>
      <c r="D10" s="42">
        <v>30617.817714000001</v>
      </c>
      <c r="E10" s="42"/>
      <c r="F10" s="42">
        <v>33742.932668000001</v>
      </c>
      <c r="G10" s="42"/>
      <c r="H10" s="42">
        <v>34748.009362999997</v>
      </c>
      <c r="I10" s="42"/>
      <c r="J10" s="42">
        <v>34754.871233999998</v>
      </c>
      <c r="K10" s="42"/>
      <c r="L10" s="42">
        <v>40940.205655999998</v>
      </c>
      <c r="M10" s="42"/>
      <c r="N10" s="42">
        <v>41122.392819000001</v>
      </c>
      <c r="O10" s="42"/>
      <c r="P10" s="42">
        <v>36626.46931</v>
      </c>
      <c r="Q10" s="42"/>
      <c r="R10" s="42">
        <v>37588.658377</v>
      </c>
      <c r="S10" s="42"/>
      <c r="T10" s="42">
        <v>39189.676302</v>
      </c>
      <c r="U10" s="42"/>
      <c r="V10" s="42">
        <v>34200.006885000003</v>
      </c>
      <c r="W10" s="42"/>
      <c r="X10" s="42">
        <v>28782.928212999999</v>
      </c>
      <c r="Y10" s="42"/>
      <c r="Z10" s="42">
        <v>30669.051519000001</v>
      </c>
      <c r="AA10" s="75"/>
      <c r="AB10" s="75">
        <f>SUM(D10:Z10)</f>
        <v>422983.02006000001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76" t="s">
        <v>48</v>
      </c>
      <c r="C11" s="72"/>
      <c r="D11" s="42">
        <v>50272.3</v>
      </c>
      <c r="E11" s="42"/>
      <c r="F11" s="42">
        <v>46911.9</v>
      </c>
      <c r="G11" s="42"/>
      <c r="H11" s="42">
        <v>47978</v>
      </c>
      <c r="I11" s="42"/>
      <c r="J11" s="42">
        <v>42993</v>
      </c>
      <c r="K11" s="42"/>
      <c r="L11" s="42">
        <v>48342.1</v>
      </c>
      <c r="M11" s="42"/>
      <c r="N11" s="42">
        <v>48204.3</v>
      </c>
      <c r="O11" s="42"/>
      <c r="P11" s="42">
        <v>52877.4</v>
      </c>
      <c r="Q11" s="42"/>
      <c r="R11" s="42">
        <v>48690.7</v>
      </c>
      <c r="S11" s="42"/>
      <c r="T11" s="42">
        <v>47358.400000000001</v>
      </c>
      <c r="U11" s="42"/>
      <c r="V11" s="42">
        <v>47937.2</v>
      </c>
      <c r="W11" s="42"/>
      <c r="X11" s="42">
        <v>52390.6</v>
      </c>
      <c r="Y11" s="42"/>
      <c r="Z11" s="42">
        <v>84487.7</v>
      </c>
      <c r="AA11" s="77"/>
      <c r="AB11" s="75">
        <f>SUM(D11:Z11)</f>
        <v>618443.60000000009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74" t="s">
        <v>49</v>
      </c>
      <c r="C12" s="72"/>
      <c r="D12" s="42">
        <v>-374.29709500000001</v>
      </c>
      <c r="E12" s="42"/>
      <c r="F12" s="42">
        <v>541.40608399999996</v>
      </c>
      <c r="G12" s="42"/>
      <c r="H12" s="42">
        <v>6212.226154</v>
      </c>
      <c r="I12" s="42"/>
      <c r="J12" s="42">
        <v>2308.751874</v>
      </c>
      <c r="K12" s="42"/>
      <c r="L12" s="42">
        <v>4988.1775100000004</v>
      </c>
      <c r="M12" s="42"/>
      <c r="N12" s="42">
        <v>9757.0709590000006</v>
      </c>
      <c r="O12" s="42"/>
      <c r="P12" s="42">
        <v>3663.1568040000002</v>
      </c>
      <c r="Q12" s="42"/>
      <c r="R12" s="42">
        <v>6421.7171930000004</v>
      </c>
      <c r="S12" s="42"/>
      <c r="T12" s="42">
        <v>5575.6544299999996</v>
      </c>
      <c r="U12" s="42"/>
      <c r="V12" s="42">
        <v>6379.6099260000001</v>
      </c>
      <c r="W12" s="42"/>
      <c r="X12" s="42">
        <v>6676.9471679999997</v>
      </c>
      <c r="Y12" s="42"/>
      <c r="Z12" s="42">
        <v>19601.466306999999</v>
      </c>
      <c r="AA12" s="75"/>
      <c r="AB12" s="75">
        <f>SUM(D12:Z12)</f>
        <v>71751.887313999992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78"/>
      <c r="C13" s="79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80"/>
      <c r="AB13" s="80"/>
    </row>
    <row r="14" spans="1:35" s="203" customFormat="1" ht="14.25">
      <c r="A14" s="46"/>
      <c r="B14" s="81" t="s">
        <v>44</v>
      </c>
      <c r="C14" s="82"/>
      <c r="D14" s="45">
        <f>+D15+D16+D17</f>
        <v>8419.5610950000009</v>
      </c>
      <c r="E14" s="45"/>
      <c r="F14" s="45">
        <f>+F15+F16+F17</f>
        <v>7358.2517530000005</v>
      </c>
      <c r="G14" s="45"/>
      <c r="H14" s="45">
        <f>+H15+H16+H17</f>
        <v>7350.3931689999999</v>
      </c>
      <c r="I14" s="45"/>
      <c r="J14" s="45">
        <f>+J15+J16+J17</f>
        <v>7276.4010190000008</v>
      </c>
      <c r="K14" s="45"/>
      <c r="L14" s="45">
        <f>+L15+L16+L17</f>
        <v>8872.3795659999996</v>
      </c>
      <c r="M14" s="45"/>
      <c r="N14" s="45">
        <f>+N15+N16+N17</f>
        <v>8440.3424169999998</v>
      </c>
      <c r="O14" s="45"/>
      <c r="P14" s="45">
        <f>+P15+P16+P17</f>
        <v>7648.8733999999995</v>
      </c>
      <c r="Q14" s="45"/>
      <c r="R14" s="45">
        <f>+R15+R16+R17</f>
        <v>8846.695674999999</v>
      </c>
      <c r="S14" s="45"/>
      <c r="T14" s="45">
        <f>+T15+T16+T17</f>
        <v>10681.331321</v>
      </c>
      <c r="U14" s="45"/>
      <c r="V14" s="45">
        <f>+V15+V16+V17</f>
        <v>7836.3891130000002</v>
      </c>
      <c r="W14" s="45"/>
      <c r="X14" s="45">
        <f>+X15+X16+X17</f>
        <v>7738.2808619999996</v>
      </c>
      <c r="Y14" s="45"/>
      <c r="Z14" s="45">
        <f>+Z15+Z16+Z17</f>
        <v>16643.16114</v>
      </c>
      <c r="AA14" s="83"/>
      <c r="AB14" s="83">
        <f>+AB15+AB16+AB17</f>
        <v>107112.06053000002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4" t="s">
        <v>34</v>
      </c>
      <c r="C15" s="72"/>
      <c r="D15" s="42">
        <v>3959.3318920000002</v>
      </c>
      <c r="E15" s="42"/>
      <c r="F15" s="42">
        <v>3457.9873050000001</v>
      </c>
      <c r="G15" s="42"/>
      <c r="H15" s="42">
        <v>3730.4083569999998</v>
      </c>
      <c r="I15" s="42"/>
      <c r="J15" s="42">
        <v>3607.441941</v>
      </c>
      <c r="K15" s="42"/>
      <c r="L15" s="42">
        <v>4576.5263459999996</v>
      </c>
      <c r="M15" s="42"/>
      <c r="N15" s="42">
        <v>4236.3771960000004</v>
      </c>
      <c r="O15" s="42"/>
      <c r="P15" s="42">
        <v>3839.1413769999999</v>
      </c>
      <c r="Q15" s="42"/>
      <c r="R15" s="42">
        <v>3912.0622360000002</v>
      </c>
      <c r="S15" s="42"/>
      <c r="T15" s="42">
        <v>3792.3725559999998</v>
      </c>
      <c r="U15" s="42"/>
      <c r="V15" s="42">
        <v>4650.0541050000002</v>
      </c>
      <c r="W15" s="42"/>
      <c r="X15" s="42">
        <v>3979.1657329999998</v>
      </c>
      <c r="Y15" s="42"/>
      <c r="Z15" s="42">
        <v>7614.2664720000002</v>
      </c>
      <c r="AA15" s="75"/>
      <c r="AB15" s="75">
        <f>SUM(D15:Z15)</f>
        <v>51355.135516000009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4" t="s">
        <v>13</v>
      </c>
      <c r="C16" s="72"/>
      <c r="D16" s="42">
        <v>653.32920300000001</v>
      </c>
      <c r="E16" s="42"/>
      <c r="F16" s="42">
        <v>653.96444799999995</v>
      </c>
      <c r="G16" s="42"/>
      <c r="H16" s="42">
        <v>368.78481199999999</v>
      </c>
      <c r="I16" s="42"/>
      <c r="J16" s="42">
        <v>379.559078</v>
      </c>
      <c r="K16" s="42"/>
      <c r="L16" s="42">
        <v>557.15322000000003</v>
      </c>
      <c r="M16" s="42"/>
      <c r="N16" s="42">
        <v>586.46522100000004</v>
      </c>
      <c r="O16" s="42"/>
      <c r="P16" s="42">
        <v>504.03202299999998</v>
      </c>
      <c r="Q16" s="42"/>
      <c r="R16" s="42">
        <v>488.333439</v>
      </c>
      <c r="S16" s="42"/>
      <c r="T16" s="42">
        <v>773.15876500000002</v>
      </c>
      <c r="U16" s="42"/>
      <c r="V16" s="42">
        <v>727.03500799999995</v>
      </c>
      <c r="W16" s="42"/>
      <c r="X16" s="42">
        <v>848.61512900000002</v>
      </c>
      <c r="Y16" s="42"/>
      <c r="Z16" s="42">
        <v>1975.3946679999999</v>
      </c>
      <c r="AA16" s="75"/>
      <c r="AB16" s="75">
        <f>SUM(D16:Z16)</f>
        <v>8515.825014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74" t="s">
        <v>51</v>
      </c>
      <c r="C17" s="72"/>
      <c r="D17" s="42">
        <v>3806.9</v>
      </c>
      <c r="E17" s="42"/>
      <c r="F17" s="42">
        <v>3246.3</v>
      </c>
      <c r="G17" s="42"/>
      <c r="H17" s="42">
        <v>3251.2</v>
      </c>
      <c r="I17" s="42"/>
      <c r="J17" s="42">
        <v>3289.4</v>
      </c>
      <c r="K17" s="42"/>
      <c r="L17" s="42">
        <v>3738.7</v>
      </c>
      <c r="M17" s="42"/>
      <c r="N17" s="42">
        <v>3617.5</v>
      </c>
      <c r="O17" s="42"/>
      <c r="P17" s="42">
        <v>3305.7</v>
      </c>
      <c r="Q17" s="42"/>
      <c r="R17" s="42">
        <v>4446.3</v>
      </c>
      <c r="S17" s="42"/>
      <c r="T17" s="42">
        <v>6115.8</v>
      </c>
      <c r="U17" s="42"/>
      <c r="V17" s="42">
        <v>2459.3000000000002</v>
      </c>
      <c r="W17" s="42"/>
      <c r="X17" s="42">
        <v>2910.5</v>
      </c>
      <c r="Y17" s="42"/>
      <c r="Z17" s="42">
        <v>7053.5</v>
      </c>
      <c r="AA17" s="75"/>
      <c r="AB17" s="75">
        <f>SUM(D17:Z17)</f>
        <v>47241.100000000006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84"/>
      <c r="C18" s="79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80"/>
      <c r="AB18" s="80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85" t="s">
        <v>40</v>
      </c>
      <c r="C19" s="72"/>
      <c r="D19" s="42">
        <v>777.5</v>
      </c>
      <c r="E19" s="42"/>
      <c r="F19" s="42">
        <v>164.4</v>
      </c>
      <c r="G19" s="42"/>
      <c r="H19" s="42">
        <v>600.4</v>
      </c>
      <c r="I19" s="42"/>
      <c r="J19" s="42">
        <v>-169</v>
      </c>
      <c r="K19" s="42"/>
      <c r="L19" s="42">
        <v>101.5</v>
      </c>
      <c r="M19" s="42"/>
      <c r="N19" s="42">
        <v>-439.2</v>
      </c>
      <c r="O19" s="42"/>
      <c r="P19" s="42">
        <v>544.20000000000005</v>
      </c>
      <c r="Q19" s="42"/>
      <c r="R19" s="42">
        <v>-145.69999999999999</v>
      </c>
      <c r="S19" s="42"/>
      <c r="T19" s="42">
        <v>879.1</v>
      </c>
      <c r="U19" s="42"/>
      <c r="V19" s="42">
        <v>-250.7</v>
      </c>
      <c r="W19" s="42"/>
      <c r="X19" s="42">
        <v>331.8</v>
      </c>
      <c r="Y19" s="42"/>
      <c r="Z19" s="42">
        <v>-631.20000000000005</v>
      </c>
      <c r="AA19" s="42"/>
      <c r="AB19" s="75">
        <f>SUM(D19:Z19)</f>
        <v>1763.1000000000001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86"/>
      <c r="C20" s="79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80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85" t="s">
        <v>50</v>
      </c>
      <c r="C21" s="72"/>
      <c r="D21" s="42">
        <v>8746.4940709999992</v>
      </c>
      <c r="E21" s="42"/>
      <c r="F21" s="42">
        <v>8310.8730990000004</v>
      </c>
      <c r="G21" s="42"/>
      <c r="H21" s="42">
        <v>10898.293609</v>
      </c>
      <c r="I21" s="42"/>
      <c r="J21" s="42">
        <v>12233.794957</v>
      </c>
      <c r="K21" s="42"/>
      <c r="L21" s="42">
        <v>13025.816214</v>
      </c>
      <c r="M21" s="42"/>
      <c r="N21" s="42">
        <v>13039.352124000001</v>
      </c>
      <c r="O21" s="42"/>
      <c r="P21" s="42">
        <v>10320.479058999999</v>
      </c>
      <c r="Q21" s="42"/>
      <c r="R21" s="42">
        <v>10645.617775000001</v>
      </c>
      <c r="S21" s="42"/>
      <c r="T21" s="42">
        <v>13396.69874</v>
      </c>
      <c r="U21" s="42"/>
      <c r="V21" s="42">
        <v>8017.8248430000003</v>
      </c>
      <c r="W21" s="42"/>
      <c r="X21" s="42">
        <v>9112.4832000000006</v>
      </c>
      <c r="Y21" s="42"/>
      <c r="Z21" s="42">
        <v>8778.9006759999993</v>
      </c>
      <c r="AA21" s="42"/>
      <c r="AB21" s="75">
        <f>SUM(D21:Z21)</f>
        <v>126526.62836700001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87"/>
      <c r="C22" s="79"/>
      <c r="D22" s="88"/>
      <c r="E22" s="79"/>
      <c r="F22" s="88"/>
      <c r="G22" s="79"/>
      <c r="H22" s="88"/>
      <c r="I22" s="79"/>
      <c r="J22" s="88"/>
      <c r="K22" s="79"/>
      <c r="L22" s="88"/>
      <c r="M22" s="79"/>
      <c r="N22" s="88"/>
      <c r="O22" s="79"/>
      <c r="P22" s="88"/>
      <c r="Q22" s="79"/>
      <c r="R22" s="88"/>
      <c r="S22" s="79"/>
      <c r="T22" s="88"/>
      <c r="U22" s="79"/>
      <c r="V22" s="88"/>
      <c r="W22" s="79"/>
      <c r="X22" s="88"/>
      <c r="Y22" s="79"/>
      <c r="Z22" s="88"/>
      <c r="AA22" s="79"/>
      <c r="AB22" s="88"/>
    </row>
    <row r="23" spans="1:35" s="203" customFormat="1" ht="14.25">
      <c r="A23" s="46"/>
      <c r="B23" s="89" t="s">
        <v>45</v>
      </c>
      <c r="C23" s="82"/>
      <c r="D23" s="45">
        <f>D8-D14-D19-D21</f>
        <v>62572.265453000007</v>
      </c>
      <c r="E23" s="45"/>
      <c r="F23" s="45">
        <f>F8-F14-F19-F21</f>
        <v>65362.713900000002</v>
      </c>
      <c r="G23" s="45"/>
      <c r="H23" s="45">
        <f>H8-H14-H19-H21</f>
        <v>70089.148738999997</v>
      </c>
      <c r="I23" s="45"/>
      <c r="J23" s="45">
        <f>J8-J14-J19-J21</f>
        <v>60715.42713199999</v>
      </c>
      <c r="K23" s="45"/>
      <c r="L23" s="45">
        <f>L8-L14-L19-L21</f>
        <v>72270.787385999982</v>
      </c>
      <c r="M23" s="45"/>
      <c r="N23" s="45">
        <f>N8-N14-N19-N21</f>
        <v>78043.269237000015</v>
      </c>
      <c r="O23" s="45"/>
      <c r="P23" s="45">
        <f>P8-P14-P19-P21</f>
        <v>74653.473655000009</v>
      </c>
      <c r="Q23" s="45"/>
      <c r="R23" s="45">
        <f>R8-R14-R19-R21</f>
        <v>73354.462119999997</v>
      </c>
      <c r="S23" s="45"/>
      <c r="T23" s="45">
        <f>T8-T14-T19-T21</f>
        <v>67166.600670999993</v>
      </c>
      <c r="U23" s="45"/>
      <c r="V23" s="45">
        <f>V8-V14-V19-V21</f>
        <v>72913.302855000002</v>
      </c>
      <c r="W23" s="45"/>
      <c r="X23" s="45">
        <f>X8-X14-X19-X21</f>
        <v>70667.911318999992</v>
      </c>
      <c r="Y23" s="45"/>
      <c r="Z23" s="45">
        <f>Z8-Z14-Z19-Z21</f>
        <v>109967.35601</v>
      </c>
      <c r="AA23" s="45"/>
      <c r="AB23" s="83">
        <f>AB8-AB14-AB19-AB21</f>
        <v>877776.71847700002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87"/>
      <c r="C24" s="79"/>
      <c r="D24" s="28"/>
      <c r="E24" s="79"/>
      <c r="F24" s="88"/>
      <c r="G24" s="79"/>
      <c r="H24" s="88"/>
      <c r="I24" s="79"/>
      <c r="J24" s="88"/>
      <c r="K24" s="79"/>
      <c r="L24" s="88"/>
      <c r="M24" s="79"/>
      <c r="N24" s="88"/>
      <c r="O24" s="79"/>
      <c r="P24" s="88"/>
      <c r="Q24" s="79"/>
      <c r="R24" s="88"/>
      <c r="S24" s="79"/>
      <c r="T24" s="88"/>
      <c r="U24" s="79"/>
      <c r="V24" s="88"/>
      <c r="W24" s="79"/>
      <c r="X24" s="88"/>
      <c r="Y24" s="79"/>
      <c r="Z24" s="88"/>
      <c r="AA24" s="79"/>
      <c r="AB24" s="88"/>
    </row>
    <row r="25" spans="1:35" s="203" customFormat="1" ht="14.25">
      <c r="A25" s="46"/>
      <c r="B25" s="81" t="s">
        <v>63</v>
      </c>
      <c r="C25" s="82"/>
      <c r="D25" s="45">
        <f>+D27+D26</f>
        <v>1241.6076760000001</v>
      </c>
      <c r="E25" s="82"/>
      <c r="F25" s="45">
        <f>+F27+F26</f>
        <v>3139.3416199999997</v>
      </c>
      <c r="G25" s="82"/>
      <c r="H25" s="45">
        <f>+H27+H26</f>
        <v>1718.3293200000003</v>
      </c>
      <c r="I25" s="82"/>
      <c r="J25" s="45">
        <f>+J27+J26</f>
        <v>1226.3100609999999</v>
      </c>
      <c r="K25" s="82"/>
      <c r="L25" s="45">
        <f>+L27+L26</f>
        <v>1129.7175950000001</v>
      </c>
      <c r="M25" s="82"/>
      <c r="N25" s="45">
        <f>+N27+N26</f>
        <v>2488.6066129999999</v>
      </c>
      <c r="O25" s="82"/>
      <c r="P25" s="45">
        <f>+P27+P26</f>
        <v>937.23305100000005</v>
      </c>
      <c r="Q25" s="82"/>
      <c r="R25" s="45">
        <f>+R27+R26</f>
        <v>1184.4570870000002</v>
      </c>
      <c r="S25" s="82"/>
      <c r="T25" s="45">
        <f>+T27+T26</f>
        <v>1037.6563940000001</v>
      </c>
      <c r="U25" s="82"/>
      <c r="V25" s="45">
        <f>+V27+V26</f>
        <v>1305.483262</v>
      </c>
      <c r="W25" s="82"/>
      <c r="X25" s="45">
        <f>+X27+X26</f>
        <v>1670.7843370000001</v>
      </c>
      <c r="Y25" s="82"/>
      <c r="Z25" s="45">
        <f>+Z27+Z26</f>
        <v>37077.804624999997</v>
      </c>
      <c r="AA25" s="82"/>
      <c r="AB25" s="45">
        <f>+AB27+AB26</f>
        <v>54157.331640999997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206" t="s">
        <v>72</v>
      </c>
      <c r="C26" s="72"/>
      <c r="D26" s="42">
        <v>411.54735399999998</v>
      </c>
      <c r="E26" s="42"/>
      <c r="F26" s="42">
        <v>1392.1298159999999</v>
      </c>
      <c r="G26" s="42"/>
      <c r="H26" s="42">
        <v>507.19557700000001</v>
      </c>
      <c r="I26" s="42"/>
      <c r="J26" s="42">
        <v>103.70779400000001</v>
      </c>
      <c r="K26" s="42"/>
      <c r="L26" s="42">
        <v>22.761295</v>
      </c>
      <c r="M26" s="42"/>
      <c r="N26" s="42">
        <v>1335.3342439999999</v>
      </c>
      <c r="O26" s="42"/>
      <c r="P26" s="42">
        <v>0</v>
      </c>
      <c r="Q26" s="77"/>
      <c r="R26" s="42">
        <v>37.536788999999999</v>
      </c>
      <c r="S26" s="42"/>
      <c r="T26" s="42">
        <v>26.038585000000001</v>
      </c>
      <c r="U26" s="42"/>
      <c r="V26" s="42">
        <v>60.510457000000002</v>
      </c>
      <c r="W26" s="42"/>
      <c r="X26" s="42">
        <v>22.218084999999999</v>
      </c>
      <c r="Y26" s="42"/>
      <c r="Z26" s="42">
        <v>1312.6863450000001</v>
      </c>
      <c r="AA26" s="42"/>
      <c r="AB26" s="75">
        <f>SUM(D26:Z26)</f>
        <v>5231.6663409999983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4" t="s">
        <v>35</v>
      </c>
      <c r="C27" s="72"/>
      <c r="D27" s="42">
        <f>+D28+D29</f>
        <v>830.06032200000004</v>
      </c>
      <c r="E27" s="42"/>
      <c r="F27" s="42">
        <f>+F28+F29</f>
        <v>1747.2118039999998</v>
      </c>
      <c r="G27" s="42"/>
      <c r="H27" s="42">
        <f>+H28+H29</f>
        <v>1211.1337430000003</v>
      </c>
      <c r="I27" s="42"/>
      <c r="J27" s="42">
        <f>+J28+J29</f>
        <v>1122.602267</v>
      </c>
      <c r="K27" s="42"/>
      <c r="L27" s="42">
        <f>+L28+L29</f>
        <v>1106.9563000000001</v>
      </c>
      <c r="M27" s="42"/>
      <c r="N27" s="42">
        <f>+N28+N29</f>
        <v>1153.272369</v>
      </c>
      <c r="O27" s="42"/>
      <c r="P27" s="42">
        <f>+P28+P29</f>
        <v>937.23305100000005</v>
      </c>
      <c r="Q27" s="42"/>
      <c r="R27" s="42">
        <f>+R28+R29</f>
        <v>1146.9202980000002</v>
      </c>
      <c r="S27" s="42"/>
      <c r="T27" s="42">
        <f>+T28+T29</f>
        <v>1011.6178090000001</v>
      </c>
      <c r="U27" s="42"/>
      <c r="V27" s="42">
        <f>+V28+V29</f>
        <v>1244.9728049999999</v>
      </c>
      <c r="W27" s="42"/>
      <c r="X27" s="42">
        <f>+X28+X29</f>
        <v>1648.5662520000001</v>
      </c>
      <c r="Y27" s="42"/>
      <c r="Z27" s="42">
        <f>+Z28+Z29</f>
        <v>35765.118279999995</v>
      </c>
      <c r="AA27" s="75"/>
      <c r="AB27" s="75">
        <f>+AB28+AB29</f>
        <v>48925.665300000001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194" t="s">
        <v>66</v>
      </c>
      <c r="C28" s="90"/>
      <c r="D28" s="42">
        <v>830.06032200000004</v>
      </c>
      <c r="E28" s="42"/>
      <c r="F28" s="42">
        <v>1747.2118039999998</v>
      </c>
      <c r="G28" s="42"/>
      <c r="H28" s="42">
        <v>1211.1337430000003</v>
      </c>
      <c r="I28" s="42"/>
      <c r="J28" s="42">
        <v>1122.602267</v>
      </c>
      <c r="K28" s="42"/>
      <c r="L28" s="42">
        <v>1106.9563000000001</v>
      </c>
      <c r="M28" s="42"/>
      <c r="N28" s="42">
        <v>1153.272369</v>
      </c>
      <c r="O28" s="42"/>
      <c r="P28" s="42">
        <v>937.23305100000005</v>
      </c>
      <c r="Q28" s="42"/>
      <c r="R28" s="42">
        <v>1100.5202980000001</v>
      </c>
      <c r="S28" s="42"/>
      <c r="T28" s="42">
        <v>1011.6178090000001</v>
      </c>
      <c r="U28" s="42"/>
      <c r="V28" s="42">
        <v>1244.9728049999999</v>
      </c>
      <c r="W28" s="42"/>
      <c r="X28" s="42">
        <v>1648.5662520000001</v>
      </c>
      <c r="Y28" s="42"/>
      <c r="Z28" s="42">
        <v>3241.118279999997</v>
      </c>
      <c r="AA28" s="75"/>
      <c r="AB28" s="75">
        <f>SUM(D28:Z28)</f>
        <v>16355.265299999997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76" t="s">
        <v>14</v>
      </c>
      <c r="C29" s="72"/>
      <c r="D29" s="42">
        <v>0</v>
      </c>
      <c r="E29" s="42"/>
      <c r="F29" s="42">
        <v>0</v>
      </c>
      <c r="G29" s="42"/>
      <c r="H29" s="42">
        <v>0</v>
      </c>
      <c r="I29" s="42"/>
      <c r="J29" s="42">
        <v>0</v>
      </c>
      <c r="K29" s="42"/>
      <c r="L29" s="42">
        <v>0</v>
      </c>
      <c r="M29" s="42"/>
      <c r="N29" s="42">
        <v>0</v>
      </c>
      <c r="O29" s="42"/>
      <c r="P29" s="42">
        <v>0</v>
      </c>
      <c r="Q29" s="42"/>
      <c r="R29" s="42">
        <v>46.4</v>
      </c>
      <c r="S29" s="42"/>
      <c r="T29" s="42">
        <v>0</v>
      </c>
      <c r="U29" s="42"/>
      <c r="V29" s="42">
        <v>0</v>
      </c>
      <c r="W29" s="42"/>
      <c r="X29" s="42">
        <v>0</v>
      </c>
      <c r="Y29" s="42"/>
      <c r="Z29" s="42">
        <v>32524</v>
      </c>
      <c r="AA29" s="75"/>
      <c r="AB29" s="42">
        <f>SUM(D29:Z29)</f>
        <v>32570.400000000001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84"/>
      <c r="C30" s="79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91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80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85" t="s">
        <v>23</v>
      </c>
      <c r="C31" s="92"/>
      <c r="D31" s="118">
        <v>0</v>
      </c>
      <c r="E31" s="118"/>
      <c r="F31" s="118">
        <v>0</v>
      </c>
      <c r="G31" s="118"/>
      <c r="H31" s="118">
        <v>46.397722000000002</v>
      </c>
      <c r="I31" s="118"/>
      <c r="J31" s="118">
        <v>0</v>
      </c>
      <c r="K31" s="118"/>
      <c r="L31" s="118">
        <v>0</v>
      </c>
      <c r="M31" s="118"/>
      <c r="N31" s="118">
        <v>0</v>
      </c>
      <c r="O31" s="118"/>
      <c r="P31" s="118">
        <v>0</v>
      </c>
      <c r="Q31" s="118"/>
      <c r="R31" s="118">
        <v>0</v>
      </c>
      <c r="S31" s="118"/>
      <c r="T31" s="118">
        <v>0</v>
      </c>
      <c r="U31" s="118"/>
      <c r="V31" s="118">
        <v>0</v>
      </c>
      <c r="W31" s="118"/>
      <c r="X31" s="118">
        <v>0</v>
      </c>
      <c r="Y31" s="118"/>
      <c r="Z31" s="118">
        <v>45735.4</v>
      </c>
      <c r="AA31" s="41"/>
      <c r="AB31" s="75">
        <f>SUM(D31:Z31)</f>
        <v>45781.797722000003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87"/>
      <c r="C32" s="9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207" t="s">
        <v>73</v>
      </c>
      <c r="C33" s="95"/>
      <c r="D33" s="119">
        <f>D23-D25+D31</f>
        <v>61330.657777000008</v>
      </c>
      <c r="E33" s="119"/>
      <c r="F33" s="119">
        <f>F23-F25+F31</f>
        <v>62223.372280000003</v>
      </c>
      <c r="G33" s="119"/>
      <c r="H33" s="119">
        <f>H23-H25+H31</f>
        <v>68417.217140999986</v>
      </c>
      <c r="I33" s="119"/>
      <c r="J33" s="119">
        <f>J23-J25+J31</f>
        <v>59489.117070999993</v>
      </c>
      <c r="K33" s="119"/>
      <c r="L33" s="119">
        <f>L23-L25+L31</f>
        <v>71141.069790999987</v>
      </c>
      <c r="M33" s="119"/>
      <c r="N33" s="119">
        <f>N23-N25+N31</f>
        <v>75554.662624000019</v>
      </c>
      <c r="O33" s="119"/>
      <c r="P33" s="119">
        <f>P23-P25+P31</f>
        <v>73716.240604000006</v>
      </c>
      <c r="Q33" s="119"/>
      <c r="R33" s="119">
        <f>R23-R25+R31</f>
        <v>72170.005032999994</v>
      </c>
      <c r="S33" s="119"/>
      <c r="T33" s="119">
        <f>T23-T25+T31</f>
        <v>66128.944276999988</v>
      </c>
      <c r="U33" s="119"/>
      <c r="V33" s="119">
        <f>V23-V25+V31</f>
        <v>71607.819593000007</v>
      </c>
      <c r="W33" s="119"/>
      <c r="X33" s="119">
        <f>X23-X25+X31</f>
        <v>68997.126981999987</v>
      </c>
      <c r="Y33" s="119"/>
      <c r="Z33" s="119">
        <f>Z23-Z25+Z31</f>
        <v>118624.95138499999</v>
      </c>
      <c r="AA33" s="119"/>
      <c r="AB33" s="119">
        <f>AB23-AB25+AB31</f>
        <v>869401.18455800007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87"/>
      <c r="C34" s="9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85" t="s">
        <v>18</v>
      </c>
      <c r="C35" s="72"/>
      <c r="D35" s="42">
        <v>49771.6</v>
      </c>
      <c r="E35" s="42"/>
      <c r="F35" s="42">
        <v>52000.9</v>
      </c>
      <c r="G35" s="42"/>
      <c r="H35" s="42">
        <v>53224.1</v>
      </c>
      <c r="I35" s="42"/>
      <c r="J35" s="42">
        <v>79837.100000000006</v>
      </c>
      <c r="K35" s="42"/>
      <c r="L35" s="42">
        <v>75704.899999999994</v>
      </c>
      <c r="M35" s="42"/>
      <c r="N35" s="42">
        <v>86679.6</v>
      </c>
      <c r="O35" s="42"/>
      <c r="P35" s="42">
        <v>53024.3</v>
      </c>
      <c r="Q35" s="42"/>
      <c r="R35" s="42">
        <v>63678.8</v>
      </c>
      <c r="S35" s="42"/>
      <c r="T35" s="42">
        <v>51542</v>
      </c>
      <c r="U35" s="42"/>
      <c r="V35" s="42">
        <v>48391.199999999997</v>
      </c>
      <c r="W35" s="42"/>
      <c r="X35" s="42">
        <v>33293.5</v>
      </c>
      <c r="Y35" s="42"/>
      <c r="Z35" s="42">
        <v>21849.3</v>
      </c>
      <c r="AA35" s="42"/>
      <c r="AB35" s="75">
        <f>SUM(D35:Z35)</f>
        <v>668997.29999999993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78"/>
      <c r="C36" s="7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91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80"/>
    </row>
    <row r="37" spans="1:35" s="202" customFormat="1" ht="25.5">
      <c r="A37" s="44"/>
      <c r="B37" s="94" t="s">
        <v>36</v>
      </c>
      <c r="C37" s="96"/>
      <c r="D37" s="119">
        <f>D33-D35</f>
        <v>11559.057777000009</v>
      </c>
      <c r="E37" s="119"/>
      <c r="F37" s="119">
        <f>F33-F35</f>
        <v>10222.472280000002</v>
      </c>
      <c r="G37" s="119"/>
      <c r="H37" s="119">
        <f>H33-H35</f>
        <v>15193.117140999988</v>
      </c>
      <c r="I37" s="119"/>
      <c r="J37" s="119">
        <f>J33-J35</f>
        <v>-20347.982929000013</v>
      </c>
      <c r="K37" s="119"/>
      <c r="L37" s="119">
        <f>L33-L35</f>
        <v>-4563.830209000007</v>
      </c>
      <c r="M37" s="119"/>
      <c r="N37" s="119">
        <f>N33-N35</f>
        <v>-11124.937375999987</v>
      </c>
      <c r="O37" s="119"/>
      <c r="P37" s="119">
        <f>P33-P35</f>
        <v>20691.940604000003</v>
      </c>
      <c r="Q37" s="119"/>
      <c r="R37" s="119">
        <f>R33-R35</f>
        <v>8491.2050329999911</v>
      </c>
      <c r="S37" s="119"/>
      <c r="T37" s="119">
        <f>T33-T35</f>
        <v>14586.944276999988</v>
      </c>
      <c r="U37" s="119"/>
      <c r="V37" s="119">
        <f>V33-V35</f>
        <v>23216.61959300001</v>
      </c>
      <c r="W37" s="119"/>
      <c r="X37" s="119">
        <f>X33-X35</f>
        <v>35703.626981999987</v>
      </c>
      <c r="Y37" s="119"/>
      <c r="Z37" s="119">
        <f>Z33-Z35</f>
        <v>96775.65138499999</v>
      </c>
      <c r="AA37" s="119"/>
      <c r="AB37" s="119">
        <f>AB33-AB35</f>
        <v>200403.88455800014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85" t="s">
        <v>19</v>
      </c>
      <c r="C39" s="72"/>
      <c r="D39" s="42">
        <f>D40+D43</f>
        <v>1764.8430829999998</v>
      </c>
      <c r="E39" s="72"/>
      <c r="F39" s="42">
        <f>F40+F43</f>
        <v>2627.8190809999996</v>
      </c>
      <c r="G39" s="72"/>
      <c r="H39" s="42">
        <f>H40+H43</f>
        <v>2012.188799</v>
      </c>
      <c r="I39" s="72"/>
      <c r="J39" s="42">
        <f>J40+J43</f>
        <v>2972.7266589999999</v>
      </c>
      <c r="K39" s="72"/>
      <c r="L39" s="42">
        <f>L40+L43</f>
        <v>2651.3745060000001</v>
      </c>
      <c r="M39" s="72"/>
      <c r="N39" s="42">
        <f>N40+N43</f>
        <v>3747.8658700000001</v>
      </c>
      <c r="O39" s="72"/>
      <c r="P39" s="42">
        <f>P40+P43</f>
        <v>1860.8818500000002</v>
      </c>
      <c r="Q39" s="72"/>
      <c r="R39" s="42">
        <f>R40+R43</f>
        <v>7431.0179069999995</v>
      </c>
      <c r="S39" s="72"/>
      <c r="T39" s="42">
        <f>T40+T43</f>
        <v>3084.3444719999998</v>
      </c>
      <c r="U39" s="72"/>
      <c r="V39" s="42">
        <f>V40+V43</f>
        <v>4044.7344720000001</v>
      </c>
      <c r="W39" s="72"/>
      <c r="X39" s="42">
        <f>X40+X43</f>
        <v>13493.674512</v>
      </c>
      <c r="Y39" s="72"/>
      <c r="Z39" s="42">
        <f>Z40+Z43</f>
        <v>5257.3454089999996</v>
      </c>
      <c r="AA39" s="72"/>
      <c r="AB39" s="42">
        <f>AB40+AB43</f>
        <v>50948.816619999998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4" t="s">
        <v>20</v>
      </c>
      <c r="C40" s="72"/>
      <c r="D40" s="42">
        <f>D41+D42</f>
        <v>1206.8571629999999</v>
      </c>
      <c r="E40" s="42"/>
      <c r="F40" s="42">
        <f>F41+F42</f>
        <v>465.58912600000002</v>
      </c>
      <c r="G40" s="42"/>
      <c r="H40" s="42">
        <f>H41+H42</f>
        <v>523.58229000000006</v>
      </c>
      <c r="I40" s="42"/>
      <c r="J40" s="42">
        <f>J41+J42</f>
        <v>1435.6698700000002</v>
      </c>
      <c r="K40" s="42"/>
      <c r="L40" s="42">
        <f>L41+L42</f>
        <v>970.17639499999996</v>
      </c>
      <c r="M40" s="42"/>
      <c r="N40" s="42">
        <f>N41+N42</f>
        <v>828.09584700000005</v>
      </c>
      <c r="O40" s="42"/>
      <c r="P40" s="42">
        <f>P41+P42</f>
        <v>43.920500000000061</v>
      </c>
      <c r="Q40" s="42"/>
      <c r="R40" s="42">
        <f>R41+R42</f>
        <v>2342.680398</v>
      </c>
      <c r="S40" s="42"/>
      <c r="T40" s="42">
        <f>T41+T42</f>
        <v>1087.7553350000001</v>
      </c>
      <c r="U40" s="42"/>
      <c r="V40" s="42">
        <f>+V41+V42</f>
        <v>3115.5697380000001</v>
      </c>
      <c r="W40" s="42"/>
      <c r="X40" s="42">
        <f>+X41+X42</f>
        <v>12229.775740999999</v>
      </c>
      <c r="Y40" s="42"/>
      <c r="Z40" s="42">
        <f>+Z41+Z42</f>
        <v>936.08103399999993</v>
      </c>
      <c r="AA40" s="75"/>
      <c r="AB40" s="75">
        <f>+AB41+AB42</f>
        <v>25185.753436999999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194" t="s">
        <v>56</v>
      </c>
      <c r="C41" s="72"/>
      <c r="D41" s="118">
        <v>1206.8571629999999</v>
      </c>
      <c r="E41" s="118"/>
      <c r="F41" s="118">
        <v>465.58912600000002</v>
      </c>
      <c r="G41" s="118"/>
      <c r="H41" s="118">
        <v>466.79473300000006</v>
      </c>
      <c r="I41" s="118"/>
      <c r="J41" s="118">
        <v>1435.6698700000002</v>
      </c>
      <c r="K41" s="118"/>
      <c r="L41" s="118">
        <v>970.17639499999996</v>
      </c>
      <c r="M41" s="118"/>
      <c r="N41" s="118">
        <v>762.01383800000008</v>
      </c>
      <c r="O41" s="118"/>
      <c r="P41" s="118">
        <v>43.920500000000061</v>
      </c>
      <c r="Q41" s="118"/>
      <c r="R41" s="118">
        <v>2342.680398</v>
      </c>
      <c r="S41" s="118"/>
      <c r="T41" s="118">
        <v>1017.985575</v>
      </c>
      <c r="U41" s="118"/>
      <c r="V41" s="118">
        <v>3115.5697380000001</v>
      </c>
      <c r="W41" s="118"/>
      <c r="X41" s="118">
        <v>12229.775740999999</v>
      </c>
      <c r="Y41" s="118"/>
      <c r="Z41" s="118">
        <v>869.47551599999997</v>
      </c>
      <c r="AA41" s="118"/>
      <c r="AB41" s="118">
        <f>SUM(D41:Z41)</f>
        <v>24926.508592999999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97" t="s">
        <v>21</v>
      </c>
      <c r="C42" s="72"/>
      <c r="D42" s="42">
        <v>0</v>
      </c>
      <c r="E42" s="42"/>
      <c r="F42" s="42">
        <v>0</v>
      </c>
      <c r="G42" s="42"/>
      <c r="H42" s="42">
        <v>56.787557</v>
      </c>
      <c r="I42" s="42"/>
      <c r="J42" s="42">
        <v>0</v>
      </c>
      <c r="K42" s="42"/>
      <c r="L42" s="42">
        <v>0</v>
      </c>
      <c r="M42" s="42"/>
      <c r="N42" s="42">
        <v>66.082008999999999</v>
      </c>
      <c r="O42" s="42"/>
      <c r="P42" s="42">
        <v>0</v>
      </c>
      <c r="Q42" s="42"/>
      <c r="R42" s="42">
        <v>0</v>
      </c>
      <c r="S42" s="42"/>
      <c r="T42" s="42">
        <v>69.769760000000005</v>
      </c>
      <c r="U42" s="42"/>
      <c r="V42" s="42">
        <v>0</v>
      </c>
      <c r="W42" s="42"/>
      <c r="X42" s="42">
        <v>0</v>
      </c>
      <c r="Y42" s="42"/>
      <c r="Z42" s="42">
        <v>66.605518000000004</v>
      </c>
      <c r="AA42" s="75"/>
      <c r="AB42" s="75">
        <f>SUM(D42:Z42)</f>
        <v>259.244844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4" t="s">
        <v>22</v>
      </c>
      <c r="C43" s="72"/>
      <c r="D43" s="42">
        <v>557.98591999999996</v>
      </c>
      <c r="E43" s="42"/>
      <c r="F43" s="42">
        <v>2162.2299549999998</v>
      </c>
      <c r="G43" s="42"/>
      <c r="H43" s="42">
        <v>1488.606509</v>
      </c>
      <c r="I43" s="42"/>
      <c r="J43" s="42">
        <v>1537.056789</v>
      </c>
      <c r="K43" s="42"/>
      <c r="L43" s="42">
        <v>1681.1981110000002</v>
      </c>
      <c r="M43" s="42"/>
      <c r="N43" s="42">
        <v>2919.770023</v>
      </c>
      <c r="O43" s="42"/>
      <c r="P43" s="42">
        <v>1816.96135</v>
      </c>
      <c r="Q43" s="42"/>
      <c r="R43" s="42">
        <v>5088.337509</v>
      </c>
      <c r="S43" s="42"/>
      <c r="T43" s="42">
        <v>1996.5891369999999</v>
      </c>
      <c r="U43" s="42"/>
      <c r="V43" s="42">
        <v>929.16473399999995</v>
      </c>
      <c r="W43" s="42"/>
      <c r="X43" s="42">
        <v>1263.8987710000001</v>
      </c>
      <c r="Y43" s="42"/>
      <c r="Z43" s="42">
        <v>4321.2643749999997</v>
      </c>
      <c r="AA43" s="75"/>
      <c r="AB43" s="75">
        <f>SUM(D43:Z43)</f>
        <v>25763.063182999998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98" t="s">
        <v>37</v>
      </c>
      <c r="C45" s="95"/>
      <c r="D45" s="48">
        <f>D37-D39</f>
        <v>9794.2146940000093</v>
      </c>
      <c r="E45" s="95"/>
      <c r="F45" s="48">
        <f>F37-F39</f>
        <v>7594.6531990000021</v>
      </c>
      <c r="G45" s="95"/>
      <c r="H45" s="48">
        <f>H37-H39</f>
        <v>13180.928341999988</v>
      </c>
      <c r="I45" s="95"/>
      <c r="J45" s="48">
        <f>J37-J39</f>
        <v>-23320.709588000012</v>
      </c>
      <c r="K45" s="95"/>
      <c r="L45" s="48">
        <f>L37-L39</f>
        <v>-7215.2047150000071</v>
      </c>
      <c r="M45" s="95"/>
      <c r="N45" s="48">
        <f>N37-N39</f>
        <v>-14872.803245999987</v>
      </c>
      <c r="O45" s="95"/>
      <c r="P45" s="48">
        <f>P37-P39</f>
        <v>18831.058754000001</v>
      </c>
      <c r="Q45" s="95"/>
      <c r="R45" s="48">
        <f>R37-R39</f>
        <v>1060.1871259999916</v>
      </c>
      <c r="S45" s="95"/>
      <c r="T45" s="48">
        <f>T37-T39</f>
        <v>11502.599804999987</v>
      </c>
      <c r="U45" s="95"/>
      <c r="V45" s="48">
        <f>V37-V39</f>
        <v>19171.88512100001</v>
      </c>
      <c r="W45" s="95"/>
      <c r="X45" s="48">
        <f>X37-X39</f>
        <v>22209.952469999989</v>
      </c>
      <c r="Y45" s="95"/>
      <c r="Z45" s="48">
        <f>Z37-Z39</f>
        <v>91518.305975999989</v>
      </c>
      <c r="AA45" s="95"/>
      <c r="AB45" s="48">
        <f>AB37-AB39</f>
        <v>149455.06793800014</v>
      </c>
      <c r="AC45" s="211"/>
      <c r="AD45" s="211"/>
      <c r="AE45" s="99"/>
      <c r="AF45" s="211"/>
      <c r="AG45" s="216"/>
      <c r="AH45" s="216"/>
      <c r="AI45" s="216"/>
    </row>
    <row r="46" spans="1:35" ht="3.75" customHeight="1">
      <c r="B46" s="100"/>
      <c r="C46" s="9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01"/>
      <c r="AF46" s="212"/>
    </row>
    <row r="47" spans="1:35" ht="14.25" customHeight="1">
      <c r="B47" s="464" t="s">
        <v>41</v>
      </c>
      <c r="C47" s="464"/>
      <c r="D47" s="464"/>
      <c r="E47" s="464"/>
      <c r="F47" s="464"/>
      <c r="G47" s="464"/>
      <c r="H47" s="464"/>
      <c r="I47" s="464"/>
      <c r="J47" s="464"/>
      <c r="K47" s="464"/>
      <c r="L47" s="464"/>
      <c r="M47" s="464"/>
      <c r="N47" s="464"/>
      <c r="O47" s="464"/>
      <c r="P47" s="464"/>
      <c r="Q47" s="464"/>
      <c r="R47" s="464"/>
      <c r="S47" s="464"/>
      <c r="T47" s="464"/>
      <c r="U47" s="464"/>
      <c r="V47" s="464"/>
      <c r="W47" s="464"/>
      <c r="X47" s="464"/>
      <c r="Y47" s="464"/>
      <c r="Z47" s="464"/>
      <c r="AA47" s="464"/>
      <c r="AB47" s="464"/>
      <c r="AC47" s="212"/>
      <c r="AD47" s="212"/>
      <c r="AE47" s="101"/>
      <c r="AF47" s="212"/>
    </row>
    <row r="48" spans="1:35" ht="14.25" customHeight="1">
      <c r="B48" s="474" t="s">
        <v>58</v>
      </c>
      <c r="C48" s="474"/>
      <c r="D48" s="474"/>
      <c r="E48" s="474"/>
      <c r="F48" s="474"/>
      <c r="G48" s="474"/>
      <c r="H48" s="474"/>
      <c r="I48" s="474"/>
      <c r="J48" s="474"/>
      <c r="K48" s="474"/>
      <c r="L48" s="474"/>
      <c r="M48" s="474"/>
      <c r="N48" s="474"/>
      <c r="O48" s="474"/>
      <c r="P48" s="474"/>
      <c r="Q48" s="474"/>
      <c r="R48" s="474"/>
      <c r="S48" s="474"/>
      <c r="T48" s="474"/>
      <c r="U48" s="474"/>
      <c r="V48" s="474"/>
      <c r="W48" s="474"/>
      <c r="X48" s="474"/>
      <c r="Y48" s="474"/>
      <c r="Z48" s="474"/>
      <c r="AA48" s="474"/>
      <c r="AB48" s="474"/>
      <c r="AC48" s="212"/>
      <c r="AD48" s="212"/>
      <c r="AE48" s="101"/>
      <c r="AF48" s="212"/>
    </row>
    <row r="49" spans="1:32" ht="14.25" customHeight="1">
      <c r="B49" s="464" t="s">
        <v>59</v>
      </c>
      <c r="C49" s="464"/>
      <c r="D49" s="464"/>
      <c r="E49" s="464"/>
      <c r="F49" s="464"/>
      <c r="G49" s="464"/>
      <c r="H49" s="464"/>
      <c r="I49" s="464"/>
      <c r="J49" s="464"/>
      <c r="K49" s="464"/>
      <c r="L49" s="464"/>
      <c r="M49" s="464"/>
      <c r="N49" s="464"/>
      <c r="O49" s="464"/>
      <c r="P49" s="464"/>
      <c r="Q49" s="464"/>
      <c r="R49" s="464"/>
      <c r="S49" s="464"/>
      <c r="T49" s="464"/>
      <c r="U49" s="464"/>
      <c r="V49" s="464"/>
      <c r="W49" s="464"/>
      <c r="X49" s="464"/>
      <c r="Y49" s="464"/>
      <c r="Z49" s="464"/>
      <c r="AA49" s="464"/>
      <c r="AB49" s="464"/>
      <c r="AC49" s="212"/>
      <c r="AD49" s="212"/>
      <c r="AE49" s="101"/>
      <c r="AF49" s="212"/>
    </row>
    <row r="50" spans="1:32" ht="14.25" customHeight="1">
      <c r="B50" s="464" t="s">
        <v>60</v>
      </c>
      <c r="C50" s="464"/>
      <c r="D50" s="464"/>
      <c r="E50" s="464"/>
      <c r="F50" s="464"/>
      <c r="G50" s="464"/>
      <c r="H50" s="464"/>
      <c r="I50" s="464"/>
      <c r="J50" s="464"/>
      <c r="K50" s="464"/>
      <c r="L50" s="464"/>
      <c r="M50" s="464"/>
      <c r="N50" s="464"/>
      <c r="O50" s="464"/>
      <c r="P50" s="464"/>
      <c r="Q50" s="464"/>
      <c r="R50" s="464"/>
      <c r="S50" s="464"/>
      <c r="T50" s="464"/>
      <c r="U50" s="464"/>
      <c r="V50" s="464"/>
      <c r="W50" s="464"/>
      <c r="X50" s="464"/>
      <c r="Y50" s="464"/>
      <c r="Z50" s="464"/>
      <c r="AA50" s="464"/>
      <c r="AB50" s="464"/>
      <c r="AC50" s="212"/>
      <c r="AD50" s="212"/>
      <c r="AE50" s="101"/>
      <c r="AF50" s="212"/>
    </row>
    <row r="51" spans="1:32" ht="14.25" customHeight="1">
      <c r="B51" s="464" t="s">
        <v>42</v>
      </c>
      <c r="C51" s="464"/>
      <c r="D51" s="464"/>
      <c r="E51" s="464"/>
      <c r="F51" s="464"/>
      <c r="G51" s="464"/>
      <c r="H51" s="464"/>
      <c r="I51" s="464"/>
      <c r="J51" s="464"/>
      <c r="K51" s="464"/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464"/>
      <c r="X51" s="464"/>
      <c r="Y51" s="464"/>
      <c r="Z51" s="464"/>
      <c r="AA51" s="464"/>
      <c r="AB51" s="464"/>
      <c r="AC51" s="212"/>
      <c r="AD51" s="212"/>
      <c r="AE51" s="101"/>
      <c r="AF51" s="212"/>
    </row>
    <row r="52" spans="1:32" ht="14.25" customHeight="1">
      <c r="B52" s="464" t="s">
        <v>52</v>
      </c>
      <c r="C52" s="464"/>
      <c r="D52" s="464"/>
      <c r="E52" s="464"/>
      <c r="F52" s="464"/>
      <c r="G52" s="464"/>
      <c r="H52" s="464"/>
      <c r="I52" s="464"/>
      <c r="J52" s="464"/>
      <c r="K52" s="464"/>
      <c r="L52" s="464"/>
      <c r="M52" s="464"/>
      <c r="N52" s="464"/>
      <c r="O52" s="464"/>
      <c r="P52" s="464"/>
      <c r="Q52" s="464"/>
      <c r="R52" s="464"/>
      <c r="S52" s="464"/>
      <c r="T52" s="464"/>
      <c r="U52" s="464"/>
      <c r="V52" s="464"/>
      <c r="W52" s="464"/>
      <c r="X52" s="464"/>
      <c r="Y52" s="464"/>
      <c r="Z52" s="464"/>
      <c r="AA52" s="464"/>
      <c r="AB52" s="464"/>
      <c r="AC52" s="212"/>
      <c r="AD52" s="212"/>
      <c r="AE52" s="101"/>
      <c r="AF52" s="212"/>
    </row>
    <row r="53" spans="1:32" ht="14.25" customHeight="1">
      <c r="B53" s="474" t="s">
        <v>61</v>
      </c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212"/>
      <c r="AD53" s="212"/>
      <c r="AE53" s="101"/>
      <c r="AF53" s="212"/>
    </row>
    <row r="54" spans="1:32" ht="14.25" customHeight="1">
      <c r="B54" s="464" t="s">
        <v>62</v>
      </c>
      <c r="C54" s="464"/>
      <c r="D54" s="464"/>
      <c r="E54" s="464"/>
      <c r="F54" s="464"/>
      <c r="G54" s="464"/>
      <c r="H54" s="464"/>
      <c r="I54" s="464"/>
      <c r="J54" s="464"/>
      <c r="K54" s="464"/>
      <c r="L54" s="464"/>
      <c r="M54" s="464"/>
      <c r="N54" s="464"/>
      <c r="O54" s="464"/>
      <c r="P54" s="464"/>
      <c r="Q54" s="464"/>
      <c r="R54" s="464"/>
      <c r="S54" s="464"/>
      <c r="T54" s="464"/>
      <c r="U54" s="464"/>
      <c r="V54" s="464"/>
      <c r="W54" s="464"/>
      <c r="X54" s="464"/>
      <c r="Y54" s="464"/>
      <c r="Z54" s="464"/>
      <c r="AA54" s="464"/>
      <c r="AB54" s="464"/>
      <c r="AC54" s="212"/>
      <c r="AD54" s="212"/>
      <c r="AE54" s="101"/>
      <c r="AF54" s="212"/>
    </row>
    <row r="55" spans="1:32" ht="14.25" customHeight="1">
      <c r="B55" s="201" t="s">
        <v>64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212"/>
      <c r="AD55" s="212"/>
      <c r="AE55" s="101"/>
      <c r="AF55" s="212"/>
    </row>
    <row r="56" spans="1:32" ht="14.25" customHeight="1">
      <c r="B56" s="464" t="s">
        <v>65</v>
      </c>
      <c r="C56" s="464"/>
      <c r="D56" s="464"/>
      <c r="E56" s="464"/>
      <c r="F56" s="464"/>
      <c r="G56" s="464"/>
      <c r="H56" s="464"/>
      <c r="I56" s="464"/>
      <c r="J56" s="464"/>
      <c r="K56" s="464"/>
      <c r="L56" s="464"/>
      <c r="M56" s="464"/>
      <c r="N56" s="464"/>
      <c r="O56" s="464"/>
      <c r="P56" s="464"/>
      <c r="Q56" s="464"/>
      <c r="R56" s="464"/>
      <c r="S56" s="464"/>
      <c r="T56" s="464"/>
      <c r="U56" s="464"/>
      <c r="V56" s="464"/>
      <c r="W56" s="464"/>
      <c r="X56" s="464"/>
      <c r="Y56" s="464"/>
      <c r="Z56" s="464"/>
      <c r="AA56" s="464"/>
      <c r="AB56" s="464"/>
      <c r="AC56" s="212"/>
      <c r="AD56" s="212"/>
      <c r="AE56" s="101"/>
      <c r="AF56" s="212"/>
    </row>
    <row r="57" spans="1:32" ht="14.25" customHeight="1">
      <c r="B57" s="201" t="s">
        <v>74</v>
      </c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212"/>
      <c r="AD57" s="212"/>
      <c r="AE57" s="101"/>
      <c r="AF57" s="212"/>
    </row>
    <row r="58" spans="1:32" ht="14.25" customHeight="1">
      <c r="B58" s="464" t="s">
        <v>67</v>
      </c>
      <c r="C58" s="464"/>
      <c r="D58" s="464"/>
      <c r="E58" s="464"/>
      <c r="F58" s="464"/>
      <c r="G58" s="464"/>
      <c r="H58" s="464"/>
      <c r="I58" s="464"/>
      <c r="J58" s="464"/>
      <c r="K58" s="464"/>
      <c r="L58" s="464"/>
      <c r="M58" s="464"/>
      <c r="N58" s="464"/>
      <c r="O58" s="464"/>
      <c r="P58" s="464"/>
      <c r="Q58" s="464"/>
      <c r="R58" s="464"/>
      <c r="S58" s="464"/>
      <c r="T58" s="464"/>
      <c r="U58" s="464"/>
      <c r="V58" s="464"/>
      <c r="W58" s="464"/>
      <c r="X58" s="464"/>
      <c r="Y58" s="464"/>
      <c r="Z58" s="464"/>
      <c r="AA58" s="464"/>
      <c r="AB58" s="464"/>
      <c r="AC58" s="212"/>
      <c r="AD58" s="212"/>
      <c r="AE58" s="101"/>
      <c r="AF58" s="212"/>
    </row>
    <row r="59" spans="1:32" ht="14.25" customHeight="1">
      <c r="B59" s="464" t="s">
        <v>68</v>
      </c>
      <c r="C59" s="464"/>
      <c r="D59" s="464"/>
      <c r="E59" s="464"/>
      <c r="F59" s="464"/>
      <c r="G59" s="464"/>
      <c r="H59" s="464"/>
      <c r="I59" s="464"/>
      <c r="J59" s="464"/>
      <c r="K59" s="464"/>
      <c r="L59" s="464"/>
      <c r="M59" s="464"/>
      <c r="N59" s="464"/>
      <c r="O59" s="464"/>
      <c r="P59" s="464"/>
      <c r="Q59" s="464"/>
      <c r="R59" s="464"/>
      <c r="S59" s="464"/>
      <c r="T59" s="464"/>
      <c r="U59" s="464"/>
      <c r="V59" s="464"/>
      <c r="W59" s="464"/>
      <c r="X59" s="464"/>
      <c r="Y59" s="464"/>
      <c r="Z59" s="464"/>
      <c r="AA59" s="464"/>
      <c r="AB59" s="464"/>
      <c r="AC59" s="212"/>
      <c r="AD59" s="212"/>
      <c r="AE59" s="101"/>
      <c r="AF59" s="212"/>
    </row>
    <row r="60" spans="1:32" ht="14.25" customHeight="1">
      <c r="B60" s="464" t="s">
        <v>3</v>
      </c>
      <c r="C60" s="464"/>
      <c r="D60" s="464"/>
      <c r="E60" s="464"/>
      <c r="F60" s="464"/>
      <c r="G60" s="464"/>
      <c r="H60" s="464"/>
      <c r="I60" s="464"/>
      <c r="J60" s="464"/>
      <c r="K60" s="464"/>
      <c r="L60" s="464"/>
      <c r="M60" s="464"/>
      <c r="N60" s="464"/>
      <c r="O60" s="464"/>
      <c r="P60" s="464"/>
      <c r="Q60" s="464"/>
      <c r="R60" s="464"/>
      <c r="S60" s="464"/>
      <c r="T60" s="464"/>
      <c r="U60" s="464"/>
      <c r="V60" s="464"/>
      <c r="W60" s="464"/>
      <c r="X60" s="464"/>
      <c r="Y60" s="464"/>
      <c r="Z60" s="464"/>
      <c r="AA60" s="464"/>
      <c r="AB60" s="464"/>
      <c r="AC60" s="212"/>
      <c r="AD60" s="212"/>
      <c r="AE60" s="101"/>
      <c r="AF60" s="212"/>
    </row>
    <row r="61" spans="1:32" ht="14.25" customHeight="1">
      <c r="A61" s="18"/>
      <c r="B61" s="100"/>
      <c r="C61" s="93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12"/>
      <c r="AD61" s="212"/>
      <c r="AE61" s="101"/>
      <c r="AF61" s="212"/>
    </row>
    <row r="62" spans="1:32" ht="20.25">
      <c r="B62" s="453" t="s">
        <v>32</v>
      </c>
      <c r="C62" s="453"/>
      <c r="D62" s="453"/>
      <c r="E62" s="453"/>
      <c r="F62" s="453"/>
      <c r="G62" s="453"/>
      <c r="H62" s="453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Y62" s="453"/>
      <c r="Z62" s="453"/>
      <c r="AA62" s="453"/>
      <c r="AB62" s="453"/>
      <c r="AC62" s="214"/>
      <c r="AD62" s="214"/>
      <c r="AE62" s="214"/>
      <c r="AF62" s="214"/>
    </row>
    <row r="63" spans="1:32">
      <c r="B63" s="102"/>
      <c r="C63" s="469"/>
      <c r="D63" s="460"/>
      <c r="E63" s="469"/>
      <c r="F63" s="470"/>
      <c r="G63" s="469"/>
      <c r="H63" s="470"/>
      <c r="I63" s="469"/>
      <c r="J63" s="470"/>
      <c r="K63" s="469"/>
      <c r="L63" s="470"/>
      <c r="M63" s="469"/>
      <c r="N63" s="470"/>
      <c r="O63" s="469"/>
      <c r="P63" s="470"/>
      <c r="Q63" s="469"/>
      <c r="R63" s="470"/>
      <c r="S63" s="469"/>
      <c r="T63" s="470"/>
      <c r="U63" s="469"/>
      <c r="V63" s="470"/>
      <c r="W63" s="469"/>
      <c r="X63" s="470"/>
      <c r="Y63" s="469"/>
      <c r="Z63" s="470"/>
      <c r="AA63" s="469"/>
      <c r="AB63" s="470"/>
    </row>
    <row r="64" spans="1:32">
      <c r="B64" s="102">
        <f>B5</f>
        <v>2006</v>
      </c>
      <c r="C64" s="469" t="s">
        <v>4</v>
      </c>
      <c r="D64" s="460"/>
      <c r="E64" s="469" t="s">
        <v>5</v>
      </c>
      <c r="F64" s="470"/>
      <c r="G64" s="469" t="s">
        <v>6</v>
      </c>
      <c r="H64" s="470"/>
      <c r="I64" s="469" t="s">
        <v>7</v>
      </c>
      <c r="J64" s="470"/>
      <c r="K64" s="469" t="s">
        <v>8</v>
      </c>
      <c r="L64" s="470"/>
      <c r="M64" s="469" t="s">
        <v>9</v>
      </c>
      <c r="N64" s="470"/>
      <c r="O64" s="469" t="s">
        <v>10</v>
      </c>
      <c r="P64" s="470"/>
      <c r="Q64" s="471" t="s">
        <v>11</v>
      </c>
      <c r="R64" s="470"/>
      <c r="S64" s="471" t="s">
        <v>12</v>
      </c>
      <c r="T64" s="470"/>
      <c r="U64" s="469" t="s">
        <v>0</v>
      </c>
      <c r="V64" s="473"/>
      <c r="W64" s="469" t="s">
        <v>1</v>
      </c>
      <c r="X64" s="473"/>
      <c r="Y64" s="469" t="s">
        <v>2</v>
      </c>
      <c r="Z64" s="473"/>
      <c r="AA64" s="469" t="s">
        <v>102</v>
      </c>
      <c r="AB64" s="460"/>
    </row>
    <row r="65" spans="1:35">
      <c r="B65" s="102"/>
      <c r="C65" s="469"/>
      <c r="D65" s="460"/>
      <c r="E65" s="469"/>
      <c r="F65" s="460"/>
      <c r="G65" s="469"/>
      <c r="H65" s="460"/>
      <c r="I65" s="469"/>
      <c r="J65" s="460"/>
      <c r="K65" s="469"/>
      <c r="L65" s="460"/>
      <c r="M65" s="469"/>
      <c r="N65" s="460"/>
      <c r="O65" s="469"/>
      <c r="P65" s="460"/>
      <c r="Q65" s="469"/>
      <c r="R65" s="460"/>
      <c r="S65" s="469"/>
      <c r="T65" s="460"/>
      <c r="U65" s="469"/>
      <c r="V65" s="460"/>
      <c r="W65" s="469"/>
      <c r="X65" s="460"/>
      <c r="Y65" s="469"/>
      <c r="Z65" s="460"/>
      <c r="AA65" s="469"/>
      <c r="AB65" s="460"/>
    </row>
    <row r="66" spans="1:35" s="202" customFormat="1" ht="14.25">
      <c r="A66" s="44"/>
      <c r="B66" s="103" t="s">
        <v>24</v>
      </c>
      <c r="C66" s="72"/>
      <c r="D66" s="104">
        <v>3371.6207789999999</v>
      </c>
      <c r="E66" s="104"/>
      <c r="F66" s="104">
        <v>3310.8605729999999</v>
      </c>
      <c r="G66" s="104"/>
      <c r="H66" s="104">
        <v>3349.6924990000002</v>
      </c>
      <c r="I66" s="104"/>
      <c r="J66" s="104">
        <v>3370.1478120000002</v>
      </c>
      <c r="K66" s="104"/>
      <c r="L66" s="104">
        <v>3328.9437069999999</v>
      </c>
      <c r="M66" s="104"/>
      <c r="N66" s="104">
        <v>3287.2815810000002</v>
      </c>
      <c r="O66" s="104"/>
      <c r="P66" s="104">
        <v>3232.0569270000001</v>
      </c>
      <c r="Q66" s="104"/>
      <c r="R66" s="104">
        <v>3251.5560540000001</v>
      </c>
      <c r="S66" s="120"/>
      <c r="T66" s="104">
        <v>3257.5790240000001</v>
      </c>
      <c r="U66" s="120"/>
      <c r="V66" s="104">
        <v>3173.0889560000001</v>
      </c>
      <c r="W66" s="120"/>
      <c r="X66" s="104">
        <v>3163.0442389999998</v>
      </c>
      <c r="Y66" s="120"/>
      <c r="Z66" s="120">
        <v>2978.2198600000002</v>
      </c>
      <c r="AA66" s="104"/>
      <c r="AB66" s="104">
        <f>AVERAGE(D66:Z66)</f>
        <v>3256.1743342499999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103" t="s">
        <v>39</v>
      </c>
      <c r="C67" s="72"/>
      <c r="D67" s="104">
        <v>5061.792434</v>
      </c>
      <c r="E67" s="104"/>
      <c r="F67" s="104">
        <v>5056.1844289999999</v>
      </c>
      <c r="G67" s="104"/>
      <c r="H67" s="104">
        <v>5160.2273969999997</v>
      </c>
      <c r="I67" s="104"/>
      <c r="J67" s="104">
        <v>5284.1419939999996</v>
      </c>
      <c r="K67" s="104"/>
      <c r="L67" s="104">
        <v>5284.9325550000003</v>
      </c>
      <c r="M67" s="104"/>
      <c r="N67" s="104">
        <v>5275.0982000000004</v>
      </c>
      <c r="O67" s="104"/>
      <c r="P67" s="104">
        <v>5322.9911069999998</v>
      </c>
      <c r="Q67" s="104"/>
      <c r="R67" s="104">
        <v>5526.3700749999998</v>
      </c>
      <c r="S67" s="120"/>
      <c r="T67" s="104">
        <v>5587.3207689999999</v>
      </c>
      <c r="U67" s="120"/>
      <c r="V67" s="104">
        <v>5558.6205</v>
      </c>
      <c r="W67" s="120"/>
      <c r="X67" s="104">
        <v>5562.764975</v>
      </c>
      <c r="Y67" s="120"/>
      <c r="Z67" s="120">
        <v>5573.0615250000001</v>
      </c>
      <c r="AA67" s="104"/>
      <c r="AB67" s="104">
        <f t="shared" ref="AB67:AB76" si="0">AVERAGE(D67:Z67)</f>
        <v>5354.4588299999987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103" t="s">
        <v>25</v>
      </c>
      <c r="C68" s="72"/>
      <c r="D68" s="104">
        <v>681.13842055576356</v>
      </c>
      <c r="E68" s="104"/>
      <c r="F68" s="104">
        <v>699.15210499265527</v>
      </c>
      <c r="G68" s="104"/>
      <c r="H68" s="104">
        <v>718.67555154966055</v>
      </c>
      <c r="I68" s="104"/>
      <c r="J68" s="104">
        <v>690.39691039311663</v>
      </c>
      <c r="K68" s="104"/>
      <c r="L68" s="104">
        <v>728.74156934859889</v>
      </c>
      <c r="M68" s="104"/>
      <c r="N68" s="104">
        <v>725.25203672018608</v>
      </c>
      <c r="O68" s="104"/>
      <c r="P68" s="104">
        <v>701.86822127137043</v>
      </c>
      <c r="Q68" s="104"/>
      <c r="R68" s="104">
        <v>732.23522770037312</v>
      </c>
      <c r="S68" s="120"/>
      <c r="T68" s="104">
        <v>721.14603213103021</v>
      </c>
      <c r="U68" s="120"/>
      <c r="V68" s="104">
        <v>709.12590709856943</v>
      </c>
      <c r="W68" s="120"/>
      <c r="X68" s="104">
        <v>739.52803534194982</v>
      </c>
      <c r="Y68" s="120"/>
      <c r="Z68" s="120">
        <v>777.48046941006555</v>
      </c>
      <c r="AA68" s="104"/>
      <c r="AB68" s="104">
        <f t="shared" si="0"/>
        <v>718.72837387611162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103" t="s">
        <v>26</v>
      </c>
      <c r="C69" s="72"/>
      <c r="D69" s="104">
        <v>314.46830915047121</v>
      </c>
      <c r="E69" s="104"/>
      <c r="F69" s="104">
        <v>336.42113708744557</v>
      </c>
      <c r="G69" s="104"/>
      <c r="H69" s="104">
        <v>354.88115647820661</v>
      </c>
      <c r="I69" s="104"/>
      <c r="J69" s="104">
        <v>325.92844512546668</v>
      </c>
      <c r="K69" s="104"/>
      <c r="L69" s="104">
        <v>363.5329562612032</v>
      </c>
      <c r="M69" s="104"/>
      <c r="N69" s="104">
        <v>365.14116929673327</v>
      </c>
      <c r="O69" s="104"/>
      <c r="P69" s="104">
        <v>334.43841256485683</v>
      </c>
      <c r="Q69" s="104"/>
      <c r="R69" s="104">
        <v>354.70175323036779</v>
      </c>
      <c r="S69" s="120"/>
      <c r="T69" s="104">
        <v>343.10336515977286</v>
      </c>
      <c r="U69" s="120"/>
      <c r="V69" s="104">
        <v>347.56003202900581</v>
      </c>
      <c r="W69" s="120"/>
      <c r="X69" s="104">
        <v>361.89225012596398</v>
      </c>
      <c r="Y69" s="120"/>
      <c r="Z69" s="120">
        <v>335.9376333105476</v>
      </c>
      <c r="AA69" s="104"/>
      <c r="AB69" s="104">
        <f t="shared" si="0"/>
        <v>344.83388498500341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103" t="s">
        <v>27</v>
      </c>
      <c r="C70" s="72"/>
      <c r="D70" s="104">
        <v>330.06255818749401</v>
      </c>
      <c r="E70" s="104"/>
      <c r="F70" s="104">
        <v>291.42834882427201</v>
      </c>
      <c r="G70" s="104"/>
      <c r="H70" s="104">
        <v>295.00129013481597</v>
      </c>
      <c r="I70" s="104"/>
      <c r="J70" s="104">
        <v>265.09350031555499</v>
      </c>
      <c r="K70" s="104"/>
      <c r="L70" s="104">
        <v>260.20285946216802</v>
      </c>
      <c r="M70" s="104"/>
      <c r="N70" s="104">
        <v>274.01479212504898</v>
      </c>
      <c r="O70" s="104"/>
      <c r="P70" s="104">
        <v>257.67266270386301</v>
      </c>
      <c r="Q70" s="104"/>
      <c r="R70" s="104">
        <v>270.24682356263202</v>
      </c>
      <c r="S70" s="120"/>
      <c r="T70" s="104">
        <v>245.95446307146099</v>
      </c>
      <c r="U70" s="120"/>
      <c r="V70" s="104">
        <v>232.65595324018099</v>
      </c>
      <c r="W70" s="120"/>
      <c r="X70" s="104">
        <v>222.30663289155501</v>
      </c>
      <c r="Y70" s="120"/>
      <c r="Z70" s="120">
        <v>221.42030847112599</v>
      </c>
      <c r="AA70" s="104"/>
      <c r="AB70" s="104">
        <f t="shared" si="0"/>
        <v>263.83834941584769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103" t="s">
        <v>28</v>
      </c>
      <c r="C71" s="72"/>
      <c r="D71" s="104">
        <v>330.315173609265</v>
      </c>
      <c r="E71" s="104"/>
      <c r="F71" s="104">
        <v>320.887658860307</v>
      </c>
      <c r="G71" s="104"/>
      <c r="H71" s="104">
        <v>311.419517089257</v>
      </c>
      <c r="I71" s="104"/>
      <c r="J71" s="104">
        <v>286.62152520825902</v>
      </c>
      <c r="K71" s="104"/>
      <c r="L71" s="104">
        <v>288.57423066957801</v>
      </c>
      <c r="M71" s="104"/>
      <c r="N71" s="104">
        <v>291.32806859962398</v>
      </c>
      <c r="O71" s="104"/>
      <c r="P71" s="104">
        <v>281.05593486055898</v>
      </c>
      <c r="Q71" s="104"/>
      <c r="R71" s="104">
        <v>291.64537859156297</v>
      </c>
      <c r="S71" s="120"/>
      <c r="T71" s="104">
        <v>296.34493147218399</v>
      </c>
      <c r="U71" s="120"/>
      <c r="V71" s="104">
        <v>298.29107642274801</v>
      </c>
      <c r="W71" s="120"/>
      <c r="X71" s="104">
        <v>317.63640993133401</v>
      </c>
      <c r="Y71" s="120"/>
      <c r="Z71" s="120">
        <v>350.64337209288402</v>
      </c>
      <c r="AA71" s="104"/>
      <c r="AB71" s="104">
        <f t="shared" si="0"/>
        <v>305.39693978396349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4.25">
      <c r="A72" s="44"/>
      <c r="B72" s="103" t="s">
        <v>38</v>
      </c>
      <c r="C72" s="72"/>
      <c r="D72" s="104">
        <v>2564.87</v>
      </c>
      <c r="E72" s="104"/>
      <c r="F72" s="104">
        <v>2723.6</v>
      </c>
      <c r="G72" s="104"/>
      <c r="H72" s="104">
        <v>2878.52</v>
      </c>
      <c r="I72" s="104"/>
      <c r="J72" s="104">
        <v>2913.07</v>
      </c>
      <c r="K72" s="104"/>
      <c r="L72" s="104">
        <v>3129.97</v>
      </c>
      <c r="M72" s="104"/>
      <c r="N72" s="104">
        <v>3187.78</v>
      </c>
      <c r="O72" s="104"/>
      <c r="P72" s="104">
        <v>3204.6</v>
      </c>
      <c r="Q72" s="104"/>
      <c r="R72" s="104">
        <v>3190.78</v>
      </c>
      <c r="S72" s="120"/>
      <c r="T72" s="104">
        <v>2909.06</v>
      </c>
      <c r="U72" s="120"/>
      <c r="V72" s="104">
        <v>2972.16</v>
      </c>
      <c r="W72" s="120"/>
      <c r="X72" s="104">
        <v>2880.2</v>
      </c>
      <c r="Y72" s="120"/>
      <c r="Z72" s="120">
        <v>2887.07</v>
      </c>
      <c r="AA72" s="104"/>
      <c r="AB72" s="104">
        <f t="shared" si="0"/>
        <v>2953.4733333333334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103" t="s">
        <v>33</v>
      </c>
      <c r="C73" s="72"/>
      <c r="D73" s="104">
        <v>2051.6540967741939</v>
      </c>
      <c r="E73" s="104"/>
      <c r="F73" s="104">
        <v>1967.5203928571445</v>
      </c>
      <c r="G73" s="104"/>
      <c r="H73" s="104">
        <v>1986.1034193548408</v>
      </c>
      <c r="I73" s="104"/>
      <c r="J73" s="104">
        <v>1832.57463333333</v>
      </c>
      <c r="K73" s="104"/>
      <c r="L73" s="104">
        <v>1830.9495483870987</v>
      </c>
      <c r="M73" s="104"/>
      <c r="N73" s="104">
        <v>1775.8877</v>
      </c>
      <c r="O73" s="104"/>
      <c r="P73" s="104">
        <v>1635.0016451612944</v>
      </c>
      <c r="Q73" s="104"/>
      <c r="R73" s="105">
        <v>1776.2281290322549</v>
      </c>
      <c r="S73" s="120"/>
      <c r="T73" s="104">
        <v>1678.44</v>
      </c>
      <c r="U73" s="120"/>
      <c r="V73" s="104">
        <v>1679.5116774193521</v>
      </c>
      <c r="W73" s="120"/>
      <c r="X73" s="104">
        <v>1787.9510333333299</v>
      </c>
      <c r="Y73" s="120"/>
      <c r="Z73" s="120">
        <v>1524.6985161290313</v>
      </c>
      <c r="AA73" s="104"/>
      <c r="AB73" s="104">
        <f t="shared" si="0"/>
        <v>1793.8767326484895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2.75" customHeight="1">
      <c r="A74" s="44"/>
      <c r="B74" s="103" t="s">
        <v>29</v>
      </c>
      <c r="C74" s="72"/>
      <c r="D74" s="106">
        <v>50.177774769993995</v>
      </c>
      <c r="E74" s="106"/>
      <c r="F74" s="106">
        <v>48.800317731685837</v>
      </c>
      <c r="G74" s="106"/>
      <c r="H74" s="106">
        <v>51.367277792570476</v>
      </c>
      <c r="I74" s="106"/>
      <c r="J74" s="106">
        <v>57.089870470941726</v>
      </c>
      <c r="K74" s="106"/>
      <c r="L74" s="106">
        <v>56.767106871710219</v>
      </c>
      <c r="M74" s="106"/>
      <c r="N74" s="106">
        <v>55.665263876951983</v>
      </c>
      <c r="O74" s="106"/>
      <c r="P74" s="106">
        <v>59.42591242909063</v>
      </c>
      <c r="Q74" s="106"/>
      <c r="R74" s="121">
        <v>60.152759681479559</v>
      </c>
      <c r="S74" s="122"/>
      <c r="T74" s="121">
        <v>51.304601705551882</v>
      </c>
      <c r="U74" s="122"/>
      <c r="V74" s="121">
        <v>48.509452701324818</v>
      </c>
      <c r="W74" s="122"/>
      <c r="X74" s="121">
        <v>47.663421385272549</v>
      </c>
      <c r="Y74" s="122"/>
      <c r="Z74" s="122">
        <v>49.632728334193821</v>
      </c>
      <c r="AA74" s="104"/>
      <c r="AB74" s="107">
        <f t="shared" si="0"/>
        <v>53.046373979230623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103" t="s">
        <v>30</v>
      </c>
      <c r="C75" s="72"/>
      <c r="D75" s="106">
        <v>8.4290000000000003</v>
      </c>
      <c r="E75" s="122"/>
      <c r="F75" s="106">
        <v>6.97</v>
      </c>
      <c r="G75" s="106"/>
      <c r="H75" s="106">
        <v>6.53</v>
      </c>
      <c r="I75" s="106"/>
      <c r="J75" s="106">
        <v>6.64</v>
      </c>
      <c r="K75" s="106"/>
      <c r="L75" s="106">
        <v>6.66</v>
      </c>
      <c r="M75" s="106"/>
      <c r="N75" s="106">
        <v>5.63</v>
      </c>
      <c r="O75" s="106"/>
      <c r="P75" s="106">
        <v>5.55</v>
      </c>
      <c r="Q75" s="106"/>
      <c r="R75" s="106">
        <v>6.6529999999999996</v>
      </c>
      <c r="S75" s="106"/>
      <c r="T75" s="106">
        <v>6.42</v>
      </c>
      <c r="U75" s="106"/>
      <c r="V75" s="106">
        <v>3.83</v>
      </c>
      <c r="W75" s="106"/>
      <c r="X75" s="106">
        <v>6.73</v>
      </c>
      <c r="Y75" s="106"/>
      <c r="Z75" s="122">
        <v>6.7290000000000001</v>
      </c>
      <c r="AA75" s="106"/>
      <c r="AB75" s="107">
        <f t="shared" si="0"/>
        <v>6.3975833333333334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103" t="s">
        <v>31</v>
      </c>
      <c r="C76" s="72"/>
      <c r="D76" s="108">
        <v>10.5679</v>
      </c>
      <c r="E76" s="108"/>
      <c r="F76" s="108">
        <v>10.481299999999999</v>
      </c>
      <c r="G76" s="108"/>
      <c r="H76" s="108">
        <v>10.706099999999999</v>
      </c>
      <c r="I76" s="108"/>
      <c r="J76" s="108">
        <v>11.0206</v>
      </c>
      <c r="K76" s="108"/>
      <c r="L76" s="108">
        <v>11.075799999999999</v>
      </c>
      <c r="M76" s="108"/>
      <c r="N76" s="108">
        <v>11.3864</v>
      </c>
      <c r="O76" s="108"/>
      <c r="P76" s="108">
        <v>11.0268</v>
      </c>
      <c r="Q76" s="108"/>
      <c r="R76" s="108">
        <v>10.873900000000001</v>
      </c>
      <c r="S76" s="123"/>
      <c r="T76" s="108">
        <v>10.972200000000001</v>
      </c>
      <c r="U76" s="123"/>
      <c r="V76" s="108">
        <v>10.9201</v>
      </c>
      <c r="W76" s="123"/>
      <c r="X76" s="108">
        <v>10.8948</v>
      </c>
      <c r="Y76" s="123"/>
      <c r="Z76" s="123">
        <v>10.865</v>
      </c>
      <c r="AA76" s="104"/>
      <c r="AB76" s="109">
        <f t="shared" si="0"/>
        <v>10.899241666666668</v>
      </c>
      <c r="AC76" s="216"/>
      <c r="AD76" s="216"/>
      <c r="AE76" s="216"/>
      <c r="AF76" s="216"/>
      <c r="AG76" s="216"/>
      <c r="AH76" s="216"/>
      <c r="AI76" s="216"/>
    </row>
    <row r="77" spans="1:35" s="202" customFormat="1" ht="14.25">
      <c r="A77" s="44"/>
      <c r="B77" s="103" t="s">
        <v>69</v>
      </c>
      <c r="C77" s="72"/>
      <c r="D77" s="104">
        <v>459.39839940111528</v>
      </c>
      <c r="E77" s="104"/>
      <c r="F77" s="104">
        <v>533.63476029963044</v>
      </c>
      <c r="G77" s="104"/>
      <c r="H77" s="104">
        <v>525.61495687573051</v>
      </c>
      <c r="I77" s="104"/>
      <c r="J77" s="104">
        <v>505.09646430124951</v>
      </c>
      <c r="K77" s="104"/>
      <c r="L77" s="104">
        <v>538.03069785143066</v>
      </c>
      <c r="M77" s="104"/>
      <c r="N77" s="104">
        <v>477.54899408582867</v>
      </c>
      <c r="O77" s="104"/>
      <c r="P77" s="104">
        <v>559.9612414795572</v>
      </c>
      <c r="Q77" s="104"/>
      <c r="R77" s="104">
        <v>501.6701721579048</v>
      </c>
      <c r="S77" s="104"/>
      <c r="T77" s="104">
        <v>400.41565365199295</v>
      </c>
      <c r="U77" s="120"/>
      <c r="V77" s="104">
        <v>529.72284567744703</v>
      </c>
      <c r="W77" s="120"/>
      <c r="X77" s="104">
        <v>511.17844073802934</v>
      </c>
      <c r="Y77" s="120"/>
      <c r="Z77" s="120">
        <v>599.74373187825188</v>
      </c>
      <c r="AA77" s="104"/>
      <c r="AB77" s="104">
        <f>AVERAGE(D77:Z77)</f>
        <v>511.83469653318076</v>
      </c>
      <c r="AC77" s="216"/>
      <c r="AD77" s="216"/>
      <c r="AE77" s="216"/>
      <c r="AF77" s="216"/>
      <c r="AG77" s="216"/>
      <c r="AH77" s="216"/>
      <c r="AI77" s="216"/>
    </row>
    <row r="78" spans="1:35" s="202" customFormat="1" ht="14.25">
      <c r="A78" s="44"/>
      <c r="B78" s="103" t="s">
        <v>70</v>
      </c>
      <c r="C78" s="72"/>
      <c r="D78" s="104">
        <v>37.234140999999994</v>
      </c>
      <c r="E78" s="104"/>
      <c r="F78" s="104">
        <v>44.624147999999998</v>
      </c>
      <c r="G78" s="104"/>
      <c r="H78" s="104">
        <v>12.273766</v>
      </c>
      <c r="I78" s="104"/>
      <c r="J78" s="104">
        <v>12.456683999999999</v>
      </c>
      <c r="K78" s="104"/>
      <c r="L78" s="104">
        <v>11.911462999999999</v>
      </c>
      <c r="M78" s="104"/>
      <c r="N78" s="104">
        <v>21.413789999999999</v>
      </c>
      <c r="O78" s="104"/>
      <c r="P78" s="104">
        <v>17.321409000000003</v>
      </c>
      <c r="Q78" s="104"/>
      <c r="R78" s="104">
        <v>21.299627999999998</v>
      </c>
      <c r="S78" s="104"/>
      <c r="T78" s="104">
        <v>9.1007699999999989</v>
      </c>
      <c r="U78" s="120"/>
      <c r="V78" s="104">
        <v>20.961489000000004</v>
      </c>
      <c r="W78" s="120"/>
      <c r="X78" s="104">
        <v>31.951430000000002</v>
      </c>
      <c r="Y78" s="120"/>
      <c r="Z78" s="120">
        <v>9.3140099999999997</v>
      </c>
      <c r="AA78" s="104"/>
      <c r="AB78" s="104">
        <f>AVERAGE(D78:Z78)</f>
        <v>20.821893999999997</v>
      </c>
      <c r="AC78" s="216"/>
      <c r="AD78" s="216"/>
      <c r="AE78" s="216"/>
      <c r="AF78" s="216"/>
      <c r="AG78" s="216"/>
      <c r="AH78" s="216"/>
      <c r="AI78" s="216"/>
    </row>
    <row r="79" spans="1:35" ht="13.5">
      <c r="B79" s="195" t="s">
        <v>71</v>
      </c>
      <c r="C79" s="111"/>
      <c r="D79" s="110"/>
      <c r="E79" s="112"/>
      <c r="F79" s="113"/>
      <c r="G79" s="112"/>
      <c r="H79" s="113"/>
      <c r="I79" s="112"/>
      <c r="J79" s="113"/>
      <c r="K79" s="112"/>
      <c r="L79" s="113"/>
      <c r="M79" s="113"/>
      <c r="N79" s="112"/>
      <c r="O79" s="113"/>
      <c r="P79" s="112"/>
      <c r="Q79" s="114"/>
      <c r="R79" s="115"/>
      <c r="S79" s="114"/>
      <c r="T79" s="116"/>
      <c r="U79" s="114"/>
      <c r="V79" s="117"/>
      <c r="W79" s="114"/>
      <c r="X79" s="117"/>
      <c r="Y79" s="114"/>
      <c r="Z79" s="117"/>
      <c r="AA79" s="117"/>
      <c r="AB79" s="117"/>
    </row>
    <row r="80" spans="1:35">
      <c r="B80" s="474" t="s">
        <v>75</v>
      </c>
      <c r="C80" s="474"/>
      <c r="D80" s="474"/>
      <c r="E80" s="474"/>
      <c r="F80" s="474"/>
      <c r="G80" s="474"/>
      <c r="H80" s="474"/>
      <c r="I80" s="474"/>
      <c r="J80" s="474"/>
      <c r="K80" s="474"/>
      <c r="L80" s="474"/>
      <c r="M80" s="474"/>
      <c r="N80" s="474"/>
      <c r="O80" s="474"/>
      <c r="P80" s="474"/>
      <c r="Q80" s="474"/>
      <c r="R80" s="474"/>
      <c r="S80" s="474"/>
      <c r="T80" s="474"/>
      <c r="U80" s="474"/>
      <c r="V80" s="474"/>
      <c r="W80" s="474"/>
      <c r="X80" s="474"/>
      <c r="Y80" s="474"/>
      <c r="Z80" s="474"/>
      <c r="AA80" s="474"/>
      <c r="AB80" s="474"/>
    </row>
    <row r="81" spans="2:28">
      <c r="B81" s="472" t="s">
        <v>101</v>
      </c>
      <c r="C81" s="472"/>
      <c r="D81" s="472"/>
      <c r="E81" s="472"/>
      <c r="F81" s="472"/>
      <c r="G81" s="472"/>
      <c r="H81" s="472"/>
      <c r="I81" s="472"/>
      <c r="J81" s="472"/>
      <c r="K81" s="472"/>
      <c r="L81" s="472"/>
      <c r="M81" s="472"/>
      <c r="N81" s="472"/>
      <c r="O81" s="472"/>
      <c r="P81" s="472"/>
      <c r="Q81" s="472"/>
      <c r="R81" s="472"/>
      <c r="S81" s="472"/>
      <c r="T81" s="472"/>
      <c r="U81" s="472"/>
      <c r="V81" s="472"/>
      <c r="W81" s="472"/>
      <c r="X81" s="472"/>
      <c r="Y81" s="472"/>
      <c r="Z81" s="472"/>
      <c r="AA81" s="472"/>
      <c r="AB81" s="472"/>
    </row>
    <row r="87" spans="2:28" ht="12.75" customHeight="1"/>
    <row r="88" spans="2:28" ht="12.75" customHeight="1"/>
    <row r="89" spans="2:28" ht="12.75" customHeight="1"/>
    <row r="90" spans="2:28" ht="12.75" customHeight="1"/>
    <row r="91" spans="2:28" ht="12.75" customHeight="1"/>
    <row r="92" spans="2:28" ht="12.75" customHeight="1"/>
    <row r="93" spans="2:28" ht="12.75" customHeight="1"/>
    <row r="94" spans="2:28" ht="12.75" customHeight="1"/>
    <row r="95" spans="2:28" ht="12.75" customHeight="1"/>
  </sheetData>
  <mergeCells count="95">
    <mergeCell ref="B2:AB2"/>
    <mergeCell ref="B47:AB47"/>
    <mergeCell ref="B48:AB48"/>
    <mergeCell ref="B49:AB49"/>
    <mergeCell ref="B3:AB3"/>
    <mergeCell ref="K7:L7"/>
    <mergeCell ref="M7:N7"/>
    <mergeCell ref="C7:D7"/>
    <mergeCell ref="E7:F7"/>
    <mergeCell ref="G7:H7"/>
    <mergeCell ref="O4:P4"/>
    <mergeCell ref="Q4:R4"/>
    <mergeCell ref="AA5:AB5"/>
    <mergeCell ref="K4:L4"/>
    <mergeCell ref="U5:V5"/>
    <mergeCell ref="W5:X5"/>
    <mergeCell ref="B50:AB50"/>
    <mergeCell ref="B51:AB51"/>
    <mergeCell ref="B59:AB59"/>
    <mergeCell ref="W7:X7"/>
    <mergeCell ref="Y7:Z7"/>
    <mergeCell ref="AA7:AB7"/>
    <mergeCell ref="O7:P7"/>
    <mergeCell ref="Q7:R7"/>
    <mergeCell ref="S7:T7"/>
    <mergeCell ref="U7:V7"/>
    <mergeCell ref="I7:J7"/>
    <mergeCell ref="I4:J4"/>
    <mergeCell ref="AA4:AB4"/>
    <mergeCell ref="C5:D5"/>
    <mergeCell ref="E5:F5"/>
    <mergeCell ref="G5:H5"/>
    <mergeCell ref="I5:J5"/>
    <mergeCell ref="K5:L5"/>
    <mergeCell ref="Y5:Z5"/>
    <mergeCell ref="M5:N5"/>
    <mergeCell ref="O5:P5"/>
    <mergeCell ref="Q5:R5"/>
    <mergeCell ref="S5:T5"/>
    <mergeCell ref="G64:H64"/>
    <mergeCell ref="I64:J64"/>
    <mergeCell ref="S4:T4"/>
    <mergeCell ref="U4:V4"/>
    <mergeCell ref="B60:AB60"/>
    <mergeCell ref="B56:AB56"/>
    <mergeCell ref="B52:AB52"/>
    <mergeCell ref="B53:AB53"/>
    <mergeCell ref="B54:AB54"/>
    <mergeCell ref="B58:AB58"/>
    <mergeCell ref="M4:N4"/>
    <mergeCell ref="W4:X4"/>
    <mergeCell ref="Y4:Z4"/>
    <mergeCell ref="C4:D4"/>
    <mergeCell ref="E4:F4"/>
    <mergeCell ref="G4:H4"/>
    <mergeCell ref="S63:T63"/>
    <mergeCell ref="Y63:Z63"/>
    <mergeCell ref="B80:AB80"/>
    <mergeCell ref="B81:AB81"/>
    <mergeCell ref="C63:D63"/>
    <mergeCell ref="E63:F63"/>
    <mergeCell ref="G63:H63"/>
    <mergeCell ref="I63:J63"/>
    <mergeCell ref="K63:L63"/>
    <mergeCell ref="M63:N63"/>
    <mergeCell ref="U63:V63"/>
    <mergeCell ref="O63:P63"/>
    <mergeCell ref="S64:T64"/>
    <mergeCell ref="AA63:AB63"/>
    <mergeCell ref="C64:D64"/>
    <mergeCell ref="E64:F64"/>
    <mergeCell ref="K65:L65"/>
    <mergeCell ref="M65:N65"/>
    <mergeCell ref="O65:P65"/>
    <mergeCell ref="Q65:R65"/>
    <mergeCell ref="Q64:R64"/>
    <mergeCell ref="K64:L64"/>
    <mergeCell ref="M64:N64"/>
    <mergeCell ref="O64:P64"/>
    <mergeCell ref="AA65:AB65"/>
    <mergeCell ref="B62:AB62"/>
    <mergeCell ref="S65:T65"/>
    <mergeCell ref="U65:V65"/>
    <mergeCell ref="W65:X65"/>
    <mergeCell ref="Y65:Z65"/>
    <mergeCell ref="Y64:Z64"/>
    <mergeCell ref="AA64:AB64"/>
    <mergeCell ref="W63:X63"/>
    <mergeCell ref="W64:X64"/>
    <mergeCell ref="U64:V64"/>
    <mergeCell ref="Q63:R63"/>
    <mergeCell ref="C65:D65"/>
    <mergeCell ref="E65:F65"/>
    <mergeCell ref="G65:H65"/>
    <mergeCell ref="I65:J65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57" orientation="landscape" r:id="rId1"/>
  <headerFooter alignWithMargins="0"/>
  <colBreaks count="1" manualBreakCount="1">
    <brk id="28" max="1048575" man="1"/>
  </colBreaks>
  <ignoredErrors>
    <ignoredError sqref="AB27" formula="1"/>
    <ignoredError sqref="AB35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2"/>
  <sheetViews>
    <sheetView showGridLines="0" topLeftCell="A59" zoomScale="75" zoomScaleNormal="75" workbookViewId="0">
      <selection activeCell="AC17" sqref="AC17"/>
    </sheetView>
  </sheetViews>
  <sheetFormatPr baseColWidth="10" defaultColWidth="9.140625" defaultRowHeight="12.75"/>
  <cols>
    <col min="1" max="1" width="0.140625" customWidth="1"/>
    <col min="2" max="2" width="45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2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2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2.7109375" customWidth="1"/>
    <col min="29" max="29" width="13.28515625" style="213" customWidth="1"/>
    <col min="30" max="31" width="9.140625" style="213"/>
    <col min="32" max="32" width="11.42578125" style="213" customWidth="1"/>
    <col min="33" max="35" width="9.140625" style="213"/>
    <col min="36" max="16384" width="9.140625" style="18"/>
  </cols>
  <sheetData>
    <row r="1" spans="1:3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5" ht="23.25">
      <c r="B2" s="475" t="s">
        <v>43</v>
      </c>
      <c r="C2" s="475"/>
      <c r="D2" s="475"/>
      <c r="E2" s="475"/>
      <c r="F2" s="475"/>
      <c r="G2" s="475"/>
      <c r="H2" s="475"/>
      <c r="I2" s="475"/>
      <c r="J2" s="475"/>
      <c r="K2" s="475"/>
      <c r="L2" s="475"/>
      <c r="M2" s="475"/>
      <c r="N2" s="475"/>
      <c r="O2" s="475"/>
      <c r="P2" s="475"/>
      <c r="Q2" s="475"/>
      <c r="R2" s="475"/>
      <c r="S2" s="475"/>
      <c r="T2" s="475"/>
      <c r="U2" s="475"/>
      <c r="V2" s="475"/>
      <c r="W2" s="475"/>
      <c r="X2" s="475"/>
      <c r="Y2" s="475"/>
      <c r="Z2" s="475"/>
      <c r="AA2" s="475"/>
      <c r="AB2" s="475"/>
      <c r="AC2" s="226"/>
      <c r="AD2" s="226"/>
      <c r="AE2" s="226"/>
      <c r="AF2" s="226"/>
    </row>
    <row r="3" spans="1:35" ht="15.75" customHeight="1" thickBot="1">
      <c r="B3" s="477" t="s">
        <v>57</v>
      </c>
      <c r="C3" s="477"/>
      <c r="D3" s="477"/>
      <c r="E3" s="477"/>
      <c r="F3" s="477"/>
      <c r="G3" s="477"/>
      <c r="H3" s="477"/>
      <c r="I3" s="477"/>
      <c r="J3" s="477"/>
      <c r="K3" s="477"/>
      <c r="L3" s="477"/>
      <c r="M3" s="477"/>
      <c r="N3" s="477"/>
      <c r="O3" s="477"/>
      <c r="P3" s="477"/>
      <c r="Q3" s="477"/>
      <c r="R3" s="477"/>
      <c r="S3" s="477"/>
      <c r="T3" s="477"/>
      <c r="U3" s="477"/>
      <c r="V3" s="477"/>
      <c r="W3" s="477"/>
      <c r="X3" s="477"/>
      <c r="Y3" s="477"/>
      <c r="Z3" s="477"/>
      <c r="AA3" s="477"/>
      <c r="AB3" s="477"/>
      <c r="AC3" s="227"/>
      <c r="AD3" s="227"/>
      <c r="AE3" s="227"/>
      <c r="AF3" s="227"/>
    </row>
    <row r="4" spans="1:35">
      <c r="B4" s="1"/>
      <c r="C4" s="486"/>
      <c r="D4" s="492"/>
      <c r="E4" s="486"/>
      <c r="F4" s="489"/>
      <c r="G4" s="486"/>
      <c r="H4" s="489"/>
      <c r="I4" s="486"/>
      <c r="J4" s="489"/>
      <c r="K4" s="486"/>
      <c r="L4" s="489"/>
      <c r="M4" s="486"/>
      <c r="N4" s="489"/>
      <c r="O4" s="486"/>
      <c r="P4" s="489"/>
      <c r="Q4" s="486"/>
      <c r="R4" s="489"/>
      <c r="S4" s="486"/>
      <c r="T4" s="489"/>
      <c r="U4" s="486"/>
      <c r="V4" s="487"/>
      <c r="W4" s="486"/>
      <c r="X4" s="487"/>
      <c r="Y4" s="486"/>
      <c r="Z4" s="487"/>
      <c r="AA4" s="486"/>
      <c r="AB4" s="487"/>
    </row>
    <row r="5" spans="1:35">
      <c r="B5" s="11">
        <v>2007</v>
      </c>
      <c r="C5" s="481" t="s">
        <v>4</v>
      </c>
      <c r="D5" s="488"/>
      <c r="E5" s="481" t="s">
        <v>5</v>
      </c>
      <c r="F5" s="483"/>
      <c r="G5" s="481" t="s">
        <v>6</v>
      </c>
      <c r="H5" s="483"/>
      <c r="I5" s="481" t="s">
        <v>7</v>
      </c>
      <c r="J5" s="483"/>
      <c r="K5" s="481" t="s">
        <v>8</v>
      </c>
      <c r="L5" s="483"/>
      <c r="M5" s="481" t="s">
        <v>9</v>
      </c>
      <c r="N5" s="483"/>
      <c r="O5" s="481" t="s">
        <v>10</v>
      </c>
      <c r="P5" s="483"/>
      <c r="Q5" s="484" t="s">
        <v>11</v>
      </c>
      <c r="R5" s="483"/>
      <c r="S5" s="484" t="s">
        <v>12</v>
      </c>
      <c r="T5" s="483"/>
      <c r="U5" s="481" t="s">
        <v>0</v>
      </c>
      <c r="V5" s="482"/>
      <c r="W5" s="481" t="s">
        <v>1</v>
      </c>
      <c r="X5" s="482"/>
      <c r="Y5" s="481" t="s">
        <v>2</v>
      </c>
      <c r="Z5" s="482"/>
      <c r="AA5" s="481" t="s">
        <v>15</v>
      </c>
      <c r="AB5" s="482"/>
    </row>
    <row r="6" spans="1:35">
      <c r="B6" s="11"/>
      <c r="C6" s="13"/>
      <c r="D6" s="34"/>
      <c r="E6" s="13"/>
      <c r="F6" s="14"/>
      <c r="G6" s="13"/>
      <c r="H6" s="14"/>
      <c r="I6" s="13"/>
      <c r="J6" s="14"/>
      <c r="K6" s="13"/>
      <c r="L6" s="14"/>
      <c r="M6" s="13"/>
      <c r="N6" s="14"/>
      <c r="O6" s="13"/>
      <c r="P6" s="14"/>
      <c r="Q6" s="15"/>
      <c r="R6" s="14"/>
      <c r="S6" s="15"/>
      <c r="T6" s="14"/>
      <c r="U6" s="13"/>
      <c r="V6" s="16"/>
      <c r="W6" s="13"/>
      <c r="X6" s="16"/>
      <c r="Y6" s="13"/>
      <c r="Z6" s="16"/>
      <c r="AA6" s="13"/>
      <c r="AB6" s="16"/>
    </row>
    <row r="7" spans="1:35" ht="3.75" customHeight="1" thickBot="1">
      <c r="B7" s="33"/>
      <c r="C7" s="478"/>
      <c r="D7" s="479"/>
      <c r="E7" s="478"/>
      <c r="F7" s="480"/>
      <c r="G7" s="478"/>
      <c r="H7" s="480"/>
      <c r="I7" s="478"/>
      <c r="J7" s="480"/>
      <c r="K7" s="478"/>
      <c r="L7" s="480"/>
      <c r="M7" s="478"/>
      <c r="N7" s="480"/>
      <c r="O7" s="478"/>
      <c r="P7" s="480"/>
      <c r="Q7" s="478"/>
      <c r="R7" s="480"/>
      <c r="S7" s="478"/>
      <c r="T7" s="480"/>
      <c r="U7" s="478"/>
      <c r="V7" s="485"/>
      <c r="W7" s="478"/>
      <c r="X7" s="485"/>
      <c r="Y7" s="478"/>
      <c r="Z7" s="485"/>
      <c r="AA7" s="478"/>
      <c r="AB7" s="485"/>
    </row>
    <row r="8" spans="1:35" s="202" customFormat="1" ht="14.25" customHeight="1">
      <c r="A8" s="44"/>
      <c r="B8" s="40" t="s">
        <v>16</v>
      </c>
      <c r="C8" s="4"/>
      <c r="D8" s="41">
        <f>D9+D12</f>
        <v>91302.527262000003</v>
      </c>
      <c r="E8" s="42"/>
      <c r="F8" s="41">
        <f t="shared" ref="F8:AB8" si="0">F9+F12</f>
        <v>77078.685725999996</v>
      </c>
      <c r="G8" s="41"/>
      <c r="H8" s="41">
        <f t="shared" si="0"/>
        <v>93873.564148000005</v>
      </c>
      <c r="I8" s="41"/>
      <c r="J8" s="41">
        <f t="shared" si="0"/>
        <v>87236.276246000009</v>
      </c>
      <c r="K8" s="41"/>
      <c r="L8" s="41">
        <f t="shared" si="0"/>
        <v>90229.358605999994</v>
      </c>
      <c r="M8" s="41"/>
      <c r="N8" s="41">
        <f t="shared" si="0"/>
        <v>96774.403326</v>
      </c>
      <c r="O8" s="41"/>
      <c r="P8" s="41">
        <f t="shared" si="0"/>
        <v>98724.171117999998</v>
      </c>
      <c r="Q8" s="41"/>
      <c r="R8" s="41">
        <f t="shared" si="0"/>
        <v>106613.74799800001</v>
      </c>
      <c r="S8" s="41"/>
      <c r="T8" s="41">
        <f t="shared" si="0"/>
        <v>87479.35598800001</v>
      </c>
      <c r="U8" s="41"/>
      <c r="V8" s="41">
        <f t="shared" si="0"/>
        <v>99877.054551000008</v>
      </c>
      <c r="W8" s="41"/>
      <c r="X8" s="41">
        <f t="shared" si="0"/>
        <v>101827.75040200001</v>
      </c>
      <c r="Y8" s="41"/>
      <c r="Z8" s="41">
        <f t="shared" si="0"/>
        <v>163702.45116499998</v>
      </c>
      <c r="AA8" s="43"/>
      <c r="AB8" s="43">
        <f t="shared" si="0"/>
        <v>1194719.346536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44"/>
      <c r="B9" s="7" t="s">
        <v>17</v>
      </c>
      <c r="C9" s="4"/>
      <c r="D9" s="42">
        <f>+D10+D11</f>
        <v>80588.600000000006</v>
      </c>
      <c r="E9" s="42"/>
      <c r="F9" s="42">
        <f t="shared" ref="F9:L9" si="1">+F10+F11</f>
        <v>71859.8</v>
      </c>
      <c r="G9" s="42"/>
      <c r="H9" s="42">
        <f t="shared" si="1"/>
        <v>86939</v>
      </c>
      <c r="I9" s="42"/>
      <c r="J9" s="42">
        <f t="shared" si="1"/>
        <v>85997.700000000012</v>
      </c>
      <c r="K9" s="42"/>
      <c r="L9" s="42">
        <f t="shared" si="1"/>
        <v>87749.7</v>
      </c>
      <c r="M9" s="42"/>
      <c r="N9" s="42">
        <f>+N10+N11</f>
        <v>86724.7</v>
      </c>
      <c r="O9" s="42"/>
      <c r="P9" s="42">
        <f t="shared" ref="P9:AB9" si="2">+P10+P11</f>
        <v>90829.277067999996</v>
      </c>
      <c r="Q9" s="42"/>
      <c r="R9" s="42">
        <f t="shared" si="2"/>
        <v>98005.64529</v>
      </c>
      <c r="S9" s="42"/>
      <c r="T9" s="42">
        <f t="shared" si="2"/>
        <v>81523.365954000008</v>
      </c>
      <c r="U9" s="42"/>
      <c r="V9" s="42">
        <f t="shared" si="2"/>
        <v>98207.359140000015</v>
      </c>
      <c r="W9" s="42"/>
      <c r="X9" s="42">
        <f t="shared" si="2"/>
        <v>92929.105026000005</v>
      </c>
      <c r="Y9" s="42"/>
      <c r="Z9" s="42">
        <f t="shared" si="2"/>
        <v>152073.02941299998</v>
      </c>
      <c r="AA9" s="5"/>
      <c r="AB9" s="5">
        <f t="shared" si="2"/>
        <v>1113427.281891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44"/>
      <c r="B10" s="52" t="s">
        <v>77</v>
      </c>
      <c r="C10" s="4"/>
      <c r="D10" s="42">
        <v>29091.3</v>
      </c>
      <c r="E10" s="42"/>
      <c r="F10" s="42">
        <v>24242.7</v>
      </c>
      <c r="G10" s="42"/>
      <c r="H10" s="42">
        <v>32690.7</v>
      </c>
      <c r="I10" s="42"/>
      <c r="J10" s="42">
        <v>34005.800000000003</v>
      </c>
      <c r="K10" s="42"/>
      <c r="L10" s="42">
        <v>36079.199999999997</v>
      </c>
      <c r="M10" s="42"/>
      <c r="N10" s="42">
        <v>36274.5</v>
      </c>
      <c r="O10" s="42"/>
      <c r="P10" s="42">
        <v>39189.685135000007</v>
      </c>
      <c r="Q10" s="42"/>
      <c r="R10" s="42">
        <v>45104.244256000005</v>
      </c>
      <c r="S10" s="42"/>
      <c r="T10" s="42">
        <v>34138.770828000001</v>
      </c>
      <c r="U10" s="42"/>
      <c r="V10" s="42">
        <v>44634.136548000009</v>
      </c>
      <c r="W10" s="42"/>
      <c r="X10" s="42">
        <v>41664.642457999995</v>
      </c>
      <c r="Y10" s="42"/>
      <c r="Z10" s="125">
        <v>53707.699909000003</v>
      </c>
      <c r="AA10" s="5"/>
      <c r="AB10" s="5">
        <f>SUM(D10:Z10)</f>
        <v>450823.37913399999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44"/>
      <c r="B11" s="52" t="s">
        <v>78</v>
      </c>
      <c r="C11" s="4"/>
      <c r="D11" s="42">
        <v>51497.3</v>
      </c>
      <c r="E11" s="42"/>
      <c r="F11" s="42">
        <v>47617.1</v>
      </c>
      <c r="G11" s="42"/>
      <c r="H11" s="42">
        <v>54248.3</v>
      </c>
      <c r="I11" s="42"/>
      <c r="J11" s="42">
        <v>51991.9</v>
      </c>
      <c r="K11" s="42"/>
      <c r="L11" s="42">
        <v>51670.5</v>
      </c>
      <c r="M11" s="42"/>
      <c r="N11" s="42">
        <v>50450.2</v>
      </c>
      <c r="O11" s="42"/>
      <c r="P11" s="42">
        <v>51639.591932999996</v>
      </c>
      <c r="Q11" s="42"/>
      <c r="R11" s="42">
        <v>52901.401033999995</v>
      </c>
      <c r="S11" s="42"/>
      <c r="T11" s="42">
        <v>47384.595126</v>
      </c>
      <c r="U11" s="42"/>
      <c r="V11" s="42">
        <v>53573.222591999998</v>
      </c>
      <c r="W11" s="42"/>
      <c r="X11" s="42">
        <v>51264.462568000003</v>
      </c>
      <c r="Y11" s="42"/>
      <c r="Z11" s="125">
        <v>98365.329503999994</v>
      </c>
      <c r="AA11" s="12"/>
      <c r="AB11" s="5">
        <f>SUM(D11:Z11)</f>
        <v>662603.90275699995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44"/>
      <c r="B12" s="7" t="s">
        <v>79</v>
      </c>
      <c r="C12" s="4"/>
      <c r="D12" s="42">
        <v>10713.927261999999</v>
      </c>
      <c r="E12" s="42"/>
      <c r="F12" s="42">
        <v>5218.8857259999995</v>
      </c>
      <c r="G12" s="42"/>
      <c r="H12" s="42">
        <v>6934.5641480000004</v>
      </c>
      <c r="I12" s="42"/>
      <c r="J12" s="42">
        <v>1238.5762460000003</v>
      </c>
      <c r="K12" s="42"/>
      <c r="L12" s="42">
        <v>2479.658606</v>
      </c>
      <c r="M12" s="42"/>
      <c r="N12" s="42">
        <v>10049.703326000001</v>
      </c>
      <c r="O12" s="42"/>
      <c r="P12" s="42">
        <v>7894.8940499999999</v>
      </c>
      <c r="Q12" s="42"/>
      <c r="R12" s="42">
        <v>8608.1027080000003</v>
      </c>
      <c r="S12" s="42"/>
      <c r="T12" s="42">
        <v>5955.9900340000004</v>
      </c>
      <c r="U12" s="42"/>
      <c r="V12" s="42">
        <v>1669.6954110000006</v>
      </c>
      <c r="W12" s="42"/>
      <c r="X12" s="42">
        <v>8898.6453760000004</v>
      </c>
      <c r="Y12" s="42"/>
      <c r="Z12" s="125">
        <v>11629.421751999998</v>
      </c>
      <c r="AA12" s="5"/>
      <c r="AB12" s="5">
        <f>SUM(D12:Z12)</f>
        <v>81292.064645000006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21"/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  <c r="AB13" s="24"/>
    </row>
    <row r="14" spans="1:35" s="203" customFormat="1" ht="14.25">
      <c r="A14" s="46"/>
      <c r="B14" s="38" t="s">
        <v>80</v>
      </c>
      <c r="C14" s="10"/>
      <c r="D14" s="45">
        <f>+D15+D16+D17</f>
        <v>10077.417765000002</v>
      </c>
      <c r="E14" s="45"/>
      <c r="F14" s="45">
        <f>+F15+F16+F17</f>
        <v>6477.0712100000019</v>
      </c>
      <c r="G14" s="45"/>
      <c r="H14" s="45">
        <f>+H15+H16+H17</f>
        <v>9665.3798590000006</v>
      </c>
      <c r="I14" s="45"/>
      <c r="J14" s="45">
        <f>+J15+J16+J17</f>
        <v>10587.030212</v>
      </c>
      <c r="K14" s="45"/>
      <c r="L14" s="45">
        <f>+L15+L16+L17</f>
        <v>10585.104397000001</v>
      </c>
      <c r="M14" s="45"/>
      <c r="N14" s="45">
        <f>+N15+N16+N17</f>
        <v>7702.1874960000005</v>
      </c>
      <c r="O14" s="45"/>
      <c r="P14" s="45">
        <f>+P15+P16+P17</f>
        <v>8137.0033019999992</v>
      </c>
      <c r="Q14" s="45"/>
      <c r="R14" s="45">
        <f>+R15+R16+R17</f>
        <v>13836.898858</v>
      </c>
      <c r="S14" s="45"/>
      <c r="T14" s="45">
        <f>+T15+T16+T17</f>
        <v>7722.3737609999989</v>
      </c>
      <c r="U14" s="45"/>
      <c r="V14" s="45">
        <f>+V15+V16+V17</f>
        <v>8419.0354819999993</v>
      </c>
      <c r="W14" s="45"/>
      <c r="X14" s="45">
        <f>+X15+X16+X17</f>
        <v>7842.668388000001</v>
      </c>
      <c r="Y14" s="45"/>
      <c r="Z14" s="45">
        <f>+Z15+Z16+Z17</f>
        <v>20084.782848000003</v>
      </c>
      <c r="AA14" s="20"/>
      <c r="AB14" s="20">
        <f>+AB15+AB16+AB17</f>
        <v>121136.95357799999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44"/>
      <c r="B15" s="7" t="s">
        <v>34</v>
      </c>
      <c r="C15" s="4"/>
      <c r="D15" s="124">
        <v>4179.8996040000002</v>
      </c>
      <c r="E15" s="42"/>
      <c r="F15" s="124">
        <v>3586.200836</v>
      </c>
      <c r="G15" s="42"/>
      <c r="H15" s="124">
        <v>3943.0682849999998</v>
      </c>
      <c r="I15" s="42"/>
      <c r="J15" s="124">
        <v>4602.2803599999997</v>
      </c>
      <c r="K15" s="42"/>
      <c r="L15" s="124">
        <v>4064.1916300000003</v>
      </c>
      <c r="M15" s="42"/>
      <c r="N15" s="124">
        <v>4470.8448200000003</v>
      </c>
      <c r="O15" s="42"/>
      <c r="P15" s="42">
        <v>4153.5862769999994</v>
      </c>
      <c r="Q15" s="42"/>
      <c r="R15" s="42">
        <v>3962.239341</v>
      </c>
      <c r="S15" s="42"/>
      <c r="T15" s="42">
        <v>3870.7758089999998</v>
      </c>
      <c r="U15" s="42"/>
      <c r="V15" s="42">
        <v>4994.0158890000002</v>
      </c>
      <c r="W15" s="42"/>
      <c r="X15" s="42">
        <v>3977.7950179999998</v>
      </c>
      <c r="Y15" s="42"/>
      <c r="Z15" s="125">
        <v>8100.7570820000001</v>
      </c>
      <c r="AA15" s="5"/>
      <c r="AB15" s="5">
        <f>SUM(D15:Z15)</f>
        <v>53905.65495099999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44"/>
      <c r="B16" s="7" t="s">
        <v>13</v>
      </c>
      <c r="C16" s="4"/>
      <c r="D16" s="42">
        <v>688.44334200000003</v>
      </c>
      <c r="E16" s="42"/>
      <c r="F16" s="42">
        <v>722.68521199999998</v>
      </c>
      <c r="G16" s="42"/>
      <c r="H16" s="42">
        <v>401.48657500000002</v>
      </c>
      <c r="I16" s="42"/>
      <c r="J16" s="42">
        <v>355.22529700000001</v>
      </c>
      <c r="K16" s="42"/>
      <c r="L16" s="42">
        <v>523.04385500000001</v>
      </c>
      <c r="M16" s="42"/>
      <c r="N16" s="42">
        <v>618.09727699999996</v>
      </c>
      <c r="O16" s="42"/>
      <c r="P16" s="42">
        <v>531.94980599999997</v>
      </c>
      <c r="Q16" s="42"/>
      <c r="R16" s="42">
        <v>645.13208599999996</v>
      </c>
      <c r="S16" s="42"/>
      <c r="T16" s="42">
        <v>849.17085499999996</v>
      </c>
      <c r="U16" s="42"/>
      <c r="V16" s="42">
        <v>852.58457799999996</v>
      </c>
      <c r="W16" s="42"/>
      <c r="X16" s="42">
        <v>936.61389099999997</v>
      </c>
      <c r="Y16" s="42"/>
      <c r="Z16" s="125">
        <v>2321.2608369999998</v>
      </c>
      <c r="AA16" s="5"/>
      <c r="AB16" s="5">
        <f>SUM(D16:Z16)</f>
        <v>9445.6936109999988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44"/>
      <c r="B17" s="7" t="s">
        <v>81</v>
      </c>
      <c r="C17" s="4"/>
      <c r="D17" s="124">
        <v>5209.0748190000013</v>
      </c>
      <c r="E17" s="42"/>
      <c r="F17" s="124">
        <v>2168.1851620000011</v>
      </c>
      <c r="G17" s="42"/>
      <c r="H17" s="124">
        <v>5320.8249990000013</v>
      </c>
      <c r="I17" s="42"/>
      <c r="J17" s="124">
        <v>5629.524555</v>
      </c>
      <c r="K17" s="42"/>
      <c r="L17" s="124">
        <v>5997.8689120000008</v>
      </c>
      <c r="M17" s="42"/>
      <c r="N17" s="124">
        <v>2613.2453990000004</v>
      </c>
      <c r="O17" s="42"/>
      <c r="P17" s="42">
        <v>3451.4672190000006</v>
      </c>
      <c r="Q17" s="42"/>
      <c r="R17" s="42">
        <v>9229.5274310000004</v>
      </c>
      <c r="S17" s="42"/>
      <c r="T17" s="42">
        <v>3002.4270969999993</v>
      </c>
      <c r="U17" s="42"/>
      <c r="V17" s="42">
        <v>2572.4350149999991</v>
      </c>
      <c r="W17" s="42"/>
      <c r="X17" s="42">
        <v>2928.2594790000012</v>
      </c>
      <c r="Y17" s="42"/>
      <c r="Z17" s="125">
        <v>9662.7649290000027</v>
      </c>
      <c r="AA17" s="5"/>
      <c r="AB17" s="5">
        <f>SUM(D17:Z17)</f>
        <v>57785.605016000009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44"/>
      <c r="B18" s="25"/>
      <c r="C18" s="22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24"/>
      <c r="AB18" s="24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44"/>
      <c r="B19" s="6" t="s">
        <v>40</v>
      </c>
      <c r="C19" s="4"/>
      <c r="D19" s="42">
        <v>626.9</v>
      </c>
      <c r="E19" s="42"/>
      <c r="F19" s="42">
        <v>403.3</v>
      </c>
      <c r="G19" s="42"/>
      <c r="H19" s="42">
        <v>170.4</v>
      </c>
      <c r="I19" s="42"/>
      <c r="J19" s="42">
        <v>-570.9</v>
      </c>
      <c r="K19" s="42"/>
      <c r="L19" s="42">
        <v>562.6</v>
      </c>
      <c r="M19" s="42"/>
      <c r="N19" s="42">
        <v>-36.4</v>
      </c>
      <c r="O19" s="42"/>
      <c r="P19" s="42">
        <v>144.40467199999966</v>
      </c>
      <c r="Q19" s="42"/>
      <c r="R19" s="42">
        <v>-23.813476999999693</v>
      </c>
      <c r="S19" s="42"/>
      <c r="T19" s="42">
        <v>1126.463068</v>
      </c>
      <c r="U19" s="42"/>
      <c r="V19" s="42">
        <v>-294.68994600000042</v>
      </c>
      <c r="W19" s="42"/>
      <c r="X19" s="42">
        <v>703.16852399999971</v>
      </c>
      <c r="Y19" s="42"/>
      <c r="Z19" s="125">
        <v>-202.83022199999868</v>
      </c>
      <c r="AA19" s="42"/>
      <c r="AB19" s="5">
        <f>SUM(D19:Z19)</f>
        <v>2608.6026190000007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44"/>
      <c r="B20" s="54"/>
      <c r="C20" s="22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53"/>
      <c r="AB20" s="24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44"/>
      <c r="B21" s="6" t="s">
        <v>82</v>
      </c>
      <c r="C21" s="4"/>
      <c r="D21" s="42">
        <v>11524.5</v>
      </c>
      <c r="E21" s="42"/>
      <c r="F21" s="42">
        <v>8739.9</v>
      </c>
      <c r="G21" s="42"/>
      <c r="H21" s="42">
        <v>8791.6</v>
      </c>
      <c r="I21" s="42"/>
      <c r="J21" s="42">
        <v>11885.7</v>
      </c>
      <c r="K21" s="42"/>
      <c r="L21" s="42">
        <v>15317.8</v>
      </c>
      <c r="M21" s="42"/>
      <c r="N21" s="42">
        <v>16658.599999999999</v>
      </c>
      <c r="O21" s="42"/>
      <c r="P21" s="42">
        <v>16181.186578000001</v>
      </c>
      <c r="Q21" s="42"/>
      <c r="R21" s="42">
        <v>16028.344035</v>
      </c>
      <c r="S21" s="42"/>
      <c r="T21" s="42">
        <v>14891.328154999999</v>
      </c>
      <c r="U21" s="42"/>
      <c r="V21" s="42">
        <v>15560.403910999999</v>
      </c>
      <c r="W21" s="42"/>
      <c r="X21" s="42">
        <v>18055.700895999998</v>
      </c>
      <c r="Y21" s="42"/>
      <c r="Z21" s="125">
        <v>22944.413210999999</v>
      </c>
      <c r="AA21" s="42"/>
      <c r="AB21" s="5">
        <f>SUM(D21:Z21)</f>
        <v>176579.47678599998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26"/>
      <c r="C22" s="22"/>
      <c r="D22" s="27"/>
      <c r="E22" s="22"/>
      <c r="F22" s="27"/>
      <c r="G22" s="22"/>
      <c r="H22" s="27"/>
      <c r="I22" s="22"/>
      <c r="J22" s="27"/>
      <c r="K22" s="22"/>
      <c r="L22" s="27"/>
      <c r="M22" s="22"/>
      <c r="N22" s="27"/>
      <c r="O22" s="22"/>
      <c r="P22" s="27"/>
      <c r="Q22" s="22"/>
      <c r="R22" s="27"/>
      <c r="S22" s="22"/>
      <c r="T22" s="27"/>
      <c r="U22" s="22"/>
      <c r="V22" s="27"/>
      <c r="W22" s="22"/>
      <c r="X22" s="27"/>
      <c r="Y22" s="22"/>
      <c r="Z22" s="27"/>
      <c r="AA22" s="22"/>
      <c r="AB22" s="27"/>
    </row>
    <row r="23" spans="1:35" s="203" customFormat="1" ht="14.25">
      <c r="A23" s="46"/>
      <c r="B23" s="39" t="s">
        <v>83</v>
      </c>
      <c r="C23" s="10"/>
      <c r="D23" s="45">
        <f>D8-D14-D19-D21</f>
        <v>69073.709497000003</v>
      </c>
      <c r="E23" s="45"/>
      <c r="F23" s="45">
        <f t="shared" ref="F23:AB23" si="3">F8-F14-F19-F21</f>
        <v>61458.414515999997</v>
      </c>
      <c r="G23" s="45"/>
      <c r="H23" s="45">
        <f t="shared" si="3"/>
        <v>75246.184288999997</v>
      </c>
      <c r="I23" s="45"/>
      <c r="J23" s="45">
        <f t="shared" si="3"/>
        <v>65334.446034000008</v>
      </c>
      <c r="K23" s="45"/>
      <c r="L23" s="45">
        <f t="shared" si="3"/>
        <v>63763.854208999983</v>
      </c>
      <c r="M23" s="45"/>
      <c r="N23" s="45">
        <f t="shared" si="3"/>
        <v>72450.015829999989</v>
      </c>
      <c r="O23" s="45"/>
      <c r="P23" s="45">
        <f t="shared" si="3"/>
        <v>74261.576566000003</v>
      </c>
      <c r="Q23" s="45"/>
      <c r="R23" s="45">
        <f t="shared" si="3"/>
        <v>76772.318582000007</v>
      </c>
      <c r="S23" s="45"/>
      <c r="T23" s="45">
        <f t="shared" si="3"/>
        <v>63739.191004000022</v>
      </c>
      <c r="U23" s="45"/>
      <c r="V23" s="45">
        <f t="shared" si="3"/>
        <v>76192.305103999999</v>
      </c>
      <c r="W23" s="45"/>
      <c r="X23" s="45">
        <f t="shared" si="3"/>
        <v>75226.212594000011</v>
      </c>
      <c r="Y23" s="45"/>
      <c r="Z23" s="45">
        <f t="shared" si="3"/>
        <v>120876.08532799996</v>
      </c>
      <c r="AA23" s="45"/>
      <c r="AB23" s="20">
        <f t="shared" si="3"/>
        <v>894394.3135530001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26"/>
      <c r="C24" s="22"/>
      <c r="D24" s="28"/>
      <c r="E24" s="22"/>
      <c r="F24" s="27"/>
      <c r="G24" s="22"/>
      <c r="H24" s="27"/>
      <c r="I24" s="22"/>
      <c r="J24" s="27"/>
      <c r="K24" s="22"/>
      <c r="L24" s="27"/>
      <c r="M24" s="22"/>
      <c r="N24" s="27"/>
      <c r="O24" s="22"/>
      <c r="P24" s="27"/>
      <c r="Q24" s="22"/>
      <c r="R24" s="27"/>
      <c r="S24" s="22"/>
      <c r="T24" s="27"/>
      <c r="U24" s="22"/>
      <c r="V24" s="27"/>
      <c r="W24" s="22"/>
      <c r="X24" s="27"/>
      <c r="Y24" s="22"/>
      <c r="Z24" s="27"/>
      <c r="AA24" s="22"/>
      <c r="AB24" s="27"/>
    </row>
    <row r="25" spans="1:35" s="203" customFormat="1" ht="14.25">
      <c r="A25" s="46"/>
      <c r="B25" s="38" t="s">
        <v>84</v>
      </c>
      <c r="C25" s="10"/>
      <c r="D25" s="45">
        <f>+D27+D26</f>
        <v>630.238516</v>
      </c>
      <c r="E25" s="10"/>
      <c r="F25" s="45">
        <f>+F27+F26</f>
        <v>2412.8794370000001</v>
      </c>
      <c r="G25" s="10"/>
      <c r="H25" s="45">
        <f>+H27+H26</f>
        <v>2623.1052019999997</v>
      </c>
      <c r="I25" s="10"/>
      <c r="J25" s="45">
        <f>+J27+J26</f>
        <v>2804.85466</v>
      </c>
      <c r="K25" s="10"/>
      <c r="L25" s="45">
        <f>+L27+L26</f>
        <v>2915.157964</v>
      </c>
      <c r="M25" s="10"/>
      <c r="N25" s="45">
        <f>+N27+N26</f>
        <v>5031.1563740000001</v>
      </c>
      <c r="O25" s="10"/>
      <c r="P25" s="45">
        <f>+P27+P26</f>
        <v>1221.7334129999999</v>
      </c>
      <c r="Q25" s="10"/>
      <c r="R25" s="45">
        <f>+R27+R26</f>
        <v>7838.0004780000008</v>
      </c>
      <c r="S25" s="10"/>
      <c r="T25" s="45">
        <f>+T27+T26</f>
        <v>2865.1974870000004</v>
      </c>
      <c r="U25" s="10"/>
      <c r="V25" s="45">
        <f>+V27+V26</f>
        <v>1559.5011079999999</v>
      </c>
      <c r="W25" s="10"/>
      <c r="X25" s="45">
        <f>+X27+X26</f>
        <v>1997.4642619999995</v>
      </c>
      <c r="Y25" s="10"/>
      <c r="Z25" s="45">
        <f>+Z27+Z26</f>
        <v>17834.127672999999</v>
      </c>
      <c r="AA25" s="10"/>
      <c r="AB25" s="45">
        <f>+AB27+AB26</f>
        <v>49733.416573999995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44"/>
      <c r="B26" s="7" t="s">
        <v>85</v>
      </c>
      <c r="C26" s="4"/>
      <c r="D26" s="42">
        <v>423.238516</v>
      </c>
      <c r="E26" s="42"/>
      <c r="F26" s="42">
        <v>2166.979437</v>
      </c>
      <c r="G26" s="42"/>
      <c r="H26" s="42">
        <v>1424.605202</v>
      </c>
      <c r="I26" s="42"/>
      <c r="J26" s="42">
        <v>1784.85466</v>
      </c>
      <c r="K26" s="42"/>
      <c r="L26" s="42">
        <v>2000.357964</v>
      </c>
      <c r="M26" s="42"/>
      <c r="N26" s="42">
        <v>4050.9563739999999</v>
      </c>
      <c r="O26" s="42"/>
      <c r="P26" s="42">
        <v>470.14069000000001</v>
      </c>
      <c r="Q26" s="12"/>
      <c r="R26" s="42">
        <v>7254.9755160000004</v>
      </c>
      <c r="S26" s="42"/>
      <c r="T26" s="42">
        <v>2214.5062200000002</v>
      </c>
      <c r="U26" s="42"/>
      <c r="V26" s="42">
        <v>60.271881999999998</v>
      </c>
      <c r="W26" s="42"/>
      <c r="X26" s="42">
        <v>338.89738599999998</v>
      </c>
      <c r="Y26" s="42"/>
      <c r="Z26" s="125">
        <v>1393.036492</v>
      </c>
      <c r="AA26" s="42"/>
      <c r="AB26" s="5">
        <f>SUM(D26:Z26)</f>
        <v>23582.820338999998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44"/>
      <c r="B27" s="7" t="s">
        <v>35</v>
      </c>
      <c r="C27" s="4"/>
      <c r="D27" s="42">
        <f>+D28+D29</f>
        <v>207</v>
      </c>
      <c r="E27" s="42"/>
      <c r="F27" s="42">
        <f t="shared" ref="F27:AB27" si="4">+F28+F29</f>
        <v>245.9</v>
      </c>
      <c r="G27" s="42"/>
      <c r="H27" s="42">
        <f t="shared" si="4"/>
        <v>1198.5</v>
      </c>
      <c r="I27" s="42"/>
      <c r="J27" s="42">
        <f t="shared" si="4"/>
        <v>1020</v>
      </c>
      <c r="K27" s="42"/>
      <c r="L27" s="42">
        <f t="shared" si="4"/>
        <v>914.8</v>
      </c>
      <c r="M27" s="42"/>
      <c r="N27" s="42">
        <f t="shared" si="4"/>
        <v>980.2</v>
      </c>
      <c r="O27" s="42"/>
      <c r="P27" s="42">
        <f t="shared" si="4"/>
        <v>751.59272299999998</v>
      </c>
      <c r="Q27" s="42"/>
      <c r="R27" s="42">
        <f t="shared" si="4"/>
        <v>583.02496200000041</v>
      </c>
      <c r="S27" s="42"/>
      <c r="T27" s="42">
        <f t="shared" si="4"/>
        <v>650.69126700000015</v>
      </c>
      <c r="U27" s="42"/>
      <c r="V27" s="42">
        <f t="shared" si="4"/>
        <v>1499.2292259999999</v>
      </c>
      <c r="W27" s="42"/>
      <c r="X27" s="42">
        <f t="shared" si="4"/>
        <v>1658.5668759999994</v>
      </c>
      <c r="Y27" s="42"/>
      <c r="Z27" s="42">
        <f t="shared" si="4"/>
        <v>16441.091181</v>
      </c>
      <c r="AA27" s="5"/>
      <c r="AB27" s="5">
        <f t="shared" si="4"/>
        <v>26150.596234999997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44"/>
      <c r="B28" s="52" t="s">
        <v>87</v>
      </c>
      <c r="C28" s="9"/>
      <c r="D28" s="42">
        <v>207</v>
      </c>
      <c r="E28" s="42"/>
      <c r="F28" s="42">
        <v>245.9</v>
      </c>
      <c r="G28" s="42"/>
      <c r="H28" s="42">
        <v>1198.5</v>
      </c>
      <c r="I28" s="42"/>
      <c r="J28" s="42">
        <v>1020</v>
      </c>
      <c r="K28" s="42"/>
      <c r="L28" s="42">
        <v>914.8</v>
      </c>
      <c r="M28" s="42"/>
      <c r="N28" s="42">
        <v>980.2</v>
      </c>
      <c r="O28" s="42"/>
      <c r="P28" s="42">
        <v>751.59272299999998</v>
      </c>
      <c r="Q28" s="42"/>
      <c r="R28" s="42">
        <v>583.02496200000041</v>
      </c>
      <c r="S28" s="42"/>
      <c r="T28" s="42">
        <v>650.69126700000015</v>
      </c>
      <c r="U28" s="42"/>
      <c r="V28" s="42">
        <v>1499.2292259999999</v>
      </c>
      <c r="W28" s="42"/>
      <c r="X28" s="42">
        <v>1658.5668759999994</v>
      </c>
      <c r="Y28" s="42"/>
      <c r="Z28" s="125">
        <v>5309.2911810000005</v>
      </c>
      <c r="AA28" s="5"/>
      <c r="AB28" s="5">
        <f>SUM(D28:Z28)</f>
        <v>15018.796235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44"/>
      <c r="B29" s="52" t="s">
        <v>14</v>
      </c>
      <c r="C29" s="4"/>
      <c r="D29" s="42">
        <v>0</v>
      </c>
      <c r="E29" s="42"/>
      <c r="F29" s="42">
        <v>0</v>
      </c>
      <c r="G29" s="42"/>
      <c r="H29" s="42">
        <v>0</v>
      </c>
      <c r="I29" s="42"/>
      <c r="J29" s="42">
        <v>0</v>
      </c>
      <c r="K29" s="42"/>
      <c r="L29" s="42">
        <v>0</v>
      </c>
      <c r="M29" s="42"/>
      <c r="N29" s="42">
        <v>0</v>
      </c>
      <c r="O29" s="42"/>
      <c r="P29" s="42">
        <v>0</v>
      </c>
      <c r="Q29" s="42"/>
      <c r="R29" s="42">
        <v>0</v>
      </c>
      <c r="S29" s="42"/>
      <c r="T29" s="42">
        <v>0</v>
      </c>
      <c r="U29" s="42"/>
      <c r="V29" s="42">
        <v>0</v>
      </c>
      <c r="W29" s="42"/>
      <c r="X29" s="42">
        <v>0</v>
      </c>
      <c r="Y29" s="42"/>
      <c r="Z29" s="125">
        <v>11131.8</v>
      </c>
      <c r="AA29" s="5"/>
      <c r="AB29" s="5">
        <f>SUM(D29:Z29)</f>
        <v>11131.8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44"/>
      <c r="B30" s="25"/>
      <c r="C30" s="22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29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24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44"/>
      <c r="B31" s="6" t="s">
        <v>23</v>
      </c>
      <c r="C31" s="55"/>
      <c r="D31" s="41">
        <v>0</v>
      </c>
      <c r="E31" s="41"/>
      <c r="F31" s="41">
        <v>0</v>
      </c>
      <c r="G31" s="41"/>
      <c r="H31" s="41">
        <v>0</v>
      </c>
      <c r="I31" s="41"/>
      <c r="J31" s="41">
        <v>0</v>
      </c>
      <c r="K31" s="41"/>
      <c r="L31" s="41">
        <v>0</v>
      </c>
      <c r="M31" s="41"/>
      <c r="N31" s="41">
        <v>0</v>
      </c>
      <c r="O31" s="41"/>
      <c r="P31" s="41">
        <v>0</v>
      </c>
      <c r="Q31" s="41"/>
      <c r="R31" s="42">
        <v>19.7</v>
      </c>
      <c r="S31" s="41"/>
      <c r="T31" s="41">
        <v>0</v>
      </c>
      <c r="U31" s="41"/>
      <c r="V31" s="41">
        <v>0</v>
      </c>
      <c r="W31" s="41"/>
      <c r="X31" s="41">
        <v>0</v>
      </c>
      <c r="Y31" s="41"/>
      <c r="Z31" s="125">
        <v>11131.8</v>
      </c>
      <c r="AA31" s="41"/>
      <c r="AB31" s="5">
        <f>SUM(D31:Z31)</f>
        <v>11151.5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26"/>
      <c r="C32" s="30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44"/>
      <c r="B33" s="51" t="s">
        <v>46</v>
      </c>
      <c r="C33" s="47"/>
      <c r="D33" s="119">
        <f>D23-D25+D31</f>
        <v>68443.470981000006</v>
      </c>
      <c r="E33" s="119"/>
      <c r="F33" s="119">
        <f>F23-F25+F31</f>
        <v>59045.535078999994</v>
      </c>
      <c r="G33" s="119"/>
      <c r="H33" s="119">
        <f>H23-H25+H31</f>
        <v>72623.079086999991</v>
      </c>
      <c r="I33" s="119"/>
      <c r="J33" s="119">
        <f>J23-J25+J31</f>
        <v>62529.591374000011</v>
      </c>
      <c r="K33" s="119"/>
      <c r="L33" s="119">
        <f>L23-L25+L31</f>
        <v>60848.696244999985</v>
      </c>
      <c r="M33" s="119"/>
      <c r="N33" s="119">
        <f>N23-N25+N31</f>
        <v>67418.859455999991</v>
      </c>
      <c r="O33" s="119"/>
      <c r="P33" s="119">
        <f>P23-P25+P31</f>
        <v>73039.843153000009</v>
      </c>
      <c r="Q33" s="119"/>
      <c r="R33" s="119">
        <f>R23-R25+R31</f>
        <v>68954.018104000002</v>
      </c>
      <c r="S33" s="119"/>
      <c r="T33" s="119">
        <f>T23-T25+T31</f>
        <v>60873.993517000024</v>
      </c>
      <c r="U33" s="119"/>
      <c r="V33" s="119">
        <f>V23-V25+V31</f>
        <v>74632.803996000002</v>
      </c>
      <c r="W33" s="119"/>
      <c r="X33" s="119">
        <f>X23-X25+X31</f>
        <v>73228.748332000017</v>
      </c>
      <c r="Y33" s="119"/>
      <c r="Z33" s="119">
        <f>Z23-Z25+Z31</f>
        <v>114173.75765499996</v>
      </c>
      <c r="AA33" s="119"/>
      <c r="AB33" s="119">
        <f>AB23-AB25+AB31</f>
        <v>855812.39697900007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26"/>
      <c r="C34" s="30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44"/>
      <c r="B35" s="6" t="s">
        <v>18</v>
      </c>
      <c r="C35" s="4"/>
      <c r="D35" s="42">
        <v>61655.4</v>
      </c>
      <c r="E35" s="42"/>
      <c r="F35" s="42">
        <v>46245.2</v>
      </c>
      <c r="G35" s="42"/>
      <c r="H35" s="42">
        <v>57124.4</v>
      </c>
      <c r="I35" s="42"/>
      <c r="J35" s="42">
        <v>56842</v>
      </c>
      <c r="K35" s="42"/>
      <c r="L35" s="42">
        <v>41791.599999999999</v>
      </c>
      <c r="M35" s="42"/>
      <c r="N35" s="42">
        <v>42577.9</v>
      </c>
      <c r="O35" s="42"/>
      <c r="P35" s="42">
        <v>65968.963873000001</v>
      </c>
      <c r="Q35" s="42"/>
      <c r="R35" s="42">
        <v>51339.215106999996</v>
      </c>
      <c r="S35" s="42"/>
      <c r="T35" s="42">
        <v>50110.290111999981</v>
      </c>
      <c r="U35" s="42"/>
      <c r="V35" s="42">
        <v>74237.183837999997</v>
      </c>
      <c r="W35" s="42"/>
      <c r="X35" s="42">
        <v>41399.100581999999</v>
      </c>
      <c r="Y35" s="42"/>
      <c r="Z35" s="125">
        <v>54012.711838000003</v>
      </c>
      <c r="AA35" s="42"/>
      <c r="AB35" s="5">
        <f>SUM(D35:Z35)</f>
        <v>643303.96534999984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21"/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9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4"/>
    </row>
    <row r="37" spans="1:35" s="202" customFormat="1" ht="25.5">
      <c r="A37" s="44"/>
      <c r="B37" s="51" t="s">
        <v>36</v>
      </c>
      <c r="C37" s="19"/>
      <c r="D37" s="119">
        <f>D33-D35</f>
        <v>6788.0709810000044</v>
      </c>
      <c r="E37" s="119"/>
      <c r="F37" s="119">
        <f>F33-F35</f>
        <v>12800.335078999997</v>
      </c>
      <c r="G37" s="119"/>
      <c r="H37" s="119">
        <f>H33-H35</f>
        <v>15498.67908699999</v>
      </c>
      <c r="I37" s="119"/>
      <c r="J37" s="119">
        <f>J33-J35</f>
        <v>5687.5913740000105</v>
      </c>
      <c r="K37" s="119"/>
      <c r="L37" s="119">
        <f>L33-L35</f>
        <v>19057.096244999986</v>
      </c>
      <c r="M37" s="119"/>
      <c r="N37" s="119">
        <f>N33-N35</f>
        <v>24840.95945599999</v>
      </c>
      <c r="O37" s="119"/>
      <c r="P37" s="119">
        <f>P33-P35</f>
        <v>7070.8792800000083</v>
      </c>
      <c r="Q37" s="119"/>
      <c r="R37" s="119">
        <f>R33-R35</f>
        <v>17614.802997000006</v>
      </c>
      <c r="S37" s="119"/>
      <c r="T37" s="119">
        <f>T33-T35</f>
        <v>10763.703405000044</v>
      </c>
      <c r="U37" s="119"/>
      <c r="V37" s="119">
        <f>V33-V35</f>
        <v>395.62015800000518</v>
      </c>
      <c r="W37" s="119"/>
      <c r="X37" s="119">
        <f>X33-X35</f>
        <v>31829.647750000018</v>
      </c>
      <c r="Y37" s="119"/>
      <c r="Z37" s="119">
        <f>Z33-Z35</f>
        <v>60161.045816999962</v>
      </c>
      <c r="AA37" s="119"/>
      <c r="AB37" s="119">
        <f>AB33-AB35</f>
        <v>212508.43162900023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35" s="202" customFormat="1" ht="12.75" customHeight="1">
      <c r="A39" s="44"/>
      <c r="B39" s="6" t="s">
        <v>19</v>
      </c>
      <c r="C39" s="4"/>
      <c r="D39" s="42">
        <f>D40+D43</f>
        <v>1884.3548639999999</v>
      </c>
      <c r="E39" s="4"/>
      <c r="F39" s="42">
        <f>F40+F43</f>
        <v>2974.7276150000002</v>
      </c>
      <c r="G39" s="4"/>
      <c r="H39" s="42">
        <f>H40+H43</f>
        <v>2486.323844</v>
      </c>
      <c r="I39" s="4"/>
      <c r="J39" s="42">
        <f>J40+J43</f>
        <v>2606.362102</v>
      </c>
      <c r="K39" s="4"/>
      <c r="L39" s="42">
        <f>L40+L43</f>
        <v>1669.9302090000001</v>
      </c>
      <c r="M39" s="4"/>
      <c r="N39" s="42">
        <f>N40+N43</f>
        <v>3900.7477730000001</v>
      </c>
      <c r="O39" s="4"/>
      <c r="P39" s="42">
        <f>P40+P43</f>
        <v>4661.8458630000005</v>
      </c>
      <c r="Q39" s="4"/>
      <c r="R39" s="42">
        <f>R40+R43</f>
        <v>6738.7761170000003</v>
      </c>
      <c r="S39" s="4"/>
      <c r="T39" s="42">
        <f>T40+T43</f>
        <v>4227.5005999999994</v>
      </c>
      <c r="U39" s="4"/>
      <c r="V39" s="42">
        <f>V40+V43</f>
        <v>2807.5937709999998</v>
      </c>
      <c r="W39" s="4"/>
      <c r="X39" s="42">
        <f>X40+X43</f>
        <v>2538.1611079999998</v>
      </c>
      <c r="Y39" s="4"/>
      <c r="Z39" s="42">
        <f>Z40+Z43</f>
        <v>6430.2023289999997</v>
      </c>
      <c r="AA39" s="4"/>
      <c r="AB39" s="5">
        <f>AB40+AB43</f>
        <v>42926.526194999999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44"/>
      <c r="B40" s="7" t="s">
        <v>20</v>
      </c>
      <c r="C40" s="4"/>
      <c r="D40" s="42">
        <f>D41+D42</f>
        <v>1494.718521</v>
      </c>
      <c r="E40" s="42"/>
      <c r="F40" s="42">
        <f>F41+F42</f>
        <v>808.66441199999997</v>
      </c>
      <c r="G40" s="42"/>
      <c r="H40" s="42">
        <f>H41+H42</f>
        <v>331.287014</v>
      </c>
      <c r="I40" s="42"/>
      <c r="J40" s="42">
        <f>J41+J42</f>
        <v>1438.5003529999999</v>
      </c>
      <c r="K40" s="42"/>
      <c r="L40" s="42">
        <f>L41+L42</f>
        <v>533.50780699999996</v>
      </c>
      <c r="M40" s="42"/>
      <c r="N40" s="42">
        <f>N41+N42</f>
        <v>262.29231800000002</v>
      </c>
      <c r="O40" s="42"/>
      <c r="P40" s="42">
        <f>P41+P42</f>
        <v>1976.6555530000001</v>
      </c>
      <c r="Q40" s="42"/>
      <c r="R40" s="42">
        <f>R41+R42</f>
        <v>1396.240495</v>
      </c>
      <c r="S40" s="42"/>
      <c r="T40" s="42">
        <f>T41+T42</f>
        <v>1202.8334709999999</v>
      </c>
      <c r="U40" s="42"/>
      <c r="V40" s="42">
        <f>+V41+V42</f>
        <v>1705.878115</v>
      </c>
      <c r="W40" s="42"/>
      <c r="X40" s="42">
        <f>+X41+X42</f>
        <v>764.86755599999992</v>
      </c>
      <c r="Y40" s="42"/>
      <c r="Z40" s="42">
        <f>+Z41+Z42</f>
        <v>728.673858</v>
      </c>
      <c r="AA40" s="5"/>
      <c r="AB40" s="5">
        <f>+AB41+AB42</f>
        <v>12644.119472999999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44"/>
      <c r="B41" s="52" t="s">
        <v>56</v>
      </c>
      <c r="C41" s="4"/>
      <c r="D41" s="118">
        <v>1491.0593490000001</v>
      </c>
      <c r="E41" s="118"/>
      <c r="F41" s="118">
        <v>808.66441199999997</v>
      </c>
      <c r="G41" s="118"/>
      <c r="H41" s="118">
        <v>331.287014</v>
      </c>
      <c r="I41" s="118"/>
      <c r="J41" s="118">
        <v>1438.5003529999999</v>
      </c>
      <c r="K41" s="118"/>
      <c r="L41" s="118">
        <v>533.50780699999996</v>
      </c>
      <c r="M41" s="118"/>
      <c r="N41" s="118">
        <v>262.29231800000002</v>
      </c>
      <c r="O41" s="118"/>
      <c r="P41" s="118">
        <v>1976.6555530000001</v>
      </c>
      <c r="Q41" s="118"/>
      <c r="R41" s="118">
        <v>1396.240495</v>
      </c>
      <c r="S41" s="118"/>
      <c r="T41" s="118">
        <v>1202.8334709999999</v>
      </c>
      <c r="U41" s="118"/>
      <c r="V41" s="118">
        <v>1705.878115</v>
      </c>
      <c r="W41" s="118"/>
      <c r="X41" s="118">
        <v>764.86755599999992</v>
      </c>
      <c r="Y41" s="118"/>
      <c r="Z41" s="118">
        <v>728.673858</v>
      </c>
      <c r="AA41" s="118"/>
      <c r="AB41" s="5">
        <f>SUM(D41:Z41)</f>
        <v>12640.460300999999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44"/>
      <c r="B42" s="8" t="s">
        <v>21</v>
      </c>
      <c r="C42" s="4"/>
      <c r="D42" s="42">
        <v>3.6591719999999999</v>
      </c>
      <c r="E42" s="42"/>
      <c r="F42" s="42">
        <v>0</v>
      </c>
      <c r="G42" s="42"/>
      <c r="H42" s="42">
        <v>0</v>
      </c>
      <c r="I42" s="42"/>
      <c r="J42" s="42">
        <v>0</v>
      </c>
      <c r="K42" s="42"/>
      <c r="L42" s="42">
        <v>0</v>
      </c>
      <c r="M42" s="42"/>
      <c r="N42" s="42">
        <v>0</v>
      </c>
      <c r="O42" s="42"/>
      <c r="P42" s="42">
        <v>0</v>
      </c>
      <c r="Q42" s="42"/>
      <c r="R42" s="42">
        <v>0</v>
      </c>
      <c r="S42" s="42"/>
      <c r="T42" s="42">
        <v>0</v>
      </c>
      <c r="U42" s="42"/>
      <c r="V42" s="42">
        <v>0</v>
      </c>
      <c r="W42" s="42"/>
      <c r="X42" s="42">
        <v>0</v>
      </c>
      <c r="Y42" s="42"/>
      <c r="Z42" s="125">
        <v>0</v>
      </c>
      <c r="AA42" s="5"/>
      <c r="AB42" s="5">
        <f>SUM(D42:Z42)</f>
        <v>3.6591719999999999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44"/>
      <c r="B43" s="7" t="s">
        <v>22</v>
      </c>
      <c r="C43" s="4"/>
      <c r="D43" s="42">
        <v>389.63634300000001</v>
      </c>
      <c r="E43" s="42"/>
      <c r="F43" s="42">
        <v>2166.0632030000002</v>
      </c>
      <c r="G43" s="42"/>
      <c r="H43" s="42">
        <v>2155.03683</v>
      </c>
      <c r="I43" s="42"/>
      <c r="J43" s="42">
        <v>1167.8617489999999</v>
      </c>
      <c r="K43" s="42"/>
      <c r="L43" s="42">
        <v>1136.4224020000001</v>
      </c>
      <c r="M43" s="42"/>
      <c r="N43" s="42">
        <v>3638.4554549999998</v>
      </c>
      <c r="O43" s="42"/>
      <c r="P43" s="42">
        <v>2685.1903100000004</v>
      </c>
      <c r="Q43" s="42"/>
      <c r="R43" s="42">
        <v>5342.5356220000003</v>
      </c>
      <c r="S43" s="42"/>
      <c r="T43" s="42">
        <v>3024.6671289999999</v>
      </c>
      <c r="U43" s="42"/>
      <c r="V43" s="42">
        <v>1101.7156559999999</v>
      </c>
      <c r="W43" s="42"/>
      <c r="X43" s="42">
        <v>1773.2935519999999</v>
      </c>
      <c r="Y43" s="42"/>
      <c r="Z43" s="125">
        <v>5701.5284709999996</v>
      </c>
      <c r="AA43" s="5"/>
      <c r="AB43" s="5">
        <f>SUM(D43:Z43)</f>
        <v>30282.406722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35" s="202" customFormat="1" ht="12.75" customHeight="1">
      <c r="A45" s="44"/>
      <c r="B45" s="49" t="s">
        <v>37</v>
      </c>
      <c r="C45" s="47"/>
      <c r="D45" s="48">
        <f>D37-D39</f>
        <v>4903.7161170000045</v>
      </c>
      <c r="E45" s="47"/>
      <c r="F45" s="48">
        <f>F37-F39</f>
        <v>9825.607463999997</v>
      </c>
      <c r="G45" s="47"/>
      <c r="H45" s="48">
        <f>H37-H39</f>
        <v>13012.355242999989</v>
      </c>
      <c r="I45" s="47"/>
      <c r="J45" s="48">
        <f>J37-J39</f>
        <v>3081.2292720000105</v>
      </c>
      <c r="K45" s="47"/>
      <c r="L45" s="48">
        <f>L37-L39</f>
        <v>17387.166035999988</v>
      </c>
      <c r="M45" s="47"/>
      <c r="N45" s="48">
        <f>N37-N39</f>
        <v>20940.21168299999</v>
      </c>
      <c r="O45" s="47"/>
      <c r="P45" s="48">
        <f>P37-P39</f>
        <v>2409.0334170000078</v>
      </c>
      <c r="Q45" s="47"/>
      <c r="R45" s="48">
        <f>R37-R39</f>
        <v>10876.026880000005</v>
      </c>
      <c r="S45" s="47"/>
      <c r="T45" s="48">
        <f>T37-T39</f>
        <v>6536.2028050000445</v>
      </c>
      <c r="U45" s="47"/>
      <c r="V45" s="48">
        <f>V37-V39</f>
        <v>-2411.9736129999947</v>
      </c>
      <c r="W45" s="47"/>
      <c r="X45" s="48">
        <f>X37-X39</f>
        <v>29291.486642000018</v>
      </c>
      <c r="Y45" s="47"/>
      <c r="Z45" s="48">
        <f>Z37-Z39</f>
        <v>53730.843487999962</v>
      </c>
      <c r="AA45" s="47"/>
      <c r="AB45" s="48">
        <f>AB37-AB39</f>
        <v>169581.90543400025</v>
      </c>
      <c r="AC45" s="211"/>
      <c r="AD45" s="211"/>
      <c r="AE45" s="50"/>
      <c r="AF45" s="211"/>
      <c r="AG45" s="216"/>
      <c r="AH45" s="216"/>
      <c r="AI45" s="216"/>
    </row>
    <row r="46" spans="1:35" ht="3.75" customHeight="1">
      <c r="B46" s="32"/>
      <c r="C46" s="30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7"/>
      <c r="AF46" s="212"/>
    </row>
    <row r="47" spans="1:35" ht="14.25" customHeight="1">
      <c r="B47" s="476" t="s">
        <v>41</v>
      </c>
      <c r="C47" s="476"/>
      <c r="D47" s="476"/>
      <c r="E47" s="476"/>
      <c r="F47" s="476"/>
      <c r="G47" s="476"/>
      <c r="H47" s="476"/>
      <c r="I47" s="476"/>
      <c r="J47" s="476"/>
      <c r="K47" s="476"/>
      <c r="L47" s="476"/>
      <c r="M47" s="476"/>
      <c r="N47" s="476"/>
      <c r="O47" s="476"/>
      <c r="P47" s="476"/>
      <c r="Q47" s="476"/>
      <c r="R47" s="476"/>
      <c r="S47" s="476"/>
      <c r="T47" s="476"/>
      <c r="U47" s="476"/>
      <c r="V47" s="476"/>
      <c r="W47" s="476"/>
      <c r="X47" s="476"/>
      <c r="Y47" s="476"/>
      <c r="Z47" s="476"/>
      <c r="AA47" s="476"/>
      <c r="AB47" s="476"/>
      <c r="AC47" s="212"/>
      <c r="AD47" s="212"/>
      <c r="AE47" s="17"/>
      <c r="AF47" s="212"/>
    </row>
    <row r="48" spans="1:35" ht="14.25" customHeight="1">
      <c r="B48" s="476" t="s">
        <v>88</v>
      </c>
      <c r="C48" s="476"/>
      <c r="D48" s="476"/>
      <c r="E48" s="476"/>
      <c r="F48" s="476"/>
      <c r="G48" s="476"/>
      <c r="H48" s="476"/>
      <c r="I48" s="476"/>
      <c r="J48" s="476"/>
      <c r="K48" s="476"/>
      <c r="L48" s="476"/>
      <c r="M48" s="476"/>
      <c r="N48" s="476"/>
      <c r="O48" s="476"/>
      <c r="P48" s="476"/>
      <c r="Q48" s="476"/>
      <c r="R48" s="476"/>
      <c r="S48" s="476"/>
      <c r="T48" s="476"/>
      <c r="U48" s="476"/>
      <c r="V48" s="476"/>
      <c r="W48" s="476"/>
      <c r="X48" s="476"/>
      <c r="Y48" s="476"/>
      <c r="Z48" s="476"/>
      <c r="AA48" s="476"/>
      <c r="AB48" s="476"/>
      <c r="AC48" s="212"/>
      <c r="AD48" s="212"/>
      <c r="AE48" s="17"/>
      <c r="AF48" s="212"/>
    </row>
    <row r="49" spans="1:35" ht="14.25" customHeight="1">
      <c r="B49" s="476" t="s">
        <v>89</v>
      </c>
      <c r="C49" s="476"/>
      <c r="D49" s="476"/>
      <c r="E49" s="476"/>
      <c r="F49" s="476"/>
      <c r="G49" s="476"/>
      <c r="H49" s="476"/>
      <c r="I49" s="476"/>
      <c r="J49" s="476"/>
      <c r="K49" s="476"/>
      <c r="L49" s="476"/>
      <c r="M49" s="476"/>
      <c r="N49" s="476"/>
      <c r="O49" s="476"/>
      <c r="P49" s="476"/>
      <c r="Q49" s="476"/>
      <c r="R49" s="476"/>
      <c r="S49" s="476"/>
      <c r="T49" s="476"/>
      <c r="U49" s="476"/>
      <c r="V49" s="476"/>
      <c r="W49" s="476"/>
      <c r="X49" s="476"/>
      <c r="Y49" s="476"/>
      <c r="Z49" s="476"/>
      <c r="AA49" s="476"/>
      <c r="AB49" s="476"/>
      <c r="AC49" s="212"/>
      <c r="AD49" s="212"/>
      <c r="AE49" s="17"/>
      <c r="AF49" s="212"/>
    </row>
    <row r="50" spans="1:35" ht="14.25" customHeight="1">
      <c r="B50" s="476" t="s">
        <v>90</v>
      </c>
      <c r="C50" s="476"/>
      <c r="D50" s="476"/>
      <c r="E50" s="476"/>
      <c r="F50" s="476"/>
      <c r="G50" s="476"/>
      <c r="H50" s="476"/>
      <c r="I50" s="476"/>
      <c r="J50" s="476"/>
      <c r="K50" s="476"/>
      <c r="L50" s="476"/>
      <c r="M50" s="476"/>
      <c r="N50" s="476"/>
      <c r="O50" s="476"/>
      <c r="P50" s="476"/>
      <c r="Q50" s="476"/>
      <c r="R50" s="476"/>
      <c r="S50" s="476"/>
      <c r="T50" s="476"/>
      <c r="U50" s="476"/>
      <c r="V50" s="476"/>
      <c r="W50" s="476"/>
      <c r="X50" s="476"/>
      <c r="Y50" s="476"/>
      <c r="Z50" s="476"/>
      <c r="AA50" s="476"/>
      <c r="AB50" s="476"/>
      <c r="AC50" s="212"/>
      <c r="AD50" s="212"/>
      <c r="AE50" s="17"/>
      <c r="AF50" s="212"/>
    </row>
    <row r="51" spans="1:35" ht="14.25" customHeight="1">
      <c r="B51" s="476" t="s">
        <v>91</v>
      </c>
      <c r="C51" s="476"/>
      <c r="D51" s="476"/>
      <c r="E51" s="476"/>
      <c r="F51" s="476"/>
      <c r="G51" s="476"/>
      <c r="H51" s="476"/>
      <c r="I51" s="476"/>
      <c r="J51" s="476"/>
      <c r="K51" s="476"/>
      <c r="L51" s="476"/>
      <c r="M51" s="476"/>
      <c r="N51" s="476"/>
      <c r="O51" s="476"/>
      <c r="P51" s="476"/>
      <c r="Q51" s="476"/>
      <c r="R51" s="476"/>
      <c r="S51" s="476"/>
      <c r="T51" s="476"/>
      <c r="U51" s="476"/>
      <c r="V51" s="476"/>
      <c r="W51" s="476"/>
      <c r="X51" s="476"/>
      <c r="Y51" s="476"/>
      <c r="Z51" s="476"/>
      <c r="AA51" s="476"/>
      <c r="AB51" s="476"/>
      <c r="AC51" s="212"/>
      <c r="AD51" s="212"/>
      <c r="AE51" s="17"/>
      <c r="AF51" s="212"/>
    </row>
    <row r="52" spans="1:35" ht="14.25" customHeight="1">
      <c r="B52" s="476" t="s">
        <v>92</v>
      </c>
      <c r="C52" s="476"/>
      <c r="D52" s="476"/>
      <c r="E52" s="476"/>
      <c r="F52" s="476"/>
      <c r="G52" s="476"/>
      <c r="H52" s="476"/>
      <c r="I52" s="476"/>
      <c r="J52" s="476"/>
      <c r="K52" s="476"/>
      <c r="L52" s="476"/>
      <c r="M52" s="476"/>
      <c r="N52" s="476"/>
      <c r="O52" s="476"/>
      <c r="P52" s="476"/>
      <c r="Q52" s="476"/>
      <c r="R52" s="476"/>
      <c r="S52" s="476"/>
      <c r="T52" s="476"/>
      <c r="U52" s="476"/>
      <c r="V52" s="476"/>
      <c r="W52" s="476"/>
      <c r="X52" s="476"/>
      <c r="Y52" s="476"/>
      <c r="Z52" s="476"/>
      <c r="AA52" s="476"/>
      <c r="AB52" s="476"/>
      <c r="AC52" s="212"/>
      <c r="AD52" s="212"/>
      <c r="AE52" s="17"/>
      <c r="AF52" s="212"/>
    </row>
    <row r="53" spans="1:35" ht="14.25" customHeight="1">
      <c r="B53" s="476" t="s">
        <v>93</v>
      </c>
      <c r="C53" s="476"/>
      <c r="D53" s="476"/>
      <c r="E53" s="476"/>
      <c r="F53" s="476"/>
      <c r="G53" s="476"/>
      <c r="H53" s="476"/>
      <c r="I53" s="476"/>
      <c r="J53" s="476"/>
      <c r="K53" s="476"/>
      <c r="L53" s="476"/>
      <c r="M53" s="476"/>
      <c r="N53" s="476"/>
      <c r="O53" s="476"/>
      <c r="P53" s="476"/>
      <c r="Q53" s="476"/>
      <c r="R53" s="476"/>
      <c r="S53" s="476"/>
      <c r="T53" s="476"/>
      <c r="U53" s="476"/>
      <c r="V53" s="476"/>
      <c r="W53" s="476"/>
      <c r="X53" s="476"/>
      <c r="Y53" s="476"/>
      <c r="Z53" s="476"/>
      <c r="AA53" s="476"/>
      <c r="AB53" s="476"/>
      <c r="AC53" s="212"/>
      <c r="AD53" s="212"/>
      <c r="AE53" s="17"/>
      <c r="AF53" s="212"/>
    </row>
    <row r="54" spans="1:35" ht="14.25" customHeight="1">
      <c r="B54" s="476" t="s">
        <v>94</v>
      </c>
      <c r="C54" s="476"/>
      <c r="D54" s="476"/>
      <c r="E54" s="476"/>
      <c r="F54" s="476"/>
      <c r="G54" s="476"/>
      <c r="H54" s="476"/>
      <c r="I54" s="476"/>
      <c r="J54" s="476"/>
      <c r="K54" s="476"/>
      <c r="L54" s="476"/>
      <c r="M54" s="476"/>
      <c r="N54" s="476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  <c r="AA54" s="476"/>
      <c r="AB54" s="476"/>
      <c r="AC54" s="212"/>
      <c r="AD54" s="212"/>
      <c r="AE54" s="17"/>
      <c r="AF54" s="212"/>
    </row>
    <row r="55" spans="1:35" ht="14.25" customHeight="1">
      <c r="B55" s="476" t="s">
        <v>95</v>
      </c>
      <c r="C55" s="476"/>
      <c r="D55" s="476"/>
      <c r="E55" s="476"/>
      <c r="F55" s="476"/>
      <c r="G55" s="476"/>
      <c r="H55" s="476"/>
      <c r="I55" s="476"/>
      <c r="J55" s="476"/>
      <c r="K55" s="476"/>
      <c r="L55" s="476"/>
      <c r="M55" s="476"/>
      <c r="N55" s="476"/>
      <c r="O55" s="476"/>
      <c r="P55" s="476"/>
      <c r="Q55" s="476"/>
      <c r="R55" s="476"/>
      <c r="S55" s="476"/>
      <c r="T55" s="476"/>
      <c r="U55" s="476"/>
      <c r="V55" s="476"/>
      <c r="W55" s="476"/>
      <c r="X55" s="476"/>
      <c r="Y55" s="476"/>
      <c r="Z55" s="476"/>
      <c r="AA55" s="476"/>
      <c r="AB55" s="476"/>
      <c r="AC55" s="212"/>
      <c r="AD55" s="212"/>
      <c r="AE55" s="17"/>
      <c r="AF55" s="212"/>
    </row>
    <row r="56" spans="1:35" ht="14.25" customHeight="1">
      <c r="B56" s="476" t="s">
        <v>96</v>
      </c>
      <c r="C56" s="476"/>
      <c r="D56" s="476"/>
      <c r="E56" s="476"/>
      <c r="F56" s="476"/>
      <c r="G56" s="476"/>
      <c r="H56" s="476"/>
      <c r="I56" s="476"/>
      <c r="J56" s="476"/>
      <c r="K56" s="476"/>
      <c r="L56" s="476"/>
      <c r="M56" s="476"/>
      <c r="N56" s="476"/>
      <c r="O56" s="476"/>
      <c r="P56" s="476"/>
      <c r="Q56" s="476"/>
      <c r="R56" s="476"/>
      <c r="S56" s="476"/>
      <c r="T56" s="476"/>
      <c r="U56" s="476"/>
      <c r="V56" s="476"/>
      <c r="W56" s="476"/>
      <c r="X56" s="476"/>
      <c r="Y56" s="476"/>
      <c r="Z56" s="476"/>
      <c r="AA56" s="476"/>
      <c r="AB56" s="476"/>
      <c r="AC56" s="212"/>
      <c r="AD56" s="212"/>
      <c r="AE56" s="17"/>
      <c r="AF56" s="212"/>
    </row>
    <row r="57" spans="1:35" ht="14.25" customHeight="1">
      <c r="B57" s="464" t="s">
        <v>68</v>
      </c>
      <c r="C57" s="464"/>
      <c r="D57" s="464"/>
      <c r="E57" s="464"/>
      <c r="F57" s="464"/>
      <c r="G57" s="464"/>
      <c r="H57" s="464"/>
      <c r="I57" s="464"/>
      <c r="J57" s="464"/>
      <c r="K57" s="464"/>
      <c r="L57" s="464"/>
      <c r="M57" s="464"/>
      <c r="N57" s="464"/>
      <c r="O57" s="464"/>
      <c r="P57" s="464"/>
      <c r="Q57" s="464"/>
      <c r="R57" s="464"/>
      <c r="S57" s="464"/>
      <c r="T57" s="464"/>
      <c r="U57" s="464"/>
      <c r="V57" s="464"/>
      <c r="W57" s="464"/>
      <c r="X57" s="464"/>
      <c r="Y57" s="464"/>
      <c r="Z57" s="464"/>
      <c r="AA57" s="464"/>
      <c r="AB57" s="464"/>
      <c r="AC57" s="212"/>
      <c r="AD57" s="212"/>
      <c r="AE57" s="17"/>
      <c r="AF57" s="212"/>
    </row>
    <row r="58" spans="1:35" ht="14.25" customHeight="1">
      <c r="B58" s="464" t="s">
        <v>3</v>
      </c>
      <c r="C58" s="464"/>
      <c r="D58" s="464"/>
      <c r="E58" s="464"/>
      <c r="F58" s="464"/>
      <c r="G58" s="464"/>
      <c r="H58" s="464"/>
      <c r="I58" s="464"/>
      <c r="J58" s="464"/>
      <c r="K58" s="464"/>
      <c r="L58" s="464"/>
      <c r="M58" s="464"/>
      <c r="N58" s="464"/>
      <c r="O58" s="464"/>
      <c r="P58" s="464"/>
      <c r="Q58" s="464"/>
      <c r="R58" s="464"/>
      <c r="S58" s="464"/>
      <c r="T58" s="464"/>
      <c r="U58" s="464"/>
      <c r="V58" s="464"/>
      <c r="W58" s="464"/>
      <c r="X58" s="464"/>
      <c r="Y58" s="464"/>
      <c r="Z58" s="464"/>
      <c r="AA58" s="464"/>
      <c r="AB58" s="464"/>
      <c r="AC58" s="212"/>
      <c r="AD58" s="212"/>
      <c r="AE58" s="17"/>
      <c r="AF58" s="212"/>
    </row>
    <row r="59" spans="1:35" ht="13.5" customHeight="1"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6"/>
      <c r="N59" s="35"/>
      <c r="O59" s="35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"/>
      <c r="AD59" s="3"/>
      <c r="AE59" s="3"/>
      <c r="AF59" s="3"/>
    </row>
    <row r="60" spans="1:35" ht="20.25">
      <c r="B60" s="475" t="s">
        <v>32</v>
      </c>
      <c r="C60" s="475"/>
      <c r="D60" s="475"/>
      <c r="E60" s="475"/>
      <c r="F60" s="475"/>
      <c r="G60" s="475"/>
      <c r="H60" s="475"/>
      <c r="I60" s="475"/>
      <c r="J60" s="475"/>
      <c r="K60" s="475"/>
      <c r="L60" s="475"/>
      <c r="M60" s="475"/>
      <c r="N60" s="475"/>
      <c r="O60" s="475"/>
      <c r="P60" s="475"/>
      <c r="Q60" s="475"/>
      <c r="R60" s="475"/>
      <c r="S60" s="475"/>
      <c r="T60" s="475"/>
      <c r="U60" s="475"/>
      <c r="V60" s="475"/>
      <c r="W60" s="475"/>
      <c r="X60" s="475"/>
      <c r="Y60" s="475"/>
      <c r="Z60" s="475"/>
      <c r="AA60" s="475"/>
      <c r="AB60" s="475"/>
      <c r="AC60" s="226"/>
      <c r="AD60" s="226"/>
      <c r="AE60" s="226"/>
      <c r="AF60" s="226"/>
    </row>
    <row r="61" spans="1:35">
      <c r="B61" s="2"/>
      <c r="C61" s="490"/>
      <c r="D61" s="493"/>
      <c r="E61" s="490"/>
      <c r="F61" s="491"/>
      <c r="G61" s="490"/>
      <c r="H61" s="491"/>
      <c r="I61" s="490"/>
      <c r="J61" s="491"/>
      <c r="K61" s="490"/>
      <c r="L61" s="491"/>
      <c r="M61" s="490"/>
      <c r="N61" s="491"/>
      <c r="O61" s="490"/>
      <c r="P61" s="491"/>
      <c r="Q61" s="490"/>
      <c r="R61" s="491"/>
      <c r="S61" s="490"/>
      <c r="T61" s="491"/>
      <c r="U61" s="490"/>
      <c r="V61" s="491"/>
      <c r="W61" s="490"/>
      <c r="X61" s="491"/>
      <c r="Y61" s="490"/>
      <c r="Z61" s="491"/>
      <c r="AA61" s="490"/>
      <c r="AB61" s="491"/>
    </row>
    <row r="62" spans="1:35">
      <c r="B62" s="2">
        <f>B5</f>
        <v>2007</v>
      </c>
      <c r="C62" s="490" t="s">
        <v>4</v>
      </c>
      <c r="D62" s="493"/>
      <c r="E62" s="490" t="s">
        <v>5</v>
      </c>
      <c r="F62" s="491"/>
      <c r="G62" s="490" t="s">
        <v>6</v>
      </c>
      <c r="H62" s="491"/>
      <c r="I62" s="490" t="s">
        <v>7</v>
      </c>
      <c r="J62" s="491"/>
      <c r="K62" s="490" t="s">
        <v>8</v>
      </c>
      <c r="L62" s="491"/>
      <c r="M62" s="490" t="s">
        <v>9</v>
      </c>
      <c r="N62" s="491"/>
      <c r="O62" s="490" t="s">
        <v>10</v>
      </c>
      <c r="P62" s="491"/>
      <c r="Q62" s="495" t="s">
        <v>11</v>
      </c>
      <c r="R62" s="491"/>
      <c r="S62" s="495" t="s">
        <v>12</v>
      </c>
      <c r="T62" s="491"/>
      <c r="U62" s="490" t="s">
        <v>0</v>
      </c>
      <c r="V62" s="494"/>
      <c r="W62" s="490" t="s">
        <v>1</v>
      </c>
      <c r="X62" s="494"/>
      <c r="Y62" s="490" t="s">
        <v>2</v>
      </c>
      <c r="Z62" s="494"/>
      <c r="AA62" s="469" t="s">
        <v>102</v>
      </c>
      <c r="AB62" s="460"/>
    </row>
    <row r="63" spans="1:35">
      <c r="B63" s="2"/>
      <c r="C63" s="490"/>
      <c r="D63" s="493"/>
      <c r="E63" s="490"/>
      <c r="F63" s="493"/>
      <c r="G63" s="490"/>
      <c r="H63" s="493"/>
      <c r="I63" s="490"/>
      <c r="J63" s="493"/>
      <c r="K63" s="490"/>
      <c r="L63" s="493"/>
      <c r="M63" s="490"/>
      <c r="N63" s="493"/>
      <c r="O63" s="490"/>
      <c r="P63" s="493"/>
      <c r="Q63" s="490"/>
      <c r="R63" s="493"/>
      <c r="S63" s="490"/>
      <c r="T63" s="493"/>
      <c r="U63" s="490"/>
      <c r="V63" s="493"/>
      <c r="W63" s="490"/>
      <c r="X63" s="493"/>
      <c r="Y63" s="490"/>
      <c r="Z63" s="493"/>
      <c r="AA63" s="490"/>
      <c r="AB63" s="493"/>
    </row>
    <row r="64" spans="1:35" s="202" customFormat="1" ht="14.25">
      <c r="A64" s="44"/>
      <c r="B64" s="210" t="s">
        <v>24</v>
      </c>
      <c r="C64" s="4"/>
      <c r="D64" s="56">
        <v>3142.7540909999998</v>
      </c>
      <c r="E64" s="56"/>
      <c r="F64" s="56">
        <v>3147.6280539999998</v>
      </c>
      <c r="G64" s="56"/>
      <c r="H64" s="56">
        <v>3182.4768640000002</v>
      </c>
      <c r="I64" s="56"/>
      <c r="J64" s="56">
        <v>3182.4557540000001</v>
      </c>
      <c r="K64" s="56"/>
      <c r="L64" s="56">
        <v>3110.4455440000002</v>
      </c>
      <c r="M64" s="56"/>
      <c r="N64" s="56">
        <v>3205.8987470000002</v>
      </c>
      <c r="O64" s="56"/>
      <c r="P64" s="56">
        <v>3166</v>
      </c>
      <c r="Q64" s="56"/>
      <c r="R64" s="56">
        <v>2842.8672390000002</v>
      </c>
      <c r="S64" s="42"/>
      <c r="T64" s="56">
        <v>3160.559659</v>
      </c>
      <c r="U64" s="42"/>
      <c r="V64" s="56">
        <v>2994.9991089999999</v>
      </c>
      <c r="W64" s="42"/>
      <c r="X64" s="56">
        <v>2900.9019090000002</v>
      </c>
      <c r="Y64" s="42"/>
      <c r="Z64" s="56">
        <v>2954.2992709999999</v>
      </c>
      <c r="AA64" s="56"/>
      <c r="AB64" s="104">
        <f>AVERAGE(D64:Z64)</f>
        <v>3082.6071867499995</v>
      </c>
      <c r="AC64" s="216"/>
      <c r="AD64" s="216"/>
      <c r="AE64" s="216"/>
      <c r="AF64" s="216"/>
      <c r="AG64" s="223"/>
      <c r="AH64" s="216"/>
      <c r="AI64" s="216"/>
    </row>
    <row r="65" spans="1:35" s="202" customFormat="1" ht="14.25">
      <c r="A65" s="44"/>
      <c r="B65" s="210" t="s">
        <v>39</v>
      </c>
      <c r="C65" s="4"/>
      <c r="D65" s="56">
        <v>5735.7735970000003</v>
      </c>
      <c r="E65" s="56"/>
      <c r="F65" s="56">
        <v>5811.0062040000003</v>
      </c>
      <c r="G65" s="56"/>
      <c r="H65" s="56">
        <v>5901.7729909999998</v>
      </c>
      <c r="I65" s="56"/>
      <c r="J65" s="56">
        <v>5968.6335390000004</v>
      </c>
      <c r="K65" s="56"/>
      <c r="L65" s="56">
        <v>5942.0461720000003</v>
      </c>
      <c r="M65" s="56"/>
      <c r="N65" s="56">
        <v>6191.752117</v>
      </c>
      <c r="O65" s="56"/>
      <c r="P65" s="56">
        <v>6238</v>
      </c>
      <c r="Q65" s="56"/>
      <c r="R65" s="56">
        <v>5941.5029379999996</v>
      </c>
      <c r="S65" s="42"/>
      <c r="T65" s="56">
        <v>6103.5330400000003</v>
      </c>
      <c r="U65" s="42"/>
      <c r="V65" s="56">
        <v>6349.8504590000002</v>
      </c>
      <c r="W65" s="42"/>
      <c r="X65" s="56">
        <v>6087.8796110000003</v>
      </c>
      <c r="Y65" s="42"/>
      <c r="Z65" s="56">
        <v>6409.6872810000004</v>
      </c>
      <c r="AA65" s="56"/>
      <c r="AB65" s="104">
        <f t="shared" ref="AB65:AB77" si="5">AVERAGE(D65:Z65)</f>
        <v>6056.7864957500014</v>
      </c>
      <c r="AC65" s="216"/>
      <c r="AD65" s="216"/>
      <c r="AE65" s="216"/>
      <c r="AF65" s="216"/>
      <c r="AG65" s="216"/>
      <c r="AH65" s="216"/>
      <c r="AI65" s="216"/>
    </row>
    <row r="66" spans="1:35" s="202" customFormat="1" ht="14.25">
      <c r="A66" s="44"/>
      <c r="B66" s="210" t="s">
        <v>25</v>
      </c>
      <c r="C66" s="4"/>
      <c r="D66" s="56">
        <v>725.47245519949024</v>
      </c>
      <c r="E66" s="56"/>
      <c r="F66" s="56">
        <v>737.13328913778241</v>
      </c>
      <c r="G66" s="56"/>
      <c r="H66" s="56">
        <v>764.76445202235357</v>
      </c>
      <c r="I66" s="56"/>
      <c r="J66" s="56">
        <v>727.7180646568454</v>
      </c>
      <c r="K66" s="56"/>
      <c r="L66" s="56">
        <v>772.10730654913709</v>
      </c>
      <c r="M66" s="56"/>
      <c r="N66" s="56">
        <v>773.90571222449273</v>
      </c>
      <c r="O66" s="56"/>
      <c r="P66" s="56">
        <v>745.9</v>
      </c>
      <c r="Q66" s="56"/>
      <c r="R66" s="56">
        <v>770.30763019629399</v>
      </c>
      <c r="S66" s="42"/>
      <c r="T66" s="56">
        <v>733.719716918264</v>
      </c>
      <c r="U66" s="42"/>
      <c r="V66" s="56">
        <v>779.59223305037904</v>
      </c>
      <c r="W66" s="42"/>
      <c r="X66" s="56">
        <v>779.03821873775496</v>
      </c>
      <c r="Y66" s="42"/>
      <c r="Z66" s="56">
        <v>820.76893995747196</v>
      </c>
      <c r="AA66" s="56"/>
      <c r="AB66" s="104">
        <f t="shared" si="5"/>
        <v>760.8690015541888</v>
      </c>
      <c r="AC66" s="216"/>
      <c r="AD66" s="216"/>
      <c r="AE66" s="216"/>
      <c r="AF66" s="216"/>
      <c r="AG66" s="216"/>
      <c r="AH66" s="216"/>
      <c r="AI66" s="216"/>
    </row>
    <row r="67" spans="1:35" s="202" customFormat="1" ht="14.25">
      <c r="A67" s="44"/>
      <c r="B67" s="210" t="s">
        <v>26</v>
      </c>
      <c r="C67" s="4"/>
      <c r="D67" s="56">
        <v>331.43488789217901</v>
      </c>
      <c r="E67" s="56"/>
      <c r="F67" s="56">
        <v>345.05642296596517</v>
      </c>
      <c r="G67" s="56"/>
      <c r="H67" s="56">
        <v>367.35510625144957</v>
      </c>
      <c r="I67" s="56"/>
      <c r="J67" s="56">
        <v>337.14320203607792</v>
      </c>
      <c r="K67" s="56"/>
      <c r="L67" s="56">
        <v>372.5700343229222</v>
      </c>
      <c r="M67" s="56"/>
      <c r="N67" s="56">
        <v>372.68155335810451</v>
      </c>
      <c r="O67" s="56"/>
      <c r="P67" s="56">
        <f>310.3+42.5</f>
        <v>352.8</v>
      </c>
      <c r="Q67" s="56"/>
      <c r="R67" s="56">
        <v>365.23237781719899</v>
      </c>
      <c r="S67" s="42"/>
      <c r="T67" s="56">
        <v>344.728883425079</v>
      </c>
      <c r="U67" s="42"/>
      <c r="V67" s="56">
        <v>378.55140987956702</v>
      </c>
      <c r="W67" s="42"/>
      <c r="X67" s="56">
        <v>379.68486455581001</v>
      </c>
      <c r="Y67" s="42"/>
      <c r="Z67" s="56">
        <v>352.19068033626701</v>
      </c>
      <c r="AA67" s="56"/>
      <c r="AB67" s="104">
        <f t="shared" si="5"/>
        <v>358.28578523671837</v>
      </c>
      <c r="AC67" s="216"/>
      <c r="AD67" s="216"/>
      <c r="AE67" s="216"/>
      <c r="AF67" s="216"/>
      <c r="AG67" s="216"/>
      <c r="AH67" s="216"/>
      <c r="AI67" s="216"/>
    </row>
    <row r="68" spans="1:35" s="202" customFormat="1" ht="14.25">
      <c r="A68" s="44"/>
      <c r="B68" s="210" t="s">
        <v>27</v>
      </c>
      <c r="C68" s="4"/>
      <c r="D68" s="56">
        <v>294.590057663577</v>
      </c>
      <c r="E68" s="56"/>
      <c r="F68" s="56">
        <v>249.58555175172299</v>
      </c>
      <c r="G68" s="56"/>
      <c r="H68" s="56">
        <v>267.07010246760802</v>
      </c>
      <c r="I68" s="56"/>
      <c r="J68" s="56">
        <v>274.45096762400402</v>
      </c>
      <c r="K68" s="56"/>
      <c r="L68" s="56">
        <v>298.35640668773402</v>
      </c>
      <c r="M68" s="56"/>
      <c r="N68" s="56">
        <v>321.81417949931898</v>
      </c>
      <c r="O68" s="56"/>
      <c r="P68" s="56">
        <v>279.8</v>
      </c>
      <c r="Q68" s="56"/>
      <c r="R68" s="56">
        <v>215.86547823350901</v>
      </c>
      <c r="S68" s="42"/>
      <c r="T68" s="56">
        <v>210.39963034955699</v>
      </c>
      <c r="U68" s="42"/>
      <c r="V68" s="56">
        <v>243.87713124239599</v>
      </c>
      <c r="W68" s="42"/>
      <c r="X68" s="56">
        <v>220.96931017500799</v>
      </c>
      <c r="Y68" s="42"/>
      <c r="Z68" s="56">
        <v>204.75429136331701</v>
      </c>
      <c r="AA68" s="56"/>
      <c r="AB68" s="104">
        <f t="shared" si="5"/>
        <v>256.794425588146</v>
      </c>
      <c r="AC68" s="216"/>
      <c r="AD68" s="216"/>
      <c r="AE68" s="216"/>
      <c r="AF68" s="216"/>
      <c r="AG68" s="216"/>
      <c r="AH68" s="216"/>
      <c r="AI68" s="216"/>
    </row>
    <row r="69" spans="1:35" s="202" customFormat="1" ht="14.25">
      <c r="A69" s="44"/>
      <c r="B69" s="210" t="s">
        <v>28</v>
      </c>
      <c r="C69" s="4"/>
      <c r="D69" s="56">
        <v>328.28531466082802</v>
      </c>
      <c r="E69" s="56"/>
      <c r="F69" s="56">
        <v>323.59699077992201</v>
      </c>
      <c r="G69" s="56"/>
      <c r="H69" s="56">
        <v>309.495836138122</v>
      </c>
      <c r="I69" s="56"/>
      <c r="J69" s="56">
        <v>282.17147183222198</v>
      </c>
      <c r="K69" s="56"/>
      <c r="L69" s="56">
        <v>282.02314083598998</v>
      </c>
      <c r="M69" s="56"/>
      <c r="N69" s="56">
        <v>281.07712544876102</v>
      </c>
      <c r="O69" s="56"/>
      <c r="P69" s="56">
        <v>278.60000000000002</v>
      </c>
      <c r="Q69" s="56"/>
      <c r="R69" s="56">
        <v>281.01451086161097</v>
      </c>
      <c r="S69" s="42"/>
      <c r="T69" s="56">
        <v>285.392982750388</v>
      </c>
      <c r="U69" s="42"/>
      <c r="V69" s="56">
        <v>300.87007635723501</v>
      </c>
      <c r="W69" s="42"/>
      <c r="X69" s="56">
        <v>319.94863087259898</v>
      </c>
      <c r="Y69" s="42"/>
      <c r="Z69" s="56">
        <v>334.47823650351398</v>
      </c>
      <c r="AA69" s="56"/>
      <c r="AB69" s="104">
        <f t="shared" si="5"/>
        <v>300.5795264200994</v>
      </c>
      <c r="AC69" s="216"/>
      <c r="AD69" s="216"/>
      <c r="AE69" s="216"/>
      <c r="AF69" s="216"/>
      <c r="AG69" s="216"/>
      <c r="AH69" s="216"/>
      <c r="AI69" s="216"/>
    </row>
    <row r="70" spans="1:35" s="202" customFormat="1" ht="14.25">
      <c r="A70" s="44"/>
      <c r="B70" s="210" t="s">
        <v>38</v>
      </c>
      <c r="C70" s="4"/>
      <c r="D70" s="56">
        <v>2931.23</v>
      </c>
      <c r="E70" s="56"/>
      <c r="F70" s="56">
        <v>2835.43</v>
      </c>
      <c r="G70" s="56"/>
      <c r="H70" s="56">
        <v>3000.4</v>
      </c>
      <c r="I70" s="56"/>
      <c r="J70" s="56">
        <v>2854.53</v>
      </c>
      <c r="K70" s="56"/>
      <c r="L70" s="56">
        <v>3069.83</v>
      </c>
      <c r="M70" s="56"/>
      <c r="N70" s="56">
        <v>3191.06</v>
      </c>
      <c r="O70" s="56"/>
      <c r="P70" s="56">
        <v>3113.78</v>
      </c>
      <c r="Q70" s="56"/>
      <c r="R70" s="56">
        <v>3135.2824739356802</v>
      </c>
      <c r="S70" s="42"/>
      <c r="T70" s="56">
        <v>2924.8674859399898</v>
      </c>
      <c r="U70" s="42"/>
      <c r="V70" s="56">
        <v>3331.0503009316499</v>
      </c>
      <c r="W70" s="42"/>
      <c r="X70" s="56">
        <v>3297.65176093235</v>
      </c>
      <c r="Y70" s="42"/>
      <c r="Z70" s="56">
        <v>3129.1056889358001</v>
      </c>
      <c r="AA70" s="56"/>
      <c r="AB70" s="104">
        <f t="shared" si="5"/>
        <v>3067.8514758896222</v>
      </c>
      <c r="AC70" s="216"/>
      <c r="AD70" s="216"/>
      <c r="AE70" s="216"/>
      <c r="AF70" s="216"/>
      <c r="AG70" s="216"/>
      <c r="AH70" s="216"/>
      <c r="AI70" s="216"/>
    </row>
    <row r="71" spans="1:35" s="202" customFormat="1" ht="14.25">
      <c r="A71" s="44"/>
      <c r="B71" s="210" t="s">
        <v>98</v>
      </c>
      <c r="C71" s="4"/>
      <c r="D71" s="56">
        <v>1582.0856774193514</v>
      </c>
      <c r="E71" s="56"/>
      <c r="F71" s="56">
        <v>1773.3813571428561</v>
      </c>
      <c r="G71" s="56"/>
      <c r="H71" s="56">
        <v>1782.4170322580637</v>
      </c>
      <c r="I71" s="56"/>
      <c r="J71" s="56">
        <v>1678.9733333333302</v>
      </c>
      <c r="K71" s="56"/>
      <c r="L71" s="56">
        <v>1758.5787419354851</v>
      </c>
      <c r="M71" s="56"/>
      <c r="N71" s="56">
        <v>1736.5109999999968</v>
      </c>
      <c r="O71" s="56"/>
      <c r="P71" s="56">
        <v>1758</v>
      </c>
      <c r="Q71" s="56"/>
      <c r="R71" s="57">
        <v>1630.9272580645199</v>
      </c>
      <c r="S71" s="42"/>
      <c r="T71" s="56">
        <v>1678.70673333333</v>
      </c>
      <c r="U71" s="42"/>
      <c r="V71" s="56">
        <v>1502.8550967741901</v>
      </c>
      <c r="W71" s="42"/>
      <c r="X71" s="56">
        <v>1871.4665666666699</v>
      </c>
      <c r="Y71" s="42"/>
      <c r="Z71" s="56">
        <v>1495.9216451612899</v>
      </c>
      <c r="AA71" s="56"/>
      <c r="AB71" s="104">
        <f t="shared" si="5"/>
        <v>1687.4853701740901</v>
      </c>
      <c r="AC71" s="216"/>
      <c r="AD71" s="216"/>
      <c r="AE71" s="216"/>
      <c r="AF71" s="216"/>
      <c r="AG71" s="216"/>
      <c r="AH71" s="216"/>
      <c r="AI71" s="216"/>
    </row>
    <row r="72" spans="1:35" s="202" customFormat="1" ht="14.25">
      <c r="A72" s="44"/>
      <c r="B72" s="210" t="s">
        <v>29</v>
      </c>
      <c r="C72" s="4"/>
      <c r="D72" s="58">
        <v>44.404428649474163</v>
      </c>
      <c r="E72" s="58"/>
      <c r="F72" s="58">
        <v>48.351796158662054</v>
      </c>
      <c r="G72" s="58"/>
      <c r="H72" s="58">
        <v>50.473072575897682</v>
      </c>
      <c r="I72" s="58"/>
      <c r="J72" s="58">
        <v>54.552412993654947</v>
      </c>
      <c r="K72" s="58"/>
      <c r="L72" s="58">
        <v>55.628221123799328</v>
      </c>
      <c r="M72" s="58"/>
      <c r="N72" s="58">
        <v>59.893975964064452</v>
      </c>
      <c r="O72" s="58"/>
      <c r="P72" s="58">
        <v>64.37</v>
      </c>
      <c r="Q72" s="58"/>
      <c r="R72" s="59">
        <v>61.880099598200069</v>
      </c>
      <c r="S72" s="42"/>
      <c r="T72" s="59">
        <v>66.180220173061002</v>
      </c>
      <c r="U72" s="42"/>
      <c r="V72" s="59">
        <v>71.834434133198684</v>
      </c>
      <c r="W72" s="42"/>
      <c r="X72" s="59">
        <v>80.05294716013897</v>
      </c>
      <c r="Y72" s="42"/>
      <c r="Z72" s="59">
        <v>79.497565609299315</v>
      </c>
      <c r="AA72" s="56"/>
      <c r="AB72" s="107">
        <f t="shared" si="5"/>
        <v>61.426597844954216</v>
      </c>
      <c r="AC72" s="216"/>
      <c r="AD72" s="216"/>
      <c r="AE72" s="216"/>
      <c r="AF72" s="216"/>
      <c r="AG72" s="216"/>
      <c r="AH72" s="216"/>
      <c r="AI72" s="216"/>
    </row>
    <row r="73" spans="1:35" s="202" customFormat="1" ht="14.25">
      <c r="A73" s="44"/>
      <c r="B73" s="210" t="s">
        <v>53</v>
      </c>
      <c r="C73" s="4"/>
      <c r="D73" s="58">
        <v>42.8</v>
      </c>
      <c r="E73" s="58"/>
      <c r="F73" s="58">
        <v>42.8</v>
      </c>
      <c r="G73" s="58"/>
      <c r="H73" s="58">
        <v>42.8</v>
      </c>
      <c r="I73" s="58"/>
      <c r="J73" s="58">
        <v>42.8</v>
      </c>
      <c r="K73" s="58"/>
      <c r="L73" s="58">
        <v>42.8</v>
      </c>
      <c r="M73" s="58"/>
      <c r="N73" s="58">
        <v>42.8</v>
      </c>
      <c r="O73" s="58"/>
      <c r="P73" s="58">
        <v>42.8</v>
      </c>
      <c r="Q73" s="58"/>
      <c r="R73" s="58">
        <v>42.8</v>
      </c>
      <c r="S73" s="42"/>
      <c r="T73" s="58">
        <v>42.8</v>
      </c>
      <c r="U73" s="42"/>
      <c r="V73" s="58">
        <v>42.8</v>
      </c>
      <c r="W73" s="42"/>
      <c r="X73" s="58">
        <v>42.8</v>
      </c>
      <c r="Y73" s="42"/>
      <c r="Z73" s="58">
        <v>42.8</v>
      </c>
      <c r="AA73" s="56"/>
      <c r="AB73" s="107">
        <f t="shared" si="5"/>
        <v>42.800000000000004</v>
      </c>
      <c r="AC73" s="216"/>
      <c r="AD73" s="216"/>
      <c r="AE73" s="216"/>
      <c r="AF73" s="216"/>
      <c r="AG73" s="216"/>
      <c r="AH73" s="216"/>
      <c r="AI73" s="216"/>
    </row>
    <row r="74" spans="1:35" s="202" customFormat="1" ht="14.25">
      <c r="A74" s="44"/>
      <c r="B74" s="210" t="s">
        <v>76</v>
      </c>
      <c r="C74" s="4"/>
      <c r="D74" s="58">
        <v>5.18</v>
      </c>
      <c r="E74" s="60"/>
      <c r="F74" s="58">
        <v>6.53</v>
      </c>
      <c r="G74" s="58"/>
      <c r="H74" s="58">
        <v>6.9009999999999998</v>
      </c>
      <c r="I74" s="58"/>
      <c r="J74" s="58">
        <v>6.5519999999999996</v>
      </c>
      <c r="K74" s="58"/>
      <c r="L74" s="58">
        <v>7.19</v>
      </c>
      <c r="M74" s="58"/>
      <c r="N74" s="58">
        <v>7.4</v>
      </c>
      <c r="O74" s="58"/>
      <c r="P74" s="58">
        <v>6.66</v>
      </c>
      <c r="Q74" s="58"/>
      <c r="R74" s="58">
        <v>5.57</v>
      </c>
      <c r="S74" s="58"/>
      <c r="T74" s="58">
        <v>5.16</v>
      </c>
      <c r="U74" s="58"/>
      <c r="V74" s="58">
        <v>6.07</v>
      </c>
      <c r="W74" s="58"/>
      <c r="X74" s="58">
        <v>6.3010000000000002</v>
      </c>
      <c r="Y74" s="58"/>
      <c r="Z74" s="58">
        <v>6.56</v>
      </c>
      <c r="AA74" s="58"/>
      <c r="AB74" s="107">
        <f t="shared" si="5"/>
        <v>6.3395000000000001</v>
      </c>
      <c r="AC74" s="216"/>
      <c r="AD74" s="216"/>
      <c r="AE74" s="216"/>
      <c r="AF74" s="216"/>
      <c r="AG74" s="216"/>
      <c r="AH74" s="216"/>
      <c r="AI74" s="216"/>
    </row>
    <row r="75" spans="1:35" s="202" customFormat="1" ht="14.25">
      <c r="A75" s="44"/>
      <c r="B75" s="210" t="s">
        <v>99</v>
      </c>
      <c r="C75" s="4"/>
      <c r="D75" s="61">
        <v>10.9344</v>
      </c>
      <c r="E75" s="61"/>
      <c r="F75" s="61">
        <v>10.988</v>
      </c>
      <c r="G75" s="61"/>
      <c r="H75" s="61">
        <v>11.125</v>
      </c>
      <c r="I75" s="61"/>
      <c r="J75" s="61">
        <v>10.9924</v>
      </c>
      <c r="K75" s="61"/>
      <c r="L75" s="61">
        <v>10.8301</v>
      </c>
      <c r="M75" s="61"/>
      <c r="N75" s="61">
        <v>10.8338</v>
      </c>
      <c r="O75" s="61"/>
      <c r="P75" s="61">
        <v>10.8</v>
      </c>
      <c r="Q75" s="61"/>
      <c r="R75" s="62">
        <v>11.036300000000001</v>
      </c>
      <c r="S75" s="42"/>
      <c r="T75" s="62">
        <v>11.045</v>
      </c>
      <c r="U75" s="42"/>
      <c r="V75" s="62">
        <v>10.841799999999999</v>
      </c>
      <c r="W75" s="42"/>
      <c r="X75" s="62">
        <v>10.8658</v>
      </c>
      <c r="Y75" s="42"/>
      <c r="Z75" s="62">
        <v>10.849399999999999</v>
      </c>
      <c r="AA75" s="56"/>
      <c r="AB75" s="109">
        <f t="shared" si="5"/>
        <v>10.9285</v>
      </c>
      <c r="AC75" s="216"/>
      <c r="AD75" s="216"/>
      <c r="AE75" s="216"/>
      <c r="AF75" s="216"/>
      <c r="AG75" s="216"/>
      <c r="AH75" s="216"/>
      <c r="AI75" s="216"/>
    </row>
    <row r="76" spans="1:35" s="202" customFormat="1" ht="14.25">
      <c r="A76" s="44"/>
      <c r="B76" s="210" t="s">
        <v>100</v>
      </c>
      <c r="C76" s="4"/>
      <c r="D76" s="56">
        <v>433.07110370393968</v>
      </c>
      <c r="E76" s="56"/>
      <c r="F76" s="56">
        <v>441.60050743085071</v>
      </c>
      <c r="G76" s="56"/>
      <c r="H76" s="56">
        <v>456.77975617120751</v>
      </c>
      <c r="I76" s="56"/>
      <c r="J76" s="56">
        <v>502.42005629824484</v>
      </c>
      <c r="K76" s="56"/>
      <c r="L76" s="56">
        <v>597.3039650367366</v>
      </c>
      <c r="M76" s="56"/>
      <c r="N76" s="56">
        <v>593.34419765272662</v>
      </c>
      <c r="O76" s="56"/>
      <c r="P76" s="56">
        <v>513.26884638873662</v>
      </c>
      <c r="Q76" s="56"/>
      <c r="R76" s="56">
        <v>597.43843421750728</v>
      </c>
      <c r="S76" s="56"/>
      <c r="T76" s="56">
        <v>546.46590041800653</v>
      </c>
      <c r="U76" s="42"/>
      <c r="V76" s="56">
        <v>610.09222053401709</v>
      </c>
      <c r="W76" s="42"/>
      <c r="X76" s="56">
        <v>715.77132768683691</v>
      </c>
      <c r="Y76" s="42"/>
      <c r="Z76" s="56">
        <v>593.70425234296431</v>
      </c>
      <c r="AA76" s="56"/>
      <c r="AB76" s="104">
        <f t="shared" si="5"/>
        <v>550.10504732348124</v>
      </c>
      <c r="AC76" s="216"/>
      <c r="AD76" s="216"/>
      <c r="AE76" s="216"/>
      <c r="AF76" s="216"/>
      <c r="AG76" s="216"/>
      <c r="AH76" s="216"/>
      <c r="AI76" s="216"/>
    </row>
    <row r="77" spans="1:35" s="202" customFormat="1" ht="14.25">
      <c r="A77" s="44"/>
      <c r="B77" s="210" t="s">
        <v>70</v>
      </c>
      <c r="C77" s="4"/>
      <c r="D77" s="56">
        <v>33.930521999999996</v>
      </c>
      <c r="E77" s="56"/>
      <c r="F77" s="56">
        <v>16.905190000000005</v>
      </c>
      <c r="G77" s="56"/>
      <c r="H77" s="56">
        <v>19.964382000000001</v>
      </c>
      <c r="I77" s="56"/>
      <c r="J77" s="56">
        <v>19.851320000000001</v>
      </c>
      <c r="K77" s="56"/>
      <c r="L77" s="56">
        <v>20.418720000000008</v>
      </c>
      <c r="M77" s="56"/>
      <c r="N77" s="56">
        <v>18.419296000000003</v>
      </c>
      <c r="O77" s="56"/>
      <c r="P77" s="56">
        <v>20.919927000000001</v>
      </c>
      <c r="Q77" s="56"/>
      <c r="R77" s="56">
        <v>20.986378999999999</v>
      </c>
      <c r="S77" s="56"/>
      <c r="T77" s="56">
        <v>21.024626000000005</v>
      </c>
      <c r="U77" s="42"/>
      <c r="V77" s="56">
        <v>26.750501000000007</v>
      </c>
      <c r="W77" s="42"/>
      <c r="X77" s="56">
        <v>29.940255000000001</v>
      </c>
      <c r="Y77" s="42"/>
      <c r="Z77" s="56">
        <v>20.899701</v>
      </c>
      <c r="AA77" s="56"/>
      <c r="AB77" s="104">
        <f t="shared" si="5"/>
        <v>22.500901583333341</v>
      </c>
      <c r="AC77" s="216"/>
      <c r="AD77" s="216"/>
      <c r="AE77" s="216"/>
      <c r="AF77" s="216"/>
      <c r="AG77" s="216"/>
      <c r="AH77" s="216"/>
      <c r="AI77" s="216"/>
    </row>
    <row r="78" spans="1:35">
      <c r="B78" s="472" t="s">
        <v>101</v>
      </c>
      <c r="C78" s="472"/>
      <c r="D78" s="472"/>
      <c r="E78" s="472"/>
      <c r="F78" s="472"/>
      <c r="G78" s="472"/>
      <c r="H78" s="472"/>
      <c r="I78" s="472"/>
      <c r="J78" s="472"/>
      <c r="K78" s="472"/>
      <c r="L78" s="472"/>
      <c r="M78" s="472"/>
      <c r="N78" s="472"/>
      <c r="O78" s="472"/>
      <c r="P78" s="472"/>
      <c r="Q78" s="472"/>
      <c r="R78" s="472"/>
      <c r="S78" s="472"/>
      <c r="T78" s="472"/>
      <c r="U78" s="472"/>
      <c r="V78" s="472"/>
      <c r="W78" s="472"/>
      <c r="X78" s="472"/>
      <c r="Y78" s="472"/>
      <c r="Z78" s="472"/>
      <c r="AA78" s="472"/>
      <c r="AB78" s="472"/>
    </row>
    <row r="80" spans="1:35">
      <c r="V80" s="126"/>
    </row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</sheetData>
  <mergeCells count="94">
    <mergeCell ref="B78:AB78"/>
    <mergeCell ref="AA63:AB63"/>
    <mergeCell ref="B60:AB60"/>
    <mergeCell ref="S63:T63"/>
    <mergeCell ref="U63:V63"/>
    <mergeCell ref="W63:X63"/>
    <mergeCell ref="Y63:Z63"/>
    <mergeCell ref="Y62:Z62"/>
    <mergeCell ref="AA62:AB62"/>
    <mergeCell ref="K63:L63"/>
    <mergeCell ref="M63:N63"/>
    <mergeCell ref="O63:P63"/>
    <mergeCell ref="Q63:R63"/>
    <mergeCell ref="C63:D63"/>
    <mergeCell ref="E63:F63"/>
    <mergeCell ref="G63:H63"/>
    <mergeCell ref="I63:J63"/>
    <mergeCell ref="U62:V62"/>
    <mergeCell ref="Q61:R61"/>
    <mergeCell ref="W61:X61"/>
    <mergeCell ref="W62:X62"/>
    <mergeCell ref="U61:V61"/>
    <mergeCell ref="M62:N62"/>
    <mergeCell ref="O62:P62"/>
    <mergeCell ref="S61:T61"/>
    <mergeCell ref="K61:L61"/>
    <mergeCell ref="M61:N61"/>
    <mergeCell ref="O61:P61"/>
    <mergeCell ref="Q62:R62"/>
    <mergeCell ref="S62:T62"/>
    <mergeCell ref="C62:D62"/>
    <mergeCell ref="E62:F62"/>
    <mergeCell ref="G62:H62"/>
    <mergeCell ref="I62:J62"/>
    <mergeCell ref="K62:L62"/>
    <mergeCell ref="AA61:AB61"/>
    <mergeCell ref="S4:T4"/>
    <mergeCell ref="U4:V4"/>
    <mergeCell ref="C4:D4"/>
    <mergeCell ref="E4:F4"/>
    <mergeCell ref="G4:H4"/>
    <mergeCell ref="I4:J4"/>
    <mergeCell ref="K4:L4"/>
    <mergeCell ref="M4:N4"/>
    <mergeCell ref="W4:X4"/>
    <mergeCell ref="C61:D61"/>
    <mergeCell ref="E61:F61"/>
    <mergeCell ref="G61:H61"/>
    <mergeCell ref="I61:J61"/>
    <mergeCell ref="Y61:Z61"/>
    <mergeCell ref="Y4:Z4"/>
    <mergeCell ref="AA4:AB4"/>
    <mergeCell ref="C5:D5"/>
    <mergeCell ref="E5:F5"/>
    <mergeCell ref="G5:H5"/>
    <mergeCell ref="I5:J5"/>
    <mergeCell ref="K5:L5"/>
    <mergeCell ref="O4:P4"/>
    <mergeCell ref="Q4:R4"/>
    <mergeCell ref="M5:N5"/>
    <mergeCell ref="B58:AB58"/>
    <mergeCell ref="B56:AB56"/>
    <mergeCell ref="B52:AB52"/>
    <mergeCell ref="B53:AB53"/>
    <mergeCell ref="B54:AB54"/>
    <mergeCell ref="B55:AB55"/>
    <mergeCell ref="B57:AB57"/>
    <mergeCell ref="B50:AB50"/>
    <mergeCell ref="B51:AB51"/>
    <mergeCell ref="W7:X7"/>
    <mergeCell ref="Y7:Z7"/>
    <mergeCell ref="AA7:AB7"/>
    <mergeCell ref="O7:P7"/>
    <mergeCell ref="Q7:R7"/>
    <mergeCell ref="S7:T7"/>
    <mergeCell ref="K7:L7"/>
    <mergeCell ref="M7:N7"/>
    <mergeCell ref="U7:V7"/>
    <mergeCell ref="B2:AB2"/>
    <mergeCell ref="B47:AB47"/>
    <mergeCell ref="B48:AB48"/>
    <mergeCell ref="B49:AB49"/>
    <mergeCell ref="B3:AB3"/>
    <mergeCell ref="C7:D7"/>
    <mergeCell ref="E7:F7"/>
    <mergeCell ref="G7:H7"/>
    <mergeCell ref="I7:J7"/>
    <mergeCell ref="W5:X5"/>
    <mergeCell ref="Y5:Z5"/>
    <mergeCell ref="AA5:AB5"/>
    <mergeCell ref="O5:P5"/>
    <mergeCell ref="Q5:R5"/>
    <mergeCell ref="S5:T5"/>
    <mergeCell ref="U5:V5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59" orientation="landscape" r:id="rId1"/>
  <headerFooter alignWithMargins="0"/>
  <ignoredErrors>
    <ignoredError sqref="AB27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93"/>
  <sheetViews>
    <sheetView showGridLines="0" topLeftCell="A54" zoomScale="75" zoomScaleNormal="75" workbookViewId="0">
      <selection activeCell="AC17" sqref="AC17"/>
    </sheetView>
  </sheetViews>
  <sheetFormatPr baseColWidth="10" defaultColWidth="9.140625" defaultRowHeight="12.75"/>
  <cols>
    <col min="1" max="1" width="0.140625" style="175" customWidth="1"/>
    <col min="2" max="2" width="45.7109375" style="183" customWidth="1"/>
    <col min="3" max="3" width="2.7109375" style="183" customWidth="1"/>
    <col min="4" max="4" width="10.7109375" style="183" customWidth="1"/>
    <col min="5" max="5" width="2.7109375" style="183" customWidth="1"/>
    <col min="6" max="6" width="10.7109375" style="183" customWidth="1"/>
    <col min="7" max="7" width="2.7109375" style="183" customWidth="1"/>
    <col min="8" max="8" width="10.7109375" style="183" customWidth="1"/>
    <col min="9" max="9" width="2.7109375" style="183" customWidth="1"/>
    <col min="10" max="10" width="10.7109375" style="183" customWidth="1"/>
    <col min="11" max="11" width="2.7109375" style="183" customWidth="1"/>
    <col min="12" max="12" width="10.7109375" style="183" customWidth="1"/>
    <col min="13" max="13" width="2.7109375" style="183" customWidth="1"/>
    <col min="14" max="14" width="10.7109375" style="183" customWidth="1"/>
    <col min="15" max="15" width="2.7109375" style="183" customWidth="1"/>
    <col min="16" max="16" width="10.7109375" style="183" customWidth="1"/>
    <col min="17" max="17" width="2.7109375" style="183" customWidth="1"/>
    <col min="18" max="18" width="10.7109375" style="183" customWidth="1"/>
    <col min="19" max="19" width="2.7109375" style="183" customWidth="1"/>
    <col min="20" max="20" width="10.7109375" style="183" customWidth="1"/>
    <col min="21" max="21" width="2.7109375" style="183" customWidth="1"/>
    <col min="22" max="22" width="10.7109375" style="183" customWidth="1"/>
    <col min="23" max="23" width="2.7109375" style="183" customWidth="1"/>
    <col min="24" max="24" width="10.7109375" style="183" customWidth="1"/>
    <col min="25" max="25" width="2.7109375" style="183" customWidth="1"/>
    <col min="26" max="26" width="10.7109375" style="183" customWidth="1"/>
    <col min="27" max="27" width="2.7109375" style="183" customWidth="1"/>
    <col min="28" max="28" width="12.7109375" style="183" customWidth="1"/>
    <col min="29" max="29" width="13.28515625" style="219" customWidth="1"/>
    <col min="30" max="31" width="9.140625" style="219"/>
    <col min="32" max="32" width="11.42578125" style="219" customWidth="1"/>
    <col min="33" max="35" width="9.140625" style="219"/>
    <col min="36" max="16384" width="9.140625" style="220"/>
  </cols>
  <sheetData>
    <row r="1" spans="1:35"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</row>
    <row r="2" spans="1:35" ht="23.25">
      <c r="B2" s="501" t="s">
        <v>43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  <c r="U2" s="501"/>
      <c r="V2" s="501"/>
      <c r="W2" s="501"/>
      <c r="X2" s="501"/>
      <c r="Y2" s="501"/>
      <c r="Z2" s="501"/>
      <c r="AA2" s="501"/>
      <c r="AB2" s="501"/>
      <c r="AC2" s="221"/>
      <c r="AD2" s="221"/>
      <c r="AE2" s="221"/>
      <c r="AF2" s="221"/>
    </row>
    <row r="3" spans="1:35" ht="15.75" customHeight="1" thickBot="1">
      <c r="B3" s="510" t="s">
        <v>57</v>
      </c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  <c r="N3" s="510"/>
      <c r="O3" s="510"/>
      <c r="P3" s="510"/>
      <c r="Q3" s="510"/>
      <c r="R3" s="510"/>
      <c r="S3" s="510"/>
      <c r="T3" s="510"/>
      <c r="U3" s="510"/>
      <c r="V3" s="510"/>
      <c r="W3" s="510"/>
      <c r="X3" s="510"/>
      <c r="Y3" s="510"/>
      <c r="Z3" s="510"/>
      <c r="AA3" s="510"/>
      <c r="AB3" s="510"/>
      <c r="AC3" s="222"/>
      <c r="AD3" s="222"/>
      <c r="AE3" s="222"/>
      <c r="AF3" s="222"/>
    </row>
    <row r="4" spans="1:35">
      <c r="B4" s="127"/>
      <c r="C4" s="511"/>
      <c r="D4" s="512"/>
      <c r="E4" s="511"/>
      <c r="F4" s="513"/>
      <c r="G4" s="511"/>
      <c r="H4" s="513"/>
      <c r="I4" s="511"/>
      <c r="J4" s="513"/>
      <c r="K4" s="511"/>
      <c r="L4" s="513"/>
      <c r="M4" s="511"/>
      <c r="N4" s="513"/>
      <c r="O4" s="511"/>
      <c r="P4" s="513"/>
      <c r="Q4" s="511"/>
      <c r="R4" s="513"/>
      <c r="S4" s="511"/>
      <c r="T4" s="513"/>
      <c r="U4" s="511"/>
      <c r="V4" s="514"/>
      <c r="W4" s="511"/>
      <c r="X4" s="514"/>
      <c r="Y4" s="511"/>
      <c r="Z4" s="514"/>
      <c r="AA4" s="511"/>
      <c r="AB4" s="514"/>
    </row>
    <row r="5" spans="1:35">
      <c r="B5" s="128">
        <v>2008</v>
      </c>
      <c r="C5" s="502" t="s">
        <v>4</v>
      </c>
      <c r="D5" s="497"/>
      <c r="E5" s="502" t="s">
        <v>5</v>
      </c>
      <c r="F5" s="506"/>
      <c r="G5" s="502" t="s">
        <v>6</v>
      </c>
      <c r="H5" s="506"/>
      <c r="I5" s="502" t="s">
        <v>7</v>
      </c>
      <c r="J5" s="506"/>
      <c r="K5" s="502" t="s">
        <v>8</v>
      </c>
      <c r="L5" s="506"/>
      <c r="M5" s="502" t="s">
        <v>9</v>
      </c>
      <c r="N5" s="506"/>
      <c r="O5" s="502" t="s">
        <v>10</v>
      </c>
      <c r="P5" s="506"/>
      <c r="Q5" s="507" t="s">
        <v>11</v>
      </c>
      <c r="R5" s="506"/>
      <c r="S5" s="507" t="s">
        <v>12</v>
      </c>
      <c r="T5" s="506"/>
      <c r="U5" s="502" t="s">
        <v>0</v>
      </c>
      <c r="V5" s="503"/>
      <c r="W5" s="502" t="s">
        <v>1</v>
      </c>
      <c r="X5" s="503"/>
      <c r="Y5" s="502" t="s">
        <v>2</v>
      </c>
      <c r="Z5" s="503"/>
      <c r="AA5" s="502" t="s">
        <v>15</v>
      </c>
      <c r="AB5" s="503"/>
    </row>
    <row r="6" spans="1:35">
      <c r="B6" s="128"/>
      <c r="C6" s="129"/>
      <c r="D6" s="133"/>
      <c r="E6" s="129"/>
      <c r="F6" s="130"/>
      <c r="G6" s="129"/>
      <c r="H6" s="130"/>
      <c r="I6" s="129"/>
      <c r="J6" s="130"/>
      <c r="K6" s="129"/>
      <c r="L6" s="130"/>
      <c r="M6" s="129"/>
      <c r="N6" s="130"/>
      <c r="O6" s="129"/>
      <c r="P6" s="130"/>
      <c r="Q6" s="131"/>
      <c r="R6" s="130"/>
      <c r="S6" s="131"/>
      <c r="T6" s="130"/>
      <c r="U6" s="129"/>
      <c r="V6" s="132"/>
      <c r="W6" s="129"/>
      <c r="X6" s="132"/>
      <c r="Y6" s="129"/>
      <c r="Z6" s="132"/>
      <c r="AA6" s="129"/>
      <c r="AB6" s="132"/>
    </row>
    <row r="7" spans="1:35" ht="3.75" customHeight="1" thickBot="1">
      <c r="B7" s="134"/>
      <c r="C7" s="504"/>
      <c r="D7" s="508"/>
      <c r="E7" s="504"/>
      <c r="F7" s="505"/>
      <c r="G7" s="504"/>
      <c r="H7" s="505"/>
      <c r="I7" s="504"/>
      <c r="J7" s="505"/>
      <c r="K7" s="504"/>
      <c r="L7" s="505"/>
      <c r="M7" s="504"/>
      <c r="N7" s="505"/>
      <c r="O7" s="504"/>
      <c r="P7" s="505"/>
      <c r="Q7" s="504"/>
      <c r="R7" s="505"/>
      <c r="S7" s="504"/>
      <c r="T7" s="505"/>
      <c r="U7" s="504"/>
      <c r="V7" s="509"/>
      <c r="W7" s="504"/>
      <c r="X7" s="509"/>
      <c r="Y7" s="504"/>
      <c r="Z7" s="509"/>
      <c r="AA7" s="504"/>
      <c r="AB7" s="509"/>
    </row>
    <row r="8" spans="1:35" s="202" customFormat="1" ht="14.25" customHeight="1">
      <c r="A8" s="175"/>
      <c r="B8" s="135" t="s">
        <v>16</v>
      </c>
      <c r="C8" s="136"/>
      <c r="D8" s="41">
        <f>D9+D12</f>
        <v>108093.813455</v>
      </c>
      <c r="E8" s="41"/>
      <c r="F8" s="41">
        <f>F9+F12</f>
        <v>100215.324931</v>
      </c>
      <c r="G8" s="41"/>
      <c r="H8" s="41">
        <f>H9+H12</f>
        <v>141749.778811</v>
      </c>
      <c r="I8" s="41"/>
      <c r="J8" s="41">
        <f>J9+J12</f>
        <v>134052.379193</v>
      </c>
      <c r="K8" s="41"/>
      <c r="L8" s="41">
        <f>L9+L12</f>
        <v>125826.92021500001</v>
      </c>
      <c r="M8" s="41"/>
      <c r="N8" s="41">
        <f>N9+N12</f>
        <v>140206.00344200002</v>
      </c>
      <c r="O8" s="41"/>
      <c r="P8" s="41">
        <f>P9+P12</f>
        <v>136115.701959</v>
      </c>
      <c r="Q8" s="41"/>
      <c r="R8" s="41">
        <f>R9+R12</f>
        <v>161562.87454000002</v>
      </c>
      <c r="S8" s="41"/>
      <c r="T8" s="41">
        <f>T9+T12</f>
        <v>183736.48024800001</v>
      </c>
      <c r="U8" s="41"/>
      <c r="V8" s="137">
        <f>V9+V12</f>
        <v>182033.91469499998</v>
      </c>
      <c r="W8" s="41"/>
      <c r="X8" s="137">
        <f>X9+X12</f>
        <v>135668.609983</v>
      </c>
      <c r="Y8" s="41"/>
      <c r="Z8" s="137">
        <f>Z9+Z12</f>
        <v>113620.91162300001</v>
      </c>
      <c r="AA8" s="137"/>
      <c r="AB8" s="185">
        <f>AB9+AB12</f>
        <v>1662882.7130949998</v>
      </c>
      <c r="AC8" s="216"/>
      <c r="AD8" s="216"/>
      <c r="AE8" s="216"/>
      <c r="AF8" s="216"/>
      <c r="AG8" s="216"/>
      <c r="AH8" s="216"/>
      <c r="AI8" s="216"/>
    </row>
    <row r="9" spans="1:35" s="202" customFormat="1" ht="14.25">
      <c r="A9" s="175"/>
      <c r="B9" s="138" t="s">
        <v>17</v>
      </c>
      <c r="C9" s="136"/>
      <c r="D9" s="42">
        <f>+D10+D11</f>
        <v>101817.630319</v>
      </c>
      <c r="E9" s="42"/>
      <c r="F9" s="42">
        <f>+F10+F11</f>
        <v>97824.829280999998</v>
      </c>
      <c r="G9" s="42"/>
      <c r="H9" s="42">
        <f>+H10+H11</f>
        <v>99861.415429999994</v>
      </c>
      <c r="I9" s="42"/>
      <c r="J9" s="42">
        <f>+J10+J11</f>
        <v>123333.81062199999</v>
      </c>
      <c r="K9" s="42"/>
      <c r="L9" s="42">
        <f>+L10+L11</f>
        <v>113123.272834</v>
      </c>
      <c r="M9" s="42"/>
      <c r="N9" s="42">
        <f>+N10+N11</f>
        <v>121650.765346</v>
      </c>
      <c r="O9" s="42"/>
      <c r="P9" s="42">
        <f>+P10+P11</f>
        <v>121135.93295700001</v>
      </c>
      <c r="Q9" s="42"/>
      <c r="R9" s="42">
        <f>+R10+R11</f>
        <v>128293.66513400001</v>
      </c>
      <c r="S9" s="42"/>
      <c r="T9" s="42">
        <f>+T10+T11</f>
        <v>135890.524305</v>
      </c>
      <c r="U9" s="42"/>
      <c r="V9" s="42">
        <f>+V10+V11</f>
        <v>108849.35149100001</v>
      </c>
      <c r="W9" s="42"/>
      <c r="X9" s="42">
        <f>+X10+X11</f>
        <v>94645.660235999996</v>
      </c>
      <c r="Y9" s="42"/>
      <c r="Z9" s="42">
        <f>+Z10+Z11</f>
        <v>100794.600592</v>
      </c>
      <c r="AA9" s="139"/>
      <c r="AB9" s="42">
        <f>+AB10+AB11</f>
        <v>1347221.4585469998</v>
      </c>
      <c r="AC9" s="216"/>
      <c r="AD9" s="216"/>
      <c r="AE9" s="216"/>
      <c r="AF9" s="216"/>
      <c r="AG9" s="216"/>
      <c r="AH9" s="216"/>
      <c r="AI9" s="216"/>
    </row>
    <row r="10" spans="1:35" s="202" customFormat="1" ht="14.25">
      <c r="A10" s="175"/>
      <c r="B10" s="193" t="s">
        <v>77</v>
      </c>
      <c r="C10" s="136"/>
      <c r="D10" s="42">
        <v>44520.303124999999</v>
      </c>
      <c r="E10" s="124"/>
      <c r="F10" s="42">
        <v>41094.647110999998</v>
      </c>
      <c r="G10" s="42"/>
      <c r="H10" s="42">
        <v>44711.999093999992</v>
      </c>
      <c r="I10" s="42"/>
      <c r="J10" s="42">
        <v>48969.607296999995</v>
      </c>
      <c r="K10" s="42"/>
      <c r="L10" s="42">
        <v>52647.691430999999</v>
      </c>
      <c r="M10" s="42"/>
      <c r="N10" s="42">
        <v>50556.565440000006</v>
      </c>
      <c r="O10" s="42"/>
      <c r="P10" s="42">
        <v>59079.828148000008</v>
      </c>
      <c r="Q10" s="42"/>
      <c r="R10" s="42">
        <v>61320.677230000001</v>
      </c>
      <c r="S10" s="42"/>
      <c r="T10" s="42">
        <v>53403.084611999999</v>
      </c>
      <c r="U10" s="42"/>
      <c r="V10" s="42">
        <v>40933.002803000003</v>
      </c>
      <c r="W10" s="42"/>
      <c r="X10" s="42">
        <v>32089.388657999996</v>
      </c>
      <c r="Y10" s="42"/>
      <c r="Z10" s="42">
        <v>31891.061686000001</v>
      </c>
      <c r="AA10" s="139"/>
      <c r="AB10" s="42">
        <f>SUM(D10:Z10)</f>
        <v>561217.85663499997</v>
      </c>
      <c r="AC10" s="216"/>
      <c r="AD10" s="216"/>
      <c r="AE10" s="216"/>
      <c r="AF10" s="216"/>
      <c r="AG10" s="216"/>
      <c r="AH10" s="216"/>
      <c r="AI10" s="216"/>
    </row>
    <row r="11" spans="1:35" s="202" customFormat="1" ht="14.25">
      <c r="A11" s="175"/>
      <c r="B11" s="193" t="s">
        <v>78</v>
      </c>
      <c r="C11" s="136"/>
      <c r="D11" s="42">
        <v>57297.327194000005</v>
      </c>
      <c r="E11" s="124"/>
      <c r="F11" s="42">
        <v>56730.18217</v>
      </c>
      <c r="G11" s="42"/>
      <c r="H11" s="42">
        <v>55149.416336000002</v>
      </c>
      <c r="I11" s="42"/>
      <c r="J11" s="42">
        <v>74364.203324999995</v>
      </c>
      <c r="K11" s="42"/>
      <c r="L11" s="42">
        <v>60475.581402999996</v>
      </c>
      <c r="M11" s="42"/>
      <c r="N11" s="42">
        <v>71094.199905999994</v>
      </c>
      <c r="O11" s="42"/>
      <c r="P11" s="42">
        <v>62056.104808999997</v>
      </c>
      <c r="Q11" s="42"/>
      <c r="R11" s="42">
        <v>66972.987904000009</v>
      </c>
      <c r="S11" s="42"/>
      <c r="T11" s="42">
        <v>82487.439693000008</v>
      </c>
      <c r="U11" s="42"/>
      <c r="V11" s="42">
        <v>67916.348687999998</v>
      </c>
      <c r="W11" s="42"/>
      <c r="X11" s="42">
        <v>62556.271578</v>
      </c>
      <c r="Y11" s="42"/>
      <c r="Z11" s="42">
        <v>68903.538906000002</v>
      </c>
      <c r="AA11" s="141"/>
      <c r="AB11" s="42">
        <f>SUM(D11:Z11)</f>
        <v>786003.60191199998</v>
      </c>
      <c r="AC11" s="216"/>
      <c r="AD11" s="216"/>
      <c r="AE11" s="216"/>
      <c r="AF11" s="216"/>
      <c r="AG11" s="216"/>
      <c r="AH11" s="216"/>
      <c r="AI11" s="216"/>
    </row>
    <row r="12" spans="1:35" s="202" customFormat="1" ht="14.25">
      <c r="A12" s="175"/>
      <c r="B12" s="208" t="s">
        <v>79</v>
      </c>
      <c r="C12" s="136"/>
      <c r="D12" s="42">
        <v>6276.1831359999996</v>
      </c>
      <c r="E12" s="124"/>
      <c r="F12" s="42">
        <v>2390.4956499999994</v>
      </c>
      <c r="G12" s="42"/>
      <c r="H12" s="42">
        <v>41888.363381000003</v>
      </c>
      <c r="I12" s="42"/>
      <c r="J12" s="42">
        <v>10718.568571000002</v>
      </c>
      <c r="K12" s="42"/>
      <c r="L12" s="42">
        <v>12703.647380999999</v>
      </c>
      <c r="M12" s="42"/>
      <c r="N12" s="42">
        <v>18555.238096000005</v>
      </c>
      <c r="O12" s="42"/>
      <c r="P12" s="42">
        <v>14979.769001999999</v>
      </c>
      <c r="Q12" s="42"/>
      <c r="R12" s="42">
        <v>33269.209406000002</v>
      </c>
      <c r="S12" s="42"/>
      <c r="T12" s="42">
        <v>47845.955943000001</v>
      </c>
      <c r="U12" s="42"/>
      <c r="V12" s="42">
        <v>73184.563203999991</v>
      </c>
      <c r="W12" s="42"/>
      <c r="X12" s="42">
        <v>41022.949746999999</v>
      </c>
      <c r="Y12" s="42"/>
      <c r="Z12" s="42">
        <v>12826.311031000001</v>
      </c>
      <c r="AA12" s="139"/>
      <c r="AB12" s="42">
        <f>SUM(D12:Z12)</f>
        <v>315661.254548</v>
      </c>
      <c r="AC12" s="216"/>
      <c r="AD12" s="216"/>
      <c r="AE12" s="216"/>
      <c r="AF12" s="216"/>
      <c r="AG12" s="216"/>
      <c r="AH12" s="216"/>
      <c r="AI12" s="216"/>
    </row>
    <row r="13" spans="1:35" ht="3.75" customHeight="1">
      <c r="B13" s="142"/>
      <c r="C13" s="14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144"/>
      <c r="W13" s="23"/>
      <c r="X13" s="144"/>
      <c r="Y13" s="23"/>
      <c r="Z13" s="144"/>
      <c r="AA13" s="144"/>
      <c r="AB13" s="186"/>
    </row>
    <row r="14" spans="1:35" s="203" customFormat="1" ht="14.25">
      <c r="A14" s="176"/>
      <c r="B14" s="145" t="s">
        <v>80</v>
      </c>
      <c r="C14" s="146"/>
      <c r="D14" s="45">
        <f>+D15+D16+D17</f>
        <v>12800.558101000002</v>
      </c>
      <c r="E14" s="45"/>
      <c r="F14" s="45">
        <f>+F15+F16+F17</f>
        <v>13124.232245000003</v>
      </c>
      <c r="G14" s="45"/>
      <c r="H14" s="45">
        <f>+H15+H16+H17</f>
        <v>6668.4410909999988</v>
      </c>
      <c r="I14" s="45"/>
      <c r="J14" s="45">
        <f>+J15+J16+J17</f>
        <v>7920.2799650000006</v>
      </c>
      <c r="K14" s="45"/>
      <c r="L14" s="45">
        <f>+L15+L16+L17</f>
        <v>13570.031847000002</v>
      </c>
      <c r="M14" s="45"/>
      <c r="N14" s="45">
        <f>+N15+N16+N17</f>
        <v>7664.1012410000003</v>
      </c>
      <c r="O14" s="45"/>
      <c r="P14" s="45">
        <f>+P15+P16+P17</f>
        <v>7666.2591660000016</v>
      </c>
      <c r="Q14" s="45"/>
      <c r="R14" s="45">
        <f>+R15+R16+R17</f>
        <v>7096.0414250000003</v>
      </c>
      <c r="S14" s="45"/>
      <c r="T14" s="45">
        <f>+T15+T16+T17</f>
        <v>9792.3489900000004</v>
      </c>
      <c r="U14" s="45"/>
      <c r="V14" s="147">
        <f>+V15+V16+V17</f>
        <v>8898.9500119999993</v>
      </c>
      <c r="W14" s="45"/>
      <c r="X14" s="147">
        <f>+X15+X16+X17</f>
        <v>8110.2090749999988</v>
      </c>
      <c r="Y14" s="45"/>
      <c r="Z14" s="147">
        <f>+Z15+Z16+Z17</f>
        <v>19907.240298999994</v>
      </c>
      <c r="AA14" s="147"/>
      <c r="AB14" s="187">
        <f>+AB15+AB16+AB17</f>
        <v>123218.69345700002</v>
      </c>
      <c r="AC14" s="217"/>
      <c r="AD14" s="217"/>
      <c r="AE14" s="217"/>
      <c r="AF14" s="217"/>
      <c r="AG14" s="217"/>
      <c r="AH14" s="217"/>
      <c r="AI14" s="217"/>
    </row>
    <row r="15" spans="1:35" s="202" customFormat="1" ht="14.25">
      <c r="A15" s="175"/>
      <c r="B15" s="138" t="s">
        <v>34</v>
      </c>
      <c r="C15" s="136"/>
      <c r="D15" s="42">
        <v>4238.431286</v>
      </c>
      <c r="E15" s="124"/>
      <c r="F15" s="42">
        <v>3749.0335190000005</v>
      </c>
      <c r="G15" s="42"/>
      <c r="H15" s="42">
        <v>3959.4159000000004</v>
      </c>
      <c r="I15" s="42"/>
      <c r="J15" s="42">
        <v>4998.2537840000005</v>
      </c>
      <c r="K15" s="42"/>
      <c r="L15" s="42">
        <v>3822.673303</v>
      </c>
      <c r="M15" s="42"/>
      <c r="N15" s="42">
        <v>4914.6716650000008</v>
      </c>
      <c r="O15" s="42"/>
      <c r="P15" s="42">
        <v>4320.0696219999991</v>
      </c>
      <c r="Q15" s="42"/>
      <c r="R15" s="42">
        <v>4269.1916810000002</v>
      </c>
      <c r="S15" s="42"/>
      <c r="T15" s="42">
        <v>5274.6874690000004</v>
      </c>
      <c r="U15" s="42"/>
      <c r="V15" s="42">
        <v>4573.7227520000006</v>
      </c>
      <c r="W15" s="42"/>
      <c r="X15" s="42">
        <v>4212.0500379999994</v>
      </c>
      <c r="Y15" s="42"/>
      <c r="Z15" s="42">
        <v>9346.0990589999983</v>
      </c>
      <c r="AA15" s="139"/>
      <c r="AB15" s="42">
        <f>SUM(D15:Z15)</f>
        <v>57678.300078</v>
      </c>
      <c r="AC15" s="216"/>
      <c r="AD15" s="216"/>
      <c r="AE15" s="216"/>
      <c r="AF15" s="216"/>
      <c r="AG15" s="216"/>
      <c r="AH15" s="216"/>
      <c r="AI15" s="216"/>
    </row>
    <row r="16" spans="1:35" s="202" customFormat="1" ht="14.25">
      <c r="A16" s="175"/>
      <c r="B16" s="138" t="s">
        <v>13</v>
      </c>
      <c r="C16" s="136"/>
      <c r="D16" s="42">
        <v>727.83528699999999</v>
      </c>
      <c r="E16" s="124"/>
      <c r="F16" s="42">
        <v>834.91602999999998</v>
      </c>
      <c r="G16" s="42"/>
      <c r="H16" s="42">
        <v>511.635717</v>
      </c>
      <c r="I16" s="42"/>
      <c r="J16" s="42">
        <v>501.24705299999999</v>
      </c>
      <c r="K16" s="42"/>
      <c r="L16" s="42">
        <v>692.90773799999999</v>
      </c>
      <c r="M16" s="42"/>
      <c r="N16" s="42">
        <v>667.91632300000003</v>
      </c>
      <c r="O16" s="42"/>
      <c r="P16" s="42">
        <v>699.90201000000002</v>
      </c>
      <c r="Q16" s="42"/>
      <c r="R16" s="42">
        <v>677.48142199999995</v>
      </c>
      <c r="S16" s="42"/>
      <c r="T16" s="42">
        <v>673.97096899999997</v>
      </c>
      <c r="U16" s="42"/>
      <c r="V16" s="42">
        <v>895.570381</v>
      </c>
      <c r="W16" s="42"/>
      <c r="X16" s="42">
        <v>936.92235500000004</v>
      </c>
      <c r="Y16" s="42"/>
      <c r="Z16" s="42">
        <v>3096.5121359999998</v>
      </c>
      <c r="AA16" s="139"/>
      <c r="AB16" s="42">
        <f>SUM(D16:Z16)</f>
        <v>10916.817421</v>
      </c>
      <c r="AC16" s="216"/>
      <c r="AD16" s="216"/>
      <c r="AE16" s="216"/>
      <c r="AF16" s="216"/>
      <c r="AG16" s="216"/>
      <c r="AH16" s="216"/>
      <c r="AI16" s="216"/>
    </row>
    <row r="17" spans="1:35" s="202" customFormat="1" ht="14.25">
      <c r="A17" s="175"/>
      <c r="B17" s="208" t="s">
        <v>81</v>
      </c>
      <c r="C17" s="136"/>
      <c r="D17" s="42">
        <v>7834.2915280000034</v>
      </c>
      <c r="E17" s="124"/>
      <c r="F17" s="42">
        <v>8540.282696000002</v>
      </c>
      <c r="G17" s="42"/>
      <c r="H17" s="42">
        <v>2197.3894739999982</v>
      </c>
      <c r="I17" s="42"/>
      <c r="J17" s="42">
        <v>2420.7791280000001</v>
      </c>
      <c r="K17" s="42"/>
      <c r="L17" s="42">
        <v>9054.4508060000007</v>
      </c>
      <c r="M17" s="42"/>
      <c r="N17" s="42">
        <v>2081.5132529999996</v>
      </c>
      <c r="O17" s="42"/>
      <c r="P17" s="42">
        <v>2646.2875340000028</v>
      </c>
      <c r="Q17" s="42"/>
      <c r="R17" s="42">
        <v>2149.3683220000003</v>
      </c>
      <c r="S17" s="42"/>
      <c r="T17" s="42">
        <v>3843.690552</v>
      </c>
      <c r="U17" s="42"/>
      <c r="V17" s="42">
        <v>3429.6568789999988</v>
      </c>
      <c r="W17" s="42"/>
      <c r="X17" s="42">
        <v>2961.2366819999993</v>
      </c>
      <c r="Y17" s="42"/>
      <c r="Z17" s="42">
        <v>7464.629103999996</v>
      </c>
      <c r="AA17" s="42"/>
      <c r="AB17" s="42">
        <f>SUM(D17:Z17)</f>
        <v>54623.575958000016</v>
      </c>
      <c r="AC17" s="216"/>
      <c r="AD17" s="216"/>
      <c r="AE17" s="216"/>
      <c r="AF17" s="216"/>
      <c r="AG17" s="216"/>
      <c r="AH17" s="216"/>
      <c r="AI17" s="216"/>
    </row>
    <row r="18" spans="1:35" s="202" customFormat="1" ht="3.75" customHeight="1">
      <c r="A18" s="175"/>
      <c r="B18" s="148"/>
      <c r="C18" s="14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216"/>
      <c r="AD18" s="216"/>
      <c r="AE18" s="216"/>
      <c r="AF18" s="216"/>
      <c r="AG18" s="216"/>
      <c r="AH18" s="216"/>
      <c r="AI18" s="216"/>
    </row>
    <row r="19" spans="1:35" s="202" customFormat="1" ht="14.25">
      <c r="A19" s="175"/>
      <c r="B19" s="149" t="s">
        <v>40</v>
      </c>
      <c r="C19" s="136"/>
      <c r="D19" s="42">
        <v>-240.73913400000038</v>
      </c>
      <c r="E19" s="124"/>
      <c r="F19" s="42">
        <v>233.99911299999985</v>
      </c>
      <c r="G19" s="42"/>
      <c r="H19" s="42">
        <v>169.82721099999981</v>
      </c>
      <c r="I19" s="42"/>
      <c r="J19" s="42">
        <v>280.28482599999916</v>
      </c>
      <c r="K19" s="42"/>
      <c r="L19" s="42">
        <v>573.56055799999922</v>
      </c>
      <c r="M19" s="42"/>
      <c r="N19" s="42">
        <v>-26.943583000001126</v>
      </c>
      <c r="O19" s="42"/>
      <c r="P19" s="42">
        <v>-376.96163799999977</v>
      </c>
      <c r="Q19" s="42"/>
      <c r="R19" s="42">
        <v>156.82689300000038</v>
      </c>
      <c r="S19" s="42"/>
      <c r="T19" s="42">
        <v>73.01801499999965</v>
      </c>
      <c r="U19" s="42"/>
      <c r="V19" s="42">
        <v>899.33591100000012</v>
      </c>
      <c r="W19" s="42"/>
      <c r="X19" s="42">
        <v>-107.16954400000031</v>
      </c>
      <c r="Y19" s="42"/>
      <c r="Z19" s="42">
        <v>1022.7184019999986</v>
      </c>
      <c r="AA19" s="42"/>
      <c r="AB19" s="42">
        <f>SUM(D19:Z19)</f>
        <v>2657.7570299999952</v>
      </c>
      <c r="AC19" s="216"/>
      <c r="AD19" s="216"/>
      <c r="AE19" s="216"/>
      <c r="AF19" s="216"/>
      <c r="AG19" s="216"/>
      <c r="AH19" s="216"/>
      <c r="AI19" s="216"/>
    </row>
    <row r="20" spans="1:35" s="202" customFormat="1" ht="3.75" customHeight="1">
      <c r="A20" s="175"/>
      <c r="B20" s="150"/>
      <c r="C20" s="14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190"/>
      <c r="Q20" s="191"/>
      <c r="R20" s="192"/>
      <c r="S20" s="191"/>
      <c r="T20" s="192"/>
      <c r="U20" s="191"/>
      <c r="V20" s="192"/>
      <c r="W20" s="191"/>
      <c r="X20" s="192"/>
      <c r="Y20" s="191"/>
      <c r="Z20" s="192"/>
      <c r="AA20" s="53"/>
      <c r="AB20" s="188"/>
      <c r="AC20" s="216"/>
      <c r="AD20" s="216"/>
      <c r="AE20" s="216"/>
      <c r="AF20" s="216"/>
      <c r="AG20" s="216"/>
      <c r="AH20" s="216"/>
      <c r="AI20" s="216"/>
    </row>
    <row r="21" spans="1:35" s="202" customFormat="1" ht="14.25">
      <c r="A21" s="175"/>
      <c r="B21" s="209" t="s">
        <v>82</v>
      </c>
      <c r="C21" s="136"/>
      <c r="D21" s="42">
        <v>17774.301567999999</v>
      </c>
      <c r="E21" s="124"/>
      <c r="F21" s="42">
        <v>19543.612856</v>
      </c>
      <c r="G21" s="42"/>
      <c r="H21" s="42">
        <v>15444.303006</v>
      </c>
      <c r="I21" s="42"/>
      <c r="J21" s="42">
        <v>18356.158484</v>
      </c>
      <c r="K21" s="42"/>
      <c r="L21" s="42">
        <v>23773.484960000002</v>
      </c>
      <c r="M21" s="42"/>
      <c r="N21" s="42">
        <v>21797.553635</v>
      </c>
      <c r="O21" s="42"/>
      <c r="P21" s="42">
        <v>29170.540023000001</v>
      </c>
      <c r="Q21" s="42"/>
      <c r="R21" s="42">
        <v>30437.505080999999</v>
      </c>
      <c r="S21" s="42"/>
      <c r="T21" s="42">
        <v>22784.887289999999</v>
      </c>
      <c r="U21" s="42"/>
      <c r="V21" s="42">
        <v>27646.236656000001</v>
      </c>
      <c r="W21" s="42"/>
      <c r="X21" s="42">
        <v>19719.778199</v>
      </c>
      <c r="Y21" s="42"/>
      <c r="Z21" s="42">
        <v>17075.920257999998</v>
      </c>
      <c r="AA21" s="42"/>
      <c r="AB21" s="42">
        <f>SUM(D21:Z21)</f>
        <v>263524.28201600001</v>
      </c>
      <c r="AC21" s="216"/>
      <c r="AD21" s="216"/>
      <c r="AE21" s="216"/>
      <c r="AF21" s="216"/>
      <c r="AG21" s="216"/>
      <c r="AH21" s="216"/>
      <c r="AI21" s="216"/>
    </row>
    <row r="22" spans="1:35" ht="3.75" customHeight="1">
      <c r="B22" s="151"/>
      <c r="C22" s="143"/>
      <c r="D22" s="152"/>
      <c r="E22" s="143"/>
      <c r="F22" s="152"/>
      <c r="G22" s="143"/>
      <c r="H22" s="152"/>
      <c r="I22" s="143"/>
      <c r="J22" s="152"/>
      <c r="K22" s="143"/>
      <c r="L22" s="152"/>
      <c r="M22" s="143"/>
      <c r="N22" s="152"/>
      <c r="O22" s="143"/>
      <c r="P22" s="152"/>
      <c r="Q22" s="143"/>
      <c r="R22" s="152"/>
      <c r="S22" s="143"/>
      <c r="T22" s="152"/>
      <c r="U22" s="143"/>
      <c r="V22" s="152"/>
      <c r="W22" s="143"/>
      <c r="X22" s="152"/>
      <c r="Y22" s="143"/>
      <c r="Z22" s="152"/>
      <c r="AA22" s="143"/>
      <c r="AB22" s="189"/>
    </row>
    <row r="23" spans="1:35" s="203" customFormat="1" ht="14.25">
      <c r="A23" s="176"/>
      <c r="B23" s="153" t="s">
        <v>83</v>
      </c>
      <c r="C23" s="146"/>
      <c r="D23" s="45">
        <f>D8-D14-D19-D21</f>
        <v>77759.692920000001</v>
      </c>
      <c r="E23" s="45"/>
      <c r="F23" s="45">
        <f>F8-F14-F19-F21</f>
        <v>67313.480716999999</v>
      </c>
      <c r="G23" s="45"/>
      <c r="H23" s="45">
        <f>H8-H14-H19-H21</f>
        <v>119467.20750300001</v>
      </c>
      <c r="I23" s="45"/>
      <c r="J23" s="45">
        <f>J8-J14-J19-J21</f>
        <v>107495.655918</v>
      </c>
      <c r="K23" s="45"/>
      <c r="L23" s="45">
        <f>L8-L14-L19-L21</f>
        <v>87909.842850000001</v>
      </c>
      <c r="M23" s="45"/>
      <c r="N23" s="45">
        <f>N8-N14-N19-N21</f>
        <v>110771.29214900003</v>
      </c>
      <c r="O23" s="45"/>
      <c r="P23" s="45">
        <f>P8-P14-P19-P21</f>
        <v>99655.864407999994</v>
      </c>
      <c r="Q23" s="45"/>
      <c r="R23" s="45">
        <f>R8-R14-R19-R21</f>
        <v>123872.50114100003</v>
      </c>
      <c r="S23" s="45"/>
      <c r="T23" s="45">
        <f>T8-T14-T19-T21</f>
        <v>151086.22595300002</v>
      </c>
      <c r="U23" s="45"/>
      <c r="V23" s="147">
        <f>V8-V14-V19-V21</f>
        <v>144589.392116</v>
      </c>
      <c r="W23" s="45"/>
      <c r="X23" s="147">
        <f>X8-X14-X19-X21</f>
        <v>107945.79225300002</v>
      </c>
      <c r="Y23" s="45"/>
      <c r="Z23" s="147">
        <f>Z8-Z14-Z19-Z21</f>
        <v>75615.032664000013</v>
      </c>
      <c r="AA23" s="45"/>
      <c r="AB23" s="187">
        <f>AB8-AB14-AB19-AB21</f>
        <v>1273481.9805919998</v>
      </c>
      <c r="AC23" s="217"/>
      <c r="AD23" s="217"/>
      <c r="AE23" s="217"/>
      <c r="AF23" s="217"/>
      <c r="AG23" s="217"/>
      <c r="AH23" s="217"/>
      <c r="AI23" s="217"/>
    </row>
    <row r="24" spans="1:35" ht="3.75" customHeight="1">
      <c r="B24" s="151"/>
      <c r="C24" s="143"/>
      <c r="D24" s="28"/>
      <c r="E24" s="143"/>
      <c r="F24" s="152"/>
      <c r="G24" s="143"/>
      <c r="H24" s="152"/>
      <c r="I24" s="143"/>
      <c r="J24" s="152"/>
      <c r="K24" s="143"/>
      <c r="L24" s="152"/>
      <c r="M24" s="143"/>
      <c r="N24" s="152"/>
      <c r="O24" s="143"/>
      <c r="P24" s="152"/>
      <c r="Q24" s="143"/>
      <c r="R24" s="152"/>
      <c r="S24" s="143"/>
      <c r="T24" s="152"/>
      <c r="U24" s="143"/>
      <c r="V24" s="152"/>
      <c r="W24" s="143"/>
      <c r="X24" s="152"/>
      <c r="Y24" s="143"/>
      <c r="Z24" s="152"/>
      <c r="AA24" s="143"/>
      <c r="AB24" s="189"/>
    </row>
    <row r="25" spans="1:35" s="203" customFormat="1" ht="14.25">
      <c r="A25" s="176"/>
      <c r="B25" s="145" t="s">
        <v>84</v>
      </c>
      <c r="C25" s="146"/>
      <c r="D25" s="45">
        <f>+D27+D26</f>
        <v>2394.7642799999999</v>
      </c>
      <c r="E25" s="146"/>
      <c r="F25" s="45">
        <f>+F27+F26</f>
        <v>12428.494147999998</v>
      </c>
      <c r="G25" s="146"/>
      <c r="H25" s="45">
        <f>+H27+H26</f>
        <v>2549.6259259999997</v>
      </c>
      <c r="I25" s="146"/>
      <c r="J25" s="45">
        <f>+J27+J26</f>
        <v>4641.7212329999984</v>
      </c>
      <c r="K25" s="146"/>
      <c r="L25" s="45">
        <f>+L27+L26</f>
        <v>2124.8049460000002</v>
      </c>
      <c r="M25" s="146"/>
      <c r="N25" s="45">
        <f>+N27+N26</f>
        <v>4848.104701000002</v>
      </c>
      <c r="O25" s="146"/>
      <c r="P25" s="45">
        <f>+P27+P26</f>
        <v>2377.1131430000005</v>
      </c>
      <c r="Q25" s="146"/>
      <c r="R25" s="45">
        <f>+R27+R26</f>
        <v>7309.6661770000001</v>
      </c>
      <c r="S25" s="146"/>
      <c r="T25" s="45">
        <f>+T27+T26</f>
        <v>2530.9247080000005</v>
      </c>
      <c r="U25" s="146"/>
      <c r="V25" s="45">
        <f>+V27+V26</f>
        <v>2568.1221059999998</v>
      </c>
      <c r="W25" s="146"/>
      <c r="X25" s="45">
        <f>+X27+X26</f>
        <v>7893.2702309999995</v>
      </c>
      <c r="Y25" s="146"/>
      <c r="Z25" s="45">
        <f>+Z27+Z26</f>
        <v>52684.055113000017</v>
      </c>
      <c r="AA25" s="146"/>
      <c r="AB25" s="45">
        <f>+AB27+AB26</f>
        <v>104350.66671200001</v>
      </c>
      <c r="AC25" s="217"/>
      <c r="AD25" s="217"/>
      <c r="AE25" s="217"/>
      <c r="AF25" s="217"/>
      <c r="AG25" s="217"/>
      <c r="AH25" s="217"/>
      <c r="AI25" s="217"/>
    </row>
    <row r="26" spans="1:35" s="202" customFormat="1" ht="14.25">
      <c r="A26" s="175"/>
      <c r="B26" s="208" t="s">
        <v>86</v>
      </c>
      <c r="C26" s="136"/>
      <c r="D26" s="42">
        <v>942.98063300000001</v>
      </c>
      <c r="E26" s="124"/>
      <c r="F26" s="42">
        <v>10879.901515</v>
      </c>
      <c r="G26" s="42"/>
      <c r="H26" s="42">
        <v>1666.5069820000001</v>
      </c>
      <c r="I26" s="42"/>
      <c r="J26" s="42">
        <v>826.74833999999998</v>
      </c>
      <c r="K26" s="42"/>
      <c r="L26" s="42">
        <v>1238.966563</v>
      </c>
      <c r="M26" s="42"/>
      <c r="N26" s="42">
        <v>3729.6089740000002</v>
      </c>
      <c r="O26" s="42"/>
      <c r="P26" s="42">
        <v>975.81673599999999</v>
      </c>
      <c r="Q26" s="42"/>
      <c r="R26" s="42">
        <v>6013.8978459999998</v>
      </c>
      <c r="S26" s="42"/>
      <c r="T26" s="42">
        <v>1501.7569169999999</v>
      </c>
      <c r="U26" s="42"/>
      <c r="V26" s="42">
        <v>642.00131199999998</v>
      </c>
      <c r="W26" s="42"/>
      <c r="X26" s="42">
        <v>3595.2578210000001</v>
      </c>
      <c r="Y26" s="42"/>
      <c r="Z26" s="42">
        <v>14548.647832000001</v>
      </c>
      <c r="AA26" s="42"/>
      <c r="AB26" s="42">
        <f>SUM(D26:Z26)</f>
        <v>46562.091471</v>
      </c>
      <c r="AC26" s="216"/>
      <c r="AD26" s="216"/>
      <c r="AE26" s="216"/>
      <c r="AF26" s="216"/>
      <c r="AG26" s="216"/>
      <c r="AH26" s="216"/>
      <c r="AI26" s="216"/>
    </row>
    <row r="27" spans="1:35" s="202" customFormat="1" ht="14.25">
      <c r="A27" s="175"/>
      <c r="B27" s="138" t="s">
        <v>35</v>
      </c>
      <c r="C27" s="136"/>
      <c r="D27" s="42">
        <f>+D28+D29</f>
        <v>1451.7836469999997</v>
      </c>
      <c r="E27" s="124"/>
      <c r="F27" s="42">
        <f>+F28+F29</f>
        <v>1548.5926329999984</v>
      </c>
      <c r="G27" s="42"/>
      <c r="H27" s="42">
        <f>+H28+H29</f>
        <v>883.1189439999996</v>
      </c>
      <c r="I27" s="42"/>
      <c r="J27" s="42">
        <f>+J28+J29</f>
        <v>3814.9728929999983</v>
      </c>
      <c r="K27" s="42"/>
      <c r="L27" s="42">
        <f>+L28+L29</f>
        <v>885.83838300000025</v>
      </c>
      <c r="M27" s="42"/>
      <c r="N27" s="42">
        <f>+N28+N29</f>
        <v>1118.4957270000018</v>
      </c>
      <c r="O27" s="42"/>
      <c r="P27" s="42">
        <f>+P28+P29</f>
        <v>1401.2964070000005</v>
      </c>
      <c r="Q27" s="42"/>
      <c r="R27" s="42">
        <f>+R28+R29</f>
        <v>1295.7683310000002</v>
      </c>
      <c r="S27" s="42"/>
      <c r="T27" s="42">
        <f>+T28+T29</f>
        <v>1029.1677910000003</v>
      </c>
      <c r="U27" s="42"/>
      <c r="V27" s="42">
        <f>+V28+V29</f>
        <v>1926.1207939999999</v>
      </c>
      <c r="W27" s="42"/>
      <c r="X27" s="42">
        <f>+X28+X29</f>
        <v>4298.0124099999994</v>
      </c>
      <c r="Y27" s="42"/>
      <c r="Z27" s="42">
        <f>+Z28+Z29</f>
        <v>38135.407281000014</v>
      </c>
      <c r="AA27" s="139"/>
      <c r="AB27" s="42">
        <f>+AB28+AB29</f>
        <v>57788.575241000013</v>
      </c>
      <c r="AC27" s="216"/>
      <c r="AD27" s="216"/>
      <c r="AE27" s="216"/>
      <c r="AF27" s="216"/>
      <c r="AG27" s="216"/>
      <c r="AH27" s="216"/>
      <c r="AI27" s="216"/>
    </row>
    <row r="28" spans="1:35" s="202" customFormat="1" ht="14.25">
      <c r="A28" s="175"/>
      <c r="B28" s="193" t="s">
        <v>87</v>
      </c>
      <c r="C28" s="154"/>
      <c r="D28" s="42">
        <v>1451.7836469999997</v>
      </c>
      <c r="E28" s="124"/>
      <c r="F28" s="42">
        <v>1548.5926329999984</v>
      </c>
      <c r="G28" s="42"/>
      <c r="H28" s="42">
        <v>883.1189439999996</v>
      </c>
      <c r="I28" s="42"/>
      <c r="J28" s="42">
        <v>1008.7728929999985</v>
      </c>
      <c r="K28" s="42"/>
      <c r="L28" s="42">
        <v>885.83838300000025</v>
      </c>
      <c r="M28" s="42"/>
      <c r="N28" s="42">
        <v>1118.4957270000018</v>
      </c>
      <c r="O28" s="42"/>
      <c r="P28" s="42">
        <v>1401.2964070000005</v>
      </c>
      <c r="Q28" s="42"/>
      <c r="R28" s="42">
        <v>1295.7683310000002</v>
      </c>
      <c r="S28" s="42"/>
      <c r="T28" s="42">
        <v>1029.1677910000003</v>
      </c>
      <c r="U28" s="42"/>
      <c r="V28" s="42">
        <v>1926.1207939999999</v>
      </c>
      <c r="W28" s="42"/>
      <c r="X28" s="42">
        <v>2355.3124099999995</v>
      </c>
      <c r="Y28" s="42"/>
      <c r="Z28" s="42">
        <v>8535.5072810000129</v>
      </c>
      <c r="AA28" s="139"/>
      <c r="AB28" s="42">
        <f>SUM(D28:Z28)</f>
        <v>23439.77524100001</v>
      </c>
      <c r="AC28" s="216"/>
      <c r="AD28" s="216"/>
      <c r="AE28" s="216"/>
      <c r="AF28" s="216"/>
      <c r="AG28" s="216"/>
      <c r="AH28" s="216"/>
      <c r="AI28" s="216"/>
    </row>
    <row r="29" spans="1:35" s="202" customFormat="1" ht="14.25">
      <c r="A29" s="175"/>
      <c r="B29" s="140" t="s">
        <v>14</v>
      </c>
      <c r="C29" s="136"/>
      <c r="D29" s="42">
        <v>0</v>
      </c>
      <c r="E29" s="42"/>
      <c r="F29" s="42">
        <v>0</v>
      </c>
      <c r="G29" s="42"/>
      <c r="H29" s="42">
        <v>0</v>
      </c>
      <c r="I29" s="42"/>
      <c r="J29" s="42">
        <v>2806.2</v>
      </c>
      <c r="K29" s="42"/>
      <c r="L29" s="42">
        <v>0</v>
      </c>
      <c r="M29" s="42"/>
      <c r="N29" s="42">
        <v>0</v>
      </c>
      <c r="O29" s="42"/>
      <c r="P29" s="42">
        <v>0</v>
      </c>
      <c r="Q29" s="42"/>
      <c r="R29" s="42">
        <v>0</v>
      </c>
      <c r="S29" s="42"/>
      <c r="T29" s="42">
        <v>0</v>
      </c>
      <c r="U29" s="42"/>
      <c r="V29" s="42">
        <v>0</v>
      </c>
      <c r="W29" s="42"/>
      <c r="X29" s="42">
        <v>1942.7</v>
      </c>
      <c r="Y29" s="42"/>
      <c r="Z29" s="42">
        <v>29599.9</v>
      </c>
      <c r="AA29" s="139"/>
      <c r="AB29" s="42">
        <f>SUM(D29:Z29)</f>
        <v>34348.800000000003</v>
      </c>
      <c r="AC29" s="216"/>
      <c r="AD29" s="216"/>
      <c r="AE29" s="216"/>
      <c r="AF29" s="216"/>
      <c r="AG29" s="216"/>
      <c r="AH29" s="216"/>
      <c r="AI29" s="216"/>
    </row>
    <row r="30" spans="1:35" s="202" customFormat="1" ht="3.75" customHeight="1">
      <c r="A30" s="175"/>
      <c r="B30" s="148"/>
      <c r="C30" s="14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155"/>
      <c r="R30" s="53"/>
      <c r="S30" s="53"/>
      <c r="T30" s="53"/>
      <c r="U30" s="53"/>
      <c r="V30" s="144"/>
      <c r="W30" s="53"/>
      <c r="X30" s="144"/>
      <c r="Y30" s="53"/>
      <c r="Z30" s="144"/>
      <c r="AA30" s="53"/>
      <c r="AB30" s="188"/>
      <c r="AC30" s="216"/>
      <c r="AD30" s="216"/>
      <c r="AE30" s="216"/>
      <c r="AF30" s="216"/>
      <c r="AG30" s="216"/>
      <c r="AH30" s="216"/>
      <c r="AI30" s="216"/>
    </row>
    <row r="31" spans="1:35" s="202" customFormat="1" ht="14.25">
      <c r="A31" s="175"/>
      <c r="B31" s="149" t="s">
        <v>23</v>
      </c>
      <c r="C31" s="156"/>
      <c r="D31" s="42">
        <v>0</v>
      </c>
      <c r="E31" s="41"/>
      <c r="F31" s="42">
        <v>0</v>
      </c>
      <c r="G31" s="41"/>
      <c r="H31" s="42">
        <v>2806.2</v>
      </c>
      <c r="I31" s="41"/>
      <c r="J31" s="42">
        <v>0</v>
      </c>
      <c r="K31" s="41"/>
      <c r="L31" s="42">
        <v>0</v>
      </c>
      <c r="M31" s="41"/>
      <c r="N31" s="42">
        <v>0</v>
      </c>
      <c r="O31" s="41"/>
      <c r="P31" s="42">
        <v>0</v>
      </c>
      <c r="Q31" s="42"/>
      <c r="R31" s="42">
        <v>3039.1442000000002</v>
      </c>
      <c r="S31" s="42"/>
      <c r="T31" s="42">
        <v>0</v>
      </c>
      <c r="U31" s="42"/>
      <c r="V31" s="42">
        <v>0</v>
      </c>
      <c r="W31" s="42"/>
      <c r="X31" s="42">
        <v>0</v>
      </c>
      <c r="Y31" s="42"/>
      <c r="Z31" s="42">
        <v>29599.9</v>
      </c>
      <c r="AA31" s="41"/>
      <c r="AB31" s="42">
        <f>SUM(D31:Z31)</f>
        <v>35445.244200000001</v>
      </c>
      <c r="AC31" s="216"/>
      <c r="AD31" s="216"/>
      <c r="AE31" s="216"/>
      <c r="AF31" s="216"/>
      <c r="AG31" s="216"/>
      <c r="AH31" s="216"/>
      <c r="AI31" s="216"/>
    </row>
    <row r="32" spans="1:35" ht="3.75" customHeight="1">
      <c r="B32" s="151"/>
      <c r="C32" s="157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35" s="202" customFormat="1" ht="27">
      <c r="A33" s="175"/>
      <c r="B33" s="158" t="s">
        <v>46</v>
      </c>
      <c r="C33" s="159"/>
      <c r="D33" s="119">
        <f>D23-D25+D31</f>
        <v>75364.928639999998</v>
      </c>
      <c r="E33" s="119"/>
      <c r="F33" s="119">
        <f>F23-F25+F31</f>
        <v>54884.986569000001</v>
      </c>
      <c r="G33" s="119"/>
      <c r="H33" s="119">
        <f>H23-H25+H31</f>
        <v>119723.78157700002</v>
      </c>
      <c r="I33" s="119"/>
      <c r="J33" s="119">
        <f>J23-J25+J31</f>
        <v>102853.934685</v>
      </c>
      <c r="K33" s="119"/>
      <c r="L33" s="119">
        <f>L23-L25+L31</f>
        <v>85785.037903999997</v>
      </c>
      <c r="M33" s="119"/>
      <c r="N33" s="119">
        <f>N23-N25+N31</f>
        <v>105923.18744800003</v>
      </c>
      <c r="O33" s="119"/>
      <c r="P33" s="119">
        <f>P23-P25+P31</f>
        <v>97278.751264999999</v>
      </c>
      <c r="Q33" s="119"/>
      <c r="R33" s="119">
        <f>R23-R25+R31</f>
        <v>119601.97916400002</v>
      </c>
      <c r="S33" s="119"/>
      <c r="T33" s="119">
        <f>T23-T25+T31</f>
        <v>148555.30124500001</v>
      </c>
      <c r="U33" s="119"/>
      <c r="V33" s="119">
        <f>V23-V25+V31</f>
        <v>142021.27001000001</v>
      </c>
      <c r="W33" s="119"/>
      <c r="X33" s="119">
        <f>X23-X25+X31</f>
        <v>100052.52202200002</v>
      </c>
      <c r="Y33" s="119"/>
      <c r="Z33" s="119">
        <f>Z23-Z25+Z31</f>
        <v>52530.877550999998</v>
      </c>
      <c r="AA33" s="119"/>
      <c r="AB33" s="181">
        <f>AB23-AB25+AB31</f>
        <v>1204576.5580799999</v>
      </c>
      <c r="AC33" s="216"/>
      <c r="AD33" s="216"/>
      <c r="AE33" s="216"/>
      <c r="AF33" s="216"/>
      <c r="AG33" s="216"/>
      <c r="AH33" s="216"/>
      <c r="AI33" s="216"/>
    </row>
    <row r="34" spans="1:35" ht="3.75" customHeight="1">
      <c r="B34" s="151"/>
      <c r="C34" s="157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35" s="202" customFormat="1" ht="14.25">
      <c r="A35" s="175"/>
      <c r="B35" s="149" t="s">
        <v>18</v>
      </c>
      <c r="C35" s="136"/>
      <c r="D35" s="42">
        <v>67441.649310999986</v>
      </c>
      <c r="E35" s="124"/>
      <c r="F35" s="42">
        <v>69469.578737999997</v>
      </c>
      <c r="G35" s="42"/>
      <c r="H35" s="42">
        <v>148884.42065100002</v>
      </c>
      <c r="I35" s="42"/>
      <c r="J35" s="42">
        <v>99761.845885000002</v>
      </c>
      <c r="K35" s="42"/>
      <c r="L35" s="42">
        <v>76690.571079000001</v>
      </c>
      <c r="M35" s="42"/>
      <c r="N35" s="42">
        <v>90398.711112000019</v>
      </c>
      <c r="O35" s="42"/>
      <c r="P35" s="42">
        <v>97921.004362999985</v>
      </c>
      <c r="Q35" s="42"/>
      <c r="R35" s="42">
        <v>98396.899298999982</v>
      </c>
      <c r="S35" s="42"/>
      <c r="T35" s="42">
        <v>92683.006783999997</v>
      </c>
      <c r="U35" s="42"/>
      <c r="V35" s="139">
        <v>81517.707551999978</v>
      </c>
      <c r="W35" s="42"/>
      <c r="X35" s="139">
        <v>64439.312250999996</v>
      </c>
      <c r="Y35" s="42"/>
      <c r="Z35" s="125">
        <v>49223.075902000004</v>
      </c>
      <c r="AA35" s="42"/>
      <c r="AB35" s="42">
        <f>SUM(D35:Z35)</f>
        <v>1036827.7829269998</v>
      </c>
      <c r="AC35" s="216"/>
      <c r="AD35" s="216"/>
      <c r="AE35" s="216"/>
      <c r="AF35" s="216"/>
      <c r="AG35" s="216"/>
      <c r="AH35" s="216"/>
      <c r="AI35" s="216"/>
    </row>
    <row r="36" spans="1:35" ht="3.75" customHeight="1">
      <c r="B36" s="142"/>
      <c r="C36" s="14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155"/>
      <c r="R36" s="23"/>
      <c r="S36" s="23"/>
      <c r="T36" s="23"/>
      <c r="U36" s="23"/>
      <c r="V36" s="144"/>
      <c r="W36" s="23"/>
      <c r="X36" s="144"/>
      <c r="Y36" s="23"/>
      <c r="Z36" s="144"/>
      <c r="AA36" s="23"/>
      <c r="AB36" s="188"/>
    </row>
    <row r="37" spans="1:35" s="202" customFormat="1" ht="25.5">
      <c r="A37" s="175"/>
      <c r="B37" s="158" t="s">
        <v>36</v>
      </c>
      <c r="C37" s="160"/>
      <c r="D37" s="119">
        <f>D33-D35</f>
        <v>7923.2793290000118</v>
      </c>
      <c r="E37" s="119"/>
      <c r="F37" s="119">
        <f>F33-F35</f>
        <v>-14584.592168999996</v>
      </c>
      <c r="G37" s="119"/>
      <c r="H37" s="119">
        <f>H33-H35</f>
        <v>-29160.639074000006</v>
      </c>
      <c r="I37" s="119"/>
      <c r="J37" s="119">
        <f>J33-J35</f>
        <v>3092.0887999999977</v>
      </c>
      <c r="K37" s="119"/>
      <c r="L37" s="119">
        <f>L33-L35</f>
        <v>9094.4668249999959</v>
      </c>
      <c r="M37" s="119"/>
      <c r="N37" s="119">
        <f>N33-N35</f>
        <v>15524.476336000007</v>
      </c>
      <c r="O37" s="119"/>
      <c r="P37" s="119">
        <f>P33-P35</f>
        <v>-642.25309799998649</v>
      </c>
      <c r="Q37" s="119"/>
      <c r="R37" s="119">
        <f>R33-R35</f>
        <v>21205.079865000036</v>
      </c>
      <c r="S37" s="119"/>
      <c r="T37" s="119">
        <f>T33-T35</f>
        <v>55872.294461000012</v>
      </c>
      <c r="U37" s="119"/>
      <c r="V37" s="119">
        <f>V33-V35</f>
        <v>60503.562458000029</v>
      </c>
      <c r="W37" s="119"/>
      <c r="X37" s="119">
        <f>X33-X35</f>
        <v>35613.209771000023</v>
      </c>
      <c r="Y37" s="119"/>
      <c r="Z37" s="119">
        <f>Z33-Z35</f>
        <v>3307.8016489999936</v>
      </c>
      <c r="AA37" s="119"/>
      <c r="AB37" s="181">
        <f>AB33-AB35</f>
        <v>167748.77515300002</v>
      </c>
      <c r="AC37" s="216"/>
      <c r="AD37" s="216"/>
      <c r="AE37" s="216"/>
      <c r="AF37" s="216"/>
      <c r="AG37" s="216"/>
      <c r="AH37" s="216"/>
      <c r="AI37" s="216"/>
    </row>
    <row r="38" spans="1:35" ht="3.75" customHeight="1"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</row>
    <row r="39" spans="1:35" s="202" customFormat="1" ht="12.75" customHeight="1">
      <c r="A39" s="175"/>
      <c r="B39" s="209" t="s">
        <v>55</v>
      </c>
      <c r="C39" s="136"/>
      <c r="D39" s="42">
        <f>D40+D43</f>
        <v>518.54002299999991</v>
      </c>
      <c r="E39" s="136"/>
      <c r="F39" s="42">
        <f>F40+F43</f>
        <v>2015.7301690000004</v>
      </c>
      <c r="G39" s="136"/>
      <c r="H39" s="42">
        <f>H40+H43</f>
        <v>-1727.4581280000002</v>
      </c>
      <c r="I39" s="136"/>
      <c r="J39" s="42">
        <f>J40+J43</f>
        <v>1735.4196470000002</v>
      </c>
      <c r="K39" s="136"/>
      <c r="L39" s="42">
        <f>L40+L43</f>
        <v>568.61068699999976</v>
      </c>
      <c r="M39" s="136"/>
      <c r="N39" s="42">
        <f>N40+N43</f>
        <v>1173.5315030000002</v>
      </c>
      <c r="O39" s="136"/>
      <c r="P39" s="42">
        <f>P40+P43</f>
        <v>995.70713899999998</v>
      </c>
      <c r="Q39" s="136"/>
      <c r="R39" s="42">
        <f>R40+R43</f>
        <v>3518.565098</v>
      </c>
      <c r="S39" s="136"/>
      <c r="T39" s="42">
        <f>T40+T43</f>
        <v>1262.6344279999998</v>
      </c>
      <c r="U39" s="136"/>
      <c r="V39" s="42">
        <f>V40+V43</f>
        <v>1492.6530560000001</v>
      </c>
      <c r="W39" s="136"/>
      <c r="X39" s="42">
        <f>X40+X43</f>
        <v>5431.7650460000004</v>
      </c>
      <c r="Y39" s="136"/>
      <c r="Z39" s="42">
        <f>Z40+Z43</f>
        <v>5973.9731219999994</v>
      </c>
      <c r="AA39" s="136"/>
      <c r="AB39" s="42">
        <f>AB40+AB43</f>
        <v>22959.67179</v>
      </c>
      <c r="AC39" s="216"/>
      <c r="AD39" s="216"/>
      <c r="AE39" s="216"/>
      <c r="AF39" s="216"/>
      <c r="AG39" s="216"/>
      <c r="AH39" s="216"/>
      <c r="AI39" s="216"/>
    </row>
    <row r="40" spans="1:35" s="202" customFormat="1" ht="12.75" customHeight="1">
      <c r="A40" s="175"/>
      <c r="B40" s="138" t="s">
        <v>20</v>
      </c>
      <c r="C40" s="136"/>
      <c r="D40" s="42">
        <f>D41+D42</f>
        <v>-114.29879600000004</v>
      </c>
      <c r="E40" s="42"/>
      <c r="F40" s="42">
        <f>F41+F42</f>
        <v>-106.24673600000006</v>
      </c>
      <c r="G40" s="42"/>
      <c r="H40" s="42">
        <f>H41+H42</f>
        <v>-3746.6494540000003</v>
      </c>
      <c r="I40" s="42"/>
      <c r="J40" s="42">
        <f>J41+J42</f>
        <v>396.47752500000001</v>
      </c>
      <c r="K40" s="42"/>
      <c r="L40" s="42">
        <f>L41+L42</f>
        <v>-418.72530900000015</v>
      </c>
      <c r="M40" s="42"/>
      <c r="N40" s="42">
        <f>N41+N42</f>
        <v>-2593.6139149999999</v>
      </c>
      <c r="O40" s="42"/>
      <c r="P40" s="42">
        <f>P41+P42</f>
        <v>662.00171599999999</v>
      </c>
      <c r="Q40" s="42"/>
      <c r="R40" s="42">
        <f>R41+R42</f>
        <v>790.705468</v>
      </c>
      <c r="S40" s="42"/>
      <c r="T40" s="42">
        <f>T41+T42</f>
        <v>-2432.2184459999999</v>
      </c>
      <c r="U40" s="42"/>
      <c r="V40" s="139">
        <f>V41+V42</f>
        <v>844.28600800000004</v>
      </c>
      <c r="W40" s="42"/>
      <c r="X40" s="139">
        <f>X41+X42</f>
        <v>2038.7412860000004</v>
      </c>
      <c r="Y40" s="42"/>
      <c r="Z40" s="42">
        <f>Z41+Z42</f>
        <v>-3823.6690860000003</v>
      </c>
      <c r="AA40" s="139"/>
      <c r="AB40" s="42">
        <f>+AB41+AB42</f>
        <v>-8503.2097389999999</v>
      </c>
      <c r="AC40" s="216"/>
      <c r="AD40" s="216"/>
      <c r="AE40" s="216"/>
      <c r="AF40" s="216"/>
      <c r="AG40" s="216"/>
      <c r="AH40" s="216"/>
      <c r="AI40" s="216"/>
    </row>
    <row r="41" spans="1:35" s="202" customFormat="1" ht="12.75" customHeight="1">
      <c r="A41" s="175"/>
      <c r="B41" s="193" t="s">
        <v>56</v>
      </c>
      <c r="C41" s="136"/>
      <c r="D41" s="42">
        <v>-114.29879600000004</v>
      </c>
      <c r="E41" s="42"/>
      <c r="F41" s="42">
        <v>-106.24673600000006</v>
      </c>
      <c r="G41" s="42"/>
      <c r="H41" s="42">
        <v>-3746.6494540000003</v>
      </c>
      <c r="I41" s="42"/>
      <c r="J41" s="42">
        <v>396.47752500000001</v>
      </c>
      <c r="K41" s="42"/>
      <c r="L41" s="42">
        <v>-418.72530900000015</v>
      </c>
      <c r="M41" s="42"/>
      <c r="N41" s="42">
        <v>-2593.6139149999999</v>
      </c>
      <c r="O41" s="42"/>
      <c r="P41" s="42">
        <v>662.00171599999999</v>
      </c>
      <c r="Q41" s="42"/>
      <c r="R41" s="42">
        <v>790.705468</v>
      </c>
      <c r="S41" s="42"/>
      <c r="T41" s="42">
        <v>-2432.2184459999999</v>
      </c>
      <c r="U41" s="42"/>
      <c r="V41" s="42">
        <v>844.28600800000004</v>
      </c>
      <c r="W41" s="42"/>
      <c r="X41" s="42">
        <v>2038.7412860000004</v>
      </c>
      <c r="Y41" s="42"/>
      <c r="Z41" s="42">
        <v>-3823.6690860000003</v>
      </c>
      <c r="AA41" s="42"/>
      <c r="AB41" s="42">
        <f>SUM(D41:Z41)</f>
        <v>-8503.2097389999999</v>
      </c>
      <c r="AC41" s="216"/>
      <c r="AD41" s="216"/>
      <c r="AE41" s="216"/>
      <c r="AF41" s="216"/>
      <c r="AG41" s="216"/>
      <c r="AH41" s="216"/>
      <c r="AI41" s="216"/>
    </row>
    <row r="42" spans="1:35" s="202" customFormat="1" ht="12.75" customHeight="1">
      <c r="A42" s="175"/>
      <c r="B42" s="161" t="s">
        <v>21</v>
      </c>
      <c r="C42" s="136"/>
      <c r="D42" s="42">
        <v>0</v>
      </c>
      <c r="E42" s="124"/>
      <c r="F42" s="42">
        <v>0</v>
      </c>
      <c r="G42" s="42"/>
      <c r="H42" s="42">
        <v>0</v>
      </c>
      <c r="I42" s="42"/>
      <c r="J42" s="42">
        <v>0</v>
      </c>
      <c r="K42" s="42"/>
      <c r="L42" s="42">
        <v>0</v>
      </c>
      <c r="M42" s="42"/>
      <c r="N42" s="42">
        <v>0</v>
      </c>
      <c r="O42" s="42"/>
      <c r="P42" s="42">
        <v>0</v>
      </c>
      <c r="Q42" s="42"/>
      <c r="R42" s="42">
        <v>0</v>
      </c>
      <c r="S42" s="42"/>
      <c r="T42" s="42">
        <v>0</v>
      </c>
      <c r="U42" s="42"/>
      <c r="V42" s="42">
        <v>0</v>
      </c>
      <c r="W42" s="42"/>
      <c r="X42" s="42">
        <v>0</v>
      </c>
      <c r="Y42" s="42"/>
      <c r="Z42" s="42">
        <v>0</v>
      </c>
      <c r="AA42" s="139"/>
      <c r="AB42" s="42">
        <f>SUM(D42:Z42)</f>
        <v>0</v>
      </c>
      <c r="AC42" s="216"/>
      <c r="AD42" s="216"/>
      <c r="AE42" s="216"/>
      <c r="AF42" s="216"/>
      <c r="AG42" s="216"/>
      <c r="AH42" s="216"/>
      <c r="AI42" s="216"/>
    </row>
    <row r="43" spans="1:35" s="202" customFormat="1" ht="12.75" customHeight="1">
      <c r="A43" s="175"/>
      <c r="B43" s="138" t="s">
        <v>22</v>
      </c>
      <c r="C43" s="136"/>
      <c r="D43" s="42">
        <v>632.83881899999994</v>
      </c>
      <c r="E43" s="124"/>
      <c r="F43" s="42">
        <v>2121.9769050000004</v>
      </c>
      <c r="G43" s="42"/>
      <c r="H43" s="42">
        <v>2019.1913260000001</v>
      </c>
      <c r="I43" s="42"/>
      <c r="J43" s="42">
        <v>1338.9421220000002</v>
      </c>
      <c r="K43" s="42"/>
      <c r="L43" s="42">
        <v>987.33599599999991</v>
      </c>
      <c r="M43" s="42"/>
      <c r="N43" s="42">
        <v>3767.1454180000001</v>
      </c>
      <c r="O43" s="42"/>
      <c r="P43" s="42">
        <v>333.705423</v>
      </c>
      <c r="Q43" s="42"/>
      <c r="R43" s="42">
        <v>2727.8596299999999</v>
      </c>
      <c r="S43" s="42"/>
      <c r="T43" s="42">
        <v>3694.8528739999997</v>
      </c>
      <c r="U43" s="42"/>
      <c r="V43" s="139">
        <v>648.36704799999995</v>
      </c>
      <c r="W43" s="42"/>
      <c r="X43" s="139">
        <v>3393.0237600000005</v>
      </c>
      <c r="Y43" s="42"/>
      <c r="Z43" s="139">
        <v>9797.6422079999993</v>
      </c>
      <c r="AA43" s="139"/>
      <c r="AB43" s="42">
        <f>SUM(D43:Z43)</f>
        <v>31462.881528999998</v>
      </c>
      <c r="AC43" s="216"/>
      <c r="AD43" s="216"/>
      <c r="AE43" s="216"/>
      <c r="AF43" s="216"/>
      <c r="AG43" s="216"/>
      <c r="AH43" s="216"/>
      <c r="AI43" s="216"/>
    </row>
    <row r="44" spans="1:35" ht="3.75" customHeight="1"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</row>
    <row r="45" spans="1:35" s="202" customFormat="1" ht="12.75" customHeight="1">
      <c r="A45" s="175"/>
      <c r="B45" s="162" t="s">
        <v>37</v>
      </c>
      <c r="C45" s="159"/>
      <c r="D45" s="48">
        <f>D37-D39</f>
        <v>7404.7393060000122</v>
      </c>
      <c r="E45" s="159"/>
      <c r="F45" s="48">
        <f>F37-F39</f>
        <v>-16600.322337999998</v>
      </c>
      <c r="G45" s="159"/>
      <c r="H45" s="48">
        <f>H37-H39</f>
        <v>-27433.180946000008</v>
      </c>
      <c r="I45" s="159"/>
      <c r="J45" s="48">
        <f>J37-J39</f>
        <v>1356.6691529999976</v>
      </c>
      <c r="K45" s="159"/>
      <c r="L45" s="48">
        <f>L37-L39</f>
        <v>8525.8561379999956</v>
      </c>
      <c r="M45" s="159"/>
      <c r="N45" s="48">
        <f>N37-N39</f>
        <v>14350.944833000007</v>
      </c>
      <c r="O45" s="159"/>
      <c r="P45" s="48">
        <f>P37-P39</f>
        <v>-1637.9602369999866</v>
      </c>
      <c r="Q45" s="159"/>
      <c r="R45" s="48">
        <f>R37-R39</f>
        <v>17686.514767000037</v>
      </c>
      <c r="S45" s="159"/>
      <c r="T45" s="48">
        <f>T37-T39</f>
        <v>54609.660033000015</v>
      </c>
      <c r="U45" s="159"/>
      <c r="V45" s="48">
        <f>V37-V39</f>
        <v>59010.909402000027</v>
      </c>
      <c r="W45" s="159"/>
      <c r="X45" s="48">
        <f>X37-X39</f>
        <v>30181.444725000023</v>
      </c>
      <c r="Y45" s="159"/>
      <c r="Z45" s="48">
        <f>Z37-Z39</f>
        <v>-2666.1714730000058</v>
      </c>
      <c r="AA45" s="159"/>
      <c r="AB45" s="48">
        <f>AB37-AB39</f>
        <v>144789.10336300003</v>
      </c>
      <c r="AC45" s="211"/>
      <c r="AD45" s="211"/>
      <c r="AE45" s="163"/>
      <c r="AF45" s="211"/>
      <c r="AG45" s="216"/>
      <c r="AH45" s="216"/>
      <c r="AI45" s="216"/>
    </row>
    <row r="46" spans="1:35" ht="3.75" customHeight="1">
      <c r="B46" s="164"/>
      <c r="C46" s="157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2"/>
      <c r="AD46" s="212"/>
      <c r="AE46" s="165"/>
      <c r="AF46" s="212"/>
    </row>
    <row r="47" spans="1:35" ht="14.25" customHeight="1">
      <c r="A47" s="177"/>
      <c r="B47" s="476" t="s">
        <v>41</v>
      </c>
      <c r="C47" s="476"/>
      <c r="D47" s="476"/>
      <c r="E47" s="476"/>
      <c r="F47" s="476"/>
      <c r="G47" s="476"/>
      <c r="H47" s="476"/>
      <c r="I47" s="476"/>
      <c r="J47" s="476"/>
      <c r="K47" s="476"/>
      <c r="L47" s="476"/>
      <c r="M47" s="476"/>
      <c r="N47" s="476"/>
      <c r="O47" s="476"/>
      <c r="P47" s="476"/>
      <c r="Q47" s="476"/>
      <c r="R47" s="476"/>
      <c r="S47" s="476"/>
      <c r="T47" s="476"/>
      <c r="U47" s="476"/>
      <c r="V47" s="476"/>
      <c r="W47" s="476"/>
      <c r="X47" s="476"/>
      <c r="Y47" s="476"/>
      <c r="Z47" s="476"/>
      <c r="AA47" s="476"/>
      <c r="AB47" s="476"/>
      <c r="AC47" s="212"/>
      <c r="AD47" s="212"/>
      <c r="AE47" s="165"/>
      <c r="AF47" s="212"/>
    </row>
    <row r="48" spans="1:35" ht="14.25" customHeight="1">
      <c r="A48" s="177"/>
      <c r="B48" s="476" t="s">
        <v>88</v>
      </c>
      <c r="C48" s="476"/>
      <c r="D48" s="476"/>
      <c r="E48" s="476"/>
      <c r="F48" s="476"/>
      <c r="G48" s="476"/>
      <c r="H48" s="476"/>
      <c r="I48" s="476"/>
      <c r="J48" s="476"/>
      <c r="K48" s="476"/>
      <c r="L48" s="476"/>
      <c r="M48" s="476"/>
      <c r="N48" s="476"/>
      <c r="O48" s="476"/>
      <c r="P48" s="476"/>
      <c r="Q48" s="476"/>
      <c r="R48" s="476"/>
      <c r="S48" s="476"/>
      <c r="T48" s="476"/>
      <c r="U48" s="476"/>
      <c r="V48" s="476"/>
      <c r="W48" s="476"/>
      <c r="X48" s="476"/>
      <c r="Y48" s="476"/>
      <c r="Z48" s="476"/>
      <c r="AA48" s="476"/>
      <c r="AB48" s="476"/>
      <c r="AC48" s="212"/>
      <c r="AD48" s="212"/>
      <c r="AE48" s="165"/>
      <c r="AF48" s="212"/>
    </row>
    <row r="49" spans="1:32" ht="14.25" customHeight="1">
      <c r="A49" s="177"/>
      <c r="B49" s="476" t="s">
        <v>89</v>
      </c>
      <c r="C49" s="476"/>
      <c r="D49" s="476"/>
      <c r="E49" s="476"/>
      <c r="F49" s="476"/>
      <c r="G49" s="476"/>
      <c r="H49" s="476"/>
      <c r="I49" s="476"/>
      <c r="J49" s="476"/>
      <c r="K49" s="476"/>
      <c r="L49" s="476"/>
      <c r="M49" s="476"/>
      <c r="N49" s="476"/>
      <c r="O49" s="476"/>
      <c r="P49" s="476"/>
      <c r="Q49" s="476"/>
      <c r="R49" s="476"/>
      <c r="S49" s="476"/>
      <c r="T49" s="476"/>
      <c r="U49" s="476"/>
      <c r="V49" s="476"/>
      <c r="W49" s="476"/>
      <c r="X49" s="476"/>
      <c r="Y49" s="476"/>
      <c r="Z49" s="476"/>
      <c r="AA49" s="476"/>
      <c r="AB49" s="476"/>
      <c r="AC49" s="212"/>
      <c r="AD49" s="212"/>
      <c r="AE49" s="165"/>
      <c r="AF49" s="212"/>
    </row>
    <row r="50" spans="1:32" ht="14.25" customHeight="1">
      <c r="A50" s="177"/>
      <c r="B50" s="476" t="s">
        <v>90</v>
      </c>
      <c r="C50" s="476"/>
      <c r="D50" s="476"/>
      <c r="E50" s="476"/>
      <c r="F50" s="476"/>
      <c r="G50" s="476"/>
      <c r="H50" s="476"/>
      <c r="I50" s="476"/>
      <c r="J50" s="476"/>
      <c r="K50" s="476"/>
      <c r="L50" s="476"/>
      <c r="M50" s="476"/>
      <c r="N50" s="476"/>
      <c r="O50" s="476"/>
      <c r="P50" s="476"/>
      <c r="Q50" s="476"/>
      <c r="R50" s="476"/>
      <c r="S50" s="476"/>
      <c r="T50" s="476"/>
      <c r="U50" s="476"/>
      <c r="V50" s="476"/>
      <c r="W50" s="476"/>
      <c r="X50" s="476"/>
      <c r="Y50" s="476"/>
      <c r="Z50" s="476"/>
      <c r="AA50" s="476"/>
      <c r="AB50" s="476"/>
      <c r="AC50" s="212"/>
      <c r="AD50" s="212"/>
      <c r="AE50" s="165"/>
      <c r="AF50" s="212"/>
    </row>
    <row r="51" spans="1:32" ht="14.25" customHeight="1">
      <c r="A51" s="177"/>
      <c r="B51" s="476" t="s">
        <v>91</v>
      </c>
      <c r="C51" s="476"/>
      <c r="D51" s="476"/>
      <c r="E51" s="476"/>
      <c r="F51" s="476"/>
      <c r="G51" s="476"/>
      <c r="H51" s="476"/>
      <c r="I51" s="476"/>
      <c r="J51" s="476"/>
      <c r="K51" s="476"/>
      <c r="L51" s="476"/>
      <c r="M51" s="476"/>
      <c r="N51" s="476"/>
      <c r="O51" s="476"/>
      <c r="P51" s="476"/>
      <c r="Q51" s="476"/>
      <c r="R51" s="476"/>
      <c r="S51" s="476"/>
      <c r="T51" s="476"/>
      <c r="U51" s="476"/>
      <c r="V51" s="476"/>
      <c r="W51" s="476"/>
      <c r="X51" s="476"/>
      <c r="Y51" s="476"/>
      <c r="Z51" s="476"/>
      <c r="AA51" s="476"/>
      <c r="AB51" s="476"/>
      <c r="AC51" s="212"/>
      <c r="AD51" s="212"/>
      <c r="AE51" s="165"/>
      <c r="AF51" s="212"/>
    </row>
    <row r="52" spans="1:32" ht="14.25" customHeight="1">
      <c r="A52" s="177"/>
      <c r="B52" s="476" t="s">
        <v>92</v>
      </c>
      <c r="C52" s="476"/>
      <c r="D52" s="476"/>
      <c r="E52" s="476"/>
      <c r="F52" s="476"/>
      <c r="G52" s="476"/>
      <c r="H52" s="476"/>
      <c r="I52" s="476"/>
      <c r="J52" s="476"/>
      <c r="K52" s="476"/>
      <c r="L52" s="476"/>
      <c r="M52" s="476"/>
      <c r="N52" s="476"/>
      <c r="O52" s="476"/>
      <c r="P52" s="476"/>
      <c r="Q52" s="476"/>
      <c r="R52" s="476"/>
      <c r="S52" s="476"/>
      <c r="T52" s="476"/>
      <c r="U52" s="476"/>
      <c r="V52" s="476"/>
      <c r="W52" s="476"/>
      <c r="X52" s="476"/>
      <c r="Y52" s="476"/>
      <c r="Z52" s="476"/>
      <c r="AA52" s="476"/>
      <c r="AB52" s="476"/>
      <c r="AC52" s="212"/>
      <c r="AD52" s="212"/>
      <c r="AE52" s="165"/>
      <c r="AF52" s="212"/>
    </row>
    <row r="53" spans="1:32" ht="14.25" customHeight="1">
      <c r="A53" s="177"/>
      <c r="B53" s="476" t="s">
        <v>93</v>
      </c>
      <c r="C53" s="476"/>
      <c r="D53" s="476"/>
      <c r="E53" s="476"/>
      <c r="F53" s="476"/>
      <c r="G53" s="476"/>
      <c r="H53" s="476"/>
      <c r="I53" s="476"/>
      <c r="J53" s="476"/>
      <c r="K53" s="476"/>
      <c r="L53" s="476"/>
      <c r="M53" s="476"/>
      <c r="N53" s="476"/>
      <c r="O53" s="476"/>
      <c r="P53" s="476"/>
      <c r="Q53" s="476"/>
      <c r="R53" s="476"/>
      <c r="S53" s="476"/>
      <c r="T53" s="476"/>
      <c r="U53" s="476"/>
      <c r="V53" s="476"/>
      <c r="W53" s="476"/>
      <c r="X53" s="476"/>
      <c r="Y53" s="476"/>
      <c r="Z53" s="476"/>
      <c r="AA53" s="476"/>
      <c r="AB53" s="476"/>
      <c r="AC53" s="212"/>
      <c r="AD53" s="212"/>
      <c r="AE53" s="165"/>
      <c r="AF53" s="212"/>
    </row>
    <row r="54" spans="1:32" ht="14.25" customHeight="1">
      <c r="A54" s="177"/>
      <c r="B54" s="476" t="s">
        <v>94</v>
      </c>
      <c r="C54" s="476"/>
      <c r="D54" s="476"/>
      <c r="E54" s="476"/>
      <c r="F54" s="476"/>
      <c r="G54" s="476"/>
      <c r="H54" s="476"/>
      <c r="I54" s="476"/>
      <c r="J54" s="476"/>
      <c r="K54" s="476"/>
      <c r="L54" s="476"/>
      <c r="M54" s="476"/>
      <c r="N54" s="476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  <c r="AA54" s="476"/>
      <c r="AB54" s="476"/>
      <c r="AC54" s="212"/>
      <c r="AD54" s="212"/>
      <c r="AE54" s="165"/>
      <c r="AF54" s="212"/>
    </row>
    <row r="55" spans="1:32" ht="14.25" customHeight="1">
      <c r="A55" s="177"/>
      <c r="B55" s="476" t="s">
        <v>95</v>
      </c>
      <c r="C55" s="476"/>
      <c r="D55" s="476"/>
      <c r="E55" s="476"/>
      <c r="F55" s="476"/>
      <c r="G55" s="476"/>
      <c r="H55" s="476"/>
      <c r="I55" s="476"/>
      <c r="J55" s="476"/>
      <c r="K55" s="476"/>
      <c r="L55" s="476"/>
      <c r="M55" s="476"/>
      <c r="N55" s="476"/>
      <c r="O55" s="476"/>
      <c r="P55" s="476"/>
      <c r="Q55" s="476"/>
      <c r="R55" s="476"/>
      <c r="S55" s="476"/>
      <c r="T55" s="476"/>
      <c r="U55" s="476"/>
      <c r="V55" s="476"/>
      <c r="W55" s="476"/>
      <c r="X55" s="476"/>
      <c r="Y55" s="476"/>
      <c r="Z55" s="476"/>
      <c r="AA55" s="476"/>
      <c r="AB55" s="476"/>
      <c r="AC55" s="212"/>
      <c r="AD55" s="212"/>
      <c r="AE55" s="165"/>
      <c r="AF55" s="212"/>
    </row>
    <row r="56" spans="1:32" ht="14.25" customHeight="1">
      <c r="A56" s="177"/>
      <c r="B56" s="476" t="s">
        <v>96</v>
      </c>
      <c r="C56" s="476"/>
      <c r="D56" s="476"/>
      <c r="E56" s="476"/>
      <c r="F56" s="476"/>
      <c r="G56" s="476"/>
      <c r="H56" s="476"/>
      <c r="I56" s="476"/>
      <c r="J56" s="476"/>
      <c r="K56" s="476"/>
      <c r="L56" s="476"/>
      <c r="M56" s="476"/>
      <c r="N56" s="476"/>
      <c r="O56" s="476"/>
      <c r="P56" s="476"/>
      <c r="Q56" s="476"/>
      <c r="R56" s="476"/>
      <c r="S56" s="476"/>
      <c r="T56" s="476"/>
      <c r="U56" s="476"/>
      <c r="V56" s="476"/>
      <c r="W56" s="476"/>
      <c r="X56" s="476"/>
      <c r="Y56" s="476"/>
      <c r="Z56" s="476"/>
      <c r="AA56" s="476"/>
      <c r="AB56" s="476"/>
      <c r="AC56" s="212"/>
      <c r="AD56" s="212"/>
      <c r="AE56" s="165"/>
      <c r="AF56" s="212"/>
    </row>
    <row r="57" spans="1:32" ht="14.25" customHeight="1">
      <c r="A57" s="177"/>
      <c r="B57" s="476" t="s">
        <v>97</v>
      </c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212"/>
      <c r="AD57" s="212"/>
      <c r="AE57" s="165"/>
      <c r="AF57" s="212"/>
    </row>
    <row r="58" spans="1:32" ht="14.25" customHeight="1">
      <c r="A58" s="177"/>
      <c r="B58" s="464" t="s">
        <v>68</v>
      </c>
      <c r="C58" s="464"/>
      <c r="D58" s="464"/>
      <c r="E58" s="464"/>
      <c r="F58" s="464"/>
      <c r="G58" s="464"/>
      <c r="H58" s="464"/>
      <c r="I58" s="464"/>
      <c r="J58" s="464"/>
      <c r="K58" s="464"/>
      <c r="L58" s="464"/>
      <c r="M58" s="464"/>
      <c r="N58" s="464"/>
      <c r="O58" s="464"/>
      <c r="P58" s="464"/>
      <c r="Q58" s="464"/>
      <c r="R58" s="464"/>
      <c r="S58" s="464"/>
      <c r="T58" s="464"/>
      <c r="U58" s="464"/>
      <c r="V58" s="464"/>
      <c r="W58" s="464"/>
      <c r="X58" s="464"/>
      <c r="Y58" s="464"/>
      <c r="Z58" s="464"/>
      <c r="AA58" s="464"/>
      <c r="AB58" s="464"/>
      <c r="AC58" s="212"/>
      <c r="AD58" s="212"/>
      <c r="AE58" s="165"/>
      <c r="AF58" s="212"/>
    </row>
    <row r="59" spans="1:32" ht="14.25" customHeight="1">
      <c r="A59" s="177"/>
      <c r="B59" s="464" t="s">
        <v>3</v>
      </c>
      <c r="C59" s="464"/>
      <c r="D59" s="464"/>
      <c r="E59" s="464"/>
      <c r="F59" s="464"/>
      <c r="G59" s="464"/>
      <c r="H59" s="464"/>
      <c r="I59" s="464"/>
      <c r="J59" s="464"/>
      <c r="K59" s="464"/>
      <c r="L59" s="464"/>
      <c r="M59" s="464"/>
      <c r="N59" s="464"/>
      <c r="O59" s="464"/>
      <c r="P59" s="464"/>
      <c r="Q59" s="464"/>
      <c r="R59" s="464"/>
      <c r="S59" s="464"/>
      <c r="T59" s="464"/>
      <c r="U59" s="464"/>
      <c r="V59" s="464"/>
      <c r="W59" s="464"/>
      <c r="X59" s="464"/>
      <c r="Y59" s="464"/>
      <c r="Z59" s="464"/>
      <c r="AA59" s="464"/>
      <c r="AB59" s="464"/>
      <c r="AC59" s="212"/>
      <c r="AD59" s="212"/>
      <c r="AE59" s="165"/>
      <c r="AF59" s="212"/>
    </row>
    <row r="60" spans="1:32" ht="13.5" customHeight="1">
      <c r="B60" s="166"/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7"/>
      <c r="N60" s="166"/>
      <c r="O60" s="166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9"/>
      <c r="AD60" s="169"/>
      <c r="AE60" s="169"/>
      <c r="AF60" s="169"/>
    </row>
    <row r="61" spans="1:32" ht="20.25">
      <c r="B61" s="501" t="s">
        <v>32</v>
      </c>
      <c r="C61" s="501"/>
      <c r="D61" s="501"/>
      <c r="E61" s="501"/>
      <c r="F61" s="501"/>
      <c r="G61" s="501"/>
      <c r="H61" s="501"/>
      <c r="I61" s="501"/>
      <c r="J61" s="501"/>
      <c r="K61" s="501"/>
      <c r="L61" s="501"/>
      <c r="M61" s="501"/>
      <c r="N61" s="501"/>
      <c r="O61" s="501"/>
      <c r="P61" s="501"/>
      <c r="Q61" s="501"/>
      <c r="R61" s="501"/>
      <c r="S61" s="501"/>
      <c r="T61" s="501"/>
      <c r="U61" s="501"/>
      <c r="V61" s="501"/>
      <c r="W61" s="501"/>
      <c r="X61" s="501"/>
      <c r="Y61" s="501"/>
      <c r="Z61" s="501"/>
      <c r="AA61" s="501"/>
      <c r="AB61" s="501"/>
      <c r="AC61" s="221"/>
      <c r="AD61" s="221"/>
      <c r="AE61" s="221"/>
      <c r="AF61" s="221"/>
    </row>
    <row r="62" spans="1:32">
      <c r="B62" s="170"/>
      <c r="C62" s="496"/>
      <c r="D62" s="497"/>
      <c r="E62" s="496"/>
      <c r="F62" s="498"/>
      <c r="G62" s="496"/>
      <c r="H62" s="498"/>
      <c r="I62" s="496"/>
      <c r="J62" s="498"/>
      <c r="K62" s="496"/>
      <c r="L62" s="498"/>
      <c r="M62" s="496"/>
      <c r="N62" s="498"/>
      <c r="O62" s="496"/>
      <c r="P62" s="498"/>
      <c r="Q62" s="496"/>
      <c r="R62" s="498"/>
      <c r="S62" s="496"/>
      <c r="T62" s="498"/>
      <c r="U62" s="496"/>
      <c r="V62" s="498"/>
      <c r="W62" s="496"/>
      <c r="X62" s="498"/>
      <c r="Y62" s="496"/>
      <c r="Z62" s="498"/>
      <c r="AA62" s="496"/>
      <c r="AB62" s="498"/>
    </row>
    <row r="63" spans="1:32">
      <c r="B63" s="170">
        <f>B5</f>
        <v>2008</v>
      </c>
      <c r="C63" s="496" t="s">
        <v>4</v>
      </c>
      <c r="D63" s="497"/>
      <c r="E63" s="496" t="s">
        <v>5</v>
      </c>
      <c r="F63" s="498"/>
      <c r="G63" s="496" t="s">
        <v>6</v>
      </c>
      <c r="H63" s="498"/>
      <c r="I63" s="496" t="s">
        <v>7</v>
      </c>
      <c r="J63" s="498"/>
      <c r="K63" s="496" t="s">
        <v>8</v>
      </c>
      <c r="L63" s="498"/>
      <c r="M63" s="496" t="s">
        <v>9</v>
      </c>
      <c r="N63" s="498"/>
      <c r="O63" s="496" t="s">
        <v>10</v>
      </c>
      <c r="P63" s="498"/>
      <c r="Q63" s="500" t="s">
        <v>11</v>
      </c>
      <c r="R63" s="498"/>
      <c r="S63" s="500" t="s">
        <v>12</v>
      </c>
      <c r="T63" s="498"/>
      <c r="U63" s="496" t="s">
        <v>0</v>
      </c>
      <c r="V63" s="499"/>
      <c r="W63" s="496" t="s">
        <v>1</v>
      </c>
      <c r="X63" s="499"/>
      <c r="Y63" s="496" t="s">
        <v>2</v>
      </c>
      <c r="Z63" s="499"/>
      <c r="AA63" s="496" t="s">
        <v>102</v>
      </c>
      <c r="AB63" s="497"/>
    </row>
    <row r="64" spans="1:32">
      <c r="B64" s="170"/>
      <c r="C64" s="496"/>
      <c r="D64" s="497"/>
      <c r="E64" s="496"/>
      <c r="F64" s="497"/>
      <c r="G64" s="496"/>
      <c r="H64" s="497"/>
      <c r="I64" s="496"/>
      <c r="J64" s="497"/>
      <c r="K64" s="496"/>
      <c r="L64" s="497"/>
      <c r="M64" s="496"/>
      <c r="N64" s="497"/>
      <c r="O64" s="496"/>
      <c r="P64" s="497"/>
      <c r="Q64" s="496"/>
      <c r="R64" s="497"/>
      <c r="S64" s="496"/>
      <c r="T64" s="497"/>
      <c r="U64" s="496"/>
      <c r="V64" s="497"/>
      <c r="W64" s="496"/>
      <c r="X64" s="497"/>
      <c r="Y64" s="496"/>
      <c r="Z64" s="497"/>
      <c r="AA64" s="496"/>
      <c r="AB64" s="497"/>
    </row>
    <row r="65" spans="1:45" s="202" customFormat="1" ht="14.25">
      <c r="A65" s="175"/>
      <c r="B65" s="210" t="s">
        <v>24</v>
      </c>
      <c r="C65" s="136"/>
      <c r="D65" s="42">
        <v>2957.226009</v>
      </c>
      <c r="E65" s="171"/>
      <c r="F65" s="42">
        <v>2929.424113</v>
      </c>
      <c r="G65" s="171"/>
      <c r="H65" s="42">
        <v>2847.432018</v>
      </c>
      <c r="I65" s="171"/>
      <c r="J65" s="42">
        <v>2766.6801350000001</v>
      </c>
      <c r="K65" s="171"/>
      <c r="L65" s="42">
        <v>2797.859156</v>
      </c>
      <c r="M65" s="171"/>
      <c r="N65" s="42">
        <v>2839.2242350000001</v>
      </c>
      <c r="O65" s="42"/>
      <c r="P65" s="42">
        <v>2782.4974010000001</v>
      </c>
      <c r="Q65" s="171"/>
      <c r="R65" s="42">
        <v>2758.9056310000001</v>
      </c>
      <c r="S65" s="42"/>
      <c r="T65" s="42">
        <v>2722.4948100000001</v>
      </c>
      <c r="U65" s="42"/>
      <c r="V65" s="42">
        <v>2757.3459579999999</v>
      </c>
      <c r="W65" s="42"/>
      <c r="X65" s="42">
        <v>2710.9050539999998</v>
      </c>
      <c r="Y65" s="42"/>
      <c r="Z65" s="42">
        <v>2717.0445110000001</v>
      </c>
      <c r="AA65" s="42"/>
      <c r="AB65" s="42">
        <f t="shared" ref="AB65:AB78" si="0">AVERAGE(D65:Z65)</f>
        <v>2798.9199192500005</v>
      </c>
      <c r="AC65" s="216"/>
      <c r="AD65" s="216"/>
      <c r="AE65" s="216"/>
      <c r="AF65" s="216"/>
      <c r="AG65" s="223"/>
      <c r="AH65" s="216"/>
      <c r="AI65" s="216"/>
    </row>
    <row r="66" spans="1:45" s="202" customFormat="1" ht="14.25">
      <c r="A66" s="175"/>
      <c r="B66" s="210" t="s">
        <v>39</v>
      </c>
      <c r="C66" s="136"/>
      <c r="D66" s="42">
        <v>6533.8762690000003</v>
      </c>
      <c r="E66" s="171"/>
      <c r="F66" s="42">
        <v>6540.4423459999998</v>
      </c>
      <c r="G66" s="171"/>
      <c r="H66" s="42">
        <v>6679.7723400000004</v>
      </c>
      <c r="I66" s="171"/>
      <c r="J66" s="42">
        <v>6713.5791239999999</v>
      </c>
      <c r="K66" s="171"/>
      <c r="L66" s="42">
        <v>6850.6539460000004</v>
      </c>
      <c r="M66" s="171"/>
      <c r="N66" s="42">
        <v>7019.9380190000002</v>
      </c>
      <c r="O66" s="171"/>
      <c r="P66" s="42">
        <v>6901.8548000000001</v>
      </c>
      <c r="Q66" s="171"/>
      <c r="R66" s="42">
        <v>6968.3788850000001</v>
      </c>
      <c r="S66" s="42"/>
      <c r="T66" s="42">
        <v>7020.4864280000002</v>
      </c>
      <c r="U66" s="42"/>
      <c r="V66" s="42">
        <v>7183.1436370000001</v>
      </c>
      <c r="W66" s="42"/>
      <c r="X66" s="42">
        <v>7238.6813679999996</v>
      </c>
      <c r="Y66" s="42"/>
      <c r="Z66" s="42">
        <v>7358.7509570000002</v>
      </c>
      <c r="AA66" s="42"/>
      <c r="AB66" s="42">
        <f t="shared" si="0"/>
        <v>6917.4631765833337</v>
      </c>
      <c r="AC66" s="216"/>
      <c r="AD66" s="216"/>
      <c r="AE66" s="216"/>
      <c r="AF66" s="216"/>
      <c r="AG66" s="216"/>
      <c r="AH66" s="216"/>
      <c r="AI66" s="216"/>
    </row>
    <row r="67" spans="1:45" s="202" customFormat="1" ht="14.25">
      <c r="A67" s="175"/>
      <c r="B67" s="210" t="s">
        <v>25</v>
      </c>
      <c r="C67" s="136"/>
      <c r="D67" s="42">
        <v>766.02249580425598</v>
      </c>
      <c r="E67" s="171"/>
      <c r="F67" s="42">
        <v>785.17913472845703</v>
      </c>
      <c r="G67" s="171"/>
      <c r="H67" s="42">
        <v>774.59052898993696</v>
      </c>
      <c r="I67" s="171"/>
      <c r="J67" s="42">
        <v>797.21394470791097</v>
      </c>
      <c r="K67" s="171"/>
      <c r="L67" s="42">
        <v>812.85779251765598</v>
      </c>
      <c r="M67" s="171"/>
      <c r="N67" s="42">
        <v>788.33134708093701</v>
      </c>
      <c r="O67" s="171"/>
      <c r="P67" s="42">
        <v>810.63251975394803</v>
      </c>
      <c r="Q67" s="171"/>
      <c r="R67" s="42">
        <v>782.62117229770399</v>
      </c>
      <c r="S67" s="42"/>
      <c r="T67" s="42">
        <v>789.29805779311596</v>
      </c>
      <c r="U67" s="42"/>
      <c r="V67" s="42">
        <v>793.34472887465995</v>
      </c>
      <c r="W67" s="42"/>
      <c r="X67" s="42">
        <v>767.94982151634201</v>
      </c>
      <c r="Y67" s="42"/>
      <c r="Z67" s="42">
        <v>851.26891150623806</v>
      </c>
      <c r="AA67" s="42"/>
      <c r="AB67" s="42">
        <f t="shared" si="0"/>
        <v>793.27587129759684</v>
      </c>
      <c r="AC67" s="216"/>
      <c r="AD67" s="216"/>
      <c r="AE67" s="216"/>
      <c r="AF67" s="216"/>
      <c r="AG67" s="216"/>
      <c r="AH67" s="216"/>
      <c r="AI67" s="216"/>
    </row>
    <row r="68" spans="1:45" s="202" customFormat="1" ht="14.25">
      <c r="A68" s="175"/>
      <c r="B68" s="210" t="s">
        <v>26</v>
      </c>
      <c r="C68" s="136"/>
      <c r="D68" s="42">
        <v>356.93537690616301</v>
      </c>
      <c r="E68" s="171"/>
      <c r="F68" s="42">
        <v>375.04003758860802</v>
      </c>
      <c r="G68" s="171"/>
      <c r="H68" s="42">
        <v>355.48410724027298</v>
      </c>
      <c r="I68" s="171"/>
      <c r="J68" s="42">
        <v>397.27591006042798</v>
      </c>
      <c r="K68" s="171"/>
      <c r="L68" s="42">
        <v>400.85285688455798</v>
      </c>
      <c r="M68" s="171"/>
      <c r="N68" s="42">
        <v>396.09338209399499</v>
      </c>
      <c r="O68" s="171"/>
      <c r="P68" s="42">
        <v>404.37612725794901</v>
      </c>
      <c r="Q68" s="171"/>
      <c r="R68" s="42">
        <v>385.95862174646697</v>
      </c>
      <c r="S68" s="42"/>
      <c r="T68" s="42">
        <v>380.107884706633</v>
      </c>
      <c r="U68" s="42"/>
      <c r="V68" s="42">
        <v>401.57098523457302</v>
      </c>
      <c r="W68" s="42"/>
      <c r="X68" s="42">
        <v>377.06271996054897</v>
      </c>
      <c r="Y68" s="42"/>
      <c r="Z68" s="42">
        <v>361.271455942773</v>
      </c>
      <c r="AA68" s="42"/>
      <c r="AB68" s="42">
        <f t="shared" si="0"/>
        <v>382.66912213524739</v>
      </c>
      <c r="AC68" s="216"/>
      <c r="AD68" s="216"/>
      <c r="AE68" s="216"/>
      <c r="AF68" s="216"/>
      <c r="AG68" s="216"/>
      <c r="AH68" s="216"/>
      <c r="AI68" s="216"/>
    </row>
    <row r="69" spans="1:45" s="202" customFormat="1" ht="14.25">
      <c r="A69" s="175"/>
      <c r="B69" s="210" t="s">
        <v>27</v>
      </c>
      <c r="C69" s="136"/>
      <c r="D69" s="42">
        <v>234.68293371663501</v>
      </c>
      <c r="E69" s="171"/>
      <c r="F69" s="42">
        <v>234.41369141356799</v>
      </c>
      <c r="G69" s="171"/>
      <c r="H69" s="42">
        <v>209.78282151197999</v>
      </c>
      <c r="I69" s="171"/>
      <c r="J69" s="42">
        <v>257.05486871289497</v>
      </c>
      <c r="K69" s="171"/>
      <c r="L69" s="42">
        <v>268.701008104322</v>
      </c>
      <c r="M69" s="171"/>
      <c r="N69" s="42">
        <v>280.27112271287803</v>
      </c>
      <c r="O69" s="171"/>
      <c r="P69" s="42">
        <v>271.25572680444498</v>
      </c>
      <c r="Q69" s="171"/>
      <c r="R69" s="42">
        <v>253.53767823932699</v>
      </c>
      <c r="S69" s="42"/>
      <c r="T69" s="42">
        <v>158.351282526831</v>
      </c>
      <c r="U69" s="42"/>
      <c r="V69" s="42">
        <v>157.599873268208</v>
      </c>
      <c r="W69" s="42"/>
      <c r="X69" s="42">
        <v>134.98001552031201</v>
      </c>
      <c r="Y69" s="42"/>
      <c r="Z69" s="42">
        <v>182.112414862592</v>
      </c>
      <c r="AA69" s="42"/>
      <c r="AB69" s="42">
        <f t="shared" si="0"/>
        <v>220.22861978283268</v>
      </c>
      <c r="AC69" s="216"/>
      <c r="AD69" s="216"/>
      <c r="AE69" s="216"/>
      <c r="AF69" s="216"/>
      <c r="AG69" s="216"/>
      <c r="AH69" s="216"/>
      <c r="AI69" s="216"/>
    </row>
    <row r="70" spans="1:45" s="202" customFormat="1" ht="14.25">
      <c r="A70" s="175"/>
      <c r="B70" s="210" t="s">
        <v>28</v>
      </c>
      <c r="C70" s="136"/>
      <c r="D70" s="42">
        <v>324.419242759035</v>
      </c>
      <c r="E70" s="171"/>
      <c r="F70" s="42">
        <v>308.14431817245401</v>
      </c>
      <c r="G70" s="171"/>
      <c r="H70" s="42">
        <v>289.60000064351999</v>
      </c>
      <c r="I70" s="171"/>
      <c r="J70" s="42">
        <v>281.138884858452</v>
      </c>
      <c r="K70" s="171"/>
      <c r="L70" s="42">
        <v>275.15202401053102</v>
      </c>
      <c r="M70" s="171"/>
      <c r="N70" s="42">
        <v>268.90430716923697</v>
      </c>
      <c r="O70" s="171"/>
      <c r="P70" s="42">
        <v>279.83091189167698</v>
      </c>
      <c r="Q70" s="171"/>
      <c r="R70" s="42">
        <v>269.85199314516302</v>
      </c>
      <c r="S70" s="42"/>
      <c r="T70" s="42">
        <v>278.93712991438099</v>
      </c>
      <c r="U70" s="42"/>
      <c r="V70" s="42">
        <v>293.826190536166</v>
      </c>
      <c r="W70" s="42"/>
      <c r="X70" s="42">
        <v>301.69385733630997</v>
      </c>
      <c r="Y70" s="42"/>
      <c r="Z70" s="42">
        <v>324.38464575991401</v>
      </c>
      <c r="AA70" s="42"/>
      <c r="AB70" s="42">
        <f t="shared" si="0"/>
        <v>291.3236255164033</v>
      </c>
      <c r="AC70" s="216"/>
      <c r="AD70" s="216"/>
      <c r="AE70" s="216"/>
      <c r="AF70" s="216"/>
      <c r="AG70" s="216"/>
      <c r="AH70" s="216"/>
      <c r="AI70" s="216"/>
    </row>
    <row r="71" spans="1:45" s="202" customFormat="1" ht="14.25">
      <c r="A71" s="175"/>
      <c r="B71" s="210" t="s">
        <v>38</v>
      </c>
      <c r="C71" s="136"/>
      <c r="D71" s="42">
        <v>3250.9896289333001</v>
      </c>
      <c r="E71" s="171"/>
      <c r="F71" s="42">
        <v>3284.0911099326199</v>
      </c>
      <c r="G71" s="171"/>
      <c r="H71" s="42">
        <v>3223.5910999338598</v>
      </c>
      <c r="I71" s="171"/>
      <c r="J71" s="42">
        <v>3177.9465419347998</v>
      </c>
      <c r="K71" s="171"/>
      <c r="L71" s="42">
        <v>3071.0047619369998</v>
      </c>
      <c r="M71" s="171"/>
      <c r="N71" s="42">
        <v>3129.0067179358098</v>
      </c>
      <c r="O71" s="171"/>
      <c r="P71" s="42">
        <v>3016.9719699380998</v>
      </c>
      <c r="Q71" s="171"/>
      <c r="R71" s="42">
        <v>2942.4177069396301</v>
      </c>
      <c r="S71" s="42"/>
      <c r="T71" s="42">
        <v>2847.8421659415799</v>
      </c>
      <c r="U71" s="42"/>
      <c r="V71" s="42">
        <v>2973.7964119389899</v>
      </c>
      <c r="W71" s="42"/>
      <c r="X71" s="42">
        <v>3033.5715979377601</v>
      </c>
      <c r="Y71" s="42"/>
      <c r="Z71" s="42">
        <v>2885.6652439407999</v>
      </c>
      <c r="AA71" s="42"/>
      <c r="AB71" s="42">
        <f t="shared" si="0"/>
        <v>3069.7412464370204</v>
      </c>
      <c r="AC71" s="216"/>
      <c r="AD71" s="216"/>
      <c r="AE71" s="216"/>
      <c r="AF71" s="216"/>
      <c r="AG71" s="216"/>
      <c r="AH71" s="216"/>
      <c r="AI71" s="216"/>
    </row>
    <row r="72" spans="1:45" s="202" customFormat="1" ht="14.25">
      <c r="A72" s="175"/>
      <c r="B72" s="210" t="s">
        <v>98</v>
      </c>
      <c r="C72" s="136"/>
      <c r="D72" s="42">
        <v>1434.3656129032299</v>
      </c>
      <c r="E72" s="171"/>
      <c r="F72" s="42">
        <v>1428.9997241379299</v>
      </c>
      <c r="G72" s="171"/>
      <c r="H72" s="42">
        <v>1628.18409677419</v>
      </c>
      <c r="I72" s="171"/>
      <c r="J72" s="42">
        <v>1438.7810999999999</v>
      </c>
      <c r="K72" s="171"/>
      <c r="L72" s="42">
        <v>1375.89538709677</v>
      </c>
      <c r="M72" s="171"/>
      <c r="N72" s="42">
        <v>1415.19706666667</v>
      </c>
      <c r="O72" s="171"/>
      <c r="P72" s="42">
        <v>1376.5063870967699</v>
      </c>
      <c r="Q72" s="171"/>
      <c r="R72" s="42">
        <v>1416.1355161290301</v>
      </c>
      <c r="S72" s="42"/>
      <c r="T72" s="42">
        <v>1060.0504000000001</v>
      </c>
      <c r="U72" s="42"/>
      <c r="V72" s="42">
        <v>1433.66880645161</v>
      </c>
      <c r="W72" s="42"/>
      <c r="X72" s="42">
        <v>1500.5453</v>
      </c>
      <c r="Y72" s="42"/>
      <c r="Z72" s="42">
        <v>1327.66387096774</v>
      </c>
      <c r="AA72" s="42"/>
      <c r="AB72" s="42">
        <f t="shared" si="0"/>
        <v>1402.9994390186614</v>
      </c>
      <c r="AC72" s="216"/>
      <c r="AD72" s="216"/>
      <c r="AE72" s="216"/>
      <c r="AF72" s="216"/>
      <c r="AG72" s="216"/>
      <c r="AH72" s="216"/>
      <c r="AI72" s="216"/>
    </row>
    <row r="73" spans="1:45" s="202" customFormat="1" ht="14.25">
      <c r="A73" s="175"/>
      <c r="B73" s="210" t="s">
        <v>29</v>
      </c>
      <c r="C73" s="136"/>
      <c r="D73" s="60">
        <v>79.596662868426918</v>
      </c>
      <c r="E73" s="178"/>
      <c r="F73" s="60">
        <v>80.290707999999995</v>
      </c>
      <c r="G73" s="178"/>
      <c r="H73" s="60">
        <v>88.101343999999997</v>
      </c>
      <c r="I73" s="178"/>
      <c r="J73" s="60">
        <v>94.902220705892404</v>
      </c>
      <c r="K73" s="178"/>
      <c r="L73" s="60">
        <v>104.18401263604132</v>
      </c>
      <c r="M73" s="178"/>
      <c r="N73" s="60">
        <v>114.15166316177593</v>
      </c>
      <c r="O73" s="172"/>
      <c r="P73" s="60">
        <v>120.25214688621014</v>
      </c>
      <c r="Q73" s="60"/>
      <c r="R73" s="60">
        <v>106.63700707156214</v>
      </c>
      <c r="S73" s="60"/>
      <c r="T73" s="60">
        <v>85.571958345251005</v>
      </c>
      <c r="U73" s="60"/>
      <c r="V73" s="60">
        <v>60.361788167524089</v>
      </c>
      <c r="W73" s="60"/>
      <c r="X73" s="60">
        <v>42.429106810259803</v>
      </c>
      <c r="Y73" s="60"/>
      <c r="Z73" s="60">
        <v>33.152418282367428</v>
      </c>
      <c r="AA73" s="60"/>
      <c r="AB73" s="60">
        <f t="shared" si="0"/>
        <v>84.135919744609268</v>
      </c>
      <c r="AC73" s="216"/>
      <c r="AD73" s="216"/>
      <c r="AE73" s="216"/>
      <c r="AF73" s="216"/>
      <c r="AG73" s="216"/>
      <c r="AH73" s="216"/>
      <c r="AI73" s="216"/>
    </row>
    <row r="74" spans="1:45" s="202" customFormat="1" ht="14.25">
      <c r="A74" s="175"/>
      <c r="B74" s="210" t="s">
        <v>54</v>
      </c>
      <c r="C74" s="136"/>
      <c r="D74" s="60">
        <v>49</v>
      </c>
      <c r="E74" s="178"/>
      <c r="F74" s="60">
        <v>49</v>
      </c>
      <c r="G74" s="178"/>
      <c r="H74" s="60">
        <v>49</v>
      </c>
      <c r="I74" s="178"/>
      <c r="J74" s="60">
        <v>49</v>
      </c>
      <c r="K74" s="178"/>
      <c r="L74" s="60">
        <v>49</v>
      </c>
      <c r="M74" s="178"/>
      <c r="N74" s="60">
        <v>49</v>
      </c>
      <c r="O74" s="172"/>
      <c r="P74" s="60">
        <v>49</v>
      </c>
      <c r="Q74" s="60"/>
      <c r="R74" s="60">
        <v>49</v>
      </c>
      <c r="S74" s="60"/>
      <c r="T74" s="60">
        <v>49</v>
      </c>
      <c r="U74" s="60"/>
      <c r="V74" s="60">
        <v>49</v>
      </c>
      <c r="W74" s="60"/>
      <c r="X74" s="60">
        <v>49</v>
      </c>
      <c r="Y74" s="60"/>
      <c r="Z74" s="60">
        <v>49</v>
      </c>
      <c r="AA74" s="60"/>
      <c r="AB74" s="60">
        <f t="shared" si="0"/>
        <v>49</v>
      </c>
      <c r="AC74" s="216"/>
      <c r="AD74" s="216"/>
      <c r="AE74" s="216"/>
      <c r="AF74" s="216"/>
      <c r="AG74" s="216"/>
      <c r="AH74" s="216"/>
      <c r="AI74" s="216"/>
    </row>
    <row r="75" spans="1:45" s="202" customFormat="1" ht="14.25">
      <c r="A75" s="175"/>
      <c r="B75" s="210" t="s">
        <v>76</v>
      </c>
      <c r="C75" s="136"/>
      <c r="D75" s="60">
        <v>6.5140000000000002</v>
      </c>
      <c r="E75" s="178"/>
      <c r="F75" s="60">
        <v>7.74</v>
      </c>
      <c r="G75" s="178"/>
      <c r="H75" s="60">
        <v>8.5500000000000007</v>
      </c>
      <c r="I75" s="178"/>
      <c r="J75" s="60">
        <v>8.891</v>
      </c>
      <c r="K75" s="178"/>
      <c r="L75" s="60">
        <v>10.46</v>
      </c>
      <c r="M75" s="178"/>
      <c r="N75" s="60">
        <v>11.241</v>
      </c>
      <c r="O75" s="172"/>
      <c r="P75" s="60">
        <v>12.606999999999999</v>
      </c>
      <c r="Q75" s="60"/>
      <c r="R75" s="60">
        <v>8.85</v>
      </c>
      <c r="S75" s="60"/>
      <c r="T75" s="60">
        <v>7.7960000000000003</v>
      </c>
      <c r="U75" s="60"/>
      <c r="V75" s="60">
        <v>6.74</v>
      </c>
      <c r="W75" s="60"/>
      <c r="X75" s="60">
        <v>5.74</v>
      </c>
      <c r="Y75" s="60"/>
      <c r="Z75" s="60">
        <v>6.07</v>
      </c>
      <c r="AA75" s="60"/>
      <c r="AB75" s="60">
        <f t="shared" si="0"/>
        <v>8.4332499999999992</v>
      </c>
      <c r="AC75" s="216"/>
      <c r="AD75" s="216"/>
      <c r="AE75" s="216"/>
      <c r="AF75" s="216"/>
      <c r="AG75" s="216"/>
      <c r="AH75" s="216"/>
      <c r="AI75" s="216"/>
    </row>
    <row r="76" spans="1:45" s="202" customFormat="1" ht="14.25">
      <c r="A76" s="175"/>
      <c r="B76" s="210" t="s">
        <v>99</v>
      </c>
      <c r="C76" s="136"/>
      <c r="D76" s="179">
        <v>10.9171</v>
      </c>
      <c r="E76" s="180"/>
      <c r="F76" s="179">
        <v>10.779400000000001</v>
      </c>
      <c r="G76" s="180"/>
      <c r="H76" s="179">
        <v>10.7346</v>
      </c>
      <c r="I76" s="180"/>
      <c r="J76" s="179">
        <v>10.529500000000001</v>
      </c>
      <c r="K76" s="180"/>
      <c r="L76" s="179">
        <v>10.4542</v>
      </c>
      <c r="M76" s="180"/>
      <c r="N76" s="179">
        <v>10.330500000000001</v>
      </c>
      <c r="O76" s="173"/>
      <c r="P76" s="179">
        <v>10.239000000000001</v>
      </c>
      <c r="Q76" s="179"/>
      <c r="R76" s="179">
        <v>10.0906</v>
      </c>
      <c r="S76" s="179"/>
      <c r="T76" s="179">
        <v>10.574400000000001</v>
      </c>
      <c r="U76" s="179"/>
      <c r="V76" s="179">
        <v>12.473800000000001</v>
      </c>
      <c r="W76" s="179"/>
      <c r="X76" s="179">
        <v>13.0609</v>
      </c>
      <c r="Y76" s="179"/>
      <c r="Z76" s="179">
        <v>13.3726</v>
      </c>
      <c r="AA76" s="179"/>
      <c r="AB76" s="179">
        <f t="shared" si="0"/>
        <v>11.129716666666667</v>
      </c>
      <c r="AC76" s="216"/>
      <c r="AD76" s="216"/>
      <c r="AE76" s="216"/>
      <c r="AF76" s="216"/>
      <c r="AG76" s="216"/>
      <c r="AH76" s="216"/>
      <c r="AI76" s="224"/>
      <c r="AJ76" s="225"/>
      <c r="AK76" s="225"/>
      <c r="AL76" s="225"/>
      <c r="AM76" s="225"/>
      <c r="AN76" s="225"/>
      <c r="AO76" s="225"/>
      <c r="AP76" s="225"/>
      <c r="AQ76" s="225"/>
      <c r="AR76" s="225"/>
      <c r="AS76" s="225"/>
    </row>
    <row r="77" spans="1:45" s="202" customFormat="1" ht="14.25">
      <c r="A77" s="175"/>
      <c r="B77" s="210" t="s">
        <v>100</v>
      </c>
      <c r="C77" s="136"/>
      <c r="D77" s="42">
        <v>621.17363886293629</v>
      </c>
      <c r="E77" s="171"/>
      <c r="F77" s="42">
        <v>623.41492319305189</v>
      </c>
      <c r="G77" s="171"/>
      <c r="H77" s="42">
        <v>614.58394073343914</v>
      </c>
      <c r="I77" s="171"/>
      <c r="J77" s="42">
        <v>467.28003902019361</v>
      </c>
      <c r="K77" s="171"/>
      <c r="L77" s="42">
        <v>569.75086887926375</v>
      </c>
      <c r="M77" s="171"/>
      <c r="N77" s="42">
        <v>783.12156634164592</v>
      </c>
      <c r="O77" s="171"/>
      <c r="P77" s="42">
        <v>724.37982271233432</v>
      </c>
      <c r="Q77" s="171"/>
      <c r="R77" s="42">
        <v>610.05061882078746</v>
      </c>
      <c r="S77" s="171"/>
      <c r="T77" s="42">
        <v>592.97132581615574</v>
      </c>
      <c r="U77" s="42"/>
      <c r="V77" s="42">
        <v>655.53113816268797</v>
      </c>
      <c r="W77" s="42"/>
      <c r="X77" s="42">
        <v>577.32582865368977</v>
      </c>
      <c r="Y77" s="42"/>
      <c r="Z77" s="42">
        <v>511.95775347017025</v>
      </c>
      <c r="AA77" s="42"/>
      <c r="AB77" s="42">
        <f t="shared" si="0"/>
        <v>612.62845538886302</v>
      </c>
      <c r="AC77" s="216"/>
      <c r="AD77" s="216"/>
      <c r="AE77" s="216"/>
      <c r="AF77" s="216"/>
      <c r="AG77" s="216"/>
      <c r="AH77" s="216"/>
      <c r="AI77" s="216"/>
    </row>
    <row r="78" spans="1:45" s="202" customFormat="1" ht="14.25">
      <c r="A78" s="175"/>
      <c r="B78" s="210" t="s">
        <v>70</v>
      </c>
      <c r="C78" s="136"/>
      <c r="D78" s="42">
        <v>6.3079169999999962</v>
      </c>
      <c r="E78" s="171"/>
      <c r="F78" s="42">
        <v>5.9790530000000004</v>
      </c>
      <c r="G78" s="171"/>
      <c r="H78" s="42">
        <v>32.760216</v>
      </c>
      <c r="I78" s="171"/>
      <c r="J78" s="42">
        <v>20.282533000000001</v>
      </c>
      <c r="K78" s="171"/>
      <c r="L78" s="42">
        <v>6.1695649999999986</v>
      </c>
      <c r="M78" s="171"/>
      <c r="N78" s="42">
        <v>26.017762000000005</v>
      </c>
      <c r="O78" s="171"/>
      <c r="P78" s="42">
        <v>17.444103999999996</v>
      </c>
      <c r="Q78" s="171"/>
      <c r="R78" s="42">
        <v>22.124082000000001</v>
      </c>
      <c r="S78" s="171"/>
      <c r="T78" s="42">
        <v>13.976849999999999</v>
      </c>
      <c r="U78" s="42"/>
      <c r="V78" s="42">
        <v>24.534615000000002</v>
      </c>
      <c r="W78" s="42"/>
      <c r="X78" s="42">
        <v>21.860724000000005</v>
      </c>
      <c r="Y78" s="42"/>
      <c r="Z78" s="42">
        <v>43.383364</v>
      </c>
      <c r="AA78" s="42"/>
      <c r="AB78" s="42">
        <f t="shared" si="0"/>
        <v>20.070065416666665</v>
      </c>
      <c r="AC78" s="216"/>
      <c r="AD78" s="216"/>
      <c r="AE78" s="216"/>
      <c r="AF78" s="216"/>
      <c r="AG78" s="216"/>
      <c r="AH78" s="216"/>
      <c r="AI78" s="216"/>
    </row>
    <row r="79" spans="1:45">
      <c r="B79" s="472" t="s">
        <v>101</v>
      </c>
      <c r="C79" s="472"/>
      <c r="D79" s="472"/>
      <c r="E79" s="472"/>
      <c r="F79" s="472"/>
      <c r="G79" s="472"/>
      <c r="H79" s="472"/>
      <c r="I79" s="472"/>
      <c r="J79" s="472"/>
      <c r="K79" s="472"/>
      <c r="L79" s="472"/>
      <c r="M79" s="472"/>
      <c r="N79" s="472"/>
      <c r="O79" s="472"/>
      <c r="P79" s="472"/>
      <c r="Q79" s="472"/>
      <c r="R79" s="472"/>
      <c r="S79" s="472"/>
      <c r="T79" s="472"/>
      <c r="U79" s="472"/>
      <c r="V79" s="472"/>
      <c r="W79" s="472"/>
      <c r="X79" s="472"/>
      <c r="Y79" s="472"/>
      <c r="Z79" s="472"/>
      <c r="AA79" s="472"/>
      <c r="AB79" s="472"/>
    </row>
    <row r="81" spans="22:22">
      <c r="V81" s="184"/>
    </row>
    <row r="87" spans="22:22" ht="12.75" customHeight="1"/>
    <row r="88" spans="22:22" ht="12.75" customHeight="1"/>
    <row r="89" spans="22:22" ht="12.75" customHeight="1"/>
    <row r="90" spans="22:22" ht="12.75" customHeight="1"/>
    <row r="91" spans="22:22" ht="12.75" customHeight="1"/>
    <row r="92" spans="22:22" ht="12.75" customHeight="1"/>
    <row r="93" spans="22:22" ht="12.75" customHeight="1"/>
  </sheetData>
  <mergeCells count="95">
    <mergeCell ref="B2:AB2"/>
    <mergeCell ref="B3:AB3"/>
    <mergeCell ref="C4:D4"/>
    <mergeCell ref="E4:F4"/>
    <mergeCell ref="G4:H4"/>
    <mergeCell ref="I4:J4"/>
    <mergeCell ref="K4:L4"/>
    <mergeCell ref="W4:X4"/>
    <mergeCell ref="Y4:Z4"/>
    <mergeCell ref="S4:T4"/>
    <mergeCell ref="U4:V4"/>
    <mergeCell ref="AA4:AB4"/>
    <mergeCell ref="O4:P4"/>
    <mergeCell ref="Q4:R4"/>
    <mergeCell ref="M4:N4"/>
    <mergeCell ref="C5:D5"/>
    <mergeCell ref="E5:F5"/>
    <mergeCell ref="G5:H5"/>
    <mergeCell ref="I5:J5"/>
    <mergeCell ref="M5:N5"/>
    <mergeCell ref="K5:L5"/>
    <mergeCell ref="C7:D7"/>
    <mergeCell ref="E7:F7"/>
    <mergeCell ref="G7:H7"/>
    <mergeCell ref="I7:J7"/>
    <mergeCell ref="B79:AB79"/>
    <mergeCell ref="Y7:Z7"/>
    <mergeCell ref="S7:T7"/>
    <mergeCell ref="U7:V7"/>
    <mergeCell ref="B47:AB47"/>
    <mergeCell ref="W7:X7"/>
    <mergeCell ref="AA7:AB7"/>
    <mergeCell ref="K7:L7"/>
    <mergeCell ref="M7:N7"/>
    <mergeCell ref="B55:AB55"/>
    <mergeCell ref="B56:AB56"/>
    <mergeCell ref="B57:AB57"/>
    <mergeCell ref="AA5:AB5"/>
    <mergeCell ref="W5:X5"/>
    <mergeCell ref="O7:P7"/>
    <mergeCell ref="Q7:R7"/>
    <mergeCell ref="O5:P5"/>
    <mergeCell ref="Q5:R5"/>
    <mergeCell ref="S5:T5"/>
    <mergeCell ref="U5:V5"/>
    <mergeCell ref="Y5:Z5"/>
    <mergeCell ref="B48:AB48"/>
    <mergeCell ref="B49:AB49"/>
    <mergeCell ref="B50:AB50"/>
    <mergeCell ref="B51:AB51"/>
    <mergeCell ref="B52:AB52"/>
    <mergeCell ref="B53:AB53"/>
    <mergeCell ref="B54:AB54"/>
    <mergeCell ref="B58:AB58"/>
    <mergeCell ref="B59:AB59"/>
    <mergeCell ref="E62:F62"/>
    <mergeCell ref="G62:H62"/>
    <mergeCell ref="Q62:R62"/>
    <mergeCell ref="S62:T62"/>
    <mergeCell ref="U62:V62"/>
    <mergeCell ref="W62:X62"/>
    <mergeCell ref="I62:J62"/>
    <mergeCell ref="K62:L62"/>
    <mergeCell ref="B61:AB61"/>
    <mergeCell ref="C62:D62"/>
    <mergeCell ref="AA62:AB62"/>
    <mergeCell ref="W63:X63"/>
    <mergeCell ref="Y63:Z63"/>
    <mergeCell ref="AA63:AB63"/>
    <mergeCell ref="W64:X64"/>
    <mergeCell ref="M62:N62"/>
    <mergeCell ref="O62:P62"/>
    <mergeCell ref="S64:T64"/>
    <mergeCell ref="S63:T63"/>
    <mergeCell ref="Y62:Z62"/>
    <mergeCell ref="Y64:Z64"/>
    <mergeCell ref="AA64:AB64"/>
    <mergeCell ref="M64:N64"/>
    <mergeCell ref="M63:N63"/>
    <mergeCell ref="U63:V63"/>
    <mergeCell ref="U64:V64"/>
    <mergeCell ref="Q63:R63"/>
    <mergeCell ref="Q64:R64"/>
    <mergeCell ref="O64:P64"/>
    <mergeCell ref="O63:P63"/>
    <mergeCell ref="C64:D64"/>
    <mergeCell ref="E64:F64"/>
    <mergeCell ref="G64:H64"/>
    <mergeCell ref="C63:D63"/>
    <mergeCell ref="E63:F63"/>
    <mergeCell ref="G63:H63"/>
    <mergeCell ref="I63:J63"/>
    <mergeCell ref="K64:L64"/>
    <mergeCell ref="K63:L63"/>
    <mergeCell ref="I64:J64"/>
  </mergeCells>
  <phoneticPr fontId="5" type="noConversion"/>
  <printOptions horizontalCentered="1" verticalCentered="1"/>
  <pageMargins left="0.17" right="0.19" top="0.27559055118110237" bottom="0.23622047244094491" header="0.19685039370078741" footer="0.19685039370078741"/>
  <pageSetup scale="58" orientation="landscape" r:id="rId1"/>
  <headerFooter alignWithMargins="0"/>
  <ignoredErrors>
    <ignoredError sqref="AB27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90"/>
  <sheetViews>
    <sheetView showGridLines="0" topLeftCell="H53" workbookViewId="0">
      <selection activeCell="AC17" sqref="AC17"/>
    </sheetView>
  </sheetViews>
  <sheetFormatPr baseColWidth="10" defaultColWidth="9.140625" defaultRowHeight="12.75"/>
  <cols>
    <col min="1" max="1" width="3.28515625" style="281" hidden="1" customWidth="1"/>
    <col min="2" max="2" width="46.7109375" style="281" customWidth="1"/>
    <col min="3" max="3" width="2.7109375" style="281" customWidth="1"/>
    <col min="4" max="4" width="11.28515625" style="281" customWidth="1"/>
    <col min="5" max="5" width="2.7109375" style="281" customWidth="1"/>
    <col min="6" max="6" width="10.7109375" style="281" customWidth="1"/>
    <col min="7" max="7" width="2.7109375" style="281" customWidth="1"/>
    <col min="8" max="8" width="10.7109375" style="281" customWidth="1"/>
    <col min="9" max="9" width="2.7109375" style="281" customWidth="1"/>
    <col min="10" max="10" width="10.7109375" style="281" customWidth="1"/>
    <col min="11" max="11" width="2.7109375" style="281" customWidth="1"/>
    <col min="12" max="12" width="10.7109375" style="281" customWidth="1"/>
    <col min="13" max="13" width="2.7109375" style="281" customWidth="1"/>
    <col min="14" max="14" width="10.7109375" style="281" customWidth="1"/>
    <col min="15" max="15" width="2.7109375" style="281" customWidth="1"/>
    <col min="16" max="16" width="10.7109375" style="281" customWidth="1"/>
    <col min="17" max="17" width="2.7109375" style="281" customWidth="1"/>
    <col min="18" max="18" width="10.7109375" style="281" customWidth="1"/>
    <col min="19" max="19" width="2.7109375" style="281" customWidth="1"/>
    <col min="20" max="20" width="10.7109375" style="281" customWidth="1"/>
    <col min="21" max="21" width="2.7109375" style="281" customWidth="1"/>
    <col min="22" max="22" width="10.7109375" style="281" customWidth="1"/>
    <col min="23" max="23" width="2.7109375" style="281" customWidth="1"/>
    <col min="24" max="24" width="10.7109375" style="281" customWidth="1"/>
    <col min="25" max="25" width="2.7109375" style="281" customWidth="1"/>
    <col min="26" max="26" width="10.7109375" style="281" customWidth="1"/>
    <col min="27" max="27" width="2.7109375" style="281" customWidth="1"/>
    <col min="28" max="28" width="12.7109375" style="281" customWidth="1"/>
    <col min="29" max="33" width="11.7109375" style="283" customWidth="1"/>
    <col min="34" max="41" width="9.140625" style="283"/>
    <col min="42" max="16384" width="9.140625" style="281"/>
  </cols>
  <sheetData>
    <row r="1" spans="1:41">
      <c r="B1" s="282"/>
      <c r="C1" s="282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82"/>
      <c r="AB1" s="282"/>
    </row>
    <row r="2" spans="1:41" ht="28.5" customHeight="1">
      <c r="B2" s="529" t="s">
        <v>114</v>
      </c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522"/>
      <c r="R2" s="522"/>
      <c r="S2" s="522"/>
      <c r="T2" s="522"/>
      <c r="U2" s="522"/>
      <c r="V2" s="522"/>
      <c r="W2" s="522"/>
      <c r="X2" s="522"/>
      <c r="Y2" s="522"/>
      <c r="Z2" s="522"/>
      <c r="AA2" s="522"/>
      <c r="AB2" s="522"/>
      <c r="AC2" s="284"/>
      <c r="AD2" s="284"/>
      <c r="AE2" s="284"/>
      <c r="AF2" s="284"/>
    </row>
    <row r="3" spans="1:41" ht="15.75" customHeight="1" thickBot="1">
      <c r="B3" s="522" t="s">
        <v>57</v>
      </c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  <c r="N3" s="522"/>
      <c r="O3" s="522"/>
      <c r="P3" s="522"/>
      <c r="Q3" s="522"/>
      <c r="R3" s="522"/>
      <c r="S3" s="522"/>
      <c r="T3" s="522"/>
      <c r="U3" s="522"/>
      <c r="V3" s="522"/>
      <c r="W3" s="522"/>
      <c r="X3" s="522"/>
      <c r="Y3" s="522"/>
      <c r="Z3" s="522"/>
      <c r="AA3" s="522"/>
      <c r="AB3" s="522"/>
      <c r="AC3" s="285"/>
      <c r="AD3" s="285"/>
      <c r="AE3" s="285"/>
      <c r="AF3" s="285"/>
    </row>
    <row r="4" spans="1:41">
      <c r="B4" s="286"/>
      <c r="C4" s="526"/>
      <c r="D4" s="530"/>
      <c r="E4" s="526"/>
      <c r="F4" s="527"/>
      <c r="G4" s="526"/>
      <c r="H4" s="527"/>
      <c r="I4" s="526"/>
      <c r="J4" s="527"/>
      <c r="K4" s="526"/>
      <c r="L4" s="527"/>
      <c r="M4" s="526"/>
      <c r="N4" s="527"/>
      <c r="O4" s="526"/>
      <c r="P4" s="527"/>
      <c r="Q4" s="526"/>
      <c r="R4" s="527"/>
      <c r="S4" s="526"/>
      <c r="T4" s="527"/>
      <c r="U4" s="526"/>
      <c r="V4" s="528"/>
      <c r="W4" s="526"/>
      <c r="X4" s="528"/>
      <c r="Y4" s="526"/>
      <c r="Z4" s="528"/>
      <c r="AA4" s="526"/>
      <c r="AB4" s="528"/>
    </row>
    <row r="5" spans="1:41">
      <c r="B5" s="287">
        <v>2009</v>
      </c>
      <c r="C5" s="516" t="s">
        <v>4</v>
      </c>
      <c r="D5" s="517"/>
      <c r="E5" s="516" t="s">
        <v>5</v>
      </c>
      <c r="F5" s="518"/>
      <c r="G5" s="516" t="s">
        <v>6</v>
      </c>
      <c r="H5" s="518"/>
      <c r="I5" s="516" t="s">
        <v>7</v>
      </c>
      <c r="J5" s="518"/>
      <c r="K5" s="516" t="s">
        <v>8</v>
      </c>
      <c r="L5" s="518"/>
      <c r="M5" s="516" t="s">
        <v>9</v>
      </c>
      <c r="N5" s="518"/>
      <c r="O5" s="516" t="s">
        <v>10</v>
      </c>
      <c r="P5" s="518"/>
      <c r="Q5" s="525" t="s">
        <v>11</v>
      </c>
      <c r="R5" s="518"/>
      <c r="S5" s="525" t="s">
        <v>12</v>
      </c>
      <c r="T5" s="518"/>
      <c r="U5" s="516" t="s">
        <v>0</v>
      </c>
      <c r="V5" s="523"/>
      <c r="W5" s="516" t="s">
        <v>1</v>
      </c>
      <c r="X5" s="523"/>
      <c r="Y5" s="516" t="s">
        <v>2</v>
      </c>
      <c r="Z5" s="523"/>
      <c r="AA5" s="516" t="s">
        <v>15</v>
      </c>
      <c r="AB5" s="523"/>
    </row>
    <row r="6" spans="1:41">
      <c r="B6" s="287"/>
      <c r="C6" s="288"/>
      <c r="D6" s="292"/>
      <c r="E6" s="288"/>
      <c r="F6" s="289"/>
      <c r="G6" s="288"/>
      <c r="H6" s="289"/>
      <c r="I6" s="288"/>
      <c r="J6" s="289"/>
      <c r="K6" s="288"/>
      <c r="L6" s="289"/>
      <c r="M6" s="288"/>
      <c r="N6" s="289"/>
      <c r="O6" s="288"/>
      <c r="P6" s="289"/>
      <c r="Q6" s="290"/>
      <c r="R6" s="289"/>
      <c r="S6" s="290"/>
      <c r="T6" s="289"/>
      <c r="U6" s="288"/>
      <c r="V6" s="291"/>
      <c r="W6" s="288"/>
      <c r="X6" s="291"/>
      <c r="Y6" s="288"/>
      <c r="Z6" s="291"/>
      <c r="AA6" s="288"/>
      <c r="AB6" s="291"/>
    </row>
    <row r="7" spans="1:41" ht="3.75" customHeight="1" thickBot="1">
      <c r="B7" s="293"/>
      <c r="C7" s="519"/>
      <c r="D7" s="524"/>
      <c r="E7" s="519"/>
      <c r="F7" s="520"/>
      <c r="G7" s="519"/>
      <c r="H7" s="520"/>
      <c r="I7" s="519"/>
      <c r="J7" s="520"/>
      <c r="K7" s="519"/>
      <c r="L7" s="520"/>
      <c r="M7" s="519"/>
      <c r="N7" s="520"/>
      <c r="O7" s="519"/>
      <c r="P7" s="520"/>
      <c r="Q7" s="519"/>
      <c r="R7" s="520"/>
      <c r="S7" s="519"/>
      <c r="T7" s="520"/>
      <c r="U7" s="519"/>
      <c r="V7" s="521"/>
      <c r="W7" s="519"/>
      <c r="X7" s="521"/>
      <c r="Y7" s="519"/>
      <c r="Z7" s="521"/>
      <c r="AA7" s="519"/>
      <c r="AB7" s="521"/>
    </row>
    <row r="8" spans="1:41" s="238" customFormat="1" ht="14.25">
      <c r="A8" s="231"/>
      <c r="B8" s="38" t="s">
        <v>16</v>
      </c>
      <c r="C8" s="10"/>
      <c r="D8" s="294">
        <f>D9+D12</f>
        <v>75916.84844799999</v>
      </c>
      <c r="E8" s="295"/>
      <c r="F8" s="294">
        <f>F9+F12</f>
        <v>78281.667511000007</v>
      </c>
      <c r="G8" s="295"/>
      <c r="H8" s="294">
        <f>H9+H12</f>
        <v>87900.072073000003</v>
      </c>
      <c r="I8" s="295"/>
      <c r="J8" s="294">
        <f>J9+J12</f>
        <v>78648.829883999992</v>
      </c>
      <c r="K8" s="295"/>
      <c r="L8" s="294">
        <f>L9+L12</f>
        <v>76580.047388000006</v>
      </c>
      <c r="M8" s="295"/>
      <c r="N8" s="294">
        <f>N9+N12</f>
        <v>101089.30765999999</v>
      </c>
      <c r="O8" s="295"/>
      <c r="P8" s="294">
        <f>P9+P12</f>
        <v>103371.727704</v>
      </c>
      <c r="Q8" s="295"/>
      <c r="R8" s="294">
        <f>R9+R12</f>
        <v>94114.422751999999</v>
      </c>
      <c r="S8" s="295"/>
      <c r="T8" s="294">
        <f>T9+T12</f>
        <v>110377.806717</v>
      </c>
      <c r="U8" s="295"/>
      <c r="V8" s="294">
        <f>V9+V12</f>
        <v>95461.717481999993</v>
      </c>
      <c r="W8" s="295"/>
      <c r="X8" s="294">
        <f>X9+X12</f>
        <v>113785.114871</v>
      </c>
      <c r="Y8" s="295"/>
      <c r="Z8" s="294">
        <f>Z9+Z12</f>
        <v>147081.38105600001</v>
      </c>
      <c r="AA8" s="235"/>
      <c r="AB8" s="294">
        <f>SUM(D8:Z8)</f>
        <v>1162608.9435459999</v>
      </c>
      <c r="AC8" s="236"/>
      <c r="AD8" s="296"/>
      <c r="AE8" s="237"/>
      <c r="AF8" s="296"/>
      <c r="AG8" s="237"/>
      <c r="AH8" s="237"/>
      <c r="AI8" s="237"/>
      <c r="AJ8" s="237"/>
      <c r="AK8" s="237"/>
      <c r="AL8" s="237"/>
      <c r="AM8" s="237"/>
      <c r="AN8" s="237"/>
      <c r="AO8" s="237"/>
    </row>
    <row r="9" spans="1:41" s="304" customFormat="1" ht="14.25">
      <c r="A9" s="297"/>
      <c r="B9" s="7" t="s">
        <v>17</v>
      </c>
      <c r="C9" s="298"/>
      <c r="D9" s="299">
        <f>+D10+D11</f>
        <v>71819.610952999996</v>
      </c>
      <c r="E9" s="300"/>
      <c r="F9" s="299">
        <f>+F10+F11</f>
        <v>75963.382014000003</v>
      </c>
      <c r="G9" s="300"/>
      <c r="H9" s="299">
        <f>+H10+H11</f>
        <v>87832.480851</v>
      </c>
      <c r="I9" s="300"/>
      <c r="J9" s="299">
        <f>+J10+J11</f>
        <v>79630.067171999995</v>
      </c>
      <c r="K9" s="300"/>
      <c r="L9" s="299">
        <f>+L10+L11</f>
        <v>75520.290990000009</v>
      </c>
      <c r="M9" s="300"/>
      <c r="N9" s="299">
        <f>+N10+N11</f>
        <v>100769.760239</v>
      </c>
      <c r="O9" s="300"/>
      <c r="P9" s="299">
        <f>+P10+P11</f>
        <v>102792.757299</v>
      </c>
      <c r="Q9" s="300"/>
      <c r="R9" s="299">
        <f>+R10+R11</f>
        <v>87365.494946999999</v>
      </c>
      <c r="S9" s="300"/>
      <c r="T9" s="299">
        <f>+T10+T11</f>
        <v>105234.766665</v>
      </c>
      <c r="U9" s="300"/>
      <c r="V9" s="299">
        <f>+V10+V11</f>
        <v>89400.961794999996</v>
      </c>
      <c r="W9" s="300"/>
      <c r="X9" s="299">
        <f>+X10+X11</f>
        <v>108135.890147</v>
      </c>
      <c r="Y9" s="300"/>
      <c r="Z9" s="299">
        <f>+Z10+Z11</f>
        <v>115088.64472700001</v>
      </c>
      <c r="AA9" s="301"/>
      <c r="AB9" s="299">
        <f t="shared" ref="AB9:AB47" si="0">SUM(D9:Z9)</f>
        <v>1099554.1077990001</v>
      </c>
      <c r="AC9" s="239"/>
      <c r="AD9" s="302"/>
      <c r="AE9" s="303"/>
      <c r="AF9" s="302"/>
      <c r="AG9" s="303"/>
      <c r="AH9" s="303"/>
      <c r="AI9" s="303"/>
      <c r="AJ9" s="303"/>
      <c r="AK9" s="303"/>
      <c r="AL9" s="303"/>
      <c r="AM9" s="303"/>
      <c r="AN9" s="303"/>
      <c r="AO9" s="303"/>
    </row>
    <row r="10" spans="1:41" s="304" customFormat="1" ht="14.25">
      <c r="A10" s="297">
        <v>1</v>
      </c>
      <c r="B10" s="52" t="s">
        <v>77</v>
      </c>
      <c r="C10" s="298"/>
      <c r="D10" s="299">
        <v>18327.509231</v>
      </c>
      <c r="E10" s="300"/>
      <c r="F10" s="300">
        <v>26570.892457000002</v>
      </c>
      <c r="G10" s="300"/>
      <c r="H10" s="300">
        <v>25586.450769999999</v>
      </c>
      <c r="I10" s="300"/>
      <c r="J10" s="300">
        <v>24502.420682</v>
      </c>
      <c r="K10" s="300"/>
      <c r="L10" s="300">
        <v>29182.006336999999</v>
      </c>
      <c r="M10" s="300"/>
      <c r="N10" s="300">
        <v>33878.885742999999</v>
      </c>
      <c r="O10" s="300"/>
      <c r="P10" s="300">
        <v>39410.476429000002</v>
      </c>
      <c r="Q10" s="300"/>
      <c r="R10" s="300">
        <v>32621.851433</v>
      </c>
      <c r="S10" s="300"/>
      <c r="T10" s="300">
        <v>35151.817068999997</v>
      </c>
      <c r="U10" s="300"/>
      <c r="V10" s="300">
        <v>41427.272837999997</v>
      </c>
      <c r="W10" s="300"/>
      <c r="X10" s="300">
        <v>35584.232681000001</v>
      </c>
      <c r="Y10" s="300"/>
      <c r="Z10" s="300">
        <v>46910.438535000001</v>
      </c>
      <c r="AA10" s="301"/>
      <c r="AB10" s="305">
        <f t="shared" si="0"/>
        <v>389154.254205</v>
      </c>
      <c r="AC10" s="239"/>
      <c r="AD10" s="302"/>
      <c r="AE10" s="303"/>
      <c r="AF10" s="302"/>
      <c r="AG10" s="303"/>
      <c r="AH10" s="303"/>
      <c r="AI10" s="303"/>
      <c r="AJ10" s="303"/>
      <c r="AK10" s="303"/>
      <c r="AL10" s="303"/>
      <c r="AM10" s="303"/>
      <c r="AN10" s="303"/>
      <c r="AO10" s="303"/>
    </row>
    <row r="11" spans="1:41" s="304" customFormat="1" ht="14.25">
      <c r="A11" s="297">
        <v>2</v>
      </c>
      <c r="B11" s="52" t="s">
        <v>103</v>
      </c>
      <c r="C11" s="298"/>
      <c r="D11" s="300">
        <v>53492.101721999999</v>
      </c>
      <c r="E11" s="300"/>
      <c r="F11" s="300">
        <v>49392.489557000001</v>
      </c>
      <c r="G11" s="300"/>
      <c r="H11" s="300">
        <v>62246.030080999997</v>
      </c>
      <c r="I11" s="300"/>
      <c r="J11" s="300">
        <v>55127.646489999999</v>
      </c>
      <c r="K11" s="300"/>
      <c r="L11" s="300">
        <v>46338.284653000002</v>
      </c>
      <c r="M11" s="300"/>
      <c r="N11" s="300">
        <v>66890.874496000004</v>
      </c>
      <c r="O11" s="300"/>
      <c r="P11" s="300">
        <v>63382.280870000002</v>
      </c>
      <c r="Q11" s="300"/>
      <c r="R11" s="300">
        <v>54743.643514000003</v>
      </c>
      <c r="S11" s="300"/>
      <c r="T11" s="300">
        <v>70082.949596000006</v>
      </c>
      <c r="U11" s="300"/>
      <c r="V11" s="300">
        <v>47973.688956999998</v>
      </c>
      <c r="W11" s="300"/>
      <c r="X11" s="300">
        <v>72551.657466000004</v>
      </c>
      <c r="Y11" s="300"/>
      <c r="Z11" s="300">
        <v>68178.206191999998</v>
      </c>
      <c r="AA11" s="301"/>
      <c r="AB11" s="305">
        <f t="shared" si="0"/>
        <v>710399.8535940001</v>
      </c>
      <c r="AC11" s="239"/>
      <c r="AD11" s="302"/>
      <c r="AE11" s="303"/>
      <c r="AF11" s="302"/>
      <c r="AG11" s="303"/>
      <c r="AH11" s="303"/>
      <c r="AI11" s="303"/>
      <c r="AJ11" s="303"/>
      <c r="AK11" s="303"/>
      <c r="AL11" s="303"/>
      <c r="AM11" s="303"/>
      <c r="AN11" s="303"/>
      <c r="AO11" s="303"/>
    </row>
    <row r="12" spans="1:41" s="304" customFormat="1" ht="14.25">
      <c r="A12" s="297">
        <v>3</v>
      </c>
      <c r="B12" s="7" t="s">
        <v>104</v>
      </c>
      <c r="C12" s="298"/>
      <c r="D12" s="300">
        <v>4097.2374950000003</v>
      </c>
      <c r="E12" s="300"/>
      <c r="F12" s="300">
        <v>2318.2854969999999</v>
      </c>
      <c r="G12" s="300"/>
      <c r="H12" s="300">
        <v>67.591222000000002</v>
      </c>
      <c r="I12" s="300"/>
      <c r="J12" s="300">
        <v>-981.23728800000004</v>
      </c>
      <c r="K12" s="300"/>
      <c r="L12" s="300">
        <v>1059.756398</v>
      </c>
      <c r="M12" s="300"/>
      <c r="N12" s="300">
        <v>319.54742099999999</v>
      </c>
      <c r="O12" s="300"/>
      <c r="P12" s="300">
        <v>578.97040500000003</v>
      </c>
      <c r="Q12" s="300"/>
      <c r="R12" s="300">
        <v>6748.9278050000003</v>
      </c>
      <c r="S12" s="300"/>
      <c r="T12" s="300">
        <v>5143.0400520000003</v>
      </c>
      <c r="U12" s="300"/>
      <c r="V12" s="300">
        <v>6060.7556869999999</v>
      </c>
      <c r="W12" s="300"/>
      <c r="X12" s="300">
        <v>5649.2247239999997</v>
      </c>
      <c r="Y12" s="300"/>
      <c r="Z12" s="300">
        <v>31992.736328999999</v>
      </c>
      <c r="AA12" s="301"/>
      <c r="AB12" s="305">
        <f t="shared" si="0"/>
        <v>63054.835747000005</v>
      </c>
      <c r="AC12" s="239"/>
      <c r="AD12" s="302"/>
      <c r="AE12" s="303"/>
      <c r="AF12" s="302"/>
      <c r="AG12" s="303"/>
      <c r="AH12" s="303"/>
      <c r="AI12" s="303"/>
      <c r="AJ12" s="303"/>
      <c r="AK12" s="303"/>
      <c r="AL12" s="303"/>
      <c r="AM12" s="303"/>
      <c r="AN12" s="303"/>
      <c r="AO12" s="303"/>
    </row>
    <row r="13" spans="1:41" s="304" customFormat="1" ht="3.75" customHeight="1">
      <c r="A13" s="281"/>
      <c r="B13" s="240"/>
      <c r="C13" s="241"/>
      <c r="D13" s="306"/>
      <c r="E13" s="242"/>
      <c r="F13" s="243"/>
      <c r="G13" s="242"/>
      <c r="H13" s="243"/>
      <c r="I13" s="242"/>
      <c r="J13" s="243"/>
      <c r="K13" s="242"/>
      <c r="L13" s="307"/>
      <c r="M13" s="242"/>
      <c r="N13" s="307"/>
      <c r="O13" s="242"/>
      <c r="P13" s="307"/>
      <c r="Q13" s="242"/>
      <c r="R13" s="307"/>
      <c r="S13" s="242"/>
      <c r="T13" s="307"/>
      <c r="U13" s="242"/>
      <c r="V13" s="307"/>
      <c r="W13" s="242"/>
      <c r="X13" s="307"/>
      <c r="Y13" s="242"/>
      <c r="Z13" s="307"/>
      <c r="AA13" s="242"/>
      <c r="AB13" s="308"/>
      <c r="AC13" s="309"/>
      <c r="AD13" s="302"/>
      <c r="AE13" s="303"/>
      <c r="AF13" s="302"/>
      <c r="AG13" s="303"/>
      <c r="AH13" s="303"/>
      <c r="AI13" s="303"/>
      <c r="AJ13" s="303"/>
      <c r="AK13" s="303"/>
      <c r="AL13" s="303"/>
      <c r="AM13" s="303"/>
      <c r="AN13" s="303"/>
      <c r="AO13" s="303"/>
    </row>
    <row r="14" spans="1:41" s="238" customFormat="1" ht="14.25">
      <c r="A14" s="231"/>
      <c r="B14" s="38" t="s">
        <v>80</v>
      </c>
      <c r="C14" s="10"/>
      <c r="D14" s="294">
        <f>+D15+D16+D17</f>
        <v>11451.177336000001</v>
      </c>
      <c r="E14" s="295"/>
      <c r="F14" s="294">
        <f>+F15+F16+F17</f>
        <v>12055.934126</v>
      </c>
      <c r="G14" s="295"/>
      <c r="H14" s="294">
        <f>+H15+H16+H17</f>
        <v>12624.588314000001</v>
      </c>
      <c r="I14" s="295"/>
      <c r="J14" s="294">
        <f>+J15+J16+J17</f>
        <v>8412.3817350000008</v>
      </c>
      <c r="K14" s="295"/>
      <c r="L14" s="294">
        <f>+L15+L16+L17</f>
        <v>10216.050616</v>
      </c>
      <c r="M14" s="295"/>
      <c r="N14" s="294">
        <f>+N15+N16+N17</f>
        <v>15292.873337999999</v>
      </c>
      <c r="O14" s="295"/>
      <c r="P14" s="294">
        <f>+P15+P16+P17</f>
        <v>8653.0409780000009</v>
      </c>
      <c r="Q14" s="295"/>
      <c r="R14" s="294">
        <f>+R15+R16+R17</f>
        <v>10877.89365</v>
      </c>
      <c r="S14" s="295"/>
      <c r="T14" s="294">
        <f>+T15+T16+T17</f>
        <v>9890.2156450000002</v>
      </c>
      <c r="U14" s="295"/>
      <c r="V14" s="294">
        <f>+V15+V16+V17</f>
        <v>8180.8982489999999</v>
      </c>
      <c r="W14" s="295"/>
      <c r="X14" s="294">
        <f>+X15+X16+X17</f>
        <v>10061.455475999999</v>
      </c>
      <c r="Y14" s="295"/>
      <c r="Z14" s="294">
        <f>+Z15+Z16+Z17</f>
        <v>20110.186900000001</v>
      </c>
      <c r="AA14" s="235"/>
      <c r="AB14" s="294">
        <f t="shared" si="0"/>
        <v>137826.69636300002</v>
      </c>
      <c r="AC14" s="236"/>
      <c r="AD14" s="296"/>
      <c r="AE14" s="237"/>
      <c r="AF14" s="296"/>
      <c r="AG14" s="237"/>
      <c r="AH14" s="237"/>
      <c r="AI14" s="237"/>
      <c r="AJ14" s="237"/>
      <c r="AK14" s="237"/>
      <c r="AL14" s="237"/>
      <c r="AM14" s="237"/>
      <c r="AN14" s="237"/>
      <c r="AO14" s="237"/>
    </row>
    <row r="15" spans="1:41" s="304" customFormat="1" ht="14.25">
      <c r="A15" s="297">
        <v>4</v>
      </c>
      <c r="B15" s="7" t="s">
        <v>34</v>
      </c>
      <c r="C15" s="298"/>
      <c r="D15" s="299">
        <v>4595.3900800000001</v>
      </c>
      <c r="E15" s="300"/>
      <c r="F15" s="300">
        <v>4218.9020570000002</v>
      </c>
      <c r="G15" s="300"/>
      <c r="H15" s="300">
        <v>5353.654681</v>
      </c>
      <c r="I15" s="300"/>
      <c r="J15" s="300">
        <v>4649.2580760000001</v>
      </c>
      <c r="K15" s="300"/>
      <c r="L15" s="300">
        <v>4369.5566330000001</v>
      </c>
      <c r="M15" s="300"/>
      <c r="N15" s="300">
        <v>5786.6373249999997</v>
      </c>
      <c r="O15" s="300"/>
      <c r="P15" s="300">
        <v>4384.9986490000001</v>
      </c>
      <c r="Q15" s="300"/>
      <c r="R15" s="300">
        <v>4709.0767560000004</v>
      </c>
      <c r="S15" s="300"/>
      <c r="T15" s="300">
        <v>5775.9890219999997</v>
      </c>
      <c r="U15" s="300"/>
      <c r="V15" s="300">
        <v>4442.0326070000001</v>
      </c>
      <c r="W15" s="300"/>
      <c r="X15" s="300">
        <v>5485.3414140000004</v>
      </c>
      <c r="Y15" s="300"/>
      <c r="Z15" s="300">
        <v>8936.5777959999996</v>
      </c>
      <c r="AA15" s="301"/>
      <c r="AB15" s="305">
        <f t="shared" si="0"/>
        <v>62707.415096000004</v>
      </c>
      <c r="AC15" s="310"/>
      <c r="AD15" s="311"/>
      <c r="AE15" s="312"/>
      <c r="AF15" s="302"/>
      <c r="AG15" s="303"/>
      <c r="AH15" s="303"/>
      <c r="AI15" s="303"/>
      <c r="AJ15" s="303"/>
      <c r="AK15" s="303"/>
      <c r="AL15" s="303"/>
      <c r="AM15" s="303"/>
      <c r="AN15" s="303"/>
      <c r="AO15" s="303"/>
    </row>
    <row r="16" spans="1:41" s="304" customFormat="1" ht="14.25">
      <c r="A16" s="297">
        <v>5</v>
      </c>
      <c r="B16" s="7" t="s">
        <v>13</v>
      </c>
      <c r="C16" s="298"/>
      <c r="D16" s="299">
        <v>1133.284768</v>
      </c>
      <c r="E16" s="300"/>
      <c r="F16" s="300">
        <v>790.76892699999996</v>
      </c>
      <c r="G16" s="300"/>
      <c r="H16" s="300">
        <v>539.30519500000003</v>
      </c>
      <c r="I16" s="300"/>
      <c r="J16" s="300">
        <v>796.66045699999995</v>
      </c>
      <c r="K16" s="300"/>
      <c r="L16" s="300">
        <v>812.46824700000002</v>
      </c>
      <c r="M16" s="300"/>
      <c r="N16" s="300">
        <v>891.91503499999999</v>
      </c>
      <c r="O16" s="300"/>
      <c r="P16" s="300">
        <v>1393.049168</v>
      </c>
      <c r="Q16" s="300"/>
      <c r="R16" s="300">
        <v>1081.157933</v>
      </c>
      <c r="S16" s="300"/>
      <c r="T16" s="300">
        <v>1090.190441</v>
      </c>
      <c r="U16" s="300"/>
      <c r="V16" s="300">
        <v>977.80481499999996</v>
      </c>
      <c r="W16" s="300"/>
      <c r="X16" s="300">
        <v>1037.7368220000001</v>
      </c>
      <c r="Y16" s="300"/>
      <c r="Z16" s="300">
        <v>2426.4084969999999</v>
      </c>
      <c r="AA16" s="301"/>
      <c r="AB16" s="305">
        <f t="shared" si="0"/>
        <v>12970.750305000001</v>
      </c>
      <c r="AC16" s="310"/>
      <c r="AD16" s="302"/>
      <c r="AE16" s="303"/>
      <c r="AF16" s="302"/>
      <c r="AG16" s="303"/>
      <c r="AH16" s="303"/>
      <c r="AI16" s="303"/>
      <c r="AJ16" s="303"/>
      <c r="AK16" s="303"/>
      <c r="AL16" s="303"/>
      <c r="AM16" s="303"/>
      <c r="AN16" s="303"/>
      <c r="AO16" s="303"/>
    </row>
    <row r="17" spans="1:41" s="304" customFormat="1" ht="14.25" customHeight="1">
      <c r="A17" s="297">
        <v>6</v>
      </c>
      <c r="B17" s="7" t="s">
        <v>115</v>
      </c>
      <c r="C17" s="298"/>
      <c r="D17" s="300">
        <v>5722.5024880000001</v>
      </c>
      <c r="E17" s="300"/>
      <c r="F17" s="300">
        <v>7046.2631419999998</v>
      </c>
      <c r="G17" s="300"/>
      <c r="H17" s="300">
        <v>6731.6284380000006</v>
      </c>
      <c r="I17" s="300"/>
      <c r="J17" s="300">
        <v>2966.4632020000008</v>
      </c>
      <c r="K17" s="300"/>
      <c r="L17" s="300">
        <v>5034.0257360000005</v>
      </c>
      <c r="M17" s="300"/>
      <c r="N17" s="300">
        <v>8614.3209779999997</v>
      </c>
      <c r="O17" s="300"/>
      <c r="P17" s="300">
        <v>2874.9931610000008</v>
      </c>
      <c r="Q17" s="300"/>
      <c r="R17" s="300">
        <v>5087.6589609999992</v>
      </c>
      <c r="S17" s="300"/>
      <c r="T17" s="300">
        <v>3024.0361820000007</v>
      </c>
      <c r="U17" s="300"/>
      <c r="V17" s="300">
        <v>2761.0608269999998</v>
      </c>
      <c r="W17" s="300"/>
      <c r="X17" s="300">
        <v>3538.3772399999989</v>
      </c>
      <c r="Y17" s="300"/>
      <c r="Z17" s="300">
        <v>8747.2006070000007</v>
      </c>
      <c r="AA17" s="301"/>
      <c r="AB17" s="305">
        <f t="shared" si="0"/>
        <v>62148.530962000004</v>
      </c>
      <c r="AC17" s="310"/>
      <c r="AD17" s="302"/>
      <c r="AE17" s="303"/>
      <c r="AF17" s="302"/>
      <c r="AG17" s="303"/>
      <c r="AH17" s="303"/>
      <c r="AI17" s="303"/>
      <c r="AJ17" s="303"/>
      <c r="AK17" s="303"/>
      <c r="AL17" s="303"/>
      <c r="AM17" s="303"/>
      <c r="AN17" s="303"/>
      <c r="AO17" s="303"/>
    </row>
    <row r="18" spans="1:41" s="304" customFormat="1" ht="3.75" customHeight="1">
      <c r="A18" s="297"/>
      <c r="B18" s="240"/>
      <c r="C18" s="241"/>
      <c r="D18" s="306"/>
      <c r="E18" s="242"/>
      <c r="F18" s="243"/>
      <c r="G18" s="242"/>
      <c r="H18" s="243"/>
      <c r="I18" s="242"/>
      <c r="J18" s="243"/>
      <c r="K18" s="242"/>
      <c r="L18" s="243"/>
      <c r="M18" s="242"/>
      <c r="N18" s="307"/>
      <c r="O18" s="242"/>
      <c r="P18" s="307"/>
      <c r="Q18" s="242"/>
      <c r="R18" s="307"/>
      <c r="S18" s="242"/>
      <c r="T18" s="307"/>
      <c r="U18" s="242"/>
      <c r="V18" s="307"/>
      <c r="W18" s="242"/>
      <c r="X18" s="307"/>
      <c r="Y18" s="242"/>
      <c r="Z18" s="307"/>
      <c r="AA18" s="242"/>
      <c r="AB18" s="308"/>
      <c r="AC18" s="309"/>
      <c r="AD18" s="302"/>
      <c r="AE18" s="303"/>
      <c r="AF18" s="302"/>
      <c r="AG18" s="303"/>
      <c r="AH18" s="303"/>
      <c r="AI18" s="303"/>
      <c r="AJ18" s="303"/>
      <c r="AK18" s="303"/>
      <c r="AL18" s="303"/>
      <c r="AM18" s="303"/>
      <c r="AN18" s="303"/>
      <c r="AO18" s="303"/>
    </row>
    <row r="19" spans="1:41" s="304" customFormat="1" ht="14.25">
      <c r="A19" s="297">
        <v>7</v>
      </c>
      <c r="B19" s="313" t="s">
        <v>40</v>
      </c>
      <c r="C19" s="298"/>
      <c r="D19" s="300">
        <v>-614.57229700000005</v>
      </c>
      <c r="E19" s="300"/>
      <c r="F19" s="300">
        <v>-242.580386</v>
      </c>
      <c r="G19" s="300"/>
      <c r="H19" s="300">
        <v>-320.36562700000002</v>
      </c>
      <c r="I19" s="300"/>
      <c r="J19" s="300">
        <v>97.951454999999996</v>
      </c>
      <c r="K19" s="300"/>
      <c r="L19" s="300">
        <v>38.426566999999999</v>
      </c>
      <c r="M19" s="300"/>
      <c r="N19" s="300">
        <v>864.957359</v>
      </c>
      <c r="O19" s="300"/>
      <c r="P19" s="300">
        <v>539.69728199999997</v>
      </c>
      <c r="Q19" s="300"/>
      <c r="R19" s="300">
        <v>-587.87728200000004</v>
      </c>
      <c r="S19" s="300"/>
      <c r="T19" s="300">
        <v>-378.96079900000001</v>
      </c>
      <c r="U19" s="300"/>
      <c r="V19" s="300">
        <v>-95.484819999999999</v>
      </c>
      <c r="W19" s="300"/>
      <c r="X19" s="300">
        <v>798.91928800000005</v>
      </c>
      <c r="Y19" s="300"/>
      <c r="Z19" s="300">
        <v>-2131.2937320000001</v>
      </c>
      <c r="AA19" s="300"/>
      <c r="AB19" s="300">
        <f t="shared" si="0"/>
        <v>-2031.182992</v>
      </c>
      <c r="AC19" s="239"/>
      <c r="AD19" s="302"/>
      <c r="AE19" s="303"/>
      <c r="AF19" s="302"/>
      <c r="AG19" s="303"/>
      <c r="AH19" s="303"/>
      <c r="AI19" s="303"/>
      <c r="AJ19" s="303"/>
      <c r="AK19" s="303"/>
      <c r="AL19" s="303"/>
      <c r="AM19" s="303"/>
      <c r="AN19" s="303"/>
      <c r="AO19" s="303"/>
    </row>
    <row r="20" spans="1:41" s="304" customFormat="1" ht="3.75" customHeight="1">
      <c r="A20" s="297"/>
      <c r="B20" s="240"/>
      <c r="C20" s="244"/>
      <c r="D20" s="306"/>
      <c r="E20" s="245"/>
      <c r="F20" s="243"/>
      <c r="G20" s="245"/>
      <c r="H20" s="314"/>
      <c r="I20" s="245"/>
      <c r="J20" s="314"/>
      <c r="K20" s="245"/>
      <c r="L20" s="243"/>
      <c r="M20" s="245"/>
      <c r="N20" s="307"/>
      <c r="O20" s="245"/>
      <c r="P20" s="307"/>
      <c r="Q20" s="245"/>
      <c r="R20" s="307"/>
      <c r="S20" s="245"/>
      <c r="T20" s="307"/>
      <c r="U20" s="245"/>
      <c r="V20" s="307"/>
      <c r="W20" s="245"/>
      <c r="X20" s="307"/>
      <c r="Y20" s="245"/>
      <c r="Z20" s="307"/>
      <c r="AA20" s="245"/>
      <c r="AB20" s="308"/>
      <c r="AC20" s="239"/>
      <c r="AD20" s="302"/>
      <c r="AE20" s="303"/>
      <c r="AF20" s="302"/>
      <c r="AG20" s="303"/>
      <c r="AH20" s="303"/>
      <c r="AI20" s="303"/>
      <c r="AJ20" s="303"/>
      <c r="AK20" s="303"/>
      <c r="AL20" s="303"/>
      <c r="AM20" s="303"/>
      <c r="AN20" s="303"/>
      <c r="AO20" s="303"/>
    </row>
    <row r="21" spans="1:41" s="304" customFormat="1" ht="13.5" customHeight="1">
      <c r="A21" s="297">
        <v>8</v>
      </c>
      <c r="B21" s="315" t="s">
        <v>82</v>
      </c>
      <c r="C21" s="8"/>
      <c r="D21" s="299">
        <v>13048.274509999999</v>
      </c>
      <c r="E21" s="300"/>
      <c r="F21" s="300">
        <v>9736.5565060000008</v>
      </c>
      <c r="G21" s="300"/>
      <c r="H21" s="300">
        <v>14954.868005</v>
      </c>
      <c r="I21" s="300"/>
      <c r="J21" s="300">
        <v>8768.6692559999992</v>
      </c>
      <c r="K21" s="300"/>
      <c r="L21" s="300">
        <v>12688.415418</v>
      </c>
      <c r="M21" s="300"/>
      <c r="N21" s="300">
        <v>13499.888514</v>
      </c>
      <c r="O21" s="300"/>
      <c r="P21" s="300">
        <v>19190.181649999999</v>
      </c>
      <c r="Q21" s="300"/>
      <c r="R21" s="300">
        <v>20014.72767</v>
      </c>
      <c r="S21" s="300"/>
      <c r="T21" s="300">
        <v>17830.026120999999</v>
      </c>
      <c r="U21" s="300"/>
      <c r="V21" s="300">
        <v>16516.233729</v>
      </c>
      <c r="W21" s="300"/>
      <c r="X21" s="300">
        <v>14511.260543</v>
      </c>
      <c r="Y21" s="300"/>
      <c r="Z21" s="300">
        <v>20417.863259000002</v>
      </c>
      <c r="AA21" s="301"/>
      <c r="AB21" s="305">
        <f t="shared" si="0"/>
        <v>181176.96518100004</v>
      </c>
      <c r="AC21" s="239"/>
      <c r="AD21" s="311"/>
      <c r="AE21" s="303"/>
      <c r="AF21" s="302"/>
      <c r="AG21" s="303"/>
      <c r="AH21" s="303"/>
      <c r="AI21" s="303"/>
      <c r="AJ21" s="303"/>
      <c r="AK21" s="303"/>
      <c r="AL21" s="303"/>
      <c r="AM21" s="303"/>
      <c r="AN21" s="303"/>
      <c r="AO21" s="303"/>
    </row>
    <row r="22" spans="1:41" s="304" customFormat="1" ht="3.75" customHeight="1">
      <c r="A22" s="281"/>
      <c r="B22" s="240"/>
      <c r="C22" s="241"/>
      <c r="D22" s="306"/>
      <c r="E22" s="242"/>
      <c r="F22" s="243"/>
      <c r="G22" s="242"/>
      <c r="H22" s="243"/>
      <c r="I22" s="242"/>
      <c r="J22" s="243"/>
      <c r="K22" s="242"/>
      <c r="L22" s="307"/>
      <c r="M22" s="242"/>
      <c r="N22" s="307"/>
      <c r="O22" s="242"/>
      <c r="P22" s="307"/>
      <c r="Q22" s="242"/>
      <c r="R22" s="307"/>
      <c r="S22" s="242"/>
      <c r="T22" s="307"/>
      <c r="U22" s="242"/>
      <c r="V22" s="307"/>
      <c r="W22" s="242"/>
      <c r="X22" s="307"/>
      <c r="Y22" s="242"/>
      <c r="Z22" s="307"/>
      <c r="AA22" s="242"/>
      <c r="AB22" s="308"/>
      <c r="AC22" s="309"/>
      <c r="AD22" s="302"/>
      <c r="AE22" s="303"/>
      <c r="AF22" s="302"/>
      <c r="AG22" s="303"/>
      <c r="AH22" s="303"/>
      <c r="AI22" s="303"/>
      <c r="AJ22" s="303"/>
      <c r="AK22" s="303"/>
      <c r="AL22" s="303"/>
      <c r="AM22" s="303"/>
      <c r="AN22" s="303"/>
      <c r="AO22" s="303"/>
    </row>
    <row r="23" spans="1:41" s="238" customFormat="1" ht="14.25">
      <c r="A23" s="231"/>
      <c r="B23" s="246" t="s">
        <v>83</v>
      </c>
      <c r="C23" s="10"/>
      <c r="D23" s="294">
        <f>D8-D14-D19-D21</f>
        <v>52031.968898999985</v>
      </c>
      <c r="E23" s="295"/>
      <c r="F23" s="294">
        <f>F8-F14-F19-F21</f>
        <v>56731.757265</v>
      </c>
      <c r="G23" s="295"/>
      <c r="H23" s="294">
        <f>H8-H14-H19-H21</f>
        <v>60640.981381000005</v>
      </c>
      <c r="I23" s="295"/>
      <c r="J23" s="294">
        <f>J8-J14-J19-J21</f>
        <v>61369.827437999986</v>
      </c>
      <c r="K23" s="295"/>
      <c r="L23" s="294">
        <f>L8-L14-L19-L21</f>
        <v>53637.154787000007</v>
      </c>
      <c r="M23" s="295"/>
      <c r="N23" s="294">
        <f>N8-N14-N19-N21</f>
        <v>71431.588448999988</v>
      </c>
      <c r="O23" s="295"/>
      <c r="P23" s="294">
        <f>P8-P14-P19-P21</f>
        <v>74988.807794000008</v>
      </c>
      <c r="Q23" s="295"/>
      <c r="R23" s="294">
        <f>R8-R14-R19-R21</f>
        <v>63809.678714000001</v>
      </c>
      <c r="S23" s="295"/>
      <c r="T23" s="294">
        <f>T8-T14-T19-T21</f>
        <v>83036.525749999986</v>
      </c>
      <c r="U23" s="295"/>
      <c r="V23" s="294">
        <f>V8-V14-V19-V21</f>
        <v>70860.070323999986</v>
      </c>
      <c r="W23" s="295"/>
      <c r="X23" s="294">
        <f>X8-X14-X19-X21</f>
        <v>88413.479563999994</v>
      </c>
      <c r="Y23" s="295"/>
      <c r="Z23" s="294">
        <f>Z8-Z14-Z19-Z21</f>
        <v>108684.62462900001</v>
      </c>
      <c r="AA23" s="295"/>
      <c r="AB23" s="294">
        <f t="shared" si="0"/>
        <v>845636.46499399992</v>
      </c>
      <c r="AC23" s="236"/>
      <c r="AD23" s="296"/>
      <c r="AE23" s="237"/>
      <c r="AF23" s="296"/>
      <c r="AG23" s="237"/>
      <c r="AH23" s="237"/>
      <c r="AI23" s="237"/>
      <c r="AJ23" s="237"/>
      <c r="AK23" s="237"/>
      <c r="AL23" s="237"/>
      <c r="AM23" s="237"/>
      <c r="AN23" s="237"/>
      <c r="AO23" s="237"/>
    </row>
    <row r="24" spans="1:41" s="238" customFormat="1" ht="3.75" customHeight="1">
      <c r="A24" s="233"/>
      <c r="B24" s="247"/>
      <c r="C24" s="241"/>
      <c r="D24" s="248"/>
      <c r="E24" s="242"/>
      <c r="F24" s="249"/>
      <c r="G24" s="242"/>
      <c r="H24" s="249"/>
      <c r="I24" s="242"/>
      <c r="J24" s="249"/>
      <c r="K24" s="242"/>
      <c r="L24" s="250"/>
      <c r="M24" s="242"/>
      <c r="N24" s="250"/>
      <c r="O24" s="242"/>
      <c r="P24" s="250"/>
      <c r="Q24" s="242"/>
      <c r="R24" s="250"/>
      <c r="S24" s="242"/>
      <c r="T24" s="250"/>
      <c r="U24" s="242"/>
      <c r="V24" s="250"/>
      <c r="W24" s="242"/>
      <c r="X24" s="250"/>
      <c r="Y24" s="242"/>
      <c r="Z24" s="250"/>
      <c r="AA24" s="242"/>
      <c r="AB24" s="249"/>
      <c r="AC24" s="251"/>
      <c r="AD24" s="296"/>
      <c r="AE24" s="237"/>
      <c r="AF24" s="296"/>
      <c r="AG24" s="237"/>
      <c r="AH24" s="237"/>
      <c r="AI24" s="237"/>
      <c r="AJ24" s="237"/>
      <c r="AK24" s="237"/>
      <c r="AL24" s="237"/>
      <c r="AM24" s="237"/>
      <c r="AN24" s="237"/>
      <c r="AO24" s="237"/>
    </row>
    <row r="25" spans="1:41" s="238" customFormat="1" ht="14.25">
      <c r="A25" s="231"/>
      <c r="B25" s="246" t="s">
        <v>84</v>
      </c>
      <c r="C25" s="10"/>
      <c r="D25" s="294">
        <f>+D27+D26</f>
        <v>15155.722911000001</v>
      </c>
      <c r="E25" s="295"/>
      <c r="F25" s="294">
        <f>+F27+F26</f>
        <v>8476.0009160000009</v>
      </c>
      <c r="G25" s="295"/>
      <c r="H25" s="294">
        <f>+H27+H26</f>
        <v>24673.020397</v>
      </c>
      <c r="I25" s="295"/>
      <c r="J25" s="294">
        <f>+J27+J26</f>
        <v>16804.094985</v>
      </c>
      <c r="K25" s="295"/>
      <c r="L25" s="294">
        <f>+L27+L26</f>
        <v>16024.665568</v>
      </c>
      <c r="M25" s="295"/>
      <c r="N25" s="294">
        <f>+N27+N26</f>
        <v>22590.240322000001</v>
      </c>
      <c r="O25" s="295"/>
      <c r="P25" s="294">
        <f>+P27+P26</f>
        <v>18907.937334999999</v>
      </c>
      <c r="Q25" s="295"/>
      <c r="R25" s="294">
        <f>+R27+R26</f>
        <v>20449.610966</v>
      </c>
      <c r="S25" s="295"/>
      <c r="T25" s="294">
        <f>+T27+T26</f>
        <v>21728.568342999999</v>
      </c>
      <c r="U25" s="295"/>
      <c r="V25" s="294">
        <f>+V27+V26</f>
        <v>20327.135678999999</v>
      </c>
      <c r="W25" s="295"/>
      <c r="X25" s="294">
        <f>+X27+X26</f>
        <v>18255.160027000002</v>
      </c>
      <c r="Y25" s="295"/>
      <c r="Z25" s="294">
        <f>+Z27+Z26</f>
        <v>48017.628206000001</v>
      </c>
      <c r="AA25" s="295"/>
      <c r="AB25" s="294">
        <f t="shared" si="0"/>
        <v>251409.78565499999</v>
      </c>
      <c r="AC25" s="236"/>
      <c r="AD25" s="296"/>
      <c r="AE25" s="237"/>
      <c r="AF25" s="296"/>
      <c r="AG25" s="237"/>
      <c r="AH25" s="237"/>
      <c r="AI25" s="237"/>
      <c r="AJ25" s="237"/>
      <c r="AK25" s="237"/>
      <c r="AL25" s="237"/>
      <c r="AM25" s="237"/>
      <c r="AN25" s="237"/>
      <c r="AO25" s="237"/>
    </row>
    <row r="26" spans="1:41" s="304" customFormat="1" ht="14.25">
      <c r="A26" s="297">
        <v>9</v>
      </c>
      <c r="B26" s="7" t="s">
        <v>85</v>
      </c>
      <c r="C26" s="298"/>
      <c r="D26" s="299">
        <v>0</v>
      </c>
      <c r="E26" s="300"/>
      <c r="F26" s="300">
        <v>0</v>
      </c>
      <c r="G26" s="300"/>
      <c r="H26" s="300">
        <v>0</v>
      </c>
      <c r="I26" s="300"/>
      <c r="J26" s="300">
        <v>0</v>
      </c>
      <c r="K26" s="300"/>
      <c r="L26" s="300">
        <v>0</v>
      </c>
      <c r="M26" s="300"/>
      <c r="N26" s="300">
        <v>0</v>
      </c>
      <c r="O26" s="300"/>
      <c r="P26" s="300">
        <v>0</v>
      </c>
      <c r="Q26" s="301"/>
      <c r="R26" s="300">
        <v>0</v>
      </c>
      <c r="S26" s="300"/>
      <c r="T26" s="300">
        <v>0</v>
      </c>
      <c r="U26" s="300"/>
      <c r="V26" s="300">
        <v>0</v>
      </c>
      <c r="W26" s="300"/>
      <c r="X26" s="300">
        <v>0</v>
      </c>
      <c r="Y26" s="300"/>
      <c r="Z26" s="300">
        <v>0</v>
      </c>
      <c r="AA26" s="300"/>
      <c r="AB26" s="305">
        <f t="shared" si="0"/>
        <v>0</v>
      </c>
      <c r="AC26" s="239"/>
      <c r="AD26" s="302"/>
      <c r="AE26" s="303"/>
      <c r="AF26" s="302"/>
      <c r="AG26" s="303"/>
      <c r="AH26" s="303"/>
      <c r="AI26" s="303"/>
      <c r="AJ26" s="303"/>
      <c r="AK26" s="303"/>
      <c r="AL26" s="303"/>
      <c r="AM26" s="303"/>
      <c r="AN26" s="303"/>
      <c r="AO26" s="303"/>
    </row>
    <row r="27" spans="1:41" s="304" customFormat="1" ht="14.25">
      <c r="A27" s="297"/>
      <c r="B27" s="313" t="s">
        <v>35</v>
      </c>
      <c r="C27" s="298"/>
      <c r="D27" s="300">
        <f>+D28+D29</f>
        <v>15155.722911000001</v>
      </c>
      <c r="E27" s="300"/>
      <c r="F27" s="300">
        <f>+F28+F29</f>
        <v>8476.0009160000009</v>
      </c>
      <c r="G27" s="300"/>
      <c r="H27" s="300">
        <f>+H28+H29</f>
        <v>24673.020397</v>
      </c>
      <c r="I27" s="300"/>
      <c r="J27" s="300">
        <f>+J28+J29</f>
        <v>16804.094985</v>
      </c>
      <c r="K27" s="300"/>
      <c r="L27" s="300">
        <f>+L28+L29</f>
        <v>16024.665568</v>
      </c>
      <c r="M27" s="300"/>
      <c r="N27" s="300">
        <f>+N28+N29</f>
        <v>22590.240322000001</v>
      </c>
      <c r="O27" s="300"/>
      <c r="P27" s="300">
        <f>+P28+P29</f>
        <v>18907.937334999999</v>
      </c>
      <c r="Q27" s="300"/>
      <c r="R27" s="300">
        <f>+R28+R29</f>
        <v>20449.610966</v>
      </c>
      <c r="S27" s="300"/>
      <c r="T27" s="300">
        <f>+T28+T29</f>
        <v>21728.568342999999</v>
      </c>
      <c r="U27" s="300"/>
      <c r="V27" s="300">
        <f>+V28+V29</f>
        <v>20327.135678999999</v>
      </c>
      <c r="W27" s="300"/>
      <c r="X27" s="300">
        <f>+X28+X29</f>
        <v>18255.160027000002</v>
      </c>
      <c r="Y27" s="300"/>
      <c r="Z27" s="300">
        <f>+Z28+Z29</f>
        <v>48017.628206000001</v>
      </c>
      <c r="AA27" s="301"/>
      <c r="AB27" s="300">
        <f t="shared" si="0"/>
        <v>251409.78565499999</v>
      </c>
      <c r="AC27" s="239"/>
      <c r="AD27" s="302"/>
      <c r="AE27" s="303"/>
      <c r="AF27" s="302"/>
      <c r="AG27" s="303"/>
      <c r="AH27" s="303"/>
      <c r="AI27" s="303"/>
      <c r="AJ27" s="303"/>
      <c r="AK27" s="303"/>
      <c r="AL27" s="303"/>
      <c r="AM27" s="303"/>
      <c r="AN27" s="303"/>
      <c r="AO27" s="303"/>
    </row>
    <row r="28" spans="1:41" s="304" customFormat="1" ht="14.25">
      <c r="A28" s="297">
        <v>10</v>
      </c>
      <c r="B28" s="7" t="s">
        <v>116</v>
      </c>
      <c r="C28" s="9"/>
      <c r="D28" s="300">
        <v>15155.722911000001</v>
      </c>
      <c r="E28" s="300"/>
      <c r="F28" s="300">
        <v>8476.0009160000009</v>
      </c>
      <c r="G28" s="300"/>
      <c r="H28" s="300">
        <v>24673.020397</v>
      </c>
      <c r="I28" s="300"/>
      <c r="J28" s="300">
        <v>16804.094985</v>
      </c>
      <c r="K28" s="300"/>
      <c r="L28" s="300">
        <v>16024.665568</v>
      </c>
      <c r="M28" s="300"/>
      <c r="N28" s="300">
        <v>22590.240322000001</v>
      </c>
      <c r="O28" s="300"/>
      <c r="P28" s="300">
        <v>18907.937334999999</v>
      </c>
      <c r="Q28" s="300"/>
      <c r="R28" s="300">
        <v>20449.610966</v>
      </c>
      <c r="S28" s="300"/>
      <c r="T28" s="300">
        <v>21728.568342999999</v>
      </c>
      <c r="U28" s="300"/>
      <c r="V28" s="300">
        <v>20327.135678999999</v>
      </c>
      <c r="W28" s="300"/>
      <c r="X28" s="300">
        <v>18255.160027000002</v>
      </c>
      <c r="Y28" s="300"/>
      <c r="Z28" s="300">
        <v>48017.628206000001</v>
      </c>
      <c r="AA28" s="301"/>
      <c r="AB28" s="305">
        <f t="shared" si="0"/>
        <v>251409.78565499999</v>
      </c>
      <c r="AC28" s="239"/>
      <c r="AD28" s="302"/>
      <c r="AE28" s="303"/>
      <c r="AF28" s="302"/>
      <c r="AG28" s="303"/>
      <c r="AH28" s="303"/>
      <c r="AI28" s="303"/>
      <c r="AJ28" s="303"/>
      <c r="AK28" s="303"/>
      <c r="AL28" s="303"/>
      <c r="AM28" s="303"/>
      <c r="AN28" s="303"/>
      <c r="AO28" s="303"/>
    </row>
    <row r="29" spans="1:41" s="304" customFormat="1" ht="14.25">
      <c r="A29" s="297">
        <v>11</v>
      </c>
      <c r="B29" s="7" t="s">
        <v>14</v>
      </c>
      <c r="C29" s="298"/>
      <c r="D29" s="299">
        <v>0</v>
      </c>
      <c r="E29" s="300"/>
      <c r="F29" s="300">
        <v>0</v>
      </c>
      <c r="G29" s="300"/>
      <c r="H29" s="300">
        <v>0</v>
      </c>
      <c r="I29" s="300"/>
      <c r="J29" s="300">
        <v>0</v>
      </c>
      <c r="K29" s="300"/>
      <c r="L29" s="300">
        <v>0</v>
      </c>
      <c r="M29" s="300"/>
      <c r="N29" s="300">
        <v>0</v>
      </c>
      <c r="O29" s="300"/>
      <c r="P29" s="300">
        <v>0</v>
      </c>
      <c r="Q29" s="300"/>
      <c r="R29" s="300">
        <v>0</v>
      </c>
      <c r="S29" s="300"/>
      <c r="T29" s="300">
        <v>0</v>
      </c>
      <c r="U29" s="300"/>
      <c r="V29" s="300">
        <v>0</v>
      </c>
      <c r="W29" s="300"/>
      <c r="X29" s="300">
        <v>0</v>
      </c>
      <c r="Y29" s="300"/>
      <c r="Z29" s="300">
        <v>0</v>
      </c>
      <c r="AA29" s="301"/>
      <c r="AB29" s="300">
        <f t="shared" si="0"/>
        <v>0</v>
      </c>
      <c r="AC29" s="239"/>
      <c r="AD29" s="302"/>
      <c r="AE29" s="303"/>
      <c r="AF29" s="302"/>
      <c r="AG29" s="303"/>
      <c r="AH29" s="303"/>
      <c r="AI29" s="303"/>
      <c r="AJ29" s="303"/>
      <c r="AK29" s="303"/>
      <c r="AL29" s="303"/>
      <c r="AM29" s="303"/>
      <c r="AN29" s="303"/>
      <c r="AO29" s="303"/>
    </row>
    <row r="30" spans="1:41" s="304" customFormat="1" ht="3.75" customHeight="1">
      <c r="A30" s="297"/>
      <c r="B30" s="240"/>
      <c r="C30" s="244"/>
      <c r="D30" s="306"/>
      <c r="E30" s="245"/>
      <c r="F30" s="243"/>
      <c r="G30" s="245"/>
      <c r="H30" s="243"/>
      <c r="I30" s="245"/>
      <c r="J30" s="243"/>
      <c r="K30" s="245"/>
      <c r="L30" s="307"/>
      <c r="M30" s="245"/>
      <c r="N30" s="307"/>
      <c r="O30" s="245"/>
      <c r="P30" s="307"/>
      <c r="Q30" s="245"/>
      <c r="R30" s="307"/>
      <c r="S30" s="245"/>
      <c r="T30" s="307"/>
      <c r="U30" s="245"/>
      <c r="V30" s="307"/>
      <c r="W30" s="245"/>
      <c r="X30" s="307"/>
      <c r="Y30" s="245"/>
      <c r="Z30" s="307"/>
      <c r="AA30" s="245"/>
      <c r="AB30" s="308"/>
      <c r="AC30" s="309"/>
      <c r="AD30" s="302"/>
      <c r="AE30" s="303"/>
      <c r="AF30" s="302"/>
      <c r="AG30" s="303"/>
      <c r="AH30" s="303"/>
      <c r="AI30" s="303"/>
      <c r="AJ30" s="303"/>
      <c r="AK30" s="303"/>
      <c r="AL30" s="303"/>
      <c r="AM30" s="303"/>
      <c r="AN30" s="303"/>
      <c r="AO30" s="303"/>
    </row>
    <row r="31" spans="1:41" s="304" customFormat="1" ht="13.5" customHeight="1">
      <c r="A31" s="297">
        <v>12</v>
      </c>
      <c r="B31" s="316" t="s">
        <v>23</v>
      </c>
      <c r="C31" s="8"/>
      <c r="D31" s="299">
        <v>0</v>
      </c>
      <c r="E31" s="300"/>
      <c r="F31" s="300">
        <v>12.6</v>
      </c>
      <c r="G31" s="300"/>
      <c r="H31" s="300">
        <v>0</v>
      </c>
      <c r="I31" s="300"/>
      <c r="J31" s="300">
        <v>0</v>
      </c>
      <c r="K31" s="300"/>
      <c r="L31" s="300">
        <v>0</v>
      </c>
      <c r="M31" s="300"/>
      <c r="N31" s="300">
        <v>0</v>
      </c>
      <c r="O31" s="300"/>
      <c r="P31" s="300">
        <v>0</v>
      </c>
      <c r="Q31" s="300"/>
      <c r="R31" s="300">
        <v>0</v>
      </c>
      <c r="S31" s="300"/>
      <c r="T31" s="300">
        <v>0</v>
      </c>
      <c r="U31" s="300"/>
      <c r="V31" s="300">
        <v>0</v>
      </c>
      <c r="W31" s="300"/>
      <c r="X31" s="300">
        <v>0</v>
      </c>
      <c r="Y31" s="300"/>
      <c r="Z31" s="300">
        <v>0</v>
      </c>
      <c r="AA31" s="301"/>
      <c r="AB31" s="305">
        <f t="shared" si="0"/>
        <v>12.6</v>
      </c>
      <c r="AC31" s="239"/>
      <c r="AD31" s="311"/>
      <c r="AE31" s="303"/>
      <c r="AF31" s="302"/>
      <c r="AG31" s="303"/>
      <c r="AH31" s="303"/>
      <c r="AI31" s="303"/>
      <c r="AJ31" s="303"/>
      <c r="AK31" s="303"/>
      <c r="AL31" s="303"/>
      <c r="AM31" s="303"/>
      <c r="AN31" s="303"/>
      <c r="AO31" s="303"/>
    </row>
    <row r="32" spans="1:41" s="304" customFormat="1" ht="3.75" customHeight="1">
      <c r="A32" s="281"/>
      <c r="B32" s="240"/>
      <c r="C32" s="241"/>
      <c r="D32" s="306"/>
      <c r="E32" s="242"/>
      <c r="F32" s="243"/>
      <c r="G32" s="242"/>
      <c r="H32" s="243"/>
      <c r="I32" s="242"/>
      <c r="J32" s="243"/>
      <c r="K32" s="242"/>
      <c r="L32" s="307"/>
      <c r="M32" s="242"/>
      <c r="N32" s="307"/>
      <c r="O32" s="242"/>
      <c r="P32" s="307"/>
      <c r="Q32" s="242"/>
      <c r="R32" s="307"/>
      <c r="S32" s="242"/>
      <c r="T32" s="307"/>
      <c r="U32" s="242"/>
      <c r="V32" s="307"/>
      <c r="W32" s="242"/>
      <c r="X32" s="307"/>
      <c r="Y32" s="242"/>
      <c r="Z32" s="307"/>
      <c r="AA32" s="242"/>
      <c r="AB32" s="308"/>
      <c r="AC32" s="309"/>
      <c r="AD32" s="302"/>
      <c r="AE32" s="303"/>
      <c r="AF32" s="302"/>
      <c r="AG32" s="303"/>
      <c r="AH32" s="303"/>
      <c r="AI32" s="303"/>
      <c r="AJ32" s="303"/>
      <c r="AK32" s="303"/>
      <c r="AL32" s="303"/>
      <c r="AM32" s="303"/>
      <c r="AN32" s="303"/>
      <c r="AO32" s="303"/>
    </row>
    <row r="33" spans="1:41" s="238" customFormat="1" ht="26.25" customHeight="1">
      <c r="A33" s="231"/>
      <c r="B33" s="252" t="s">
        <v>106</v>
      </c>
      <c r="C33" s="253"/>
      <c r="D33" s="317">
        <f>D23-D25+D31</f>
        <v>36876.245987999981</v>
      </c>
      <c r="E33" s="318"/>
      <c r="F33" s="317">
        <f>F23-F25+F31</f>
        <v>48268.356349000002</v>
      </c>
      <c r="G33" s="318"/>
      <c r="H33" s="317">
        <f>H23-H25+H31</f>
        <v>35967.960984000005</v>
      </c>
      <c r="I33" s="318"/>
      <c r="J33" s="317">
        <f>J23-J25+J31</f>
        <v>44565.73245299999</v>
      </c>
      <c r="K33" s="318"/>
      <c r="L33" s="317">
        <f>L23-L25+L31</f>
        <v>37612.48921900001</v>
      </c>
      <c r="M33" s="318"/>
      <c r="N33" s="317">
        <f>N23-N25+N31</f>
        <v>48841.34812699999</v>
      </c>
      <c r="O33" s="318"/>
      <c r="P33" s="317">
        <f>P23-P25+P31</f>
        <v>56080.870459000012</v>
      </c>
      <c r="Q33" s="318"/>
      <c r="R33" s="317">
        <f>R23-R25+R31</f>
        <v>43360.067748000001</v>
      </c>
      <c r="S33" s="318"/>
      <c r="T33" s="317">
        <f>T23-T25+T31</f>
        <v>61307.957406999987</v>
      </c>
      <c r="U33" s="318"/>
      <c r="V33" s="317">
        <f>V23-V25+V31</f>
        <v>50532.934644999987</v>
      </c>
      <c r="W33" s="318"/>
      <c r="X33" s="317">
        <f>X23-X25+X31</f>
        <v>70158.319536999988</v>
      </c>
      <c r="Y33" s="318"/>
      <c r="Z33" s="317">
        <f>Z23-Z25+Z31</f>
        <v>60666.996423000011</v>
      </c>
      <c r="AA33" s="254"/>
      <c r="AB33" s="317">
        <f t="shared" si="0"/>
        <v>594239.279339</v>
      </c>
      <c r="AC33" s="236"/>
      <c r="AD33" s="296"/>
      <c r="AE33" s="237"/>
      <c r="AF33" s="296"/>
      <c r="AG33" s="237"/>
      <c r="AH33" s="237"/>
      <c r="AI33" s="237"/>
      <c r="AJ33" s="237"/>
      <c r="AK33" s="237"/>
      <c r="AL33" s="237"/>
      <c r="AM33" s="237"/>
      <c r="AN33" s="237"/>
      <c r="AO33" s="237"/>
    </row>
    <row r="34" spans="1:41" s="304" customFormat="1" ht="3.75" customHeight="1">
      <c r="A34" s="281"/>
      <c r="B34" s="240"/>
      <c r="C34" s="241"/>
      <c r="D34" s="306"/>
      <c r="E34" s="242"/>
      <c r="F34" s="243"/>
      <c r="G34" s="242"/>
      <c r="H34" s="243"/>
      <c r="I34" s="242"/>
      <c r="J34" s="243"/>
      <c r="K34" s="242"/>
      <c r="L34" s="307"/>
      <c r="M34" s="242"/>
      <c r="N34" s="307"/>
      <c r="O34" s="242"/>
      <c r="P34" s="307"/>
      <c r="Q34" s="242"/>
      <c r="R34" s="307"/>
      <c r="S34" s="242"/>
      <c r="T34" s="307"/>
      <c r="U34" s="242"/>
      <c r="V34" s="307"/>
      <c r="W34" s="242"/>
      <c r="X34" s="307"/>
      <c r="Y34" s="242"/>
      <c r="Z34" s="307"/>
      <c r="AA34" s="242"/>
      <c r="AB34" s="308"/>
      <c r="AC34" s="309"/>
      <c r="AD34" s="302"/>
      <c r="AE34" s="303"/>
      <c r="AF34" s="302"/>
      <c r="AG34" s="303"/>
      <c r="AH34" s="303"/>
      <c r="AI34" s="303"/>
      <c r="AJ34" s="303"/>
      <c r="AK34" s="303"/>
      <c r="AL34" s="303"/>
      <c r="AM34" s="303"/>
      <c r="AN34" s="303"/>
      <c r="AO34" s="303"/>
    </row>
    <row r="35" spans="1:41" s="304" customFormat="1" ht="13.5" customHeight="1">
      <c r="A35" s="297">
        <v>13</v>
      </c>
      <c r="B35" s="319" t="s">
        <v>18</v>
      </c>
      <c r="C35" s="298"/>
      <c r="D35" s="300">
        <v>35216.284977000003</v>
      </c>
      <c r="E35" s="300"/>
      <c r="F35" s="300">
        <v>38598.047035000003</v>
      </c>
      <c r="G35" s="300"/>
      <c r="H35" s="300">
        <v>42527.028498</v>
      </c>
      <c r="I35" s="300"/>
      <c r="J35" s="300">
        <v>35522.392483000003</v>
      </c>
      <c r="K35" s="300"/>
      <c r="L35" s="300">
        <v>35416.551421999997</v>
      </c>
      <c r="M35" s="300"/>
      <c r="N35" s="300">
        <v>54090.494280999999</v>
      </c>
      <c r="O35" s="300"/>
      <c r="P35" s="300">
        <v>67579.10325</v>
      </c>
      <c r="Q35" s="300"/>
      <c r="R35" s="300">
        <v>60829.796931999997</v>
      </c>
      <c r="S35" s="300"/>
      <c r="T35" s="300">
        <v>50728.900563000003</v>
      </c>
      <c r="U35" s="300"/>
      <c r="V35" s="300">
        <v>59238.942540999997</v>
      </c>
      <c r="W35" s="300"/>
      <c r="X35" s="300">
        <v>61761.526986999997</v>
      </c>
      <c r="Y35" s="300"/>
      <c r="Z35" s="300">
        <v>58009.832932999998</v>
      </c>
      <c r="AA35" s="301"/>
      <c r="AB35" s="305">
        <f t="shared" si="0"/>
        <v>599518.90190199995</v>
      </c>
      <c r="AC35" s="239"/>
      <c r="AD35" s="302"/>
      <c r="AE35" s="303"/>
      <c r="AF35" s="302"/>
      <c r="AG35" s="303"/>
      <c r="AH35" s="303"/>
      <c r="AI35" s="303"/>
      <c r="AJ35" s="303"/>
      <c r="AK35" s="303"/>
      <c r="AL35" s="303"/>
      <c r="AM35" s="303"/>
      <c r="AN35" s="303"/>
      <c r="AO35" s="303"/>
    </row>
    <row r="36" spans="1:41" s="304" customFormat="1" ht="3.75" customHeight="1">
      <c r="A36" s="281"/>
      <c r="B36" s="240"/>
      <c r="C36" s="241"/>
      <c r="D36" s="306"/>
      <c r="E36" s="242"/>
      <c r="F36" s="243"/>
      <c r="G36" s="242"/>
      <c r="H36" s="243"/>
      <c r="I36" s="242"/>
      <c r="J36" s="243"/>
      <c r="K36" s="242"/>
      <c r="L36" s="307"/>
      <c r="M36" s="242"/>
      <c r="N36" s="307"/>
      <c r="O36" s="242"/>
      <c r="P36" s="307"/>
      <c r="Q36" s="242"/>
      <c r="R36" s="307"/>
      <c r="S36" s="242"/>
      <c r="T36" s="307"/>
      <c r="U36" s="242"/>
      <c r="V36" s="307"/>
      <c r="W36" s="242"/>
      <c r="X36" s="307"/>
      <c r="Y36" s="242"/>
      <c r="Z36" s="307"/>
      <c r="AA36" s="242"/>
      <c r="AB36" s="308"/>
      <c r="AC36" s="236"/>
      <c r="AD36" s="302"/>
      <c r="AE36" s="303"/>
      <c r="AF36" s="302"/>
      <c r="AG36" s="303"/>
      <c r="AH36" s="303"/>
      <c r="AI36" s="303"/>
      <c r="AJ36" s="303"/>
      <c r="AK36" s="303"/>
      <c r="AL36" s="303"/>
      <c r="AM36" s="303"/>
      <c r="AN36" s="303"/>
      <c r="AO36" s="303"/>
    </row>
    <row r="37" spans="1:41" s="238" customFormat="1" ht="26.25" customHeight="1">
      <c r="A37" s="231"/>
      <c r="B37" s="252" t="s">
        <v>36</v>
      </c>
      <c r="C37" s="253"/>
      <c r="D37" s="317">
        <f>D33-D35</f>
        <v>1659.9610109999776</v>
      </c>
      <c r="E37" s="318"/>
      <c r="F37" s="317">
        <f>F33-F35</f>
        <v>9670.3093139999983</v>
      </c>
      <c r="G37" s="318"/>
      <c r="H37" s="317">
        <f>H33-H35</f>
        <v>-6559.0675139999948</v>
      </c>
      <c r="I37" s="318"/>
      <c r="J37" s="317">
        <f>J33-J35</f>
        <v>9043.3399699999864</v>
      </c>
      <c r="K37" s="318"/>
      <c r="L37" s="317">
        <f>L33-L35</f>
        <v>2195.9377970000132</v>
      </c>
      <c r="M37" s="318"/>
      <c r="N37" s="317">
        <f>N33-N35</f>
        <v>-5249.1461540000091</v>
      </c>
      <c r="O37" s="318"/>
      <c r="P37" s="317">
        <f>P33-P35</f>
        <v>-11498.232790999988</v>
      </c>
      <c r="Q37" s="318"/>
      <c r="R37" s="317">
        <f>R33-R35</f>
        <v>-17469.729183999996</v>
      </c>
      <c r="S37" s="318"/>
      <c r="T37" s="317">
        <f>T33-T35</f>
        <v>10579.056843999984</v>
      </c>
      <c r="U37" s="318"/>
      <c r="V37" s="317">
        <f>V33-V35</f>
        <v>-8706.0078960000101</v>
      </c>
      <c r="W37" s="318"/>
      <c r="X37" s="317">
        <f>X33-X35</f>
        <v>8396.792549999991</v>
      </c>
      <c r="Y37" s="318"/>
      <c r="Z37" s="317">
        <f>Z33-Z35</f>
        <v>2657.1634900000136</v>
      </c>
      <c r="AA37" s="254"/>
      <c r="AB37" s="317">
        <f t="shared" si="0"/>
        <v>-5279.6225630000336</v>
      </c>
      <c r="AC37" s="236"/>
      <c r="AD37" s="296"/>
      <c r="AE37" s="237"/>
      <c r="AF37" s="296"/>
      <c r="AG37" s="237"/>
      <c r="AH37" s="237"/>
      <c r="AI37" s="237"/>
      <c r="AJ37" s="237"/>
      <c r="AK37" s="237"/>
      <c r="AL37" s="237"/>
      <c r="AM37" s="237"/>
      <c r="AN37" s="237"/>
      <c r="AO37" s="237"/>
    </row>
    <row r="38" spans="1:41" s="304" customFormat="1" ht="3.75" customHeight="1">
      <c r="A38" s="281"/>
      <c r="B38" s="240"/>
      <c r="C38" s="241"/>
      <c r="D38" s="306"/>
      <c r="E38" s="242"/>
      <c r="F38" s="243"/>
      <c r="G38" s="242"/>
      <c r="H38" s="243"/>
      <c r="I38" s="242"/>
      <c r="J38" s="243"/>
      <c r="K38" s="242"/>
      <c r="L38" s="307"/>
      <c r="M38" s="307"/>
      <c r="N38" s="307"/>
      <c r="O38" s="242"/>
      <c r="P38" s="307"/>
      <c r="Q38" s="242"/>
      <c r="R38" s="307"/>
      <c r="S38" s="242"/>
      <c r="T38" s="307"/>
      <c r="U38" s="242"/>
      <c r="V38" s="307"/>
      <c r="W38" s="242"/>
      <c r="X38" s="307"/>
      <c r="Y38" s="242"/>
      <c r="Z38" s="307"/>
      <c r="AA38" s="242"/>
      <c r="AB38" s="308"/>
      <c r="AC38" s="236"/>
      <c r="AD38" s="302"/>
      <c r="AE38" s="303"/>
      <c r="AF38" s="302"/>
      <c r="AG38" s="303"/>
      <c r="AH38" s="303"/>
      <c r="AI38" s="303"/>
      <c r="AJ38" s="303"/>
      <c r="AK38" s="303"/>
      <c r="AL38" s="303"/>
      <c r="AM38" s="303"/>
      <c r="AN38" s="303"/>
      <c r="AO38" s="303"/>
    </row>
    <row r="39" spans="1:41" s="304" customFormat="1" ht="14.25">
      <c r="A39" s="297"/>
      <c r="B39" s="6" t="s">
        <v>117</v>
      </c>
      <c r="C39" s="298"/>
      <c r="D39" s="320">
        <f>D40+D44-D45</f>
        <v>1852.2095169999998</v>
      </c>
      <c r="E39" s="321"/>
      <c r="F39" s="320">
        <f>F40+F44-F45</f>
        <v>4321.5755710000003</v>
      </c>
      <c r="G39" s="321"/>
      <c r="H39" s="320">
        <f>H40+H44-H45</f>
        <v>2753.7476160000001</v>
      </c>
      <c r="I39" s="321"/>
      <c r="J39" s="320">
        <f>J40+J44-J45</f>
        <v>2772.2384060000004</v>
      </c>
      <c r="K39" s="321"/>
      <c r="L39" s="320">
        <f>L40+L44-L45</f>
        <v>937.96673600000031</v>
      </c>
      <c r="M39" s="321"/>
      <c r="N39" s="320">
        <f>N40+N44-N45</f>
        <v>2654.69409</v>
      </c>
      <c r="O39" s="321"/>
      <c r="P39" s="320">
        <f>P40+P44-P45</f>
        <v>188.63001099999974</v>
      </c>
      <c r="Q39" s="321"/>
      <c r="R39" s="320">
        <f>R40+R44-R45</f>
        <v>3488.1303509999998</v>
      </c>
      <c r="S39" s="321"/>
      <c r="T39" s="320">
        <f>T40+T44-T45</f>
        <v>2014.02063</v>
      </c>
      <c r="U39" s="321"/>
      <c r="V39" s="320">
        <f>V40+V44-V45</f>
        <v>734.5453080000002</v>
      </c>
      <c r="W39" s="321"/>
      <c r="X39" s="320">
        <f>X40+X44-X45</f>
        <v>1540.8857549999998</v>
      </c>
      <c r="Y39" s="321"/>
      <c r="Z39" s="320">
        <f>Z40+Z44-Z45</f>
        <v>3530.5040369999997</v>
      </c>
      <c r="AA39" s="322"/>
      <c r="AB39" s="320">
        <f t="shared" si="0"/>
        <v>26789.148028</v>
      </c>
      <c r="AC39" s="239"/>
      <c r="AD39" s="302"/>
      <c r="AE39" s="303"/>
      <c r="AF39" s="302"/>
      <c r="AG39" s="303"/>
      <c r="AH39" s="303"/>
      <c r="AI39" s="303"/>
      <c r="AJ39" s="303"/>
      <c r="AK39" s="303"/>
      <c r="AL39" s="303"/>
      <c r="AM39" s="303"/>
      <c r="AN39" s="303"/>
      <c r="AO39" s="303"/>
    </row>
    <row r="40" spans="1:41" s="304" customFormat="1" ht="14.25">
      <c r="A40" s="297"/>
      <c r="B40" s="7" t="s">
        <v>20</v>
      </c>
      <c r="C40" s="298"/>
      <c r="D40" s="320">
        <f>D41+D42+D43</f>
        <v>3994.4382260000002</v>
      </c>
      <c r="E40" s="321"/>
      <c r="F40" s="320">
        <f>F41+F42+F43</f>
        <v>2348.1463199999998</v>
      </c>
      <c r="G40" s="321"/>
      <c r="H40" s="320">
        <f>H41+H42+H43</f>
        <v>1827.594756</v>
      </c>
      <c r="I40" s="321"/>
      <c r="J40" s="320">
        <f>J41+J42+J43</f>
        <v>2483.9586170000002</v>
      </c>
      <c r="K40" s="321"/>
      <c r="L40" s="320">
        <f>L41+L42+L43</f>
        <v>1790.4778220000001</v>
      </c>
      <c r="M40" s="321"/>
      <c r="N40" s="320">
        <f>N41+N42+N43</f>
        <v>601.96923700000002</v>
      </c>
      <c r="O40" s="321"/>
      <c r="P40" s="320">
        <f>P41+P42+P43</f>
        <v>1657.4119169999999</v>
      </c>
      <c r="Q40" s="321"/>
      <c r="R40" s="320">
        <f>R41+R42+R43</f>
        <v>2381.2731999999996</v>
      </c>
      <c r="S40" s="321"/>
      <c r="T40" s="320">
        <f>T41+T42+T43</f>
        <v>1303.765171</v>
      </c>
      <c r="U40" s="321"/>
      <c r="V40" s="320">
        <f>V41+V42+V43</f>
        <v>1716.12006</v>
      </c>
      <c r="W40" s="321"/>
      <c r="X40" s="320">
        <f>X41+X42+X43</f>
        <v>1278.079289</v>
      </c>
      <c r="Y40" s="321"/>
      <c r="Z40" s="320">
        <f>Z41+Z42+Z43</f>
        <v>1175.5653600000001</v>
      </c>
      <c r="AA40" s="322"/>
      <c r="AB40" s="320">
        <f t="shared" si="0"/>
        <v>22558.799975000002</v>
      </c>
      <c r="AC40" s="239"/>
      <c r="AD40" s="302"/>
      <c r="AE40" s="303"/>
      <c r="AF40" s="302"/>
      <c r="AG40" s="303"/>
      <c r="AH40" s="303"/>
      <c r="AI40" s="303"/>
      <c r="AJ40" s="303"/>
      <c r="AK40" s="303"/>
      <c r="AL40" s="303"/>
      <c r="AM40" s="303"/>
      <c r="AN40" s="303"/>
      <c r="AO40" s="303"/>
    </row>
    <row r="41" spans="1:41" s="304" customFormat="1" ht="14.25" customHeight="1">
      <c r="A41" s="297">
        <v>14</v>
      </c>
      <c r="B41" s="52" t="s">
        <v>56</v>
      </c>
      <c r="C41" s="298"/>
      <c r="D41" s="300">
        <v>1762.0711060000001</v>
      </c>
      <c r="E41" s="300"/>
      <c r="F41" s="300">
        <v>1130.6697300000001</v>
      </c>
      <c r="G41" s="300"/>
      <c r="H41" s="300">
        <v>397.15953000000002</v>
      </c>
      <c r="I41" s="300"/>
      <c r="J41" s="300">
        <v>1325.819168</v>
      </c>
      <c r="K41" s="300"/>
      <c r="L41" s="300">
        <v>611.01712399999997</v>
      </c>
      <c r="M41" s="300"/>
      <c r="N41" s="300">
        <v>304.15846299999998</v>
      </c>
      <c r="O41" s="321"/>
      <c r="P41" s="321">
        <v>848.40026799999998</v>
      </c>
      <c r="Q41" s="321"/>
      <c r="R41" s="321">
        <v>1106.5308829999999</v>
      </c>
      <c r="S41" s="321"/>
      <c r="T41" s="321">
        <v>313.32132300000001</v>
      </c>
      <c r="U41" s="321"/>
      <c r="V41" s="321">
        <v>736.017157</v>
      </c>
      <c r="W41" s="321"/>
      <c r="X41" s="321">
        <v>524.11022100000002</v>
      </c>
      <c r="Y41" s="321"/>
      <c r="Z41" s="321">
        <v>433.18559199999999</v>
      </c>
      <c r="AA41" s="322"/>
      <c r="AB41" s="320">
        <f t="shared" si="0"/>
        <v>9492.4605650000012</v>
      </c>
      <c r="AC41" s="239"/>
      <c r="AD41" s="302"/>
      <c r="AE41" s="303"/>
      <c r="AF41" s="302"/>
      <c r="AG41" s="303"/>
      <c r="AH41" s="303"/>
      <c r="AI41" s="303"/>
      <c r="AJ41" s="303"/>
      <c r="AK41" s="303"/>
      <c r="AL41" s="303"/>
      <c r="AM41" s="303"/>
      <c r="AN41" s="303"/>
      <c r="AO41" s="303"/>
    </row>
    <row r="42" spans="1:41" s="255" customFormat="1" ht="14.25" customHeight="1">
      <c r="A42" s="297">
        <v>15</v>
      </c>
      <c r="B42" s="8" t="s">
        <v>21</v>
      </c>
      <c r="C42" s="298"/>
      <c r="D42" s="300">
        <v>0</v>
      </c>
      <c r="E42" s="321"/>
      <c r="F42" s="320">
        <v>0</v>
      </c>
      <c r="G42" s="321"/>
      <c r="H42" s="320">
        <v>0</v>
      </c>
      <c r="I42" s="321"/>
      <c r="J42" s="320">
        <v>0</v>
      </c>
      <c r="K42" s="321"/>
      <c r="L42" s="300">
        <v>0</v>
      </c>
      <c r="M42" s="321"/>
      <c r="N42" s="300">
        <v>0</v>
      </c>
      <c r="O42" s="321"/>
      <c r="P42" s="321">
        <v>0</v>
      </c>
      <c r="Q42" s="321"/>
      <c r="R42" s="321">
        <v>0</v>
      </c>
      <c r="S42" s="321"/>
      <c r="T42" s="321">
        <v>0</v>
      </c>
      <c r="U42" s="321"/>
      <c r="V42" s="321">
        <v>0</v>
      </c>
      <c r="W42" s="321"/>
      <c r="X42" s="321">
        <v>0</v>
      </c>
      <c r="Y42" s="321"/>
      <c r="Z42" s="321">
        <v>0</v>
      </c>
      <c r="AA42" s="322"/>
      <c r="AB42" s="320">
        <f t="shared" si="0"/>
        <v>0</v>
      </c>
      <c r="AC42" s="239"/>
      <c r="AD42" s="323"/>
      <c r="AF42" s="323"/>
    </row>
    <row r="43" spans="1:41" s="255" customFormat="1" ht="14.25" customHeight="1">
      <c r="A43" s="297">
        <v>16</v>
      </c>
      <c r="B43" s="52" t="s">
        <v>118</v>
      </c>
      <c r="C43" s="298"/>
      <c r="D43" s="300">
        <v>2232.3671199999999</v>
      </c>
      <c r="E43" s="321"/>
      <c r="F43" s="300">
        <v>1217.47659</v>
      </c>
      <c r="G43" s="300"/>
      <c r="H43" s="300">
        <v>1430.4352260000001</v>
      </c>
      <c r="I43" s="300"/>
      <c r="J43" s="300">
        <v>1158.139449</v>
      </c>
      <c r="K43" s="300"/>
      <c r="L43" s="300">
        <v>1179.4606980000001</v>
      </c>
      <c r="M43" s="300"/>
      <c r="N43" s="300">
        <v>297.81077399999998</v>
      </c>
      <c r="O43" s="321"/>
      <c r="P43" s="321">
        <v>809.01164900000003</v>
      </c>
      <c r="Q43" s="321"/>
      <c r="R43" s="321">
        <v>1274.742317</v>
      </c>
      <c r="S43" s="321"/>
      <c r="T43" s="321">
        <v>990.443848</v>
      </c>
      <c r="U43" s="321"/>
      <c r="V43" s="321">
        <v>980.10290299999997</v>
      </c>
      <c r="W43" s="321"/>
      <c r="X43" s="321">
        <v>753.96906799999999</v>
      </c>
      <c r="Y43" s="321"/>
      <c r="Z43" s="321">
        <v>742.37976800000001</v>
      </c>
      <c r="AA43" s="322"/>
      <c r="AB43" s="320">
        <f t="shared" si="0"/>
        <v>13066.339410000004</v>
      </c>
      <c r="AC43" s="239"/>
      <c r="AD43" s="323"/>
      <c r="AF43" s="323"/>
    </row>
    <row r="44" spans="1:41" s="304" customFormat="1" ht="14.25" customHeight="1">
      <c r="A44" s="297">
        <v>17</v>
      </c>
      <c r="B44" s="7" t="s">
        <v>22</v>
      </c>
      <c r="C44" s="298"/>
      <c r="D44" s="300">
        <v>1649.75559</v>
      </c>
      <c r="E44" s="300"/>
      <c r="F44" s="300">
        <v>3441.5564880000002</v>
      </c>
      <c r="G44" s="300"/>
      <c r="H44" s="300">
        <v>2729.4001290000001</v>
      </c>
      <c r="I44" s="300"/>
      <c r="J44" s="300">
        <v>2142.900658</v>
      </c>
      <c r="K44" s="300"/>
      <c r="L44" s="300">
        <v>863.90644199999997</v>
      </c>
      <c r="M44" s="300"/>
      <c r="N44" s="300">
        <v>3370.3155000000002</v>
      </c>
      <c r="O44" s="321"/>
      <c r="P44" s="321">
        <v>386.83337899999998</v>
      </c>
      <c r="Q44" s="321"/>
      <c r="R44" s="321">
        <v>2059.626409</v>
      </c>
      <c r="S44" s="321"/>
      <c r="T44" s="321">
        <v>2619.6374430000001</v>
      </c>
      <c r="U44" s="321"/>
      <c r="V44" s="321">
        <v>717.92964700000005</v>
      </c>
      <c r="W44" s="321"/>
      <c r="X44" s="321">
        <v>1168.6698719999999</v>
      </c>
      <c r="Y44" s="321"/>
      <c r="Z44" s="321">
        <v>3907.178461</v>
      </c>
      <c r="AA44" s="322"/>
      <c r="AB44" s="320">
        <f t="shared" si="0"/>
        <v>25057.710017999998</v>
      </c>
      <c r="AC44" s="239"/>
      <c r="AD44" s="239"/>
      <c r="AE44" s="302"/>
      <c r="AF44" s="303"/>
      <c r="AG44" s="302"/>
      <c r="AH44" s="303"/>
      <c r="AI44" s="303"/>
      <c r="AJ44" s="303"/>
      <c r="AK44" s="303"/>
      <c r="AL44" s="303"/>
      <c r="AM44" s="303"/>
      <c r="AN44" s="303"/>
      <c r="AO44" s="303"/>
    </row>
    <row r="45" spans="1:41" s="304" customFormat="1" ht="14.25" customHeight="1">
      <c r="A45" s="297">
        <v>18</v>
      </c>
      <c r="B45" s="7" t="s">
        <v>111</v>
      </c>
      <c r="C45" s="298"/>
      <c r="D45" s="300">
        <v>3791.9842990000002</v>
      </c>
      <c r="E45" s="321"/>
      <c r="F45" s="320">
        <v>1468.1272369999999</v>
      </c>
      <c r="G45" s="321"/>
      <c r="H45" s="320">
        <v>1803.247269</v>
      </c>
      <c r="I45" s="321"/>
      <c r="J45" s="300">
        <v>1854.6208690000001</v>
      </c>
      <c r="K45" s="321"/>
      <c r="L45" s="300">
        <v>1716.4175279999999</v>
      </c>
      <c r="M45" s="321"/>
      <c r="N45" s="300">
        <v>1317.590647</v>
      </c>
      <c r="O45" s="321"/>
      <c r="P45" s="321">
        <v>1855.6152850000001</v>
      </c>
      <c r="Q45" s="321"/>
      <c r="R45" s="321">
        <v>952.76925800000004</v>
      </c>
      <c r="S45" s="321"/>
      <c r="T45" s="321">
        <v>1909.3819840000001</v>
      </c>
      <c r="U45" s="321"/>
      <c r="V45" s="321">
        <v>1699.5043989999999</v>
      </c>
      <c r="W45" s="321"/>
      <c r="X45" s="321">
        <v>905.86340600000005</v>
      </c>
      <c r="Y45" s="321"/>
      <c r="Z45" s="321">
        <v>1552.2397840000001</v>
      </c>
      <c r="AA45" s="322"/>
      <c r="AB45" s="320">
        <f t="shared" si="0"/>
        <v>20827.361965000004</v>
      </c>
      <c r="AC45" s="239"/>
      <c r="AD45" s="302"/>
      <c r="AE45" s="303"/>
      <c r="AF45" s="302"/>
      <c r="AG45" s="303"/>
      <c r="AH45" s="303"/>
      <c r="AI45" s="303"/>
      <c r="AJ45" s="303"/>
      <c r="AK45" s="303"/>
      <c r="AL45" s="303"/>
      <c r="AM45" s="303"/>
      <c r="AN45" s="303"/>
      <c r="AO45" s="303"/>
    </row>
    <row r="46" spans="1:41" s="329" customFormat="1" ht="3.75" customHeight="1">
      <c r="A46" s="281"/>
      <c r="B46" s="282"/>
      <c r="C46" s="282"/>
      <c r="D46" s="324"/>
      <c r="E46" s="325"/>
      <c r="F46" s="324"/>
      <c r="G46" s="325"/>
      <c r="H46" s="324"/>
      <c r="I46" s="325"/>
      <c r="J46" s="324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  <c r="W46" s="325"/>
      <c r="X46" s="325"/>
      <c r="Y46" s="325"/>
      <c r="Z46" s="325"/>
      <c r="AA46" s="326"/>
      <c r="AB46" s="324"/>
      <c r="AC46" s="327"/>
      <c r="AD46" s="328"/>
      <c r="AE46" s="328"/>
      <c r="AF46" s="328"/>
      <c r="AG46" s="328"/>
      <c r="AH46" s="328"/>
      <c r="AI46" s="328"/>
      <c r="AJ46" s="328"/>
      <c r="AK46" s="328"/>
      <c r="AL46" s="328"/>
      <c r="AM46" s="328"/>
      <c r="AN46" s="328"/>
      <c r="AO46" s="328"/>
    </row>
    <row r="47" spans="1:41" s="231" customFormat="1" ht="12.75" customHeight="1">
      <c r="B47" s="330" t="s">
        <v>37</v>
      </c>
      <c r="C47" s="331"/>
      <c r="D47" s="317">
        <f>D37-D39</f>
        <v>-192.24850600002219</v>
      </c>
      <c r="E47" s="318"/>
      <c r="F47" s="317">
        <f>F37-F39</f>
        <v>5348.733742999998</v>
      </c>
      <c r="G47" s="318"/>
      <c r="H47" s="317">
        <f>H37-H39</f>
        <v>-9312.8151299999954</v>
      </c>
      <c r="I47" s="318"/>
      <c r="J47" s="317">
        <f>J37-J39</f>
        <v>6271.101563999986</v>
      </c>
      <c r="K47" s="318"/>
      <c r="L47" s="317">
        <f>L37-L39</f>
        <v>1257.9710610000129</v>
      </c>
      <c r="M47" s="318"/>
      <c r="N47" s="317">
        <f>N37-N39</f>
        <v>-7903.8402440000091</v>
      </c>
      <c r="O47" s="318"/>
      <c r="P47" s="317">
        <f>P37-P39</f>
        <v>-11686.862801999987</v>
      </c>
      <c r="Q47" s="318"/>
      <c r="R47" s="317">
        <f>R37-R39</f>
        <v>-20957.859534999996</v>
      </c>
      <c r="S47" s="318"/>
      <c r="T47" s="317">
        <f>T37-T39</f>
        <v>8565.0362139999852</v>
      </c>
      <c r="U47" s="318"/>
      <c r="V47" s="317">
        <f>V37-V39</f>
        <v>-9440.5532040000107</v>
      </c>
      <c r="W47" s="318"/>
      <c r="X47" s="317">
        <f>X37-X39</f>
        <v>6855.9067949999917</v>
      </c>
      <c r="Y47" s="318"/>
      <c r="Z47" s="317">
        <f>Z37-Z39</f>
        <v>-873.34054699998615</v>
      </c>
      <c r="AA47" s="254"/>
      <c r="AB47" s="317">
        <f t="shared" si="0"/>
        <v>-32068.770591000033</v>
      </c>
      <c r="AC47" s="332"/>
      <c r="AD47" s="332"/>
      <c r="AE47" s="333"/>
      <c r="AF47" s="332"/>
      <c r="AG47" s="234"/>
      <c r="AH47" s="234"/>
      <c r="AI47" s="234"/>
      <c r="AJ47" s="234"/>
      <c r="AK47" s="234"/>
      <c r="AL47" s="234"/>
      <c r="AM47" s="234"/>
      <c r="AN47" s="234"/>
      <c r="AO47" s="234"/>
    </row>
    <row r="48" spans="1:41" s="329" customFormat="1" ht="3.75" customHeight="1">
      <c r="A48" s="281"/>
      <c r="B48" s="282"/>
      <c r="C48" s="282"/>
      <c r="D48" s="324"/>
      <c r="E48" s="325"/>
      <c r="F48" s="324"/>
      <c r="G48" s="325"/>
      <c r="H48" s="324"/>
      <c r="I48" s="325"/>
      <c r="J48" s="324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  <c r="W48" s="325"/>
      <c r="X48" s="325"/>
      <c r="Y48" s="325"/>
      <c r="Z48" s="325"/>
      <c r="AA48" s="326"/>
      <c r="AB48" s="324"/>
      <c r="AC48" s="327"/>
      <c r="AD48" s="328"/>
      <c r="AE48" s="328"/>
      <c r="AF48" s="328"/>
      <c r="AG48" s="328"/>
      <c r="AH48" s="328"/>
      <c r="AI48" s="328"/>
      <c r="AJ48" s="328"/>
      <c r="AK48" s="328"/>
      <c r="AL48" s="328"/>
      <c r="AM48" s="328"/>
      <c r="AN48" s="328"/>
      <c r="AO48" s="328"/>
    </row>
    <row r="49" spans="1:41" s="233" customFormat="1" ht="14.25" customHeight="1">
      <c r="A49" s="233">
        <v>19</v>
      </c>
      <c r="B49" s="334" t="s">
        <v>41</v>
      </c>
      <c r="C49" s="334"/>
      <c r="D49" s="334"/>
      <c r="E49" s="334"/>
      <c r="F49" s="334"/>
      <c r="G49" s="334"/>
      <c r="H49" s="334"/>
      <c r="I49" s="334"/>
      <c r="J49" s="334"/>
      <c r="K49" s="334"/>
      <c r="L49" s="334"/>
      <c r="M49" s="334"/>
      <c r="N49" s="334" t="s">
        <v>93</v>
      </c>
      <c r="O49" s="334"/>
      <c r="P49" s="334"/>
      <c r="Q49" s="334"/>
      <c r="R49" s="334"/>
      <c r="S49" s="334"/>
      <c r="T49" s="334"/>
      <c r="U49" s="334"/>
      <c r="V49" s="334"/>
      <c r="W49" s="334"/>
      <c r="X49" s="334"/>
      <c r="Y49" s="334"/>
      <c r="Z49" s="334"/>
      <c r="AA49" s="334"/>
      <c r="AB49" s="334"/>
      <c r="AC49" s="335"/>
      <c r="AD49" s="335"/>
      <c r="AE49" s="333"/>
      <c r="AF49" s="335"/>
      <c r="AG49" s="232"/>
      <c r="AH49" s="232"/>
      <c r="AI49" s="232"/>
      <c r="AJ49" s="232"/>
      <c r="AK49" s="232"/>
      <c r="AL49" s="232"/>
      <c r="AM49" s="232"/>
      <c r="AN49" s="232"/>
      <c r="AO49" s="232"/>
    </row>
    <row r="50" spans="1:41" s="233" customFormat="1" ht="14.25" customHeight="1">
      <c r="A50" s="233">
        <v>20</v>
      </c>
      <c r="B50" s="334" t="s">
        <v>88</v>
      </c>
      <c r="C50" s="334"/>
      <c r="D50" s="334"/>
      <c r="E50" s="334"/>
      <c r="F50" s="334"/>
      <c r="G50" s="334"/>
      <c r="H50" s="334"/>
      <c r="I50" s="334"/>
      <c r="J50" s="334"/>
      <c r="K50" s="334"/>
      <c r="L50" s="334"/>
      <c r="M50" s="334"/>
      <c r="N50" s="334" t="s">
        <v>94</v>
      </c>
      <c r="O50" s="334"/>
      <c r="P50" s="334"/>
      <c r="Q50" s="334"/>
      <c r="R50" s="334"/>
      <c r="S50" s="334"/>
      <c r="T50" s="334"/>
      <c r="U50" s="334"/>
      <c r="V50" s="334"/>
      <c r="W50" s="334"/>
      <c r="X50" s="334"/>
      <c r="Y50" s="334"/>
      <c r="Z50" s="334"/>
      <c r="AA50" s="334"/>
      <c r="AB50" s="334"/>
      <c r="AC50" s="335"/>
      <c r="AD50" s="335"/>
      <c r="AE50" s="333"/>
      <c r="AF50" s="335"/>
      <c r="AG50" s="232"/>
      <c r="AH50" s="232"/>
      <c r="AI50" s="232"/>
      <c r="AJ50" s="232"/>
      <c r="AK50" s="232"/>
      <c r="AL50" s="232"/>
      <c r="AM50" s="232"/>
      <c r="AN50" s="232"/>
      <c r="AO50" s="232"/>
    </row>
    <row r="51" spans="1:41" s="233" customFormat="1" ht="14.25" customHeight="1">
      <c r="A51" s="233">
        <v>21</v>
      </c>
      <c r="B51" s="334" t="s">
        <v>89</v>
      </c>
      <c r="C51" s="334"/>
      <c r="D51" s="334"/>
      <c r="E51" s="334"/>
      <c r="F51" s="334"/>
      <c r="G51" s="334"/>
      <c r="H51" s="334"/>
      <c r="I51" s="334"/>
      <c r="J51" s="334"/>
      <c r="K51" s="334"/>
      <c r="L51" s="334"/>
      <c r="M51" s="334"/>
      <c r="N51" s="334" t="s">
        <v>95</v>
      </c>
      <c r="O51" s="334"/>
      <c r="P51" s="334"/>
      <c r="Q51" s="334"/>
      <c r="R51" s="334"/>
      <c r="S51" s="334"/>
      <c r="T51" s="334"/>
      <c r="U51" s="334"/>
      <c r="V51" s="334"/>
      <c r="W51" s="334"/>
      <c r="X51" s="334"/>
      <c r="Y51" s="334"/>
      <c r="Z51" s="334"/>
      <c r="AA51" s="334"/>
      <c r="AB51" s="334"/>
      <c r="AC51" s="335"/>
      <c r="AD51" s="335"/>
      <c r="AE51" s="333"/>
      <c r="AF51" s="335"/>
      <c r="AG51" s="232"/>
      <c r="AH51" s="232"/>
      <c r="AI51" s="232"/>
      <c r="AJ51" s="232"/>
      <c r="AK51" s="232"/>
      <c r="AL51" s="232"/>
      <c r="AM51" s="232"/>
      <c r="AN51" s="232"/>
      <c r="AO51" s="232"/>
    </row>
    <row r="52" spans="1:41" s="233" customFormat="1" ht="14.25" customHeight="1">
      <c r="A52" s="233">
        <v>22</v>
      </c>
      <c r="B52" s="334" t="s">
        <v>90</v>
      </c>
      <c r="C52" s="334"/>
      <c r="D52" s="334"/>
      <c r="E52" s="334"/>
      <c r="F52" s="334"/>
      <c r="G52" s="334"/>
      <c r="H52" s="334"/>
      <c r="I52" s="334"/>
      <c r="J52" s="334"/>
      <c r="K52" s="334"/>
      <c r="L52" s="334"/>
      <c r="M52" s="334"/>
      <c r="N52" s="334" t="s">
        <v>96</v>
      </c>
      <c r="O52" s="334"/>
      <c r="P52" s="334"/>
      <c r="Q52" s="334"/>
      <c r="R52" s="334"/>
      <c r="S52" s="334"/>
      <c r="T52" s="334"/>
      <c r="U52" s="334"/>
      <c r="V52" s="334"/>
      <c r="W52" s="334"/>
      <c r="X52" s="334"/>
      <c r="Y52" s="334"/>
      <c r="Z52" s="334"/>
      <c r="AA52" s="334"/>
      <c r="AB52" s="334"/>
      <c r="AC52" s="335"/>
      <c r="AD52" s="335"/>
      <c r="AE52" s="333"/>
      <c r="AF52" s="335"/>
      <c r="AG52" s="232"/>
      <c r="AH52" s="232"/>
      <c r="AI52" s="232"/>
      <c r="AJ52" s="232"/>
      <c r="AK52" s="232"/>
      <c r="AL52" s="232"/>
      <c r="AM52" s="232"/>
      <c r="AN52" s="232"/>
      <c r="AO52" s="232"/>
    </row>
    <row r="53" spans="1:41" s="233" customFormat="1" ht="14.25" customHeight="1">
      <c r="A53" s="233">
        <v>23</v>
      </c>
      <c r="B53" s="334" t="s">
        <v>91</v>
      </c>
      <c r="C53" s="334"/>
      <c r="D53" s="334"/>
      <c r="E53" s="334"/>
      <c r="F53" s="334"/>
      <c r="G53" s="334"/>
      <c r="H53" s="334"/>
      <c r="I53" s="334"/>
      <c r="J53" s="334"/>
      <c r="K53" s="334"/>
      <c r="L53" s="334"/>
      <c r="M53" s="334"/>
      <c r="N53" s="334" t="s">
        <v>97</v>
      </c>
      <c r="O53" s="334"/>
      <c r="P53" s="334"/>
      <c r="Q53" s="334"/>
      <c r="R53" s="334"/>
      <c r="S53" s="334"/>
      <c r="T53" s="334"/>
      <c r="U53" s="334"/>
      <c r="V53" s="334"/>
      <c r="W53" s="334"/>
      <c r="X53" s="334"/>
      <c r="Y53" s="334"/>
      <c r="Z53" s="334"/>
      <c r="AA53" s="334"/>
      <c r="AB53" s="334"/>
      <c r="AC53" s="335"/>
      <c r="AD53" s="335"/>
      <c r="AE53" s="333"/>
      <c r="AF53" s="335"/>
      <c r="AG53" s="232"/>
      <c r="AH53" s="232"/>
      <c r="AI53" s="232"/>
      <c r="AJ53" s="232"/>
      <c r="AK53" s="232"/>
      <c r="AL53" s="232"/>
      <c r="AM53" s="232"/>
      <c r="AN53" s="232"/>
      <c r="AO53" s="232"/>
    </row>
    <row r="54" spans="1:41" s="233" customFormat="1" ht="14.25" customHeight="1">
      <c r="A54" s="233">
        <v>24</v>
      </c>
      <c r="B54" s="334" t="s">
        <v>92</v>
      </c>
      <c r="C54" s="334"/>
      <c r="D54" s="334"/>
      <c r="E54" s="334"/>
      <c r="F54" s="334"/>
      <c r="G54" s="334"/>
      <c r="H54" s="334"/>
      <c r="I54" s="334"/>
      <c r="J54" s="334"/>
      <c r="K54" s="334"/>
      <c r="L54" s="334"/>
      <c r="M54" s="334"/>
      <c r="N54" s="334" t="s">
        <v>112</v>
      </c>
      <c r="O54" s="334"/>
      <c r="P54" s="334"/>
      <c r="Q54" s="334"/>
      <c r="R54" s="334"/>
      <c r="S54" s="334"/>
      <c r="T54" s="334"/>
      <c r="U54" s="334"/>
      <c r="V54" s="334"/>
      <c r="W54" s="334"/>
      <c r="X54" s="334"/>
      <c r="Y54" s="334"/>
      <c r="Z54" s="334"/>
      <c r="AA54" s="334"/>
      <c r="AB54" s="334"/>
      <c r="AC54" s="335"/>
      <c r="AD54" s="335"/>
      <c r="AE54" s="333"/>
      <c r="AF54" s="335"/>
      <c r="AG54" s="232"/>
      <c r="AH54" s="232"/>
      <c r="AI54" s="232"/>
      <c r="AJ54" s="232"/>
      <c r="AK54" s="232"/>
      <c r="AL54" s="232"/>
      <c r="AM54" s="232"/>
      <c r="AN54" s="232"/>
      <c r="AO54" s="232"/>
    </row>
    <row r="55" spans="1:41" s="233" customFormat="1" ht="22.5" customHeight="1">
      <c r="A55" s="233">
        <v>31</v>
      </c>
      <c r="B55" s="334" t="s">
        <v>120</v>
      </c>
      <c r="C55" s="334"/>
      <c r="D55" s="334"/>
      <c r="E55" s="334"/>
      <c r="F55" s="334"/>
      <c r="G55" s="334"/>
      <c r="H55" s="334"/>
      <c r="I55" s="334"/>
      <c r="J55" s="334"/>
      <c r="K55" s="334"/>
      <c r="L55" s="334"/>
      <c r="M55" s="334"/>
      <c r="N55" s="334"/>
      <c r="O55" s="334"/>
      <c r="P55" s="334"/>
      <c r="Q55" s="334"/>
      <c r="R55" s="334"/>
      <c r="S55" s="334"/>
      <c r="T55" s="334"/>
      <c r="U55" s="334"/>
      <c r="V55" s="334"/>
      <c r="W55" s="334"/>
      <c r="X55" s="334"/>
      <c r="Y55" s="334"/>
      <c r="Z55" s="334"/>
      <c r="AA55" s="334"/>
      <c r="AB55" s="334"/>
      <c r="AC55" s="335"/>
      <c r="AD55" s="335"/>
      <c r="AE55" s="333"/>
      <c r="AF55" s="335"/>
      <c r="AG55" s="232"/>
      <c r="AH55" s="232"/>
      <c r="AI55" s="232"/>
      <c r="AJ55" s="232"/>
      <c r="AK55" s="232"/>
      <c r="AL55" s="232"/>
      <c r="AM55" s="232"/>
      <c r="AN55" s="232"/>
      <c r="AO55" s="232"/>
    </row>
    <row r="56" spans="1:41" s="233" customFormat="1" ht="14.25" customHeight="1">
      <c r="A56" s="233">
        <v>32</v>
      </c>
      <c r="B56" s="334" t="s">
        <v>3</v>
      </c>
      <c r="C56" s="334"/>
      <c r="D56" s="334"/>
      <c r="E56" s="334"/>
      <c r="F56" s="334"/>
      <c r="G56" s="334"/>
      <c r="H56" s="334"/>
      <c r="I56" s="334"/>
      <c r="J56" s="334"/>
      <c r="K56" s="334"/>
      <c r="L56" s="334"/>
      <c r="M56" s="334"/>
      <c r="N56" s="334"/>
      <c r="O56" s="334"/>
      <c r="P56" s="334"/>
      <c r="Q56" s="334"/>
      <c r="R56" s="334"/>
      <c r="S56" s="334"/>
      <c r="T56" s="334"/>
      <c r="U56" s="334"/>
      <c r="V56" s="334"/>
      <c r="W56" s="334"/>
      <c r="X56" s="334"/>
      <c r="Y56" s="334"/>
      <c r="Z56" s="334"/>
      <c r="AA56" s="334"/>
      <c r="AB56" s="334"/>
      <c r="AC56" s="335"/>
      <c r="AD56" s="335"/>
      <c r="AE56" s="333"/>
      <c r="AF56" s="335"/>
      <c r="AG56" s="232"/>
      <c r="AH56" s="232"/>
      <c r="AI56" s="232"/>
      <c r="AJ56" s="232"/>
      <c r="AK56" s="232"/>
      <c r="AL56" s="232"/>
      <c r="AM56" s="232"/>
      <c r="AN56" s="232"/>
      <c r="AO56" s="232"/>
    </row>
    <row r="57" spans="1:41" s="329" customFormat="1" ht="14.25" customHeight="1">
      <c r="B57" s="336"/>
      <c r="C57" s="337"/>
      <c r="D57" s="338"/>
      <c r="E57" s="338"/>
      <c r="F57" s="338"/>
      <c r="G57" s="338"/>
      <c r="H57" s="338"/>
      <c r="I57" s="338"/>
      <c r="J57" s="338"/>
      <c r="K57" s="338"/>
      <c r="L57" s="338"/>
      <c r="M57" s="338"/>
      <c r="N57" s="338"/>
      <c r="O57" s="338"/>
      <c r="P57" s="338"/>
      <c r="Q57" s="338"/>
      <c r="R57" s="338"/>
      <c r="S57" s="338"/>
      <c r="T57" s="338"/>
      <c r="U57" s="338"/>
      <c r="V57" s="338"/>
      <c r="W57" s="338"/>
      <c r="X57" s="338"/>
      <c r="Y57" s="338"/>
      <c r="Z57" s="338"/>
      <c r="AA57" s="338"/>
      <c r="AB57" s="338"/>
      <c r="AC57" s="335"/>
      <c r="AD57" s="335"/>
      <c r="AE57" s="333"/>
      <c r="AF57" s="335"/>
      <c r="AG57" s="328"/>
      <c r="AH57" s="328"/>
      <c r="AI57" s="328"/>
      <c r="AJ57" s="328"/>
      <c r="AK57" s="328"/>
      <c r="AL57" s="328"/>
      <c r="AM57" s="328"/>
      <c r="AN57" s="328"/>
      <c r="AO57" s="328"/>
    </row>
    <row r="58" spans="1:41">
      <c r="B58" s="522" t="s">
        <v>32</v>
      </c>
      <c r="C58" s="522"/>
      <c r="D58" s="522"/>
      <c r="E58" s="522"/>
      <c r="F58" s="522"/>
      <c r="G58" s="522"/>
      <c r="H58" s="522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Y58" s="522"/>
      <c r="Z58" s="522"/>
      <c r="AA58" s="522"/>
      <c r="AB58" s="522"/>
      <c r="AC58" s="284"/>
      <c r="AD58" s="284"/>
      <c r="AE58" s="284"/>
      <c r="AF58" s="284"/>
    </row>
    <row r="59" spans="1:41">
      <c r="B59" s="287"/>
      <c r="C59" s="516"/>
      <c r="D59" s="517"/>
      <c r="E59" s="516"/>
      <c r="F59" s="518"/>
      <c r="G59" s="516"/>
      <c r="H59" s="518"/>
      <c r="I59" s="516"/>
      <c r="J59" s="518"/>
      <c r="K59" s="516"/>
      <c r="L59" s="518"/>
      <c r="M59" s="516"/>
      <c r="N59" s="518"/>
      <c r="O59" s="516"/>
      <c r="P59" s="518"/>
      <c r="Q59" s="516"/>
      <c r="R59" s="518"/>
      <c r="S59" s="516"/>
      <c r="T59" s="518"/>
      <c r="U59" s="516"/>
      <c r="V59" s="518"/>
      <c r="W59" s="516"/>
      <c r="X59" s="518"/>
      <c r="Y59" s="516"/>
      <c r="Z59" s="518"/>
      <c r="AA59" s="516"/>
      <c r="AB59" s="518"/>
    </row>
    <row r="60" spans="1:41" ht="12.75" customHeight="1">
      <c r="B60" s="287">
        <f>B5</f>
        <v>2009</v>
      </c>
      <c r="C60" s="516" t="str">
        <f>C5</f>
        <v>Enero</v>
      </c>
      <c r="D60" s="517"/>
      <c r="E60" s="516" t="str">
        <f>E5</f>
        <v>Febrero</v>
      </c>
      <c r="F60" s="517"/>
      <c r="G60" s="516" t="str">
        <f>G5</f>
        <v>Marzo</v>
      </c>
      <c r="H60" s="517"/>
      <c r="I60" s="516" t="str">
        <f>I5</f>
        <v>Abril</v>
      </c>
      <c r="J60" s="517"/>
      <c r="K60" s="516" t="str">
        <f>K5</f>
        <v xml:space="preserve">Mayo </v>
      </c>
      <c r="L60" s="517"/>
      <c r="M60" s="516" t="str">
        <f>M5</f>
        <v>Junio</v>
      </c>
      <c r="N60" s="517"/>
      <c r="O60" s="516" t="str">
        <f>O5</f>
        <v>Julio</v>
      </c>
      <c r="P60" s="517"/>
      <c r="Q60" s="516" t="str">
        <f>Q5</f>
        <v>Agosto</v>
      </c>
      <c r="R60" s="517"/>
      <c r="S60" s="516" t="str">
        <f>S5</f>
        <v>Septiembre</v>
      </c>
      <c r="T60" s="517"/>
      <c r="U60" s="516" t="str">
        <f>U5</f>
        <v>Octubre</v>
      </c>
      <c r="V60" s="517"/>
      <c r="W60" s="516" t="str">
        <f>W5</f>
        <v>Noviembre</v>
      </c>
      <c r="X60" s="517"/>
      <c r="Y60" s="516" t="str">
        <f>Y5</f>
        <v>Diciembre</v>
      </c>
      <c r="Z60" s="517"/>
      <c r="AA60" s="516" t="s">
        <v>102</v>
      </c>
      <c r="AB60" s="517"/>
    </row>
    <row r="61" spans="1:41">
      <c r="B61" s="287"/>
      <c r="C61" s="516"/>
      <c r="D61" s="517"/>
      <c r="E61" s="516"/>
      <c r="F61" s="517"/>
      <c r="G61" s="516"/>
      <c r="H61" s="517"/>
      <c r="I61" s="516"/>
      <c r="J61" s="517"/>
      <c r="K61" s="516"/>
      <c r="L61" s="517"/>
      <c r="M61" s="516"/>
      <c r="N61" s="517"/>
      <c r="O61" s="516"/>
      <c r="P61" s="517"/>
      <c r="Q61" s="516"/>
      <c r="R61" s="517"/>
      <c r="S61" s="516"/>
      <c r="T61" s="517"/>
      <c r="U61" s="516"/>
      <c r="V61" s="517"/>
      <c r="W61" s="516"/>
      <c r="X61" s="517"/>
      <c r="Y61" s="516"/>
      <c r="Z61" s="517"/>
      <c r="AA61" s="516"/>
      <c r="AB61" s="517"/>
    </row>
    <row r="62" spans="1:41" s="297" customFormat="1" ht="14.25">
      <c r="A62" s="339"/>
      <c r="B62" s="340" t="s">
        <v>24</v>
      </c>
      <c r="C62" s="341"/>
      <c r="D62" s="342">
        <v>2684.793807</v>
      </c>
      <c r="E62" s="342"/>
      <c r="F62" s="342">
        <v>2663.3236809999999</v>
      </c>
      <c r="G62" s="342"/>
      <c r="H62" s="342">
        <v>2652.1501520000002</v>
      </c>
      <c r="I62" s="342"/>
      <c r="J62" s="342">
        <v>2642.3648130000001</v>
      </c>
      <c r="K62" s="342"/>
      <c r="L62" s="342">
        <v>2609.1033950000001</v>
      </c>
      <c r="M62" s="342"/>
      <c r="N62" s="342">
        <v>2518.7207330000001</v>
      </c>
      <c r="O62" s="342"/>
      <c r="P62" s="342">
        <v>2561.2339999999999</v>
      </c>
      <c r="Q62" s="342"/>
      <c r="R62" s="342">
        <v>2542.4491800000001</v>
      </c>
      <c r="S62" s="342"/>
      <c r="T62" s="342">
        <v>2599.242894</v>
      </c>
      <c r="U62" s="342"/>
      <c r="V62" s="342">
        <v>2601.570894</v>
      </c>
      <c r="W62" s="342"/>
      <c r="X62" s="342">
        <v>2553.17722</v>
      </c>
      <c r="Y62" s="342"/>
      <c r="Z62" s="342">
        <v>2592.6472309999999</v>
      </c>
      <c r="AA62" s="342"/>
      <c r="AB62" s="342">
        <f>AVERAGE(D62:Z62)</f>
        <v>2601.7314999999999</v>
      </c>
      <c r="AC62" s="343"/>
      <c r="AD62" s="343"/>
      <c r="AE62" s="343"/>
      <c r="AF62" s="343"/>
      <c r="AG62" s="283"/>
      <c r="AH62" s="343"/>
      <c r="AI62" s="343"/>
      <c r="AJ62" s="343"/>
      <c r="AK62" s="343"/>
      <c r="AL62" s="343"/>
      <c r="AM62" s="343"/>
      <c r="AN62" s="343"/>
      <c r="AO62" s="343"/>
    </row>
    <row r="63" spans="1:41" s="297" customFormat="1" ht="14.25">
      <c r="A63" s="339"/>
      <c r="B63" s="340" t="s">
        <v>39</v>
      </c>
      <c r="C63" s="341"/>
      <c r="D63" s="342">
        <v>7090.8280670000004</v>
      </c>
      <c r="E63" s="342"/>
      <c r="F63" s="342">
        <v>7008.7353380000004</v>
      </c>
      <c r="G63" s="342"/>
      <c r="H63" s="342">
        <v>6952.9786089999998</v>
      </c>
      <c r="I63" s="342"/>
      <c r="J63" s="342">
        <v>6964.4961359999998</v>
      </c>
      <c r="K63" s="342"/>
      <c r="L63" s="342">
        <v>7002.8988280000003</v>
      </c>
      <c r="M63" s="342"/>
      <c r="N63" s="342">
        <v>7120.6343079999997</v>
      </c>
      <c r="O63" s="342"/>
      <c r="P63" s="342">
        <v>7054.5439900000001</v>
      </c>
      <c r="Q63" s="342"/>
      <c r="R63" s="342">
        <v>7120.584441</v>
      </c>
      <c r="S63" s="342"/>
      <c r="T63" s="342">
        <v>7022.5190069999999</v>
      </c>
      <c r="U63" s="342"/>
      <c r="V63" s="342">
        <v>7169.8508119999997</v>
      </c>
      <c r="W63" s="342"/>
      <c r="X63" s="342">
        <v>6985.021847</v>
      </c>
      <c r="Y63" s="342"/>
      <c r="Z63" s="342">
        <v>6871.9830160000001</v>
      </c>
      <c r="AA63" s="342"/>
      <c r="AB63" s="342">
        <f t="shared" ref="AB63:AB73" si="1">AVERAGE(D63:Z63)</f>
        <v>7030.4228665833325</v>
      </c>
      <c r="AC63" s="343"/>
      <c r="AD63" s="343"/>
      <c r="AE63" s="343"/>
      <c r="AF63" s="343"/>
      <c r="AG63" s="343"/>
      <c r="AH63" s="343"/>
      <c r="AI63" s="343"/>
      <c r="AJ63" s="343"/>
      <c r="AK63" s="343"/>
      <c r="AL63" s="343"/>
      <c r="AM63" s="343"/>
      <c r="AN63" s="343"/>
      <c r="AO63" s="343"/>
    </row>
    <row r="64" spans="1:41" s="297" customFormat="1" ht="14.25">
      <c r="A64" s="339"/>
      <c r="B64" s="340" t="s">
        <v>25</v>
      </c>
      <c r="C64" s="341"/>
      <c r="D64" s="342">
        <v>773.56210851324499</v>
      </c>
      <c r="E64" s="342"/>
      <c r="F64" s="342">
        <v>785.41425402135906</v>
      </c>
      <c r="G64" s="342"/>
      <c r="H64" s="342">
        <v>778.30385138505096</v>
      </c>
      <c r="I64" s="342"/>
      <c r="J64" s="342">
        <v>789.56025438904396</v>
      </c>
      <c r="K64" s="342"/>
      <c r="L64" s="342">
        <v>752.27148226302097</v>
      </c>
      <c r="M64" s="342"/>
      <c r="N64" s="342">
        <v>816.18915715762603</v>
      </c>
      <c r="O64" s="342"/>
      <c r="P64" s="342">
        <v>810.01573938439799</v>
      </c>
      <c r="Q64" s="342"/>
      <c r="R64" s="342">
        <v>780.184124806618</v>
      </c>
      <c r="S64" s="342"/>
      <c r="T64" s="342">
        <v>783.18760455250003</v>
      </c>
      <c r="U64" s="342"/>
      <c r="V64" s="342">
        <v>799.99865030677404</v>
      </c>
      <c r="W64" s="342"/>
      <c r="X64" s="342">
        <v>778.34884877543197</v>
      </c>
      <c r="Y64" s="342"/>
      <c r="Z64" s="342">
        <v>869.61034177642</v>
      </c>
      <c r="AA64" s="342"/>
      <c r="AB64" s="342">
        <f t="shared" si="1"/>
        <v>793.05386811095741</v>
      </c>
      <c r="AC64" s="343"/>
      <c r="AD64" s="343"/>
      <c r="AE64" s="343"/>
      <c r="AF64" s="343"/>
      <c r="AG64" s="343"/>
      <c r="AH64" s="343"/>
      <c r="AI64" s="343"/>
      <c r="AJ64" s="343"/>
      <c r="AK64" s="343"/>
      <c r="AL64" s="343"/>
      <c r="AM64" s="343"/>
      <c r="AN64" s="343"/>
      <c r="AO64" s="343"/>
    </row>
    <row r="65" spans="1:41" s="297" customFormat="1" ht="14.25">
      <c r="A65" s="339"/>
      <c r="B65" s="340" t="s">
        <v>26</v>
      </c>
      <c r="C65" s="341"/>
      <c r="D65" s="342">
        <v>338.23173919455502</v>
      </c>
      <c r="E65" s="342"/>
      <c r="F65" s="342">
        <v>351.88324278742499</v>
      </c>
      <c r="G65" s="342"/>
      <c r="H65" s="342">
        <v>356.68095935040401</v>
      </c>
      <c r="I65" s="342"/>
      <c r="J65" s="342">
        <v>355.38192126925298</v>
      </c>
      <c r="K65" s="342"/>
      <c r="L65" s="342">
        <v>352.36130909568698</v>
      </c>
      <c r="M65" s="342"/>
      <c r="N65" s="342">
        <v>378.480518285367</v>
      </c>
      <c r="O65" s="342"/>
      <c r="P65" s="342">
        <v>373.54594548016303</v>
      </c>
      <c r="Q65" s="342"/>
      <c r="R65" s="342">
        <v>348.87781933837499</v>
      </c>
      <c r="S65" s="342"/>
      <c r="T65" s="342">
        <v>357.86522731510797</v>
      </c>
      <c r="U65" s="342"/>
      <c r="V65" s="342">
        <v>370.11736150689097</v>
      </c>
      <c r="W65" s="342"/>
      <c r="X65" s="342">
        <v>361.30520639587297</v>
      </c>
      <c r="Y65" s="342"/>
      <c r="Z65" s="342">
        <v>362.84087442189002</v>
      </c>
      <c r="AA65" s="342"/>
      <c r="AB65" s="342">
        <f t="shared" si="1"/>
        <v>358.96434370341586</v>
      </c>
      <c r="AC65" s="343"/>
      <c r="AD65" s="343"/>
      <c r="AE65" s="343"/>
      <c r="AF65" s="343"/>
      <c r="AG65" s="343"/>
      <c r="AH65" s="343"/>
      <c r="AI65" s="343"/>
      <c r="AJ65" s="343"/>
      <c r="AK65" s="343"/>
      <c r="AL65" s="343"/>
      <c r="AM65" s="343"/>
      <c r="AN65" s="343"/>
      <c r="AO65" s="343"/>
    </row>
    <row r="66" spans="1:41" s="297" customFormat="1" ht="14.25">
      <c r="A66" s="339"/>
      <c r="B66" s="340" t="s">
        <v>27</v>
      </c>
      <c r="C66" s="341"/>
      <c r="D66" s="342">
        <v>198.67982519232399</v>
      </c>
      <c r="E66" s="342"/>
      <c r="F66" s="342">
        <v>150.98954488050799</v>
      </c>
      <c r="G66" s="342"/>
      <c r="H66" s="342">
        <v>219.002474914956</v>
      </c>
      <c r="I66" s="342"/>
      <c r="J66" s="342">
        <v>161.329676742206</v>
      </c>
      <c r="K66" s="342"/>
      <c r="L66" s="342">
        <v>179.715451100259</v>
      </c>
      <c r="M66" s="342"/>
      <c r="N66" s="342">
        <v>182.149191357006</v>
      </c>
      <c r="O66" s="342"/>
      <c r="P66" s="342">
        <v>218.66254434321499</v>
      </c>
      <c r="Q66" s="342"/>
      <c r="R66" s="342">
        <v>274.12667586778701</v>
      </c>
      <c r="S66" s="342"/>
      <c r="T66" s="342">
        <v>268.215590071934</v>
      </c>
      <c r="U66" s="342"/>
      <c r="V66" s="342">
        <v>226.752564434118</v>
      </c>
      <c r="W66" s="342"/>
      <c r="X66" s="342">
        <v>203.001619711041</v>
      </c>
      <c r="Y66" s="342"/>
      <c r="Z66" s="342">
        <v>218.72972682269</v>
      </c>
      <c r="AA66" s="342"/>
      <c r="AB66" s="342">
        <f t="shared" si="1"/>
        <v>208.4462404531703</v>
      </c>
      <c r="AC66" s="343"/>
      <c r="AD66" s="343"/>
      <c r="AE66" s="343"/>
      <c r="AF66" s="343"/>
      <c r="AG66" s="343"/>
      <c r="AH66" s="343"/>
      <c r="AI66" s="343"/>
      <c r="AJ66" s="343"/>
      <c r="AK66" s="343"/>
      <c r="AL66" s="343"/>
      <c r="AM66" s="343"/>
      <c r="AN66" s="343"/>
      <c r="AO66" s="343"/>
    </row>
    <row r="67" spans="1:41" s="297" customFormat="1" ht="14.25">
      <c r="A67" s="339"/>
      <c r="B67" s="340" t="s">
        <v>28</v>
      </c>
      <c r="C67" s="341"/>
      <c r="D67" s="342">
        <v>303.56113128887699</v>
      </c>
      <c r="E67" s="342"/>
      <c r="F67" s="342">
        <v>300.375212369807</v>
      </c>
      <c r="G67" s="342"/>
      <c r="H67" s="342">
        <v>285.42751274951098</v>
      </c>
      <c r="I67" s="342"/>
      <c r="J67" s="342">
        <v>270.66724112445502</v>
      </c>
      <c r="K67" s="342"/>
      <c r="L67" s="342">
        <v>257.543515457826</v>
      </c>
      <c r="M67" s="342"/>
      <c r="N67" s="342">
        <v>260.59618038028202</v>
      </c>
      <c r="O67" s="342"/>
      <c r="P67" s="342">
        <v>262.91078632148498</v>
      </c>
      <c r="Q67" s="342"/>
      <c r="R67" s="342">
        <v>258.24487944000998</v>
      </c>
      <c r="S67" s="342"/>
      <c r="T67" s="342">
        <v>270.49314112887703</v>
      </c>
      <c r="U67" s="342"/>
      <c r="V67" s="342">
        <v>278.08809693594799</v>
      </c>
      <c r="W67" s="342"/>
      <c r="X67" s="342">
        <v>297.58054044079699</v>
      </c>
      <c r="Y67" s="342"/>
      <c r="Z67" s="342">
        <v>328.05711266662502</v>
      </c>
      <c r="AA67" s="342"/>
      <c r="AB67" s="342">
        <f t="shared" si="1"/>
        <v>281.12877919204169</v>
      </c>
      <c r="AC67" s="343"/>
      <c r="AD67" s="343"/>
      <c r="AE67" s="343"/>
      <c r="AF67" s="343"/>
      <c r="AG67" s="343"/>
      <c r="AH67" s="343"/>
      <c r="AI67" s="343"/>
      <c r="AJ67" s="343"/>
      <c r="AK67" s="343"/>
      <c r="AL67" s="343"/>
      <c r="AM67" s="343"/>
      <c r="AN67" s="343"/>
      <c r="AO67" s="343"/>
    </row>
    <row r="68" spans="1:41" s="297" customFormat="1" ht="14.25">
      <c r="A68" s="339"/>
      <c r="B68" s="340" t="s">
        <v>38</v>
      </c>
      <c r="C68" s="341"/>
      <c r="D68" s="342">
        <v>2911.8559049402602</v>
      </c>
      <c r="E68" s="342"/>
      <c r="F68" s="342">
        <v>3033.9339379377602</v>
      </c>
      <c r="G68" s="342"/>
      <c r="H68" s="342">
        <v>3053.7004959373398</v>
      </c>
      <c r="I68" s="342"/>
      <c r="J68" s="342">
        <v>2853.8594199414501</v>
      </c>
      <c r="K68" s="342"/>
      <c r="L68" s="342">
        <v>3324.3326429317999</v>
      </c>
      <c r="M68" s="342"/>
      <c r="N68" s="342">
        <v>3073.66319293693</v>
      </c>
      <c r="O68" s="342"/>
      <c r="P68" s="342">
        <v>3053.5021759373599</v>
      </c>
      <c r="Q68" s="342"/>
      <c r="R68" s="342">
        <v>3099.2333439364002</v>
      </c>
      <c r="S68" s="342"/>
      <c r="T68" s="342">
        <v>3263.9424109330298</v>
      </c>
      <c r="U68" s="342"/>
      <c r="V68" s="342">
        <v>3209.2018889341598</v>
      </c>
      <c r="W68" s="342"/>
      <c r="X68" s="342">
        <v>3305.2021629321998</v>
      </c>
      <c r="Y68" s="342"/>
      <c r="Z68" s="342">
        <v>3235.4870189336202</v>
      </c>
      <c r="AA68" s="342"/>
      <c r="AB68" s="342">
        <f t="shared" si="1"/>
        <v>3118.1595496860259</v>
      </c>
      <c r="AC68" s="343"/>
      <c r="AD68" s="343"/>
      <c r="AE68" s="343"/>
      <c r="AF68" s="343"/>
      <c r="AG68" s="343"/>
      <c r="AH68" s="343"/>
      <c r="AI68" s="343"/>
      <c r="AJ68" s="343"/>
      <c r="AK68" s="343"/>
      <c r="AL68" s="343"/>
      <c r="AM68" s="343"/>
      <c r="AN68" s="343"/>
      <c r="AO68" s="343"/>
    </row>
    <row r="69" spans="1:41" s="297" customFormat="1" ht="14.25">
      <c r="A69" s="339"/>
      <c r="B69" s="340" t="s">
        <v>98</v>
      </c>
      <c r="C69" s="341"/>
      <c r="D69" s="342">
        <v>1366.3820967741899</v>
      </c>
      <c r="E69" s="342"/>
      <c r="F69" s="342">
        <v>1257.00707142857</v>
      </c>
      <c r="G69" s="342"/>
      <c r="H69" s="342">
        <v>1212.56616129032</v>
      </c>
      <c r="I69" s="342"/>
      <c r="J69" s="342">
        <v>1176.90466666667</v>
      </c>
      <c r="K69" s="342"/>
      <c r="L69" s="342">
        <v>1172.7291290322601</v>
      </c>
      <c r="M69" s="342"/>
      <c r="N69" s="342">
        <v>1236.05876666667</v>
      </c>
      <c r="O69" s="342"/>
      <c r="P69" s="342">
        <v>1306.9286774193499</v>
      </c>
      <c r="Q69" s="342"/>
      <c r="R69" s="342">
        <v>1100.9968387096801</v>
      </c>
      <c r="S69" s="342"/>
      <c r="T69" s="342">
        <v>1128.1481000000001</v>
      </c>
      <c r="U69" s="342"/>
      <c r="V69" s="342">
        <v>1238.46948387097</v>
      </c>
      <c r="W69" s="342"/>
      <c r="X69" s="342">
        <v>1219.5871</v>
      </c>
      <c r="Y69" s="342"/>
      <c r="Z69" s="342">
        <v>1287.9223870967701</v>
      </c>
      <c r="AA69" s="342"/>
      <c r="AB69" s="342">
        <f t="shared" si="1"/>
        <v>1225.3083732462876</v>
      </c>
      <c r="AC69" s="343"/>
      <c r="AD69" s="343"/>
      <c r="AE69" s="343"/>
      <c r="AF69" s="343"/>
      <c r="AG69" s="343"/>
      <c r="AH69" s="343"/>
      <c r="AI69" s="343"/>
      <c r="AJ69" s="343"/>
      <c r="AK69" s="343"/>
      <c r="AL69" s="343"/>
      <c r="AM69" s="343"/>
      <c r="AN69" s="343"/>
      <c r="AO69" s="343"/>
    </row>
    <row r="70" spans="1:41" s="297" customFormat="1" ht="12.75" customHeight="1">
      <c r="A70" s="339"/>
      <c r="B70" s="340" t="s">
        <v>29</v>
      </c>
      <c r="C70" s="341"/>
      <c r="D70" s="344">
        <v>37.953878000000003</v>
      </c>
      <c r="E70" s="342"/>
      <c r="F70" s="344">
        <v>38.238621999999999</v>
      </c>
      <c r="G70" s="342"/>
      <c r="H70" s="344">
        <v>42.032093000000003</v>
      </c>
      <c r="I70" s="342"/>
      <c r="J70" s="344">
        <v>47.765144999999997</v>
      </c>
      <c r="K70" s="342"/>
      <c r="L70" s="344">
        <v>56.419580000000003</v>
      </c>
      <c r="M70" s="344"/>
      <c r="N70" s="344">
        <v>64.357436000000007</v>
      </c>
      <c r="O70" s="342"/>
      <c r="P70" s="344">
        <v>60.952921000000003</v>
      </c>
      <c r="Q70" s="342"/>
      <c r="R70" s="344">
        <v>67.212350999999998</v>
      </c>
      <c r="S70" s="342"/>
      <c r="T70" s="344">
        <v>64.734351000000004</v>
      </c>
      <c r="U70" s="342"/>
      <c r="V70" s="344">
        <v>68.872056999999998</v>
      </c>
      <c r="W70" s="342"/>
      <c r="X70" s="344">
        <v>72.440166000000005</v>
      </c>
      <c r="Y70" s="342"/>
      <c r="Z70" s="344">
        <v>69.798091999999997</v>
      </c>
      <c r="AA70" s="342"/>
      <c r="AB70" s="344">
        <f t="shared" si="1"/>
        <v>57.564724333333338</v>
      </c>
      <c r="AC70" s="343"/>
      <c r="AD70" s="343"/>
      <c r="AE70" s="343"/>
      <c r="AF70" s="343"/>
      <c r="AG70" s="343"/>
      <c r="AH70" s="343"/>
      <c r="AI70" s="343"/>
      <c r="AJ70" s="343"/>
      <c r="AK70" s="343"/>
      <c r="AL70" s="343"/>
      <c r="AM70" s="343"/>
      <c r="AN70" s="343"/>
      <c r="AO70" s="343"/>
    </row>
    <row r="71" spans="1:41" s="297" customFormat="1" ht="12.75" customHeight="1">
      <c r="A71" s="339">
        <v>39</v>
      </c>
      <c r="B71" s="340" t="s">
        <v>113</v>
      </c>
      <c r="C71" s="341"/>
      <c r="D71" s="344">
        <v>70</v>
      </c>
      <c r="E71" s="342"/>
      <c r="F71" s="344">
        <v>70</v>
      </c>
      <c r="G71" s="342"/>
      <c r="H71" s="344">
        <v>70</v>
      </c>
      <c r="I71" s="342"/>
      <c r="J71" s="344">
        <v>70</v>
      </c>
      <c r="K71" s="342"/>
      <c r="L71" s="344">
        <v>70</v>
      </c>
      <c r="M71" s="344"/>
      <c r="N71" s="344">
        <v>70</v>
      </c>
      <c r="O71" s="342"/>
      <c r="P71" s="344">
        <v>70</v>
      </c>
      <c r="Q71" s="342"/>
      <c r="R71" s="344">
        <v>70</v>
      </c>
      <c r="S71" s="342"/>
      <c r="T71" s="344">
        <v>70</v>
      </c>
      <c r="U71" s="342"/>
      <c r="V71" s="344">
        <v>70</v>
      </c>
      <c r="W71" s="342"/>
      <c r="X71" s="344">
        <v>70</v>
      </c>
      <c r="Y71" s="342"/>
      <c r="Z71" s="344">
        <v>70</v>
      </c>
      <c r="AA71" s="342"/>
      <c r="AB71" s="344">
        <f t="shared" si="1"/>
        <v>70</v>
      </c>
      <c r="AC71" s="343"/>
      <c r="AD71" s="343"/>
      <c r="AE71" s="343"/>
      <c r="AF71" s="343"/>
      <c r="AG71" s="343"/>
      <c r="AH71" s="343"/>
      <c r="AI71" s="343"/>
      <c r="AJ71" s="343"/>
      <c r="AK71" s="343"/>
      <c r="AL71" s="343"/>
      <c r="AM71" s="343"/>
      <c r="AN71" s="343"/>
      <c r="AO71" s="343"/>
    </row>
    <row r="72" spans="1:41" s="297" customFormat="1" ht="14.25">
      <c r="A72" s="339"/>
      <c r="B72" s="340" t="s">
        <v>76</v>
      </c>
      <c r="C72" s="341"/>
      <c r="D72" s="344">
        <v>5.1470000000000002</v>
      </c>
      <c r="E72" s="342"/>
      <c r="F72" s="344">
        <v>3.87</v>
      </c>
      <c r="G72" s="342"/>
      <c r="H72" s="344">
        <v>3.5</v>
      </c>
      <c r="I72" s="342"/>
      <c r="J72" s="344">
        <v>3.25</v>
      </c>
      <c r="K72" s="342"/>
      <c r="L72" s="344">
        <v>3.1</v>
      </c>
      <c r="M72" s="344"/>
      <c r="N72" s="344">
        <v>3.758</v>
      </c>
      <c r="O72" s="342"/>
      <c r="P72" s="344">
        <v>3.758</v>
      </c>
      <c r="Q72" s="342"/>
      <c r="R72" s="344">
        <v>3.263325</v>
      </c>
      <c r="S72" s="342"/>
      <c r="T72" s="344">
        <v>2.641</v>
      </c>
      <c r="U72" s="342"/>
      <c r="V72" s="344">
        <v>3.3740000000000001</v>
      </c>
      <c r="W72" s="342"/>
      <c r="X72" s="344">
        <v>4.0830000000000002</v>
      </c>
      <c r="Y72" s="342"/>
      <c r="Z72" s="344">
        <v>3.3329</v>
      </c>
      <c r="AA72" s="342"/>
      <c r="AB72" s="344">
        <f t="shared" si="1"/>
        <v>3.5897687499999997</v>
      </c>
      <c r="AC72" s="343"/>
      <c r="AD72" s="343"/>
      <c r="AE72" s="343"/>
      <c r="AF72" s="343"/>
      <c r="AG72" s="343"/>
      <c r="AH72" s="343"/>
      <c r="AI72" s="343"/>
      <c r="AJ72" s="343"/>
      <c r="AK72" s="343"/>
      <c r="AL72" s="343"/>
      <c r="AM72" s="343"/>
      <c r="AN72" s="343"/>
      <c r="AO72" s="343"/>
    </row>
    <row r="73" spans="1:41" s="297" customFormat="1" ht="14.25">
      <c r="A73" s="339"/>
      <c r="B73" s="340" t="s">
        <v>99</v>
      </c>
      <c r="C73" s="341"/>
      <c r="D73" s="345">
        <v>13.8492</v>
      </c>
      <c r="E73" s="342"/>
      <c r="F73" s="345">
        <v>14.518000000000001</v>
      </c>
      <c r="G73" s="342"/>
      <c r="H73" s="345">
        <v>14.7393</v>
      </c>
      <c r="I73" s="342"/>
      <c r="J73" s="345">
        <v>13.489000000000001</v>
      </c>
      <c r="K73" s="342"/>
      <c r="L73" s="345">
        <v>13.216699999999999</v>
      </c>
      <c r="M73" s="345"/>
      <c r="N73" s="345">
        <v>13.3439</v>
      </c>
      <c r="O73" s="342"/>
      <c r="P73" s="345">
        <v>13.3619</v>
      </c>
      <c r="Q73" s="342"/>
      <c r="R73" s="345">
        <v>13.0015</v>
      </c>
      <c r="S73" s="342"/>
      <c r="T73" s="345">
        <v>13.3987</v>
      </c>
      <c r="U73" s="342"/>
      <c r="V73" s="345">
        <v>13.262600000000001</v>
      </c>
      <c r="W73" s="342"/>
      <c r="X73" s="345">
        <v>13.1305</v>
      </c>
      <c r="Y73" s="342"/>
      <c r="Z73" s="345">
        <v>12.8504</v>
      </c>
      <c r="AA73" s="342"/>
      <c r="AB73" s="345">
        <f t="shared" si="1"/>
        <v>13.513475000000005</v>
      </c>
      <c r="AC73" s="343"/>
      <c r="AD73" s="343"/>
      <c r="AE73" s="343"/>
      <c r="AF73" s="343"/>
      <c r="AG73" s="343"/>
      <c r="AH73" s="343"/>
      <c r="AI73" s="343"/>
      <c r="AJ73" s="343"/>
      <c r="AK73" s="343"/>
      <c r="AL73" s="343"/>
      <c r="AM73" s="343"/>
      <c r="AN73" s="343"/>
      <c r="AO73" s="343"/>
    </row>
    <row r="74" spans="1:41" s="297" customFormat="1" ht="14.25">
      <c r="A74" s="339"/>
      <c r="B74" s="340" t="s">
        <v>100</v>
      </c>
      <c r="C74" s="341"/>
      <c r="D74" s="342">
        <v>570.27787645826015</v>
      </c>
      <c r="E74" s="342"/>
      <c r="F74" s="342">
        <v>451.70820276637733</v>
      </c>
      <c r="G74" s="342"/>
      <c r="H74" s="342">
        <v>513.28185148372654</v>
      </c>
      <c r="I74" s="342"/>
      <c r="J74" s="342">
        <v>487.22787035222564</v>
      </c>
      <c r="K74" s="342"/>
      <c r="L74" s="342">
        <v>526.42766743401569</v>
      </c>
      <c r="M74" s="342"/>
      <c r="N74" s="342">
        <v>656.5349899574893</v>
      </c>
      <c r="O74" s="342"/>
      <c r="P74" s="342">
        <v>675.52100761865722</v>
      </c>
      <c r="Q74" s="342"/>
      <c r="R74" s="342">
        <v>611.3650263868584</v>
      </c>
      <c r="S74" s="342"/>
      <c r="T74" s="342">
        <v>575.62568846980628</v>
      </c>
      <c r="U74" s="342"/>
      <c r="V74" s="342">
        <v>560.77898836428881</v>
      </c>
      <c r="W74" s="342"/>
      <c r="X74" s="342">
        <v>627.37673714539437</v>
      </c>
      <c r="Y74" s="342"/>
      <c r="Z74" s="342">
        <v>709.89189864563377</v>
      </c>
      <c r="AA74" s="342"/>
      <c r="AB74" s="342">
        <f>AVERAGE(D74:Z74)</f>
        <v>580.50148375689446</v>
      </c>
      <c r="AC74" s="343"/>
      <c r="AD74" s="343"/>
      <c r="AE74" s="343"/>
      <c r="AF74" s="343"/>
      <c r="AG74" s="343"/>
      <c r="AH74" s="343"/>
      <c r="AI74" s="343"/>
      <c r="AJ74" s="343"/>
      <c r="AK74" s="343"/>
      <c r="AL74" s="343"/>
      <c r="AM74" s="343"/>
      <c r="AN74" s="343"/>
      <c r="AO74" s="343"/>
    </row>
    <row r="75" spans="1:41" s="297" customFormat="1" ht="14.25">
      <c r="A75" s="339"/>
      <c r="B75" s="340" t="s">
        <v>70</v>
      </c>
      <c r="C75" s="341"/>
      <c r="D75" s="342">
        <v>33.550204999999998</v>
      </c>
      <c r="E75" s="342"/>
      <c r="F75" s="342">
        <v>37.812429000000002</v>
      </c>
      <c r="G75" s="342"/>
      <c r="H75" s="342">
        <v>21.627381</v>
      </c>
      <c r="I75" s="342"/>
      <c r="J75" s="342">
        <v>43.623351700000001</v>
      </c>
      <c r="K75" s="342"/>
      <c r="L75" s="342">
        <v>26.233019000000006</v>
      </c>
      <c r="M75" s="342"/>
      <c r="N75" s="342">
        <v>23.471513999999999</v>
      </c>
      <c r="O75" s="342"/>
      <c r="P75" s="342">
        <v>17.041518000000003</v>
      </c>
      <c r="Q75" s="342"/>
      <c r="R75" s="342">
        <v>17.378747999999995</v>
      </c>
      <c r="S75" s="342"/>
      <c r="T75" s="342">
        <v>22.048625999999992</v>
      </c>
      <c r="U75" s="342"/>
      <c r="V75" s="342">
        <v>49.242555999999993</v>
      </c>
      <c r="W75" s="342"/>
      <c r="X75" s="342">
        <v>43.405225999999999</v>
      </c>
      <c r="Y75" s="342"/>
      <c r="Z75" s="342">
        <v>49.044203000000003</v>
      </c>
      <c r="AA75" s="342"/>
      <c r="AB75" s="342">
        <f>AVERAGE(D75:Z75)</f>
        <v>32.039898058333328</v>
      </c>
      <c r="AC75" s="343"/>
      <c r="AD75" s="343"/>
      <c r="AE75" s="343"/>
      <c r="AF75" s="343"/>
      <c r="AG75" s="343"/>
      <c r="AH75" s="343"/>
      <c r="AI75" s="343"/>
      <c r="AJ75" s="343"/>
      <c r="AK75" s="343"/>
      <c r="AL75" s="343"/>
      <c r="AM75" s="343"/>
      <c r="AN75" s="343"/>
      <c r="AO75" s="343"/>
    </row>
    <row r="76" spans="1:41" s="233" customFormat="1">
      <c r="A76" s="256">
        <v>40</v>
      </c>
      <c r="B76" s="515" t="s">
        <v>101</v>
      </c>
      <c r="C76" s="515"/>
      <c r="D76" s="515"/>
      <c r="E76" s="515"/>
      <c r="F76" s="515"/>
      <c r="G76" s="515"/>
      <c r="H76" s="515"/>
      <c r="I76" s="515"/>
      <c r="J76" s="515"/>
      <c r="K76" s="515"/>
      <c r="L76" s="515"/>
      <c r="M76" s="515"/>
      <c r="N76" s="515"/>
      <c r="O76" s="515"/>
      <c r="P76" s="515"/>
      <c r="Q76" s="515"/>
      <c r="R76" s="515"/>
      <c r="S76" s="515"/>
      <c r="T76" s="515"/>
      <c r="U76" s="515"/>
      <c r="V76" s="515"/>
      <c r="W76" s="515"/>
      <c r="X76" s="515"/>
      <c r="Y76" s="515"/>
      <c r="Z76" s="515"/>
      <c r="AA76" s="515"/>
      <c r="AB76" s="515"/>
      <c r="AC76" s="232"/>
      <c r="AD76" s="232"/>
      <c r="AE76" s="232"/>
      <c r="AF76" s="232"/>
      <c r="AG76" s="232"/>
      <c r="AH76" s="232"/>
      <c r="AI76" s="232"/>
      <c r="AJ76" s="232"/>
      <c r="AK76" s="232"/>
      <c r="AL76" s="232"/>
      <c r="AM76" s="232"/>
      <c r="AN76" s="232"/>
      <c r="AO76" s="232"/>
    </row>
    <row r="78" spans="1:41">
      <c r="V78" s="346"/>
    </row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</sheetData>
  <mergeCells count="82">
    <mergeCell ref="B2:AB2"/>
    <mergeCell ref="B3:AB3"/>
    <mergeCell ref="C4:D4"/>
    <mergeCell ref="E4:F4"/>
    <mergeCell ref="G4:H4"/>
    <mergeCell ref="I4:J4"/>
    <mergeCell ref="K4:L4"/>
    <mergeCell ref="M4:N4"/>
    <mergeCell ref="O4:P4"/>
    <mergeCell ref="Q4:R4"/>
    <mergeCell ref="Y4:Z4"/>
    <mergeCell ref="AA4:AB4"/>
    <mergeCell ref="C5:D5"/>
    <mergeCell ref="E5:F5"/>
    <mergeCell ref="G5:H5"/>
    <mergeCell ref="I5:J5"/>
    <mergeCell ref="K5:L5"/>
    <mergeCell ref="U5:V5"/>
    <mergeCell ref="W5:X5"/>
    <mergeCell ref="S4:T4"/>
    <mergeCell ref="U4:V4"/>
    <mergeCell ref="W4:X4"/>
    <mergeCell ref="AA7:AB7"/>
    <mergeCell ref="B58:AB58"/>
    <mergeCell ref="Y5:Z5"/>
    <mergeCell ref="AA5:AB5"/>
    <mergeCell ref="C7:D7"/>
    <mergeCell ref="E7:F7"/>
    <mergeCell ref="G7:H7"/>
    <mergeCell ref="I7:J7"/>
    <mergeCell ref="K7:L7"/>
    <mergeCell ref="M7:N7"/>
    <mergeCell ref="O7:P7"/>
    <mergeCell ref="Q7:R7"/>
    <mergeCell ref="M5:N5"/>
    <mergeCell ref="O5:P5"/>
    <mergeCell ref="Q5:R5"/>
    <mergeCell ref="S5:T5"/>
    <mergeCell ref="M59:N59"/>
    <mergeCell ref="S7:T7"/>
    <mergeCell ref="U7:V7"/>
    <mergeCell ref="W7:X7"/>
    <mergeCell ref="Y7:Z7"/>
    <mergeCell ref="C59:D59"/>
    <mergeCell ref="E59:F59"/>
    <mergeCell ref="G59:H59"/>
    <mergeCell ref="I59:J59"/>
    <mergeCell ref="K59:L59"/>
    <mergeCell ref="AA59:AB59"/>
    <mergeCell ref="C60:D60"/>
    <mergeCell ref="E60:F60"/>
    <mergeCell ref="G60:H60"/>
    <mergeCell ref="I60:J60"/>
    <mergeCell ref="K60:L60"/>
    <mergeCell ref="M60:N60"/>
    <mergeCell ref="O60:P60"/>
    <mergeCell ref="Q60:R60"/>
    <mergeCell ref="S60:T60"/>
    <mergeCell ref="O59:P59"/>
    <mergeCell ref="Q59:R59"/>
    <mergeCell ref="S59:T59"/>
    <mergeCell ref="U59:V59"/>
    <mergeCell ref="W59:X59"/>
    <mergeCell ref="Y59:Z59"/>
    <mergeCell ref="U60:V60"/>
    <mergeCell ref="W60:X60"/>
    <mergeCell ref="Y60:Z60"/>
    <mergeCell ref="AA60:AB60"/>
    <mergeCell ref="C61:D61"/>
    <mergeCell ref="E61:F61"/>
    <mergeCell ref="G61:H61"/>
    <mergeCell ref="I61:J61"/>
    <mergeCell ref="K61:L61"/>
    <mergeCell ref="M61:N61"/>
    <mergeCell ref="AA61:AB61"/>
    <mergeCell ref="B76:AB76"/>
    <mergeCell ref="O61:P61"/>
    <mergeCell ref="Q61:R61"/>
    <mergeCell ref="S61:T61"/>
    <mergeCell ref="U61:V61"/>
    <mergeCell ref="W61:X61"/>
    <mergeCell ref="Y61:Z61"/>
  </mergeCells>
  <printOptions horizontalCentered="1" verticalCentered="1"/>
  <pageMargins left="0.15748031496062992" right="0.19685039370078741" top="0.27559055118110237" bottom="0.23622047244094491" header="0.19685039370078741" footer="0.19685039370078741"/>
  <pageSetup scale="6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91"/>
  <sheetViews>
    <sheetView showGridLines="0" topLeftCell="F49" workbookViewId="0">
      <selection activeCell="AC17" sqref="AC17"/>
    </sheetView>
  </sheetViews>
  <sheetFormatPr baseColWidth="10" defaultColWidth="9.140625" defaultRowHeight="12.75"/>
  <cols>
    <col min="1" max="1" width="3.28515625" style="257" hidden="1" customWidth="1"/>
    <col min="2" max="2" width="47.28515625" style="257" customWidth="1"/>
    <col min="3" max="3" width="2.7109375" style="257" customWidth="1"/>
    <col min="4" max="4" width="11.28515625" style="257" customWidth="1"/>
    <col min="5" max="5" width="2.7109375" style="257" customWidth="1"/>
    <col min="6" max="6" width="10.7109375" style="257" customWidth="1"/>
    <col min="7" max="7" width="2.7109375" style="257" customWidth="1"/>
    <col min="8" max="8" width="10.7109375" style="257" customWidth="1"/>
    <col min="9" max="9" width="2.7109375" style="257" customWidth="1"/>
    <col min="10" max="10" width="10.7109375" style="257" customWidth="1"/>
    <col min="11" max="11" width="2.7109375" style="257" customWidth="1"/>
    <col min="12" max="12" width="10.7109375" style="257" customWidth="1"/>
    <col min="13" max="13" width="2.7109375" style="257" customWidth="1"/>
    <col min="14" max="14" width="10.7109375" style="257" customWidth="1"/>
    <col min="15" max="15" width="2.7109375" style="257" customWidth="1"/>
    <col min="16" max="16" width="10.7109375" style="257" customWidth="1"/>
    <col min="17" max="17" width="2.7109375" style="257" customWidth="1"/>
    <col min="18" max="18" width="10.7109375" style="257" customWidth="1"/>
    <col min="19" max="19" width="2.7109375" style="257" customWidth="1"/>
    <col min="20" max="20" width="10.7109375" style="257" customWidth="1"/>
    <col min="21" max="21" width="2.7109375" style="257" customWidth="1"/>
    <col min="22" max="22" width="10.7109375" style="257" customWidth="1"/>
    <col min="23" max="23" width="2.7109375" style="257" customWidth="1"/>
    <col min="24" max="24" width="10.7109375" style="257" customWidth="1"/>
    <col min="25" max="25" width="2.7109375" style="257" customWidth="1"/>
    <col min="26" max="26" width="10.7109375" style="257" customWidth="1"/>
    <col min="27" max="27" width="2.7109375" style="257" customWidth="1"/>
    <col min="28" max="28" width="12.7109375" style="257" customWidth="1"/>
    <col min="29" max="29" width="11.7109375" style="260" customWidth="1"/>
    <col min="65" max="16384" width="9.140625" style="257"/>
  </cols>
  <sheetData>
    <row r="1" spans="1:64">
      <c r="B1" s="258"/>
      <c r="C1" s="258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8"/>
      <c r="AB1" s="258"/>
    </row>
    <row r="2" spans="1:64">
      <c r="B2" s="531" t="s">
        <v>130</v>
      </c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  <c r="R2" s="532"/>
      <c r="S2" s="532"/>
      <c r="T2" s="532"/>
      <c r="U2" s="532"/>
      <c r="V2" s="532"/>
      <c r="W2" s="532"/>
      <c r="X2" s="532"/>
      <c r="Y2" s="532"/>
      <c r="Z2" s="532"/>
      <c r="AA2" s="532"/>
      <c r="AB2" s="532"/>
      <c r="AC2" s="261"/>
    </row>
    <row r="3" spans="1:64" ht="13.5" thickBot="1">
      <c r="B3" s="532" t="s">
        <v>57</v>
      </c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532"/>
      <c r="N3" s="532"/>
      <c r="O3" s="532"/>
      <c r="P3" s="532"/>
      <c r="Q3" s="532"/>
      <c r="R3" s="532"/>
      <c r="S3" s="532"/>
      <c r="T3" s="532"/>
      <c r="U3" s="532"/>
      <c r="V3" s="532"/>
      <c r="W3" s="532"/>
      <c r="X3" s="532"/>
      <c r="Y3" s="532"/>
      <c r="Z3" s="532"/>
      <c r="AA3" s="532"/>
      <c r="AB3" s="532"/>
      <c r="AC3" s="262"/>
    </row>
    <row r="4" spans="1:64">
      <c r="B4" s="349"/>
      <c r="C4" s="533"/>
      <c r="D4" s="534"/>
      <c r="E4" s="533"/>
      <c r="F4" s="535"/>
      <c r="G4" s="533"/>
      <c r="H4" s="535"/>
      <c r="I4" s="533"/>
      <c r="J4" s="535"/>
      <c r="K4" s="533"/>
      <c r="L4" s="535"/>
      <c r="M4" s="533"/>
      <c r="N4" s="535"/>
      <c r="O4" s="533"/>
      <c r="P4" s="535"/>
      <c r="Q4" s="533"/>
      <c r="R4" s="535"/>
      <c r="S4" s="533"/>
      <c r="T4" s="535"/>
      <c r="U4" s="533"/>
      <c r="V4" s="536"/>
      <c r="W4" s="533"/>
      <c r="X4" s="536"/>
      <c r="Y4" s="533"/>
      <c r="Z4" s="536"/>
      <c r="AA4" s="533"/>
      <c r="AB4" s="536"/>
    </row>
    <row r="5" spans="1:64" ht="12.75" customHeight="1">
      <c r="B5" s="350">
        <v>2010</v>
      </c>
      <c r="C5" s="537" t="s">
        <v>4</v>
      </c>
      <c r="D5" s="538"/>
      <c r="E5" s="537" t="s">
        <v>5</v>
      </c>
      <c r="F5" s="539"/>
      <c r="G5" s="537" t="s">
        <v>6</v>
      </c>
      <c r="H5" s="539"/>
      <c r="I5" s="537" t="s">
        <v>7</v>
      </c>
      <c r="J5" s="539"/>
      <c r="K5" s="537" t="s">
        <v>8</v>
      </c>
      <c r="L5" s="539"/>
      <c r="M5" s="537" t="s">
        <v>9</v>
      </c>
      <c r="N5" s="539"/>
      <c r="O5" s="537" t="s">
        <v>10</v>
      </c>
      <c r="P5" s="539"/>
      <c r="Q5" s="545" t="s">
        <v>11</v>
      </c>
      <c r="R5" s="539"/>
      <c r="S5" s="545" t="s">
        <v>12</v>
      </c>
      <c r="T5" s="539"/>
      <c r="U5" s="537" t="s">
        <v>0</v>
      </c>
      <c r="V5" s="540"/>
      <c r="W5" s="537" t="s">
        <v>1</v>
      </c>
      <c r="X5" s="540"/>
      <c r="Y5" s="537" t="s">
        <v>2</v>
      </c>
      <c r="Z5" s="540"/>
      <c r="AA5" s="537" t="s">
        <v>15</v>
      </c>
      <c r="AB5" s="540"/>
    </row>
    <row r="6" spans="1:64">
      <c r="B6" s="350"/>
      <c r="C6" s="414"/>
      <c r="D6" s="351"/>
      <c r="E6" s="414"/>
      <c r="F6" s="415"/>
      <c r="G6" s="414"/>
      <c r="H6" s="415"/>
      <c r="I6" s="414"/>
      <c r="J6" s="415"/>
      <c r="K6" s="414"/>
      <c r="L6" s="415"/>
      <c r="M6" s="414"/>
      <c r="N6" s="415"/>
      <c r="O6" s="414"/>
      <c r="P6" s="415"/>
      <c r="Q6" s="417"/>
      <c r="R6" s="415"/>
      <c r="S6" s="417"/>
      <c r="T6" s="415"/>
      <c r="U6" s="414"/>
      <c r="V6" s="416"/>
      <c r="W6" s="414"/>
      <c r="X6" s="416"/>
      <c r="Y6" s="414"/>
      <c r="Z6" s="416"/>
      <c r="AA6" s="414"/>
      <c r="AB6" s="416"/>
    </row>
    <row r="7" spans="1:64" ht="13.5" thickBot="1">
      <c r="B7" s="352"/>
      <c r="C7" s="542"/>
      <c r="D7" s="543"/>
      <c r="E7" s="542"/>
      <c r="F7" s="544"/>
      <c r="G7" s="542"/>
      <c r="H7" s="544"/>
      <c r="I7" s="542"/>
      <c r="J7" s="544"/>
      <c r="K7" s="542"/>
      <c r="L7" s="544"/>
      <c r="M7" s="542"/>
      <c r="N7" s="544"/>
      <c r="O7" s="542"/>
      <c r="P7" s="544"/>
      <c r="Q7" s="542"/>
      <c r="R7" s="544"/>
      <c r="S7" s="542"/>
      <c r="T7" s="544"/>
      <c r="U7" s="542"/>
      <c r="V7" s="546"/>
      <c r="W7" s="542"/>
      <c r="X7" s="546"/>
      <c r="Y7" s="542"/>
      <c r="Z7" s="546"/>
      <c r="AA7" s="542"/>
      <c r="AB7" s="546"/>
    </row>
    <row r="8" spans="1:64" s="265" customFormat="1" ht="14.25">
      <c r="A8" s="263"/>
      <c r="B8" s="353" t="s">
        <v>16</v>
      </c>
      <c r="C8" s="354"/>
      <c r="D8" s="355">
        <f>D9+D12</f>
        <v>99756.742155</v>
      </c>
      <c r="E8" s="356"/>
      <c r="F8" s="355">
        <f>F9+F12</f>
        <v>120725.76267999999</v>
      </c>
      <c r="G8" s="356"/>
      <c r="H8" s="355">
        <f>H9+H12</f>
        <v>112208.59795300002</v>
      </c>
      <c r="I8" s="356"/>
      <c r="J8" s="355">
        <f>J9+J12</f>
        <v>109736.106483</v>
      </c>
      <c r="K8" s="356"/>
      <c r="L8" s="355">
        <f>L9+L12</f>
        <v>112263.811306</v>
      </c>
      <c r="M8" s="356"/>
      <c r="N8" s="355">
        <f>N9+N12</f>
        <v>116982.954153</v>
      </c>
      <c r="O8" s="356"/>
      <c r="P8" s="355">
        <f>P9+P12</f>
        <v>95907.906621000002</v>
      </c>
      <c r="Q8" s="356"/>
      <c r="R8" s="355">
        <f>R9+R12</f>
        <v>111134.03473099999</v>
      </c>
      <c r="S8" s="356"/>
      <c r="T8" s="355">
        <f>T9+T12</f>
        <v>117947.18779</v>
      </c>
      <c r="U8" s="356"/>
      <c r="V8" s="355">
        <f>V9+V12</f>
        <v>103012.37784</v>
      </c>
      <c r="W8" s="356"/>
      <c r="X8" s="355">
        <f>X9+X12</f>
        <v>154243.76541500003</v>
      </c>
      <c r="Y8" s="356"/>
      <c r="Z8" s="355">
        <f>Z9+Z12</f>
        <v>163747.88234899999</v>
      </c>
      <c r="AA8" s="357"/>
      <c r="AB8" s="355">
        <f>SUM(D8:Z8)</f>
        <v>1417667.1294760001</v>
      </c>
      <c r="AC8" s="264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</row>
    <row r="9" spans="1:64" s="268" customFormat="1" ht="14.25">
      <c r="A9" s="266"/>
      <c r="B9" s="358" t="s">
        <v>17</v>
      </c>
      <c r="C9" s="359"/>
      <c r="D9" s="360">
        <f>+D10+D11</f>
        <v>90809.353245000006</v>
      </c>
      <c r="E9" s="361"/>
      <c r="F9" s="360">
        <f>+F10+F11</f>
        <v>96938.411068999994</v>
      </c>
      <c r="G9" s="361"/>
      <c r="H9" s="360">
        <f>+H10+H11</f>
        <v>104701.53068200001</v>
      </c>
      <c r="I9" s="361"/>
      <c r="J9" s="360">
        <f>+J10+J11</f>
        <v>103264.777086</v>
      </c>
      <c r="K9" s="361"/>
      <c r="L9" s="360">
        <f>+L10+L11</f>
        <v>100473.48903</v>
      </c>
      <c r="M9" s="361"/>
      <c r="N9" s="360">
        <f>+N10+N11</f>
        <v>106846.376087</v>
      </c>
      <c r="O9" s="361"/>
      <c r="P9" s="360">
        <f>+P10+P11</f>
        <v>90070.059129000001</v>
      </c>
      <c r="Q9" s="361"/>
      <c r="R9" s="360">
        <f>+R10+R11</f>
        <v>102526.89128</v>
      </c>
      <c r="S9" s="361"/>
      <c r="T9" s="360">
        <f>+T10+T11</f>
        <v>115286.64530999999</v>
      </c>
      <c r="U9" s="361"/>
      <c r="V9" s="360">
        <f>+V10+V11</f>
        <v>99309.753685000003</v>
      </c>
      <c r="W9" s="361"/>
      <c r="X9" s="360">
        <f>+X10+X11</f>
        <v>149169.83937200002</v>
      </c>
      <c r="Y9" s="361"/>
      <c r="Z9" s="360">
        <f>+Z10+Z11</f>
        <v>145856.670059</v>
      </c>
      <c r="AA9" s="362"/>
      <c r="AB9" s="360">
        <f>+AB10+AB11</f>
        <v>1305253.7960339999</v>
      </c>
      <c r="AC9" s="267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</row>
    <row r="10" spans="1:64" s="268" customFormat="1" ht="14.25">
      <c r="A10" s="266"/>
      <c r="B10" s="363" t="s">
        <v>77</v>
      </c>
      <c r="C10" s="359"/>
      <c r="D10" s="360">
        <v>36157.218611999997</v>
      </c>
      <c r="E10" s="361"/>
      <c r="F10" s="360">
        <v>43341.607617000001</v>
      </c>
      <c r="G10" s="361"/>
      <c r="H10" s="360">
        <v>34378.349135999997</v>
      </c>
      <c r="I10" s="361"/>
      <c r="J10" s="360">
        <v>43465.472619</v>
      </c>
      <c r="K10" s="361"/>
      <c r="L10" s="360">
        <v>42033.735610000003</v>
      </c>
      <c r="M10" s="361"/>
      <c r="N10" s="360">
        <v>44333.528450999998</v>
      </c>
      <c r="O10" s="361"/>
      <c r="P10" s="360">
        <v>34668.039822999999</v>
      </c>
      <c r="Q10" s="361"/>
      <c r="R10" s="360">
        <v>38873.522822999999</v>
      </c>
      <c r="S10" s="361"/>
      <c r="T10" s="360">
        <v>43301.715066999997</v>
      </c>
      <c r="U10" s="361"/>
      <c r="V10" s="360">
        <v>40477.575713999999</v>
      </c>
      <c r="W10" s="361"/>
      <c r="X10" s="360">
        <v>45129.938767</v>
      </c>
      <c r="Y10" s="361"/>
      <c r="Z10" s="360">
        <v>58691.601493000002</v>
      </c>
      <c r="AA10" s="362"/>
      <c r="AB10" s="364">
        <f>SUM(D10:Z10)</f>
        <v>504852.30573199992</v>
      </c>
      <c r="AC10" s="267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</row>
    <row r="11" spans="1:64" s="268" customFormat="1" ht="14.25">
      <c r="A11" s="266"/>
      <c r="B11" s="363" t="s">
        <v>78</v>
      </c>
      <c r="C11" s="359"/>
      <c r="D11" s="360">
        <v>54652.134633000001</v>
      </c>
      <c r="E11" s="361"/>
      <c r="F11" s="360">
        <v>53596.803452</v>
      </c>
      <c r="G11" s="361"/>
      <c r="H11" s="360">
        <v>70323.181546000007</v>
      </c>
      <c r="I11" s="361"/>
      <c r="J11" s="360">
        <v>59799.304467000002</v>
      </c>
      <c r="K11" s="361"/>
      <c r="L11" s="360">
        <v>58439.753420000001</v>
      </c>
      <c r="M11" s="361"/>
      <c r="N11" s="360">
        <v>62512.847635999999</v>
      </c>
      <c r="O11" s="361"/>
      <c r="P11" s="360">
        <v>55402.019306000002</v>
      </c>
      <c r="Q11" s="361"/>
      <c r="R11" s="360">
        <v>63653.368456999997</v>
      </c>
      <c r="S11" s="361"/>
      <c r="T11" s="360">
        <v>71984.930242999995</v>
      </c>
      <c r="U11" s="361"/>
      <c r="V11" s="360">
        <v>58832.177970999997</v>
      </c>
      <c r="W11" s="361"/>
      <c r="X11" s="360">
        <v>104039.900605</v>
      </c>
      <c r="Y11" s="361"/>
      <c r="Z11" s="360">
        <v>87165.068566000002</v>
      </c>
      <c r="AA11" s="362"/>
      <c r="AB11" s="364">
        <f>SUM(D11:Z11)</f>
        <v>800401.49030199996</v>
      </c>
      <c r="AC11" s="267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</row>
    <row r="12" spans="1:64" s="268" customFormat="1" ht="14.25">
      <c r="A12" s="266"/>
      <c r="B12" s="358" t="s">
        <v>79</v>
      </c>
      <c r="C12" s="359"/>
      <c r="D12" s="360">
        <v>8947.3889099999997</v>
      </c>
      <c r="E12" s="361"/>
      <c r="F12" s="360">
        <v>23787.351610999998</v>
      </c>
      <c r="G12" s="361"/>
      <c r="H12" s="360">
        <v>7507.0672709999999</v>
      </c>
      <c r="I12" s="361"/>
      <c r="J12" s="360">
        <v>6471.3293970000004</v>
      </c>
      <c r="K12" s="361"/>
      <c r="L12" s="360">
        <v>11790.322276000001</v>
      </c>
      <c r="M12" s="361"/>
      <c r="N12" s="360">
        <v>10136.578066</v>
      </c>
      <c r="O12" s="361"/>
      <c r="P12" s="360">
        <v>5837.8474919999999</v>
      </c>
      <c r="Q12" s="361"/>
      <c r="R12" s="360">
        <v>8607.1434509999999</v>
      </c>
      <c r="S12" s="361"/>
      <c r="T12" s="360">
        <v>2660.5424800000001</v>
      </c>
      <c r="U12" s="361"/>
      <c r="V12" s="360">
        <v>3702.624155</v>
      </c>
      <c r="W12" s="361"/>
      <c r="X12" s="360">
        <v>5073.9260430000004</v>
      </c>
      <c r="Y12" s="361"/>
      <c r="Z12" s="360">
        <v>17891.212289999999</v>
      </c>
      <c r="AA12" s="362"/>
      <c r="AB12" s="364">
        <f>SUM(D12:Z12)</f>
        <v>112413.33344199999</v>
      </c>
      <c r="AC12" s="267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</row>
    <row r="13" spans="1:64" s="268" customFormat="1" ht="6.75" customHeight="1">
      <c r="A13" s="257"/>
      <c r="B13" s="365"/>
      <c r="C13" s="366"/>
      <c r="D13" s="367"/>
      <c r="E13" s="368"/>
      <c r="F13" s="369"/>
      <c r="G13" s="368"/>
      <c r="H13" s="369"/>
      <c r="I13" s="368"/>
      <c r="J13" s="369"/>
      <c r="K13" s="368"/>
      <c r="L13" s="370"/>
      <c r="M13" s="368"/>
      <c r="N13" s="370"/>
      <c r="O13" s="368"/>
      <c r="P13" s="370"/>
      <c r="Q13" s="368"/>
      <c r="R13" s="370"/>
      <c r="S13" s="368"/>
      <c r="T13" s="370"/>
      <c r="U13" s="368"/>
      <c r="V13" s="370"/>
      <c r="W13" s="368"/>
      <c r="X13" s="370"/>
      <c r="Y13" s="368"/>
      <c r="Z13" s="370"/>
      <c r="AA13" s="368"/>
      <c r="AB13" s="371"/>
      <c r="AC13" s="372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</row>
    <row r="14" spans="1:64" s="265" customFormat="1" ht="14.25">
      <c r="A14" s="263"/>
      <c r="B14" s="353" t="s">
        <v>80</v>
      </c>
      <c r="C14" s="354"/>
      <c r="D14" s="355">
        <f>+SUM(D15:D18)</f>
        <v>14917.244107999999</v>
      </c>
      <c r="E14" s="356"/>
      <c r="F14" s="355">
        <f>+SUM(F15:F18)</f>
        <v>7459.434318999999</v>
      </c>
      <c r="G14" s="356"/>
      <c r="H14" s="355">
        <f>+SUM(H15:H18)</f>
        <v>16916.558353</v>
      </c>
      <c r="I14" s="356"/>
      <c r="J14" s="355">
        <f>+SUM(J15:J18)</f>
        <v>9896.9062619999986</v>
      </c>
      <c r="K14" s="356"/>
      <c r="L14" s="355">
        <f>+SUM(L15:L18)</f>
        <v>8666.6935569999987</v>
      </c>
      <c r="M14" s="356"/>
      <c r="N14" s="355">
        <f>+SUM(N15:N18)</f>
        <v>13983.524095000001</v>
      </c>
      <c r="O14" s="356"/>
      <c r="P14" s="355">
        <f>+SUM(P15:P18)</f>
        <v>8406.9058359999999</v>
      </c>
      <c r="Q14" s="356"/>
      <c r="R14" s="355">
        <f>+SUM(R15:R18)</f>
        <v>13875.104717</v>
      </c>
      <c r="S14" s="356"/>
      <c r="T14" s="355">
        <f>+SUM(T15:T18)</f>
        <v>8836.2205559999984</v>
      </c>
      <c r="U14" s="356"/>
      <c r="V14" s="355">
        <f>+SUM(V15:V18)</f>
        <v>8576.2872119999993</v>
      </c>
      <c r="W14" s="356"/>
      <c r="X14" s="355">
        <f>+SUM(X15:X18)</f>
        <v>10173.501920999999</v>
      </c>
      <c r="Y14" s="356"/>
      <c r="Z14" s="355">
        <f>+SUM(Z15:Z18)</f>
        <v>20401.852756</v>
      </c>
      <c r="AA14" s="357"/>
      <c r="AB14" s="355">
        <f>+SUM(AB15:AB18)</f>
        <v>142110.23369200001</v>
      </c>
      <c r="AC14" s="26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</row>
    <row r="15" spans="1:64" s="268" customFormat="1" ht="14.25">
      <c r="A15" s="266"/>
      <c r="B15" s="358" t="s">
        <v>34</v>
      </c>
      <c r="C15" s="359"/>
      <c r="D15" s="360">
        <v>4836.7418159999997</v>
      </c>
      <c r="E15" s="361"/>
      <c r="F15" s="360">
        <v>4371.4294710000004</v>
      </c>
      <c r="G15" s="361"/>
      <c r="H15" s="360">
        <v>6038.6301370000001</v>
      </c>
      <c r="I15" s="361"/>
      <c r="J15" s="360">
        <v>4613.9307120000003</v>
      </c>
      <c r="K15" s="361"/>
      <c r="L15" s="360">
        <v>5029.4764160000004</v>
      </c>
      <c r="M15" s="361"/>
      <c r="N15" s="360">
        <v>5731.9871730000004</v>
      </c>
      <c r="O15" s="361"/>
      <c r="P15" s="360">
        <v>4689.7497160000003</v>
      </c>
      <c r="Q15" s="361"/>
      <c r="R15" s="360">
        <v>5834.9672979999996</v>
      </c>
      <c r="S15" s="361"/>
      <c r="T15" s="360">
        <v>5225.1251810000003</v>
      </c>
      <c r="U15" s="361"/>
      <c r="V15" s="360">
        <v>4797.5372870000001</v>
      </c>
      <c r="W15" s="361"/>
      <c r="X15" s="360">
        <v>4499.1411120000002</v>
      </c>
      <c r="Y15" s="361"/>
      <c r="Z15" s="360">
        <v>9877.0922350000001</v>
      </c>
      <c r="AA15" s="362"/>
      <c r="AB15" s="364">
        <f>SUM(D15:Z15)</f>
        <v>65545.808554000003</v>
      </c>
      <c r="AC15" s="269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</row>
    <row r="16" spans="1:64" s="268" customFormat="1" ht="14.25">
      <c r="A16" s="266"/>
      <c r="B16" s="358" t="s">
        <v>13</v>
      </c>
      <c r="C16" s="359"/>
      <c r="D16" s="360">
        <v>1058.774377</v>
      </c>
      <c r="E16" s="361"/>
      <c r="F16" s="360">
        <v>670.50744599999996</v>
      </c>
      <c r="G16" s="361"/>
      <c r="H16" s="360">
        <v>645.22204699999998</v>
      </c>
      <c r="I16" s="361"/>
      <c r="J16" s="360">
        <v>792.374639</v>
      </c>
      <c r="K16" s="361"/>
      <c r="L16" s="360">
        <v>856.09937600000001</v>
      </c>
      <c r="M16" s="361"/>
      <c r="N16" s="360">
        <v>895.51290700000004</v>
      </c>
      <c r="O16" s="361"/>
      <c r="P16" s="360">
        <v>827.82851300000004</v>
      </c>
      <c r="Q16" s="361"/>
      <c r="R16" s="360">
        <v>990.28946599999995</v>
      </c>
      <c r="S16" s="361"/>
      <c r="T16" s="360">
        <v>1130.505582</v>
      </c>
      <c r="U16" s="361"/>
      <c r="V16" s="360">
        <v>989.37249199999997</v>
      </c>
      <c r="W16" s="361"/>
      <c r="X16" s="360">
        <v>976.42442100000005</v>
      </c>
      <c r="Y16" s="361"/>
      <c r="Z16" s="360">
        <v>2027.2805080000001</v>
      </c>
      <c r="AA16" s="362"/>
      <c r="AB16" s="364">
        <f>SUM(D16:Z16)</f>
        <v>11860.191773999999</v>
      </c>
      <c r="AC16" s="269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</row>
    <row r="17" spans="1:64" s="268" customFormat="1" ht="14.25">
      <c r="A17" s="266"/>
      <c r="B17" s="358" t="s">
        <v>115</v>
      </c>
      <c r="C17" s="359"/>
      <c r="D17" s="360">
        <v>8954.8463019999999</v>
      </c>
      <c r="E17" s="361"/>
      <c r="F17" s="360">
        <v>2301.0447639999998</v>
      </c>
      <c r="G17" s="361"/>
      <c r="H17" s="360">
        <v>10041.460745</v>
      </c>
      <c r="I17" s="361"/>
      <c r="J17" s="360">
        <v>4331.9502939999993</v>
      </c>
      <c r="K17" s="361"/>
      <c r="L17" s="360">
        <v>2645.818506999999</v>
      </c>
      <c r="M17" s="361"/>
      <c r="N17" s="360">
        <v>7077.5251259999995</v>
      </c>
      <c r="O17" s="361"/>
      <c r="P17" s="360">
        <v>2742.6523239999992</v>
      </c>
      <c r="Q17" s="361"/>
      <c r="R17" s="360">
        <v>6859.9074500000006</v>
      </c>
      <c r="S17" s="361"/>
      <c r="T17" s="360">
        <v>2266.8906839999991</v>
      </c>
      <c r="U17" s="361"/>
      <c r="V17" s="360">
        <v>2482.6229479999997</v>
      </c>
      <c r="W17" s="361"/>
      <c r="X17" s="360">
        <v>4529.9850969999998</v>
      </c>
      <c r="Y17" s="361"/>
      <c r="Z17" s="360">
        <v>7751.1197260000008</v>
      </c>
      <c r="AA17" s="362"/>
      <c r="AB17" s="364">
        <f>SUM(D17:Z17)</f>
        <v>61985.823966999989</v>
      </c>
      <c r="AC17" s="269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</row>
    <row r="18" spans="1:64" s="268" customFormat="1" ht="14.25">
      <c r="A18" s="266"/>
      <c r="B18" s="358" t="s">
        <v>121</v>
      </c>
      <c r="C18" s="359"/>
      <c r="D18" s="360">
        <v>66.881613000000002</v>
      </c>
      <c r="E18" s="361"/>
      <c r="F18" s="360">
        <v>116.45263799999999</v>
      </c>
      <c r="G18" s="361"/>
      <c r="H18" s="360">
        <v>191.24542400000001</v>
      </c>
      <c r="I18" s="361"/>
      <c r="J18" s="360">
        <v>158.65061700000001</v>
      </c>
      <c r="K18" s="361"/>
      <c r="L18" s="360">
        <v>135.29925800000001</v>
      </c>
      <c r="M18" s="361"/>
      <c r="N18" s="360">
        <v>278.49888900000002</v>
      </c>
      <c r="O18" s="361"/>
      <c r="P18" s="360">
        <v>146.67528300000001</v>
      </c>
      <c r="Q18" s="361"/>
      <c r="R18" s="360">
        <v>189.94050300000001</v>
      </c>
      <c r="S18" s="361"/>
      <c r="T18" s="360">
        <v>213.69910899999999</v>
      </c>
      <c r="U18" s="361"/>
      <c r="V18" s="360">
        <v>306.75448499999999</v>
      </c>
      <c r="W18" s="361"/>
      <c r="X18" s="360">
        <v>167.951291</v>
      </c>
      <c r="Y18" s="361"/>
      <c r="Z18" s="360">
        <v>746.36028699999997</v>
      </c>
      <c r="AA18" s="362"/>
      <c r="AB18" s="364">
        <f>SUM(D18:Z18)</f>
        <v>2718.4093969999999</v>
      </c>
      <c r="AC18" s="269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</row>
    <row r="19" spans="1:64" s="268" customFormat="1" ht="6.75" customHeight="1">
      <c r="A19" s="266"/>
      <c r="B19" s="365"/>
      <c r="C19" s="366"/>
      <c r="D19" s="370"/>
      <c r="E19" s="368"/>
      <c r="F19" s="370"/>
      <c r="G19" s="368"/>
      <c r="H19" s="370"/>
      <c r="I19" s="368"/>
      <c r="J19" s="370"/>
      <c r="K19" s="368"/>
      <c r="L19" s="370"/>
      <c r="M19" s="368"/>
      <c r="N19" s="370"/>
      <c r="O19" s="368"/>
      <c r="P19" s="370"/>
      <c r="Q19" s="368"/>
      <c r="R19" s="370"/>
      <c r="S19" s="368"/>
      <c r="T19" s="370"/>
      <c r="U19" s="368"/>
      <c r="V19" s="370"/>
      <c r="W19" s="368"/>
      <c r="X19" s="370"/>
      <c r="Y19" s="368"/>
      <c r="Z19" s="370"/>
      <c r="AA19" s="368"/>
      <c r="AB19" s="371"/>
      <c r="AC19" s="372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64" s="268" customFormat="1" ht="14.25">
      <c r="A20" s="266"/>
      <c r="B20" s="373" t="s">
        <v>40</v>
      </c>
      <c r="C20" s="359"/>
      <c r="D20" s="360">
        <v>1072.1074430000001</v>
      </c>
      <c r="E20" s="361"/>
      <c r="F20" s="360">
        <v>-173.044555</v>
      </c>
      <c r="G20" s="361"/>
      <c r="H20" s="360">
        <v>-1152.926369</v>
      </c>
      <c r="I20" s="361"/>
      <c r="J20" s="360">
        <v>279.95770599999997</v>
      </c>
      <c r="K20" s="361"/>
      <c r="L20" s="360">
        <v>-394.18448100000001</v>
      </c>
      <c r="M20" s="361"/>
      <c r="N20" s="360">
        <v>-442.59804300000002</v>
      </c>
      <c r="O20" s="361"/>
      <c r="P20" s="360">
        <v>863.90076999999997</v>
      </c>
      <c r="Q20" s="361"/>
      <c r="R20" s="360">
        <v>-632.25312899999994</v>
      </c>
      <c r="S20" s="361"/>
      <c r="T20" s="360">
        <v>50.350599000000003</v>
      </c>
      <c r="U20" s="361"/>
      <c r="V20" s="360">
        <v>273.47858300000001</v>
      </c>
      <c r="W20" s="361"/>
      <c r="X20" s="360">
        <v>-920.58471899999995</v>
      </c>
      <c r="Y20" s="361"/>
      <c r="Z20" s="360">
        <v>682.67521099999999</v>
      </c>
      <c r="AA20" s="361"/>
      <c r="AB20" s="361">
        <f>SUM(D20:Z20)</f>
        <v>-493.12098399999991</v>
      </c>
      <c r="AC20" s="267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</row>
    <row r="21" spans="1:64" s="268" customFormat="1" ht="6.75" customHeight="1">
      <c r="A21" s="266"/>
      <c r="B21" s="374"/>
      <c r="C21" s="375"/>
      <c r="D21" s="370"/>
      <c r="E21" s="376"/>
      <c r="F21" s="370"/>
      <c r="G21" s="376"/>
      <c r="H21" s="370"/>
      <c r="I21" s="376"/>
      <c r="J21" s="370"/>
      <c r="K21" s="376"/>
      <c r="L21" s="370"/>
      <c r="M21" s="376"/>
      <c r="N21" s="370"/>
      <c r="O21" s="376"/>
      <c r="P21" s="370"/>
      <c r="Q21" s="376"/>
      <c r="R21" s="370"/>
      <c r="S21" s="376"/>
      <c r="T21" s="370"/>
      <c r="U21" s="376"/>
      <c r="V21" s="370"/>
      <c r="W21" s="376"/>
      <c r="X21" s="370"/>
      <c r="Y21" s="376"/>
      <c r="Z21" s="370"/>
      <c r="AA21" s="376"/>
      <c r="AB21" s="371"/>
      <c r="AC21" s="267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</row>
    <row r="22" spans="1:64" s="268" customFormat="1">
      <c r="A22" s="266"/>
      <c r="B22" s="377" t="s">
        <v>82</v>
      </c>
      <c r="C22" s="378"/>
      <c r="D22" s="360">
        <v>18376.268238000001</v>
      </c>
      <c r="E22" s="361"/>
      <c r="F22" s="360">
        <v>17870.878058999999</v>
      </c>
      <c r="G22" s="361"/>
      <c r="H22" s="360">
        <v>18595.007148000001</v>
      </c>
      <c r="I22" s="361"/>
      <c r="J22" s="360">
        <v>22551.869565000001</v>
      </c>
      <c r="K22" s="361"/>
      <c r="L22" s="360">
        <v>22746.833643000002</v>
      </c>
      <c r="M22" s="361"/>
      <c r="N22" s="360">
        <v>22831.010288000001</v>
      </c>
      <c r="O22" s="361"/>
      <c r="P22" s="360">
        <v>20117.348505000002</v>
      </c>
      <c r="Q22" s="361"/>
      <c r="R22" s="360">
        <v>23413.601678999999</v>
      </c>
      <c r="S22" s="361"/>
      <c r="T22" s="360">
        <v>19727.854839</v>
      </c>
      <c r="U22" s="361"/>
      <c r="V22" s="360">
        <v>21395.710268999999</v>
      </c>
      <c r="W22" s="361"/>
      <c r="X22" s="360">
        <v>16668.419556000001</v>
      </c>
      <c r="Y22" s="361"/>
      <c r="Z22" s="360">
        <v>35336.733166999999</v>
      </c>
      <c r="AA22" s="362"/>
      <c r="AB22" s="364">
        <f>SUM(D22:Z22)</f>
        <v>259631.53495600002</v>
      </c>
      <c r="AC22" s="267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</row>
    <row r="23" spans="1:64" s="268" customFormat="1" ht="6.75" customHeight="1">
      <c r="A23" s="257"/>
      <c r="B23" s="365"/>
      <c r="C23" s="366"/>
      <c r="D23" s="367"/>
      <c r="E23" s="368"/>
      <c r="F23" s="369"/>
      <c r="G23" s="368"/>
      <c r="H23" s="369"/>
      <c r="I23" s="368"/>
      <c r="J23" s="369"/>
      <c r="K23" s="368"/>
      <c r="L23" s="370"/>
      <c r="M23" s="368"/>
      <c r="N23" s="370"/>
      <c r="O23" s="368"/>
      <c r="P23" s="370"/>
      <c r="Q23" s="368"/>
      <c r="R23" s="370"/>
      <c r="S23" s="368"/>
      <c r="T23" s="370"/>
      <c r="U23" s="368"/>
      <c r="V23" s="370"/>
      <c r="W23" s="368"/>
      <c r="X23" s="370"/>
      <c r="Y23" s="368"/>
      <c r="Z23" s="370"/>
      <c r="AA23" s="368"/>
      <c r="AB23" s="371"/>
      <c r="AC23" s="372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</row>
    <row r="24" spans="1:64" s="265" customFormat="1" ht="14.25">
      <c r="A24" s="263"/>
      <c r="B24" s="379" t="s">
        <v>122</v>
      </c>
      <c r="C24" s="380"/>
      <c r="D24" s="381">
        <f>D8-D14-D20-D22</f>
        <v>65391.122365999996</v>
      </c>
      <c r="E24" s="382"/>
      <c r="F24" s="381">
        <f>F8-F14-F20-F22</f>
        <v>95568.494856999998</v>
      </c>
      <c r="G24" s="382"/>
      <c r="H24" s="381">
        <f>H8-H14-H20-H22</f>
        <v>77849.958821000007</v>
      </c>
      <c r="I24" s="382"/>
      <c r="J24" s="381">
        <f>J8-J14-J20-J22</f>
        <v>77007.37294999999</v>
      </c>
      <c r="K24" s="382"/>
      <c r="L24" s="381">
        <f>L8-L14-L20-L22</f>
        <v>81244.468586999996</v>
      </c>
      <c r="M24" s="382"/>
      <c r="N24" s="381">
        <f>N8-N14-N20-N22</f>
        <v>80611.017812999999</v>
      </c>
      <c r="O24" s="382"/>
      <c r="P24" s="381">
        <f>P8-P14-P20-P22</f>
        <v>66519.751510000002</v>
      </c>
      <c r="Q24" s="382"/>
      <c r="R24" s="381">
        <f>R8-R14-R20-R22</f>
        <v>74477.581464000003</v>
      </c>
      <c r="S24" s="382"/>
      <c r="T24" s="381">
        <f>T8-T14-T20-T22</f>
        <v>89332.761796000006</v>
      </c>
      <c r="U24" s="382"/>
      <c r="V24" s="381">
        <f>V8-V14-V20-V22</f>
        <v>72766.901775999999</v>
      </c>
      <c r="W24" s="382"/>
      <c r="X24" s="381">
        <f>X8-X14-X20-X22</f>
        <v>128322.42865700004</v>
      </c>
      <c r="Y24" s="382"/>
      <c r="Z24" s="381">
        <f>Z8-Z14-Z20-Z22</f>
        <v>107326.62121499999</v>
      </c>
      <c r="AA24" s="383"/>
      <c r="AB24" s="381">
        <f>SUM(D24:Z24)</f>
        <v>1016418.4818120003</v>
      </c>
      <c r="AC24" s="26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</row>
    <row r="25" spans="1:64" s="265" customFormat="1" ht="6.75" customHeight="1">
      <c r="A25" s="270"/>
      <c r="B25" s="384"/>
      <c r="C25" s="366"/>
      <c r="D25" s="385"/>
      <c r="E25" s="368"/>
      <c r="F25" s="386"/>
      <c r="G25" s="368"/>
      <c r="H25" s="386"/>
      <c r="I25" s="368"/>
      <c r="J25" s="386"/>
      <c r="K25" s="368"/>
      <c r="L25" s="387"/>
      <c r="M25" s="368"/>
      <c r="N25" s="387"/>
      <c r="O25" s="368"/>
      <c r="P25" s="387"/>
      <c r="Q25" s="368"/>
      <c r="R25" s="387"/>
      <c r="S25" s="368"/>
      <c r="T25" s="387"/>
      <c r="U25" s="368"/>
      <c r="V25" s="387"/>
      <c r="W25" s="368"/>
      <c r="X25" s="387"/>
      <c r="Y25" s="368"/>
      <c r="Z25" s="387"/>
      <c r="AA25" s="368"/>
      <c r="AB25" s="386"/>
      <c r="AC25" s="388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</row>
    <row r="26" spans="1:64" s="265" customFormat="1" ht="14.25">
      <c r="A26" s="263"/>
      <c r="B26" s="389" t="s">
        <v>123</v>
      </c>
      <c r="C26" s="354"/>
      <c r="D26" s="355">
        <f>+D28+D27</f>
        <v>20485.657371000001</v>
      </c>
      <c r="E26" s="356"/>
      <c r="F26" s="355">
        <f>+F28+F27</f>
        <v>20562.111579</v>
      </c>
      <c r="G26" s="356"/>
      <c r="H26" s="355">
        <f>+H28+H27</f>
        <v>18467.383100999999</v>
      </c>
      <c r="I26" s="356"/>
      <c r="J26" s="355">
        <f>+J28+J27</f>
        <v>14881.159610000001</v>
      </c>
      <c r="K26" s="356"/>
      <c r="L26" s="355">
        <f>+L28+L27</f>
        <v>19828.169181000001</v>
      </c>
      <c r="M26" s="356"/>
      <c r="N26" s="355">
        <f>+N28+N27</f>
        <v>21278.216394999999</v>
      </c>
      <c r="O26" s="356"/>
      <c r="P26" s="355">
        <f>+P28+P27</f>
        <v>16693.627827</v>
      </c>
      <c r="Q26" s="356"/>
      <c r="R26" s="355">
        <f>+R28+R27</f>
        <v>19660.075938999998</v>
      </c>
      <c r="S26" s="356"/>
      <c r="T26" s="355">
        <f>+T28+T27</f>
        <v>16729.034591</v>
      </c>
      <c r="U26" s="356"/>
      <c r="V26" s="355">
        <f>+V28+V27</f>
        <v>17010.870524000002</v>
      </c>
      <c r="W26" s="356"/>
      <c r="X26" s="355">
        <f>+X28+X27</f>
        <v>23782.401041000001</v>
      </c>
      <c r="Y26" s="356"/>
      <c r="Z26" s="355">
        <f>+Z28+Z27</f>
        <v>59135.757676000001</v>
      </c>
      <c r="AA26" s="356"/>
      <c r="AB26" s="355">
        <f>SUM(D26:Z26)</f>
        <v>268514.46483499999</v>
      </c>
      <c r="AC26" s="264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</row>
    <row r="27" spans="1:64" s="268" customFormat="1" ht="14.25">
      <c r="A27" s="266"/>
      <c r="B27" s="358" t="s">
        <v>124</v>
      </c>
      <c r="C27" s="359"/>
      <c r="D27" s="360"/>
      <c r="E27" s="361"/>
      <c r="F27" s="361"/>
      <c r="G27" s="361"/>
      <c r="H27" s="361"/>
      <c r="I27" s="361"/>
      <c r="J27" s="361"/>
      <c r="K27" s="361"/>
      <c r="L27" s="361"/>
      <c r="M27" s="361"/>
      <c r="N27" s="361"/>
      <c r="O27" s="361"/>
      <c r="P27" s="361"/>
      <c r="Q27" s="362"/>
      <c r="R27" s="361"/>
      <c r="S27" s="361"/>
      <c r="T27" s="361"/>
      <c r="U27" s="361"/>
      <c r="V27" s="361"/>
      <c r="W27" s="361"/>
      <c r="X27" s="361"/>
      <c r="Y27" s="361"/>
      <c r="Z27" s="361"/>
      <c r="AA27" s="361"/>
      <c r="AB27" s="364">
        <f>SUM(D27:Z27)</f>
        <v>0</v>
      </c>
      <c r="AC27" s="26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</row>
    <row r="28" spans="1:64" s="268" customFormat="1" ht="14.25">
      <c r="A28" s="266"/>
      <c r="B28" s="373" t="s">
        <v>35</v>
      </c>
      <c r="C28" s="359"/>
      <c r="D28" s="360">
        <v>20485.657371000001</v>
      </c>
      <c r="E28" s="361"/>
      <c r="F28" s="360">
        <v>20562.111579</v>
      </c>
      <c r="G28" s="361"/>
      <c r="H28" s="360">
        <v>18467.383100999999</v>
      </c>
      <c r="I28" s="361"/>
      <c r="J28" s="360">
        <v>14881.159610000001</v>
      </c>
      <c r="K28" s="361"/>
      <c r="L28" s="360">
        <v>19828.169181000001</v>
      </c>
      <c r="M28" s="361"/>
      <c r="N28" s="360">
        <v>21278.216394999999</v>
      </c>
      <c r="O28" s="361"/>
      <c r="P28" s="360">
        <v>16693.627827</v>
      </c>
      <c r="Q28" s="361"/>
      <c r="R28" s="360">
        <v>19660.075938999998</v>
      </c>
      <c r="S28" s="361"/>
      <c r="T28" s="360">
        <v>16729.034591</v>
      </c>
      <c r="U28" s="361"/>
      <c r="V28" s="360">
        <v>17010.870524000002</v>
      </c>
      <c r="W28" s="361"/>
      <c r="X28" s="360">
        <v>23782.401041000001</v>
      </c>
      <c r="Y28" s="361"/>
      <c r="Z28" s="360">
        <v>59135.757676000001</v>
      </c>
      <c r="AA28" s="362"/>
      <c r="AB28" s="361">
        <f>SUM(D28:Z28)</f>
        <v>268514.46483499999</v>
      </c>
      <c r="AC28" s="267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</row>
    <row r="29" spans="1:64" s="268" customFormat="1" ht="14.25">
      <c r="A29" s="266"/>
      <c r="B29" s="358" t="s">
        <v>87</v>
      </c>
      <c r="C29" s="390"/>
      <c r="D29" s="360">
        <v>20485.657371000001</v>
      </c>
      <c r="E29" s="361"/>
      <c r="F29" s="360">
        <v>20562.111579</v>
      </c>
      <c r="G29" s="361"/>
      <c r="H29" s="360">
        <v>18467.383100999999</v>
      </c>
      <c r="I29" s="361"/>
      <c r="J29" s="360">
        <v>14881.159610000001</v>
      </c>
      <c r="K29" s="361"/>
      <c r="L29" s="360">
        <v>19828.169181000001</v>
      </c>
      <c r="M29" s="361"/>
      <c r="N29" s="360">
        <v>21278.216394999999</v>
      </c>
      <c r="O29" s="361"/>
      <c r="P29" s="360">
        <v>16693.627827</v>
      </c>
      <c r="Q29" s="361"/>
      <c r="R29" s="360">
        <v>19660.075938999998</v>
      </c>
      <c r="S29" s="361"/>
      <c r="T29" s="360">
        <v>16729.034591</v>
      </c>
      <c r="U29" s="361"/>
      <c r="V29" s="360">
        <v>17010.870524000002</v>
      </c>
      <c r="W29" s="361"/>
      <c r="X29" s="360">
        <v>23782.401041000001</v>
      </c>
      <c r="Y29" s="361"/>
      <c r="Z29" s="360">
        <v>59135.757676000001</v>
      </c>
      <c r="AA29" s="362"/>
      <c r="AB29" s="364">
        <f>SUM(D29:Z29)</f>
        <v>268514.46483499999</v>
      </c>
      <c r="AC29" s="267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</row>
    <row r="30" spans="1:64" s="268" customFormat="1" ht="14.25">
      <c r="A30" s="266"/>
      <c r="B30" s="358" t="s">
        <v>14</v>
      </c>
      <c r="C30" s="359"/>
      <c r="D30" s="360">
        <v>0</v>
      </c>
      <c r="E30" s="361"/>
      <c r="F30" s="360">
        <v>0</v>
      </c>
      <c r="G30" s="361"/>
      <c r="H30" s="360">
        <v>0</v>
      </c>
      <c r="I30" s="361"/>
      <c r="J30" s="360">
        <v>0</v>
      </c>
      <c r="K30" s="361"/>
      <c r="L30" s="360">
        <v>0</v>
      </c>
      <c r="M30" s="361"/>
      <c r="N30" s="360">
        <v>0</v>
      </c>
      <c r="O30" s="361"/>
      <c r="P30" s="360">
        <v>0</v>
      </c>
      <c r="Q30" s="361"/>
      <c r="R30" s="360">
        <v>0</v>
      </c>
      <c r="S30" s="361"/>
      <c r="T30" s="360">
        <v>0</v>
      </c>
      <c r="U30" s="361"/>
      <c r="V30" s="360">
        <v>0</v>
      </c>
      <c r="W30" s="361"/>
      <c r="X30" s="360">
        <v>0</v>
      </c>
      <c r="Y30" s="361"/>
      <c r="Z30" s="360">
        <v>0</v>
      </c>
      <c r="AA30" s="362"/>
      <c r="AB30" s="361">
        <f>SUM(D30:Z30)</f>
        <v>0</v>
      </c>
      <c r="AC30" s="267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</row>
    <row r="31" spans="1:64" s="268" customFormat="1" ht="6.75" customHeight="1">
      <c r="A31" s="266"/>
      <c r="B31" s="365"/>
      <c r="C31" s="375"/>
      <c r="D31" s="370"/>
      <c r="E31" s="376"/>
      <c r="F31" s="370"/>
      <c r="G31" s="376"/>
      <c r="H31" s="370"/>
      <c r="I31" s="376"/>
      <c r="J31" s="370"/>
      <c r="K31" s="376"/>
      <c r="L31" s="370"/>
      <c r="M31" s="376"/>
      <c r="N31" s="370"/>
      <c r="O31" s="376"/>
      <c r="P31" s="370"/>
      <c r="Q31" s="376"/>
      <c r="R31" s="370"/>
      <c r="S31" s="376"/>
      <c r="T31" s="370"/>
      <c r="U31" s="376"/>
      <c r="V31" s="370"/>
      <c r="W31" s="376"/>
      <c r="X31" s="370"/>
      <c r="Y31" s="376"/>
      <c r="Z31" s="370"/>
      <c r="AA31" s="376"/>
      <c r="AB31" s="371"/>
      <c r="AC31" s="372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</row>
    <row r="32" spans="1:64" s="268" customFormat="1">
      <c r="A32" s="266"/>
      <c r="B32" s="377" t="s">
        <v>23</v>
      </c>
      <c r="C32" s="378"/>
      <c r="D32" s="360">
        <v>0</v>
      </c>
      <c r="E32" s="361"/>
      <c r="F32" s="360">
        <v>0</v>
      </c>
      <c r="G32" s="361"/>
      <c r="H32" s="360">
        <v>0</v>
      </c>
      <c r="I32" s="361"/>
      <c r="J32" s="360">
        <v>0</v>
      </c>
      <c r="K32" s="361"/>
      <c r="L32" s="360">
        <v>0</v>
      </c>
      <c r="M32" s="361"/>
      <c r="N32" s="360">
        <v>0</v>
      </c>
      <c r="O32" s="361"/>
      <c r="P32" s="360">
        <v>0</v>
      </c>
      <c r="Q32" s="361"/>
      <c r="R32" s="360">
        <v>0</v>
      </c>
      <c r="S32" s="361"/>
      <c r="T32" s="360">
        <v>0</v>
      </c>
      <c r="U32" s="361"/>
      <c r="V32" s="360">
        <v>0</v>
      </c>
      <c r="W32" s="361"/>
      <c r="X32" s="360">
        <v>0</v>
      </c>
      <c r="Y32" s="361"/>
      <c r="Z32" s="360">
        <v>0</v>
      </c>
      <c r="AA32" s="362"/>
      <c r="AB32" s="364">
        <f>SUM(D32:Z32)</f>
        <v>0</v>
      </c>
      <c r="AC32" s="267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</row>
    <row r="33" spans="1:64" s="268" customFormat="1" ht="6.75" customHeight="1">
      <c r="A33" s="257"/>
      <c r="B33" s="365"/>
      <c r="C33" s="366"/>
      <c r="D33" s="367"/>
      <c r="E33" s="368"/>
      <c r="F33" s="369"/>
      <c r="G33" s="368"/>
      <c r="H33" s="369"/>
      <c r="I33" s="368"/>
      <c r="J33" s="369"/>
      <c r="K33" s="368"/>
      <c r="L33" s="370"/>
      <c r="M33" s="368"/>
      <c r="N33" s="370"/>
      <c r="O33" s="368"/>
      <c r="P33" s="370"/>
      <c r="Q33" s="368"/>
      <c r="R33" s="370"/>
      <c r="S33" s="368"/>
      <c r="T33" s="370"/>
      <c r="U33" s="368"/>
      <c r="V33" s="370"/>
      <c r="W33" s="368"/>
      <c r="X33" s="370"/>
      <c r="Y33" s="368"/>
      <c r="Z33" s="370"/>
      <c r="AA33" s="368"/>
      <c r="AB33" s="371"/>
      <c r="AC33" s="372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</row>
    <row r="34" spans="1:64" s="265" customFormat="1" ht="27">
      <c r="A34" s="263"/>
      <c r="B34" s="391" t="s">
        <v>46</v>
      </c>
      <c r="C34" s="380"/>
      <c r="D34" s="381">
        <f>D24-D26+D32</f>
        <v>44905.464994999995</v>
      </c>
      <c r="E34" s="382"/>
      <c r="F34" s="381">
        <f>F24-F26+F32</f>
        <v>75006.383277999994</v>
      </c>
      <c r="G34" s="382"/>
      <c r="H34" s="381">
        <f>H24-H26+H32</f>
        <v>59382.575720000008</v>
      </c>
      <c r="I34" s="382"/>
      <c r="J34" s="381">
        <f>J24-J26+J32</f>
        <v>62126.213339999988</v>
      </c>
      <c r="K34" s="382"/>
      <c r="L34" s="381">
        <f>L24-L26+L32</f>
        <v>61416.299405999991</v>
      </c>
      <c r="M34" s="382"/>
      <c r="N34" s="381">
        <f>N24-N26+N32</f>
        <v>59332.801418000003</v>
      </c>
      <c r="O34" s="382"/>
      <c r="P34" s="381">
        <f>P24-P26+P32</f>
        <v>49826.123682999998</v>
      </c>
      <c r="Q34" s="382"/>
      <c r="R34" s="381">
        <f>R24-R26+R32</f>
        <v>54817.505525</v>
      </c>
      <c r="S34" s="382"/>
      <c r="T34" s="381">
        <f>T24-T26+T32</f>
        <v>72603.727205000003</v>
      </c>
      <c r="U34" s="382"/>
      <c r="V34" s="381">
        <f>V24-V26+V32</f>
        <v>55756.031252000001</v>
      </c>
      <c r="W34" s="382"/>
      <c r="X34" s="381">
        <f>X24-X26+X32</f>
        <v>104540.02761600004</v>
      </c>
      <c r="Y34" s="382"/>
      <c r="Z34" s="381">
        <f>Z24-Z26+Z32</f>
        <v>48190.863538999991</v>
      </c>
      <c r="AA34" s="383"/>
      <c r="AB34" s="381">
        <f>SUM(D34:Z34)</f>
        <v>747904.01697700005</v>
      </c>
      <c r="AC34" s="26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</row>
    <row r="35" spans="1:64" s="268" customFormat="1" ht="6.75" customHeight="1">
      <c r="A35" s="257"/>
      <c r="B35" s="365"/>
      <c r="C35" s="366"/>
      <c r="D35" s="367"/>
      <c r="E35" s="368"/>
      <c r="F35" s="369"/>
      <c r="G35" s="368"/>
      <c r="H35" s="369"/>
      <c r="I35" s="368"/>
      <c r="J35" s="369"/>
      <c r="K35" s="368"/>
      <c r="L35" s="370"/>
      <c r="M35" s="368"/>
      <c r="N35" s="370"/>
      <c r="O35" s="368"/>
      <c r="P35" s="370"/>
      <c r="Q35" s="368"/>
      <c r="R35" s="370"/>
      <c r="S35" s="368"/>
      <c r="T35" s="370"/>
      <c r="U35" s="368"/>
      <c r="V35" s="370"/>
      <c r="W35" s="368"/>
      <c r="X35" s="370"/>
      <c r="Y35" s="368"/>
      <c r="Z35" s="370"/>
      <c r="AA35" s="368"/>
      <c r="AB35" s="371"/>
      <c r="AC35" s="372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</row>
    <row r="36" spans="1:64" s="268" customFormat="1" ht="13.5" customHeight="1">
      <c r="A36" s="266"/>
      <c r="B36" s="377" t="s">
        <v>18</v>
      </c>
      <c r="C36" s="359"/>
      <c r="D36" s="360">
        <v>75229.275397000005</v>
      </c>
      <c r="E36" s="361"/>
      <c r="F36" s="360">
        <v>66994.810115999993</v>
      </c>
      <c r="G36" s="361"/>
      <c r="H36" s="360">
        <v>64668.130902999997</v>
      </c>
      <c r="I36" s="361"/>
      <c r="J36" s="360">
        <v>65052.803943999999</v>
      </c>
      <c r="K36" s="361"/>
      <c r="L36" s="360">
        <v>64031.669006999997</v>
      </c>
      <c r="M36" s="361"/>
      <c r="N36" s="360">
        <v>53943.172032000002</v>
      </c>
      <c r="O36" s="361"/>
      <c r="P36" s="360">
        <v>61555.480350999998</v>
      </c>
      <c r="Q36" s="361"/>
      <c r="R36" s="360">
        <v>63912.278442000003</v>
      </c>
      <c r="S36" s="361"/>
      <c r="T36" s="360">
        <v>55752.021091000002</v>
      </c>
      <c r="U36" s="361"/>
      <c r="V36" s="360">
        <v>63466.243704</v>
      </c>
      <c r="W36" s="361"/>
      <c r="X36" s="360">
        <v>73501.332867999998</v>
      </c>
      <c r="Y36" s="361"/>
      <c r="Z36" s="360">
        <v>64491.280230999997</v>
      </c>
      <c r="AA36" s="362"/>
      <c r="AB36" s="364">
        <f>SUM(D36:Z36)</f>
        <v>772598.49808599998</v>
      </c>
      <c r="AC36" s="267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</row>
    <row r="37" spans="1:64" s="268" customFormat="1" ht="6.75" customHeight="1">
      <c r="A37" s="257"/>
      <c r="B37" s="365"/>
      <c r="C37" s="366"/>
      <c r="D37" s="367"/>
      <c r="E37" s="368"/>
      <c r="F37" s="369"/>
      <c r="G37" s="368"/>
      <c r="H37" s="369"/>
      <c r="I37" s="368"/>
      <c r="J37" s="369"/>
      <c r="K37" s="368"/>
      <c r="L37" s="370"/>
      <c r="M37" s="368"/>
      <c r="N37" s="370"/>
      <c r="O37" s="368"/>
      <c r="P37" s="370"/>
      <c r="Q37" s="368"/>
      <c r="R37" s="370"/>
      <c r="S37" s="368"/>
      <c r="T37" s="370"/>
      <c r="U37" s="368"/>
      <c r="V37" s="370"/>
      <c r="W37" s="368"/>
      <c r="X37" s="370"/>
      <c r="Y37" s="368"/>
      <c r="Z37" s="370"/>
      <c r="AA37" s="368"/>
      <c r="AB37" s="371"/>
      <c r="AC37" s="264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</row>
    <row r="38" spans="1:64" s="265" customFormat="1" ht="14.25">
      <c r="A38" s="263"/>
      <c r="B38" s="379" t="s">
        <v>125</v>
      </c>
      <c r="C38" s="380"/>
      <c r="D38" s="381">
        <f>D34-D36</f>
        <v>-30323.81040200001</v>
      </c>
      <c r="E38" s="382"/>
      <c r="F38" s="381">
        <f>F34-F36</f>
        <v>8011.5731620000006</v>
      </c>
      <c r="G38" s="382"/>
      <c r="H38" s="381">
        <f>H34-H36</f>
        <v>-5285.5551829999895</v>
      </c>
      <c r="I38" s="382"/>
      <c r="J38" s="381">
        <f>J34-J36</f>
        <v>-2926.5906040000118</v>
      </c>
      <c r="K38" s="382"/>
      <c r="L38" s="381">
        <f>L34-L36</f>
        <v>-2615.3696010000058</v>
      </c>
      <c r="M38" s="382"/>
      <c r="N38" s="381">
        <f>N34-N36</f>
        <v>5389.6293860000005</v>
      </c>
      <c r="O38" s="382"/>
      <c r="P38" s="381">
        <f>P34-P36</f>
        <v>-11729.356668</v>
      </c>
      <c r="Q38" s="382"/>
      <c r="R38" s="381">
        <f>R34-R36</f>
        <v>-9094.7729170000021</v>
      </c>
      <c r="S38" s="382"/>
      <c r="T38" s="381">
        <f>T34-T36</f>
        <v>16851.706114000001</v>
      </c>
      <c r="U38" s="382"/>
      <c r="V38" s="381">
        <f>V34-V36</f>
        <v>-7710.2124519999998</v>
      </c>
      <c r="W38" s="382"/>
      <c r="X38" s="381">
        <f>X34-X36</f>
        <v>31038.694748000038</v>
      </c>
      <c r="Y38" s="382"/>
      <c r="Z38" s="381">
        <f>Z34-Z36</f>
        <v>-16300.416692000006</v>
      </c>
      <c r="AA38" s="383"/>
      <c r="AB38" s="381">
        <f>SUM(D38:Z38)</f>
        <v>-24694.481108999986</v>
      </c>
      <c r="AC38" s="264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</row>
    <row r="39" spans="1:64" s="268" customFormat="1" ht="6.75" customHeight="1">
      <c r="A39" s="257"/>
      <c r="B39" s="365"/>
      <c r="C39" s="366"/>
      <c r="D39" s="367"/>
      <c r="E39" s="368"/>
      <c r="F39" s="369"/>
      <c r="G39" s="368"/>
      <c r="H39" s="369"/>
      <c r="I39" s="368"/>
      <c r="J39" s="369"/>
      <c r="K39" s="368"/>
      <c r="L39" s="370"/>
      <c r="M39" s="370"/>
      <c r="N39" s="370"/>
      <c r="O39" s="368"/>
      <c r="P39" s="370"/>
      <c r="Q39" s="368"/>
      <c r="R39" s="370"/>
      <c r="S39" s="368"/>
      <c r="T39" s="370"/>
      <c r="U39" s="368"/>
      <c r="V39" s="370"/>
      <c r="W39" s="368"/>
      <c r="X39" s="370"/>
      <c r="Y39" s="368"/>
      <c r="Z39" s="370"/>
      <c r="AA39" s="368"/>
      <c r="AB39" s="371"/>
      <c r="AC39" s="264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</row>
    <row r="40" spans="1:64" s="268" customFormat="1" ht="14.25">
      <c r="A40" s="266"/>
      <c r="B40" s="373" t="s">
        <v>55</v>
      </c>
      <c r="C40" s="359"/>
      <c r="D40" s="392">
        <f>D41+D45-D46</f>
        <v>1180.5304699999999</v>
      </c>
      <c r="E40" s="393"/>
      <c r="F40" s="392">
        <f>F41+F45-F46</f>
        <v>2894.8323680000003</v>
      </c>
      <c r="G40" s="393"/>
      <c r="H40" s="392">
        <f>H41+H45-H46</f>
        <v>2765.9762350000001</v>
      </c>
      <c r="I40" s="393"/>
      <c r="J40" s="392">
        <f>J41+J45-J46</f>
        <v>2292.0779729999999</v>
      </c>
      <c r="K40" s="393"/>
      <c r="L40" s="392">
        <f>L41+L45-L46</f>
        <v>3768.4712810000001</v>
      </c>
      <c r="M40" s="393"/>
      <c r="N40" s="392">
        <f>N41+N45-N46</f>
        <v>4658.2333020000005</v>
      </c>
      <c r="O40" s="393"/>
      <c r="P40" s="392">
        <f>P41+P45-P46</f>
        <v>539.42198800000017</v>
      </c>
      <c r="Q40" s="393"/>
      <c r="R40" s="392">
        <f>R41+R45-R46</f>
        <v>2760.3634110000003</v>
      </c>
      <c r="S40" s="393"/>
      <c r="T40" s="392">
        <f>T41+T45-T46</f>
        <v>3698.2974239999999</v>
      </c>
      <c r="U40" s="393"/>
      <c r="V40" s="392">
        <f>V41+V45-V46</f>
        <v>811.33771999999999</v>
      </c>
      <c r="W40" s="393"/>
      <c r="X40" s="392">
        <f>X41+X45-X46</f>
        <v>2167.3993959999998</v>
      </c>
      <c r="Y40" s="393"/>
      <c r="Z40" s="392">
        <f>Z41+Z45-Z46</f>
        <v>5902.1207289999993</v>
      </c>
      <c r="AA40" s="394"/>
      <c r="AB40" s="392">
        <f t="shared" ref="AB40:AB46" si="0">SUM(D40:Z40)</f>
        <v>33439.062297000004</v>
      </c>
      <c r="AC40" s="267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</row>
    <row r="41" spans="1:64" s="268" customFormat="1" ht="14.25">
      <c r="A41" s="266"/>
      <c r="B41" s="358" t="s">
        <v>20</v>
      </c>
      <c r="C41" s="359"/>
      <c r="D41" s="392">
        <f>D42+D43+D44</f>
        <v>1955.0590830000001</v>
      </c>
      <c r="E41" s="393"/>
      <c r="F41" s="392">
        <f>F42+F43+F44</f>
        <v>1891.7088610000001</v>
      </c>
      <c r="G41" s="393"/>
      <c r="H41" s="392">
        <f>H42+H43+H44</f>
        <v>938.80062299999997</v>
      </c>
      <c r="I41" s="393"/>
      <c r="J41" s="392">
        <f>J42+J43+J44</f>
        <v>1897.6489470000001</v>
      </c>
      <c r="K41" s="393"/>
      <c r="L41" s="392">
        <f>L42+L43+L44</f>
        <v>1252.449871</v>
      </c>
      <c r="M41" s="393"/>
      <c r="N41" s="392">
        <f>N42+N43+N44</f>
        <v>969.94793500000003</v>
      </c>
      <c r="O41" s="393"/>
      <c r="P41" s="392">
        <f>P42+P43+P44</f>
        <v>1989.3172730000001</v>
      </c>
      <c r="Q41" s="393"/>
      <c r="R41" s="392">
        <f>R42+R43+R44</f>
        <v>1765.204399</v>
      </c>
      <c r="S41" s="393"/>
      <c r="T41" s="392">
        <f>T42+T43+T44</f>
        <v>1011.0321839999999</v>
      </c>
      <c r="U41" s="393"/>
      <c r="V41" s="392">
        <f>V42+V43+V44</f>
        <v>2025.846669</v>
      </c>
      <c r="W41" s="393"/>
      <c r="X41" s="392">
        <f>X42+X43+X44</f>
        <v>1090.719284</v>
      </c>
      <c r="Y41" s="393"/>
      <c r="Z41" s="392">
        <f>Z42+Z43+Z44</f>
        <v>1157.26917</v>
      </c>
      <c r="AA41" s="394"/>
      <c r="AB41" s="392">
        <f t="shared" si="0"/>
        <v>17945.004299</v>
      </c>
      <c r="AC41" s="267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</row>
    <row r="42" spans="1:64" s="268" customFormat="1" ht="14.25">
      <c r="A42" s="266"/>
      <c r="B42" s="363" t="s">
        <v>56</v>
      </c>
      <c r="C42" s="359"/>
      <c r="D42" s="360">
        <v>981.87573599999996</v>
      </c>
      <c r="E42" s="361"/>
      <c r="F42" s="360">
        <v>1110.451327</v>
      </c>
      <c r="G42" s="361"/>
      <c r="H42" s="360">
        <v>344.67953199999999</v>
      </c>
      <c r="I42" s="361"/>
      <c r="J42" s="360">
        <v>1262.5687600000001</v>
      </c>
      <c r="K42" s="361"/>
      <c r="L42" s="360">
        <v>472.96289899999999</v>
      </c>
      <c r="M42" s="361"/>
      <c r="N42" s="360">
        <v>416.709608</v>
      </c>
      <c r="O42" s="393"/>
      <c r="P42" s="360">
        <v>1109.737363</v>
      </c>
      <c r="Q42" s="393"/>
      <c r="R42" s="360">
        <v>1289.889083</v>
      </c>
      <c r="S42" s="393"/>
      <c r="T42" s="360">
        <v>438.17928999999998</v>
      </c>
      <c r="U42" s="393"/>
      <c r="V42" s="360">
        <v>1235.352052</v>
      </c>
      <c r="W42" s="393"/>
      <c r="X42" s="360">
        <v>466.65562299999999</v>
      </c>
      <c r="Y42" s="393"/>
      <c r="Z42" s="360">
        <v>474.56432799999999</v>
      </c>
      <c r="AA42" s="394"/>
      <c r="AB42" s="392">
        <f t="shared" si="0"/>
        <v>9603.6256010000016</v>
      </c>
      <c r="AC42" s="267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</row>
    <row r="43" spans="1:64" s="271" customFormat="1" ht="14.25">
      <c r="A43" s="266"/>
      <c r="B43" s="378" t="s">
        <v>21</v>
      </c>
      <c r="C43" s="359"/>
      <c r="D43" s="360">
        <v>0</v>
      </c>
      <c r="E43" s="361"/>
      <c r="F43" s="360">
        <v>0</v>
      </c>
      <c r="G43" s="361"/>
      <c r="H43" s="360">
        <v>0</v>
      </c>
      <c r="I43" s="361"/>
      <c r="J43" s="360">
        <v>0</v>
      </c>
      <c r="K43" s="361"/>
      <c r="L43" s="360">
        <v>0</v>
      </c>
      <c r="M43" s="361"/>
      <c r="N43" s="360">
        <v>0</v>
      </c>
      <c r="O43" s="393"/>
      <c r="P43" s="360">
        <v>0</v>
      </c>
      <c r="Q43" s="393"/>
      <c r="R43" s="360">
        <v>0</v>
      </c>
      <c r="S43" s="393"/>
      <c r="T43" s="360">
        <v>0</v>
      </c>
      <c r="U43" s="393"/>
      <c r="V43" s="360">
        <v>0</v>
      </c>
      <c r="W43" s="393"/>
      <c r="X43" s="360">
        <v>0</v>
      </c>
      <c r="Y43" s="393"/>
      <c r="Z43" s="360">
        <v>0</v>
      </c>
      <c r="AA43" s="394"/>
      <c r="AB43" s="392">
        <f t="shared" si="0"/>
        <v>0</v>
      </c>
      <c r="AC43" s="267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</row>
    <row r="44" spans="1:64" s="271" customFormat="1" ht="14.25">
      <c r="A44" s="266"/>
      <c r="B44" s="363" t="s">
        <v>118</v>
      </c>
      <c r="C44" s="359"/>
      <c r="D44" s="360">
        <v>973.18334700000003</v>
      </c>
      <c r="E44" s="361"/>
      <c r="F44" s="360">
        <v>781.25753399999996</v>
      </c>
      <c r="G44" s="361"/>
      <c r="H44" s="360">
        <v>594.12109099999998</v>
      </c>
      <c r="I44" s="361"/>
      <c r="J44" s="360">
        <v>635.08018700000002</v>
      </c>
      <c r="K44" s="361"/>
      <c r="L44" s="360">
        <v>779.48697200000004</v>
      </c>
      <c r="M44" s="361"/>
      <c r="N44" s="360">
        <v>553.23832700000003</v>
      </c>
      <c r="O44" s="393"/>
      <c r="P44" s="360">
        <v>879.57991000000004</v>
      </c>
      <c r="Q44" s="393"/>
      <c r="R44" s="360">
        <v>475.315316</v>
      </c>
      <c r="S44" s="393"/>
      <c r="T44" s="360">
        <v>572.85289399999999</v>
      </c>
      <c r="U44" s="393"/>
      <c r="V44" s="360">
        <v>790.49461699999995</v>
      </c>
      <c r="W44" s="393"/>
      <c r="X44" s="360">
        <v>624.06366100000002</v>
      </c>
      <c r="Y44" s="393"/>
      <c r="Z44" s="360">
        <v>682.70484199999999</v>
      </c>
      <c r="AA44" s="394"/>
      <c r="AB44" s="392">
        <f t="shared" si="0"/>
        <v>8341.3786980000004</v>
      </c>
      <c r="AC44" s="267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</row>
    <row r="45" spans="1:64" s="268" customFormat="1" ht="14.25">
      <c r="A45" s="266"/>
      <c r="B45" s="358" t="s">
        <v>22</v>
      </c>
      <c r="C45" s="359"/>
      <c r="D45" s="360">
        <v>389.67424799999998</v>
      </c>
      <c r="E45" s="361"/>
      <c r="F45" s="360">
        <v>1653.539933</v>
      </c>
      <c r="G45" s="361"/>
      <c r="H45" s="360">
        <v>2540.2178610000001</v>
      </c>
      <c r="I45" s="361"/>
      <c r="J45" s="360">
        <v>1006.423106</v>
      </c>
      <c r="K45" s="361"/>
      <c r="L45" s="360">
        <v>3105.0554000000002</v>
      </c>
      <c r="M45" s="361"/>
      <c r="N45" s="360">
        <v>4293.5456590000003</v>
      </c>
      <c r="O45" s="393"/>
      <c r="P45" s="360">
        <v>-427.47165200000001</v>
      </c>
      <c r="Q45" s="393"/>
      <c r="R45" s="360">
        <v>1494.7976619999999</v>
      </c>
      <c r="S45" s="393"/>
      <c r="T45" s="360">
        <v>3119.143309</v>
      </c>
      <c r="U45" s="393"/>
      <c r="V45" s="360">
        <v>-670.52211299999999</v>
      </c>
      <c r="W45" s="393"/>
      <c r="X45" s="360">
        <v>1666.335202</v>
      </c>
      <c r="Y45" s="393"/>
      <c r="Z45" s="360">
        <v>5624.0933029999997</v>
      </c>
      <c r="AA45" s="394"/>
      <c r="AB45" s="392">
        <f t="shared" si="0"/>
        <v>23794.831917999996</v>
      </c>
      <c r="AC45" s="267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</row>
    <row r="46" spans="1:64" s="268" customFormat="1" ht="14.25">
      <c r="A46" s="266"/>
      <c r="B46" s="358" t="s">
        <v>111</v>
      </c>
      <c r="C46" s="359"/>
      <c r="D46" s="360">
        <v>1164.202861</v>
      </c>
      <c r="E46" s="361"/>
      <c r="F46" s="360">
        <v>650.416426</v>
      </c>
      <c r="G46" s="361"/>
      <c r="H46" s="360">
        <v>713.04224899999997</v>
      </c>
      <c r="I46" s="361"/>
      <c r="J46" s="360">
        <v>611.99408000000005</v>
      </c>
      <c r="K46" s="361"/>
      <c r="L46" s="360">
        <v>589.03399000000002</v>
      </c>
      <c r="M46" s="361"/>
      <c r="N46" s="360">
        <v>605.26029200000005</v>
      </c>
      <c r="O46" s="393"/>
      <c r="P46" s="360">
        <v>1022.423633</v>
      </c>
      <c r="Q46" s="393"/>
      <c r="R46" s="360">
        <v>499.63864999999998</v>
      </c>
      <c r="S46" s="393"/>
      <c r="T46" s="360">
        <v>431.87806899999998</v>
      </c>
      <c r="U46" s="393"/>
      <c r="V46" s="360">
        <v>543.98683600000004</v>
      </c>
      <c r="W46" s="393"/>
      <c r="X46" s="360">
        <v>589.65508999999997</v>
      </c>
      <c r="Y46" s="393"/>
      <c r="Z46" s="360">
        <v>879.24174400000004</v>
      </c>
      <c r="AA46" s="394"/>
      <c r="AB46" s="392">
        <f t="shared" si="0"/>
        <v>8300.7739200000015</v>
      </c>
      <c r="AC46" s="267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</row>
    <row r="47" spans="1:64" s="273" customFormat="1" ht="6.75" customHeight="1">
      <c r="A47" s="257"/>
      <c r="B47" s="282"/>
      <c r="C47" s="258"/>
      <c r="D47" s="395"/>
      <c r="E47" s="396"/>
      <c r="F47" s="395"/>
      <c r="G47" s="396"/>
      <c r="H47" s="395"/>
      <c r="I47" s="396"/>
      <c r="J47" s="395"/>
      <c r="K47" s="396"/>
      <c r="L47" s="396"/>
      <c r="M47" s="396"/>
      <c r="N47" s="396"/>
      <c r="O47" s="396"/>
      <c r="P47" s="396"/>
      <c r="Q47" s="396"/>
      <c r="R47" s="396"/>
      <c r="S47" s="396"/>
      <c r="T47" s="396"/>
      <c r="U47" s="396"/>
      <c r="V47" s="396"/>
      <c r="W47" s="396"/>
      <c r="X47" s="396"/>
      <c r="Y47" s="396"/>
      <c r="Z47" s="396"/>
      <c r="AA47" s="397"/>
      <c r="AB47" s="395"/>
      <c r="AC47" s="272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</row>
    <row r="48" spans="1:64" s="263" customFormat="1" ht="14.25">
      <c r="B48" s="418" t="s">
        <v>37</v>
      </c>
      <c r="C48" s="399"/>
      <c r="D48" s="381">
        <f>D38-D40</f>
        <v>-31504.340872000012</v>
      </c>
      <c r="E48" s="382"/>
      <c r="F48" s="381">
        <f>F38-F40</f>
        <v>5116.7407940000003</v>
      </c>
      <c r="G48" s="382"/>
      <c r="H48" s="381">
        <f>H38-H40</f>
        <v>-8051.5314179999896</v>
      </c>
      <c r="I48" s="382"/>
      <c r="J48" s="381">
        <f>J38-J40</f>
        <v>-5218.6685770000113</v>
      </c>
      <c r="K48" s="382"/>
      <c r="L48" s="381">
        <f>L38-L40</f>
        <v>-6383.8408820000059</v>
      </c>
      <c r="M48" s="382"/>
      <c r="N48" s="381">
        <f>N38-N40</f>
        <v>731.39608399999997</v>
      </c>
      <c r="O48" s="382"/>
      <c r="P48" s="381">
        <f>P38-P40</f>
        <v>-12268.778656</v>
      </c>
      <c r="Q48" s="382"/>
      <c r="R48" s="381">
        <f>R38-R40</f>
        <v>-11855.136328000002</v>
      </c>
      <c r="S48" s="382"/>
      <c r="T48" s="381">
        <f>T38-T40</f>
        <v>13153.40869</v>
      </c>
      <c r="U48" s="382"/>
      <c r="V48" s="381">
        <f>V38-V40</f>
        <v>-8521.5501719999993</v>
      </c>
      <c r="W48" s="382"/>
      <c r="X48" s="381">
        <f>X38-X40</f>
        <v>28871.295352000037</v>
      </c>
      <c r="Y48" s="382"/>
      <c r="Z48" s="381">
        <f>Z38-Z40</f>
        <v>-22202.537421000005</v>
      </c>
      <c r="AA48" s="383"/>
      <c r="AB48" s="381">
        <f>SUM(D48:Z48)</f>
        <v>-58133.543405999997</v>
      </c>
      <c r="AC48" s="274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</row>
    <row r="49" spans="1:64" s="273" customFormat="1">
      <c r="A49" s="257"/>
      <c r="B49" s="258"/>
      <c r="C49" s="258"/>
      <c r="D49" s="258"/>
      <c r="E49" s="258"/>
      <c r="F49" s="258"/>
      <c r="G49" s="258"/>
      <c r="H49" s="258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Y49" s="258"/>
      <c r="Z49" s="258"/>
      <c r="AA49" s="258"/>
      <c r="AB49" s="258"/>
      <c r="AC49" s="272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</row>
    <row r="50" spans="1:64" s="270" customFormat="1">
      <c r="B50" s="419" t="s">
        <v>41</v>
      </c>
      <c r="C50" s="419"/>
      <c r="D50" s="419"/>
      <c r="E50" s="419"/>
      <c r="F50" s="419"/>
      <c r="G50" s="419"/>
      <c r="H50" s="419"/>
      <c r="I50" s="419"/>
      <c r="J50" s="419"/>
      <c r="K50" s="419"/>
      <c r="L50" s="419"/>
      <c r="M50" s="419"/>
      <c r="N50" s="419" t="s">
        <v>126</v>
      </c>
      <c r="O50" s="400"/>
      <c r="P50" s="400"/>
      <c r="Q50" s="400"/>
      <c r="R50" s="400"/>
      <c r="S50" s="400"/>
      <c r="T50" s="400"/>
      <c r="U50" s="400"/>
      <c r="V50" s="400"/>
      <c r="W50" s="400"/>
      <c r="X50" s="400"/>
      <c r="Y50" s="400"/>
      <c r="Z50" s="400"/>
      <c r="AA50" s="400"/>
      <c r="AB50" s="400"/>
      <c r="AC50" s="275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</row>
    <row r="51" spans="1:64" s="270" customFormat="1">
      <c r="B51" s="419" t="s">
        <v>88</v>
      </c>
      <c r="C51" s="419"/>
      <c r="D51" s="419"/>
      <c r="E51" s="419"/>
      <c r="F51" s="419"/>
      <c r="G51" s="419"/>
      <c r="H51" s="419"/>
      <c r="I51" s="419"/>
      <c r="J51" s="419"/>
      <c r="K51" s="419"/>
      <c r="L51" s="419"/>
      <c r="M51" s="419"/>
      <c r="N51" s="419" t="s">
        <v>127</v>
      </c>
      <c r="O51" s="400"/>
      <c r="P51" s="400"/>
      <c r="Q51" s="400"/>
      <c r="R51" s="400"/>
      <c r="S51" s="400"/>
      <c r="T51" s="400"/>
      <c r="U51" s="400"/>
      <c r="V51" s="400"/>
      <c r="W51" s="400"/>
      <c r="X51" s="400"/>
      <c r="Y51" s="400"/>
      <c r="Z51" s="400"/>
      <c r="AA51" s="400"/>
      <c r="AB51" s="400"/>
      <c r="AC51" s="275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</row>
    <row r="52" spans="1:64" s="270" customFormat="1">
      <c r="B52" s="419" t="s">
        <v>89</v>
      </c>
      <c r="C52" s="419"/>
      <c r="D52" s="419"/>
      <c r="E52" s="419"/>
      <c r="F52" s="419"/>
      <c r="G52" s="419"/>
      <c r="H52" s="419"/>
      <c r="I52" s="419"/>
      <c r="J52" s="419"/>
      <c r="K52" s="419"/>
      <c r="L52" s="419"/>
      <c r="M52" s="419"/>
      <c r="N52" s="419" t="s">
        <v>95</v>
      </c>
      <c r="O52" s="400"/>
      <c r="P52" s="400"/>
      <c r="Q52" s="400"/>
      <c r="R52" s="400"/>
      <c r="S52" s="400"/>
      <c r="T52" s="400"/>
      <c r="U52" s="400"/>
      <c r="V52" s="400"/>
      <c r="W52" s="400"/>
      <c r="X52" s="400"/>
      <c r="Y52" s="400"/>
      <c r="Z52" s="400"/>
      <c r="AA52" s="400"/>
      <c r="AB52" s="400"/>
      <c r="AC52" s="275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</row>
    <row r="53" spans="1:64" s="270" customFormat="1">
      <c r="B53" s="419" t="s">
        <v>90</v>
      </c>
      <c r="C53" s="419"/>
      <c r="D53" s="419"/>
      <c r="E53" s="419"/>
      <c r="F53" s="419"/>
      <c r="G53" s="419"/>
      <c r="H53" s="419"/>
      <c r="I53" s="419"/>
      <c r="J53" s="419"/>
      <c r="K53" s="419"/>
      <c r="L53" s="419"/>
      <c r="M53" s="419"/>
      <c r="N53" s="419" t="s">
        <v>96</v>
      </c>
      <c r="O53" s="400"/>
      <c r="P53" s="400"/>
      <c r="Q53" s="400"/>
      <c r="R53" s="400"/>
      <c r="S53" s="400"/>
      <c r="T53" s="400"/>
      <c r="U53" s="400"/>
      <c r="V53" s="400"/>
      <c r="W53" s="400"/>
      <c r="X53" s="400"/>
      <c r="Y53" s="400"/>
      <c r="Z53" s="400"/>
      <c r="AA53" s="400"/>
      <c r="AB53" s="400"/>
      <c r="AC53" s="275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</row>
    <row r="54" spans="1:64" s="270" customFormat="1">
      <c r="B54" s="419" t="s">
        <v>91</v>
      </c>
      <c r="C54" s="419"/>
      <c r="D54" s="419"/>
      <c r="E54" s="419"/>
      <c r="F54" s="419"/>
      <c r="G54" s="419"/>
      <c r="H54" s="419"/>
      <c r="I54" s="419"/>
      <c r="J54" s="419"/>
      <c r="K54" s="419"/>
      <c r="L54" s="419"/>
      <c r="M54" s="419"/>
      <c r="N54" s="419" t="s">
        <v>97</v>
      </c>
      <c r="O54" s="400"/>
      <c r="P54" s="400"/>
      <c r="Q54" s="400"/>
      <c r="R54" s="400"/>
      <c r="S54" s="400"/>
      <c r="T54" s="400"/>
      <c r="U54" s="400"/>
      <c r="V54" s="400"/>
      <c r="W54" s="400"/>
      <c r="X54" s="400"/>
      <c r="Y54" s="400"/>
      <c r="Z54" s="400"/>
      <c r="AA54" s="400"/>
      <c r="AB54" s="400"/>
      <c r="AC54" s="275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</row>
    <row r="55" spans="1:64" s="270" customFormat="1">
      <c r="B55" s="420" t="s">
        <v>128</v>
      </c>
      <c r="C55" s="419"/>
      <c r="D55" s="419"/>
      <c r="E55" s="419"/>
      <c r="F55" s="419"/>
      <c r="G55" s="419"/>
      <c r="H55" s="419"/>
      <c r="I55" s="419"/>
      <c r="J55" s="419"/>
      <c r="K55" s="419"/>
      <c r="L55" s="419"/>
      <c r="M55" s="419"/>
      <c r="N55" s="421" t="s">
        <v>112</v>
      </c>
      <c r="O55" s="400"/>
      <c r="P55" s="400"/>
      <c r="Q55" s="400"/>
      <c r="R55" s="400"/>
      <c r="S55" s="400"/>
      <c r="T55" s="400"/>
      <c r="U55" s="400"/>
      <c r="V55" s="400"/>
      <c r="W55" s="400"/>
      <c r="X55" s="400"/>
      <c r="Y55" s="400"/>
      <c r="Z55" s="400"/>
      <c r="AA55" s="400"/>
      <c r="AB55" s="400"/>
      <c r="AC55" s="27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</row>
    <row r="56" spans="1:64" s="270" customFormat="1" ht="24.75" customHeight="1">
      <c r="B56" s="541" t="s">
        <v>129</v>
      </c>
      <c r="C56" s="541"/>
      <c r="D56" s="541"/>
      <c r="E56" s="541"/>
      <c r="F56" s="541"/>
      <c r="G56" s="541"/>
      <c r="H56" s="541"/>
      <c r="I56" s="541"/>
      <c r="J56" s="541"/>
      <c r="K56" s="541"/>
      <c r="L56" s="541"/>
      <c r="M56" s="541"/>
      <c r="N56" s="541"/>
      <c r="O56" s="541"/>
      <c r="P56" s="541"/>
      <c r="Q56" s="541"/>
      <c r="R56" s="541"/>
      <c r="S56" s="541"/>
      <c r="T56" s="541"/>
      <c r="U56" s="541"/>
      <c r="V56" s="541"/>
      <c r="W56" s="541"/>
      <c r="X56" s="541"/>
      <c r="Y56" s="541"/>
      <c r="Z56" s="541"/>
      <c r="AA56" s="541"/>
      <c r="AB56" s="541"/>
      <c r="AC56" s="275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</row>
    <row r="57" spans="1:64" s="270" customFormat="1">
      <c r="B57" s="400" t="s">
        <v>3</v>
      </c>
      <c r="C57" s="400"/>
      <c r="D57" s="400"/>
      <c r="E57" s="400"/>
      <c r="F57" s="400"/>
      <c r="G57" s="400"/>
      <c r="H57" s="400"/>
      <c r="I57" s="400"/>
      <c r="J57" s="400"/>
      <c r="K57" s="400"/>
      <c r="L57" s="400"/>
      <c r="M57" s="400"/>
      <c r="N57" s="400"/>
      <c r="O57" s="400"/>
      <c r="P57" s="400"/>
      <c r="Q57" s="400"/>
      <c r="R57" s="400"/>
      <c r="S57" s="400"/>
      <c r="T57" s="400"/>
      <c r="U57" s="400"/>
      <c r="V57" s="400"/>
      <c r="W57" s="400"/>
      <c r="X57" s="400"/>
      <c r="Y57" s="400"/>
      <c r="Z57" s="400"/>
      <c r="AA57" s="400"/>
      <c r="AB57" s="400"/>
      <c r="AC57" s="275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</row>
    <row r="58" spans="1:64" s="273" customFormat="1" ht="6.75" customHeight="1">
      <c r="B58" s="401"/>
      <c r="C58" s="402"/>
      <c r="D58" s="403"/>
      <c r="E58" s="403"/>
      <c r="F58" s="403"/>
      <c r="G58" s="403"/>
      <c r="H58" s="403"/>
      <c r="I58" s="403"/>
      <c r="J58" s="403"/>
      <c r="K58" s="403"/>
      <c r="L58" s="403"/>
      <c r="M58" s="403"/>
      <c r="N58" s="403"/>
      <c r="O58" s="403"/>
      <c r="P58" s="403"/>
      <c r="Q58" s="403"/>
      <c r="R58" s="403"/>
      <c r="S58" s="403"/>
      <c r="T58" s="403"/>
      <c r="U58" s="403"/>
      <c r="V58" s="403"/>
      <c r="W58" s="403"/>
      <c r="X58" s="403"/>
      <c r="Y58" s="403"/>
      <c r="Z58" s="403"/>
      <c r="AA58" s="403"/>
      <c r="AB58" s="403"/>
      <c r="AC58" s="275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</row>
    <row r="59" spans="1:64">
      <c r="B59" s="532" t="s">
        <v>32</v>
      </c>
      <c r="C59" s="532"/>
      <c r="D59" s="532"/>
      <c r="E59" s="532"/>
      <c r="F59" s="532"/>
      <c r="G59" s="532"/>
      <c r="H59" s="532"/>
      <c r="I59" s="532"/>
      <c r="J59" s="532"/>
      <c r="K59" s="532"/>
      <c r="L59" s="532"/>
      <c r="M59" s="532"/>
      <c r="N59" s="532"/>
      <c r="O59" s="532"/>
      <c r="P59" s="532"/>
      <c r="Q59" s="532"/>
      <c r="R59" s="532"/>
      <c r="S59" s="532"/>
      <c r="T59" s="532"/>
      <c r="U59" s="532"/>
      <c r="V59" s="532"/>
      <c r="W59" s="532"/>
      <c r="X59" s="532"/>
      <c r="Y59" s="532"/>
      <c r="Z59" s="532"/>
      <c r="AA59" s="532"/>
      <c r="AB59" s="532"/>
      <c r="AC59" s="261"/>
    </row>
    <row r="60" spans="1:64">
      <c r="B60" s="350"/>
      <c r="C60" s="537"/>
      <c r="D60" s="538"/>
      <c r="E60" s="537"/>
      <c r="F60" s="539"/>
      <c r="G60" s="537"/>
      <c r="H60" s="539"/>
      <c r="I60" s="537"/>
      <c r="J60" s="539"/>
      <c r="K60" s="537"/>
      <c r="L60" s="539"/>
      <c r="M60" s="537"/>
      <c r="N60" s="539"/>
      <c r="O60" s="537"/>
      <c r="P60" s="539"/>
      <c r="Q60" s="537"/>
      <c r="R60" s="539"/>
      <c r="S60" s="537"/>
      <c r="T60" s="539"/>
      <c r="U60" s="537"/>
      <c r="V60" s="539"/>
      <c r="W60" s="537"/>
      <c r="X60" s="539"/>
      <c r="Y60" s="537"/>
      <c r="Z60" s="539"/>
      <c r="AA60" s="537"/>
      <c r="AB60" s="539"/>
    </row>
    <row r="61" spans="1:64">
      <c r="B61" s="350">
        <f>B5</f>
        <v>2010</v>
      </c>
      <c r="C61" s="537" t="str">
        <f>C5</f>
        <v>Enero</v>
      </c>
      <c r="D61" s="538"/>
      <c r="E61" s="537" t="str">
        <f>E5</f>
        <v>Febrero</v>
      </c>
      <c r="F61" s="538"/>
      <c r="G61" s="537" t="str">
        <f>G5</f>
        <v>Marzo</v>
      </c>
      <c r="H61" s="538"/>
      <c r="I61" s="537" t="str">
        <f>I5</f>
        <v>Abril</v>
      </c>
      <c r="J61" s="538"/>
      <c r="K61" s="537" t="str">
        <f>K5</f>
        <v xml:space="preserve">Mayo </v>
      </c>
      <c r="L61" s="538"/>
      <c r="M61" s="537" t="str">
        <f>M5</f>
        <v>Junio</v>
      </c>
      <c r="N61" s="538"/>
      <c r="O61" s="537" t="str">
        <f>O5</f>
        <v>Julio</v>
      </c>
      <c r="P61" s="538"/>
      <c r="Q61" s="537" t="str">
        <f>Q5</f>
        <v>Agosto</v>
      </c>
      <c r="R61" s="538"/>
      <c r="S61" s="537" t="str">
        <f>S5</f>
        <v>Septiembre</v>
      </c>
      <c r="T61" s="538"/>
      <c r="U61" s="537" t="str">
        <f>U5</f>
        <v>Octubre</v>
      </c>
      <c r="V61" s="538"/>
      <c r="W61" s="537" t="str">
        <f>W5</f>
        <v>Noviembre</v>
      </c>
      <c r="X61" s="538"/>
      <c r="Y61" s="537" t="str">
        <f>Y5</f>
        <v>Diciembre</v>
      </c>
      <c r="Z61" s="538"/>
      <c r="AA61" s="537" t="s">
        <v>102</v>
      </c>
      <c r="AB61" s="538"/>
    </row>
    <row r="62" spans="1:64">
      <c r="B62" s="350"/>
      <c r="C62" s="537"/>
      <c r="D62" s="538"/>
      <c r="E62" s="537"/>
      <c r="F62" s="538"/>
      <c r="G62" s="537"/>
      <c r="H62" s="538"/>
      <c r="I62" s="537"/>
      <c r="J62" s="538"/>
      <c r="K62" s="537"/>
      <c r="L62" s="538"/>
      <c r="M62" s="537"/>
      <c r="N62" s="538"/>
      <c r="O62" s="537"/>
      <c r="P62" s="538"/>
      <c r="Q62" s="537"/>
      <c r="R62" s="538"/>
      <c r="S62" s="537"/>
      <c r="T62" s="538"/>
      <c r="U62" s="537"/>
      <c r="V62" s="538"/>
      <c r="W62" s="537"/>
      <c r="X62" s="538"/>
      <c r="Y62" s="537"/>
      <c r="Z62" s="538"/>
      <c r="AA62" s="537"/>
      <c r="AB62" s="538"/>
    </row>
    <row r="63" spans="1:64" s="266" customFormat="1" ht="14.25">
      <c r="A63" s="277"/>
      <c r="B63" s="404" t="s">
        <v>24</v>
      </c>
      <c r="C63" s="405"/>
      <c r="D63" s="406">
        <v>2615.2229980000002</v>
      </c>
      <c r="E63" s="406"/>
      <c r="F63" s="406">
        <v>2610.4495630000001</v>
      </c>
      <c r="G63" s="406"/>
      <c r="H63" s="406">
        <v>2595.2749560000002</v>
      </c>
      <c r="I63" s="406"/>
      <c r="J63" s="406">
        <v>2593.3362940000002</v>
      </c>
      <c r="K63" s="406"/>
      <c r="L63" s="406">
        <v>2593.4873480000001</v>
      </c>
      <c r="M63" s="406"/>
      <c r="N63" s="406">
        <v>2545.6372999999999</v>
      </c>
      <c r="O63" s="406"/>
      <c r="P63" s="406">
        <v>2572.8907330000002</v>
      </c>
      <c r="Q63" s="406"/>
      <c r="R63" s="406">
        <v>2558.9710530000002</v>
      </c>
      <c r="S63" s="406"/>
      <c r="T63" s="406">
        <v>2569.7531180000001</v>
      </c>
      <c r="U63" s="406"/>
      <c r="V63" s="406">
        <v>2570.6072250000002</v>
      </c>
      <c r="W63" s="406"/>
      <c r="X63" s="406">
        <v>2511.6558030000001</v>
      </c>
      <c r="Y63" s="355"/>
      <c r="Z63" s="406">
        <v>2573.6138970000002</v>
      </c>
      <c r="AA63" s="406"/>
      <c r="AB63" s="406">
        <v>2575.8525417095898</v>
      </c>
      <c r="AC63" s="278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</row>
    <row r="64" spans="1:64" s="266" customFormat="1" ht="14.25">
      <c r="A64" s="277"/>
      <c r="B64" s="404" t="s">
        <v>39</v>
      </c>
      <c r="C64" s="405"/>
      <c r="D64" s="406">
        <v>6981.8574850000005</v>
      </c>
      <c r="E64" s="406"/>
      <c r="F64" s="406">
        <v>6970.3909460000004</v>
      </c>
      <c r="G64" s="406"/>
      <c r="H64" s="406">
        <v>6889.521933</v>
      </c>
      <c r="I64" s="406"/>
      <c r="J64" s="406">
        <v>6907.62248</v>
      </c>
      <c r="K64" s="406"/>
      <c r="L64" s="406">
        <v>6964.7285780000002</v>
      </c>
      <c r="M64" s="406"/>
      <c r="N64" s="406">
        <v>6939.2246279999999</v>
      </c>
      <c r="O64" s="406"/>
      <c r="P64" s="406">
        <v>7036.3018689999999</v>
      </c>
      <c r="Q64" s="406"/>
      <c r="R64" s="406">
        <v>7245.7421459999996</v>
      </c>
      <c r="S64" s="406"/>
      <c r="T64" s="406">
        <v>7182.9734429999999</v>
      </c>
      <c r="U64" s="406"/>
      <c r="V64" s="406">
        <v>7110.8613640000003</v>
      </c>
      <c r="W64" s="406"/>
      <c r="X64" s="406">
        <v>7018.3030769999996</v>
      </c>
      <c r="Y64" s="355"/>
      <c r="Z64" s="406">
        <v>6986.2435480000004</v>
      </c>
      <c r="AA64" s="406"/>
      <c r="AB64" s="406">
        <v>7019.9660820301397</v>
      </c>
      <c r="AC64" s="278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</row>
    <row r="65" spans="1:64" s="266" customFormat="1" ht="14.25">
      <c r="A65" s="277"/>
      <c r="B65" s="404" t="s">
        <v>25</v>
      </c>
      <c r="C65" s="405"/>
      <c r="D65" s="406">
        <v>755.22226674014598</v>
      </c>
      <c r="E65" s="406"/>
      <c r="F65" s="406">
        <v>795.53733085363206</v>
      </c>
      <c r="G65" s="406"/>
      <c r="H65" s="406">
        <v>832.41671941358197</v>
      </c>
      <c r="I65" s="406"/>
      <c r="J65" s="406">
        <v>795.68120041502902</v>
      </c>
      <c r="K65" s="406"/>
      <c r="L65" s="406">
        <v>801.08858461422994</v>
      </c>
      <c r="M65" s="406"/>
      <c r="N65" s="406">
        <v>822.50672981773596</v>
      </c>
      <c r="O65" s="406"/>
      <c r="P65" s="406">
        <v>799.55321263434496</v>
      </c>
      <c r="Q65" s="406"/>
      <c r="R65" s="406">
        <v>791.40591942355695</v>
      </c>
      <c r="S65" s="406"/>
      <c r="T65" s="406">
        <v>785.60719431356699</v>
      </c>
      <c r="U65" s="406"/>
      <c r="V65" s="406">
        <v>783.29770297876905</v>
      </c>
      <c r="W65" s="406"/>
      <c r="X65" s="406">
        <v>808.68762245968401</v>
      </c>
      <c r="Y65" s="355"/>
      <c r="Z65" s="406">
        <v>861.44687613122801</v>
      </c>
      <c r="AA65" s="406"/>
      <c r="AB65" s="406">
        <v>802.75862305231203</v>
      </c>
      <c r="AC65" s="278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</row>
    <row r="66" spans="1:64" s="266" customFormat="1" ht="14.25">
      <c r="A66" s="277"/>
      <c r="B66" s="404" t="s">
        <v>26</v>
      </c>
      <c r="C66" s="405"/>
      <c r="D66" s="406">
        <v>329.28624198978798</v>
      </c>
      <c r="E66" s="406"/>
      <c r="F66" s="406">
        <v>351.09616691249801</v>
      </c>
      <c r="G66" s="406"/>
      <c r="H66" s="406">
        <v>389.11021667208098</v>
      </c>
      <c r="I66" s="406"/>
      <c r="J66" s="406">
        <v>370.20632468677798</v>
      </c>
      <c r="K66" s="406"/>
      <c r="L66" s="406">
        <v>372.69985905324103</v>
      </c>
      <c r="M66" s="406"/>
      <c r="N66" s="406">
        <v>394.892407161932</v>
      </c>
      <c r="O66" s="406"/>
      <c r="P66" s="406">
        <v>367.10035898788698</v>
      </c>
      <c r="Q66" s="406"/>
      <c r="R66" s="406">
        <v>369.51868720721097</v>
      </c>
      <c r="S66" s="406"/>
      <c r="T66" s="406">
        <v>360.86144245031801</v>
      </c>
      <c r="U66" s="406"/>
      <c r="V66" s="406">
        <v>379.07056575838101</v>
      </c>
      <c r="W66" s="406"/>
      <c r="X66" s="406">
        <v>389.87590429404997</v>
      </c>
      <c r="Y66" s="355"/>
      <c r="Z66" s="406">
        <v>378.20067605120499</v>
      </c>
      <c r="AA66" s="406"/>
      <c r="AB66" s="406">
        <v>371.06947892782398</v>
      </c>
      <c r="AC66" s="278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</row>
    <row r="67" spans="1:64" s="266" customFormat="1" ht="14.25">
      <c r="A67" s="277"/>
      <c r="B67" s="404" t="s">
        <v>27</v>
      </c>
      <c r="C67" s="405"/>
      <c r="D67" s="406">
        <v>167.57419699360699</v>
      </c>
      <c r="E67" s="406"/>
      <c r="F67" s="406">
        <v>165.31064258106699</v>
      </c>
      <c r="G67" s="406"/>
      <c r="H67" s="406">
        <v>176.74854347191999</v>
      </c>
      <c r="I67" s="406"/>
      <c r="J67" s="406">
        <v>183.13580347014599</v>
      </c>
      <c r="K67" s="406"/>
      <c r="L67" s="406">
        <v>232.17731165339501</v>
      </c>
      <c r="M67" s="406"/>
      <c r="N67" s="406">
        <v>221.754579167114</v>
      </c>
      <c r="O67" s="406"/>
      <c r="P67" s="406">
        <v>195.18956719321599</v>
      </c>
      <c r="Q67" s="406"/>
      <c r="R67" s="406">
        <v>193.29414215943001</v>
      </c>
      <c r="S67" s="406"/>
      <c r="T67" s="406">
        <v>195.64024113801401</v>
      </c>
      <c r="U67" s="406"/>
      <c r="V67" s="406">
        <v>150.97454002328601</v>
      </c>
      <c r="W67" s="406"/>
      <c r="X67" s="406">
        <v>176.93399253963099</v>
      </c>
      <c r="Y67" s="355"/>
      <c r="Z67" s="406">
        <v>159.426075692079</v>
      </c>
      <c r="AA67" s="406"/>
      <c r="AB67" s="406">
        <v>184.902882669896</v>
      </c>
      <c r="AC67" s="278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</row>
    <row r="68" spans="1:64" s="266" customFormat="1" ht="14.25">
      <c r="A68" s="277"/>
      <c r="B68" s="404" t="s">
        <v>28</v>
      </c>
      <c r="C68" s="405"/>
      <c r="D68" s="406">
        <v>320.22098786568</v>
      </c>
      <c r="E68" s="406"/>
      <c r="F68" s="406">
        <v>312.94864505041397</v>
      </c>
      <c r="G68" s="406"/>
      <c r="H68" s="406">
        <v>300.98390535434402</v>
      </c>
      <c r="I68" s="406"/>
      <c r="J68" s="406">
        <v>276.32471485487201</v>
      </c>
      <c r="K68" s="406"/>
      <c r="L68" s="406">
        <v>258.41798443561299</v>
      </c>
      <c r="M68" s="406"/>
      <c r="N68" s="406">
        <v>260.34524438665602</v>
      </c>
      <c r="O68" s="406"/>
      <c r="P68" s="406">
        <v>267.704454199716</v>
      </c>
      <c r="Q68" s="406"/>
      <c r="R68" s="406">
        <v>266.87226522085501</v>
      </c>
      <c r="S68" s="406"/>
      <c r="T68" s="406">
        <v>269.85745614502503</v>
      </c>
      <c r="U68" s="406"/>
      <c r="V68" s="406">
        <v>287.057872708096</v>
      </c>
      <c r="W68" s="406"/>
      <c r="X68" s="406">
        <v>301.12472935076698</v>
      </c>
      <c r="Y68" s="355"/>
      <c r="Z68" s="406">
        <v>334.21051351031502</v>
      </c>
      <c r="AA68" s="406"/>
      <c r="AB68" s="406">
        <v>287.92228461825903</v>
      </c>
      <c r="AC68" s="27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</row>
    <row r="69" spans="1:64" s="266" customFormat="1" ht="14.25">
      <c r="A69" s="277"/>
      <c r="B69" s="404" t="s">
        <v>38</v>
      </c>
      <c r="C69" s="405"/>
      <c r="D69" s="406">
        <v>3205.2892109342401</v>
      </c>
      <c r="E69" s="406"/>
      <c r="F69" s="406">
        <v>3324.6274699318001</v>
      </c>
      <c r="G69" s="406"/>
      <c r="H69" s="406">
        <v>3072.52715093696</v>
      </c>
      <c r="I69" s="406"/>
      <c r="J69" s="406">
        <v>3198.1520449343898</v>
      </c>
      <c r="K69" s="406"/>
      <c r="L69" s="406">
        <v>3401.2526399302101</v>
      </c>
      <c r="M69" s="406"/>
      <c r="N69" s="406">
        <v>3459.3347379290399</v>
      </c>
      <c r="O69" s="406"/>
      <c r="P69" s="406">
        <v>3252.9614339332502</v>
      </c>
      <c r="Q69" s="406"/>
      <c r="R69" s="406">
        <v>3376.44503793074</v>
      </c>
      <c r="S69" s="406"/>
      <c r="T69" s="406">
        <v>2999.16551593847</v>
      </c>
      <c r="U69" s="406"/>
      <c r="V69" s="406">
        <v>3058.4510319372398</v>
      </c>
      <c r="W69" s="406"/>
      <c r="X69" s="406">
        <v>3241.7757959334799</v>
      </c>
      <c r="Y69" s="355"/>
      <c r="Z69" s="406">
        <v>3457.7843809290698</v>
      </c>
      <c r="AA69" s="406"/>
      <c r="AB69" s="406">
        <v>3253.72177940448</v>
      </c>
      <c r="AC69" s="278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</row>
    <row r="70" spans="1:64" s="266" customFormat="1" ht="14.25">
      <c r="A70" s="277"/>
      <c r="B70" s="404" t="s">
        <v>98</v>
      </c>
      <c r="C70" s="405"/>
      <c r="D70" s="406">
        <v>1175.9098709677401</v>
      </c>
      <c r="E70" s="406"/>
      <c r="F70" s="406">
        <v>1233.6707857142901</v>
      </c>
      <c r="G70" s="406"/>
      <c r="H70" s="406">
        <v>1331.0041290322599</v>
      </c>
      <c r="I70" s="406"/>
      <c r="J70" s="406">
        <v>1301.7726333333301</v>
      </c>
      <c r="K70" s="406"/>
      <c r="L70" s="406">
        <v>1591.1425483871001</v>
      </c>
      <c r="M70" s="406"/>
      <c r="N70" s="406">
        <v>1109.7346333333301</v>
      </c>
      <c r="O70" s="406"/>
      <c r="P70" s="406">
        <v>1386.26874193548</v>
      </c>
      <c r="Q70" s="406"/>
      <c r="R70" s="406">
        <v>1350.71619354839</v>
      </c>
      <c r="S70" s="406"/>
      <c r="T70" s="406">
        <v>1337.1332333333301</v>
      </c>
      <c r="U70" s="406"/>
      <c r="V70" s="406">
        <v>1376.90006451613</v>
      </c>
      <c r="W70" s="406"/>
      <c r="X70" s="406">
        <v>1616.6196666666699</v>
      </c>
      <c r="Y70" s="355"/>
      <c r="Z70" s="406">
        <v>1500.8269032258099</v>
      </c>
      <c r="AA70" s="406"/>
      <c r="AB70" s="406">
        <v>1360.53810684932</v>
      </c>
      <c r="AC70" s="278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</row>
    <row r="71" spans="1:64" s="266" customFormat="1" ht="14.25">
      <c r="A71" s="277"/>
      <c r="B71" s="404" t="s">
        <v>29</v>
      </c>
      <c r="C71" s="405"/>
      <c r="D71" s="407">
        <v>72.224684999999994</v>
      </c>
      <c r="E71" s="407"/>
      <c r="F71" s="407">
        <v>70.240773000000004</v>
      </c>
      <c r="G71" s="407"/>
      <c r="H71" s="407">
        <v>72.142229999999998</v>
      </c>
      <c r="I71" s="407"/>
      <c r="J71" s="407">
        <v>74.390444000000002</v>
      </c>
      <c r="K71" s="407"/>
      <c r="L71" s="407">
        <v>67.808725999999993</v>
      </c>
      <c r="M71" s="407"/>
      <c r="N71" s="407">
        <v>67.412976999999998</v>
      </c>
      <c r="O71" s="407"/>
      <c r="P71" s="407">
        <v>68.510116999999994</v>
      </c>
      <c r="Q71" s="407"/>
      <c r="R71" s="407">
        <v>69.814307999999997</v>
      </c>
      <c r="S71" s="407"/>
      <c r="T71" s="407">
        <v>70.280690000000007</v>
      </c>
      <c r="U71" s="407"/>
      <c r="V71" s="407">
        <v>74.691889000000003</v>
      </c>
      <c r="W71" s="407"/>
      <c r="X71" s="407">
        <v>76.780089000000004</v>
      </c>
      <c r="Y71" s="355"/>
      <c r="Z71" s="407">
        <v>81.459542999999996</v>
      </c>
      <c r="AA71" s="407"/>
      <c r="AB71" s="407">
        <v>72.146372583333303</v>
      </c>
      <c r="AC71" s="278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</row>
    <row r="72" spans="1:64" s="266" customFormat="1" ht="14.25">
      <c r="A72" s="277"/>
      <c r="B72" s="404" t="s">
        <v>119</v>
      </c>
      <c r="C72" s="405"/>
      <c r="D72" s="407">
        <v>59</v>
      </c>
      <c r="E72" s="407"/>
      <c r="F72" s="407">
        <v>59</v>
      </c>
      <c r="G72" s="407"/>
      <c r="H72" s="407">
        <v>59</v>
      </c>
      <c r="I72" s="407"/>
      <c r="J72" s="407">
        <v>59</v>
      </c>
      <c r="K72" s="407"/>
      <c r="L72" s="407">
        <v>59</v>
      </c>
      <c r="M72" s="407"/>
      <c r="N72" s="407">
        <v>59</v>
      </c>
      <c r="O72" s="407"/>
      <c r="P72" s="407">
        <v>59</v>
      </c>
      <c r="Q72" s="407"/>
      <c r="R72" s="407">
        <v>59</v>
      </c>
      <c r="S72" s="407"/>
      <c r="T72" s="407">
        <v>59</v>
      </c>
      <c r="U72" s="407"/>
      <c r="V72" s="407">
        <v>59</v>
      </c>
      <c r="W72" s="407"/>
      <c r="X72" s="407">
        <v>59</v>
      </c>
      <c r="Y72" s="355"/>
      <c r="Z72" s="407">
        <v>59</v>
      </c>
      <c r="AA72" s="407"/>
      <c r="AB72" s="407">
        <v>59</v>
      </c>
      <c r="AC72" s="278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</row>
    <row r="73" spans="1:64" s="266" customFormat="1" ht="14.25">
      <c r="A73" s="277"/>
      <c r="B73" s="404" t="s">
        <v>76</v>
      </c>
      <c r="C73" s="405"/>
      <c r="D73" s="407">
        <v>5.5148000000000001</v>
      </c>
      <c r="E73" s="407"/>
      <c r="F73" s="407">
        <v>5.0289999999999999</v>
      </c>
      <c r="G73" s="407"/>
      <c r="H73" s="407">
        <v>4.5880999999999998</v>
      </c>
      <c r="I73" s="407"/>
      <c r="J73" s="407">
        <v>3.4340999999999999</v>
      </c>
      <c r="K73" s="407"/>
      <c r="L73" s="407">
        <v>3.9984999999999999</v>
      </c>
      <c r="M73" s="407"/>
      <c r="N73" s="407">
        <v>3.9614180000000001</v>
      </c>
      <c r="O73" s="407"/>
      <c r="P73" s="407">
        <v>4.5179220000000004</v>
      </c>
      <c r="Q73" s="407"/>
      <c r="R73" s="407">
        <v>4.5153889999999999</v>
      </c>
      <c r="S73" s="407"/>
      <c r="T73" s="407">
        <v>3.4949650000000001</v>
      </c>
      <c r="U73" s="407"/>
      <c r="V73" s="407">
        <v>3.68485</v>
      </c>
      <c r="W73" s="407"/>
      <c r="X73" s="407">
        <v>3.1556700000000002</v>
      </c>
      <c r="Y73" s="355"/>
      <c r="Z73" s="407">
        <v>3.7717999999999998</v>
      </c>
      <c r="AA73" s="407"/>
      <c r="AB73" s="407">
        <v>4.1388761666666696</v>
      </c>
      <c r="AC73" s="278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</row>
    <row r="74" spans="1:64" s="266" customFormat="1" ht="14.25">
      <c r="A74" s="277"/>
      <c r="B74" s="404" t="s">
        <v>99</v>
      </c>
      <c r="C74" s="405"/>
      <c r="D74" s="408">
        <v>12.807</v>
      </c>
      <c r="E74" s="408"/>
      <c r="F74" s="408">
        <v>12.962400000000001</v>
      </c>
      <c r="G74" s="408"/>
      <c r="H74" s="408">
        <v>12.613799999999999</v>
      </c>
      <c r="I74" s="408"/>
      <c r="J74" s="408">
        <v>12.242000000000001</v>
      </c>
      <c r="K74" s="408"/>
      <c r="L74" s="408">
        <v>12.682600000000001</v>
      </c>
      <c r="M74" s="408"/>
      <c r="N74" s="408">
        <v>12.7234</v>
      </c>
      <c r="O74" s="408"/>
      <c r="P74" s="408">
        <v>12.834099999999999</v>
      </c>
      <c r="Q74" s="408"/>
      <c r="R74" s="408">
        <v>12.726100000000001</v>
      </c>
      <c r="S74" s="408"/>
      <c r="T74" s="408">
        <v>12.861000000000001</v>
      </c>
      <c r="U74" s="406"/>
      <c r="V74" s="408">
        <v>12.4535</v>
      </c>
      <c r="W74" s="406"/>
      <c r="X74" s="408">
        <v>12.325100000000001</v>
      </c>
      <c r="Y74" s="355"/>
      <c r="Z74" s="408">
        <v>12.4011</v>
      </c>
      <c r="AA74" s="406"/>
      <c r="AB74" s="408">
        <v>12.636008333333301</v>
      </c>
      <c r="AC74" s="278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</row>
    <row r="75" spans="1:64" s="266" customFormat="1" ht="14.25">
      <c r="A75" s="277"/>
      <c r="B75" s="404" t="s">
        <v>100</v>
      </c>
      <c r="C75" s="405"/>
      <c r="D75" s="406">
        <v>531.01593105173004</v>
      </c>
      <c r="E75" s="406"/>
      <c r="F75" s="406">
        <v>670.55603832699899</v>
      </c>
      <c r="G75" s="406"/>
      <c r="H75" s="406">
        <v>672.65325882902403</v>
      </c>
      <c r="I75" s="406"/>
      <c r="J75" s="406">
        <v>683.62137570231801</v>
      </c>
      <c r="K75" s="406"/>
      <c r="L75" s="406">
        <v>685.07452154740804</v>
      </c>
      <c r="M75" s="406"/>
      <c r="N75" s="406">
        <v>738.68478523135605</v>
      </c>
      <c r="O75" s="406"/>
      <c r="P75" s="406">
        <v>749.65704426048899</v>
      </c>
      <c r="Q75" s="406"/>
      <c r="R75" s="406">
        <v>685.04412935365599</v>
      </c>
      <c r="S75" s="406"/>
      <c r="T75" s="406">
        <v>582.24492125790596</v>
      </c>
      <c r="U75" s="406"/>
      <c r="V75" s="406">
        <v>698.58763508496997</v>
      </c>
      <c r="W75" s="406"/>
      <c r="X75" s="406">
        <v>842.59235395897201</v>
      </c>
      <c r="Y75" s="355"/>
      <c r="Z75" s="406">
        <v>919.90736716868196</v>
      </c>
      <c r="AA75" s="406"/>
      <c r="AB75" s="406">
        <v>705.17810592834905</v>
      </c>
      <c r="AC75" s="278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</row>
    <row r="76" spans="1:64" s="266" customFormat="1" ht="14.25">
      <c r="A76" s="277"/>
      <c r="B76" s="404" t="s">
        <v>70</v>
      </c>
      <c r="C76" s="405"/>
      <c r="D76" s="409">
        <v>24.885359999999999</v>
      </c>
      <c r="E76" s="409"/>
      <c r="F76" s="409">
        <v>12.761445999999999</v>
      </c>
      <c r="G76" s="409"/>
      <c r="H76" s="409">
        <v>18.211608999999999</v>
      </c>
      <c r="I76" s="409"/>
      <c r="J76" s="409">
        <v>19.095727</v>
      </c>
      <c r="K76" s="409"/>
      <c r="L76" s="409">
        <v>23.934940999999998</v>
      </c>
      <c r="M76" s="406"/>
      <c r="N76" s="409">
        <v>16.504024000000001</v>
      </c>
      <c r="O76" s="406"/>
      <c r="P76" s="409">
        <v>33.572034000000002</v>
      </c>
      <c r="Q76" s="406"/>
      <c r="R76" s="409">
        <v>20.425013</v>
      </c>
      <c r="S76" s="406"/>
      <c r="T76" s="409">
        <v>23.918129</v>
      </c>
      <c r="U76" s="406"/>
      <c r="V76" s="409">
        <v>18.552112999999999</v>
      </c>
      <c r="W76" s="406"/>
      <c r="X76" s="409">
        <v>33.491307999999997</v>
      </c>
      <c r="Y76" s="355"/>
      <c r="Z76" s="409">
        <v>22.799648999999999</v>
      </c>
      <c r="AA76" s="406"/>
      <c r="AB76" s="409">
        <f>AVERAGE(D76,F76,H76,J76,L76,N76,P76,R76,T76,V76,X76,Z76)</f>
        <v>22.345946083333331</v>
      </c>
      <c r="AC76" s="278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</row>
    <row r="77" spans="1:64" s="270" customFormat="1" ht="12.75" customHeight="1">
      <c r="A77" s="279"/>
      <c r="B77" s="547" t="s">
        <v>101</v>
      </c>
      <c r="C77" s="547"/>
      <c r="D77" s="547"/>
      <c r="E77" s="547"/>
      <c r="F77" s="547"/>
      <c r="G77" s="547"/>
      <c r="H77" s="547"/>
      <c r="I77" s="547"/>
      <c r="J77" s="547"/>
      <c r="K77" s="547"/>
      <c r="L77" s="547"/>
      <c r="M77" s="547"/>
      <c r="N77" s="547"/>
      <c r="O77" s="547"/>
      <c r="P77" s="547"/>
      <c r="Q77" s="547"/>
      <c r="R77" s="547"/>
      <c r="S77" s="547"/>
      <c r="T77" s="547"/>
      <c r="U77" s="547"/>
      <c r="V77" s="547"/>
      <c r="W77" s="547"/>
      <c r="X77" s="547"/>
      <c r="Y77" s="547"/>
      <c r="Z77" s="547"/>
      <c r="AA77" s="547"/>
      <c r="AB77" s="547"/>
      <c r="AC77" s="276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</row>
    <row r="79" spans="1:64">
      <c r="V79" s="280"/>
    </row>
    <row r="83" spans="29:29">
      <c r="AC83" s="257"/>
    </row>
    <row r="84" spans="29:29">
      <c r="AC84" s="257"/>
    </row>
    <row r="85" spans="29:29">
      <c r="AC85" s="257"/>
    </row>
    <row r="86" spans="29:29">
      <c r="AC86" s="257"/>
    </row>
    <row r="87" spans="29:29">
      <c r="AC87" s="257"/>
    </row>
    <row r="88" spans="29:29">
      <c r="AC88" s="257"/>
    </row>
    <row r="89" spans="29:29">
      <c r="AC89" s="257"/>
    </row>
    <row r="90" spans="29:29">
      <c r="AC90" s="257"/>
    </row>
    <row r="91" spans="29:29">
      <c r="AC91" s="257"/>
    </row>
  </sheetData>
  <mergeCells count="83">
    <mergeCell ref="B77:AB77"/>
    <mergeCell ref="Y61:Z61"/>
    <mergeCell ref="U62:V62"/>
    <mergeCell ref="W62:X62"/>
    <mergeCell ref="Y62:Z62"/>
    <mergeCell ref="AA62:AB62"/>
    <mergeCell ref="M61:N61"/>
    <mergeCell ref="AA61:AB61"/>
    <mergeCell ref="C62:D62"/>
    <mergeCell ref="E62:F62"/>
    <mergeCell ref="G62:H62"/>
    <mergeCell ref="I62:J62"/>
    <mergeCell ref="K62:L62"/>
    <mergeCell ref="M62:N62"/>
    <mergeCell ref="O62:P62"/>
    <mergeCell ref="Q62:R62"/>
    <mergeCell ref="S62:T62"/>
    <mergeCell ref="O61:P61"/>
    <mergeCell ref="Q61:R61"/>
    <mergeCell ref="S61:T61"/>
    <mergeCell ref="U61:V61"/>
    <mergeCell ref="W61:X61"/>
    <mergeCell ref="C61:D61"/>
    <mergeCell ref="E61:F61"/>
    <mergeCell ref="G61:H61"/>
    <mergeCell ref="I61:J61"/>
    <mergeCell ref="K61:L61"/>
    <mergeCell ref="B59:AB59"/>
    <mergeCell ref="C60:D60"/>
    <mergeCell ref="E60:F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S7:T7"/>
    <mergeCell ref="U7:V7"/>
    <mergeCell ref="W7:X7"/>
    <mergeCell ref="Y7:Z7"/>
    <mergeCell ref="AA7:AB7"/>
    <mergeCell ref="B56:AB56"/>
    <mergeCell ref="Y5:Z5"/>
    <mergeCell ref="AA5:AB5"/>
    <mergeCell ref="C7:D7"/>
    <mergeCell ref="E7:F7"/>
    <mergeCell ref="G7:H7"/>
    <mergeCell ref="I7:J7"/>
    <mergeCell ref="K7:L7"/>
    <mergeCell ref="M7:N7"/>
    <mergeCell ref="O7:P7"/>
    <mergeCell ref="Q7:R7"/>
    <mergeCell ref="M5:N5"/>
    <mergeCell ref="O5:P5"/>
    <mergeCell ref="Q5:R5"/>
    <mergeCell ref="S5:T5"/>
    <mergeCell ref="U5:V5"/>
    <mergeCell ref="W5:X5"/>
    <mergeCell ref="S4:T4"/>
    <mergeCell ref="U4:V4"/>
    <mergeCell ref="W4:X4"/>
    <mergeCell ref="Y4:Z4"/>
    <mergeCell ref="C5:D5"/>
    <mergeCell ref="E5:F5"/>
    <mergeCell ref="G5:H5"/>
    <mergeCell ref="I5:J5"/>
    <mergeCell ref="K5:L5"/>
    <mergeCell ref="B2:AB2"/>
    <mergeCell ref="B3:AB3"/>
    <mergeCell ref="C4:D4"/>
    <mergeCell ref="E4:F4"/>
    <mergeCell ref="G4:H4"/>
    <mergeCell ref="I4:J4"/>
    <mergeCell ref="K4:L4"/>
    <mergeCell ref="M4:N4"/>
    <mergeCell ref="O4:P4"/>
    <mergeCell ref="Q4:R4"/>
    <mergeCell ref="AA4:AB4"/>
  </mergeCells>
  <printOptions horizontalCentered="1" verticalCentered="1"/>
  <pageMargins left="0.23622047244094491" right="0.23622047244094491" top="0.35433070866141736" bottom="0.35433070866141736" header="0.31496062992125984" footer="0.31496062992125984"/>
  <pageSetup scale="58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91"/>
  <sheetViews>
    <sheetView showGridLines="0" view="pageBreakPreview" topLeftCell="B1" zoomScale="60" zoomScaleNormal="100" workbookViewId="0">
      <pane xSplit="1" ySplit="6" topLeftCell="M7" activePane="bottomRight" state="frozen"/>
      <selection activeCell="AC17" sqref="AC17"/>
      <selection pane="topRight" activeCell="AC17" sqref="AC17"/>
      <selection pane="bottomLeft" activeCell="AC17" sqref="AC17"/>
      <selection pane="bottomRight" activeCell="AC17" sqref="AC17"/>
    </sheetView>
  </sheetViews>
  <sheetFormatPr baseColWidth="10" defaultColWidth="9.140625" defaultRowHeight="12.75"/>
  <cols>
    <col min="1" max="1" width="3.28515625" style="257" hidden="1" customWidth="1"/>
    <col min="2" max="2" width="47.28515625" style="257" customWidth="1"/>
    <col min="3" max="3" width="2.7109375" style="257" customWidth="1"/>
    <col min="4" max="4" width="11.28515625" style="257" customWidth="1"/>
    <col min="5" max="5" width="2.7109375" style="257" customWidth="1"/>
    <col min="6" max="6" width="10.7109375" style="257" customWidth="1"/>
    <col min="7" max="7" width="2.7109375" style="257" customWidth="1"/>
    <col min="8" max="8" width="10.7109375" style="257" customWidth="1"/>
    <col min="9" max="9" width="2.7109375" style="257" customWidth="1"/>
    <col min="10" max="10" width="10.7109375" style="257" customWidth="1"/>
    <col min="11" max="11" width="2.7109375" style="257" customWidth="1"/>
    <col min="12" max="12" width="10.7109375" style="257" customWidth="1"/>
    <col min="13" max="13" width="2.7109375" style="257" customWidth="1"/>
    <col min="14" max="14" width="10.7109375" style="257" customWidth="1"/>
    <col min="15" max="15" width="2.7109375" style="257" customWidth="1"/>
    <col min="16" max="16" width="10.7109375" style="257" customWidth="1"/>
    <col min="17" max="17" width="2.7109375" style="257" customWidth="1"/>
    <col min="18" max="18" width="10.7109375" style="257" customWidth="1"/>
    <col min="19" max="19" width="2.7109375" style="257" customWidth="1"/>
    <col min="20" max="20" width="10.7109375" style="257" customWidth="1"/>
    <col min="21" max="21" width="2.7109375" style="257" customWidth="1"/>
    <col min="22" max="22" width="10.7109375" style="257" customWidth="1"/>
    <col min="23" max="23" width="2.7109375" style="257" customWidth="1"/>
    <col min="24" max="24" width="10.7109375" style="257" customWidth="1"/>
    <col min="25" max="25" width="2.7109375" style="257" customWidth="1"/>
    <col min="26" max="26" width="10.7109375" style="257" customWidth="1"/>
    <col min="27" max="27" width="2.7109375" style="257" customWidth="1"/>
    <col min="28" max="28" width="12.7109375" style="257" customWidth="1"/>
    <col min="29" max="29" width="11.7109375" style="260" customWidth="1"/>
    <col min="65" max="16384" width="9.140625" style="257"/>
  </cols>
  <sheetData>
    <row r="1" spans="1:64">
      <c r="B1" s="258"/>
      <c r="C1" s="258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8"/>
      <c r="AB1" s="258"/>
    </row>
    <row r="2" spans="1:64">
      <c r="B2" s="531" t="s">
        <v>130</v>
      </c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  <c r="R2" s="532"/>
      <c r="S2" s="532"/>
      <c r="T2" s="532"/>
      <c r="U2" s="532"/>
      <c r="V2" s="532"/>
      <c r="W2" s="532"/>
      <c r="X2" s="532"/>
      <c r="Y2" s="532"/>
      <c r="Z2" s="532"/>
      <c r="AA2" s="532"/>
      <c r="AB2" s="532"/>
      <c r="AC2" s="261"/>
    </row>
    <row r="3" spans="1:64" ht="13.5" thickBot="1">
      <c r="B3" s="532" t="s">
        <v>57</v>
      </c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532"/>
      <c r="N3" s="532"/>
      <c r="O3" s="532"/>
      <c r="P3" s="532"/>
      <c r="Q3" s="532"/>
      <c r="R3" s="532"/>
      <c r="S3" s="532"/>
      <c r="T3" s="532"/>
      <c r="U3" s="532"/>
      <c r="V3" s="532"/>
      <c r="W3" s="532"/>
      <c r="X3" s="532"/>
      <c r="Y3" s="532"/>
      <c r="Z3" s="532"/>
      <c r="AA3" s="532"/>
      <c r="AB3" s="532"/>
      <c r="AC3" s="262"/>
    </row>
    <row r="4" spans="1:64">
      <c r="B4" s="349"/>
      <c r="C4" s="533"/>
      <c r="D4" s="534"/>
      <c r="E4" s="533"/>
      <c r="F4" s="535"/>
      <c r="G4" s="533"/>
      <c r="H4" s="535"/>
      <c r="I4" s="533"/>
      <c r="J4" s="535"/>
      <c r="K4" s="533"/>
      <c r="L4" s="535"/>
      <c r="M4" s="533"/>
      <c r="N4" s="535"/>
      <c r="O4" s="533"/>
      <c r="P4" s="535"/>
      <c r="Q4" s="533"/>
      <c r="R4" s="535"/>
      <c r="S4" s="533"/>
      <c r="T4" s="535"/>
      <c r="U4" s="533"/>
      <c r="V4" s="536"/>
      <c r="W4" s="533"/>
      <c r="X4" s="536"/>
      <c r="Y4" s="533"/>
      <c r="Z4" s="536"/>
      <c r="AA4" s="533"/>
      <c r="AB4" s="536"/>
    </row>
    <row r="5" spans="1:64" ht="12.75" customHeight="1">
      <c r="B5" s="350">
        <v>2011</v>
      </c>
      <c r="C5" s="537" t="s">
        <v>4</v>
      </c>
      <c r="D5" s="538"/>
      <c r="E5" s="537" t="s">
        <v>5</v>
      </c>
      <c r="F5" s="539"/>
      <c r="G5" s="537" t="s">
        <v>6</v>
      </c>
      <c r="H5" s="539"/>
      <c r="I5" s="537" t="s">
        <v>7</v>
      </c>
      <c r="J5" s="539"/>
      <c r="K5" s="537" t="s">
        <v>8</v>
      </c>
      <c r="L5" s="539"/>
      <c r="M5" s="537" t="s">
        <v>9</v>
      </c>
      <c r="N5" s="539"/>
      <c r="O5" s="537" t="s">
        <v>10</v>
      </c>
      <c r="P5" s="539"/>
      <c r="Q5" s="545" t="s">
        <v>11</v>
      </c>
      <c r="R5" s="539"/>
      <c r="S5" s="545" t="s">
        <v>12</v>
      </c>
      <c r="T5" s="539"/>
      <c r="U5" s="537" t="s">
        <v>0</v>
      </c>
      <c r="V5" s="540"/>
      <c r="W5" s="537" t="s">
        <v>1</v>
      </c>
      <c r="X5" s="540"/>
      <c r="Y5" s="537" t="s">
        <v>2</v>
      </c>
      <c r="Z5" s="540"/>
      <c r="AA5" s="537" t="s">
        <v>15</v>
      </c>
      <c r="AB5" s="540"/>
    </row>
    <row r="6" spans="1:64">
      <c r="B6" s="350"/>
      <c r="C6" s="410"/>
      <c r="D6" s="351"/>
      <c r="E6" s="410"/>
      <c r="F6" s="411"/>
      <c r="G6" s="410"/>
      <c r="H6" s="411"/>
      <c r="I6" s="410"/>
      <c r="J6" s="411"/>
      <c r="K6" s="410"/>
      <c r="L6" s="411"/>
      <c r="M6" s="410"/>
      <c r="N6" s="411"/>
      <c r="O6" s="410"/>
      <c r="P6" s="411"/>
      <c r="Q6" s="413"/>
      <c r="R6" s="411"/>
      <c r="S6" s="413"/>
      <c r="T6" s="411"/>
      <c r="U6" s="410"/>
      <c r="V6" s="412"/>
      <c r="W6" s="410"/>
      <c r="X6" s="412"/>
      <c r="Y6" s="410"/>
      <c r="Z6" s="412"/>
      <c r="AA6" s="410"/>
      <c r="AB6" s="412"/>
    </row>
    <row r="7" spans="1:64" ht="13.5" thickBot="1">
      <c r="B7" s="352"/>
      <c r="C7" s="542"/>
      <c r="D7" s="543"/>
      <c r="E7" s="542"/>
      <c r="F7" s="544"/>
      <c r="G7" s="542"/>
      <c r="H7" s="544"/>
      <c r="I7" s="542"/>
      <c r="J7" s="544"/>
      <c r="K7" s="542"/>
      <c r="L7" s="544"/>
      <c r="M7" s="542"/>
      <c r="N7" s="544"/>
      <c r="O7" s="542"/>
      <c r="P7" s="544"/>
      <c r="Q7" s="542"/>
      <c r="R7" s="544"/>
      <c r="S7" s="542"/>
      <c r="T7" s="544"/>
      <c r="U7" s="542"/>
      <c r="V7" s="546"/>
      <c r="W7" s="542"/>
      <c r="X7" s="546"/>
      <c r="Y7" s="542"/>
      <c r="Z7" s="546"/>
      <c r="AA7" s="542"/>
      <c r="AB7" s="546"/>
    </row>
    <row r="8" spans="1:64" s="265" customFormat="1" ht="14.25">
      <c r="A8" s="263"/>
      <c r="B8" s="353" t="s">
        <v>16</v>
      </c>
      <c r="C8" s="354"/>
      <c r="D8" s="355">
        <v>116851.06158699999</v>
      </c>
      <c r="E8" s="356"/>
      <c r="F8" s="355">
        <v>120690.47613699999</v>
      </c>
      <c r="G8" s="356"/>
      <c r="H8" s="355">
        <v>126502.735031</v>
      </c>
      <c r="I8" s="356"/>
      <c r="J8" s="355">
        <v>132331.44726399999</v>
      </c>
      <c r="K8" s="356"/>
      <c r="L8" s="355">
        <v>144934.733828</v>
      </c>
      <c r="M8" s="356"/>
      <c r="N8" s="355">
        <v>161592.80079400001</v>
      </c>
      <c r="O8" s="356"/>
      <c r="P8" s="355">
        <v>139675.760205</v>
      </c>
      <c r="Q8" s="356"/>
      <c r="R8" s="355">
        <v>146127.366335</v>
      </c>
      <c r="S8" s="356"/>
      <c r="T8" s="355">
        <v>173353.87370600001</v>
      </c>
      <c r="U8" s="356"/>
      <c r="V8" s="355">
        <v>143038.749389</v>
      </c>
      <c r="W8" s="356"/>
      <c r="X8" s="355">
        <v>183328.26839700001</v>
      </c>
      <c r="Y8" s="356"/>
      <c r="Z8" s="355">
        <v>171044.30499</v>
      </c>
      <c r="AA8" s="357"/>
      <c r="AB8" s="355">
        <v>1759471.577663</v>
      </c>
      <c r="AC8" s="264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</row>
    <row r="9" spans="1:64" s="268" customFormat="1" ht="14.25">
      <c r="A9" s="266"/>
      <c r="B9" s="358" t="s">
        <v>17</v>
      </c>
      <c r="C9" s="359"/>
      <c r="D9" s="360">
        <v>112825.619228</v>
      </c>
      <c r="E9" s="361"/>
      <c r="F9" s="360">
        <v>111000.56595399999</v>
      </c>
      <c r="G9" s="361"/>
      <c r="H9" s="360">
        <v>117774.495561</v>
      </c>
      <c r="I9" s="361"/>
      <c r="J9" s="360">
        <v>123610.666849</v>
      </c>
      <c r="K9" s="361"/>
      <c r="L9" s="360">
        <v>127872.79986100001</v>
      </c>
      <c r="M9" s="361"/>
      <c r="N9" s="360">
        <v>140091.493667</v>
      </c>
      <c r="O9" s="361"/>
      <c r="P9" s="360">
        <v>123434.392603</v>
      </c>
      <c r="Q9" s="361"/>
      <c r="R9" s="360">
        <v>126851.22873100001</v>
      </c>
      <c r="S9" s="361"/>
      <c r="T9" s="360">
        <v>150200.22051300001</v>
      </c>
      <c r="U9" s="361"/>
      <c r="V9" s="360">
        <v>129977.51709199999</v>
      </c>
      <c r="W9" s="361"/>
      <c r="X9" s="360">
        <v>159287.37529900001</v>
      </c>
      <c r="Y9" s="361"/>
      <c r="Z9" s="360">
        <v>151513.0123</v>
      </c>
      <c r="AA9" s="362"/>
      <c r="AB9" s="360">
        <v>1574439.387658</v>
      </c>
      <c r="AC9" s="267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</row>
    <row r="10" spans="1:64" s="268" customFormat="1" ht="14.25">
      <c r="A10" s="266"/>
      <c r="B10" s="363" t="s">
        <v>77</v>
      </c>
      <c r="C10" s="359"/>
      <c r="D10" s="360">
        <v>50496.742020999998</v>
      </c>
      <c r="E10" s="361"/>
      <c r="F10" s="360">
        <v>49227.794121999999</v>
      </c>
      <c r="G10" s="361"/>
      <c r="H10" s="360">
        <v>49195.659568000003</v>
      </c>
      <c r="I10" s="361"/>
      <c r="J10" s="360">
        <v>57761.533345999997</v>
      </c>
      <c r="K10" s="361"/>
      <c r="L10" s="360">
        <v>57706.883277000001</v>
      </c>
      <c r="M10" s="361"/>
      <c r="N10" s="360">
        <v>54030.818185999997</v>
      </c>
      <c r="O10" s="361"/>
      <c r="P10" s="360">
        <v>58089.269850999997</v>
      </c>
      <c r="Q10" s="361"/>
      <c r="R10" s="360">
        <v>55213.891840999997</v>
      </c>
      <c r="S10" s="361"/>
      <c r="T10" s="360">
        <v>54700.791441000001</v>
      </c>
      <c r="U10" s="361"/>
      <c r="V10" s="360">
        <v>61575.842947999998</v>
      </c>
      <c r="W10" s="361"/>
      <c r="X10" s="360">
        <v>65087.348753999999</v>
      </c>
      <c r="Y10" s="361"/>
      <c r="Z10" s="360">
        <v>70687.882234000004</v>
      </c>
      <c r="AA10" s="362"/>
      <c r="AB10" s="364">
        <v>683774.457589</v>
      </c>
      <c r="AC10" s="267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</row>
    <row r="11" spans="1:64" s="268" customFormat="1" ht="14.25">
      <c r="A11" s="266"/>
      <c r="B11" s="363" t="s">
        <v>78</v>
      </c>
      <c r="C11" s="359"/>
      <c r="D11" s="360">
        <v>62328.877206999998</v>
      </c>
      <c r="E11" s="361"/>
      <c r="F11" s="360">
        <v>61772.771831999999</v>
      </c>
      <c r="G11" s="361"/>
      <c r="H11" s="360">
        <v>68578.835993000001</v>
      </c>
      <c r="I11" s="361"/>
      <c r="J11" s="360">
        <v>65849.133503000005</v>
      </c>
      <c r="K11" s="361"/>
      <c r="L11" s="360">
        <v>70165.916584000006</v>
      </c>
      <c r="M11" s="361"/>
      <c r="N11" s="360">
        <v>86060.675480999998</v>
      </c>
      <c r="O11" s="361"/>
      <c r="P11" s="360">
        <v>65345.122752000003</v>
      </c>
      <c r="Q11" s="361"/>
      <c r="R11" s="360">
        <v>71637.336890000006</v>
      </c>
      <c r="S11" s="361"/>
      <c r="T11" s="360">
        <v>95499.429071999999</v>
      </c>
      <c r="U11" s="361"/>
      <c r="V11" s="360">
        <v>68401.674144000004</v>
      </c>
      <c r="W11" s="361"/>
      <c r="X11" s="360">
        <v>94200.026545000001</v>
      </c>
      <c r="Y11" s="361"/>
      <c r="Z11" s="360">
        <v>80825.130065999998</v>
      </c>
      <c r="AA11" s="362"/>
      <c r="AB11" s="364">
        <v>890664.93006900011</v>
      </c>
      <c r="AC11" s="267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</row>
    <row r="12" spans="1:64" s="268" customFormat="1" ht="14.25">
      <c r="A12" s="266"/>
      <c r="B12" s="358" t="s">
        <v>79</v>
      </c>
      <c r="C12" s="359"/>
      <c r="D12" s="360">
        <v>4025.4423590000001</v>
      </c>
      <c r="E12" s="361"/>
      <c r="F12" s="360">
        <v>9689.910183</v>
      </c>
      <c r="G12" s="361"/>
      <c r="H12" s="360">
        <v>8728.2394700000004</v>
      </c>
      <c r="I12" s="361"/>
      <c r="J12" s="360">
        <v>8720.7804149999993</v>
      </c>
      <c r="K12" s="361"/>
      <c r="L12" s="360">
        <v>17061.933967000001</v>
      </c>
      <c r="M12" s="361"/>
      <c r="N12" s="360">
        <v>21501.307127</v>
      </c>
      <c r="O12" s="361"/>
      <c r="P12" s="360">
        <v>16241.367602</v>
      </c>
      <c r="Q12" s="361"/>
      <c r="R12" s="360">
        <v>19276.137604</v>
      </c>
      <c r="S12" s="361"/>
      <c r="T12" s="360">
        <v>23153.653192999998</v>
      </c>
      <c r="U12" s="361"/>
      <c r="V12" s="360">
        <v>13061.232297</v>
      </c>
      <c r="W12" s="361"/>
      <c r="X12" s="360">
        <v>24040.893098</v>
      </c>
      <c r="Y12" s="361"/>
      <c r="Z12" s="360">
        <v>19531.292689999998</v>
      </c>
      <c r="AA12" s="362"/>
      <c r="AB12" s="364">
        <v>185032.19000500001</v>
      </c>
      <c r="AC12" s="267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</row>
    <row r="13" spans="1:64" s="268" customFormat="1" ht="6.75" customHeight="1">
      <c r="A13" s="257"/>
      <c r="B13" s="365"/>
      <c r="C13" s="366"/>
      <c r="D13" s="367"/>
      <c r="E13" s="368"/>
      <c r="F13" s="369"/>
      <c r="G13" s="368"/>
      <c r="H13" s="369"/>
      <c r="I13" s="368"/>
      <c r="J13" s="369"/>
      <c r="K13" s="368"/>
      <c r="L13" s="370"/>
      <c r="M13" s="368"/>
      <c r="N13" s="370"/>
      <c r="O13" s="368"/>
      <c r="P13" s="370"/>
      <c r="Q13" s="368"/>
      <c r="R13" s="370"/>
      <c r="S13" s="368"/>
      <c r="T13" s="370"/>
      <c r="U13" s="368"/>
      <c r="V13" s="370"/>
      <c r="W13" s="368"/>
      <c r="X13" s="370"/>
      <c r="Y13" s="368"/>
      <c r="Z13" s="370"/>
      <c r="AA13" s="368"/>
      <c r="AB13" s="371"/>
      <c r="AC13" s="372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</row>
    <row r="14" spans="1:64" s="265" customFormat="1" ht="14.25">
      <c r="A14" s="263"/>
      <c r="B14" s="353" t="s">
        <v>80</v>
      </c>
      <c r="C14" s="354"/>
      <c r="D14" s="355">
        <v>17729.245599000002</v>
      </c>
      <c r="E14" s="356"/>
      <c r="F14" s="355">
        <v>6922.3410690000001</v>
      </c>
      <c r="G14" s="356"/>
      <c r="H14" s="355">
        <v>13411.412273</v>
      </c>
      <c r="I14" s="356"/>
      <c r="J14" s="355">
        <v>13336.615628</v>
      </c>
      <c r="K14" s="356"/>
      <c r="L14" s="355">
        <v>13131.598539999999</v>
      </c>
      <c r="M14" s="356"/>
      <c r="N14" s="355">
        <v>9232.8440190000001</v>
      </c>
      <c r="O14" s="356"/>
      <c r="P14" s="355">
        <v>11170.379083</v>
      </c>
      <c r="Q14" s="356"/>
      <c r="R14" s="355">
        <v>10479.172992</v>
      </c>
      <c r="S14" s="356"/>
      <c r="T14" s="355">
        <v>8741.827448</v>
      </c>
      <c r="U14" s="356"/>
      <c r="V14" s="355">
        <v>9053.2531429999999</v>
      </c>
      <c r="W14" s="356"/>
      <c r="X14" s="355">
        <v>10081.277447</v>
      </c>
      <c r="Y14" s="356"/>
      <c r="Z14" s="355">
        <v>20985.309701999999</v>
      </c>
      <c r="AA14" s="357"/>
      <c r="AB14" s="355">
        <v>144275.276943</v>
      </c>
      <c r="AC14" s="26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</row>
    <row r="15" spans="1:64" s="268" customFormat="1" ht="14.25">
      <c r="A15" s="266"/>
      <c r="B15" s="358" t="s">
        <v>34</v>
      </c>
      <c r="C15" s="359"/>
      <c r="D15" s="360">
        <v>5050.738343</v>
      </c>
      <c r="E15" s="361"/>
      <c r="F15" s="360">
        <v>4581.9247130000003</v>
      </c>
      <c r="G15" s="361"/>
      <c r="H15" s="360">
        <v>6250.3555020000003</v>
      </c>
      <c r="I15" s="361"/>
      <c r="J15" s="360">
        <v>4751.9776149999998</v>
      </c>
      <c r="K15" s="361"/>
      <c r="L15" s="360">
        <v>5375.8425889999999</v>
      </c>
      <c r="M15" s="361"/>
      <c r="N15" s="360">
        <v>5872.7629310000002</v>
      </c>
      <c r="O15" s="361"/>
      <c r="P15" s="360">
        <v>5054.6296380000003</v>
      </c>
      <c r="Q15" s="361"/>
      <c r="R15" s="360">
        <v>7000.9150449999997</v>
      </c>
      <c r="S15" s="361"/>
      <c r="T15" s="360">
        <v>4900.1703809999999</v>
      </c>
      <c r="U15" s="361"/>
      <c r="V15" s="360">
        <v>5579.0149590000001</v>
      </c>
      <c r="W15" s="361"/>
      <c r="X15" s="360">
        <v>5956.3297519999996</v>
      </c>
      <c r="Y15" s="361"/>
      <c r="Z15" s="360">
        <v>9902.8143259999997</v>
      </c>
      <c r="AA15" s="362"/>
      <c r="AB15" s="364">
        <v>70277.475793999998</v>
      </c>
      <c r="AC15" s="269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</row>
    <row r="16" spans="1:64" s="268" customFormat="1" ht="14.25">
      <c r="A16" s="266"/>
      <c r="B16" s="358" t="s">
        <v>13</v>
      </c>
      <c r="C16" s="359"/>
      <c r="D16" s="360">
        <v>1083.7494039999999</v>
      </c>
      <c r="E16" s="361"/>
      <c r="F16" s="360">
        <v>647.65710899999999</v>
      </c>
      <c r="G16" s="361"/>
      <c r="H16" s="360">
        <v>673.37287900000001</v>
      </c>
      <c r="I16" s="361"/>
      <c r="J16" s="360">
        <v>644.48824100000002</v>
      </c>
      <c r="K16" s="361"/>
      <c r="L16" s="360">
        <v>-38.022475</v>
      </c>
      <c r="M16" s="361"/>
      <c r="N16" s="360">
        <v>721.32758000000001</v>
      </c>
      <c r="O16" s="361"/>
      <c r="P16" s="360">
        <v>645.09083399999997</v>
      </c>
      <c r="Q16" s="361"/>
      <c r="R16" s="360">
        <v>868.44118200000003</v>
      </c>
      <c r="S16" s="361"/>
      <c r="T16" s="360">
        <v>668.54387199999996</v>
      </c>
      <c r="U16" s="361"/>
      <c r="V16" s="360">
        <v>765.43167900000003</v>
      </c>
      <c r="W16" s="361"/>
      <c r="X16" s="360">
        <v>1036.9743169999999</v>
      </c>
      <c r="Y16" s="361"/>
      <c r="Z16" s="360">
        <v>1983.286603</v>
      </c>
      <c r="AA16" s="362"/>
      <c r="AB16" s="364">
        <v>9700.3412250000001</v>
      </c>
      <c r="AC16" s="269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</row>
    <row r="17" spans="1:64" s="268" customFormat="1" ht="14.25">
      <c r="A17" s="266"/>
      <c r="B17" s="358" t="s">
        <v>115</v>
      </c>
      <c r="C17" s="359"/>
      <c r="D17" s="360">
        <v>11477.973018999999</v>
      </c>
      <c r="E17" s="361"/>
      <c r="F17" s="360">
        <v>1528.5653849999997</v>
      </c>
      <c r="G17" s="361"/>
      <c r="H17" s="360">
        <v>6241.6167089999999</v>
      </c>
      <c r="I17" s="361"/>
      <c r="J17" s="360">
        <v>7780.2301739999994</v>
      </c>
      <c r="K17" s="361"/>
      <c r="L17" s="360">
        <v>7609.889697999999</v>
      </c>
      <c r="M17" s="361"/>
      <c r="N17" s="360">
        <v>2272.2522040000003</v>
      </c>
      <c r="O17" s="361"/>
      <c r="P17" s="360">
        <v>5289.9274739999992</v>
      </c>
      <c r="Q17" s="361"/>
      <c r="R17" s="360">
        <v>2460.2573350000007</v>
      </c>
      <c r="S17" s="361"/>
      <c r="T17" s="360">
        <v>3010.3064790000008</v>
      </c>
      <c r="U17" s="361"/>
      <c r="V17" s="360">
        <v>2539.3115159999988</v>
      </c>
      <c r="W17" s="361"/>
      <c r="X17" s="360">
        <v>2909.8942580000003</v>
      </c>
      <c r="Y17" s="361"/>
      <c r="Z17" s="360">
        <v>8093.7214209999984</v>
      </c>
      <c r="AA17" s="362"/>
      <c r="AB17" s="364">
        <v>61213.945672000002</v>
      </c>
      <c r="AC17" s="269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</row>
    <row r="18" spans="1:64" s="268" customFormat="1" ht="14.25">
      <c r="A18" s="266"/>
      <c r="B18" s="358" t="s">
        <v>121</v>
      </c>
      <c r="C18" s="359"/>
      <c r="D18" s="360">
        <v>116.78483300000001</v>
      </c>
      <c r="E18" s="361"/>
      <c r="F18" s="360">
        <v>164.193862</v>
      </c>
      <c r="G18" s="361"/>
      <c r="H18" s="360">
        <v>246.067183</v>
      </c>
      <c r="I18" s="361"/>
      <c r="J18" s="360">
        <v>159.91959800000001</v>
      </c>
      <c r="K18" s="361"/>
      <c r="L18" s="360">
        <v>183.88872799999999</v>
      </c>
      <c r="M18" s="361"/>
      <c r="N18" s="360">
        <v>366.501304</v>
      </c>
      <c r="O18" s="361"/>
      <c r="P18" s="360">
        <v>180.73113699999999</v>
      </c>
      <c r="Q18" s="361"/>
      <c r="R18" s="360">
        <v>149.55942999999999</v>
      </c>
      <c r="S18" s="361"/>
      <c r="T18" s="360">
        <v>162.80671599999999</v>
      </c>
      <c r="U18" s="361"/>
      <c r="V18" s="360">
        <v>169.494989</v>
      </c>
      <c r="W18" s="361"/>
      <c r="X18" s="360">
        <v>178.07911999999999</v>
      </c>
      <c r="Y18" s="361"/>
      <c r="Z18" s="360">
        <v>1005.487352</v>
      </c>
      <c r="AA18" s="362"/>
      <c r="AB18" s="364">
        <v>3083.5142520000004</v>
      </c>
      <c r="AC18" s="269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</row>
    <row r="19" spans="1:64" s="268" customFormat="1" ht="6.75" customHeight="1">
      <c r="A19" s="266"/>
      <c r="B19" s="365"/>
      <c r="C19" s="366"/>
      <c r="D19" s="370"/>
      <c r="E19" s="368"/>
      <c r="F19" s="370"/>
      <c r="G19" s="368"/>
      <c r="H19" s="370"/>
      <c r="I19" s="368"/>
      <c r="J19" s="370"/>
      <c r="K19" s="368"/>
      <c r="L19" s="370"/>
      <c r="M19" s="368"/>
      <c r="N19" s="370"/>
      <c r="O19" s="368"/>
      <c r="P19" s="370"/>
      <c r="Q19" s="368"/>
      <c r="R19" s="370"/>
      <c r="S19" s="368"/>
      <c r="T19" s="370"/>
      <c r="U19" s="368"/>
      <c r="V19" s="370"/>
      <c r="W19" s="368"/>
      <c r="X19" s="370"/>
      <c r="Y19" s="368"/>
      <c r="Z19" s="370"/>
      <c r="AA19" s="368"/>
      <c r="AB19" s="371"/>
      <c r="AC19" s="372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64" s="268" customFormat="1" ht="14.25">
      <c r="A20" s="266"/>
      <c r="B20" s="373" t="s">
        <v>40</v>
      </c>
      <c r="C20" s="359"/>
      <c r="D20" s="360">
        <v>1075.6826759999999</v>
      </c>
      <c r="E20" s="361"/>
      <c r="F20" s="360">
        <v>326.30645099999998</v>
      </c>
      <c r="G20" s="361"/>
      <c r="H20" s="360">
        <v>-347.442159</v>
      </c>
      <c r="I20" s="361"/>
      <c r="J20" s="360">
        <v>318.355279</v>
      </c>
      <c r="K20" s="361"/>
      <c r="L20" s="360">
        <v>-933.04111699999999</v>
      </c>
      <c r="M20" s="361"/>
      <c r="N20" s="360">
        <v>289.65505300000001</v>
      </c>
      <c r="O20" s="361"/>
      <c r="P20" s="360">
        <v>125.56889200000001</v>
      </c>
      <c r="Q20" s="361"/>
      <c r="R20" s="360">
        <v>-2252.109645</v>
      </c>
      <c r="S20" s="361"/>
      <c r="T20" s="360">
        <v>14.383762000000001</v>
      </c>
      <c r="U20" s="361"/>
      <c r="V20" s="360">
        <v>-2366.8480479999998</v>
      </c>
      <c r="W20" s="361"/>
      <c r="X20" s="360">
        <v>-265.15004199999998</v>
      </c>
      <c r="Y20" s="361"/>
      <c r="Z20" s="360">
        <v>516.38143600000001</v>
      </c>
      <c r="AA20" s="361"/>
      <c r="AB20" s="361">
        <v>-3498.257462</v>
      </c>
      <c r="AC20" s="267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</row>
    <row r="21" spans="1:64" s="268" customFormat="1" ht="6.75" customHeight="1">
      <c r="A21" s="266"/>
      <c r="B21" s="374"/>
      <c r="C21" s="375"/>
      <c r="D21" s="370"/>
      <c r="E21" s="376"/>
      <c r="F21" s="370"/>
      <c r="G21" s="376"/>
      <c r="H21" s="370"/>
      <c r="I21" s="376"/>
      <c r="J21" s="370"/>
      <c r="K21" s="376"/>
      <c r="L21" s="370"/>
      <c r="M21" s="376"/>
      <c r="N21" s="370"/>
      <c r="O21" s="376"/>
      <c r="P21" s="370"/>
      <c r="Q21" s="376"/>
      <c r="R21" s="370"/>
      <c r="S21" s="376"/>
      <c r="T21" s="370"/>
      <c r="U21" s="376"/>
      <c r="V21" s="370"/>
      <c r="W21" s="376"/>
      <c r="X21" s="370"/>
      <c r="Y21" s="376"/>
      <c r="Z21" s="370"/>
      <c r="AA21" s="376"/>
      <c r="AB21" s="371"/>
      <c r="AC21" s="267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</row>
    <row r="22" spans="1:64" s="268" customFormat="1">
      <c r="A22" s="266"/>
      <c r="B22" s="377" t="s">
        <v>82</v>
      </c>
      <c r="C22" s="378"/>
      <c r="D22" s="360">
        <v>28063.816758000001</v>
      </c>
      <c r="E22" s="361"/>
      <c r="F22" s="360">
        <v>25995.504736999999</v>
      </c>
      <c r="G22" s="361"/>
      <c r="H22" s="360">
        <v>24850.881941</v>
      </c>
      <c r="I22" s="361"/>
      <c r="J22" s="360">
        <v>31567.651131999999</v>
      </c>
      <c r="K22" s="361"/>
      <c r="L22" s="360">
        <v>31433.867197</v>
      </c>
      <c r="M22" s="361"/>
      <c r="N22" s="360">
        <v>36264.832613999999</v>
      </c>
      <c r="O22" s="361"/>
      <c r="P22" s="360">
        <v>30405.107796</v>
      </c>
      <c r="Q22" s="361"/>
      <c r="R22" s="360">
        <v>31084.532541</v>
      </c>
      <c r="S22" s="361"/>
      <c r="T22" s="360">
        <v>36526.748434000001</v>
      </c>
      <c r="U22" s="361"/>
      <c r="V22" s="360">
        <v>33745.964187999998</v>
      </c>
      <c r="W22" s="361"/>
      <c r="X22" s="360">
        <v>36716.800093999998</v>
      </c>
      <c r="Y22" s="361"/>
      <c r="Z22" s="360">
        <v>34692.510563000003</v>
      </c>
      <c r="AA22" s="362"/>
      <c r="AB22" s="364">
        <v>381348.21799499996</v>
      </c>
      <c r="AC22" s="267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</row>
    <row r="23" spans="1:64" s="268" customFormat="1" ht="6.75" customHeight="1">
      <c r="A23" s="257"/>
      <c r="B23" s="365"/>
      <c r="C23" s="366"/>
      <c r="D23" s="367"/>
      <c r="E23" s="368"/>
      <c r="F23" s="369"/>
      <c r="G23" s="368"/>
      <c r="H23" s="369"/>
      <c r="I23" s="368"/>
      <c r="J23" s="369"/>
      <c r="K23" s="368"/>
      <c r="L23" s="370"/>
      <c r="M23" s="368"/>
      <c r="N23" s="370"/>
      <c r="O23" s="368"/>
      <c r="P23" s="370"/>
      <c r="Q23" s="368"/>
      <c r="R23" s="370"/>
      <c r="S23" s="368"/>
      <c r="T23" s="370"/>
      <c r="U23" s="368"/>
      <c r="V23" s="370"/>
      <c r="W23" s="368"/>
      <c r="X23" s="370"/>
      <c r="Y23" s="368"/>
      <c r="Z23" s="370"/>
      <c r="AA23" s="368"/>
      <c r="AB23" s="371"/>
      <c r="AC23" s="372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</row>
    <row r="24" spans="1:64" s="265" customFormat="1" ht="14.25">
      <c r="A24" s="263"/>
      <c r="B24" s="379" t="s">
        <v>122</v>
      </c>
      <c r="C24" s="380"/>
      <c r="D24" s="381">
        <v>69982.31655399999</v>
      </c>
      <c r="E24" s="382"/>
      <c r="F24" s="381">
        <v>87446.323879999996</v>
      </c>
      <c r="G24" s="382"/>
      <c r="H24" s="381">
        <v>88587.882976000008</v>
      </c>
      <c r="I24" s="382"/>
      <c r="J24" s="381">
        <v>87108.825224999993</v>
      </c>
      <c r="K24" s="382"/>
      <c r="L24" s="381">
        <v>101302.30920799998</v>
      </c>
      <c r="M24" s="382"/>
      <c r="N24" s="381">
        <v>115805.469108</v>
      </c>
      <c r="O24" s="382"/>
      <c r="P24" s="381">
        <v>97974.704433999999</v>
      </c>
      <c r="Q24" s="382"/>
      <c r="R24" s="381">
        <v>106815.77044699999</v>
      </c>
      <c r="S24" s="382"/>
      <c r="T24" s="381">
        <v>128070.914062</v>
      </c>
      <c r="U24" s="382"/>
      <c r="V24" s="381">
        <v>102606.38010600001</v>
      </c>
      <c r="W24" s="382"/>
      <c r="X24" s="381">
        <v>136795.34089799999</v>
      </c>
      <c r="Y24" s="382"/>
      <c r="Z24" s="381">
        <v>114850.10328900001</v>
      </c>
      <c r="AA24" s="383"/>
      <c r="AB24" s="381">
        <v>1237346.3401869999</v>
      </c>
      <c r="AC24" s="26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</row>
    <row r="25" spans="1:64" s="265" customFormat="1" ht="6.75" customHeight="1">
      <c r="A25" s="270"/>
      <c r="B25" s="384"/>
      <c r="C25" s="366"/>
      <c r="D25" s="385"/>
      <c r="E25" s="368"/>
      <c r="F25" s="386"/>
      <c r="G25" s="368"/>
      <c r="H25" s="386"/>
      <c r="I25" s="368"/>
      <c r="J25" s="386"/>
      <c r="K25" s="368"/>
      <c r="L25" s="387"/>
      <c r="M25" s="368"/>
      <c r="N25" s="387"/>
      <c r="O25" s="368"/>
      <c r="P25" s="387"/>
      <c r="Q25" s="368"/>
      <c r="R25" s="387"/>
      <c r="S25" s="368"/>
      <c r="T25" s="387"/>
      <c r="U25" s="368"/>
      <c r="V25" s="387"/>
      <c r="W25" s="368"/>
      <c r="X25" s="387"/>
      <c r="Y25" s="368"/>
      <c r="Z25" s="387"/>
      <c r="AA25" s="368"/>
      <c r="AB25" s="386"/>
      <c r="AC25" s="388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</row>
    <row r="26" spans="1:64" s="265" customFormat="1" ht="14.25">
      <c r="A26" s="263"/>
      <c r="B26" s="389" t="s">
        <v>123</v>
      </c>
      <c r="C26" s="354"/>
      <c r="D26" s="355">
        <v>12857.661797999999</v>
      </c>
      <c r="E26" s="356"/>
      <c r="F26" s="355">
        <v>10929.788044999999</v>
      </c>
      <c r="G26" s="356"/>
      <c r="H26" s="355">
        <v>14453.948741</v>
      </c>
      <c r="I26" s="356"/>
      <c r="J26" s="355">
        <v>14096.513037000001</v>
      </c>
      <c r="K26" s="356"/>
      <c r="L26" s="355">
        <v>17286.229786</v>
      </c>
      <c r="M26" s="356"/>
      <c r="N26" s="355">
        <v>20749.530289999999</v>
      </c>
      <c r="O26" s="356"/>
      <c r="P26" s="355">
        <v>16290.646403000001</v>
      </c>
      <c r="Q26" s="356"/>
      <c r="R26" s="355">
        <v>21047.613863999999</v>
      </c>
      <c r="S26" s="356"/>
      <c r="T26" s="355">
        <v>21497.944890999999</v>
      </c>
      <c r="U26" s="356"/>
      <c r="V26" s="355">
        <v>25199.044286</v>
      </c>
      <c r="W26" s="356"/>
      <c r="X26" s="355">
        <v>29157.939061000001</v>
      </c>
      <c r="Y26" s="356"/>
      <c r="Z26" s="355">
        <v>63636.718696000004</v>
      </c>
      <c r="AA26" s="356"/>
      <c r="AB26" s="355">
        <v>267203.57889800001</v>
      </c>
      <c r="AC26" s="264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</row>
    <row r="27" spans="1:64" s="268" customFormat="1" ht="14.25">
      <c r="A27" s="266"/>
      <c r="B27" s="358" t="s">
        <v>124</v>
      </c>
      <c r="C27" s="359"/>
      <c r="D27" s="360"/>
      <c r="E27" s="361"/>
      <c r="F27" s="361"/>
      <c r="G27" s="361"/>
      <c r="H27" s="361"/>
      <c r="I27" s="361"/>
      <c r="J27" s="361"/>
      <c r="K27" s="361"/>
      <c r="L27" s="361"/>
      <c r="M27" s="361"/>
      <c r="N27" s="361"/>
      <c r="O27" s="361"/>
      <c r="P27" s="361"/>
      <c r="Q27" s="362"/>
      <c r="R27" s="361"/>
      <c r="S27" s="361"/>
      <c r="T27" s="361"/>
      <c r="U27" s="361"/>
      <c r="V27" s="361"/>
      <c r="W27" s="361"/>
      <c r="X27" s="361"/>
      <c r="Y27" s="361"/>
      <c r="Z27" s="361"/>
      <c r="AA27" s="361"/>
      <c r="AB27" s="364">
        <v>0</v>
      </c>
      <c r="AC27" s="26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</row>
    <row r="28" spans="1:64" s="268" customFormat="1" ht="14.25">
      <c r="A28" s="266"/>
      <c r="B28" s="373" t="s">
        <v>35</v>
      </c>
      <c r="C28" s="359"/>
      <c r="D28" s="360">
        <v>12857.661797999999</v>
      </c>
      <c r="E28" s="361"/>
      <c r="F28" s="360">
        <v>10929.788044999999</v>
      </c>
      <c r="G28" s="361"/>
      <c r="H28" s="360">
        <v>14453.948741</v>
      </c>
      <c r="I28" s="361"/>
      <c r="J28" s="360">
        <v>14096.513037000001</v>
      </c>
      <c r="K28" s="361"/>
      <c r="L28" s="360">
        <v>17286.229786</v>
      </c>
      <c r="M28" s="361"/>
      <c r="N28" s="360">
        <v>20749.530289999999</v>
      </c>
      <c r="O28" s="361"/>
      <c r="P28" s="360">
        <v>16290.646403000001</v>
      </c>
      <c r="Q28" s="361"/>
      <c r="R28" s="360">
        <v>21047.613863999999</v>
      </c>
      <c r="S28" s="361"/>
      <c r="T28" s="360">
        <v>21497.944890999999</v>
      </c>
      <c r="U28" s="361"/>
      <c r="V28" s="360">
        <v>25199.044286</v>
      </c>
      <c r="W28" s="361"/>
      <c r="X28" s="360">
        <v>29157.939061000001</v>
      </c>
      <c r="Y28" s="361"/>
      <c r="Z28" s="360">
        <v>63636.718696000004</v>
      </c>
      <c r="AA28" s="362"/>
      <c r="AB28" s="361">
        <v>267203.57889800001</v>
      </c>
      <c r="AC28" s="267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</row>
    <row r="29" spans="1:64" s="268" customFormat="1" ht="14.25">
      <c r="A29" s="266"/>
      <c r="B29" s="358" t="s">
        <v>87</v>
      </c>
      <c r="C29" s="390"/>
      <c r="D29" s="360">
        <v>12857.661797999999</v>
      </c>
      <c r="E29" s="361"/>
      <c r="F29" s="360">
        <v>10929.788044999999</v>
      </c>
      <c r="G29" s="361"/>
      <c r="H29" s="360">
        <v>14453.948741</v>
      </c>
      <c r="I29" s="361"/>
      <c r="J29" s="360">
        <v>14096.513037000001</v>
      </c>
      <c r="K29" s="361"/>
      <c r="L29" s="360">
        <v>17286.229786</v>
      </c>
      <c r="M29" s="361"/>
      <c r="N29" s="360">
        <v>20749.530289999999</v>
      </c>
      <c r="O29" s="361"/>
      <c r="P29" s="360">
        <v>16290.646403000001</v>
      </c>
      <c r="Q29" s="361"/>
      <c r="R29" s="360">
        <v>21047.613863999999</v>
      </c>
      <c r="S29" s="361"/>
      <c r="T29" s="360">
        <v>21497.944890999999</v>
      </c>
      <c r="U29" s="361"/>
      <c r="V29" s="360">
        <v>25199.044286</v>
      </c>
      <c r="W29" s="361"/>
      <c r="X29" s="360">
        <v>29157.939061000001</v>
      </c>
      <c r="Y29" s="361"/>
      <c r="Z29" s="360">
        <v>63636.718696000004</v>
      </c>
      <c r="AA29" s="362"/>
      <c r="AB29" s="364">
        <v>267203.57889800001</v>
      </c>
      <c r="AC29" s="267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</row>
    <row r="30" spans="1:64" s="268" customFormat="1" ht="14.25">
      <c r="A30" s="266"/>
      <c r="B30" s="358" t="s">
        <v>14</v>
      </c>
      <c r="C30" s="359"/>
      <c r="D30" s="360">
        <v>0</v>
      </c>
      <c r="E30" s="361"/>
      <c r="F30" s="360">
        <v>0</v>
      </c>
      <c r="G30" s="361"/>
      <c r="H30" s="360">
        <v>0</v>
      </c>
      <c r="I30" s="361"/>
      <c r="J30" s="360">
        <v>0</v>
      </c>
      <c r="K30" s="361"/>
      <c r="L30" s="360">
        <v>0</v>
      </c>
      <c r="M30" s="361"/>
      <c r="N30" s="360">
        <v>0</v>
      </c>
      <c r="O30" s="361"/>
      <c r="P30" s="360">
        <v>0</v>
      </c>
      <c r="Q30" s="361"/>
      <c r="R30" s="360">
        <v>0</v>
      </c>
      <c r="S30" s="361"/>
      <c r="T30" s="360">
        <v>0</v>
      </c>
      <c r="U30" s="361"/>
      <c r="V30" s="360">
        <v>0</v>
      </c>
      <c r="W30" s="361"/>
      <c r="X30" s="360">
        <v>0</v>
      </c>
      <c r="Y30" s="361"/>
      <c r="Z30" s="360">
        <v>0</v>
      </c>
      <c r="AA30" s="362"/>
      <c r="AB30" s="361">
        <v>0</v>
      </c>
      <c r="AC30" s="267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</row>
    <row r="31" spans="1:64" s="268" customFormat="1" ht="6.75" customHeight="1">
      <c r="A31" s="266"/>
      <c r="B31" s="365"/>
      <c r="C31" s="375"/>
      <c r="D31" s="370"/>
      <c r="E31" s="376"/>
      <c r="F31" s="370"/>
      <c r="G31" s="376"/>
      <c r="H31" s="370"/>
      <c r="I31" s="376"/>
      <c r="J31" s="370"/>
      <c r="K31" s="376"/>
      <c r="L31" s="370"/>
      <c r="M31" s="376"/>
      <c r="N31" s="370"/>
      <c r="O31" s="376"/>
      <c r="P31" s="370"/>
      <c r="Q31" s="376"/>
      <c r="R31" s="370"/>
      <c r="S31" s="376"/>
      <c r="T31" s="370"/>
      <c r="U31" s="376"/>
      <c r="V31" s="370"/>
      <c r="W31" s="376"/>
      <c r="X31" s="370"/>
      <c r="Y31" s="376"/>
      <c r="Z31" s="370"/>
      <c r="AA31" s="376"/>
      <c r="AB31" s="371"/>
      <c r="AC31" s="372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</row>
    <row r="32" spans="1:64" s="268" customFormat="1">
      <c r="A32" s="266"/>
      <c r="B32" s="377" t="s">
        <v>23</v>
      </c>
      <c r="C32" s="378"/>
      <c r="D32" s="360">
        <v>0</v>
      </c>
      <c r="E32" s="361"/>
      <c r="F32" s="360">
        <v>0</v>
      </c>
      <c r="G32" s="361"/>
      <c r="H32" s="360">
        <v>0</v>
      </c>
      <c r="I32" s="361"/>
      <c r="J32" s="360">
        <v>0</v>
      </c>
      <c r="K32" s="361"/>
      <c r="L32" s="360">
        <v>0</v>
      </c>
      <c r="M32" s="361"/>
      <c r="N32" s="360">
        <v>0</v>
      </c>
      <c r="O32" s="361"/>
      <c r="P32" s="360">
        <v>0</v>
      </c>
      <c r="Q32" s="361"/>
      <c r="R32" s="360">
        <v>0</v>
      </c>
      <c r="S32" s="361"/>
      <c r="T32" s="360">
        <v>0</v>
      </c>
      <c r="U32" s="361"/>
      <c r="V32" s="360">
        <v>0</v>
      </c>
      <c r="W32" s="361"/>
      <c r="X32" s="360">
        <v>0</v>
      </c>
      <c r="Y32" s="361"/>
      <c r="Z32" s="360">
        <v>0</v>
      </c>
      <c r="AA32" s="362"/>
      <c r="AB32" s="364">
        <v>0</v>
      </c>
      <c r="AC32" s="267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</row>
    <row r="33" spans="1:64" s="268" customFormat="1" ht="6.75" customHeight="1">
      <c r="A33" s="257"/>
      <c r="B33" s="365"/>
      <c r="C33" s="366"/>
      <c r="D33" s="367"/>
      <c r="E33" s="368"/>
      <c r="F33" s="369"/>
      <c r="G33" s="368"/>
      <c r="H33" s="369"/>
      <c r="I33" s="368"/>
      <c r="J33" s="369"/>
      <c r="K33" s="368"/>
      <c r="L33" s="370"/>
      <c r="M33" s="368"/>
      <c r="N33" s="370"/>
      <c r="O33" s="368"/>
      <c r="P33" s="370"/>
      <c r="Q33" s="368"/>
      <c r="R33" s="370"/>
      <c r="S33" s="368"/>
      <c r="T33" s="370"/>
      <c r="U33" s="368"/>
      <c r="V33" s="370"/>
      <c r="W33" s="368"/>
      <c r="X33" s="370"/>
      <c r="Y33" s="368"/>
      <c r="Z33" s="370"/>
      <c r="AA33" s="368"/>
      <c r="AB33" s="371"/>
      <c r="AC33" s="372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</row>
    <row r="34" spans="1:64" s="265" customFormat="1" ht="27">
      <c r="A34" s="263"/>
      <c r="B34" s="391" t="s">
        <v>46</v>
      </c>
      <c r="C34" s="380"/>
      <c r="D34" s="381">
        <v>57124.654755999989</v>
      </c>
      <c r="E34" s="382"/>
      <c r="F34" s="381">
        <v>76516.535835000002</v>
      </c>
      <c r="G34" s="382"/>
      <c r="H34" s="381">
        <v>74133.934235000008</v>
      </c>
      <c r="I34" s="382"/>
      <c r="J34" s="381">
        <v>73012.312187999996</v>
      </c>
      <c r="K34" s="382"/>
      <c r="L34" s="381">
        <v>84016.079421999981</v>
      </c>
      <c r="M34" s="382"/>
      <c r="N34" s="381">
        <v>95055.93881800001</v>
      </c>
      <c r="O34" s="382"/>
      <c r="P34" s="381">
        <v>81684.058030999993</v>
      </c>
      <c r="Q34" s="382"/>
      <c r="R34" s="381">
        <v>85768.156582999989</v>
      </c>
      <c r="S34" s="382"/>
      <c r="T34" s="381">
        <v>106572.969171</v>
      </c>
      <c r="U34" s="382"/>
      <c r="V34" s="381">
        <v>77407.335820000008</v>
      </c>
      <c r="W34" s="382"/>
      <c r="X34" s="381">
        <v>107637.401837</v>
      </c>
      <c r="Y34" s="382"/>
      <c r="Z34" s="381">
        <v>51213.384593000002</v>
      </c>
      <c r="AA34" s="383"/>
      <c r="AB34" s="381">
        <v>970142.76128900016</v>
      </c>
      <c r="AC34" s="26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</row>
    <row r="35" spans="1:64" s="268" customFormat="1" ht="6.75" customHeight="1">
      <c r="A35" s="257"/>
      <c r="B35" s="365"/>
      <c r="C35" s="366"/>
      <c r="D35" s="367"/>
      <c r="E35" s="368"/>
      <c r="F35" s="369"/>
      <c r="G35" s="368"/>
      <c r="H35" s="369"/>
      <c r="I35" s="368"/>
      <c r="J35" s="369"/>
      <c r="K35" s="368"/>
      <c r="L35" s="370"/>
      <c r="M35" s="368"/>
      <c r="N35" s="370"/>
      <c r="O35" s="368"/>
      <c r="P35" s="370"/>
      <c r="Q35" s="368"/>
      <c r="R35" s="370"/>
      <c r="S35" s="368"/>
      <c r="T35" s="370"/>
      <c r="U35" s="368"/>
      <c r="V35" s="370"/>
      <c r="W35" s="368"/>
      <c r="X35" s="370"/>
      <c r="Y35" s="368"/>
      <c r="Z35" s="370"/>
      <c r="AA35" s="368"/>
      <c r="AB35" s="371"/>
      <c r="AC35" s="372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</row>
    <row r="36" spans="1:64" s="268" customFormat="1" ht="13.5" customHeight="1">
      <c r="A36" s="266"/>
      <c r="B36" s="377" t="s">
        <v>18</v>
      </c>
      <c r="C36" s="359"/>
      <c r="D36" s="360">
        <v>81314.284232999998</v>
      </c>
      <c r="E36" s="361"/>
      <c r="F36" s="360">
        <v>62944.042143999999</v>
      </c>
      <c r="G36" s="361"/>
      <c r="H36" s="360">
        <v>66831.162813000003</v>
      </c>
      <c r="I36" s="361"/>
      <c r="J36" s="360">
        <v>87258.925187999994</v>
      </c>
      <c r="K36" s="361"/>
      <c r="L36" s="360">
        <v>86742.662886000006</v>
      </c>
      <c r="M36" s="361"/>
      <c r="N36" s="360">
        <v>77967.623812000005</v>
      </c>
      <c r="O36" s="361"/>
      <c r="P36" s="360">
        <v>87150.263319000005</v>
      </c>
      <c r="Q36" s="361"/>
      <c r="R36" s="360">
        <v>83467.507817000005</v>
      </c>
      <c r="S36" s="361"/>
      <c r="T36" s="360">
        <v>74963.198837000004</v>
      </c>
      <c r="U36" s="361"/>
      <c r="V36" s="360">
        <v>96711.977834000005</v>
      </c>
      <c r="W36" s="361"/>
      <c r="X36" s="360">
        <v>83311.397928999999</v>
      </c>
      <c r="Y36" s="361"/>
      <c r="Z36" s="360">
        <v>95750.313630000004</v>
      </c>
      <c r="AA36" s="362"/>
      <c r="AB36" s="364">
        <v>984413.36044199998</v>
      </c>
      <c r="AC36" s="267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</row>
    <row r="37" spans="1:64" s="268" customFormat="1" ht="6.75" customHeight="1">
      <c r="A37" s="257"/>
      <c r="B37" s="365"/>
      <c r="C37" s="366"/>
      <c r="D37" s="367"/>
      <c r="E37" s="368"/>
      <c r="F37" s="369"/>
      <c r="G37" s="368"/>
      <c r="H37" s="369"/>
      <c r="I37" s="368"/>
      <c r="J37" s="369"/>
      <c r="K37" s="368"/>
      <c r="L37" s="370"/>
      <c r="M37" s="368"/>
      <c r="N37" s="370"/>
      <c r="O37" s="368"/>
      <c r="P37" s="370"/>
      <c r="Q37" s="368"/>
      <c r="R37" s="370"/>
      <c r="S37" s="368"/>
      <c r="T37" s="370"/>
      <c r="U37" s="368"/>
      <c r="V37" s="370"/>
      <c r="W37" s="368"/>
      <c r="X37" s="370"/>
      <c r="Y37" s="368"/>
      <c r="Z37" s="370"/>
      <c r="AA37" s="368"/>
      <c r="AB37" s="371"/>
      <c r="AC37" s="264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</row>
    <row r="38" spans="1:64" s="265" customFormat="1" ht="14.25">
      <c r="A38" s="263"/>
      <c r="B38" s="379" t="s">
        <v>125</v>
      </c>
      <c r="C38" s="380"/>
      <c r="D38" s="381">
        <v>-24189.62947700001</v>
      </c>
      <c r="E38" s="382"/>
      <c r="F38" s="381">
        <v>13572.493691000003</v>
      </c>
      <c r="G38" s="382"/>
      <c r="H38" s="381">
        <v>7302.7714220000053</v>
      </c>
      <c r="I38" s="382"/>
      <c r="J38" s="381">
        <v>-14246.612999999998</v>
      </c>
      <c r="K38" s="382"/>
      <c r="L38" s="381">
        <v>-2726.5834640000248</v>
      </c>
      <c r="M38" s="382"/>
      <c r="N38" s="381">
        <v>17088.315006000004</v>
      </c>
      <c r="O38" s="382"/>
      <c r="P38" s="381">
        <v>-5466.2052880000119</v>
      </c>
      <c r="Q38" s="382"/>
      <c r="R38" s="381">
        <v>2300.6487659999839</v>
      </c>
      <c r="S38" s="382"/>
      <c r="T38" s="381">
        <v>31609.770334000001</v>
      </c>
      <c r="U38" s="382"/>
      <c r="V38" s="381">
        <v>-19304.642013999997</v>
      </c>
      <c r="W38" s="382"/>
      <c r="X38" s="381">
        <v>24326.003907999999</v>
      </c>
      <c r="Y38" s="382"/>
      <c r="Z38" s="381">
        <v>-44536.929037000002</v>
      </c>
      <c r="AA38" s="383"/>
      <c r="AB38" s="381">
        <v>-14270.599153000046</v>
      </c>
      <c r="AC38" s="264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</row>
    <row r="39" spans="1:64" s="268" customFormat="1" ht="6.75" customHeight="1">
      <c r="A39" s="257"/>
      <c r="B39" s="365"/>
      <c r="C39" s="366"/>
      <c r="D39" s="367"/>
      <c r="E39" s="368"/>
      <c r="F39" s="369"/>
      <c r="G39" s="368"/>
      <c r="H39" s="369"/>
      <c r="I39" s="368"/>
      <c r="J39" s="369"/>
      <c r="K39" s="368"/>
      <c r="L39" s="370"/>
      <c r="M39" s="370"/>
      <c r="N39" s="370"/>
      <c r="O39" s="368"/>
      <c r="P39" s="370"/>
      <c r="Q39" s="368"/>
      <c r="R39" s="370"/>
      <c r="S39" s="368"/>
      <c r="T39" s="370"/>
      <c r="U39" s="368"/>
      <c r="V39" s="370"/>
      <c r="W39" s="368"/>
      <c r="X39" s="370"/>
      <c r="Y39" s="368"/>
      <c r="Z39" s="370"/>
      <c r="AA39" s="368"/>
      <c r="AB39" s="371"/>
      <c r="AC39" s="264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</row>
    <row r="40" spans="1:64" s="268" customFormat="1" ht="14.25">
      <c r="A40" s="266"/>
      <c r="B40" s="373" t="s">
        <v>55</v>
      </c>
      <c r="C40" s="359"/>
      <c r="D40" s="392">
        <v>2821.8668280000002</v>
      </c>
      <c r="E40" s="393"/>
      <c r="F40" s="392">
        <v>-1457.4283229999999</v>
      </c>
      <c r="G40" s="393"/>
      <c r="H40" s="392">
        <v>2373.7964099999999</v>
      </c>
      <c r="I40" s="393"/>
      <c r="J40" s="392">
        <v>941.59710299999983</v>
      </c>
      <c r="K40" s="393"/>
      <c r="L40" s="392">
        <v>1519.1596470000002</v>
      </c>
      <c r="M40" s="393"/>
      <c r="N40" s="392">
        <v>2643.4413419999996</v>
      </c>
      <c r="O40" s="393"/>
      <c r="P40" s="392">
        <v>1175.6903729999999</v>
      </c>
      <c r="Q40" s="393"/>
      <c r="R40" s="392">
        <v>2953.065047</v>
      </c>
      <c r="S40" s="393"/>
      <c r="T40" s="392">
        <v>4636.4588079999994</v>
      </c>
      <c r="U40" s="393"/>
      <c r="V40" s="392">
        <v>555.87380699999994</v>
      </c>
      <c r="W40" s="393"/>
      <c r="X40" s="392">
        <v>870.4766249999999</v>
      </c>
      <c r="Y40" s="393"/>
      <c r="Z40" s="392">
        <v>6214.4948949999998</v>
      </c>
      <c r="AA40" s="394"/>
      <c r="AB40" s="392">
        <v>25248.492561999996</v>
      </c>
      <c r="AC40" s="267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</row>
    <row r="41" spans="1:64" s="268" customFormat="1" ht="14.25">
      <c r="A41" s="266"/>
      <c r="B41" s="358" t="s">
        <v>20</v>
      </c>
      <c r="C41" s="359"/>
      <c r="D41" s="392">
        <v>2020.9080060000001</v>
      </c>
      <c r="E41" s="393"/>
      <c r="F41" s="392">
        <v>2001.8496830000001</v>
      </c>
      <c r="G41" s="393"/>
      <c r="H41" s="392">
        <v>944.46148900000003</v>
      </c>
      <c r="I41" s="393"/>
      <c r="J41" s="392">
        <v>2505.1341699999998</v>
      </c>
      <c r="K41" s="393"/>
      <c r="L41" s="392">
        <v>956.82400600000005</v>
      </c>
      <c r="M41" s="393"/>
      <c r="N41" s="392">
        <v>930.23237599999993</v>
      </c>
      <c r="O41" s="393"/>
      <c r="P41" s="392">
        <v>1302.2191379999999</v>
      </c>
      <c r="Q41" s="393"/>
      <c r="R41" s="392">
        <v>1725.5342930000002</v>
      </c>
      <c r="S41" s="393"/>
      <c r="T41" s="392">
        <v>1020.1398119999999</v>
      </c>
      <c r="U41" s="393"/>
      <c r="V41" s="392">
        <v>751.71790199999998</v>
      </c>
      <c r="W41" s="393"/>
      <c r="X41" s="392">
        <v>-510.73139099999997</v>
      </c>
      <c r="Y41" s="393"/>
      <c r="Z41" s="392">
        <v>762.20592199999999</v>
      </c>
      <c r="AA41" s="394"/>
      <c r="AB41" s="392">
        <v>14410.495406000002</v>
      </c>
      <c r="AC41" s="267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</row>
    <row r="42" spans="1:64" s="268" customFormat="1" ht="14.25">
      <c r="A42" s="266"/>
      <c r="B42" s="363" t="s">
        <v>56</v>
      </c>
      <c r="C42" s="359"/>
      <c r="D42" s="360">
        <v>1056.410611</v>
      </c>
      <c r="E42" s="361"/>
      <c r="F42" s="360">
        <v>1418.0175710000001</v>
      </c>
      <c r="G42" s="361"/>
      <c r="H42" s="360">
        <v>380.60667799999999</v>
      </c>
      <c r="I42" s="361"/>
      <c r="J42" s="360">
        <v>882.74303999999995</v>
      </c>
      <c r="K42" s="361"/>
      <c r="L42" s="360">
        <v>531.37302999999997</v>
      </c>
      <c r="M42" s="361"/>
      <c r="N42" s="360">
        <v>399.30563699999999</v>
      </c>
      <c r="O42" s="393"/>
      <c r="P42" s="360">
        <v>884.670614</v>
      </c>
      <c r="Q42" s="393"/>
      <c r="R42" s="360">
        <v>1478.566219</v>
      </c>
      <c r="S42" s="393"/>
      <c r="T42" s="360">
        <v>737.11759099999995</v>
      </c>
      <c r="U42" s="393"/>
      <c r="V42" s="360">
        <v>483.88224600000001</v>
      </c>
      <c r="W42" s="393"/>
      <c r="X42" s="360">
        <v>-765.13329899999997</v>
      </c>
      <c r="Y42" s="393"/>
      <c r="Z42" s="360">
        <v>402.11453299999999</v>
      </c>
      <c r="AA42" s="394"/>
      <c r="AB42" s="392">
        <v>7889.6744709999994</v>
      </c>
      <c r="AC42" s="267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</row>
    <row r="43" spans="1:64" s="271" customFormat="1" ht="14.25">
      <c r="A43" s="266"/>
      <c r="B43" s="378" t="s">
        <v>21</v>
      </c>
      <c r="C43" s="359"/>
      <c r="D43" s="360">
        <v>0</v>
      </c>
      <c r="E43" s="361"/>
      <c r="F43" s="360">
        <v>0</v>
      </c>
      <c r="G43" s="361"/>
      <c r="H43" s="360">
        <v>0</v>
      </c>
      <c r="I43" s="361"/>
      <c r="J43" s="360">
        <v>0</v>
      </c>
      <c r="K43" s="361"/>
      <c r="L43" s="360">
        <v>0</v>
      </c>
      <c r="M43" s="361"/>
      <c r="N43" s="360">
        <v>0</v>
      </c>
      <c r="O43" s="393"/>
      <c r="P43" s="360">
        <v>0</v>
      </c>
      <c r="Q43" s="393"/>
      <c r="R43" s="360">
        <v>0</v>
      </c>
      <c r="S43" s="393"/>
      <c r="T43" s="360">
        <v>0</v>
      </c>
      <c r="U43" s="393"/>
      <c r="V43" s="360">
        <v>0</v>
      </c>
      <c r="W43" s="393"/>
      <c r="X43" s="360">
        <v>0</v>
      </c>
      <c r="Y43" s="393"/>
      <c r="Z43" s="360">
        <v>0</v>
      </c>
      <c r="AA43" s="394"/>
      <c r="AB43" s="392">
        <v>0</v>
      </c>
      <c r="AC43" s="267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</row>
    <row r="44" spans="1:64" s="271" customFormat="1" ht="14.25">
      <c r="A44" s="266"/>
      <c r="B44" s="363" t="s">
        <v>118</v>
      </c>
      <c r="C44" s="359"/>
      <c r="D44" s="360">
        <v>964.49739499999998</v>
      </c>
      <c r="E44" s="361"/>
      <c r="F44" s="360">
        <v>583.83211200000005</v>
      </c>
      <c r="G44" s="361"/>
      <c r="H44" s="360">
        <v>563.85481100000004</v>
      </c>
      <c r="I44" s="361"/>
      <c r="J44" s="360">
        <v>1622.39113</v>
      </c>
      <c r="K44" s="361"/>
      <c r="L44" s="360">
        <v>425.45097600000003</v>
      </c>
      <c r="M44" s="361"/>
      <c r="N44" s="360">
        <v>530.926739</v>
      </c>
      <c r="O44" s="393"/>
      <c r="P44" s="360">
        <v>417.54852399999999</v>
      </c>
      <c r="Q44" s="393"/>
      <c r="R44" s="360">
        <v>246.968074</v>
      </c>
      <c r="S44" s="393"/>
      <c r="T44" s="360">
        <v>283.022221</v>
      </c>
      <c r="U44" s="393"/>
      <c r="V44" s="360">
        <v>267.83565599999997</v>
      </c>
      <c r="W44" s="393"/>
      <c r="X44" s="360">
        <v>254.40190799999999</v>
      </c>
      <c r="Y44" s="393"/>
      <c r="Z44" s="360">
        <v>360.09138899999999</v>
      </c>
      <c r="AA44" s="394"/>
      <c r="AB44" s="392">
        <v>6520.8209350000006</v>
      </c>
      <c r="AC44" s="267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</row>
    <row r="45" spans="1:64" s="268" customFormat="1" ht="14.25">
      <c r="A45" s="266"/>
      <c r="B45" s="358" t="s">
        <v>22</v>
      </c>
      <c r="C45" s="359"/>
      <c r="D45" s="360">
        <v>1923.5564280000001</v>
      </c>
      <c r="E45" s="361"/>
      <c r="F45" s="360">
        <v>-1774.4110009999999</v>
      </c>
      <c r="G45" s="361"/>
      <c r="H45" s="360">
        <v>2582.6795189999998</v>
      </c>
      <c r="I45" s="361"/>
      <c r="J45" s="360">
        <v>93.208982000000006</v>
      </c>
      <c r="K45" s="361"/>
      <c r="L45" s="360">
        <v>1015.943831</v>
      </c>
      <c r="M45" s="361"/>
      <c r="N45" s="360">
        <v>2293.3904579999999</v>
      </c>
      <c r="O45" s="393"/>
      <c r="P45" s="360">
        <v>796.08217500000001</v>
      </c>
      <c r="Q45" s="393"/>
      <c r="R45" s="360">
        <v>1607.48236</v>
      </c>
      <c r="S45" s="393"/>
      <c r="T45" s="360">
        <v>3886.9518939999998</v>
      </c>
      <c r="U45" s="393"/>
      <c r="V45" s="360">
        <v>462.61069099999997</v>
      </c>
      <c r="W45" s="393"/>
      <c r="X45" s="360">
        <v>1593.0668559999999</v>
      </c>
      <c r="Y45" s="393"/>
      <c r="Z45" s="360">
        <v>5839.3521739999996</v>
      </c>
      <c r="AA45" s="394"/>
      <c r="AB45" s="392">
        <v>20319.914366999998</v>
      </c>
      <c r="AC45" s="267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</row>
    <row r="46" spans="1:64" s="268" customFormat="1" ht="14.25">
      <c r="A46" s="266"/>
      <c r="B46" s="358" t="s">
        <v>111</v>
      </c>
      <c r="C46" s="359"/>
      <c r="D46" s="360">
        <v>1122.597606</v>
      </c>
      <c r="E46" s="361"/>
      <c r="F46" s="360">
        <v>1684.8670050000001</v>
      </c>
      <c r="G46" s="361"/>
      <c r="H46" s="360">
        <v>1153.3445979999999</v>
      </c>
      <c r="I46" s="361"/>
      <c r="J46" s="360">
        <v>1656.7460490000001</v>
      </c>
      <c r="K46" s="361"/>
      <c r="L46" s="360">
        <v>453.60818999999998</v>
      </c>
      <c r="M46" s="361"/>
      <c r="N46" s="360">
        <v>580.18149200000005</v>
      </c>
      <c r="O46" s="393"/>
      <c r="P46" s="360">
        <v>922.61094000000003</v>
      </c>
      <c r="Q46" s="393"/>
      <c r="R46" s="360">
        <v>379.95160600000003</v>
      </c>
      <c r="S46" s="393"/>
      <c r="T46" s="360">
        <v>270.63289800000001</v>
      </c>
      <c r="U46" s="393"/>
      <c r="V46" s="360">
        <v>658.45478600000001</v>
      </c>
      <c r="W46" s="393"/>
      <c r="X46" s="360">
        <v>211.85883999999999</v>
      </c>
      <c r="Y46" s="393"/>
      <c r="Z46" s="360">
        <v>387.06320099999999</v>
      </c>
      <c r="AA46" s="394"/>
      <c r="AB46" s="392">
        <v>9481.9172110000018</v>
      </c>
      <c r="AC46" s="267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</row>
    <row r="47" spans="1:64" s="273" customFormat="1" ht="6.75" customHeight="1">
      <c r="A47" s="257"/>
      <c r="B47" s="282"/>
      <c r="C47" s="258"/>
      <c r="D47" s="395"/>
      <c r="E47" s="396"/>
      <c r="F47" s="395"/>
      <c r="G47" s="396"/>
      <c r="H47" s="395"/>
      <c r="I47" s="396"/>
      <c r="J47" s="395"/>
      <c r="K47" s="396"/>
      <c r="L47" s="396"/>
      <c r="M47" s="396"/>
      <c r="N47" s="396"/>
      <c r="O47" s="396"/>
      <c r="P47" s="396"/>
      <c r="Q47" s="396"/>
      <c r="R47" s="396"/>
      <c r="S47" s="396"/>
      <c r="T47" s="396"/>
      <c r="U47" s="396"/>
      <c r="V47" s="396"/>
      <c r="W47" s="396"/>
      <c r="X47" s="396"/>
      <c r="Y47" s="396"/>
      <c r="Z47" s="396"/>
      <c r="AA47" s="397"/>
      <c r="AB47" s="395"/>
      <c r="AC47" s="272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</row>
    <row r="48" spans="1:64" s="263" customFormat="1" ht="14.25">
      <c r="B48" s="398" t="s">
        <v>37</v>
      </c>
      <c r="C48" s="399"/>
      <c r="D48" s="381">
        <v>-27011.496305000008</v>
      </c>
      <c r="E48" s="382"/>
      <c r="F48" s="381">
        <v>15029.922014000003</v>
      </c>
      <c r="G48" s="382"/>
      <c r="H48" s="381">
        <v>4928.9750120000053</v>
      </c>
      <c r="I48" s="382"/>
      <c r="J48" s="381">
        <v>-15188.210102999998</v>
      </c>
      <c r="K48" s="382"/>
      <c r="L48" s="381">
        <v>-4245.7431110000252</v>
      </c>
      <c r="M48" s="382"/>
      <c r="N48" s="381">
        <v>14444.873664000004</v>
      </c>
      <c r="O48" s="382"/>
      <c r="P48" s="381">
        <v>-6641.8956610000114</v>
      </c>
      <c r="Q48" s="382"/>
      <c r="R48" s="381">
        <v>-652.41628100001617</v>
      </c>
      <c r="S48" s="382"/>
      <c r="T48" s="381">
        <v>26973.311526000001</v>
      </c>
      <c r="U48" s="382"/>
      <c r="V48" s="381">
        <v>-19860.515820999997</v>
      </c>
      <c r="W48" s="382"/>
      <c r="X48" s="381">
        <v>23455.527282999999</v>
      </c>
      <c r="Y48" s="382"/>
      <c r="Z48" s="381">
        <v>-50751.423932000005</v>
      </c>
      <c r="AA48" s="383"/>
      <c r="AB48" s="381">
        <v>-39519.091715000046</v>
      </c>
      <c r="AC48" s="274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</row>
    <row r="49" spans="1:64" s="273" customFormat="1">
      <c r="A49" s="257"/>
      <c r="B49" s="258"/>
      <c r="C49" s="258"/>
      <c r="D49" s="258"/>
      <c r="E49" s="258"/>
      <c r="F49" s="258"/>
      <c r="G49" s="258"/>
      <c r="H49" s="258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Y49" s="258"/>
      <c r="Z49" s="258"/>
      <c r="AA49" s="258"/>
      <c r="AB49" s="258"/>
      <c r="AC49" s="272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</row>
    <row r="50" spans="1:64" s="270" customFormat="1">
      <c r="B50" s="334" t="s">
        <v>41</v>
      </c>
      <c r="C50" s="334"/>
      <c r="D50" s="334"/>
      <c r="E50" s="334"/>
      <c r="F50" s="334"/>
      <c r="G50" s="334"/>
      <c r="H50" s="334"/>
      <c r="I50" s="334"/>
      <c r="J50" s="334"/>
      <c r="K50" s="334"/>
      <c r="L50" s="334"/>
      <c r="M50" s="334"/>
      <c r="N50" s="334" t="s">
        <v>126</v>
      </c>
      <c r="O50" s="400"/>
      <c r="P50" s="400"/>
      <c r="Q50" s="400"/>
      <c r="R50" s="400"/>
      <c r="S50" s="400"/>
      <c r="T50" s="400"/>
      <c r="U50" s="400"/>
      <c r="V50" s="400"/>
      <c r="W50" s="400"/>
      <c r="X50" s="400"/>
      <c r="Y50" s="400"/>
      <c r="Z50" s="400"/>
      <c r="AA50" s="400"/>
      <c r="AB50" s="400"/>
      <c r="AC50" s="275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</row>
    <row r="51" spans="1:64" s="270" customFormat="1">
      <c r="B51" s="334" t="s">
        <v>88</v>
      </c>
      <c r="C51" s="334"/>
      <c r="D51" s="334"/>
      <c r="E51" s="334"/>
      <c r="F51" s="334"/>
      <c r="G51" s="334"/>
      <c r="H51" s="334"/>
      <c r="I51" s="334"/>
      <c r="J51" s="334"/>
      <c r="K51" s="334"/>
      <c r="L51" s="334"/>
      <c r="M51" s="334"/>
      <c r="N51" s="334" t="s">
        <v>127</v>
      </c>
      <c r="O51" s="400"/>
      <c r="P51" s="400"/>
      <c r="Q51" s="400"/>
      <c r="R51" s="400"/>
      <c r="S51" s="400"/>
      <c r="T51" s="400"/>
      <c r="U51" s="400"/>
      <c r="V51" s="400"/>
      <c r="W51" s="400"/>
      <c r="X51" s="400"/>
      <c r="Y51" s="400"/>
      <c r="Z51" s="400"/>
      <c r="AA51" s="400"/>
      <c r="AB51" s="400"/>
      <c r="AC51" s="275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</row>
    <row r="52" spans="1:64" s="270" customFormat="1">
      <c r="B52" s="334" t="s">
        <v>89</v>
      </c>
      <c r="C52" s="334"/>
      <c r="D52" s="334"/>
      <c r="E52" s="334"/>
      <c r="F52" s="334"/>
      <c r="G52" s="334"/>
      <c r="H52" s="334"/>
      <c r="I52" s="334"/>
      <c r="J52" s="334"/>
      <c r="K52" s="334"/>
      <c r="L52" s="334"/>
      <c r="M52" s="334"/>
      <c r="N52" s="334" t="s">
        <v>95</v>
      </c>
      <c r="O52" s="400"/>
      <c r="P52" s="400"/>
      <c r="Q52" s="400"/>
      <c r="R52" s="400"/>
      <c r="S52" s="400"/>
      <c r="T52" s="400"/>
      <c r="U52" s="400"/>
      <c r="V52" s="400"/>
      <c r="W52" s="400"/>
      <c r="X52" s="400"/>
      <c r="Y52" s="400"/>
      <c r="Z52" s="400"/>
      <c r="AA52" s="400"/>
      <c r="AB52" s="400"/>
      <c r="AC52" s="275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</row>
    <row r="53" spans="1:64" s="270" customFormat="1">
      <c r="B53" s="334" t="s">
        <v>90</v>
      </c>
      <c r="C53" s="334"/>
      <c r="D53" s="334"/>
      <c r="E53" s="334"/>
      <c r="F53" s="334"/>
      <c r="G53" s="334"/>
      <c r="H53" s="334"/>
      <c r="I53" s="334"/>
      <c r="J53" s="334"/>
      <c r="K53" s="334"/>
      <c r="L53" s="334"/>
      <c r="M53" s="334"/>
      <c r="N53" s="334" t="s">
        <v>96</v>
      </c>
      <c r="O53" s="400"/>
      <c r="P53" s="400"/>
      <c r="Q53" s="400"/>
      <c r="R53" s="400"/>
      <c r="S53" s="400"/>
      <c r="T53" s="400"/>
      <c r="U53" s="400"/>
      <c r="V53" s="400"/>
      <c r="W53" s="400"/>
      <c r="X53" s="400"/>
      <c r="Y53" s="400"/>
      <c r="Z53" s="400"/>
      <c r="AA53" s="400"/>
      <c r="AB53" s="400"/>
      <c r="AC53" s="275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</row>
    <row r="54" spans="1:64" s="270" customFormat="1">
      <c r="B54" s="334" t="s">
        <v>91</v>
      </c>
      <c r="C54" s="334"/>
      <c r="D54" s="334"/>
      <c r="E54" s="334"/>
      <c r="F54" s="334"/>
      <c r="G54" s="334"/>
      <c r="H54" s="334"/>
      <c r="I54" s="334"/>
      <c r="J54" s="334"/>
      <c r="K54" s="334"/>
      <c r="L54" s="334"/>
      <c r="M54" s="334"/>
      <c r="N54" s="334" t="s">
        <v>97</v>
      </c>
      <c r="O54" s="400"/>
      <c r="P54" s="400"/>
      <c r="Q54" s="400"/>
      <c r="R54" s="400"/>
      <c r="S54" s="400"/>
      <c r="T54" s="400"/>
      <c r="U54" s="400"/>
      <c r="V54" s="400"/>
      <c r="W54" s="400"/>
      <c r="X54" s="400"/>
      <c r="Y54" s="400"/>
      <c r="Z54" s="400"/>
      <c r="AA54" s="400"/>
      <c r="AB54" s="400"/>
      <c r="AC54" s="275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</row>
    <row r="55" spans="1:64" s="270" customFormat="1">
      <c r="B55" s="347" t="s">
        <v>128</v>
      </c>
      <c r="C55" s="334"/>
      <c r="D55" s="334"/>
      <c r="E55" s="334"/>
      <c r="F55" s="334"/>
      <c r="G55" s="334"/>
      <c r="H55" s="334"/>
      <c r="I55" s="334"/>
      <c r="J55" s="334"/>
      <c r="K55" s="334"/>
      <c r="L55" s="334"/>
      <c r="M55" s="334"/>
      <c r="N55" s="348" t="s">
        <v>112</v>
      </c>
      <c r="O55" s="400"/>
      <c r="P55" s="400"/>
      <c r="Q55" s="400"/>
      <c r="R55" s="400"/>
      <c r="S55" s="400"/>
      <c r="T55" s="400"/>
      <c r="U55" s="400"/>
      <c r="V55" s="400"/>
      <c r="W55" s="400"/>
      <c r="X55" s="400"/>
      <c r="Y55" s="400"/>
      <c r="Z55" s="400"/>
      <c r="AA55" s="400"/>
      <c r="AB55" s="400"/>
      <c r="AC55" s="27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</row>
    <row r="56" spans="1:64" s="270" customFormat="1" ht="24.75" customHeight="1">
      <c r="B56" s="541" t="s">
        <v>129</v>
      </c>
      <c r="C56" s="541"/>
      <c r="D56" s="541"/>
      <c r="E56" s="541"/>
      <c r="F56" s="541"/>
      <c r="G56" s="541"/>
      <c r="H56" s="541"/>
      <c r="I56" s="541"/>
      <c r="J56" s="541"/>
      <c r="K56" s="541"/>
      <c r="L56" s="541"/>
      <c r="M56" s="541"/>
      <c r="N56" s="541"/>
      <c r="O56" s="541"/>
      <c r="P56" s="541"/>
      <c r="Q56" s="541"/>
      <c r="R56" s="541"/>
      <c r="S56" s="541"/>
      <c r="T56" s="541"/>
      <c r="U56" s="541"/>
      <c r="V56" s="541"/>
      <c r="W56" s="541"/>
      <c r="X56" s="541"/>
      <c r="Y56" s="541"/>
      <c r="Z56" s="541"/>
      <c r="AA56" s="541"/>
      <c r="AB56" s="541"/>
      <c r="AC56" s="275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</row>
    <row r="57" spans="1:64" s="270" customFormat="1">
      <c r="B57" s="400" t="s">
        <v>3</v>
      </c>
      <c r="C57" s="400"/>
      <c r="D57" s="400"/>
      <c r="E57" s="400"/>
      <c r="F57" s="400"/>
      <c r="G57" s="400"/>
      <c r="H57" s="400"/>
      <c r="I57" s="400"/>
      <c r="J57" s="400"/>
      <c r="K57" s="400"/>
      <c r="L57" s="400"/>
      <c r="M57" s="400"/>
      <c r="N57" s="400"/>
      <c r="O57" s="400"/>
      <c r="P57" s="400"/>
      <c r="Q57" s="400"/>
      <c r="R57" s="400"/>
      <c r="S57" s="400"/>
      <c r="T57" s="400"/>
      <c r="U57" s="400"/>
      <c r="V57" s="400"/>
      <c r="W57" s="400"/>
      <c r="X57" s="400"/>
      <c r="Y57" s="400"/>
      <c r="Z57" s="400"/>
      <c r="AA57" s="400"/>
      <c r="AB57" s="400"/>
      <c r="AC57" s="275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</row>
    <row r="58" spans="1:64" s="273" customFormat="1" ht="6.75" customHeight="1">
      <c r="B58" s="401"/>
      <c r="C58" s="402"/>
      <c r="D58" s="403"/>
      <c r="E58" s="403"/>
      <c r="F58" s="403"/>
      <c r="G58" s="403"/>
      <c r="H58" s="403"/>
      <c r="I58" s="403"/>
      <c r="J58" s="403"/>
      <c r="K58" s="403"/>
      <c r="L58" s="403"/>
      <c r="M58" s="403"/>
      <c r="N58" s="403"/>
      <c r="O58" s="403"/>
      <c r="P58" s="403"/>
      <c r="Q58" s="403"/>
      <c r="R58" s="403"/>
      <c r="S58" s="403"/>
      <c r="T58" s="403"/>
      <c r="U58" s="403"/>
      <c r="V58" s="403"/>
      <c r="W58" s="403"/>
      <c r="X58" s="403"/>
      <c r="Y58" s="403"/>
      <c r="Z58" s="403"/>
      <c r="AA58" s="403"/>
      <c r="AB58" s="403"/>
      <c r="AC58" s="275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</row>
    <row r="59" spans="1:64" ht="13.5" thickBot="1">
      <c r="B59" s="532" t="s">
        <v>32</v>
      </c>
      <c r="C59" s="532"/>
      <c r="D59" s="532"/>
      <c r="E59" s="532"/>
      <c r="F59" s="532"/>
      <c r="G59" s="532"/>
      <c r="H59" s="532"/>
      <c r="I59" s="532"/>
      <c r="J59" s="532"/>
      <c r="K59" s="532"/>
      <c r="L59" s="532"/>
      <c r="M59" s="532"/>
      <c r="N59" s="532"/>
      <c r="O59" s="532"/>
      <c r="P59" s="532"/>
      <c r="Q59" s="532"/>
      <c r="R59" s="532"/>
      <c r="S59" s="532"/>
      <c r="T59" s="532"/>
      <c r="U59" s="532"/>
      <c r="V59" s="532"/>
      <c r="W59" s="532"/>
      <c r="X59" s="532"/>
      <c r="Y59" s="532"/>
      <c r="Z59" s="532"/>
      <c r="AA59" s="532"/>
      <c r="AB59" s="532"/>
      <c r="AC59" s="261"/>
    </row>
    <row r="60" spans="1:64">
      <c r="B60" s="350"/>
      <c r="C60" s="537"/>
      <c r="D60" s="539"/>
      <c r="E60" s="537"/>
      <c r="F60" s="539"/>
      <c r="G60" s="537"/>
      <c r="H60" s="539"/>
      <c r="I60" s="537"/>
      <c r="J60" s="539"/>
      <c r="K60" s="537"/>
      <c r="L60" s="539"/>
      <c r="M60" s="537"/>
      <c r="N60" s="539"/>
      <c r="O60" s="537"/>
      <c r="P60" s="539"/>
      <c r="Q60" s="537"/>
      <c r="R60" s="539"/>
      <c r="S60" s="537"/>
      <c r="T60" s="539"/>
      <c r="U60" s="537"/>
      <c r="V60" s="539"/>
      <c r="W60" s="537"/>
      <c r="X60" s="539"/>
      <c r="Y60" s="537"/>
      <c r="Z60" s="539"/>
      <c r="AA60" s="533"/>
      <c r="AB60" s="536"/>
    </row>
    <row r="61" spans="1:64">
      <c r="B61" s="350">
        <f>B5</f>
        <v>2011</v>
      </c>
      <c r="C61" s="537" t="str">
        <f>C5</f>
        <v>Enero</v>
      </c>
      <c r="D61" s="539"/>
      <c r="E61" s="537" t="str">
        <f>E5</f>
        <v>Febrero</v>
      </c>
      <c r="F61" s="539"/>
      <c r="G61" s="537" t="str">
        <f>G5</f>
        <v>Marzo</v>
      </c>
      <c r="H61" s="539"/>
      <c r="I61" s="537" t="str">
        <f>I5</f>
        <v>Abril</v>
      </c>
      <c r="J61" s="539"/>
      <c r="K61" s="537" t="str">
        <f>K5</f>
        <v xml:space="preserve">Mayo </v>
      </c>
      <c r="L61" s="539"/>
      <c r="M61" s="537" t="str">
        <f>M5</f>
        <v>Junio</v>
      </c>
      <c r="N61" s="539"/>
      <c r="O61" s="537" t="str">
        <f>O5</f>
        <v>Julio</v>
      </c>
      <c r="P61" s="539"/>
      <c r="Q61" s="537" t="str">
        <f>Q5</f>
        <v>Agosto</v>
      </c>
      <c r="R61" s="539"/>
      <c r="S61" s="537" t="str">
        <f>S5</f>
        <v>Septiembre</v>
      </c>
      <c r="T61" s="539"/>
      <c r="U61" s="537" t="str">
        <f>U5</f>
        <v>Octubre</v>
      </c>
      <c r="V61" s="539"/>
      <c r="W61" s="537" t="str">
        <f>W5</f>
        <v>Noviembre</v>
      </c>
      <c r="X61" s="539"/>
      <c r="Y61" s="537" t="str">
        <f>Y5</f>
        <v>Diciembre</v>
      </c>
      <c r="Z61" s="539"/>
      <c r="AA61" s="537" t="s">
        <v>102</v>
      </c>
      <c r="AB61" s="540"/>
    </row>
    <row r="62" spans="1:64">
      <c r="B62" s="350"/>
      <c r="C62" s="537"/>
      <c r="D62" s="539"/>
      <c r="E62" s="537"/>
      <c r="F62" s="539"/>
      <c r="G62" s="537"/>
      <c r="H62" s="539"/>
      <c r="I62" s="537"/>
      <c r="J62" s="539"/>
      <c r="K62" s="537"/>
      <c r="L62" s="539"/>
      <c r="M62" s="537"/>
      <c r="N62" s="539"/>
      <c r="O62" s="537"/>
      <c r="P62" s="539"/>
      <c r="Q62" s="537"/>
      <c r="R62" s="539"/>
      <c r="S62" s="537"/>
      <c r="T62" s="539"/>
      <c r="U62" s="537"/>
      <c r="V62" s="539"/>
      <c r="W62" s="537"/>
      <c r="X62" s="539"/>
      <c r="Y62" s="537"/>
      <c r="Z62" s="539"/>
      <c r="AA62" s="422"/>
      <c r="AB62" s="423"/>
    </row>
    <row r="63" spans="1:64" s="266" customFormat="1" ht="14.25">
      <c r="A63" s="277"/>
      <c r="B63" s="404" t="s">
        <v>24</v>
      </c>
      <c r="C63" s="405"/>
      <c r="D63" s="406">
        <v>2583.652552</v>
      </c>
      <c r="E63" s="406"/>
      <c r="F63" s="406">
        <v>2556.1337910000002</v>
      </c>
      <c r="G63" s="406"/>
      <c r="H63" s="406">
        <v>2573.473446</v>
      </c>
      <c r="I63" s="406"/>
      <c r="J63" s="406">
        <v>2573.3915630000001</v>
      </c>
      <c r="K63" s="406"/>
      <c r="L63" s="406">
        <v>2555.6219799999999</v>
      </c>
      <c r="M63" s="406"/>
      <c r="N63" s="406">
        <v>2544.1255489999999</v>
      </c>
      <c r="O63" s="406"/>
      <c r="P63" s="406">
        <v>2532.775259</v>
      </c>
      <c r="Q63" s="406"/>
      <c r="R63" s="406">
        <v>2551.6023009999999</v>
      </c>
      <c r="S63" s="406"/>
      <c r="T63" s="406">
        <v>2489.44578</v>
      </c>
      <c r="U63" s="406"/>
      <c r="V63" s="406">
        <v>2553.4390819999999</v>
      </c>
      <c r="W63" s="406"/>
      <c r="X63" s="406">
        <v>2529.1341579999998</v>
      </c>
      <c r="Y63" s="406"/>
      <c r="Z63" s="406">
        <v>2556.6810540000001</v>
      </c>
      <c r="AA63" s="406"/>
      <c r="AB63" s="406">
        <v>2550.0802014849301</v>
      </c>
      <c r="AC63" s="278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</row>
    <row r="64" spans="1:64" s="266" customFormat="1" ht="14.25">
      <c r="A64" s="277"/>
      <c r="B64" s="404" t="s">
        <v>39</v>
      </c>
      <c r="C64" s="405"/>
      <c r="D64" s="406">
        <v>6891.5476589999998</v>
      </c>
      <c r="E64" s="406"/>
      <c r="F64" s="406">
        <v>6830.0614969999997</v>
      </c>
      <c r="G64" s="406"/>
      <c r="H64" s="406">
        <v>6739.9671820000003</v>
      </c>
      <c r="I64" s="406"/>
      <c r="J64" s="406">
        <v>6789.2045049999997</v>
      </c>
      <c r="K64" s="406"/>
      <c r="L64" s="406">
        <v>6718.8284100000001</v>
      </c>
      <c r="M64" s="406"/>
      <c r="N64" s="406">
        <v>6603.4633690000001</v>
      </c>
      <c r="O64" s="406"/>
      <c r="P64" s="406">
        <v>6565.8883459999997</v>
      </c>
      <c r="Q64" s="406"/>
      <c r="R64" s="406">
        <v>6558.7159819999997</v>
      </c>
      <c r="S64" s="406"/>
      <c r="T64" s="406">
        <v>6375.1987710000003</v>
      </c>
      <c r="U64" s="406"/>
      <c r="V64" s="406">
        <v>6367.5598600000003</v>
      </c>
      <c r="W64" s="406"/>
      <c r="X64" s="406">
        <v>6359.68253</v>
      </c>
      <c r="Y64" s="406"/>
      <c r="Z64" s="406">
        <v>6343.4130139999997</v>
      </c>
      <c r="AA64" s="406"/>
      <c r="AB64" s="406">
        <v>6594.0595375589</v>
      </c>
      <c r="AC64" s="278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</row>
    <row r="65" spans="1:64" s="266" customFormat="1" ht="14.25">
      <c r="A65" s="277"/>
      <c r="B65" s="404" t="s">
        <v>25</v>
      </c>
      <c r="C65" s="405"/>
      <c r="D65" s="406">
        <v>756.25342550062805</v>
      </c>
      <c r="E65" s="406"/>
      <c r="F65" s="406">
        <v>794.38062784767396</v>
      </c>
      <c r="G65" s="406"/>
      <c r="H65" s="406">
        <v>815.49939771713196</v>
      </c>
      <c r="I65" s="406"/>
      <c r="J65" s="406">
        <v>812.40820306779494</v>
      </c>
      <c r="K65" s="406"/>
      <c r="L65" s="406">
        <v>794.78846978315903</v>
      </c>
      <c r="M65" s="406"/>
      <c r="N65" s="406">
        <v>814.70604691988399</v>
      </c>
      <c r="O65" s="406"/>
      <c r="P65" s="406">
        <v>770.42166366304798</v>
      </c>
      <c r="Q65" s="406"/>
      <c r="R65" s="406">
        <v>810.563361727744</v>
      </c>
      <c r="S65" s="406"/>
      <c r="T65" s="406">
        <v>793.92843776374605</v>
      </c>
      <c r="U65" s="406"/>
      <c r="V65" s="406">
        <v>779.97450029437096</v>
      </c>
      <c r="W65" s="406"/>
      <c r="X65" s="406">
        <v>809.33416855963401</v>
      </c>
      <c r="Y65" s="406"/>
      <c r="Z65" s="406">
        <v>851.99830046377201</v>
      </c>
      <c r="AA65" s="406"/>
      <c r="AB65" s="406">
        <v>800.32448208962205</v>
      </c>
      <c r="AC65" s="278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</row>
    <row r="66" spans="1:64" s="266" customFormat="1" ht="14.25">
      <c r="A66" s="277"/>
      <c r="B66" s="404" t="s">
        <v>26</v>
      </c>
      <c r="C66" s="405"/>
      <c r="D66" s="406">
        <v>345.63705620534398</v>
      </c>
      <c r="E66" s="406"/>
      <c r="F66" s="406">
        <v>373.909832222376</v>
      </c>
      <c r="G66" s="406"/>
      <c r="H66" s="406">
        <v>389.56694658836898</v>
      </c>
      <c r="I66" s="406"/>
      <c r="J66" s="406">
        <v>373.266567995358</v>
      </c>
      <c r="K66" s="406"/>
      <c r="L66" s="406">
        <v>384.50472070795701</v>
      </c>
      <c r="M66" s="406"/>
      <c r="N66" s="406">
        <v>398.96210864268397</v>
      </c>
      <c r="O66" s="406"/>
      <c r="P66" s="406">
        <v>375.23250356228198</v>
      </c>
      <c r="Q66" s="406"/>
      <c r="R66" s="406">
        <v>397.49065009213098</v>
      </c>
      <c r="S66" s="406"/>
      <c r="T66" s="406">
        <v>382.68479046950102</v>
      </c>
      <c r="U66" s="406"/>
      <c r="V66" s="406">
        <v>384.84175045971602</v>
      </c>
      <c r="W66" s="406"/>
      <c r="X66" s="406">
        <v>403.90099126656003</v>
      </c>
      <c r="Y66" s="406"/>
      <c r="Z66" s="406">
        <v>392.858827619294</v>
      </c>
      <c r="AA66" s="406"/>
      <c r="AB66" s="406">
        <v>383.58360319380103</v>
      </c>
      <c r="AC66" s="278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</row>
    <row r="67" spans="1:64" s="266" customFormat="1" ht="14.25">
      <c r="A67" s="277"/>
      <c r="B67" s="404" t="s">
        <v>27</v>
      </c>
      <c r="C67" s="405"/>
      <c r="D67" s="406">
        <v>122.67327878098401</v>
      </c>
      <c r="E67" s="406"/>
      <c r="F67" s="406">
        <v>187.91329688203899</v>
      </c>
      <c r="G67" s="406"/>
      <c r="H67" s="406">
        <v>181.367127922815</v>
      </c>
      <c r="I67" s="406"/>
      <c r="J67" s="406">
        <v>207.982886851346</v>
      </c>
      <c r="K67" s="406"/>
      <c r="L67" s="406">
        <v>213.11690575047601</v>
      </c>
      <c r="M67" s="406"/>
      <c r="N67" s="406">
        <v>242.45388648958399</v>
      </c>
      <c r="O67" s="406"/>
      <c r="P67" s="406">
        <v>252.82048727396099</v>
      </c>
      <c r="Q67" s="406"/>
      <c r="R67" s="406">
        <v>248.23624843425799</v>
      </c>
      <c r="S67" s="406"/>
      <c r="T67" s="406">
        <v>207.63540187237899</v>
      </c>
      <c r="U67" s="406"/>
      <c r="V67" s="406">
        <v>171.74239287449001</v>
      </c>
      <c r="W67" s="406"/>
      <c r="X67" s="406">
        <v>143.81658484154599</v>
      </c>
      <c r="Y67" s="406"/>
      <c r="Z67" s="406">
        <v>226.4292572226</v>
      </c>
      <c r="AA67" s="406"/>
      <c r="AB67" s="406">
        <v>200.61970345312301</v>
      </c>
      <c r="AC67" s="278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</row>
    <row r="68" spans="1:64" s="266" customFormat="1" ht="14.25">
      <c r="A68" s="277"/>
      <c r="B68" s="404" t="s">
        <v>28</v>
      </c>
      <c r="C68" s="405"/>
      <c r="D68" s="406">
        <v>312.69546405684503</v>
      </c>
      <c r="E68" s="406"/>
      <c r="F68" s="406">
        <v>313.55249921251698</v>
      </c>
      <c r="G68" s="406"/>
      <c r="H68" s="406">
        <v>287.54611869569402</v>
      </c>
      <c r="I68" s="406"/>
      <c r="J68" s="406">
        <v>263.284874311983</v>
      </c>
      <c r="K68" s="406"/>
      <c r="L68" s="406">
        <v>255.70236650459501</v>
      </c>
      <c r="M68" s="406"/>
      <c r="N68" s="406">
        <v>258.17217444185701</v>
      </c>
      <c r="O68" s="406"/>
      <c r="P68" s="406">
        <v>271.15792611198998</v>
      </c>
      <c r="Q68" s="406"/>
      <c r="R68" s="406">
        <v>264.29822228624198</v>
      </c>
      <c r="S68" s="406"/>
      <c r="T68" s="406">
        <v>276.17576198452599</v>
      </c>
      <c r="U68" s="406"/>
      <c r="V68" s="406">
        <v>280.62240287157101</v>
      </c>
      <c r="W68" s="406"/>
      <c r="X68" s="406">
        <v>303.87922128079703</v>
      </c>
      <c r="Y68" s="406"/>
      <c r="Z68" s="406">
        <v>332.56768755204598</v>
      </c>
      <c r="AA68" s="406"/>
      <c r="AB68" s="406">
        <v>284.84144320266802</v>
      </c>
      <c r="AC68" s="27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</row>
    <row r="69" spans="1:64" s="266" customFormat="1" ht="14.25">
      <c r="A69" s="277"/>
      <c r="B69" s="404" t="s">
        <v>38</v>
      </c>
      <c r="C69" s="405"/>
      <c r="D69" s="406">
        <v>3527.4055559276399</v>
      </c>
      <c r="E69" s="406"/>
      <c r="F69" s="406">
        <v>3419.9891129298198</v>
      </c>
      <c r="G69" s="406"/>
      <c r="H69" s="406">
        <v>3390.0741589304398</v>
      </c>
      <c r="I69" s="406"/>
      <c r="J69" s="406">
        <v>3408.2156269300799</v>
      </c>
      <c r="K69" s="406"/>
      <c r="L69" s="406">
        <v>3468.87919292882</v>
      </c>
      <c r="M69" s="406"/>
      <c r="N69" s="406">
        <v>3549.20663092719</v>
      </c>
      <c r="O69" s="406"/>
      <c r="P69" s="406">
        <v>3440.0340469294301</v>
      </c>
      <c r="Q69" s="406"/>
      <c r="R69" s="406">
        <v>3464.9831579288998</v>
      </c>
      <c r="S69" s="406"/>
      <c r="T69" s="406">
        <v>3334.2180369315802</v>
      </c>
      <c r="U69" s="406"/>
      <c r="V69" s="406">
        <v>3234.1229589336599</v>
      </c>
      <c r="W69" s="406"/>
      <c r="X69" s="406">
        <v>3129.4205089358002</v>
      </c>
      <c r="Y69" s="406"/>
      <c r="Z69" s="406">
        <v>3254.4174509332302</v>
      </c>
      <c r="AA69" s="406"/>
      <c r="AB69" s="406">
        <v>3385.1203601963002</v>
      </c>
      <c r="AC69" s="278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</row>
    <row r="70" spans="1:64" s="266" customFormat="1" ht="14.25">
      <c r="A70" s="277"/>
      <c r="B70" s="404" t="s">
        <v>98</v>
      </c>
      <c r="C70" s="405"/>
      <c r="D70" s="406">
        <v>1443.6194193548399</v>
      </c>
      <c r="E70" s="406"/>
      <c r="F70" s="406">
        <v>1234.2938571428599</v>
      </c>
      <c r="G70" s="406"/>
      <c r="H70" s="406">
        <v>1423.80177419355</v>
      </c>
      <c r="I70" s="406"/>
      <c r="J70" s="406">
        <v>1222.7974666666701</v>
      </c>
      <c r="K70" s="406"/>
      <c r="L70" s="406">
        <v>1368.18509677419</v>
      </c>
      <c r="M70" s="406"/>
      <c r="N70" s="406">
        <v>1425.1849</v>
      </c>
      <c r="O70" s="406"/>
      <c r="P70" s="406">
        <v>1223.21270967742</v>
      </c>
      <c r="Q70" s="406"/>
      <c r="R70" s="406">
        <v>1439.3308387096799</v>
      </c>
      <c r="S70" s="406"/>
      <c r="T70" s="406">
        <v>1242.0909666666701</v>
      </c>
      <c r="U70" s="406"/>
      <c r="V70" s="406">
        <v>1375.31641935484</v>
      </c>
      <c r="W70" s="406"/>
      <c r="X70" s="406">
        <v>1362.05473333333</v>
      </c>
      <c r="Y70" s="406"/>
      <c r="Z70" s="406">
        <v>1281.6956129032301</v>
      </c>
      <c r="AA70" s="406"/>
      <c r="AB70" s="406">
        <v>1337.9016109589099</v>
      </c>
      <c r="AC70" s="278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</row>
    <row r="71" spans="1:64" s="266" customFormat="1" ht="14.25">
      <c r="A71" s="277"/>
      <c r="B71" s="404" t="s">
        <v>29</v>
      </c>
      <c r="C71" s="405"/>
      <c r="D71" s="407">
        <v>85.948290999999998</v>
      </c>
      <c r="E71" s="407"/>
      <c r="F71" s="407">
        <v>90.539897999999994</v>
      </c>
      <c r="G71" s="407"/>
      <c r="H71" s="407">
        <v>102.37717000000001</v>
      </c>
      <c r="I71" s="407"/>
      <c r="J71" s="407">
        <v>109.475025</v>
      </c>
      <c r="K71" s="407"/>
      <c r="L71" s="407">
        <v>104.44161800000001</v>
      </c>
      <c r="M71" s="407"/>
      <c r="N71" s="407">
        <v>102.993814</v>
      </c>
      <c r="O71" s="407"/>
      <c r="P71" s="407">
        <v>104.821191</v>
      </c>
      <c r="Q71" s="407"/>
      <c r="R71" s="407">
        <v>98.670996000000002</v>
      </c>
      <c r="S71" s="407"/>
      <c r="T71" s="407">
        <v>100.096642</v>
      </c>
      <c r="U71" s="407"/>
      <c r="V71" s="424">
        <v>101.144555</v>
      </c>
      <c r="W71" s="407"/>
      <c r="X71" s="424">
        <v>107.426115</v>
      </c>
      <c r="Y71" s="407"/>
      <c r="Z71" s="424">
        <v>104.942493</v>
      </c>
      <c r="AA71" s="407"/>
      <c r="AB71" s="424">
        <v>101.073150666667</v>
      </c>
      <c r="AC71" s="278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</row>
    <row r="72" spans="1:64" s="266" customFormat="1" ht="14.25">
      <c r="A72" s="277"/>
      <c r="B72" s="404" t="s">
        <v>119</v>
      </c>
      <c r="C72" s="405"/>
      <c r="D72" s="407">
        <v>65.400000000000006</v>
      </c>
      <c r="E72" s="407"/>
      <c r="F72" s="407">
        <v>65.400000000000006</v>
      </c>
      <c r="G72" s="407"/>
      <c r="H72" s="407">
        <v>65.400000000000006</v>
      </c>
      <c r="I72" s="407"/>
      <c r="J72" s="407">
        <v>65.400000000000006</v>
      </c>
      <c r="K72" s="407"/>
      <c r="L72" s="407">
        <v>65.400000000000006</v>
      </c>
      <c r="M72" s="407"/>
      <c r="N72" s="407">
        <v>65.400000000000006</v>
      </c>
      <c r="O72" s="407"/>
      <c r="P72" s="407">
        <v>65.400000000000006</v>
      </c>
      <c r="Q72" s="407"/>
      <c r="R72" s="407">
        <v>65.400000000000006</v>
      </c>
      <c r="S72" s="407"/>
      <c r="T72" s="407">
        <v>65.400000000000006</v>
      </c>
      <c r="U72" s="407"/>
      <c r="V72" s="407">
        <v>65.400000000000006</v>
      </c>
      <c r="W72" s="407"/>
      <c r="X72" s="407">
        <v>65.400000000000006</v>
      </c>
      <c r="Y72" s="407"/>
      <c r="Z72" s="407">
        <v>66.400000000000006</v>
      </c>
      <c r="AA72" s="407"/>
      <c r="AB72" s="407">
        <v>65.400000000000006</v>
      </c>
      <c r="AC72" s="278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</row>
    <row r="73" spans="1:64" s="266" customFormat="1" ht="14.25">
      <c r="A73" s="277"/>
      <c r="B73" s="404" t="s">
        <v>76</v>
      </c>
      <c r="C73" s="405"/>
      <c r="D73" s="407">
        <v>3.9489260000000002</v>
      </c>
      <c r="E73" s="407"/>
      <c r="F73" s="407">
        <v>4.1399780000000002</v>
      </c>
      <c r="G73" s="407"/>
      <c r="H73" s="407">
        <v>3.6385000000000001</v>
      </c>
      <c r="I73" s="407"/>
      <c r="J73" s="407">
        <v>4.0651999999999999</v>
      </c>
      <c r="K73" s="407"/>
      <c r="L73" s="407">
        <v>4.1819680000000004</v>
      </c>
      <c r="M73" s="407"/>
      <c r="N73" s="407">
        <v>4.1359719999999998</v>
      </c>
      <c r="O73" s="407"/>
      <c r="P73" s="407">
        <v>4.1641000000000004</v>
      </c>
      <c r="Q73" s="407"/>
      <c r="R73" s="407">
        <v>4.1853249999999997</v>
      </c>
      <c r="S73" s="407"/>
      <c r="T73" s="407">
        <v>3.6833999999999998</v>
      </c>
      <c r="U73" s="407"/>
      <c r="V73" s="407">
        <v>3.6032069999999998</v>
      </c>
      <c r="W73" s="407"/>
      <c r="X73" s="407">
        <v>3.3698999999999999</v>
      </c>
      <c r="Y73" s="407"/>
      <c r="Z73" s="407">
        <v>3.2268379999999999</v>
      </c>
      <c r="AA73" s="407"/>
      <c r="AB73" s="407">
        <v>3.8619428333333299</v>
      </c>
      <c r="AC73" s="278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</row>
    <row r="74" spans="1:64" s="266" customFormat="1" ht="14.25">
      <c r="A74" s="277"/>
      <c r="B74" s="404" t="s">
        <v>99</v>
      </c>
      <c r="C74" s="405"/>
      <c r="D74" s="408">
        <v>12.1477</v>
      </c>
      <c r="E74" s="408"/>
      <c r="F74" s="408">
        <v>12.0726</v>
      </c>
      <c r="G74" s="408"/>
      <c r="H74" s="408">
        <v>12.017300000000001</v>
      </c>
      <c r="I74" s="408"/>
      <c r="J74" s="408">
        <v>11.7584</v>
      </c>
      <c r="K74" s="408"/>
      <c r="L74" s="408">
        <v>11.6479</v>
      </c>
      <c r="M74" s="408"/>
      <c r="N74" s="408">
        <v>11.792</v>
      </c>
      <c r="O74" s="408"/>
      <c r="P74" s="408">
        <v>11.676</v>
      </c>
      <c r="Q74" s="408"/>
      <c r="R74" s="408">
        <v>12.1707</v>
      </c>
      <c r="S74" s="408"/>
      <c r="T74" s="408">
        <v>12.9291</v>
      </c>
      <c r="U74" s="406"/>
      <c r="V74" s="408">
        <v>13.4808</v>
      </c>
      <c r="W74" s="408"/>
      <c r="X74" s="408">
        <v>13.6358</v>
      </c>
      <c r="Y74" s="408"/>
      <c r="Z74" s="408">
        <v>13.7516</v>
      </c>
      <c r="AA74" s="406"/>
      <c r="AB74" s="408">
        <v>12.423325</v>
      </c>
      <c r="AC74" s="278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</row>
    <row r="75" spans="1:64" s="266" customFormat="1" ht="14.25">
      <c r="A75" s="277"/>
      <c r="B75" s="404" t="s">
        <v>100</v>
      </c>
      <c r="C75" s="405"/>
      <c r="D75" s="406">
        <v>811.40327529602803</v>
      </c>
      <c r="E75" s="406"/>
      <c r="F75" s="406">
        <v>685.31171137586</v>
      </c>
      <c r="G75" s="406"/>
      <c r="H75" s="406">
        <v>792.454512947794</v>
      </c>
      <c r="I75" s="406"/>
      <c r="J75" s="406">
        <v>797.487936075888</v>
      </c>
      <c r="K75" s="406"/>
      <c r="L75" s="406">
        <v>857.43275986473805</v>
      </c>
      <c r="M75" s="406"/>
      <c r="N75" s="406">
        <v>831.69720201087705</v>
      </c>
      <c r="O75" s="406"/>
      <c r="P75" s="406">
        <v>735.36653770686996</v>
      </c>
      <c r="Q75" s="406"/>
      <c r="R75" s="406">
        <v>759.55031021914397</v>
      </c>
      <c r="S75" s="406"/>
      <c r="T75" s="406">
        <v>759.371963615612</v>
      </c>
      <c r="U75" s="406"/>
      <c r="V75" s="409">
        <v>872.05695032022197</v>
      </c>
      <c r="W75" s="409"/>
      <c r="X75" s="409">
        <v>847.41993550211305</v>
      </c>
      <c r="Y75" s="409"/>
      <c r="Z75" s="409">
        <v>779.29244355825301</v>
      </c>
      <c r="AA75" s="406"/>
      <c r="AB75" s="406">
        <v>794.80082060811901</v>
      </c>
      <c r="AC75" s="278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</row>
    <row r="76" spans="1:64" s="266" customFormat="1" ht="14.25">
      <c r="A76" s="277"/>
      <c r="B76" s="404" t="s">
        <v>70</v>
      </c>
      <c r="C76" s="405"/>
      <c r="D76" s="409">
        <v>8.7982250000000004</v>
      </c>
      <c r="E76" s="409"/>
      <c r="F76" s="409">
        <v>12.464401000000001</v>
      </c>
      <c r="G76" s="409"/>
      <c r="H76" s="409">
        <v>8.1528370000000105</v>
      </c>
      <c r="I76" s="409"/>
      <c r="J76" s="409">
        <v>5.2460870000000002</v>
      </c>
      <c r="K76" s="409"/>
      <c r="L76" s="409">
        <v>12.895935</v>
      </c>
      <c r="M76" s="406"/>
      <c r="N76" s="409">
        <v>9.7536248420000007</v>
      </c>
      <c r="O76" s="406"/>
      <c r="P76" s="409">
        <v>12.755713999999999</v>
      </c>
      <c r="Q76" s="406"/>
      <c r="R76" s="409">
        <v>3.9725250000000001</v>
      </c>
      <c r="S76" s="406"/>
      <c r="T76" s="406">
        <v>5.4176830000000002</v>
      </c>
      <c r="U76" s="406"/>
      <c r="V76" s="409">
        <v>8.7360360000000004</v>
      </c>
      <c r="W76" s="409"/>
      <c r="X76" s="409">
        <v>5.8263780000000001</v>
      </c>
      <c r="Y76" s="409"/>
      <c r="Z76" s="409">
        <v>4.2677079999999998</v>
      </c>
      <c r="AA76" s="406"/>
      <c r="AB76" s="409">
        <v>8.1905961535000014</v>
      </c>
      <c r="AC76" s="278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</row>
    <row r="77" spans="1:64" s="270" customFormat="1" ht="12.75" customHeight="1">
      <c r="A77" s="279"/>
      <c r="B77" s="547" t="s">
        <v>101</v>
      </c>
      <c r="C77" s="547"/>
      <c r="D77" s="547"/>
      <c r="E77" s="547"/>
      <c r="F77" s="547"/>
      <c r="G77" s="547"/>
      <c r="H77" s="547"/>
      <c r="I77" s="547"/>
      <c r="J77" s="547"/>
      <c r="K77" s="547"/>
      <c r="L77" s="547"/>
      <c r="M77" s="547"/>
      <c r="N77" s="547"/>
      <c r="O77" s="547"/>
      <c r="P77" s="547"/>
      <c r="Q77" s="547"/>
      <c r="R77" s="547"/>
      <c r="S77" s="547"/>
      <c r="T77" s="547"/>
      <c r="U77" s="547"/>
      <c r="V77" s="547"/>
      <c r="W77" s="547"/>
      <c r="X77" s="547"/>
      <c r="Y77" s="547"/>
      <c r="Z77" s="547"/>
      <c r="AA77" s="547"/>
      <c r="AB77" s="547"/>
      <c r="AC77" s="276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</row>
    <row r="79" spans="1:64">
      <c r="V79" s="280"/>
    </row>
    <row r="83" spans="29:29">
      <c r="AC83" s="257"/>
    </row>
    <row r="84" spans="29:29">
      <c r="AC84" s="257"/>
    </row>
    <row r="85" spans="29:29">
      <c r="AC85" s="257"/>
    </row>
    <row r="86" spans="29:29">
      <c r="AC86" s="257"/>
    </row>
    <row r="87" spans="29:29">
      <c r="AC87" s="257"/>
    </row>
    <row r="88" spans="29:29">
      <c r="AC88" s="257"/>
    </row>
    <row r="89" spans="29:29">
      <c r="AC89" s="257"/>
    </row>
    <row r="90" spans="29:29">
      <c r="AC90" s="257"/>
    </row>
    <row r="91" spans="29:29">
      <c r="AC91" s="257"/>
    </row>
  </sheetData>
  <mergeCells count="82">
    <mergeCell ref="B77:AB77"/>
    <mergeCell ref="Y61:Z61"/>
    <mergeCell ref="U62:V62"/>
    <mergeCell ref="W62:X62"/>
    <mergeCell ref="Y62:Z62"/>
    <mergeCell ref="M61:N61"/>
    <mergeCell ref="AA61:AB61"/>
    <mergeCell ref="C62:D62"/>
    <mergeCell ref="E62:F62"/>
    <mergeCell ref="G62:H62"/>
    <mergeCell ref="I62:J62"/>
    <mergeCell ref="K62:L62"/>
    <mergeCell ref="M62:N62"/>
    <mergeCell ref="O62:P62"/>
    <mergeCell ref="Q62:R62"/>
    <mergeCell ref="S62:T62"/>
    <mergeCell ref="O61:P61"/>
    <mergeCell ref="Q61:R61"/>
    <mergeCell ref="S61:T61"/>
    <mergeCell ref="U61:V61"/>
    <mergeCell ref="W61:X61"/>
    <mergeCell ref="C61:D61"/>
    <mergeCell ref="E61:F61"/>
    <mergeCell ref="G61:H61"/>
    <mergeCell ref="I61:J61"/>
    <mergeCell ref="K61:L61"/>
    <mergeCell ref="B59:AB59"/>
    <mergeCell ref="C60:D60"/>
    <mergeCell ref="E60:F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S7:T7"/>
    <mergeCell ref="U7:V7"/>
    <mergeCell ref="W7:X7"/>
    <mergeCell ref="Y7:Z7"/>
    <mergeCell ref="AA7:AB7"/>
    <mergeCell ref="B56:AB56"/>
    <mergeCell ref="Y5:Z5"/>
    <mergeCell ref="AA5:AB5"/>
    <mergeCell ref="C7:D7"/>
    <mergeCell ref="E7:F7"/>
    <mergeCell ref="G7:H7"/>
    <mergeCell ref="I7:J7"/>
    <mergeCell ref="K7:L7"/>
    <mergeCell ref="M7:N7"/>
    <mergeCell ref="O7:P7"/>
    <mergeCell ref="Q7:R7"/>
    <mergeCell ref="M5:N5"/>
    <mergeCell ref="O5:P5"/>
    <mergeCell ref="Q5:R5"/>
    <mergeCell ref="S5:T5"/>
    <mergeCell ref="U5:V5"/>
    <mergeCell ref="W5:X5"/>
    <mergeCell ref="S4:T4"/>
    <mergeCell ref="U4:V4"/>
    <mergeCell ref="W4:X4"/>
    <mergeCell ref="Y4:Z4"/>
    <mergeCell ref="C5:D5"/>
    <mergeCell ref="E5:F5"/>
    <mergeCell ref="G5:H5"/>
    <mergeCell ref="I5:J5"/>
    <mergeCell ref="K5:L5"/>
    <mergeCell ref="B2:AB2"/>
    <mergeCell ref="B3:AB3"/>
    <mergeCell ref="C4:D4"/>
    <mergeCell ref="E4:F4"/>
    <mergeCell ref="G4:H4"/>
    <mergeCell ref="I4:J4"/>
    <mergeCell ref="K4:L4"/>
    <mergeCell ref="M4:N4"/>
    <mergeCell ref="O4:P4"/>
    <mergeCell ref="Q4:R4"/>
    <mergeCell ref="AA4:AB4"/>
  </mergeCells>
  <pageMargins left="0.23622047244094491" right="0.23622047244094491" top="0.35433070866141736" bottom="0.35433070866141736" header="0.31496062992125984" footer="0.31496062992125984"/>
  <pageSetup scale="58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92"/>
  <sheetViews>
    <sheetView showGridLines="0" tabSelected="1" topLeftCell="B1" zoomScale="75" zoomScaleNormal="75" workbookViewId="0">
      <pane xSplit="1" ySplit="6" topLeftCell="C7" activePane="bottomRight" state="frozen"/>
      <selection activeCell="B1" sqref="B1"/>
      <selection pane="topRight" activeCell="C1" sqref="C1"/>
      <selection pane="bottomLeft" activeCell="B7" sqref="B7"/>
      <selection pane="bottomRight" activeCell="C7" sqref="C7"/>
    </sheetView>
  </sheetViews>
  <sheetFormatPr baseColWidth="10" defaultColWidth="9.140625" defaultRowHeight="12.75"/>
  <cols>
    <col min="1" max="1" width="3.28515625" style="257" hidden="1" customWidth="1"/>
    <col min="2" max="2" width="47.28515625" style="257" customWidth="1"/>
    <col min="3" max="14" width="15.140625" style="257" customWidth="1"/>
    <col min="15" max="15" width="16.140625" style="257" customWidth="1"/>
    <col min="16" max="16" width="11.7109375" style="260" customWidth="1"/>
    <col min="52" max="16384" width="9.140625" style="257"/>
  </cols>
  <sheetData>
    <row r="1" spans="1:51">
      <c r="B1" s="258"/>
      <c r="C1" s="258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8"/>
    </row>
    <row r="2" spans="1:51">
      <c r="B2" s="531" t="s">
        <v>130</v>
      </c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261"/>
    </row>
    <row r="3" spans="1:51" ht="13.5" thickBot="1">
      <c r="B3" s="532" t="s">
        <v>57</v>
      </c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532"/>
      <c r="N3" s="532"/>
      <c r="O3" s="532"/>
      <c r="P3" s="262"/>
    </row>
    <row r="4" spans="1:51">
      <c r="B4" s="349"/>
      <c r="C4" s="430"/>
      <c r="D4" s="430"/>
      <c r="E4" s="430"/>
      <c r="F4" s="430"/>
      <c r="G4" s="430"/>
      <c r="H4" s="430"/>
      <c r="I4" s="430"/>
      <c r="J4" s="430"/>
      <c r="K4" s="430"/>
      <c r="L4" s="430"/>
      <c r="M4" s="430"/>
      <c r="N4" s="430"/>
      <c r="O4" s="430"/>
    </row>
    <row r="5" spans="1:51" ht="12.75" customHeight="1">
      <c r="B5" s="350">
        <v>2012</v>
      </c>
      <c r="C5" s="427" t="s">
        <v>4</v>
      </c>
      <c r="D5" s="427" t="s">
        <v>5</v>
      </c>
      <c r="E5" s="427" t="s">
        <v>6</v>
      </c>
      <c r="F5" s="427" t="s">
        <v>7</v>
      </c>
      <c r="G5" s="427" t="s">
        <v>8</v>
      </c>
      <c r="H5" s="427" t="s">
        <v>9</v>
      </c>
      <c r="I5" s="427" t="s">
        <v>10</v>
      </c>
      <c r="J5" s="429" t="s">
        <v>11</v>
      </c>
      <c r="K5" s="429" t="s">
        <v>12</v>
      </c>
      <c r="L5" s="427" t="s">
        <v>0</v>
      </c>
      <c r="M5" s="427" t="s">
        <v>1</v>
      </c>
      <c r="N5" s="427" t="s">
        <v>2</v>
      </c>
      <c r="O5" s="427" t="s">
        <v>15</v>
      </c>
    </row>
    <row r="6" spans="1:51">
      <c r="B6" s="350"/>
      <c r="C6" s="425"/>
      <c r="D6" s="425"/>
      <c r="E6" s="425"/>
      <c r="F6" s="425"/>
      <c r="G6" s="425"/>
      <c r="H6" s="425"/>
      <c r="I6" s="425"/>
      <c r="J6" s="426"/>
      <c r="K6" s="426"/>
      <c r="L6" s="425"/>
      <c r="M6" s="425"/>
      <c r="N6" s="425"/>
      <c r="O6" s="425"/>
    </row>
    <row r="7" spans="1:51" ht="13.5" thickBot="1">
      <c r="B7" s="352"/>
      <c r="C7" s="428"/>
      <c r="D7" s="428"/>
      <c r="E7" s="428"/>
      <c r="F7" s="428"/>
      <c r="G7" s="428"/>
      <c r="H7" s="428"/>
      <c r="I7" s="428"/>
      <c r="J7" s="428"/>
      <c r="K7" s="428"/>
      <c r="L7" s="428"/>
      <c r="M7" s="428"/>
      <c r="N7" s="428"/>
      <c r="O7" s="428"/>
    </row>
    <row r="8" spans="1:51" s="265" customFormat="1">
      <c r="A8" s="263"/>
      <c r="B8" s="353" t="s">
        <v>16</v>
      </c>
      <c r="C8" s="355">
        <f>C9+C12</f>
        <v>163151.27387199999</v>
      </c>
      <c r="D8" s="355">
        <f t="shared" ref="D8:N8" si="0">D9+D12</f>
        <v>146107.55798500002</v>
      </c>
      <c r="E8" s="355">
        <f t="shared" si="0"/>
        <v>157755.120818</v>
      </c>
      <c r="F8" s="355">
        <f t="shared" si="0"/>
        <v>168058.04591699998</v>
      </c>
      <c r="G8" s="355">
        <f t="shared" si="0"/>
        <v>0</v>
      </c>
      <c r="H8" s="355">
        <f t="shared" si="0"/>
        <v>0</v>
      </c>
      <c r="I8" s="355">
        <f t="shared" si="0"/>
        <v>0</v>
      </c>
      <c r="J8" s="355">
        <f t="shared" si="0"/>
        <v>0</v>
      </c>
      <c r="K8" s="355">
        <f t="shared" si="0"/>
        <v>0</v>
      </c>
      <c r="L8" s="355">
        <f t="shared" si="0"/>
        <v>0</v>
      </c>
      <c r="M8" s="355">
        <f t="shared" si="0"/>
        <v>0</v>
      </c>
      <c r="N8" s="355">
        <f t="shared" si="0"/>
        <v>0</v>
      </c>
      <c r="O8" s="355">
        <f>SUM(C8:N8)</f>
        <v>635071.99859199999</v>
      </c>
      <c r="P8" s="264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</row>
    <row r="9" spans="1:51" s="268" customFormat="1">
      <c r="A9" s="266"/>
      <c r="B9" s="358" t="s">
        <v>17</v>
      </c>
      <c r="C9" s="360">
        <f>+C10+C11</f>
        <v>142169.260351</v>
      </c>
      <c r="D9" s="360">
        <f t="shared" ref="D9:N9" si="1">+D10+D11</f>
        <v>130559.96087800001</v>
      </c>
      <c r="E9" s="360">
        <f t="shared" si="1"/>
        <v>137856.040954</v>
      </c>
      <c r="F9" s="360">
        <f t="shared" si="1"/>
        <v>145332.68297999998</v>
      </c>
      <c r="G9" s="360">
        <f t="shared" si="1"/>
        <v>0</v>
      </c>
      <c r="H9" s="360">
        <f t="shared" si="1"/>
        <v>0</v>
      </c>
      <c r="I9" s="360">
        <f t="shared" si="1"/>
        <v>0</v>
      </c>
      <c r="J9" s="360">
        <f t="shared" si="1"/>
        <v>0</v>
      </c>
      <c r="K9" s="360">
        <f t="shared" si="1"/>
        <v>0</v>
      </c>
      <c r="L9" s="360">
        <f t="shared" si="1"/>
        <v>0</v>
      </c>
      <c r="M9" s="360">
        <f t="shared" si="1"/>
        <v>0</v>
      </c>
      <c r="N9" s="360">
        <f t="shared" si="1"/>
        <v>0</v>
      </c>
      <c r="O9" s="360">
        <f t="shared" ref="O9:O22" si="2">SUM(C9:N9)</f>
        <v>555917.94516299991</v>
      </c>
      <c r="P9" s="267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</row>
    <row r="10" spans="1:51" s="268" customFormat="1">
      <c r="A10" s="266"/>
      <c r="B10" s="363" t="s">
        <v>77</v>
      </c>
      <c r="C10" s="360">
        <v>59633.413609000003</v>
      </c>
      <c r="D10" s="360">
        <v>57257.886590000002</v>
      </c>
      <c r="E10" s="360">
        <v>61224.669693999997</v>
      </c>
      <c r="F10" s="360">
        <v>67235.125977000003</v>
      </c>
      <c r="G10" s="360">
        <v>0</v>
      </c>
      <c r="H10" s="360">
        <v>0</v>
      </c>
      <c r="I10" s="360">
        <v>0</v>
      </c>
      <c r="J10" s="360">
        <v>0</v>
      </c>
      <c r="K10" s="360">
        <v>0</v>
      </c>
      <c r="L10" s="360">
        <v>0</v>
      </c>
      <c r="M10" s="360">
        <v>0</v>
      </c>
      <c r="N10" s="360">
        <v>0</v>
      </c>
      <c r="O10" s="305">
        <f t="shared" si="2"/>
        <v>245351.09587000002</v>
      </c>
      <c r="P10" s="267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</row>
    <row r="11" spans="1:51" s="268" customFormat="1" ht="14.25">
      <c r="A11" s="266"/>
      <c r="B11" s="363" t="s">
        <v>78</v>
      </c>
      <c r="C11" s="360">
        <v>82535.846741999994</v>
      </c>
      <c r="D11" s="360">
        <v>73302.074288000003</v>
      </c>
      <c r="E11" s="360">
        <v>76631.37126</v>
      </c>
      <c r="F11" s="360">
        <v>78097.557002999994</v>
      </c>
      <c r="G11" s="360">
        <v>0</v>
      </c>
      <c r="H11" s="360">
        <v>0</v>
      </c>
      <c r="I11" s="360">
        <v>0</v>
      </c>
      <c r="J11" s="360">
        <v>0</v>
      </c>
      <c r="K11" s="360">
        <v>0</v>
      </c>
      <c r="L11" s="360">
        <v>0</v>
      </c>
      <c r="M11" s="360">
        <v>0</v>
      </c>
      <c r="N11" s="360">
        <v>0</v>
      </c>
      <c r="O11" s="305">
        <f t="shared" si="2"/>
        <v>310566.84929300001</v>
      </c>
      <c r="P11" s="267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1" s="268" customFormat="1" ht="14.25">
      <c r="A12" s="266"/>
      <c r="B12" s="358" t="s">
        <v>79</v>
      </c>
      <c r="C12" s="360">
        <v>20982.013521000001</v>
      </c>
      <c r="D12" s="360">
        <v>15547.597107</v>
      </c>
      <c r="E12" s="360">
        <v>19899.079863999999</v>
      </c>
      <c r="F12" s="360">
        <v>22725.362937000002</v>
      </c>
      <c r="G12" s="360">
        <v>0</v>
      </c>
      <c r="H12" s="360">
        <v>0</v>
      </c>
      <c r="I12" s="360">
        <v>0</v>
      </c>
      <c r="J12" s="360">
        <v>0</v>
      </c>
      <c r="K12" s="360">
        <v>0</v>
      </c>
      <c r="L12" s="360">
        <v>0</v>
      </c>
      <c r="M12" s="360">
        <v>0</v>
      </c>
      <c r="N12" s="360">
        <v>0</v>
      </c>
      <c r="O12" s="305">
        <f t="shared" si="2"/>
        <v>79154.053429000007</v>
      </c>
      <c r="P12" s="267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1" s="268" customFormat="1" ht="6.75" customHeight="1">
      <c r="A13" s="257"/>
      <c r="B13" s="365"/>
      <c r="C13" s="431"/>
      <c r="D13" s="431"/>
      <c r="E13" s="431"/>
      <c r="F13" s="431"/>
      <c r="G13" s="431"/>
      <c r="H13" s="431"/>
      <c r="I13" s="431"/>
      <c r="J13" s="431"/>
      <c r="K13" s="431"/>
      <c r="L13" s="431"/>
      <c r="M13" s="431"/>
      <c r="N13" s="431"/>
      <c r="O13" s="432"/>
      <c r="P13" s="372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</row>
    <row r="14" spans="1:51" s="265" customFormat="1" ht="14.25">
      <c r="A14" s="263"/>
      <c r="B14" s="353" t="s">
        <v>80</v>
      </c>
      <c r="C14" s="355">
        <f>+SUM(C15:C18)</f>
        <v>21881.920532</v>
      </c>
      <c r="D14" s="355">
        <f t="shared" ref="D14:N14" si="3">+SUM(D15:D18)</f>
        <v>8435.7660329999999</v>
      </c>
      <c r="E14" s="355">
        <f t="shared" si="3"/>
        <v>18988.435761999997</v>
      </c>
      <c r="F14" s="355">
        <f t="shared" si="3"/>
        <v>8110.7785169999997</v>
      </c>
      <c r="G14" s="355">
        <f t="shared" si="3"/>
        <v>0</v>
      </c>
      <c r="H14" s="355">
        <f t="shared" si="3"/>
        <v>0</v>
      </c>
      <c r="I14" s="355">
        <f t="shared" si="3"/>
        <v>0</v>
      </c>
      <c r="J14" s="355">
        <f t="shared" si="3"/>
        <v>0</v>
      </c>
      <c r="K14" s="355">
        <f t="shared" si="3"/>
        <v>0</v>
      </c>
      <c r="L14" s="355">
        <f t="shared" si="3"/>
        <v>0</v>
      </c>
      <c r="M14" s="355">
        <f t="shared" si="3"/>
        <v>0</v>
      </c>
      <c r="N14" s="355">
        <f t="shared" si="3"/>
        <v>0</v>
      </c>
      <c r="O14" s="355">
        <f t="shared" si="2"/>
        <v>57416.900843999996</v>
      </c>
      <c r="P14" s="26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</row>
    <row r="15" spans="1:51" s="268" customFormat="1">
      <c r="A15" s="266"/>
      <c r="B15" s="358" t="s">
        <v>34</v>
      </c>
      <c r="C15" s="360">
        <v>6424.9910450000007</v>
      </c>
      <c r="D15" s="360">
        <v>6094.4083539999992</v>
      </c>
      <c r="E15" s="360">
        <v>5314.6421380000002</v>
      </c>
      <c r="F15" s="360">
        <v>5389.0954390000006</v>
      </c>
      <c r="G15" s="360">
        <v>0</v>
      </c>
      <c r="H15" s="360">
        <v>0</v>
      </c>
      <c r="I15" s="360">
        <v>0</v>
      </c>
      <c r="J15" s="360">
        <v>0</v>
      </c>
      <c r="K15" s="360">
        <v>0</v>
      </c>
      <c r="L15" s="360">
        <v>0</v>
      </c>
      <c r="M15" s="360">
        <v>0</v>
      </c>
      <c r="N15" s="360">
        <v>0</v>
      </c>
      <c r="O15" s="305">
        <f t="shared" si="2"/>
        <v>23223.136976000002</v>
      </c>
      <c r="P15" s="269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</row>
    <row r="16" spans="1:51" s="268" customFormat="1">
      <c r="A16" s="266"/>
      <c r="B16" s="358" t="s">
        <v>13</v>
      </c>
      <c r="C16" s="360">
        <v>0</v>
      </c>
      <c r="D16" s="360">
        <v>0</v>
      </c>
      <c r="E16" s="360">
        <v>0</v>
      </c>
      <c r="F16" s="360">
        <v>0</v>
      </c>
      <c r="G16" s="360">
        <v>0</v>
      </c>
      <c r="H16" s="360">
        <v>0</v>
      </c>
      <c r="I16" s="360">
        <v>0</v>
      </c>
      <c r="J16" s="360">
        <v>0</v>
      </c>
      <c r="K16" s="360">
        <v>0</v>
      </c>
      <c r="L16" s="360">
        <v>0</v>
      </c>
      <c r="M16" s="360">
        <v>0</v>
      </c>
      <c r="N16" s="360">
        <v>0</v>
      </c>
      <c r="O16" s="305">
        <f t="shared" si="2"/>
        <v>0</v>
      </c>
      <c r="P16" s="269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</row>
    <row r="17" spans="1:51" s="268" customFormat="1" ht="14.25">
      <c r="A17" s="266"/>
      <c r="B17" s="358" t="s">
        <v>115</v>
      </c>
      <c r="C17" s="360">
        <v>15292.511731000001</v>
      </c>
      <c r="D17" s="360">
        <v>2213.4743520000002</v>
      </c>
      <c r="E17" s="360">
        <v>13455.827125</v>
      </c>
      <c r="F17" s="360">
        <v>2527.8693029999999</v>
      </c>
      <c r="G17" s="360">
        <v>0</v>
      </c>
      <c r="H17" s="360">
        <v>0</v>
      </c>
      <c r="I17" s="360">
        <v>0</v>
      </c>
      <c r="J17" s="360">
        <v>0</v>
      </c>
      <c r="K17" s="360">
        <v>0</v>
      </c>
      <c r="L17" s="360">
        <v>0</v>
      </c>
      <c r="M17" s="360">
        <v>0</v>
      </c>
      <c r="N17" s="360">
        <v>0</v>
      </c>
      <c r="O17" s="305">
        <f t="shared" si="2"/>
        <v>33489.682510999999</v>
      </c>
      <c r="P17" s="269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</row>
    <row r="18" spans="1:51" s="268" customFormat="1" ht="14.25">
      <c r="A18" s="266"/>
      <c r="B18" s="358" t="s">
        <v>121</v>
      </c>
      <c r="C18" s="360">
        <v>164.417756</v>
      </c>
      <c r="D18" s="360">
        <v>127.88332699999999</v>
      </c>
      <c r="E18" s="360">
        <v>217.966499</v>
      </c>
      <c r="F18" s="360">
        <v>193.81377499999999</v>
      </c>
      <c r="G18" s="360">
        <v>0</v>
      </c>
      <c r="H18" s="360">
        <v>0</v>
      </c>
      <c r="I18" s="360">
        <v>0</v>
      </c>
      <c r="J18" s="360">
        <v>0</v>
      </c>
      <c r="K18" s="360">
        <v>0</v>
      </c>
      <c r="L18" s="360">
        <v>0</v>
      </c>
      <c r="M18" s="360">
        <v>0</v>
      </c>
      <c r="N18" s="360">
        <v>0</v>
      </c>
      <c r="O18" s="305">
        <f t="shared" si="2"/>
        <v>704.08135700000003</v>
      </c>
      <c r="P18" s="269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</row>
    <row r="19" spans="1:51" s="268" customFormat="1" ht="6.75" customHeight="1">
      <c r="A19" s="266"/>
      <c r="B19" s="365"/>
      <c r="C19" s="433"/>
      <c r="D19" s="433"/>
      <c r="E19" s="433"/>
      <c r="F19" s="433"/>
      <c r="G19" s="433"/>
      <c r="H19" s="433"/>
      <c r="I19" s="433"/>
      <c r="J19" s="433"/>
      <c r="K19" s="433"/>
      <c r="L19" s="433"/>
      <c r="M19" s="433"/>
      <c r="N19" s="433"/>
      <c r="O19" s="432"/>
      <c r="P19" s="372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</row>
    <row r="20" spans="1:51" s="268" customFormat="1">
      <c r="A20" s="266"/>
      <c r="B20" s="373" t="s">
        <v>40</v>
      </c>
      <c r="C20" s="360">
        <v>853.94915200000014</v>
      </c>
      <c r="D20" s="360">
        <v>-897.30681599999969</v>
      </c>
      <c r="E20" s="360">
        <v>-1457.1020050000002</v>
      </c>
      <c r="F20" s="360">
        <v>1495.4963950000001</v>
      </c>
      <c r="G20" s="360">
        <v>0</v>
      </c>
      <c r="H20" s="360">
        <v>0</v>
      </c>
      <c r="I20" s="360">
        <v>0</v>
      </c>
      <c r="J20" s="360">
        <v>0</v>
      </c>
      <c r="K20" s="360">
        <v>0</v>
      </c>
      <c r="L20" s="360">
        <v>0</v>
      </c>
      <c r="M20" s="360">
        <v>0</v>
      </c>
      <c r="N20" s="360">
        <v>0</v>
      </c>
      <c r="O20" s="434">
        <f t="shared" si="2"/>
        <v>-4.9632739999997284</v>
      </c>
      <c r="P20" s="267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</row>
    <row r="21" spans="1:51" s="268" customFormat="1" ht="6.75" customHeight="1">
      <c r="A21" s="266"/>
      <c r="B21" s="374"/>
      <c r="C21" s="433"/>
      <c r="D21" s="433"/>
      <c r="E21" s="433"/>
      <c r="F21" s="433"/>
      <c r="G21" s="433"/>
      <c r="H21" s="433"/>
      <c r="I21" s="433"/>
      <c r="J21" s="433"/>
      <c r="K21" s="433"/>
      <c r="L21" s="433"/>
      <c r="M21" s="433"/>
      <c r="N21" s="433"/>
      <c r="O21" s="432"/>
      <c r="P21" s="267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</row>
    <row r="22" spans="1:51" s="268" customFormat="1">
      <c r="A22" s="266"/>
      <c r="B22" s="377" t="s">
        <v>82</v>
      </c>
      <c r="C22" s="360">
        <v>29676.091331</v>
      </c>
      <c r="D22" s="360">
        <v>33014.628129999997</v>
      </c>
      <c r="E22" s="360">
        <v>27275.528906</v>
      </c>
      <c r="F22" s="360">
        <v>38739.233033999997</v>
      </c>
      <c r="G22" s="360">
        <v>0</v>
      </c>
      <c r="H22" s="360">
        <v>0</v>
      </c>
      <c r="I22" s="360">
        <v>0</v>
      </c>
      <c r="J22" s="360">
        <v>0</v>
      </c>
      <c r="K22" s="360">
        <v>0</v>
      </c>
      <c r="L22" s="360">
        <v>0</v>
      </c>
      <c r="M22" s="360">
        <v>0</v>
      </c>
      <c r="N22" s="360">
        <v>0</v>
      </c>
      <c r="O22" s="305">
        <f t="shared" si="2"/>
        <v>128705.481401</v>
      </c>
      <c r="P22" s="267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</row>
    <row r="23" spans="1:51" s="268" customFormat="1" ht="6.75" customHeight="1">
      <c r="A23" s="257"/>
      <c r="B23" s="365"/>
      <c r="C23" s="435"/>
      <c r="D23" s="435"/>
      <c r="E23" s="435"/>
      <c r="F23" s="435"/>
      <c r="G23" s="435"/>
      <c r="H23" s="435"/>
      <c r="I23" s="435"/>
      <c r="J23" s="435"/>
      <c r="K23" s="435"/>
      <c r="L23" s="435"/>
      <c r="M23" s="435"/>
      <c r="N23" s="435"/>
      <c r="O23" s="436"/>
      <c r="P23" s="372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</row>
    <row r="24" spans="1:51" s="265" customFormat="1" ht="14.25">
      <c r="A24" s="263"/>
      <c r="B24" s="379" t="s">
        <v>122</v>
      </c>
      <c r="C24" s="443">
        <f>C8-C14-C20-C22</f>
        <v>110739.31285700001</v>
      </c>
      <c r="D24" s="444">
        <f t="shared" ref="D24:O24" si="4">D8-D14-D20-D22</f>
        <v>105554.47063800003</v>
      </c>
      <c r="E24" s="444">
        <f t="shared" si="4"/>
        <v>112948.25815499999</v>
      </c>
      <c r="F24" s="444">
        <f t="shared" si="4"/>
        <v>119712.53797099998</v>
      </c>
      <c r="G24" s="443">
        <f t="shared" si="4"/>
        <v>0</v>
      </c>
      <c r="H24" s="444">
        <f t="shared" si="4"/>
        <v>0</v>
      </c>
      <c r="I24" s="444">
        <f t="shared" si="4"/>
        <v>0</v>
      </c>
      <c r="J24" s="444">
        <f t="shared" si="4"/>
        <v>0</v>
      </c>
      <c r="K24" s="444">
        <f t="shared" si="4"/>
        <v>0</v>
      </c>
      <c r="L24" s="444">
        <f t="shared" si="4"/>
        <v>0</v>
      </c>
      <c r="M24" s="444">
        <f t="shared" si="4"/>
        <v>0</v>
      </c>
      <c r="N24" s="444">
        <f t="shared" si="4"/>
        <v>0</v>
      </c>
      <c r="O24" s="445">
        <f t="shared" si="4"/>
        <v>448954.57962099992</v>
      </c>
      <c r="P24" s="26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</row>
    <row r="25" spans="1:51" s="265" customFormat="1" ht="6.75" customHeight="1">
      <c r="A25" s="270"/>
      <c r="B25" s="384"/>
      <c r="C25" s="403"/>
      <c r="D25" s="403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36"/>
      <c r="P25" s="388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</row>
    <row r="26" spans="1:51" s="265" customFormat="1" ht="14.25">
      <c r="A26" s="263"/>
      <c r="B26" s="389" t="s">
        <v>123</v>
      </c>
      <c r="C26" s="355">
        <f>+C28+C27</f>
        <v>15226.970004000001</v>
      </c>
      <c r="D26" s="355">
        <f t="shared" ref="D26:N26" si="5">+D28+D27</f>
        <v>13387.777134999998</v>
      </c>
      <c r="E26" s="355">
        <f t="shared" si="5"/>
        <v>21101.370190000001</v>
      </c>
      <c r="F26" s="355">
        <f t="shared" si="5"/>
        <v>21254.039943</v>
      </c>
      <c r="G26" s="355">
        <f t="shared" si="5"/>
        <v>0</v>
      </c>
      <c r="H26" s="355">
        <f t="shared" si="5"/>
        <v>0</v>
      </c>
      <c r="I26" s="355">
        <f t="shared" si="5"/>
        <v>0</v>
      </c>
      <c r="J26" s="355">
        <f t="shared" si="5"/>
        <v>0</v>
      </c>
      <c r="K26" s="355">
        <f t="shared" si="5"/>
        <v>0</v>
      </c>
      <c r="L26" s="355">
        <f t="shared" si="5"/>
        <v>0</v>
      </c>
      <c r="M26" s="355">
        <f t="shared" si="5"/>
        <v>0</v>
      </c>
      <c r="N26" s="355">
        <f t="shared" si="5"/>
        <v>0</v>
      </c>
      <c r="O26" s="355">
        <f t="shared" ref="O26:O30" si="6">SUM(C26:N26)</f>
        <v>70970.157271999997</v>
      </c>
      <c r="P26" s="264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</row>
    <row r="27" spans="1:51" s="268" customFormat="1">
      <c r="A27" s="266"/>
      <c r="B27" s="358" t="s">
        <v>124</v>
      </c>
      <c r="C27" s="437"/>
      <c r="D27" s="437"/>
      <c r="E27" s="437"/>
      <c r="F27" s="437"/>
      <c r="G27" s="437"/>
      <c r="H27" s="437"/>
      <c r="I27" s="437"/>
      <c r="J27" s="437"/>
      <c r="K27" s="437"/>
      <c r="L27" s="437"/>
      <c r="M27" s="437"/>
      <c r="N27" s="437"/>
      <c r="O27" s="305">
        <f t="shared" si="6"/>
        <v>0</v>
      </c>
      <c r="P27" s="26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</row>
    <row r="28" spans="1:51" s="268" customFormat="1">
      <c r="A28" s="266"/>
      <c r="B28" s="373" t="s">
        <v>35</v>
      </c>
      <c r="C28" s="437">
        <f>+C29+C30</f>
        <v>15226.970004000001</v>
      </c>
      <c r="D28" s="437">
        <f t="shared" ref="D28:N28" si="7">+D29+D30</f>
        <v>13387.777134999998</v>
      </c>
      <c r="E28" s="437">
        <f t="shared" si="7"/>
        <v>21101.370190000001</v>
      </c>
      <c r="F28" s="437">
        <f t="shared" si="7"/>
        <v>21254.039943</v>
      </c>
      <c r="G28" s="437">
        <f t="shared" si="7"/>
        <v>0</v>
      </c>
      <c r="H28" s="437">
        <f t="shared" si="7"/>
        <v>0</v>
      </c>
      <c r="I28" s="437">
        <f t="shared" si="7"/>
        <v>0</v>
      </c>
      <c r="J28" s="437">
        <f t="shared" si="7"/>
        <v>0</v>
      </c>
      <c r="K28" s="437">
        <f t="shared" si="7"/>
        <v>0</v>
      </c>
      <c r="L28" s="437">
        <f t="shared" si="7"/>
        <v>0</v>
      </c>
      <c r="M28" s="437">
        <f t="shared" si="7"/>
        <v>0</v>
      </c>
      <c r="N28" s="437">
        <f t="shared" si="7"/>
        <v>0</v>
      </c>
      <c r="O28" s="437">
        <f t="shared" si="6"/>
        <v>70970.157271999997</v>
      </c>
      <c r="P28" s="267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</row>
    <row r="29" spans="1:51" s="268" customFormat="1" ht="14.25">
      <c r="A29" s="266"/>
      <c r="B29" s="358" t="s">
        <v>87</v>
      </c>
      <c r="C29" s="360">
        <v>15226.970004000001</v>
      </c>
      <c r="D29" s="360">
        <v>13387.777134999998</v>
      </c>
      <c r="E29" s="360">
        <v>21101.370190000001</v>
      </c>
      <c r="F29" s="360">
        <v>21254.039943</v>
      </c>
      <c r="G29" s="360">
        <v>0</v>
      </c>
      <c r="H29" s="360">
        <v>0</v>
      </c>
      <c r="I29" s="360">
        <v>0</v>
      </c>
      <c r="J29" s="360">
        <v>0</v>
      </c>
      <c r="K29" s="360">
        <v>0</v>
      </c>
      <c r="L29" s="360">
        <v>0</v>
      </c>
      <c r="M29" s="360">
        <v>0</v>
      </c>
      <c r="N29" s="360">
        <v>0</v>
      </c>
      <c r="O29" s="305">
        <f t="shared" si="6"/>
        <v>70970.157271999997</v>
      </c>
      <c r="P29" s="267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</row>
    <row r="30" spans="1:51" s="268" customFormat="1">
      <c r="A30" s="266"/>
      <c r="B30" s="358" t="s">
        <v>14</v>
      </c>
      <c r="C30" s="360">
        <v>0</v>
      </c>
      <c r="D30" s="360">
        <v>0</v>
      </c>
      <c r="E30" s="360">
        <v>0</v>
      </c>
      <c r="F30" s="360">
        <v>0</v>
      </c>
      <c r="G30" s="360">
        <v>0</v>
      </c>
      <c r="H30" s="360">
        <v>0</v>
      </c>
      <c r="I30" s="360">
        <v>0</v>
      </c>
      <c r="J30" s="360">
        <v>0</v>
      </c>
      <c r="K30" s="360">
        <v>0</v>
      </c>
      <c r="L30" s="360">
        <v>0</v>
      </c>
      <c r="M30" s="360">
        <v>0</v>
      </c>
      <c r="N30" s="360">
        <v>0</v>
      </c>
      <c r="O30" s="360">
        <f t="shared" si="6"/>
        <v>0</v>
      </c>
      <c r="P30" s="267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</row>
    <row r="31" spans="1:51" s="268" customFormat="1" ht="6.75" customHeight="1">
      <c r="A31" s="266"/>
      <c r="B31" s="365"/>
      <c r="C31" s="433"/>
      <c r="D31" s="433"/>
      <c r="E31" s="433"/>
      <c r="F31" s="433"/>
      <c r="G31" s="433"/>
      <c r="H31" s="433"/>
      <c r="I31" s="433"/>
      <c r="J31" s="433"/>
      <c r="K31" s="433"/>
      <c r="L31" s="433"/>
      <c r="M31" s="433"/>
      <c r="N31" s="433"/>
      <c r="O31" s="432"/>
      <c r="P31" s="372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</row>
    <row r="32" spans="1:51" s="268" customFormat="1">
      <c r="A32" s="266"/>
      <c r="B32" s="377" t="s">
        <v>23</v>
      </c>
      <c r="C32" s="360">
        <v>0</v>
      </c>
      <c r="D32" s="360">
        <v>0</v>
      </c>
      <c r="E32" s="360">
        <v>0</v>
      </c>
      <c r="F32" s="360">
        <v>0</v>
      </c>
      <c r="G32" s="360">
        <v>0</v>
      </c>
      <c r="H32" s="360">
        <v>0</v>
      </c>
      <c r="I32" s="360">
        <v>0</v>
      </c>
      <c r="J32" s="360">
        <v>0</v>
      </c>
      <c r="K32" s="360">
        <v>0</v>
      </c>
      <c r="L32" s="360">
        <v>0</v>
      </c>
      <c r="M32" s="360">
        <v>0</v>
      </c>
      <c r="N32" s="360">
        <v>0</v>
      </c>
      <c r="O32" s="360">
        <f>SUM(D32:N32)</f>
        <v>0</v>
      </c>
      <c r="P32" s="267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</row>
    <row r="33" spans="1:51" s="268" customFormat="1" ht="6.75" customHeight="1">
      <c r="A33" s="257"/>
      <c r="B33" s="365"/>
      <c r="C33" s="403"/>
      <c r="D33" s="403"/>
      <c r="E33" s="403"/>
      <c r="F33" s="403"/>
      <c r="G33" s="403"/>
      <c r="H33" s="403"/>
      <c r="I33" s="403"/>
      <c r="J33" s="403"/>
      <c r="K33" s="403"/>
      <c r="L33" s="403"/>
      <c r="M33" s="403"/>
      <c r="N33" s="403"/>
      <c r="O33" s="403"/>
      <c r="P33" s="372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</row>
    <row r="34" spans="1:51" s="265" customFormat="1" ht="27">
      <c r="A34" s="263"/>
      <c r="B34" s="391" t="s">
        <v>46</v>
      </c>
      <c r="C34" s="443">
        <f>C24-C26+C32</f>
        <v>95512.342853000009</v>
      </c>
      <c r="D34" s="444">
        <f t="shared" ref="D34:O34" si="8">D24-D26+D32</f>
        <v>92166.693503000031</v>
      </c>
      <c r="E34" s="444">
        <f t="shared" si="8"/>
        <v>91846.887964999987</v>
      </c>
      <c r="F34" s="444">
        <f t="shared" si="8"/>
        <v>98458.498027999987</v>
      </c>
      <c r="G34" s="443">
        <f t="shared" si="8"/>
        <v>0</v>
      </c>
      <c r="H34" s="444">
        <f t="shared" si="8"/>
        <v>0</v>
      </c>
      <c r="I34" s="444">
        <f t="shared" si="8"/>
        <v>0</v>
      </c>
      <c r="J34" s="444">
        <f t="shared" si="8"/>
        <v>0</v>
      </c>
      <c r="K34" s="444">
        <f t="shared" si="8"/>
        <v>0</v>
      </c>
      <c r="L34" s="444">
        <f t="shared" si="8"/>
        <v>0</v>
      </c>
      <c r="M34" s="444">
        <f t="shared" si="8"/>
        <v>0</v>
      </c>
      <c r="N34" s="444">
        <f t="shared" si="8"/>
        <v>0</v>
      </c>
      <c r="O34" s="445">
        <f t="shared" si="8"/>
        <v>377984.42234899994</v>
      </c>
      <c r="P34" s="26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</row>
    <row r="35" spans="1:51" s="268" customFormat="1" ht="6.75" customHeight="1">
      <c r="A35" s="257"/>
      <c r="B35" s="365"/>
      <c r="C35" s="403"/>
      <c r="D35" s="403"/>
      <c r="E35" s="403"/>
      <c r="F35" s="403"/>
      <c r="G35" s="403"/>
      <c r="H35" s="403"/>
      <c r="I35" s="403"/>
      <c r="J35" s="403"/>
      <c r="K35" s="403"/>
      <c r="L35" s="403"/>
      <c r="M35" s="403"/>
      <c r="N35" s="403"/>
      <c r="O35" s="436"/>
      <c r="P35" s="372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</row>
    <row r="36" spans="1:51" s="268" customFormat="1" ht="13.5" customHeight="1">
      <c r="A36" s="266"/>
      <c r="B36" s="377" t="s">
        <v>18</v>
      </c>
      <c r="C36" s="360">
        <v>107293.07967200001</v>
      </c>
      <c r="D36" s="360">
        <v>83288.531411000004</v>
      </c>
      <c r="E36" s="360">
        <v>85899.729514999999</v>
      </c>
      <c r="F36" s="360">
        <v>107841.68841</v>
      </c>
      <c r="G36" s="360">
        <v>0</v>
      </c>
      <c r="H36" s="360">
        <v>0</v>
      </c>
      <c r="I36" s="360">
        <v>0</v>
      </c>
      <c r="J36" s="360">
        <v>0</v>
      </c>
      <c r="K36" s="360">
        <v>0</v>
      </c>
      <c r="L36" s="360">
        <v>0</v>
      </c>
      <c r="M36" s="360">
        <v>0</v>
      </c>
      <c r="N36" s="360">
        <v>0</v>
      </c>
      <c r="O36" s="305">
        <f t="shared" ref="O36" si="9">SUM(C36:N36)</f>
        <v>384323.02900800004</v>
      </c>
      <c r="P36" s="267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</row>
    <row r="37" spans="1:51" s="268" customFormat="1" ht="6.75" customHeight="1">
      <c r="A37" s="257"/>
      <c r="B37" s="365"/>
      <c r="C37" s="431"/>
      <c r="D37" s="431"/>
      <c r="E37" s="431"/>
      <c r="F37" s="431"/>
      <c r="G37" s="431"/>
      <c r="H37" s="431"/>
      <c r="I37" s="431"/>
      <c r="J37" s="431"/>
      <c r="K37" s="431"/>
      <c r="L37" s="431"/>
      <c r="M37" s="431"/>
      <c r="N37" s="431"/>
      <c r="O37" s="432"/>
      <c r="P37" s="264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</row>
    <row r="38" spans="1:51" s="265" customFormat="1">
      <c r="A38" s="263"/>
      <c r="B38" s="450" t="s">
        <v>125</v>
      </c>
      <c r="C38" s="444">
        <f>C34-C36</f>
        <v>-11780.736818999998</v>
      </c>
      <c r="D38" s="444">
        <f t="shared" ref="D38:N38" si="10">D34-D36</f>
        <v>8878.1620920000278</v>
      </c>
      <c r="E38" s="444">
        <f t="shared" si="10"/>
        <v>5947.1584499999881</v>
      </c>
      <c r="F38" s="444">
        <f t="shared" si="10"/>
        <v>-9383.1903820000152</v>
      </c>
      <c r="G38" s="443">
        <f t="shared" si="10"/>
        <v>0</v>
      </c>
      <c r="H38" s="444">
        <f t="shared" si="10"/>
        <v>0</v>
      </c>
      <c r="I38" s="443">
        <f t="shared" si="10"/>
        <v>0</v>
      </c>
      <c r="J38" s="444">
        <f t="shared" si="10"/>
        <v>0</v>
      </c>
      <c r="K38" s="444">
        <f t="shared" si="10"/>
        <v>0</v>
      </c>
      <c r="L38" s="445">
        <f t="shared" si="10"/>
        <v>0</v>
      </c>
      <c r="M38" s="444">
        <f t="shared" si="10"/>
        <v>0</v>
      </c>
      <c r="N38" s="444">
        <f t="shared" si="10"/>
        <v>0</v>
      </c>
      <c r="O38" s="445">
        <f t="shared" ref="O38" si="11">SUM(C38:N38)</f>
        <v>-6338.6066589999973</v>
      </c>
      <c r="P38" s="264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</row>
    <row r="39" spans="1:51" s="268" customFormat="1" ht="6.75" customHeight="1">
      <c r="A39" s="257"/>
      <c r="B39" s="365"/>
      <c r="C39" s="403"/>
      <c r="D39" s="403"/>
      <c r="E39" s="403"/>
      <c r="F39" s="403"/>
      <c r="G39" s="403"/>
      <c r="H39" s="403"/>
      <c r="I39" s="403"/>
      <c r="J39" s="403"/>
      <c r="K39" s="403"/>
      <c r="L39" s="403"/>
      <c r="M39" s="403"/>
      <c r="N39" s="403"/>
      <c r="O39" s="436"/>
      <c r="P39" s="264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</row>
    <row r="40" spans="1:51" s="268" customFormat="1">
      <c r="A40" s="273"/>
      <c r="B40" s="439" t="s">
        <v>132</v>
      </c>
      <c r="C40" s="440">
        <f>C41-C47</f>
        <v>3400.5079779999996</v>
      </c>
      <c r="D40" s="440">
        <f t="shared" ref="D40:N40" si="12">D41-D47</f>
        <v>2777.9083520000004</v>
      </c>
      <c r="E40" s="440">
        <f t="shared" si="12"/>
        <v>5982.5037809999994</v>
      </c>
      <c r="F40" s="440">
        <f t="shared" si="12"/>
        <v>1065.1933949999998</v>
      </c>
      <c r="G40" s="440">
        <f t="shared" si="12"/>
        <v>0</v>
      </c>
      <c r="H40" s="440">
        <f t="shared" si="12"/>
        <v>0</v>
      </c>
      <c r="I40" s="440">
        <f t="shared" si="12"/>
        <v>0</v>
      </c>
      <c r="J40" s="440">
        <f t="shared" si="12"/>
        <v>0</v>
      </c>
      <c r="K40" s="440">
        <f t="shared" si="12"/>
        <v>0</v>
      </c>
      <c r="L40" s="440">
        <f t="shared" si="12"/>
        <v>0</v>
      </c>
      <c r="M40" s="440">
        <f t="shared" si="12"/>
        <v>0</v>
      </c>
      <c r="N40" s="440">
        <f t="shared" si="12"/>
        <v>0</v>
      </c>
      <c r="O40" s="441">
        <f t="shared" ref="O40:O47" si="13">SUM(C40:N40)</f>
        <v>13226.113506</v>
      </c>
      <c r="P40" s="264"/>
      <c r="Q40" s="442"/>
      <c r="R40" s="442"/>
      <c r="S40" s="442"/>
      <c r="T40" s="442"/>
      <c r="U40" s="442"/>
      <c r="V40" s="442"/>
      <c r="W40" s="442"/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</row>
    <row r="41" spans="1:51" s="268" customFormat="1" ht="14.25">
      <c r="A41" s="266"/>
      <c r="B41" s="373" t="s">
        <v>55</v>
      </c>
      <c r="C41" s="360">
        <f>C42+C46</f>
        <v>4224.0635389999998</v>
      </c>
      <c r="D41" s="360">
        <f t="shared" ref="D41:N41" si="14">D42+D46</f>
        <v>3002.2191000000003</v>
      </c>
      <c r="E41" s="360">
        <f t="shared" si="14"/>
        <v>6279.8122079999994</v>
      </c>
      <c r="F41" s="360">
        <f t="shared" si="14"/>
        <v>2776.4123409999997</v>
      </c>
      <c r="G41" s="360">
        <f t="shared" si="14"/>
        <v>0</v>
      </c>
      <c r="H41" s="360">
        <f t="shared" si="14"/>
        <v>0</v>
      </c>
      <c r="I41" s="360">
        <f t="shared" si="14"/>
        <v>0</v>
      </c>
      <c r="J41" s="360">
        <f t="shared" si="14"/>
        <v>0</v>
      </c>
      <c r="K41" s="360">
        <f t="shared" si="14"/>
        <v>0</v>
      </c>
      <c r="L41" s="360">
        <f t="shared" si="14"/>
        <v>0</v>
      </c>
      <c r="M41" s="360">
        <f t="shared" si="14"/>
        <v>0</v>
      </c>
      <c r="N41" s="360">
        <f t="shared" si="14"/>
        <v>0</v>
      </c>
      <c r="O41" s="360">
        <f t="shared" si="13"/>
        <v>16282.507188</v>
      </c>
      <c r="P41" s="267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</row>
    <row r="42" spans="1:51" s="268" customFormat="1">
      <c r="A42" s="266"/>
      <c r="B42" s="358" t="s">
        <v>20</v>
      </c>
      <c r="C42" s="360">
        <f>C43+C44+C45</f>
        <v>1412.5637530000001</v>
      </c>
      <c r="D42" s="360">
        <f t="shared" ref="D42:N42" si="15">D43+D44+D45</f>
        <v>1679.3588110000001</v>
      </c>
      <c r="E42" s="360">
        <f t="shared" si="15"/>
        <v>3796.8314019999998</v>
      </c>
      <c r="F42" s="360">
        <f t="shared" si="15"/>
        <v>2664.3311819999999</v>
      </c>
      <c r="G42" s="360">
        <f t="shared" si="15"/>
        <v>0</v>
      </c>
      <c r="H42" s="360">
        <f t="shared" si="15"/>
        <v>0</v>
      </c>
      <c r="I42" s="360">
        <f t="shared" si="15"/>
        <v>0</v>
      </c>
      <c r="J42" s="360">
        <f t="shared" si="15"/>
        <v>0</v>
      </c>
      <c r="K42" s="360">
        <f t="shared" si="15"/>
        <v>0</v>
      </c>
      <c r="L42" s="360">
        <f t="shared" si="15"/>
        <v>0</v>
      </c>
      <c r="M42" s="360">
        <f t="shared" si="15"/>
        <v>0</v>
      </c>
      <c r="N42" s="360">
        <f t="shared" si="15"/>
        <v>0</v>
      </c>
      <c r="O42" s="360">
        <f t="shared" si="13"/>
        <v>9553.0851480000001</v>
      </c>
      <c r="P42" s="267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</row>
    <row r="43" spans="1:51" s="268" customFormat="1">
      <c r="A43" s="266"/>
      <c r="B43" s="363" t="s">
        <v>56</v>
      </c>
      <c r="C43" s="360">
        <v>907.22665400000005</v>
      </c>
      <c r="D43" s="360">
        <v>1417.4274700000001</v>
      </c>
      <c r="E43" s="360">
        <v>803.47311100000002</v>
      </c>
      <c r="F43" s="360">
        <v>364.74916300000001</v>
      </c>
      <c r="G43" s="360">
        <v>0</v>
      </c>
      <c r="H43" s="360">
        <v>0</v>
      </c>
      <c r="I43" s="360">
        <v>0</v>
      </c>
      <c r="J43" s="360">
        <v>0</v>
      </c>
      <c r="K43" s="360">
        <v>0</v>
      </c>
      <c r="L43" s="360">
        <v>0</v>
      </c>
      <c r="M43" s="360">
        <v>0</v>
      </c>
      <c r="N43" s="360">
        <v>0</v>
      </c>
      <c r="O43" s="437">
        <f t="shared" si="13"/>
        <v>3492.8763979999999</v>
      </c>
      <c r="P43" s="267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</row>
    <row r="44" spans="1:51" s="271" customFormat="1">
      <c r="A44" s="266"/>
      <c r="B44" s="378" t="s">
        <v>21</v>
      </c>
      <c r="C44" s="360">
        <v>0</v>
      </c>
      <c r="D44" s="360">
        <v>0</v>
      </c>
      <c r="E44" s="360">
        <v>0</v>
      </c>
      <c r="F44" s="360">
        <v>0</v>
      </c>
      <c r="G44" s="360">
        <v>0</v>
      </c>
      <c r="H44" s="360">
        <v>0</v>
      </c>
      <c r="I44" s="360">
        <v>0</v>
      </c>
      <c r="J44" s="360">
        <v>0</v>
      </c>
      <c r="K44" s="360">
        <v>0</v>
      </c>
      <c r="L44" s="360">
        <v>0</v>
      </c>
      <c r="M44" s="360">
        <v>0</v>
      </c>
      <c r="N44" s="360">
        <v>0</v>
      </c>
      <c r="O44" s="437">
        <f t="shared" si="13"/>
        <v>0</v>
      </c>
      <c r="P44" s="267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</row>
    <row r="45" spans="1:51" s="271" customFormat="1" ht="14.25">
      <c r="A45" s="266"/>
      <c r="B45" s="363" t="s">
        <v>118</v>
      </c>
      <c r="C45" s="360">
        <v>505.33709900000002</v>
      </c>
      <c r="D45" s="360">
        <v>261.93134099999997</v>
      </c>
      <c r="E45" s="360">
        <v>2993.358291</v>
      </c>
      <c r="F45" s="360">
        <v>2299.5820189999999</v>
      </c>
      <c r="G45" s="360">
        <v>0</v>
      </c>
      <c r="H45" s="360">
        <v>0</v>
      </c>
      <c r="I45" s="360">
        <v>0</v>
      </c>
      <c r="J45" s="360">
        <v>0</v>
      </c>
      <c r="K45" s="360">
        <v>0</v>
      </c>
      <c r="L45" s="360">
        <v>0</v>
      </c>
      <c r="M45" s="360">
        <v>0</v>
      </c>
      <c r="N45" s="360">
        <v>0</v>
      </c>
      <c r="O45" s="437">
        <f t="shared" si="13"/>
        <v>6060.2087499999998</v>
      </c>
      <c r="P45" s="267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</row>
    <row r="46" spans="1:51" s="268" customFormat="1">
      <c r="A46" s="266"/>
      <c r="B46" s="358" t="s">
        <v>22</v>
      </c>
      <c r="C46" s="360">
        <v>2811.4997859999999</v>
      </c>
      <c r="D46" s="360">
        <v>1322.860289</v>
      </c>
      <c r="E46" s="360">
        <v>2482.980806</v>
      </c>
      <c r="F46" s="360">
        <v>112.08115900000001</v>
      </c>
      <c r="G46" s="360">
        <v>0</v>
      </c>
      <c r="H46" s="360">
        <v>0</v>
      </c>
      <c r="I46" s="360">
        <v>0</v>
      </c>
      <c r="J46" s="360">
        <v>0</v>
      </c>
      <c r="K46" s="360">
        <v>0</v>
      </c>
      <c r="L46" s="360">
        <v>0</v>
      </c>
      <c r="M46" s="360">
        <v>0</v>
      </c>
      <c r="N46" s="360">
        <v>0</v>
      </c>
      <c r="O46" s="437">
        <f t="shared" si="13"/>
        <v>6729.4220400000004</v>
      </c>
      <c r="P46" s="267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</row>
    <row r="47" spans="1:51" s="268" customFormat="1">
      <c r="A47" s="266"/>
      <c r="B47" s="358" t="s">
        <v>111</v>
      </c>
      <c r="C47" s="360">
        <v>823.55556100000001</v>
      </c>
      <c r="D47" s="360">
        <v>224.31074799999999</v>
      </c>
      <c r="E47" s="360">
        <v>297.30842699999999</v>
      </c>
      <c r="F47" s="360">
        <v>1711.218946</v>
      </c>
      <c r="G47" s="360">
        <v>0</v>
      </c>
      <c r="H47" s="360">
        <v>0</v>
      </c>
      <c r="I47" s="360">
        <v>0</v>
      </c>
      <c r="J47" s="360">
        <v>0</v>
      </c>
      <c r="K47" s="360">
        <v>0</v>
      </c>
      <c r="L47" s="360">
        <v>0</v>
      </c>
      <c r="M47" s="360">
        <v>0</v>
      </c>
      <c r="N47" s="360">
        <v>0</v>
      </c>
      <c r="O47" s="437">
        <f t="shared" si="13"/>
        <v>3056.3936819999999</v>
      </c>
      <c r="P47" s="26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</row>
    <row r="48" spans="1:51" s="273" customFormat="1" ht="6.75" customHeight="1">
      <c r="A48" s="257"/>
      <c r="B48" s="451"/>
      <c r="C48" s="452"/>
      <c r="D48" s="452"/>
      <c r="E48" s="452"/>
      <c r="F48" s="452"/>
      <c r="G48" s="452"/>
      <c r="H48" s="452"/>
      <c r="I48" s="452"/>
      <c r="J48" s="452"/>
      <c r="K48" s="452"/>
      <c r="L48" s="452"/>
      <c r="M48" s="452"/>
      <c r="N48" s="438"/>
      <c r="O48" s="438"/>
      <c r="P48" s="272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</row>
    <row r="49" spans="1:51" s="263" customFormat="1">
      <c r="B49" s="446" t="s">
        <v>37</v>
      </c>
      <c r="C49" s="447">
        <f t="shared" ref="C49:O49" si="16">C38-C40</f>
        <v>-15181.244796999998</v>
      </c>
      <c r="D49" s="448">
        <f t="shared" si="16"/>
        <v>6100.2537400000274</v>
      </c>
      <c r="E49" s="448">
        <f t="shared" si="16"/>
        <v>-35.345331000011356</v>
      </c>
      <c r="F49" s="448">
        <f t="shared" si="16"/>
        <v>-10448.383777000015</v>
      </c>
      <c r="G49" s="447">
        <f t="shared" si="16"/>
        <v>0</v>
      </c>
      <c r="H49" s="448">
        <f t="shared" si="16"/>
        <v>0</v>
      </c>
      <c r="I49" s="448">
        <f t="shared" si="16"/>
        <v>0</v>
      </c>
      <c r="J49" s="448">
        <f t="shared" si="16"/>
        <v>0</v>
      </c>
      <c r="K49" s="448">
        <f t="shared" si="16"/>
        <v>0</v>
      </c>
      <c r="L49" s="448">
        <f t="shared" si="16"/>
        <v>0</v>
      </c>
      <c r="M49" s="448">
        <f t="shared" si="16"/>
        <v>0</v>
      </c>
      <c r="N49" s="448">
        <f t="shared" si="16"/>
        <v>0</v>
      </c>
      <c r="O49" s="449">
        <f t="shared" si="16"/>
        <v>-19564.720164999999</v>
      </c>
      <c r="P49" s="274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</row>
    <row r="50" spans="1:51" s="273" customFormat="1">
      <c r="A50" s="257"/>
      <c r="B50" s="258"/>
      <c r="P50" s="272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</row>
    <row r="51" spans="1:51" s="270" customFormat="1">
      <c r="B51" s="548" t="s">
        <v>133</v>
      </c>
      <c r="C51" s="548"/>
      <c r="D51" s="548"/>
      <c r="E51" s="548"/>
      <c r="F51" s="548"/>
      <c r="G51" s="548"/>
      <c r="H51" s="548" t="s">
        <v>139</v>
      </c>
      <c r="I51" s="548"/>
      <c r="J51" s="548"/>
      <c r="K51" s="548"/>
      <c r="L51" s="548"/>
      <c r="M51" s="548"/>
      <c r="N51" s="548"/>
      <c r="O51" s="548"/>
      <c r="P51" s="275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</row>
    <row r="52" spans="1:51" s="270" customFormat="1">
      <c r="B52" s="548" t="s">
        <v>134</v>
      </c>
      <c r="C52" s="548"/>
      <c r="D52" s="548"/>
      <c r="E52" s="548"/>
      <c r="F52" s="548"/>
      <c r="G52" s="548"/>
      <c r="H52" s="548" t="s">
        <v>140</v>
      </c>
      <c r="I52" s="548"/>
      <c r="J52" s="548"/>
      <c r="K52" s="548"/>
      <c r="L52" s="548"/>
      <c r="M52" s="548"/>
      <c r="N52" s="548"/>
      <c r="O52" s="548"/>
      <c r="P52" s="275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</row>
    <row r="53" spans="1:51" s="270" customFormat="1">
      <c r="B53" s="548" t="s">
        <v>135</v>
      </c>
      <c r="C53" s="548"/>
      <c r="D53" s="548"/>
      <c r="E53" s="548"/>
      <c r="F53" s="548"/>
      <c r="G53" s="548"/>
      <c r="H53" s="548" t="s">
        <v>141</v>
      </c>
      <c r="I53" s="548"/>
      <c r="J53" s="548"/>
      <c r="K53" s="548"/>
      <c r="L53" s="548"/>
      <c r="M53" s="548"/>
      <c r="N53" s="548"/>
      <c r="O53" s="548"/>
      <c r="P53" s="275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</row>
    <row r="54" spans="1:51" s="270" customFormat="1">
      <c r="B54" s="548" t="s">
        <v>136</v>
      </c>
      <c r="C54" s="548"/>
      <c r="D54" s="548"/>
      <c r="E54" s="548"/>
      <c r="F54" s="548"/>
      <c r="G54" s="548"/>
      <c r="H54" s="548" t="s">
        <v>142</v>
      </c>
      <c r="I54" s="548"/>
      <c r="J54" s="548"/>
      <c r="K54" s="548"/>
      <c r="L54" s="548"/>
      <c r="M54" s="548"/>
      <c r="N54" s="548"/>
      <c r="O54" s="548"/>
      <c r="P54" s="275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</row>
    <row r="55" spans="1:51" s="270" customFormat="1">
      <c r="B55" s="548" t="s">
        <v>137</v>
      </c>
      <c r="C55" s="548"/>
      <c r="D55" s="548"/>
      <c r="E55" s="548"/>
      <c r="F55" s="548"/>
      <c r="G55" s="548"/>
      <c r="H55" s="548" t="s">
        <v>143</v>
      </c>
      <c r="I55" s="548"/>
      <c r="J55" s="548"/>
      <c r="K55" s="548"/>
      <c r="L55" s="548"/>
      <c r="M55" s="548"/>
      <c r="N55" s="548"/>
      <c r="O55" s="548"/>
      <c r="P55" s="27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</row>
    <row r="56" spans="1:51" s="270" customFormat="1">
      <c r="B56" s="548" t="s">
        <v>138</v>
      </c>
      <c r="C56" s="548"/>
      <c r="D56" s="548"/>
      <c r="E56" s="548"/>
      <c r="F56" s="548"/>
      <c r="G56" s="548"/>
      <c r="H56" s="548" t="s">
        <v>144</v>
      </c>
      <c r="I56" s="548"/>
      <c r="J56" s="548"/>
      <c r="K56" s="548"/>
      <c r="L56" s="548"/>
      <c r="M56" s="548"/>
      <c r="N56" s="548"/>
      <c r="O56" s="548"/>
      <c r="P56" s="275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</row>
    <row r="57" spans="1:51" s="270" customFormat="1" ht="24.75" customHeight="1">
      <c r="B57" s="541" t="s">
        <v>129</v>
      </c>
      <c r="C57" s="541"/>
      <c r="D57" s="541"/>
      <c r="E57" s="541"/>
      <c r="F57" s="541"/>
      <c r="G57" s="541"/>
      <c r="H57" s="541"/>
      <c r="I57" s="541"/>
      <c r="J57" s="541"/>
      <c r="K57" s="541"/>
      <c r="L57" s="541"/>
      <c r="M57" s="541"/>
      <c r="N57" s="541"/>
      <c r="O57" s="541"/>
      <c r="P57" s="275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</row>
    <row r="58" spans="1:51" s="270" customFormat="1">
      <c r="B58" s="400" t="s">
        <v>3</v>
      </c>
      <c r="C58" s="400"/>
      <c r="D58" s="400"/>
      <c r="E58" s="400"/>
      <c r="F58" s="400"/>
      <c r="G58" s="400"/>
      <c r="H58" s="400"/>
      <c r="I58" s="400"/>
      <c r="J58" s="400"/>
      <c r="K58" s="400"/>
      <c r="L58" s="400"/>
      <c r="M58" s="400"/>
      <c r="N58" s="400"/>
      <c r="O58" s="400"/>
      <c r="P58" s="275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</row>
    <row r="59" spans="1:51" s="273" customFormat="1" ht="6.75" customHeight="1">
      <c r="B59" s="401"/>
      <c r="C59" s="402"/>
      <c r="D59" s="403"/>
      <c r="E59" s="403"/>
      <c r="F59" s="403"/>
      <c r="G59" s="403"/>
      <c r="H59" s="403"/>
      <c r="I59" s="403"/>
      <c r="J59" s="403"/>
      <c r="K59" s="403"/>
      <c r="L59" s="403"/>
      <c r="M59" s="403"/>
      <c r="N59" s="403"/>
      <c r="O59" s="403"/>
      <c r="P59" s="275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</row>
    <row r="60" spans="1:51" ht="13.5" thickBot="1">
      <c r="B60" s="532" t="s">
        <v>32</v>
      </c>
      <c r="C60" s="532"/>
      <c r="D60" s="532"/>
      <c r="E60" s="532"/>
      <c r="F60" s="532"/>
      <c r="G60" s="532"/>
      <c r="H60" s="532"/>
      <c r="I60" s="532"/>
      <c r="J60" s="532"/>
      <c r="K60" s="532"/>
      <c r="L60" s="532"/>
      <c r="M60" s="532"/>
      <c r="N60" s="532"/>
      <c r="O60" s="532"/>
      <c r="P60" s="261"/>
    </row>
    <row r="61" spans="1:51">
      <c r="B61" s="350"/>
      <c r="C61" s="427"/>
      <c r="D61" s="427"/>
      <c r="E61" s="427"/>
      <c r="F61" s="427"/>
      <c r="G61" s="427"/>
      <c r="H61" s="427"/>
      <c r="I61" s="427"/>
      <c r="J61" s="427"/>
      <c r="K61" s="427"/>
      <c r="L61" s="427"/>
      <c r="M61" s="427"/>
      <c r="N61" s="427"/>
      <c r="O61" s="430"/>
    </row>
    <row r="62" spans="1:51">
      <c r="B62" s="350">
        <f t="shared" ref="B62:N62" si="17">B5</f>
        <v>2012</v>
      </c>
      <c r="C62" s="427" t="str">
        <f t="shared" si="17"/>
        <v>Enero</v>
      </c>
      <c r="D62" s="427" t="str">
        <f t="shared" si="17"/>
        <v>Febrero</v>
      </c>
      <c r="E62" s="427" t="str">
        <f t="shared" si="17"/>
        <v>Marzo</v>
      </c>
      <c r="F62" s="427" t="str">
        <f t="shared" si="17"/>
        <v>Abril</v>
      </c>
      <c r="G62" s="427" t="str">
        <f t="shared" si="17"/>
        <v xml:space="preserve">Mayo </v>
      </c>
      <c r="H62" s="427" t="str">
        <f t="shared" si="17"/>
        <v>Junio</v>
      </c>
      <c r="I62" s="427" t="str">
        <f t="shared" si="17"/>
        <v>Julio</v>
      </c>
      <c r="J62" s="427" t="str">
        <f t="shared" si="17"/>
        <v>Agosto</v>
      </c>
      <c r="K62" s="427" t="str">
        <f t="shared" si="17"/>
        <v>Septiembre</v>
      </c>
      <c r="L62" s="427" t="str">
        <f t="shared" si="17"/>
        <v>Octubre</v>
      </c>
      <c r="M62" s="427" t="str">
        <f t="shared" si="17"/>
        <v>Noviembre</v>
      </c>
      <c r="N62" s="427" t="str">
        <f t="shared" si="17"/>
        <v>Diciembre</v>
      </c>
      <c r="O62" s="427" t="s">
        <v>102</v>
      </c>
    </row>
    <row r="63" spans="1:51">
      <c r="B63" s="350"/>
      <c r="C63" s="427"/>
      <c r="D63" s="427"/>
      <c r="E63" s="427"/>
      <c r="F63" s="427"/>
      <c r="G63" s="427"/>
      <c r="H63" s="427"/>
      <c r="I63" s="427"/>
      <c r="J63" s="427"/>
      <c r="K63" s="427"/>
      <c r="L63" s="427"/>
      <c r="M63" s="427"/>
      <c r="N63" s="427"/>
      <c r="O63" s="425"/>
    </row>
    <row r="64" spans="1:51" s="266" customFormat="1">
      <c r="A64" s="277"/>
      <c r="B64" s="404" t="s">
        <v>24</v>
      </c>
      <c r="C64" s="406">
        <v>2517.8219260000001</v>
      </c>
      <c r="D64" s="406">
        <v>2542.9504590000001</v>
      </c>
      <c r="E64" s="406">
        <v>2549.574509</v>
      </c>
      <c r="F64" s="406">
        <v>2540.2140869999998</v>
      </c>
      <c r="G64" s="360">
        <v>0</v>
      </c>
      <c r="H64" s="360">
        <v>0</v>
      </c>
      <c r="I64" s="360">
        <v>0</v>
      </c>
      <c r="J64" s="360">
        <v>0</v>
      </c>
      <c r="K64" s="360">
        <v>0</v>
      </c>
      <c r="L64" s="360">
        <v>0</v>
      </c>
      <c r="M64" s="360">
        <v>0</v>
      </c>
      <c r="N64" s="360">
        <v>0</v>
      </c>
      <c r="O64" s="406">
        <v>838.91058854098401</v>
      </c>
      <c r="P64" s="278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</row>
    <row r="65" spans="1:51" s="266" customFormat="1">
      <c r="A65" s="277"/>
      <c r="B65" s="404" t="s">
        <v>39</v>
      </c>
      <c r="C65" s="406">
        <v>6319.9976200000001</v>
      </c>
      <c r="D65" s="406">
        <v>6429.5607520000003</v>
      </c>
      <c r="E65" s="406">
        <v>6394.6059580000001</v>
      </c>
      <c r="F65" s="406">
        <v>6419.6052520000003</v>
      </c>
      <c r="G65" s="360">
        <v>0</v>
      </c>
      <c r="H65" s="360">
        <v>0</v>
      </c>
      <c r="I65" s="360">
        <v>0</v>
      </c>
      <c r="J65" s="360">
        <v>0</v>
      </c>
      <c r="K65" s="360">
        <v>0</v>
      </c>
      <c r="L65" s="360">
        <v>0</v>
      </c>
      <c r="M65" s="360">
        <v>0</v>
      </c>
      <c r="N65" s="360">
        <v>0</v>
      </c>
      <c r="O65" s="406">
        <v>2112.56319750273</v>
      </c>
      <c r="P65" s="278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</row>
    <row r="66" spans="1:51" s="266" customFormat="1">
      <c r="A66" s="277"/>
      <c r="B66" s="404" t="s">
        <v>25</v>
      </c>
      <c r="C66" s="406">
        <v>776.64724869929296</v>
      </c>
      <c r="D66" s="406">
        <v>794.85562474953497</v>
      </c>
      <c r="E66" s="406">
        <v>819.17879328589095</v>
      </c>
      <c r="F66" s="406">
        <v>784.91006931606</v>
      </c>
      <c r="G66" s="360">
        <v>0</v>
      </c>
      <c r="H66" s="360">
        <v>0</v>
      </c>
      <c r="I66" s="360">
        <v>0</v>
      </c>
      <c r="J66" s="360">
        <v>0</v>
      </c>
      <c r="K66" s="360">
        <v>0</v>
      </c>
      <c r="L66" s="360">
        <v>0</v>
      </c>
      <c r="M66" s="360">
        <v>0</v>
      </c>
      <c r="N66" s="360">
        <v>0</v>
      </c>
      <c r="O66" s="406">
        <v>262.48284835726503</v>
      </c>
      <c r="P66" s="278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</row>
    <row r="67" spans="1:51" s="266" customFormat="1">
      <c r="A67" s="277"/>
      <c r="B67" s="404" t="s">
        <v>26</v>
      </c>
      <c r="C67" s="406">
        <v>369.02303046588401</v>
      </c>
      <c r="D67" s="406">
        <v>386.69988316560199</v>
      </c>
      <c r="E67" s="406">
        <v>407.69072525799999</v>
      </c>
      <c r="F67" s="406">
        <v>383.318011262038</v>
      </c>
      <c r="G67" s="360">
        <v>0</v>
      </c>
      <c r="H67" s="360">
        <v>0</v>
      </c>
      <c r="I67" s="360">
        <v>0</v>
      </c>
      <c r="J67" s="360">
        <v>0</v>
      </c>
      <c r="K67" s="360">
        <v>0</v>
      </c>
      <c r="L67" s="360">
        <v>0</v>
      </c>
      <c r="M67" s="360">
        <v>0</v>
      </c>
      <c r="N67" s="360">
        <v>0</v>
      </c>
      <c r="O67" s="406">
        <v>127.84689447296201</v>
      </c>
      <c r="P67" s="278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</row>
    <row r="68" spans="1:51" s="266" customFormat="1">
      <c r="A68" s="277"/>
      <c r="B68" s="404" t="s">
        <v>27</v>
      </c>
      <c r="C68" s="406">
        <v>158.199037158614</v>
      </c>
      <c r="D68" s="406">
        <v>143.04584147253399</v>
      </c>
      <c r="E68" s="406">
        <v>182.921147322872</v>
      </c>
      <c r="F68" s="406">
        <v>217.683427046421</v>
      </c>
      <c r="G68" s="360">
        <v>0</v>
      </c>
      <c r="H68" s="360">
        <v>0</v>
      </c>
      <c r="I68" s="360">
        <v>0</v>
      </c>
      <c r="J68" s="360">
        <v>0</v>
      </c>
      <c r="K68" s="360">
        <v>0</v>
      </c>
      <c r="L68" s="360">
        <v>0</v>
      </c>
      <c r="M68" s="360">
        <v>0</v>
      </c>
      <c r="N68" s="360">
        <v>0</v>
      </c>
      <c r="O68" s="406">
        <v>58.069830418093403</v>
      </c>
      <c r="P68" s="27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</row>
    <row r="69" spans="1:51" s="266" customFormat="1">
      <c r="A69" s="277"/>
      <c r="B69" s="404" t="s">
        <v>28</v>
      </c>
      <c r="C69" s="406">
        <v>308.95243715192601</v>
      </c>
      <c r="D69" s="406">
        <v>310.71406410717702</v>
      </c>
      <c r="E69" s="406">
        <v>289.56166064449502</v>
      </c>
      <c r="F69" s="406">
        <v>270.467625129525</v>
      </c>
      <c r="G69" s="360">
        <v>0</v>
      </c>
      <c r="H69" s="360">
        <v>0</v>
      </c>
      <c r="I69" s="360">
        <v>0</v>
      </c>
      <c r="J69" s="360">
        <v>0</v>
      </c>
      <c r="K69" s="360">
        <v>0</v>
      </c>
      <c r="L69" s="360">
        <v>0</v>
      </c>
      <c r="M69" s="360">
        <v>0</v>
      </c>
      <c r="N69" s="360">
        <v>0</v>
      </c>
      <c r="O69" s="406">
        <v>97.482714876182897</v>
      </c>
      <c r="P69" s="278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</row>
    <row r="70" spans="1:51" s="266" customFormat="1">
      <c r="A70" s="277"/>
      <c r="B70" s="404" t="s">
        <v>38</v>
      </c>
      <c r="C70" s="406">
        <v>3251.2027469332902</v>
      </c>
      <c r="D70" s="406">
        <v>3284.1161359326302</v>
      </c>
      <c r="E70" s="406">
        <v>3371.4856819308302</v>
      </c>
      <c r="F70" s="406">
        <v>3257.0255949331799</v>
      </c>
      <c r="G70" s="360">
        <v>0</v>
      </c>
      <c r="H70" s="360">
        <v>0</v>
      </c>
      <c r="I70" s="360">
        <v>0</v>
      </c>
      <c r="J70" s="360">
        <v>0</v>
      </c>
      <c r="K70" s="360">
        <v>0</v>
      </c>
      <c r="L70" s="360">
        <v>0</v>
      </c>
      <c r="M70" s="360">
        <v>0</v>
      </c>
      <c r="N70" s="360">
        <v>0</v>
      </c>
      <c r="O70" s="406">
        <v>1088.12425433013</v>
      </c>
      <c r="P70" s="278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</row>
    <row r="71" spans="1:51" s="266" customFormat="1">
      <c r="A71" s="277"/>
      <c r="B71" s="404" t="s">
        <v>98</v>
      </c>
      <c r="C71" s="406">
        <v>1191.2954516129</v>
      </c>
      <c r="D71" s="406">
        <v>1228.51810344828</v>
      </c>
      <c r="E71" s="406">
        <v>1283.9024838709699</v>
      </c>
      <c r="F71" s="406">
        <v>1243.4295999999999</v>
      </c>
      <c r="G71" s="360">
        <v>0</v>
      </c>
      <c r="H71" s="360">
        <v>0</v>
      </c>
      <c r="I71" s="360">
        <v>0</v>
      </c>
      <c r="J71" s="360">
        <v>0</v>
      </c>
      <c r="K71" s="360">
        <v>0</v>
      </c>
      <c r="L71" s="360">
        <v>0</v>
      </c>
      <c r="M71" s="360">
        <v>0</v>
      </c>
      <c r="N71" s="360">
        <v>0</v>
      </c>
      <c r="O71" s="406">
        <v>408.90996994535499</v>
      </c>
      <c r="P71" s="278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</row>
    <row r="72" spans="1:51" s="266" customFormat="1">
      <c r="A72" s="277"/>
      <c r="B72" s="404" t="s">
        <v>29</v>
      </c>
      <c r="C72" s="407">
        <v>108.542749945647</v>
      </c>
      <c r="D72" s="407">
        <v>110.233004368453</v>
      </c>
      <c r="E72" s="407">
        <v>114.58886097142801</v>
      </c>
      <c r="F72" s="407">
        <v>111.033517438918</v>
      </c>
      <c r="G72" s="360">
        <v>0</v>
      </c>
      <c r="H72" s="360">
        <v>0</v>
      </c>
      <c r="I72" s="360">
        <v>0</v>
      </c>
      <c r="J72" s="360">
        <v>0</v>
      </c>
      <c r="K72" s="360">
        <v>0</v>
      </c>
      <c r="L72" s="360">
        <v>0</v>
      </c>
      <c r="M72" s="360">
        <v>0</v>
      </c>
      <c r="N72" s="360">
        <v>0</v>
      </c>
      <c r="O72" s="407">
        <v>111.173846586496</v>
      </c>
      <c r="P72" s="278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</row>
    <row r="73" spans="1:51" s="266" customFormat="1">
      <c r="A73" s="277"/>
      <c r="B73" s="404" t="s">
        <v>131</v>
      </c>
      <c r="C73" s="407">
        <v>84.93</v>
      </c>
      <c r="D73" s="407">
        <v>84.93</v>
      </c>
      <c r="E73" s="407">
        <v>84.93</v>
      </c>
      <c r="F73" s="407">
        <v>84.93</v>
      </c>
      <c r="G73" s="360">
        <v>0</v>
      </c>
      <c r="H73" s="360">
        <v>0</v>
      </c>
      <c r="I73" s="360">
        <v>0</v>
      </c>
      <c r="J73" s="360">
        <v>0</v>
      </c>
      <c r="K73" s="360">
        <v>0</v>
      </c>
      <c r="L73" s="360">
        <v>0</v>
      </c>
      <c r="M73" s="360">
        <v>0</v>
      </c>
      <c r="N73" s="360">
        <v>0</v>
      </c>
      <c r="O73" s="407">
        <v>71</v>
      </c>
      <c r="P73" s="278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</row>
    <row r="74" spans="1:51" s="266" customFormat="1">
      <c r="A74" s="277"/>
      <c r="B74" s="404" t="s">
        <v>76</v>
      </c>
      <c r="C74" s="407">
        <v>2.9638059999999999</v>
      </c>
      <c r="D74" s="407">
        <v>2.5909339999999998</v>
      </c>
      <c r="E74" s="407">
        <v>2.3323909999999999</v>
      </c>
      <c r="F74" s="407">
        <v>2.1304810000000001</v>
      </c>
      <c r="G74" s="360">
        <v>0</v>
      </c>
      <c r="H74" s="360">
        <v>0</v>
      </c>
      <c r="I74" s="360">
        <v>0</v>
      </c>
      <c r="J74" s="360">
        <v>0</v>
      </c>
      <c r="K74" s="360">
        <v>0</v>
      </c>
      <c r="L74" s="360">
        <v>0</v>
      </c>
      <c r="M74" s="360">
        <v>0</v>
      </c>
      <c r="N74" s="360">
        <v>0</v>
      </c>
      <c r="O74" s="407">
        <v>2.3991647999999999</v>
      </c>
      <c r="P74" s="278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</row>
    <row r="75" spans="1:51" s="266" customFormat="1">
      <c r="A75" s="277"/>
      <c r="B75" s="404" t="s">
        <v>99</v>
      </c>
      <c r="C75" s="408">
        <v>13.5047</v>
      </c>
      <c r="D75" s="408">
        <v>12.801399999999999</v>
      </c>
      <c r="E75" s="408">
        <v>12.7561</v>
      </c>
      <c r="F75" s="408">
        <v>13.0512</v>
      </c>
      <c r="G75" s="360">
        <v>0</v>
      </c>
      <c r="H75" s="360">
        <v>0</v>
      </c>
      <c r="I75" s="360">
        <v>0</v>
      </c>
      <c r="J75" s="360">
        <v>0</v>
      </c>
      <c r="K75" s="360">
        <v>0</v>
      </c>
      <c r="L75" s="360">
        <v>0</v>
      </c>
      <c r="M75" s="360">
        <v>0</v>
      </c>
      <c r="N75" s="360">
        <v>0</v>
      </c>
      <c r="O75" s="408">
        <v>13.02835</v>
      </c>
      <c r="P75" s="278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</row>
    <row r="76" spans="1:51" s="266" customFormat="1">
      <c r="A76" s="277"/>
      <c r="B76" s="404" t="s">
        <v>100</v>
      </c>
      <c r="C76" s="406">
        <v>746.67295696525298</v>
      </c>
      <c r="D76" s="406">
        <v>680.27934334663098</v>
      </c>
      <c r="E76" s="406">
        <v>886.91304160867799</v>
      </c>
      <c r="F76" s="406">
        <v>679.15387766761205</v>
      </c>
      <c r="G76" s="360">
        <v>0</v>
      </c>
      <c r="H76" s="360">
        <v>0</v>
      </c>
      <c r="I76" s="360">
        <v>0</v>
      </c>
      <c r="J76" s="360">
        <v>0</v>
      </c>
      <c r="K76" s="360">
        <v>0</v>
      </c>
      <c r="L76" s="360">
        <v>0</v>
      </c>
      <c r="M76" s="360">
        <v>0</v>
      </c>
      <c r="N76" s="360">
        <v>0</v>
      </c>
      <c r="O76" s="406">
        <v>247.934107220963</v>
      </c>
      <c r="P76" s="278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</row>
    <row r="77" spans="1:51" s="266" customFormat="1">
      <c r="A77" s="277"/>
      <c r="B77" s="404" t="s">
        <v>70</v>
      </c>
      <c r="C77" s="409">
        <v>19.679452999999999</v>
      </c>
      <c r="D77" s="409">
        <v>20.390370000000001</v>
      </c>
      <c r="E77" s="409">
        <v>18.968769999999999</v>
      </c>
      <c r="F77" s="409">
        <v>10.013579999999999</v>
      </c>
      <c r="G77" s="360">
        <v>0</v>
      </c>
      <c r="H77" s="360">
        <v>0</v>
      </c>
      <c r="I77" s="360">
        <v>0</v>
      </c>
      <c r="J77" s="360">
        <v>0</v>
      </c>
      <c r="K77" s="360">
        <v>0</v>
      </c>
      <c r="L77" s="360">
        <v>0</v>
      </c>
      <c r="M77" s="360">
        <v>0</v>
      </c>
      <c r="N77" s="360">
        <v>0</v>
      </c>
      <c r="O77" s="409">
        <v>17.263043249999999</v>
      </c>
      <c r="P77" s="278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</row>
    <row r="78" spans="1:51" s="270" customFormat="1" ht="12.75" customHeight="1">
      <c r="A78" s="279"/>
      <c r="B78" s="547" t="s">
        <v>101</v>
      </c>
      <c r="C78" s="547"/>
      <c r="D78" s="547"/>
      <c r="E78" s="547"/>
      <c r="F78" s="547"/>
      <c r="G78" s="547"/>
      <c r="H78" s="547"/>
      <c r="I78" s="547"/>
      <c r="J78" s="547"/>
      <c r="K78" s="547"/>
      <c r="L78" s="547"/>
      <c r="M78" s="547"/>
      <c r="N78" s="547"/>
      <c r="O78" s="547"/>
      <c r="P78" s="276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</row>
    <row r="84" spans="16:16">
      <c r="P84" s="257"/>
    </row>
    <row r="85" spans="16:16">
      <c r="P85" s="257"/>
    </row>
    <row r="86" spans="16:16">
      <c r="P86" s="257"/>
    </row>
    <row r="87" spans="16:16">
      <c r="P87" s="257"/>
    </row>
    <row r="88" spans="16:16">
      <c r="P88" s="257"/>
    </row>
    <row r="89" spans="16:16">
      <c r="P89" s="257"/>
    </row>
    <row r="90" spans="16:16">
      <c r="P90" s="257"/>
    </row>
    <row r="91" spans="16:16">
      <c r="P91" s="257"/>
    </row>
    <row r="92" spans="16:16">
      <c r="P92" s="257"/>
    </row>
  </sheetData>
  <mergeCells count="17">
    <mergeCell ref="B56:G56"/>
    <mergeCell ref="B78:O78"/>
    <mergeCell ref="B60:O60"/>
    <mergeCell ref="B57:O57"/>
    <mergeCell ref="B2:O2"/>
    <mergeCell ref="B3:O3"/>
    <mergeCell ref="H51:O51"/>
    <mergeCell ref="H52:O52"/>
    <mergeCell ref="H53:O53"/>
    <mergeCell ref="H54:O54"/>
    <mergeCell ref="H55:O55"/>
    <mergeCell ref="H56:O56"/>
    <mergeCell ref="B51:G51"/>
    <mergeCell ref="B52:G52"/>
    <mergeCell ref="B53:G53"/>
    <mergeCell ref="B54:G54"/>
    <mergeCell ref="B55:G55"/>
  </mergeCells>
  <pageMargins left="0.23622047244094491" right="0.23622047244094491" top="0.74803149606299213" bottom="0.74803149606299213" header="0.31496062992125984" footer="0.31496062992125984"/>
  <pageSetup scale="54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20</vt:i4>
      </vt:variant>
    </vt:vector>
  </HeadingPairs>
  <TitlesOfParts>
    <vt:vector size="40" baseType="lpstr"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'1993'!Área_de_impresión</vt:lpstr>
      <vt:lpstr>'1994'!Área_de_impresión</vt:lpstr>
      <vt:lpstr>'1995'!Área_de_impresión</vt:lpstr>
      <vt:lpstr>'1996'!Área_de_impresión</vt:lpstr>
      <vt:lpstr>'1997'!Área_de_impresión</vt:lpstr>
      <vt:lpstr>'1998'!Área_de_impresión</vt:lpstr>
      <vt:lpstr>'1999'!Área_de_impresión</vt:lpstr>
      <vt:lpstr>'2000'!Área_de_impresión</vt:lpstr>
      <vt:lpstr>'2001'!Área_de_impresión</vt:lpstr>
      <vt:lpstr>'2002'!Área_de_impresión</vt:lpstr>
      <vt:lpstr>'2003'!Área_de_impresión</vt:lpstr>
      <vt:lpstr>'2004'!Área_de_impresión</vt:lpstr>
      <vt:lpstr>'2005'!Área_de_impresión</vt:lpstr>
      <vt:lpstr>'2006'!Área_de_impresión</vt:lpstr>
      <vt:lpstr>'2007'!Área_de_impresión</vt:lpstr>
      <vt:lpstr>'2008'!Área_de_impresión</vt:lpstr>
      <vt:lpstr>'2009'!Área_de_impresión</vt:lpstr>
      <vt:lpstr>'2010'!Área_de_impresión</vt:lpstr>
      <vt:lpstr>'2011'!Área_de_impresión</vt:lpstr>
      <vt:lpstr>'2012'!Área_de_impresión</vt:lpstr>
    </vt:vector>
  </TitlesOfParts>
  <Company>PEMEX-UPC-GEI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de la Paz Toledo</dc:creator>
  <cp:lastModifiedBy>Arista Hernandez Delia Cristina</cp:lastModifiedBy>
  <cp:lastPrinted>2012-05-25T18:28:50Z</cp:lastPrinted>
  <dcterms:created xsi:type="dcterms:W3CDTF">2002-12-18T22:32:20Z</dcterms:created>
  <dcterms:modified xsi:type="dcterms:W3CDTF">2012-05-25T18:30:01Z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