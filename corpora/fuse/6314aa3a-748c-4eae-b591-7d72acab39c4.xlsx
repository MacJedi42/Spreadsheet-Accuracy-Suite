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19155" windowHeight="7740"/>
  </bookViews>
  <sheets>
    <sheet name="All" sheetId="6" r:id="rId1"/>
    <sheet name="Tablet" sheetId="11" r:id="rId2"/>
    <sheet name="E-Reader" sheetId="8" r:id="rId3"/>
    <sheet name="Smartphone" sheetId="12" r:id="rId4"/>
    <sheet name="Example" sheetId="17" r:id="rId5"/>
  </sheets>
  <calcPr calcId="145621"/>
</workbook>
</file>

<file path=xl/calcChain.xml><?xml version="1.0" encoding="utf-8"?>
<calcChain xmlns="http://schemas.openxmlformats.org/spreadsheetml/2006/main">
  <c r="O51" i="17" l="1"/>
  <c r="K51" i="17"/>
  <c r="G51" i="17"/>
  <c r="O50" i="17"/>
  <c r="K50" i="17"/>
  <c r="G50" i="17"/>
  <c r="O49" i="17"/>
  <c r="K49" i="17"/>
  <c r="G49" i="17"/>
  <c r="O48" i="17"/>
  <c r="K48" i="17"/>
  <c r="G48" i="17"/>
  <c r="O47" i="17"/>
  <c r="K47" i="17"/>
  <c r="G47" i="17"/>
  <c r="O45" i="17"/>
  <c r="K45" i="17"/>
  <c r="G45" i="17"/>
  <c r="O44" i="17"/>
  <c r="K44" i="17"/>
  <c r="G44" i="17"/>
  <c r="O43" i="17"/>
  <c r="K43" i="17"/>
  <c r="G43" i="17"/>
  <c r="O42" i="17"/>
  <c r="K42" i="17"/>
  <c r="G42" i="17"/>
  <c r="O41" i="17"/>
  <c r="K41" i="17"/>
  <c r="G41" i="17"/>
  <c r="O40" i="17"/>
  <c r="K40" i="17"/>
  <c r="G40" i="17"/>
  <c r="O38" i="17"/>
  <c r="K38" i="17"/>
  <c r="G38" i="17"/>
  <c r="O37" i="17"/>
  <c r="K37" i="17"/>
  <c r="G37" i="17"/>
  <c r="O36" i="17"/>
  <c r="K36" i="17"/>
  <c r="G36" i="17"/>
  <c r="O35" i="17"/>
  <c r="K35" i="17"/>
  <c r="G35" i="17"/>
  <c r="O33" i="17"/>
  <c r="K33" i="17"/>
  <c r="G33" i="17"/>
  <c r="O32" i="17"/>
  <c r="K32" i="17"/>
  <c r="G32" i="17"/>
  <c r="O31" i="17"/>
  <c r="K31" i="17"/>
  <c r="G31" i="17"/>
  <c r="O29" i="17"/>
  <c r="K29" i="17"/>
  <c r="G29" i="17"/>
  <c r="O28" i="17"/>
  <c r="K28" i="17"/>
  <c r="G28" i="17"/>
  <c r="O27" i="17"/>
  <c r="K27" i="17"/>
  <c r="G27" i="17"/>
  <c r="O25" i="17"/>
  <c r="K25" i="17"/>
  <c r="G25" i="17"/>
  <c r="O24" i="17"/>
  <c r="K24" i="17"/>
  <c r="G24" i="17"/>
  <c r="O22" i="17"/>
  <c r="K22" i="17"/>
  <c r="G22" i="17"/>
  <c r="O21" i="17"/>
  <c r="K21" i="17"/>
  <c r="G21" i="17"/>
  <c r="O20" i="17"/>
  <c r="K20" i="17"/>
  <c r="G20" i="17"/>
  <c r="O19" i="17"/>
  <c r="K19" i="17"/>
  <c r="G19" i="17"/>
  <c r="O18" i="17"/>
  <c r="K18" i="17"/>
  <c r="G18" i="17"/>
  <c r="O17" i="17"/>
  <c r="K17" i="17"/>
  <c r="G17" i="17"/>
  <c r="O15" i="17"/>
  <c r="K15" i="17"/>
  <c r="G15" i="17"/>
  <c r="O14" i="17"/>
  <c r="K14" i="17"/>
  <c r="G14" i="17"/>
  <c r="O13" i="17"/>
  <c r="K13" i="17"/>
  <c r="G13" i="17"/>
  <c r="O12" i="17"/>
  <c r="K12" i="17"/>
  <c r="G12" i="17"/>
  <c r="O11" i="17"/>
  <c r="K11" i="17"/>
  <c r="G11" i="17"/>
  <c r="L6" i="17"/>
  <c r="H6" i="17"/>
  <c r="D6" i="17"/>
  <c r="O60" i="12"/>
  <c r="O59" i="12"/>
  <c r="O58" i="12"/>
  <c r="O57" i="12"/>
  <c r="O56" i="12"/>
  <c r="O54" i="12"/>
  <c r="O53" i="12"/>
  <c r="O52" i="12"/>
  <c r="O51" i="12"/>
  <c r="O50" i="12"/>
  <c r="O48" i="12"/>
  <c r="O47" i="12"/>
  <c r="O46" i="12"/>
  <c r="O45" i="12"/>
  <c r="O43" i="12"/>
  <c r="O42" i="12"/>
  <c r="O41" i="12"/>
  <c r="O40" i="12"/>
  <c r="O39" i="12"/>
  <c r="O38" i="12"/>
  <c r="O36" i="12"/>
  <c r="O35" i="12"/>
  <c r="O34" i="12"/>
  <c r="O33" i="12"/>
  <c r="O32" i="12"/>
  <c r="O31" i="12"/>
  <c r="O30" i="12"/>
  <c r="O28" i="12"/>
  <c r="O27" i="12"/>
  <c r="O26" i="12"/>
  <c r="O24" i="12"/>
  <c r="O23" i="12"/>
  <c r="O22" i="12"/>
  <c r="O21" i="12"/>
  <c r="O20" i="12"/>
  <c r="O19" i="12"/>
  <c r="O17" i="12"/>
  <c r="O16" i="12"/>
  <c r="O15" i="12"/>
  <c r="O14" i="12"/>
  <c r="O13" i="12"/>
  <c r="O12" i="12"/>
  <c r="O11" i="12"/>
  <c r="K60" i="12"/>
  <c r="K59" i="12"/>
  <c r="K58" i="12"/>
  <c r="K57" i="12"/>
  <c r="K56" i="12"/>
  <c r="K54" i="12"/>
  <c r="K53" i="12"/>
  <c r="K52" i="12"/>
  <c r="K51" i="12"/>
  <c r="K50" i="12"/>
  <c r="K48" i="12"/>
  <c r="K47" i="12"/>
  <c r="K46" i="12"/>
  <c r="K45" i="12"/>
  <c r="K43" i="12"/>
  <c r="K42" i="12"/>
  <c r="K41" i="12"/>
  <c r="K40" i="12"/>
  <c r="K39" i="12"/>
  <c r="K38" i="12"/>
  <c r="K36" i="12"/>
  <c r="K35" i="12"/>
  <c r="K34" i="12"/>
  <c r="K33" i="12"/>
  <c r="K32" i="12"/>
  <c r="K31" i="12"/>
  <c r="K30" i="12"/>
  <c r="K28" i="12"/>
  <c r="K27" i="12"/>
  <c r="K26" i="12"/>
  <c r="K24" i="12"/>
  <c r="K23" i="12"/>
  <c r="K22" i="12"/>
  <c r="K21" i="12"/>
  <c r="K20" i="12"/>
  <c r="K19" i="12"/>
  <c r="K17" i="12"/>
  <c r="K16" i="12"/>
  <c r="K15" i="12"/>
  <c r="K14" i="12"/>
  <c r="K13" i="12"/>
  <c r="K12" i="12"/>
  <c r="K11" i="12"/>
  <c r="G60" i="12"/>
  <c r="G59" i="12"/>
  <c r="G58" i="12"/>
  <c r="G57" i="12"/>
  <c r="G56" i="12"/>
  <c r="G54" i="12"/>
  <c r="G53" i="12"/>
  <c r="G52" i="12"/>
  <c r="G51" i="12"/>
  <c r="G50" i="12"/>
  <c r="G48" i="12"/>
  <c r="G47" i="12"/>
  <c r="G46" i="12"/>
  <c r="G45" i="12"/>
  <c r="G43" i="12"/>
  <c r="G42" i="12"/>
  <c r="G41" i="12"/>
  <c r="G40" i="12"/>
  <c r="G39" i="12"/>
  <c r="G38" i="12"/>
  <c r="G36" i="12"/>
  <c r="G35" i="12"/>
  <c r="G34" i="12"/>
  <c r="G33" i="12"/>
  <c r="G32" i="12"/>
  <c r="G31" i="12"/>
  <c r="G30" i="12"/>
  <c r="G28" i="12"/>
  <c r="G27" i="12"/>
  <c r="G26" i="12"/>
  <c r="G24" i="12"/>
  <c r="G23" i="12"/>
  <c r="G22" i="12"/>
  <c r="G21" i="12"/>
  <c r="G20" i="12"/>
  <c r="G19" i="12"/>
  <c r="G17" i="12"/>
  <c r="G16" i="12"/>
  <c r="G15" i="12"/>
  <c r="G14" i="12"/>
  <c r="G13" i="12"/>
  <c r="G12" i="12"/>
  <c r="G11" i="12"/>
  <c r="O51" i="8"/>
  <c r="O50" i="8"/>
  <c r="O49" i="8"/>
  <c r="O48" i="8"/>
  <c r="O47" i="8"/>
  <c r="O45" i="8"/>
  <c r="O44" i="8"/>
  <c r="O43" i="8"/>
  <c r="O42" i="8"/>
  <c r="O41" i="8"/>
  <c r="O40" i="8"/>
  <c r="O38" i="8"/>
  <c r="O37" i="8"/>
  <c r="O36" i="8"/>
  <c r="O35" i="8"/>
  <c r="O33" i="8"/>
  <c r="O32" i="8"/>
  <c r="O31" i="8"/>
  <c r="O29" i="8"/>
  <c r="O28" i="8"/>
  <c r="O27" i="8"/>
  <c r="O25" i="8"/>
  <c r="O24" i="8"/>
  <c r="O22" i="8"/>
  <c r="O21" i="8"/>
  <c r="O20" i="8"/>
  <c r="O19" i="8"/>
  <c r="O18" i="8"/>
  <c r="O17" i="8"/>
  <c r="O15" i="8"/>
  <c r="O14" i="8"/>
  <c r="O13" i="8"/>
  <c r="O12" i="8"/>
  <c r="O11" i="8"/>
  <c r="K51" i="8"/>
  <c r="K50" i="8"/>
  <c r="K49" i="8"/>
  <c r="K48" i="8"/>
  <c r="K47" i="8"/>
  <c r="K45" i="8"/>
  <c r="K44" i="8"/>
  <c r="K43" i="8"/>
  <c r="K42" i="8"/>
  <c r="K41" i="8"/>
  <c r="K40" i="8"/>
  <c r="K38" i="8"/>
  <c r="K37" i="8"/>
  <c r="K36" i="8"/>
  <c r="K35" i="8"/>
  <c r="K33" i="8"/>
  <c r="K32" i="8"/>
  <c r="K31" i="8"/>
  <c r="K29" i="8"/>
  <c r="K28" i="8"/>
  <c r="K27" i="8"/>
  <c r="K25" i="8"/>
  <c r="K24" i="8"/>
  <c r="K22" i="8"/>
  <c r="K21" i="8"/>
  <c r="K20" i="8"/>
  <c r="K19" i="8"/>
  <c r="K18" i="8"/>
  <c r="K17" i="8"/>
  <c r="K15" i="8"/>
  <c r="K14" i="8"/>
  <c r="K13" i="8"/>
  <c r="K12" i="8"/>
  <c r="K11" i="8"/>
  <c r="G51" i="8"/>
  <c r="G50" i="8"/>
  <c r="G49" i="8"/>
  <c r="G48" i="8"/>
  <c r="G47" i="8"/>
  <c r="G45" i="8"/>
  <c r="G44" i="8"/>
  <c r="G43" i="8"/>
  <c r="G42" i="8"/>
  <c r="G41" i="8"/>
  <c r="G40" i="8"/>
  <c r="G38" i="8"/>
  <c r="G37" i="8"/>
  <c r="G36" i="8"/>
  <c r="G35" i="8"/>
  <c r="G33" i="8"/>
  <c r="G32" i="8"/>
  <c r="G31" i="8"/>
  <c r="G29" i="8"/>
  <c r="G28" i="8"/>
  <c r="G27" i="8"/>
  <c r="G25" i="8"/>
  <c r="G24" i="8"/>
  <c r="G22" i="8"/>
  <c r="G21" i="8"/>
  <c r="G20" i="8"/>
  <c r="G19" i="8"/>
  <c r="G18" i="8"/>
  <c r="G17" i="8"/>
  <c r="G15" i="8"/>
  <c r="G14" i="8"/>
  <c r="G13" i="8"/>
  <c r="G12" i="8"/>
  <c r="G11" i="8"/>
  <c r="O47" i="11"/>
  <c r="O46" i="11"/>
  <c r="O45" i="11"/>
  <c r="O44" i="11"/>
  <c r="O43" i="11"/>
  <c r="O41" i="11"/>
  <c r="O40" i="11"/>
  <c r="O39" i="11"/>
  <c r="O38" i="11"/>
  <c r="O37" i="11"/>
  <c r="O36" i="11"/>
  <c r="O34" i="11"/>
  <c r="O33" i="11"/>
  <c r="O31" i="11"/>
  <c r="O30" i="11"/>
  <c r="O29" i="11"/>
  <c r="O27" i="11"/>
  <c r="O26" i="11"/>
  <c r="O25" i="11"/>
  <c r="O23" i="11"/>
  <c r="O22" i="11"/>
  <c r="O20" i="11"/>
  <c r="O19" i="11"/>
  <c r="O18" i="11"/>
  <c r="O17" i="11"/>
  <c r="O15" i="11"/>
  <c r="O14" i="11"/>
  <c r="O13" i="11"/>
  <c r="O12" i="11"/>
  <c r="O11" i="11"/>
  <c r="K47" i="11"/>
  <c r="K46" i="11"/>
  <c r="K45" i="11"/>
  <c r="K44" i="11"/>
  <c r="K43" i="11"/>
  <c r="K41" i="11"/>
  <c r="K40" i="11"/>
  <c r="K39" i="11"/>
  <c r="K38" i="11"/>
  <c r="K37" i="11"/>
  <c r="K36" i="11"/>
  <c r="K34" i="11"/>
  <c r="K33" i="11"/>
  <c r="K31" i="11"/>
  <c r="K30" i="11"/>
  <c r="K29" i="11"/>
  <c r="K27" i="11"/>
  <c r="K26" i="11"/>
  <c r="K25" i="11"/>
  <c r="K23" i="11"/>
  <c r="K22" i="11"/>
  <c r="K20" i="11"/>
  <c r="K19" i="11"/>
  <c r="K18" i="11"/>
  <c r="K17" i="11"/>
  <c r="K15" i="11"/>
  <c r="K14" i="11"/>
  <c r="K13" i="11"/>
  <c r="K12" i="11"/>
  <c r="K11" i="11"/>
  <c r="G47" i="11"/>
  <c r="G46" i="11"/>
  <c r="G45" i="11"/>
  <c r="G44" i="11"/>
  <c r="G43" i="11"/>
  <c r="G41" i="11"/>
  <c r="G40" i="11"/>
  <c r="G39" i="11"/>
  <c r="G38" i="11"/>
  <c r="G37" i="11"/>
  <c r="G36" i="11"/>
  <c r="G34" i="11"/>
  <c r="G33" i="11"/>
  <c r="G31" i="11"/>
  <c r="G30" i="11"/>
  <c r="G29" i="11"/>
  <c r="G27" i="11"/>
  <c r="G26" i="11"/>
  <c r="G25" i="11"/>
  <c r="G23" i="11"/>
  <c r="G22" i="11"/>
  <c r="G20" i="11"/>
  <c r="G19" i="11"/>
  <c r="G18" i="11"/>
  <c r="G17" i="11"/>
  <c r="G15" i="11"/>
  <c r="G14" i="11"/>
  <c r="G13" i="11"/>
  <c r="G12" i="11"/>
  <c r="G11" i="11"/>
  <c r="O65" i="6"/>
  <c r="O64" i="6"/>
  <c r="O63" i="6"/>
  <c r="O62" i="6"/>
  <c r="O61" i="6"/>
  <c r="O59" i="6"/>
  <c r="O58" i="6"/>
  <c r="O57" i="6"/>
  <c r="O56" i="6"/>
  <c r="O55" i="6"/>
  <c r="O54" i="6"/>
  <c r="O52" i="6"/>
  <c r="O51" i="6"/>
  <c r="O50" i="6"/>
  <c r="O49" i="6"/>
  <c r="O48" i="6"/>
  <c r="O47" i="6"/>
  <c r="O46" i="6"/>
  <c r="O44" i="6"/>
  <c r="O43" i="6"/>
  <c r="O42" i="6"/>
  <c r="O41" i="6"/>
  <c r="O40" i="6"/>
  <c r="O39" i="6"/>
  <c r="O37" i="6"/>
  <c r="O36" i="6"/>
  <c r="O35" i="6"/>
  <c r="O34" i="6"/>
  <c r="O33" i="6"/>
  <c r="O32" i="6"/>
  <c r="O31" i="6"/>
  <c r="O29" i="6"/>
  <c r="O28" i="6"/>
  <c r="O27" i="6"/>
  <c r="O25" i="6"/>
  <c r="O24" i="6"/>
  <c r="O23" i="6"/>
  <c r="O22" i="6"/>
  <c r="O21" i="6"/>
  <c r="O20" i="6"/>
  <c r="O19" i="6"/>
  <c r="O17" i="6"/>
  <c r="O16" i="6"/>
  <c r="O15" i="6"/>
  <c r="O14" i="6"/>
  <c r="O13" i="6"/>
  <c r="O12" i="6"/>
  <c r="O11" i="6"/>
  <c r="K65" i="6"/>
  <c r="K64" i="6"/>
  <c r="K63" i="6"/>
  <c r="K62" i="6"/>
  <c r="K61" i="6"/>
  <c r="K59" i="6"/>
  <c r="K58" i="6"/>
  <c r="K57" i="6"/>
  <c r="K56" i="6"/>
  <c r="K55" i="6"/>
  <c r="K54" i="6"/>
  <c r="K52" i="6"/>
  <c r="K51" i="6"/>
  <c r="K50" i="6"/>
  <c r="K49" i="6"/>
  <c r="K48" i="6"/>
  <c r="K47" i="6"/>
  <c r="K46" i="6"/>
  <c r="K44" i="6"/>
  <c r="K43" i="6"/>
  <c r="K42" i="6"/>
  <c r="K41" i="6"/>
  <c r="K40" i="6"/>
  <c r="K39" i="6"/>
  <c r="K37" i="6"/>
  <c r="K36" i="6"/>
  <c r="K35" i="6"/>
  <c r="K34" i="6"/>
  <c r="K33" i="6"/>
  <c r="K32" i="6"/>
  <c r="K31" i="6"/>
  <c r="K29" i="6"/>
  <c r="K28" i="6"/>
  <c r="K27" i="6"/>
  <c r="K25" i="6"/>
  <c r="K24" i="6"/>
  <c r="K23" i="6"/>
  <c r="K22" i="6"/>
  <c r="K21" i="6"/>
  <c r="K20" i="6"/>
  <c r="K19" i="6"/>
  <c r="K17" i="6"/>
  <c r="K16" i="6"/>
  <c r="K15" i="6"/>
  <c r="K14" i="6"/>
  <c r="K13" i="6"/>
  <c r="K12" i="6"/>
  <c r="K11" i="6"/>
  <c r="G65" i="6"/>
  <c r="G64" i="6"/>
  <c r="G63" i="6"/>
  <c r="G62" i="6"/>
  <c r="G61" i="6"/>
  <c r="G59" i="6"/>
  <c r="G58" i="6"/>
  <c r="G57" i="6"/>
  <c r="G56" i="6"/>
  <c r="G55" i="6"/>
  <c r="G54" i="6"/>
  <c r="G52" i="6"/>
  <c r="G51" i="6"/>
  <c r="G50" i="6"/>
  <c r="G49" i="6"/>
  <c r="G48" i="6"/>
  <c r="G47" i="6"/>
  <c r="G46" i="6"/>
  <c r="G44" i="6"/>
  <c r="G43" i="6"/>
  <c r="G42" i="6"/>
  <c r="G41" i="6"/>
  <c r="G40" i="6"/>
  <c r="G39" i="6"/>
  <c r="G37" i="6"/>
  <c r="G36" i="6"/>
  <c r="G35" i="6"/>
  <c r="G34" i="6"/>
  <c r="G33" i="6"/>
  <c r="G32" i="6"/>
  <c r="G31" i="6"/>
  <c r="G29" i="6"/>
  <c r="G28" i="6"/>
  <c r="G27" i="6"/>
  <c r="G25" i="6"/>
  <c r="G24" i="6"/>
  <c r="G23" i="6"/>
  <c r="G22" i="6"/>
  <c r="G21" i="6"/>
  <c r="G20" i="6"/>
  <c r="G19" i="6"/>
  <c r="G17" i="6"/>
  <c r="G16" i="6"/>
  <c r="G15" i="6"/>
  <c r="G14" i="6"/>
  <c r="G13" i="6"/>
  <c r="G12" i="6"/>
  <c r="G11" i="6"/>
  <c r="P6" i="17" l="1"/>
  <c r="P6" i="12"/>
  <c r="D6" i="12"/>
  <c r="D6" i="11"/>
  <c r="D6" i="8"/>
  <c r="D6" i="6"/>
  <c r="H6" i="12" l="1"/>
  <c r="H6" i="11"/>
  <c r="P6" i="11"/>
  <c r="L6" i="11"/>
  <c r="L6" i="12"/>
  <c r="H6" i="8"/>
  <c r="P6" i="8"/>
  <c r="L6" i="8"/>
  <c r="L6" i="6"/>
  <c r="P6" i="6"/>
  <c r="H6" i="6"/>
</calcChain>
</file>

<file path=xl/sharedStrings.xml><?xml version="1.0" encoding="utf-8"?>
<sst xmlns="http://schemas.openxmlformats.org/spreadsheetml/2006/main" count="373" uniqueCount="103">
  <si>
    <t>Assigned Weight</t>
  </si>
  <si>
    <t>Subtotal</t>
  </si>
  <si>
    <t>Hardware</t>
  </si>
  <si>
    <t>Display</t>
  </si>
  <si>
    <t>Usability</t>
  </si>
  <si>
    <t>Multimedia</t>
  </si>
  <si>
    <t>Connectivity</t>
  </si>
  <si>
    <t>Design</t>
  </si>
  <si>
    <t>Software</t>
  </si>
  <si>
    <t>Price &amp; Support</t>
  </si>
  <si>
    <t>Operating System</t>
  </si>
  <si>
    <t>Screen Size</t>
  </si>
  <si>
    <t>Touch Screen</t>
  </si>
  <si>
    <t>Ease-of-use</t>
  </si>
  <si>
    <t>Customizability</t>
  </si>
  <si>
    <t>Camera Quality</t>
  </si>
  <si>
    <t>Look &amp; Feel</t>
  </si>
  <si>
    <t>Temperature Resistance</t>
  </si>
  <si>
    <t>Warranty</t>
  </si>
  <si>
    <t>Purchase Cost</t>
  </si>
  <si>
    <t>Durability</t>
  </si>
  <si>
    <t>Java/Flash Capability</t>
  </si>
  <si>
    <t>Security</t>
  </si>
  <si>
    <t>Video Quality</t>
  </si>
  <si>
    <t>All Criteria</t>
  </si>
  <si>
    <t>Tablet Criteria</t>
  </si>
  <si>
    <t>Criterion Score</t>
  </si>
  <si>
    <t>E-Reader Criteria</t>
  </si>
  <si>
    <t>Smartphone Criteria</t>
  </si>
  <si>
    <t>Screen Resolution</t>
  </si>
  <si>
    <t>Brightness &amp; E-Ink</t>
  </si>
  <si>
    <t xml:space="preserve"> Weight Total</t>
  </si>
  <si>
    <t xml:space="preserve"> Total Score</t>
  </si>
  <si>
    <t xml:space="preserve">File Formats </t>
  </si>
  <si>
    <t>Front/Rear Cameras</t>
  </si>
  <si>
    <t>Audio Output</t>
  </si>
  <si>
    <t xml:space="preserve">Video/Presentation Output </t>
  </si>
  <si>
    <t>Memory</t>
  </si>
  <si>
    <t>Storage</t>
  </si>
  <si>
    <t>Processor</t>
  </si>
  <si>
    <t>Weight &amp; Portability</t>
  </si>
  <si>
    <t>Maintenance &amp; Service Cost</t>
  </si>
  <si>
    <t>GPS</t>
  </si>
  <si>
    <t>Bluetooth</t>
  </si>
  <si>
    <t>Ambient Noise Reduction</t>
  </si>
  <si>
    <t>Other</t>
  </si>
  <si>
    <t>Ease of Reset/Wiping</t>
  </si>
  <si>
    <t>Upgradeability</t>
  </si>
  <si>
    <t>Ambient Light Sensor</t>
  </si>
  <si>
    <t>Color Quality</t>
  </si>
  <si>
    <t xml:space="preserve"> Device 1 Name</t>
  </si>
  <si>
    <t xml:space="preserve"> Device 2 Name</t>
  </si>
  <si>
    <t xml:space="preserve"> Device 3 Name</t>
  </si>
  <si>
    <t>Battery Life &amp; Charging Time</t>
  </si>
  <si>
    <t>Integrated Light</t>
  </si>
  <si>
    <t>Carrier/Service Coverage</t>
  </si>
  <si>
    <t>Peripherals/Accessories</t>
  </si>
  <si>
    <t>Brand/Place of Purchase</t>
  </si>
  <si>
    <t>Availability of Apps</t>
  </si>
  <si>
    <t xml:space="preserve">AALL Mobile Task Force </t>
  </si>
  <si>
    <t>Device Evaluation Worksheet</t>
  </si>
  <si>
    <t>Specs</t>
  </si>
  <si>
    <t>Kindle Paperwhite</t>
  </si>
  <si>
    <t xml:space="preserve"> Barnes &amp; Nobles Nook Color</t>
  </si>
  <si>
    <t>Android 2.2</t>
  </si>
  <si>
    <t>Linux 2.6.26</t>
  </si>
  <si>
    <t>802.11b/g/n</t>
  </si>
  <si>
    <t>Wifi</t>
  </si>
  <si>
    <t>3G</t>
  </si>
  <si>
    <t>None</t>
  </si>
  <si>
    <t xml:space="preserve">PDF, ePUB, DRP, ePIB, TXT, RTF, XLS, DOC, PPT, PPS, DOCM, XLSM, PPTM, PPSX, PPSM, DOCX, XLSX, PPTX  </t>
  </si>
  <si>
    <t>Kindle Format 8 (AZW3), Kindle (AZW), TXT, PDF, unprotected MOBI, PRC natively; HTML, DOC, DOCX, JPEG, GIF, PNG, BMP through conversion</t>
  </si>
  <si>
    <t>Nook apps, Nook Store, Removable Drive</t>
  </si>
  <si>
    <t>Kindle Library, via USB</t>
  </si>
  <si>
    <t>Several possibilities: System reset and then enter Kindle password</t>
  </si>
  <si>
    <t>File Transfer</t>
  </si>
  <si>
    <t>Mobile Transfer</t>
  </si>
  <si>
    <t xml:space="preserve">Wifi </t>
  </si>
  <si>
    <t xml:space="preserve">File Transfer </t>
  </si>
  <si>
    <t>Color</t>
  </si>
  <si>
    <t>Yes</t>
  </si>
  <si>
    <t>B&amp;W</t>
  </si>
  <si>
    <t>Yes; 2-Point mult-touch</t>
  </si>
  <si>
    <t>6in</t>
  </si>
  <si>
    <t>7in</t>
  </si>
  <si>
    <t>LED Backlight</t>
  </si>
  <si>
    <t>E-Ink w/ backlight</t>
  </si>
  <si>
    <t>1024x600</t>
  </si>
  <si>
    <t>212 ppi</t>
  </si>
  <si>
    <t>15.6oz</t>
  </si>
  <si>
    <t>7.4oz</t>
  </si>
  <si>
    <t>.3GP, .MP4, .3G2, .FLV</t>
  </si>
  <si>
    <t>8hrs</t>
  </si>
  <si>
    <t>8wk</t>
  </si>
  <si>
    <t xml:space="preserve">8GB; 32GB via Micro-B USB 2.0 High-Speed  </t>
  </si>
  <si>
    <t xml:space="preserve">2 GB internal; no expansion  </t>
  </si>
  <si>
    <t>1yr</t>
  </si>
  <si>
    <t>Easy to use</t>
  </si>
  <si>
    <t>Several Possibilities: Reset then folder drop; Not very easy</t>
  </si>
  <si>
    <t>E-Reader Example</t>
  </si>
  <si>
    <t>Project Scope:</t>
  </si>
  <si>
    <t>Enter scope here.</t>
  </si>
  <si>
    <t>Purchasing E-readers to check out to Patrons for the purposes of reading newspapers and online journals.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</si>
</sst>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4">
    <xf numFmtId="0" fontId="0" fillId="0" borderId="0" xfId="0"/>
    <xf numFmtId="0" fontId="0" fillId="15" borderId="3" xfId="0" applyFill="1" applyBorder="1" applyAlignment="1">
      <alignment horizontal="right" wrapText="1"/>
    </xf>
    <xf numFmtId="0" fontId="0" fillId="15" borderId="4" xfId="0" applyFill="1" applyBorder="1" applyAlignment="1">
      <alignment horizontal="right" wrapText="1"/>
    </xf>
    <xf numFmtId="0" fontId="0" fillId="17" borderId="3" xfId="0" applyFill="1" applyBorder="1" applyAlignment="1">
      <alignment horizontal="right" wrapText="1"/>
    </xf>
    <xf numFmtId="0" fontId="0" fillId="17" borderId="4" xfId="0" applyFill="1" applyBorder="1" applyAlignment="1">
      <alignment horizontal="right" wrapText="1"/>
    </xf>
    <xf numFmtId="0" fontId="0" fillId="16" borderId="3" xfId="0" applyFill="1" applyBorder="1" applyAlignment="1">
      <alignment horizontal="right" wrapText="1"/>
    </xf>
    <xf numFmtId="0" fontId="0" fillId="16" borderId="4" xfId="0" applyFill="1" applyBorder="1" applyAlignment="1">
      <alignment horizontal="right" wrapText="1"/>
    </xf>
    <xf numFmtId="0" fontId="0" fillId="18" borderId="3" xfId="0" applyFill="1" applyBorder="1" applyAlignment="1">
      <alignment horizontal="right" wrapText="1"/>
    </xf>
    <xf numFmtId="0" fontId="0" fillId="18" borderId="4" xfId="0" applyFill="1" applyBorder="1" applyAlignment="1">
      <alignment horizontal="right" wrapText="1"/>
    </xf>
    <xf numFmtId="0" fontId="0" fillId="19" borderId="3" xfId="0" applyFill="1" applyBorder="1" applyAlignment="1">
      <alignment horizontal="right" wrapText="1"/>
    </xf>
    <xf numFmtId="0" fontId="0" fillId="19" borderId="4" xfId="0" applyFill="1" applyBorder="1" applyAlignment="1">
      <alignment horizontal="right" wrapText="1"/>
    </xf>
    <xf numFmtId="0" fontId="0" fillId="20" borderId="3" xfId="0" applyFill="1" applyBorder="1" applyAlignment="1">
      <alignment horizontal="right" wrapText="1"/>
    </xf>
    <xf numFmtId="0" fontId="0" fillId="20" borderId="4" xfId="0" applyFill="1" applyBorder="1" applyAlignment="1">
      <alignment horizontal="right" wrapText="1"/>
    </xf>
    <xf numFmtId="0" fontId="0" fillId="12" borderId="3" xfId="0" applyFill="1" applyBorder="1" applyAlignment="1">
      <alignment horizontal="right" wrapText="1"/>
    </xf>
    <xf numFmtId="0" fontId="0" fillId="12" borderId="4" xfId="0" applyFill="1" applyBorder="1" applyAlignment="1">
      <alignment horizontal="right" wrapText="1"/>
    </xf>
    <xf numFmtId="0" fontId="0" fillId="4" borderId="3" xfId="0" applyFill="1" applyBorder="1" applyAlignment="1">
      <alignment horizontal="right" wrapText="1"/>
    </xf>
    <xf numFmtId="0" fontId="0" fillId="4" borderId="4" xfId="0" applyFill="1" applyBorder="1" applyAlignment="1">
      <alignment horizontal="right" wrapText="1"/>
    </xf>
    <xf numFmtId="0" fontId="0" fillId="3" borderId="3" xfId="0" applyFill="1" applyBorder="1" applyAlignment="1">
      <alignment horizontal="right" wrapText="1"/>
    </xf>
    <xf numFmtId="0" fontId="0" fillId="22" borderId="3" xfId="0" applyFill="1" applyBorder="1" applyAlignment="1">
      <alignment horizontal="right" wrapText="1"/>
    </xf>
    <xf numFmtId="0" fontId="0" fillId="26" borderId="3" xfId="0" applyFill="1" applyBorder="1" applyAlignment="1">
      <alignment horizontal="right" wrapText="1"/>
    </xf>
    <xf numFmtId="0" fontId="0" fillId="23" borderId="3" xfId="0" applyFill="1" applyBorder="1" applyAlignment="1">
      <alignment horizontal="right" wrapText="1"/>
    </xf>
    <xf numFmtId="0" fontId="0" fillId="24" borderId="3" xfId="0" applyFill="1" applyBorder="1" applyAlignment="1">
      <alignment horizontal="right" wrapText="1"/>
    </xf>
    <xf numFmtId="0" fontId="0" fillId="25" borderId="3" xfId="0" applyFill="1" applyBorder="1" applyAlignment="1">
      <alignment horizontal="right" wrapText="1"/>
    </xf>
    <xf numFmtId="0" fontId="0" fillId="2" borderId="0" xfId="0" applyFill="1" applyAlignment="1">
      <alignment wrapText="1"/>
    </xf>
    <xf numFmtId="0" fontId="0" fillId="2" borderId="0" xfId="0" applyFill="1" applyBorder="1" applyAlignment="1">
      <alignment wrapText="1"/>
    </xf>
    <xf numFmtId="0" fontId="0" fillId="2" borderId="0" xfId="0" applyFill="1" applyBorder="1" applyAlignment="1"/>
    <xf numFmtId="0" fontId="0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center" wrapText="1"/>
    </xf>
    <xf numFmtId="0" fontId="0" fillId="5" borderId="15" xfId="0" applyFill="1" applyBorder="1" applyAlignment="1">
      <alignment horizontal="right" wrapText="1"/>
    </xf>
    <xf numFmtId="0" fontId="0" fillId="9" borderId="15" xfId="0" applyFill="1" applyBorder="1" applyAlignment="1">
      <alignment horizontal="right" wrapText="1"/>
    </xf>
    <xf numFmtId="0" fontId="0" fillId="10" borderId="15" xfId="0" applyFill="1" applyBorder="1" applyAlignment="1">
      <alignment horizontal="right" wrapText="1"/>
    </xf>
    <xf numFmtId="0" fontId="0" fillId="11" borderId="15" xfId="0" applyFill="1" applyBorder="1" applyAlignment="1">
      <alignment horizontal="right" wrapText="1"/>
    </xf>
    <xf numFmtId="0" fontId="0" fillId="14" borderId="15" xfId="0" applyFill="1" applyBorder="1" applyAlignment="1">
      <alignment horizontal="right" wrapText="1"/>
    </xf>
    <xf numFmtId="0" fontId="0" fillId="7" borderId="15" xfId="0" applyFill="1" applyBorder="1" applyAlignment="1">
      <alignment horizontal="right" wrapText="1"/>
    </xf>
    <xf numFmtId="0" fontId="0" fillId="15" borderId="13" xfId="0" applyFont="1" applyFill="1" applyBorder="1" applyAlignment="1">
      <alignment horizontal="right" wrapText="1"/>
    </xf>
    <xf numFmtId="0" fontId="0" fillId="3" borderId="13" xfId="0" applyFont="1" applyFill="1" applyBorder="1" applyAlignment="1">
      <alignment horizontal="right" wrapText="1"/>
    </xf>
    <xf numFmtId="0" fontId="0" fillId="17" borderId="13" xfId="0" applyFont="1" applyFill="1" applyBorder="1" applyAlignment="1">
      <alignment horizontal="right" wrapText="1"/>
    </xf>
    <xf numFmtId="0" fontId="0" fillId="22" borderId="13" xfId="0" applyFont="1" applyFill="1" applyBorder="1" applyAlignment="1">
      <alignment horizontal="right" wrapText="1"/>
    </xf>
    <xf numFmtId="0" fontId="0" fillId="16" borderId="13" xfId="0" applyFont="1" applyFill="1" applyBorder="1" applyAlignment="1">
      <alignment horizontal="right" wrapText="1"/>
    </xf>
    <xf numFmtId="0" fontId="0" fillId="26" borderId="13" xfId="0" applyFont="1" applyFill="1" applyBorder="1" applyAlignment="1">
      <alignment horizontal="right" wrapText="1"/>
    </xf>
    <xf numFmtId="0" fontId="0" fillId="16" borderId="10" xfId="0" applyFont="1" applyFill="1" applyBorder="1" applyAlignment="1">
      <alignment horizontal="right" wrapText="1"/>
    </xf>
    <xf numFmtId="0" fontId="0" fillId="18" borderId="13" xfId="0" applyFont="1" applyFill="1" applyBorder="1" applyAlignment="1">
      <alignment horizontal="right" wrapText="1"/>
    </xf>
    <xf numFmtId="0" fontId="0" fillId="23" borderId="13" xfId="0" applyFont="1" applyFill="1" applyBorder="1" applyAlignment="1">
      <alignment horizontal="right" wrapText="1"/>
    </xf>
    <xf numFmtId="0" fontId="0" fillId="18" borderId="10" xfId="0" applyFont="1" applyFill="1" applyBorder="1" applyAlignment="1">
      <alignment horizontal="right" wrapText="1"/>
    </xf>
    <xf numFmtId="0" fontId="0" fillId="19" borderId="13" xfId="0" applyFont="1" applyFill="1" applyBorder="1" applyAlignment="1">
      <alignment horizontal="right" wrapText="1"/>
    </xf>
    <xf numFmtId="0" fontId="0" fillId="24" borderId="13" xfId="0" applyFont="1" applyFill="1" applyBorder="1" applyAlignment="1">
      <alignment horizontal="right"/>
    </xf>
    <xf numFmtId="0" fontId="0" fillId="24" borderId="13" xfId="0" applyFont="1" applyFill="1" applyBorder="1" applyAlignment="1">
      <alignment horizontal="right" wrapText="1"/>
    </xf>
    <xf numFmtId="0" fontId="0" fillId="19" borderId="10" xfId="0" applyFont="1" applyFill="1" applyBorder="1" applyAlignment="1">
      <alignment horizontal="right" wrapText="1"/>
    </xf>
    <xf numFmtId="0" fontId="0" fillId="20" borderId="13" xfId="0" applyFont="1" applyFill="1" applyBorder="1" applyAlignment="1">
      <alignment horizontal="right" wrapText="1"/>
    </xf>
    <xf numFmtId="0" fontId="0" fillId="25" borderId="13" xfId="0" applyFont="1" applyFill="1" applyBorder="1" applyAlignment="1">
      <alignment horizontal="right" wrapText="1"/>
    </xf>
    <xf numFmtId="0" fontId="0" fillId="12" borderId="13" xfId="0" applyFont="1" applyFill="1" applyBorder="1" applyAlignment="1">
      <alignment horizontal="right" wrapText="1"/>
    </xf>
    <xf numFmtId="0" fontId="0" fillId="13" borderId="13" xfId="0" applyFont="1" applyFill="1" applyBorder="1" applyAlignment="1">
      <alignment horizontal="right" wrapText="1"/>
    </xf>
    <xf numFmtId="0" fontId="0" fillId="4" borderId="13" xfId="0" applyFont="1" applyFill="1" applyBorder="1" applyAlignment="1">
      <alignment horizontal="right" wrapText="1"/>
    </xf>
    <xf numFmtId="0" fontId="0" fillId="21" borderId="13" xfId="0" applyFont="1" applyFill="1" applyBorder="1" applyAlignment="1">
      <alignment horizontal="right" wrapText="1"/>
    </xf>
    <xf numFmtId="0" fontId="0" fillId="4" borderId="10" xfId="0" applyFont="1" applyFill="1" applyBorder="1" applyAlignment="1">
      <alignment horizontal="right" wrapText="1"/>
    </xf>
    <xf numFmtId="0" fontId="0" fillId="15" borderId="7" xfId="0" applyFill="1" applyBorder="1" applyAlignment="1" applyProtection="1">
      <alignment horizontal="right" wrapText="1"/>
      <protection locked="0"/>
    </xf>
    <xf numFmtId="0" fontId="0" fillId="3" borderId="7" xfId="0" applyFill="1" applyBorder="1" applyAlignment="1" applyProtection="1">
      <alignment horizontal="right" wrapText="1"/>
      <protection locked="0"/>
    </xf>
    <xf numFmtId="0" fontId="0" fillId="17" borderId="7" xfId="0" applyFill="1" applyBorder="1" applyAlignment="1" applyProtection="1">
      <alignment horizontal="right" wrapText="1"/>
      <protection locked="0"/>
    </xf>
    <xf numFmtId="0" fontId="0" fillId="22" borderId="7" xfId="0" applyFill="1" applyBorder="1" applyAlignment="1" applyProtection="1">
      <alignment horizontal="right" wrapText="1"/>
      <protection locked="0"/>
    </xf>
    <xf numFmtId="0" fontId="0" fillId="16" borderId="7" xfId="0" applyFill="1" applyBorder="1" applyAlignment="1" applyProtection="1">
      <alignment horizontal="right" wrapText="1"/>
      <protection locked="0"/>
    </xf>
    <xf numFmtId="0" fontId="0" fillId="26" borderId="7" xfId="0" applyFill="1" applyBorder="1" applyAlignment="1" applyProtection="1">
      <alignment horizontal="right" wrapText="1"/>
      <protection locked="0"/>
    </xf>
    <xf numFmtId="0" fontId="0" fillId="16" borderId="9" xfId="0" applyFill="1" applyBorder="1" applyAlignment="1" applyProtection="1">
      <alignment horizontal="right" wrapText="1"/>
      <protection locked="0"/>
    </xf>
    <xf numFmtId="0" fontId="0" fillId="18" borderId="7" xfId="0" applyFill="1" applyBorder="1" applyAlignment="1" applyProtection="1">
      <alignment horizontal="right" wrapText="1"/>
      <protection locked="0"/>
    </xf>
    <xf numFmtId="0" fontId="0" fillId="23" borderId="7" xfId="0" applyFill="1" applyBorder="1" applyAlignment="1" applyProtection="1">
      <alignment horizontal="right" wrapText="1"/>
      <protection locked="0"/>
    </xf>
    <xf numFmtId="0" fontId="0" fillId="18" borderId="9" xfId="0" applyFill="1" applyBorder="1" applyAlignment="1" applyProtection="1">
      <alignment horizontal="right" wrapText="1"/>
      <protection locked="0"/>
    </xf>
    <xf numFmtId="0" fontId="0" fillId="19" borderId="7" xfId="0" applyFill="1" applyBorder="1" applyAlignment="1" applyProtection="1">
      <alignment horizontal="right" wrapText="1"/>
      <protection locked="0"/>
    </xf>
    <xf numFmtId="0" fontId="0" fillId="24" borderId="7" xfId="0" applyFill="1" applyBorder="1" applyAlignment="1" applyProtection="1">
      <alignment horizontal="right" wrapText="1"/>
      <protection locked="0"/>
    </xf>
    <xf numFmtId="0" fontId="0" fillId="19" borderId="9" xfId="0" applyFill="1" applyBorder="1" applyAlignment="1" applyProtection="1">
      <alignment horizontal="right" wrapText="1"/>
      <protection locked="0"/>
    </xf>
    <xf numFmtId="0" fontId="0" fillId="20" borderId="7" xfId="0" applyFill="1" applyBorder="1" applyAlignment="1" applyProtection="1">
      <alignment horizontal="right" wrapText="1"/>
      <protection locked="0"/>
    </xf>
    <xf numFmtId="0" fontId="0" fillId="25" borderId="7" xfId="0" applyFill="1" applyBorder="1" applyAlignment="1" applyProtection="1">
      <alignment horizontal="right" wrapText="1"/>
      <protection locked="0"/>
    </xf>
    <xf numFmtId="0" fontId="0" fillId="12" borderId="7" xfId="0" applyFill="1" applyBorder="1" applyAlignment="1" applyProtection="1">
      <alignment horizontal="right" wrapText="1"/>
      <protection locked="0"/>
    </xf>
    <xf numFmtId="0" fontId="0" fillId="13" borderId="7" xfId="0" applyFill="1" applyBorder="1" applyAlignment="1" applyProtection="1">
      <alignment horizontal="right" wrapText="1"/>
      <protection locked="0"/>
    </xf>
    <xf numFmtId="0" fontId="0" fillId="4" borderId="7" xfId="0" applyFill="1" applyBorder="1" applyAlignment="1" applyProtection="1">
      <alignment horizontal="right" wrapText="1"/>
      <protection locked="0"/>
    </xf>
    <xf numFmtId="0" fontId="0" fillId="21" borderId="7" xfId="0" applyFill="1" applyBorder="1" applyAlignment="1" applyProtection="1">
      <alignment horizontal="right" wrapText="1"/>
      <protection locked="0"/>
    </xf>
    <xf numFmtId="0" fontId="0" fillId="4" borderId="9" xfId="0" applyFill="1" applyBorder="1" applyAlignment="1" applyProtection="1">
      <alignment horizontal="right" wrapText="1"/>
      <protection locked="0"/>
    </xf>
    <xf numFmtId="0" fontId="0" fillId="15" borderId="9" xfId="0" applyFill="1" applyBorder="1" applyAlignment="1" applyProtection="1">
      <alignment horizontal="right" wrapText="1"/>
      <protection locked="0"/>
    </xf>
    <xf numFmtId="0" fontId="0" fillId="15" borderId="10" xfId="0" applyFont="1" applyFill="1" applyBorder="1" applyAlignment="1">
      <alignment horizontal="right" wrapText="1"/>
    </xf>
    <xf numFmtId="0" fontId="0" fillId="26" borderId="9" xfId="0" applyFill="1" applyBorder="1" applyAlignment="1" applyProtection="1">
      <alignment horizontal="right" wrapText="1"/>
      <protection locked="0"/>
    </xf>
    <xf numFmtId="0" fontId="0" fillId="26" borderId="10" xfId="0" applyFont="1" applyFill="1" applyBorder="1" applyAlignment="1">
      <alignment horizontal="right" wrapText="1"/>
    </xf>
    <xf numFmtId="0" fontId="0" fillId="22" borderId="9" xfId="0" applyFill="1" applyBorder="1" applyAlignment="1" applyProtection="1">
      <alignment horizontal="right" wrapText="1"/>
      <protection locked="0"/>
    </xf>
    <xf numFmtId="0" fontId="0" fillId="22" borderId="10" xfId="0" applyFont="1" applyFill="1" applyBorder="1" applyAlignment="1">
      <alignment horizontal="right" wrapText="1"/>
    </xf>
    <xf numFmtId="0" fontId="0" fillId="24" borderId="9" xfId="0" applyFill="1" applyBorder="1" applyAlignment="1" applyProtection="1">
      <alignment horizontal="right" wrapText="1"/>
      <protection locked="0"/>
    </xf>
    <xf numFmtId="0" fontId="0" fillId="24" borderId="10" xfId="0" applyFont="1" applyFill="1" applyBorder="1" applyAlignment="1">
      <alignment horizontal="right" wrapText="1"/>
    </xf>
    <xf numFmtId="0" fontId="0" fillId="25" borderId="9" xfId="0" applyFill="1" applyBorder="1" applyAlignment="1" applyProtection="1">
      <alignment horizontal="right" wrapText="1"/>
      <protection locked="0"/>
    </xf>
    <xf numFmtId="0" fontId="0" fillId="25" borderId="10" xfId="0" applyFont="1" applyFill="1" applyBorder="1" applyAlignment="1">
      <alignment horizontal="right" wrapText="1"/>
    </xf>
    <xf numFmtId="0" fontId="6" fillId="8" borderId="2" xfId="0" applyFont="1" applyFill="1" applyBorder="1" applyAlignment="1">
      <alignment horizontal="center" wrapText="1"/>
    </xf>
    <xf numFmtId="0" fontId="5" fillId="15" borderId="3" xfId="0" applyFont="1" applyFill="1" applyBorder="1" applyAlignment="1">
      <alignment horizontal="right" wrapText="1"/>
    </xf>
    <xf numFmtId="0" fontId="6" fillId="6" borderId="2" xfId="0" applyFont="1" applyFill="1" applyBorder="1" applyAlignment="1">
      <alignment horizontal="center" wrapText="1"/>
    </xf>
    <xf numFmtId="0" fontId="0" fillId="22" borderId="4" xfId="0" applyFill="1" applyBorder="1" applyAlignment="1">
      <alignment horizontal="right" wrapText="1"/>
    </xf>
    <xf numFmtId="0" fontId="6" fillId="5" borderId="2" xfId="0" applyFont="1" applyFill="1" applyBorder="1" applyAlignment="1">
      <alignment horizontal="center" wrapText="1"/>
    </xf>
    <xf numFmtId="0" fontId="0" fillId="26" borderId="4" xfId="0" applyFill="1" applyBorder="1" applyAlignment="1">
      <alignment horizontal="right" wrapText="1"/>
    </xf>
    <xf numFmtId="0" fontId="6" fillId="9" borderId="2" xfId="0" applyFont="1" applyFill="1" applyBorder="1" applyAlignment="1">
      <alignment horizontal="center" wrapText="1"/>
    </xf>
    <xf numFmtId="0" fontId="6" fillId="10" borderId="2" xfId="0" applyFont="1" applyFill="1" applyBorder="1" applyAlignment="1">
      <alignment horizontal="center" wrapText="1"/>
    </xf>
    <xf numFmtId="0" fontId="0" fillId="24" borderId="3" xfId="0" applyFill="1" applyBorder="1" applyAlignment="1">
      <alignment horizontal="right"/>
    </xf>
    <xf numFmtId="0" fontId="6" fillId="11" borderId="2" xfId="0" applyFont="1" applyFill="1" applyBorder="1" applyAlignment="1">
      <alignment horizontal="center" wrapText="1"/>
    </xf>
    <xf numFmtId="0" fontId="0" fillId="25" borderId="4" xfId="0" applyFill="1" applyBorder="1" applyAlignment="1">
      <alignment horizontal="right" wrapText="1"/>
    </xf>
    <xf numFmtId="0" fontId="6" fillId="14" borderId="2" xfId="0" applyFont="1" applyFill="1" applyBorder="1" applyAlignment="1">
      <alignment horizontal="center" wrapText="1"/>
    </xf>
    <xf numFmtId="0" fontId="0" fillId="13" borderId="3" xfId="0" applyFill="1" applyBorder="1" applyAlignment="1">
      <alignment horizontal="right" wrapText="1"/>
    </xf>
    <xf numFmtId="0" fontId="0" fillId="13" borderId="4" xfId="0" applyFill="1" applyBorder="1" applyAlignment="1">
      <alignment horizontal="right" wrapText="1"/>
    </xf>
    <xf numFmtId="0" fontId="6" fillId="7" borderId="2" xfId="0" applyFont="1" applyFill="1" applyBorder="1" applyAlignment="1">
      <alignment horizontal="center" wrapText="1"/>
    </xf>
    <xf numFmtId="0" fontId="0" fillId="21" borderId="3" xfId="0" applyFill="1" applyBorder="1" applyAlignment="1">
      <alignment horizontal="right" wrapText="1"/>
    </xf>
    <xf numFmtId="0" fontId="0" fillId="13" borderId="9" xfId="0" applyFill="1" applyBorder="1" applyAlignment="1" applyProtection="1">
      <alignment horizontal="right" wrapText="1"/>
      <protection locked="0"/>
    </xf>
    <xf numFmtId="0" fontId="0" fillId="13" borderId="10" xfId="0" applyFont="1" applyFill="1" applyBorder="1" applyAlignment="1">
      <alignment horizontal="right" wrapText="1"/>
    </xf>
    <xf numFmtId="0" fontId="7" fillId="27" borderId="1" xfId="0" applyFont="1" applyFill="1" applyBorder="1" applyAlignment="1">
      <alignment horizontal="center" wrapText="1"/>
    </xf>
    <xf numFmtId="0" fontId="6" fillId="29" borderId="10" xfId="0" applyFont="1" applyFill="1" applyBorder="1" applyAlignment="1">
      <alignment horizontal="center" vertical="center" wrapText="1"/>
    </xf>
    <xf numFmtId="0" fontId="6" fillId="29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right" wrapText="1"/>
    </xf>
    <xf numFmtId="0" fontId="0" fillId="12" borderId="9" xfId="0" applyFill="1" applyBorder="1" applyAlignment="1" applyProtection="1">
      <alignment horizontal="right" wrapText="1"/>
      <protection locked="0"/>
    </xf>
    <xf numFmtId="0" fontId="0" fillId="12" borderId="10" xfId="0" applyFont="1" applyFill="1" applyBorder="1" applyAlignment="1">
      <alignment horizontal="right" wrapText="1"/>
    </xf>
    <xf numFmtId="0" fontId="0" fillId="24" borderId="4" xfId="0" applyFill="1" applyBorder="1" applyAlignment="1">
      <alignment horizontal="right" wrapText="1"/>
    </xf>
    <xf numFmtId="0" fontId="0" fillId="2" borderId="0" xfId="0" applyFill="1" applyAlignment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right"/>
    </xf>
    <xf numFmtId="0" fontId="6" fillId="30" borderId="2" xfId="0" applyFont="1" applyFill="1" applyBorder="1" applyAlignment="1">
      <alignment horizontal="center" vertical="center" wrapText="1"/>
    </xf>
    <xf numFmtId="0" fontId="1" fillId="30" borderId="3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wrapText="1"/>
    </xf>
    <xf numFmtId="0" fontId="6" fillId="30" borderId="0" xfId="0" applyFont="1" applyFill="1" applyAlignment="1">
      <alignment horizontal="center" vertical="center" wrapText="1"/>
    </xf>
    <xf numFmtId="0" fontId="1" fillId="30" borderId="0" xfId="0" applyFont="1" applyFill="1" applyAlignment="1">
      <alignment horizontal="center" vertical="center" wrapText="1"/>
    </xf>
    <xf numFmtId="0" fontId="0" fillId="15" borderId="7" xfId="0" applyFill="1" applyBorder="1" applyAlignment="1" applyProtection="1">
      <alignment horizontal="center" wrapText="1"/>
      <protection locked="0"/>
    </xf>
    <xf numFmtId="0" fontId="0" fillId="15" borderId="13" xfId="0" applyFont="1" applyFill="1" applyBorder="1" applyAlignment="1">
      <alignment horizontal="center" wrapText="1"/>
    </xf>
    <xf numFmtId="0" fontId="0" fillId="3" borderId="7" xfId="0" applyFill="1" applyBorder="1" applyAlignment="1" applyProtection="1">
      <alignment horizontal="center" wrapText="1"/>
      <protection locked="0"/>
    </xf>
    <xf numFmtId="0" fontId="0" fillId="3" borderId="13" xfId="0" applyFont="1" applyFill="1" applyBorder="1" applyAlignment="1">
      <alignment horizontal="center" wrapText="1"/>
    </xf>
    <xf numFmtId="0" fontId="0" fillId="15" borderId="9" xfId="0" applyFill="1" applyBorder="1" applyAlignment="1" applyProtection="1">
      <alignment horizontal="center" wrapText="1"/>
      <protection locked="0"/>
    </xf>
    <xf numFmtId="0" fontId="0" fillId="15" borderId="10" xfId="0" applyFont="1" applyFill="1" applyBorder="1" applyAlignment="1">
      <alignment horizontal="center" wrapText="1"/>
    </xf>
    <xf numFmtId="0" fontId="0" fillId="17" borderId="7" xfId="0" applyFill="1" applyBorder="1" applyAlignment="1" applyProtection="1">
      <alignment horizontal="center" wrapText="1"/>
      <protection locked="0"/>
    </xf>
    <xf numFmtId="0" fontId="0" fillId="17" borderId="13" xfId="0" applyFont="1" applyFill="1" applyBorder="1" applyAlignment="1">
      <alignment horizontal="center" wrapText="1"/>
    </xf>
    <xf numFmtId="0" fontId="0" fillId="22" borderId="7" xfId="0" applyFill="1" applyBorder="1" applyAlignment="1" applyProtection="1">
      <alignment horizontal="center" wrapText="1"/>
      <protection locked="0"/>
    </xf>
    <xf numFmtId="0" fontId="0" fillId="22" borderId="13" xfId="0" applyFont="1" applyFill="1" applyBorder="1" applyAlignment="1">
      <alignment horizontal="center" wrapText="1"/>
    </xf>
    <xf numFmtId="0" fontId="0" fillId="17" borderId="9" xfId="0" applyFill="1" applyBorder="1" applyAlignment="1" applyProtection="1">
      <alignment horizontal="center" wrapText="1"/>
      <protection locked="0"/>
    </xf>
    <xf numFmtId="0" fontId="0" fillId="17" borderId="10" xfId="0" applyFont="1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16" borderId="7" xfId="0" applyFill="1" applyBorder="1" applyAlignment="1" applyProtection="1">
      <alignment horizontal="center" wrapText="1"/>
      <protection locked="0"/>
    </xf>
    <xf numFmtId="0" fontId="0" fillId="16" borderId="13" xfId="0" applyFont="1" applyFill="1" applyBorder="1" applyAlignment="1">
      <alignment horizontal="center" wrapText="1"/>
    </xf>
    <xf numFmtId="0" fontId="0" fillId="26" borderId="7" xfId="0" applyFill="1" applyBorder="1" applyAlignment="1" applyProtection="1">
      <alignment horizontal="center" wrapText="1"/>
      <protection locked="0"/>
    </xf>
    <xf numFmtId="0" fontId="0" fillId="26" borderId="13" xfId="0" applyFont="1" applyFill="1" applyBorder="1" applyAlignment="1">
      <alignment horizontal="center" wrapText="1"/>
    </xf>
    <xf numFmtId="0" fontId="0" fillId="16" borderId="9" xfId="0" applyFill="1" applyBorder="1" applyAlignment="1" applyProtection="1">
      <alignment horizontal="center" wrapText="1"/>
      <protection locked="0"/>
    </xf>
    <xf numFmtId="0" fontId="0" fillId="16" borderId="10" xfId="0" applyFont="1" applyFill="1" applyBorder="1" applyAlignment="1">
      <alignment horizontal="center" wrapText="1"/>
    </xf>
    <xf numFmtId="0" fontId="0" fillId="9" borderId="15" xfId="0" applyFill="1" applyBorder="1" applyAlignment="1">
      <alignment horizontal="center" wrapText="1"/>
    </xf>
    <xf numFmtId="0" fontId="0" fillId="18" borderId="7" xfId="0" applyFill="1" applyBorder="1" applyAlignment="1" applyProtection="1">
      <alignment horizontal="center" wrapText="1"/>
      <protection locked="0"/>
    </xf>
    <xf numFmtId="0" fontId="0" fillId="18" borderId="13" xfId="0" applyFont="1" applyFill="1" applyBorder="1" applyAlignment="1">
      <alignment horizontal="center" wrapText="1"/>
    </xf>
    <xf numFmtId="0" fontId="0" fillId="23" borderId="7" xfId="0" applyFill="1" applyBorder="1" applyAlignment="1" applyProtection="1">
      <alignment horizontal="center" wrapText="1"/>
      <protection locked="0"/>
    </xf>
    <xf numFmtId="0" fontId="0" fillId="23" borderId="13" xfId="0" applyFont="1" applyFill="1" applyBorder="1" applyAlignment="1">
      <alignment horizontal="center" wrapText="1"/>
    </xf>
    <xf numFmtId="0" fontId="0" fillId="18" borderId="9" xfId="0" applyFill="1" applyBorder="1" applyAlignment="1" applyProtection="1">
      <alignment horizontal="center" wrapText="1"/>
      <protection locked="0"/>
    </xf>
    <xf numFmtId="0" fontId="0" fillId="18" borderId="10" xfId="0" applyFont="1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19" borderId="7" xfId="0" applyFill="1" applyBorder="1" applyAlignment="1" applyProtection="1">
      <alignment horizontal="center" wrapText="1"/>
      <protection locked="0"/>
    </xf>
    <xf numFmtId="0" fontId="0" fillId="19" borderId="13" xfId="0" applyFont="1" applyFill="1" applyBorder="1" applyAlignment="1">
      <alignment horizontal="center" wrapText="1"/>
    </xf>
    <xf numFmtId="0" fontId="0" fillId="24" borderId="13" xfId="0" applyFont="1" applyFill="1" applyBorder="1" applyAlignment="1">
      <alignment horizontal="center"/>
    </xf>
    <xf numFmtId="0" fontId="0" fillId="24" borderId="7" xfId="0" applyFill="1" applyBorder="1" applyAlignment="1" applyProtection="1">
      <alignment horizontal="center" wrapText="1"/>
      <protection locked="0"/>
    </xf>
    <xf numFmtId="0" fontId="0" fillId="24" borderId="13" xfId="0" applyFont="1" applyFill="1" applyBorder="1" applyAlignment="1">
      <alignment horizontal="center" wrapText="1"/>
    </xf>
    <xf numFmtId="0" fontId="0" fillId="24" borderId="9" xfId="0" applyFill="1" applyBorder="1" applyAlignment="1" applyProtection="1">
      <alignment horizontal="center" wrapText="1"/>
      <protection locked="0"/>
    </xf>
    <xf numFmtId="0" fontId="0" fillId="24" borderId="10" xfId="0" applyFont="1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20" borderId="7" xfId="0" applyFill="1" applyBorder="1" applyAlignment="1" applyProtection="1">
      <alignment horizontal="center" wrapText="1"/>
      <protection locked="0"/>
    </xf>
    <xf numFmtId="0" fontId="0" fillId="20" borderId="13" xfId="0" applyFont="1" applyFill="1" applyBorder="1" applyAlignment="1">
      <alignment horizontal="center" wrapText="1"/>
    </xf>
    <xf numFmtId="0" fontId="0" fillId="25" borderId="7" xfId="0" applyFill="1" applyBorder="1" applyAlignment="1" applyProtection="1">
      <alignment horizontal="center" wrapText="1"/>
      <protection locked="0"/>
    </xf>
    <xf numFmtId="0" fontId="0" fillId="25" borderId="13" xfId="0" applyFont="1" applyFill="1" applyBorder="1" applyAlignment="1">
      <alignment horizontal="center" wrapText="1"/>
    </xf>
    <xf numFmtId="0" fontId="0" fillId="20" borderId="9" xfId="0" applyFill="1" applyBorder="1" applyAlignment="1" applyProtection="1">
      <alignment horizontal="center" wrapText="1"/>
      <protection locked="0"/>
    </xf>
    <xf numFmtId="0" fontId="0" fillId="20" borderId="10" xfId="0" applyFont="1" applyFill="1" applyBorder="1" applyAlignment="1">
      <alignment horizontal="center" wrapText="1"/>
    </xf>
    <xf numFmtId="0" fontId="0" fillId="14" borderId="15" xfId="0" applyFill="1" applyBorder="1" applyAlignment="1">
      <alignment horizontal="center" wrapText="1"/>
    </xf>
    <xf numFmtId="0" fontId="0" fillId="12" borderId="7" xfId="0" applyFill="1" applyBorder="1" applyAlignment="1" applyProtection="1">
      <alignment horizontal="center" wrapText="1"/>
      <protection locked="0"/>
    </xf>
    <xf numFmtId="0" fontId="0" fillId="12" borderId="13" xfId="0" applyFont="1" applyFill="1" applyBorder="1" applyAlignment="1">
      <alignment horizontal="center" wrapText="1"/>
    </xf>
    <xf numFmtId="0" fontId="0" fillId="13" borderId="7" xfId="0" applyFill="1" applyBorder="1" applyAlignment="1" applyProtection="1">
      <alignment horizontal="center" wrapText="1"/>
      <protection locked="0"/>
    </xf>
    <xf numFmtId="0" fontId="0" fillId="13" borderId="13" xfId="0" applyFont="1" applyFill="1" applyBorder="1" applyAlignment="1">
      <alignment horizontal="center" wrapText="1"/>
    </xf>
    <xf numFmtId="0" fontId="0" fillId="13" borderId="9" xfId="0" applyFill="1" applyBorder="1" applyAlignment="1" applyProtection="1">
      <alignment horizontal="center" wrapText="1"/>
      <protection locked="0"/>
    </xf>
    <xf numFmtId="0" fontId="0" fillId="13" borderId="10" xfId="0" applyFont="1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0" fillId="4" borderId="7" xfId="0" applyFill="1" applyBorder="1" applyAlignment="1" applyProtection="1">
      <alignment horizontal="center" wrapText="1"/>
      <protection locked="0"/>
    </xf>
    <xf numFmtId="0" fontId="0" fillId="4" borderId="13" xfId="0" applyFont="1" applyFill="1" applyBorder="1" applyAlignment="1">
      <alignment horizontal="center" wrapText="1"/>
    </xf>
    <xf numFmtId="0" fontId="0" fillId="21" borderId="7" xfId="0" applyFill="1" applyBorder="1" applyAlignment="1" applyProtection="1">
      <alignment horizontal="center" wrapText="1"/>
      <protection locked="0"/>
    </xf>
    <xf numFmtId="0" fontId="0" fillId="21" borderId="13" xfId="0" applyFont="1" applyFill="1" applyBorder="1" applyAlignment="1">
      <alignment horizontal="center" wrapText="1"/>
    </xf>
    <xf numFmtId="0" fontId="0" fillId="4" borderId="9" xfId="0" applyFill="1" applyBorder="1" applyAlignment="1" applyProtection="1">
      <alignment horizontal="center" wrapText="1"/>
      <protection locked="0"/>
    </xf>
    <xf numFmtId="0" fontId="0" fillId="4" borderId="10" xfId="0" applyFont="1" applyFill="1" applyBorder="1" applyAlignment="1">
      <alignment horizontal="center" wrapText="1"/>
    </xf>
    <xf numFmtId="0" fontId="3" fillId="8" borderId="15" xfId="0" applyFont="1" applyFill="1" applyBorder="1" applyAlignment="1">
      <alignment horizontal="center" wrapText="1"/>
    </xf>
    <xf numFmtId="0" fontId="3" fillId="8" borderId="15" xfId="0" applyFont="1" applyFill="1" applyBorder="1" applyAlignment="1">
      <alignment horizontal="right" wrapText="1"/>
    </xf>
    <xf numFmtId="0" fontId="3" fillId="6" borderId="15" xfId="0" applyFont="1" applyFill="1" applyBorder="1" applyAlignment="1">
      <alignment horizontal="right" wrapText="1"/>
    </xf>
    <xf numFmtId="0" fontId="3" fillId="8" borderId="2" xfId="0" applyFont="1" applyFill="1" applyBorder="1" applyAlignment="1">
      <alignment horizontal="right" wrapText="1"/>
    </xf>
    <xf numFmtId="0" fontId="3" fillId="6" borderId="2" xfId="0" applyFont="1" applyFill="1" applyBorder="1" applyAlignment="1">
      <alignment horizontal="right" wrapText="1"/>
    </xf>
    <xf numFmtId="0" fontId="3" fillId="6" borderId="15" xfId="0" applyFont="1" applyFill="1" applyBorder="1" applyAlignment="1">
      <alignment horizontal="center" wrapText="1"/>
    </xf>
    <xf numFmtId="0" fontId="3" fillId="8" borderId="14" xfId="0" applyFont="1" applyFill="1" applyBorder="1" applyAlignment="1" applyProtection="1">
      <alignment horizontal="right" wrapText="1"/>
    </xf>
    <xf numFmtId="0" fontId="0" fillId="2" borderId="0" xfId="0" applyFill="1" applyAlignment="1" applyProtection="1">
      <alignment wrapText="1"/>
      <protection locked="0"/>
    </xf>
    <xf numFmtId="0" fontId="3" fillId="8" borderId="2" xfId="0" applyFont="1" applyFill="1" applyBorder="1" applyAlignment="1">
      <alignment horizontal="center" wrapText="1"/>
    </xf>
    <xf numFmtId="0" fontId="0" fillId="15" borderId="3" xfId="0" applyFill="1" applyBorder="1" applyAlignment="1" applyProtection="1">
      <alignment horizontal="center" wrapText="1"/>
      <protection locked="0"/>
    </xf>
    <xf numFmtId="0" fontId="0" fillId="3" borderId="3" xfId="0" applyFill="1" applyBorder="1" applyAlignment="1" applyProtection="1">
      <alignment horizontal="center" wrapText="1"/>
      <protection locked="0"/>
    </xf>
    <xf numFmtId="0" fontId="0" fillId="15" borderId="4" xfId="0" applyFill="1" applyBorder="1" applyAlignment="1" applyProtection="1">
      <alignment horizontal="center" wrapText="1"/>
      <protection locked="0"/>
    </xf>
    <xf numFmtId="0" fontId="3" fillId="6" borderId="2" xfId="0" applyFont="1" applyFill="1" applyBorder="1" applyAlignment="1">
      <alignment horizontal="center" wrapText="1"/>
    </xf>
    <xf numFmtId="0" fontId="0" fillId="17" borderId="3" xfId="0" applyFill="1" applyBorder="1" applyAlignment="1" applyProtection="1">
      <alignment horizontal="center" wrapText="1"/>
      <protection locked="0"/>
    </xf>
    <xf numFmtId="0" fontId="0" fillId="22" borderId="3" xfId="0" applyFill="1" applyBorder="1" applyAlignment="1" applyProtection="1">
      <alignment horizontal="center" wrapText="1"/>
      <protection locked="0"/>
    </xf>
    <xf numFmtId="0" fontId="0" fillId="17" borderId="4" xfId="0" applyFill="1" applyBorder="1" applyAlignment="1" applyProtection="1">
      <alignment horizontal="center" wrapText="1"/>
      <protection locked="0"/>
    </xf>
    <xf numFmtId="0" fontId="3" fillId="5" borderId="2" xfId="0" applyFont="1" applyFill="1" applyBorder="1" applyAlignment="1">
      <alignment horizontal="center" wrapText="1"/>
    </xf>
    <xf numFmtId="0" fontId="0" fillId="16" borderId="3" xfId="0" applyFill="1" applyBorder="1" applyAlignment="1" applyProtection="1">
      <alignment horizontal="center" wrapText="1"/>
      <protection locked="0"/>
    </xf>
    <xf numFmtId="0" fontId="0" fillId="26" borderId="3" xfId="0" applyFill="1" applyBorder="1" applyAlignment="1" applyProtection="1">
      <alignment horizontal="center" wrapText="1"/>
      <protection locked="0"/>
    </xf>
    <xf numFmtId="0" fontId="0" fillId="16" borderId="4" xfId="0" applyFill="1" applyBorder="1" applyAlignment="1" applyProtection="1">
      <alignment horizontal="center" wrapText="1"/>
      <protection locked="0"/>
    </xf>
    <xf numFmtId="0" fontId="3" fillId="9" borderId="2" xfId="0" applyFont="1" applyFill="1" applyBorder="1" applyAlignment="1">
      <alignment horizontal="center" wrapText="1"/>
    </xf>
    <xf numFmtId="0" fontId="0" fillId="18" borderId="3" xfId="0" applyFill="1" applyBorder="1" applyAlignment="1" applyProtection="1">
      <alignment horizontal="center" wrapText="1"/>
      <protection locked="0"/>
    </xf>
    <xf numFmtId="0" fontId="0" fillId="23" borderId="3" xfId="0" applyFill="1" applyBorder="1" applyAlignment="1" applyProtection="1">
      <alignment horizontal="center" wrapText="1"/>
      <protection locked="0"/>
    </xf>
    <xf numFmtId="0" fontId="0" fillId="18" borderId="4" xfId="0" applyFill="1" applyBorder="1" applyAlignment="1" applyProtection="1">
      <alignment horizontal="center" wrapText="1"/>
      <protection locked="0"/>
    </xf>
    <xf numFmtId="0" fontId="3" fillId="10" borderId="2" xfId="0" applyFont="1" applyFill="1" applyBorder="1" applyAlignment="1">
      <alignment horizontal="center" wrapText="1"/>
    </xf>
    <xf numFmtId="0" fontId="0" fillId="19" borderId="3" xfId="0" applyFill="1" applyBorder="1" applyAlignment="1" applyProtection="1">
      <alignment horizontal="center" wrapText="1"/>
      <protection locked="0"/>
    </xf>
    <xf numFmtId="0" fontId="0" fillId="24" borderId="3" xfId="0" applyFill="1" applyBorder="1" applyAlignment="1" applyProtection="1">
      <alignment horizontal="center"/>
      <protection locked="0"/>
    </xf>
    <xf numFmtId="0" fontId="0" fillId="24" borderId="3" xfId="0" applyFill="1" applyBorder="1" applyAlignment="1" applyProtection="1">
      <alignment horizontal="center" wrapText="1"/>
      <protection locked="0"/>
    </xf>
    <xf numFmtId="0" fontId="0" fillId="24" borderId="4" xfId="0" applyFill="1" applyBorder="1" applyAlignment="1" applyProtection="1">
      <alignment horizontal="center" wrapText="1"/>
      <protection locked="0"/>
    </xf>
    <xf numFmtId="0" fontId="3" fillId="11" borderId="2" xfId="0" applyFont="1" applyFill="1" applyBorder="1" applyAlignment="1">
      <alignment horizontal="center" wrapText="1"/>
    </xf>
    <xf numFmtId="0" fontId="0" fillId="20" borderId="3" xfId="0" applyFill="1" applyBorder="1" applyAlignment="1" applyProtection="1">
      <alignment horizontal="center" wrapText="1"/>
      <protection locked="0"/>
    </xf>
    <xf numFmtId="0" fontId="0" fillId="25" borderId="3" xfId="0" applyFill="1" applyBorder="1" applyAlignment="1" applyProtection="1">
      <alignment horizontal="center" wrapText="1"/>
      <protection locked="0"/>
    </xf>
    <xf numFmtId="0" fontId="0" fillId="20" borderId="4" xfId="0" applyFill="1" applyBorder="1" applyAlignment="1" applyProtection="1">
      <alignment horizontal="center" wrapText="1"/>
      <protection locked="0"/>
    </xf>
    <xf numFmtId="0" fontId="3" fillId="14" borderId="2" xfId="0" applyFont="1" applyFill="1" applyBorder="1" applyAlignment="1">
      <alignment horizontal="center" wrapText="1"/>
    </xf>
    <xf numFmtId="0" fontId="0" fillId="12" borderId="3" xfId="0" applyFill="1" applyBorder="1" applyAlignment="1" applyProtection="1">
      <alignment horizontal="center" wrapText="1"/>
      <protection locked="0"/>
    </xf>
    <xf numFmtId="0" fontId="0" fillId="13" borderId="3" xfId="0" applyFill="1" applyBorder="1" applyAlignment="1" applyProtection="1">
      <alignment horizontal="center" wrapText="1"/>
      <protection locked="0"/>
    </xf>
    <xf numFmtId="0" fontId="0" fillId="13" borderId="4" xfId="0" applyFill="1" applyBorder="1" applyAlignment="1" applyProtection="1">
      <alignment horizontal="center" wrapText="1"/>
      <protection locked="0"/>
    </xf>
    <xf numFmtId="0" fontId="3" fillId="7" borderId="2" xfId="0" applyFont="1" applyFill="1" applyBorder="1" applyAlignment="1">
      <alignment horizontal="center" wrapText="1"/>
    </xf>
    <xf numFmtId="0" fontId="0" fillId="4" borderId="3" xfId="0" applyFill="1" applyBorder="1" applyAlignment="1" applyProtection="1">
      <alignment horizontal="center" wrapText="1"/>
      <protection locked="0"/>
    </xf>
    <xf numFmtId="0" fontId="0" fillId="21" borderId="3" xfId="0" applyFill="1" applyBorder="1" applyAlignment="1" applyProtection="1">
      <alignment horizontal="center" wrapText="1"/>
      <protection locked="0"/>
    </xf>
    <xf numFmtId="0" fontId="0" fillId="4" borderId="4" xfId="0" applyFill="1" applyBorder="1" applyAlignment="1" applyProtection="1">
      <alignment horizontal="center" wrapText="1"/>
      <protection locked="0"/>
    </xf>
    <xf numFmtId="0" fontId="0" fillId="8" borderId="11" xfId="0" applyFill="1" applyBorder="1" applyAlignment="1">
      <alignment horizontal="center" wrapText="1"/>
    </xf>
    <xf numFmtId="0" fontId="0" fillId="6" borderId="11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0" fillId="9" borderId="11" xfId="0" applyFill="1" applyBorder="1" applyAlignment="1">
      <alignment horizontal="center" wrapText="1"/>
    </xf>
    <xf numFmtId="0" fontId="0" fillId="10" borderId="11" xfId="0" applyFill="1" applyBorder="1" applyAlignment="1">
      <alignment horizontal="center" wrapText="1"/>
    </xf>
    <xf numFmtId="0" fontId="0" fillId="11" borderId="11" xfId="0" applyFill="1" applyBorder="1" applyAlignment="1">
      <alignment horizontal="center" wrapText="1"/>
    </xf>
    <xf numFmtId="0" fontId="0" fillId="14" borderId="11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8" borderId="11" xfId="0" applyFill="1" applyBorder="1" applyAlignment="1">
      <alignment horizontal="right" wrapText="1"/>
    </xf>
    <xf numFmtId="0" fontId="0" fillId="6" borderId="11" xfId="0" applyFill="1" applyBorder="1" applyAlignment="1">
      <alignment horizontal="right" wrapText="1"/>
    </xf>
    <xf numFmtId="0" fontId="0" fillId="5" borderId="11" xfId="0" applyFill="1" applyBorder="1" applyAlignment="1">
      <alignment horizontal="right" wrapText="1"/>
    </xf>
    <xf numFmtId="0" fontId="0" fillId="9" borderId="11" xfId="0" applyFill="1" applyBorder="1" applyAlignment="1">
      <alignment horizontal="right" wrapText="1"/>
    </xf>
    <xf numFmtId="0" fontId="0" fillId="10" borderId="11" xfId="0" applyFill="1" applyBorder="1" applyAlignment="1">
      <alignment horizontal="right" wrapText="1"/>
    </xf>
    <xf numFmtId="0" fontId="0" fillId="11" borderId="11" xfId="0" applyFill="1" applyBorder="1" applyAlignment="1">
      <alignment horizontal="right" wrapText="1"/>
    </xf>
    <xf numFmtId="0" fontId="0" fillId="14" borderId="11" xfId="0" applyFill="1" applyBorder="1" applyAlignment="1">
      <alignment horizontal="right" wrapText="1"/>
    </xf>
    <xf numFmtId="0" fontId="0" fillId="7" borderId="11" xfId="0" applyFill="1" applyBorder="1" applyAlignment="1">
      <alignment horizontal="right" wrapText="1"/>
    </xf>
    <xf numFmtId="0" fontId="2" fillId="28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wrapText="1"/>
    </xf>
    <xf numFmtId="0" fontId="2" fillId="28" borderId="6" xfId="0" applyFont="1" applyFill="1" applyBorder="1" applyAlignment="1">
      <alignment horizontal="center" vertical="center" wrapText="1"/>
    </xf>
    <xf numFmtId="0" fontId="2" fillId="28" borderId="8" xfId="0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vertical="center" wrapText="1"/>
    </xf>
    <xf numFmtId="0" fontId="0" fillId="15" borderId="3" xfId="0" applyFill="1" applyBorder="1" applyAlignment="1" applyProtection="1">
      <alignment horizontal="right" wrapText="1"/>
      <protection locked="0"/>
    </xf>
    <xf numFmtId="0" fontId="0" fillId="3" borderId="3" xfId="0" applyFill="1" applyBorder="1" applyAlignment="1" applyProtection="1">
      <alignment horizontal="right" wrapText="1"/>
      <protection locked="0"/>
    </xf>
    <xf numFmtId="0" fontId="0" fillId="15" borderId="4" xfId="0" applyFill="1" applyBorder="1" applyAlignment="1" applyProtection="1">
      <alignment horizontal="right" wrapText="1"/>
      <protection locked="0"/>
    </xf>
    <xf numFmtId="0" fontId="0" fillId="17" borderId="3" xfId="0" applyFill="1" applyBorder="1" applyAlignment="1" applyProtection="1">
      <alignment horizontal="right" wrapText="1"/>
      <protection locked="0"/>
    </xf>
    <xf numFmtId="0" fontId="0" fillId="22" borderId="3" xfId="0" applyFill="1" applyBorder="1" applyAlignment="1" applyProtection="1">
      <alignment horizontal="right" wrapText="1"/>
      <protection locked="0"/>
    </xf>
    <xf numFmtId="0" fontId="0" fillId="22" borderId="4" xfId="0" applyFill="1" applyBorder="1" applyAlignment="1" applyProtection="1">
      <alignment horizontal="right" wrapText="1"/>
      <protection locked="0"/>
    </xf>
    <xf numFmtId="0" fontId="3" fillId="5" borderId="2" xfId="0" applyFont="1" applyFill="1" applyBorder="1" applyAlignment="1">
      <alignment horizontal="right" wrapText="1"/>
    </xf>
    <xf numFmtId="0" fontId="0" fillId="16" borderId="3" xfId="0" applyFill="1" applyBorder="1" applyAlignment="1" applyProtection="1">
      <alignment horizontal="right" wrapText="1"/>
      <protection locked="0"/>
    </xf>
    <xf numFmtId="0" fontId="0" fillId="26" borderId="4" xfId="0" applyFill="1" applyBorder="1" applyAlignment="1" applyProtection="1">
      <alignment horizontal="right" wrapText="1"/>
      <protection locked="0"/>
    </xf>
    <xf numFmtId="0" fontId="3" fillId="9" borderId="2" xfId="0" applyFont="1" applyFill="1" applyBorder="1" applyAlignment="1">
      <alignment horizontal="right" wrapText="1"/>
    </xf>
    <xf numFmtId="0" fontId="0" fillId="18" borderId="3" xfId="0" applyFill="1" applyBorder="1" applyAlignment="1" applyProtection="1">
      <alignment horizontal="right" wrapText="1"/>
      <protection locked="0"/>
    </xf>
    <xf numFmtId="0" fontId="0" fillId="23" borderId="3" xfId="0" applyFill="1" applyBorder="1" applyAlignment="1" applyProtection="1">
      <alignment horizontal="right" wrapText="1"/>
      <protection locked="0"/>
    </xf>
    <xf numFmtId="0" fontId="0" fillId="18" borderId="4" xfId="0" applyFill="1" applyBorder="1" applyAlignment="1" applyProtection="1">
      <alignment horizontal="right" wrapText="1"/>
      <protection locked="0"/>
    </xf>
    <xf numFmtId="0" fontId="3" fillId="10" borderId="2" xfId="0" applyFont="1" applyFill="1" applyBorder="1" applyAlignment="1">
      <alignment horizontal="right" wrapText="1"/>
    </xf>
    <xf numFmtId="0" fontId="0" fillId="19" borderId="3" xfId="0" applyFill="1" applyBorder="1" applyAlignment="1" applyProtection="1">
      <alignment horizontal="right" wrapText="1"/>
      <protection locked="0"/>
    </xf>
    <xf numFmtId="0" fontId="0" fillId="24" borderId="3" xfId="0" applyFill="1" applyBorder="1" applyAlignment="1" applyProtection="1">
      <alignment horizontal="right"/>
      <protection locked="0"/>
    </xf>
    <xf numFmtId="0" fontId="0" fillId="19" borderId="4" xfId="0" applyFill="1" applyBorder="1" applyAlignment="1" applyProtection="1">
      <alignment horizontal="right" wrapText="1"/>
      <protection locked="0"/>
    </xf>
    <xf numFmtId="0" fontId="3" fillId="11" borderId="2" xfId="0" applyFont="1" applyFill="1" applyBorder="1" applyAlignment="1">
      <alignment horizontal="right" wrapText="1"/>
    </xf>
    <xf numFmtId="0" fontId="0" fillId="20" borderId="3" xfId="0" applyFill="1" applyBorder="1" applyAlignment="1" applyProtection="1">
      <alignment horizontal="right" wrapText="1"/>
      <protection locked="0"/>
    </xf>
    <xf numFmtId="0" fontId="0" fillId="25" borderId="4" xfId="0" applyFill="1" applyBorder="1" applyAlignment="1" applyProtection="1">
      <alignment horizontal="right" wrapText="1"/>
      <protection locked="0"/>
    </xf>
    <xf numFmtId="0" fontId="3" fillId="14" borderId="2" xfId="0" applyFont="1" applyFill="1" applyBorder="1" applyAlignment="1">
      <alignment horizontal="right" wrapText="1"/>
    </xf>
    <xf numFmtId="0" fontId="0" fillId="12" borderId="3" xfId="0" applyFill="1" applyBorder="1" applyAlignment="1" applyProtection="1">
      <alignment horizontal="right" wrapText="1"/>
      <protection locked="0"/>
    </xf>
    <xf numFmtId="0" fontId="0" fillId="13" borderId="3" xfId="0" applyFill="1" applyBorder="1" applyAlignment="1" applyProtection="1">
      <alignment horizontal="right" wrapText="1"/>
      <protection locked="0"/>
    </xf>
    <xf numFmtId="0" fontId="0" fillId="13" borderId="4" xfId="0" applyFill="1" applyBorder="1" applyAlignment="1" applyProtection="1">
      <alignment horizontal="right" wrapText="1"/>
      <protection locked="0"/>
    </xf>
    <xf numFmtId="0" fontId="3" fillId="7" borderId="2" xfId="0" applyFont="1" applyFill="1" applyBorder="1" applyAlignment="1">
      <alignment horizontal="right" wrapText="1"/>
    </xf>
    <xf numFmtId="0" fontId="0" fillId="4" borderId="3" xfId="0" applyFill="1" applyBorder="1" applyAlignment="1" applyProtection="1">
      <alignment horizontal="right" wrapText="1"/>
      <protection locked="0"/>
    </xf>
    <xf numFmtId="0" fontId="0" fillId="21" borderId="3" xfId="0" applyFill="1" applyBorder="1" applyAlignment="1" applyProtection="1">
      <alignment horizontal="right" wrapText="1"/>
      <protection locked="0"/>
    </xf>
    <xf numFmtId="0" fontId="0" fillId="4" borderId="4" xfId="0" applyFill="1" applyBorder="1" applyAlignment="1" applyProtection="1">
      <alignment horizontal="right" wrapText="1"/>
      <protection locked="0"/>
    </xf>
    <xf numFmtId="0" fontId="0" fillId="25" borderId="3" xfId="0" applyFill="1" applyBorder="1" applyAlignment="1" applyProtection="1">
      <alignment horizontal="right" wrapText="1"/>
      <protection locked="0"/>
    </xf>
    <xf numFmtId="0" fontId="2" fillId="28" borderId="8" xfId="0" applyFont="1" applyFill="1" applyBorder="1" applyAlignment="1" applyProtection="1">
      <alignment horizontal="center" vertical="center" wrapText="1"/>
      <protection locked="0"/>
    </xf>
    <xf numFmtId="0" fontId="0" fillId="26" borderId="3" xfId="0" applyFill="1" applyBorder="1" applyAlignment="1" applyProtection="1">
      <alignment horizontal="right" wrapText="1"/>
      <protection locked="0"/>
    </xf>
    <xf numFmtId="0" fontId="0" fillId="16" borderId="4" xfId="0" applyFill="1" applyBorder="1" applyAlignment="1" applyProtection="1">
      <alignment horizontal="right" wrapText="1"/>
      <protection locked="0"/>
    </xf>
    <xf numFmtId="0" fontId="0" fillId="24" borderId="3" xfId="0" applyFill="1" applyBorder="1" applyAlignment="1" applyProtection="1">
      <alignment horizontal="right" wrapText="1"/>
      <protection locked="0"/>
    </xf>
    <xf numFmtId="0" fontId="0" fillId="24" borderId="4" xfId="0" applyFill="1" applyBorder="1" applyAlignment="1" applyProtection="1">
      <alignment horizontal="right" wrapText="1"/>
      <protection locked="0"/>
    </xf>
    <xf numFmtId="0" fontId="0" fillId="12" borderId="4" xfId="0" applyFill="1" applyBorder="1" applyAlignment="1" applyProtection="1">
      <alignment horizontal="right" wrapText="1"/>
      <protection locked="0"/>
    </xf>
    <xf numFmtId="0" fontId="10" fillId="15" borderId="13" xfId="0" applyFont="1" applyFill="1" applyBorder="1" applyAlignment="1" applyProtection="1">
      <alignment horizontal="right" wrapText="1"/>
      <protection locked="0"/>
    </xf>
    <xf numFmtId="0" fontId="10" fillId="3" borderId="13" xfId="0" applyFont="1" applyFill="1" applyBorder="1" applyAlignment="1" applyProtection="1">
      <alignment horizontal="right" wrapText="1"/>
      <protection locked="0"/>
    </xf>
    <xf numFmtId="0" fontId="10" fillId="15" borderId="10" xfId="0" applyFont="1" applyFill="1" applyBorder="1" applyAlignment="1" applyProtection="1">
      <alignment horizontal="right" wrapText="1"/>
      <protection locked="0"/>
    </xf>
    <xf numFmtId="0" fontId="11" fillId="6" borderId="14" xfId="0" applyFont="1" applyFill="1" applyBorder="1" applyAlignment="1" applyProtection="1">
      <alignment horizontal="right" wrapText="1"/>
    </xf>
    <xf numFmtId="0" fontId="10" fillId="17" borderId="13" xfId="0" applyFont="1" applyFill="1" applyBorder="1" applyAlignment="1" applyProtection="1">
      <alignment horizontal="right" wrapText="1"/>
      <protection locked="0"/>
    </xf>
    <xf numFmtId="0" fontId="10" fillId="22" borderId="13" xfId="0" applyFont="1" applyFill="1" applyBorder="1" applyAlignment="1" applyProtection="1">
      <alignment horizontal="right" wrapText="1"/>
      <protection locked="0"/>
    </xf>
    <xf numFmtId="0" fontId="10" fillId="22" borderId="10" xfId="0" applyFont="1" applyFill="1" applyBorder="1" applyAlignment="1" applyProtection="1">
      <alignment horizontal="right" wrapText="1"/>
      <protection locked="0"/>
    </xf>
    <xf numFmtId="0" fontId="10" fillId="5" borderId="14" xfId="0" applyFont="1" applyFill="1" applyBorder="1" applyAlignment="1" applyProtection="1">
      <alignment horizontal="right" wrapText="1"/>
    </xf>
    <xf numFmtId="0" fontId="10" fillId="16" borderId="13" xfId="0" applyFont="1" applyFill="1" applyBorder="1" applyAlignment="1" applyProtection="1">
      <alignment horizontal="right" wrapText="1"/>
      <protection locked="0"/>
    </xf>
    <xf numFmtId="0" fontId="10" fillId="26" borderId="10" xfId="0" applyFont="1" applyFill="1" applyBorder="1" applyAlignment="1" applyProtection="1">
      <alignment horizontal="right" wrapText="1"/>
      <protection locked="0"/>
    </xf>
    <xf numFmtId="0" fontId="10" fillId="9" borderId="14" xfId="0" applyFont="1" applyFill="1" applyBorder="1" applyAlignment="1" applyProtection="1">
      <alignment horizontal="right" wrapText="1"/>
    </xf>
    <xf numFmtId="0" fontId="10" fillId="18" borderId="13" xfId="0" applyFont="1" applyFill="1" applyBorder="1" applyAlignment="1" applyProtection="1">
      <alignment horizontal="right" wrapText="1"/>
      <protection locked="0"/>
    </xf>
    <xf numFmtId="0" fontId="10" fillId="23" borderId="13" xfId="0" applyFont="1" applyFill="1" applyBorder="1" applyAlignment="1" applyProtection="1">
      <alignment horizontal="right" wrapText="1"/>
      <protection locked="0"/>
    </xf>
    <xf numFmtId="0" fontId="10" fillId="18" borderId="10" xfId="0" applyFont="1" applyFill="1" applyBorder="1" applyAlignment="1" applyProtection="1">
      <alignment horizontal="right" wrapText="1"/>
      <protection locked="0"/>
    </xf>
    <xf numFmtId="0" fontId="10" fillId="10" borderId="14" xfId="0" applyFont="1" applyFill="1" applyBorder="1" applyAlignment="1" applyProtection="1">
      <alignment horizontal="right" wrapText="1"/>
    </xf>
    <xf numFmtId="0" fontId="10" fillId="19" borderId="13" xfId="0" applyFont="1" applyFill="1" applyBorder="1" applyAlignment="1" applyProtection="1">
      <alignment horizontal="right" wrapText="1"/>
      <protection locked="0"/>
    </xf>
    <xf numFmtId="0" fontId="10" fillId="24" borderId="13" xfId="0" applyFont="1" applyFill="1" applyBorder="1" applyAlignment="1" applyProtection="1">
      <alignment horizontal="right"/>
      <protection locked="0"/>
    </xf>
    <xf numFmtId="0" fontId="10" fillId="19" borderId="10" xfId="0" applyFont="1" applyFill="1" applyBorder="1" applyAlignment="1" applyProtection="1">
      <alignment horizontal="right" wrapText="1"/>
      <protection locked="0"/>
    </xf>
    <xf numFmtId="0" fontId="10" fillId="11" borderId="14" xfId="0" applyFont="1" applyFill="1" applyBorder="1" applyAlignment="1" applyProtection="1">
      <alignment horizontal="right" wrapText="1"/>
    </xf>
    <xf numFmtId="0" fontId="10" fillId="20" borderId="13" xfId="0" applyFont="1" applyFill="1" applyBorder="1" applyAlignment="1" applyProtection="1">
      <alignment horizontal="right" wrapText="1"/>
      <protection locked="0"/>
    </xf>
    <xf numFmtId="0" fontId="10" fillId="25" borderId="13" xfId="0" applyFont="1" applyFill="1" applyBorder="1" applyAlignment="1" applyProtection="1">
      <alignment horizontal="right" wrapText="1"/>
      <protection locked="0"/>
    </xf>
    <xf numFmtId="0" fontId="10" fillId="25" borderId="10" xfId="0" applyFont="1" applyFill="1" applyBorder="1" applyAlignment="1" applyProtection="1">
      <alignment horizontal="right" wrapText="1"/>
      <protection locked="0"/>
    </xf>
    <xf numFmtId="0" fontId="10" fillId="14" borderId="14" xfId="0" applyFont="1" applyFill="1" applyBorder="1" applyAlignment="1" applyProtection="1">
      <alignment horizontal="right" wrapText="1"/>
    </xf>
    <xf numFmtId="0" fontId="10" fillId="12" borderId="13" xfId="0" applyFont="1" applyFill="1" applyBorder="1" applyAlignment="1" applyProtection="1">
      <alignment horizontal="right" wrapText="1"/>
      <protection locked="0"/>
    </xf>
    <xf numFmtId="0" fontId="10" fillId="13" borderId="13" xfId="0" applyFont="1" applyFill="1" applyBorder="1" applyAlignment="1" applyProtection="1">
      <alignment horizontal="right" wrapText="1"/>
      <protection locked="0"/>
    </xf>
    <xf numFmtId="0" fontId="10" fillId="13" borderId="10" xfId="0" applyFont="1" applyFill="1" applyBorder="1" applyAlignment="1" applyProtection="1">
      <alignment horizontal="right" wrapText="1"/>
      <protection locked="0"/>
    </xf>
    <xf numFmtId="0" fontId="10" fillId="7" borderId="14" xfId="0" applyFont="1" applyFill="1" applyBorder="1" applyAlignment="1" applyProtection="1">
      <alignment horizontal="right" wrapText="1"/>
    </xf>
    <xf numFmtId="6" fontId="10" fillId="4" borderId="13" xfId="0" applyNumberFormat="1" applyFont="1" applyFill="1" applyBorder="1" applyAlignment="1" applyProtection="1">
      <alignment horizontal="right" wrapText="1"/>
      <protection locked="0"/>
    </xf>
    <xf numFmtId="0" fontId="10" fillId="21" borderId="13" xfId="0" applyFont="1" applyFill="1" applyBorder="1" applyAlignment="1" applyProtection="1">
      <alignment horizontal="right" wrapText="1"/>
      <protection locked="0"/>
    </xf>
    <xf numFmtId="0" fontId="10" fillId="4" borderId="13" xfId="0" applyFont="1" applyFill="1" applyBorder="1" applyAlignment="1" applyProtection="1">
      <alignment horizontal="right" wrapText="1"/>
      <protection locked="0"/>
    </xf>
    <xf numFmtId="0" fontId="10" fillId="4" borderId="10" xfId="0" applyFont="1" applyFill="1" applyBorder="1" applyAlignment="1" applyProtection="1">
      <alignment horizontal="right" wrapText="1"/>
      <protection locked="0"/>
    </xf>
    <xf numFmtId="0" fontId="11" fillId="8" borderId="14" xfId="0" applyFont="1" applyFill="1" applyBorder="1" applyAlignment="1" applyProtection="1">
      <alignment horizontal="right" wrapText="1"/>
    </xf>
    <xf numFmtId="0" fontId="11" fillId="8" borderId="14" xfId="0" applyFont="1" applyFill="1" applyBorder="1" applyAlignment="1">
      <alignment horizontal="right" wrapText="1"/>
    </xf>
    <xf numFmtId="0" fontId="10" fillId="15" borderId="13" xfId="0" applyFont="1" applyFill="1" applyBorder="1" applyAlignment="1" applyProtection="1">
      <alignment horizontal="left" wrapText="1"/>
      <protection locked="0"/>
    </xf>
    <xf numFmtId="0" fontId="11" fillId="6" borderId="14" xfId="0" applyFont="1" applyFill="1" applyBorder="1" applyAlignment="1">
      <alignment horizontal="center" wrapText="1"/>
    </xf>
    <xf numFmtId="0" fontId="10" fillId="17" borderId="10" xfId="0" applyFont="1" applyFill="1" applyBorder="1" applyAlignment="1" applyProtection="1">
      <alignment horizontal="right" wrapText="1"/>
      <protection locked="0"/>
    </xf>
    <xf numFmtId="0" fontId="10" fillId="5" borderId="14" xfId="0" applyFont="1" applyFill="1" applyBorder="1" applyAlignment="1">
      <alignment horizontal="right" wrapText="1"/>
    </xf>
    <xf numFmtId="0" fontId="10" fillId="26" borderId="13" xfId="0" applyFont="1" applyFill="1" applyBorder="1" applyAlignment="1" applyProtection="1">
      <alignment horizontal="right" wrapText="1"/>
      <protection locked="0"/>
    </xf>
    <xf numFmtId="0" fontId="10" fillId="16" borderId="10" xfId="0" applyFont="1" applyFill="1" applyBorder="1" applyAlignment="1" applyProtection="1">
      <alignment horizontal="right" wrapText="1"/>
      <protection locked="0"/>
    </xf>
    <xf numFmtId="0" fontId="10" fillId="9" borderId="14" xfId="0" applyFont="1" applyFill="1" applyBorder="1" applyAlignment="1">
      <alignment horizontal="right" wrapText="1"/>
    </xf>
    <xf numFmtId="0" fontId="10" fillId="10" borderId="14" xfId="0" applyFont="1" applyFill="1" applyBorder="1" applyAlignment="1">
      <alignment horizontal="right" wrapText="1"/>
    </xf>
    <xf numFmtId="0" fontId="10" fillId="24" borderId="13" xfId="0" applyFont="1" applyFill="1" applyBorder="1" applyAlignment="1" applyProtection="1">
      <alignment horizontal="right" wrapText="1"/>
      <protection locked="0"/>
    </xf>
    <xf numFmtId="0" fontId="10" fillId="24" borderId="10" xfId="0" applyFont="1" applyFill="1" applyBorder="1" applyAlignment="1" applyProtection="1">
      <alignment horizontal="right" wrapText="1"/>
      <protection locked="0"/>
    </xf>
    <xf numFmtId="0" fontId="10" fillId="11" borderId="14" xfId="0" applyFont="1" applyFill="1" applyBorder="1" applyAlignment="1">
      <alignment horizontal="right" wrapText="1"/>
    </xf>
    <xf numFmtId="0" fontId="10" fillId="20" borderId="10" xfId="0" applyFont="1" applyFill="1" applyBorder="1" applyAlignment="1" applyProtection="1">
      <alignment horizontal="right" wrapText="1"/>
      <protection locked="0"/>
    </xf>
    <xf numFmtId="0" fontId="10" fillId="14" borderId="14" xfId="0" applyFont="1" applyFill="1" applyBorder="1" applyAlignment="1">
      <alignment horizontal="right" wrapText="1"/>
    </xf>
    <xf numFmtId="0" fontId="10" fillId="7" borderId="14" xfId="0" applyFont="1" applyFill="1" applyBorder="1" applyAlignment="1">
      <alignment horizontal="right" wrapText="1"/>
    </xf>
    <xf numFmtId="0" fontId="10" fillId="15" borderId="3" xfId="0" applyFont="1" applyFill="1" applyBorder="1" applyAlignment="1" applyProtection="1">
      <alignment horizontal="left" wrapText="1"/>
      <protection locked="0"/>
    </xf>
    <xf numFmtId="0" fontId="10" fillId="3" borderId="3" xfId="0" applyFont="1" applyFill="1" applyBorder="1" applyAlignment="1" applyProtection="1">
      <alignment horizontal="right" wrapText="1"/>
      <protection locked="0"/>
    </xf>
    <xf numFmtId="0" fontId="10" fillId="15" borderId="3" xfId="0" applyFont="1" applyFill="1" applyBorder="1" applyAlignment="1" applyProtection="1">
      <alignment horizontal="right" wrapText="1"/>
      <protection locked="0"/>
    </xf>
    <xf numFmtId="0" fontId="10" fillId="15" borderId="4" xfId="0" applyFont="1" applyFill="1" applyBorder="1" applyAlignment="1" applyProtection="1">
      <alignment horizontal="right" wrapText="1"/>
      <protection locked="0"/>
    </xf>
    <xf numFmtId="0" fontId="10" fillId="17" borderId="3" xfId="0" applyFont="1" applyFill="1" applyBorder="1" applyAlignment="1" applyProtection="1">
      <alignment horizontal="right" wrapText="1"/>
      <protection locked="0"/>
    </xf>
    <xf numFmtId="0" fontId="10" fillId="22" borderId="3" xfId="0" applyFont="1" applyFill="1" applyBorder="1" applyAlignment="1" applyProtection="1">
      <alignment horizontal="right" wrapText="1"/>
      <protection locked="0"/>
    </xf>
    <xf numFmtId="0" fontId="10" fillId="17" borderId="4" xfId="0" applyFont="1" applyFill="1" applyBorder="1" applyAlignment="1" applyProtection="1">
      <alignment horizontal="right" wrapText="1"/>
      <protection locked="0"/>
    </xf>
    <xf numFmtId="0" fontId="10" fillId="16" borderId="3" xfId="0" applyFont="1" applyFill="1" applyBorder="1" applyAlignment="1" applyProtection="1">
      <alignment horizontal="right" wrapText="1"/>
      <protection locked="0"/>
    </xf>
    <xf numFmtId="0" fontId="10" fillId="26" borderId="3" xfId="0" applyFont="1" applyFill="1" applyBorder="1" applyAlignment="1" applyProtection="1">
      <alignment horizontal="right" wrapText="1"/>
      <protection locked="0"/>
    </xf>
    <xf numFmtId="0" fontId="10" fillId="16" borderId="4" xfId="0" applyFont="1" applyFill="1" applyBorder="1" applyAlignment="1" applyProtection="1">
      <alignment horizontal="right" wrapText="1"/>
      <protection locked="0"/>
    </xf>
    <xf numFmtId="0" fontId="10" fillId="18" borderId="3" xfId="0" applyFont="1" applyFill="1" applyBorder="1" applyAlignment="1" applyProtection="1">
      <alignment horizontal="right" wrapText="1"/>
      <protection locked="0"/>
    </xf>
    <xf numFmtId="0" fontId="10" fillId="23" borderId="3" xfId="0" applyFont="1" applyFill="1" applyBorder="1" applyAlignment="1" applyProtection="1">
      <alignment horizontal="right" wrapText="1"/>
      <protection locked="0"/>
    </xf>
    <xf numFmtId="0" fontId="10" fillId="18" borderId="4" xfId="0" applyFont="1" applyFill="1" applyBorder="1" applyAlignment="1" applyProtection="1">
      <alignment horizontal="right" wrapText="1"/>
      <protection locked="0"/>
    </xf>
    <xf numFmtId="0" fontId="10" fillId="19" borderId="3" xfId="0" applyFont="1" applyFill="1" applyBorder="1" applyAlignment="1" applyProtection="1">
      <alignment horizontal="right" wrapText="1"/>
      <protection locked="0"/>
    </xf>
    <xf numFmtId="0" fontId="10" fillId="24" borderId="3" xfId="0" applyFont="1" applyFill="1" applyBorder="1" applyAlignment="1" applyProtection="1">
      <alignment horizontal="right"/>
      <protection locked="0"/>
    </xf>
    <xf numFmtId="0" fontId="10" fillId="24" borderId="3" xfId="0" applyFont="1" applyFill="1" applyBorder="1" applyAlignment="1" applyProtection="1">
      <alignment horizontal="right" wrapText="1"/>
      <protection locked="0"/>
    </xf>
    <xf numFmtId="0" fontId="10" fillId="24" borderId="4" xfId="0" applyFont="1" applyFill="1" applyBorder="1" applyAlignment="1" applyProtection="1">
      <alignment horizontal="right" wrapText="1"/>
      <protection locked="0"/>
    </xf>
    <xf numFmtId="0" fontId="10" fillId="20" borderId="3" xfId="0" applyFont="1" applyFill="1" applyBorder="1" applyAlignment="1" applyProtection="1">
      <alignment horizontal="right" wrapText="1"/>
      <protection locked="0"/>
    </xf>
    <xf numFmtId="0" fontId="10" fillId="25" borderId="3" xfId="0" applyFont="1" applyFill="1" applyBorder="1" applyAlignment="1" applyProtection="1">
      <alignment horizontal="right" wrapText="1"/>
      <protection locked="0"/>
    </xf>
    <xf numFmtId="0" fontId="10" fillId="20" borderId="4" xfId="0" applyFont="1" applyFill="1" applyBorder="1" applyAlignment="1" applyProtection="1">
      <alignment horizontal="right" wrapText="1"/>
      <protection locked="0"/>
    </xf>
    <xf numFmtId="0" fontId="10" fillId="12" borderId="3" xfId="0" applyFont="1" applyFill="1" applyBorder="1" applyAlignment="1" applyProtection="1">
      <alignment horizontal="right" wrapText="1"/>
      <protection locked="0"/>
    </xf>
    <xf numFmtId="0" fontId="10" fillId="13" borderId="3" xfId="0" applyFont="1" applyFill="1" applyBorder="1" applyAlignment="1" applyProtection="1">
      <alignment horizontal="right" wrapText="1"/>
      <protection locked="0"/>
    </xf>
    <xf numFmtId="0" fontId="10" fillId="13" borderId="4" xfId="0" applyFont="1" applyFill="1" applyBorder="1" applyAlignment="1" applyProtection="1">
      <alignment horizontal="right" wrapText="1"/>
      <protection locked="0"/>
    </xf>
    <xf numFmtId="0" fontId="10" fillId="4" borderId="3" xfId="0" applyFont="1" applyFill="1" applyBorder="1" applyAlignment="1" applyProtection="1">
      <alignment horizontal="right" wrapText="1"/>
      <protection locked="0"/>
    </xf>
    <xf numFmtId="0" fontId="10" fillId="21" borderId="3" xfId="0" applyFont="1" applyFill="1" applyBorder="1" applyAlignment="1" applyProtection="1">
      <alignment horizontal="right" wrapText="1"/>
      <protection locked="0"/>
    </xf>
    <xf numFmtId="0" fontId="10" fillId="4" borderId="4" xfId="0" applyFont="1" applyFill="1" applyBorder="1" applyAlignment="1" applyProtection="1">
      <alignment horizontal="right" wrapText="1"/>
      <protection locked="0"/>
    </xf>
    <xf numFmtId="0" fontId="10" fillId="12" borderId="10" xfId="0" applyFont="1" applyFill="1" applyBorder="1" applyAlignment="1" applyProtection="1">
      <alignment horizontal="right" wrapText="1"/>
      <protection locked="0"/>
    </xf>
    <xf numFmtId="0" fontId="10" fillId="17" borderId="13" xfId="0" applyFont="1" applyFill="1" applyBorder="1" applyAlignment="1" applyProtection="1">
      <alignment horizontal="center" wrapText="1"/>
      <protection locked="0"/>
    </xf>
    <xf numFmtId="0" fontId="2" fillId="28" borderId="19" xfId="0" applyFont="1" applyFill="1" applyBorder="1" applyAlignment="1">
      <alignment horizontal="right" wrapText="1"/>
    </xf>
    <xf numFmtId="0" fontId="0" fillId="28" borderId="20" xfId="0" applyFill="1" applyBorder="1" applyAlignment="1" applyProtection="1">
      <alignment horizontal="left" wrapText="1"/>
      <protection locked="0"/>
    </xf>
    <xf numFmtId="0" fontId="0" fillId="28" borderId="5" xfId="0" applyFill="1" applyBorder="1" applyAlignment="1" applyProtection="1">
      <alignment horizontal="left" wrapText="1"/>
      <protection locked="0"/>
    </xf>
    <xf numFmtId="0" fontId="9" fillId="2" borderId="11" xfId="0" applyFont="1" applyFill="1" applyBorder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9" fillId="2" borderId="18" xfId="0" applyFont="1" applyFill="1" applyBorder="1" applyAlignment="1" applyProtection="1">
      <alignment horizontal="center" vertical="center" wrapText="1"/>
      <protection locked="0"/>
    </xf>
    <xf numFmtId="0" fontId="9" fillId="2" borderId="13" xfId="0" applyFont="1" applyFill="1" applyBorder="1" applyAlignment="1" applyProtection="1">
      <alignment horizontal="center" vertical="center" wrapText="1"/>
      <protection locked="0"/>
    </xf>
    <xf numFmtId="0" fontId="9" fillId="2" borderId="12" xfId="0" applyFont="1" applyFill="1" applyBorder="1" applyAlignment="1" applyProtection="1">
      <alignment horizontal="center" vertical="center" wrapText="1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1" fillId="27" borderId="2" xfId="0" applyFont="1" applyFill="1" applyBorder="1" applyAlignment="1">
      <alignment horizontal="center" vertical="center" wrapText="1"/>
    </xf>
    <xf numFmtId="0" fontId="1" fillId="27" borderId="17" xfId="0" applyFont="1" applyFill="1" applyBorder="1" applyAlignment="1">
      <alignment horizontal="center" vertical="center" wrapText="1"/>
    </xf>
    <xf numFmtId="0" fontId="1" fillId="27" borderId="14" xfId="0" applyFont="1" applyFill="1" applyBorder="1" applyAlignment="1">
      <alignment horizontal="center" vertical="center" wrapText="1"/>
    </xf>
    <xf numFmtId="0" fontId="1" fillId="27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3</xdr:row>
      <xdr:rowOff>47625</xdr:rowOff>
    </xdr:from>
    <xdr:to>
      <xdr:col>23</xdr:col>
      <xdr:colOff>38100</xdr:colOff>
      <xdr:row>23</xdr:row>
      <xdr:rowOff>161925</xdr:rowOff>
    </xdr:to>
    <xdr:sp macro="" textlink="">
      <xdr:nvSpPr>
        <xdr:cNvPr id="2" name="TextBox 1"/>
        <xdr:cNvSpPr txBox="1"/>
      </xdr:nvSpPr>
      <xdr:spPr>
        <a:xfrm>
          <a:off x="11058525" y="104775"/>
          <a:ext cx="3581400" cy="4086225"/>
        </a:xfrm>
        <a:prstGeom prst="rect">
          <a:avLst/>
        </a:prstGeom>
        <a:solidFill>
          <a:schemeClr val="bg1"/>
        </a:solidFill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• Total for "Assigned Weight" column should be 100. </a:t>
          </a:r>
        </a:p>
        <a:p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/>
            <a:t>If the total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"Assigned Weight" column </a:t>
          </a:r>
          <a:r>
            <a:rPr lang="en-US" sz="1100"/>
            <a:t>does not equal 100, the "Weight</a:t>
          </a:r>
          <a:r>
            <a:rPr lang="en-US" sz="1100" baseline="0"/>
            <a:t> Total" </a:t>
          </a:r>
          <a:r>
            <a:rPr lang="en-US" sz="1100"/>
            <a:t>and</a:t>
          </a:r>
          <a:r>
            <a:rPr lang="en-US" sz="1100" baseline="0"/>
            <a:t> the "Total Score" will be </a:t>
          </a:r>
          <a:r>
            <a:rPr lang="en-US" sz="1100"/>
            <a:t>highlighted in red.</a:t>
          </a:r>
        </a:p>
        <a:p>
          <a:endParaRPr lang="en-US" sz="1100"/>
        </a:p>
        <a:p>
          <a:endParaRPr lang="en-US" sz="1100"/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If a criterion is not applicable for your use or device, set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assigned weight for that criterion to zero or leave it blank.</a:t>
          </a:r>
        </a:p>
        <a:p>
          <a:pPr eaLnBrk="1" fontAlgn="auto" latinLnBrk="0" hangingPunct="1"/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 score from 1 to 5 for each criterion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be chosen from the drop-down menu based on the following: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0 = Does not exist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 = Poor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2 = Average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3 =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4 = Very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5 = Excellent</a:t>
          </a:r>
        </a:p>
        <a:p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formula used to calculate the subtotal is: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Subtotal = Assigned Weight * Criterion Score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3</xdr:row>
      <xdr:rowOff>47625</xdr:rowOff>
    </xdr:from>
    <xdr:to>
      <xdr:col>23</xdr:col>
      <xdr:colOff>38100</xdr:colOff>
      <xdr:row>24</xdr:row>
      <xdr:rowOff>0</xdr:rowOff>
    </xdr:to>
    <xdr:sp macro="" textlink="">
      <xdr:nvSpPr>
        <xdr:cNvPr id="2" name="TextBox 1"/>
        <xdr:cNvSpPr txBox="1"/>
      </xdr:nvSpPr>
      <xdr:spPr>
        <a:xfrm>
          <a:off x="9163050" y="104775"/>
          <a:ext cx="3581400" cy="54959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• Total for "Assigned Weight" column should be 100. </a:t>
          </a:r>
        </a:p>
        <a:p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/>
            <a:t>If the total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"Assigned Weight" column </a:t>
          </a:r>
          <a:r>
            <a:rPr lang="en-US" sz="1100"/>
            <a:t>does not equal 100, the "Weight</a:t>
          </a:r>
          <a:r>
            <a:rPr lang="en-US" sz="1100" baseline="0"/>
            <a:t> Total" </a:t>
          </a:r>
          <a:r>
            <a:rPr lang="en-US" sz="1100"/>
            <a:t>and</a:t>
          </a:r>
          <a:r>
            <a:rPr lang="en-US" sz="1100" baseline="0"/>
            <a:t> the "Total Score" will be </a:t>
          </a:r>
          <a:r>
            <a:rPr lang="en-US" sz="1100"/>
            <a:t>highlighted in red.</a:t>
          </a:r>
        </a:p>
        <a:p>
          <a:endParaRPr lang="en-US" sz="1100"/>
        </a:p>
        <a:p>
          <a:endParaRPr lang="en-US" sz="1100"/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If a criterion is not applicable for your use or device, set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assigned weight for that criterion to zero or leave it blank.</a:t>
          </a:r>
        </a:p>
        <a:p>
          <a:pPr eaLnBrk="1" fontAlgn="auto" latinLnBrk="0" hangingPunct="1"/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 score from 1 to 5 for each criterion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be chosen from the drop-down menu based on the following: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0 = Does not exist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 = Poor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2 = Average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3 =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4 = Very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5 = Excellent</a:t>
          </a:r>
        </a:p>
        <a:p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formula used to calculate the subtotal is: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Subtotal = Assigned Weight * Criterion Score </a:t>
          </a:r>
          <a:endParaRPr lang="en-US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3</xdr:row>
      <xdr:rowOff>47625</xdr:rowOff>
    </xdr:from>
    <xdr:to>
      <xdr:col>23</xdr:col>
      <xdr:colOff>38100</xdr:colOff>
      <xdr:row>26</xdr:row>
      <xdr:rowOff>0</xdr:rowOff>
    </xdr:to>
    <xdr:sp macro="" textlink="">
      <xdr:nvSpPr>
        <xdr:cNvPr id="2" name="TextBox 1"/>
        <xdr:cNvSpPr txBox="1"/>
      </xdr:nvSpPr>
      <xdr:spPr>
        <a:xfrm>
          <a:off x="9163050" y="104775"/>
          <a:ext cx="3581400" cy="54959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• Total for "Assigned Weight" column should be 100. </a:t>
          </a:r>
        </a:p>
        <a:p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/>
            <a:t>If the total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"Assigned Weight" column </a:t>
          </a:r>
          <a:r>
            <a:rPr lang="en-US" sz="1100"/>
            <a:t>does not equal 100, the "Weight</a:t>
          </a:r>
          <a:r>
            <a:rPr lang="en-US" sz="1100" baseline="0"/>
            <a:t> Total" </a:t>
          </a:r>
          <a:r>
            <a:rPr lang="en-US" sz="1100"/>
            <a:t>and</a:t>
          </a:r>
          <a:r>
            <a:rPr lang="en-US" sz="1100" baseline="0"/>
            <a:t> the "Total Score" will be </a:t>
          </a:r>
          <a:r>
            <a:rPr lang="en-US" sz="1100"/>
            <a:t>highlighted in red.</a:t>
          </a:r>
        </a:p>
        <a:p>
          <a:endParaRPr lang="en-US" sz="1100"/>
        </a:p>
        <a:p>
          <a:endParaRPr lang="en-US" sz="1100"/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If a criterion is not applicable for your use or device, set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assigned weight for that criterion to zero or leave it blank.</a:t>
          </a:r>
        </a:p>
        <a:p>
          <a:pPr eaLnBrk="1" fontAlgn="auto" latinLnBrk="0" hangingPunct="1"/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 score from 1 to 5 for each criterion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be chosen from the drop-down menu based on the following: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0 = Does not exist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 = Poor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2 = Average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3 =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4 = Very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5 = Excellent</a:t>
          </a:r>
        </a:p>
        <a:p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formula used to calculate the subtotal is: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Subtotal = Assigned Weight * Criterion Score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3</xdr:row>
      <xdr:rowOff>47625</xdr:rowOff>
    </xdr:from>
    <xdr:to>
      <xdr:col>23</xdr:col>
      <xdr:colOff>38100</xdr:colOff>
      <xdr:row>29</xdr:row>
      <xdr:rowOff>180976</xdr:rowOff>
    </xdr:to>
    <xdr:sp macro="" textlink="">
      <xdr:nvSpPr>
        <xdr:cNvPr id="2" name="TextBox 1"/>
        <xdr:cNvSpPr txBox="1"/>
      </xdr:nvSpPr>
      <xdr:spPr>
        <a:xfrm>
          <a:off x="9163050" y="104775"/>
          <a:ext cx="3581400" cy="54959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• Total for "Assigned Weight" column should be 100. </a:t>
          </a:r>
        </a:p>
        <a:p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/>
            <a:t>If the total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"Assigned Weight" column </a:t>
          </a:r>
          <a:r>
            <a:rPr lang="en-US" sz="1100"/>
            <a:t>does not equal 100, the "Weight</a:t>
          </a:r>
          <a:r>
            <a:rPr lang="en-US" sz="1100" baseline="0"/>
            <a:t> Total" </a:t>
          </a:r>
          <a:r>
            <a:rPr lang="en-US" sz="1100"/>
            <a:t>and</a:t>
          </a:r>
          <a:r>
            <a:rPr lang="en-US" sz="1100" baseline="0"/>
            <a:t> the "Total Score" will be </a:t>
          </a:r>
          <a:r>
            <a:rPr lang="en-US" sz="1100"/>
            <a:t>highlighted in red.</a:t>
          </a:r>
        </a:p>
        <a:p>
          <a:endParaRPr lang="en-US" sz="1100"/>
        </a:p>
        <a:p>
          <a:endParaRPr lang="en-US" sz="1100"/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If a criterion is not applicable for your use or device, set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assigned weight for that criterion to zero or leave it blank.</a:t>
          </a:r>
        </a:p>
        <a:p>
          <a:pPr eaLnBrk="1" fontAlgn="auto" latinLnBrk="0" hangingPunct="1"/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 score from 1 to 5 for each criterion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be chosen from the drop-down menu based on the following: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0 = Does not exist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 = Poor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2 = Average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3 =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4 = Very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5 = Excellent</a:t>
          </a:r>
        </a:p>
        <a:p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formula used to calculate the subtotal is: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Subtotal = Assigned Weight * Criterion Score </a:t>
          </a:r>
          <a:endParaRPr lang="en-US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3</xdr:row>
      <xdr:rowOff>47625</xdr:rowOff>
    </xdr:from>
    <xdr:to>
      <xdr:col>23</xdr:col>
      <xdr:colOff>38100</xdr:colOff>
      <xdr:row>26</xdr:row>
      <xdr:rowOff>0</xdr:rowOff>
    </xdr:to>
    <xdr:sp macro="" textlink="">
      <xdr:nvSpPr>
        <xdr:cNvPr id="2" name="TextBox 1"/>
        <xdr:cNvSpPr txBox="1"/>
      </xdr:nvSpPr>
      <xdr:spPr>
        <a:xfrm>
          <a:off x="11058525" y="104775"/>
          <a:ext cx="3581400" cy="43529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• Total for "Assigned Weight" column should be 100. </a:t>
          </a:r>
        </a:p>
        <a:p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US" sz="1100"/>
            <a:t>If the total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"Assigned Weight" column </a:t>
          </a:r>
          <a:r>
            <a:rPr lang="en-US" sz="1100"/>
            <a:t>does not equal 100, the "Weight</a:t>
          </a:r>
          <a:r>
            <a:rPr lang="en-US" sz="1100" baseline="0"/>
            <a:t> Total" </a:t>
          </a:r>
          <a:r>
            <a:rPr lang="en-US" sz="1100"/>
            <a:t>and</a:t>
          </a:r>
          <a:r>
            <a:rPr lang="en-US" sz="1100" baseline="0"/>
            <a:t> the "Total Score" will be </a:t>
          </a:r>
          <a:r>
            <a:rPr lang="en-US" sz="1100"/>
            <a:t>highlighted in red.</a:t>
          </a:r>
        </a:p>
        <a:p>
          <a:endParaRPr lang="en-US" sz="1100"/>
        </a:p>
        <a:p>
          <a:endParaRPr lang="en-US" sz="1100"/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If a criterion is not applicable for your use or device, set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assigned weight for that criterion to zero or leave it blank.</a:t>
          </a:r>
        </a:p>
        <a:p>
          <a:pPr eaLnBrk="1" fontAlgn="auto" latinLnBrk="0" hangingPunct="1"/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A score from 1 to 5 for each criterion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be chosen from the drop-down menu based on the following: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0 = Does not exist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 = Poor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2 = Average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3 =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4 = Very Good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5 = Excellent</a:t>
          </a:r>
        </a:p>
        <a:p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The formula used to calculate the subtotal is: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Subtotal = Assigned Weight * Criterion Score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70"/>
  <sheetViews>
    <sheetView tabSelected="1" zoomScaleNormal="100" workbookViewId="0">
      <pane xSplit="1" ySplit="9" topLeftCell="B10" activePane="bottomRight" state="frozen"/>
      <selection pane="topRight" activeCell="B1" sqref="B1"/>
      <selection pane="bottomLeft" activeCell="A8" sqref="A8"/>
      <selection pane="bottomRight" activeCell="D11" sqref="D11"/>
    </sheetView>
  </sheetViews>
  <sheetFormatPr defaultColWidth="0" defaultRowHeight="0" customHeight="1" zeroHeight="1" x14ac:dyDescent="0.25"/>
  <cols>
    <col min="1" max="1" width="1.7109375" style="23" customWidth="1"/>
    <col min="2" max="2" width="30.7109375" style="23" customWidth="1"/>
    <col min="3" max="3" width="1.7109375" style="23" customWidth="1"/>
    <col min="4" max="4" width="8.7109375" style="23" customWidth="1"/>
    <col min="5" max="5" width="1.7109375" style="23" customWidth="1"/>
    <col min="6" max="7" width="8.7109375" style="23" customWidth="1"/>
    <col min="8" max="8" width="20.7109375" style="23" customWidth="1"/>
    <col min="9" max="9" width="1.7109375" style="23" customWidth="1"/>
    <col min="10" max="11" width="8.7109375" style="23" customWidth="1"/>
    <col min="12" max="12" width="20.7109375" style="23" customWidth="1"/>
    <col min="13" max="13" width="1.7109375" style="23" customWidth="1"/>
    <col min="14" max="15" width="8.7109375" style="23" customWidth="1"/>
    <col min="16" max="16" width="20.7109375" style="23" customWidth="1"/>
    <col min="17" max="17" width="1.7109375" style="23" customWidth="1"/>
    <col min="18" max="23" width="9.140625" style="23" customWidth="1"/>
    <col min="24" max="24" width="1.7109375" style="23" customWidth="1"/>
    <col min="25" max="27" width="0" style="23" hidden="1" customWidth="1"/>
    <col min="28" max="16384" width="9.140625" style="23" hidden="1"/>
  </cols>
  <sheetData>
    <row r="1" spans="2:23" ht="5.0999999999999996" customHeight="1" thickBot="1" x14ac:dyDescent="0.3">
      <c r="R1" s="28"/>
      <c r="S1" s="28"/>
      <c r="T1" s="28"/>
      <c r="U1" s="28"/>
      <c r="V1" s="28"/>
      <c r="W1" s="28"/>
    </row>
    <row r="2" spans="2:23" ht="15.75" customHeight="1" thickBot="1" x14ac:dyDescent="0.3">
      <c r="B2" s="351" t="s">
        <v>100</v>
      </c>
      <c r="C2" s="352" t="s">
        <v>101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3"/>
      <c r="R2" s="28"/>
      <c r="S2" s="28"/>
      <c r="T2" s="28"/>
      <c r="U2" s="28"/>
      <c r="V2" s="28"/>
      <c r="W2" s="28"/>
    </row>
    <row r="3" spans="2:23" ht="5.0999999999999996" customHeight="1" thickBot="1" x14ac:dyDescent="0.3">
      <c r="R3" s="28"/>
      <c r="S3" s="28"/>
      <c r="T3" s="28"/>
      <c r="U3" s="28"/>
      <c r="V3" s="28"/>
      <c r="W3" s="28"/>
    </row>
    <row r="4" spans="2:23" ht="15.75" customHeight="1" x14ac:dyDescent="0.25">
      <c r="B4" s="119" t="s">
        <v>59</v>
      </c>
      <c r="D4" s="360" t="s">
        <v>31</v>
      </c>
      <c r="F4" s="354" t="s">
        <v>50</v>
      </c>
      <c r="G4" s="355"/>
      <c r="H4" s="362" t="s">
        <v>32</v>
      </c>
      <c r="I4" s="116"/>
      <c r="J4" s="354" t="s">
        <v>51</v>
      </c>
      <c r="K4" s="355"/>
      <c r="L4" s="362" t="s">
        <v>32</v>
      </c>
      <c r="M4" s="116"/>
      <c r="N4" s="354" t="s">
        <v>52</v>
      </c>
      <c r="O4" s="355"/>
      <c r="P4" s="360" t="s">
        <v>32</v>
      </c>
      <c r="Q4" s="24"/>
      <c r="R4" s="31"/>
      <c r="S4" s="31"/>
      <c r="T4" s="31"/>
      <c r="U4" s="31"/>
      <c r="V4" s="31"/>
      <c r="W4" s="31"/>
    </row>
    <row r="5" spans="2:23" ht="15" customHeight="1" x14ac:dyDescent="0.25">
      <c r="B5" s="120" t="s">
        <v>60</v>
      </c>
      <c r="D5" s="361"/>
      <c r="F5" s="356"/>
      <c r="G5" s="357"/>
      <c r="H5" s="363"/>
      <c r="I5" s="116"/>
      <c r="J5" s="356"/>
      <c r="K5" s="357"/>
      <c r="L5" s="363"/>
      <c r="M5" s="116"/>
      <c r="N5" s="356"/>
      <c r="O5" s="357"/>
      <c r="P5" s="361"/>
      <c r="Q5" s="24"/>
      <c r="R5" s="31"/>
      <c r="S5" s="31"/>
      <c r="T5" s="31"/>
      <c r="U5" s="31"/>
      <c r="V5" s="31"/>
      <c r="W5" s="31"/>
    </row>
    <row r="6" spans="2:23" ht="15.95" customHeight="1" thickBot="1" x14ac:dyDescent="0.3">
      <c r="B6" s="121"/>
      <c r="D6" s="110">
        <f>SUM(D11:D17,D19:D25,D27:D29,D31:D37,D39:D44,D46:D52,D54:D59,D61:D65)</f>
        <v>0</v>
      </c>
      <c r="F6" s="358"/>
      <c r="G6" s="359"/>
      <c r="H6" s="109">
        <f>SUM(G11:G17,G19:G25,G27:G29,G31:G37,G39:G44,G46:G52,G54:G59,G61:G65)</f>
        <v>0</v>
      </c>
      <c r="I6" s="116"/>
      <c r="J6" s="358"/>
      <c r="K6" s="359"/>
      <c r="L6" s="109">
        <f>SUM(K11:K17,K19:K25,K27:K29,K31:K37,K39:K44,K46:K52,K54:K59,K61:K65)</f>
        <v>0</v>
      </c>
      <c r="M6" s="116"/>
      <c r="N6" s="358"/>
      <c r="O6" s="359"/>
      <c r="P6" s="110">
        <f>SUM(O11:O17,O19:O25,O27:O29,O31:O37,O39:O44,O46:O52,O54:O59,O61:O65)</f>
        <v>0</v>
      </c>
      <c r="Q6" s="24"/>
      <c r="R6" s="27"/>
      <c r="S6" s="27"/>
      <c r="T6" s="27"/>
      <c r="U6" s="27"/>
      <c r="V6" s="27"/>
      <c r="W6" s="27"/>
    </row>
    <row r="7" spans="2:23" ht="5.0999999999999996" customHeight="1" thickBot="1" x14ac:dyDescent="0.3">
      <c r="R7" s="28"/>
      <c r="S7" s="28"/>
      <c r="T7" s="28"/>
      <c r="U7" s="28"/>
      <c r="V7" s="28"/>
      <c r="W7" s="28"/>
    </row>
    <row r="8" spans="2:23" ht="32.1" customHeight="1" thickBot="1" x14ac:dyDescent="0.4">
      <c r="B8" s="108" t="s">
        <v>24</v>
      </c>
      <c r="D8" s="236" t="s">
        <v>0</v>
      </c>
      <c r="E8" s="237"/>
      <c r="F8" s="238" t="s">
        <v>26</v>
      </c>
      <c r="G8" s="239" t="s">
        <v>1</v>
      </c>
      <c r="H8" s="239" t="s">
        <v>61</v>
      </c>
      <c r="I8" s="237"/>
      <c r="J8" s="238" t="s">
        <v>26</v>
      </c>
      <c r="K8" s="240" t="s">
        <v>1</v>
      </c>
      <c r="L8" s="239" t="s">
        <v>61</v>
      </c>
      <c r="M8" s="237"/>
      <c r="N8" s="238" t="s">
        <v>26</v>
      </c>
      <c r="O8" s="240" t="s">
        <v>1</v>
      </c>
      <c r="P8" s="239" t="s">
        <v>61</v>
      </c>
      <c r="Q8" s="24"/>
      <c r="R8" s="24"/>
      <c r="S8" s="24"/>
      <c r="T8" s="24"/>
      <c r="U8" s="24"/>
      <c r="V8" s="24"/>
      <c r="W8" s="24"/>
    </row>
    <row r="9" spans="2:23" ht="5.0999999999999996" customHeight="1" thickBot="1" x14ac:dyDescent="0.3">
      <c r="R9" s="28"/>
      <c r="S9" s="28"/>
      <c r="T9" s="28"/>
      <c r="U9" s="28"/>
      <c r="V9" s="28"/>
      <c r="W9" s="28"/>
    </row>
    <row r="10" spans="2:23" ht="15.75" x14ac:dyDescent="0.25">
      <c r="B10" s="90" t="s">
        <v>2</v>
      </c>
      <c r="D10" s="187"/>
      <c r="F10" s="220"/>
      <c r="G10" s="179"/>
      <c r="H10" s="308"/>
      <c r="I10" s="117"/>
      <c r="J10" s="220"/>
      <c r="K10" s="179"/>
      <c r="L10" s="308"/>
      <c r="M10" s="117"/>
      <c r="N10" s="220"/>
      <c r="O10" s="179"/>
      <c r="P10" s="307"/>
    </row>
    <row r="11" spans="2:23" ht="15" x14ac:dyDescent="0.25">
      <c r="B11" s="91" t="s">
        <v>39</v>
      </c>
      <c r="D11" s="188"/>
      <c r="F11" s="124">
        <v>0</v>
      </c>
      <c r="G11" s="125" t="str">
        <f>IF($D11=0,"N/A",F11*$D11)</f>
        <v>N/A</v>
      </c>
      <c r="H11" s="309"/>
      <c r="I11" s="117"/>
      <c r="J11" s="124">
        <v>0</v>
      </c>
      <c r="K11" s="125" t="str">
        <f>IF($D11=0,"N/A",J11*$D11)</f>
        <v>N/A</v>
      </c>
      <c r="L11" s="323"/>
      <c r="M11" s="117"/>
      <c r="N11" s="124">
        <v>0</v>
      </c>
      <c r="O11" s="125" t="str">
        <f>IF($D11=0,"N/A",N11*$D11)</f>
        <v>N/A</v>
      </c>
      <c r="P11" s="323"/>
      <c r="R11" s="23">
        <v>0</v>
      </c>
      <c r="S11" s="23">
        <v>1</v>
      </c>
      <c r="T11" s="23">
        <v>2</v>
      </c>
      <c r="U11" s="23">
        <v>3</v>
      </c>
      <c r="V11" s="23">
        <v>4</v>
      </c>
      <c r="W11" s="23">
        <v>5</v>
      </c>
    </row>
    <row r="12" spans="2:23" ht="15" x14ac:dyDescent="0.25">
      <c r="B12" s="17" t="s">
        <v>37</v>
      </c>
      <c r="D12" s="189"/>
      <c r="F12" s="126">
        <v>0</v>
      </c>
      <c r="G12" s="127" t="str">
        <f t="shared" ref="G12:G65" si="0">IF($D12=0,"N/A",F12*$D12)</f>
        <v>N/A</v>
      </c>
      <c r="H12" s="277"/>
      <c r="I12" s="117"/>
      <c r="J12" s="126">
        <v>0</v>
      </c>
      <c r="K12" s="127" t="str">
        <f t="shared" ref="K12:K65" si="1">IF($D12=0,"N/A",J12*$D12)</f>
        <v>N/A</v>
      </c>
      <c r="L12" s="324"/>
      <c r="M12" s="117"/>
      <c r="N12" s="126">
        <v>0</v>
      </c>
      <c r="O12" s="127" t="str">
        <f t="shared" ref="O12:O65" si="2">IF($D12=0,"N/A",N12*$D12)</f>
        <v>N/A</v>
      </c>
      <c r="P12" s="324"/>
    </row>
    <row r="13" spans="2:23" ht="15" x14ac:dyDescent="0.25">
      <c r="B13" s="1" t="s">
        <v>38</v>
      </c>
      <c r="D13" s="188"/>
      <c r="F13" s="124">
        <v>0</v>
      </c>
      <c r="G13" s="125" t="str">
        <f t="shared" si="0"/>
        <v>N/A</v>
      </c>
      <c r="H13" s="276"/>
      <c r="I13" s="117"/>
      <c r="J13" s="124">
        <v>0</v>
      </c>
      <c r="K13" s="125" t="str">
        <f t="shared" si="1"/>
        <v>N/A</v>
      </c>
      <c r="L13" s="325"/>
      <c r="M13" s="117"/>
      <c r="N13" s="124">
        <v>0</v>
      </c>
      <c r="O13" s="125" t="str">
        <f t="shared" si="2"/>
        <v>N/A</v>
      </c>
      <c r="P13" s="325"/>
    </row>
    <row r="14" spans="2:23" ht="15" x14ac:dyDescent="0.25">
      <c r="B14" s="17" t="s">
        <v>10</v>
      </c>
      <c r="D14" s="189"/>
      <c r="F14" s="126">
        <v>0</v>
      </c>
      <c r="G14" s="127" t="str">
        <f t="shared" si="0"/>
        <v>N/A</v>
      </c>
      <c r="H14" s="277"/>
      <c r="I14" s="117"/>
      <c r="J14" s="126">
        <v>0</v>
      </c>
      <c r="K14" s="127" t="str">
        <f t="shared" si="1"/>
        <v>N/A</v>
      </c>
      <c r="L14" s="324"/>
      <c r="M14" s="117"/>
      <c r="N14" s="126">
        <v>0</v>
      </c>
      <c r="O14" s="127" t="str">
        <f t="shared" si="2"/>
        <v>N/A</v>
      </c>
      <c r="P14" s="324"/>
    </row>
    <row r="15" spans="2:23" ht="15" x14ac:dyDescent="0.25">
      <c r="B15" s="1" t="s">
        <v>53</v>
      </c>
      <c r="D15" s="188"/>
      <c r="F15" s="124">
        <v>0</v>
      </c>
      <c r="G15" s="125" t="str">
        <f t="shared" si="0"/>
        <v>N/A</v>
      </c>
      <c r="H15" s="276"/>
      <c r="I15" s="117"/>
      <c r="J15" s="124">
        <v>0</v>
      </c>
      <c r="K15" s="125" t="str">
        <f t="shared" si="1"/>
        <v>N/A</v>
      </c>
      <c r="L15" s="325"/>
      <c r="M15" s="117"/>
      <c r="N15" s="124">
        <v>0</v>
      </c>
      <c r="O15" s="125" t="str">
        <f t="shared" si="2"/>
        <v>N/A</v>
      </c>
      <c r="P15" s="325"/>
    </row>
    <row r="16" spans="2:23" ht="15" x14ac:dyDescent="0.25">
      <c r="B16" s="17" t="s">
        <v>47</v>
      </c>
      <c r="D16" s="189"/>
      <c r="F16" s="126">
        <v>0</v>
      </c>
      <c r="G16" s="127" t="str">
        <f t="shared" si="0"/>
        <v>N/A</v>
      </c>
      <c r="H16" s="277"/>
      <c r="I16" s="117"/>
      <c r="J16" s="126">
        <v>0</v>
      </c>
      <c r="K16" s="127" t="str">
        <f t="shared" si="1"/>
        <v>N/A</v>
      </c>
      <c r="L16" s="324"/>
      <c r="M16" s="117"/>
      <c r="N16" s="126">
        <v>0</v>
      </c>
      <c r="O16" s="127" t="str">
        <f t="shared" si="2"/>
        <v>N/A</v>
      </c>
      <c r="P16" s="324"/>
    </row>
    <row r="17" spans="2:16" ht="15.75" thickBot="1" x14ac:dyDescent="0.3">
      <c r="B17" s="2" t="s">
        <v>45</v>
      </c>
      <c r="D17" s="190"/>
      <c r="F17" s="128">
        <v>0</v>
      </c>
      <c r="G17" s="129" t="str">
        <f t="shared" si="0"/>
        <v>N/A</v>
      </c>
      <c r="H17" s="278"/>
      <c r="I17" s="117"/>
      <c r="J17" s="128">
        <v>0</v>
      </c>
      <c r="K17" s="129" t="str">
        <f t="shared" si="1"/>
        <v>N/A</v>
      </c>
      <c r="L17" s="326"/>
      <c r="M17" s="117"/>
      <c r="N17" s="128">
        <v>0</v>
      </c>
      <c r="O17" s="129" t="str">
        <f t="shared" si="2"/>
        <v>N/A</v>
      </c>
      <c r="P17" s="278"/>
    </row>
    <row r="18" spans="2:16" ht="15.75" x14ac:dyDescent="0.25">
      <c r="B18" s="92" t="s">
        <v>3</v>
      </c>
      <c r="D18" s="191"/>
      <c r="F18" s="221"/>
      <c r="G18" s="184"/>
      <c r="H18" s="310"/>
      <c r="I18" s="117"/>
      <c r="J18" s="221"/>
      <c r="K18" s="184"/>
      <c r="L18" s="279"/>
      <c r="M18" s="117"/>
      <c r="N18" s="221"/>
      <c r="O18" s="184"/>
      <c r="P18" s="279"/>
    </row>
    <row r="19" spans="2:16" ht="15" x14ac:dyDescent="0.25">
      <c r="B19" s="3" t="s">
        <v>11</v>
      </c>
      <c r="D19" s="192"/>
      <c r="F19" s="130">
        <v>0</v>
      </c>
      <c r="G19" s="131" t="str">
        <f t="shared" si="0"/>
        <v>N/A</v>
      </c>
      <c r="H19" s="280"/>
      <c r="I19" s="117"/>
      <c r="J19" s="130">
        <v>0</v>
      </c>
      <c r="K19" s="131" t="str">
        <f t="shared" si="1"/>
        <v>N/A</v>
      </c>
      <c r="L19" s="327"/>
      <c r="M19" s="117"/>
      <c r="N19" s="130">
        <v>0</v>
      </c>
      <c r="O19" s="131" t="str">
        <f t="shared" si="2"/>
        <v>N/A</v>
      </c>
      <c r="P19" s="327"/>
    </row>
    <row r="20" spans="2:16" ht="15" x14ac:dyDescent="0.25">
      <c r="B20" s="18" t="s">
        <v>29</v>
      </c>
      <c r="D20" s="193"/>
      <c r="F20" s="132">
        <v>0</v>
      </c>
      <c r="G20" s="133" t="str">
        <f t="shared" si="0"/>
        <v>N/A</v>
      </c>
      <c r="H20" s="281"/>
      <c r="I20" s="117"/>
      <c r="J20" s="132">
        <v>0</v>
      </c>
      <c r="K20" s="133" t="str">
        <f t="shared" si="1"/>
        <v>N/A</v>
      </c>
      <c r="L20" s="328"/>
      <c r="M20" s="117"/>
      <c r="N20" s="132">
        <v>0</v>
      </c>
      <c r="O20" s="133" t="str">
        <f t="shared" si="2"/>
        <v>N/A</v>
      </c>
      <c r="P20" s="328"/>
    </row>
    <row r="21" spans="2:16" ht="15" x14ac:dyDescent="0.25">
      <c r="B21" s="3" t="s">
        <v>30</v>
      </c>
      <c r="D21" s="192"/>
      <c r="F21" s="130">
        <v>0</v>
      </c>
      <c r="G21" s="131" t="str">
        <f t="shared" si="0"/>
        <v>N/A</v>
      </c>
      <c r="H21" s="280"/>
      <c r="I21" s="117"/>
      <c r="J21" s="130">
        <v>0</v>
      </c>
      <c r="K21" s="131" t="str">
        <f t="shared" si="1"/>
        <v>N/A</v>
      </c>
      <c r="L21" s="327"/>
      <c r="M21" s="117"/>
      <c r="N21" s="130">
        <v>0</v>
      </c>
      <c r="O21" s="131" t="str">
        <f t="shared" si="2"/>
        <v>N/A</v>
      </c>
      <c r="P21" s="327"/>
    </row>
    <row r="22" spans="2:16" ht="15" x14ac:dyDescent="0.25">
      <c r="B22" s="18" t="s">
        <v>49</v>
      </c>
      <c r="D22" s="193"/>
      <c r="F22" s="132">
        <v>0</v>
      </c>
      <c r="G22" s="133" t="str">
        <f t="shared" si="0"/>
        <v>N/A</v>
      </c>
      <c r="H22" s="281"/>
      <c r="I22" s="117"/>
      <c r="J22" s="132">
        <v>0</v>
      </c>
      <c r="K22" s="133" t="str">
        <f t="shared" si="1"/>
        <v>N/A</v>
      </c>
      <c r="L22" s="328"/>
      <c r="M22" s="117"/>
      <c r="N22" s="132">
        <v>0</v>
      </c>
      <c r="O22" s="133" t="str">
        <f t="shared" si="2"/>
        <v>N/A</v>
      </c>
      <c r="P22" s="328"/>
    </row>
    <row r="23" spans="2:16" ht="15" x14ac:dyDescent="0.25">
      <c r="B23" s="3" t="s">
        <v>12</v>
      </c>
      <c r="D23" s="192"/>
      <c r="F23" s="130">
        <v>0</v>
      </c>
      <c r="G23" s="131" t="str">
        <f t="shared" si="0"/>
        <v>N/A</v>
      </c>
      <c r="H23" s="280"/>
      <c r="I23" s="117"/>
      <c r="J23" s="130">
        <v>0</v>
      </c>
      <c r="K23" s="131" t="str">
        <f t="shared" si="1"/>
        <v>N/A</v>
      </c>
      <c r="L23" s="327"/>
      <c r="M23" s="117"/>
      <c r="N23" s="130">
        <v>0</v>
      </c>
      <c r="O23" s="131" t="str">
        <f t="shared" si="2"/>
        <v>N/A</v>
      </c>
      <c r="P23" s="327"/>
    </row>
    <row r="24" spans="2:16" ht="15" x14ac:dyDescent="0.25">
      <c r="B24" s="18" t="s">
        <v>48</v>
      </c>
      <c r="D24" s="193"/>
      <c r="F24" s="132">
        <v>0</v>
      </c>
      <c r="G24" s="133" t="str">
        <f t="shared" si="0"/>
        <v>N/A</v>
      </c>
      <c r="H24" s="281"/>
      <c r="I24" s="117"/>
      <c r="J24" s="132">
        <v>0</v>
      </c>
      <c r="K24" s="133" t="str">
        <f t="shared" si="1"/>
        <v>N/A</v>
      </c>
      <c r="L24" s="328"/>
      <c r="M24" s="117"/>
      <c r="N24" s="132">
        <v>0</v>
      </c>
      <c r="O24" s="133" t="str">
        <f t="shared" si="2"/>
        <v>N/A</v>
      </c>
      <c r="P24" s="328"/>
    </row>
    <row r="25" spans="2:16" ht="15.75" thickBot="1" x14ac:dyDescent="0.3">
      <c r="B25" s="4" t="s">
        <v>45</v>
      </c>
      <c r="D25" s="194"/>
      <c r="F25" s="134">
        <v>0</v>
      </c>
      <c r="G25" s="135" t="str">
        <f t="shared" si="0"/>
        <v>N/A</v>
      </c>
      <c r="H25" s="311"/>
      <c r="I25" s="117"/>
      <c r="J25" s="134">
        <v>0</v>
      </c>
      <c r="K25" s="135" t="str">
        <f t="shared" si="1"/>
        <v>N/A</v>
      </c>
      <c r="L25" s="329"/>
      <c r="M25" s="117"/>
      <c r="N25" s="134">
        <v>0</v>
      </c>
      <c r="O25" s="135" t="str">
        <f t="shared" si="2"/>
        <v>N/A</v>
      </c>
      <c r="P25" s="329"/>
    </row>
    <row r="26" spans="2:16" ht="15.75" x14ac:dyDescent="0.25">
      <c r="B26" s="94" t="s">
        <v>4</v>
      </c>
      <c r="D26" s="195"/>
      <c r="F26" s="222"/>
      <c r="G26" s="136"/>
      <c r="H26" s="312"/>
      <c r="I26" s="117"/>
      <c r="J26" s="222"/>
      <c r="K26" s="136"/>
      <c r="L26" s="283"/>
      <c r="M26" s="117"/>
      <c r="N26" s="222"/>
      <c r="O26" s="136"/>
      <c r="P26" s="283"/>
    </row>
    <row r="27" spans="2:16" ht="15" x14ac:dyDescent="0.25">
      <c r="B27" s="5" t="s">
        <v>13</v>
      </c>
      <c r="D27" s="196"/>
      <c r="F27" s="137">
        <v>0</v>
      </c>
      <c r="G27" s="138" t="str">
        <f t="shared" si="0"/>
        <v>N/A</v>
      </c>
      <c r="H27" s="284"/>
      <c r="I27" s="117"/>
      <c r="J27" s="137">
        <v>0</v>
      </c>
      <c r="K27" s="138" t="str">
        <f t="shared" si="1"/>
        <v>N/A</v>
      </c>
      <c r="L27" s="330"/>
      <c r="M27" s="117"/>
      <c r="N27" s="137">
        <v>0</v>
      </c>
      <c r="O27" s="138" t="str">
        <f t="shared" si="2"/>
        <v>N/A</v>
      </c>
      <c r="P27" s="330"/>
    </row>
    <row r="28" spans="2:16" ht="15" x14ac:dyDescent="0.25">
      <c r="B28" s="19" t="s">
        <v>14</v>
      </c>
      <c r="D28" s="197"/>
      <c r="F28" s="139">
        <v>0</v>
      </c>
      <c r="G28" s="140" t="str">
        <f t="shared" si="0"/>
        <v>N/A</v>
      </c>
      <c r="H28" s="313"/>
      <c r="I28" s="117"/>
      <c r="J28" s="139">
        <v>0</v>
      </c>
      <c r="K28" s="140" t="str">
        <f t="shared" si="1"/>
        <v>N/A</v>
      </c>
      <c r="L28" s="331"/>
      <c r="M28" s="117"/>
      <c r="N28" s="139">
        <v>0</v>
      </c>
      <c r="O28" s="140" t="str">
        <f t="shared" si="2"/>
        <v>N/A</v>
      </c>
      <c r="P28" s="331"/>
    </row>
    <row r="29" spans="2:16" ht="15.75" thickBot="1" x14ac:dyDescent="0.3">
      <c r="B29" s="6" t="s">
        <v>45</v>
      </c>
      <c r="D29" s="198"/>
      <c r="F29" s="141">
        <v>0</v>
      </c>
      <c r="G29" s="142" t="str">
        <f t="shared" si="0"/>
        <v>N/A</v>
      </c>
      <c r="H29" s="314"/>
      <c r="I29" s="117"/>
      <c r="J29" s="141">
        <v>0</v>
      </c>
      <c r="K29" s="142" t="str">
        <f t="shared" si="1"/>
        <v>N/A</v>
      </c>
      <c r="L29" s="332"/>
      <c r="M29" s="117"/>
      <c r="N29" s="141">
        <v>0</v>
      </c>
      <c r="O29" s="142" t="str">
        <f t="shared" si="2"/>
        <v>N/A</v>
      </c>
      <c r="P29" s="332"/>
    </row>
    <row r="30" spans="2:16" ht="15.75" x14ac:dyDescent="0.25">
      <c r="B30" s="96" t="s">
        <v>5</v>
      </c>
      <c r="D30" s="199"/>
      <c r="F30" s="223"/>
      <c r="G30" s="143"/>
      <c r="H30" s="315"/>
      <c r="I30" s="117"/>
      <c r="J30" s="223"/>
      <c r="K30" s="143"/>
      <c r="L30" s="286"/>
      <c r="M30" s="117"/>
      <c r="N30" s="223"/>
      <c r="O30" s="143"/>
      <c r="P30" s="286"/>
    </row>
    <row r="31" spans="2:16" ht="15" x14ac:dyDescent="0.25">
      <c r="B31" s="7" t="s">
        <v>15</v>
      </c>
      <c r="D31" s="200"/>
      <c r="F31" s="144">
        <v>0</v>
      </c>
      <c r="G31" s="145" t="str">
        <f t="shared" si="0"/>
        <v>N/A</v>
      </c>
      <c r="H31" s="287"/>
      <c r="I31" s="117"/>
      <c r="J31" s="144">
        <v>0</v>
      </c>
      <c r="K31" s="145" t="str">
        <f t="shared" si="1"/>
        <v>N/A</v>
      </c>
      <c r="L31" s="333"/>
      <c r="M31" s="117"/>
      <c r="N31" s="144">
        <v>0</v>
      </c>
      <c r="O31" s="145" t="str">
        <f t="shared" si="2"/>
        <v>N/A</v>
      </c>
      <c r="P31" s="333"/>
    </row>
    <row r="32" spans="2:16" ht="15" x14ac:dyDescent="0.25">
      <c r="B32" s="20" t="s">
        <v>34</v>
      </c>
      <c r="D32" s="201"/>
      <c r="F32" s="146">
        <v>0</v>
      </c>
      <c r="G32" s="147" t="str">
        <f t="shared" si="0"/>
        <v>N/A</v>
      </c>
      <c r="H32" s="288"/>
      <c r="I32" s="117"/>
      <c r="J32" s="146">
        <v>0</v>
      </c>
      <c r="K32" s="147" t="str">
        <f t="shared" si="1"/>
        <v>N/A</v>
      </c>
      <c r="L32" s="334"/>
      <c r="M32" s="117"/>
      <c r="N32" s="146">
        <v>0</v>
      </c>
      <c r="O32" s="147" t="str">
        <f t="shared" si="2"/>
        <v>N/A</v>
      </c>
      <c r="P32" s="334"/>
    </row>
    <row r="33" spans="1:17" ht="15" x14ac:dyDescent="0.25">
      <c r="B33" s="7" t="s">
        <v>23</v>
      </c>
      <c r="D33" s="200"/>
      <c r="F33" s="144">
        <v>0</v>
      </c>
      <c r="G33" s="145" t="str">
        <f t="shared" si="0"/>
        <v>N/A</v>
      </c>
      <c r="H33" s="287"/>
      <c r="I33" s="117"/>
      <c r="J33" s="144">
        <v>0</v>
      </c>
      <c r="K33" s="145" t="str">
        <f t="shared" si="1"/>
        <v>N/A</v>
      </c>
      <c r="L33" s="333"/>
      <c r="M33" s="117"/>
      <c r="N33" s="144">
        <v>0</v>
      </c>
      <c r="O33" s="145" t="str">
        <f t="shared" si="2"/>
        <v>N/A</v>
      </c>
      <c r="P33" s="333"/>
    </row>
    <row r="34" spans="1:17" ht="15" x14ac:dyDescent="0.25">
      <c r="B34" s="20" t="s">
        <v>36</v>
      </c>
      <c r="D34" s="201"/>
      <c r="F34" s="146">
        <v>0</v>
      </c>
      <c r="G34" s="147" t="str">
        <f t="shared" si="0"/>
        <v>N/A</v>
      </c>
      <c r="H34" s="288"/>
      <c r="I34" s="117"/>
      <c r="J34" s="146">
        <v>0</v>
      </c>
      <c r="K34" s="147" t="str">
        <f t="shared" si="1"/>
        <v>N/A</v>
      </c>
      <c r="L34" s="334"/>
      <c r="M34" s="117"/>
      <c r="N34" s="146">
        <v>0</v>
      </c>
      <c r="O34" s="147" t="str">
        <f t="shared" si="2"/>
        <v>N/A</v>
      </c>
      <c r="P34" s="334"/>
    </row>
    <row r="35" spans="1:17" ht="15" x14ac:dyDescent="0.25">
      <c r="B35" s="7" t="s">
        <v>35</v>
      </c>
      <c r="D35" s="200"/>
      <c r="F35" s="144">
        <v>0</v>
      </c>
      <c r="G35" s="145" t="str">
        <f t="shared" si="0"/>
        <v>N/A</v>
      </c>
      <c r="H35" s="287"/>
      <c r="I35" s="117"/>
      <c r="J35" s="144">
        <v>0</v>
      </c>
      <c r="K35" s="145" t="str">
        <f t="shared" si="1"/>
        <v>N/A</v>
      </c>
      <c r="L35" s="333"/>
      <c r="M35" s="117"/>
      <c r="N35" s="144">
        <v>0</v>
      </c>
      <c r="O35" s="145" t="str">
        <f t="shared" si="2"/>
        <v>N/A</v>
      </c>
      <c r="P35" s="333"/>
    </row>
    <row r="36" spans="1:17" ht="15" x14ac:dyDescent="0.25">
      <c r="B36" s="20" t="s">
        <v>44</v>
      </c>
      <c r="D36" s="201"/>
      <c r="F36" s="146">
        <v>0</v>
      </c>
      <c r="G36" s="147" t="str">
        <f t="shared" si="0"/>
        <v>N/A</v>
      </c>
      <c r="H36" s="288"/>
      <c r="I36" s="117"/>
      <c r="J36" s="146">
        <v>0</v>
      </c>
      <c r="K36" s="147" t="str">
        <f t="shared" si="1"/>
        <v>N/A</v>
      </c>
      <c r="L36" s="334"/>
      <c r="M36" s="117"/>
      <c r="N36" s="146">
        <v>0</v>
      </c>
      <c r="O36" s="147" t="str">
        <f t="shared" si="2"/>
        <v>N/A</v>
      </c>
      <c r="P36" s="334"/>
    </row>
    <row r="37" spans="1:17" ht="15.75" thickBot="1" x14ac:dyDescent="0.3">
      <c r="B37" s="8" t="s">
        <v>45</v>
      </c>
      <c r="D37" s="202"/>
      <c r="F37" s="148">
        <v>0</v>
      </c>
      <c r="G37" s="149" t="str">
        <f t="shared" si="0"/>
        <v>N/A</v>
      </c>
      <c r="H37" s="289"/>
      <c r="I37" s="117"/>
      <c r="J37" s="148">
        <v>0</v>
      </c>
      <c r="K37" s="149" t="str">
        <f t="shared" si="1"/>
        <v>N/A</v>
      </c>
      <c r="L37" s="335"/>
      <c r="M37" s="117"/>
      <c r="N37" s="148">
        <v>0</v>
      </c>
      <c r="O37" s="149" t="str">
        <f t="shared" si="2"/>
        <v>N/A</v>
      </c>
      <c r="P37" s="335"/>
    </row>
    <row r="38" spans="1:17" ht="15.75" x14ac:dyDescent="0.25">
      <c r="B38" s="97" t="s">
        <v>6</v>
      </c>
      <c r="D38" s="203"/>
      <c r="F38" s="224"/>
      <c r="G38" s="150"/>
      <c r="H38" s="316"/>
      <c r="I38" s="117"/>
      <c r="J38" s="224"/>
      <c r="K38" s="150"/>
      <c r="L38" s="290"/>
      <c r="M38" s="117"/>
      <c r="N38" s="224"/>
      <c r="O38" s="150"/>
      <c r="P38" s="290"/>
    </row>
    <row r="39" spans="1:17" ht="15" x14ac:dyDescent="0.25">
      <c r="B39" s="9" t="s">
        <v>67</v>
      </c>
      <c r="D39" s="204"/>
      <c r="F39" s="151">
        <v>0</v>
      </c>
      <c r="G39" s="152" t="str">
        <f t="shared" si="0"/>
        <v>N/A</v>
      </c>
      <c r="H39" s="291"/>
      <c r="I39" s="117"/>
      <c r="J39" s="151">
        <v>0</v>
      </c>
      <c r="K39" s="152" t="str">
        <f t="shared" si="1"/>
        <v>N/A</v>
      </c>
      <c r="L39" s="336"/>
      <c r="M39" s="117"/>
      <c r="N39" s="151">
        <v>0</v>
      </c>
      <c r="O39" s="152" t="str">
        <f t="shared" si="2"/>
        <v>N/A</v>
      </c>
      <c r="P39" s="336"/>
    </row>
    <row r="40" spans="1:17" s="25" customFormat="1" ht="15" x14ac:dyDescent="0.25">
      <c r="A40" s="115"/>
      <c r="B40" s="98" t="s">
        <v>76</v>
      </c>
      <c r="C40" s="115"/>
      <c r="D40" s="205"/>
      <c r="E40" s="115"/>
      <c r="F40" s="154">
        <v>0</v>
      </c>
      <c r="G40" s="153" t="str">
        <f t="shared" si="0"/>
        <v>N/A</v>
      </c>
      <c r="H40" s="292"/>
      <c r="I40" s="118"/>
      <c r="J40" s="154">
        <v>0</v>
      </c>
      <c r="K40" s="153" t="str">
        <f t="shared" si="1"/>
        <v>N/A</v>
      </c>
      <c r="L40" s="337"/>
      <c r="M40" s="118"/>
      <c r="N40" s="154">
        <v>0</v>
      </c>
      <c r="O40" s="153" t="str">
        <f t="shared" si="2"/>
        <v>N/A</v>
      </c>
      <c r="P40" s="337"/>
      <c r="Q40" s="115"/>
    </row>
    <row r="41" spans="1:17" s="24" customFormat="1" ht="15" x14ac:dyDescent="0.25">
      <c r="A41" s="23"/>
      <c r="B41" s="9" t="s">
        <v>55</v>
      </c>
      <c r="C41" s="23"/>
      <c r="D41" s="204"/>
      <c r="E41" s="23"/>
      <c r="F41" s="151">
        <v>0</v>
      </c>
      <c r="G41" s="152" t="str">
        <f t="shared" si="0"/>
        <v>N/A</v>
      </c>
      <c r="H41" s="291"/>
      <c r="I41" s="117"/>
      <c r="J41" s="151">
        <v>0</v>
      </c>
      <c r="K41" s="152" t="str">
        <f t="shared" si="1"/>
        <v>N/A</v>
      </c>
      <c r="L41" s="336"/>
      <c r="M41" s="117"/>
      <c r="N41" s="151">
        <v>0</v>
      </c>
      <c r="O41" s="152" t="str">
        <f t="shared" si="2"/>
        <v>N/A</v>
      </c>
      <c r="P41" s="336"/>
      <c r="Q41" s="23"/>
    </row>
    <row r="42" spans="1:17" s="24" customFormat="1" ht="15" x14ac:dyDescent="0.25">
      <c r="A42" s="23"/>
      <c r="B42" s="21" t="s">
        <v>43</v>
      </c>
      <c r="C42" s="23"/>
      <c r="D42" s="206"/>
      <c r="E42" s="23"/>
      <c r="F42" s="154">
        <v>0</v>
      </c>
      <c r="G42" s="155" t="str">
        <f t="shared" si="0"/>
        <v>N/A</v>
      </c>
      <c r="H42" s="317"/>
      <c r="I42" s="117"/>
      <c r="J42" s="154">
        <v>0</v>
      </c>
      <c r="K42" s="155" t="str">
        <f t="shared" si="1"/>
        <v>N/A</v>
      </c>
      <c r="L42" s="338"/>
      <c r="M42" s="117"/>
      <c r="N42" s="154">
        <v>0</v>
      </c>
      <c r="O42" s="155" t="str">
        <f t="shared" si="2"/>
        <v>N/A</v>
      </c>
      <c r="P42" s="338"/>
      <c r="Q42" s="23"/>
    </row>
    <row r="43" spans="1:17" s="24" customFormat="1" ht="15" x14ac:dyDescent="0.25">
      <c r="A43" s="23"/>
      <c r="B43" s="9" t="s">
        <v>42</v>
      </c>
      <c r="C43" s="23"/>
      <c r="D43" s="204"/>
      <c r="E43" s="23"/>
      <c r="F43" s="151">
        <v>0</v>
      </c>
      <c r="G43" s="152" t="str">
        <f t="shared" si="0"/>
        <v>N/A</v>
      </c>
      <c r="H43" s="291"/>
      <c r="I43" s="117"/>
      <c r="J43" s="151">
        <v>0</v>
      </c>
      <c r="K43" s="152" t="str">
        <f t="shared" si="1"/>
        <v>N/A</v>
      </c>
      <c r="L43" s="336"/>
      <c r="M43" s="117"/>
      <c r="N43" s="151">
        <v>0</v>
      </c>
      <c r="O43" s="152" t="str">
        <f t="shared" si="2"/>
        <v>N/A</v>
      </c>
      <c r="P43" s="336"/>
      <c r="Q43" s="23"/>
    </row>
    <row r="44" spans="1:17" s="24" customFormat="1" ht="15.75" thickBot="1" x14ac:dyDescent="0.3">
      <c r="A44" s="23"/>
      <c r="B44" s="114" t="s">
        <v>45</v>
      </c>
      <c r="C44" s="23"/>
      <c r="D44" s="207"/>
      <c r="E44" s="23"/>
      <c r="F44" s="156">
        <v>0</v>
      </c>
      <c r="G44" s="157" t="str">
        <f t="shared" si="0"/>
        <v>N/A</v>
      </c>
      <c r="H44" s="318"/>
      <c r="I44" s="117"/>
      <c r="J44" s="156">
        <v>0</v>
      </c>
      <c r="K44" s="157" t="str">
        <f t="shared" si="1"/>
        <v>N/A</v>
      </c>
      <c r="L44" s="339"/>
      <c r="M44" s="117"/>
      <c r="N44" s="156">
        <v>0</v>
      </c>
      <c r="O44" s="157" t="str">
        <f t="shared" si="2"/>
        <v>N/A</v>
      </c>
      <c r="P44" s="339"/>
      <c r="Q44" s="23"/>
    </row>
    <row r="45" spans="1:17" s="24" customFormat="1" ht="15.75" x14ac:dyDescent="0.25">
      <c r="A45" s="23"/>
      <c r="B45" s="99" t="s">
        <v>8</v>
      </c>
      <c r="C45" s="23"/>
      <c r="D45" s="208"/>
      <c r="E45" s="23"/>
      <c r="F45" s="225"/>
      <c r="G45" s="158"/>
      <c r="H45" s="319"/>
      <c r="I45" s="117"/>
      <c r="J45" s="225"/>
      <c r="K45" s="158"/>
      <c r="L45" s="294"/>
      <c r="M45" s="117"/>
      <c r="N45" s="225"/>
      <c r="O45" s="158"/>
      <c r="P45" s="294"/>
      <c r="Q45" s="23"/>
    </row>
    <row r="46" spans="1:17" s="24" customFormat="1" ht="15" x14ac:dyDescent="0.25">
      <c r="A46" s="23"/>
      <c r="B46" s="11" t="s">
        <v>58</v>
      </c>
      <c r="C46" s="23"/>
      <c r="D46" s="209"/>
      <c r="E46" s="23"/>
      <c r="F46" s="159">
        <v>0</v>
      </c>
      <c r="G46" s="160" t="str">
        <f t="shared" si="0"/>
        <v>N/A</v>
      </c>
      <c r="H46" s="295"/>
      <c r="I46" s="117"/>
      <c r="J46" s="159">
        <v>0</v>
      </c>
      <c r="K46" s="160" t="str">
        <f t="shared" si="1"/>
        <v>N/A</v>
      </c>
      <c r="L46" s="340"/>
      <c r="M46" s="117"/>
      <c r="N46" s="159">
        <v>0</v>
      </c>
      <c r="O46" s="160" t="str">
        <f t="shared" si="2"/>
        <v>N/A</v>
      </c>
      <c r="P46" s="340"/>
      <c r="Q46" s="23"/>
    </row>
    <row r="47" spans="1:17" s="24" customFormat="1" ht="15" x14ac:dyDescent="0.25">
      <c r="A47" s="23"/>
      <c r="B47" s="22" t="s">
        <v>22</v>
      </c>
      <c r="C47" s="23"/>
      <c r="D47" s="210"/>
      <c r="E47" s="23"/>
      <c r="F47" s="161">
        <v>0</v>
      </c>
      <c r="G47" s="162" t="str">
        <f t="shared" si="0"/>
        <v>N/A</v>
      </c>
      <c r="H47" s="296"/>
      <c r="I47" s="117"/>
      <c r="J47" s="161">
        <v>0</v>
      </c>
      <c r="K47" s="162" t="str">
        <f t="shared" si="1"/>
        <v>N/A</v>
      </c>
      <c r="L47" s="341"/>
      <c r="M47" s="117"/>
      <c r="N47" s="161">
        <v>0</v>
      </c>
      <c r="O47" s="162" t="str">
        <f t="shared" si="2"/>
        <v>N/A</v>
      </c>
      <c r="P47" s="341"/>
      <c r="Q47" s="23"/>
    </row>
    <row r="48" spans="1:17" s="24" customFormat="1" ht="15" x14ac:dyDescent="0.25">
      <c r="A48" s="23"/>
      <c r="B48" s="11" t="s">
        <v>78</v>
      </c>
      <c r="C48" s="23"/>
      <c r="D48" s="209"/>
      <c r="E48" s="23"/>
      <c r="F48" s="159">
        <v>0</v>
      </c>
      <c r="G48" s="160" t="str">
        <f t="shared" si="0"/>
        <v>N/A</v>
      </c>
      <c r="H48" s="295"/>
      <c r="I48" s="117"/>
      <c r="J48" s="159">
        <v>0</v>
      </c>
      <c r="K48" s="160" t="str">
        <f t="shared" si="1"/>
        <v>N/A</v>
      </c>
      <c r="L48" s="340"/>
      <c r="M48" s="117"/>
      <c r="N48" s="159">
        <v>0</v>
      </c>
      <c r="O48" s="160" t="str">
        <f t="shared" si="2"/>
        <v>N/A</v>
      </c>
      <c r="P48" s="340"/>
      <c r="Q48" s="23"/>
    </row>
    <row r="49" spans="1:17" s="24" customFormat="1" ht="15" x14ac:dyDescent="0.25">
      <c r="A49" s="23"/>
      <c r="B49" s="22" t="s">
        <v>33</v>
      </c>
      <c r="C49" s="23"/>
      <c r="D49" s="210"/>
      <c r="E49" s="23"/>
      <c r="F49" s="161">
        <v>0</v>
      </c>
      <c r="G49" s="162" t="str">
        <f t="shared" si="0"/>
        <v>N/A</v>
      </c>
      <c r="H49" s="296"/>
      <c r="I49" s="117"/>
      <c r="J49" s="161">
        <v>0</v>
      </c>
      <c r="K49" s="162" t="str">
        <f t="shared" si="1"/>
        <v>N/A</v>
      </c>
      <c r="L49" s="341"/>
      <c r="M49" s="117"/>
      <c r="N49" s="161">
        <v>0</v>
      </c>
      <c r="O49" s="162" t="str">
        <f t="shared" si="2"/>
        <v>N/A</v>
      </c>
      <c r="P49" s="341"/>
      <c r="Q49" s="23"/>
    </row>
    <row r="50" spans="1:17" s="24" customFormat="1" ht="15" x14ac:dyDescent="0.25">
      <c r="A50" s="23"/>
      <c r="B50" s="11" t="s">
        <v>46</v>
      </c>
      <c r="C50" s="23"/>
      <c r="D50" s="209"/>
      <c r="E50" s="23"/>
      <c r="F50" s="159">
        <v>0</v>
      </c>
      <c r="G50" s="160" t="str">
        <f t="shared" si="0"/>
        <v>N/A</v>
      </c>
      <c r="H50" s="295"/>
      <c r="I50" s="117"/>
      <c r="J50" s="159">
        <v>0</v>
      </c>
      <c r="K50" s="160" t="str">
        <f t="shared" si="1"/>
        <v>N/A</v>
      </c>
      <c r="L50" s="340"/>
      <c r="M50" s="117"/>
      <c r="N50" s="159">
        <v>0</v>
      </c>
      <c r="O50" s="160" t="str">
        <f t="shared" si="2"/>
        <v>N/A</v>
      </c>
      <c r="P50" s="340"/>
      <c r="Q50" s="23"/>
    </row>
    <row r="51" spans="1:17" s="24" customFormat="1" ht="15" x14ac:dyDescent="0.25">
      <c r="A51" s="23"/>
      <c r="B51" s="22" t="s">
        <v>21</v>
      </c>
      <c r="C51" s="23"/>
      <c r="D51" s="210"/>
      <c r="E51" s="23"/>
      <c r="F51" s="161">
        <v>0</v>
      </c>
      <c r="G51" s="162" t="str">
        <f t="shared" si="0"/>
        <v>N/A</v>
      </c>
      <c r="H51" s="296"/>
      <c r="I51" s="117"/>
      <c r="J51" s="161">
        <v>0</v>
      </c>
      <c r="K51" s="162" t="str">
        <f t="shared" si="1"/>
        <v>N/A</v>
      </c>
      <c r="L51" s="341"/>
      <c r="M51" s="117"/>
      <c r="N51" s="161">
        <v>0</v>
      </c>
      <c r="O51" s="162" t="str">
        <f t="shared" si="2"/>
        <v>N/A</v>
      </c>
      <c r="P51" s="341"/>
      <c r="Q51" s="23"/>
    </row>
    <row r="52" spans="1:17" s="24" customFormat="1" ht="15.75" thickBot="1" x14ac:dyDescent="0.3">
      <c r="A52" s="23"/>
      <c r="B52" s="12" t="s">
        <v>45</v>
      </c>
      <c r="C52" s="23"/>
      <c r="D52" s="211"/>
      <c r="E52" s="23"/>
      <c r="F52" s="163">
        <v>0</v>
      </c>
      <c r="G52" s="164" t="str">
        <f t="shared" si="0"/>
        <v>N/A</v>
      </c>
      <c r="H52" s="320"/>
      <c r="I52" s="117"/>
      <c r="J52" s="163">
        <v>0</v>
      </c>
      <c r="K52" s="164" t="str">
        <f t="shared" si="1"/>
        <v>N/A</v>
      </c>
      <c r="L52" s="342"/>
      <c r="M52" s="117"/>
      <c r="N52" s="163">
        <v>0</v>
      </c>
      <c r="O52" s="164" t="str">
        <f t="shared" si="2"/>
        <v>N/A</v>
      </c>
      <c r="P52" s="342"/>
      <c r="Q52" s="23"/>
    </row>
    <row r="53" spans="1:17" s="24" customFormat="1" ht="15.75" x14ac:dyDescent="0.25">
      <c r="A53" s="23"/>
      <c r="B53" s="101" t="s">
        <v>7</v>
      </c>
      <c r="C53" s="23"/>
      <c r="D53" s="212"/>
      <c r="E53" s="23"/>
      <c r="F53" s="226"/>
      <c r="G53" s="165"/>
      <c r="H53" s="321"/>
      <c r="I53" s="117"/>
      <c r="J53" s="226"/>
      <c r="K53" s="165"/>
      <c r="L53" s="298"/>
      <c r="M53" s="117"/>
      <c r="N53" s="226"/>
      <c r="O53" s="165"/>
      <c r="P53" s="298"/>
      <c r="Q53" s="23"/>
    </row>
    <row r="54" spans="1:17" s="24" customFormat="1" ht="15" x14ac:dyDescent="0.25">
      <c r="A54" s="23"/>
      <c r="B54" s="13" t="s">
        <v>20</v>
      </c>
      <c r="C54" s="23"/>
      <c r="D54" s="213"/>
      <c r="E54" s="23"/>
      <c r="F54" s="166">
        <v>0</v>
      </c>
      <c r="G54" s="167" t="str">
        <f t="shared" si="0"/>
        <v>N/A</v>
      </c>
      <c r="H54" s="299"/>
      <c r="I54" s="117"/>
      <c r="J54" s="166">
        <v>0</v>
      </c>
      <c r="K54" s="167" t="str">
        <f t="shared" si="1"/>
        <v>N/A</v>
      </c>
      <c r="L54" s="343"/>
      <c r="M54" s="117"/>
      <c r="N54" s="166">
        <v>0</v>
      </c>
      <c r="O54" s="167" t="str">
        <f t="shared" si="2"/>
        <v>N/A</v>
      </c>
      <c r="P54" s="343"/>
      <c r="Q54" s="23"/>
    </row>
    <row r="55" spans="1:17" s="24" customFormat="1" ht="15" x14ac:dyDescent="0.25">
      <c r="A55" s="23"/>
      <c r="B55" s="102" t="s">
        <v>16</v>
      </c>
      <c r="C55" s="23"/>
      <c r="D55" s="214"/>
      <c r="E55" s="23"/>
      <c r="F55" s="168">
        <v>0</v>
      </c>
      <c r="G55" s="169" t="str">
        <f t="shared" si="0"/>
        <v>N/A</v>
      </c>
      <c r="H55" s="300"/>
      <c r="I55" s="117"/>
      <c r="J55" s="168">
        <v>0</v>
      </c>
      <c r="K55" s="169" t="str">
        <f t="shared" si="1"/>
        <v>N/A</v>
      </c>
      <c r="L55" s="344"/>
      <c r="M55" s="117"/>
      <c r="N55" s="168">
        <v>0</v>
      </c>
      <c r="O55" s="169" t="str">
        <f t="shared" si="2"/>
        <v>N/A</v>
      </c>
      <c r="P55" s="344"/>
      <c r="Q55" s="23"/>
    </row>
    <row r="56" spans="1:17" s="24" customFormat="1" ht="15" x14ac:dyDescent="0.25">
      <c r="A56" s="23"/>
      <c r="B56" s="13" t="s">
        <v>40</v>
      </c>
      <c r="C56" s="23"/>
      <c r="D56" s="213"/>
      <c r="E56" s="23"/>
      <c r="F56" s="166">
        <v>0</v>
      </c>
      <c r="G56" s="167" t="str">
        <f t="shared" si="0"/>
        <v>N/A</v>
      </c>
      <c r="H56" s="299"/>
      <c r="I56" s="117"/>
      <c r="J56" s="166">
        <v>0</v>
      </c>
      <c r="K56" s="167" t="str">
        <f t="shared" si="1"/>
        <v>N/A</v>
      </c>
      <c r="L56" s="343"/>
      <c r="M56" s="117"/>
      <c r="N56" s="166">
        <v>0</v>
      </c>
      <c r="O56" s="167" t="str">
        <f t="shared" si="2"/>
        <v>N/A</v>
      </c>
      <c r="P56" s="343"/>
      <c r="Q56" s="23"/>
    </row>
    <row r="57" spans="1:17" s="24" customFormat="1" ht="15" x14ac:dyDescent="0.25">
      <c r="A57" s="23"/>
      <c r="B57" s="102" t="s">
        <v>17</v>
      </c>
      <c r="C57" s="23"/>
      <c r="D57" s="214"/>
      <c r="E57" s="23"/>
      <c r="F57" s="168">
        <v>0</v>
      </c>
      <c r="G57" s="169" t="str">
        <f t="shared" si="0"/>
        <v>N/A</v>
      </c>
      <c r="H57" s="300"/>
      <c r="I57" s="117"/>
      <c r="J57" s="168">
        <v>0</v>
      </c>
      <c r="K57" s="169" t="str">
        <f t="shared" si="1"/>
        <v>N/A</v>
      </c>
      <c r="L57" s="344"/>
      <c r="M57" s="117"/>
      <c r="N57" s="168">
        <v>0</v>
      </c>
      <c r="O57" s="169" t="str">
        <f t="shared" si="2"/>
        <v>N/A</v>
      </c>
      <c r="P57" s="344"/>
      <c r="Q57" s="23"/>
    </row>
    <row r="58" spans="1:17" s="24" customFormat="1" ht="15" x14ac:dyDescent="0.25">
      <c r="A58" s="23"/>
      <c r="B58" s="13" t="s">
        <v>56</v>
      </c>
      <c r="C58" s="23"/>
      <c r="D58" s="213"/>
      <c r="E58" s="23"/>
      <c r="F58" s="166">
        <v>0</v>
      </c>
      <c r="G58" s="167" t="str">
        <f t="shared" si="0"/>
        <v>N/A</v>
      </c>
      <c r="H58" s="299"/>
      <c r="I58" s="117"/>
      <c r="J58" s="166">
        <v>0</v>
      </c>
      <c r="K58" s="167" t="str">
        <f t="shared" si="1"/>
        <v>N/A</v>
      </c>
      <c r="L58" s="343"/>
      <c r="M58" s="117"/>
      <c r="N58" s="166">
        <v>0</v>
      </c>
      <c r="O58" s="167" t="str">
        <f t="shared" si="2"/>
        <v>N/A</v>
      </c>
      <c r="P58" s="343"/>
      <c r="Q58" s="23"/>
    </row>
    <row r="59" spans="1:17" s="24" customFormat="1" ht="15.75" thickBot="1" x14ac:dyDescent="0.3">
      <c r="A59" s="23"/>
      <c r="B59" s="103" t="s">
        <v>45</v>
      </c>
      <c r="C59" s="23"/>
      <c r="D59" s="215"/>
      <c r="E59" s="23"/>
      <c r="F59" s="170">
        <v>0</v>
      </c>
      <c r="G59" s="171" t="str">
        <f t="shared" si="0"/>
        <v>N/A</v>
      </c>
      <c r="H59" s="301"/>
      <c r="I59" s="117"/>
      <c r="J59" s="170">
        <v>0</v>
      </c>
      <c r="K59" s="171" t="str">
        <f t="shared" si="1"/>
        <v>N/A</v>
      </c>
      <c r="L59" s="345"/>
      <c r="M59" s="117"/>
      <c r="N59" s="170">
        <v>0</v>
      </c>
      <c r="O59" s="171" t="str">
        <f t="shared" si="2"/>
        <v>N/A</v>
      </c>
      <c r="P59" s="301"/>
      <c r="Q59" s="23"/>
    </row>
    <row r="60" spans="1:17" s="24" customFormat="1" ht="16.5" thickBot="1" x14ac:dyDescent="0.3">
      <c r="A60" s="23"/>
      <c r="B60" s="104" t="s">
        <v>9</v>
      </c>
      <c r="C60" s="23"/>
      <c r="D60" s="216"/>
      <c r="E60" s="23"/>
      <c r="F60" s="227"/>
      <c r="G60" s="172"/>
      <c r="H60" s="322"/>
      <c r="I60" s="117"/>
      <c r="J60" s="227"/>
      <c r="K60" s="172"/>
      <c r="L60" s="302"/>
      <c r="M60" s="117"/>
      <c r="N60" s="227"/>
      <c r="O60" s="172"/>
      <c r="P60" s="302"/>
      <c r="Q60" s="23"/>
    </row>
    <row r="61" spans="1:17" s="24" customFormat="1" ht="15" x14ac:dyDescent="0.25">
      <c r="A61" s="23"/>
      <c r="B61" s="111" t="s">
        <v>19</v>
      </c>
      <c r="C61" s="23"/>
      <c r="D61" s="217"/>
      <c r="E61" s="23"/>
      <c r="F61" s="173">
        <v>0</v>
      </c>
      <c r="G61" s="174" t="str">
        <f t="shared" si="0"/>
        <v>N/A</v>
      </c>
      <c r="H61" s="305"/>
      <c r="I61" s="117"/>
      <c r="J61" s="173">
        <v>0</v>
      </c>
      <c r="K61" s="174" t="str">
        <f t="shared" si="1"/>
        <v>N/A</v>
      </c>
      <c r="L61" s="346"/>
      <c r="M61" s="117"/>
      <c r="N61" s="173">
        <v>0</v>
      </c>
      <c r="O61" s="174" t="str">
        <f t="shared" si="2"/>
        <v>N/A</v>
      </c>
      <c r="P61" s="346"/>
      <c r="Q61" s="23"/>
    </row>
    <row r="62" spans="1:17" s="24" customFormat="1" ht="15" x14ac:dyDescent="0.25">
      <c r="A62" s="23"/>
      <c r="B62" s="105" t="s">
        <v>41</v>
      </c>
      <c r="C62" s="23"/>
      <c r="D62" s="218"/>
      <c r="E62" s="23"/>
      <c r="F62" s="175">
        <v>0</v>
      </c>
      <c r="G62" s="176" t="str">
        <f t="shared" si="0"/>
        <v>N/A</v>
      </c>
      <c r="H62" s="304"/>
      <c r="I62" s="117"/>
      <c r="J62" s="175">
        <v>0</v>
      </c>
      <c r="K62" s="176" t="str">
        <f t="shared" si="1"/>
        <v>N/A</v>
      </c>
      <c r="L62" s="347"/>
      <c r="M62" s="117"/>
      <c r="N62" s="175">
        <v>0</v>
      </c>
      <c r="O62" s="176" t="str">
        <f t="shared" si="2"/>
        <v>N/A</v>
      </c>
      <c r="P62" s="347"/>
      <c r="Q62" s="23"/>
    </row>
    <row r="63" spans="1:17" s="24" customFormat="1" ht="15" x14ac:dyDescent="0.25">
      <c r="A63" s="23"/>
      <c r="B63" s="15" t="s">
        <v>18</v>
      </c>
      <c r="C63" s="23"/>
      <c r="D63" s="217"/>
      <c r="E63" s="23"/>
      <c r="F63" s="173">
        <v>0</v>
      </c>
      <c r="G63" s="174" t="str">
        <f t="shared" si="0"/>
        <v>N/A</v>
      </c>
      <c r="H63" s="305"/>
      <c r="I63" s="117"/>
      <c r="J63" s="173">
        <v>0</v>
      </c>
      <c r="K63" s="174" t="str">
        <f t="shared" si="1"/>
        <v>N/A</v>
      </c>
      <c r="L63" s="346"/>
      <c r="M63" s="117"/>
      <c r="N63" s="173">
        <v>0</v>
      </c>
      <c r="O63" s="174" t="str">
        <f t="shared" si="2"/>
        <v>N/A</v>
      </c>
      <c r="P63" s="346"/>
      <c r="Q63" s="23"/>
    </row>
    <row r="64" spans="1:17" s="24" customFormat="1" ht="15" x14ac:dyDescent="0.25">
      <c r="A64" s="23"/>
      <c r="B64" s="105" t="s">
        <v>57</v>
      </c>
      <c r="C64" s="23"/>
      <c r="D64" s="218"/>
      <c r="E64" s="23"/>
      <c r="F64" s="175">
        <v>0</v>
      </c>
      <c r="G64" s="176" t="str">
        <f t="shared" si="0"/>
        <v>N/A</v>
      </c>
      <c r="H64" s="304"/>
      <c r="I64" s="117"/>
      <c r="J64" s="175">
        <v>0</v>
      </c>
      <c r="K64" s="176" t="str">
        <f t="shared" si="1"/>
        <v>N/A</v>
      </c>
      <c r="L64" s="347"/>
      <c r="M64" s="117"/>
      <c r="N64" s="175">
        <v>0</v>
      </c>
      <c r="O64" s="176" t="str">
        <f t="shared" si="2"/>
        <v>N/A</v>
      </c>
      <c r="P64" s="347"/>
      <c r="Q64" s="23"/>
    </row>
    <row r="65" spans="1:24" s="24" customFormat="1" ht="15.75" thickBot="1" x14ac:dyDescent="0.3">
      <c r="A65" s="23"/>
      <c r="B65" s="16" t="s">
        <v>45</v>
      </c>
      <c r="C65" s="23"/>
      <c r="D65" s="219"/>
      <c r="E65" s="23"/>
      <c r="F65" s="177">
        <v>0</v>
      </c>
      <c r="G65" s="178" t="str">
        <f t="shared" si="0"/>
        <v>N/A</v>
      </c>
      <c r="H65" s="306"/>
      <c r="I65" s="117"/>
      <c r="J65" s="177">
        <v>0</v>
      </c>
      <c r="K65" s="178" t="str">
        <f t="shared" si="1"/>
        <v>N/A</v>
      </c>
      <c r="L65" s="348"/>
      <c r="M65" s="117"/>
      <c r="N65" s="177">
        <v>0</v>
      </c>
      <c r="O65" s="178" t="str">
        <f t="shared" si="2"/>
        <v>N/A</v>
      </c>
      <c r="P65" s="348"/>
      <c r="Q65" s="23"/>
    </row>
    <row r="66" spans="1:24" s="24" customFormat="1" ht="5.0999999999999996" customHeight="1" x14ac:dyDescent="0.25">
      <c r="A66" s="23"/>
      <c r="B66" s="29"/>
      <c r="D66" s="31"/>
      <c r="F66" s="32"/>
      <c r="G66" s="32"/>
      <c r="H66" s="31"/>
      <c r="J66" s="32"/>
      <c r="K66" s="32"/>
      <c r="L66" s="31"/>
      <c r="N66" s="32"/>
      <c r="O66" s="32"/>
      <c r="P66" s="31"/>
      <c r="X66" s="26"/>
    </row>
    <row r="67" spans="1:24" s="24" customFormat="1" ht="15.75" hidden="1" customHeight="1" x14ac:dyDescent="0.25">
      <c r="B67" s="29"/>
      <c r="D67" s="31"/>
      <c r="F67" s="32"/>
      <c r="G67" s="32"/>
      <c r="H67" s="31"/>
      <c r="J67" s="32"/>
      <c r="K67" s="32"/>
      <c r="L67" s="31"/>
      <c r="N67" s="32"/>
      <c r="O67" s="32"/>
      <c r="P67" s="31"/>
      <c r="X67" s="26"/>
    </row>
    <row r="68" spans="1:24" s="24" customFormat="1" ht="15.75" hidden="1" customHeight="1" x14ac:dyDescent="0.25">
      <c r="B68" s="29"/>
      <c r="D68" s="28"/>
      <c r="F68" s="30"/>
      <c r="G68" s="30"/>
      <c r="H68" s="28"/>
      <c r="J68" s="30"/>
      <c r="K68" s="30"/>
      <c r="L68" s="28"/>
      <c r="N68" s="30"/>
      <c r="O68" s="30"/>
      <c r="P68" s="28"/>
    </row>
    <row r="69" spans="1:24" s="24" customFormat="1" ht="15" hidden="1" x14ac:dyDescent="0.25"/>
    <row r="70" spans="1:24" ht="15" hidden="1" x14ac:dyDescent="0.25"/>
  </sheetData>
  <sheetProtection sheet="1" objects="1" scenarios="1" selectLockedCells="1"/>
  <mergeCells count="8">
    <mergeCell ref="C2:P2"/>
    <mergeCell ref="F4:G6"/>
    <mergeCell ref="J4:K6"/>
    <mergeCell ref="N4:O6"/>
    <mergeCell ref="P4:P5"/>
    <mergeCell ref="D4:D5"/>
    <mergeCell ref="H4:H5"/>
    <mergeCell ref="L4:L5"/>
  </mergeCells>
  <conditionalFormatting sqref="D6">
    <cfRule type="cellIs" dxfId="19" priority="6" operator="equal">
      <formula>100</formula>
    </cfRule>
  </conditionalFormatting>
  <conditionalFormatting sqref="H6">
    <cfRule type="expression" dxfId="18" priority="5">
      <formula>IF($D$6=100,1,0)</formula>
    </cfRule>
  </conditionalFormatting>
  <conditionalFormatting sqref="L6">
    <cfRule type="expression" dxfId="17" priority="2">
      <formula>IF($D$6=100,1,0)</formula>
    </cfRule>
  </conditionalFormatting>
  <conditionalFormatting sqref="P6">
    <cfRule type="expression" dxfId="16" priority="1">
      <formula>IF($D$6=100,1,0)</formula>
    </cfRule>
  </conditionalFormatting>
  <dataValidations count="1">
    <dataValidation type="list" allowBlank="1" showInputMessage="1" showErrorMessage="1" sqref="F11:F17 F54:F59 J54:J59 N54:N59 F61:F65 N61:N65 J61:J65 N39:N44 J39:J44 F39:F44 F19:F25 J46:J52 N19:N25 N31:N37 F31:F37 N46:N52 F46:F52 J31:J37 N27:N29 J19:J25 J27:J29 J11:J17 F27:F29 N11:N17">
      <formula1>$R$11:$W$11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52"/>
  <sheetViews>
    <sheetView zoomScaleNormal="100" workbookViewId="0">
      <pane ySplit="9" topLeftCell="A10" activePane="bottomLeft" state="frozen"/>
      <selection pane="bottomLeft" activeCell="D11" sqref="D11"/>
    </sheetView>
  </sheetViews>
  <sheetFormatPr defaultColWidth="0" defaultRowHeight="0" customHeight="1" zeroHeight="1" x14ac:dyDescent="0.25"/>
  <cols>
    <col min="1" max="1" width="1.7109375" style="23" customWidth="1"/>
    <col min="2" max="2" width="30.7109375" style="23" customWidth="1"/>
    <col min="3" max="3" width="1.7109375" style="23" customWidth="1"/>
    <col min="4" max="4" width="8.7109375" style="23" customWidth="1"/>
    <col min="5" max="5" width="1.7109375" style="23" customWidth="1"/>
    <col min="6" max="7" width="8.7109375" style="23" customWidth="1"/>
    <col min="8" max="8" width="20.7109375" style="23" customWidth="1"/>
    <col min="9" max="9" width="1.7109375" style="23" customWidth="1"/>
    <col min="10" max="11" width="8.7109375" style="23" customWidth="1"/>
    <col min="12" max="12" width="20.7109375" style="23" customWidth="1"/>
    <col min="13" max="13" width="1.7109375" style="23" customWidth="1"/>
    <col min="14" max="15" width="8.7109375" style="23" customWidth="1"/>
    <col min="16" max="16" width="20.7109375" style="23" customWidth="1"/>
    <col min="17" max="17" width="1.7109375" style="23" customWidth="1"/>
    <col min="18" max="23" width="9.140625" style="23" customWidth="1"/>
    <col min="24" max="24" width="1.7109375" style="23" customWidth="1"/>
    <col min="25" max="27" width="0" style="23" hidden="1" customWidth="1"/>
    <col min="28" max="16384" width="9.140625" style="23" hidden="1"/>
  </cols>
  <sheetData>
    <row r="1" spans="2:23" ht="5.0999999999999996" customHeight="1" thickBot="1" x14ac:dyDescent="0.3">
      <c r="R1" s="28"/>
      <c r="S1" s="28"/>
      <c r="T1" s="28"/>
      <c r="U1" s="28"/>
      <c r="V1" s="28"/>
      <c r="W1" s="28"/>
    </row>
    <row r="2" spans="2:23" ht="15.75" customHeight="1" thickBot="1" x14ac:dyDescent="0.3">
      <c r="B2" s="351" t="s">
        <v>100</v>
      </c>
      <c r="C2" s="352" t="s">
        <v>101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3"/>
      <c r="R2" s="28"/>
      <c r="S2" s="28"/>
      <c r="T2" s="28"/>
      <c r="U2" s="28"/>
      <c r="V2" s="28"/>
      <c r="W2" s="28"/>
    </row>
    <row r="3" spans="2:23" ht="5.0999999999999996" customHeight="1" thickBot="1" x14ac:dyDescent="0.3">
      <c r="R3" s="28"/>
      <c r="S3" s="28"/>
      <c r="T3" s="28"/>
      <c r="U3" s="28"/>
      <c r="V3" s="28"/>
      <c r="W3" s="28"/>
    </row>
    <row r="4" spans="2:23" ht="15.75" customHeight="1" x14ac:dyDescent="0.25">
      <c r="B4" s="119" t="s">
        <v>59</v>
      </c>
      <c r="D4" s="360" t="s">
        <v>31</v>
      </c>
      <c r="F4" s="354" t="s">
        <v>50</v>
      </c>
      <c r="G4" s="355"/>
      <c r="H4" s="362" t="s">
        <v>32</v>
      </c>
      <c r="I4" s="116"/>
      <c r="J4" s="354" t="s">
        <v>51</v>
      </c>
      <c r="K4" s="355"/>
      <c r="L4" s="362" t="s">
        <v>32</v>
      </c>
      <c r="M4" s="116"/>
      <c r="N4" s="354" t="s">
        <v>52</v>
      </c>
      <c r="O4" s="355"/>
      <c r="P4" s="360" t="s">
        <v>32</v>
      </c>
      <c r="Q4" s="24"/>
      <c r="R4" s="31"/>
      <c r="S4" s="31"/>
      <c r="T4" s="31"/>
      <c r="U4" s="31"/>
      <c r="V4" s="31"/>
      <c r="W4" s="31"/>
    </row>
    <row r="5" spans="2:23" ht="15" customHeight="1" x14ac:dyDescent="0.25">
      <c r="B5" s="120" t="s">
        <v>60</v>
      </c>
      <c r="D5" s="361"/>
      <c r="F5" s="356"/>
      <c r="G5" s="357"/>
      <c r="H5" s="363"/>
      <c r="I5" s="116"/>
      <c r="J5" s="356"/>
      <c r="K5" s="357"/>
      <c r="L5" s="363"/>
      <c r="M5" s="116"/>
      <c r="N5" s="356"/>
      <c r="O5" s="357"/>
      <c r="P5" s="361"/>
      <c r="Q5" s="24"/>
      <c r="R5" s="31"/>
      <c r="S5" s="31"/>
      <c r="T5" s="31"/>
      <c r="U5" s="31"/>
      <c r="V5" s="31"/>
      <c r="W5" s="31"/>
    </row>
    <row r="6" spans="2:23" ht="15.95" customHeight="1" thickBot="1" x14ac:dyDescent="0.3">
      <c r="B6" s="121"/>
      <c r="D6" s="110">
        <f>SUM(D11:D15,D17:D20,D22:D23,D25:D27,D29:D31,D33:D34,D36:D41,D43:D47)</f>
        <v>0</v>
      </c>
      <c r="F6" s="358"/>
      <c r="G6" s="359"/>
      <c r="H6" s="109">
        <f>SUM(G11:G15,G17:G20,G22:G23,G25:G27,G29:G31,G33:G34,G36:G41,G43:G47)</f>
        <v>0</v>
      </c>
      <c r="I6" s="116"/>
      <c r="J6" s="358"/>
      <c r="K6" s="359"/>
      <c r="L6" s="109">
        <f>SUM(K11:K15,K17:K20,K22:K23,K25:K27,K29:K31,K33:K34,K36:K41,K43:K47)</f>
        <v>0</v>
      </c>
      <c r="M6" s="116"/>
      <c r="N6" s="358"/>
      <c r="O6" s="359"/>
      <c r="P6" s="110">
        <f>SUM(O11:O15,O17:O20,O22:O23,O25:O27,O29:O31,O33:O34,O36:O41,O43:O47)</f>
        <v>0</v>
      </c>
      <c r="Q6" s="24"/>
      <c r="R6" s="27"/>
      <c r="S6" s="27"/>
      <c r="T6" s="27"/>
      <c r="U6" s="27"/>
      <c r="V6" s="27"/>
      <c r="W6" s="27"/>
    </row>
    <row r="7" spans="2:23" ht="5.0999999999999996" customHeight="1" thickBot="1" x14ac:dyDescent="0.3">
      <c r="R7" s="28"/>
      <c r="S7" s="28"/>
      <c r="T7" s="28"/>
      <c r="U7" s="28"/>
      <c r="V7" s="28"/>
      <c r="W7" s="28"/>
    </row>
    <row r="8" spans="2:23" ht="32.1" customHeight="1" thickBot="1" x14ac:dyDescent="0.4">
      <c r="B8" s="108" t="s">
        <v>25</v>
      </c>
      <c r="D8" s="236" t="s">
        <v>0</v>
      </c>
      <c r="E8" s="237"/>
      <c r="F8" s="238" t="s">
        <v>26</v>
      </c>
      <c r="G8" s="239" t="s">
        <v>1</v>
      </c>
      <c r="H8" s="239" t="s">
        <v>61</v>
      </c>
      <c r="I8" s="237"/>
      <c r="J8" s="238" t="s">
        <v>26</v>
      </c>
      <c r="K8" s="240" t="s">
        <v>1</v>
      </c>
      <c r="L8" s="239" t="s">
        <v>61</v>
      </c>
      <c r="M8" s="237"/>
      <c r="N8" s="238" t="s">
        <v>26</v>
      </c>
      <c r="O8" s="240" t="s">
        <v>1</v>
      </c>
      <c r="P8" s="239" t="s">
        <v>61</v>
      </c>
      <c r="Q8" s="24"/>
      <c r="R8" s="24"/>
      <c r="S8" s="24"/>
      <c r="T8" s="24"/>
      <c r="U8" s="24"/>
      <c r="V8" s="24"/>
      <c r="W8" s="24"/>
    </row>
    <row r="9" spans="2:23" ht="5.0999999999999996" customHeight="1" thickBot="1" x14ac:dyDescent="0.3">
      <c r="R9" s="28"/>
      <c r="S9" s="28"/>
      <c r="T9" s="28"/>
      <c r="U9" s="28"/>
      <c r="V9" s="28"/>
      <c r="W9" s="28"/>
    </row>
    <row r="10" spans="2:23" ht="15.75" x14ac:dyDescent="0.25">
      <c r="B10" s="90" t="s">
        <v>2</v>
      </c>
      <c r="D10" s="182"/>
      <c r="F10" s="228"/>
      <c r="G10" s="180"/>
      <c r="H10" s="307"/>
      <c r="I10" s="117"/>
      <c r="J10" s="228"/>
      <c r="K10" s="180"/>
      <c r="L10" s="307"/>
      <c r="M10" s="117"/>
      <c r="N10" s="228"/>
      <c r="O10" s="180"/>
      <c r="P10" s="307"/>
    </row>
    <row r="11" spans="2:23" ht="15" x14ac:dyDescent="0.25">
      <c r="B11" s="91" t="s">
        <v>39</v>
      </c>
      <c r="D11" s="241"/>
      <c r="F11" s="60">
        <v>0</v>
      </c>
      <c r="G11" s="39" t="str">
        <f>IF($D11=0,"N/A",F11*$D11)</f>
        <v>N/A</v>
      </c>
      <c r="H11" s="276"/>
      <c r="I11" s="117"/>
      <c r="J11" s="60">
        <v>0</v>
      </c>
      <c r="K11" s="39" t="str">
        <f>IF($D11=0,"N/A",J11*$D11)</f>
        <v>N/A</v>
      </c>
      <c r="L11" s="276"/>
      <c r="M11" s="117"/>
      <c r="N11" s="60">
        <v>0</v>
      </c>
      <c r="O11" s="39" t="str">
        <f>IF($D11=0,"N/A",N11*$D11)</f>
        <v>N/A</v>
      </c>
      <c r="P11" s="276"/>
      <c r="R11" s="23">
        <v>0</v>
      </c>
      <c r="S11" s="23">
        <v>1</v>
      </c>
      <c r="T11" s="23">
        <v>2</v>
      </c>
      <c r="U11" s="23">
        <v>3</v>
      </c>
      <c r="V11" s="23">
        <v>4</v>
      </c>
      <c r="W11" s="23">
        <v>5</v>
      </c>
    </row>
    <row r="12" spans="2:23" ht="15" x14ac:dyDescent="0.25">
      <c r="B12" s="17" t="s">
        <v>38</v>
      </c>
      <c r="D12" s="242"/>
      <c r="F12" s="61">
        <v>0</v>
      </c>
      <c r="G12" s="40" t="str">
        <f t="shared" ref="G12:G47" si="0">IF($D12=0,"N/A",F12*$D12)</f>
        <v>N/A</v>
      </c>
      <c r="H12" s="277"/>
      <c r="I12" s="117"/>
      <c r="J12" s="61">
        <v>0</v>
      </c>
      <c r="K12" s="40" t="str">
        <f t="shared" ref="K12:K47" si="1">IF($D12=0,"N/A",J12*$D12)</f>
        <v>N/A</v>
      </c>
      <c r="L12" s="277"/>
      <c r="M12" s="117"/>
      <c r="N12" s="61">
        <v>0</v>
      </c>
      <c r="O12" s="40" t="str">
        <f t="shared" ref="O12:O47" si="2">IF($D12=0,"N/A",N12*$D12)</f>
        <v>N/A</v>
      </c>
      <c r="P12" s="277"/>
    </row>
    <row r="13" spans="2:23" ht="15" x14ac:dyDescent="0.25">
      <c r="B13" s="1" t="s">
        <v>10</v>
      </c>
      <c r="D13" s="241"/>
      <c r="F13" s="60">
        <v>0</v>
      </c>
      <c r="G13" s="39" t="str">
        <f t="shared" si="0"/>
        <v>N/A</v>
      </c>
      <c r="H13" s="276"/>
      <c r="I13" s="117"/>
      <c r="J13" s="60">
        <v>0</v>
      </c>
      <c r="K13" s="39" t="str">
        <f t="shared" si="1"/>
        <v>N/A</v>
      </c>
      <c r="L13" s="276"/>
      <c r="M13" s="117"/>
      <c r="N13" s="60">
        <v>0</v>
      </c>
      <c r="O13" s="39" t="str">
        <f t="shared" si="2"/>
        <v>N/A</v>
      </c>
      <c r="P13" s="276"/>
    </row>
    <row r="14" spans="2:23" ht="15" x14ac:dyDescent="0.25">
      <c r="B14" s="17" t="s">
        <v>53</v>
      </c>
      <c r="D14" s="242"/>
      <c r="F14" s="61">
        <v>0</v>
      </c>
      <c r="G14" s="40" t="str">
        <f t="shared" si="0"/>
        <v>N/A</v>
      </c>
      <c r="H14" s="277"/>
      <c r="I14" s="117"/>
      <c r="J14" s="61">
        <v>0</v>
      </c>
      <c r="K14" s="40" t="str">
        <f t="shared" si="1"/>
        <v>N/A</v>
      </c>
      <c r="L14" s="277"/>
      <c r="M14" s="117"/>
      <c r="N14" s="61">
        <v>0</v>
      </c>
      <c r="O14" s="40" t="str">
        <f t="shared" si="2"/>
        <v>N/A</v>
      </c>
      <c r="P14" s="277"/>
    </row>
    <row r="15" spans="2:23" ht="15.75" thickBot="1" x14ac:dyDescent="0.3">
      <c r="B15" s="2" t="s">
        <v>45</v>
      </c>
      <c r="D15" s="243"/>
      <c r="F15" s="80">
        <v>0</v>
      </c>
      <c r="G15" s="81" t="str">
        <f t="shared" si="0"/>
        <v>N/A</v>
      </c>
      <c r="H15" s="278"/>
      <c r="I15" s="117"/>
      <c r="J15" s="80">
        <v>0</v>
      </c>
      <c r="K15" s="81" t="str">
        <f t="shared" si="1"/>
        <v>N/A</v>
      </c>
      <c r="L15" s="278"/>
      <c r="M15" s="117"/>
      <c r="N15" s="80">
        <v>0</v>
      </c>
      <c r="O15" s="81" t="str">
        <f t="shared" si="2"/>
        <v>N/A</v>
      </c>
      <c r="P15" s="278"/>
    </row>
    <row r="16" spans="2:23" ht="15.75" x14ac:dyDescent="0.25">
      <c r="B16" s="92" t="s">
        <v>3</v>
      </c>
      <c r="D16" s="183"/>
      <c r="F16" s="229"/>
      <c r="G16" s="181"/>
      <c r="H16" s="279"/>
      <c r="I16" s="117"/>
      <c r="J16" s="229"/>
      <c r="K16" s="181"/>
      <c r="L16" s="279"/>
      <c r="M16" s="117"/>
      <c r="N16" s="229"/>
      <c r="O16" s="181"/>
      <c r="P16" s="279"/>
    </row>
    <row r="17" spans="1:17" ht="15" x14ac:dyDescent="0.25">
      <c r="B17" s="3" t="s">
        <v>11</v>
      </c>
      <c r="D17" s="244"/>
      <c r="F17" s="62">
        <v>0</v>
      </c>
      <c r="G17" s="41" t="str">
        <f t="shared" si="0"/>
        <v>N/A</v>
      </c>
      <c r="H17" s="280"/>
      <c r="I17" s="117"/>
      <c r="J17" s="62">
        <v>0</v>
      </c>
      <c r="K17" s="41" t="str">
        <f t="shared" si="1"/>
        <v>N/A</v>
      </c>
      <c r="L17" s="280"/>
      <c r="M17" s="117"/>
      <c r="N17" s="62">
        <v>0</v>
      </c>
      <c r="O17" s="41" t="str">
        <f t="shared" si="2"/>
        <v>N/A</v>
      </c>
      <c r="P17" s="280"/>
    </row>
    <row r="18" spans="1:17" ht="15" x14ac:dyDescent="0.25">
      <c r="B18" s="18" t="s">
        <v>29</v>
      </c>
      <c r="D18" s="245"/>
      <c r="F18" s="63">
        <v>0</v>
      </c>
      <c r="G18" s="42" t="str">
        <f t="shared" si="0"/>
        <v>N/A</v>
      </c>
      <c r="H18" s="281"/>
      <c r="I18" s="117"/>
      <c r="J18" s="63">
        <v>0</v>
      </c>
      <c r="K18" s="42" t="str">
        <f t="shared" si="1"/>
        <v>N/A</v>
      </c>
      <c r="L18" s="281"/>
      <c r="M18" s="117"/>
      <c r="N18" s="63">
        <v>0</v>
      </c>
      <c r="O18" s="42" t="str">
        <f t="shared" si="2"/>
        <v>N/A</v>
      </c>
      <c r="P18" s="281"/>
    </row>
    <row r="19" spans="1:17" ht="15" x14ac:dyDescent="0.25">
      <c r="B19" s="3" t="s">
        <v>30</v>
      </c>
      <c r="D19" s="244"/>
      <c r="F19" s="62">
        <v>0</v>
      </c>
      <c r="G19" s="41" t="str">
        <f t="shared" si="0"/>
        <v>N/A</v>
      </c>
      <c r="H19" s="280"/>
      <c r="I19" s="117"/>
      <c r="J19" s="62">
        <v>0</v>
      </c>
      <c r="K19" s="41" t="str">
        <f t="shared" si="1"/>
        <v>N/A</v>
      </c>
      <c r="L19" s="280"/>
      <c r="M19" s="117"/>
      <c r="N19" s="62">
        <v>0</v>
      </c>
      <c r="O19" s="41" t="str">
        <f t="shared" si="2"/>
        <v>N/A</v>
      </c>
      <c r="P19" s="280"/>
    </row>
    <row r="20" spans="1:17" ht="15.75" thickBot="1" x14ac:dyDescent="0.3">
      <c r="B20" s="93" t="s">
        <v>45</v>
      </c>
      <c r="D20" s="246"/>
      <c r="F20" s="84">
        <v>0</v>
      </c>
      <c r="G20" s="85" t="str">
        <f t="shared" si="0"/>
        <v>N/A</v>
      </c>
      <c r="H20" s="282"/>
      <c r="I20" s="117"/>
      <c r="J20" s="84">
        <v>0</v>
      </c>
      <c r="K20" s="85" t="str">
        <f t="shared" si="1"/>
        <v>N/A</v>
      </c>
      <c r="L20" s="282"/>
      <c r="M20" s="117"/>
      <c r="N20" s="84">
        <v>0</v>
      </c>
      <c r="O20" s="85" t="str">
        <f t="shared" si="2"/>
        <v>N/A</v>
      </c>
      <c r="P20" s="282"/>
    </row>
    <row r="21" spans="1:17" ht="15.75" x14ac:dyDescent="0.25">
      <c r="B21" s="94" t="s">
        <v>4</v>
      </c>
      <c r="D21" s="247"/>
      <c r="F21" s="230"/>
      <c r="G21" s="33"/>
      <c r="H21" s="283"/>
      <c r="I21" s="117"/>
      <c r="J21" s="230"/>
      <c r="K21" s="33"/>
      <c r="L21" s="283"/>
      <c r="M21" s="117"/>
      <c r="N21" s="230"/>
      <c r="O21" s="33"/>
      <c r="P21" s="283"/>
    </row>
    <row r="22" spans="1:17" ht="15" x14ac:dyDescent="0.25">
      <c r="B22" s="5" t="s">
        <v>13</v>
      </c>
      <c r="D22" s="248"/>
      <c r="F22" s="64">
        <v>0</v>
      </c>
      <c r="G22" s="43" t="str">
        <f t="shared" si="0"/>
        <v>N/A</v>
      </c>
      <c r="H22" s="284"/>
      <c r="I22" s="117"/>
      <c r="J22" s="64">
        <v>0</v>
      </c>
      <c r="K22" s="43" t="str">
        <f t="shared" si="1"/>
        <v>N/A</v>
      </c>
      <c r="L22" s="284"/>
      <c r="M22" s="117"/>
      <c r="N22" s="64">
        <v>0</v>
      </c>
      <c r="O22" s="43" t="str">
        <f t="shared" si="2"/>
        <v>N/A</v>
      </c>
      <c r="P22" s="284"/>
    </row>
    <row r="23" spans="1:17" ht="15.75" thickBot="1" x14ac:dyDescent="0.3">
      <c r="B23" s="95" t="s">
        <v>45</v>
      </c>
      <c r="D23" s="249"/>
      <c r="F23" s="82">
        <v>0</v>
      </c>
      <c r="G23" s="83" t="str">
        <f t="shared" si="0"/>
        <v>N/A</v>
      </c>
      <c r="H23" s="285"/>
      <c r="I23" s="117"/>
      <c r="J23" s="82">
        <v>0</v>
      </c>
      <c r="K23" s="83" t="str">
        <f t="shared" si="1"/>
        <v>N/A</v>
      </c>
      <c r="L23" s="285"/>
      <c r="M23" s="117"/>
      <c r="N23" s="82">
        <v>0</v>
      </c>
      <c r="O23" s="83" t="str">
        <f t="shared" si="2"/>
        <v>N/A</v>
      </c>
      <c r="P23" s="285"/>
    </row>
    <row r="24" spans="1:17" ht="15.75" x14ac:dyDescent="0.25">
      <c r="B24" s="96" t="s">
        <v>5</v>
      </c>
      <c r="D24" s="250"/>
      <c r="F24" s="231"/>
      <c r="G24" s="34"/>
      <c r="H24" s="286"/>
      <c r="I24" s="117"/>
      <c r="J24" s="231"/>
      <c r="K24" s="34"/>
      <c r="L24" s="286"/>
      <c r="M24" s="117"/>
      <c r="N24" s="231"/>
      <c r="O24" s="34"/>
      <c r="P24" s="286"/>
    </row>
    <row r="25" spans="1:17" ht="15" x14ac:dyDescent="0.25">
      <c r="B25" s="7" t="s">
        <v>34</v>
      </c>
      <c r="D25" s="251"/>
      <c r="F25" s="67">
        <v>0</v>
      </c>
      <c r="G25" s="46" t="str">
        <f t="shared" si="0"/>
        <v>N/A</v>
      </c>
      <c r="H25" s="287"/>
      <c r="I25" s="117"/>
      <c r="J25" s="67">
        <v>0</v>
      </c>
      <c r="K25" s="46" t="str">
        <f t="shared" si="1"/>
        <v>N/A</v>
      </c>
      <c r="L25" s="287"/>
      <c r="M25" s="117"/>
      <c r="N25" s="67">
        <v>0</v>
      </c>
      <c r="O25" s="46" t="str">
        <f t="shared" si="2"/>
        <v>N/A</v>
      </c>
      <c r="P25" s="287"/>
    </row>
    <row r="26" spans="1:17" ht="15" x14ac:dyDescent="0.25">
      <c r="B26" s="20" t="s">
        <v>36</v>
      </c>
      <c r="D26" s="252"/>
      <c r="F26" s="68">
        <v>0</v>
      </c>
      <c r="G26" s="47" t="str">
        <f t="shared" si="0"/>
        <v>N/A</v>
      </c>
      <c r="H26" s="288"/>
      <c r="I26" s="117"/>
      <c r="J26" s="68">
        <v>0</v>
      </c>
      <c r="K26" s="47" t="str">
        <f t="shared" si="1"/>
        <v>N/A</v>
      </c>
      <c r="L26" s="288"/>
      <c r="M26" s="117"/>
      <c r="N26" s="68">
        <v>0</v>
      </c>
      <c r="O26" s="47" t="str">
        <f t="shared" si="2"/>
        <v>N/A</v>
      </c>
      <c r="P26" s="288"/>
    </row>
    <row r="27" spans="1:17" ht="15.75" thickBot="1" x14ac:dyDescent="0.3">
      <c r="B27" s="8" t="s">
        <v>45</v>
      </c>
      <c r="D27" s="253"/>
      <c r="F27" s="69">
        <v>0</v>
      </c>
      <c r="G27" s="48" t="str">
        <f t="shared" si="0"/>
        <v>N/A</v>
      </c>
      <c r="H27" s="289"/>
      <c r="I27" s="117"/>
      <c r="J27" s="69">
        <v>0</v>
      </c>
      <c r="K27" s="48" t="str">
        <f t="shared" si="1"/>
        <v>N/A</v>
      </c>
      <c r="L27" s="289"/>
      <c r="M27" s="117"/>
      <c r="N27" s="69">
        <v>0</v>
      </c>
      <c r="O27" s="48" t="str">
        <f t="shared" si="2"/>
        <v>N/A</v>
      </c>
      <c r="P27" s="289"/>
    </row>
    <row r="28" spans="1:17" ht="15.75" x14ac:dyDescent="0.25">
      <c r="B28" s="97" t="s">
        <v>6</v>
      </c>
      <c r="D28" s="254"/>
      <c r="F28" s="232"/>
      <c r="G28" s="35"/>
      <c r="H28" s="290"/>
      <c r="I28" s="117"/>
      <c r="J28" s="232"/>
      <c r="K28" s="35"/>
      <c r="L28" s="290"/>
      <c r="M28" s="117"/>
      <c r="N28" s="232"/>
      <c r="O28" s="35"/>
      <c r="P28" s="290"/>
    </row>
    <row r="29" spans="1:17" ht="15" x14ac:dyDescent="0.25">
      <c r="B29" s="9" t="s">
        <v>67</v>
      </c>
      <c r="D29" s="255"/>
      <c r="F29" s="70">
        <v>0</v>
      </c>
      <c r="G29" s="49" t="str">
        <f t="shared" si="0"/>
        <v>N/A</v>
      </c>
      <c r="H29" s="291"/>
      <c r="I29" s="117"/>
      <c r="J29" s="70">
        <v>0</v>
      </c>
      <c r="K29" s="49" t="str">
        <f t="shared" si="1"/>
        <v>N/A</v>
      </c>
      <c r="L29" s="291"/>
      <c r="M29" s="117"/>
      <c r="N29" s="70">
        <v>0</v>
      </c>
      <c r="O29" s="49" t="str">
        <f t="shared" si="2"/>
        <v>N/A</v>
      </c>
      <c r="P29" s="291"/>
    </row>
    <row r="30" spans="1:17" s="25" customFormat="1" ht="15" x14ac:dyDescent="0.25">
      <c r="A30" s="115"/>
      <c r="B30" s="98" t="s">
        <v>76</v>
      </c>
      <c r="C30" s="115"/>
      <c r="D30" s="256"/>
      <c r="E30" s="115"/>
      <c r="F30" s="71">
        <v>0</v>
      </c>
      <c r="G30" s="50" t="str">
        <f t="shared" si="0"/>
        <v>N/A</v>
      </c>
      <c r="H30" s="292"/>
      <c r="I30" s="118"/>
      <c r="J30" s="71">
        <v>0</v>
      </c>
      <c r="K30" s="50" t="str">
        <f t="shared" si="1"/>
        <v>N/A</v>
      </c>
      <c r="L30" s="292"/>
      <c r="M30" s="118"/>
      <c r="N30" s="71">
        <v>0</v>
      </c>
      <c r="O30" s="50" t="str">
        <f t="shared" si="2"/>
        <v>N/A</v>
      </c>
      <c r="P30" s="292"/>
      <c r="Q30" s="115"/>
    </row>
    <row r="31" spans="1:17" s="24" customFormat="1" ht="15.75" thickBot="1" x14ac:dyDescent="0.3">
      <c r="A31" s="23"/>
      <c r="B31" s="10" t="s">
        <v>45</v>
      </c>
      <c r="C31" s="23"/>
      <c r="D31" s="257"/>
      <c r="E31" s="23"/>
      <c r="F31" s="72">
        <v>0</v>
      </c>
      <c r="G31" s="52" t="str">
        <f t="shared" si="0"/>
        <v>N/A</v>
      </c>
      <c r="H31" s="293"/>
      <c r="I31" s="117"/>
      <c r="J31" s="72">
        <v>0</v>
      </c>
      <c r="K31" s="52" t="str">
        <f t="shared" si="1"/>
        <v>N/A</v>
      </c>
      <c r="L31" s="293"/>
      <c r="M31" s="117"/>
      <c r="N31" s="72">
        <v>0</v>
      </c>
      <c r="O31" s="52" t="str">
        <f t="shared" si="2"/>
        <v>N/A</v>
      </c>
      <c r="P31" s="293"/>
      <c r="Q31" s="23"/>
    </row>
    <row r="32" spans="1:17" s="24" customFormat="1" ht="15.75" x14ac:dyDescent="0.25">
      <c r="A32" s="23"/>
      <c r="B32" s="99" t="s">
        <v>8</v>
      </c>
      <c r="C32" s="23"/>
      <c r="D32" s="258"/>
      <c r="E32" s="23"/>
      <c r="F32" s="233"/>
      <c r="G32" s="36"/>
      <c r="H32" s="294"/>
      <c r="I32" s="117"/>
      <c r="J32" s="233"/>
      <c r="K32" s="36"/>
      <c r="L32" s="294"/>
      <c r="M32" s="117"/>
      <c r="N32" s="233"/>
      <c r="O32" s="36"/>
      <c r="P32" s="294"/>
      <c r="Q32" s="23"/>
    </row>
    <row r="33" spans="1:24" s="24" customFormat="1" ht="15" x14ac:dyDescent="0.25">
      <c r="A33" s="23"/>
      <c r="B33" s="11" t="s">
        <v>22</v>
      </c>
      <c r="C33" s="23"/>
      <c r="D33" s="259"/>
      <c r="E33" s="23"/>
      <c r="F33" s="73">
        <v>0</v>
      </c>
      <c r="G33" s="53" t="str">
        <f t="shared" si="0"/>
        <v>N/A</v>
      </c>
      <c r="H33" s="295"/>
      <c r="I33" s="117"/>
      <c r="J33" s="73">
        <v>0</v>
      </c>
      <c r="K33" s="53" t="str">
        <f t="shared" si="1"/>
        <v>N/A</v>
      </c>
      <c r="L33" s="295"/>
      <c r="M33" s="117"/>
      <c r="N33" s="73">
        <v>0</v>
      </c>
      <c r="O33" s="53" t="str">
        <f t="shared" si="2"/>
        <v>N/A</v>
      </c>
      <c r="P33" s="295"/>
      <c r="Q33" s="23"/>
    </row>
    <row r="34" spans="1:24" s="24" customFormat="1" ht="15.75" thickBot="1" x14ac:dyDescent="0.3">
      <c r="A34" s="23"/>
      <c r="B34" s="100" t="s">
        <v>45</v>
      </c>
      <c r="C34" s="23"/>
      <c r="D34" s="260"/>
      <c r="E34" s="23"/>
      <c r="F34" s="88">
        <v>0</v>
      </c>
      <c r="G34" s="89" t="str">
        <f t="shared" si="0"/>
        <v>N/A</v>
      </c>
      <c r="H34" s="297"/>
      <c r="I34" s="117"/>
      <c r="J34" s="88">
        <v>0</v>
      </c>
      <c r="K34" s="89" t="str">
        <f t="shared" si="1"/>
        <v>N/A</v>
      </c>
      <c r="L34" s="297"/>
      <c r="M34" s="117"/>
      <c r="N34" s="88">
        <v>0</v>
      </c>
      <c r="O34" s="89" t="str">
        <f t="shared" si="2"/>
        <v>N/A</v>
      </c>
      <c r="P34" s="297"/>
      <c r="Q34" s="23"/>
    </row>
    <row r="35" spans="1:24" s="24" customFormat="1" ht="15.75" x14ac:dyDescent="0.25">
      <c r="A35" s="23"/>
      <c r="B35" s="101" t="s">
        <v>7</v>
      </c>
      <c r="C35" s="23"/>
      <c r="D35" s="261"/>
      <c r="E35" s="23"/>
      <c r="F35" s="234"/>
      <c r="G35" s="37"/>
      <c r="H35" s="298"/>
      <c r="I35" s="117"/>
      <c r="J35" s="234"/>
      <c r="K35" s="37"/>
      <c r="L35" s="298"/>
      <c r="M35" s="117"/>
      <c r="N35" s="234"/>
      <c r="O35" s="37"/>
      <c r="P35" s="298"/>
      <c r="Q35" s="23"/>
    </row>
    <row r="36" spans="1:24" s="24" customFormat="1" ht="15" x14ac:dyDescent="0.25">
      <c r="A36" s="23"/>
      <c r="B36" s="13" t="s">
        <v>20</v>
      </c>
      <c r="C36" s="23"/>
      <c r="D36" s="262"/>
      <c r="E36" s="23"/>
      <c r="F36" s="75">
        <v>0</v>
      </c>
      <c r="G36" s="55" t="str">
        <f t="shared" si="0"/>
        <v>N/A</v>
      </c>
      <c r="H36" s="299"/>
      <c r="I36" s="117"/>
      <c r="J36" s="75">
        <v>0</v>
      </c>
      <c r="K36" s="55" t="str">
        <f t="shared" si="1"/>
        <v>N/A</v>
      </c>
      <c r="L36" s="299"/>
      <c r="M36" s="117"/>
      <c r="N36" s="75">
        <v>0</v>
      </c>
      <c r="O36" s="55" t="str">
        <f t="shared" si="2"/>
        <v>N/A</v>
      </c>
      <c r="P36" s="299"/>
      <c r="Q36" s="23"/>
    </row>
    <row r="37" spans="1:24" s="24" customFormat="1" ht="15" x14ac:dyDescent="0.25">
      <c r="A37" s="23"/>
      <c r="B37" s="102" t="s">
        <v>16</v>
      </c>
      <c r="C37" s="23"/>
      <c r="D37" s="263"/>
      <c r="E37" s="23"/>
      <c r="F37" s="76">
        <v>0</v>
      </c>
      <c r="G37" s="56" t="str">
        <f t="shared" si="0"/>
        <v>N/A</v>
      </c>
      <c r="H37" s="300"/>
      <c r="I37" s="117"/>
      <c r="J37" s="76">
        <v>0</v>
      </c>
      <c r="K37" s="56" t="str">
        <f t="shared" si="1"/>
        <v>N/A</v>
      </c>
      <c r="L37" s="300"/>
      <c r="M37" s="117"/>
      <c r="N37" s="76">
        <v>0</v>
      </c>
      <c r="O37" s="56" t="str">
        <f t="shared" si="2"/>
        <v>N/A</v>
      </c>
      <c r="P37" s="300"/>
      <c r="Q37" s="23"/>
    </row>
    <row r="38" spans="1:24" s="24" customFormat="1" ht="15" x14ac:dyDescent="0.25">
      <c r="A38" s="23"/>
      <c r="B38" s="13" t="s">
        <v>40</v>
      </c>
      <c r="C38" s="23"/>
      <c r="D38" s="262"/>
      <c r="E38" s="23"/>
      <c r="F38" s="75">
        <v>0</v>
      </c>
      <c r="G38" s="55" t="str">
        <f t="shared" si="0"/>
        <v>N/A</v>
      </c>
      <c r="H38" s="299"/>
      <c r="I38" s="117"/>
      <c r="J38" s="75">
        <v>0</v>
      </c>
      <c r="K38" s="55" t="str">
        <f t="shared" si="1"/>
        <v>N/A</v>
      </c>
      <c r="L38" s="299"/>
      <c r="M38" s="117"/>
      <c r="N38" s="75">
        <v>0</v>
      </c>
      <c r="O38" s="55" t="str">
        <f t="shared" si="2"/>
        <v>N/A</v>
      </c>
      <c r="P38" s="299"/>
      <c r="Q38" s="23"/>
    </row>
    <row r="39" spans="1:24" s="24" customFormat="1" ht="15" x14ac:dyDescent="0.25">
      <c r="A39" s="23"/>
      <c r="B39" s="102" t="s">
        <v>17</v>
      </c>
      <c r="C39" s="23"/>
      <c r="D39" s="263"/>
      <c r="E39" s="23"/>
      <c r="F39" s="76">
        <v>0</v>
      </c>
      <c r="G39" s="56" t="str">
        <f t="shared" si="0"/>
        <v>N/A</v>
      </c>
      <c r="H39" s="300"/>
      <c r="I39" s="117"/>
      <c r="J39" s="76">
        <v>0</v>
      </c>
      <c r="K39" s="56" t="str">
        <f t="shared" si="1"/>
        <v>N/A</v>
      </c>
      <c r="L39" s="300"/>
      <c r="M39" s="117"/>
      <c r="N39" s="76">
        <v>0</v>
      </c>
      <c r="O39" s="56" t="str">
        <f t="shared" si="2"/>
        <v>N/A</v>
      </c>
      <c r="P39" s="300"/>
      <c r="Q39" s="23"/>
    </row>
    <row r="40" spans="1:24" s="24" customFormat="1" ht="15" x14ac:dyDescent="0.25">
      <c r="A40" s="23"/>
      <c r="B40" s="13" t="s">
        <v>56</v>
      </c>
      <c r="C40" s="23"/>
      <c r="D40" s="262"/>
      <c r="E40" s="23"/>
      <c r="F40" s="75">
        <v>0</v>
      </c>
      <c r="G40" s="55" t="str">
        <f t="shared" si="0"/>
        <v>N/A</v>
      </c>
      <c r="H40" s="299"/>
      <c r="I40" s="117"/>
      <c r="J40" s="75">
        <v>0</v>
      </c>
      <c r="K40" s="55" t="str">
        <f t="shared" si="1"/>
        <v>N/A</v>
      </c>
      <c r="L40" s="299"/>
      <c r="M40" s="117"/>
      <c r="N40" s="75">
        <v>0</v>
      </c>
      <c r="O40" s="55" t="str">
        <f t="shared" si="2"/>
        <v>N/A</v>
      </c>
      <c r="P40" s="299"/>
      <c r="Q40" s="23"/>
    </row>
    <row r="41" spans="1:24" s="24" customFormat="1" ht="15.75" thickBot="1" x14ac:dyDescent="0.3">
      <c r="A41" s="23"/>
      <c r="B41" s="103" t="s">
        <v>45</v>
      </c>
      <c r="C41" s="23"/>
      <c r="D41" s="264"/>
      <c r="E41" s="23"/>
      <c r="F41" s="106">
        <v>0</v>
      </c>
      <c r="G41" s="107" t="str">
        <f t="shared" si="0"/>
        <v>N/A</v>
      </c>
      <c r="H41" s="301"/>
      <c r="I41" s="117"/>
      <c r="J41" s="106">
        <v>0</v>
      </c>
      <c r="K41" s="107" t="str">
        <f t="shared" si="1"/>
        <v>N/A</v>
      </c>
      <c r="L41" s="301"/>
      <c r="M41" s="117"/>
      <c r="N41" s="106">
        <v>0</v>
      </c>
      <c r="O41" s="107" t="str">
        <f t="shared" si="2"/>
        <v>N/A</v>
      </c>
      <c r="P41" s="301"/>
      <c r="Q41" s="23"/>
    </row>
    <row r="42" spans="1:24" s="24" customFormat="1" ht="16.5" thickBot="1" x14ac:dyDescent="0.3">
      <c r="A42" s="23"/>
      <c r="B42" s="104" t="s">
        <v>9</v>
      </c>
      <c r="C42" s="23"/>
      <c r="D42" s="265"/>
      <c r="E42" s="23"/>
      <c r="F42" s="235"/>
      <c r="G42" s="38"/>
      <c r="H42" s="302"/>
      <c r="I42" s="117"/>
      <c r="J42" s="235"/>
      <c r="K42" s="38"/>
      <c r="L42" s="302"/>
      <c r="M42" s="117"/>
      <c r="N42" s="235"/>
      <c r="O42" s="38"/>
      <c r="P42" s="302"/>
      <c r="Q42" s="23"/>
    </row>
    <row r="43" spans="1:24" s="24" customFormat="1" ht="15" x14ac:dyDescent="0.25">
      <c r="A43" s="23"/>
      <c r="B43" s="111" t="s">
        <v>19</v>
      </c>
      <c r="C43" s="23"/>
      <c r="D43" s="266"/>
      <c r="E43" s="23"/>
      <c r="F43" s="77">
        <v>0</v>
      </c>
      <c r="G43" s="57" t="str">
        <f t="shared" si="0"/>
        <v>N/A</v>
      </c>
      <c r="H43" s="305"/>
      <c r="I43" s="117"/>
      <c r="J43" s="77">
        <v>0</v>
      </c>
      <c r="K43" s="57" t="str">
        <f t="shared" si="1"/>
        <v>N/A</v>
      </c>
      <c r="L43" s="305"/>
      <c r="M43" s="117"/>
      <c r="N43" s="77">
        <v>0</v>
      </c>
      <c r="O43" s="57" t="str">
        <f t="shared" si="2"/>
        <v>N/A</v>
      </c>
      <c r="P43" s="305"/>
      <c r="Q43" s="23"/>
    </row>
    <row r="44" spans="1:24" s="24" customFormat="1" ht="15" x14ac:dyDescent="0.25">
      <c r="A44" s="23"/>
      <c r="B44" s="105" t="s">
        <v>41</v>
      </c>
      <c r="C44" s="23"/>
      <c r="D44" s="267"/>
      <c r="E44" s="23"/>
      <c r="F44" s="78">
        <v>0</v>
      </c>
      <c r="G44" s="58" t="str">
        <f t="shared" si="0"/>
        <v>N/A</v>
      </c>
      <c r="H44" s="304"/>
      <c r="I44" s="117"/>
      <c r="J44" s="78">
        <v>0</v>
      </c>
      <c r="K44" s="58" t="str">
        <f t="shared" si="1"/>
        <v>N/A</v>
      </c>
      <c r="L44" s="304"/>
      <c r="M44" s="117"/>
      <c r="N44" s="78">
        <v>0</v>
      </c>
      <c r="O44" s="58" t="str">
        <f t="shared" si="2"/>
        <v>N/A</v>
      </c>
      <c r="P44" s="304"/>
      <c r="Q44" s="23"/>
    </row>
    <row r="45" spans="1:24" s="24" customFormat="1" ht="15" x14ac:dyDescent="0.25">
      <c r="A45" s="23"/>
      <c r="B45" s="15" t="s">
        <v>18</v>
      </c>
      <c r="C45" s="23"/>
      <c r="D45" s="266"/>
      <c r="E45" s="23"/>
      <c r="F45" s="77">
        <v>0</v>
      </c>
      <c r="G45" s="57" t="str">
        <f t="shared" si="0"/>
        <v>N/A</v>
      </c>
      <c r="H45" s="305"/>
      <c r="I45" s="117"/>
      <c r="J45" s="77">
        <v>0</v>
      </c>
      <c r="K45" s="57" t="str">
        <f t="shared" si="1"/>
        <v>N/A</v>
      </c>
      <c r="L45" s="305"/>
      <c r="M45" s="117"/>
      <c r="N45" s="77">
        <v>0</v>
      </c>
      <c r="O45" s="57" t="str">
        <f t="shared" si="2"/>
        <v>N/A</v>
      </c>
      <c r="P45" s="305"/>
      <c r="Q45" s="23"/>
    </row>
    <row r="46" spans="1:24" s="24" customFormat="1" ht="15" x14ac:dyDescent="0.25">
      <c r="A46" s="23"/>
      <c r="B46" s="105" t="s">
        <v>57</v>
      </c>
      <c r="C46" s="23"/>
      <c r="D46" s="267"/>
      <c r="E46" s="23"/>
      <c r="F46" s="78">
        <v>0</v>
      </c>
      <c r="G46" s="58" t="str">
        <f t="shared" si="0"/>
        <v>N/A</v>
      </c>
      <c r="H46" s="304"/>
      <c r="I46" s="117"/>
      <c r="J46" s="78">
        <v>0</v>
      </c>
      <c r="K46" s="58" t="str">
        <f t="shared" si="1"/>
        <v>N/A</v>
      </c>
      <c r="L46" s="304"/>
      <c r="M46" s="117"/>
      <c r="N46" s="78">
        <v>0</v>
      </c>
      <c r="O46" s="58" t="str">
        <f t="shared" si="2"/>
        <v>N/A</v>
      </c>
      <c r="P46" s="304"/>
      <c r="Q46" s="23"/>
    </row>
    <row r="47" spans="1:24" s="24" customFormat="1" ht="15.75" thickBot="1" x14ac:dyDescent="0.3">
      <c r="A47" s="23"/>
      <c r="B47" s="16" t="s">
        <v>45</v>
      </c>
      <c r="C47" s="23"/>
      <c r="D47" s="268"/>
      <c r="E47" s="23"/>
      <c r="F47" s="79">
        <v>0</v>
      </c>
      <c r="G47" s="59" t="str">
        <f t="shared" si="0"/>
        <v>N/A</v>
      </c>
      <c r="H47" s="306"/>
      <c r="I47" s="117"/>
      <c r="J47" s="79">
        <v>0</v>
      </c>
      <c r="K47" s="59" t="str">
        <f t="shared" si="1"/>
        <v>N/A</v>
      </c>
      <c r="L47" s="306"/>
      <c r="M47" s="117"/>
      <c r="N47" s="79">
        <v>0</v>
      </c>
      <c r="O47" s="59" t="str">
        <f t="shared" si="2"/>
        <v>N/A</v>
      </c>
      <c r="P47" s="306"/>
      <c r="Q47" s="23"/>
    </row>
    <row r="48" spans="1:24" s="24" customFormat="1" ht="5.0999999999999996" customHeight="1" x14ac:dyDescent="0.25">
      <c r="A48" s="23"/>
      <c r="B48" s="29"/>
      <c r="D48" s="31"/>
      <c r="F48" s="32"/>
      <c r="G48" s="32"/>
      <c r="H48" s="31"/>
      <c r="J48" s="32"/>
      <c r="K48" s="32"/>
      <c r="L48" s="31"/>
      <c r="N48" s="32"/>
      <c r="O48" s="32"/>
      <c r="P48" s="31"/>
      <c r="X48" s="26"/>
    </row>
    <row r="49" spans="2:24" s="24" customFormat="1" ht="15.75" hidden="1" customHeight="1" x14ac:dyDescent="0.25">
      <c r="B49" s="29"/>
      <c r="D49" s="31"/>
      <c r="F49" s="32"/>
      <c r="G49" s="32"/>
      <c r="H49" s="31"/>
      <c r="J49" s="32"/>
      <c r="K49" s="32"/>
      <c r="L49" s="31"/>
      <c r="N49" s="32"/>
      <c r="O49" s="32"/>
      <c r="P49" s="31"/>
      <c r="X49" s="26"/>
    </row>
    <row r="50" spans="2:24" s="24" customFormat="1" ht="15.75" hidden="1" customHeight="1" x14ac:dyDescent="0.25">
      <c r="B50" s="29"/>
      <c r="D50" s="28"/>
      <c r="F50" s="30"/>
      <c r="G50" s="30"/>
      <c r="H50" s="28"/>
      <c r="J50" s="30"/>
      <c r="K50" s="30"/>
      <c r="L50" s="28"/>
      <c r="N50" s="30"/>
      <c r="O50" s="30"/>
      <c r="P50" s="28"/>
    </row>
    <row r="51" spans="2:24" s="24" customFormat="1" ht="15" hidden="1" x14ac:dyDescent="0.25"/>
    <row r="52" spans="2:24" ht="15" hidden="1" x14ac:dyDescent="0.25"/>
  </sheetData>
  <sheetProtection sheet="1" objects="1" scenarios="1" selectLockedCells="1"/>
  <mergeCells count="8">
    <mergeCell ref="C2:P2"/>
    <mergeCell ref="P4:P5"/>
    <mergeCell ref="D4:D5"/>
    <mergeCell ref="H4:H5"/>
    <mergeCell ref="L4:L5"/>
    <mergeCell ref="F4:G6"/>
    <mergeCell ref="J4:K6"/>
    <mergeCell ref="N4:O6"/>
  </mergeCells>
  <conditionalFormatting sqref="D6">
    <cfRule type="cellIs" dxfId="15" priority="6" operator="equal">
      <formula>100</formula>
    </cfRule>
  </conditionalFormatting>
  <conditionalFormatting sqref="H6">
    <cfRule type="expression" dxfId="14" priority="5">
      <formula>IF($D$6=100,1,0)</formula>
    </cfRule>
  </conditionalFormatting>
  <conditionalFormatting sqref="L6">
    <cfRule type="expression" dxfId="13" priority="2">
      <formula>IF($D$6=100,1,0)</formula>
    </cfRule>
  </conditionalFormatting>
  <conditionalFormatting sqref="P6">
    <cfRule type="expression" dxfId="12" priority="1">
      <formula>IF($D$6=100,1,0)</formula>
    </cfRule>
  </conditionalFormatting>
  <dataValidations count="1">
    <dataValidation type="list" allowBlank="1" showInputMessage="1" showErrorMessage="1" sqref="F33:F34 F29:F31 N29:N31 J29:J31 F25:F27 J25:J27 N25:N27 N22:N23 F22:F23 J22:J23 F17:F20 J17:J20 N17:N20 J11:J15 F11:F15 N11:N15 F36:F41 J43:J47 N36:N41 J36:J41 N43:N47 F43:F47 J33:J34 N33:N34">
      <formula1>$R$11:$W$11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56"/>
  <sheetViews>
    <sheetView zoomScaleNormal="100" workbookViewId="0">
      <pane ySplit="9" topLeftCell="A10" activePane="bottomLeft" state="frozen"/>
      <selection pane="bottomLeft" activeCell="D11" sqref="D11"/>
    </sheetView>
  </sheetViews>
  <sheetFormatPr defaultColWidth="0" defaultRowHeight="0" customHeight="1" zeroHeight="1" x14ac:dyDescent="0.25"/>
  <cols>
    <col min="1" max="1" width="1.7109375" style="23" customWidth="1"/>
    <col min="2" max="2" width="30.7109375" style="23" customWidth="1"/>
    <col min="3" max="3" width="1.7109375" style="23" customWidth="1"/>
    <col min="4" max="4" width="8.7109375" style="23" customWidth="1"/>
    <col min="5" max="5" width="1.7109375" style="23" customWidth="1"/>
    <col min="6" max="7" width="8.7109375" style="23" customWidth="1"/>
    <col min="8" max="8" width="20.7109375" style="23" customWidth="1"/>
    <col min="9" max="9" width="1.7109375" style="23" customWidth="1"/>
    <col min="10" max="11" width="8.7109375" style="23" customWidth="1"/>
    <col min="12" max="12" width="20.7109375" style="23" customWidth="1"/>
    <col min="13" max="13" width="1.7109375" style="23" customWidth="1"/>
    <col min="14" max="15" width="8.7109375" style="23" customWidth="1"/>
    <col min="16" max="16" width="20.7109375" style="23" customWidth="1"/>
    <col min="17" max="17" width="1.7109375" style="23" customWidth="1"/>
    <col min="18" max="23" width="9.140625" style="23" customWidth="1"/>
    <col min="24" max="24" width="1.7109375" style="23" customWidth="1"/>
    <col min="25" max="27" width="0" style="23" hidden="1" customWidth="1"/>
    <col min="28" max="16384" width="9.140625" style="23" hidden="1"/>
  </cols>
  <sheetData>
    <row r="1" spans="2:23" ht="5.0999999999999996" customHeight="1" thickBot="1" x14ac:dyDescent="0.3">
      <c r="R1" s="28"/>
      <c r="S1" s="28"/>
      <c r="T1" s="28"/>
      <c r="U1" s="28"/>
      <c r="V1" s="28"/>
      <c r="W1" s="28"/>
    </row>
    <row r="2" spans="2:23" ht="15.75" customHeight="1" thickBot="1" x14ac:dyDescent="0.3">
      <c r="B2" s="351" t="s">
        <v>100</v>
      </c>
      <c r="C2" s="352" t="s">
        <v>101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3"/>
      <c r="R2" s="28"/>
      <c r="S2" s="28"/>
      <c r="T2" s="28"/>
      <c r="U2" s="28"/>
      <c r="V2" s="28"/>
      <c r="W2" s="28"/>
    </row>
    <row r="3" spans="2:23" ht="5.0999999999999996" customHeight="1" thickBot="1" x14ac:dyDescent="0.3">
      <c r="R3" s="28"/>
      <c r="S3" s="28"/>
      <c r="T3" s="28"/>
      <c r="U3" s="28"/>
      <c r="V3" s="28"/>
      <c r="W3" s="28"/>
    </row>
    <row r="4" spans="2:23" ht="15.75" customHeight="1" x14ac:dyDescent="0.25">
      <c r="B4" s="119" t="s">
        <v>59</v>
      </c>
      <c r="D4" s="360" t="s">
        <v>31</v>
      </c>
      <c r="F4" s="354" t="s">
        <v>50</v>
      </c>
      <c r="G4" s="355"/>
      <c r="H4" s="362" t="s">
        <v>32</v>
      </c>
      <c r="I4" s="116"/>
      <c r="J4" s="354" t="s">
        <v>51</v>
      </c>
      <c r="K4" s="355"/>
      <c r="L4" s="362" t="s">
        <v>32</v>
      </c>
      <c r="M4" s="116"/>
      <c r="N4" s="354" t="s">
        <v>52</v>
      </c>
      <c r="O4" s="355"/>
      <c r="P4" s="360" t="s">
        <v>32</v>
      </c>
      <c r="Q4" s="24"/>
      <c r="R4" s="31"/>
      <c r="S4" s="31"/>
      <c r="T4" s="31"/>
      <c r="U4" s="31"/>
      <c r="V4" s="31"/>
      <c r="W4" s="31"/>
    </row>
    <row r="5" spans="2:23" ht="15" customHeight="1" x14ac:dyDescent="0.25">
      <c r="B5" s="120" t="s">
        <v>60</v>
      </c>
      <c r="D5" s="361"/>
      <c r="F5" s="356"/>
      <c r="G5" s="357"/>
      <c r="H5" s="363"/>
      <c r="I5" s="116"/>
      <c r="J5" s="356"/>
      <c r="K5" s="357"/>
      <c r="L5" s="363"/>
      <c r="M5" s="116"/>
      <c r="N5" s="356"/>
      <c r="O5" s="357"/>
      <c r="P5" s="361"/>
      <c r="Q5" s="24"/>
      <c r="R5" s="31"/>
      <c r="S5" s="31"/>
      <c r="T5" s="31"/>
      <c r="U5" s="31"/>
      <c r="V5" s="31"/>
      <c r="W5" s="31"/>
    </row>
    <row r="6" spans="2:23" ht="15.95" customHeight="1" thickBot="1" x14ac:dyDescent="0.3">
      <c r="B6" s="121"/>
      <c r="D6" s="110">
        <f>SUM(D11:D15,D17:D22,D24:D25,D27:D29,D31:D33,D35:D38,D40:D45,D47:D51)</f>
        <v>0</v>
      </c>
      <c r="F6" s="358"/>
      <c r="G6" s="359"/>
      <c r="H6" s="109">
        <f>SUM(G11:G15,G17:G22,G24:G25,G27:G29,G31:G33,G35:G38,G40:G45,G47:G51)</f>
        <v>0</v>
      </c>
      <c r="I6" s="116"/>
      <c r="J6" s="358"/>
      <c r="K6" s="359"/>
      <c r="L6" s="109">
        <f>SUM(K11:K15,K17:K22,K24:K25,K27:K29,K31:K33,K35:K38,K40:K45,K47:K51)</f>
        <v>0</v>
      </c>
      <c r="M6" s="116"/>
      <c r="N6" s="358"/>
      <c r="O6" s="359"/>
      <c r="P6" s="110">
        <f>SUM(O11:O15,O17:O22,O24:O25,O27:O29,O31:O33,O35:O38,O40:O45,O47:O51)</f>
        <v>0</v>
      </c>
      <c r="Q6" s="24"/>
      <c r="R6" s="27"/>
      <c r="S6" s="27"/>
      <c r="T6" s="27"/>
      <c r="U6" s="27"/>
      <c r="V6" s="27"/>
      <c r="W6" s="27"/>
    </row>
    <row r="7" spans="2:23" ht="5.0999999999999996" customHeight="1" thickBot="1" x14ac:dyDescent="0.3">
      <c r="R7" s="28"/>
      <c r="S7" s="28"/>
      <c r="T7" s="28"/>
      <c r="U7" s="28"/>
      <c r="V7" s="28"/>
      <c r="W7" s="28"/>
    </row>
    <row r="8" spans="2:23" ht="32.1" customHeight="1" thickBot="1" x14ac:dyDescent="0.4">
      <c r="B8" s="108" t="s">
        <v>27</v>
      </c>
      <c r="D8" s="236" t="s">
        <v>0</v>
      </c>
      <c r="E8" s="237"/>
      <c r="F8" s="238" t="s">
        <v>26</v>
      </c>
      <c r="G8" s="239" t="s">
        <v>1</v>
      </c>
      <c r="H8" s="239" t="s">
        <v>61</v>
      </c>
      <c r="I8" s="237"/>
      <c r="J8" s="238" t="s">
        <v>26</v>
      </c>
      <c r="K8" s="240" t="s">
        <v>1</v>
      </c>
      <c r="L8" s="239" t="s">
        <v>61</v>
      </c>
      <c r="M8" s="237"/>
      <c r="N8" s="238" t="s">
        <v>26</v>
      </c>
      <c r="O8" s="240" t="s">
        <v>1</v>
      </c>
      <c r="P8" s="239" t="s">
        <v>61</v>
      </c>
      <c r="Q8" s="24"/>
      <c r="R8" s="24"/>
      <c r="S8" s="24"/>
      <c r="T8" s="24"/>
      <c r="U8" s="24"/>
      <c r="V8" s="24"/>
      <c r="W8" s="24"/>
    </row>
    <row r="9" spans="2:23" ht="5.0999999999999996" customHeight="1" thickBot="1" x14ac:dyDescent="0.3">
      <c r="R9" s="28"/>
      <c r="S9" s="28"/>
      <c r="T9" s="28"/>
      <c r="U9" s="28"/>
      <c r="V9" s="28"/>
      <c r="W9" s="28"/>
    </row>
    <row r="10" spans="2:23" ht="15.75" x14ac:dyDescent="0.25">
      <c r="B10" s="90" t="s">
        <v>2</v>
      </c>
      <c r="D10" s="182"/>
      <c r="F10" s="228"/>
      <c r="G10" s="180"/>
      <c r="H10" s="307"/>
      <c r="I10" s="117"/>
      <c r="J10" s="228"/>
      <c r="K10" s="180"/>
      <c r="L10" s="307"/>
      <c r="M10" s="117"/>
      <c r="N10" s="228"/>
      <c r="O10" s="180"/>
      <c r="P10" s="307"/>
    </row>
    <row r="11" spans="2:23" ht="15" x14ac:dyDescent="0.25">
      <c r="B11" s="91" t="s">
        <v>39</v>
      </c>
      <c r="D11" s="241"/>
      <c r="F11" s="60">
        <v>0</v>
      </c>
      <c r="G11" s="39" t="str">
        <f>IF($D11=0,"N/A",F11*$D11)</f>
        <v>N/A</v>
      </c>
      <c r="H11" s="276"/>
      <c r="I11" s="117"/>
      <c r="J11" s="60">
        <v>0</v>
      </c>
      <c r="K11" s="39" t="str">
        <f>IF($D11=0,"N/A",J11*$D11)</f>
        <v>N/A</v>
      </c>
      <c r="L11" s="276"/>
      <c r="M11" s="117"/>
      <c r="N11" s="60">
        <v>0</v>
      </c>
      <c r="O11" s="39" t="str">
        <f>IF($D11=0,"N/A",N11*$D11)</f>
        <v>N/A</v>
      </c>
      <c r="P11" s="276"/>
      <c r="R11" s="23">
        <v>0</v>
      </c>
      <c r="S11" s="23">
        <v>1</v>
      </c>
      <c r="T11" s="23">
        <v>2</v>
      </c>
      <c r="U11" s="23">
        <v>3</v>
      </c>
      <c r="V11" s="23">
        <v>4</v>
      </c>
      <c r="W11" s="23">
        <v>5</v>
      </c>
    </row>
    <row r="12" spans="2:23" ht="15" x14ac:dyDescent="0.25">
      <c r="B12" s="17" t="s">
        <v>38</v>
      </c>
      <c r="D12" s="242"/>
      <c r="F12" s="61">
        <v>0</v>
      </c>
      <c r="G12" s="40" t="str">
        <f t="shared" ref="G12:G51" si="0">IF($D12=0,"N/A",F12*$D12)</f>
        <v>N/A</v>
      </c>
      <c r="H12" s="277"/>
      <c r="I12" s="117"/>
      <c r="J12" s="61">
        <v>0</v>
      </c>
      <c r="K12" s="40" t="str">
        <f t="shared" ref="K12:K51" si="1">IF($D12=0,"N/A",J12*$D12)</f>
        <v>N/A</v>
      </c>
      <c r="L12" s="277"/>
      <c r="M12" s="117"/>
      <c r="N12" s="61">
        <v>0</v>
      </c>
      <c r="O12" s="40" t="str">
        <f t="shared" ref="O12:O51" si="2">IF($D12=0,"N/A",N12*$D12)</f>
        <v>N/A</v>
      </c>
      <c r="P12" s="277"/>
    </row>
    <row r="13" spans="2:23" ht="15" x14ac:dyDescent="0.25">
      <c r="B13" s="1" t="s">
        <v>10</v>
      </c>
      <c r="D13" s="241"/>
      <c r="F13" s="60">
        <v>0</v>
      </c>
      <c r="G13" s="39" t="str">
        <f t="shared" si="0"/>
        <v>N/A</v>
      </c>
      <c r="H13" s="276"/>
      <c r="I13" s="117"/>
      <c r="J13" s="60">
        <v>0</v>
      </c>
      <c r="K13" s="39" t="str">
        <f t="shared" si="1"/>
        <v>N/A</v>
      </c>
      <c r="L13" s="276"/>
      <c r="M13" s="117"/>
      <c r="N13" s="60">
        <v>0</v>
      </c>
      <c r="O13" s="39" t="str">
        <f t="shared" si="2"/>
        <v>N/A</v>
      </c>
      <c r="P13" s="276"/>
    </row>
    <row r="14" spans="2:23" ht="15" x14ac:dyDescent="0.25">
      <c r="B14" s="17" t="s">
        <v>53</v>
      </c>
      <c r="D14" s="242"/>
      <c r="F14" s="61">
        <v>0</v>
      </c>
      <c r="G14" s="40" t="str">
        <f t="shared" si="0"/>
        <v>N/A</v>
      </c>
      <c r="H14" s="277"/>
      <c r="I14" s="117"/>
      <c r="J14" s="61">
        <v>0</v>
      </c>
      <c r="K14" s="40" t="str">
        <f t="shared" si="1"/>
        <v>N/A</v>
      </c>
      <c r="L14" s="277"/>
      <c r="M14" s="117"/>
      <c r="N14" s="61">
        <v>0</v>
      </c>
      <c r="O14" s="40" t="str">
        <f t="shared" si="2"/>
        <v>N/A</v>
      </c>
      <c r="P14" s="277"/>
    </row>
    <row r="15" spans="2:23" ht="15.75" thickBot="1" x14ac:dyDescent="0.3">
      <c r="B15" s="2" t="s">
        <v>45</v>
      </c>
      <c r="D15" s="243"/>
      <c r="F15" s="80">
        <v>0</v>
      </c>
      <c r="G15" s="81" t="str">
        <f t="shared" si="0"/>
        <v>N/A</v>
      </c>
      <c r="H15" s="278"/>
      <c r="I15" s="117"/>
      <c r="J15" s="80">
        <v>0</v>
      </c>
      <c r="K15" s="81" t="str">
        <f t="shared" si="1"/>
        <v>N/A</v>
      </c>
      <c r="L15" s="278"/>
      <c r="M15" s="117"/>
      <c r="N15" s="80">
        <v>0</v>
      </c>
      <c r="O15" s="81" t="str">
        <f t="shared" si="2"/>
        <v>N/A</v>
      </c>
      <c r="P15" s="278"/>
    </row>
    <row r="16" spans="2:23" ht="15.75" x14ac:dyDescent="0.25">
      <c r="B16" s="92" t="s">
        <v>3</v>
      </c>
      <c r="D16" s="183"/>
      <c r="F16" s="229"/>
      <c r="G16" s="181"/>
      <c r="H16" s="279"/>
      <c r="I16" s="117"/>
      <c r="J16" s="229"/>
      <c r="K16" s="181"/>
      <c r="L16" s="279"/>
      <c r="M16" s="117"/>
      <c r="N16" s="229"/>
      <c r="O16" s="181"/>
      <c r="P16" s="279"/>
    </row>
    <row r="17" spans="1:17" ht="15" x14ac:dyDescent="0.25">
      <c r="B17" s="3" t="s">
        <v>11</v>
      </c>
      <c r="D17" s="244"/>
      <c r="F17" s="62">
        <v>0</v>
      </c>
      <c r="G17" s="41" t="str">
        <f t="shared" si="0"/>
        <v>N/A</v>
      </c>
      <c r="H17" s="280"/>
      <c r="I17" s="117"/>
      <c r="J17" s="62">
        <v>0</v>
      </c>
      <c r="K17" s="41" t="str">
        <f t="shared" si="1"/>
        <v>N/A</v>
      </c>
      <c r="L17" s="280"/>
      <c r="M17" s="117"/>
      <c r="N17" s="62">
        <v>0</v>
      </c>
      <c r="O17" s="41" t="str">
        <f t="shared" si="2"/>
        <v>N/A</v>
      </c>
      <c r="P17" s="280"/>
    </row>
    <row r="18" spans="1:17" ht="15" x14ac:dyDescent="0.25">
      <c r="B18" s="18" t="s">
        <v>29</v>
      </c>
      <c r="D18" s="245"/>
      <c r="F18" s="63">
        <v>0</v>
      </c>
      <c r="G18" s="42" t="str">
        <f t="shared" si="0"/>
        <v>N/A</v>
      </c>
      <c r="H18" s="281"/>
      <c r="I18" s="117"/>
      <c r="J18" s="63">
        <v>0</v>
      </c>
      <c r="K18" s="42" t="str">
        <f t="shared" si="1"/>
        <v>N/A</v>
      </c>
      <c r="L18" s="281"/>
      <c r="M18" s="117"/>
      <c r="N18" s="63">
        <v>0</v>
      </c>
      <c r="O18" s="42" t="str">
        <f t="shared" si="2"/>
        <v>N/A</v>
      </c>
      <c r="P18" s="281"/>
    </row>
    <row r="19" spans="1:17" ht="15" x14ac:dyDescent="0.25">
      <c r="B19" s="3" t="s">
        <v>30</v>
      </c>
      <c r="D19" s="244"/>
      <c r="F19" s="62">
        <v>0</v>
      </c>
      <c r="G19" s="41" t="str">
        <f t="shared" si="0"/>
        <v>N/A</v>
      </c>
      <c r="H19" s="280"/>
      <c r="I19" s="117"/>
      <c r="J19" s="62">
        <v>0</v>
      </c>
      <c r="K19" s="41" t="str">
        <f t="shared" si="1"/>
        <v>N/A</v>
      </c>
      <c r="L19" s="280"/>
      <c r="M19" s="117"/>
      <c r="N19" s="62">
        <v>0</v>
      </c>
      <c r="O19" s="41" t="str">
        <f t="shared" si="2"/>
        <v>N/A</v>
      </c>
      <c r="P19" s="280"/>
    </row>
    <row r="20" spans="1:17" ht="15" x14ac:dyDescent="0.25">
      <c r="B20" s="18" t="s">
        <v>49</v>
      </c>
      <c r="D20" s="245"/>
      <c r="F20" s="63">
        <v>0</v>
      </c>
      <c r="G20" s="42" t="str">
        <f t="shared" si="0"/>
        <v>N/A</v>
      </c>
      <c r="H20" s="281"/>
      <c r="I20" s="117"/>
      <c r="J20" s="63">
        <v>0</v>
      </c>
      <c r="K20" s="42" t="str">
        <f t="shared" si="1"/>
        <v>N/A</v>
      </c>
      <c r="L20" s="281"/>
      <c r="M20" s="117"/>
      <c r="N20" s="63">
        <v>0</v>
      </c>
      <c r="O20" s="42" t="str">
        <f t="shared" si="2"/>
        <v>N/A</v>
      </c>
      <c r="P20" s="281"/>
    </row>
    <row r="21" spans="1:17" ht="15" x14ac:dyDescent="0.25">
      <c r="B21" s="3" t="s">
        <v>12</v>
      </c>
      <c r="D21" s="244"/>
      <c r="F21" s="62">
        <v>0</v>
      </c>
      <c r="G21" s="41" t="str">
        <f t="shared" si="0"/>
        <v>N/A</v>
      </c>
      <c r="H21" s="280"/>
      <c r="I21" s="117"/>
      <c r="J21" s="62">
        <v>0</v>
      </c>
      <c r="K21" s="41" t="str">
        <f t="shared" si="1"/>
        <v>N/A</v>
      </c>
      <c r="L21" s="280"/>
      <c r="M21" s="117"/>
      <c r="N21" s="62">
        <v>0</v>
      </c>
      <c r="O21" s="41" t="str">
        <f t="shared" si="2"/>
        <v>N/A</v>
      </c>
      <c r="P21" s="280"/>
    </row>
    <row r="22" spans="1:17" ht="15.75" thickBot="1" x14ac:dyDescent="0.3">
      <c r="B22" s="93" t="s">
        <v>45</v>
      </c>
      <c r="D22" s="246"/>
      <c r="F22" s="84">
        <v>0</v>
      </c>
      <c r="G22" s="85" t="str">
        <f t="shared" si="0"/>
        <v>N/A</v>
      </c>
      <c r="H22" s="282"/>
      <c r="I22" s="117"/>
      <c r="J22" s="84">
        <v>0</v>
      </c>
      <c r="K22" s="85" t="str">
        <f t="shared" si="1"/>
        <v>N/A</v>
      </c>
      <c r="L22" s="282"/>
      <c r="M22" s="117"/>
      <c r="N22" s="84">
        <v>0</v>
      </c>
      <c r="O22" s="85" t="str">
        <f t="shared" si="2"/>
        <v>N/A</v>
      </c>
      <c r="P22" s="282"/>
    </row>
    <row r="23" spans="1:17" ht="15.75" x14ac:dyDescent="0.25">
      <c r="B23" s="94" t="s">
        <v>4</v>
      </c>
      <c r="D23" s="247"/>
      <c r="F23" s="230"/>
      <c r="G23" s="33"/>
      <c r="H23" s="283"/>
      <c r="I23" s="117"/>
      <c r="J23" s="230"/>
      <c r="K23" s="33"/>
      <c r="L23" s="283"/>
      <c r="M23" s="117"/>
      <c r="N23" s="230"/>
      <c r="O23" s="33"/>
      <c r="P23" s="283"/>
    </row>
    <row r="24" spans="1:17" ht="15" x14ac:dyDescent="0.25">
      <c r="B24" s="5" t="s">
        <v>13</v>
      </c>
      <c r="D24" s="248"/>
      <c r="F24" s="64">
        <v>0</v>
      </c>
      <c r="G24" s="43" t="str">
        <f t="shared" si="0"/>
        <v>N/A</v>
      </c>
      <c r="H24" s="284"/>
      <c r="I24" s="117"/>
      <c r="J24" s="64">
        <v>0</v>
      </c>
      <c r="K24" s="43" t="str">
        <f t="shared" si="1"/>
        <v>N/A</v>
      </c>
      <c r="L24" s="284"/>
      <c r="M24" s="117"/>
      <c r="N24" s="64">
        <v>0</v>
      </c>
      <c r="O24" s="43" t="str">
        <f t="shared" si="2"/>
        <v>N/A</v>
      </c>
      <c r="P24" s="284"/>
    </row>
    <row r="25" spans="1:17" ht="15.75" thickBot="1" x14ac:dyDescent="0.3">
      <c r="B25" s="95" t="s">
        <v>45</v>
      </c>
      <c r="D25" s="249"/>
      <c r="F25" s="82">
        <v>0</v>
      </c>
      <c r="G25" s="83" t="str">
        <f t="shared" si="0"/>
        <v>N/A</v>
      </c>
      <c r="H25" s="285"/>
      <c r="I25" s="117"/>
      <c r="J25" s="82">
        <v>0</v>
      </c>
      <c r="K25" s="83" t="str">
        <f t="shared" si="1"/>
        <v>N/A</v>
      </c>
      <c r="L25" s="285"/>
      <c r="M25" s="117"/>
      <c r="N25" s="82">
        <v>0</v>
      </c>
      <c r="O25" s="83" t="str">
        <f t="shared" si="2"/>
        <v>N/A</v>
      </c>
      <c r="P25" s="285"/>
    </row>
    <row r="26" spans="1:17" ht="15.75" x14ac:dyDescent="0.25">
      <c r="B26" s="96" t="s">
        <v>5</v>
      </c>
      <c r="D26" s="250"/>
      <c r="F26" s="231"/>
      <c r="G26" s="34"/>
      <c r="H26" s="286"/>
      <c r="I26" s="117"/>
      <c r="J26" s="231"/>
      <c r="K26" s="34"/>
      <c r="L26" s="286"/>
      <c r="M26" s="117"/>
      <c r="N26" s="231"/>
      <c r="O26" s="34"/>
      <c r="P26" s="286"/>
    </row>
    <row r="27" spans="1:17" ht="15" x14ac:dyDescent="0.25">
      <c r="B27" s="7" t="s">
        <v>34</v>
      </c>
      <c r="D27" s="251"/>
      <c r="F27" s="67">
        <v>0</v>
      </c>
      <c r="G27" s="46" t="str">
        <f t="shared" si="0"/>
        <v>N/A</v>
      </c>
      <c r="H27" s="287"/>
      <c r="I27" s="117"/>
      <c r="J27" s="67">
        <v>0</v>
      </c>
      <c r="K27" s="46" t="str">
        <f t="shared" si="1"/>
        <v>N/A</v>
      </c>
      <c r="L27" s="287"/>
      <c r="M27" s="117"/>
      <c r="N27" s="67">
        <v>0</v>
      </c>
      <c r="O27" s="46" t="str">
        <f t="shared" si="2"/>
        <v>N/A</v>
      </c>
      <c r="P27" s="287"/>
    </row>
    <row r="28" spans="1:17" ht="15" x14ac:dyDescent="0.25">
      <c r="B28" s="20" t="s">
        <v>36</v>
      </c>
      <c r="D28" s="252"/>
      <c r="F28" s="68">
        <v>0</v>
      </c>
      <c r="G28" s="47" t="str">
        <f t="shared" si="0"/>
        <v>N/A</v>
      </c>
      <c r="H28" s="288"/>
      <c r="I28" s="117"/>
      <c r="J28" s="68">
        <v>0</v>
      </c>
      <c r="K28" s="47" t="str">
        <f t="shared" si="1"/>
        <v>N/A</v>
      </c>
      <c r="L28" s="288"/>
      <c r="M28" s="117"/>
      <c r="N28" s="68">
        <v>0</v>
      </c>
      <c r="O28" s="47" t="str">
        <f t="shared" si="2"/>
        <v>N/A</v>
      </c>
      <c r="P28" s="288"/>
    </row>
    <row r="29" spans="1:17" ht="15.75" thickBot="1" x14ac:dyDescent="0.3">
      <c r="B29" s="8" t="s">
        <v>45</v>
      </c>
      <c r="D29" s="253"/>
      <c r="F29" s="69">
        <v>0</v>
      </c>
      <c r="G29" s="48" t="str">
        <f t="shared" si="0"/>
        <v>N/A</v>
      </c>
      <c r="H29" s="289"/>
      <c r="I29" s="117"/>
      <c r="J29" s="69">
        <v>0</v>
      </c>
      <c r="K29" s="48" t="str">
        <f t="shared" si="1"/>
        <v>N/A</v>
      </c>
      <c r="L29" s="289"/>
      <c r="M29" s="117"/>
      <c r="N29" s="69">
        <v>0</v>
      </c>
      <c r="O29" s="48" t="str">
        <f t="shared" si="2"/>
        <v>N/A</v>
      </c>
      <c r="P29" s="289"/>
    </row>
    <row r="30" spans="1:17" ht="15.75" x14ac:dyDescent="0.25">
      <c r="B30" s="97" t="s">
        <v>6</v>
      </c>
      <c r="D30" s="254"/>
      <c r="F30" s="232"/>
      <c r="G30" s="35"/>
      <c r="H30" s="290"/>
      <c r="I30" s="117"/>
      <c r="J30" s="232"/>
      <c r="K30" s="35"/>
      <c r="L30" s="290"/>
      <c r="M30" s="117"/>
      <c r="N30" s="232"/>
      <c r="O30" s="35"/>
      <c r="P30" s="290"/>
    </row>
    <row r="31" spans="1:17" ht="15" x14ac:dyDescent="0.25">
      <c r="B31" s="9" t="s">
        <v>77</v>
      </c>
      <c r="D31" s="255"/>
      <c r="F31" s="70">
        <v>0</v>
      </c>
      <c r="G31" s="49" t="str">
        <f t="shared" si="0"/>
        <v>N/A</v>
      </c>
      <c r="H31" s="291"/>
      <c r="I31" s="117"/>
      <c r="J31" s="70">
        <v>0</v>
      </c>
      <c r="K31" s="49" t="str">
        <f t="shared" si="1"/>
        <v>N/A</v>
      </c>
      <c r="L31" s="291"/>
      <c r="M31" s="117"/>
      <c r="N31" s="70">
        <v>0</v>
      </c>
      <c r="O31" s="49" t="str">
        <f t="shared" si="2"/>
        <v>N/A</v>
      </c>
      <c r="P31" s="291"/>
    </row>
    <row r="32" spans="1:17" s="25" customFormat="1" ht="15" x14ac:dyDescent="0.25">
      <c r="A32" s="115"/>
      <c r="B32" s="98" t="s">
        <v>76</v>
      </c>
      <c r="C32" s="115"/>
      <c r="D32" s="256"/>
      <c r="E32" s="115"/>
      <c r="F32" s="71">
        <v>0</v>
      </c>
      <c r="G32" s="50" t="str">
        <f t="shared" si="0"/>
        <v>N/A</v>
      </c>
      <c r="H32" s="292"/>
      <c r="I32" s="118"/>
      <c r="J32" s="71">
        <v>0</v>
      </c>
      <c r="K32" s="50" t="str">
        <f t="shared" si="1"/>
        <v>N/A</v>
      </c>
      <c r="L32" s="292"/>
      <c r="M32" s="118"/>
      <c r="N32" s="71">
        <v>0</v>
      </c>
      <c r="O32" s="50" t="str">
        <f t="shared" si="2"/>
        <v>N/A</v>
      </c>
      <c r="P32" s="292"/>
      <c r="Q32" s="115"/>
    </row>
    <row r="33" spans="1:17" s="24" customFormat="1" ht="15.75" thickBot="1" x14ac:dyDescent="0.3">
      <c r="A33" s="23"/>
      <c r="B33" s="10" t="s">
        <v>45</v>
      </c>
      <c r="C33" s="23"/>
      <c r="D33" s="257"/>
      <c r="E33" s="23"/>
      <c r="F33" s="72">
        <v>0</v>
      </c>
      <c r="G33" s="52" t="str">
        <f t="shared" si="0"/>
        <v>N/A</v>
      </c>
      <c r="H33" s="293"/>
      <c r="I33" s="117"/>
      <c r="J33" s="72">
        <v>0</v>
      </c>
      <c r="K33" s="52" t="str">
        <f t="shared" si="1"/>
        <v>N/A</v>
      </c>
      <c r="L33" s="293"/>
      <c r="M33" s="117"/>
      <c r="N33" s="72">
        <v>0</v>
      </c>
      <c r="O33" s="52" t="str">
        <f t="shared" si="2"/>
        <v>N/A</v>
      </c>
      <c r="P33" s="293"/>
      <c r="Q33" s="23"/>
    </row>
    <row r="34" spans="1:17" s="24" customFormat="1" ht="15.75" x14ac:dyDescent="0.25">
      <c r="A34" s="23"/>
      <c r="B34" s="99" t="s">
        <v>8</v>
      </c>
      <c r="C34" s="23"/>
      <c r="D34" s="258"/>
      <c r="E34" s="23"/>
      <c r="F34" s="233"/>
      <c r="G34" s="36"/>
      <c r="H34" s="294"/>
      <c r="I34" s="117"/>
      <c r="J34" s="233"/>
      <c r="K34" s="36"/>
      <c r="L34" s="294"/>
      <c r="M34" s="117"/>
      <c r="N34" s="233"/>
      <c r="O34" s="36"/>
      <c r="P34" s="294"/>
      <c r="Q34" s="23"/>
    </row>
    <row r="35" spans="1:17" s="24" customFormat="1" ht="15" x14ac:dyDescent="0.25">
      <c r="A35" s="23"/>
      <c r="B35" s="11" t="s">
        <v>75</v>
      </c>
      <c r="C35" s="23"/>
      <c r="D35" s="259"/>
      <c r="E35" s="23"/>
      <c r="F35" s="73">
        <v>0</v>
      </c>
      <c r="G35" s="53" t="str">
        <f t="shared" si="0"/>
        <v>N/A</v>
      </c>
      <c r="H35" s="295"/>
      <c r="I35" s="117"/>
      <c r="J35" s="73">
        <v>0</v>
      </c>
      <c r="K35" s="53" t="str">
        <f t="shared" si="1"/>
        <v>N/A</v>
      </c>
      <c r="L35" s="295"/>
      <c r="M35" s="117"/>
      <c r="N35" s="73">
        <v>0</v>
      </c>
      <c r="O35" s="53" t="str">
        <f t="shared" si="2"/>
        <v>N/A</v>
      </c>
      <c r="P35" s="295"/>
      <c r="Q35" s="23"/>
    </row>
    <row r="36" spans="1:17" s="24" customFormat="1" ht="15" x14ac:dyDescent="0.25">
      <c r="A36" s="23"/>
      <c r="B36" s="22" t="s">
        <v>33</v>
      </c>
      <c r="C36" s="23"/>
      <c r="D36" s="269"/>
      <c r="E36" s="23"/>
      <c r="F36" s="74">
        <v>0</v>
      </c>
      <c r="G36" s="54" t="str">
        <f t="shared" si="0"/>
        <v>N/A</v>
      </c>
      <c r="H36" s="296"/>
      <c r="I36" s="117"/>
      <c r="J36" s="74">
        <v>0</v>
      </c>
      <c r="K36" s="54" t="str">
        <f t="shared" si="1"/>
        <v>N/A</v>
      </c>
      <c r="L36" s="296"/>
      <c r="M36" s="117"/>
      <c r="N36" s="74">
        <v>0</v>
      </c>
      <c r="O36" s="54" t="str">
        <f t="shared" si="2"/>
        <v>N/A</v>
      </c>
      <c r="P36" s="296"/>
      <c r="Q36" s="23"/>
    </row>
    <row r="37" spans="1:17" s="24" customFormat="1" ht="15" x14ac:dyDescent="0.25">
      <c r="A37" s="23"/>
      <c r="B37" s="11" t="s">
        <v>46</v>
      </c>
      <c r="C37" s="23"/>
      <c r="D37" s="259"/>
      <c r="E37" s="23"/>
      <c r="F37" s="73">
        <v>0</v>
      </c>
      <c r="G37" s="53" t="str">
        <f t="shared" si="0"/>
        <v>N/A</v>
      </c>
      <c r="H37" s="295"/>
      <c r="I37" s="117"/>
      <c r="J37" s="73">
        <v>0</v>
      </c>
      <c r="K37" s="53" t="str">
        <f t="shared" si="1"/>
        <v>N/A</v>
      </c>
      <c r="L37" s="295"/>
      <c r="M37" s="117"/>
      <c r="N37" s="73">
        <v>0</v>
      </c>
      <c r="O37" s="53" t="str">
        <f t="shared" si="2"/>
        <v>N/A</v>
      </c>
      <c r="P37" s="295"/>
      <c r="Q37" s="23"/>
    </row>
    <row r="38" spans="1:17" s="24" customFormat="1" ht="15.75" thickBot="1" x14ac:dyDescent="0.3">
      <c r="A38" s="23"/>
      <c r="B38" s="100" t="s">
        <v>45</v>
      </c>
      <c r="C38" s="23"/>
      <c r="D38" s="260"/>
      <c r="E38" s="23"/>
      <c r="F38" s="88">
        <v>0</v>
      </c>
      <c r="G38" s="89" t="str">
        <f t="shared" si="0"/>
        <v>N/A</v>
      </c>
      <c r="H38" s="297"/>
      <c r="I38" s="117"/>
      <c r="J38" s="88">
        <v>0</v>
      </c>
      <c r="K38" s="89" t="str">
        <f t="shared" si="1"/>
        <v>N/A</v>
      </c>
      <c r="L38" s="297"/>
      <c r="M38" s="117"/>
      <c r="N38" s="88">
        <v>0</v>
      </c>
      <c r="O38" s="89" t="str">
        <f t="shared" si="2"/>
        <v>N/A</v>
      </c>
      <c r="P38" s="297"/>
      <c r="Q38" s="23"/>
    </row>
    <row r="39" spans="1:17" s="24" customFormat="1" ht="15.75" x14ac:dyDescent="0.25">
      <c r="A39" s="23"/>
      <c r="B39" s="101" t="s">
        <v>7</v>
      </c>
      <c r="C39" s="23"/>
      <c r="D39" s="261"/>
      <c r="E39" s="23"/>
      <c r="F39" s="234"/>
      <c r="G39" s="37"/>
      <c r="H39" s="298"/>
      <c r="I39" s="117"/>
      <c r="J39" s="234"/>
      <c r="K39" s="37"/>
      <c r="L39" s="298"/>
      <c r="M39" s="117"/>
      <c r="N39" s="234"/>
      <c r="O39" s="37"/>
      <c r="P39" s="298"/>
      <c r="Q39" s="23"/>
    </row>
    <row r="40" spans="1:17" s="24" customFormat="1" ht="15" x14ac:dyDescent="0.25">
      <c r="A40" s="23"/>
      <c r="B40" s="13" t="s">
        <v>20</v>
      </c>
      <c r="C40" s="23"/>
      <c r="D40" s="262"/>
      <c r="E40" s="23"/>
      <c r="F40" s="75">
        <v>0</v>
      </c>
      <c r="G40" s="55" t="str">
        <f t="shared" si="0"/>
        <v>N/A</v>
      </c>
      <c r="H40" s="299"/>
      <c r="I40" s="117"/>
      <c r="J40" s="75">
        <v>0</v>
      </c>
      <c r="K40" s="55" t="str">
        <f t="shared" si="1"/>
        <v>N/A</v>
      </c>
      <c r="L40" s="299"/>
      <c r="M40" s="117"/>
      <c r="N40" s="75">
        <v>0</v>
      </c>
      <c r="O40" s="55" t="str">
        <f t="shared" si="2"/>
        <v>N/A</v>
      </c>
      <c r="P40" s="299"/>
      <c r="Q40" s="23"/>
    </row>
    <row r="41" spans="1:17" s="24" customFormat="1" ht="15" x14ac:dyDescent="0.25">
      <c r="A41" s="23"/>
      <c r="B41" s="102" t="s">
        <v>16</v>
      </c>
      <c r="C41" s="23"/>
      <c r="D41" s="263"/>
      <c r="E41" s="23"/>
      <c r="F41" s="76">
        <v>0</v>
      </c>
      <c r="G41" s="56" t="str">
        <f t="shared" si="0"/>
        <v>N/A</v>
      </c>
      <c r="H41" s="300"/>
      <c r="I41" s="117"/>
      <c r="J41" s="76">
        <v>0</v>
      </c>
      <c r="K41" s="56" t="str">
        <f t="shared" si="1"/>
        <v>N/A</v>
      </c>
      <c r="L41" s="300"/>
      <c r="M41" s="117"/>
      <c r="N41" s="76">
        <v>0</v>
      </c>
      <c r="O41" s="56" t="str">
        <f t="shared" si="2"/>
        <v>N/A</v>
      </c>
      <c r="P41" s="300"/>
      <c r="Q41" s="23"/>
    </row>
    <row r="42" spans="1:17" s="24" customFormat="1" ht="15" x14ac:dyDescent="0.25">
      <c r="A42" s="23"/>
      <c r="B42" s="13" t="s">
        <v>40</v>
      </c>
      <c r="C42" s="23"/>
      <c r="D42" s="262"/>
      <c r="E42" s="23"/>
      <c r="F42" s="75">
        <v>0</v>
      </c>
      <c r="G42" s="55" t="str">
        <f t="shared" si="0"/>
        <v>N/A</v>
      </c>
      <c r="H42" s="299"/>
      <c r="I42" s="117"/>
      <c r="J42" s="75">
        <v>0</v>
      </c>
      <c r="K42" s="55" t="str">
        <f t="shared" si="1"/>
        <v>N/A</v>
      </c>
      <c r="L42" s="299"/>
      <c r="M42" s="117"/>
      <c r="N42" s="75">
        <v>0</v>
      </c>
      <c r="O42" s="55" t="str">
        <f t="shared" si="2"/>
        <v>N/A</v>
      </c>
      <c r="P42" s="299"/>
      <c r="Q42" s="23"/>
    </row>
    <row r="43" spans="1:17" s="24" customFormat="1" ht="15" x14ac:dyDescent="0.25">
      <c r="A43" s="23"/>
      <c r="B43" s="102" t="s">
        <v>17</v>
      </c>
      <c r="C43" s="23"/>
      <c r="D43" s="263"/>
      <c r="E43" s="23"/>
      <c r="F43" s="76">
        <v>0</v>
      </c>
      <c r="G43" s="56" t="str">
        <f t="shared" si="0"/>
        <v>N/A</v>
      </c>
      <c r="H43" s="300"/>
      <c r="I43" s="117"/>
      <c r="J43" s="76">
        <v>0</v>
      </c>
      <c r="K43" s="56" t="str">
        <f t="shared" si="1"/>
        <v>N/A</v>
      </c>
      <c r="L43" s="300"/>
      <c r="M43" s="117"/>
      <c r="N43" s="76">
        <v>0</v>
      </c>
      <c r="O43" s="56" t="str">
        <f t="shared" si="2"/>
        <v>N/A</v>
      </c>
      <c r="P43" s="300"/>
      <c r="Q43" s="23"/>
    </row>
    <row r="44" spans="1:17" s="24" customFormat="1" ht="15" x14ac:dyDescent="0.25">
      <c r="A44" s="23"/>
      <c r="B44" s="13" t="s">
        <v>54</v>
      </c>
      <c r="C44" s="23"/>
      <c r="D44" s="262"/>
      <c r="E44" s="23"/>
      <c r="F44" s="75">
        <v>0</v>
      </c>
      <c r="G44" s="55" t="str">
        <f t="shared" si="0"/>
        <v>N/A</v>
      </c>
      <c r="H44" s="299"/>
      <c r="I44" s="117"/>
      <c r="J44" s="75">
        <v>0</v>
      </c>
      <c r="K44" s="55" t="str">
        <f t="shared" si="1"/>
        <v>N/A</v>
      </c>
      <c r="L44" s="299"/>
      <c r="M44" s="117"/>
      <c r="N44" s="75">
        <v>0</v>
      </c>
      <c r="O44" s="55" t="str">
        <f t="shared" si="2"/>
        <v>N/A</v>
      </c>
      <c r="P44" s="299"/>
      <c r="Q44" s="23"/>
    </row>
    <row r="45" spans="1:17" s="24" customFormat="1" ht="15.75" thickBot="1" x14ac:dyDescent="0.3">
      <c r="A45" s="23"/>
      <c r="B45" s="103" t="s">
        <v>45</v>
      </c>
      <c r="C45" s="23"/>
      <c r="D45" s="264"/>
      <c r="E45" s="23"/>
      <c r="F45" s="106">
        <v>0</v>
      </c>
      <c r="G45" s="107" t="str">
        <f t="shared" si="0"/>
        <v>N/A</v>
      </c>
      <c r="H45" s="301"/>
      <c r="I45" s="117"/>
      <c r="J45" s="106">
        <v>0</v>
      </c>
      <c r="K45" s="107" t="str">
        <f t="shared" si="1"/>
        <v>N/A</v>
      </c>
      <c r="L45" s="301"/>
      <c r="M45" s="117"/>
      <c r="N45" s="106">
        <v>0</v>
      </c>
      <c r="O45" s="107" t="str">
        <f t="shared" si="2"/>
        <v>N/A</v>
      </c>
      <c r="P45" s="301"/>
      <c r="Q45" s="23"/>
    </row>
    <row r="46" spans="1:17" s="24" customFormat="1" ht="15.75" x14ac:dyDescent="0.25">
      <c r="A46" s="23"/>
      <c r="B46" s="104" t="s">
        <v>9</v>
      </c>
      <c r="C46" s="23"/>
      <c r="D46" s="265"/>
      <c r="E46" s="23"/>
      <c r="F46" s="235"/>
      <c r="G46" s="38"/>
      <c r="H46" s="302"/>
      <c r="I46" s="117"/>
      <c r="J46" s="235"/>
      <c r="K46" s="38"/>
      <c r="L46" s="302"/>
      <c r="M46" s="117"/>
      <c r="N46" s="235"/>
      <c r="O46" s="38"/>
      <c r="P46" s="302"/>
      <c r="Q46" s="23"/>
    </row>
    <row r="47" spans="1:17" s="24" customFormat="1" ht="15" x14ac:dyDescent="0.25">
      <c r="A47" s="23"/>
      <c r="B47" s="15" t="s">
        <v>19</v>
      </c>
      <c r="C47" s="23"/>
      <c r="D47" s="266"/>
      <c r="E47" s="23"/>
      <c r="F47" s="77">
        <v>0</v>
      </c>
      <c r="G47" s="57" t="str">
        <f t="shared" si="0"/>
        <v>N/A</v>
      </c>
      <c r="H47" s="305"/>
      <c r="I47" s="117"/>
      <c r="J47" s="77">
        <v>0</v>
      </c>
      <c r="K47" s="57" t="str">
        <f t="shared" si="1"/>
        <v>N/A</v>
      </c>
      <c r="L47" s="305"/>
      <c r="M47" s="117"/>
      <c r="N47" s="77">
        <v>0</v>
      </c>
      <c r="O47" s="57" t="str">
        <f t="shared" si="2"/>
        <v>N/A</v>
      </c>
      <c r="P47" s="305"/>
      <c r="Q47" s="23"/>
    </row>
    <row r="48" spans="1:17" s="24" customFormat="1" ht="15" x14ac:dyDescent="0.25">
      <c r="A48" s="23"/>
      <c r="B48" s="105" t="s">
        <v>41</v>
      </c>
      <c r="C48" s="23"/>
      <c r="D48" s="267"/>
      <c r="E48" s="23"/>
      <c r="F48" s="78">
        <v>0</v>
      </c>
      <c r="G48" s="58" t="str">
        <f t="shared" si="0"/>
        <v>N/A</v>
      </c>
      <c r="H48" s="304"/>
      <c r="I48" s="117"/>
      <c r="J48" s="78">
        <v>0</v>
      </c>
      <c r="K48" s="58" t="str">
        <f t="shared" si="1"/>
        <v>N/A</v>
      </c>
      <c r="L48" s="304"/>
      <c r="M48" s="117"/>
      <c r="N48" s="78">
        <v>0</v>
      </c>
      <c r="O48" s="58" t="str">
        <f t="shared" si="2"/>
        <v>N/A</v>
      </c>
      <c r="P48" s="304"/>
      <c r="Q48" s="23"/>
    </row>
    <row r="49" spans="1:24" s="24" customFormat="1" ht="15" x14ac:dyDescent="0.25">
      <c r="A49" s="23"/>
      <c r="B49" s="15" t="s">
        <v>18</v>
      </c>
      <c r="C49" s="23"/>
      <c r="D49" s="266"/>
      <c r="E49" s="23"/>
      <c r="F49" s="77">
        <v>0</v>
      </c>
      <c r="G49" s="57" t="str">
        <f t="shared" si="0"/>
        <v>N/A</v>
      </c>
      <c r="H49" s="305"/>
      <c r="I49" s="117"/>
      <c r="J49" s="77">
        <v>0</v>
      </c>
      <c r="K49" s="57" t="str">
        <f t="shared" si="1"/>
        <v>N/A</v>
      </c>
      <c r="L49" s="305"/>
      <c r="M49" s="117"/>
      <c r="N49" s="77">
        <v>0</v>
      </c>
      <c r="O49" s="57" t="str">
        <f t="shared" si="2"/>
        <v>N/A</v>
      </c>
      <c r="P49" s="305"/>
      <c r="Q49" s="23"/>
    </row>
    <row r="50" spans="1:24" s="24" customFormat="1" ht="15" x14ac:dyDescent="0.25">
      <c r="A50" s="23"/>
      <c r="B50" s="105" t="s">
        <v>57</v>
      </c>
      <c r="C50" s="23"/>
      <c r="D50" s="267"/>
      <c r="E50" s="23"/>
      <c r="F50" s="78">
        <v>0</v>
      </c>
      <c r="G50" s="58" t="str">
        <f t="shared" si="0"/>
        <v>N/A</v>
      </c>
      <c r="H50" s="304"/>
      <c r="I50" s="117"/>
      <c r="J50" s="78">
        <v>0</v>
      </c>
      <c r="K50" s="58" t="str">
        <f t="shared" si="1"/>
        <v>N/A</v>
      </c>
      <c r="L50" s="304"/>
      <c r="M50" s="117"/>
      <c r="N50" s="78">
        <v>0</v>
      </c>
      <c r="O50" s="58" t="str">
        <f t="shared" si="2"/>
        <v>N/A</v>
      </c>
      <c r="P50" s="304"/>
      <c r="Q50" s="23"/>
    </row>
    <row r="51" spans="1:24" s="24" customFormat="1" ht="15.75" thickBot="1" x14ac:dyDescent="0.3">
      <c r="A51" s="23"/>
      <c r="B51" s="16" t="s">
        <v>45</v>
      </c>
      <c r="C51" s="23"/>
      <c r="D51" s="268"/>
      <c r="E51" s="23"/>
      <c r="F51" s="79">
        <v>0</v>
      </c>
      <c r="G51" s="59" t="str">
        <f t="shared" si="0"/>
        <v>N/A</v>
      </c>
      <c r="H51" s="306"/>
      <c r="I51" s="117"/>
      <c r="J51" s="79">
        <v>0</v>
      </c>
      <c r="K51" s="59" t="str">
        <f t="shared" si="1"/>
        <v>N/A</v>
      </c>
      <c r="L51" s="306"/>
      <c r="M51" s="117"/>
      <c r="N51" s="79">
        <v>0</v>
      </c>
      <c r="O51" s="59" t="str">
        <f t="shared" si="2"/>
        <v>N/A</v>
      </c>
      <c r="P51" s="306"/>
      <c r="Q51" s="23"/>
    </row>
    <row r="52" spans="1:24" s="24" customFormat="1" ht="5.0999999999999996" customHeight="1" x14ac:dyDescent="0.25">
      <c r="A52" s="23"/>
      <c r="B52" s="29"/>
      <c r="D52" s="31"/>
      <c r="F52" s="32"/>
      <c r="G52" s="32"/>
      <c r="H52" s="31"/>
      <c r="J52" s="32"/>
      <c r="K52" s="32"/>
      <c r="L52" s="31"/>
      <c r="N52" s="32"/>
      <c r="O52" s="32"/>
      <c r="P52" s="31"/>
      <c r="X52" s="26"/>
    </row>
    <row r="53" spans="1:24" s="24" customFormat="1" ht="15.75" hidden="1" customHeight="1" x14ac:dyDescent="0.25">
      <c r="B53" s="29"/>
      <c r="D53" s="31"/>
      <c r="F53" s="32"/>
      <c r="G53" s="32"/>
      <c r="H53" s="31"/>
      <c r="J53" s="32"/>
      <c r="K53" s="32"/>
      <c r="L53" s="31"/>
      <c r="N53" s="32"/>
      <c r="O53" s="32"/>
      <c r="P53" s="31"/>
      <c r="X53" s="26"/>
    </row>
    <row r="54" spans="1:24" s="24" customFormat="1" ht="15.75" hidden="1" customHeight="1" x14ac:dyDescent="0.25">
      <c r="B54" s="29"/>
      <c r="D54" s="28"/>
      <c r="F54" s="30"/>
      <c r="G54" s="30"/>
      <c r="H54" s="28"/>
      <c r="J54" s="30"/>
      <c r="K54" s="30"/>
      <c r="L54" s="28"/>
      <c r="N54" s="30"/>
      <c r="O54" s="30"/>
      <c r="P54" s="28"/>
    </row>
    <row r="55" spans="1:24" s="24" customFormat="1" ht="15" hidden="1" x14ac:dyDescent="0.25"/>
    <row r="56" spans="1:24" ht="15" hidden="1" x14ac:dyDescent="0.25"/>
  </sheetData>
  <sheetProtection sheet="1" objects="1" scenarios="1" selectLockedCells="1"/>
  <mergeCells count="8">
    <mergeCell ref="C2:P2"/>
    <mergeCell ref="P4:P5"/>
    <mergeCell ref="D4:D5"/>
    <mergeCell ref="H4:H5"/>
    <mergeCell ref="L4:L5"/>
    <mergeCell ref="F4:G6"/>
    <mergeCell ref="J4:K6"/>
    <mergeCell ref="N4:O6"/>
  </mergeCells>
  <conditionalFormatting sqref="D6">
    <cfRule type="cellIs" dxfId="11" priority="6" operator="equal">
      <formula>100</formula>
    </cfRule>
  </conditionalFormatting>
  <conditionalFormatting sqref="H6">
    <cfRule type="expression" dxfId="10" priority="5">
      <formula>IF($D$6=100,1,0)</formula>
    </cfRule>
  </conditionalFormatting>
  <conditionalFormatting sqref="L6">
    <cfRule type="expression" dxfId="9" priority="2">
      <formula>IF($D$6=100,1,0)</formula>
    </cfRule>
  </conditionalFormatting>
  <conditionalFormatting sqref="P6">
    <cfRule type="expression" dxfId="8" priority="1">
      <formula>IF($D$6=100,1,0)</formula>
    </cfRule>
  </conditionalFormatting>
  <dataValidations count="1">
    <dataValidation type="list" allowBlank="1" showInputMessage="1" showErrorMessage="1" sqref="F35:F38 F31:F33 N31:N33 J31:J33 F27:F29 J27:J29 N27:N29 N24:N25 F24:F25 J24:J25 F17:F22 J17:J22 N17:N22 J11:J15 F11:F15 N11:N15 F40:F45 J47:J51 N40:N45 J40:J45 N47:N51 F47:F51 J35:J38 N35:N38">
      <formula1>$R$11:$W$11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A65"/>
  <sheetViews>
    <sheetView zoomScaleNormal="100" workbookViewId="0">
      <pane ySplit="9" topLeftCell="A10" activePane="bottomLeft" state="frozen"/>
      <selection pane="bottomLeft" activeCell="D11" sqref="D11"/>
    </sheetView>
  </sheetViews>
  <sheetFormatPr defaultColWidth="0" defaultRowHeight="0" customHeight="1" zeroHeight="1" x14ac:dyDescent="0.25"/>
  <cols>
    <col min="1" max="1" width="1.7109375" style="23" customWidth="1"/>
    <col min="2" max="2" width="30.7109375" style="23" customWidth="1"/>
    <col min="3" max="3" width="1.7109375" style="23" customWidth="1"/>
    <col min="4" max="4" width="8.7109375" style="23" customWidth="1"/>
    <col min="5" max="5" width="1.7109375" style="23" customWidth="1"/>
    <col min="6" max="7" width="8.7109375" style="23" customWidth="1"/>
    <col min="8" max="8" width="20.7109375" style="23" customWidth="1"/>
    <col min="9" max="9" width="1.7109375" style="23" customWidth="1"/>
    <col min="10" max="11" width="8.7109375" style="23" customWidth="1"/>
    <col min="12" max="12" width="20.7109375" style="23" customWidth="1"/>
    <col min="13" max="13" width="1.7109375" style="23" customWidth="1"/>
    <col min="14" max="15" width="8.7109375" style="23" customWidth="1"/>
    <col min="16" max="16" width="20.7109375" style="23" customWidth="1"/>
    <col min="17" max="17" width="1.7109375" style="23" customWidth="1"/>
    <col min="18" max="23" width="9.140625" style="23" customWidth="1"/>
    <col min="24" max="24" width="1.7109375" style="23" customWidth="1"/>
    <col min="25" max="27" width="0" style="23" hidden="1" customWidth="1"/>
    <col min="28" max="16384" width="9.140625" style="23" hidden="1"/>
  </cols>
  <sheetData>
    <row r="1" spans="2:23" ht="5.0999999999999996" customHeight="1" thickBot="1" x14ac:dyDescent="0.3">
      <c r="R1" s="28"/>
      <c r="S1" s="28"/>
      <c r="T1" s="28"/>
      <c r="U1" s="28"/>
      <c r="V1" s="28"/>
      <c r="W1" s="28"/>
    </row>
    <row r="2" spans="2:23" ht="15.75" customHeight="1" thickBot="1" x14ac:dyDescent="0.3">
      <c r="B2" s="351" t="s">
        <v>100</v>
      </c>
      <c r="C2" s="352" t="s">
        <v>101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3"/>
      <c r="R2" s="28"/>
      <c r="S2" s="28"/>
      <c r="T2" s="28"/>
      <c r="U2" s="28"/>
      <c r="V2" s="28"/>
      <c r="W2" s="28"/>
    </row>
    <row r="3" spans="2:23" ht="5.0999999999999996" customHeight="1" thickBot="1" x14ac:dyDescent="0.3">
      <c r="R3" s="28"/>
      <c r="S3" s="28"/>
      <c r="T3" s="28"/>
      <c r="U3" s="28"/>
      <c r="V3" s="28"/>
      <c r="W3" s="28"/>
    </row>
    <row r="4" spans="2:23" ht="15.75" customHeight="1" x14ac:dyDescent="0.25">
      <c r="B4" s="122" t="s">
        <v>59</v>
      </c>
      <c r="D4" s="360" t="s">
        <v>31</v>
      </c>
      <c r="F4" s="354" t="s">
        <v>50</v>
      </c>
      <c r="G4" s="355"/>
      <c r="H4" s="362" t="s">
        <v>32</v>
      </c>
      <c r="I4" s="116"/>
      <c r="J4" s="354" t="s">
        <v>51</v>
      </c>
      <c r="K4" s="355"/>
      <c r="L4" s="362" t="s">
        <v>32</v>
      </c>
      <c r="M4" s="116"/>
      <c r="N4" s="354" t="s">
        <v>52</v>
      </c>
      <c r="O4" s="355"/>
      <c r="P4" s="360" t="s">
        <v>32</v>
      </c>
      <c r="Q4" s="24"/>
      <c r="R4" s="31"/>
      <c r="S4" s="31"/>
      <c r="T4" s="31"/>
      <c r="U4" s="31"/>
      <c r="V4" s="31"/>
      <c r="W4" s="31"/>
    </row>
    <row r="5" spans="2:23" ht="15" customHeight="1" x14ac:dyDescent="0.25">
      <c r="B5" s="123" t="s">
        <v>60</v>
      </c>
      <c r="D5" s="361"/>
      <c r="F5" s="356"/>
      <c r="G5" s="357"/>
      <c r="H5" s="363"/>
      <c r="I5" s="116"/>
      <c r="J5" s="356"/>
      <c r="K5" s="357"/>
      <c r="L5" s="363"/>
      <c r="M5" s="116"/>
      <c r="N5" s="356"/>
      <c r="O5" s="357"/>
      <c r="P5" s="361"/>
      <c r="Q5" s="24"/>
      <c r="R5" s="31"/>
      <c r="S5" s="31"/>
      <c r="T5" s="31"/>
      <c r="U5" s="31"/>
      <c r="V5" s="31"/>
      <c r="W5" s="31"/>
    </row>
    <row r="6" spans="2:23" ht="15.95" customHeight="1" thickBot="1" x14ac:dyDescent="0.3">
      <c r="B6" s="123"/>
      <c r="D6" s="110">
        <f>SUM(D11:D17,D19:D24,D26:D28,D30:D36,D38:D43,D45:D48,D50:D54,D56:D60)</f>
        <v>0</v>
      </c>
      <c r="F6" s="358"/>
      <c r="G6" s="359"/>
      <c r="H6" s="109">
        <f>SUM(G11:G17,G19:G24,G26:G28,G30:G36,G38:G43,G45:G48,G50:G54,G56:G60)</f>
        <v>0</v>
      </c>
      <c r="I6" s="116"/>
      <c r="J6" s="358"/>
      <c r="K6" s="359"/>
      <c r="L6" s="109">
        <f>SUM(K11:K17,K19:K24,K26:K28,K30:K36,K38:K43,K45:K48,K50:K54,K56:K60)</f>
        <v>0</v>
      </c>
      <c r="M6" s="116"/>
      <c r="N6" s="358"/>
      <c r="O6" s="359"/>
      <c r="P6" s="110">
        <f>SUM(O11:O17,O19:O24,O26:O28,O30:O36,O38:O43,O45:O48,O50:O54,O56:O60)</f>
        <v>0</v>
      </c>
      <c r="Q6" s="24"/>
      <c r="R6" s="27"/>
      <c r="S6" s="27"/>
      <c r="T6" s="27"/>
      <c r="U6" s="27"/>
      <c r="V6" s="27"/>
      <c r="W6" s="27"/>
    </row>
    <row r="7" spans="2:23" ht="5.0999999999999996" customHeight="1" thickBot="1" x14ac:dyDescent="0.3">
      <c r="R7" s="28"/>
      <c r="S7" s="28"/>
      <c r="T7" s="28"/>
      <c r="U7" s="28"/>
      <c r="V7" s="28"/>
      <c r="W7" s="28"/>
    </row>
    <row r="8" spans="2:23" ht="32.1" customHeight="1" thickBot="1" x14ac:dyDescent="0.4">
      <c r="B8" s="108" t="s">
        <v>28</v>
      </c>
      <c r="D8" s="236" t="s">
        <v>0</v>
      </c>
      <c r="E8" s="237"/>
      <c r="F8" s="238" t="s">
        <v>26</v>
      </c>
      <c r="G8" s="239" t="s">
        <v>1</v>
      </c>
      <c r="H8" s="270" t="s">
        <v>61</v>
      </c>
      <c r="I8" s="237"/>
      <c r="J8" s="238" t="s">
        <v>26</v>
      </c>
      <c r="K8" s="240" t="s">
        <v>1</v>
      </c>
      <c r="L8" s="270" t="s">
        <v>61</v>
      </c>
      <c r="M8" s="237"/>
      <c r="N8" s="238" t="s">
        <v>26</v>
      </c>
      <c r="O8" s="240" t="s">
        <v>1</v>
      </c>
      <c r="P8" s="270" t="s">
        <v>61</v>
      </c>
      <c r="Q8" s="24"/>
      <c r="R8" s="24"/>
      <c r="S8" s="24"/>
      <c r="T8" s="24"/>
      <c r="U8" s="24"/>
      <c r="V8" s="24"/>
      <c r="W8" s="24"/>
    </row>
    <row r="9" spans="2:23" ht="5.0999999999999996" customHeight="1" thickBot="1" x14ac:dyDescent="0.3">
      <c r="H9" s="186"/>
      <c r="L9" s="186"/>
      <c r="P9" s="186"/>
      <c r="R9" s="28"/>
      <c r="S9" s="28"/>
      <c r="T9" s="28"/>
      <c r="U9" s="28"/>
      <c r="V9" s="28"/>
      <c r="W9" s="28"/>
    </row>
    <row r="10" spans="2:23" ht="15.75" x14ac:dyDescent="0.25">
      <c r="B10" s="90" t="s">
        <v>2</v>
      </c>
      <c r="D10" s="182"/>
      <c r="F10" s="228"/>
      <c r="G10" s="180"/>
      <c r="H10" s="307"/>
      <c r="I10" s="117"/>
      <c r="J10" s="228"/>
      <c r="K10" s="180"/>
      <c r="L10" s="307"/>
      <c r="M10" s="117"/>
      <c r="N10" s="228"/>
      <c r="O10" s="180"/>
      <c r="P10" s="307"/>
    </row>
    <row r="11" spans="2:23" ht="15" x14ac:dyDescent="0.25">
      <c r="B11" s="91" t="s">
        <v>39</v>
      </c>
      <c r="D11" s="241"/>
      <c r="F11" s="60">
        <v>0</v>
      </c>
      <c r="G11" s="39" t="str">
        <f>IF($D11=0,"N/A",F11*$D11)</f>
        <v>N/A</v>
      </c>
      <c r="H11" s="276"/>
      <c r="I11" s="117"/>
      <c r="J11" s="60">
        <v>0</v>
      </c>
      <c r="K11" s="39" t="str">
        <f>IF($D11=0,"N/A",J11*$D11)</f>
        <v>N/A</v>
      </c>
      <c r="L11" s="276"/>
      <c r="M11" s="117"/>
      <c r="N11" s="60">
        <v>0</v>
      </c>
      <c r="O11" s="39" t="str">
        <f>IF($D11=0,"N/A",N11*$D11)</f>
        <v>N/A</v>
      </c>
      <c r="P11" s="276"/>
      <c r="R11" s="23">
        <v>0</v>
      </c>
      <c r="S11" s="23">
        <v>1</v>
      </c>
      <c r="T11" s="23">
        <v>2</v>
      </c>
      <c r="U11" s="23">
        <v>3</v>
      </c>
      <c r="V11" s="23">
        <v>4</v>
      </c>
      <c r="W11" s="23">
        <v>5</v>
      </c>
    </row>
    <row r="12" spans="2:23" ht="15" x14ac:dyDescent="0.25">
      <c r="B12" s="17" t="s">
        <v>37</v>
      </c>
      <c r="D12" s="242"/>
      <c r="F12" s="61">
        <v>0</v>
      </c>
      <c r="G12" s="40" t="str">
        <f t="shared" ref="G12:G60" si="0">IF($D12=0,"N/A",F12*$D12)</f>
        <v>N/A</v>
      </c>
      <c r="H12" s="277"/>
      <c r="I12" s="117"/>
      <c r="J12" s="61">
        <v>0</v>
      </c>
      <c r="K12" s="40" t="str">
        <f t="shared" ref="K12:K60" si="1">IF($D12=0,"N/A",J12*$D12)</f>
        <v>N/A</v>
      </c>
      <c r="L12" s="277"/>
      <c r="M12" s="117"/>
      <c r="N12" s="61">
        <v>0</v>
      </c>
      <c r="O12" s="40" t="str">
        <f t="shared" ref="O12:O60" si="2">IF($D12=0,"N/A",N12*$D12)</f>
        <v>N/A</v>
      </c>
      <c r="P12" s="277"/>
    </row>
    <row r="13" spans="2:23" ht="15" x14ac:dyDescent="0.25">
      <c r="B13" s="1" t="s">
        <v>38</v>
      </c>
      <c r="D13" s="241"/>
      <c r="F13" s="60">
        <v>0</v>
      </c>
      <c r="G13" s="39" t="str">
        <f t="shared" si="0"/>
        <v>N/A</v>
      </c>
      <c r="H13" s="276"/>
      <c r="I13" s="117"/>
      <c r="J13" s="60">
        <v>0</v>
      </c>
      <c r="K13" s="39" t="str">
        <f t="shared" si="1"/>
        <v>N/A</v>
      </c>
      <c r="L13" s="276"/>
      <c r="M13" s="117"/>
      <c r="N13" s="60">
        <v>0</v>
      </c>
      <c r="O13" s="39" t="str">
        <f t="shared" si="2"/>
        <v>N/A</v>
      </c>
      <c r="P13" s="276"/>
    </row>
    <row r="14" spans="2:23" ht="15" x14ac:dyDescent="0.25">
      <c r="B14" s="17" t="s">
        <v>10</v>
      </c>
      <c r="D14" s="242"/>
      <c r="F14" s="61">
        <v>0</v>
      </c>
      <c r="G14" s="40" t="str">
        <f t="shared" si="0"/>
        <v>N/A</v>
      </c>
      <c r="H14" s="277"/>
      <c r="I14" s="117"/>
      <c r="J14" s="61">
        <v>0</v>
      </c>
      <c r="K14" s="40" t="str">
        <f t="shared" si="1"/>
        <v>N/A</v>
      </c>
      <c r="L14" s="277"/>
      <c r="M14" s="117"/>
      <c r="N14" s="61">
        <v>0</v>
      </c>
      <c r="O14" s="40" t="str">
        <f t="shared" si="2"/>
        <v>N/A</v>
      </c>
      <c r="P14" s="277"/>
    </row>
    <row r="15" spans="2:23" ht="15" x14ac:dyDescent="0.25">
      <c r="B15" s="1" t="s">
        <v>53</v>
      </c>
      <c r="D15" s="241"/>
      <c r="F15" s="60">
        <v>0</v>
      </c>
      <c r="G15" s="39" t="str">
        <f t="shared" si="0"/>
        <v>N/A</v>
      </c>
      <c r="H15" s="276"/>
      <c r="I15" s="117"/>
      <c r="J15" s="60">
        <v>0</v>
      </c>
      <c r="K15" s="39" t="str">
        <f t="shared" si="1"/>
        <v>N/A</v>
      </c>
      <c r="L15" s="276"/>
      <c r="M15" s="117"/>
      <c r="N15" s="60">
        <v>0</v>
      </c>
      <c r="O15" s="39" t="str">
        <f t="shared" si="2"/>
        <v>N/A</v>
      </c>
      <c r="P15" s="276"/>
    </row>
    <row r="16" spans="2:23" ht="15" x14ac:dyDescent="0.25">
      <c r="B16" s="17" t="s">
        <v>47</v>
      </c>
      <c r="D16" s="242"/>
      <c r="F16" s="61">
        <v>0</v>
      </c>
      <c r="G16" s="40" t="str">
        <f t="shared" si="0"/>
        <v>N/A</v>
      </c>
      <c r="H16" s="277"/>
      <c r="I16" s="117"/>
      <c r="J16" s="61">
        <v>0</v>
      </c>
      <c r="K16" s="40" t="str">
        <f t="shared" si="1"/>
        <v>N/A</v>
      </c>
      <c r="L16" s="277"/>
      <c r="M16" s="117"/>
      <c r="N16" s="61">
        <v>0</v>
      </c>
      <c r="O16" s="40" t="str">
        <f t="shared" si="2"/>
        <v>N/A</v>
      </c>
      <c r="P16" s="277"/>
    </row>
    <row r="17" spans="2:16" ht="15.75" thickBot="1" x14ac:dyDescent="0.3">
      <c r="B17" s="2" t="s">
        <v>45</v>
      </c>
      <c r="D17" s="243"/>
      <c r="F17" s="80">
        <v>0</v>
      </c>
      <c r="G17" s="81" t="str">
        <f t="shared" si="0"/>
        <v>N/A</v>
      </c>
      <c r="H17" s="278"/>
      <c r="I17" s="117"/>
      <c r="J17" s="80">
        <v>0</v>
      </c>
      <c r="K17" s="81" t="str">
        <f t="shared" si="1"/>
        <v>N/A</v>
      </c>
      <c r="L17" s="278"/>
      <c r="M17" s="117"/>
      <c r="N17" s="80">
        <v>0</v>
      </c>
      <c r="O17" s="81" t="str">
        <f t="shared" si="2"/>
        <v>N/A</v>
      </c>
      <c r="P17" s="278"/>
    </row>
    <row r="18" spans="2:16" ht="15.75" x14ac:dyDescent="0.25">
      <c r="B18" s="92" t="s">
        <v>3</v>
      </c>
      <c r="D18" s="183"/>
      <c r="F18" s="229"/>
      <c r="G18" s="181"/>
      <c r="H18" s="279"/>
      <c r="I18" s="117"/>
      <c r="J18" s="229"/>
      <c r="K18" s="181"/>
      <c r="L18" s="279"/>
      <c r="M18" s="117"/>
      <c r="N18" s="229"/>
      <c r="O18" s="181"/>
      <c r="P18" s="279"/>
    </row>
    <row r="19" spans="2:16" ht="15" x14ac:dyDescent="0.25">
      <c r="B19" s="3" t="s">
        <v>11</v>
      </c>
      <c r="D19" s="244"/>
      <c r="F19" s="62">
        <v>0</v>
      </c>
      <c r="G19" s="41" t="str">
        <f t="shared" si="0"/>
        <v>N/A</v>
      </c>
      <c r="H19" s="280"/>
      <c r="I19" s="117"/>
      <c r="J19" s="62">
        <v>0</v>
      </c>
      <c r="K19" s="41" t="str">
        <f t="shared" si="1"/>
        <v>N/A</v>
      </c>
      <c r="L19" s="280"/>
      <c r="M19" s="117"/>
      <c r="N19" s="62">
        <v>0</v>
      </c>
      <c r="O19" s="41" t="str">
        <f t="shared" si="2"/>
        <v>N/A</v>
      </c>
      <c r="P19" s="280"/>
    </row>
    <row r="20" spans="2:16" ht="15" x14ac:dyDescent="0.25">
      <c r="B20" s="18" t="s">
        <v>29</v>
      </c>
      <c r="D20" s="245"/>
      <c r="F20" s="63">
        <v>0</v>
      </c>
      <c r="G20" s="42" t="str">
        <f t="shared" si="0"/>
        <v>N/A</v>
      </c>
      <c r="H20" s="281"/>
      <c r="I20" s="117"/>
      <c r="J20" s="63">
        <v>0</v>
      </c>
      <c r="K20" s="42" t="str">
        <f t="shared" si="1"/>
        <v>N/A</v>
      </c>
      <c r="L20" s="281"/>
      <c r="M20" s="117"/>
      <c r="N20" s="63">
        <v>0</v>
      </c>
      <c r="O20" s="42" t="str">
        <f t="shared" si="2"/>
        <v>N/A</v>
      </c>
      <c r="P20" s="281"/>
    </row>
    <row r="21" spans="2:16" ht="15" x14ac:dyDescent="0.25">
      <c r="B21" s="3" t="s">
        <v>49</v>
      </c>
      <c r="D21" s="244"/>
      <c r="F21" s="62">
        <v>0</v>
      </c>
      <c r="G21" s="41" t="str">
        <f t="shared" si="0"/>
        <v>N/A</v>
      </c>
      <c r="H21" s="280"/>
      <c r="I21" s="117"/>
      <c r="J21" s="62">
        <v>0</v>
      </c>
      <c r="K21" s="41" t="str">
        <f t="shared" si="1"/>
        <v>N/A</v>
      </c>
      <c r="L21" s="280"/>
      <c r="M21" s="117"/>
      <c r="N21" s="62">
        <v>0</v>
      </c>
      <c r="O21" s="41" t="str">
        <f t="shared" si="2"/>
        <v>N/A</v>
      </c>
      <c r="P21" s="280"/>
    </row>
    <row r="22" spans="2:16" ht="15" x14ac:dyDescent="0.25">
      <c r="B22" s="18" t="s">
        <v>12</v>
      </c>
      <c r="D22" s="245"/>
      <c r="F22" s="63">
        <v>0</v>
      </c>
      <c r="G22" s="42" t="str">
        <f t="shared" si="0"/>
        <v>N/A</v>
      </c>
      <c r="H22" s="281"/>
      <c r="I22" s="117"/>
      <c r="J22" s="63">
        <v>0</v>
      </c>
      <c r="K22" s="42" t="str">
        <f t="shared" si="1"/>
        <v>N/A</v>
      </c>
      <c r="L22" s="281"/>
      <c r="M22" s="117"/>
      <c r="N22" s="63">
        <v>0</v>
      </c>
      <c r="O22" s="42" t="str">
        <f t="shared" si="2"/>
        <v>N/A</v>
      </c>
      <c r="P22" s="281"/>
    </row>
    <row r="23" spans="2:16" ht="15" x14ac:dyDescent="0.25">
      <c r="B23" s="3" t="s">
        <v>48</v>
      </c>
      <c r="D23" s="244"/>
      <c r="F23" s="62">
        <v>0</v>
      </c>
      <c r="G23" s="41" t="str">
        <f t="shared" si="0"/>
        <v>N/A</v>
      </c>
      <c r="H23" s="280"/>
      <c r="I23" s="117"/>
      <c r="J23" s="62">
        <v>0</v>
      </c>
      <c r="K23" s="41" t="str">
        <f t="shared" si="1"/>
        <v>N/A</v>
      </c>
      <c r="L23" s="280"/>
      <c r="M23" s="117"/>
      <c r="N23" s="62">
        <v>0</v>
      </c>
      <c r="O23" s="41" t="str">
        <f t="shared" si="2"/>
        <v>N/A</v>
      </c>
      <c r="P23" s="280"/>
    </row>
    <row r="24" spans="2:16" ht="15.75" thickBot="1" x14ac:dyDescent="0.3">
      <c r="B24" s="93" t="s">
        <v>45</v>
      </c>
      <c r="D24" s="246"/>
      <c r="F24" s="84">
        <v>0</v>
      </c>
      <c r="G24" s="85" t="str">
        <f t="shared" si="0"/>
        <v>N/A</v>
      </c>
      <c r="H24" s="282"/>
      <c r="I24" s="117"/>
      <c r="J24" s="84">
        <v>0</v>
      </c>
      <c r="K24" s="85" t="str">
        <f t="shared" si="1"/>
        <v>N/A</v>
      </c>
      <c r="L24" s="282"/>
      <c r="M24" s="117"/>
      <c r="N24" s="84">
        <v>0</v>
      </c>
      <c r="O24" s="85" t="str">
        <f t="shared" si="2"/>
        <v>N/A</v>
      </c>
      <c r="P24" s="282"/>
    </row>
    <row r="25" spans="2:16" ht="15.75" x14ac:dyDescent="0.25">
      <c r="B25" s="94" t="s">
        <v>4</v>
      </c>
      <c r="D25" s="247"/>
      <c r="F25" s="230"/>
      <c r="G25" s="33"/>
      <c r="H25" s="283"/>
      <c r="I25" s="117"/>
      <c r="J25" s="230"/>
      <c r="K25" s="33"/>
      <c r="L25" s="283"/>
      <c r="M25" s="117"/>
      <c r="N25" s="230"/>
      <c r="O25" s="33"/>
      <c r="P25" s="283"/>
    </row>
    <row r="26" spans="2:16" ht="15" x14ac:dyDescent="0.25">
      <c r="B26" s="5" t="s">
        <v>13</v>
      </c>
      <c r="D26" s="248"/>
      <c r="F26" s="64">
        <v>0</v>
      </c>
      <c r="G26" s="43" t="str">
        <f t="shared" si="0"/>
        <v>N/A</v>
      </c>
      <c r="H26" s="284"/>
      <c r="I26" s="117"/>
      <c r="J26" s="64">
        <v>0</v>
      </c>
      <c r="K26" s="43" t="str">
        <f t="shared" si="1"/>
        <v>N/A</v>
      </c>
      <c r="L26" s="284"/>
      <c r="M26" s="117"/>
      <c r="N26" s="64">
        <v>0</v>
      </c>
      <c r="O26" s="43" t="str">
        <f t="shared" si="2"/>
        <v>N/A</v>
      </c>
      <c r="P26" s="284"/>
    </row>
    <row r="27" spans="2:16" ht="15" x14ac:dyDescent="0.25">
      <c r="B27" s="19" t="s">
        <v>14</v>
      </c>
      <c r="D27" s="271"/>
      <c r="F27" s="65">
        <v>0</v>
      </c>
      <c r="G27" s="44" t="str">
        <f t="shared" si="0"/>
        <v>N/A</v>
      </c>
      <c r="H27" s="313"/>
      <c r="I27" s="117"/>
      <c r="J27" s="65">
        <v>0</v>
      </c>
      <c r="K27" s="44" t="str">
        <f t="shared" si="1"/>
        <v>N/A</v>
      </c>
      <c r="L27" s="313"/>
      <c r="M27" s="117"/>
      <c r="N27" s="65">
        <v>0</v>
      </c>
      <c r="O27" s="44" t="str">
        <f t="shared" si="2"/>
        <v>N/A</v>
      </c>
      <c r="P27" s="313"/>
    </row>
    <row r="28" spans="2:16" ht="15.75" thickBot="1" x14ac:dyDescent="0.3">
      <c r="B28" s="6" t="s">
        <v>45</v>
      </c>
      <c r="D28" s="272"/>
      <c r="F28" s="66">
        <v>0</v>
      </c>
      <c r="G28" s="45" t="str">
        <f t="shared" si="0"/>
        <v>N/A</v>
      </c>
      <c r="H28" s="314"/>
      <c r="I28" s="117"/>
      <c r="J28" s="66">
        <v>0</v>
      </c>
      <c r="K28" s="45" t="str">
        <f t="shared" si="1"/>
        <v>N/A</v>
      </c>
      <c r="L28" s="314"/>
      <c r="M28" s="117"/>
      <c r="N28" s="66">
        <v>0</v>
      </c>
      <c r="O28" s="45" t="str">
        <f t="shared" si="2"/>
        <v>N/A</v>
      </c>
      <c r="P28" s="314"/>
    </row>
    <row r="29" spans="2:16" ht="15.75" x14ac:dyDescent="0.25">
      <c r="B29" s="96" t="s">
        <v>5</v>
      </c>
      <c r="D29" s="250"/>
      <c r="F29" s="231"/>
      <c r="G29" s="34"/>
      <c r="H29" s="286"/>
      <c r="I29" s="117"/>
      <c r="J29" s="231"/>
      <c r="K29" s="34"/>
      <c r="L29" s="286"/>
      <c r="M29" s="117"/>
      <c r="N29" s="231"/>
      <c r="O29" s="34"/>
      <c r="P29" s="286"/>
    </row>
    <row r="30" spans="2:16" ht="15" x14ac:dyDescent="0.25">
      <c r="B30" s="7" t="s">
        <v>15</v>
      </c>
      <c r="D30" s="251"/>
      <c r="F30" s="67">
        <v>0</v>
      </c>
      <c r="G30" s="46" t="str">
        <f t="shared" si="0"/>
        <v>N/A</v>
      </c>
      <c r="H30" s="287"/>
      <c r="I30" s="117"/>
      <c r="J30" s="67">
        <v>0</v>
      </c>
      <c r="K30" s="46" t="str">
        <f t="shared" si="1"/>
        <v>N/A</v>
      </c>
      <c r="L30" s="287"/>
      <c r="M30" s="117"/>
      <c r="N30" s="67">
        <v>0</v>
      </c>
      <c r="O30" s="46" t="str">
        <f t="shared" si="2"/>
        <v>N/A</v>
      </c>
      <c r="P30" s="287"/>
    </row>
    <row r="31" spans="2:16" ht="15" x14ac:dyDescent="0.25">
      <c r="B31" s="20" t="s">
        <v>34</v>
      </c>
      <c r="D31" s="252"/>
      <c r="F31" s="68">
        <v>0</v>
      </c>
      <c r="G31" s="47" t="str">
        <f t="shared" si="0"/>
        <v>N/A</v>
      </c>
      <c r="H31" s="288"/>
      <c r="I31" s="117"/>
      <c r="J31" s="68">
        <v>0</v>
      </c>
      <c r="K31" s="47" t="str">
        <f t="shared" si="1"/>
        <v>N/A</v>
      </c>
      <c r="L31" s="288"/>
      <c r="M31" s="117"/>
      <c r="N31" s="68">
        <v>0</v>
      </c>
      <c r="O31" s="47" t="str">
        <f t="shared" si="2"/>
        <v>N/A</v>
      </c>
      <c r="P31" s="288"/>
    </row>
    <row r="32" spans="2:16" ht="15" x14ac:dyDescent="0.25">
      <c r="B32" s="7" t="s">
        <v>23</v>
      </c>
      <c r="D32" s="251"/>
      <c r="F32" s="67">
        <v>0</v>
      </c>
      <c r="G32" s="46" t="str">
        <f t="shared" si="0"/>
        <v>N/A</v>
      </c>
      <c r="H32" s="287"/>
      <c r="I32" s="117"/>
      <c r="J32" s="67">
        <v>0</v>
      </c>
      <c r="K32" s="46" t="str">
        <f t="shared" si="1"/>
        <v>N/A</v>
      </c>
      <c r="L32" s="287"/>
      <c r="M32" s="117"/>
      <c r="N32" s="67">
        <v>0</v>
      </c>
      <c r="O32" s="46" t="str">
        <f t="shared" si="2"/>
        <v>N/A</v>
      </c>
      <c r="P32" s="287"/>
    </row>
    <row r="33" spans="1:17" ht="15" x14ac:dyDescent="0.25">
      <c r="B33" s="20" t="s">
        <v>36</v>
      </c>
      <c r="D33" s="252"/>
      <c r="F33" s="68">
        <v>0</v>
      </c>
      <c r="G33" s="47" t="str">
        <f t="shared" si="0"/>
        <v>N/A</v>
      </c>
      <c r="H33" s="288"/>
      <c r="I33" s="117"/>
      <c r="J33" s="68">
        <v>0</v>
      </c>
      <c r="K33" s="47" t="str">
        <f t="shared" si="1"/>
        <v>N/A</v>
      </c>
      <c r="L33" s="288"/>
      <c r="M33" s="117"/>
      <c r="N33" s="68">
        <v>0</v>
      </c>
      <c r="O33" s="47" t="str">
        <f t="shared" si="2"/>
        <v>N/A</v>
      </c>
      <c r="P33" s="288"/>
    </row>
    <row r="34" spans="1:17" ht="15" x14ac:dyDescent="0.25">
      <c r="B34" s="7" t="s">
        <v>35</v>
      </c>
      <c r="D34" s="251"/>
      <c r="F34" s="67">
        <v>0</v>
      </c>
      <c r="G34" s="46" t="str">
        <f t="shared" si="0"/>
        <v>N/A</v>
      </c>
      <c r="H34" s="287"/>
      <c r="I34" s="117"/>
      <c r="J34" s="67">
        <v>0</v>
      </c>
      <c r="K34" s="46" t="str">
        <f t="shared" si="1"/>
        <v>N/A</v>
      </c>
      <c r="L34" s="287"/>
      <c r="M34" s="117"/>
      <c r="N34" s="67">
        <v>0</v>
      </c>
      <c r="O34" s="46" t="str">
        <f t="shared" si="2"/>
        <v>N/A</v>
      </c>
      <c r="P34" s="287"/>
    </row>
    <row r="35" spans="1:17" ht="15" x14ac:dyDescent="0.25">
      <c r="B35" s="20" t="s">
        <v>44</v>
      </c>
      <c r="D35" s="252"/>
      <c r="F35" s="68">
        <v>0</v>
      </c>
      <c r="G35" s="47" t="str">
        <f t="shared" si="0"/>
        <v>N/A</v>
      </c>
      <c r="H35" s="288"/>
      <c r="I35" s="117"/>
      <c r="J35" s="68">
        <v>0</v>
      </c>
      <c r="K35" s="47" t="str">
        <f t="shared" si="1"/>
        <v>N/A</v>
      </c>
      <c r="L35" s="288"/>
      <c r="M35" s="117"/>
      <c r="N35" s="68">
        <v>0</v>
      </c>
      <c r="O35" s="47" t="str">
        <f t="shared" si="2"/>
        <v>N/A</v>
      </c>
      <c r="P35" s="288"/>
    </row>
    <row r="36" spans="1:17" ht="15.75" thickBot="1" x14ac:dyDescent="0.3">
      <c r="B36" s="8" t="s">
        <v>45</v>
      </c>
      <c r="D36" s="253"/>
      <c r="F36" s="69">
        <v>0</v>
      </c>
      <c r="G36" s="48" t="str">
        <f t="shared" si="0"/>
        <v>N/A</v>
      </c>
      <c r="H36" s="289"/>
      <c r="I36" s="117"/>
      <c r="J36" s="69">
        <v>0</v>
      </c>
      <c r="K36" s="48" t="str">
        <f t="shared" si="1"/>
        <v>N/A</v>
      </c>
      <c r="L36" s="289"/>
      <c r="M36" s="117"/>
      <c r="N36" s="69">
        <v>0</v>
      </c>
      <c r="O36" s="48" t="str">
        <f t="shared" si="2"/>
        <v>N/A</v>
      </c>
      <c r="P36" s="289"/>
    </row>
    <row r="37" spans="1:17" ht="15.75" x14ac:dyDescent="0.25">
      <c r="B37" s="97" t="s">
        <v>6</v>
      </c>
      <c r="D37" s="254"/>
      <c r="F37" s="232"/>
      <c r="G37" s="35"/>
      <c r="H37" s="290"/>
      <c r="I37" s="117"/>
      <c r="J37" s="232"/>
      <c r="K37" s="35"/>
      <c r="L37" s="290"/>
      <c r="M37" s="117"/>
      <c r="N37" s="232"/>
      <c r="O37" s="35"/>
      <c r="P37" s="290"/>
    </row>
    <row r="38" spans="1:17" ht="15" x14ac:dyDescent="0.25">
      <c r="B38" s="9" t="s">
        <v>67</v>
      </c>
      <c r="D38" s="255"/>
      <c r="F38" s="70">
        <v>0</v>
      </c>
      <c r="G38" s="49" t="str">
        <f t="shared" si="0"/>
        <v>N/A</v>
      </c>
      <c r="H38" s="291"/>
      <c r="I38" s="117"/>
      <c r="J38" s="70">
        <v>0</v>
      </c>
      <c r="K38" s="49" t="str">
        <f t="shared" si="1"/>
        <v>N/A</v>
      </c>
      <c r="L38" s="291"/>
      <c r="M38" s="117"/>
      <c r="N38" s="70">
        <v>0</v>
      </c>
      <c r="O38" s="49" t="str">
        <f t="shared" si="2"/>
        <v>N/A</v>
      </c>
      <c r="P38" s="291"/>
    </row>
    <row r="39" spans="1:17" s="25" customFormat="1" ht="15" x14ac:dyDescent="0.25">
      <c r="A39" s="115"/>
      <c r="B39" s="98" t="s">
        <v>76</v>
      </c>
      <c r="C39" s="115"/>
      <c r="D39" s="256"/>
      <c r="E39" s="115"/>
      <c r="F39" s="71">
        <v>0</v>
      </c>
      <c r="G39" s="50" t="str">
        <f t="shared" si="0"/>
        <v>N/A</v>
      </c>
      <c r="H39" s="292"/>
      <c r="I39" s="118"/>
      <c r="J39" s="71">
        <v>0</v>
      </c>
      <c r="K39" s="50" t="str">
        <f t="shared" si="1"/>
        <v>N/A</v>
      </c>
      <c r="L39" s="292"/>
      <c r="M39" s="118"/>
      <c r="N39" s="71">
        <v>0</v>
      </c>
      <c r="O39" s="50" t="str">
        <f t="shared" si="2"/>
        <v>N/A</v>
      </c>
      <c r="P39" s="292"/>
      <c r="Q39" s="115"/>
    </row>
    <row r="40" spans="1:17" s="24" customFormat="1" ht="15" x14ac:dyDescent="0.25">
      <c r="A40" s="23"/>
      <c r="B40" s="9" t="s">
        <v>55</v>
      </c>
      <c r="C40" s="23"/>
      <c r="D40" s="255"/>
      <c r="E40" s="23"/>
      <c r="F40" s="70">
        <v>0</v>
      </c>
      <c r="G40" s="49" t="str">
        <f t="shared" si="0"/>
        <v>N/A</v>
      </c>
      <c r="H40" s="291"/>
      <c r="I40" s="117"/>
      <c r="J40" s="70">
        <v>0</v>
      </c>
      <c r="K40" s="49" t="str">
        <f t="shared" si="1"/>
        <v>N/A</v>
      </c>
      <c r="L40" s="291"/>
      <c r="M40" s="117"/>
      <c r="N40" s="70">
        <v>0</v>
      </c>
      <c r="O40" s="49" t="str">
        <f t="shared" si="2"/>
        <v>N/A</v>
      </c>
      <c r="P40" s="291"/>
      <c r="Q40" s="23"/>
    </row>
    <row r="41" spans="1:17" s="24" customFormat="1" ht="15" x14ac:dyDescent="0.25">
      <c r="A41" s="23"/>
      <c r="B41" s="21" t="s">
        <v>43</v>
      </c>
      <c r="C41" s="23"/>
      <c r="D41" s="273"/>
      <c r="E41" s="23"/>
      <c r="F41" s="71">
        <v>0</v>
      </c>
      <c r="G41" s="51" t="str">
        <f t="shared" si="0"/>
        <v>N/A</v>
      </c>
      <c r="H41" s="317"/>
      <c r="I41" s="117"/>
      <c r="J41" s="71">
        <v>0</v>
      </c>
      <c r="K41" s="51" t="str">
        <f t="shared" si="1"/>
        <v>N/A</v>
      </c>
      <c r="L41" s="317"/>
      <c r="M41" s="117"/>
      <c r="N41" s="71">
        <v>0</v>
      </c>
      <c r="O41" s="51" t="str">
        <f t="shared" si="2"/>
        <v>N/A</v>
      </c>
      <c r="P41" s="317"/>
      <c r="Q41" s="23"/>
    </row>
    <row r="42" spans="1:17" s="24" customFormat="1" ht="15" x14ac:dyDescent="0.25">
      <c r="A42" s="23"/>
      <c r="B42" s="9" t="s">
        <v>42</v>
      </c>
      <c r="C42" s="23"/>
      <c r="D42" s="255"/>
      <c r="E42" s="23"/>
      <c r="F42" s="70">
        <v>0</v>
      </c>
      <c r="G42" s="49" t="str">
        <f t="shared" si="0"/>
        <v>N/A</v>
      </c>
      <c r="H42" s="291"/>
      <c r="I42" s="117"/>
      <c r="J42" s="70">
        <v>0</v>
      </c>
      <c r="K42" s="49" t="str">
        <f t="shared" si="1"/>
        <v>N/A</v>
      </c>
      <c r="L42" s="291"/>
      <c r="M42" s="117"/>
      <c r="N42" s="70">
        <v>0</v>
      </c>
      <c r="O42" s="49" t="str">
        <f t="shared" si="2"/>
        <v>N/A</v>
      </c>
      <c r="P42" s="291"/>
      <c r="Q42" s="23"/>
    </row>
    <row r="43" spans="1:17" s="24" customFormat="1" ht="15.75" thickBot="1" x14ac:dyDescent="0.3">
      <c r="A43" s="23"/>
      <c r="B43" s="114" t="s">
        <v>45</v>
      </c>
      <c r="C43" s="23"/>
      <c r="D43" s="274"/>
      <c r="E43" s="23"/>
      <c r="F43" s="86">
        <v>0</v>
      </c>
      <c r="G43" s="87" t="str">
        <f t="shared" si="0"/>
        <v>N/A</v>
      </c>
      <c r="H43" s="318"/>
      <c r="I43" s="117"/>
      <c r="J43" s="86">
        <v>0</v>
      </c>
      <c r="K43" s="87" t="str">
        <f t="shared" si="1"/>
        <v>N/A</v>
      </c>
      <c r="L43" s="318"/>
      <c r="M43" s="117"/>
      <c r="N43" s="86">
        <v>0</v>
      </c>
      <c r="O43" s="87" t="str">
        <f t="shared" si="2"/>
        <v>N/A</v>
      </c>
      <c r="P43" s="318"/>
      <c r="Q43" s="23"/>
    </row>
    <row r="44" spans="1:17" s="24" customFormat="1" ht="15.75" x14ac:dyDescent="0.25">
      <c r="A44" s="23"/>
      <c r="B44" s="99" t="s">
        <v>8</v>
      </c>
      <c r="C44" s="23"/>
      <c r="D44" s="258"/>
      <c r="E44" s="23"/>
      <c r="F44" s="233"/>
      <c r="G44" s="36"/>
      <c r="H44" s="294"/>
      <c r="I44" s="117"/>
      <c r="J44" s="233"/>
      <c r="K44" s="36"/>
      <c r="L44" s="294"/>
      <c r="M44" s="117"/>
      <c r="N44" s="233"/>
      <c r="O44" s="36"/>
      <c r="P44" s="294"/>
      <c r="Q44" s="23"/>
    </row>
    <row r="45" spans="1:17" s="24" customFormat="1" ht="15" x14ac:dyDescent="0.25">
      <c r="A45" s="23"/>
      <c r="B45" s="11" t="s">
        <v>58</v>
      </c>
      <c r="C45" s="23"/>
      <c r="D45" s="259"/>
      <c r="E45" s="23"/>
      <c r="F45" s="73">
        <v>0</v>
      </c>
      <c r="G45" s="53" t="str">
        <f t="shared" si="0"/>
        <v>N/A</v>
      </c>
      <c r="H45" s="295"/>
      <c r="I45" s="117"/>
      <c r="J45" s="73">
        <v>0</v>
      </c>
      <c r="K45" s="53" t="str">
        <f t="shared" si="1"/>
        <v>N/A</v>
      </c>
      <c r="L45" s="295"/>
      <c r="M45" s="117"/>
      <c r="N45" s="73">
        <v>0</v>
      </c>
      <c r="O45" s="53" t="str">
        <f t="shared" si="2"/>
        <v>N/A</v>
      </c>
      <c r="P45" s="295"/>
      <c r="Q45" s="23"/>
    </row>
    <row r="46" spans="1:17" s="24" customFormat="1" ht="15" x14ac:dyDescent="0.25">
      <c r="A46" s="23"/>
      <c r="B46" s="22" t="s">
        <v>22</v>
      </c>
      <c r="C46" s="23"/>
      <c r="D46" s="269"/>
      <c r="E46" s="23"/>
      <c r="F46" s="74">
        <v>0</v>
      </c>
      <c r="G46" s="54" t="str">
        <f t="shared" si="0"/>
        <v>N/A</v>
      </c>
      <c r="H46" s="296"/>
      <c r="I46" s="117"/>
      <c r="J46" s="74">
        <v>0</v>
      </c>
      <c r="K46" s="54" t="str">
        <f t="shared" si="1"/>
        <v>N/A</v>
      </c>
      <c r="L46" s="296"/>
      <c r="M46" s="117"/>
      <c r="N46" s="74">
        <v>0</v>
      </c>
      <c r="O46" s="54" t="str">
        <f t="shared" si="2"/>
        <v>N/A</v>
      </c>
      <c r="P46" s="296"/>
      <c r="Q46" s="23"/>
    </row>
    <row r="47" spans="1:17" s="24" customFormat="1" ht="15" x14ac:dyDescent="0.25">
      <c r="A47" s="23"/>
      <c r="B47" s="11" t="s">
        <v>21</v>
      </c>
      <c r="C47" s="23"/>
      <c r="D47" s="259"/>
      <c r="E47" s="23"/>
      <c r="F47" s="73">
        <v>0</v>
      </c>
      <c r="G47" s="53" t="str">
        <f t="shared" si="0"/>
        <v>N/A</v>
      </c>
      <c r="H47" s="295"/>
      <c r="I47" s="117"/>
      <c r="J47" s="73">
        <v>0</v>
      </c>
      <c r="K47" s="53" t="str">
        <f t="shared" si="1"/>
        <v>N/A</v>
      </c>
      <c r="L47" s="295"/>
      <c r="M47" s="117"/>
      <c r="N47" s="73">
        <v>0</v>
      </c>
      <c r="O47" s="53" t="str">
        <f t="shared" si="2"/>
        <v>N/A</v>
      </c>
      <c r="P47" s="295"/>
      <c r="Q47" s="23"/>
    </row>
    <row r="48" spans="1:17" s="24" customFormat="1" ht="15.75" thickBot="1" x14ac:dyDescent="0.3">
      <c r="A48" s="23"/>
      <c r="B48" s="100" t="s">
        <v>45</v>
      </c>
      <c r="C48" s="23"/>
      <c r="D48" s="260"/>
      <c r="E48" s="23"/>
      <c r="F48" s="88">
        <v>0</v>
      </c>
      <c r="G48" s="89" t="str">
        <f t="shared" si="0"/>
        <v>N/A</v>
      </c>
      <c r="H48" s="297"/>
      <c r="I48" s="117"/>
      <c r="J48" s="88">
        <v>0</v>
      </c>
      <c r="K48" s="89" t="str">
        <f t="shared" si="1"/>
        <v>N/A</v>
      </c>
      <c r="L48" s="297"/>
      <c r="M48" s="117"/>
      <c r="N48" s="88">
        <v>0</v>
      </c>
      <c r="O48" s="89" t="str">
        <f t="shared" si="2"/>
        <v>N/A</v>
      </c>
      <c r="P48" s="297"/>
      <c r="Q48" s="23"/>
    </row>
    <row r="49" spans="1:24" s="24" customFormat="1" ht="15.75" x14ac:dyDescent="0.25">
      <c r="A49" s="23"/>
      <c r="B49" s="101" t="s">
        <v>7</v>
      </c>
      <c r="C49" s="23"/>
      <c r="D49" s="261"/>
      <c r="E49" s="23"/>
      <c r="F49" s="234"/>
      <c r="G49" s="37"/>
      <c r="H49" s="298"/>
      <c r="I49" s="117"/>
      <c r="J49" s="234"/>
      <c r="K49" s="37"/>
      <c r="L49" s="298"/>
      <c r="M49" s="117"/>
      <c r="N49" s="234"/>
      <c r="O49" s="37"/>
      <c r="P49" s="298"/>
      <c r="Q49" s="23"/>
    </row>
    <row r="50" spans="1:24" s="24" customFormat="1" ht="15" x14ac:dyDescent="0.25">
      <c r="A50" s="23"/>
      <c r="B50" s="13" t="s">
        <v>20</v>
      </c>
      <c r="C50" s="23"/>
      <c r="D50" s="262"/>
      <c r="E50" s="23"/>
      <c r="F50" s="75">
        <v>0</v>
      </c>
      <c r="G50" s="55" t="str">
        <f t="shared" si="0"/>
        <v>N/A</v>
      </c>
      <c r="H50" s="299"/>
      <c r="I50" s="117"/>
      <c r="J50" s="75">
        <v>0</v>
      </c>
      <c r="K50" s="55" t="str">
        <f t="shared" si="1"/>
        <v>N/A</v>
      </c>
      <c r="L50" s="299"/>
      <c r="M50" s="117"/>
      <c r="N50" s="75">
        <v>0</v>
      </c>
      <c r="O50" s="55" t="str">
        <f t="shared" si="2"/>
        <v>N/A</v>
      </c>
      <c r="P50" s="299"/>
      <c r="Q50" s="23"/>
    </row>
    <row r="51" spans="1:24" s="24" customFormat="1" ht="15" x14ac:dyDescent="0.25">
      <c r="A51" s="23"/>
      <c r="B51" s="102" t="s">
        <v>16</v>
      </c>
      <c r="C51" s="23"/>
      <c r="D51" s="263"/>
      <c r="E51" s="23"/>
      <c r="F51" s="76">
        <v>0</v>
      </c>
      <c r="G51" s="56" t="str">
        <f t="shared" si="0"/>
        <v>N/A</v>
      </c>
      <c r="H51" s="300"/>
      <c r="I51" s="117"/>
      <c r="J51" s="76">
        <v>0</v>
      </c>
      <c r="K51" s="56" t="str">
        <f t="shared" si="1"/>
        <v>N/A</v>
      </c>
      <c r="L51" s="300"/>
      <c r="M51" s="117"/>
      <c r="N51" s="76">
        <v>0</v>
      </c>
      <c r="O51" s="56" t="str">
        <f t="shared" si="2"/>
        <v>N/A</v>
      </c>
      <c r="P51" s="300"/>
      <c r="Q51" s="23"/>
    </row>
    <row r="52" spans="1:24" s="24" customFormat="1" ht="15" x14ac:dyDescent="0.25">
      <c r="A52" s="23"/>
      <c r="B52" s="13" t="s">
        <v>40</v>
      </c>
      <c r="C52" s="23"/>
      <c r="D52" s="262"/>
      <c r="E52" s="23"/>
      <c r="F52" s="75">
        <v>0</v>
      </c>
      <c r="G52" s="55" t="str">
        <f t="shared" si="0"/>
        <v>N/A</v>
      </c>
      <c r="H52" s="299"/>
      <c r="I52" s="117"/>
      <c r="J52" s="75">
        <v>0</v>
      </c>
      <c r="K52" s="55" t="str">
        <f t="shared" si="1"/>
        <v>N/A</v>
      </c>
      <c r="L52" s="299"/>
      <c r="M52" s="117"/>
      <c r="N52" s="75">
        <v>0</v>
      </c>
      <c r="O52" s="55" t="str">
        <f t="shared" si="2"/>
        <v>N/A</v>
      </c>
      <c r="P52" s="299"/>
      <c r="Q52" s="23"/>
    </row>
    <row r="53" spans="1:24" s="24" customFormat="1" ht="15" x14ac:dyDescent="0.25">
      <c r="A53" s="23"/>
      <c r="B53" s="102" t="s">
        <v>56</v>
      </c>
      <c r="C53" s="23"/>
      <c r="D53" s="263"/>
      <c r="E53" s="23"/>
      <c r="F53" s="76">
        <v>0</v>
      </c>
      <c r="G53" s="56" t="str">
        <f t="shared" si="0"/>
        <v>N/A</v>
      </c>
      <c r="H53" s="300"/>
      <c r="I53" s="117"/>
      <c r="J53" s="76">
        <v>0</v>
      </c>
      <c r="K53" s="56" t="str">
        <f t="shared" si="1"/>
        <v>N/A</v>
      </c>
      <c r="L53" s="300"/>
      <c r="M53" s="117"/>
      <c r="N53" s="76">
        <v>0</v>
      </c>
      <c r="O53" s="56" t="str">
        <f t="shared" si="2"/>
        <v>N/A</v>
      </c>
      <c r="P53" s="300"/>
      <c r="Q53" s="23"/>
    </row>
    <row r="54" spans="1:24" s="24" customFormat="1" ht="15.75" thickBot="1" x14ac:dyDescent="0.3">
      <c r="A54" s="23"/>
      <c r="B54" s="14" t="s">
        <v>45</v>
      </c>
      <c r="C54" s="23"/>
      <c r="D54" s="275"/>
      <c r="E54" s="23"/>
      <c r="F54" s="112">
        <v>0</v>
      </c>
      <c r="G54" s="113" t="str">
        <f t="shared" si="0"/>
        <v>N/A</v>
      </c>
      <c r="H54" s="349"/>
      <c r="I54" s="117"/>
      <c r="J54" s="112">
        <v>0</v>
      </c>
      <c r="K54" s="113" t="str">
        <f t="shared" si="1"/>
        <v>N/A</v>
      </c>
      <c r="L54" s="349"/>
      <c r="M54" s="117"/>
      <c r="N54" s="112">
        <v>0</v>
      </c>
      <c r="O54" s="113" t="str">
        <f t="shared" si="2"/>
        <v>N/A</v>
      </c>
      <c r="P54" s="349"/>
      <c r="Q54" s="23"/>
    </row>
    <row r="55" spans="1:24" s="24" customFormat="1" ht="16.5" thickBot="1" x14ac:dyDescent="0.3">
      <c r="A55" s="23"/>
      <c r="B55" s="104" t="s">
        <v>9</v>
      </c>
      <c r="C55" s="23"/>
      <c r="D55" s="265"/>
      <c r="E55" s="23"/>
      <c r="F55" s="235"/>
      <c r="G55" s="38"/>
      <c r="H55" s="302"/>
      <c r="I55" s="117"/>
      <c r="J55" s="235"/>
      <c r="K55" s="38"/>
      <c r="L55" s="302"/>
      <c r="M55" s="117"/>
      <c r="N55" s="235"/>
      <c r="O55" s="38"/>
      <c r="P55" s="302"/>
      <c r="Q55" s="23"/>
    </row>
    <row r="56" spans="1:24" s="24" customFormat="1" ht="15" x14ac:dyDescent="0.25">
      <c r="A56" s="23"/>
      <c r="B56" s="111" t="s">
        <v>19</v>
      </c>
      <c r="C56" s="23"/>
      <c r="D56" s="266"/>
      <c r="E56" s="23"/>
      <c r="F56" s="77">
        <v>0</v>
      </c>
      <c r="G56" s="57" t="str">
        <f t="shared" si="0"/>
        <v>N/A</v>
      </c>
      <c r="H56" s="305"/>
      <c r="I56" s="117"/>
      <c r="J56" s="77">
        <v>0</v>
      </c>
      <c r="K56" s="57" t="str">
        <f t="shared" si="1"/>
        <v>N/A</v>
      </c>
      <c r="L56" s="305"/>
      <c r="M56" s="117"/>
      <c r="N56" s="77">
        <v>0</v>
      </c>
      <c r="O56" s="57" t="str">
        <f t="shared" si="2"/>
        <v>N/A</v>
      </c>
      <c r="P56" s="305"/>
      <c r="Q56" s="23"/>
    </row>
    <row r="57" spans="1:24" s="24" customFormat="1" ht="15" x14ac:dyDescent="0.25">
      <c r="A57" s="23"/>
      <c r="B57" s="105" t="s">
        <v>41</v>
      </c>
      <c r="C57" s="23"/>
      <c r="D57" s="267"/>
      <c r="E57" s="23"/>
      <c r="F57" s="78">
        <v>0</v>
      </c>
      <c r="G57" s="58" t="str">
        <f t="shared" si="0"/>
        <v>N/A</v>
      </c>
      <c r="H57" s="304"/>
      <c r="I57" s="117"/>
      <c r="J57" s="78">
        <v>0</v>
      </c>
      <c r="K57" s="58" t="str">
        <f t="shared" si="1"/>
        <v>N/A</v>
      </c>
      <c r="L57" s="304"/>
      <c r="M57" s="117"/>
      <c r="N57" s="78">
        <v>0</v>
      </c>
      <c r="O57" s="58" t="str">
        <f t="shared" si="2"/>
        <v>N/A</v>
      </c>
      <c r="P57" s="304"/>
      <c r="Q57" s="23"/>
    </row>
    <row r="58" spans="1:24" s="24" customFormat="1" ht="15" x14ac:dyDescent="0.25">
      <c r="A58" s="23"/>
      <c r="B58" s="15" t="s">
        <v>18</v>
      </c>
      <c r="C58" s="23"/>
      <c r="D58" s="266"/>
      <c r="E58" s="23"/>
      <c r="F58" s="77">
        <v>0</v>
      </c>
      <c r="G58" s="57" t="str">
        <f t="shared" si="0"/>
        <v>N/A</v>
      </c>
      <c r="H58" s="305"/>
      <c r="I58" s="117"/>
      <c r="J58" s="77">
        <v>0</v>
      </c>
      <c r="K58" s="57" t="str">
        <f t="shared" si="1"/>
        <v>N/A</v>
      </c>
      <c r="L58" s="305"/>
      <c r="M58" s="117"/>
      <c r="N58" s="77">
        <v>0</v>
      </c>
      <c r="O58" s="57" t="str">
        <f t="shared" si="2"/>
        <v>N/A</v>
      </c>
      <c r="P58" s="305"/>
      <c r="Q58" s="23"/>
    </row>
    <row r="59" spans="1:24" s="24" customFormat="1" ht="15" x14ac:dyDescent="0.25">
      <c r="A59" s="23"/>
      <c r="B59" s="105" t="s">
        <v>57</v>
      </c>
      <c r="C59" s="23"/>
      <c r="D59" s="267"/>
      <c r="E59" s="23"/>
      <c r="F59" s="78">
        <v>0</v>
      </c>
      <c r="G59" s="58" t="str">
        <f t="shared" si="0"/>
        <v>N/A</v>
      </c>
      <c r="H59" s="304"/>
      <c r="I59" s="117"/>
      <c r="J59" s="78">
        <v>0</v>
      </c>
      <c r="K59" s="58" t="str">
        <f t="shared" si="1"/>
        <v>N/A</v>
      </c>
      <c r="L59" s="304"/>
      <c r="M59" s="117"/>
      <c r="N59" s="78">
        <v>0</v>
      </c>
      <c r="O59" s="58" t="str">
        <f t="shared" si="2"/>
        <v>N/A</v>
      </c>
      <c r="P59" s="304"/>
      <c r="Q59" s="23"/>
    </row>
    <row r="60" spans="1:24" s="24" customFormat="1" ht="15.75" thickBot="1" x14ac:dyDescent="0.3">
      <c r="A60" s="23"/>
      <c r="B60" s="16" t="s">
        <v>45</v>
      </c>
      <c r="C60" s="23"/>
      <c r="D60" s="268"/>
      <c r="E60" s="23"/>
      <c r="F60" s="79">
        <v>0</v>
      </c>
      <c r="G60" s="59" t="str">
        <f t="shared" si="0"/>
        <v>N/A</v>
      </c>
      <c r="H60" s="306"/>
      <c r="I60" s="117"/>
      <c r="J60" s="79">
        <v>0</v>
      </c>
      <c r="K60" s="59" t="str">
        <f t="shared" si="1"/>
        <v>N/A</v>
      </c>
      <c r="L60" s="306"/>
      <c r="M60" s="117"/>
      <c r="N60" s="79">
        <v>0</v>
      </c>
      <c r="O60" s="59" t="str">
        <f t="shared" si="2"/>
        <v>N/A</v>
      </c>
      <c r="P60" s="306"/>
      <c r="Q60" s="23"/>
    </row>
    <row r="61" spans="1:24" s="24" customFormat="1" ht="5.0999999999999996" customHeight="1" x14ac:dyDescent="0.25">
      <c r="A61" s="23"/>
      <c r="B61" s="29"/>
      <c r="D61" s="31"/>
      <c r="F61" s="32"/>
      <c r="G61" s="32"/>
      <c r="H61" s="31"/>
      <c r="J61" s="32"/>
      <c r="K61" s="32"/>
      <c r="L61" s="31"/>
      <c r="N61" s="32"/>
      <c r="O61" s="32"/>
      <c r="P61" s="31"/>
      <c r="X61" s="26"/>
    </row>
    <row r="62" spans="1:24" s="24" customFormat="1" ht="15.75" hidden="1" customHeight="1" x14ac:dyDescent="0.25">
      <c r="B62" s="29"/>
      <c r="D62" s="31"/>
      <c r="F62" s="32"/>
      <c r="G62" s="32"/>
      <c r="H62" s="31"/>
      <c r="J62" s="32"/>
      <c r="K62" s="32"/>
      <c r="L62" s="31"/>
      <c r="N62" s="32"/>
      <c r="O62" s="32"/>
      <c r="P62" s="31"/>
      <c r="X62" s="26"/>
    </row>
    <row r="63" spans="1:24" s="24" customFormat="1" ht="15.75" hidden="1" customHeight="1" x14ac:dyDescent="0.25">
      <c r="B63" s="29"/>
      <c r="D63" s="28"/>
      <c r="F63" s="30"/>
      <c r="G63" s="30"/>
      <c r="H63" s="28"/>
      <c r="J63" s="30"/>
      <c r="K63" s="30"/>
      <c r="L63" s="28"/>
      <c r="N63" s="30"/>
      <c r="O63" s="30"/>
      <c r="P63" s="28"/>
    </row>
    <row r="64" spans="1:24" s="24" customFormat="1" ht="15" hidden="1" x14ac:dyDescent="0.25"/>
    <row r="65" ht="15" hidden="1" x14ac:dyDescent="0.25"/>
  </sheetData>
  <sheetProtection sheet="1" objects="1" scenarios="1" selectLockedCells="1"/>
  <mergeCells count="8">
    <mergeCell ref="C2:P2"/>
    <mergeCell ref="P4:P5"/>
    <mergeCell ref="D4:D5"/>
    <mergeCell ref="H4:H5"/>
    <mergeCell ref="L4:L5"/>
    <mergeCell ref="F4:G6"/>
    <mergeCell ref="J4:K6"/>
    <mergeCell ref="N4:O6"/>
  </mergeCells>
  <conditionalFormatting sqref="D6">
    <cfRule type="cellIs" dxfId="7" priority="6" operator="equal">
      <formula>100</formula>
    </cfRule>
  </conditionalFormatting>
  <conditionalFormatting sqref="H6">
    <cfRule type="expression" dxfId="6" priority="5">
      <formula>IF($D$6=100,1,0)</formula>
    </cfRule>
  </conditionalFormatting>
  <conditionalFormatting sqref="L6">
    <cfRule type="expression" dxfId="5" priority="2">
      <formula>IF($D$6=100,1,0)</formula>
    </cfRule>
  </conditionalFormatting>
  <conditionalFormatting sqref="P6">
    <cfRule type="expression" dxfId="4" priority="1">
      <formula>IF($D$6=100,1,0)</formula>
    </cfRule>
  </conditionalFormatting>
  <dataValidations count="1">
    <dataValidation type="list" allowBlank="1" showInputMessage="1" showErrorMessage="1" sqref="F11:F17 F19:F24 J19:J24 N19:N24 J45:J48 F50:F54 N50:N54 N45:N48 F45:F48 F56:F60 N56:N60 J50:J54 J56:J60 N38:N43 J38:J43 F38:F43 F30:F36 J30:J36 N30:N36 N26:N28 J26:J28 J11:J17 F26:F28 N11:N17">
      <formula1>$R$11:$W$11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56"/>
  <sheetViews>
    <sheetView zoomScaleNormal="100" workbookViewId="0">
      <pane ySplit="9" topLeftCell="A10" activePane="bottomLeft" state="frozen"/>
      <selection pane="bottomLeft" activeCell="H18" sqref="H18"/>
    </sheetView>
  </sheetViews>
  <sheetFormatPr defaultColWidth="0" defaultRowHeight="0" customHeight="1" zeroHeight="1" x14ac:dyDescent="0.25"/>
  <cols>
    <col min="1" max="1" width="1.7109375" style="23" customWidth="1"/>
    <col min="2" max="2" width="30.7109375" style="23" customWidth="1"/>
    <col min="3" max="3" width="1.7109375" style="23" customWidth="1"/>
    <col min="4" max="4" width="8.7109375" style="23" customWidth="1"/>
    <col min="5" max="5" width="1.7109375" style="23" customWidth="1"/>
    <col min="6" max="7" width="8.7109375" style="23" customWidth="1"/>
    <col min="8" max="8" width="20.7109375" style="23" customWidth="1"/>
    <col min="9" max="9" width="1.7109375" style="23" customWidth="1"/>
    <col min="10" max="11" width="8.7109375" style="23" customWidth="1"/>
    <col min="12" max="12" width="20.7109375" style="23" customWidth="1"/>
    <col min="13" max="13" width="1.7109375" style="23" customWidth="1"/>
    <col min="14" max="15" width="8.7109375" style="23" customWidth="1"/>
    <col min="16" max="16" width="20.7109375" style="23" customWidth="1"/>
    <col min="17" max="17" width="1.7109375" style="23" customWidth="1"/>
    <col min="18" max="23" width="9.140625" style="23" customWidth="1"/>
    <col min="24" max="24" width="1.7109375" style="23" customWidth="1"/>
    <col min="25" max="27" width="0" style="23" hidden="1" customWidth="1"/>
    <col min="28" max="16384" width="9.140625" style="23" hidden="1"/>
  </cols>
  <sheetData>
    <row r="1" spans="2:23" ht="5.0999999999999996" customHeight="1" thickBot="1" x14ac:dyDescent="0.3">
      <c r="R1" s="28"/>
      <c r="S1" s="28"/>
      <c r="T1" s="28"/>
      <c r="U1" s="28"/>
      <c r="V1" s="28"/>
      <c r="W1" s="28"/>
    </row>
    <row r="2" spans="2:23" ht="15.75" customHeight="1" thickBot="1" x14ac:dyDescent="0.3">
      <c r="B2" s="351" t="s">
        <v>100</v>
      </c>
      <c r="C2" s="352" t="s">
        <v>102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3"/>
      <c r="R2" s="28"/>
      <c r="S2" s="28"/>
      <c r="T2" s="28"/>
      <c r="U2" s="28"/>
      <c r="V2" s="28"/>
      <c r="W2" s="28"/>
    </row>
    <row r="3" spans="2:23" ht="5.0999999999999996" customHeight="1" thickBot="1" x14ac:dyDescent="0.3">
      <c r="R3" s="28"/>
      <c r="S3" s="28"/>
      <c r="T3" s="28"/>
      <c r="U3" s="28"/>
      <c r="V3" s="28"/>
      <c r="W3" s="28"/>
    </row>
    <row r="4" spans="2:23" ht="15.75" customHeight="1" x14ac:dyDescent="0.25">
      <c r="B4" s="119" t="s">
        <v>59</v>
      </c>
      <c r="D4" s="360" t="s">
        <v>31</v>
      </c>
      <c r="F4" s="354" t="s">
        <v>63</v>
      </c>
      <c r="G4" s="355"/>
      <c r="H4" s="362" t="s">
        <v>32</v>
      </c>
      <c r="I4" s="116"/>
      <c r="J4" s="354" t="s">
        <v>62</v>
      </c>
      <c r="K4" s="355"/>
      <c r="L4" s="362" t="s">
        <v>32</v>
      </c>
      <c r="M4" s="116"/>
      <c r="N4" s="354" t="s">
        <v>52</v>
      </c>
      <c r="O4" s="355"/>
      <c r="P4" s="360" t="s">
        <v>32</v>
      </c>
      <c r="Q4" s="24"/>
      <c r="R4" s="31"/>
      <c r="S4" s="31"/>
      <c r="T4" s="31"/>
      <c r="U4" s="31"/>
      <c r="V4" s="31"/>
      <c r="W4" s="31"/>
    </row>
    <row r="5" spans="2:23" ht="15" customHeight="1" x14ac:dyDescent="0.25">
      <c r="B5" s="120" t="s">
        <v>60</v>
      </c>
      <c r="D5" s="361"/>
      <c r="F5" s="356"/>
      <c r="G5" s="357"/>
      <c r="H5" s="363"/>
      <c r="I5" s="116"/>
      <c r="J5" s="356"/>
      <c r="K5" s="357"/>
      <c r="L5" s="363"/>
      <c r="M5" s="116"/>
      <c r="N5" s="356"/>
      <c r="O5" s="357"/>
      <c r="P5" s="361"/>
      <c r="Q5" s="24"/>
      <c r="R5" s="31"/>
      <c r="S5" s="31"/>
      <c r="T5" s="31"/>
      <c r="U5" s="31"/>
      <c r="V5" s="31"/>
      <c r="W5" s="31"/>
    </row>
    <row r="6" spans="2:23" ht="15.95" customHeight="1" thickBot="1" x14ac:dyDescent="0.3">
      <c r="B6" s="121"/>
      <c r="D6" s="110">
        <f>SUM(D11:D15,D17:D22,D24:D25,D27:D29,D31:D33,D35:D38,D40:D45,D47:D51)</f>
        <v>100</v>
      </c>
      <c r="F6" s="358"/>
      <c r="G6" s="359"/>
      <c r="H6" s="109">
        <f>SUM(G11:G15,G17:G22,G24:G25,G27:G29,G31:G33,G35:G38,G40:G45,G47:G51)</f>
        <v>321</v>
      </c>
      <c r="I6" s="116"/>
      <c r="J6" s="358"/>
      <c r="K6" s="359"/>
      <c r="L6" s="109">
        <f>SUM(K11:K15,K17:K22,K24:K25,K27:K29,K31:K33,K35:K38,K40:K45,K47:K51)</f>
        <v>379</v>
      </c>
      <c r="M6" s="116"/>
      <c r="N6" s="358"/>
      <c r="O6" s="359"/>
      <c r="P6" s="110">
        <f>SUM(O11:O15,O17:O22,O24:O25,O27:O29,O31:O33,O35:O38,O40:O45,O47:O51)</f>
        <v>0</v>
      </c>
      <c r="Q6" s="24"/>
      <c r="R6" s="27"/>
      <c r="S6" s="27"/>
      <c r="T6" s="27"/>
      <c r="U6" s="27"/>
      <c r="V6" s="27"/>
      <c r="W6" s="27"/>
    </row>
    <row r="7" spans="2:23" ht="5.0999999999999996" customHeight="1" thickBot="1" x14ac:dyDescent="0.3">
      <c r="R7" s="28"/>
      <c r="S7" s="28"/>
      <c r="T7" s="28"/>
      <c r="U7" s="28"/>
      <c r="V7" s="28"/>
      <c r="W7" s="28"/>
    </row>
    <row r="8" spans="2:23" ht="32.1" customHeight="1" thickBot="1" x14ac:dyDescent="0.4">
      <c r="B8" s="108" t="s">
        <v>99</v>
      </c>
      <c r="D8" s="236" t="s">
        <v>0</v>
      </c>
      <c r="E8" s="237"/>
      <c r="F8" s="238" t="s">
        <v>26</v>
      </c>
      <c r="G8" s="239" t="s">
        <v>1</v>
      </c>
      <c r="H8" s="239" t="s">
        <v>61</v>
      </c>
      <c r="I8" s="237"/>
      <c r="J8" s="238" t="s">
        <v>26</v>
      </c>
      <c r="K8" s="240" t="s">
        <v>1</v>
      </c>
      <c r="L8" s="239" t="s">
        <v>61</v>
      </c>
      <c r="M8" s="237"/>
      <c r="N8" s="238" t="s">
        <v>26</v>
      </c>
      <c r="O8" s="240" t="s">
        <v>1</v>
      </c>
      <c r="P8" s="239" t="s">
        <v>61</v>
      </c>
      <c r="Q8" s="24"/>
      <c r="R8" s="24"/>
      <c r="S8" s="24"/>
      <c r="T8" s="24"/>
      <c r="U8" s="24"/>
      <c r="V8" s="24"/>
      <c r="W8" s="24"/>
    </row>
    <row r="9" spans="2:23" ht="5.0999999999999996" customHeight="1" thickBot="1" x14ac:dyDescent="0.3">
      <c r="R9" s="28"/>
      <c r="S9" s="28"/>
      <c r="T9" s="28"/>
      <c r="U9" s="28"/>
      <c r="V9" s="28"/>
      <c r="W9" s="28"/>
    </row>
    <row r="10" spans="2:23" ht="15.75" x14ac:dyDescent="0.25">
      <c r="B10" s="90" t="s">
        <v>2</v>
      </c>
      <c r="D10" s="182"/>
      <c r="F10" s="228"/>
      <c r="G10" s="180"/>
      <c r="H10" s="185"/>
      <c r="I10" s="117"/>
      <c r="J10" s="228"/>
      <c r="K10" s="180"/>
      <c r="L10" s="307"/>
      <c r="M10" s="117"/>
      <c r="N10" s="228"/>
      <c r="O10" s="180"/>
      <c r="P10" s="307"/>
    </row>
    <row r="11" spans="2:23" ht="15" x14ac:dyDescent="0.25">
      <c r="B11" s="91" t="s">
        <v>39</v>
      </c>
      <c r="D11" s="241"/>
      <c r="F11" s="60">
        <v>0</v>
      </c>
      <c r="G11" s="39" t="str">
        <f>IF($D11=0,"N/A",F11*$D11)</f>
        <v>N/A</v>
      </c>
      <c r="H11" s="276"/>
      <c r="I11" s="117"/>
      <c r="J11" s="60">
        <v>0</v>
      </c>
      <c r="K11" s="39" t="str">
        <f>IF($D11=0,"N/A",J11*$D11)</f>
        <v>N/A</v>
      </c>
      <c r="L11" s="276"/>
      <c r="M11" s="117"/>
      <c r="N11" s="60">
        <v>0</v>
      </c>
      <c r="O11" s="39" t="str">
        <f>IF($D11=0,"N/A",N11*$D11)</f>
        <v>N/A</v>
      </c>
      <c r="P11" s="276"/>
      <c r="R11" s="23">
        <v>0</v>
      </c>
      <c r="S11" s="23">
        <v>1</v>
      </c>
      <c r="T11" s="23">
        <v>2</v>
      </c>
      <c r="U11" s="23">
        <v>3</v>
      </c>
      <c r="V11" s="23">
        <v>4</v>
      </c>
      <c r="W11" s="23">
        <v>5</v>
      </c>
    </row>
    <row r="12" spans="2:23" ht="26.25" x14ac:dyDescent="0.25">
      <c r="B12" s="17" t="s">
        <v>38</v>
      </c>
      <c r="D12" s="242">
        <v>1</v>
      </c>
      <c r="F12" s="61">
        <v>4</v>
      </c>
      <c r="G12" s="40">
        <f t="shared" ref="G12:G51" si="0">IF($D12=0,"N/A",F12*$D12)</f>
        <v>4</v>
      </c>
      <c r="H12" s="277" t="s">
        <v>94</v>
      </c>
      <c r="I12" s="117"/>
      <c r="J12" s="61">
        <v>3</v>
      </c>
      <c r="K12" s="40">
        <f t="shared" ref="K12:K51" si="1">IF($D12=0,"N/A",J12*$D12)</f>
        <v>3</v>
      </c>
      <c r="L12" s="277" t="s">
        <v>95</v>
      </c>
      <c r="M12" s="117"/>
      <c r="N12" s="61">
        <v>0</v>
      </c>
      <c r="O12" s="40">
        <f t="shared" ref="O12:O51" si="2">IF($D12=0,"N/A",N12*$D12)</f>
        <v>0</v>
      </c>
      <c r="P12" s="277"/>
    </row>
    <row r="13" spans="2:23" ht="15" x14ac:dyDescent="0.25">
      <c r="B13" s="1" t="s">
        <v>10</v>
      </c>
      <c r="D13" s="241">
        <v>1</v>
      </c>
      <c r="F13" s="60">
        <v>3</v>
      </c>
      <c r="G13" s="39">
        <f t="shared" si="0"/>
        <v>3</v>
      </c>
      <c r="H13" s="276" t="s">
        <v>64</v>
      </c>
      <c r="I13" s="117"/>
      <c r="J13" s="60">
        <v>3</v>
      </c>
      <c r="K13" s="39">
        <f t="shared" si="1"/>
        <v>3</v>
      </c>
      <c r="L13" s="276" t="s">
        <v>65</v>
      </c>
      <c r="M13" s="117"/>
      <c r="N13" s="60">
        <v>0</v>
      </c>
      <c r="O13" s="39">
        <f t="shared" si="2"/>
        <v>0</v>
      </c>
      <c r="P13" s="276"/>
    </row>
    <row r="14" spans="2:23" ht="15" x14ac:dyDescent="0.25">
      <c r="B14" s="17" t="s">
        <v>53</v>
      </c>
      <c r="D14" s="242">
        <v>5</v>
      </c>
      <c r="F14" s="61">
        <v>2</v>
      </c>
      <c r="G14" s="40">
        <f t="shared" si="0"/>
        <v>10</v>
      </c>
      <c r="H14" s="277" t="s">
        <v>92</v>
      </c>
      <c r="I14" s="117"/>
      <c r="J14" s="61">
        <v>5</v>
      </c>
      <c r="K14" s="40">
        <f t="shared" si="1"/>
        <v>25</v>
      </c>
      <c r="L14" s="277" t="s">
        <v>93</v>
      </c>
      <c r="M14" s="117"/>
      <c r="N14" s="61">
        <v>0</v>
      </c>
      <c r="O14" s="40">
        <f t="shared" si="2"/>
        <v>0</v>
      </c>
      <c r="P14" s="277"/>
    </row>
    <row r="15" spans="2:23" ht="15.75" thickBot="1" x14ac:dyDescent="0.3">
      <c r="B15" s="2" t="s">
        <v>45</v>
      </c>
      <c r="D15" s="243"/>
      <c r="F15" s="80">
        <v>0</v>
      </c>
      <c r="G15" s="81" t="str">
        <f t="shared" si="0"/>
        <v>N/A</v>
      </c>
      <c r="H15" s="278"/>
      <c r="I15" s="117"/>
      <c r="J15" s="80">
        <v>0</v>
      </c>
      <c r="K15" s="81" t="str">
        <f t="shared" si="1"/>
        <v>N/A</v>
      </c>
      <c r="L15" s="278"/>
      <c r="M15" s="117"/>
      <c r="N15" s="80">
        <v>0</v>
      </c>
      <c r="O15" s="81" t="str">
        <f t="shared" si="2"/>
        <v>N/A</v>
      </c>
      <c r="P15" s="278"/>
    </row>
    <row r="16" spans="2:23" ht="15.75" x14ac:dyDescent="0.25">
      <c r="B16" s="92" t="s">
        <v>3</v>
      </c>
      <c r="D16" s="183"/>
      <c r="F16" s="229"/>
      <c r="G16" s="181"/>
      <c r="H16" s="279"/>
      <c r="I16" s="117"/>
      <c r="J16" s="229"/>
      <c r="K16" s="181"/>
      <c r="L16" s="279"/>
      <c r="M16" s="117"/>
      <c r="N16" s="229"/>
      <c r="O16" s="181"/>
      <c r="P16" s="279"/>
    </row>
    <row r="17" spans="1:17" ht="15" x14ac:dyDescent="0.25">
      <c r="B17" s="3" t="s">
        <v>11</v>
      </c>
      <c r="D17" s="244">
        <v>2</v>
      </c>
      <c r="F17" s="62">
        <v>5</v>
      </c>
      <c r="G17" s="41">
        <f t="shared" si="0"/>
        <v>10</v>
      </c>
      <c r="H17" s="280" t="s">
        <v>84</v>
      </c>
      <c r="I17" s="117"/>
      <c r="J17" s="62">
        <v>4</v>
      </c>
      <c r="K17" s="41">
        <f t="shared" si="1"/>
        <v>8</v>
      </c>
      <c r="L17" s="280" t="s">
        <v>83</v>
      </c>
      <c r="M17" s="117"/>
      <c r="N17" s="62">
        <v>0</v>
      </c>
      <c r="O17" s="41">
        <f t="shared" si="2"/>
        <v>0</v>
      </c>
      <c r="P17" s="280"/>
    </row>
    <row r="18" spans="1:17" ht="15" x14ac:dyDescent="0.25">
      <c r="B18" s="18" t="s">
        <v>29</v>
      </c>
      <c r="D18" s="245">
        <v>1</v>
      </c>
      <c r="F18" s="63">
        <v>5</v>
      </c>
      <c r="G18" s="42">
        <f t="shared" si="0"/>
        <v>5</v>
      </c>
      <c r="H18" s="281" t="s">
        <v>87</v>
      </c>
      <c r="I18" s="117"/>
      <c r="J18" s="63">
        <v>4</v>
      </c>
      <c r="K18" s="42">
        <f t="shared" si="1"/>
        <v>4</v>
      </c>
      <c r="L18" s="281" t="s">
        <v>88</v>
      </c>
      <c r="M18" s="117"/>
      <c r="N18" s="63">
        <v>0</v>
      </c>
      <c r="O18" s="42">
        <f t="shared" si="2"/>
        <v>0</v>
      </c>
      <c r="P18" s="281"/>
    </row>
    <row r="19" spans="1:17" ht="15" x14ac:dyDescent="0.25">
      <c r="B19" s="3" t="s">
        <v>30</v>
      </c>
      <c r="D19" s="244">
        <v>1</v>
      </c>
      <c r="F19" s="62">
        <v>4</v>
      </c>
      <c r="G19" s="41">
        <f t="shared" si="0"/>
        <v>4</v>
      </c>
      <c r="H19" s="280" t="s">
        <v>85</v>
      </c>
      <c r="I19" s="117"/>
      <c r="J19" s="62">
        <v>4</v>
      </c>
      <c r="K19" s="41">
        <f t="shared" si="1"/>
        <v>4</v>
      </c>
      <c r="L19" s="350" t="s">
        <v>86</v>
      </c>
      <c r="M19" s="117"/>
      <c r="N19" s="62">
        <v>0</v>
      </c>
      <c r="O19" s="41">
        <f t="shared" si="2"/>
        <v>0</v>
      </c>
      <c r="P19" s="280"/>
    </row>
    <row r="20" spans="1:17" ht="15" x14ac:dyDescent="0.25">
      <c r="B20" s="18" t="s">
        <v>49</v>
      </c>
      <c r="D20" s="245">
        <v>5</v>
      </c>
      <c r="F20" s="63">
        <v>5</v>
      </c>
      <c r="G20" s="42">
        <f t="shared" si="0"/>
        <v>25</v>
      </c>
      <c r="H20" s="281" t="s">
        <v>79</v>
      </c>
      <c r="I20" s="117"/>
      <c r="J20" s="63">
        <v>0</v>
      </c>
      <c r="K20" s="42">
        <f t="shared" si="1"/>
        <v>0</v>
      </c>
      <c r="L20" s="281" t="s">
        <v>81</v>
      </c>
      <c r="M20" s="117"/>
      <c r="N20" s="63">
        <v>0</v>
      </c>
      <c r="O20" s="42">
        <f t="shared" si="2"/>
        <v>0</v>
      </c>
      <c r="P20" s="281"/>
    </row>
    <row r="21" spans="1:17" ht="15" x14ac:dyDescent="0.25">
      <c r="B21" s="3" t="s">
        <v>12</v>
      </c>
      <c r="D21" s="244">
        <v>5</v>
      </c>
      <c r="F21" s="62">
        <v>5</v>
      </c>
      <c r="G21" s="41">
        <f t="shared" si="0"/>
        <v>25</v>
      </c>
      <c r="H21" s="280" t="s">
        <v>80</v>
      </c>
      <c r="I21" s="117"/>
      <c r="J21" s="62">
        <v>5</v>
      </c>
      <c r="K21" s="41">
        <f t="shared" si="1"/>
        <v>25</v>
      </c>
      <c r="L21" s="280" t="s">
        <v>82</v>
      </c>
      <c r="M21" s="117"/>
      <c r="N21" s="62">
        <v>0</v>
      </c>
      <c r="O21" s="41">
        <f t="shared" si="2"/>
        <v>0</v>
      </c>
      <c r="P21" s="280"/>
    </row>
    <row r="22" spans="1:17" ht="15.75" thickBot="1" x14ac:dyDescent="0.3">
      <c r="B22" s="93" t="s">
        <v>45</v>
      </c>
      <c r="D22" s="246"/>
      <c r="F22" s="84">
        <v>0</v>
      </c>
      <c r="G22" s="85" t="str">
        <f t="shared" si="0"/>
        <v>N/A</v>
      </c>
      <c r="H22" s="282"/>
      <c r="I22" s="117"/>
      <c r="J22" s="84">
        <v>0</v>
      </c>
      <c r="K22" s="85" t="str">
        <f t="shared" si="1"/>
        <v>N/A</v>
      </c>
      <c r="L22" s="282"/>
      <c r="M22" s="117"/>
      <c r="N22" s="84">
        <v>0</v>
      </c>
      <c r="O22" s="85" t="str">
        <f t="shared" si="2"/>
        <v>N/A</v>
      </c>
      <c r="P22" s="282"/>
    </row>
    <row r="23" spans="1:17" ht="15.75" x14ac:dyDescent="0.25">
      <c r="B23" s="94" t="s">
        <v>4</v>
      </c>
      <c r="D23" s="247"/>
      <c r="F23" s="230"/>
      <c r="G23" s="33"/>
      <c r="H23" s="283"/>
      <c r="I23" s="117"/>
      <c r="J23" s="230"/>
      <c r="K23" s="33"/>
      <c r="L23" s="283"/>
      <c r="M23" s="117"/>
      <c r="N23" s="230"/>
      <c r="O23" s="33"/>
      <c r="P23" s="283"/>
    </row>
    <row r="24" spans="1:17" ht="15" x14ac:dyDescent="0.25">
      <c r="B24" s="5" t="s">
        <v>13</v>
      </c>
      <c r="D24" s="248">
        <v>5</v>
      </c>
      <c r="F24" s="64">
        <v>4</v>
      </c>
      <c r="G24" s="43">
        <f t="shared" si="0"/>
        <v>20</v>
      </c>
      <c r="H24" s="284" t="s">
        <v>97</v>
      </c>
      <c r="I24" s="117"/>
      <c r="J24" s="64">
        <v>4</v>
      </c>
      <c r="K24" s="43">
        <f t="shared" si="1"/>
        <v>20</v>
      </c>
      <c r="L24" s="284" t="s">
        <v>97</v>
      </c>
      <c r="M24" s="117"/>
      <c r="N24" s="64">
        <v>0</v>
      </c>
      <c r="O24" s="43">
        <f t="shared" si="2"/>
        <v>0</v>
      </c>
      <c r="P24" s="284"/>
    </row>
    <row r="25" spans="1:17" ht="15.75" thickBot="1" x14ac:dyDescent="0.3">
      <c r="B25" s="95" t="s">
        <v>45</v>
      </c>
      <c r="D25" s="249"/>
      <c r="F25" s="82">
        <v>0</v>
      </c>
      <c r="G25" s="83" t="str">
        <f t="shared" si="0"/>
        <v>N/A</v>
      </c>
      <c r="H25" s="285"/>
      <c r="I25" s="117"/>
      <c r="J25" s="82">
        <v>0</v>
      </c>
      <c r="K25" s="83" t="str">
        <f t="shared" si="1"/>
        <v>N/A</v>
      </c>
      <c r="L25" s="285"/>
      <c r="M25" s="117"/>
      <c r="N25" s="82">
        <v>0</v>
      </c>
      <c r="O25" s="83" t="str">
        <f t="shared" si="2"/>
        <v>N/A</v>
      </c>
      <c r="P25" s="285"/>
    </row>
    <row r="26" spans="1:17" ht="15.75" x14ac:dyDescent="0.25">
      <c r="B26" s="96" t="s">
        <v>5</v>
      </c>
      <c r="D26" s="250"/>
      <c r="F26" s="231"/>
      <c r="G26" s="34"/>
      <c r="H26" s="286"/>
      <c r="I26" s="117"/>
      <c r="J26" s="231"/>
      <c r="K26" s="34"/>
      <c r="L26" s="286"/>
      <c r="M26" s="117"/>
      <c r="N26" s="231"/>
      <c r="O26" s="34"/>
      <c r="P26" s="286"/>
    </row>
    <row r="27" spans="1:17" ht="15" x14ac:dyDescent="0.25">
      <c r="B27" s="7" t="s">
        <v>34</v>
      </c>
      <c r="D27" s="251"/>
      <c r="F27" s="67">
        <v>0</v>
      </c>
      <c r="G27" s="46" t="str">
        <f t="shared" si="0"/>
        <v>N/A</v>
      </c>
      <c r="H27" s="287"/>
      <c r="I27" s="117"/>
      <c r="J27" s="67">
        <v>0</v>
      </c>
      <c r="K27" s="46" t="str">
        <f t="shared" si="1"/>
        <v>N/A</v>
      </c>
      <c r="L27" s="287"/>
      <c r="M27" s="117"/>
      <c r="N27" s="67">
        <v>0</v>
      </c>
      <c r="O27" s="46" t="str">
        <f t="shared" si="2"/>
        <v>N/A</v>
      </c>
      <c r="P27" s="287"/>
    </row>
    <row r="28" spans="1:17" ht="15" x14ac:dyDescent="0.25">
      <c r="B28" s="20" t="s">
        <v>36</v>
      </c>
      <c r="D28" s="252">
        <v>1</v>
      </c>
      <c r="F28" s="68">
        <v>4</v>
      </c>
      <c r="G28" s="47">
        <f t="shared" si="0"/>
        <v>4</v>
      </c>
      <c r="H28" s="288" t="s">
        <v>91</v>
      </c>
      <c r="I28" s="117"/>
      <c r="J28" s="68">
        <v>0</v>
      </c>
      <c r="K28" s="47">
        <f t="shared" si="1"/>
        <v>0</v>
      </c>
      <c r="L28" s="288" t="s">
        <v>69</v>
      </c>
      <c r="M28" s="117"/>
      <c r="N28" s="68">
        <v>0</v>
      </c>
      <c r="O28" s="47">
        <f t="shared" si="2"/>
        <v>0</v>
      </c>
      <c r="P28" s="288"/>
    </row>
    <row r="29" spans="1:17" ht="15.75" thickBot="1" x14ac:dyDescent="0.3">
      <c r="B29" s="8" t="s">
        <v>45</v>
      </c>
      <c r="D29" s="253"/>
      <c r="F29" s="69">
        <v>0</v>
      </c>
      <c r="G29" s="48" t="str">
        <f t="shared" si="0"/>
        <v>N/A</v>
      </c>
      <c r="H29" s="289"/>
      <c r="I29" s="117"/>
      <c r="J29" s="69">
        <v>0</v>
      </c>
      <c r="K29" s="48" t="str">
        <f t="shared" si="1"/>
        <v>N/A</v>
      </c>
      <c r="L29" s="289"/>
      <c r="M29" s="117"/>
      <c r="N29" s="69">
        <v>0</v>
      </c>
      <c r="O29" s="48" t="str">
        <f t="shared" si="2"/>
        <v>N/A</v>
      </c>
      <c r="P29" s="289"/>
    </row>
    <row r="30" spans="1:17" ht="15.75" x14ac:dyDescent="0.25">
      <c r="B30" s="97" t="s">
        <v>6</v>
      </c>
      <c r="D30" s="254"/>
      <c r="F30" s="232"/>
      <c r="G30" s="35"/>
      <c r="H30" s="290"/>
      <c r="I30" s="117"/>
      <c r="J30" s="232"/>
      <c r="K30" s="35"/>
      <c r="L30" s="290"/>
      <c r="M30" s="117"/>
      <c r="N30" s="232"/>
      <c r="O30" s="35"/>
      <c r="P30" s="290"/>
    </row>
    <row r="31" spans="1:17" ht="15" x14ac:dyDescent="0.25">
      <c r="B31" s="9" t="s">
        <v>77</v>
      </c>
      <c r="D31" s="255">
        <v>3</v>
      </c>
      <c r="F31" s="70">
        <v>3</v>
      </c>
      <c r="G31" s="49">
        <f t="shared" si="0"/>
        <v>9</v>
      </c>
      <c r="H31" s="291" t="s">
        <v>66</v>
      </c>
      <c r="I31" s="117"/>
      <c r="J31" s="70">
        <v>3</v>
      </c>
      <c r="K31" s="49">
        <f t="shared" si="1"/>
        <v>9</v>
      </c>
      <c r="L31" s="291" t="s">
        <v>67</v>
      </c>
      <c r="M31" s="117"/>
      <c r="N31" s="70">
        <v>0</v>
      </c>
      <c r="O31" s="49">
        <f t="shared" si="2"/>
        <v>0</v>
      </c>
      <c r="P31" s="291"/>
    </row>
    <row r="32" spans="1:17" s="25" customFormat="1" ht="15" x14ac:dyDescent="0.25">
      <c r="A32" s="115"/>
      <c r="B32" s="98" t="s">
        <v>76</v>
      </c>
      <c r="C32" s="115"/>
      <c r="D32" s="256">
        <v>2</v>
      </c>
      <c r="E32" s="115"/>
      <c r="F32" s="71">
        <v>0</v>
      </c>
      <c r="G32" s="50">
        <f t="shared" si="0"/>
        <v>0</v>
      </c>
      <c r="H32" s="292" t="s">
        <v>69</v>
      </c>
      <c r="I32" s="118"/>
      <c r="J32" s="71">
        <v>3</v>
      </c>
      <c r="K32" s="50">
        <f t="shared" si="1"/>
        <v>6</v>
      </c>
      <c r="L32" s="292" t="s">
        <v>68</v>
      </c>
      <c r="M32" s="118"/>
      <c r="N32" s="71">
        <v>0</v>
      </c>
      <c r="O32" s="50">
        <f t="shared" si="2"/>
        <v>0</v>
      </c>
      <c r="P32" s="292"/>
      <c r="Q32" s="115"/>
    </row>
    <row r="33" spans="1:17" s="24" customFormat="1" ht="15.75" thickBot="1" x14ac:dyDescent="0.3">
      <c r="A33" s="23"/>
      <c r="B33" s="10" t="s">
        <v>45</v>
      </c>
      <c r="C33" s="23"/>
      <c r="D33" s="257"/>
      <c r="E33" s="23"/>
      <c r="F33" s="72">
        <v>0</v>
      </c>
      <c r="G33" s="52" t="str">
        <f t="shared" si="0"/>
        <v>N/A</v>
      </c>
      <c r="H33" s="293"/>
      <c r="I33" s="117"/>
      <c r="J33" s="72">
        <v>0</v>
      </c>
      <c r="K33" s="52" t="str">
        <f t="shared" si="1"/>
        <v>N/A</v>
      </c>
      <c r="L33" s="293"/>
      <c r="M33" s="117"/>
      <c r="N33" s="72">
        <v>0</v>
      </c>
      <c r="O33" s="52" t="str">
        <f t="shared" si="2"/>
        <v>N/A</v>
      </c>
      <c r="P33" s="293"/>
      <c r="Q33" s="23"/>
    </row>
    <row r="34" spans="1:17" s="24" customFormat="1" ht="15.75" x14ac:dyDescent="0.25">
      <c r="A34" s="23"/>
      <c r="B34" s="99" t="s">
        <v>8</v>
      </c>
      <c r="C34" s="23"/>
      <c r="D34" s="258"/>
      <c r="E34" s="23"/>
      <c r="F34" s="233"/>
      <c r="G34" s="36"/>
      <c r="H34" s="294"/>
      <c r="I34" s="117"/>
      <c r="J34" s="233"/>
      <c r="K34" s="36"/>
      <c r="L34" s="294"/>
      <c r="M34" s="117"/>
      <c r="N34" s="233"/>
      <c r="O34" s="36"/>
      <c r="P34" s="294"/>
      <c r="Q34" s="23"/>
    </row>
    <row r="35" spans="1:17" s="24" customFormat="1" ht="26.25" x14ac:dyDescent="0.25">
      <c r="A35" s="23"/>
      <c r="B35" s="11" t="s">
        <v>75</v>
      </c>
      <c r="C35" s="23"/>
      <c r="D35" s="259">
        <v>15</v>
      </c>
      <c r="E35" s="23"/>
      <c r="F35" s="73">
        <v>3</v>
      </c>
      <c r="G35" s="53">
        <f t="shared" si="0"/>
        <v>45</v>
      </c>
      <c r="H35" s="295" t="s">
        <v>72</v>
      </c>
      <c r="I35" s="117"/>
      <c r="J35" s="73">
        <v>4</v>
      </c>
      <c r="K35" s="53">
        <f t="shared" si="1"/>
        <v>60</v>
      </c>
      <c r="L35" s="295" t="s">
        <v>73</v>
      </c>
      <c r="M35" s="117"/>
      <c r="N35" s="73">
        <v>0</v>
      </c>
      <c r="O35" s="53">
        <f t="shared" si="2"/>
        <v>0</v>
      </c>
      <c r="P35" s="295"/>
      <c r="Q35" s="23"/>
    </row>
    <row r="36" spans="1:17" s="24" customFormat="1" ht="77.25" x14ac:dyDescent="0.25">
      <c r="A36" s="23"/>
      <c r="B36" s="22" t="s">
        <v>33</v>
      </c>
      <c r="C36" s="23"/>
      <c r="D36" s="269">
        <v>16</v>
      </c>
      <c r="E36" s="23"/>
      <c r="F36" s="74">
        <v>4</v>
      </c>
      <c r="G36" s="54">
        <f t="shared" si="0"/>
        <v>64</v>
      </c>
      <c r="H36" s="296" t="s">
        <v>70</v>
      </c>
      <c r="I36" s="117"/>
      <c r="J36" s="74">
        <v>4</v>
      </c>
      <c r="K36" s="54">
        <f t="shared" si="1"/>
        <v>64</v>
      </c>
      <c r="L36" s="296" t="s">
        <v>71</v>
      </c>
      <c r="M36" s="117"/>
      <c r="N36" s="74">
        <v>0</v>
      </c>
      <c r="O36" s="54">
        <f t="shared" si="2"/>
        <v>0</v>
      </c>
      <c r="P36" s="296"/>
      <c r="Q36" s="23"/>
    </row>
    <row r="37" spans="1:17" s="24" customFormat="1" ht="39" x14ac:dyDescent="0.25">
      <c r="A37" s="23"/>
      <c r="B37" s="11" t="s">
        <v>46</v>
      </c>
      <c r="C37" s="23"/>
      <c r="D37" s="259">
        <v>15</v>
      </c>
      <c r="E37" s="23"/>
      <c r="F37" s="73">
        <v>3</v>
      </c>
      <c r="G37" s="53">
        <f t="shared" si="0"/>
        <v>45</v>
      </c>
      <c r="H37" s="295" t="s">
        <v>98</v>
      </c>
      <c r="I37" s="117"/>
      <c r="J37" s="73">
        <v>4</v>
      </c>
      <c r="K37" s="53">
        <f t="shared" si="1"/>
        <v>60</v>
      </c>
      <c r="L37" s="295" t="s">
        <v>74</v>
      </c>
      <c r="M37" s="117"/>
      <c r="N37" s="73">
        <v>0</v>
      </c>
      <c r="O37" s="53">
        <f t="shared" si="2"/>
        <v>0</v>
      </c>
      <c r="P37" s="295"/>
      <c r="Q37" s="23"/>
    </row>
    <row r="38" spans="1:17" s="24" customFormat="1" ht="15.75" thickBot="1" x14ac:dyDescent="0.3">
      <c r="A38" s="23"/>
      <c r="B38" s="100" t="s">
        <v>45</v>
      </c>
      <c r="C38" s="23"/>
      <c r="D38" s="260"/>
      <c r="E38" s="23"/>
      <c r="F38" s="88">
        <v>0</v>
      </c>
      <c r="G38" s="89" t="str">
        <f t="shared" si="0"/>
        <v>N/A</v>
      </c>
      <c r="H38" s="297"/>
      <c r="I38" s="117"/>
      <c r="J38" s="88">
        <v>0</v>
      </c>
      <c r="K38" s="89" t="str">
        <f t="shared" si="1"/>
        <v>N/A</v>
      </c>
      <c r="L38" s="297"/>
      <c r="M38" s="117"/>
      <c r="N38" s="88">
        <v>0</v>
      </c>
      <c r="O38" s="89" t="str">
        <f t="shared" si="2"/>
        <v>N/A</v>
      </c>
      <c r="P38" s="297"/>
      <c r="Q38" s="23"/>
    </row>
    <row r="39" spans="1:17" s="24" customFormat="1" ht="15.75" x14ac:dyDescent="0.25">
      <c r="A39" s="23"/>
      <c r="B39" s="101" t="s">
        <v>7</v>
      </c>
      <c r="C39" s="23"/>
      <c r="D39" s="261"/>
      <c r="E39" s="23"/>
      <c r="F39" s="234"/>
      <c r="G39" s="37"/>
      <c r="H39" s="298"/>
      <c r="I39" s="117"/>
      <c r="J39" s="234"/>
      <c r="K39" s="37"/>
      <c r="L39" s="298"/>
      <c r="M39" s="117"/>
      <c r="N39" s="234"/>
      <c r="O39" s="37"/>
      <c r="P39" s="298"/>
      <c r="Q39" s="23"/>
    </row>
    <row r="40" spans="1:17" s="24" customFormat="1" ht="15" x14ac:dyDescent="0.25">
      <c r="A40" s="23"/>
      <c r="B40" s="13" t="s">
        <v>20</v>
      </c>
      <c r="C40" s="23"/>
      <c r="D40" s="262"/>
      <c r="E40" s="23"/>
      <c r="F40" s="75">
        <v>0</v>
      </c>
      <c r="G40" s="55" t="str">
        <f t="shared" si="0"/>
        <v>N/A</v>
      </c>
      <c r="H40" s="299"/>
      <c r="I40" s="117"/>
      <c r="J40" s="75">
        <v>0</v>
      </c>
      <c r="K40" s="55" t="str">
        <f t="shared" si="1"/>
        <v>N/A</v>
      </c>
      <c r="L40" s="299"/>
      <c r="M40" s="117"/>
      <c r="N40" s="75">
        <v>0</v>
      </c>
      <c r="O40" s="55" t="str">
        <f t="shared" si="2"/>
        <v>N/A</v>
      </c>
      <c r="P40" s="299"/>
      <c r="Q40" s="23"/>
    </row>
    <row r="41" spans="1:17" s="24" customFormat="1" ht="15" x14ac:dyDescent="0.25">
      <c r="A41" s="23"/>
      <c r="B41" s="102" t="s">
        <v>16</v>
      </c>
      <c r="C41" s="23"/>
      <c r="D41" s="263"/>
      <c r="E41" s="23"/>
      <c r="F41" s="76">
        <v>0</v>
      </c>
      <c r="G41" s="56" t="str">
        <f t="shared" si="0"/>
        <v>N/A</v>
      </c>
      <c r="H41" s="300"/>
      <c r="I41" s="117"/>
      <c r="J41" s="76">
        <v>0</v>
      </c>
      <c r="K41" s="56" t="str">
        <f t="shared" si="1"/>
        <v>N/A</v>
      </c>
      <c r="L41" s="300"/>
      <c r="M41" s="117"/>
      <c r="N41" s="76">
        <v>0</v>
      </c>
      <c r="O41" s="56" t="str">
        <f t="shared" si="2"/>
        <v>N/A</v>
      </c>
      <c r="P41" s="300"/>
      <c r="Q41" s="23"/>
    </row>
    <row r="42" spans="1:17" s="24" customFormat="1" ht="15" x14ac:dyDescent="0.25">
      <c r="A42" s="23"/>
      <c r="B42" s="13" t="s">
        <v>40</v>
      </c>
      <c r="C42" s="23"/>
      <c r="D42" s="262">
        <v>1</v>
      </c>
      <c r="E42" s="23"/>
      <c r="F42" s="75">
        <v>5</v>
      </c>
      <c r="G42" s="55">
        <f t="shared" si="0"/>
        <v>5</v>
      </c>
      <c r="H42" s="299" t="s">
        <v>89</v>
      </c>
      <c r="I42" s="117"/>
      <c r="J42" s="75">
        <v>5</v>
      </c>
      <c r="K42" s="55">
        <f t="shared" si="1"/>
        <v>5</v>
      </c>
      <c r="L42" s="299" t="s">
        <v>90</v>
      </c>
      <c r="M42" s="117"/>
      <c r="N42" s="75">
        <v>0</v>
      </c>
      <c r="O42" s="55">
        <f t="shared" si="2"/>
        <v>0</v>
      </c>
      <c r="P42" s="299"/>
      <c r="Q42" s="23"/>
    </row>
    <row r="43" spans="1:17" s="24" customFormat="1" ht="15" x14ac:dyDescent="0.25">
      <c r="A43" s="23"/>
      <c r="B43" s="102" t="s">
        <v>17</v>
      </c>
      <c r="C43" s="23"/>
      <c r="D43" s="263"/>
      <c r="E43" s="23"/>
      <c r="F43" s="76">
        <v>0</v>
      </c>
      <c r="G43" s="56" t="str">
        <f t="shared" si="0"/>
        <v>N/A</v>
      </c>
      <c r="H43" s="300"/>
      <c r="I43" s="117"/>
      <c r="J43" s="76">
        <v>0</v>
      </c>
      <c r="K43" s="56" t="str">
        <f t="shared" si="1"/>
        <v>N/A</v>
      </c>
      <c r="L43" s="300"/>
      <c r="M43" s="117"/>
      <c r="N43" s="76">
        <v>0</v>
      </c>
      <c r="O43" s="56" t="str">
        <f t="shared" si="2"/>
        <v>N/A</v>
      </c>
      <c r="P43" s="300"/>
      <c r="Q43" s="23"/>
    </row>
    <row r="44" spans="1:17" s="24" customFormat="1" ht="15" x14ac:dyDescent="0.25">
      <c r="A44" s="23"/>
      <c r="B44" s="13" t="s">
        <v>54</v>
      </c>
      <c r="C44" s="23"/>
      <c r="D44" s="262"/>
      <c r="E44" s="23"/>
      <c r="F44" s="75">
        <v>0</v>
      </c>
      <c r="G44" s="55" t="str">
        <f t="shared" si="0"/>
        <v>N/A</v>
      </c>
      <c r="H44" s="299"/>
      <c r="I44" s="117"/>
      <c r="J44" s="75">
        <v>0</v>
      </c>
      <c r="K44" s="55" t="str">
        <f t="shared" si="1"/>
        <v>N/A</v>
      </c>
      <c r="L44" s="299"/>
      <c r="M44" s="117"/>
      <c r="N44" s="75">
        <v>0</v>
      </c>
      <c r="O44" s="55" t="str">
        <f t="shared" si="2"/>
        <v>N/A</v>
      </c>
      <c r="P44" s="299"/>
      <c r="Q44" s="23"/>
    </row>
    <row r="45" spans="1:17" s="24" customFormat="1" ht="15.75" thickBot="1" x14ac:dyDescent="0.3">
      <c r="A45" s="23"/>
      <c r="B45" s="103" t="s">
        <v>45</v>
      </c>
      <c r="C45" s="23"/>
      <c r="D45" s="264"/>
      <c r="E45" s="23"/>
      <c r="F45" s="106">
        <v>0</v>
      </c>
      <c r="G45" s="107" t="str">
        <f t="shared" si="0"/>
        <v>N/A</v>
      </c>
      <c r="H45" s="301"/>
      <c r="I45" s="117"/>
      <c r="J45" s="106">
        <v>0</v>
      </c>
      <c r="K45" s="107" t="str">
        <f t="shared" si="1"/>
        <v>N/A</v>
      </c>
      <c r="L45" s="301"/>
      <c r="M45" s="117"/>
      <c r="N45" s="106">
        <v>0</v>
      </c>
      <c r="O45" s="107" t="str">
        <f t="shared" si="2"/>
        <v>N/A</v>
      </c>
      <c r="P45" s="301"/>
      <c r="Q45" s="23"/>
    </row>
    <row r="46" spans="1:17" s="24" customFormat="1" ht="15.75" x14ac:dyDescent="0.25">
      <c r="A46" s="23"/>
      <c r="B46" s="104" t="s">
        <v>9</v>
      </c>
      <c r="C46" s="23"/>
      <c r="D46" s="265"/>
      <c r="E46" s="23"/>
      <c r="F46" s="235"/>
      <c r="G46" s="38"/>
      <c r="H46" s="302"/>
      <c r="I46" s="117"/>
      <c r="J46" s="235"/>
      <c r="K46" s="38"/>
      <c r="L46" s="302"/>
      <c r="M46" s="117"/>
      <c r="N46" s="235"/>
      <c r="O46" s="38"/>
      <c r="P46" s="302"/>
      <c r="Q46" s="23"/>
    </row>
    <row r="47" spans="1:17" s="24" customFormat="1" ht="15" x14ac:dyDescent="0.25">
      <c r="A47" s="23"/>
      <c r="B47" s="15" t="s">
        <v>19</v>
      </c>
      <c r="C47" s="23"/>
      <c r="D47" s="266">
        <v>20</v>
      </c>
      <c r="E47" s="23"/>
      <c r="F47" s="77">
        <v>2</v>
      </c>
      <c r="G47" s="57">
        <f t="shared" si="0"/>
        <v>40</v>
      </c>
      <c r="H47" s="303">
        <v>151</v>
      </c>
      <c r="I47" s="117"/>
      <c r="J47" s="77">
        <v>4</v>
      </c>
      <c r="K47" s="57">
        <f t="shared" si="1"/>
        <v>80</v>
      </c>
      <c r="L47" s="303">
        <v>119</v>
      </c>
      <c r="M47" s="117"/>
      <c r="N47" s="77">
        <v>0</v>
      </c>
      <c r="O47" s="57">
        <f t="shared" si="2"/>
        <v>0</v>
      </c>
      <c r="P47" s="305"/>
      <c r="Q47" s="23"/>
    </row>
    <row r="48" spans="1:17" s="24" customFormat="1" ht="15" x14ac:dyDescent="0.25">
      <c r="A48" s="23"/>
      <c r="B48" s="105" t="s">
        <v>41</v>
      </c>
      <c r="C48" s="23"/>
      <c r="D48" s="267"/>
      <c r="E48" s="23"/>
      <c r="F48" s="78">
        <v>0</v>
      </c>
      <c r="G48" s="58" t="str">
        <f t="shared" si="0"/>
        <v>N/A</v>
      </c>
      <c r="H48" s="304"/>
      <c r="I48" s="117"/>
      <c r="J48" s="78">
        <v>0</v>
      </c>
      <c r="K48" s="58" t="str">
        <f t="shared" si="1"/>
        <v>N/A</v>
      </c>
      <c r="L48" s="304"/>
      <c r="M48" s="117"/>
      <c r="N48" s="78">
        <v>0</v>
      </c>
      <c r="O48" s="58" t="str">
        <f t="shared" si="2"/>
        <v>N/A</v>
      </c>
      <c r="P48" s="304"/>
      <c r="Q48" s="23"/>
    </row>
    <row r="49" spans="1:24" s="24" customFormat="1" ht="15" x14ac:dyDescent="0.25">
      <c r="A49" s="23"/>
      <c r="B49" s="15" t="s">
        <v>18</v>
      </c>
      <c r="C49" s="23"/>
      <c r="D49" s="266">
        <v>1</v>
      </c>
      <c r="E49" s="23"/>
      <c r="F49" s="77">
        <v>3</v>
      </c>
      <c r="G49" s="57">
        <f t="shared" si="0"/>
        <v>3</v>
      </c>
      <c r="H49" s="305" t="s">
        <v>96</v>
      </c>
      <c r="I49" s="117"/>
      <c r="J49" s="77">
        <v>3</v>
      </c>
      <c r="K49" s="57">
        <f t="shared" si="1"/>
        <v>3</v>
      </c>
      <c r="L49" s="305" t="s">
        <v>96</v>
      </c>
      <c r="M49" s="117"/>
      <c r="N49" s="77">
        <v>0</v>
      </c>
      <c r="O49" s="57">
        <f t="shared" si="2"/>
        <v>0</v>
      </c>
      <c r="P49" s="305"/>
      <c r="Q49" s="23"/>
    </row>
    <row r="50" spans="1:24" s="24" customFormat="1" ht="15" x14ac:dyDescent="0.25">
      <c r="A50" s="23"/>
      <c r="B50" s="105" t="s">
        <v>57</v>
      </c>
      <c r="C50" s="23"/>
      <c r="D50" s="267"/>
      <c r="E50" s="23"/>
      <c r="F50" s="78">
        <v>0</v>
      </c>
      <c r="G50" s="58" t="str">
        <f t="shared" si="0"/>
        <v>N/A</v>
      </c>
      <c r="H50" s="304"/>
      <c r="I50" s="117"/>
      <c r="J50" s="78">
        <v>0</v>
      </c>
      <c r="K50" s="58" t="str">
        <f t="shared" si="1"/>
        <v>N/A</v>
      </c>
      <c r="L50" s="304"/>
      <c r="M50" s="117"/>
      <c r="N50" s="78">
        <v>0</v>
      </c>
      <c r="O50" s="58" t="str">
        <f t="shared" si="2"/>
        <v>N/A</v>
      </c>
      <c r="P50" s="304"/>
      <c r="Q50" s="23"/>
    </row>
    <row r="51" spans="1:24" s="24" customFormat="1" ht="15.75" thickBot="1" x14ac:dyDescent="0.3">
      <c r="A51" s="23"/>
      <c r="B51" s="16" t="s">
        <v>45</v>
      </c>
      <c r="C51" s="23"/>
      <c r="D51" s="268"/>
      <c r="E51" s="23"/>
      <c r="F51" s="79">
        <v>0</v>
      </c>
      <c r="G51" s="59" t="str">
        <f t="shared" si="0"/>
        <v>N/A</v>
      </c>
      <c r="H51" s="306"/>
      <c r="I51" s="117"/>
      <c r="J51" s="79">
        <v>0</v>
      </c>
      <c r="K51" s="59" t="str">
        <f t="shared" si="1"/>
        <v>N/A</v>
      </c>
      <c r="L51" s="306"/>
      <c r="M51" s="117"/>
      <c r="N51" s="79">
        <v>0</v>
      </c>
      <c r="O51" s="59" t="str">
        <f t="shared" si="2"/>
        <v>N/A</v>
      </c>
      <c r="P51" s="306"/>
      <c r="Q51" s="23"/>
    </row>
    <row r="52" spans="1:24" s="24" customFormat="1" ht="5.0999999999999996" customHeight="1" x14ac:dyDescent="0.25">
      <c r="A52" s="23"/>
      <c r="B52" s="29"/>
      <c r="D52" s="31"/>
      <c r="F52" s="32"/>
      <c r="G52" s="32"/>
      <c r="H52" s="31"/>
      <c r="J52" s="32"/>
      <c r="K52" s="32"/>
      <c r="L52" s="31"/>
      <c r="N52" s="32"/>
      <c r="O52" s="32"/>
      <c r="P52" s="31"/>
      <c r="X52" s="26"/>
    </row>
    <row r="53" spans="1:24" s="24" customFormat="1" ht="15.75" hidden="1" customHeight="1" x14ac:dyDescent="0.25">
      <c r="B53" s="29"/>
      <c r="D53" s="31"/>
      <c r="F53" s="32"/>
      <c r="G53" s="32"/>
      <c r="H53" s="31"/>
      <c r="J53" s="32"/>
      <c r="K53" s="32"/>
      <c r="L53" s="31"/>
      <c r="N53" s="32"/>
      <c r="O53" s="32"/>
      <c r="P53" s="31"/>
      <c r="X53" s="26"/>
    </row>
    <row r="54" spans="1:24" s="24" customFormat="1" ht="15.75" hidden="1" customHeight="1" x14ac:dyDescent="0.25">
      <c r="B54" s="29"/>
      <c r="D54" s="28"/>
      <c r="F54" s="30"/>
      <c r="G54" s="30"/>
      <c r="H54" s="28"/>
      <c r="J54" s="30"/>
      <c r="K54" s="30"/>
      <c r="L54" s="28"/>
      <c r="N54" s="30"/>
      <c r="O54" s="30"/>
      <c r="P54" s="28"/>
    </row>
    <row r="55" spans="1:24" s="24" customFormat="1" ht="15" hidden="1" x14ac:dyDescent="0.25"/>
    <row r="56" spans="1:24" ht="15" hidden="1" x14ac:dyDescent="0.25"/>
  </sheetData>
  <sheetProtection sheet="1" objects="1" scenarios="1" selectLockedCells="1"/>
  <mergeCells count="8">
    <mergeCell ref="C2:P2"/>
    <mergeCell ref="P4:P5"/>
    <mergeCell ref="D4:D5"/>
    <mergeCell ref="F4:G6"/>
    <mergeCell ref="H4:H5"/>
    <mergeCell ref="J4:K6"/>
    <mergeCell ref="L4:L5"/>
    <mergeCell ref="N4:O6"/>
  </mergeCells>
  <conditionalFormatting sqref="D6">
    <cfRule type="cellIs" dxfId="3" priority="4" operator="equal">
      <formula>100</formula>
    </cfRule>
  </conditionalFormatting>
  <conditionalFormatting sqref="H6">
    <cfRule type="expression" dxfId="2" priority="3">
      <formula>IF($D$6=100,1,0)</formula>
    </cfRule>
  </conditionalFormatting>
  <conditionalFormatting sqref="L6">
    <cfRule type="expression" dxfId="1" priority="2">
      <formula>IF($D$6=100,1,0)</formula>
    </cfRule>
  </conditionalFormatting>
  <conditionalFormatting sqref="P6">
    <cfRule type="expression" dxfId="0" priority="1">
      <formula>IF($D$6=100,1,0)</formula>
    </cfRule>
  </conditionalFormatting>
  <dataValidations count="1">
    <dataValidation type="list" allowBlank="1" showInputMessage="1" showErrorMessage="1" sqref="F35:F38 N35:N38 J35:J38 F47:F51 N47:N51 J40:J45 N40:N45 J47:J51 F40:F45 N11:N15 F11:F15 J11:J15 N17:N22 J17:J22 F17:F22 J24:J25 F24:F25 N24:N25 N27:N29 J27:J29 F27:F29 J31:J33 N31:N33 F31:F33">
      <formula1>$R$11:$W$11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Tablet</vt:lpstr>
      <vt:lpstr>E-Reader</vt:lpstr>
      <vt:lpstr>Smartphone</vt:lpstr>
      <vt:lpstr>Example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Gaddoura</dc:creator>
  <cp:lastModifiedBy>Jennifer Wondracek</cp:lastModifiedBy>
  <dcterms:created xsi:type="dcterms:W3CDTF">2013-04-02T23:15:00Z</dcterms:created>
  <dcterms:modified xsi:type="dcterms:W3CDTF">2013-05-09T17:33:30Z</dcterms:modified>
</cp:coreProperties>
</file>