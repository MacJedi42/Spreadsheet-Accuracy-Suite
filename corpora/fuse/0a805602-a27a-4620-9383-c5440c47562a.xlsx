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05" yWindow="45" windowWidth="14220" windowHeight="14760" tabRatio="949"/>
  </bookViews>
  <sheets>
    <sheet name="Table of Contents" sheetId="1" r:id="rId1"/>
    <sheet name="1" sheetId="92" r:id="rId2"/>
    <sheet name="2" sheetId="93" r:id="rId3"/>
    <sheet name="3" sheetId="94" r:id="rId4"/>
    <sheet name="4" sheetId="95" r:id="rId5"/>
    <sheet name="5" sheetId="96" r:id="rId6"/>
    <sheet name="6" sheetId="97" r:id="rId7"/>
    <sheet name="7a" sheetId="44" r:id="rId8"/>
    <sheet name="7b" sheetId="45" r:id="rId9"/>
    <sheet name="7c" sheetId="46" r:id="rId10"/>
    <sheet name="7d" sheetId="47" r:id="rId11"/>
    <sheet name="7e" sheetId="48" r:id="rId12"/>
    <sheet name="8a" sheetId="54" r:id="rId13"/>
    <sheet name="8b" sheetId="55" r:id="rId14"/>
    <sheet name="8c" sheetId="56" r:id="rId15"/>
    <sheet name="8d" sheetId="57" r:id="rId16"/>
    <sheet name="8e" sheetId="58" r:id="rId17"/>
    <sheet name="9a" sheetId="64" r:id="rId18"/>
    <sheet name="9b" sheetId="65" r:id="rId19"/>
    <sheet name="9c" sheetId="66" r:id="rId20"/>
    <sheet name="9d" sheetId="67" r:id="rId21"/>
    <sheet name="9e" sheetId="68" r:id="rId22"/>
    <sheet name="10a" sheetId="49" r:id="rId23"/>
    <sheet name="10b" sheetId="50" r:id="rId24"/>
    <sheet name="10c" sheetId="51" r:id="rId25"/>
    <sheet name="10d" sheetId="52" r:id="rId26"/>
    <sheet name="10e" sheetId="53" r:id="rId27"/>
    <sheet name="11a" sheetId="59" r:id="rId28"/>
    <sheet name="11b" sheetId="60" r:id="rId29"/>
    <sheet name="11c" sheetId="61" r:id="rId30"/>
    <sheet name="11d" sheetId="62" r:id="rId31"/>
    <sheet name="11e" sheetId="63" r:id="rId32"/>
    <sheet name="12a" sheetId="69" r:id="rId33"/>
    <sheet name="12b" sheetId="70" r:id="rId34"/>
    <sheet name="12c" sheetId="71" r:id="rId35"/>
    <sheet name="12d" sheetId="72" r:id="rId36"/>
    <sheet name="12e" sheetId="73" r:id="rId37"/>
    <sheet name="13a" sheetId="74" r:id="rId38"/>
    <sheet name="13b" sheetId="75" r:id="rId39"/>
    <sheet name="13c" sheetId="76" r:id="rId40"/>
    <sheet name="13d" sheetId="77" r:id="rId41"/>
    <sheet name="13e" sheetId="78" r:id="rId42"/>
    <sheet name="14a" sheetId="79" r:id="rId43"/>
    <sheet name="14b" sheetId="80" r:id="rId44"/>
    <sheet name="14c" sheetId="81" r:id="rId45"/>
    <sheet name="14d" sheetId="82" r:id="rId46"/>
    <sheet name="14e" sheetId="83" r:id="rId47"/>
    <sheet name="15a" sheetId="84" r:id="rId48"/>
    <sheet name="15b" sheetId="85" r:id="rId49"/>
    <sheet name="15c" sheetId="86" r:id="rId50"/>
    <sheet name="15d" sheetId="87" r:id="rId51"/>
    <sheet name="15e" sheetId="88" r:id="rId52"/>
    <sheet name="16" sheetId="89" r:id="rId53"/>
    <sheet name="17" sheetId="90" r:id="rId54"/>
    <sheet name="18" sheetId="91" r:id="rId55"/>
    <sheet name="Sheet1" sheetId="98" r:id="rId56"/>
  </sheets>
  <definedNames>
    <definedName name="_xlnm.Print_Area" localSheetId="38">'13b'!$A$1:$E$13</definedName>
  </definedNames>
  <calcPr calcId="145621"/>
</workbook>
</file>

<file path=xl/calcChain.xml><?xml version="1.0" encoding="utf-8"?>
<calcChain xmlns="http://schemas.openxmlformats.org/spreadsheetml/2006/main">
  <c r="E8" i="91" l="1"/>
  <c r="D8" i="91"/>
  <c r="C8" i="91"/>
  <c r="B8" i="91"/>
  <c r="F2" i="91"/>
  <c r="F8" i="91" s="1"/>
  <c r="E2" i="91"/>
  <c r="D2" i="91"/>
  <c r="C2" i="91"/>
  <c r="B2" i="91"/>
  <c r="E8" i="90" l="1"/>
  <c r="D8" i="90"/>
  <c r="C8" i="90"/>
  <c r="B8" i="90"/>
  <c r="F2" i="90"/>
  <c r="F8" i="90" s="1"/>
  <c r="E2" i="90"/>
  <c r="D2" i="90"/>
  <c r="C2" i="90"/>
  <c r="B2" i="90"/>
  <c r="E8" i="89" l="1"/>
  <c r="D8" i="89"/>
  <c r="C8" i="89"/>
  <c r="B8" i="89"/>
  <c r="F2" i="89"/>
  <c r="F8" i="89" s="1"/>
  <c r="E2" i="89"/>
  <c r="D2" i="89"/>
  <c r="C2" i="89"/>
  <c r="B2" i="89"/>
  <c r="G5" i="87" l="1"/>
  <c r="F5" i="87"/>
  <c r="E5" i="87"/>
  <c r="D5" i="87"/>
  <c r="C5" i="87"/>
  <c r="B5" i="87"/>
  <c r="E5" i="86"/>
  <c r="D5" i="86"/>
  <c r="C5" i="86"/>
  <c r="B5" i="86"/>
  <c r="D4" i="85"/>
  <c r="C4" i="85"/>
  <c r="B4" i="85"/>
  <c r="E4" i="85" s="1"/>
  <c r="E3" i="85"/>
  <c r="E2" i="85"/>
  <c r="C3" i="84"/>
  <c r="C8" i="84" s="1"/>
  <c r="B3" i="84"/>
  <c r="B8" i="84" s="1"/>
  <c r="D8" i="84" s="1"/>
  <c r="E6" i="72"/>
  <c r="D6" i="72"/>
  <c r="C6" i="72"/>
  <c r="D5" i="69"/>
  <c r="C5" i="69"/>
  <c r="E5" i="67"/>
  <c r="D5" i="67"/>
  <c r="C5" i="67"/>
  <c r="B5" i="67"/>
  <c r="J5" i="66"/>
  <c r="I5" i="66"/>
  <c r="H5" i="66"/>
  <c r="G5" i="66"/>
  <c r="F5" i="66"/>
  <c r="E5" i="66"/>
  <c r="D5" i="66"/>
  <c r="C5" i="66"/>
  <c r="B5" i="66"/>
  <c r="I4" i="65"/>
  <c r="H4" i="65"/>
  <c r="G4" i="65"/>
  <c r="F4" i="65"/>
  <c r="E4" i="65"/>
  <c r="D4" i="65"/>
  <c r="C4" i="65"/>
  <c r="B4" i="65"/>
  <c r="D6" i="64"/>
  <c r="C6" i="64"/>
  <c r="B6" i="64"/>
  <c r="D3" i="84" l="1"/>
  <c r="G6" i="82" l="1"/>
  <c r="F6" i="82"/>
  <c r="E6" i="82"/>
  <c r="D6" i="82"/>
  <c r="C6" i="82"/>
  <c r="B6" i="82"/>
  <c r="E6" i="81"/>
  <c r="D6" i="81"/>
  <c r="C6" i="81"/>
  <c r="B6" i="81"/>
  <c r="D5" i="80"/>
  <c r="C5" i="80"/>
  <c r="B5" i="80"/>
  <c r="E4" i="80"/>
  <c r="E3" i="80"/>
  <c r="E5" i="80" s="1"/>
  <c r="E2" i="80"/>
  <c r="D4" i="79"/>
  <c r="D8" i="79" s="1"/>
  <c r="C4" i="79"/>
  <c r="C8" i="79" s="1"/>
  <c r="B4" i="79"/>
  <c r="B8" i="79" s="1"/>
  <c r="E6" i="62"/>
  <c r="D6" i="62"/>
  <c r="C6" i="62"/>
  <c r="J5" i="61"/>
  <c r="I5" i="61"/>
  <c r="H5" i="61"/>
  <c r="G5" i="61"/>
  <c r="F5" i="61"/>
  <c r="E5" i="61"/>
  <c r="D5" i="61"/>
  <c r="C5" i="61"/>
  <c r="B5" i="61"/>
  <c r="I5" i="60"/>
  <c r="H5" i="60"/>
  <c r="G5" i="60"/>
  <c r="F5" i="60"/>
  <c r="E5" i="60"/>
  <c r="D5" i="60"/>
  <c r="C5" i="60"/>
  <c r="B5" i="60"/>
  <c r="D5" i="59"/>
  <c r="C5" i="59"/>
  <c r="E5" i="57"/>
  <c r="D5" i="57"/>
  <c r="C5" i="57"/>
  <c r="B5" i="57"/>
  <c r="I12" i="56"/>
  <c r="H12" i="56"/>
  <c r="G12" i="56"/>
  <c r="F12" i="56"/>
  <c r="E12" i="56"/>
  <c r="D12" i="56"/>
  <c r="C12" i="56"/>
  <c r="B12" i="56"/>
  <c r="J5" i="56"/>
  <c r="J4" i="56"/>
  <c r="J12" i="56" s="1"/>
  <c r="I12" i="55"/>
  <c r="H12" i="55"/>
  <c r="G12" i="55"/>
  <c r="F12" i="55"/>
  <c r="E12" i="55"/>
  <c r="D12" i="55"/>
  <c r="C12" i="55"/>
  <c r="B12" i="55"/>
  <c r="D12" i="54"/>
  <c r="C12" i="54"/>
  <c r="B12" i="54"/>
  <c r="E13" i="77" l="1"/>
  <c r="D13" i="77"/>
  <c r="C13" i="77"/>
  <c r="B13" i="77"/>
  <c r="G7" i="77"/>
  <c r="F7" i="77"/>
  <c r="E7" i="77"/>
  <c r="D7" i="77"/>
  <c r="C7" i="77"/>
  <c r="B7" i="77"/>
  <c r="G3" i="77"/>
  <c r="G13" i="77" s="1"/>
  <c r="F3" i="77"/>
  <c r="F13" i="77" s="1"/>
  <c r="E3" i="77"/>
  <c r="D3" i="77"/>
  <c r="C3" i="77"/>
  <c r="B3" i="77"/>
  <c r="B14" i="76"/>
  <c r="E11" i="76"/>
  <c r="E14" i="76" s="1"/>
  <c r="D11" i="76"/>
  <c r="D14" i="76" s="1"/>
  <c r="C11" i="76"/>
  <c r="E6" i="76"/>
  <c r="D6" i="76"/>
  <c r="C6" i="76"/>
  <c r="B6" i="76"/>
  <c r="E3" i="76"/>
  <c r="D3" i="76"/>
  <c r="C3" i="76"/>
  <c r="C14" i="76" s="1"/>
  <c r="B3" i="76"/>
  <c r="E11" i="75"/>
  <c r="E10" i="75"/>
  <c r="E9" i="75"/>
  <c r="E8" i="75"/>
  <c r="E7" i="75"/>
  <c r="D6" i="75"/>
  <c r="D12" i="75" s="1"/>
  <c r="C6" i="75"/>
  <c r="C12" i="75" s="1"/>
  <c r="B6" i="75"/>
  <c r="E6" i="75" s="1"/>
  <c r="E5" i="75"/>
  <c r="E4" i="75"/>
  <c r="E3" i="75"/>
  <c r="D2" i="75"/>
  <c r="C2" i="75"/>
  <c r="B2" i="75"/>
  <c r="E2" i="75" s="1"/>
  <c r="C11" i="74"/>
  <c r="C14" i="74" s="1"/>
  <c r="B11" i="74"/>
  <c r="C6" i="74"/>
  <c r="B6" i="74"/>
  <c r="D6" i="74" s="1"/>
  <c r="D5" i="74"/>
  <c r="C2" i="74"/>
  <c r="B2" i="74"/>
  <c r="D2" i="74" s="1"/>
  <c r="E6" i="52"/>
  <c r="C6" i="52"/>
  <c r="G5" i="51"/>
  <c r="F5" i="51"/>
  <c r="E5" i="51"/>
  <c r="D5" i="51"/>
  <c r="C5" i="51"/>
  <c r="H5" i="51" s="1"/>
  <c r="B5" i="51"/>
  <c r="I5" i="50"/>
  <c r="H5" i="50"/>
  <c r="G5" i="50"/>
  <c r="F5" i="50"/>
  <c r="E5" i="50"/>
  <c r="D5" i="50"/>
  <c r="C5" i="50"/>
  <c r="B5" i="50"/>
  <c r="D5" i="49"/>
  <c r="C5" i="49"/>
  <c r="E7" i="47"/>
  <c r="D7" i="47"/>
  <c r="C7" i="47"/>
  <c r="B7" i="47"/>
  <c r="J8" i="46"/>
  <c r="I8" i="46"/>
  <c r="H8" i="46"/>
  <c r="G8" i="46"/>
  <c r="F8" i="46"/>
  <c r="E8" i="46"/>
  <c r="D8" i="46"/>
  <c r="C8" i="46"/>
  <c r="B8" i="46"/>
  <c r="I8" i="45"/>
  <c r="H8" i="45"/>
  <c r="G8" i="45"/>
  <c r="F8" i="45"/>
  <c r="E8" i="45"/>
  <c r="D8" i="45"/>
  <c r="C8" i="45"/>
  <c r="B8" i="45"/>
  <c r="D7" i="44"/>
  <c r="C7" i="44"/>
  <c r="B7" i="44"/>
  <c r="B14" i="74" l="1"/>
  <c r="D14" i="74"/>
  <c r="E12" i="75"/>
  <c r="B12" i="75"/>
  <c r="D11" i="74"/>
</calcChain>
</file>

<file path=xl/sharedStrings.xml><?xml version="1.0" encoding="utf-8"?>
<sst xmlns="http://schemas.openxmlformats.org/spreadsheetml/2006/main" count="1242" uniqueCount="218">
  <si>
    <t/>
  </si>
  <si>
    <t>Uncleared</t>
  </si>
  <si>
    <t>Total Cross-Currency</t>
  </si>
  <si>
    <t>Cleared</t>
  </si>
  <si>
    <t>N/A</t>
  </si>
  <si>
    <t>Total Credit</t>
  </si>
  <si>
    <t>Total Equity</t>
  </si>
  <si>
    <t>Total Other Commodity</t>
  </si>
  <si>
    <t>TOTAL</t>
  </si>
  <si>
    <t>*See Data Dictionary for asset class descriptions and Explanatory Notes for data sources.</t>
  </si>
  <si>
    <t>**See Explanatory Notes for cleared and uncleared descriptions.</t>
  </si>
  <si>
    <t>***N/A indicates that data are not currently available.</t>
  </si>
  <si>
    <t>The Commission requests feedback on the format and content of this CFTC Swaps Report table. Submit comments to swapsreport@cftc.gov.</t>
  </si>
  <si>
    <t>*See Data Dictionary for asset class descriptions.</t>
  </si>
  <si>
    <t>**See Explanatory Notes for participant type descriptions.</t>
  </si>
  <si>
    <t>FRA</t>
  </si>
  <si>
    <t>Exotic</t>
  </si>
  <si>
    <t>Inflation</t>
  </si>
  <si>
    <t>OIS</t>
  </si>
  <si>
    <t>Cap/Floor</t>
  </si>
  <si>
    <t>Debt Option</t>
  </si>
  <si>
    <t>Swaption</t>
  </si>
  <si>
    <t>*See Data Dictionary for product descriptions and Explanatory Notes for data sources.</t>
  </si>
  <si>
    <t>GBP</t>
  </si>
  <si>
    <t>JPY</t>
  </si>
  <si>
    <t>USD</t>
  </si>
  <si>
    <t>CAD</t>
  </si>
  <si>
    <t>3-6</t>
  </si>
  <si>
    <t>6-12</t>
  </si>
  <si>
    <t>12-24</t>
  </si>
  <si>
    <t>24-60</t>
  </si>
  <si>
    <t>60-120</t>
  </si>
  <si>
    <t>Basis</t>
  </si>
  <si>
    <t>Index Tranche</t>
  </si>
  <si>
    <t>Europe</t>
  </si>
  <si>
    <t>Index</t>
  </si>
  <si>
    <t>Other</t>
  </si>
  <si>
    <t>Swaptions</t>
  </si>
  <si>
    <t>HY</t>
  </si>
  <si>
    <t>IG</t>
  </si>
  <si>
    <t>****N/A indicates that data are not currently available.</t>
  </si>
  <si>
    <t>CFTC Swaps Report</t>
  </si>
  <si>
    <t>Table of Contents</t>
  </si>
  <si>
    <t>All Swaps</t>
  </si>
  <si>
    <t>1. Gross Notional Outstanding by Cleared Status</t>
  </si>
  <si>
    <t>2. Gross Notional Outstanding by Participant Type</t>
  </si>
  <si>
    <t>Swaps by Asset Class</t>
  </si>
  <si>
    <t>Interest Rate Swaps</t>
  </si>
  <si>
    <t>Credit Default Swaps</t>
  </si>
  <si>
    <t>Equity Swaps</t>
  </si>
  <si>
    <t>17. Gross Notional Outstanding</t>
  </si>
  <si>
    <t>Other Commodity Swaps</t>
  </si>
  <si>
    <t>Total Interest Rate*</t>
  </si>
  <si>
    <t>3. Transaction Ticket Volume by Cleared Status</t>
  </si>
  <si>
    <t>Foreign Exchange Swaps</t>
  </si>
  <si>
    <t>Reporting Period As Of:</t>
  </si>
  <si>
    <t>Release Date:</t>
  </si>
  <si>
    <t>4. Transaction Ticket Volume by Participant Type</t>
  </si>
  <si>
    <t>5. Transaction Dollar Volume by Cleared Status</t>
  </si>
  <si>
    <t>6. Transaction Dollar Volume by Participant Type</t>
  </si>
  <si>
    <t>Cross-Currency Interest Rate Swaps</t>
  </si>
  <si>
    <t>16. Gross Notional Outstanding</t>
  </si>
  <si>
    <t>18. Gross Notional Outstanding</t>
  </si>
  <si>
    <r>
      <t>Product</t>
    </r>
    <r>
      <rPr>
        <b/>
        <vertAlign val="superscript"/>
        <sz val="10"/>
        <color theme="1"/>
        <rFont val="Calibri"/>
        <family val="2"/>
        <scheme val="minor"/>
      </rPr>
      <t>1</t>
    </r>
  </si>
  <si>
    <r>
      <t>Cleared</t>
    </r>
    <r>
      <rPr>
        <b/>
        <vertAlign val="superscript"/>
        <sz val="10"/>
        <color theme="1"/>
        <rFont val="Calibri"/>
        <family val="2"/>
        <scheme val="minor"/>
      </rPr>
      <t>2</t>
    </r>
  </si>
  <si>
    <t>Fixed-Float</t>
  </si>
  <si>
    <t>OTHER*</t>
  </si>
  <si>
    <t>* OTHER variable includes the following products: Basis, Cap/Floor, Debt Option, Exotic, Fixed-Fixed, and Inflation.</t>
  </si>
  <si>
    <r>
      <t>EUR</t>
    </r>
    <r>
      <rPr>
        <b/>
        <vertAlign val="superscript"/>
        <sz val="10"/>
        <rFont val="Calibri"/>
        <family val="2"/>
        <scheme val="minor"/>
      </rPr>
      <t>3</t>
    </r>
  </si>
  <si>
    <t>AUD</t>
  </si>
  <si>
    <t>OTHER</t>
  </si>
  <si>
    <t>*OTHER variable includes the following products: Cap/Floor, Debt Option, Exotic, Fixed-Fixed, and Inflation.</t>
  </si>
  <si>
    <r>
      <t>0-3</t>
    </r>
    <r>
      <rPr>
        <b/>
        <vertAlign val="superscript"/>
        <sz val="10"/>
        <rFont val="Calibri"/>
        <family val="2"/>
        <scheme val="minor"/>
      </rPr>
      <t>4</t>
    </r>
  </si>
  <si>
    <t>120-360</t>
  </si>
  <si>
    <t>360+</t>
  </si>
  <si>
    <r>
      <t>Swap Dealers/MSPs</t>
    </r>
    <r>
      <rPr>
        <b/>
        <vertAlign val="superscript"/>
        <sz val="10"/>
        <color theme="1"/>
        <rFont val="Calibri"/>
        <family val="2"/>
        <scheme val="minor"/>
      </rPr>
      <t>5</t>
    </r>
  </si>
  <si>
    <t>Others</t>
  </si>
  <si>
    <t>*OTHER variable includes the following products: Basis, Swaption, Cap/Floor, Debt Option, Exotic, Fixed-Fixed, and Inflation.</t>
  </si>
  <si>
    <t>7b. Gross Notional Outstanding - Product Type - Currency</t>
  </si>
  <si>
    <t>7c. Gross Notional Outstanding - Product Type - Tenor</t>
  </si>
  <si>
    <t>7e. Gross Notional Outstanding - Notes</t>
  </si>
  <si>
    <r>
      <rPr>
        <vertAlign val="superscript"/>
        <sz val="10"/>
        <color theme="1"/>
        <rFont val="Calibri"/>
        <family val="2"/>
        <scheme val="minor"/>
      </rPr>
      <t xml:space="preserve">1 </t>
    </r>
    <r>
      <rPr>
        <sz val="10"/>
        <color theme="1"/>
        <rFont val="Calibri"/>
        <family val="2"/>
        <scheme val="minor"/>
      </rPr>
      <t>See Data Dictionary for product descriptions and Explanatory Notes for data sources.</t>
    </r>
  </si>
  <si>
    <r>
      <rPr>
        <vertAlign val="superscript"/>
        <sz val="10"/>
        <color theme="1"/>
        <rFont val="Calibri"/>
        <family val="2"/>
        <scheme val="minor"/>
      </rPr>
      <t>2</t>
    </r>
    <r>
      <rPr>
        <sz val="10"/>
        <color theme="1"/>
        <rFont val="Calibri"/>
        <family val="2"/>
        <scheme val="minor"/>
      </rPr>
      <t xml:space="preserve"> See Explanatory Notes for cleared and uncleared descriptions.</t>
    </r>
  </si>
  <si>
    <r>
      <rPr>
        <vertAlign val="superscript"/>
        <sz val="10"/>
        <color theme="1"/>
        <rFont val="Calibri"/>
        <family val="2"/>
        <scheme val="minor"/>
      </rPr>
      <t xml:space="preserve">3 </t>
    </r>
    <r>
      <rPr>
        <sz val="10"/>
        <color theme="1"/>
        <rFont val="Calibri"/>
        <family val="2"/>
        <scheme val="minor"/>
      </rPr>
      <t>See Explanatory Notes for currency descriptions.</t>
    </r>
  </si>
  <si>
    <r>
      <rPr>
        <vertAlign val="superscript"/>
        <sz val="10"/>
        <color theme="1"/>
        <rFont val="Calibri"/>
        <family val="2"/>
        <scheme val="minor"/>
      </rPr>
      <t>4</t>
    </r>
    <r>
      <rPr>
        <sz val="10"/>
        <color theme="1"/>
        <rFont val="Calibri"/>
        <family val="2"/>
        <scheme val="minor"/>
      </rPr>
      <t xml:space="preserve"> See Explanatory Notes for tenor bucket descriptions.</t>
    </r>
  </si>
  <si>
    <r>
      <rPr>
        <vertAlign val="superscript"/>
        <sz val="10"/>
        <color theme="1"/>
        <rFont val="Calibri"/>
        <family val="2"/>
        <scheme val="minor"/>
      </rPr>
      <t xml:space="preserve">5 </t>
    </r>
    <r>
      <rPr>
        <sz val="10"/>
        <color theme="1"/>
        <rFont val="Calibri"/>
        <family val="2"/>
        <scheme val="minor"/>
      </rPr>
      <t>See Explanatory Notes for participant type descriptions.</t>
    </r>
  </si>
  <si>
    <r>
      <rPr>
        <vertAlign val="superscript"/>
        <sz val="10"/>
        <color theme="1"/>
        <rFont val="Calibri"/>
        <family val="2"/>
        <scheme val="minor"/>
      </rPr>
      <t>6</t>
    </r>
    <r>
      <rPr>
        <sz val="10"/>
        <color theme="1"/>
        <rFont val="Calibri"/>
        <family val="2"/>
        <scheme val="minor"/>
      </rPr>
      <t xml:space="preserve"> N/A indicates that data are not currently available.</t>
    </r>
  </si>
  <si>
    <t>8e. Transaction Ticket Volume - Notes</t>
  </si>
  <si>
    <t>8a. Transaction Ticket Volume - Product Type - Cleared Status</t>
  </si>
  <si>
    <t>8b. Transaction Ticket Volume - Product Type - Currency</t>
  </si>
  <si>
    <t>8c. Transaction Ticket Volume - Product Type - Tenor</t>
  </si>
  <si>
    <t>9a. Transaction Dollar Volume - Product Type - Cleared Status</t>
  </si>
  <si>
    <t>9b. Transaction Dollar Volume - Product Type - Currency</t>
  </si>
  <si>
    <t>9c. Transaction Dollar Volume - Product Type - Tenor</t>
  </si>
  <si>
    <t>9d. Transaction Dollar Volume - Product Type - Participant Type</t>
  </si>
  <si>
    <t>9e. Transaction Dollar Volume - Notes</t>
  </si>
  <si>
    <t>10e. Gross Notional Outstanding - Notes</t>
  </si>
  <si>
    <t>10c. Gross Notional Outstanding - Product Type - Tenor</t>
  </si>
  <si>
    <t>10b. Gross Notional Outstanding - Product Type - Currency</t>
  </si>
  <si>
    <t>10a. Gross Notional Outstanding -  Product Type - Cleared Status</t>
  </si>
  <si>
    <t xml:space="preserve"> TOTAL</t>
  </si>
  <si>
    <t>Cross-Currency Basis</t>
  </si>
  <si>
    <t>Cross-Currency Fixed-Fixed</t>
  </si>
  <si>
    <t>Cross-Currency Fixed-Float</t>
  </si>
  <si>
    <t>60+</t>
  </si>
  <si>
    <t>Fixed-Fixed</t>
  </si>
  <si>
    <t>*OTHER variable includes the following products: Basis, Cap/Floor, Debt Option, Exotic, Fixed-Fixed, FRA,  Inflation, OIS, and Swaption.</t>
  </si>
  <si>
    <t>8d. Transaction Ticket Volume - Product Type - Participant Type - Cleared Status</t>
  </si>
  <si>
    <t>7d. Gross Notional Outstanding - Product Type - Participant Type - Cleared Status</t>
  </si>
  <si>
    <t>7a. Gross Notional Outstanding - Product Type - Cleared Status</t>
  </si>
  <si>
    <t>11e. Transaction Ticket Volume - Notes</t>
  </si>
  <si>
    <t>11a. Transaction Ticket Volume - Product Type - Cleared Status</t>
  </si>
  <si>
    <t>11b. Transaction Ticket Volume - Product Type - Currency</t>
  </si>
  <si>
    <t>11c. Transaction Ticket Volume - Product Type - Tenor</t>
  </si>
  <si>
    <t>11d. Transaction Ticket Volume - Product Type - Participant Type - Cleared Status</t>
  </si>
  <si>
    <t>10d. Gross Notional Outstanding - Product Type - Participant Type - Cleared Status</t>
  </si>
  <si>
    <t>*OTHER variable includes the following products: Basis, Cap/Floor, Debt Option, Exotic, Fixed-Fixed, Inflation, and Swaption.</t>
  </si>
  <si>
    <t>*OTHER variable includes the following products: Swaption, Cap/Floor, Debt Option, Exotic, Fixed-Fixed, Inflation, Basis, OIS, and FRA.</t>
  </si>
  <si>
    <t>*OTHER variable includes the following products: Cap/Floor, Debt Option, Exotic, Fixed-Fixed, Inflation, OIS, Swaption, and Basis.</t>
  </si>
  <si>
    <t>*OTHER variable includes the following products: Basis, Cap/Floor, Debt Option, Exotic, FRA, Fixed-Fixed, Inflation, OIS, and Swaption.</t>
  </si>
  <si>
    <t>12e. Transaction Dollar Volume - Notes</t>
  </si>
  <si>
    <t>12d. Transaction Dollar Volume - Product Type - Participant Type - Cleared Status</t>
  </si>
  <si>
    <t>12c. Transaction Dollar Volume - Product Type - Tenor</t>
  </si>
  <si>
    <t>12b. Transaction Dollar Volume - Product Type - Currency</t>
  </si>
  <si>
    <t>12a. Transaction Dollar Volume - Product Type - Cleared Status</t>
  </si>
  <si>
    <t>Cross_Currency Basis</t>
  </si>
  <si>
    <t>Cross_Currency Fixed-Fixed</t>
  </si>
  <si>
    <t>Cross_Currency Fixed-Float</t>
  </si>
  <si>
    <t>Cross-Currency Total</t>
  </si>
  <si>
    <t>Cross-Currency TOTAL</t>
  </si>
  <si>
    <t>13b. Gross Notional Outstanding - Product Type - Grade</t>
  </si>
  <si>
    <t>13c. Gross Notional Outstanding - Product Type - Participant Type - Cleared Status</t>
  </si>
  <si>
    <t>13d. Gross Notional Outstanding - Product Type -Participant Type - Grade</t>
  </si>
  <si>
    <t>13e. Gross Notional Outstanding - Notes</t>
  </si>
  <si>
    <r>
      <t>Product</t>
    </r>
    <r>
      <rPr>
        <b/>
        <vertAlign val="superscript"/>
        <sz val="10"/>
        <rFont val="Calibri"/>
        <family val="2"/>
        <scheme val="minor"/>
      </rPr>
      <t>1</t>
    </r>
  </si>
  <si>
    <r>
      <t>Cleared</t>
    </r>
    <r>
      <rPr>
        <b/>
        <vertAlign val="superscript"/>
        <sz val="10"/>
        <rFont val="Calibri"/>
        <family val="2"/>
        <scheme val="minor"/>
      </rPr>
      <t>2</t>
    </r>
  </si>
  <si>
    <t xml:space="preserve">  Asia</t>
  </si>
  <si>
    <t xml:space="preserve">  Europe</t>
  </si>
  <si>
    <t xml:space="preserve">  North America</t>
  </si>
  <si>
    <t xml:space="preserve">  Other</t>
  </si>
  <si>
    <t xml:space="preserve">  Swaptions</t>
  </si>
  <si>
    <r>
      <t>HY</t>
    </r>
    <r>
      <rPr>
        <b/>
        <vertAlign val="superscript"/>
        <sz val="10"/>
        <rFont val="Calibri"/>
        <family val="2"/>
        <scheme val="minor"/>
      </rPr>
      <t>3</t>
    </r>
  </si>
  <si>
    <t xml:space="preserve">  North America/Asia</t>
  </si>
  <si>
    <t>*OTHER variable includes exotic credit products, swaptions, and total return swaps.</t>
  </si>
  <si>
    <r>
      <t>Swap Dealers/MSPs</t>
    </r>
    <r>
      <rPr>
        <b/>
        <vertAlign val="superscript"/>
        <sz val="10"/>
        <rFont val="Calibri"/>
        <family val="2"/>
        <scheme val="minor"/>
      </rPr>
      <t>4</t>
    </r>
  </si>
  <si>
    <t>Exotic/Total Return Swap</t>
  </si>
  <si>
    <r>
      <rPr>
        <vertAlign val="superscript"/>
        <sz val="10"/>
        <rFont val="Calibri"/>
        <family val="2"/>
        <scheme val="minor"/>
      </rPr>
      <t xml:space="preserve">3 </t>
    </r>
    <r>
      <rPr>
        <sz val="10"/>
        <rFont val="Calibri"/>
        <family val="2"/>
        <scheme val="minor"/>
      </rPr>
      <t>See Data Dictionary for grade descriptions.</t>
    </r>
  </si>
  <si>
    <r>
      <rPr>
        <vertAlign val="superscript"/>
        <sz val="10"/>
        <rFont val="Calibri"/>
        <family val="2"/>
        <scheme val="minor"/>
      </rPr>
      <t>4</t>
    </r>
    <r>
      <rPr>
        <sz val="10"/>
        <rFont val="Calibri"/>
        <family val="2"/>
        <scheme val="minor"/>
      </rPr>
      <t xml:space="preserve"> See Explanatory Notes for participant type descriptions.</t>
    </r>
  </si>
  <si>
    <t>14e. Transaction Ticket Volume - Notes</t>
  </si>
  <si>
    <t>14a. Transaction Ticket Volume - Product Type - Cleared Status</t>
  </si>
  <si>
    <t>13a. Gross Notional Outstanding - Product Type - Cleared Status</t>
  </si>
  <si>
    <t>14b. Transaction Ticket Volume - Product Type - Grade</t>
  </si>
  <si>
    <t>14c. Transaction Ticket Volume - Product Type - Participant Type - Cleared Status</t>
  </si>
  <si>
    <t>14d. Transaction Ticket Volume - Product Type - Participant Type - Grade</t>
  </si>
  <si>
    <t>15e. Transaction Dollar Volume - Notes</t>
  </si>
  <si>
    <t>15a. Transaction Dollar Volume - Product Type - Cleared Status</t>
  </si>
  <si>
    <t>15b. Transaction Dollar Volume - Product Type - Grade</t>
  </si>
  <si>
    <t>15c. Transaction Dollar Volume - Product Type - Participant Type - Cleared Status</t>
  </si>
  <si>
    <t>15d. Transaction Dollar Volume - Product Type - Participant Type - Grade</t>
  </si>
  <si>
    <t>North America/Asia</t>
  </si>
  <si>
    <t>Product*</t>
  </si>
  <si>
    <t>Total Equity**</t>
  </si>
  <si>
    <t>Portfolio Swaps</t>
  </si>
  <si>
    <t>Forwards</t>
  </si>
  <si>
    <t>Variance Swaps</t>
  </si>
  <si>
    <t>**These numbers are estimates.</t>
  </si>
  <si>
    <t>Total***</t>
  </si>
  <si>
    <t>Agricultural</t>
  </si>
  <si>
    <t>Energy</t>
  </si>
  <si>
    <t>Metals</t>
  </si>
  <si>
    <t>OTHER**</t>
  </si>
  <si>
    <t>**OTHER variable includes the following products: Multi-Commodity, Environmental, and Freight.</t>
  </si>
  <si>
    <t xml:space="preserve">***These numbers are estimates. </t>
  </si>
  <si>
    <t>Total**</t>
  </si>
  <si>
    <t>Non-Deliverable Forwards</t>
  </si>
  <si>
    <t>Options</t>
  </si>
  <si>
    <t>Swaps</t>
  </si>
  <si>
    <t xml:space="preserve">**These numbers are estimates. </t>
  </si>
  <si>
    <t xml:space="preserve">  Cleared**</t>
  </si>
  <si>
    <t xml:space="preserve">  Uncleared</t>
  </si>
  <si>
    <t xml:space="preserve">  Cleared</t>
  </si>
  <si>
    <t>0</t>
  </si>
  <si>
    <t>Total FX****</t>
  </si>
  <si>
    <t xml:space="preserve"> N/A </t>
  </si>
  <si>
    <t>Total Equity****</t>
  </si>
  <si>
    <t>Total Other Commodity****</t>
  </si>
  <si>
    <t>Weekly snapshot, gross notional amount outstanding by asset class and cleared status (millions of USD), all products, tenors, and participant types. For cleared swaps, this table reflects only one of the two swaps that results from the clearing process; therefore, the numbers on this table are analogous to the notional value of futures open interest.</t>
  </si>
  <si>
    <t>****These numbers are estimates.</t>
  </si>
  <si>
    <t xml:space="preserve">  SDs and MSPs**</t>
  </si>
  <si>
    <t xml:space="preserve">  SDs and MSPs</t>
  </si>
  <si>
    <t>Weekly snapshot, gross notional amount outstanding by asset class and participant type (millions of USD), all products, origins, currencies, tenors, and participant types, cleared and uncleared. For cleared swaps, the notional value for each of the two resulting swaps is attributed only to the counterparty facing the clearing organization (i.e., the clearing organization’s participation is not displayed). For uncleared swaps, the notional value of the swap is attributed to both swap counterparties. Because this table shows the aggregated notional values of swaps by participant, the totals on this table are twice those displayed on the "Gross Notional Outstanding by Cleared Status" table.</t>
  </si>
  <si>
    <t>Total FX</t>
  </si>
  <si>
    <t>Weekly total, swap ticket volumes by asset class and cleared status (number of new trades), all products, tenors, and participant types. For cleared swaps, this table reflects the creation of only one of the two swaps that results from the clearing process. All price-forming trade events, including new trades, terminations, amendments, and novations, are included in ticket volumes.</t>
  </si>
  <si>
    <t>Weekly total, swap ticket volumes by asset class and participant type (number of new trades), all products and tenors, cleared and uncleared. For cleared swaps, the creation of each of the two resulting swaps is attributed only to the counterparty facing the clearing organization (i.e., the clearing organization’s participation is not displayed). For uncleared swaps, each trade is attributed to both swap counterparties. All price-forming trade events, including new trades, terminations, amendments, and novations, are included in ticket volumes. Because this table shows transactions by participant, the totals on this table are twice those displayed on the "Transaction Ticket Volume by Cleared Status" table.</t>
  </si>
  <si>
    <t>Weekly total, swap dollar volumes by asset class and cleared status (value of all trades in millions of USD), all products, tenors, and participant types.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</si>
  <si>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Weekly total, swap dollar volumes by asset class and participant type (value of all trades in millions of USD), all products and tenors, cleared and uncleared. For cleared swaps, the notional value for each of the two resulting swaps is attributed only to the counterparty facing the clearing organization (i.e., the clearing organization’s participation is not displayed). For uncleared swaps, the notional value of the swap is attributed to both swap counterparties. The notional values of all price-forming trade events, including new trades, terminations, amendments, and novations, are included in dollar volumes. Because this table shows transactions by participant, the totals on this table are twice those displayed on the "Transaction Dollar Volume by Cleared Status" table.</t>
  </si>
  <si>
    <t xml:space="preserve">  Europe/Other</t>
  </si>
  <si>
    <t>January 3</t>
  </si>
  <si>
    <t>January 10</t>
  </si>
  <si>
    <t>January 17</t>
  </si>
  <si>
    <t>January 24</t>
  </si>
  <si>
    <t xml:space="preserve">                            -  </t>
  </si>
  <si>
    <t xml:space="preserve">                   -  </t>
  </si>
  <si>
    <t xml:space="preserve">                       -  </t>
  </si>
  <si>
    <t>Index/Index Tranche</t>
  </si>
  <si>
    <t>Index/OTHER*</t>
  </si>
  <si>
    <t>January 31</t>
  </si>
  <si>
    <t>Gross notional amount outstanding, January 31 weekly snapshot, by product type and cleared status (millions of USD), all participant types, tenors and currencies. For cleared swaps, this table reflects only one of the two swaps that results from the clearing process; therefore, the numbers on this table are analogous to the notional value of futures open interest.</t>
  </si>
  <si>
    <r>
      <t>HY</t>
    </r>
    <r>
      <rPr>
        <b/>
        <vertAlign val="superscript"/>
        <sz val="10"/>
        <rFont val="Calibri"/>
        <family val="2"/>
        <scheme val="minor"/>
      </rPr>
      <t>6</t>
    </r>
  </si>
  <si>
    <r>
      <t>Swap Dealers/MSPs</t>
    </r>
    <r>
      <rPr>
        <b/>
        <vertAlign val="superscript"/>
        <sz val="10"/>
        <rFont val="Calibri"/>
        <family val="2"/>
        <scheme val="minor"/>
      </rPr>
      <t>5</t>
    </r>
  </si>
  <si>
    <t>Gross notional amount outstanding, January 31 weekly snapshot, by participant type, product, and clearing status (millions of USD), all grades. For cleared swaps, this table reflects only one of the two swaps that results from the clearing process; therefore, the numbers on this table are analogous to the notional value of futures open interest.</t>
  </si>
  <si>
    <t>Swap transaction volumes, week ending January 31, by product and clearing status (number of new trades), all participant types, tenors, and currencies. For cleared swaps, this table reflects the creation of only one of the two swaps that results from the clearing process. All price-forming trade events, including new trades, terminations, amendments, and novations, are included in ticket volumes.</t>
  </si>
  <si>
    <t xml:space="preserve">  Europe/North America</t>
  </si>
  <si>
    <t xml:space="preserve"> Swap transaction volumes, week ending January 31, all tenors and currencies. For cleared swaps, this table reflects the creation of only one of the two swaps that results from the clearing process. All price-forming trade events, including new trades, terminations, amendments, and novations, are included in ticket volumes.</t>
  </si>
  <si>
    <t>Swap dollar volumes, week ending January 31, by product type and major currency (notional value of all new trades in millions of USD), all participant types and tenors, cleared and uncleared.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</si>
  <si>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Swap dollar volumes, week ending January 31, by product and clearing status (notional value of new trades in millions of USD), all participant types, tenors, and currencies.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</si>
  <si>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 xml:space="preserve">Gross notional amount outstanding, January 31 weekly snapshot, by product type, all tenors and currencies.  </t>
  </si>
  <si>
    <t xml:space="preserve">Gross notional amount outstanding, January 31 weekly snapshot, by product type, all participant types, tenors and currencies.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</si>
</sst>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
    <numFmt numFmtId="165" formatCode="###,###,###,###,###,###"/>
    <numFmt numFmtId="166" formatCode="_(* #,##0_);_(* \(#,##0\);_(* &quot;-&quot;??_);_(@_)"/>
  </numFmts>
  <fonts count="49" x14ac:knownFonts="1">
    <font>
      <sz val="11"/>
      <color theme="1"/>
      <name val="Calibri"/>
      <family val="2"/>
      <scheme val="minor"/>
    </font>
    <font>
      <b/>
      <sz val="11"/>
      <color theme="1"/>
      <name val="Calibri"/>
      <family val="2"/>
    </font>
    <font>
      <u/>
      <sz val="11"/>
      <color theme="10"/>
      <name val="Calibri"/>
      <family val="2"/>
    </font>
    <font>
      <u/>
      <sz val="11"/>
      <color theme="1"/>
      <name val="Calibri"/>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b/>
      <sz val="10"/>
      <name val="Calibri"/>
      <family val="2"/>
      <scheme val="minor"/>
    </font>
    <font>
      <sz val="11"/>
      <color indexed="8"/>
      <name val="Calibri"/>
      <family val="2"/>
    </font>
    <font>
      <u/>
      <sz val="11"/>
      <color theme="1"/>
      <name val="Calibri"/>
      <family val="2"/>
      <scheme val="minor"/>
    </font>
    <font>
      <b/>
      <sz val="11"/>
      <name val="Calibri"/>
      <family val="2"/>
      <scheme val="minor"/>
    </font>
    <font>
      <b/>
      <sz val="11"/>
      <color rgb="FFFF0000"/>
      <name val="Calibri"/>
      <family val="2"/>
      <scheme val="minor"/>
    </font>
    <font>
      <b/>
      <sz val="10"/>
      <color theme="1"/>
      <name val="Calibri"/>
      <family val="2"/>
      <scheme val="minor"/>
    </font>
    <font>
      <b/>
      <vertAlign val="superscript"/>
      <sz val="10"/>
      <color theme="1"/>
      <name val="Calibri"/>
      <family val="2"/>
      <scheme val="minor"/>
    </font>
    <font>
      <sz val="10"/>
      <color theme="1"/>
      <name val="Calibri"/>
      <family val="2"/>
      <scheme val="minor"/>
    </font>
    <font>
      <b/>
      <vertAlign val="superscript"/>
      <sz val="10"/>
      <name val="Calibri"/>
      <family val="2"/>
      <scheme val="minor"/>
    </font>
    <font>
      <sz val="11"/>
      <color theme="1"/>
      <name val="Calibri"/>
      <family val="2"/>
    </font>
    <font>
      <sz val="11"/>
      <color theme="0"/>
      <name val="Calibri"/>
      <family val="2"/>
    </font>
    <font>
      <sz val="11"/>
      <color rgb="FF9C0006"/>
      <name val="Calibri"/>
      <family val="2"/>
    </font>
    <font>
      <b/>
      <sz val="11"/>
      <color rgb="FFFA7D00"/>
      <name val="Calibri"/>
      <family val="2"/>
    </font>
    <font>
      <b/>
      <sz val="11"/>
      <color theme="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sz val="11"/>
      <color rgb="FFFF0000"/>
      <name val="Calibri"/>
      <family val="2"/>
    </font>
    <font>
      <vertAlign val="superscript"/>
      <sz val="10"/>
      <color theme="1"/>
      <name val="Calibri"/>
      <family val="2"/>
      <scheme val="minor"/>
    </font>
    <font>
      <vertAlign val="superscript"/>
      <sz val="10"/>
      <name val="Calibri"/>
      <family val="2"/>
      <scheme val="minor"/>
    </font>
    <font>
      <sz val="10"/>
      <color theme="1"/>
      <name val="Calibri"/>
      <family val="2"/>
    </font>
  </fonts>
  <fills count="35">
    <fill>
      <patternFill patternType="none"/>
    </fill>
    <fill>
      <patternFill patternType="gray125"/>
    </fill>
    <fill>
      <patternFill patternType="solid">
        <fgColor rgb="FFFFFFFF"/>
        <bgColor indexed="64"/>
      </patternFill>
    </fill>
    <fill>
      <patternFill patternType="solid">
        <fgColor indexed="6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right/>
      <top style="thin">
        <color indexed="64"/>
      </top>
      <bottom/>
      <diagonal/>
    </border>
  </borders>
  <cellStyleXfs count="216">
    <xf numFmtId="0" fontId="0" fillId="0" borderId="0"/>
    <xf numFmtId="0" fontId="2" fillId="0" borderId="0" applyNumberFormat="0" applyFill="0" applyBorder="0" applyAlignment="0" applyProtection="0"/>
    <xf numFmtId="0" fontId="5" fillId="0" borderId="0" applyNumberFormat="0" applyFill="0" applyBorder="0" applyAlignment="0" applyProtection="0"/>
    <xf numFmtId="0" fontId="6" fillId="0" borderId="5" applyNumberFormat="0" applyFill="0" applyAlignment="0" applyProtection="0"/>
    <xf numFmtId="0" fontId="7" fillId="0" borderId="6" applyNumberFormat="0" applyFill="0" applyAlignment="0" applyProtection="0"/>
    <xf numFmtId="0" fontId="8" fillId="0" borderId="7" applyNumberFormat="0" applyFill="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8" applyNumberFormat="0" applyAlignment="0" applyProtection="0"/>
    <xf numFmtId="0" fontId="13" fillId="8" borderId="9" applyNumberFormat="0" applyAlignment="0" applyProtection="0"/>
    <xf numFmtId="0" fontId="14" fillId="8" borderId="8" applyNumberFormat="0" applyAlignment="0" applyProtection="0"/>
    <xf numFmtId="0" fontId="15" fillId="0" borderId="10" applyNumberFormat="0" applyFill="0" applyAlignment="0" applyProtection="0"/>
    <xf numFmtId="0" fontId="16" fillId="9" borderId="11" applyNumberFormat="0" applyAlignment="0" applyProtection="0"/>
    <xf numFmtId="0" fontId="17" fillId="0" borderId="0" applyNumberFormat="0" applyFill="0" applyBorder="0" applyAlignment="0" applyProtection="0"/>
    <xf numFmtId="0" fontId="4" fillId="10" borderId="12" applyNumberFormat="0" applyFont="0" applyAlignment="0" applyProtection="0"/>
    <xf numFmtId="0" fontId="18" fillId="0" borderId="0" applyNumberFormat="0" applyFill="0" applyBorder="0" applyAlignment="0" applyProtection="0"/>
    <xf numFmtId="0" fontId="19" fillId="0" borderId="13" applyNumberFormat="0" applyFill="0" applyAlignment="0" applyProtection="0"/>
    <xf numFmtId="0" fontId="20"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20" fillId="30" borderId="0" applyNumberFormat="0" applyBorder="0" applyAlignment="0" applyProtection="0"/>
    <xf numFmtId="0" fontId="20"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20" fillId="34" borderId="0" applyNumberFormat="0" applyBorder="0" applyAlignment="0" applyProtection="0"/>
    <xf numFmtId="0" fontId="23" fillId="0" borderId="0"/>
    <xf numFmtId="43" fontId="4" fillId="0" borderId="0" applyFont="0" applyFill="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31"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31"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31"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31"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31"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31" fillId="32" borderId="0" applyNumberFormat="0" applyBorder="0" applyAlignment="0" applyProtection="0"/>
    <xf numFmtId="0" fontId="4" fillId="32"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31" fillId="13" borderId="0" applyNumberFormat="0" applyBorder="0" applyAlignment="0" applyProtection="0"/>
    <xf numFmtId="0" fontId="4" fillId="13"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31"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31"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31"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31"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31" fillId="33" borderId="0" applyNumberFormat="0" applyBorder="0" applyAlignment="0" applyProtection="0"/>
    <xf numFmtId="0" fontId="4" fillId="33" borderId="0" applyNumberFormat="0" applyBorder="0" applyAlignment="0" applyProtection="0"/>
    <xf numFmtId="0" fontId="20" fillId="14" borderId="0" applyNumberFormat="0" applyBorder="0" applyAlignment="0" applyProtection="0"/>
    <xf numFmtId="0" fontId="32" fillId="14" borderId="0" applyNumberFormat="0" applyBorder="0" applyAlignment="0" applyProtection="0"/>
    <xf numFmtId="0" fontId="20" fillId="18" borderId="0" applyNumberFormat="0" applyBorder="0" applyAlignment="0" applyProtection="0"/>
    <xf numFmtId="0" fontId="32" fillId="18" borderId="0" applyNumberFormat="0" applyBorder="0" applyAlignment="0" applyProtection="0"/>
    <xf numFmtId="0" fontId="20" fillId="22" borderId="0" applyNumberFormat="0" applyBorder="0" applyAlignment="0" applyProtection="0"/>
    <xf numFmtId="0" fontId="32" fillId="22" borderId="0" applyNumberFormat="0" applyBorder="0" applyAlignment="0" applyProtection="0"/>
    <xf numFmtId="0" fontId="20" fillId="26" borderId="0" applyNumberFormat="0" applyBorder="0" applyAlignment="0" applyProtection="0"/>
    <xf numFmtId="0" fontId="32" fillId="26" borderId="0" applyNumberFormat="0" applyBorder="0" applyAlignment="0" applyProtection="0"/>
    <xf numFmtId="0" fontId="20" fillId="30" borderId="0" applyNumberFormat="0" applyBorder="0" applyAlignment="0" applyProtection="0"/>
    <xf numFmtId="0" fontId="32" fillId="30" borderId="0" applyNumberFormat="0" applyBorder="0" applyAlignment="0" applyProtection="0"/>
    <xf numFmtId="0" fontId="20" fillId="34" borderId="0" applyNumberFormat="0" applyBorder="0" applyAlignment="0" applyProtection="0"/>
    <xf numFmtId="0" fontId="32" fillId="34" borderId="0" applyNumberFormat="0" applyBorder="0" applyAlignment="0" applyProtection="0"/>
    <xf numFmtId="0" fontId="20" fillId="11" borderId="0" applyNumberFormat="0" applyBorder="0" applyAlignment="0" applyProtection="0"/>
    <xf numFmtId="0" fontId="32" fillId="11" borderId="0" applyNumberFormat="0" applyBorder="0" applyAlignment="0" applyProtection="0"/>
    <xf numFmtId="0" fontId="20" fillId="15" borderId="0" applyNumberFormat="0" applyBorder="0" applyAlignment="0" applyProtection="0"/>
    <xf numFmtId="0" fontId="32" fillId="15" borderId="0" applyNumberFormat="0" applyBorder="0" applyAlignment="0" applyProtection="0"/>
    <xf numFmtId="0" fontId="20" fillId="19" borderId="0" applyNumberFormat="0" applyBorder="0" applyAlignment="0" applyProtection="0"/>
    <xf numFmtId="0" fontId="32" fillId="19" borderId="0" applyNumberFormat="0" applyBorder="0" applyAlignment="0" applyProtection="0"/>
    <xf numFmtId="0" fontId="20" fillId="23" borderId="0" applyNumberFormat="0" applyBorder="0" applyAlignment="0" applyProtection="0"/>
    <xf numFmtId="0" fontId="32" fillId="23" borderId="0" applyNumberFormat="0" applyBorder="0" applyAlignment="0" applyProtection="0"/>
    <xf numFmtId="0" fontId="20" fillId="27" borderId="0" applyNumberFormat="0" applyBorder="0" applyAlignment="0" applyProtection="0"/>
    <xf numFmtId="0" fontId="32" fillId="27" borderId="0" applyNumberFormat="0" applyBorder="0" applyAlignment="0" applyProtection="0"/>
    <xf numFmtId="0" fontId="20" fillId="31" borderId="0" applyNumberFormat="0" applyBorder="0" applyAlignment="0" applyProtection="0"/>
    <xf numFmtId="0" fontId="32" fillId="31" borderId="0" applyNumberFormat="0" applyBorder="0" applyAlignment="0" applyProtection="0"/>
    <xf numFmtId="0" fontId="10" fillId="5" borderId="0" applyNumberFormat="0" applyBorder="0" applyAlignment="0" applyProtection="0"/>
    <xf numFmtId="0" fontId="33" fillId="5" borderId="0" applyNumberFormat="0" applyBorder="0" applyAlignment="0" applyProtection="0"/>
    <xf numFmtId="0" fontId="14" fillId="8" borderId="8" applyNumberFormat="0" applyAlignment="0" applyProtection="0"/>
    <xf numFmtId="0" fontId="34" fillId="8" borderId="8" applyNumberFormat="0" applyAlignment="0" applyProtection="0"/>
    <xf numFmtId="0" fontId="16" fillId="9" borderId="11" applyNumberFormat="0" applyAlignment="0" applyProtection="0"/>
    <xf numFmtId="0" fontId="35" fillId="9" borderId="11" applyNumberFormat="0" applyAlignment="0" applyProtection="0"/>
    <xf numFmtId="0" fontId="18" fillId="0" borderId="0" applyNumberFormat="0" applyFill="0" applyBorder="0" applyAlignment="0" applyProtection="0"/>
    <xf numFmtId="0" fontId="36" fillId="0" borderId="0" applyNumberFormat="0" applyFill="0" applyBorder="0" applyAlignment="0" applyProtection="0"/>
    <xf numFmtId="0" fontId="9" fillId="4" borderId="0" applyNumberFormat="0" applyBorder="0" applyAlignment="0" applyProtection="0"/>
    <xf numFmtId="0" fontId="37" fillId="4" borderId="0" applyNumberFormat="0" applyBorder="0" applyAlignment="0" applyProtection="0"/>
    <xf numFmtId="0" fontId="6" fillId="0" borderId="5" applyNumberFormat="0" applyFill="0" applyAlignment="0" applyProtection="0"/>
    <xf numFmtId="0" fontId="38" fillId="0" borderId="5" applyNumberFormat="0" applyFill="0" applyAlignment="0" applyProtection="0"/>
    <xf numFmtId="0" fontId="7" fillId="0" borderId="6" applyNumberFormat="0" applyFill="0" applyAlignment="0" applyProtection="0"/>
    <xf numFmtId="0" fontId="39" fillId="0" borderId="6" applyNumberFormat="0" applyFill="0" applyAlignment="0" applyProtection="0"/>
    <xf numFmtId="0" fontId="8" fillId="0" borderId="7" applyNumberFormat="0" applyFill="0" applyAlignment="0" applyProtection="0"/>
    <xf numFmtId="0" fontId="40" fillId="0" borderId="7" applyNumberFormat="0" applyFill="0" applyAlignment="0" applyProtection="0"/>
    <xf numFmtId="0" fontId="8" fillId="0" borderId="0" applyNumberFormat="0" applyFill="0" applyBorder="0" applyAlignment="0" applyProtection="0"/>
    <xf numFmtId="0" fontId="40" fillId="0" borderId="0" applyNumberFormat="0" applyFill="0" applyBorder="0" applyAlignment="0" applyProtection="0"/>
    <xf numFmtId="0" fontId="12" fillId="7" borderId="8" applyNumberFormat="0" applyAlignment="0" applyProtection="0"/>
    <xf numFmtId="0" fontId="41" fillId="7" borderId="8" applyNumberFormat="0" applyAlignment="0" applyProtection="0"/>
    <xf numFmtId="0" fontId="15" fillId="0" borderId="10" applyNumberFormat="0" applyFill="0" applyAlignment="0" applyProtection="0"/>
    <xf numFmtId="0" fontId="42" fillId="0" borderId="10" applyNumberFormat="0" applyFill="0" applyAlignment="0" applyProtection="0"/>
    <xf numFmtId="0" fontId="11" fillId="6" borderId="0" applyNumberFormat="0" applyBorder="0" applyAlignment="0" applyProtection="0"/>
    <xf numFmtId="0" fontId="43" fillId="6" borderId="0" applyNumberFormat="0" applyBorder="0" applyAlignment="0" applyProtection="0"/>
    <xf numFmtId="0" fontId="31" fillId="0" borderId="0"/>
    <xf numFmtId="0" fontId="4" fillId="0" borderId="0"/>
    <xf numFmtId="0" fontId="4" fillId="0" borderId="0"/>
    <xf numFmtId="0" fontId="4" fillId="0" borderId="0"/>
    <xf numFmtId="0" fontId="4" fillId="0" borderId="0"/>
    <xf numFmtId="0" fontId="31" fillId="0" borderId="0"/>
    <xf numFmtId="0" fontId="4" fillId="0" borderId="0"/>
    <xf numFmtId="0" fontId="4" fillId="0" borderId="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31" fillId="10" borderId="12" applyNumberFormat="0" applyFont="0" applyAlignment="0" applyProtection="0"/>
    <xf numFmtId="0" fontId="4" fillId="10" borderId="12" applyNumberFormat="0" applyFont="0" applyAlignment="0" applyProtection="0"/>
    <xf numFmtId="0" fontId="13" fillId="8" borderId="9" applyNumberFormat="0" applyAlignment="0" applyProtection="0"/>
    <xf numFmtId="0" fontId="44" fillId="8" borderId="9" applyNumberFormat="0" applyAlignment="0" applyProtection="0"/>
    <xf numFmtId="0" fontId="19" fillId="0" borderId="13" applyNumberFormat="0" applyFill="0" applyAlignment="0" applyProtection="0"/>
    <xf numFmtId="0" fontId="1" fillId="0" borderId="13" applyNumberFormat="0" applyFill="0" applyAlignment="0" applyProtection="0"/>
    <xf numFmtId="0" fontId="17" fillId="0" borderId="0" applyNumberFormat="0" applyFill="0" applyBorder="0" applyAlignment="0" applyProtection="0"/>
    <xf numFmtId="0" fontId="45" fillId="0" borderId="0" applyNumberFormat="0" applyFill="0" applyBorder="0" applyAlignment="0" applyProtection="0"/>
    <xf numFmtId="0" fontId="31" fillId="12" borderId="0" applyNumberFormat="0" applyBorder="0" applyAlignment="0" applyProtection="0"/>
    <xf numFmtId="0" fontId="31" fillId="16" borderId="0" applyNumberFormat="0" applyBorder="0" applyAlignment="0" applyProtection="0"/>
    <xf numFmtId="0" fontId="31" fillId="20" borderId="0" applyNumberFormat="0" applyBorder="0" applyAlignment="0" applyProtection="0"/>
    <xf numFmtId="0" fontId="31" fillId="24" borderId="0" applyNumberFormat="0" applyBorder="0" applyAlignment="0" applyProtection="0"/>
    <xf numFmtId="0" fontId="31" fillId="28" borderId="0" applyNumberFormat="0" applyBorder="0" applyAlignment="0" applyProtection="0"/>
    <xf numFmtId="0" fontId="31" fillId="32" borderId="0" applyNumberFormat="0" applyBorder="0" applyAlignment="0" applyProtection="0"/>
    <xf numFmtId="0" fontId="31" fillId="13" borderId="0" applyNumberFormat="0" applyBorder="0" applyAlignment="0" applyProtection="0"/>
    <xf numFmtId="0" fontId="31" fillId="17" borderId="0" applyNumberFormat="0" applyBorder="0" applyAlignment="0" applyProtection="0"/>
    <xf numFmtId="0" fontId="31" fillId="21" borderId="0" applyNumberFormat="0" applyBorder="0" applyAlignment="0" applyProtection="0"/>
    <xf numFmtId="0" fontId="31" fillId="25" borderId="0" applyNumberFormat="0" applyBorder="0" applyAlignment="0" applyProtection="0"/>
    <xf numFmtId="0" fontId="31" fillId="29" borderId="0" applyNumberFormat="0" applyBorder="0" applyAlignment="0" applyProtection="0"/>
    <xf numFmtId="0" fontId="31" fillId="33" borderId="0" applyNumberFormat="0" applyBorder="0" applyAlignment="0" applyProtection="0"/>
    <xf numFmtId="0" fontId="4" fillId="0" borderId="0"/>
    <xf numFmtId="0" fontId="31" fillId="0" borderId="0"/>
    <xf numFmtId="0" fontId="31" fillId="10" borderId="12" applyNumberFormat="0" applyFont="0" applyAlignment="0" applyProtection="0"/>
    <xf numFmtId="0" fontId="4" fillId="0" borderId="0"/>
    <xf numFmtId="0" fontId="23" fillId="0" borderId="0"/>
    <xf numFmtId="0" fontId="23" fillId="0" borderId="0"/>
  </cellStyleXfs>
  <cellXfs count="131">
    <xf numFmtId="0" fontId="0" fillId="0" borderId="0" xfId="0"/>
    <xf numFmtId="0" fontId="1" fillId="0" borderId="0" xfId="0" applyFont="1"/>
    <xf numFmtId="0" fontId="2" fillId="0" borderId="0" xfId="1"/>
    <xf numFmtId="0" fontId="3" fillId="0" borderId="0" xfId="0" applyFont="1"/>
    <xf numFmtId="164" fontId="22" fillId="2" borderId="1" xfId="0" applyNumberFormat="1" applyFont="1" applyFill="1" applyBorder="1" applyAlignment="1" applyProtection="1">
      <alignment horizontal="left" wrapText="1"/>
    </xf>
    <xf numFmtId="0" fontId="0" fillId="3" borderId="0" xfId="0" applyNumberFormat="1" applyFont="1" applyFill="1" applyBorder="1" applyAlignment="1" applyProtection="1"/>
    <xf numFmtId="0" fontId="22" fillId="2" borderId="14" xfId="0" applyNumberFormat="1" applyFont="1" applyFill="1" applyBorder="1" applyAlignment="1" applyProtection="1">
      <alignment horizontal="left" vertical="center" wrapText="1"/>
    </xf>
    <xf numFmtId="164" fontId="22" fillId="2" borderId="2" xfId="0" applyNumberFormat="1" applyFont="1" applyFill="1" applyBorder="1" applyAlignment="1" applyProtection="1">
      <alignment horizontal="center" wrapText="1"/>
    </xf>
    <xf numFmtId="165" fontId="22" fillId="2" borderId="1" xfId="0" applyNumberFormat="1" applyFont="1" applyFill="1" applyBorder="1" applyAlignment="1" applyProtection="1">
      <alignment horizontal="center" wrapText="1"/>
    </xf>
    <xf numFmtId="0" fontId="21" fillId="2" borderId="1" xfId="0" applyNumberFormat="1" applyFont="1" applyFill="1" applyBorder="1" applyAlignment="1" applyProtection="1">
      <alignment horizontal="left" vertical="center" wrapText="1"/>
    </xf>
    <xf numFmtId="0" fontId="22" fillId="2" borderId="1" xfId="0" applyNumberFormat="1" applyFont="1" applyFill="1" applyBorder="1" applyAlignment="1" applyProtection="1">
      <alignment horizontal="left" wrapText="1"/>
    </xf>
    <xf numFmtId="0" fontId="21" fillId="2" borderId="1" xfId="0" applyNumberFormat="1" applyFont="1" applyFill="1" applyBorder="1" applyAlignment="1" applyProtection="1">
      <alignment horizontal="left" wrapText="1"/>
    </xf>
    <xf numFmtId="0" fontId="24" fillId="0" borderId="0" xfId="0" applyFont="1"/>
    <xf numFmtId="0" fontId="19" fillId="0" borderId="0" xfId="0" applyFont="1"/>
    <xf numFmtId="14" fontId="25" fillId="0" borderId="0" xfId="0" applyNumberFormat="1" applyFont="1"/>
    <xf numFmtId="14" fontId="19" fillId="0" borderId="0" xfId="0" applyNumberFormat="1" applyFont="1"/>
    <xf numFmtId="14" fontId="26" fillId="0" borderId="0" xfId="0" applyNumberFormat="1" applyFont="1"/>
    <xf numFmtId="0" fontId="29" fillId="0" borderId="1" xfId="0" applyFont="1" applyFill="1" applyBorder="1" applyAlignment="1">
      <alignment vertical="center"/>
    </xf>
    <xf numFmtId="0" fontId="29" fillId="0" borderId="1" xfId="0" applyFont="1" applyBorder="1" applyAlignment="1">
      <alignment vertical="center"/>
    </xf>
    <xf numFmtId="0" fontId="29" fillId="0" borderId="14" xfId="0" applyFont="1" applyBorder="1" applyAlignment="1">
      <alignment vertical="center"/>
    </xf>
    <xf numFmtId="0" fontId="27" fillId="0" borderId="14" xfId="0" applyFont="1" applyBorder="1" applyAlignment="1">
      <alignment vertical="center"/>
    </xf>
    <xf numFmtId="166" fontId="0" fillId="0" borderId="0" xfId="0" applyNumberFormat="1"/>
    <xf numFmtId="0" fontId="27" fillId="0" borderId="1" xfId="0" applyFont="1" applyBorder="1" applyAlignment="1">
      <alignment vertical="center"/>
    </xf>
    <xf numFmtId="0" fontId="0" fillId="0" borderId="1" xfId="0" applyBorder="1"/>
    <xf numFmtId="0" fontId="27" fillId="0" borderId="1" xfId="0" applyFont="1" applyFill="1" applyBorder="1" applyAlignment="1">
      <alignment horizontal="center" vertical="center"/>
    </xf>
    <xf numFmtId="0" fontId="27" fillId="0" borderId="1" xfId="0" applyFont="1" applyFill="1" applyBorder="1" applyAlignment="1">
      <alignment vertical="center"/>
    </xf>
    <xf numFmtId="0" fontId="29" fillId="0" borderId="1" xfId="0" applyFont="1" applyBorder="1" applyAlignment="1">
      <alignment horizontal="left" vertical="center"/>
    </xf>
    <xf numFmtId="0" fontId="29" fillId="0" borderId="16" xfId="0" applyFont="1" applyBorder="1" applyAlignment="1">
      <alignment vertical="center"/>
    </xf>
    <xf numFmtId="166" fontId="29" fillId="0" borderId="16" xfId="44" applyNumberFormat="1" applyFont="1" applyBorder="1" applyAlignment="1">
      <alignment horizontal="right"/>
    </xf>
    <xf numFmtId="166" fontId="27" fillId="0" borderId="16" xfId="44" applyNumberFormat="1" applyFont="1" applyBorder="1" applyAlignment="1">
      <alignment horizontal="right"/>
    </xf>
    <xf numFmtId="0" fontId="27" fillId="0" borderId="16" xfId="0" applyFont="1" applyBorder="1" applyAlignment="1">
      <alignment vertical="center"/>
    </xf>
    <xf numFmtId="166" fontId="29" fillId="0" borderId="16" xfId="44" applyNumberFormat="1" applyFont="1" applyBorder="1"/>
    <xf numFmtId="166" fontId="27" fillId="0" borderId="16" xfId="44" applyNumberFormat="1" applyFont="1" applyBorder="1"/>
    <xf numFmtId="166" fontId="0" fillId="3" borderId="0" xfId="0" applyNumberFormat="1" applyFont="1" applyFill="1" applyBorder="1" applyAlignment="1" applyProtection="1"/>
    <xf numFmtId="0" fontId="19" fillId="3" borderId="0" xfId="0" applyNumberFormat="1" applyFont="1" applyFill="1" applyBorder="1" applyAlignment="1" applyProtection="1"/>
    <xf numFmtId="0" fontId="0" fillId="3" borderId="17" xfId="0" applyNumberFormat="1" applyFont="1" applyFill="1" applyBorder="1" applyAlignment="1" applyProtection="1"/>
    <xf numFmtId="0" fontId="27" fillId="0" borderId="1" xfId="0" applyFont="1" applyBorder="1"/>
    <xf numFmtId="11" fontId="0" fillId="3" borderId="0" xfId="0" applyNumberFormat="1" applyFont="1" applyFill="1" applyBorder="1" applyAlignment="1" applyProtection="1"/>
    <xf numFmtId="0" fontId="21" fillId="3" borderId="0" xfId="177" applyNumberFormat="1" applyFont="1" applyFill="1" applyBorder="1" applyAlignment="1" applyProtection="1"/>
    <xf numFmtId="0" fontId="31" fillId="3" borderId="0" xfId="177" applyNumberFormat="1" applyFont="1" applyFill="1" applyBorder="1" applyAlignment="1" applyProtection="1"/>
    <xf numFmtId="0" fontId="26" fillId="0" borderId="0" xfId="0" applyFont="1" applyAlignment="1">
      <alignment vertical="center"/>
    </xf>
    <xf numFmtId="164" fontId="22" fillId="2" borderId="1" xfId="0" applyNumberFormat="1" applyFont="1" applyFill="1" applyBorder="1" applyAlignment="1" applyProtection="1">
      <alignment horizontal="center" vertical="center" wrapText="1"/>
    </xf>
    <xf numFmtId="164" fontId="22" fillId="2" borderId="1" xfId="0" applyNumberFormat="1" applyFont="1" applyFill="1" applyBorder="1" applyAlignment="1" applyProtection="1">
      <alignment horizontal="center" wrapText="1"/>
    </xf>
    <xf numFmtId="0" fontId="0" fillId="3" borderId="0" xfId="0" applyNumberFormat="1" applyFont="1" applyFill="1" applyBorder="1" applyAlignment="1" applyProtection="1"/>
    <xf numFmtId="0" fontId="0" fillId="3" borderId="0" xfId="0" applyNumberFormat="1" applyFont="1" applyFill="1" applyBorder="1" applyAlignment="1" applyProtection="1"/>
    <xf numFmtId="0" fontId="27" fillId="0" borderId="1" xfId="0" applyFont="1" applyBorder="1" applyAlignment="1">
      <alignment horizontal="center" vertical="center"/>
    </xf>
    <xf numFmtId="0" fontId="22" fillId="2" borderId="1" xfId="0" applyNumberFormat="1" applyFont="1" applyFill="1" applyBorder="1" applyAlignment="1" applyProtection="1">
      <alignment horizontal="center" vertical="center" wrapText="1"/>
    </xf>
    <xf numFmtId="0" fontId="22" fillId="2" borderId="1" xfId="0" applyNumberFormat="1" applyFont="1" applyFill="1" applyBorder="1" applyAlignment="1" applyProtection="1">
      <alignment horizontal="center" wrapText="1"/>
    </xf>
    <xf numFmtId="166" fontId="22" fillId="0" borderId="1" xfId="44" applyNumberFormat="1" applyFont="1" applyFill="1" applyBorder="1" applyAlignment="1" applyProtection="1">
      <alignment horizontal="right" vertical="center" wrapText="1"/>
    </xf>
    <xf numFmtId="49" fontId="21" fillId="0" borderId="1" xfId="44" applyNumberFormat="1" applyFont="1" applyFill="1" applyBorder="1" applyAlignment="1" applyProtection="1">
      <alignment horizontal="right" vertical="center" wrapText="1"/>
    </xf>
    <xf numFmtId="166" fontId="22" fillId="0" borderId="1" xfId="44" applyNumberFormat="1" applyFont="1" applyFill="1" applyBorder="1" applyAlignment="1" applyProtection="1">
      <alignment horizontal="right" wrapText="1"/>
    </xf>
    <xf numFmtId="166" fontId="27" fillId="3" borderId="1" xfId="44" applyNumberFormat="1" applyFont="1" applyFill="1" applyBorder="1" applyAlignment="1" applyProtection="1"/>
    <xf numFmtId="0" fontId="22" fillId="0" borderId="1" xfId="179" applyNumberFormat="1" applyFont="1" applyFill="1" applyBorder="1" applyAlignment="1" applyProtection="1">
      <alignment horizontal="left" vertical="center" wrapText="1"/>
    </xf>
    <xf numFmtId="164" fontId="21" fillId="0" borderId="1" xfId="179" applyNumberFormat="1" applyFont="1" applyFill="1" applyBorder="1" applyAlignment="1" applyProtection="1">
      <alignment horizontal="right" vertical="center" wrapText="1"/>
    </xf>
    <xf numFmtId="49" fontId="21" fillId="0" borderId="1" xfId="179" applyNumberFormat="1" applyFont="1" applyFill="1" applyBorder="1" applyAlignment="1" applyProtection="1">
      <alignment horizontal="right" vertical="center" wrapText="1"/>
    </xf>
    <xf numFmtId="164" fontId="22" fillId="0" borderId="1" xfId="179" applyNumberFormat="1" applyFont="1" applyFill="1" applyBorder="1" applyAlignment="1" applyProtection="1">
      <alignment horizontal="right" vertical="center" wrapText="1"/>
    </xf>
    <xf numFmtId="166" fontId="21" fillId="0" borderId="1" xfId="44" applyNumberFormat="1" applyFont="1" applyFill="1" applyBorder="1" applyAlignment="1" applyProtection="1">
      <alignment horizontal="right" vertical="center" wrapText="1"/>
    </xf>
    <xf numFmtId="49" fontId="21" fillId="0" borderId="1" xfId="177" applyNumberFormat="1" applyFont="1" applyFill="1" applyBorder="1" applyAlignment="1" applyProtection="1">
      <alignment horizontal="right" vertical="center" wrapText="1"/>
    </xf>
    <xf numFmtId="166" fontId="27" fillId="0" borderId="1" xfId="44" applyNumberFormat="1" applyFont="1" applyBorder="1" applyAlignment="1">
      <alignment horizontal="right"/>
    </xf>
    <xf numFmtId="166" fontId="27" fillId="0" borderId="1" xfId="0" applyNumberFormat="1" applyFont="1" applyBorder="1" applyAlignment="1">
      <alignment vertical="center"/>
    </xf>
    <xf numFmtId="166" fontId="29" fillId="0" borderId="1" xfId="44" applyNumberFormat="1" applyFont="1" applyBorder="1" applyAlignment="1">
      <alignment horizontal="right"/>
    </xf>
    <xf numFmtId="166" fontId="29" fillId="0" borderId="1" xfId="44" applyNumberFormat="1" applyFont="1" applyBorder="1"/>
    <xf numFmtId="164" fontId="27" fillId="0" borderId="1" xfId="0" applyNumberFormat="1" applyFont="1" applyBorder="1"/>
    <xf numFmtId="166" fontId="29" fillId="0" borderId="1" xfId="44" applyNumberFormat="1" applyFont="1" applyBorder="1" applyAlignment="1">
      <alignment horizontal="right" vertical="center"/>
    </xf>
    <xf numFmtId="166" fontId="29" fillId="0" borderId="1" xfId="44" applyNumberFormat="1" applyFont="1" applyBorder="1" applyAlignment="1">
      <alignment vertical="center"/>
    </xf>
    <xf numFmtId="166" fontId="29" fillId="0" borderId="1" xfId="44" applyNumberFormat="1" applyFont="1" applyFill="1" applyBorder="1" applyAlignment="1">
      <alignment vertical="center"/>
    </xf>
    <xf numFmtId="0" fontId="22" fillId="2" borderId="1" xfId="0" applyNumberFormat="1" applyFont="1" applyFill="1" applyBorder="1" applyAlignment="1" applyProtection="1">
      <alignment horizontal="left" vertical="center" wrapText="1"/>
    </xf>
    <xf numFmtId="164" fontId="22" fillId="2" borderId="1" xfId="0" applyNumberFormat="1" applyFont="1" applyFill="1" applyBorder="1" applyAlignment="1" applyProtection="1">
      <alignment horizontal="left" vertical="center" wrapText="1"/>
    </xf>
    <xf numFmtId="166" fontId="27" fillId="0" borderId="1" xfId="44" applyNumberFormat="1" applyFont="1" applyBorder="1" applyAlignment="1">
      <alignment vertical="center"/>
    </xf>
    <xf numFmtId="164" fontId="22" fillId="2" borderId="14" xfId="0" applyNumberFormat="1" applyFont="1" applyFill="1" applyBorder="1" applyAlignment="1" applyProtection="1">
      <alignment horizontal="left" vertical="center" wrapText="1"/>
    </xf>
    <xf numFmtId="166" fontId="27" fillId="0" borderId="1" xfId="44" applyNumberFormat="1" applyFont="1" applyBorder="1" applyAlignment="1">
      <alignment horizontal="right" vertical="center"/>
    </xf>
    <xf numFmtId="0" fontId="22" fillId="0" borderId="1" xfId="177"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center" vertical="center" wrapText="1"/>
    </xf>
    <xf numFmtId="0" fontId="21" fillId="0" borderId="1" xfId="183"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left" vertical="center" wrapText="1"/>
    </xf>
    <xf numFmtId="164" fontId="21" fillId="0" borderId="1" xfId="177" applyNumberFormat="1" applyFont="1" applyFill="1" applyBorder="1" applyAlignment="1" applyProtection="1">
      <alignment horizontal="right" vertical="center" wrapText="1"/>
    </xf>
    <xf numFmtId="164" fontId="22" fillId="0" borderId="1" xfId="177" applyNumberFormat="1" applyFont="1" applyFill="1" applyBorder="1" applyAlignment="1" applyProtection="1">
      <alignment horizontal="right" vertical="center" wrapText="1"/>
    </xf>
    <xf numFmtId="164" fontId="21" fillId="0" borderId="1" xfId="183" applyNumberFormat="1" applyFont="1" applyFill="1" applyBorder="1" applyAlignment="1" applyProtection="1">
      <alignment horizontal="right" vertical="center" wrapText="1"/>
    </xf>
    <xf numFmtId="164" fontId="22" fillId="0" borderId="1" xfId="183" applyNumberFormat="1" applyFont="1" applyFill="1" applyBorder="1" applyAlignment="1" applyProtection="1">
      <alignment horizontal="right" vertical="center" wrapText="1"/>
    </xf>
    <xf numFmtId="49" fontId="22" fillId="0" borderId="1" xfId="183" applyNumberFormat="1" applyFont="1" applyFill="1" applyBorder="1" applyAlignment="1" applyProtection="1">
      <alignment horizontal="center" vertical="center" wrapText="1"/>
    </xf>
    <xf numFmtId="166" fontId="27" fillId="0" borderId="1" xfId="44" applyNumberFormat="1" applyFont="1" applyBorder="1"/>
    <xf numFmtId="166" fontId="0" fillId="0" borderId="1" xfId="44" applyNumberFormat="1" applyFont="1" applyBorder="1"/>
    <xf numFmtId="0" fontId="48" fillId="3" borderId="2" xfId="177" applyNumberFormat="1" applyFont="1" applyFill="1" applyBorder="1" applyAlignment="1" applyProtection="1">
      <alignment horizontal="left" vertical="center" wrapText="1"/>
    </xf>
    <xf numFmtId="0" fontId="48" fillId="3" borderId="4" xfId="177" applyNumberFormat="1" applyFont="1" applyFill="1" applyBorder="1" applyAlignment="1" applyProtection="1">
      <alignment horizontal="left" vertical="center" wrapText="1"/>
    </xf>
    <xf numFmtId="0" fontId="48" fillId="3" borderId="3" xfId="177" applyNumberFormat="1" applyFont="1" applyFill="1" applyBorder="1" applyAlignment="1" applyProtection="1">
      <alignment horizontal="left" vertical="center" wrapText="1"/>
    </xf>
    <xf numFmtId="0" fontId="22" fillId="0" borderId="17" xfId="183" applyNumberFormat="1" applyFont="1" applyFill="1" applyBorder="1" applyAlignment="1" applyProtection="1">
      <alignment horizontal="left" vertical="center" wrapText="1"/>
    </xf>
    <xf numFmtId="0" fontId="0" fillId="0" borderId="17" xfId="0" applyBorder="1" applyAlignment="1">
      <alignment vertical="center" wrapText="1"/>
    </xf>
    <xf numFmtId="0" fontId="21" fillId="0" borderId="15" xfId="183" applyNumberFormat="1" applyFont="1" applyFill="1" applyBorder="1" applyAlignment="1" applyProtection="1">
      <alignment horizontal="left" vertical="center" wrapText="1"/>
    </xf>
    <xf numFmtId="0" fontId="21" fillId="0" borderId="1" xfId="183" applyNumberFormat="1" applyFont="1" applyFill="1" applyBorder="1" applyAlignment="1" applyProtection="1">
      <alignment horizontal="left" vertical="center" wrapText="1"/>
    </xf>
    <xf numFmtId="0" fontId="22" fillId="0" borderId="2" xfId="183" applyNumberFormat="1" applyFont="1" applyFill="1" applyBorder="1" applyAlignment="1" applyProtection="1">
      <alignment horizontal="center" vertical="center" wrapText="1"/>
    </xf>
    <xf numFmtId="0" fontId="22" fillId="0" borderId="4" xfId="183" applyNumberFormat="1" applyFont="1" applyFill="1" applyBorder="1" applyAlignment="1" applyProtection="1">
      <alignment horizontal="center" vertical="center" wrapText="1"/>
    </xf>
    <xf numFmtId="0" fontId="22" fillId="0" borderId="3" xfId="183" applyNumberFormat="1" applyFont="1" applyFill="1" applyBorder="1" applyAlignment="1" applyProtection="1">
      <alignment horizontal="center" vertical="center" wrapText="1"/>
    </xf>
    <xf numFmtId="0" fontId="22" fillId="0" borderId="2" xfId="179" applyNumberFormat="1" applyFont="1" applyFill="1" applyBorder="1" applyAlignment="1" applyProtection="1">
      <alignment horizontal="center" vertical="center" wrapText="1"/>
    </xf>
    <xf numFmtId="0" fontId="22" fillId="0" borderId="4" xfId="179" applyNumberFormat="1" applyFont="1" applyFill="1" applyBorder="1" applyAlignment="1" applyProtection="1">
      <alignment horizontal="center" vertical="center" wrapText="1"/>
    </xf>
    <xf numFmtId="0" fontId="22" fillId="0" borderId="3" xfId="179" applyNumberFormat="1" applyFont="1" applyFill="1" applyBorder="1" applyAlignment="1" applyProtection="1">
      <alignment horizontal="center" vertical="center" wrapText="1"/>
    </xf>
    <xf numFmtId="0" fontId="21" fillId="0" borderId="1" xfId="179" applyNumberFormat="1" applyFont="1" applyFill="1" applyBorder="1" applyAlignment="1" applyProtection="1">
      <alignment horizontal="left" vertical="center" wrapText="1"/>
    </xf>
    <xf numFmtId="0" fontId="21" fillId="0" borderId="1" xfId="177" applyNumberFormat="1" applyFont="1" applyFill="1" applyBorder="1" applyAlignment="1" applyProtection="1">
      <alignment horizontal="left" vertical="center" wrapText="1"/>
    </xf>
    <xf numFmtId="0" fontId="22" fillId="0" borderId="2" xfId="177" applyNumberFormat="1" applyFont="1" applyFill="1" applyBorder="1" applyAlignment="1" applyProtection="1">
      <alignment horizontal="center" vertical="center" wrapText="1"/>
    </xf>
    <xf numFmtId="0" fontId="22" fillId="0" borderId="4" xfId="177" applyNumberFormat="1" applyFont="1" applyFill="1" applyBorder="1" applyAlignment="1" applyProtection="1">
      <alignment horizontal="center" vertical="center" wrapText="1"/>
    </xf>
    <xf numFmtId="0" fontId="22" fillId="0" borderId="3" xfId="177" applyNumberFormat="1" applyFont="1" applyFill="1" applyBorder="1" applyAlignment="1" applyProtection="1">
      <alignment horizontal="center" vertical="center" wrapText="1"/>
    </xf>
    <xf numFmtId="0" fontId="29" fillId="0" borderId="1" xfId="0" applyFont="1" applyBorder="1" applyAlignment="1">
      <alignment horizontal="left" vertical="center" wrapText="1"/>
    </xf>
    <xf numFmtId="0" fontId="21" fillId="3" borderId="1" xfId="0" applyNumberFormat="1" applyFont="1" applyFill="1" applyBorder="1" applyAlignment="1" applyProtection="1">
      <alignment horizontal="left" vertical="center" wrapText="1"/>
    </xf>
    <xf numFmtId="0" fontId="21" fillId="3" borderId="2" xfId="0" applyNumberFormat="1" applyFont="1" applyFill="1" applyBorder="1" applyAlignment="1" applyProtection="1">
      <alignment horizontal="left" vertical="center" wrapText="1"/>
    </xf>
    <xf numFmtId="0" fontId="21" fillId="3" borderId="4" xfId="0" applyNumberFormat="1" applyFont="1" applyFill="1" applyBorder="1" applyAlignment="1" applyProtection="1">
      <alignment horizontal="left" vertical="center" wrapText="1"/>
    </xf>
    <xf numFmtId="0" fontId="21" fillId="3" borderId="3" xfId="0" applyNumberFormat="1" applyFont="1" applyFill="1" applyBorder="1" applyAlignment="1" applyProtection="1">
      <alignment horizontal="left" vertical="center" wrapText="1"/>
    </xf>
    <xf numFmtId="0" fontId="27" fillId="0" borderId="1" xfId="0" applyFont="1" applyBorder="1" applyAlignment="1">
      <alignment horizontal="center"/>
    </xf>
    <xf numFmtId="0" fontId="29" fillId="0" borderId="1" xfId="0" applyFont="1" applyBorder="1" applyAlignment="1">
      <alignment horizontal="left"/>
    </xf>
    <xf numFmtId="0" fontId="0" fillId="0" borderId="1" xfId="0" applyBorder="1" applyAlignment="1">
      <alignment horizontal="left"/>
    </xf>
    <xf numFmtId="0" fontId="27" fillId="0" borderId="1" xfId="0" applyFont="1" applyBorder="1" applyAlignment="1">
      <alignment horizontal="center" vertical="center"/>
    </xf>
    <xf numFmtId="0" fontId="29" fillId="0" borderId="1" xfId="0" applyFont="1" applyFill="1" applyBorder="1" applyAlignment="1">
      <alignment horizontal="left" vertical="center" wrapText="1"/>
    </xf>
    <xf numFmtId="0" fontId="29" fillId="0" borderId="2" xfId="0" applyNumberFormat="1" applyFont="1" applyFill="1" applyBorder="1" applyAlignment="1" applyProtection="1">
      <alignment horizontal="left" vertical="center" wrapText="1"/>
    </xf>
    <xf numFmtId="0" fontId="29" fillId="0" borderId="4" xfId="0" applyNumberFormat="1" applyFont="1" applyFill="1" applyBorder="1" applyAlignment="1" applyProtection="1">
      <alignment horizontal="left" vertical="center" wrapText="1"/>
    </xf>
    <xf numFmtId="0" fontId="29" fillId="0" borderId="3" xfId="0" applyNumberFormat="1" applyFont="1" applyFill="1" applyBorder="1" applyAlignment="1" applyProtection="1">
      <alignment horizontal="left" vertical="center" wrapText="1"/>
    </xf>
    <xf numFmtId="0" fontId="22" fillId="2" borderId="2" xfId="0" applyNumberFormat="1" applyFont="1" applyFill="1" applyBorder="1" applyAlignment="1" applyProtection="1">
      <alignment horizontal="center" vertical="center" wrapText="1"/>
    </xf>
    <xf numFmtId="0" fontId="22" fillId="2" borderId="3" xfId="0" applyNumberFormat="1" applyFont="1" applyFill="1" applyBorder="1" applyAlignment="1" applyProtection="1">
      <alignment horizontal="center" vertical="center" wrapText="1"/>
    </xf>
    <xf numFmtId="0" fontId="22" fillId="2" borderId="1" xfId="0" applyNumberFormat="1" applyFont="1" applyFill="1" applyBorder="1" applyAlignment="1" applyProtection="1">
      <alignment horizontal="center" wrapText="1"/>
    </xf>
    <xf numFmtId="0" fontId="29" fillId="3" borderId="1" xfId="0" applyNumberFormat="1" applyFont="1" applyFill="1" applyBorder="1" applyAlignment="1" applyProtection="1">
      <alignment horizontal="left" vertical="center" wrapText="1"/>
    </xf>
    <xf numFmtId="0" fontId="21" fillId="3" borderId="1" xfId="0" applyNumberFormat="1" applyFont="1" applyFill="1" applyBorder="1" applyAlignment="1" applyProtection="1">
      <alignment horizontal="left" wrapText="1"/>
    </xf>
    <xf numFmtId="0" fontId="22" fillId="2" borderId="1" xfId="0" applyNumberFormat="1" applyFont="1" applyFill="1" applyBorder="1" applyAlignment="1" applyProtection="1">
      <alignment horizontal="center" vertical="center" wrapText="1"/>
    </xf>
    <xf numFmtId="0" fontId="21" fillId="3" borderId="15" xfId="0" applyNumberFormat="1" applyFont="1" applyFill="1" applyBorder="1" applyAlignment="1" applyProtection="1">
      <alignment horizontal="left" vertical="center" wrapText="1"/>
    </xf>
    <xf numFmtId="0" fontId="21" fillId="3" borderId="2" xfId="0" applyNumberFormat="1" applyFont="1" applyFill="1" applyBorder="1" applyAlignment="1" applyProtection="1">
      <alignment horizontal="left" vertical="top" wrapText="1"/>
    </xf>
    <xf numFmtId="0" fontId="21" fillId="3" borderId="4" xfId="0" applyNumberFormat="1" applyFont="1" applyFill="1" applyBorder="1" applyAlignment="1" applyProtection="1">
      <alignment horizontal="left" vertical="top" wrapText="1"/>
    </xf>
    <xf numFmtId="0" fontId="21" fillId="3" borderId="3" xfId="0" applyNumberFormat="1" applyFont="1" applyFill="1" applyBorder="1" applyAlignment="1" applyProtection="1">
      <alignment horizontal="left" vertical="top" wrapText="1"/>
    </xf>
    <xf numFmtId="0" fontId="29" fillId="0" borderId="2" xfId="0" applyFont="1" applyFill="1" applyBorder="1" applyAlignment="1">
      <alignment horizontal="left" vertical="top" wrapText="1"/>
    </xf>
    <xf numFmtId="0" fontId="29" fillId="0" borderId="4" xfId="0" applyFont="1" applyFill="1" applyBorder="1" applyAlignment="1">
      <alignment horizontal="left" vertical="top" wrapText="1"/>
    </xf>
    <xf numFmtId="0" fontId="29" fillId="0" borderId="3" xfId="0" applyFont="1" applyFill="1" applyBorder="1" applyAlignment="1">
      <alignment horizontal="left" vertical="top" wrapText="1"/>
    </xf>
    <xf numFmtId="0" fontId="29" fillId="0" borderId="2" xfId="0" applyFont="1" applyBorder="1" applyAlignment="1">
      <alignment horizontal="left" vertical="top" wrapText="1"/>
    </xf>
    <xf numFmtId="0" fontId="29" fillId="0" borderId="4" xfId="0" applyFont="1" applyBorder="1" applyAlignment="1">
      <alignment horizontal="left" vertical="top" wrapText="1"/>
    </xf>
    <xf numFmtId="0" fontId="29" fillId="0" borderId="3" xfId="0" applyFont="1" applyBorder="1" applyAlignment="1">
      <alignment horizontal="left" vertical="top" wrapText="1"/>
    </xf>
    <xf numFmtId="0" fontId="21" fillId="3" borderId="1" xfId="0" applyNumberFormat="1" applyFont="1" applyFill="1" applyBorder="1" applyAlignment="1" applyProtection="1">
      <alignment horizontal="left" vertical="top" wrapText="1"/>
    </xf>
    <xf numFmtId="0" fontId="29" fillId="0" borderId="1" xfId="0" applyFont="1" applyBorder="1" applyAlignment="1">
      <alignment horizontal="left" vertical="top" wrapText="1"/>
    </xf>
  </cellXfs>
  <cellStyles count="216">
    <cellStyle name="20% - Accent1" xfId="20" builtinId="30" customBuiltin="1"/>
    <cellStyle name="20% - Accent1 2" xfId="45"/>
    <cellStyle name="20% - Accent1 3" xfId="46"/>
    <cellStyle name="20% - Accent1 4" xfId="47"/>
    <cellStyle name="20% - Accent1 5" xfId="48"/>
    <cellStyle name="20% - Accent1 6" xfId="49"/>
    <cellStyle name="20% - Accent1 7" xfId="50"/>
    <cellStyle name="20% - Accent1 7 2" xfId="51"/>
    <cellStyle name="20% - Accent1 7 3" xfId="198"/>
    <cellStyle name="20% - Accent2" xfId="24" builtinId="34" customBuiltin="1"/>
    <cellStyle name="20% - Accent2 2" xfId="52"/>
    <cellStyle name="20% - Accent2 3" xfId="53"/>
    <cellStyle name="20% - Accent2 4" xfId="54"/>
    <cellStyle name="20% - Accent2 5" xfId="55"/>
    <cellStyle name="20% - Accent2 6" xfId="56"/>
    <cellStyle name="20% - Accent2 7" xfId="57"/>
    <cellStyle name="20% - Accent2 7 2" xfId="58"/>
    <cellStyle name="20% - Accent2 7 3" xfId="199"/>
    <cellStyle name="20% - Accent3" xfId="28" builtinId="38" customBuiltin="1"/>
    <cellStyle name="20% - Accent3 2" xfId="59"/>
    <cellStyle name="20% - Accent3 3" xfId="60"/>
    <cellStyle name="20% - Accent3 4" xfId="61"/>
    <cellStyle name="20% - Accent3 5" xfId="62"/>
    <cellStyle name="20% - Accent3 6" xfId="63"/>
    <cellStyle name="20% - Accent3 7" xfId="64"/>
    <cellStyle name="20% - Accent3 7 2" xfId="65"/>
    <cellStyle name="20% - Accent3 7 3" xfId="200"/>
    <cellStyle name="20% - Accent4" xfId="32" builtinId="42" customBuiltin="1"/>
    <cellStyle name="20% - Accent4 2" xfId="66"/>
    <cellStyle name="20% - Accent4 3" xfId="67"/>
    <cellStyle name="20% - Accent4 4" xfId="68"/>
    <cellStyle name="20% - Accent4 5" xfId="69"/>
    <cellStyle name="20% - Accent4 6" xfId="70"/>
    <cellStyle name="20% - Accent4 7" xfId="71"/>
    <cellStyle name="20% - Accent4 7 2" xfId="72"/>
    <cellStyle name="20% - Accent4 7 3" xfId="201"/>
    <cellStyle name="20% - Accent5" xfId="36" builtinId="46" customBuiltin="1"/>
    <cellStyle name="20% - Accent5 2" xfId="73"/>
    <cellStyle name="20% - Accent5 3" xfId="74"/>
    <cellStyle name="20% - Accent5 4" xfId="75"/>
    <cellStyle name="20% - Accent5 5" xfId="76"/>
    <cellStyle name="20% - Accent5 6" xfId="77"/>
    <cellStyle name="20% - Accent5 7" xfId="78"/>
    <cellStyle name="20% - Accent5 7 2" xfId="79"/>
    <cellStyle name="20% - Accent5 7 3" xfId="202"/>
    <cellStyle name="20% - Accent6" xfId="40" builtinId="50" customBuiltin="1"/>
    <cellStyle name="20% - Accent6 2" xfId="80"/>
    <cellStyle name="20% - Accent6 3" xfId="81"/>
    <cellStyle name="20% - Accent6 4" xfId="82"/>
    <cellStyle name="20% - Accent6 5" xfId="83"/>
    <cellStyle name="20% - Accent6 6" xfId="84"/>
    <cellStyle name="20% - Accent6 7" xfId="85"/>
    <cellStyle name="20% - Accent6 7 2" xfId="86"/>
    <cellStyle name="20% - Accent6 7 3" xfId="203"/>
    <cellStyle name="40% - Accent1" xfId="21" builtinId="31" customBuiltin="1"/>
    <cellStyle name="40% - Accent1 2" xfId="87"/>
    <cellStyle name="40% - Accent1 3" xfId="88"/>
    <cellStyle name="40% - Accent1 4" xfId="89"/>
    <cellStyle name="40% - Accent1 5" xfId="90"/>
    <cellStyle name="40% - Accent1 6" xfId="91"/>
    <cellStyle name="40% - Accent1 7" xfId="92"/>
    <cellStyle name="40% - Accent1 7 2" xfId="93"/>
    <cellStyle name="40% - Accent1 7 3" xfId="204"/>
    <cellStyle name="40% - Accent2" xfId="25" builtinId="35" customBuiltin="1"/>
    <cellStyle name="40% - Accent2 2" xfId="94"/>
    <cellStyle name="40% - Accent2 3" xfId="95"/>
    <cellStyle name="40% - Accent2 4" xfId="96"/>
    <cellStyle name="40% - Accent2 5" xfId="97"/>
    <cellStyle name="40% - Accent2 6" xfId="98"/>
    <cellStyle name="40% - Accent2 7" xfId="99"/>
    <cellStyle name="40% - Accent2 7 2" xfId="100"/>
    <cellStyle name="40% - Accent2 7 3" xfId="205"/>
    <cellStyle name="40% - Accent3" xfId="29" builtinId="39" customBuiltin="1"/>
    <cellStyle name="40% - Accent3 2" xfId="101"/>
    <cellStyle name="40% - Accent3 3" xfId="102"/>
    <cellStyle name="40% - Accent3 4" xfId="103"/>
    <cellStyle name="40% - Accent3 5" xfId="104"/>
    <cellStyle name="40% - Accent3 6" xfId="105"/>
    <cellStyle name="40% - Accent3 7" xfId="106"/>
    <cellStyle name="40% - Accent3 7 2" xfId="107"/>
    <cellStyle name="40% - Accent3 7 3" xfId="206"/>
    <cellStyle name="40% - Accent4" xfId="33" builtinId="43" customBuiltin="1"/>
    <cellStyle name="40% - Accent4 2" xfId="108"/>
    <cellStyle name="40% - Accent4 3" xfId="109"/>
    <cellStyle name="40% - Accent4 4" xfId="110"/>
    <cellStyle name="40% - Accent4 5" xfId="111"/>
    <cellStyle name="40% - Accent4 6" xfId="112"/>
    <cellStyle name="40% - Accent4 7" xfId="113"/>
    <cellStyle name="40% - Accent4 7 2" xfId="114"/>
    <cellStyle name="40% - Accent4 7 3" xfId="207"/>
    <cellStyle name="40% - Accent5" xfId="37" builtinId="47" customBuiltin="1"/>
    <cellStyle name="40% - Accent5 2" xfId="115"/>
    <cellStyle name="40% - Accent5 3" xfId="116"/>
    <cellStyle name="40% - Accent5 4" xfId="117"/>
    <cellStyle name="40% - Accent5 5" xfId="118"/>
    <cellStyle name="40% - Accent5 6" xfId="119"/>
    <cellStyle name="40% - Accent5 7" xfId="120"/>
    <cellStyle name="40% - Accent5 7 2" xfId="121"/>
    <cellStyle name="40% - Accent5 7 3" xfId="208"/>
    <cellStyle name="40% - Accent6" xfId="41" builtinId="51" customBuiltin="1"/>
    <cellStyle name="40% - Accent6 2" xfId="122"/>
    <cellStyle name="40% - Accent6 3" xfId="123"/>
    <cellStyle name="40% - Accent6 4" xfId="124"/>
    <cellStyle name="40% - Accent6 5" xfId="125"/>
    <cellStyle name="40% - Accent6 6" xfId="126"/>
    <cellStyle name="40% - Accent6 7" xfId="127"/>
    <cellStyle name="40% - Accent6 7 2" xfId="128"/>
    <cellStyle name="40% - Accent6 7 3" xfId="209"/>
    <cellStyle name="60% - Accent1" xfId="22" builtinId="32" customBuiltin="1"/>
    <cellStyle name="60% - Accent1 2" xfId="129"/>
    <cellStyle name="60% - Accent1 3" xfId="130"/>
    <cellStyle name="60% - Accent2" xfId="26" builtinId="36" customBuiltin="1"/>
    <cellStyle name="60% - Accent2 2" xfId="131"/>
    <cellStyle name="60% - Accent2 3" xfId="132"/>
    <cellStyle name="60% - Accent3" xfId="30" builtinId="40" customBuiltin="1"/>
    <cellStyle name="60% - Accent3 2" xfId="133"/>
    <cellStyle name="60% - Accent3 3" xfId="134"/>
    <cellStyle name="60% - Accent4" xfId="34" builtinId="44" customBuiltin="1"/>
    <cellStyle name="60% - Accent4 2" xfId="135"/>
    <cellStyle name="60% - Accent4 3" xfId="136"/>
    <cellStyle name="60% - Accent5" xfId="38" builtinId="48" customBuiltin="1"/>
    <cellStyle name="60% - Accent5 2" xfId="137"/>
    <cellStyle name="60% - Accent5 3" xfId="138"/>
    <cellStyle name="60% - Accent6" xfId="42" builtinId="52" customBuiltin="1"/>
    <cellStyle name="60% - Accent6 2" xfId="139"/>
    <cellStyle name="60% - Accent6 3" xfId="140"/>
    <cellStyle name="Accent1" xfId="19" builtinId="29" customBuiltin="1"/>
    <cellStyle name="Accent1 2" xfId="141"/>
    <cellStyle name="Accent1 3" xfId="142"/>
    <cellStyle name="Accent2" xfId="23" builtinId="33" customBuiltin="1"/>
    <cellStyle name="Accent2 2" xfId="143"/>
    <cellStyle name="Accent2 3" xfId="144"/>
    <cellStyle name="Accent3" xfId="27" builtinId="37" customBuiltin="1"/>
    <cellStyle name="Accent3 2" xfId="145"/>
    <cellStyle name="Accent3 3" xfId="146"/>
    <cellStyle name="Accent4" xfId="31" builtinId="41" customBuiltin="1"/>
    <cellStyle name="Accent4 2" xfId="147"/>
    <cellStyle name="Accent4 3" xfId="148"/>
    <cellStyle name="Accent5" xfId="35" builtinId="45" customBuiltin="1"/>
    <cellStyle name="Accent5 2" xfId="149"/>
    <cellStyle name="Accent5 3" xfId="150"/>
    <cellStyle name="Accent6" xfId="39" builtinId="49" customBuiltin="1"/>
    <cellStyle name="Accent6 2" xfId="151"/>
    <cellStyle name="Accent6 3" xfId="152"/>
    <cellStyle name="Bad" xfId="8" builtinId="27" customBuiltin="1"/>
    <cellStyle name="Bad 2" xfId="153"/>
    <cellStyle name="Bad 3" xfId="154"/>
    <cellStyle name="Calculation" xfId="12" builtinId="22" customBuiltin="1"/>
    <cellStyle name="Calculation 2" xfId="155"/>
    <cellStyle name="Calculation 3" xfId="156"/>
    <cellStyle name="Check Cell" xfId="14" builtinId="23" customBuiltin="1"/>
    <cellStyle name="Check Cell 2" xfId="157"/>
    <cellStyle name="Check Cell 3" xfId="158"/>
    <cellStyle name="Comma" xfId="44" builtinId="3"/>
    <cellStyle name="Explanatory Text" xfId="17" builtinId="53" customBuiltin="1"/>
    <cellStyle name="Explanatory Text 2" xfId="159"/>
    <cellStyle name="Explanatory Text 3" xfId="160"/>
    <cellStyle name="Good" xfId="7" builtinId="26" customBuiltin="1"/>
    <cellStyle name="Good 2" xfId="161"/>
    <cellStyle name="Good 3" xfId="162"/>
    <cellStyle name="Heading 1" xfId="3" builtinId="16" customBuiltin="1"/>
    <cellStyle name="Heading 1 2" xfId="163"/>
    <cellStyle name="Heading 1 3" xfId="164"/>
    <cellStyle name="Heading 2" xfId="4" builtinId="17" customBuiltin="1"/>
    <cellStyle name="Heading 2 2" xfId="165"/>
    <cellStyle name="Heading 2 3" xfId="166"/>
    <cellStyle name="Heading 3" xfId="5" builtinId="18" customBuiltin="1"/>
    <cellStyle name="Heading 3 2" xfId="167"/>
    <cellStyle name="Heading 3 3" xfId="168"/>
    <cellStyle name="Heading 4" xfId="6" builtinId="19" customBuiltin="1"/>
    <cellStyle name="Heading 4 2" xfId="169"/>
    <cellStyle name="Heading 4 3" xfId="170"/>
    <cellStyle name="Hyperlink" xfId="1" builtinId="8"/>
    <cellStyle name="Input" xfId="10" builtinId="20" customBuiltin="1"/>
    <cellStyle name="Input 2" xfId="171"/>
    <cellStyle name="Input 3" xfId="172"/>
    <cellStyle name="Linked Cell" xfId="13" builtinId="24" customBuiltin="1"/>
    <cellStyle name="Linked Cell 2" xfId="173"/>
    <cellStyle name="Linked Cell 3" xfId="174"/>
    <cellStyle name="Neutral" xfId="9" builtinId="28" customBuiltin="1"/>
    <cellStyle name="Neutral 2" xfId="175"/>
    <cellStyle name="Neutral 3" xfId="176"/>
    <cellStyle name="Normal" xfId="0" builtinId="0"/>
    <cellStyle name="Normal 2" xfId="43"/>
    <cellStyle name="Normal 2 2" xfId="177"/>
    <cellStyle name="Normal 2 3" xfId="210"/>
    <cellStyle name="Normal 2 3 2" xfId="214"/>
    <cellStyle name="Normal 2 4" xfId="213"/>
    <cellStyle name="Normal 2 4 2" xfId="215"/>
    <cellStyle name="Normal 3" xfId="178"/>
    <cellStyle name="Normal 4" xfId="179"/>
    <cellStyle name="Normal 5" xfId="180"/>
    <cellStyle name="Normal 6" xfId="181"/>
    <cellStyle name="Normal 7" xfId="182"/>
    <cellStyle name="Normal 7 2" xfId="183"/>
    <cellStyle name="Normal 7 3" xfId="211"/>
    <cellStyle name="Normal 9" xfId="184"/>
    <cellStyle name="Note" xfId="16" builtinId="10" customBuiltin="1"/>
    <cellStyle name="Note 2" xfId="185"/>
    <cellStyle name="Note 3" xfId="186"/>
    <cellStyle name="Note 4" xfId="187"/>
    <cellStyle name="Note 5" xfId="188"/>
    <cellStyle name="Note 6" xfId="189"/>
    <cellStyle name="Note 7" xfId="190"/>
    <cellStyle name="Note 7 2" xfId="191"/>
    <cellStyle name="Note 7 3" xfId="212"/>
    <cellStyle name="Output" xfId="11" builtinId="21" customBuiltin="1"/>
    <cellStyle name="Output 2" xfId="192"/>
    <cellStyle name="Output 3" xfId="193"/>
    <cellStyle name="Title" xfId="2" builtinId="15" customBuiltin="1"/>
    <cellStyle name="Total" xfId="18" builtinId="25" customBuiltin="1"/>
    <cellStyle name="Total 2" xfId="194"/>
    <cellStyle name="Total 3" xfId="195"/>
    <cellStyle name="Warning Text" xfId="15" builtinId="11" customBuiltin="1"/>
    <cellStyle name="Warning Text 2" xfId="196"/>
    <cellStyle name="Warning Text 3" xfId="1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4"/>
  <sheetViews>
    <sheetView tabSelected="1" topLeftCell="A58" zoomScale="85" zoomScaleNormal="85" workbookViewId="0">
      <selection activeCell="A66" sqref="A66"/>
    </sheetView>
  </sheetViews>
  <sheetFormatPr defaultRowHeight="15" x14ac:dyDescent="0.25"/>
  <cols>
    <col min="1" max="1" width="22.85546875" customWidth="1"/>
    <col min="2" max="2" width="14.85546875" customWidth="1"/>
    <col min="3" max="3" width="9.85546875" bestFit="1" customWidth="1"/>
    <col min="6" max="6" width="54.5703125" customWidth="1"/>
  </cols>
  <sheetData>
    <row r="1" spans="1:6" x14ac:dyDescent="0.25">
      <c r="A1" s="1" t="s">
        <v>41</v>
      </c>
    </row>
    <row r="3" spans="1:6" x14ac:dyDescent="0.25">
      <c r="A3" s="13" t="s">
        <v>56</v>
      </c>
      <c r="B3" s="14">
        <v>41682</v>
      </c>
      <c r="F3" s="40"/>
    </row>
    <row r="4" spans="1:6" x14ac:dyDescent="0.25">
      <c r="A4" s="15" t="s">
        <v>55</v>
      </c>
      <c r="B4" s="16">
        <v>41670</v>
      </c>
    </row>
    <row r="9" spans="1:6" x14ac:dyDescent="0.25">
      <c r="A9" t="s">
        <v>42</v>
      </c>
    </row>
    <row r="11" spans="1:6" x14ac:dyDescent="0.25">
      <c r="A11" s="1" t="s">
        <v>43</v>
      </c>
    </row>
    <row r="13" spans="1:6" x14ac:dyDescent="0.25">
      <c r="A13" s="2" t="s">
        <v>44</v>
      </c>
    </row>
    <row r="14" spans="1:6" x14ac:dyDescent="0.25">
      <c r="A14" s="2" t="s">
        <v>45</v>
      </c>
    </row>
    <row r="16" spans="1:6" x14ac:dyDescent="0.25">
      <c r="A16" s="2" t="s">
        <v>53</v>
      </c>
    </row>
    <row r="17" spans="1:1" x14ac:dyDescent="0.25">
      <c r="A17" s="2" t="s">
        <v>57</v>
      </c>
    </row>
    <row r="19" spans="1:1" x14ac:dyDescent="0.25">
      <c r="A19" s="2" t="s">
        <v>58</v>
      </c>
    </row>
    <row r="20" spans="1:1" x14ac:dyDescent="0.25">
      <c r="A20" s="2" t="s">
        <v>59</v>
      </c>
    </row>
    <row r="22" spans="1:1" x14ac:dyDescent="0.25">
      <c r="A22" s="1" t="s">
        <v>46</v>
      </c>
    </row>
    <row r="24" spans="1:1" x14ac:dyDescent="0.25">
      <c r="A24" s="3" t="s">
        <v>47</v>
      </c>
    </row>
    <row r="26" spans="1:1" x14ac:dyDescent="0.25">
      <c r="A26" s="2" t="s">
        <v>109</v>
      </c>
    </row>
    <row r="27" spans="1:1" x14ac:dyDescent="0.25">
      <c r="A27" s="2" t="s">
        <v>78</v>
      </c>
    </row>
    <row r="28" spans="1:1" x14ac:dyDescent="0.25">
      <c r="A28" s="2" t="s">
        <v>79</v>
      </c>
    </row>
    <row r="29" spans="1:1" x14ac:dyDescent="0.25">
      <c r="A29" s="2" t="s">
        <v>108</v>
      </c>
    </row>
    <row r="30" spans="1:1" x14ac:dyDescent="0.25">
      <c r="A30" s="2" t="s">
        <v>80</v>
      </c>
    </row>
    <row r="32" spans="1:1" x14ac:dyDescent="0.25">
      <c r="A32" s="2" t="s">
        <v>88</v>
      </c>
    </row>
    <row r="33" spans="1:1" x14ac:dyDescent="0.25">
      <c r="A33" s="2" t="s">
        <v>89</v>
      </c>
    </row>
    <row r="34" spans="1:1" x14ac:dyDescent="0.25">
      <c r="A34" s="2" t="s">
        <v>90</v>
      </c>
    </row>
    <row r="35" spans="1:1" x14ac:dyDescent="0.25">
      <c r="A35" s="2" t="s">
        <v>107</v>
      </c>
    </row>
    <row r="36" spans="1:1" x14ac:dyDescent="0.25">
      <c r="A36" s="2" t="s">
        <v>87</v>
      </c>
    </row>
    <row r="38" spans="1:1" x14ac:dyDescent="0.25">
      <c r="A38" s="2" t="s">
        <v>91</v>
      </c>
    </row>
    <row r="39" spans="1:1" x14ac:dyDescent="0.25">
      <c r="A39" s="2" t="s">
        <v>92</v>
      </c>
    </row>
    <row r="40" spans="1:1" x14ac:dyDescent="0.25">
      <c r="A40" s="2" t="s">
        <v>93</v>
      </c>
    </row>
    <row r="41" spans="1:1" x14ac:dyDescent="0.25">
      <c r="A41" s="2" t="s">
        <v>94</v>
      </c>
    </row>
    <row r="42" spans="1:1" x14ac:dyDescent="0.25">
      <c r="A42" s="2" t="s">
        <v>95</v>
      </c>
    </row>
    <row r="43" spans="1:1" x14ac:dyDescent="0.25">
      <c r="A43" s="2"/>
    </row>
    <row r="44" spans="1:1" x14ac:dyDescent="0.25">
      <c r="A44" s="3" t="s">
        <v>60</v>
      </c>
    </row>
    <row r="46" spans="1:1" x14ac:dyDescent="0.25">
      <c r="A46" s="2" t="s">
        <v>99</v>
      </c>
    </row>
    <row r="47" spans="1:1" x14ac:dyDescent="0.25">
      <c r="A47" s="2" t="s">
        <v>98</v>
      </c>
    </row>
    <row r="48" spans="1:1" x14ac:dyDescent="0.25">
      <c r="A48" s="2" t="s">
        <v>97</v>
      </c>
    </row>
    <row r="49" spans="1:1" x14ac:dyDescent="0.25">
      <c r="A49" s="2" t="s">
        <v>115</v>
      </c>
    </row>
    <row r="50" spans="1:1" x14ac:dyDescent="0.25">
      <c r="A50" s="2" t="s">
        <v>96</v>
      </c>
    </row>
    <row r="52" spans="1:1" x14ac:dyDescent="0.25">
      <c r="A52" s="2" t="s">
        <v>111</v>
      </c>
    </row>
    <row r="53" spans="1:1" x14ac:dyDescent="0.25">
      <c r="A53" s="2" t="s">
        <v>112</v>
      </c>
    </row>
    <row r="54" spans="1:1" x14ac:dyDescent="0.25">
      <c r="A54" s="2" t="s">
        <v>113</v>
      </c>
    </row>
    <row r="55" spans="1:1" x14ac:dyDescent="0.25">
      <c r="A55" s="2" t="s">
        <v>114</v>
      </c>
    </row>
    <row r="56" spans="1:1" x14ac:dyDescent="0.25">
      <c r="A56" s="2" t="s">
        <v>110</v>
      </c>
    </row>
    <row r="58" spans="1:1" x14ac:dyDescent="0.25">
      <c r="A58" s="2" t="s">
        <v>124</v>
      </c>
    </row>
    <row r="59" spans="1:1" x14ac:dyDescent="0.25">
      <c r="A59" s="2" t="s">
        <v>123</v>
      </c>
    </row>
    <row r="60" spans="1:1" x14ac:dyDescent="0.25">
      <c r="A60" s="2" t="s">
        <v>122</v>
      </c>
    </row>
    <row r="61" spans="1:1" x14ac:dyDescent="0.25">
      <c r="A61" s="2" t="s">
        <v>121</v>
      </c>
    </row>
    <row r="62" spans="1:1" x14ac:dyDescent="0.25">
      <c r="A62" s="2" t="s">
        <v>120</v>
      </c>
    </row>
    <row r="64" spans="1:1" x14ac:dyDescent="0.25">
      <c r="A64" s="3" t="s">
        <v>48</v>
      </c>
    </row>
    <row r="66" spans="1:1" x14ac:dyDescent="0.25">
      <c r="A66" s="2" t="s">
        <v>150</v>
      </c>
    </row>
    <row r="67" spans="1:1" x14ac:dyDescent="0.25">
      <c r="A67" s="2" t="s">
        <v>130</v>
      </c>
    </row>
    <row r="68" spans="1:1" x14ac:dyDescent="0.25">
      <c r="A68" s="2" t="s">
        <v>131</v>
      </c>
    </row>
    <row r="69" spans="1:1" x14ac:dyDescent="0.25">
      <c r="A69" s="2" t="s">
        <v>132</v>
      </c>
    </row>
    <row r="70" spans="1:1" x14ac:dyDescent="0.25">
      <c r="A70" s="2" t="s">
        <v>133</v>
      </c>
    </row>
    <row r="72" spans="1:1" x14ac:dyDescent="0.25">
      <c r="A72" s="2" t="s">
        <v>149</v>
      </c>
    </row>
    <row r="73" spans="1:1" x14ac:dyDescent="0.25">
      <c r="A73" s="2" t="s">
        <v>151</v>
      </c>
    </row>
    <row r="74" spans="1:1" x14ac:dyDescent="0.25">
      <c r="A74" s="2" t="s">
        <v>152</v>
      </c>
    </row>
    <row r="75" spans="1:1" x14ac:dyDescent="0.25">
      <c r="A75" s="2" t="s">
        <v>153</v>
      </c>
    </row>
    <row r="76" spans="1:1" x14ac:dyDescent="0.25">
      <c r="A76" s="2" t="s">
        <v>148</v>
      </c>
    </row>
    <row r="78" spans="1:1" x14ac:dyDescent="0.25">
      <c r="A78" s="2" t="s">
        <v>155</v>
      </c>
    </row>
    <row r="79" spans="1:1" x14ac:dyDescent="0.25">
      <c r="A79" s="2" t="s">
        <v>156</v>
      </c>
    </row>
    <row r="80" spans="1:1" x14ac:dyDescent="0.25">
      <c r="A80" s="2" t="s">
        <v>157</v>
      </c>
    </row>
    <row r="81" spans="1:1" x14ac:dyDescent="0.25">
      <c r="A81" s="2" t="s">
        <v>158</v>
      </c>
    </row>
    <row r="82" spans="1:1" x14ac:dyDescent="0.25">
      <c r="A82" s="2" t="s">
        <v>154</v>
      </c>
    </row>
    <row r="84" spans="1:1" x14ac:dyDescent="0.25">
      <c r="A84" s="3" t="s">
        <v>49</v>
      </c>
    </row>
    <row r="86" spans="1:1" x14ac:dyDescent="0.25">
      <c r="A86" s="2" t="s">
        <v>61</v>
      </c>
    </row>
    <row r="88" spans="1:1" x14ac:dyDescent="0.25">
      <c r="A88" s="3" t="s">
        <v>51</v>
      </c>
    </row>
    <row r="90" spans="1:1" x14ac:dyDescent="0.25">
      <c r="A90" s="2" t="s">
        <v>50</v>
      </c>
    </row>
    <row r="92" spans="1:1" x14ac:dyDescent="0.25">
      <c r="A92" s="12" t="s">
        <v>54</v>
      </c>
    </row>
    <row r="94" spans="1:1" x14ac:dyDescent="0.25">
      <c r="A94" s="2" t="s">
        <v>62</v>
      </c>
    </row>
  </sheetData>
  <hyperlinks>
    <hyperlink ref="A13" location="'1'!A1" display="1. Gross Notional Outstanding by Cleared Status"/>
    <hyperlink ref="A14" location="'2'!A1" display="2. Gross Notional Outstanding by Participant Type"/>
    <hyperlink ref="A16" location="'3'!A1" display="3. Transaction Ticket Volume by Cleared Status"/>
    <hyperlink ref="A17" location="'4'!A1" display="4. Transaction Ticket Volume by Participant Type"/>
    <hyperlink ref="A19" location="'5'!A1" display="5. Transaction Dollar Volume by Cleared Status"/>
    <hyperlink ref="A20" location="'6'!A1" display="6. Transaction Dollar Volume by Participant Type"/>
    <hyperlink ref="A26" location="'7a'!A1" display="7a. Gross Notional Outstanding -  Product Type - Cleared Status"/>
    <hyperlink ref="A27" location="'7b'!A1" display="7b. Gross Notional Outstanding - Product Type - Currency"/>
    <hyperlink ref="A28" location="'7c'!A1" display="7c. Gross Notional Outstanding - Product Type - Tenor"/>
    <hyperlink ref="A32" location="'8a'!A1" display="8a. Transaction Ticket Volume - Product Type - Cleared Status"/>
    <hyperlink ref="A33" location="'8b'!A1" display="8b. Transaction Ticket Volume - Product Type - Currency"/>
    <hyperlink ref="A34" location="'8c'!A1" display="8c. Transaction Ticket Volume - Product Type - Tenor"/>
    <hyperlink ref="A38" location="'9a'!A1" display="9a. Transaction Dollar Volume - Product Type - Cleared Status"/>
    <hyperlink ref="A39" location="'9b'!A1" display="9b. Transaction Dollar Volume - Product Type - Currency"/>
    <hyperlink ref="A40" location="'9c'!A1" display="9c. Transaction Dollar Volume - Product Type - Tenor"/>
    <hyperlink ref="A66" location="'13a'!A1" display="13a. Gross Notional Outstanding - Product - Cleared Status"/>
    <hyperlink ref="A67" location="'13b'!A1" display="13b. Gross Notional Outstanding - Product Type - Grade"/>
    <hyperlink ref="A72" location="'14a'!A1" display="14a. Transaction Ticket Volume - Product Type - Cleared Status"/>
    <hyperlink ref="A73" location="'14b'!A1" display="14b. Transaction Ticket Volume - Product Type - Grade"/>
    <hyperlink ref="A78" location="'15a'!A1" display="15a. Transaction Dollar Volume - Product Type - Cleared Status"/>
    <hyperlink ref="A79" location="'15b'!A1" display="15b. Transaction Dollar Volume - Product Type - Grade"/>
    <hyperlink ref="A86" location="'16'!A1" display="16. Gross Notional Outstanding"/>
    <hyperlink ref="A90" location="'17'!A1" display="17. Gross Notional Outstanding"/>
    <hyperlink ref="A46" location="'10a'!A1" display="10a. Gross Notional Outstanding -  Product Type - Cleared Status"/>
    <hyperlink ref="A47" location="'10b'!A1" display="10b. Gross Notional Outstanding - Product Type - Currency"/>
    <hyperlink ref="A48" location="'10c'!A1" display="10c. Gross Notional Outstanding - Product Type - Tenor"/>
    <hyperlink ref="A52" location="'11a'!A1" display="11a. Transaction Ticket Volume - Product Type - Cleared Status"/>
    <hyperlink ref="A53" location="'11b'!A1" display="11b. Transaction Ticket Volume - Product Type - Currency"/>
    <hyperlink ref="A54" location="'11c'!A1" display="11c. Transaction Ticket Volume - Product Type - Tenor"/>
    <hyperlink ref="A58" location="'12a'!A1" display="12a. Transaction Dollar Volume - Product Type - Cleared Status"/>
    <hyperlink ref="A59" location="'12b'!A1" display="12b. Transaction Dollar Volume - Product Type - Currency"/>
    <hyperlink ref="A60" location="'12c'!A1" display="12c. Transaction Dollar Volume - Product Type - Tenor"/>
    <hyperlink ref="A94" location="'18'!A1" display="18. Gross Notional Outstanding"/>
    <hyperlink ref="A29" location="'7d'!A1" display="7d. Gross Notional Outstanding - Product Type - Participant Type"/>
    <hyperlink ref="A30" location="'7e'!A1" display="7e. Gross Notional Outstanding - Notes"/>
    <hyperlink ref="A49" location="'10d'!A1" display="10d. Gross Notional Outstanding - Product Type - Participant Type"/>
    <hyperlink ref="A50" location="'10e'!A1" display="10e. Gross Notional Outstanding - Notes"/>
    <hyperlink ref="A35" location="'8d'!A1" display="8d. Transaction Ticket Volume - Product Type - Participant Type"/>
    <hyperlink ref="A36" location="'8e'!A1" display="8e. Transaction Ticket Volume - Notes"/>
    <hyperlink ref="A55" location="'11d'!A1" display="11d. Transaction Ticket Volume - Product Type - Participant Type - Cleared Status"/>
    <hyperlink ref="A56" location="'11e'!A1" display="11e. Transaction Ticket Volume - Notes"/>
    <hyperlink ref="A41" location="'9d'!A1" display="9d. Transaction Dollar Volume - Product Type - Participant Type"/>
    <hyperlink ref="A42" location="'9e'!A1" display="9e. Transaction Dollar Volume - Notes"/>
    <hyperlink ref="A61" location="'12d'!A1" display="12d. Transaction Dollar Volume - Product Type - Participant Type - Cleared Status"/>
    <hyperlink ref="A62" location="'12e'!A1" display="12e. Transaction Dollar Volume - Notes"/>
    <hyperlink ref="A68" location="'13c'!A1" display="13c. Gross Notional Outstanding - Product Type - Participant Type - Cleared Status"/>
    <hyperlink ref="A69" location="'13d'!A1" display="13d. Gross Notional Outstanding - Product Type -Participant Type - Grade"/>
    <hyperlink ref="A70" location="'13e'!A1" display="13e. Gross Notional Outstanding - Notes"/>
    <hyperlink ref="A74" location="'14c'!A1" display="14c. Transaction Ticket Volume - Product Type - Participant Type - Cleared Status"/>
    <hyperlink ref="A75" location="'14d'!A1" display="14d. Transaction Ticket Volume - Product Type - Participant Type - Grade"/>
    <hyperlink ref="A76" location="'14e'!A1" display="14e. Transaction Ticket Volume - Notes"/>
    <hyperlink ref="A80" location="'15c'!A1" display="15c. Transaction Dollar Volume - Product Type - Participant Type - Cleared Status"/>
    <hyperlink ref="A81" location="'15d'!A1" display="15d. Transaction Dollar Volume - Product Type - Participant Type - Grade"/>
    <hyperlink ref="A82" location="'15e'!A1" display="15e. Transaction Dollar Volume - Notes"/>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workbookViewId="0">
      <selection activeCell="G8" sqref="G8"/>
    </sheetView>
  </sheetViews>
  <sheetFormatPr defaultColWidth="24.5703125" defaultRowHeight="15" x14ac:dyDescent="0.25"/>
  <cols>
    <col min="1" max="1" width="20.7109375" style="5" customWidth="1"/>
    <col min="2" max="2" width="13.140625" style="5" customWidth="1"/>
    <col min="3" max="4" width="11.7109375" style="5" customWidth="1"/>
    <col min="5" max="5" width="12.7109375" style="5" customWidth="1"/>
    <col min="6" max="6" width="12.140625" style="5" customWidth="1"/>
    <col min="7" max="16384" width="24.5703125" style="5"/>
  </cols>
  <sheetData>
    <row r="1" spans="1:7" ht="28.5" customHeight="1" x14ac:dyDescent="0.25">
      <c r="A1" s="72"/>
      <c r="B1" s="79" t="s">
        <v>197</v>
      </c>
      <c r="C1" s="79" t="s">
        <v>198</v>
      </c>
      <c r="D1" s="79" t="s">
        <v>199</v>
      </c>
      <c r="E1" s="79" t="s">
        <v>200</v>
      </c>
      <c r="F1" s="79" t="s">
        <v>206</v>
      </c>
    </row>
    <row r="2" spans="1:7" x14ac:dyDescent="0.25">
      <c r="A2" s="71" t="s">
        <v>52</v>
      </c>
      <c r="B2" s="50">
        <v>342535726</v>
      </c>
      <c r="C2" s="50">
        <v>345289146</v>
      </c>
      <c r="D2" s="50">
        <v>342354081</v>
      </c>
      <c r="E2" s="50">
        <v>329761154</v>
      </c>
      <c r="F2" s="50">
        <v>343315549.32999998</v>
      </c>
      <c r="G2" s="37"/>
    </row>
    <row r="3" spans="1:7" ht="15" customHeight="1" x14ac:dyDescent="0.25">
      <c r="A3" s="73" t="s">
        <v>178</v>
      </c>
      <c r="B3" s="56">
        <v>199536842</v>
      </c>
      <c r="C3" s="56">
        <v>202604498</v>
      </c>
      <c r="D3" s="56">
        <v>202151426</v>
      </c>
      <c r="E3" s="56">
        <v>193525112</v>
      </c>
      <c r="F3" s="56">
        <v>206743613.84999999</v>
      </c>
      <c r="G3" s="37"/>
    </row>
    <row r="4" spans="1:7" ht="15" customHeight="1" x14ac:dyDescent="0.25">
      <c r="A4" s="73" t="s">
        <v>179</v>
      </c>
      <c r="B4" s="56">
        <v>142998884</v>
      </c>
      <c r="C4" s="56">
        <v>142684648</v>
      </c>
      <c r="D4" s="56">
        <v>140202655</v>
      </c>
      <c r="E4" s="56">
        <v>136236042</v>
      </c>
      <c r="F4" s="56">
        <v>136571935.47999999</v>
      </c>
    </row>
    <row r="5" spans="1:7" ht="15" customHeight="1" x14ac:dyDescent="0.25">
      <c r="A5" s="74" t="s">
        <v>2</v>
      </c>
      <c r="B5" s="48">
        <v>14341303</v>
      </c>
      <c r="C5" s="48">
        <v>14384232</v>
      </c>
      <c r="D5" s="48">
        <v>14188171</v>
      </c>
      <c r="E5" s="48">
        <v>16888898</v>
      </c>
      <c r="F5" s="48">
        <v>16900116.241999999</v>
      </c>
    </row>
    <row r="6" spans="1:7" ht="15" customHeight="1" x14ac:dyDescent="0.25">
      <c r="A6" s="73" t="s">
        <v>180</v>
      </c>
      <c r="B6" s="49" t="s">
        <v>181</v>
      </c>
      <c r="C6" s="49" t="s">
        <v>181</v>
      </c>
      <c r="D6" s="49" t="s">
        <v>181</v>
      </c>
      <c r="E6" s="49" t="s">
        <v>181</v>
      </c>
      <c r="F6" s="49" t="s">
        <v>181</v>
      </c>
    </row>
    <row r="7" spans="1:7" ht="15" customHeight="1" x14ac:dyDescent="0.25">
      <c r="A7" s="73" t="s">
        <v>179</v>
      </c>
      <c r="B7" s="56">
        <v>14341303</v>
      </c>
      <c r="C7" s="56">
        <v>14384232</v>
      </c>
      <c r="D7" s="56">
        <v>14188171</v>
      </c>
      <c r="E7" s="56">
        <v>16888898</v>
      </c>
      <c r="F7" s="56">
        <v>16900116.241999999</v>
      </c>
    </row>
    <row r="8" spans="1:7" ht="15" customHeight="1" x14ac:dyDescent="0.25">
      <c r="A8" s="74" t="s">
        <v>5</v>
      </c>
      <c r="B8" s="48">
        <v>8561452</v>
      </c>
      <c r="C8" s="48">
        <v>8794206</v>
      </c>
      <c r="D8" s="48">
        <v>8700274</v>
      </c>
      <c r="E8" s="48">
        <v>8179491</v>
      </c>
      <c r="F8" s="48">
        <v>8304538.9523999998</v>
      </c>
    </row>
    <row r="9" spans="1:7" ht="15" customHeight="1" x14ac:dyDescent="0.25">
      <c r="A9" s="73" t="s">
        <v>180</v>
      </c>
      <c r="B9" s="56">
        <v>2018663</v>
      </c>
      <c r="C9" s="56">
        <v>2036194</v>
      </c>
      <c r="D9" s="56">
        <v>2004391</v>
      </c>
      <c r="E9" s="56">
        <v>2108766</v>
      </c>
      <c r="F9" s="56">
        <v>2163049.0290000001</v>
      </c>
    </row>
    <row r="10" spans="1:7" ht="15" customHeight="1" x14ac:dyDescent="0.25">
      <c r="A10" s="73" t="s">
        <v>179</v>
      </c>
      <c r="B10" s="56">
        <v>6542789</v>
      </c>
      <c r="C10" s="56">
        <v>6758012</v>
      </c>
      <c r="D10" s="56">
        <v>6695883</v>
      </c>
      <c r="E10" s="56">
        <v>6070725</v>
      </c>
      <c r="F10" s="56">
        <v>6141489.9233999997</v>
      </c>
    </row>
    <row r="11" spans="1:7" ht="15" customHeight="1" x14ac:dyDescent="0.25">
      <c r="A11" s="74" t="s">
        <v>182</v>
      </c>
      <c r="B11" s="48">
        <v>31450000</v>
      </c>
      <c r="C11" s="48">
        <v>31450000</v>
      </c>
      <c r="D11" s="48">
        <v>31450000</v>
      </c>
      <c r="E11" s="48">
        <v>31450000</v>
      </c>
      <c r="F11" s="48">
        <v>31450000</v>
      </c>
    </row>
    <row r="12" spans="1:7" ht="15" customHeight="1" x14ac:dyDescent="0.25">
      <c r="A12" s="73" t="s">
        <v>180</v>
      </c>
      <c r="B12" s="56" t="s">
        <v>183</v>
      </c>
      <c r="C12" s="56" t="s">
        <v>183</v>
      </c>
      <c r="D12" s="56" t="s">
        <v>183</v>
      </c>
      <c r="E12" s="56" t="s">
        <v>183</v>
      </c>
      <c r="F12" s="56" t="s">
        <v>183</v>
      </c>
    </row>
    <row r="13" spans="1:7" ht="15" customHeight="1" x14ac:dyDescent="0.25">
      <c r="A13" s="73" t="s">
        <v>179</v>
      </c>
      <c r="B13" s="56" t="s">
        <v>183</v>
      </c>
      <c r="C13" s="56" t="s">
        <v>183</v>
      </c>
      <c r="D13" s="56" t="s">
        <v>183</v>
      </c>
      <c r="E13" s="56" t="s">
        <v>183</v>
      </c>
      <c r="F13" s="56" t="s">
        <v>183</v>
      </c>
    </row>
    <row r="14" spans="1:7" ht="15" customHeight="1" x14ac:dyDescent="0.25">
      <c r="A14" s="74" t="s">
        <v>184</v>
      </c>
      <c r="B14" s="48">
        <v>4420000</v>
      </c>
      <c r="C14" s="48">
        <v>4420000</v>
      </c>
      <c r="D14" s="48">
        <v>4420000</v>
      </c>
      <c r="E14" s="48">
        <v>4420000</v>
      </c>
      <c r="F14" s="48">
        <v>4420000</v>
      </c>
    </row>
    <row r="15" spans="1:7" ht="15" customHeight="1" x14ac:dyDescent="0.25">
      <c r="A15" s="73" t="s">
        <v>180</v>
      </c>
      <c r="B15" s="56" t="s">
        <v>183</v>
      </c>
      <c r="C15" s="56" t="s">
        <v>183</v>
      </c>
      <c r="D15" s="56" t="s">
        <v>183</v>
      </c>
      <c r="E15" s="56" t="s">
        <v>183</v>
      </c>
      <c r="F15" s="56" t="s">
        <v>183</v>
      </c>
    </row>
    <row r="16" spans="1:7" ht="15" customHeight="1" x14ac:dyDescent="0.25">
      <c r="A16" s="73" t="s">
        <v>179</v>
      </c>
      <c r="B16" s="56" t="s">
        <v>183</v>
      </c>
      <c r="C16" s="56" t="s">
        <v>183</v>
      </c>
      <c r="D16" s="56" t="s">
        <v>183</v>
      </c>
      <c r="E16" s="56" t="s">
        <v>183</v>
      </c>
      <c r="F16" s="56" t="s">
        <v>183</v>
      </c>
    </row>
    <row r="17" spans="1:6" ht="24.75" customHeight="1" x14ac:dyDescent="0.25">
      <c r="A17" s="74" t="s">
        <v>185</v>
      </c>
      <c r="B17" s="48">
        <v>1700000</v>
      </c>
      <c r="C17" s="48">
        <v>1700000</v>
      </c>
      <c r="D17" s="48">
        <v>1700000</v>
      </c>
      <c r="E17" s="48">
        <v>1700000</v>
      </c>
      <c r="F17" s="48">
        <v>1700000</v>
      </c>
    </row>
    <row r="18" spans="1:6" ht="14.25" customHeight="1" x14ac:dyDescent="0.25">
      <c r="A18" s="73" t="s">
        <v>180</v>
      </c>
      <c r="B18" s="56" t="s">
        <v>183</v>
      </c>
      <c r="C18" s="56" t="s">
        <v>183</v>
      </c>
      <c r="D18" s="56" t="s">
        <v>183</v>
      </c>
      <c r="E18" s="56" t="s">
        <v>183</v>
      </c>
      <c r="F18" s="56" t="s">
        <v>183</v>
      </c>
    </row>
    <row r="19" spans="1:6" ht="14.25" customHeight="1" x14ac:dyDescent="0.25">
      <c r="A19" s="73" t="s">
        <v>179</v>
      </c>
      <c r="B19" s="56" t="s">
        <v>183</v>
      </c>
      <c r="C19" s="56" t="s">
        <v>183</v>
      </c>
      <c r="D19" s="56" t="s">
        <v>183</v>
      </c>
      <c r="E19" s="56" t="s">
        <v>183</v>
      </c>
      <c r="F19" s="56" t="s">
        <v>183</v>
      </c>
    </row>
    <row r="20" spans="1:6" ht="15.95" customHeight="1" x14ac:dyDescent="0.25">
      <c r="A20" s="74" t="s">
        <v>8</v>
      </c>
      <c r="B20" s="48">
        <v>403008481</v>
      </c>
      <c r="C20" s="48">
        <v>406037584</v>
      </c>
      <c r="D20" s="48">
        <v>402812526</v>
      </c>
      <c r="E20" s="48">
        <v>392399543</v>
      </c>
      <c r="F20" s="48">
        <v>406090204.5244</v>
      </c>
    </row>
    <row r="21" spans="1:6" ht="15.95" customHeight="1" x14ac:dyDescent="0.25">
      <c r="A21" s="85"/>
      <c r="B21" s="86"/>
      <c r="C21" s="86"/>
      <c r="D21" s="86"/>
      <c r="E21" s="86"/>
      <c r="F21" s="86"/>
    </row>
    <row r="22" spans="1:6" ht="57" customHeight="1" x14ac:dyDescent="0.25">
      <c r="A22" s="87" t="s">
        <v>186</v>
      </c>
      <c r="B22" s="87"/>
      <c r="C22" s="87"/>
      <c r="D22" s="87"/>
      <c r="E22" s="87"/>
      <c r="F22" s="87"/>
    </row>
    <row r="23" spans="1:6" ht="17.25" customHeight="1" x14ac:dyDescent="0.25">
      <c r="A23" s="88" t="s">
        <v>9</v>
      </c>
      <c r="B23" s="88"/>
      <c r="C23" s="88"/>
      <c r="D23" s="88"/>
      <c r="E23" s="88"/>
      <c r="F23" s="88"/>
    </row>
    <row r="24" spans="1:6" ht="15" customHeight="1" x14ac:dyDescent="0.25">
      <c r="A24" s="88" t="s">
        <v>10</v>
      </c>
      <c r="B24" s="88"/>
      <c r="C24" s="88"/>
      <c r="D24" s="88"/>
      <c r="E24" s="88"/>
      <c r="F24" s="88"/>
    </row>
    <row r="25" spans="1:6" ht="15" customHeight="1" x14ac:dyDescent="0.25">
      <c r="A25" s="88" t="s">
        <v>11</v>
      </c>
      <c r="B25" s="88"/>
      <c r="C25" s="88"/>
      <c r="D25" s="88"/>
      <c r="E25" s="88"/>
      <c r="F25" s="88"/>
    </row>
    <row r="26" spans="1:6" ht="15" customHeight="1" x14ac:dyDescent="0.25">
      <c r="A26" s="88" t="s">
        <v>187</v>
      </c>
      <c r="B26" s="88"/>
      <c r="C26" s="88"/>
      <c r="D26" s="88"/>
      <c r="E26" s="88"/>
      <c r="F26" s="88"/>
    </row>
    <row r="27" spans="1:6" ht="24.75" customHeight="1" x14ac:dyDescent="0.25">
      <c r="A27" s="82" t="s">
        <v>12</v>
      </c>
      <c r="B27" s="83"/>
      <c r="C27" s="83"/>
      <c r="D27" s="83"/>
      <c r="E27" s="83"/>
      <c r="F27" s="84"/>
    </row>
  </sheetData>
  <mergeCells count="7">
    <mergeCell ref="A27:F27"/>
    <mergeCell ref="A21:F21"/>
    <mergeCell ref="A22:F22"/>
    <mergeCell ref="A23:F23"/>
    <mergeCell ref="A24:F24"/>
    <mergeCell ref="A25:F25"/>
    <mergeCell ref="A26:F26"/>
  </mergeCells>
  <pageMargins left="0.75" right="0.75" top="1" bottom="1" header="0.5" footer="0.5"/>
  <pageSetup orientation="portrait" horizontalDpi="300" verticalDpi="300" r:id="rId1"/>
  <headerFooter>
    <oddHeader>Report #2_x000D_dtcc_irs_20130208</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workbookViewId="0">
      <selection activeCell="F20" sqref="A1:F20"/>
    </sheetView>
  </sheetViews>
  <sheetFormatPr defaultRowHeight="15" x14ac:dyDescent="0.25"/>
  <cols>
    <col min="1" max="1" width="20.7109375" style="5" customWidth="1"/>
    <col min="2" max="2" width="12.28515625" style="5" customWidth="1"/>
    <col min="3" max="4" width="11.7109375" style="5" customWidth="1"/>
    <col min="5" max="5" width="12.42578125" style="5" customWidth="1"/>
    <col min="6" max="6" width="12.28515625" style="5" customWidth="1"/>
    <col min="7" max="7" width="9.140625" style="5" customWidth="1"/>
    <col min="8" max="16384" width="9.140625" style="5"/>
  </cols>
  <sheetData>
    <row r="1" spans="1:6" x14ac:dyDescent="0.25">
      <c r="A1" s="72"/>
      <c r="B1" s="79" t="s">
        <v>197</v>
      </c>
      <c r="C1" s="79" t="s">
        <v>198</v>
      </c>
      <c r="D1" s="79" t="s">
        <v>199</v>
      </c>
      <c r="E1" s="79" t="s">
        <v>200</v>
      </c>
      <c r="F1" s="79" t="s">
        <v>206</v>
      </c>
    </row>
    <row r="2" spans="1:6" x14ac:dyDescent="0.25">
      <c r="A2" s="71" t="s">
        <v>52</v>
      </c>
      <c r="B2" s="78">
        <v>685071453</v>
      </c>
      <c r="C2" s="78">
        <v>690578292</v>
      </c>
      <c r="D2" s="78">
        <v>684708161</v>
      </c>
      <c r="E2" s="78">
        <v>659522308</v>
      </c>
      <c r="F2" s="78">
        <v>686631098.66999996</v>
      </c>
    </row>
    <row r="3" spans="1:6" x14ac:dyDescent="0.25">
      <c r="A3" s="73" t="s">
        <v>188</v>
      </c>
      <c r="B3" s="77">
        <v>570264153</v>
      </c>
      <c r="C3" s="77">
        <v>573961277</v>
      </c>
      <c r="D3" s="77">
        <v>568020528</v>
      </c>
      <c r="E3" s="77">
        <v>555545259</v>
      </c>
      <c r="F3" s="77">
        <v>570448370.52999997</v>
      </c>
    </row>
    <row r="4" spans="1:6" x14ac:dyDescent="0.25">
      <c r="A4" s="73" t="s">
        <v>139</v>
      </c>
      <c r="B4" s="77">
        <v>114807299</v>
      </c>
      <c r="C4" s="77">
        <v>116617015</v>
      </c>
      <c r="D4" s="77">
        <v>116687633</v>
      </c>
      <c r="E4" s="77">
        <v>103977049</v>
      </c>
      <c r="F4" s="77">
        <v>116182728.14</v>
      </c>
    </row>
    <row r="5" spans="1:6" x14ac:dyDescent="0.25">
      <c r="A5" s="74" t="s">
        <v>2</v>
      </c>
      <c r="B5" s="78">
        <v>28682606</v>
      </c>
      <c r="C5" s="78">
        <v>28768464</v>
      </c>
      <c r="D5" s="78">
        <v>28376341</v>
      </c>
      <c r="E5" s="78">
        <v>33777797</v>
      </c>
      <c r="F5" s="78">
        <v>33800232.484099999</v>
      </c>
    </row>
    <row r="6" spans="1:6" x14ac:dyDescent="0.25">
      <c r="A6" s="73" t="s">
        <v>189</v>
      </c>
      <c r="B6" s="77">
        <v>24902200</v>
      </c>
      <c r="C6" s="77">
        <v>25006510</v>
      </c>
      <c r="D6" s="77">
        <v>24659602</v>
      </c>
      <c r="E6" s="77">
        <v>30155607</v>
      </c>
      <c r="F6" s="77">
        <v>30203583.021000002</v>
      </c>
    </row>
    <row r="7" spans="1:6" x14ac:dyDescent="0.25">
      <c r="A7" s="73" t="s">
        <v>139</v>
      </c>
      <c r="B7" s="77">
        <v>3780406</v>
      </c>
      <c r="C7" s="77">
        <v>3761954</v>
      </c>
      <c r="D7" s="77">
        <v>3716739</v>
      </c>
      <c r="E7" s="77">
        <v>3622190</v>
      </c>
      <c r="F7" s="77">
        <v>3596649.4630999998</v>
      </c>
    </row>
    <row r="8" spans="1:6" x14ac:dyDescent="0.25">
      <c r="A8" s="74" t="s">
        <v>5</v>
      </c>
      <c r="B8" s="78">
        <v>17122903</v>
      </c>
      <c r="C8" s="78">
        <v>17588412</v>
      </c>
      <c r="D8" s="78">
        <v>17400549</v>
      </c>
      <c r="E8" s="78">
        <v>16358983</v>
      </c>
      <c r="F8" s="78">
        <v>16609077.9046</v>
      </c>
    </row>
    <row r="9" spans="1:6" x14ac:dyDescent="0.25">
      <c r="A9" s="73" t="s">
        <v>189</v>
      </c>
      <c r="B9" s="77">
        <v>12811947</v>
      </c>
      <c r="C9" s="77">
        <v>13052358</v>
      </c>
      <c r="D9" s="77">
        <v>12911817</v>
      </c>
      <c r="E9" s="77">
        <v>12888682</v>
      </c>
      <c r="F9" s="77">
        <v>13042628.695</v>
      </c>
    </row>
    <row r="10" spans="1:6" x14ac:dyDescent="0.25">
      <c r="A10" s="73" t="s">
        <v>139</v>
      </c>
      <c r="B10" s="77">
        <v>4310956</v>
      </c>
      <c r="C10" s="77">
        <v>4536054</v>
      </c>
      <c r="D10" s="77">
        <v>4488732</v>
      </c>
      <c r="E10" s="77">
        <v>3470301</v>
      </c>
      <c r="F10" s="77">
        <v>3566449.2096000002</v>
      </c>
    </row>
    <row r="11" spans="1:6" x14ac:dyDescent="0.25">
      <c r="A11" s="74" t="s">
        <v>182</v>
      </c>
      <c r="B11" s="78">
        <v>62900000</v>
      </c>
      <c r="C11" s="78">
        <v>62900000</v>
      </c>
      <c r="D11" s="78">
        <v>62900000</v>
      </c>
      <c r="E11" s="78">
        <v>62900000</v>
      </c>
      <c r="F11" s="78">
        <v>62900000</v>
      </c>
    </row>
    <row r="12" spans="1:6" x14ac:dyDescent="0.25">
      <c r="A12" s="73" t="s">
        <v>189</v>
      </c>
      <c r="B12" s="77" t="s">
        <v>4</v>
      </c>
      <c r="C12" s="77" t="s">
        <v>4</v>
      </c>
      <c r="D12" s="77" t="s">
        <v>4</v>
      </c>
      <c r="E12" s="77" t="s">
        <v>4</v>
      </c>
      <c r="F12" s="77" t="s">
        <v>4</v>
      </c>
    </row>
    <row r="13" spans="1:6" x14ac:dyDescent="0.25">
      <c r="A13" s="73" t="s">
        <v>139</v>
      </c>
      <c r="B13" s="77" t="s">
        <v>4</v>
      </c>
      <c r="C13" s="77" t="s">
        <v>4</v>
      </c>
      <c r="D13" s="77" t="s">
        <v>4</v>
      </c>
      <c r="E13" s="77" t="s">
        <v>4</v>
      </c>
      <c r="F13" s="77" t="s">
        <v>4</v>
      </c>
    </row>
    <row r="14" spans="1:6" x14ac:dyDescent="0.25">
      <c r="A14" s="74" t="s">
        <v>184</v>
      </c>
      <c r="B14" s="78">
        <v>8840000</v>
      </c>
      <c r="C14" s="78">
        <v>8840000</v>
      </c>
      <c r="D14" s="78">
        <v>8840000</v>
      </c>
      <c r="E14" s="78">
        <v>8840000</v>
      </c>
      <c r="F14" s="78">
        <v>8840000</v>
      </c>
    </row>
    <row r="15" spans="1:6" x14ac:dyDescent="0.25">
      <c r="A15" s="73" t="s">
        <v>189</v>
      </c>
      <c r="B15" s="77" t="s">
        <v>4</v>
      </c>
      <c r="C15" s="77" t="s">
        <v>4</v>
      </c>
      <c r="D15" s="77" t="s">
        <v>4</v>
      </c>
      <c r="E15" s="77" t="s">
        <v>4</v>
      </c>
      <c r="F15" s="77" t="s">
        <v>4</v>
      </c>
    </row>
    <row r="16" spans="1:6" x14ac:dyDescent="0.25">
      <c r="A16" s="73" t="s">
        <v>139</v>
      </c>
      <c r="B16" s="77" t="s">
        <v>4</v>
      </c>
      <c r="C16" s="77" t="s">
        <v>4</v>
      </c>
      <c r="D16" s="77" t="s">
        <v>4</v>
      </c>
      <c r="E16" s="77" t="s">
        <v>4</v>
      </c>
      <c r="F16" s="77" t="s">
        <v>4</v>
      </c>
    </row>
    <row r="17" spans="1:6" ht="25.5" x14ac:dyDescent="0.25">
      <c r="A17" s="74" t="s">
        <v>185</v>
      </c>
      <c r="B17" s="78">
        <v>3400000</v>
      </c>
      <c r="C17" s="78">
        <v>3400000</v>
      </c>
      <c r="D17" s="78">
        <v>3400000</v>
      </c>
      <c r="E17" s="78">
        <v>3400000</v>
      </c>
      <c r="F17" s="78">
        <v>3400000</v>
      </c>
    </row>
    <row r="18" spans="1:6" x14ac:dyDescent="0.25">
      <c r="A18" s="73" t="s">
        <v>189</v>
      </c>
      <c r="B18" s="77" t="s">
        <v>4</v>
      </c>
      <c r="C18" s="77" t="s">
        <v>4</v>
      </c>
      <c r="D18" s="77" t="s">
        <v>4</v>
      </c>
      <c r="E18" s="77" t="s">
        <v>4</v>
      </c>
      <c r="F18" s="77" t="s">
        <v>4</v>
      </c>
    </row>
    <row r="19" spans="1:6" x14ac:dyDescent="0.25">
      <c r="A19" s="73" t="s">
        <v>139</v>
      </c>
      <c r="B19" s="77" t="s">
        <v>4</v>
      </c>
      <c r="C19" s="77" t="s">
        <v>4</v>
      </c>
      <c r="D19" s="77" t="s">
        <v>4</v>
      </c>
      <c r="E19" s="77" t="s">
        <v>4</v>
      </c>
      <c r="F19" s="77" t="s">
        <v>4</v>
      </c>
    </row>
    <row r="20" spans="1:6" x14ac:dyDescent="0.25">
      <c r="A20" s="74" t="s">
        <v>8</v>
      </c>
      <c r="B20" s="78">
        <v>806016962</v>
      </c>
      <c r="C20" s="78">
        <v>812075168</v>
      </c>
      <c r="D20" s="78">
        <v>805625051</v>
      </c>
      <c r="E20" s="78">
        <v>784799088</v>
      </c>
      <c r="F20" s="78">
        <v>812180409.05869997</v>
      </c>
    </row>
    <row r="21" spans="1:6" x14ac:dyDescent="0.25">
      <c r="A21" s="89"/>
      <c r="B21" s="90"/>
      <c r="C21" s="90"/>
      <c r="D21" s="90"/>
      <c r="E21" s="90"/>
      <c r="F21" s="91"/>
    </row>
    <row r="22" spans="1:6" ht="104.25" customHeight="1" x14ac:dyDescent="0.25">
      <c r="A22" s="88" t="s">
        <v>190</v>
      </c>
      <c r="B22" s="88"/>
      <c r="C22" s="88"/>
      <c r="D22" s="88"/>
      <c r="E22" s="88"/>
      <c r="F22" s="88"/>
    </row>
    <row r="23" spans="1:6" ht="15.95" customHeight="1" x14ac:dyDescent="0.25">
      <c r="A23" s="88" t="s">
        <v>13</v>
      </c>
      <c r="B23" s="88"/>
      <c r="C23" s="88"/>
      <c r="D23" s="88"/>
      <c r="E23" s="88"/>
      <c r="F23" s="88"/>
    </row>
    <row r="24" spans="1:6" ht="15.95" customHeight="1" x14ac:dyDescent="0.25">
      <c r="A24" s="88" t="s">
        <v>14</v>
      </c>
      <c r="B24" s="88"/>
      <c r="C24" s="88"/>
      <c r="D24" s="88"/>
      <c r="E24" s="88"/>
      <c r="F24" s="88"/>
    </row>
    <row r="25" spans="1:6" ht="15.95" customHeight="1" x14ac:dyDescent="0.25">
      <c r="A25" s="88" t="s">
        <v>11</v>
      </c>
      <c r="B25" s="88"/>
      <c r="C25" s="88"/>
      <c r="D25" s="88"/>
      <c r="E25" s="88"/>
      <c r="F25" s="88"/>
    </row>
    <row r="26" spans="1:6" ht="15.95" customHeight="1" x14ac:dyDescent="0.25">
      <c r="A26" s="88" t="s">
        <v>187</v>
      </c>
      <c r="B26" s="88"/>
      <c r="C26" s="88"/>
      <c r="D26" s="88"/>
      <c r="E26" s="88"/>
      <c r="F26" s="88"/>
    </row>
    <row r="27" spans="1:6" ht="32.25" customHeight="1" x14ac:dyDescent="0.25">
      <c r="A27" s="82" t="s">
        <v>12</v>
      </c>
      <c r="B27" s="83"/>
      <c r="C27" s="83"/>
      <c r="D27" s="83"/>
      <c r="E27" s="83"/>
      <c r="F27" s="84"/>
    </row>
  </sheetData>
  <mergeCells count="7">
    <mergeCell ref="A27:F27"/>
    <mergeCell ref="A21:F21"/>
    <mergeCell ref="A22:F22"/>
    <mergeCell ref="A23:F23"/>
    <mergeCell ref="A24:F24"/>
    <mergeCell ref="A25:F25"/>
    <mergeCell ref="A26:F26"/>
  </mergeCells>
  <printOptions gridLines="1"/>
  <pageMargins left="0.75" right="0.75" top="1" bottom="1" header="0.5" footer="0.5"/>
  <pageSetup orientation="portrait" horizontalDpi="300" verticalDpi="300" r:id="rId1"/>
  <headerFooter>
    <oddHeader>Report #2_x000D_dtcc_irs_20130208</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J21" sqref="J21"/>
    </sheetView>
  </sheetViews>
  <sheetFormatPr defaultRowHeight="15" x14ac:dyDescent="0.25"/>
  <cols>
    <col min="1" max="1" width="20.7109375" style="39" customWidth="1"/>
    <col min="2" max="2" width="12" style="39" customWidth="1"/>
    <col min="3" max="4" width="11.7109375" style="39" customWidth="1"/>
    <col min="5" max="5" width="12.5703125" style="39" customWidth="1"/>
    <col min="6" max="6" width="12.28515625" style="39" customWidth="1"/>
    <col min="7" max="16384" width="9.140625" style="39"/>
  </cols>
  <sheetData>
    <row r="1" spans="1:6" s="38" customFormat="1" ht="20.25" customHeight="1" x14ac:dyDescent="0.2">
      <c r="A1" s="72"/>
      <c r="B1" s="79" t="s">
        <v>197</v>
      </c>
      <c r="C1" s="79" t="s">
        <v>198</v>
      </c>
      <c r="D1" s="79" t="s">
        <v>199</v>
      </c>
      <c r="E1" s="79" t="s">
        <v>200</v>
      </c>
      <c r="F1" s="79" t="s">
        <v>206</v>
      </c>
    </row>
    <row r="2" spans="1:6" s="38" customFormat="1" ht="12.75" x14ac:dyDescent="0.2">
      <c r="A2" s="71" t="s">
        <v>52</v>
      </c>
      <c r="B2" s="55">
        <v>10717</v>
      </c>
      <c r="C2" s="55">
        <v>29110</v>
      </c>
      <c r="D2" s="55">
        <v>22666</v>
      </c>
      <c r="E2" s="55">
        <v>21259</v>
      </c>
      <c r="F2" s="55">
        <v>17133.5</v>
      </c>
    </row>
    <row r="3" spans="1:6" s="38" customFormat="1" ht="12.75" x14ac:dyDescent="0.2">
      <c r="A3" s="73" t="s">
        <v>178</v>
      </c>
      <c r="B3" s="53">
        <v>7228</v>
      </c>
      <c r="C3" s="53">
        <v>19903</v>
      </c>
      <c r="D3" s="53">
        <v>14178</v>
      </c>
      <c r="E3" s="53">
        <v>14647</v>
      </c>
      <c r="F3" s="53">
        <v>13755.5</v>
      </c>
    </row>
    <row r="4" spans="1:6" s="38" customFormat="1" ht="12.75" x14ac:dyDescent="0.2">
      <c r="A4" s="73" t="s">
        <v>179</v>
      </c>
      <c r="B4" s="53">
        <v>3489</v>
      </c>
      <c r="C4" s="53">
        <v>9207</v>
      </c>
      <c r="D4" s="53">
        <v>8488</v>
      </c>
      <c r="E4" s="53">
        <v>6612</v>
      </c>
      <c r="F4" s="53">
        <v>3378</v>
      </c>
    </row>
    <row r="5" spans="1:6" s="38" customFormat="1" ht="12.75" x14ac:dyDescent="0.2">
      <c r="A5" s="52" t="s">
        <v>2</v>
      </c>
      <c r="B5" s="55">
        <v>447</v>
      </c>
      <c r="C5" s="55">
        <v>1357</v>
      </c>
      <c r="D5" s="55">
        <v>1482</v>
      </c>
      <c r="E5" s="55">
        <v>1588</v>
      </c>
      <c r="F5" s="55">
        <v>506</v>
      </c>
    </row>
    <row r="6" spans="1:6" s="38" customFormat="1" ht="12.75" x14ac:dyDescent="0.2">
      <c r="A6" s="73" t="s">
        <v>180</v>
      </c>
      <c r="B6" s="54" t="s">
        <v>181</v>
      </c>
      <c r="C6" s="54" t="s">
        <v>181</v>
      </c>
      <c r="D6" s="54" t="s">
        <v>181</v>
      </c>
      <c r="E6" s="54" t="s">
        <v>181</v>
      </c>
      <c r="F6" s="54" t="s">
        <v>181</v>
      </c>
    </row>
    <row r="7" spans="1:6" s="38" customFormat="1" ht="12.75" x14ac:dyDescent="0.2">
      <c r="A7" s="73" t="s">
        <v>179</v>
      </c>
      <c r="B7" s="53">
        <v>447</v>
      </c>
      <c r="C7" s="53">
        <v>1357</v>
      </c>
      <c r="D7" s="53">
        <v>1482</v>
      </c>
      <c r="E7" s="53">
        <v>1588</v>
      </c>
      <c r="F7" s="53">
        <v>506</v>
      </c>
    </row>
    <row r="8" spans="1:6" s="38" customFormat="1" ht="12.75" x14ac:dyDescent="0.2">
      <c r="A8" s="52" t="s">
        <v>5</v>
      </c>
      <c r="B8" s="55">
        <v>3358</v>
      </c>
      <c r="C8" s="55">
        <v>6800</v>
      </c>
      <c r="D8" s="55">
        <v>6809</v>
      </c>
      <c r="E8" s="55">
        <v>7433</v>
      </c>
      <c r="F8" s="55">
        <v>11901.5</v>
      </c>
    </row>
    <row r="9" spans="1:6" s="38" customFormat="1" ht="12.75" x14ac:dyDescent="0.2">
      <c r="A9" s="73" t="s">
        <v>180</v>
      </c>
      <c r="B9" s="53">
        <v>1740</v>
      </c>
      <c r="C9" s="53">
        <v>4946</v>
      </c>
      <c r="D9" s="53">
        <v>4891</v>
      </c>
      <c r="E9" s="53">
        <v>6657</v>
      </c>
      <c r="F9" s="53">
        <v>10550.5</v>
      </c>
    </row>
    <row r="10" spans="1:6" s="38" customFormat="1" ht="12.75" x14ac:dyDescent="0.2">
      <c r="A10" s="73" t="s">
        <v>179</v>
      </c>
      <c r="B10" s="53">
        <v>1618</v>
      </c>
      <c r="C10" s="53">
        <v>1854</v>
      </c>
      <c r="D10" s="53">
        <v>1918</v>
      </c>
      <c r="E10" s="53">
        <v>776</v>
      </c>
      <c r="F10" s="53">
        <v>1351</v>
      </c>
    </row>
    <row r="11" spans="1:6" s="38" customFormat="1" ht="12.75" x14ac:dyDescent="0.2">
      <c r="A11" s="74" t="s">
        <v>191</v>
      </c>
      <c r="B11" s="53" t="s">
        <v>4</v>
      </c>
      <c r="C11" s="53" t="s">
        <v>4</v>
      </c>
      <c r="D11" s="53" t="s">
        <v>4</v>
      </c>
      <c r="E11" s="53" t="s">
        <v>4</v>
      </c>
      <c r="F11" s="53" t="s">
        <v>4</v>
      </c>
    </row>
    <row r="12" spans="1:6" s="38" customFormat="1" ht="12.75" x14ac:dyDescent="0.2">
      <c r="A12" s="73" t="s">
        <v>180</v>
      </c>
      <c r="B12" s="77" t="s">
        <v>4</v>
      </c>
      <c r="C12" s="77" t="s">
        <v>4</v>
      </c>
      <c r="D12" s="77" t="s">
        <v>4</v>
      </c>
      <c r="E12" s="77" t="s">
        <v>4</v>
      </c>
      <c r="F12" s="77" t="s">
        <v>4</v>
      </c>
    </row>
    <row r="13" spans="1:6" s="38" customFormat="1" ht="12.75" x14ac:dyDescent="0.2">
      <c r="A13" s="73" t="s">
        <v>179</v>
      </c>
      <c r="B13" s="77" t="s">
        <v>4</v>
      </c>
      <c r="C13" s="77" t="s">
        <v>4</v>
      </c>
      <c r="D13" s="77" t="s">
        <v>4</v>
      </c>
      <c r="E13" s="77" t="s">
        <v>4</v>
      </c>
      <c r="F13" s="77" t="s">
        <v>4</v>
      </c>
    </row>
    <row r="14" spans="1:6" s="38" customFormat="1" ht="12.75" x14ac:dyDescent="0.2">
      <c r="A14" s="52" t="s">
        <v>6</v>
      </c>
      <c r="B14" s="78" t="s">
        <v>4</v>
      </c>
      <c r="C14" s="78" t="s">
        <v>4</v>
      </c>
      <c r="D14" s="78" t="s">
        <v>4</v>
      </c>
      <c r="E14" s="78" t="s">
        <v>4</v>
      </c>
      <c r="F14" s="78" t="s">
        <v>4</v>
      </c>
    </row>
    <row r="15" spans="1:6" s="38" customFormat="1" ht="12.75" x14ac:dyDescent="0.2">
      <c r="A15" s="73" t="s">
        <v>180</v>
      </c>
      <c r="B15" s="53" t="s">
        <v>4</v>
      </c>
      <c r="C15" s="53" t="s">
        <v>4</v>
      </c>
      <c r="D15" s="53" t="s">
        <v>4</v>
      </c>
      <c r="E15" s="53" t="s">
        <v>4</v>
      </c>
      <c r="F15" s="53" t="s">
        <v>4</v>
      </c>
    </row>
    <row r="16" spans="1:6" s="38" customFormat="1" ht="12.75" x14ac:dyDescent="0.2">
      <c r="A16" s="73" t="s">
        <v>179</v>
      </c>
      <c r="B16" s="53" t="s">
        <v>4</v>
      </c>
      <c r="C16" s="53" t="s">
        <v>4</v>
      </c>
      <c r="D16" s="53" t="s">
        <v>4</v>
      </c>
      <c r="E16" s="53" t="s">
        <v>4</v>
      </c>
      <c r="F16" s="53" t="s">
        <v>4</v>
      </c>
    </row>
    <row r="17" spans="1:6" s="38" customFormat="1" ht="12.75" x14ac:dyDescent="0.2">
      <c r="A17" s="52" t="s">
        <v>7</v>
      </c>
      <c r="B17" s="78" t="s">
        <v>4</v>
      </c>
      <c r="C17" s="78" t="s">
        <v>4</v>
      </c>
      <c r="D17" s="78" t="s">
        <v>4</v>
      </c>
      <c r="E17" s="78" t="s">
        <v>4</v>
      </c>
      <c r="F17" s="78" t="s">
        <v>4</v>
      </c>
    </row>
    <row r="18" spans="1:6" s="38" customFormat="1" ht="12.75" x14ac:dyDescent="0.2">
      <c r="A18" s="73" t="s">
        <v>180</v>
      </c>
      <c r="B18" s="53" t="s">
        <v>4</v>
      </c>
      <c r="C18" s="53" t="s">
        <v>4</v>
      </c>
      <c r="D18" s="53" t="s">
        <v>4</v>
      </c>
      <c r="E18" s="53" t="s">
        <v>4</v>
      </c>
      <c r="F18" s="53" t="s">
        <v>4</v>
      </c>
    </row>
    <row r="19" spans="1:6" s="38" customFormat="1" ht="12.75" x14ac:dyDescent="0.2">
      <c r="A19" s="73" t="s">
        <v>179</v>
      </c>
      <c r="B19" s="53" t="s">
        <v>4</v>
      </c>
      <c r="C19" s="53" t="s">
        <v>4</v>
      </c>
      <c r="D19" s="53" t="s">
        <v>4</v>
      </c>
      <c r="E19" s="53" t="s">
        <v>4</v>
      </c>
      <c r="F19" s="53" t="s">
        <v>4</v>
      </c>
    </row>
    <row r="20" spans="1:6" s="38" customFormat="1" ht="12.75" x14ac:dyDescent="0.2">
      <c r="A20" s="52" t="s">
        <v>8</v>
      </c>
      <c r="B20" s="55">
        <v>14522</v>
      </c>
      <c r="C20" s="55">
        <v>37267</v>
      </c>
      <c r="D20" s="55">
        <v>30957</v>
      </c>
      <c r="E20" s="55">
        <v>30280</v>
      </c>
      <c r="F20" s="55">
        <v>29541</v>
      </c>
    </row>
    <row r="21" spans="1:6" s="38" customFormat="1" ht="12.75" x14ac:dyDescent="0.2">
      <c r="A21" s="92"/>
      <c r="B21" s="93"/>
      <c r="C21" s="93"/>
      <c r="D21" s="93"/>
      <c r="E21" s="93"/>
      <c r="F21" s="94"/>
    </row>
    <row r="22" spans="1:6" s="38" customFormat="1" ht="54" customHeight="1" x14ac:dyDescent="0.2">
      <c r="A22" s="95" t="s">
        <v>192</v>
      </c>
      <c r="B22" s="95"/>
      <c r="C22" s="95"/>
      <c r="D22" s="95"/>
      <c r="E22" s="95"/>
      <c r="F22" s="95"/>
    </row>
    <row r="23" spans="1:6" s="38" customFormat="1" ht="15.95" customHeight="1" x14ac:dyDescent="0.2">
      <c r="A23" s="95" t="s">
        <v>13</v>
      </c>
      <c r="B23" s="95"/>
      <c r="C23" s="95"/>
      <c r="D23" s="95"/>
      <c r="E23" s="95"/>
      <c r="F23" s="95"/>
    </row>
    <row r="24" spans="1:6" s="38" customFormat="1" ht="15.95" customHeight="1" x14ac:dyDescent="0.2">
      <c r="A24" s="95" t="s">
        <v>10</v>
      </c>
      <c r="B24" s="95"/>
      <c r="C24" s="95"/>
      <c r="D24" s="95"/>
      <c r="E24" s="95"/>
      <c r="F24" s="95"/>
    </row>
    <row r="25" spans="1:6" s="38" customFormat="1" ht="15.95" customHeight="1" x14ac:dyDescent="0.2">
      <c r="A25" s="95" t="s">
        <v>11</v>
      </c>
      <c r="B25" s="95"/>
      <c r="C25" s="95"/>
      <c r="D25" s="95"/>
      <c r="E25" s="95"/>
      <c r="F25" s="95"/>
    </row>
    <row r="26" spans="1:6" ht="30" customHeight="1" x14ac:dyDescent="0.25">
      <c r="A26" s="82" t="s">
        <v>12</v>
      </c>
      <c r="B26" s="83"/>
      <c r="C26" s="83"/>
      <c r="D26" s="83"/>
      <c r="E26" s="83"/>
      <c r="F26" s="84"/>
    </row>
  </sheetData>
  <mergeCells count="6">
    <mergeCell ref="A26:F26"/>
    <mergeCell ref="A21:F21"/>
    <mergeCell ref="A22:F22"/>
    <mergeCell ref="A23:F23"/>
    <mergeCell ref="A24:F24"/>
    <mergeCell ref="A25:F25"/>
  </mergeCells>
  <printOptions gridLines="1"/>
  <pageMargins left="0.75" right="0.75" top="1" bottom="1" header="0.5" footer="0.5"/>
  <pageSetup orientation="portrait" horizontalDpi="300" verticalDpi="300"/>
  <headerFooter>
    <oddHeader>dtcc_irs_20121123</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I12" sqref="I12"/>
    </sheetView>
  </sheetViews>
  <sheetFormatPr defaultRowHeight="15" x14ac:dyDescent="0.25"/>
  <cols>
    <col min="1" max="1" width="20.7109375" style="5" customWidth="1"/>
    <col min="2" max="2" width="12" style="5" customWidth="1"/>
    <col min="3" max="4" width="11.7109375" style="5" customWidth="1"/>
    <col min="5" max="5" width="13.140625" style="5" customWidth="1"/>
    <col min="6" max="6" width="12.42578125" style="5" customWidth="1"/>
    <col min="7" max="16384" width="9.140625" style="5"/>
  </cols>
  <sheetData>
    <row r="1" spans="1:6" x14ac:dyDescent="0.25">
      <c r="A1" s="72"/>
      <c r="B1" s="79" t="s">
        <v>197</v>
      </c>
      <c r="C1" s="79" t="s">
        <v>198</v>
      </c>
      <c r="D1" s="79" t="s">
        <v>199</v>
      </c>
      <c r="E1" s="79" t="s">
        <v>200</v>
      </c>
      <c r="F1" s="79" t="s">
        <v>206</v>
      </c>
    </row>
    <row r="2" spans="1:6" x14ac:dyDescent="0.25">
      <c r="A2" s="71" t="s">
        <v>52</v>
      </c>
      <c r="B2" s="76">
        <v>21434</v>
      </c>
      <c r="C2" s="76">
        <v>58219</v>
      </c>
      <c r="D2" s="76">
        <v>45331</v>
      </c>
      <c r="E2" s="76">
        <v>42518</v>
      </c>
      <c r="F2" s="76">
        <v>34267</v>
      </c>
    </row>
    <row r="3" spans="1:6" x14ac:dyDescent="0.25">
      <c r="A3" s="73" t="s">
        <v>188</v>
      </c>
      <c r="B3" s="75">
        <v>10286</v>
      </c>
      <c r="C3" s="75">
        <v>32725</v>
      </c>
      <c r="D3" s="75">
        <v>24855</v>
      </c>
      <c r="E3" s="75">
        <v>21695</v>
      </c>
      <c r="F3" s="75">
        <v>15181</v>
      </c>
    </row>
    <row r="4" spans="1:6" x14ac:dyDescent="0.25">
      <c r="A4" s="73" t="s">
        <v>139</v>
      </c>
      <c r="B4" s="75">
        <v>11148</v>
      </c>
      <c r="C4" s="75">
        <v>25494</v>
      </c>
      <c r="D4" s="75">
        <v>20476</v>
      </c>
      <c r="E4" s="75">
        <v>20823</v>
      </c>
      <c r="F4" s="75">
        <v>19086</v>
      </c>
    </row>
    <row r="5" spans="1:6" x14ac:dyDescent="0.25">
      <c r="A5" s="74" t="s">
        <v>2</v>
      </c>
      <c r="B5" s="76">
        <v>894</v>
      </c>
      <c r="C5" s="76">
        <v>2714</v>
      </c>
      <c r="D5" s="76">
        <v>2964</v>
      </c>
      <c r="E5" s="76">
        <v>3176</v>
      </c>
      <c r="F5" s="76">
        <v>1012</v>
      </c>
    </row>
    <row r="6" spans="1:6" x14ac:dyDescent="0.25">
      <c r="A6" s="73" t="s">
        <v>189</v>
      </c>
      <c r="B6" s="75">
        <v>551</v>
      </c>
      <c r="C6" s="75">
        <v>2112</v>
      </c>
      <c r="D6" s="75">
        <v>2355</v>
      </c>
      <c r="E6" s="75">
        <v>2092</v>
      </c>
      <c r="F6" s="75">
        <v>684</v>
      </c>
    </row>
    <row r="7" spans="1:6" x14ac:dyDescent="0.25">
      <c r="A7" s="73" t="s">
        <v>139</v>
      </c>
      <c r="B7" s="56">
        <v>343</v>
      </c>
      <c r="C7" s="56">
        <v>602</v>
      </c>
      <c r="D7" s="56">
        <v>609</v>
      </c>
      <c r="E7" s="56">
        <v>1084</v>
      </c>
      <c r="F7" s="56">
        <v>328</v>
      </c>
    </row>
    <row r="8" spans="1:6" x14ac:dyDescent="0.25">
      <c r="A8" s="74" t="s">
        <v>5</v>
      </c>
      <c r="B8" s="76">
        <v>6716</v>
      </c>
      <c r="C8" s="76">
        <v>13600</v>
      </c>
      <c r="D8" s="76">
        <v>13618</v>
      </c>
      <c r="E8" s="76">
        <v>14865</v>
      </c>
      <c r="F8" s="76">
        <v>23803</v>
      </c>
    </row>
    <row r="9" spans="1:6" x14ac:dyDescent="0.25">
      <c r="A9" s="73" t="s">
        <v>189</v>
      </c>
      <c r="B9" s="75">
        <v>3390</v>
      </c>
      <c r="C9" s="75">
        <v>7638</v>
      </c>
      <c r="D9" s="75">
        <v>7461</v>
      </c>
      <c r="E9" s="75">
        <v>7199</v>
      </c>
      <c r="F9" s="75">
        <v>12421</v>
      </c>
    </row>
    <row r="10" spans="1:6" x14ac:dyDescent="0.25">
      <c r="A10" s="73" t="s">
        <v>139</v>
      </c>
      <c r="B10" s="75">
        <v>3326</v>
      </c>
      <c r="C10" s="75">
        <v>5962</v>
      </c>
      <c r="D10" s="75">
        <v>6157</v>
      </c>
      <c r="E10" s="75">
        <v>7666</v>
      </c>
      <c r="F10" s="75">
        <v>11382</v>
      </c>
    </row>
    <row r="11" spans="1:6" x14ac:dyDescent="0.25">
      <c r="A11" s="74" t="s">
        <v>191</v>
      </c>
      <c r="B11" s="78" t="s">
        <v>4</v>
      </c>
      <c r="C11" s="78" t="s">
        <v>4</v>
      </c>
      <c r="D11" s="78" t="s">
        <v>4</v>
      </c>
      <c r="E11" s="78" t="s">
        <v>4</v>
      </c>
      <c r="F11" s="78" t="s">
        <v>4</v>
      </c>
    </row>
    <row r="12" spans="1:6" x14ac:dyDescent="0.25">
      <c r="A12" s="73" t="s">
        <v>189</v>
      </c>
      <c r="B12" s="77" t="s">
        <v>4</v>
      </c>
      <c r="C12" s="77" t="s">
        <v>4</v>
      </c>
      <c r="D12" s="77" t="s">
        <v>4</v>
      </c>
      <c r="E12" s="77" t="s">
        <v>4</v>
      </c>
      <c r="F12" s="77" t="s">
        <v>4</v>
      </c>
    </row>
    <row r="13" spans="1:6" x14ac:dyDescent="0.25">
      <c r="A13" s="73" t="s">
        <v>139</v>
      </c>
      <c r="B13" s="77" t="s">
        <v>4</v>
      </c>
      <c r="C13" s="77" t="s">
        <v>4</v>
      </c>
      <c r="D13" s="77" t="s">
        <v>4</v>
      </c>
      <c r="E13" s="77" t="s">
        <v>4</v>
      </c>
      <c r="F13" s="77" t="s">
        <v>4</v>
      </c>
    </row>
    <row r="14" spans="1:6" x14ac:dyDescent="0.25">
      <c r="A14" s="74" t="s">
        <v>6</v>
      </c>
      <c r="B14" s="78" t="s">
        <v>4</v>
      </c>
      <c r="C14" s="78" t="s">
        <v>4</v>
      </c>
      <c r="D14" s="78" t="s">
        <v>4</v>
      </c>
      <c r="E14" s="78" t="s">
        <v>4</v>
      </c>
      <c r="F14" s="78" t="s">
        <v>4</v>
      </c>
    </row>
    <row r="15" spans="1:6" x14ac:dyDescent="0.25">
      <c r="A15" s="73" t="s">
        <v>189</v>
      </c>
      <c r="B15" s="77" t="s">
        <v>4</v>
      </c>
      <c r="C15" s="77" t="s">
        <v>4</v>
      </c>
      <c r="D15" s="77" t="s">
        <v>4</v>
      </c>
      <c r="E15" s="77" t="s">
        <v>4</v>
      </c>
      <c r="F15" s="77" t="s">
        <v>4</v>
      </c>
    </row>
    <row r="16" spans="1:6" x14ac:dyDescent="0.25">
      <c r="A16" s="73" t="s">
        <v>139</v>
      </c>
      <c r="B16" s="77" t="s">
        <v>4</v>
      </c>
      <c r="C16" s="77" t="s">
        <v>4</v>
      </c>
      <c r="D16" s="77" t="s">
        <v>4</v>
      </c>
      <c r="E16" s="77" t="s">
        <v>4</v>
      </c>
      <c r="F16" s="77" t="s">
        <v>4</v>
      </c>
    </row>
    <row r="17" spans="1:6" x14ac:dyDescent="0.25">
      <c r="A17" s="74" t="s">
        <v>7</v>
      </c>
      <c r="B17" s="78" t="s">
        <v>4</v>
      </c>
      <c r="C17" s="78" t="s">
        <v>4</v>
      </c>
      <c r="D17" s="78" t="s">
        <v>4</v>
      </c>
      <c r="E17" s="78" t="s">
        <v>4</v>
      </c>
      <c r="F17" s="78" t="s">
        <v>4</v>
      </c>
    </row>
    <row r="18" spans="1:6" x14ac:dyDescent="0.25">
      <c r="A18" s="73" t="s">
        <v>189</v>
      </c>
      <c r="B18" s="75" t="s">
        <v>4</v>
      </c>
      <c r="C18" s="75" t="s">
        <v>4</v>
      </c>
      <c r="D18" s="75" t="s">
        <v>4</v>
      </c>
      <c r="E18" s="75" t="s">
        <v>4</v>
      </c>
      <c r="F18" s="75" t="s">
        <v>4</v>
      </c>
    </row>
    <row r="19" spans="1:6" x14ac:dyDescent="0.25">
      <c r="A19" s="73" t="s">
        <v>139</v>
      </c>
      <c r="B19" s="75" t="s">
        <v>4</v>
      </c>
      <c r="C19" s="75" t="s">
        <v>4</v>
      </c>
      <c r="D19" s="75" t="s">
        <v>4</v>
      </c>
      <c r="E19" s="75" t="s">
        <v>4</v>
      </c>
      <c r="F19" s="75" t="s">
        <v>4</v>
      </c>
    </row>
    <row r="20" spans="1:6" x14ac:dyDescent="0.25">
      <c r="A20" s="74" t="s">
        <v>8</v>
      </c>
      <c r="B20" s="76">
        <v>29044</v>
      </c>
      <c r="C20" s="76">
        <v>74533</v>
      </c>
      <c r="D20" s="76">
        <v>61913</v>
      </c>
      <c r="E20" s="76">
        <v>60559</v>
      </c>
      <c r="F20" s="76">
        <v>59082</v>
      </c>
    </row>
    <row r="21" spans="1:6" x14ac:dyDescent="0.25">
      <c r="A21" s="89"/>
      <c r="B21" s="90"/>
      <c r="C21" s="90"/>
      <c r="D21" s="90"/>
      <c r="E21" s="90"/>
      <c r="F21" s="91"/>
    </row>
    <row r="22" spans="1:6" ht="108" customHeight="1" x14ac:dyDescent="0.25">
      <c r="A22" s="96" t="s">
        <v>193</v>
      </c>
      <c r="B22" s="96"/>
      <c r="C22" s="96"/>
      <c r="D22" s="96"/>
      <c r="E22" s="96"/>
      <c r="F22" s="96"/>
    </row>
    <row r="23" spans="1:6" ht="15" customHeight="1" x14ac:dyDescent="0.25">
      <c r="A23" s="96" t="s">
        <v>13</v>
      </c>
      <c r="B23" s="96"/>
      <c r="C23" s="96"/>
      <c r="D23" s="96"/>
      <c r="E23" s="96"/>
      <c r="F23" s="96"/>
    </row>
    <row r="24" spans="1:6" ht="18.75" customHeight="1" x14ac:dyDescent="0.25">
      <c r="A24" s="96" t="s">
        <v>14</v>
      </c>
      <c r="B24" s="96"/>
      <c r="C24" s="96"/>
      <c r="D24" s="96"/>
      <c r="E24" s="96"/>
      <c r="F24" s="96"/>
    </row>
    <row r="25" spans="1:6" ht="18" customHeight="1" x14ac:dyDescent="0.25">
      <c r="A25" s="96" t="s">
        <v>11</v>
      </c>
      <c r="B25" s="96"/>
      <c r="C25" s="96"/>
      <c r="D25" s="96"/>
      <c r="E25" s="96"/>
      <c r="F25" s="96"/>
    </row>
    <row r="26" spans="1:6" ht="30" customHeight="1" x14ac:dyDescent="0.25">
      <c r="A26" s="82" t="s">
        <v>12</v>
      </c>
      <c r="B26" s="83"/>
      <c r="C26" s="83"/>
      <c r="D26" s="83"/>
      <c r="E26" s="83"/>
      <c r="F26" s="84"/>
    </row>
  </sheetData>
  <mergeCells count="6">
    <mergeCell ref="A26:F26"/>
    <mergeCell ref="A21:F21"/>
    <mergeCell ref="A22:F22"/>
    <mergeCell ref="A23:F23"/>
    <mergeCell ref="A24:F24"/>
    <mergeCell ref="A25:F25"/>
  </mergeCells>
  <printOptions gridLines="1"/>
  <pageMargins left="0.75" right="0.75" top="1" bottom="1" header="0.5" footer="0.5"/>
  <pageSetup orientation="portrait" horizontalDpi="300" verticalDpi="300"/>
  <headerFooter>
    <oddHeader>Report #2_x000D_dtcc_irs_20130208</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F20" sqref="A1:F20"/>
    </sheetView>
  </sheetViews>
  <sheetFormatPr defaultRowHeight="15" x14ac:dyDescent="0.25"/>
  <cols>
    <col min="1" max="1" width="20.7109375" style="5" customWidth="1"/>
    <col min="2" max="2" width="12.5703125" style="5" customWidth="1"/>
    <col min="3" max="4" width="11.7109375" style="5" customWidth="1"/>
    <col min="5" max="5" width="13" style="5" customWidth="1"/>
    <col min="6" max="6" width="12.140625" style="5" customWidth="1"/>
    <col min="7" max="16384" width="9.140625" style="5"/>
  </cols>
  <sheetData>
    <row r="1" spans="1:6" ht="23.25" customHeight="1" x14ac:dyDescent="0.25">
      <c r="A1" s="72"/>
      <c r="B1" s="79" t="s">
        <v>197</v>
      </c>
      <c r="C1" s="79" t="s">
        <v>198</v>
      </c>
      <c r="D1" s="79" t="s">
        <v>199</v>
      </c>
      <c r="E1" s="79" t="s">
        <v>200</v>
      </c>
      <c r="F1" s="79" t="s">
        <v>206</v>
      </c>
    </row>
    <row r="2" spans="1:6" x14ac:dyDescent="0.25">
      <c r="A2" s="71" t="s">
        <v>52</v>
      </c>
      <c r="B2" s="76">
        <v>1104491</v>
      </c>
      <c r="C2" s="76">
        <v>4806086</v>
      </c>
      <c r="D2" s="76">
        <v>3871832</v>
      </c>
      <c r="E2" s="76">
        <v>2900817</v>
      </c>
      <c r="F2" s="76">
        <v>2277826.3496300001</v>
      </c>
    </row>
    <row r="3" spans="1:6" ht="15" customHeight="1" x14ac:dyDescent="0.25">
      <c r="A3" s="73" t="s">
        <v>178</v>
      </c>
      <c r="B3" s="75">
        <v>761398</v>
      </c>
      <c r="C3" s="75">
        <v>3593783</v>
      </c>
      <c r="D3" s="75">
        <v>2274152</v>
      </c>
      <c r="E3" s="75">
        <v>1914985</v>
      </c>
      <c r="F3" s="75">
        <v>1827220.0608000001</v>
      </c>
    </row>
    <row r="4" spans="1:6" ht="15" customHeight="1" x14ac:dyDescent="0.25">
      <c r="A4" s="73" t="s">
        <v>179</v>
      </c>
      <c r="B4" s="75">
        <v>343093</v>
      </c>
      <c r="C4" s="75">
        <v>1212303</v>
      </c>
      <c r="D4" s="75">
        <v>1597680</v>
      </c>
      <c r="E4" s="75">
        <v>985832</v>
      </c>
      <c r="F4" s="75">
        <v>450606.28882999998</v>
      </c>
    </row>
    <row r="5" spans="1:6" ht="15" customHeight="1" x14ac:dyDescent="0.25">
      <c r="A5" s="71" t="s">
        <v>2</v>
      </c>
      <c r="B5" s="76">
        <v>34943</v>
      </c>
      <c r="C5" s="76">
        <v>172195</v>
      </c>
      <c r="D5" s="76">
        <v>320231</v>
      </c>
      <c r="E5" s="76">
        <v>119256</v>
      </c>
      <c r="F5" s="76">
        <v>44559.888622999999</v>
      </c>
    </row>
    <row r="6" spans="1:6" ht="15" customHeight="1" x14ac:dyDescent="0.25">
      <c r="A6" s="73" t="s">
        <v>180</v>
      </c>
      <c r="B6" s="57" t="s">
        <v>181</v>
      </c>
      <c r="C6" s="57" t="s">
        <v>181</v>
      </c>
      <c r="D6" s="57" t="s">
        <v>181</v>
      </c>
      <c r="E6" s="57" t="s">
        <v>181</v>
      </c>
      <c r="F6" s="57" t="s">
        <v>181</v>
      </c>
    </row>
    <row r="7" spans="1:6" ht="15" customHeight="1" x14ac:dyDescent="0.25">
      <c r="A7" s="73" t="s">
        <v>179</v>
      </c>
      <c r="B7" s="75">
        <v>34943</v>
      </c>
      <c r="C7" s="75">
        <v>172195</v>
      </c>
      <c r="D7" s="75">
        <v>320231</v>
      </c>
      <c r="E7" s="75">
        <v>119256</v>
      </c>
      <c r="F7" s="75">
        <v>44559.888622999999</v>
      </c>
    </row>
    <row r="8" spans="1:6" ht="15" customHeight="1" x14ac:dyDescent="0.25">
      <c r="A8" s="71" t="s">
        <v>5</v>
      </c>
      <c r="B8" s="76">
        <v>146697</v>
      </c>
      <c r="C8" s="76">
        <v>351972</v>
      </c>
      <c r="D8" s="76">
        <v>325420</v>
      </c>
      <c r="E8" s="76">
        <v>304715</v>
      </c>
      <c r="F8" s="76">
        <v>430643.48682400002</v>
      </c>
    </row>
    <row r="9" spans="1:6" ht="15" customHeight="1" x14ac:dyDescent="0.25">
      <c r="A9" s="73" t="s">
        <v>180</v>
      </c>
      <c r="B9" s="75">
        <v>61657</v>
      </c>
      <c r="C9" s="75">
        <v>186083</v>
      </c>
      <c r="D9" s="75">
        <v>199418</v>
      </c>
      <c r="E9" s="75">
        <v>235880</v>
      </c>
      <c r="F9" s="75">
        <v>353457.79515000002</v>
      </c>
    </row>
    <row r="10" spans="1:6" ht="15" customHeight="1" x14ac:dyDescent="0.25">
      <c r="A10" s="73" t="s">
        <v>179</v>
      </c>
      <c r="B10" s="75">
        <v>85040</v>
      </c>
      <c r="C10" s="75">
        <v>165889</v>
      </c>
      <c r="D10" s="75">
        <v>126003</v>
      </c>
      <c r="E10" s="75">
        <v>68835</v>
      </c>
      <c r="F10" s="75">
        <v>77185.691674000002</v>
      </c>
    </row>
    <row r="11" spans="1:6" ht="15" customHeight="1" x14ac:dyDescent="0.25">
      <c r="A11" s="74" t="s">
        <v>191</v>
      </c>
      <c r="B11" s="78" t="s">
        <v>4</v>
      </c>
      <c r="C11" s="78" t="s">
        <v>4</v>
      </c>
      <c r="D11" s="78" t="s">
        <v>4</v>
      </c>
      <c r="E11" s="78" t="s">
        <v>4</v>
      </c>
      <c r="F11" s="78" t="s">
        <v>4</v>
      </c>
    </row>
    <row r="12" spans="1:6" ht="15" customHeight="1" x14ac:dyDescent="0.25">
      <c r="A12" s="73" t="s">
        <v>180</v>
      </c>
      <c r="B12" s="77" t="s">
        <v>4</v>
      </c>
      <c r="C12" s="77" t="s">
        <v>4</v>
      </c>
      <c r="D12" s="77" t="s">
        <v>4</v>
      </c>
      <c r="E12" s="77" t="s">
        <v>4</v>
      </c>
      <c r="F12" s="77" t="s">
        <v>4</v>
      </c>
    </row>
    <row r="13" spans="1:6" ht="15" customHeight="1" x14ac:dyDescent="0.25">
      <c r="A13" s="73" t="s">
        <v>179</v>
      </c>
      <c r="B13" s="77" t="s">
        <v>4</v>
      </c>
      <c r="C13" s="77" t="s">
        <v>4</v>
      </c>
      <c r="D13" s="77" t="s">
        <v>4</v>
      </c>
      <c r="E13" s="77" t="s">
        <v>4</v>
      </c>
      <c r="F13" s="77" t="s">
        <v>4</v>
      </c>
    </row>
    <row r="14" spans="1:6" ht="15" customHeight="1" x14ac:dyDescent="0.25">
      <c r="A14" s="71" t="s">
        <v>6</v>
      </c>
      <c r="B14" s="76" t="s">
        <v>4</v>
      </c>
      <c r="C14" s="76" t="s">
        <v>4</v>
      </c>
      <c r="D14" s="76" t="s">
        <v>4</v>
      </c>
      <c r="E14" s="76" t="s">
        <v>4</v>
      </c>
      <c r="F14" s="76" t="s">
        <v>4</v>
      </c>
    </row>
    <row r="15" spans="1:6" ht="15" customHeight="1" x14ac:dyDescent="0.25">
      <c r="A15" s="73" t="s">
        <v>180</v>
      </c>
      <c r="B15" s="75" t="s">
        <v>4</v>
      </c>
      <c r="C15" s="75" t="s">
        <v>4</v>
      </c>
      <c r="D15" s="75" t="s">
        <v>4</v>
      </c>
      <c r="E15" s="75" t="s">
        <v>4</v>
      </c>
      <c r="F15" s="75" t="s">
        <v>4</v>
      </c>
    </row>
    <row r="16" spans="1:6" ht="15" customHeight="1" x14ac:dyDescent="0.25">
      <c r="A16" s="73" t="s">
        <v>179</v>
      </c>
      <c r="B16" s="75" t="s">
        <v>4</v>
      </c>
      <c r="C16" s="75" t="s">
        <v>4</v>
      </c>
      <c r="D16" s="75" t="s">
        <v>4</v>
      </c>
      <c r="E16" s="75" t="s">
        <v>4</v>
      </c>
      <c r="F16" s="75" t="s">
        <v>4</v>
      </c>
    </row>
    <row r="17" spans="1:6" ht="15" customHeight="1" x14ac:dyDescent="0.25">
      <c r="A17" s="71" t="s">
        <v>7</v>
      </c>
      <c r="B17" s="76" t="s">
        <v>4</v>
      </c>
      <c r="C17" s="76" t="s">
        <v>4</v>
      </c>
      <c r="D17" s="76" t="s">
        <v>4</v>
      </c>
      <c r="E17" s="76" t="s">
        <v>4</v>
      </c>
      <c r="F17" s="76" t="s">
        <v>4</v>
      </c>
    </row>
    <row r="18" spans="1:6" ht="16.5" customHeight="1" x14ac:dyDescent="0.25">
      <c r="A18" s="73" t="s">
        <v>180</v>
      </c>
      <c r="B18" s="75" t="s">
        <v>4</v>
      </c>
      <c r="C18" s="75" t="s">
        <v>4</v>
      </c>
      <c r="D18" s="75" t="s">
        <v>4</v>
      </c>
      <c r="E18" s="75" t="s">
        <v>4</v>
      </c>
      <c r="F18" s="75" t="s">
        <v>4</v>
      </c>
    </row>
    <row r="19" spans="1:6" ht="15.75" customHeight="1" x14ac:dyDescent="0.25">
      <c r="A19" s="73" t="s">
        <v>179</v>
      </c>
      <c r="B19" s="75" t="s">
        <v>4</v>
      </c>
      <c r="C19" s="75" t="s">
        <v>4</v>
      </c>
      <c r="D19" s="75" t="s">
        <v>4</v>
      </c>
      <c r="E19" s="75" t="s">
        <v>4</v>
      </c>
      <c r="F19" s="75" t="s">
        <v>4</v>
      </c>
    </row>
    <row r="20" spans="1:6" ht="15.95" customHeight="1" x14ac:dyDescent="0.25">
      <c r="A20" s="71" t="s">
        <v>8</v>
      </c>
      <c r="B20" s="76">
        <v>1286131</v>
      </c>
      <c r="C20" s="76">
        <v>5330253</v>
      </c>
      <c r="D20" s="76">
        <v>4517483</v>
      </c>
      <c r="E20" s="76">
        <v>3324787</v>
      </c>
      <c r="F20" s="76">
        <v>2753029.7250770004</v>
      </c>
    </row>
    <row r="21" spans="1:6" ht="15.95" customHeight="1" x14ac:dyDescent="0.25">
      <c r="A21" s="97"/>
      <c r="B21" s="98"/>
      <c r="C21" s="98"/>
      <c r="D21" s="98"/>
      <c r="E21" s="98"/>
      <c r="F21" s="99"/>
    </row>
    <row r="22" spans="1:6" ht="66.75" customHeight="1" x14ac:dyDescent="0.25">
      <c r="A22" s="96" t="s">
        <v>194</v>
      </c>
      <c r="B22" s="96"/>
      <c r="C22" s="96"/>
      <c r="D22" s="96"/>
      <c r="E22" s="96"/>
      <c r="F22" s="96"/>
    </row>
    <row r="23" spans="1:6" ht="15.95" customHeight="1" x14ac:dyDescent="0.25">
      <c r="A23" s="96" t="s">
        <v>13</v>
      </c>
      <c r="B23" s="96"/>
      <c r="C23" s="96"/>
      <c r="D23" s="96"/>
      <c r="E23" s="96"/>
      <c r="F23" s="96"/>
    </row>
    <row r="24" spans="1:6" ht="15" customHeight="1" x14ac:dyDescent="0.25">
      <c r="A24" s="96" t="s">
        <v>10</v>
      </c>
      <c r="B24" s="96"/>
      <c r="C24" s="96"/>
      <c r="D24" s="96"/>
      <c r="E24" s="96"/>
      <c r="F24" s="96"/>
    </row>
    <row r="25" spans="1:6" ht="15" customHeight="1" x14ac:dyDescent="0.25">
      <c r="A25" s="96" t="s">
        <v>11</v>
      </c>
      <c r="B25" s="96"/>
      <c r="C25" s="96"/>
      <c r="D25" s="96"/>
      <c r="E25" s="96"/>
      <c r="F25" s="96"/>
    </row>
    <row r="26" spans="1:6" ht="29.25" customHeight="1" x14ac:dyDescent="0.25">
      <c r="A26" s="82" t="s">
        <v>12</v>
      </c>
      <c r="B26" s="83"/>
      <c r="C26" s="83"/>
      <c r="D26" s="83"/>
      <c r="E26" s="83"/>
      <c r="F26" s="84"/>
    </row>
  </sheetData>
  <mergeCells count="6">
    <mergeCell ref="A26:F26"/>
    <mergeCell ref="A21:F21"/>
    <mergeCell ref="A22:F22"/>
    <mergeCell ref="A23:F23"/>
    <mergeCell ref="A24:F24"/>
    <mergeCell ref="A25:F25"/>
  </mergeCells>
  <pageMargins left="0.75" right="0.75" top="1" bottom="1" header="0.5" footer="0.5"/>
  <pageSetup orientation="portrait" horizontalDpi="300" verticalDpi="300"/>
  <headerFooter>
    <oddHeader>Report #2_x000D_dtcc_irs_20130208</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H14" sqref="H14"/>
    </sheetView>
  </sheetViews>
  <sheetFormatPr defaultRowHeight="15" x14ac:dyDescent="0.25"/>
  <cols>
    <col min="1" max="1" width="20.7109375" style="5" customWidth="1"/>
    <col min="2" max="2" width="12.140625" style="5" customWidth="1"/>
    <col min="3" max="4" width="11.7109375" style="5" customWidth="1"/>
    <col min="5" max="5" width="12.85546875" style="5" customWidth="1"/>
    <col min="6" max="6" width="12.7109375" style="5" customWidth="1"/>
    <col min="7" max="16384" width="9.140625" style="5"/>
  </cols>
  <sheetData>
    <row r="1" spans="1:6" ht="14.1" customHeight="1" x14ac:dyDescent="0.25">
      <c r="A1" s="72"/>
      <c r="B1" s="79" t="s">
        <v>197</v>
      </c>
      <c r="C1" s="79" t="s">
        <v>198</v>
      </c>
      <c r="D1" s="79" t="s">
        <v>199</v>
      </c>
      <c r="E1" s="79" t="s">
        <v>200</v>
      </c>
      <c r="F1" s="79" t="s">
        <v>206</v>
      </c>
    </row>
    <row r="2" spans="1:6" x14ac:dyDescent="0.25">
      <c r="A2" s="71" t="s">
        <v>52</v>
      </c>
      <c r="B2" s="76">
        <v>2208982</v>
      </c>
      <c r="C2" s="76">
        <v>9612173</v>
      </c>
      <c r="D2" s="76">
        <v>7743663</v>
      </c>
      <c r="E2" s="76">
        <v>5801634</v>
      </c>
      <c r="F2" s="76">
        <v>4555652.6993000004</v>
      </c>
    </row>
    <row r="3" spans="1:6" ht="15" customHeight="1" x14ac:dyDescent="0.25">
      <c r="A3" s="73" t="s">
        <v>188</v>
      </c>
      <c r="B3" s="75">
        <v>1367029</v>
      </c>
      <c r="C3" s="75">
        <v>6801686</v>
      </c>
      <c r="D3" s="75">
        <v>4974818</v>
      </c>
      <c r="E3" s="75">
        <v>3630278</v>
      </c>
      <c r="F3" s="75">
        <v>2674239.9618000002</v>
      </c>
    </row>
    <row r="4" spans="1:6" ht="15" customHeight="1" x14ac:dyDescent="0.25">
      <c r="A4" s="73" t="s">
        <v>139</v>
      </c>
      <c r="B4" s="75">
        <v>841953</v>
      </c>
      <c r="C4" s="75">
        <v>2810487</v>
      </c>
      <c r="D4" s="75">
        <v>2768845</v>
      </c>
      <c r="E4" s="75">
        <v>2171356</v>
      </c>
      <c r="F4" s="75">
        <v>1881412.7375</v>
      </c>
    </row>
    <row r="5" spans="1:6" ht="15" customHeight="1" x14ac:dyDescent="0.25">
      <c r="A5" s="74" t="s">
        <v>2</v>
      </c>
      <c r="B5" s="76">
        <v>69885</v>
      </c>
      <c r="C5" s="76">
        <v>344390</v>
      </c>
      <c r="D5" s="76">
        <v>640461</v>
      </c>
      <c r="E5" s="76">
        <v>238511</v>
      </c>
      <c r="F5" s="76">
        <v>89119.777246999991</v>
      </c>
    </row>
    <row r="6" spans="1:6" ht="15" customHeight="1" x14ac:dyDescent="0.25">
      <c r="A6" s="73" t="s">
        <v>189</v>
      </c>
      <c r="B6" s="75">
        <v>42920</v>
      </c>
      <c r="C6" s="75">
        <v>279016</v>
      </c>
      <c r="D6" s="75">
        <v>586805</v>
      </c>
      <c r="E6" s="75">
        <v>164386</v>
      </c>
      <c r="F6" s="75">
        <v>57870.192096999999</v>
      </c>
    </row>
    <row r="7" spans="1:6" ht="15" customHeight="1" x14ac:dyDescent="0.25">
      <c r="A7" s="73" t="s">
        <v>139</v>
      </c>
      <c r="B7" s="75">
        <v>26965</v>
      </c>
      <c r="C7" s="75">
        <v>65374</v>
      </c>
      <c r="D7" s="75">
        <v>53656</v>
      </c>
      <c r="E7" s="75">
        <v>74125</v>
      </c>
      <c r="F7" s="75">
        <v>31249.585149999999</v>
      </c>
    </row>
    <row r="8" spans="1:6" ht="15" customHeight="1" x14ac:dyDescent="0.25">
      <c r="A8" s="74" t="s">
        <v>5</v>
      </c>
      <c r="B8" s="76">
        <v>293395</v>
      </c>
      <c r="C8" s="76">
        <v>703944</v>
      </c>
      <c r="D8" s="76">
        <v>650841</v>
      </c>
      <c r="E8" s="76">
        <v>609430</v>
      </c>
      <c r="F8" s="76">
        <v>861286.9736599999</v>
      </c>
    </row>
    <row r="9" spans="1:6" ht="15" customHeight="1" x14ac:dyDescent="0.25">
      <c r="A9" s="73" t="s">
        <v>189</v>
      </c>
      <c r="B9" s="75">
        <v>174674</v>
      </c>
      <c r="C9" s="75">
        <v>411706</v>
      </c>
      <c r="D9" s="75">
        <v>401095</v>
      </c>
      <c r="E9" s="75">
        <v>362566</v>
      </c>
      <c r="F9" s="75">
        <v>520369.54174999997</v>
      </c>
    </row>
    <row r="10" spans="1:6" ht="15" customHeight="1" x14ac:dyDescent="0.25">
      <c r="A10" s="73" t="s">
        <v>139</v>
      </c>
      <c r="B10" s="75">
        <v>118721</v>
      </c>
      <c r="C10" s="75">
        <v>292238</v>
      </c>
      <c r="D10" s="75">
        <v>249745</v>
      </c>
      <c r="E10" s="75">
        <v>246864</v>
      </c>
      <c r="F10" s="75">
        <v>340917.43190999998</v>
      </c>
    </row>
    <row r="11" spans="1:6" ht="15" customHeight="1" x14ac:dyDescent="0.25">
      <c r="A11" s="74" t="s">
        <v>191</v>
      </c>
      <c r="B11" s="78" t="s">
        <v>4</v>
      </c>
      <c r="C11" s="78" t="s">
        <v>4</v>
      </c>
      <c r="D11" s="78" t="s">
        <v>4</v>
      </c>
      <c r="E11" s="78" t="s">
        <v>4</v>
      </c>
      <c r="F11" s="78" t="s">
        <v>4</v>
      </c>
    </row>
    <row r="12" spans="1:6" ht="15" customHeight="1" x14ac:dyDescent="0.25">
      <c r="A12" s="73" t="s">
        <v>189</v>
      </c>
      <c r="B12" s="77" t="s">
        <v>4</v>
      </c>
      <c r="C12" s="77" t="s">
        <v>4</v>
      </c>
      <c r="D12" s="77" t="s">
        <v>4</v>
      </c>
      <c r="E12" s="77" t="s">
        <v>4</v>
      </c>
      <c r="F12" s="77" t="s">
        <v>4</v>
      </c>
    </row>
    <row r="13" spans="1:6" ht="15" customHeight="1" x14ac:dyDescent="0.25">
      <c r="A13" s="73" t="s">
        <v>139</v>
      </c>
      <c r="B13" s="77" t="s">
        <v>4</v>
      </c>
      <c r="C13" s="77" t="s">
        <v>4</v>
      </c>
      <c r="D13" s="77" t="s">
        <v>4</v>
      </c>
      <c r="E13" s="77" t="s">
        <v>4</v>
      </c>
      <c r="F13" s="77" t="s">
        <v>4</v>
      </c>
    </row>
    <row r="14" spans="1:6" ht="15" customHeight="1" x14ac:dyDescent="0.25">
      <c r="A14" s="74" t="s">
        <v>6</v>
      </c>
      <c r="B14" s="78" t="s">
        <v>4</v>
      </c>
      <c r="C14" s="78" t="s">
        <v>4</v>
      </c>
      <c r="D14" s="78" t="s">
        <v>4</v>
      </c>
      <c r="E14" s="78" t="s">
        <v>4</v>
      </c>
      <c r="F14" s="78" t="s">
        <v>4</v>
      </c>
    </row>
    <row r="15" spans="1:6" ht="15" customHeight="1" x14ac:dyDescent="0.25">
      <c r="A15" s="73" t="s">
        <v>189</v>
      </c>
      <c r="B15" s="77" t="s">
        <v>4</v>
      </c>
      <c r="C15" s="77" t="s">
        <v>4</v>
      </c>
      <c r="D15" s="77" t="s">
        <v>4</v>
      </c>
      <c r="E15" s="77" t="s">
        <v>4</v>
      </c>
      <c r="F15" s="77" t="s">
        <v>4</v>
      </c>
    </row>
    <row r="16" spans="1:6" ht="15" customHeight="1" x14ac:dyDescent="0.25">
      <c r="A16" s="73" t="s">
        <v>139</v>
      </c>
      <c r="B16" s="77" t="s">
        <v>4</v>
      </c>
      <c r="C16" s="77" t="s">
        <v>4</v>
      </c>
      <c r="D16" s="77" t="s">
        <v>4</v>
      </c>
      <c r="E16" s="77" t="s">
        <v>4</v>
      </c>
      <c r="F16" s="77" t="s">
        <v>4</v>
      </c>
    </row>
    <row r="17" spans="1:6" ht="15" customHeight="1" x14ac:dyDescent="0.25">
      <c r="A17" s="74" t="s">
        <v>7</v>
      </c>
      <c r="B17" s="76" t="s">
        <v>4</v>
      </c>
      <c r="C17" s="76" t="s">
        <v>4</v>
      </c>
      <c r="D17" s="76" t="s">
        <v>4</v>
      </c>
      <c r="E17" s="76" t="s">
        <v>4</v>
      </c>
      <c r="F17" s="76" t="s">
        <v>4</v>
      </c>
    </row>
    <row r="18" spans="1:6" ht="15" customHeight="1" x14ac:dyDescent="0.25">
      <c r="A18" s="73" t="s">
        <v>189</v>
      </c>
      <c r="B18" s="75" t="s">
        <v>4</v>
      </c>
      <c r="C18" s="75" t="s">
        <v>4</v>
      </c>
      <c r="D18" s="75" t="s">
        <v>4</v>
      </c>
      <c r="E18" s="75" t="s">
        <v>4</v>
      </c>
      <c r="F18" s="75" t="s">
        <v>4</v>
      </c>
    </row>
    <row r="19" spans="1:6" ht="15" customHeight="1" x14ac:dyDescent="0.25">
      <c r="A19" s="73" t="s">
        <v>139</v>
      </c>
      <c r="B19" s="75" t="s">
        <v>4</v>
      </c>
      <c r="C19" s="75" t="s">
        <v>4</v>
      </c>
      <c r="D19" s="75" t="s">
        <v>4</v>
      </c>
      <c r="E19" s="75" t="s">
        <v>4</v>
      </c>
      <c r="F19" s="75" t="s">
        <v>4</v>
      </c>
    </row>
    <row r="20" spans="1:6" ht="15" customHeight="1" x14ac:dyDescent="0.25">
      <c r="A20" s="74" t="s">
        <v>8</v>
      </c>
      <c r="B20" s="76">
        <v>2572262</v>
      </c>
      <c r="C20" s="76">
        <v>10660507</v>
      </c>
      <c r="D20" s="76">
        <v>9034965</v>
      </c>
      <c r="E20" s="76">
        <v>6649575</v>
      </c>
      <c r="F20" s="76">
        <v>5506059.4502070006</v>
      </c>
    </row>
    <row r="21" spans="1:6" ht="15" customHeight="1" x14ac:dyDescent="0.25">
      <c r="A21" s="89"/>
      <c r="B21" s="90"/>
      <c r="C21" s="90"/>
      <c r="D21" s="90"/>
      <c r="E21" s="90"/>
      <c r="F21" s="91"/>
    </row>
    <row r="22" spans="1:6" ht="105.75" customHeight="1" x14ac:dyDescent="0.25">
      <c r="A22" s="96" t="s">
        <v>195</v>
      </c>
      <c r="B22" s="96"/>
      <c r="C22" s="96"/>
      <c r="D22" s="96"/>
      <c r="E22" s="96"/>
      <c r="F22" s="96"/>
    </row>
    <row r="23" spans="1:6" ht="15" customHeight="1" x14ac:dyDescent="0.25">
      <c r="A23" s="96" t="s">
        <v>13</v>
      </c>
      <c r="B23" s="96"/>
      <c r="C23" s="96"/>
      <c r="D23" s="96"/>
      <c r="E23" s="96"/>
      <c r="F23" s="96"/>
    </row>
    <row r="24" spans="1:6" ht="14.25" customHeight="1" x14ac:dyDescent="0.25">
      <c r="A24" s="96" t="s">
        <v>14</v>
      </c>
      <c r="B24" s="96"/>
      <c r="C24" s="96"/>
      <c r="D24" s="96"/>
      <c r="E24" s="96"/>
      <c r="F24" s="96"/>
    </row>
    <row r="25" spans="1:6" ht="15.75" customHeight="1" x14ac:dyDescent="0.25">
      <c r="A25" s="96" t="s">
        <v>11</v>
      </c>
      <c r="B25" s="96"/>
      <c r="C25" s="96"/>
      <c r="D25" s="96"/>
      <c r="E25" s="96"/>
      <c r="F25" s="96"/>
    </row>
    <row r="26" spans="1:6" ht="27" customHeight="1" x14ac:dyDescent="0.25">
      <c r="A26" s="82" t="s">
        <v>12</v>
      </c>
      <c r="B26" s="83"/>
      <c r="C26" s="83"/>
      <c r="D26" s="83"/>
      <c r="E26" s="83"/>
      <c r="F26" s="84"/>
    </row>
  </sheetData>
  <mergeCells count="6">
    <mergeCell ref="A26:F26"/>
    <mergeCell ref="A21:F21"/>
    <mergeCell ref="A22:F22"/>
    <mergeCell ref="A23:F23"/>
    <mergeCell ref="A24:F24"/>
    <mergeCell ref="A25:F25"/>
  </mergeCells>
  <pageMargins left="0.75" right="0.75" top="1" bottom="1" header="0.5" footer="0.5"/>
  <pageSetup orientation="portrait" horizontalDpi="300" verticalDpi="300"/>
  <headerFooter>
    <oddHeader>Report #2_x000D_dtcc_irs_20130208</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A8" sqref="A1:D8"/>
    </sheetView>
  </sheetViews>
  <sheetFormatPr defaultRowHeight="15" x14ac:dyDescent="0.25"/>
  <cols>
    <col min="1" max="1" width="24.7109375" customWidth="1"/>
    <col min="2" max="4" width="14.7109375" customWidth="1"/>
  </cols>
  <sheetData>
    <row r="1" spans="1:4" x14ac:dyDescent="0.25">
      <c r="A1" s="45" t="s">
        <v>63</v>
      </c>
      <c r="B1" s="45" t="s">
        <v>64</v>
      </c>
      <c r="C1" s="45" t="s">
        <v>1</v>
      </c>
      <c r="D1" s="45" t="s">
        <v>8</v>
      </c>
    </row>
    <row r="2" spans="1:4" x14ac:dyDescent="0.25">
      <c r="A2" s="17" t="s">
        <v>65</v>
      </c>
      <c r="B2" s="63">
        <v>125616529</v>
      </c>
      <c r="C2" s="63">
        <v>71371557</v>
      </c>
      <c r="D2" s="63">
        <v>196988086</v>
      </c>
    </row>
    <row r="3" spans="1:4" x14ac:dyDescent="0.25">
      <c r="A3" s="18" t="s">
        <v>15</v>
      </c>
      <c r="B3" s="63">
        <v>47088089</v>
      </c>
      <c r="C3" s="63">
        <v>7996875</v>
      </c>
      <c r="D3" s="63">
        <v>55084964</v>
      </c>
    </row>
    <row r="4" spans="1:4" x14ac:dyDescent="0.25">
      <c r="A4" s="18" t="s">
        <v>18</v>
      </c>
      <c r="B4" s="63">
        <v>27698644</v>
      </c>
      <c r="C4" s="63">
        <v>9414863</v>
      </c>
      <c r="D4" s="63">
        <v>37113507</v>
      </c>
    </row>
    <row r="5" spans="1:4" x14ac:dyDescent="0.25">
      <c r="A5" s="18" t="s">
        <v>21</v>
      </c>
      <c r="B5" s="63">
        <v>0</v>
      </c>
      <c r="C5" s="63">
        <v>20642257</v>
      </c>
      <c r="D5" s="63">
        <v>20642257</v>
      </c>
    </row>
    <row r="6" spans="1:4" x14ac:dyDescent="0.25">
      <c r="A6" s="19" t="s">
        <v>66</v>
      </c>
      <c r="B6" s="63">
        <v>6340351</v>
      </c>
      <c r="C6" s="63">
        <v>27146383</v>
      </c>
      <c r="D6" s="63">
        <v>33486734</v>
      </c>
    </row>
    <row r="7" spans="1:4" x14ac:dyDescent="0.25">
      <c r="A7" s="20" t="s">
        <v>8</v>
      </c>
      <c r="B7" s="70">
        <f>SUM(B2:B6)</f>
        <v>206743613</v>
      </c>
      <c r="C7" s="70">
        <f>SUM(C2:C6)</f>
        <v>136571935</v>
      </c>
      <c r="D7" s="70">
        <f>SUM(D2:D6)</f>
        <v>343315548</v>
      </c>
    </row>
    <row r="8" spans="1:4" ht="34.5" customHeight="1" x14ac:dyDescent="0.25">
      <c r="A8" s="100" t="s">
        <v>67</v>
      </c>
      <c r="B8" s="100"/>
      <c r="C8" s="100"/>
      <c r="D8" s="100"/>
    </row>
    <row r="9" spans="1:4" x14ac:dyDescent="0.25">
      <c r="B9" s="21"/>
      <c r="C9" s="21"/>
    </row>
    <row r="10" spans="1:4" ht="14.25" customHeight="1" x14ac:dyDescent="0.25"/>
  </sheetData>
  <mergeCells count="1">
    <mergeCell ref="A8:D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election activeCell="A9" sqref="A1:I9"/>
    </sheetView>
  </sheetViews>
  <sheetFormatPr defaultRowHeight="15" x14ac:dyDescent="0.25"/>
  <cols>
    <col min="1" max="1" width="20.7109375" customWidth="1"/>
    <col min="2" max="3" width="12" bestFit="1" customWidth="1"/>
    <col min="4" max="4" width="11.5703125" bestFit="1" customWidth="1"/>
    <col min="5" max="5" width="12" bestFit="1" customWidth="1"/>
    <col min="6" max="8" width="12" customWidth="1"/>
    <col min="9" max="9" width="12.5703125" customWidth="1"/>
  </cols>
  <sheetData>
    <row r="1" spans="1:9" ht="15.75" x14ac:dyDescent="0.25">
      <c r="A1" s="45" t="s">
        <v>63</v>
      </c>
      <c r="B1" s="42" t="s">
        <v>68</v>
      </c>
      <c r="C1" s="42" t="s">
        <v>25</v>
      </c>
      <c r="D1" s="42" t="s">
        <v>23</v>
      </c>
      <c r="E1" s="42" t="s">
        <v>24</v>
      </c>
      <c r="F1" s="42" t="s">
        <v>69</v>
      </c>
      <c r="G1" s="42" t="s">
        <v>26</v>
      </c>
      <c r="H1" s="42" t="s">
        <v>70</v>
      </c>
      <c r="I1" s="42" t="s">
        <v>8</v>
      </c>
    </row>
    <row r="2" spans="1:9" x14ac:dyDescent="0.25">
      <c r="A2" s="18" t="s">
        <v>32</v>
      </c>
      <c r="B2" s="60">
        <v>1177531</v>
      </c>
      <c r="C2" s="60">
        <v>8598876</v>
      </c>
      <c r="D2" s="60">
        <v>2320596</v>
      </c>
      <c r="E2" s="60">
        <v>1938859</v>
      </c>
      <c r="F2" s="60">
        <v>349294</v>
      </c>
      <c r="G2" s="60">
        <v>133158</v>
      </c>
      <c r="H2" s="60">
        <v>232689</v>
      </c>
      <c r="I2" s="60">
        <v>14751003</v>
      </c>
    </row>
    <row r="3" spans="1:9" x14ac:dyDescent="0.25">
      <c r="A3" s="17" t="s">
        <v>65</v>
      </c>
      <c r="B3" s="60">
        <v>64460329</v>
      </c>
      <c r="C3" s="60">
        <v>77704041</v>
      </c>
      <c r="D3" s="60">
        <v>14714568</v>
      </c>
      <c r="E3" s="60">
        <v>18892310</v>
      </c>
      <c r="F3" s="60">
        <v>4671785</v>
      </c>
      <c r="G3" s="60">
        <v>4321226</v>
      </c>
      <c r="H3" s="60">
        <v>12223828</v>
      </c>
      <c r="I3" s="60">
        <v>196988087</v>
      </c>
    </row>
    <row r="4" spans="1:9" x14ac:dyDescent="0.25">
      <c r="A4" s="18" t="s">
        <v>15</v>
      </c>
      <c r="B4" s="60">
        <v>25463442</v>
      </c>
      <c r="C4" s="60">
        <v>16981438</v>
      </c>
      <c r="D4" s="60">
        <v>8351293</v>
      </c>
      <c r="E4" s="60">
        <v>24126</v>
      </c>
      <c r="F4" s="60">
        <v>281911</v>
      </c>
      <c r="G4" s="60">
        <v>76770</v>
      </c>
      <c r="H4" s="60">
        <v>3905984</v>
      </c>
      <c r="I4" s="60">
        <v>55084964</v>
      </c>
    </row>
    <row r="5" spans="1:9" x14ac:dyDescent="0.25">
      <c r="A5" s="18" t="s">
        <v>18</v>
      </c>
      <c r="B5" s="60">
        <v>21624151</v>
      </c>
      <c r="C5" s="60">
        <v>6016069</v>
      </c>
      <c r="D5" s="60">
        <v>5753870</v>
      </c>
      <c r="E5" s="60">
        <v>151341</v>
      </c>
      <c r="F5" s="60">
        <v>1743147</v>
      </c>
      <c r="G5" s="60">
        <v>906306</v>
      </c>
      <c r="H5" s="60">
        <v>918622</v>
      </c>
      <c r="I5" s="60">
        <v>37113506</v>
      </c>
    </row>
    <row r="6" spans="1:9" x14ac:dyDescent="0.25">
      <c r="A6" s="18" t="s">
        <v>21</v>
      </c>
      <c r="B6" s="60">
        <v>8048824</v>
      </c>
      <c r="C6" s="60">
        <v>8109234</v>
      </c>
      <c r="D6" s="60">
        <v>1298534</v>
      </c>
      <c r="E6" s="60">
        <v>2574156</v>
      </c>
      <c r="F6" s="60">
        <v>321399</v>
      </c>
      <c r="G6" s="60">
        <v>17076</v>
      </c>
      <c r="H6" s="60">
        <v>273034</v>
      </c>
      <c r="I6" s="60">
        <v>20642257</v>
      </c>
    </row>
    <row r="7" spans="1:9" x14ac:dyDescent="0.25">
      <c r="A7" s="19" t="s">
        <v>66</v>
      </c>
      <c r="B7" s="60">
        <v>6101745</v>
      </c>
      <c r="C7" s="60">
        <v>10732537</v>
      </c>
      <c r="D7" s="60">
        <v>1144760</v>
      </c>
      <c r="E7" s="60">
        <v>325616</v>
      </c>
      <c r="F7" s="60">
        <v>164626</v>
      </c>
      <c r="G7" s="60">
        <v>35501</v>
      </c>
      <c r="H7" s="60">
        <v>230948</v>
      </c>
      <c r="I7" s="60">
        <v>18735733</v>
      </c>
    </row>
    <row r="8" spans="1:9" x14ac:dyDescent="0.25">
      <c r="A8" s="22" t="s">
        <v>8</v>
      </c>
      <c r="B8" s="58">
        <f>SUM(B2:B7)</f>
        <v>126876022</v>
      </c>
      <c r="C8" s="58">
        <f t="shared" ref="C8:H8" si="0">SUM(C2:C7)</f>
        <v>128142195</v>
      </c>
      <c r="D8" s="58">
        <f t="shared" si="0"/>
        <v>33583621</v>
      </c>
      <c r="E8" s="58">
        <f t="shared" si="0"/>
        <v>23906408</v>
      </c>
      <c r="F8" s="58">
        <f t="shared" si="0"/>
        <v>7532162</v>
      </c>
      <c r="G8" s="58">
        <f t="shared" si="0"/>
        <v>5490037</v>
      </c>
      <c r="H8" s="58">
        <f t="shared" si="0"/>
        <v>17785105</v>
      </c>
      <c r="I8" s="58">
        <f>SUM(I2:I7)</f>
        <v>343315550</v>
      </c>
    </row>
    <row r="9" spans="1:9" ht="19.5" customHeight="1" x14ac:dyDescent="0.25">
      <c r="A9" s="101" t="s">
        <v>71</v>
      </c>
      <c r="B9" s="101"/>
      <c r="C9" s="101"/>
      <c r="D9" s="101"/>
      <c r="E9" s="101"/>
      <c r="F9" s="101"/>
      <c r="G9" s="101"/>
      <c r="H9" s="101"/>
      <c r="I9" s="101"/>
    </row>
    <row r="10" spans="1:9" ht="15" customHeight="1" x14ac:dyDescent="0.25"/>
    <row r="11" spans="1:9" ht="15" customHeight="1" x14ac:dyDescent="0.25"/>
    <row r="12" spans="1:9" ht="23.25" customHeight="1" x14ac:dyDescent="0.25"/>
    <row r="13" spans="1:9" ht="26.25" customHeight="1" x14ac:dyDescent="0.25"/>
  </sheetData>
  <mergeCells count="1">
    <mergeCell ref="A9:I9"/>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selection activeCell="A9" sqref="A1:J9"/>
    </sheetView>
  </sheetViews>
  <sheetFormatPr defaultRowHeight="15" x14ac:dyDescent="0.25"/>
  <cols>
    <col min="1" max="1" width="20.7109375" customWidth="1"/>
    <col min="2" max="5" width="11" bestFit="1" customWidth="1"/>
    <col min="6" max="6" width="12" bestFit="1" customWidth="1"/>
    <col min="7" max="8" width="11" customWidth="1"/>
    <col min="9" max="9" width="10" customWidth="1"/>
    <col min="10" max="10" width="12" bestFit="1" customWidth="1"/>
  </cols>
  <sheetData>
    <row r="1" spans="1:10" ht="15.75" x14ac:dyDescent="0.25">
      <c r="A1" s="45" t="s">
        <v>63</v>
      </c>
      <c r="B1" s="42" t="s">
        <v>72</v>
      </c>
      <c r="C1" s="42" t="s">
        <v>27</v>
      </c>
      <c r="D1" s="42" t="s">
        <v>28</v>
      </c>
      <c r="E1" s="42" t="s">
        <v>29</v>
      </c>
      <c r="F1" s="42" t="s">
        <v>30</v>
      </c>
      <c r="G1" s="42" t="s">
        <v>31</v>
      </c>
      <c r="H1" s="42" t="s">
        <v>73</v>
      </c>
      <c r="I1" s="42" t="s">
        <v>74</v>
      </c>
      <c r="J1" s="8" t="s">
        <v>8</v>
      </c>
    </row>
    <row r="2" spans="1:10" x14ac:dyDescent="0.25">
      <c r="A2" s="18" t="s">
        <v>32</v>
      </c>
      <c r="B2" s="61">
        <v>1564019</v>
      </c>
      <c r="C2" s="61">
        <v>1170705</v>
      </c>
      <c r="D2" s="61">
        <v>2018508</v>
      </c>
      <c r="E2" s="61">
        <v>2894305</v>
      </c>
      <c r="F2" s="61">
        <v>3932996</v>
      </c>
      <c r="G2" s="61">
        <v>1771637</v>
      </c>
      <c r="H2" s="61">
        <v>1302192</v>
      </c>
      <c r="I2" s="61">
        <v>96641</v>
      </c>
      <c r="J2" s="61">
        <v>14751003</v>
      </c>
    </row>
    <row r="3" spans="1:10" x14ac:dyDescent="0.25">
      <c r="A3" s="17" t="s">
        <v>65</v>
      </c>
      <c r="B3" s="61">
        <v>11036541</v>
      </c>
      <c r="C3" s="61">
        <v>8183544</v>
      </c>
      <c r="D3" s="61">
        <v>15987766</v>
      </c>
      <c r="E3" s="61">
        <v>29544054</v>
      </c>
      <c r="F3" s="61">
        <v>65101477</v>
      </c>
      <c r="G3" s="61">
        <v>44332324</v>
      </c>
      <c r="H3" s="61">
        <v>20736792</v>
      </c>
      <c r="I3" s="61">
        <v>2065588</v>
      </c>
      <c r="J3" s="61">
        <v>196988086</v>
      </c>
    </row>
    <row r="4" spans="1:10" x14ac:dyDescent="0.25">
      <c r="A4" s="18" t="s">
        <v>15</v>
      </c>
      <c r="B4" s="61">
        <v>24738515</v>
      </c>
      <c r="C4" s="61">
        <v>13019183</v>
      </c>
      <c r="D4" s="61">
        <v>13130420</v>
      </c>
      <c r="E4" s="61">
        <v>3944377</v>
      </c>
      <c r="F4" s="61">
        <v>252469</v>
      </c>
      <c r="G4" s="61">
        <v>0</v>
      </c>
      <c r="H4" s="61">
        <v>0</v>
      </c>
      <c r="I4" s="61">
        <v>0</v>
      </c>
      <c r="J4" s="61">
        <v>55084964</v>
      </c>
    </row>
    <row r="5" spans="1:10" x14ac:dyDescent="0.25">
      <c r="A5" s="18" t="s">
        <v>18</v>
      </c>
      <c r="B5" s="61">
        <v>14298150</v>
      </c>
      <c r="C5" s="61">
        <v>5461285</v>
      </c>
      <c r="D5" s="61">
        <v>8786685</v>
      </c>
      <c r="E5" s="61">
        <v>5868198</v>
      </c>
      <c r="F5" s="61">
        <v>2091739</v>
      </c>
      <c r="G5" s="61">
        <v>377952</v>
      </c>
      <c r="H5" s="61">
        <v>211449</v>
      </c>
      <c r="I5" s="61">
        <v>18049</v>
      </c>
      <c r="J5" s="61">
        <v>37113507</v>
      </c>
    </row>
    <row r="6" spans="1:10" x14ac:dyDescent="0.25">
      <c r="A6" s="18" t="s">
        <v>21</v>
      </c>
      <c r="B6" s="61">
        <v>3959482</v>
      </c>
      <c r="C6" s="61">
        <v>1745513</v>
      </c>
      <c r="D6" s="61">
        <v>3165014</v>
      </c>
      <c r="E6" s="61">
        <v>3783498</v>
      </c>
      <c r="F6" s="61">
        <v>4621277</v>
      </c>
      <c r="G6" s="61">
        <v>2295516</v>
      </c>
      <c r="H6" s="61">
        <v>1056141</v>
      </c>
      <c r="I6" s="61">
        <v>15817</v>
      </c>
      <c r="J6" s="61">
        <v>20642258</v>
      </c>
    </row>
    <row r="7" spans="1:10" x14ac:dyDescent="0.25">
      <c r="A7" s="18" t="s">
        <v>66</v>
      </c>
      <c r="B7" s="61">
        <v>2388448</v>
      </c>
      <c r="C7" s="61">
        <v>1078278</v>
      </c>
      <c r="D7" s="61">
        <v>1517320</v>
      </c>
      <c r="E7" s="61">
        <v>2171792</v>
      </c>
      <c r="F7" s="61">
        <v>4855302</v>
      </c>
      <c r="G7" s="61">
        <v>4128370</v>
      </c>
      <c r="H7" s="61">
        <v>2401159</v>
      </c>
      <c r="I7" s="61">
        <v>195066</v>
      </c>
      <c r="J7" s="61">
        <v>18735735</v>
      </c>
    </row>
    <row r="8" spans="1:10" x14ac:dyDescent="0.25">
      <c r="A8" s="22" t="s">
        <v>8</v>
      </c>
      <c r="B8" s="62">
        <f>SUM(B2:B7)</f>
        <v>57985155</v>
      </c>
      <c r="C8" s="62">
        <f t="shared" ref="C8:J8" si="0">SUM(C2:C7)</f>
        <v>30658508</v>
      </c>
      <c r="D8" s="62">
        <f t="shared" si="0"/>
        <v>44605713</v>
      </c>
      <c r="E8" s="62">
        <f t="shared" si="0"/>
        <v>48206224</v>
      </c>
      <c r="F8" s="62">
        <f t="shared" si="0"/>
        <v>80855260</v>
      </c>
      <c r="G8" s="62">
        <f t="shared" si="0"/>
        <v>52905799</v>
      </c>
      <c r="H8" s="62">
        <f t="shared" si="0"/>
        <v>25707733</v>
      </c>
      <c r="I8" s="62">
        <f t="shared" si="0"/>
        <v>2391161</v>
      </c>
      <c r="J8" s="62">
        <f t="shared" si="0"/>
        <v>343315553</v>
      </c>
    </row>
    <row r="9" spans="1:10" ht="24" customHeight="1" x14ac:dyDescent="0.25">
      <c r="A9" s="102" t="s">
        <v>71</v>
      </c>
      <c r="B9" s="103"/>
      <c r="C9" s="103"/>
      <c r="D9" s="103"/>
      <c r="E9" s="103"/>
      <c r="F9" s="103"/>
      <c r="G9" s="103"/>
      <c r="H9" s="103"/>
      <c r="I9" s="103"/>
      <c r="J9" s="104"/>
    </row>
    <row r="10" spans="1:10" ht="15" customHeight="1" x14ac:dyDescent="0.25"/>
    <row r="11" spans="1:10" ht="15" customHeight="1" x14ac:dyDescent="0.25"/>
    <row r="12" spans="1:10" ht="18" customHeight="1" x14ac:dyDescent="0.25"/>
    <row r="13" spans="1:10" ht="15" customHeight="1" x14ac:dyDescent="0.25"/>
  </sheetData>
  <mergeCells count="1">
    <mergeCell ref="A9:J9"/>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selection activeCell="A8" sqref="A1:E8"/>
    </sheetView>
  </sheetViews>
  <sheetFormatPr defaultRowHeight="15" x14ac:dyDescent="0.25"/>
  <cols>
    <col min="1" max="1" width="24.7109375" customWidth="1"/>
    <col min="2" max="5" width="12.7109375" customWidth="1"/>
    <col min="7" max="7" width="12.5703125" bestFit="1" customWidth="1"/>
  </cols>
  <sheetData>
    <row r="1" spans="1:7" ht="15.75" x14ac:dyDescent="0.25">
      <c r="A1" s="23"/>
      <c r="B1" s="105" t="s">
        <v>75</v>
      </c>
      <c r="C1" s="105"/>
      <c r="D1" s="105" t="s">
        <v>76</v>
      </c>
      <c r="E1" s="105"/>
    </row>
    <row r="2" spans="1:7" x14ac:dyDescent="0.25">
      <c r="A2" s="45" t="s">
        <v>63</v>
      </c>
      <c r="B2" s="45" t="s">
        <v>64</v>
      </c>
      <c r="C2" s="45" t="s">
        <v>1</v>
      </c>
      <c r="D2" s="45" t="s">
        <v>3</v>
      </c>
      <c r="E2" s="45" t="s">
        <v>1</v>
      </c>
    </row>
    <row r="3" spans="1:7" x14ac:dyDescent="0.25">
      <c r="A3" s="17" t="s">
        <v>65</v>
      </c>
      <c r="B3" s="64">
        <v>226668784</v>
      </c>
      <c r="C3" s="64">
        <v>98018154</v>
      </c>
      <c r="D3" s="64">
        <v>24564275</v>
      </c>
      <c r="E3" s="64">
        <v>44724960</v>
      </c>
    </row>
    <row r="4" spans="1:7" x14ac:dyDescent="0.25">
      <c r="A4" s="18" t="s">
        <v>15</v>
      </c>
      <c r="B4" s="64">
        <v>85662076</v>
      </c>
      <c r="C4" s="64">
        <v>12708032</v>
      </c>
      <c r="D4" s="64">
        <v>8514102</v>
      </c>
      <c r="E4" s="64">
        <v>3285718</v>
      </c>
    </row>
    <row r="5" spans="1:7" x14ac:dyDescent="0.25">
      <c r="A5" s="18" t="s">
        <v>18</v>
      </c>
      <c r="B5" s="64">
        <v>47997218</v>
      </c>
      <c r="C5" s="64">
        <v>13905016</v>
      </c>
      <c r="D5" s="64">
        <v>7400069</v>
      </c>
      <c r="E5" s="64">
        <v>4924709</v>
      </c>
    </row>
    <row r="6" spans="1:7" x14ac:dyDescent="0.25">
      <c r="A6" s="18" t="s">
        <v>66</v>
      </c>
      <c r="B6" s="64">
        <v>11621189</v>
      </c>
      <c r="C6" s="64">
        <v>73867900</v>
      </c>
      <c r="D6" s="64">
        <v>1059515</v>
      </c>
      <c r="E6" s="64">
        <v>21709379</v>
      </c>
    </row>
    <row r="7" spans="1:7" x14ac:dyDescent="0.25">
      <c r="A7" s="22" t="s">
        <v>8</v>
      </c>
      <c r="B7" s="59">
        <f>SUM(B3:B6)</f>
        <v>371949267</v>
      </c>
      <c r="C7" s="59">
        <f t="shared" ref="C7:E7" si="0">SUM(C3:C6)</f>
        <v>198499102</v>
      </c>
      <c r="D7" s="59">
        <f t="shared" si="0"/>
        <v>41537961</v>
      </c>
      <c r="E7" s="59">
        <f t="shared" si="0"/>
        <v>74644766</v>
      </c>
      <c r="G7" s="21"/>
    </row>
    <row r="8" spans="1:7" ht="33.75" customHeight="1" x14ac:dyDescent="0.25">
      <c r="A8" s="100" t="s">
        <v>77</v>
      </c>
      <c r="B8" s="100"/>
      <c r="C8" s="100"/>
      <c r="D8" s="100"/>
      <c r="E8" s="100"/>
    </row>
  </sheetData>
  <mergeCells count="3">
    <mergeCell ref="B1:C1"/>
    <mergeCell ref="D1:E1"/>
    <mergeCell ref="A8:E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F2" sqref="F2"/>
    </sheetView>
  </sheetViews>
  <sheetFormatPr defaultRowHeight="15" x14ac:dyDescent="0.25"/>
  <cols>
    <col min="1" max="1" width="24.7109375" customWidth="1"/>
    <col min="2" max="4" width="14.7109375" customWidth="1"/>
  </cols>
  <sheetData>
    <row r="1" spans="1:4" ht="73.5" customHeight="1" x14ac:dyDescent="0.25">
      <c r="A1" s="100" t="s">
        <v>207</v>
      </c>
      <c r="B1" s="100"/>
      <c r="C1" s="100"/>
      <c r="D1" s="100"/>
    </row>
    <row r="2" spans="1:4" ht="22.5" customHeight="1" x14ac:dyDescent="0.25">
      <c r="A2" s="100" t="s">
        <v>81</v>
      </c>
      <c r="B2" s="100"/>
      <c r="C2" s="100"/>
      <c r="D2" s="100"/>
    </row>
    <row r="3" spans="1:4" ht="18.75" customHeight="1" x14ac:dyDescent="0.25">
      <c r="A3" s="100" t="s">
        <v>82</v>
      </c>
      <c r="B3" s="100"/>
      <c r="C3" s="100"/>
      <c r="D3" s="100"/>
    </row>
    <row r="4" spans="1:4" ht="18.75" customHeight="1" x14ac:dyDescent="0.25">
      <c r="A4" s="106" t="s">
        <v>83</v>
      </c>
      <c r="B4" s="107"/>
      <c r="C4" s="107"/>
      <c r="D4" s="107"/>
    </row>
    <row r="5" spans="1:4" ht="18.75" customHeight="1" x14ac:dyDescent="0.25">
      <c r="A5" s="100" t="s">
        <v>84</v>
      </c>
      <c r="B5" s="100"/>
      <c r="C5" s="100"/>
      <c r="D5" s="100"/>
    </row>
    <row r="6" spans="1:4" ht="18" customHeight="1" x14ac:dyDescent="0.25">
      <c r="A6" s="100" t="s">
        <v>85</v>
      </c>
      <c r="B6" s="100"/>
      <c r="C6" s="100"/>
      <c r="D6" s="100"/>
    </row>
    <row r="7" spans="1:4" ht="22.5" customHeight="1" x14ac:dyDescent="0.25">
      <c r="A7" s="100" t="s">
        <v>86</v>
      </c>
      <c r="B7" s="100"/>
      <c r="C7" s="100"/>
      <c r="D7" s="100"/>
    </row>
    <row r="8" spans="1:4" ht="33.75" customHeight="1" x14ac:dyDescent="0.25">
      <c r="A8" s="101" t="s">
        <v>12</v>
      </c>
      <c r="B8" s="101"/>
      <c r="C8" s="101"/>
      <c r="D8" s="101"/>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activeCell="D12" sqref="A1:D12"/>
    </sheetView>
  </sheetViews>
  <sheetFormatPr defaultRowHeight="15" x14ac:dyDescent="0.25"/>
  <cols>
    <col min="1" max="1" width="24.7109375" customWidth="1"/>
    <col min="2" max="4" width="14.7109375" customWidth="1"/>
  </cols>
  <sheetData>
    <row r="1" spans="1:4" x14ac:dyDescent="0.25">
      <c r="A1" s="45" t="s">
        <v>63</v>
      </c>
      <c r="B1" s="45" t="s">
        <v>64</v>
      </c>
      <c r="C1" s="24" t="s">
        <v>1</v>
      </c>
      <c r="D1" s="24" t="s">
        <v>8</v>
      </c>
    </row>
    <row r="2" spans="1:4" x14ac:dyDescent="0.25">
      <c r="A2" s="17" t="s">
        <v>32</v>
      </c>
      <c r="B2" s="81">
        <v>33</v>
      </c>
      <c r="C2" s="81">
        <v>98</v>
      </c>
      <c r="D2" s="81">
        <v>131</v>
      </c>
    </row>
    <row r="3" spans="1:4" x14ac:dyDescent="0.25">
      <c r="A3" s="17" t="s">
        <v>19</v>
      </c>
      <c r="B3" s="81">
        <v>0</v>
      </c>
      <c r="C3" s="81">
        <v>89</v>
      </c>
      <c r="D3" s="81">
        <v>89</v>
      </c>
    </row>
    <row r="4" spans="1:4" x14ac:dyDescent="0.25">
      <c r="A4" s="17" t="s">
        <v>20</v>
      </c>
      <c r="B4" s="63">
        <v>0</v>
      </c>
      <c r="C4" s="63">
        <v>0</v>
      </c>
      <c r="D4" s="63">
        <v>0</v>
      </c>
    </row>
    <row r="5" spans="1:4" x14ac:dyDescent="0.25">
      <c r="A5" s="17" t="s">
        <v>16</v>
      </c>
      <c r="B5" s="63">
        <v>0</v>
      </c>
      <c r="C5" s="63">
        <v>0</v>
      </c>
      <c r="D5" s="63">
        <v>0</v>
      </c>
    </row>
    <row r="6" spans="1:4" x14ac:dyDescent="0.25">
      <c r="A6" s="17" t="s">
        <v>105</v>
      </c>
      <c r="B6" s="81">
        <v>0</v>
      </c>
      <c r="C6" s="81">
        <v>19</v>
      </c>
      <c r="D6" s="81">
        <v>19</v>
      </c>
    </row>
    <row r="7" spans="1:4" x14ac:dyDescent="0.25">
      <c r="A7" s="17" t="s">
        <v>65</v>
      </c>
      <c r="B7" s="81">
        <v>12316</v>
      </c>
      <c r="C7" s="81">
        <v>1930</v>
      </c>
      <c r="D7" s="81">
        <v>14246</v>
      </c>
    </row>
    <row r="8" spans="1:4" x14ac:dyDescent="0.25">
      <c r="A8" s="17" t="s">
        <v>15</v>
      </c>
      <c r="B8" s="81">
        <v>1314</v>
      </c>
      <c r="C8" s="81">
        <v>171</v>
      </c>
      <c r="D8" s="81">
        <v>1485</v>
      </c>
    </row>
    <row r="9" spans="1:4" x14ac:dyDescent="0.25">
      <c r="A9" s="17" t="s">
        <v>17</v>
      </c>
      <c r="B9" s="81">
        <v>0</v>
      </c>
      <c r="C9" s="81">
        <v>124</v>
      </c>
      <c r="D9" s="81">
        <v>124</v>
      </c>
    </row>
    <row r="10" spans="1:4" x14ac:dyDescent="0.25">
      <c r="A10" s="17" t="s">
        <v>18</v>
      </c>
      <c r="B10" s="81">
        <v>93</v>
      </c>
      <c r="C10" s="81">
        <v>139</v>
      </c>
      <c r="D10" s="81">
        <v>232</v>
      </c>
    </row>
    <row r="11" spans="1:4" x14ac:dyDescent="0.25">
      <c r="A11" s="17" t="s">
        <v>21</v>
      </c>
      <c r="B11" s="81">
        <v>0</v>
      </c>
      <c r="C11" s="81">
        <v>808</v>
      </c>
      <c r="D11" s="81">
        <v>808</v>
      </c>
    </row>
    <row r="12" spans="1:4" x14ac:dyDescent="0.25">
      <c r="A12" s="25" t="s">
        <v>8</v>
      </c>
      <c r="B12" s="70">
        <f>SUM(B2:B11)</f>
        <v>13756</v>
      </c>
      <c r="C12" s="70">
        <f t="shared" ref="C12:D12" si="0">SUM(C2:C11)</f>
        <v>3378</v>
      </c>
      <c r="D12" s="70">
        <f t="shared" si="0"/>
        <v>17134</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election activeCell="I12" sqref="A1:I12"/>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45" t="s">
        <v>63</v>
      </c>
      <c r="B1" s="42" t="s">
        <v>25</v>
      </c>
      <c r="C1" s="42" t="s">
        <v>68</v>
      </c>
      <c r="D1" s="42" t="s">
        <v>23</v>
      </c>
      <c r="E1" s="42" t="s">
        <v>24</v>
      </c>
      <c r="F1" s="42" t="s">
        <v>69</v>
      </c>
      <c r="G1" s="42" t="s">
        <v>26</v>
      </c>
      <c r="H1" s="42" t="s">
        <v>70</v>
      </c>
      <c r="I1" s="42" t="s">
        <v>8</v>
      </c>
    </row>
    <row r="2" spans="1:9" x14ac:dyDescent="0.25">
      <c r="A2" s="17" t="s">
        <v>32</v>
      </c>
      <c r="B2" s="81">
        <v>87</v>
      </c>
      <c r="C2" s="81">
        <v>6</v>
      </c>
      <c r="D2" s="81">
        <v>18</v>
      </c>
      <c r="E2" s="81">
        <v>8</v>
      </c>
      <c r="F2" s="81">
        <v>4</v>
      </c>
      <c r="G2" s="81">
        <v>2</v>
      </c>
      <c r="H2" s="81">
        <v>6</v>
      </c>
      <c r="I2" s="81">
        <v>131</v>
      </c>
    </row>
    <row r="3" spans="1:9" x14ac:dyDescent="0.25">
      <c r="A3" s="17" t="s">
        <v>19</v>
      </c>
      <c r="B3" s="81">
        <v>59</v>
      </c>
      <c r="C3" s="81">
        <v>12</v>
      </c>
      <c r="D3" s="81">
        <v>11</v>
      </c>
      <c r="E3" s="81">
        <v>0</v>
      </c>
      <c r="F3" s="81">
        <v>0</v>
      </c>
      <c r="G3" s="81">
        <v>4</v>
      </c>
      <c r="H3" s="81">
        <v>3</v>
      </c>
      <c r="I3" s="81">
        <v>89</v>
      </c>
    </row>
    <row r="4" spans="1:9" x14ac:dyDescent="0.25">
      <c r="A4" s="17" t="s">
        <v>20</v>
      </c>
      <c r="B4" s="61">
        <v>0</v>
      </c>
      <c r="C4" s="61">
        <v>0</v>
      </c>
      <c r="D4" s="61">
        <v>0</v>
      </c>
      <c r="E4" s="61">
        <v>0</v>
      </c>
      <c r="F4" s="61">
        <v>0</v>
      </c>
      <c r="G4" s="61">
        <v>0</v>
      </c>
      <c r="H4" s="61">
        <v>0</v>
      </c>
      <c r="I4" s="61">
        <v>0</v>
      </c>
    </row>
    <row r="5" spans="1:9" x14ac:dyDescent="0.25">
      <c r="A5" s="17" t="s">
        <v>16</v>
      </c>
      <c r="B5" s="61">
        <v>0</v>
      </c>
      <c r="C5" s="61">
        <v>0</v>
      </c>
      <c r="D5" s="61">
        <v>0</v>
      </c>
      <c r="E5" s="61">
        <v>0</v>
      </c>
      <c r="F5" s="61">
        <v>0</v>
      </c>
      <c r="G5" s="61">
        <v>0</v>
      </c>
      <c r="H5" s="61">
        <v>0</v>
      </c>
      <c r="I5" s="61">
        <v>0</v>
      </c>
    </row>
    <row r="6" spans="1:9" x14ac:dyDescent="0.25">
      <c r="A6" s="17" t="s">
        <v>105</v>
      </c>
      <c r="B6" s="81">
        <v>1</v>
      </c>
      <c r="C6" s="81">
        <v>0</v>
      </c>
      <c r="D6" s="81">
        <v>0</v>
      </c>
      <c r="E6" s="81">
        <v>4</v>
      </c>
      <c r="F6" s="81">
        <v>0</v>
      </c>
      <c r="G6" s="81">
        <v>0</v>
      </c>
      <c r="H6" s="81">
        <v>14</v>
      </c>
      <c r="I6" s="81">
        <v>19</v>
      </c>
    </row>
    <row r="7" spans="1:9" x14ac:dyDescent="0.25">
      <c r="A7" s="17" t="s">
        <v>65</v>
      </c>
      <c r="B7" s="81">
        <v>7502</v>
      </c>
      <c r="C7" s="81">
        <v>2109</v>
      </c>
      <c r="D7" s="81">
        <v>878</v>
      </c>
      <c r="E7" s="81">
        <v>1630</v>
      </c>
      <c r="F7" s="81">
        <v>351</v>
      </c>
      <c r="G7" s="81">
        <v>435</v>
      </c>
      <c r="H7" s="81">
        <v>1342</v>
      </c>
      <c r="I7" s="81">
        <v>14247</v>
      </c>
    </row>
    <row r="8" spans="1:9" x14ac:dyDescent="0.25">
      <c r="A8" s="17" t="s">
        <v>15</v>
      </c>
      <c r="B8" s="81">
        <v>113</v>
      </c>
      <c r="C8" s="81">
        <v>1065</v>
      </c>
      <c r="D8" s="81">
        <v>63</v>
      </c>
      <c r="E8" s="81">
        <v>0</v>
      </c>
      <c r="F8" s="81">
        <v>103</v>
      </c>
      <c r="G8" s="81">
        <v>3</v>
      </c>
      <c r="H8" s="81">
        <v>138</v>
      </c>
      <c r="I8" s="81">
        <v>1485</v>
      </c>
    </row>
    <row r="9" spans="1:9" x14ac:dyDescent="0.25">
      <c r="A9" s="17" t="s">
        <v>17</v>
      </c>
      <c r="B9" s="81">
        <v>58</v>
      </c>
      <c r="C9" s="81">
        <v>54</v>
      </c>
      <c r="D9" s="81">
        <v>11</v>
      </c>
      <c r="E9" s="81">
        <v>0</v>
      </c>
      <c r="F9" s="81">
        <v>1</v>
      </c>
      <c r="G9" s="81">
        <v>0</v>
      </c>
      <c r="H9" s="81">
        <v>0</v>
      </c>
      <c r="I9" s="81">
        <v>124</v>
      </c>
    </row>
    <row r="10" spans="1:9" x14ac:dyDescent="0.25">
      <c r="A10" s="17" t="s">
        <v>18</v>
      </c>
      <c r="B10" s="81">
        <v>35</v>
      </c>
      <c r="C10" s="81">
        <v>67</v>
      </c>
      <c r="D10" s="81">
        <v>6</v>
      </c>
      <c r="E10" s="81">
        <v>0</v>
      </c>
      <c r="F10" s="81">
        <v>33</v>
      </c>
      <c r="G10" s="81">
        <v>12</v>
      </c>
      <c r="H10" s="81">
        <v>79</v>
      </c>
      <c r="I10" s="81">
        <v>232</v>
      </c>
    </row>
    <row r="11" spans="1:9" x14ac:dyDescent="0.25">
      <c r="A11" s="17" t="s">
        <v>21</v>
      </c>
      <c r="B11" s="81">
        <v>446</v>
      </c>
      <c r="C11" s="81">
        <v>204</v>
      </c>
      <c r="D11" s="81">
        <v>43</v>
      </c>
      <c r="E11" s="81">
        <v>63</v>
      </c>
      <c r="F11" s="81">
        <v>9</v>
      </c>
      <c r="G11" s="81">
        <v>5</v>
      </c>
      <c r="H11" s="81">
        <v>38</v>
      </c>
      <c r="I11" s="81">
        <v>808</v>
      </c>
    </row>
    <row r="12" spans="1:9" x14ac:dyDescent="0.25">
      <c r="A12" s="22" t="s">
        <v>8</v>
      </c>
      <c r="B12" s="58">
        <f>SUM(B2:B11)</f>
        <v>8301</v>
      </c>
      <c r="C12" s="58">
        <f t="shared" ref="C12:I12" si="0">SUM(C2:C11)</f>
        <v>3517</v>
      </c>
      <c r="D12" s="58">
        <f t="shared" si="0"/>
        <v>1030</v>
      </c>
      <c r="E12" s="58">
        <f t="shared" si="0"/>
        <v>1705</v>
      </c>
      <c r="F12" s="58">
        <f t="shared" si="0"/>
        <v>501</v>
      </c>
      <c r="G12" s="58">
        <f t="shared" si="0"/>
        <v>461</v>
      </c>
      <c r="H12" s="58">
        <f t="shared" si="0"/>
        <v>1620</v>
      </c>
      <c r="I12" s="58">
        <f t="shared" si="0"/>
        <v>17135</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selection activeCell="E29" sqref="E29"/>
    </sheetView>
  </sheetViews>
  <sheetFormatPr defaultRowHeight="15" x14ac:dyDescent="0.25"/>
  <cols>
    <col min="1" max="1" width="20.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45" t="s">
        <v>63</v>
      </c>
      <c r="B1" s="42" t="s">
        <v>72</v>
      </c>
      <c r="C1" s="42" t="s">
        <v>27</v>
      </c>
      <c r="D1" s="42" t="s">
        <v>28</v>
      </c>
      <c r="E1" s="42" t="s">
        <v>29</v>
      </c>
      <c r="F1" s="42" t="s">
        <v>30</v>
      </c>
      <c r="G1" s="42" t="s">
        <v>31</v>
      </c>
      <c r="H1" s="42" t="s">
        <v>73</v>
      </c>
      <c r="I1" s="42" t="s">
        <v>74</v>
      </c>
      <c r="J1" s="8" t="s">
        <v>8</v>
      </c>
    </row>
    <row r="2" spans="1:10" x14ac:dyDescent="0.25">
      <c r="A2" s="17" t="s">
        <v>32</v>
      </c>
      <c r="B2" s="81">
        <v>3</v>
      </c>
      <c r="C2" s="81">
        <v>1</v>
      </c>
      <c r="D2" s="81">
        <v>10</v>
      </c>
      <c r="E2" s="81">
        <v>19</v>
      </c>
      <c r="F2" s="81">
        <v>34</v>
      </c>
      <c r="G2" s="81">
        <v>29</v>
      </c>
      <c r="H2" s="81">
        <v>32</v>
      </c>
      <c r="I2" s="81">
        <v>3</v>
      </c>
      <c r="J2" s="81">
        <v>131</v>
      </c>
    </row>
    <row r="3" spans="1:10" x14ac:dyDescent="0.25">
      <c r="A3" s="17" t="s">
        <v>19</v>
      </c>
      <c r="B3" s="81">
        <v>8</v>
      </c>
      <c r="C3" s="81">
        <v>1</v>
      </c>
      <c r="D3" s="81">
        <v>2</v>
      </c>
      <c r="E3" s="81">
        <v>22</v>
      </c>
      <c r="F3" s="81">
        <v>41</v>
      </c>
      <c r="G3" s="81">
        <v>11</v>
      </c>
      <c r="H3" s="81">
        <v>4</v>
      </c>
      <c r="I3" s="81">
        <v>0</v>
      </c>
      <c r="J3" s="81">
        <v>89</v>
      </c>
    </row>
    <row r="4" spans="1:10" x14ac:dyDescent="0.25">
      <c r="A4" s="17" t="s">
        <v>20</v>
      </c>
      <c r="B4" s="61">
        <v>0</v>
      </c>
      <c r="C4" s="61">
        <v>0</v>
      </c>
      <c r="D4" s="61">
        <v>0</v>
      </c>
      <c r="E4" s="61">
        <v>0</v>
      </c>
      <c r="F4" s="61">
        <v>0</v>
      </c>
      <c r="G4" s="61">
        <v>0</v>
      </c>
      <c r="H4" s="61">
        <v>0</v>
      </c>
      <c r="I4" s="61">
        <v>0</v>
      </c>
      <c r="J4" s="61">
        <f t="shared" ref="J4:J5" si="0">SUM(B4:I4)</f>
        <v>0</v>
      </c>
    </row>
    <row r="5" spans="1:10" x14ac:dyDescent="0.25">
      <c r="A5" s="17" t="s">
        <v>16</v>
      </c>
      <c r="B5" s="61">
        <v>0</v>
      </c>
      <c r="C5" s="61">
        <v>0</v>
      </c>
      <c r="D5" s="61">
        <v>0</v>
      </c>
      <c r="E5" s="61">
        <v>0</v>
      </c>
      <c r="F5" s="61">
        <v>0</v>
      </c>
      <c r="G5" s="61">
        <v>0</v>
      </c>
      <c r="H5" s="61">
        <v>0</v>
      </c>
      <c r="I5" s="61">
        <v>0</v>
      </c>
      <c r="J5" s="61">
        <f t="shared" si="0"/>
        <v>0</v>
      </c>
    </row>
    <row r="6" spans="1:10" x14ac:dyDescent="0.25">
      <c r="A6" s="17" t="s">
        <v>105</v>
      </c>
      <c r="B6" s="81">
        <v>15</v>
      </c>
      <c r="C6" s="81">
        <v>0</v>
      </c>
      <c r="D6" s="81">
        <v>0</v>
      </c>
      <c r="E6" s="81">
        <v>0</v>
      </c>
      <c r="F6" s="81">
        <v>2</v>
      </c>
      <c r="G6" s="81">
        <v>2</v>
      </c>
      <c r="H6" s="81">
        <v>0</v>
      </c>
      <c r="I6" s="81">
        <v>0</v>
      </c>
      <c r="J6" s="81">
        <v>19</v>
      </c>
    </row>
    <row r="7" spans="1:10" x14ac:dyDescent="0.25">
      <c r="A7" s="17" t="s">
        <v>65</v>
      </c>
      <c r="B7" s="81">
        <v>128</v>
      </c>
      <c r="C7" s="81">
        <v>127</v>
      </c>
      <c r="D7" s="81">
        <v>324</v>
      </c>
      <c r="E7" s="81">
        <v>702</v>
      </c>
      <c r="F7" s="81">
        <v>3977</v>
      </c>
      <c r="G7" s="81">
        <v>3877</v>
      </c>
      <c r="H7" s="81">
        <v>4396</v>
      </c>
      <c r="I7" s="81">
        <v>716</v>
      </c>
      <c r="J7" s="81">
        <v>14247</v>
      </c>
    </row>
    <row r="8" spans="1:10" x14ac:dyDescent="0.25">
      <c r="A8" s="17" t="s">
        <v>15</v>
      </c>
      <c r="B8" s="81">
        <v>100</v>
      </c>
      <c r="C8" s="81">
        <v>266</v>
      </c>
      <c r="D8" s="81">
        <v>583</v>
      </c>
      <c r="E8" s="81">
        <v>529</v>
      </c>
      <c r="F8" s="81">
        <v>7</v>
      </c>
      <c r="G8" s="81">
        <v>0</v>
      </c>
      <c r="H8" s="81">
        <v>0</v>
      </c>
      <c r="I8" s="81">
        <v>0</v>
      </c>
      <c r="J8" s="81">
        <v>1485</v>
      </c>
    </row>
    <row r="9" spans="1:10" x14ac:dyDescent="0.25">
      <c r="A9" s="17" t="s">
        <v>17</v>
      </c>
      <c r="B9" s="81">
        <v>1</v>
      </c>
      <c r="C9" s="81">
        <v>2</v>
      </c>
      <c r="D9" s="81">
        <v>14</v>
      </c>
      <c r="E9" s="81">
        <v>12</v>
      </c>
      <c r="F9" s="81">
        <v>61</v>
      </c>
      <c r="G9" s="81">
        <v>10</v>
      </c>
      <c r="H9" s="81">
        <v>14</v>
      </c>
      <c r="I9" s="81">
        <v>10</v>
      </c>
      <c r="J9" s="81">
        <v>124</v>
      </c>
    </row>
    <row r="10" spans="1:10" x14ac:dyDescent="0.25">
      <c r="A10" s="17" t="s">
        <v>18</v>
      </c>
      <c r="B10" s="81">
        <v>38</v>
      </c>
      <c r="C10" s="81">
        <v>22</v>
      </c>
      <c r="D10" s="81">
        <v>49</v>
      </c>
      <c r="E10" s="81">
        <v>33</v>
      </c>
      <c r="F10" s="81">
        <v>46</v>
      </c>
      <c r="G10" s="81">
        <v>37</v>
      </c>
      <c r="H10" s="81">
        <v>7</v>
      </c>
      <c r="I10" s="81">
        <v>0</v>
      </c>
      <c r="J10" s="81">
        <v>232</v>
      </c>
    </row>
    <row r="11" spans="1:10" x14ac:dyDescent="0.25">
      <c r="A11" s="17" t="s">
        <v>21</v>
      </c>
      <c r="B11" s="81">
        <v>0</v>
      </c>
      <c r="C11" s="81">
        <v>0</v>
      </c>
      <c r="D11" s="81">
        <v>0</v>
      </c>
      <c r="E11" s="81">
        <v>32</v>
      </c>
      <c r="F11" s="81">
        <v>188</v>
      </c>
      <c r="G11" s="81">
        <v>165</v>
      </c>
      <c r="H11" s="81">
        <v>290</v>
      </c>
      <c r="I11" s="81">
        <v>133</v>
      </c>
      <c r="J11" s="81">
        <v>808</v>
      </c>
    </row>
    <row r="12" spans="1:10" x14ac:dyDescent="0.25">
      <c r="A12" s="22" t="s">
        <v>8</v>
      </c>
      <c r="B12" s="62">
        <f>SUM(B2:B11)</f>
        <v>293</v>
      </c>
      <c r="C12" s="62">
        <f t="shared" ref="C12:J12" si="1">SUM(C2:C11)</f>
        <v>419</v>
      </c>
      <c r="D12" s="62">
        <f t="shared" si="1"/>
        <v>982</v>
      </c>
      <c r="E12" s="62">
        <f t="shared" si="1"/>
        <v>1349</v>
      </c>
      <c r="F12" s="62">
        <f t="shared" si="1"/>
        <v>4356</v>
      </c>
      <c r="G12" s="62">
        <f t="shared" si="1"/>
        <v>4131</v>
      </c>
      <c r="H12" s="62">
        <f t="shared" si="1"/>
        <v>4743</v>
      </c>
      <c r="I12" s="62">
        <f t="shared" si="1"/>
        <v>862</v>
      </c>
      <c r="J12" s="62">
        <f t="shared" si="1"/>
        <v>17135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election activeCell="A6" sqref="A1:E6"/>
    </sheetView>
  </sheetViews>
  <sheetFormatPr defaultRowHeight="15" x14ac:dyDescent="0.25"/>
  <cols>
    <col min="1" max="1" width="24.7109375" customWidth="1"/>
    <col min="2" max="5" width="12.7109375" customWidth="1"/>
  </cols>
  <sheetData>
    <row r="1" spans="1:7" ht="15.75" x14ac:dyDescent="0.25">
      <c r="A1" s="23"/>
      <c r="B1" s="105" t="s">
        <v>75</v>
      </c>
      <c r="C1" s="105"/>
      <c r="D1" s="108" t="s">
        <v>76</v>
      </c>
      <c r="E1" s="108"/>
    </row>
    <row r="2" spans="1:7" x14ac:dyDescent="0.25">
      <c r="A2" s="45" t="s">
        <v>63</v>
      </c>
      <c r="B2" s="45" t="s">
        <v>64</v>
      </c>
      <c r="C2" s="45" t="s">
        <v>1</v>
      </c>
      <c r="D2" s="45" t="s">
        <v>3</v>
      </c>
      <c r="E2" s="45" t="s">
        <v>1</v>
      </c>
    </row>
    <row r="3" spans="1:7" x14ac:dyDescent="0.25">
      <c r="A3" s="17" t="s">
        <v>65</v>
      </c>
      <c r="B3" s="65">
        <v>7946</v>
      </c>
      <c r="C3" s="65">
        <v>2441</v>
      </c>
      <c r="D3" s="65">
        <v>16685</v>
      </c>
      <c r="E3" s="65">
        <v>1419</v>
      </c>
    </row>
    <row r="4" spans="1:7" x14ac:dyDescent="0.25">
      <c r="A4" s="18" t="s">
        <v>66</v>
      </c>
      <c r="B4" s="64">
        <v>2802</v>
      </c>
      <c r="C4" s="64">
        <v>1992</v>
      </c>
      <c r="D4" s="64">
        <v>78</v>
      </c>
      <c r="E4" s="64">
        <v>904</v>
      </c>
    </row>
    <row r="5" spans="1:7" x14ac:dyDescent="0.25">
      <c r="A5" s="22" t="s">
        <v>8</v>
      </c>
      <c r="B5" s="59">
        <f>SUM(B3:B4)</f>
        <v>10748</v>
      </c>
      <c r="C5" s="59">
        <f t="shared" ref="C5:E5" si="0">SUM(C3:C4)</f>
        <v>4433</v>
      </c>
      <c r="D5" s="59">
        <f t="shared" si="0"/>
        <v>16763</v>
      </c>
      <c r="E5" s="59">
        <f t="shared" si="0"/>
        <v>2323</v>
      </c>
      <c r="G5" s="21"/>
    </row>
    <row r="6" spans="1:7" ht="29.25" customHeight="1" x14ac:dyDescent="0.25">
      <c r="A6" s="100" t="s">
        <v>106</v>
      </c>
      <c r="B6" s="100"/>
      <c r="C6" s="100"/>
      <c r="D6" s="100"/>
      <c r="E6" s="100"/>
    </row>
  </sheetData>
  <mergeCells count="3">
    <mergeCell ref="B1:C1"/>
    <mergeCell ref="D1:E1"/>
    <mergeCell ref="A6:E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F4" sqref="F4"/>
    </sheetView>
  </sheetViews>
  <sheetFormatPr defaultRowHeight="15" x14ac:dyDescent="0.25"/>
  <cols>
    <col min="1" max="1" width="24.7109375" customWidth="1"/>
    <col min="2" max="4" width="14.7109375" customWidth="1"/>
  </cols>
  <sheetData>
    <row r="1" spans="1:4" ht="73.5" customHeight="1" x14ac:dyDescent="0.25">
      <c r="A1" s="109" t="s">
        <v>211</v>
      </c>
      <c r="B1" s="109"/>
      <c r="C1" s="109"/>
      <c r="D1" s="109"/>
    </row>
    <row r="2" spans="1:4" ht="22.5" customHeight="1" x14ac:dyDescent="0.25">
      <c r="A2" s="100" t="s">
        <v>81</v>
      </c>
      <c r="B2" s="100"/>
      <c r="C2" s="100"/>
      <c r="D2" s="100"/>
    </row>
    <row r="3" spans="1:4" ht="18.75" customHeight="1" x14ac:dyDescent="0.25">
      <c r="A3" s="100" t="s">
        <v>82</v>
      </c>
      <c r="B3" s="100"/>
      <c r="C3" s="100"/>
      <c r="D3" s="100"/>
    </row>
    <row r="4" spans="1:4" ht="18.75" customHeight="1" x14ac:dyDescent="0.25">
      <c r="A4" s="106" t="s">
        <v>83</v>
      </c>
      <c r="B4" s="107"/>
      <c r="C4" s="107"/>
      <c r="D4" s="107"/>
    </row>
    <row r="5" spans="1:4" ht="18.75" customHeight="1" x14ac:dyDescent="0.25">
      <c r="A5" s="100" t="s">
        <v>84</v>
      </c>
      <c r="B5" s="100"/>
      <c r="C5" s="100"/>
      <c r="D5" s="100"/>
    </row>
    <row r="6" spans="1:4" ht="18" customHeight="1" x14ac:dyDescent="0.25">
      <c r="A6" s="100" t="s">
        <v>85</v>
      </c>
      <c r="B6" s="100"/>
      <c r="C6" s="100"/>
      <c r="D6" s="100"/>
    </row>
    <row r="7" spans="1:4" ht="22.5" customHeight="1" x14ac:dyDescent="0.25">
      <c r="A7" s="100" t="s">
        <v>86</v>
      </c>
      <c r="B7" s="100"/>
      <c r="C7" s="100"/>
      <c r="D7" s="100"/>
    </row>
    <row r="8" spans="1:4" ht="33.75" customHeight="1" x14ac:dyDescent="0.25">
      <c r="A8" s="101" t="s">
        <v>12</v>
      </c>
      <c r="B8" s="101"/>
      <c r="C8" s="101"/>
      <c r="D8" s="101"/>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A7" sqref="A1:D7"/>
    </sheetView>
  </sheetViews>
  <sheetFormatPr defaultRowHeight="15" x14ac:dyDescent="0.25"/>
  <cols>
    <col min="1" max="1" width="24.7109375" customWidth="1"/>
    <col min="2" max="4" width="14.7109375" customWidth="1"/>
  </cols>
  <sheetData>
    <row r="1" spans="1:5" x14ac:dyDescent="0.25">
      <c r="A1" s="45" t="s">
        <v>63</v>
      </c>
      <c r="B1" s="45" t="s">
        <v>64</v>
      </c>
      <c r="C1" s="45" t="s">
        <v>1</v>
      </c>
      <c r="D1" s="45" t="s">
        <v>8</v>
      </c>
    </row>
    <row r="2" spans="1:5" x14ac:dyDescent="0.25">
      <c r="A2" s="17" t="s">
        <v>65</v>
      </c>
      <c r="B2" s="63">
        <v>1084280</v>
      </c>
      <c r="C2" s="63">
        <v>97339</v>
      </c>
      <c r="D2" s="63">
        <v>1181619</v>
      </c>
    </row>
    <row r="3" spans="1:5" x14ac:dyDescent="0.25">
      <c r="A3" s="18" t="s">
        <v>15</v>
      </c>
      <c r="B3" s="63">
        <v>559066</v>
      </c>
      <c r="C3" s="63">
        <v>38284</v>
      </c>
      <c r="D3" s="63">
        <v>597350</v>
      </c>
      <c r="E3" s="21"/>
    </row>
    <row r="4" spans="1:5" x14ac:dyDescent="0.25">
      <c r="A4" s="19" t="s">
        <v>18</v>
      </c>
      <c r="B4" s="63">
        <v>172546</v>
      </c>
      <c r="C4" s="63">
        <v>52753</v>
      </c>
      <c r="D4" s="63">
        <v>225299</v>
      </c>
    </row>
    <row r="5" spans="1:5" x14ac:dyDescent="0.25">
      <c r="A5" s="19" t="s">
        <v>66</v>
      </c>
      <c r="B5" s="63">
        <v>11328</v>
      </c>
      <c r="C5" s="63">
        <v>262229</v>
      </c>
      <c r="D5" s="63">
        <v>273557</v>
      </c>
    </row>
    <row r="6" spans="1:5" x14ac:dyDescent="0.25">
      <c r="A6" s="20" t="s">
        <v>8</v>
      </c>
      <c r="B6" s="70">
        <f>SUM(B2:B5)</f>
        <v>1827220</v>
      </c>
      <c r="C6" s="70">
        <f t="shared" ref="C6:D6" si="0">SUM(C2:C5)</f>
        <v>450605</v>
      </c>
      <c r="D6" s="70">
        <f t="shared" si="0"/>
        <v>2277825</v>
      </c>
    </row>
    <row r="7" spans="1:5" ht="39" customHeight="1" x14ac:dyDescent="0.25">
      <c r="A7" s="100" t="s">
        <v>116</v>
      </c>
      <c r="B7" s="100"/>
      <c r="C7" s="100"/>
      <c r="D7" s="100"/>
    </row>
  </sheetData>
  <mergeCells count="1">
    <mergeCell ref="A7:D7"/>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A5" sqref="A1:I5"/>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45" t="s">
        <v>63</v>
      </c>
      <c r="B1" s="42" t="s">
        <v>25</v>
      </c>
      <c r="C1" s="42" t="s">
        <v>68</v>
      </c>
      <c r="D1" s="42" t="s">
        <v>23</v>
      </c>
      <c r="E1" s="42" t="s">
        <v>24</v>
      </c>
      <c r="F1" s="42" t="s">
        <v>69</v>
      </c>
      <c r="G1" s="42" t="s">
        <v>26</v>
      </c>
      <c r="H1" s="42" t="s">
        <v>70</v>
      </c>
      <c r="I1" s="42" t="s">
        <v>8</v>
      </c>
    </row>
    <row r="2" spans="1:9" x14ac:dyDescent="0.25">
      <c r="A2" s="17" t="s">
        <v>65</v>
      </c>
      <c r="B2" s="60">
        <v>642975</v>
      </c>
      <c r="C2" s="60">
        <v>290894</v>
      </c>
      <c r="D2" s="60">
        <v>104795</v>
      </c>
      <c r="E2" s="60">
        <v>41544</v>
      </c>
      <c r="F2" s="60">
        <v>5460</v>
      </c>
      <c r="G2" s="60">
        <v>48119</v>
      </c>
      <c r="H2" s="60">
        <v>47832</v>
      </c>
      <c r="I2" s="60">
        <v>1181619</v>
      </c>
    </row>
    <row r="3" spans="1:9" x14ac:dyDescent="0.25">
      <c r="A3" s="18" t="s">
        <v>66</v>
      </c>
      <c r="B3" s="60">
        <v>299210</v>
      </c>
      <c r="C3" s="60">
        <v>649098</v>
      </c>
      <c r="D3" s="60">
        <v>39420</v>
      </c>
      <c r="E3" s="60">
        <v>8492</v>
      </c>
      <c r="F3" s="60">
        <v>52824</v>
      </c>
      <c r="G3" s="60">
        <v>13890</v>
      </c>
      <c r="H3" s="60">
        <v>33275</v>
      </c>
      <c r="I3" s="60">
        <v>1096209</v>
      </c>
    </row>
    <row r="4" spans="1:9" x14ac:dyDescent="0.25">
      <c r="A4" s="22" t="s">
        <v>8</v>
      </c>
      <c r="B4" s="58">
        <f>SUM(B2:B3)</f>
        <v>942185</v>
      </c>
      <c r="C4" s="58">
        <f t="shared" ref="C4:I4" si="0">SUM(C2:C3)</f>
        <v>939992</v>
      </c>
      <c r="D4" s="58">
        <f t="shared" si="0"/>
        <v>144215</v>
      </c>
      <c r="E4" s="58">
        <f t="shared" si="0"/>
        <v>50036</v>
      </c>
      <c r="F4" s="58">
        <f t="shared" si="0"/>
        <v>58284</v>
      </c>
      <c r="G4" s="58">
        <f t="shared" si="0"/>
        <v>62009</v>
      </c>
      <c r="H4" s="58">
        <f t="shared" si="0"/>
        <v>81107</v>
      </c>
      <c r="I4" s="58">
        <f t="shared" si="0"/>
        <v>2277828</v>
      </c>
    </row>
    <row r="5" spans="1:9" ht="18.75" customHeight="1" x14ac:dyDescent="0.25">
      <c r="A5" s="101" t="s">
        <v>117</v>
      </c>
      <c r="B5" s="101"/>
      <c r="C5" s="101"/>
      <c r="D5" s="101"/>
      <c r="E5" s="101"/>
      <c r="F5" s="101"/>
      <c r="G5" s="101"/>
      <c r="H5" s="101"/>
      <c r="I5" s="101"/>
    </row>
  </sheetData>
  <mergeCells count="1">
    <mergeCell ref="A5:I5"/>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selection activeCell="A6" sqref="A1:J6"/>
    </sheetView>
  </sheetViews>
  <sheetFormatPr defaultRowHeight="15" x14ac:dyDescent="0.25"/>
  <cols>
    <col min="1" max="1" width="20.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45" t="s">
        <v>63</v>
      </c>
      <c r="B1" s="42" t="s">
        <v>72</v>
      </c>
      <c r="C1" s="42" t="s">
        <v>27</v>
      </c>
      <c r="D1" s="42" t="s">
        <v>28</v>
      </c>
      <c r="E1" s="42" t="s">
        <v>29</v>
      </c>
      <c r="F1" s="42" t="s">
        <v>30</v>
      </c>
      <c r="G1" s="42" t="s">
        <v>31</v>
      </c>
      <c r="H1" s="42" t="s">
        <v>73</v>
      </c>
      <c r="I1" s="42" t="s">
        <v>74</v>
      </c>
      <c r="J1" s="8" t="s">
        <v>8</v>
      </c>
    </row>
    <row r="2" spans="1:10" x14ac:dyDescent="0.25">
      <c r="A2" s="17" t="s">
        <v>65</v>
      </c>
      <c r="B2" s="61">
        <v>195744</v>
      </c>
      <c r="C2" s="61">
        <v>58758</v>
      </c>
      <c r="D2" s="61">
        <v>175451</v>
      </c>
      <c r="E2" s="61">
        <v>119935</v>
      </c>
      <c r="F2" s="61">
        <v>307312</v>
      </c>
      <c r="G2" s="61">
        <v>174333</v>
      </c>
      <c r="H2" s="61">
        <v>133002</v>
      </c>
      <c r="I2" s="61">
        <v>17084</v>
      </c>
      <c r="J2" s="61">
        <v>1181619</v>
      </c>
    </row>
    <row r="3" spans="1:10" x14ac:dyDescent="0.25">
      <c r="A3" s="18" t="s">
        <v>15</v>
      </c>
      <c r="B3" s="61">
        <v>67151</v>
      </c>
      <c r="C3" s="61">
        <v>69619</v>
      </c>
      <c r="D3" s="61">
        <v>211916</v>
      </c>
      <c r="E3" s="61">
        <v>242789</v>
      </c>
      <c r="F3" s="61">
        <v>5875</v>
      </c>
      <c r="G3" s="61">
        <v>0</v>
      </c>
      <c r="H3" s="61">
        <v>0</v>
      </c>
      <c r="I3" s="61">
        <v>0</v>
      </c>
      <c r="J3" s="61">
        <v>597350</v>
      </c>
    </row>
    <row r="4" spans="1:10" x14ac:dyDescent="0.25">
      <c r="A4" s="18" t="s">
        <v>66</v>
      </c>
      <c r="B4" s="61">
        <v>71513</v>
      </c>
      <c r="C4" s="61">
        <v>37877</v>
      </c>
      <c r="D4" s="61">
        <v>107270</v>
      </c>
      <c r="E4" s="61">
        <v>48982</v>
      </c>
      <c r="F4" s="61">
        <v>134543</v>
      </c>
      <c r="G4" s="61">
        <v>54435</v>
      </c>
      <c r="H4" s="61">
        <v>35040</v>
      </c>
      <c r="I4" s="61">
        <v>9198</v>
      </c>
      <c r="J4" s="61">
        <v>498858</v>
      </c>
    </row>
    <row r="5" spans="1:10" x14ac:dyDescent="0.25">
      <c r="A5" s="22" t="s">
        <v>8</v>
      </c>
      <c r="B5" s="62">
        <f>SUM(B2:B4)</f>
        <v>334408</v>
      </c>
      <c r="C5" s="62">
        <f t="shared" ref="C5:J5" si="0">SUM(C2:C4)</f>
        <v>166254</v>
      </c>
      <c r="D5" s="62">
        <f t="shared" si="0"/>
        <v>494637</v>
      </c>
      <c r="E5" s="62">
        <f t="shared" si="0"/>
        <v>411706</v>
      </c>
      <c r="F5" s="62">
        <f t="shared" si="0"/>
        <v>447730</v>
      </c>
      <c r="G5" s="62">
        <f t="shared" si="0"/>
        <v>228768</v>
      </c>
      <c r="H5" s="62">
        <f t="shared" si="0"/>
        <v>168042</v>
      </c>
      <c r="I5" s="62">
        <f t="shared" si="0"/>
        <v>26282</v>
      </c>
      <c r="J5" s="62">
        <f t="shared" si="0"/>
        <v>2277827</v>
      </c>
    </row>
    <row r="6" spans="1:10" ht="21.75" customHeight="1" x14ac:dyDescent="0.25">
      <c r="A6" s="101" t="s">
        <v>118</v>
      </c>
      <c r="B6" s="101"/>
      <c r="C6" s="101"/>
      <c r="D6" s="101"/>
      <c r="E6" s="101"/>
      <c r="F6" s="101"/>
      <c r="G6" s="101"/>
      <c r="H6" s="101"/>
      <c r="I6" s="101"/>
      <c r="J6" s="101"/>
    </row>
  </sheetData>
  <mergeCells count="1">
    <mergeCell ref="A6:J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A6" sqref="A1:E6"/>
    </sheetView>
  </sheetViews>
  <sheetFormatPr defaultRowHeight="15" x14ac:dyDescent="0.25"/>
  <cols>
    <col min="1" max="1" width="24.7109375" customWidth="1"/>
    <col min="2" max="5" width="12.7109375" customWidth="1"/>
  </cols>
  <sheetData>
    <row r="1" spans="1:5" ht="15.75" x14ac:dyDescent="0.25">
      <c r="A1" s="23"/>
      <c r="B1" s="105" t="s">
        <v>75</v>
      </c>
      <c r="C1" s="105"/>
      <c r="D1" s="105" t="s">
        <v>76</v>
      </c>
      <c r="E1" s="105"/>
    </row>
    <row r="2" spans="1:5" x14ac:dyDescent="0.25">
      <c r="A2" s="45" t="s">
        <v>63</v>
      </c>
      <c r="B2" s="45" t="s">
        <v>64</v>
      </c>
      <c r="C2" s="45" t="s">
        <v>1</v>
      </c>
      <c r="D2" s="45" t="s">
        <v>3</v>
      </c>
      <c r="E2" s="45" t="s">
        <v>1</v>
      </c>
    </row>
    <row r="3" spans="1:5" x14ac:dyDescent="0.25">
      <c r="A3" s="17" t="s">
        <v>65</v>
      </c>
      <c r="B3" s="65">
        <v>742798</v>
      </c>
      <c r="C3" s="65">
        <v>132687</v>
      </c>
      <c r="D3" s="65">
        <v>1425762</v>
      </c>
      <c r="E3" s="65">
        <v>61991</v>
      </c>
    </row>
    <row r="4" spans="1:5" x14ac:dyDescent="0.25">
      <c r="A4" s="18" t="s">
        <v>66</v>
      </c>
      <c r="B4" s="64">
        <v>1331695</v>
      </c>
      <c r="C4" s="64">
        <v>467060</v>
      </c>
      <c r="D4" s="64">
        <v>154184</v>
      </c>
      <c r="E4" s="64">
        <v>239475</v>
      </c>
    </row>
    <row r="5" spans="1:5" x14ac:dyDescent="0.25">
      <c r="A5" s="22" t="s">
        <v>8</v>
      </c>
      <c r="B5" s="59">
        <f>SUM(B3:B4)</f>
        <v>2074493</v>
      </c>
      <c r="C5" s="59">
        <f t="shared" ref="C5:E5" si="0">SUM(C3:C4)</f>
        <v>599747</v>
      </c>
      <c r="D5" s="59">
        <f t="shared" si="0"/>
        <v>1579946</v>
      </c>
      <c r="E5" s="59">
        <f t="shared" si="0"/>
        <v>301466</v>
      </c>
    </row>
    <row r="6" spans="1:5" ht="33.75" customHeight="1" x14ac:dyDescent="0.25">
      <c r="A6" s="100" t="s">
        <v>119</v>
      </c>
      <c r="B6" s="100"/>
      <c r="C6" s="100"/>
      <c r="D6" s="100"/>
      <c r="E6" s="100"/>
    </row>
  </sheetData>
  <mergeCells count="3">
    <mergeCell ref="B1:C1"/>
    <mergeCell ref="D1:E1"/>
    <mergeCell ref="A6:E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H7" sqref="H7"/>
    </sheetView>
  </sheetViews>
  <sheetFormatPr defaultRowHeight="15" x14ac:dyDescent="0.25"/>
  <cols>
    <col min="1" max="1" width="24.7109375" customWidth="1"/>
    <col min="2" max="4" width="14.7109375" customWidth="1"/>
  </cols>
  <sheetData>
    <row r="1" spans="1:4" ht="87.75" customHeight="1" x14ac:dyDescent="0.25">
      <c r="A1" s="100" t="s">
        <v>214</v>
      </c>
      <c r="B1" s="100"/>
      <c r="C1" s="100"/>
      <c r="D1" s="100"/>
    </row>
    <row r="2" spans="1:4" ht="22.5" customHeight="1" x14ac:dyDescent="0.25">
      <c r="A2" s="100" t="s">
        <v>81</v>
      </c>
      <c r="B2" s="100"/>
      <c r="C2" s="100"/>
      <c r="D2" s="100"/>
    </row>
    <row r="3" spans="1:4" ht="18.75" customHeight="1" x14ac:dyDescent="0.25">
      <c r="A3" s="100" t="s">
        <v>82</v>
      </c>
      <c r="B3" s="100"/>
      <c r="C3" s="100"/>
      <c r="D3" s="100"/>
    </row>
    <row r="4" spans="1:4" ht="18.75" customHeight="1" x14ac:dyDescent="0.25">
      <c r="A4" s="106" t="s">
        <v>83</v>
      </c>
      <c r="B4" s="107"/>
      <c r="C4" s="107"/>
      <c r="D4" s="107"/>
    </row>
    <row r="5" spans="1:4" ht="18.75" customHeight="1" x14ac:dyDescent="0.25">
      <c r="A5" s="100" t="s">
        <v>84</v>
      </c>
      <c r="B5" s="100"/>
      <c r="C5" s="100"/>
      <c r="D5" s="100"/>
    </row>
    <row r="6" spans="1:4" ht="18" customHeight="1" x14ac:dyDescent="0.25">
      <c r="A6" s="100" t="s">
        <v>85</v>
      </c>
      <c r="B6" s="100"/>
      <c r="C6" s="100"/>
      <c r="D6" s="100"/>
    </row>
    <row r="7" spans="1:4" ht="22.5" customHeight="1" x14ac:dyDescent="0.25">
      <c r="A7" s="100" t="s">
        <v>86</v>
      </c>
      <c r="B7" s="100"/>
      <c r="C7" s="100"/>
      <c r="D7" s="100"/>
    </row>
    <row r="8" spans="1:4" ht="33.75" customHeight="1" x14ac:dyDescent="0.25">
      <c r="A8" s="101" t="s">
        <v>12</v>
      </c>
      <c r="B8" s="101"/>
      <c r="C8" s="101"/>
      <c r="D8" s="101"/>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election activeCell="D5" sqref="A1:D5"/>
    </sheetView>
  </sheetViews>
  <sheetFormatPr defaultRowHeight="15" x14ac:dyDescent="0.25"/>
  <cols>
    <col min="1" max="1" width="24.7109375" customWidth="1"/>
    <col min="2" max="4" width="14.7109375" customWidth="1"/>
  </cols>
  <sheetData>
    <row r="1" spans="1:4" x14ac:dyDescent="0.25">
      <c r="A1" s="45" t="s">
        <v>63</v>
      </c>
      <c r="B1" s="45" t="s">
        <v>64</v>
      </c>
      <c r="C1" s="45" t="s">
        <v>1</v>
      </c>
      <c r="D1" s="45" t="s">
        <v>100</v>
      </c>
    </row>
    <row r="2" spans="1:4" ht="15.75" customHeight="1" x14ac:dyDescent="0.25">
      <c r="A2" s="18" t="s">
        <v>101</v>
      </c>
      <c r="B2" s="63">
        <v>0</v>
      </c>
      <c r="C2" s="63">
        <v>15335331</v>
      </c>
      <c r="D2" s="63">
        <v>15335331</v>
      </c>
    </row>
    <row r="3" spans="1:4" x14ac:dyDescent="0.25">
      <c r="A3" s="18" t="s">
        <v>102</v>
      </c>
      <c r="B3" s="70">
        <v>0</v>
      </c>
      <c r="C3" s="63">
        <v>379711</v>
      </c>
      <c r="D3" s="63">
        <v>379711</v>
      </c>
    </row>
    <row r="4" spans="1:4" x14ac:dyDescent="0.25">
      <c r="A4" s="17" t="s">
        <v>103</v>
      </c>
      <c r="B4" s="70">
        <v>0</v>
      </c>
      <c r="C4" s="63">
        <v>1185074</v>
      </c>
      <c r="D4" s="63">
        <v>1185074</v>
      </c>
    </row>
    <row r="5" spans="1:4" x14ac:dyDescent="0.25">
      <c r="A5" s="22" t="s">
        <v>8</v>
      </c>
      <c r="B5" s="70" t="s">
        <v>201</v>
      </c>
      <c r="C5" s="70">
        <f>SUM(C2:C4)</f>
        <v>16900116</v>
      </c>
      <c r="D5" s="70">
        <f>SUM(D2:D4)</f>
        <v>16900116</v>
      </c>
    </row>
    <row r="6" spans="1:4" ht="15.75" customHeight="1" x14ac:dyDescent="0.25"/>
    <row r="7" spans="1:4" ht="15" customHeight="1" x14ac:dyDescent="0.25"/>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I5" sqref="A1:I5"/>
    </sheetView>
  </sheetViews>
  <sheetFormatPr defaultRowHeight="15" x14ac:dyDescent="0.25"/>
  <cols>
    <col min="1" max="1" width="24.7109375" customWidth="1"/>
    <col min="2" max="2" width="10" bestFit="1" customWidth="1"/>
    <col min="3" max="3" width="11" bestFit="1" customWidth="1"/>
    <col min="4" max="5" width="10" bestFit="1" customWidth="1"/>
    <col min="6" max="8" width="10" customWidth="1"/>
    <col min="9" max="9" width="11" bestFit="1" customWidth="1"/>
  </cols>
  <sheetData>
    <row r="1" spans="1:9" ht="15.75" x14ac:dyDescent="0.25">
      <c r="A1" s="45" t="s">
        <v>63</v>
      </c>
      <c r="B1" s="42" t="s">
        <v>68</v>
      </c>
      <c r="C1" s="42" t="s">
        <v>25</v>
      </c>
      <c r="D1" s="42" t="s">
        <v>23</v>
      </c>
      <c r="E1" s="42" t="s">
        <v>24</v>
      </c>
      <c r="F1" s="42" t="s">
        <v>69</v>
      </c>
      <c r="G1" s="42" t="s">
        <v>26</v>
      </c>
      <c r="H1" s="42" t="s">
        <v>70</v>
      </c>
      <c r="I1" s="42" t="s">
        <v>8</v>
      </c>
    </row>
    <row r="2" spans="1:9" x14ac:dyDescent="0.25">
      <c r="A2" s="18" t="s">
        <v>101</v>
      </c>
      <c r="B2" s="60">
        <v>2358526</v>
      </c>
      <c r="C2" s="60">
        <v>10230907</v>
      </c>
      <c r="D2" s="60">
        <v>645572</v>
      </c>
      <c r="E2" s="60">
        <v>954677</v>
      </c>
      <c r="F2" s="60">
        <v>586400</v>
      </c>
      <c r="G2" s="60">
        <v>146112</v>
      </c>
      <c r="H2" s="60">
        <v>413137</v>
      </c>
      <c r="I2" s="60">
        <v>15335331</v>
      </c>
    </row>
    <row r="3" spans="1:9" x14ac:dyDescent="0.25">
      <c r="A3" s="18" t="s">
        <v>102</v>
      </c>
      <c r="B3" s="60">
        <v>53999</v>
      </c>
      <c r="C3" s="60">
        <v>180577</v>
      </c>
      <c r="D3" s="60">
        <v>50496</v>
      </c>
      <c r="E3" s="60">
        <v>31111</v>
      </c>
      <c r="F3" s="60">
        <v>6947</v>
      </c>
      <c r="G3" s="60">
        <v>25648</v>
      </c>
      <c r="H3" s="60">
        <v>30933</v>
      </c>
      <c r="I3" s="60">
        <v>379711</v>
      </c>
    </row>
    <row r="4" spans="1:9" x14ac:dyDescent="0.25">
      <c r="A4" s="17" t="s">
        <v>103</v>
      </c>
      <c r="B4" s="60">
        <v>128178</v>
      </c>
      <c r="C4" s="60">
        <v>298584</v>
      </c>
      <c r="D4" s="60">
        <v>40905</v>
      </c>
      <c r="E4" s="60">
        <v>58002</v>
      </c>
      <c r="F4" s="60">
        <v>44972</v>
      </c>
      <c r="G4" s="60">
        <v>13496</v>
      </c>
      <c r="H4" s="60">
        <v>600938</v>
      </c>
      <c r="I4" s="60">
        <v>1185075</v>
      </c>
    </row>
    <row r="5" spans="1:9" x14ac:dyDescent="0.25">
      <c r="A5" s="22" t="s">
        <v>8</v>
      </c>
      <c r="B5" s="70">
        <f>SUM(B2:B4)</f>
        <v>2540703</v>
      </c>
      <c r="C5" s="70">
        <f t="shared" ref="C5:I5" si="0">SUM(C2:C4)</f>
        <v>10710068</v>
      </c>
      <c r="D5" s="70">
        <f t="shared" si="0"/>
        <v>736973</v>
      </c>
      <c r="E5" s="70">
        <f t="shared" si="0"/>
        <v>1043790</v>
      </c>
      <c r="F5" s="70">
        <f t="shared" si="0"/>
        <v>638319</v>
      </c>
      <c r="G5" s="70">
        <f t="shared" si="0"/>
        <v>185256</v>
      </c>
      <c r="H5" s="70">
        <f t="shared" si="0"/>
        <v>1045008</v>
      </c>
      <c r="I5" s="70">
        <f t="shared" si="0"/>
        <v>16900117</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workbookViewId="0">
      <selection activeCell="H5" sqref="A1:H5"/>
    </sheetView>
  </sheetViews>
  <sheetFormatPr defaultRowHeight="15" x14ac:dyDescent="0.25"/>
  <cols>
    <col min="1" max="1" width="24.7109375" customWidth="1"/>
    <col min="2" max="5" width="11" bestFit="1" customWidth="1"/>
    <col min="6" max="6" width="12" bestFit="1" customWidth="1"/>
    <col min="7" max="7" width="11" bestFit="1" customWidth="1"/>
    <col min="8" max="8" width="12" bestFit="1" customWidth="1"/>
  </cols>
  <sheetData>
    <row r="1" spans="1:8" ht="15.75" x14ac:dyDescent="0.25">
      <c r="A1" s="45" t="s">
        <v>63</v>
      </c>
      <c r="B1" s="42" t="s">
        <v>72</v>
      </c>
      <c r="C1" s="42" t="s">
        <v>27</v>
      </c>
      <c r="D1" s="42" t="s">
        <v>28</v>
      </c>
      <c r="E1" s="42" t="s">
        <v>29</v>
      </c>
      <c r="F1" s="42" t="s">
        <v>30</v>
      </c>
      <c r="G1" s="7" t="s">
        <v>104</v>
      </c>
      <c r="H1" s="8" t="s">
        <v>8</v>
      </c>
    </row>
    <row r="2" spans="1:8" x14ac:dyDescent="0.25">
      <c r="A2" s="18" t="s">
        <v>101</v>
      </c>
      <c r="B2" s="61">
        <v>1778137</v>
      </c>
      <c r="C2" s="61">
        <v>912487</v>
      </c>
      <c r="D2" s="61">
        <v>2414182</v>
      </c>
      <c r="E2" s="61">
        <v>2497297</v>
      </c>
      <c r="F2" s="61">
        <v>3818390</v>
      </c>
      <c r="G2" s="61">
        <v>3914839</v>
      </c>
      <c r="H2" s="61">
        <v>15335332</v>
      </c>
    </row>
    <row r="3" spans="1:8" x14ac:dyDescent="0.25">
      <c r="A3" s="18" t="s">
        <v>102</v>
      </c>
      <c r="B3" s="61">
        <v>13191</v>
      </c>
      <c r="C3" s="61">
        <v>19423</v>
      </c>
      <c r="D3" s="61">
        <v>21569</v>
      </c>
      <c r="E3" s="61">
        <v>40866</v>
      </c>
      <c r="F3" s="61">
        <v>107053</v>
      </c>
      <c r="G3" s="61">
        <v>177609</v>
      </c>
      <c r="H3" s="61">
        <v>379711</v>
      </c>
    </row>
    <row r="4" spans="1:8" x14ac:dyDescent="0.25">
      <c r="A4" s="17" t="s">
        <v>103</v>
      </c>
      <c r="B4" s="61">
        <v>153488</v>
      </c>
      <c r="C4" s="61">
        <v>100234</v>
      </c>
      <c r="D4" s="61">
        <v>159151</v>
      </c>
      <c r="E4" s="61">
        <v>233494</v>
      </c>
      <c r="F4" s="61">
        <v>340522</v>
      </c>
      <c r="G4" s="61">
        <v>198186</v>
      </c>
      <c r="H4" s="61">
        <v>1185075</v>
      </c>
    </row>
    <row r="5" spans="1:8" x14ac:dyDescent="0.25">
      <c r="A5" s="22" t="s">
        <v>8</v>
      </c>
      <c r="B5" s="62">
        <f>SUM(B2:B4)</f>
        <v>1944816</v>
      </c>
      <c r="C5" s="62">
        <f t="shared" ref="C5:G5" si="0">SUM(C2:C4)</f>
        <v>1032144</v>
      </c>
      <c r="D5" s="62">
        <f t="shared" si="0"/>
        <v>2594902</v>
      </c>
      <c r="E5" s="62">
        <f t="shared" si="0"/>
        <v>2771657</v>
      </c>
      <c r="F5" s="62">
        <f t="shared" si="0"/>
        <v>4265965</v>
      </c>
      <c r="G5" s="62">
        <f t="shared" si="0"/>
        <v>4290634</v>
      </c>
      <c r="H5" s="80">
        <f t="shared" ref="H5" si="1">SUM(B5:G5)</f>
        <v>16900118</v>
      </c>
    </row>
    <row r="8" spans="1:8" ht="15" customHeight="1" x14ac:dyDescent="0.25"/>
    <row r="9" spans="1:8" ht="15" customHeight="1" x14ac:dyDescent="0.25"/>
  </sheetData>
  <pageMargins left="0.7" right="0.7" top="0.75" bottom="0.75" header="0.3" footer="0.3"/>
  <pageSetup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E6" sqref="A1:E6"/>
    </sheetView>
  </sheetViews>
  <sheetFormatPr defaultRowHeight="15" x14ac:dyDescent="0.25"/>
  <cols>
    <col min="1" max="1" width="24.7109375" customWidth="1"/>
    <col min="2" max="5" width="12.7109375" customWidth="1"/>
  </cols>
  <sheetData>
    <row r="1" spans="1:5" ht="15.75" x14ac:dyDescent="0.25">
      <c r="A1" s="23"/>
      <c r="B1" s="105" t="s">
        <v>75</v>
      </c>
      <c r="C1" s="105"/>
      <c r="D1" s="108" t="s">
        <v>76</v>
      </c>
      <c r="E1" s="108"/>
    </row>
    <row r="2" spans="1:5" x14ac:dyDescent="0.25">
      <c r="A2" s="45" t="s">
        <v>63</v>
      </c>
      <c r="B2" s="45" t="s">
        <v>64</v>
      </c>
      <c r="C2" s="45" t="s">
        <v>1</v>
      </c>
      <c r="D2" s="45" t="s">
        <v>3</v>
      </c>
      <c r="E2" s="45" t="s">
        <v>1</v>
      </c>
    </row>
    <row r="3" spans="1:5" x14ac:dyDescent="0.25">
      <c r="A3" s="18" t="s">
        <v>101</v>
      </c>
      <c r="B3" s="64">
        <v>0</v>
      </c>
      <c r="C3" s="64">
        <v>28008880</v>
      </c>
      <c r="D3" s="63">
        <v>0</v>
      </c>
      <c r="E3" s="63">
        <v>2661781</v>
      </c>
    </row>
    <row r="4" spans="1:5" x14ac:dyDescent="0.25">
      <c r="A4" s="18" t="s">
        <v>102</v>
      </c>
      <c r="B4" s="64">
        <v>0</v>
      </c>
      <c r="C4" s="64">
        <v>399227</v>
      </c>
      <c r="D4" s="63">
        <v>0</v>
      </c>
      <c r="E4" s="63">
        <v>360195</v>
      </c>
    </row>
    <row r="5" spans="1:5" x14ac:dyDescent="0.25">
      <c r="A5" s="17" t="s">
        <v>103</v>
      </c>
      <c r="B5" s="65">
        <v>0</v>
      </c>
      <c r="C5" s="65">
        <v>1795476</v>
      </c>
      <c r="D5" s="63">
        <v>0</v>
      </c>
      <c r="E5" s="63">
        <v>574673</v>
      </c>
    </row>
    <row r="6" spans="1:5" x14ac:dyDescent="0.25">
      <c r="A6" s="22" t="s">
        <v>8</v>
      </c>
      <c r="B6" s="68" t="s">
        <v>203</v>
      </c>
      <c r="C6" s="68">
        <f>SUM(C3:C5)</f>
        <v>30203583</v>
      </c>
      <c r="D6" s="68" t="s">
        <v>203</v>
      </c>
      <c r="E6" s="68">
        <f>SUM(E3:E5)</f>
        <v>3596649</v>
      </c>
    </row>
  </sheetData>
  <mergeCells count="2">
    <mergeCell ref="B1:C1"/>
    <mergeCell ref="D1:E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G3" sqref="G3"/>
    </sheetView>
  </sheetViews>
  <sheetFormatPr defaultRowHeight="15" x14ac:dyDescent="0.25"/>
  <cols>
    <col min="1" max="1" width="24.7109375" customWidth="1"/>
    <col min="2" max="4" width="14.7109375" customWidth="1"/>
  </cols>
  <sheetData>
    <row r="1" spans="1:4" ht="73.5" customHeight="1" x14ac:dyDescent="0.25">
      <c r="A1" s="100" t="s">
        <v>207</v>
      </c>
      <c r="B1" s="100"/>
      <c r="C1" s="100"/>
      <c r="D1" s="100"/>
    </row>
    <row r="2" spans="1:4" ht="22.5" customHeight="1" x14ac:dyDescent="0.25">
      <c r="A2" s="100" t="s">
        <v>81</v>
      </c>
      <c r="B2" s="100"/>
      <c r="C2" s="100"/>
      <c r="D2" s="100"/>
    </row>
    <row r="3" spans="1:4" ht="18.75" customHeight="1" x14ac:dyDescent="0.25">
      <c r="A3" s="100" t="s">
        <v>82</v>
      </c>
      <c r="B3" s="100"/>
      <c r="C3" s="100"/>
      <c r="D3" s="100"/>
    </row>
    <row r="4" spans="1:4" ht="18.75" customHeight="1" x14ac:dyDescent="0.25">
      <c r="A4" s="106" t="s">
        <v>83</v>
      </c>
      <c r="B4" s="107"/>
      <c r="C4" s="107"/>
      <c r="D4" s="107"/>
    </row>
    <row r="5" spans="1:4" ht="18.75" customHeight="1" x14ac:dyDescent="0.25">
      <c r="A5" s="100" t="s">
        <v>84</v>
      </c>
      <c r="B5" s="100"/>
      <c r="C5" s="100"/>
      <c r="D5" s="100"/>
    </row>
    <row r="6" spans="1:4" ht="18" customHeight="1" x14ac:dyDescent="0.25">
      <c r="A6" s="100" t="s">
        <v>85</v>
      </c>
      <c r="B6" s="100"/>
      <c r="C6" s="100"/>
      <c r="D6" s="100"/>
    </row>
    <row r="7" spans="1:4" ht="22.5" customHeight="1" x14ac:dyDescent="0.25">
      <c r="A7" s="100" t="s">
        <v>86</v>
      </c>
      <c r="B7" s="100"/>
      <c r="C7" s="100"/>
      <c r="D7" s="100"/>
    </row>
    <row r="8" spans="1:4" ht="33.75" customHeight="1" x14ac:dyDescent="0.25">
      <c r="A8" s="101" t="s">
        <v>12</v>
      </c>
      <c r="B8" s="101"/>
      <c r="C8" s="101"/>
      <c r="D8" s="101"/>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D5" sqref="A1:D5"/>
    </sheetView>
  </sheetViews>
  <sheetFormatPr defaultRowHeight="15" x14ac:dyDescent="0.25"/>
  <cols>
    <col min="1" max="1" width="24.7109375" customWidth="1"/>
    <col min="2" max="4" width="14.7109375" customWidth="1"/>
  </cols>
  <sheetData>
    <row r="1" spans="1:4" x14ac:dyDescent="0.25">
      <c r="A1" s="45" t="s">
        <v>63</v>
      </c>
      <c r="B1" s="45" t="s">
        <v>64</v>
      </c>
      <c r="C1" s="45" t="s">
        <v>1</v>
      </c>
      <c r="D1" s="45" t="s">
        <v>8</v>
      </c>
    </row>
    <row r="2" spans="1:4" ht="15.75" customHeight="1" x14ac:dyDescent="0.25">
      <c r="A2" s="18" t="s">
        <v>101</v>
      </c>
      <c r="B2" s="63">
        <v>0</v>
      </c>
      <c r="C2" s="63">
        <v>295</v>
      </c>
      <c r="D2" s="63">
        <v>295</v>
      </c>
    </row>
    <row r="3" spans="1:4" x14ac:dyDescent="0.25">
      <c r="A3" s="18" t="s">
        <v>102</v>
      </c>
      <c r="B3" s="70">
        <v>0</v>
      </c>
      <c r="C3" s="63">
        <v>23</v>
      </c>
      <c r="D3" s="63">
        <v>23</v>
      </c>
    </row>
    <row r="4" spans="1:4" x14ac:dyDescent="0.25">
      <c r="A4" s="17" t="s">
        <v>103</v>
      </c>
      <c r="B4" s="70">
        <v>0</v>
      </c>
      <c r="C4" s="63">
        <v>188</v>
      </c>
      <c r="D4" s="63">
        <v>188</v>
      </c>
    </row>
    <row r="5" spans="1:4" x14ac:dyDescent="0.25">
      <c r="A5" s="22" t="s">
        <v>8</v>
      </c>
      <c r="B5" s="70" t="s">
        <v>201</v>
      </c>
      <c r="C5" s="70">
        <f>SUM(C2:C4)</f>
        <v>506</v>
      </c>
      <c r="D5" s="70">
        <f>SUM(D2:D4)</f>
        <v>506</v>
      </c>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I5" sqref="A1:I5"/>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45" t="s">
        <v>63</v>
      </c>
      <c r="B1" s="42" t="s">
        <v>68</v>
      </c>
      <c r="C1" s="42" t="s">
        <v>25</v>
      </c>
      <c r="D1" s="42" t="s">
        <v>23</v>
      </c>
      <c r="E1" s="42" t="s">
        <v>24</v>
      </c>
      <c r="F1" s="42" t="s">
        <v>69</v>
      </c>
      <c r="G1" s="42" t="s">
        <v>26</v>
      </c>
      <c r="H1" s="42" t="s">
        <v>70</v>
      </c>
      <c r="I1" s="42" t="s">
        <v>8</v>
      </c>
    </row>
    <row r="2" spans="1:9" x14ac:dyDescent="0.25">
      <c r="A2" s="18" t="s">
        <v>101</v>
      </c>
      <c r="B2" s="60">
        <v>73</v>
      </c>
      <c r="C2" s="60">
        <v>90</v>
      </c>
      <c r="D2" s="60">
        <v>9</v>
      </c>
      <c r="E2" s="60">
        <v>60</v>
      </c>
      <c r="F2" s="60">
        <v>16</v>
      </c>
      <c r="G2" s="60">
        <v>28</v>
      </c>
      <c r="H2" s="60">
        <v>19</v>
      </c>
      <c r="I2" s="60">
        <v>295</v>
      </c>
    </row>
    <row r="3" spans="1:9" x14ac:dyDescent="0.25">
      <c r="A3" s="18" t="s">
        <v>102</v>
      </c>
      <c r="B3" s="60">
        <v>3</v>
      </c>
      <c r="C3" s="60">
        <v>8</v>
      </c>
      <c r="D3" s="60">
        <v>0</v>
      </c>
      <c r="E3" s="60">
        <v>0</v>
      </c>
      <c r="F3" s="60">
        <v>0</v>
      </c>
      <c r="G3" s="60">
        <v>7</v>
      </c>
      <c r="H3" s="60">
        <v>5</v>
      </c>
      <c r="I3" s="60">
        <v>23</v>
      </c>
    </row>
    <row r="4" spans="1:9" x14ac:dyDescent="0.25">
      <c r="A4" s="17" t="s">
        <v>103</v>
      </c>
      <c r="B4" s="60">
        <v>4</v>
      </c>
      <c r="C4" s="60">
        <v>41</v>
      </c>
      <c r="D4" s="60">
        <v>1</v>
      </c>
      <c r="E4" s="60">
        <v>1</v>
      </c>
      <c r="F4" s="60">
        <v>2</v>
      </c>
      <c r="G4" s="60">
        <v>0</v>
      </c>
      <c r="H4" s="60">
        <v>139</v>
      </c>
      <c r="I4" s="60">
        <v>188</v>
      </c>
    </row>
    <row r="5" spans="1:9" x14ac:dyDescent="0.25">
      <c r="A5" s="22" t="s">
        <v>8</v>
      </c>
      <c r="B5" s="70">
        <f>SUM(B2:B4)</f>
        <v>80</v>
      </c>
      <c r="C5" s="70">
        <f t="shared" ref="C5:I5" si="0">SUM(C2:C4)</f>
        <v>139</v>
      </c>
      <c r="D5" s="70">
        <f t="shared" si="0"/>
        <v>10</v>
      </c>
      <c r="E5" s="70">
        <f t="shared" si="0"/>
        <v>61</v>
      </c>
      <c r="F5" s="70">
        <f t="shared" si="0"/>
        <v>18</v>
      </c>
      <c r="G5" s="70">
        <f t="shared" si="0"/>
        <v>35</v>
      </c>
      <c r="H5" s="70">
        <f t="shared" si="0"/>
        <v>163</v>
      </c>
      <c r="I5" s="70">
        <f t="shared" si="0"/>
        <v>506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election activeCell="J5" sqref="A1:J5"/>
    </sheetView>
  </sheetViews>
  <sheetFormatPr defaultRowHeight="15" x14ac:dyDescent="0.25"/>
  <cols>
    <col min="1" max="1" width="24.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45" t="s">
        <v>63</v>
      </c>
      <c r="B1" s="42" t="s">
        <v>72</v>
      </c>
      <c r="C1" s="42" t="s">
        <v>27</v>
      </c>
      <c r="D1" s="42" t="s">
        <v>28</v>
      </c>
      <c r="E1" s="42" t="s">
        <v>29</v>
      </c>
      <c r="F1" s="42" t="s">
        <v>30</v>
      </c>
      <c r="G1" s="42" t="s">
        <v>31</v>
      </c>
      <c r="H1" s="42" t="s">
        <v>73</v>
      </c>
      <c r="I1" s="42" t="s">
        <v>74</v>
      </c>
      <c r="J1" s="8" t="s">
        <v>8</v>
      </c>
    </row>
    <row r="2" spans="1:10" x14ac:dyDescent="0.25">
      <c r="A2" s="18" t="s">
        <v>101</v>
      </c>
      <c r="B2" s="61">
        <v>9</v>
      </c>
      <c r="C2" s="61">
        <v>8</v>
      </c>
      <c r="D2" s="61">
        <v>32</v>
      </c>
      <c r="E2" s="61">
        <v>64</v>
      </c>
      <c r="F2" s="61">
        <v>71</v>
      </c>
      <c r="G2" s="61">
        <v>56</v>
      </c>
      <c r="H2" s="61">
        <v>49</v>
      </c>
      <c r="I2" s="61">
        <v>6</v>
      </c>
      <c r="J2" s="61">
        <v>295</v>
      </c>
    </row>
    <row r="3" spans="1:10" x14ac:dyDescent="0.25">
      <c r="A3" s="18" t="s">
        <v>102</v>
      </c>
      <c r="B3" s="61">
        <v>2</v>
      </c>
      <c r="C3" s="61">
        <v>0</v>
      </c>
      <c r="D3" s="61">
        <v>0</v>
      </c>
      <c r="E3" s="61">
        <v>0</v>
      </c>
      <c r="F3" s="61">
        <v>14</v>
      </c>
      <c r="G3" s="61">
        <v>4</v>
      </c>
      <c r="H3" s="61">
        <v>3</v>
      </c>
      <c r="I3" s="61">
        <v>0</v>
      </c>
      <c r="J3" s="61">
        <v>23</v>
      </c>
    </row>
    <row r="4" spans="1:10" x14ac:dyDescent="0.25">
      <c r="A4" s="17" t="s">
        <v>103</v>
      </c>
      <c r="B4" s="61">
        <v>11</v>
      </c>
      <c r="C4" s="61">
        <v>3</v>
      </c>
      <c r="D4" s="61">
        <v>46</v>
      </c>
      <c r="E4" s="61">
        <v>40</v>
      </c>
      <c r="F4" s="61">
        <v>47</v>
      </c>
      <c r="G4" s="61">
        <v>30</v>
      </c>
      <c r="H4" s="61">
        <v>11</v>
      </c>
      <c r="I4" s="61">
        <v>0</v>
      </c>
      <c r="J4" s="61">
        <v>188</v>
      </c>
    </row>
    <row r="5" spans="1:10" x14ac:dyDescent="0.25">
      <c r="A5" s="22" t="s">
        <v>8</v>
      </c>
      <c r="B5" s="80">
        <f>SUM(B2:B4)</f>
        <v>22</v>
      </c>
      <c r="C5" s="80">
        <f t="shared" ref="C5:I5" si="0">SUM(C2:C4)</f>
        <v>11</v>
      </c>
      <c r="D5" s="80">
        <f t="shared" si="0"/>
        <v>78</v>
      </c>
      <c r="E5" s="80">
        <f t="shared" si="0"/>
        <v>104</v>
      </c>
      <c r="F5" s="80">
        <f t="shared" si="0"/>
        <v>132</v>
      </c>
      <c r="G5" s="80">
        <f t="shared" si="0"/>
        <v>90</v>
      </c>
      <c r="H5" s="80">
        <f t="shared" si="0"/>
        <v>63</v>
      </c>
      <c r="I5" s="80">
        <f t="shared" si="0"/>
        <v>6</v>
      </c>
      <c r="J5" s="80">
        <f>SUM(J2:J4)</f>
        <v>506</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E6" sqref="A1:E6"/>
    </sheetView>
  </sheetViews>
  <sheetFormatPr defaultRowHeight="15" x14ac:dyDescent="0.25"/>
  <cols>
    <col min="1" max="1" width="24.7109375" customWidth="1"/>
    <col min="2" max="5" width="12.7109375" customWidth="1"/>
  </cols>
  <sheetData>
    <row r="1" spans="1:5" ht="15.75" x14ac:dyDescent="0.25">
      <c r="A1" s="23"/>
      <c r="B1" s="105" t="s">
        <v>75</v>
      </c>
      <c r="C1" s="105"/>
      <c r="D1" s="108" t="s">
        <v>76</v>
      </c>
      <c r="E1" s="108"/>
    </row>
    <row r="2" spans="1:5" x14ac:dyDescent="0.25">
      <c r="A2" s="45" t="s">
        <v>63</v>
      </c>
      <c r="B2" s="45" t="s">
        <v>64</v>
      </c>
      <c r="C2" s="45" t="s">
        <v>1</v>
      </c>
      <c r="D2" s="45" t="s">
        <v>3</v>
      </c>
      <c r="E2" s="45" t="s">
        <v>1</v>
      </c>
    </row>
    <row r="3" spans="1:5" x14ac:dyDescent="0.25">
      <c r="A3" s="18" t="s">
        <v>101</v>
      </c>
      <c r="B3" s="64">
        <v>0</v>
      </c>
      <c r="C3" s="64">
        <v>428</v>
      </c>
      <c r="D3" s="63">
        <v>0</v>
      </c>
      <c r="E3" s="63">
        <v>162</v>
      </c>
    </row>
    <row r="4" spans="1:5" x14ac:dyDescent="0.25">
      <c r="A4" s="18" t="s">
        <v>102</v>
      </c>
      <c r="B4" s="64">
        <v>0</v>
      </c>
      <c r="C4" s="64">
        <v>21</v>
      </c>
      <c r="D4" s="63">
        <v>0</v>
      </c>
      <c r="E4" s="63">
        <v>25</v>
      </c>
    </row>
    <row r="5" spans="1:5" x14ac:dyDescent="0.25">
      <c r="A5" s="17" t="s">
        <v>103</v>
      </c>
      <c r="B5" s="65">
        <v>0</v>
      </c>
      <c r="C5" s="65">
        <v>235</v>
      </c>
      <c r="D5" s="63">
        <v>0</v>
      </c>
      <c r="E5" s="63">
        <v>141</v>
      </c>
    </row>
    <row r="6" spans="1:5" x14ac:dyDescent="0.25">
      <c r="A6" s="22" t="s">
        <v>8</v>
      </c>
      <c r="B6" s="68" t="s">
        <v>203</v>
      </c>
      <c r="C6" s="68">
        <f>SUM(C3:C5)</f>
        <v>684</v>
      </c>
      <c r="D6" s="68">
        <f t="shared" ref="D6:E6" si="0">SUM(D3:D5)</f>
        <v>0</v>
      </c>
      <c r="E6" s="68">
        <f t="shared" si="0"/>
        <v>328</v>
      </c>
    </row>
  </sheetData>
  <mergeCells count="2">
    <mergeCell ref="B1:C1"/>
    <mergeCell ref="D1:E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F1" sqref="F1"/>
    </sheetView>
  </sheetViews>
  <sheetFormatPr defaultRowHeight="15" x14ac:dyDescent="0.25"/>
  <cols>
    <col min="1" max="1" width="24.7109375" customWidth="1"/>
    <col min="2" max="4" width="14.7109375" customWidth="1"/>
  </cols>
  <sheetData>
    <row r="1" spans="1:4" ht="73.5" customHeight="1" x14ac:dyDescent="0.25">
      <c r="A1" s="109" t="s">
        <v>211</v>
      </c>
      <c r="B1" s="109"/>
      <c r="C1" s="109"/>
      <c r="D1" s="109"/>
    </row>
    <row r="2" spans="1:4" ht="22.5" customHeight="1" x14ac:dyDescent="0.25">
      <c r="A2" s="100" t="s">
        <v>81</v>
      </c>
      <c r="B2" s="100"/>
      <c r="C2" s="100"/>
      <c r="D2" s="100"/>
    </row>
    <row r="3" spans="1:4" ht="18.75" customHeight="1" x14ac:dyDescent="0.25">
      <c r="A3" s="100" t="s">
        <v>82</v>
      </c>
      <c r="B3" s="100"/>
      <c r="C3" s="100"/>
      <c r="D3" s="100"/>
    </row>
    <row r="4" spans="1:4" ht="18.75" customHeight="1" x14ac:dyDescent="0.25">
      <c r="A4" s="106" t="s">
        <v>83</v>
      </c>
      <c r="B4" s="107"/>
      <c r="C4" s="107"/>
      <c r="D4" s="107"/>
    </row>
    <row r="5" spans="1:4" ht="18.75" customHeight="1" x14ac:dyDescent="0.25">
      <c r="A5" s="100" t="s">
        <v>84</v>
      </c>
      <c r="B5" s="100"/>
      <c r="C5" s="100"/>
      <c r="D5" s="100"/>
    </row>
    <row r="6" spans="1:4" ht="18" customHeight="1" x14ac:dyDescent="0.25">
      <c r="A6" s="100" t="s">
        <v>85</v>
      </c>
      <c r="B6" s="100"/>
      <c r="C6" s="100"/>
      <c r="D6" s="100"/>
    </row>
    <row r="7" spans="1:4" ht="22.5" customHeight="1" x14ac:dyDescent="0.25">
      <c r="A7" s="100" t="s">
        <v>86</v>
      </c>
      <c r="B7" s="100"/>
      <c r="C7" s="100"/>
      <c r="D7" s="100"/>
    </row>
    <row r="8" spans="1:4" ht="33.75" customHeight="1" x14ac:dyDescent="0.25">
      <c r="A8" s="101" t="s">
        <v>12</v>
      </c>
      <c r="B8" s="101"/>
      <c r="C8" s="101"/>
      <c r="D8" s="101"/>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D5" sqref="A1:D5"/>
    </sheetView>
  </sheetViews>
  <sheetFormatPr defaultRowHeight="15" x14ac:dyDescent="0.25"/>
  <cols>
    <col min="1" max="1" width="24.7109375" customWidth="1"/>
    <col min="2" max="4" width="14.7109375" customWidth="1"/>
  </cols>
  <sheetData>
    <row r="1" spans="1:4" x14ac:dyDescent="0.25">
      <c r="A1" s="45" t="s">
        <v>63</v>
      </c>
      <c r="B1" s="45" t="s">
        <v>64</v>
      </c>
      <c r="C1" s="45" t="s">
        <v>1</v>
      </c>
      <c r="D1" s="45" t="s">
        <v>8</v>
      </c>
    </row>
    <row r="2" spans="1:4" x14ac:dyDescent="0.25">
      <c r="A2" s="26" t="s">
        <v>125</v>
      </c>
      <c r="B2" s="63">
        <v>0</v>
      </c>
      <c r="C2" s="61">
        <v>34932</v>
      </c>
      <c r="D2" s="61">
        <v>34932</v>
      </c>
    </row>
    <row r="3" spans="1:4" x14ac:dyDescent="0.25">
      <c r="A3" s="26" t="s">
        <v>126</v>
      </c>
      <c r="B3" s="63">
        <v>0</v>
      </c>
      <c r="C3" s="61">
        <v>452</v>
      </c>
      <c r="D3" s="61">
        <v>452</v>
      </c>
    </row>
    <row r="4" spans="1:4" x14ac:dyDescent="0.25">
      <c r="A4" s="26" t="s">
        <v>127</v>
      </c>
      <c r="B4" s="63">
        <v>0</v>
      </c>
      <c r="C4" s="61">
        <v>9175</v>
      </c>
      <c r="D4" s="61">
        <v>9175</v>
      </c>
    </row>
    <row r="5" spans="1:4" ht="15.75" customHeight="1" x14ac:dyDescent="0.25">
      <c r="A5" s="22" t="s">
        <v>8</v>
      </c>
      <c r="B5" s="63" t="s">
        <v>201</v>
      </c>
      <c r="C5" s="58">
        <f>SUM(C2:C4)</f>
        <v>44559</v>
      </c>
      <c r="D5" s="58">
        <f>SUM(D2:D4)</f>
        <v>44559</v>
      </c>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election activeCell="I2" sqref="A1:I2"/>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45" t="s">
        <v>63</v>
      </c>
      <c r="B1" s="42" t="s">
        <v>68</v>
      </c>
      <c r="C1" s="42" t="s">
        <v>25</v>
      </c>
      <c r="D1" s="42" t="s">
        <v>23</v>
      </c>
      <c r="E1" s="42" t="s">
        <v>24</v>
      </c>
      <c r="F1" s="42" t="s">
        <v>69</v>
      </c>
      <c r="G1" s="42" t="s">
        <v>26</v>
      </c>
      <c r="H1" s="42" t="s">
        <v>70</v>
      </c>
      <c r="I1" s="42" t="s">
        <v>8</v>
      </c>
    </row>
    <row r="2" spans="1:9" ht="15.75" thickBot="1" x14ac:dyDescent="0.3">
      <c r="A2" s="27" t="s">
        <v>128</v>
      </c>
      <c r="B2" s="28">
        <v>14175</v>
      </c>
      <c r="C2" s="28">
        <v>9606</v>
      </c>
      <c r="D2" s="28">
        <v>2466</v>
      </c>
      <c r="E2" s="28">
        <v>8442</v>
      </c>
      <c r="F2" s="28">
        <v>1170</v>
      </c>
      <c r="G2" s="28">
        <v>3767</v>
      </c>
      <c r="H2" s="28">
        <v>4934</v>
      </c>
      <c r="I2" s="29">
        <v>44560</v>
      </c>
    </row>
  </sheetData>
  <pageMargins left="0.7" right="0.7" top="0.75" bottom="0.75" header="0.3" footer="0.3"/>
  <pageSetup orientation="portrait" horizontalDpi="0"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workbookViewId="0">
      <selection activeCell="J2" sqref="A1:J2"/>
    </sheetView>
  </sheetViews>
  <sheetFormatPr defaultRowHeight="15" x14ac:dyDescent="0.25"/>
  <cols>
    <col min="1" max="1" width="24.7109375" customWidth="1"/>
    <col min="2" max="5" width="11" bestFit="1" customWidth="1"/>
    <col min="6" max="6" width="12" bestFit="1" customWidth="1"/>
    <col min="7" max="7" width="11" bestFit="1" customWidth="1"/>
    <col min="8" max="8" width="12" bestFit="1" customWidth="1"/>
    <col min="10" max="10" width="10" bestFit="1" customWidth="1"/>
  </cols>
  <sheetData>
    <row r="1" spans="1:10" ht="15.75" x14ac:dyDescent="0.25">
      <c r="A1" s="45" t="s">
        <v>63</v>
      </c>
      <c r="B1" s="42" t="s">
        <v>72</v>
      </c>
      <c r="C1" s="42" t="s">
        <v>27</v>
      </c>
      <c r="D1" s="42" t="s">
        <v>28</v>
      </c>
      <c r="E1" s="42" t="s">
        <v>29</v>
      </c>
      <c r="F1" s="42" t="s">
        <v>30</v>
      </c>
      <c r="G1" s="7" t="s">
        <v>31</v>
      </c>
      <c r="H1" s="8" t="s">
        <v>73</v>
      </c>
      <c r="I1" s="8" t="s">
        <v>74</v>
      </c>
      <c r="J1" s="8" t="s">
        <v>8</v>
      </c>
    </row>
    <row r="2" spans="1:10" ht="15.75" thickBot="1" x14ac:dyDescent="0.3">
      <c r="A2" s="30" t="s">
        <v>129</v>
      </c>
      <c r="B2" s="31">
        <v>2572</v>
      </c>
      <c r="C2" s="31">
        <v>2318</v>
      </c>
      <c r="D2" s="31">
        <v>7156</v>
      </c>
      <c r="E2" s="31">
        <v>8653</v>
      </c>
      <c r="F2" s="31">
        <v>13096</v>
      </c>
      <c r="G2" s="31">
        <v>5171</v>
      </c>
      <c r="H2" s="31">
        <v>5190</v>
      </c>
      <c r="I2" s="31">
        <v>403</v>
      </c>
      <c r="J2" s="32">
        <v>44559</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E6" sqref="A1:E6"/>
    </sheetView>
  </sheetViews>
  <sheetFormatPr defaultRowHeight="15" x14ac:dyDescent="0.25"/>
  <cols>
    <col min="1" max="1" width="24.7109375" customWidth="1"/>
    <col min="2" max="5" width="12.7109375" customWidth="1"/>
  </cols>
  <sheetData>
    <row r="1" spans="1:5" ht="15.75" x14ac:dyDescent="0.25">
      <c r="A1" s="23"/>
      <c r="B1" s="105" t="s">
        <v>75</v>
      </c>
      <c r="C1" s="105"/>
      <c r="D1" s="108" t="s">
        <v>76</v>
      </c>
      <c r="E1" s="108"/>
    </row>
    <row r="2" spans="1:5" x14ac:dyDescent="0.25">
      <c r="A2" s="45" t="s">
        <v>63</v>
      </c>
      <c r="B2" s="45" t="s">
        <v>64</v>
      </c>
      <c r="C2" s="45" t="s">
        <v>1</v>
      </c>
      <c r="D2" s="45" t="s">
        <v>3</v>
      </c>
      <c r="E2" s="45" t="s">
        <v>1</v>
      </c>
    </row>
    <row r="3" spans="1:5" x14ac:dyDescent="0.25">
      <c r="A3" s="26" t="s">
        <v>101</v>
      </c>
      <c r="B3" s="64">
        <v>0</v>
      </c>
      <c r="C3" s="64">
        <v>44785</v>
      </c>
      <c r="D3" s="64">
        <v>0</v>
      </c>
      <c r="E3" s="64">
        <v>25079</v>
      </c>
    </row>
    <row r="4" spans="1:5" x14ac:dyDescent="0.25">
      <c r="A4" s="26" t="s">
        <v>102</v>
      </c>
      <c r="B4" s="64">
        <v>0</v>
      </c>
      <c r="C4" s="64">
        <v>447</v>
      </c>
      <c r="D4" s="64">
        <v>0</v>
      </c>
      <c r="E4" s="64">
        <v>457</v>
      </c>
    </row>
    <row r="5" spans="1:5" x14ac:dyDescent="0.25">
      <c r="A5" s="26" t="s">
        <v>103</v>
      </c>
      <c r="B5" s="64">
        <v>0</v>
      </c>
      <c r="C5" s="64">
        <v>12638</v>
      </c>
      <c r="D5" s="64">
        <v>0</v>
      </c>
      <c r="E5" s="64">
        <v>5713</v>
      </c>
    </row>
    <row r="6" spans="1:5" x14ac:dyDescent="0.25">
      <c r="A6" s="22" t="s">
        <v>8</v>
      </c>
      <c r="B6" s="68" t="s">
        <v>203</v>
      </c>
      <c r="C6" s="68">
        <f>SUM(C3:C5)</f>
        <v>57870</v>
      </c>
      <c r="D6" s="68">
        <f t="shared" ref="D6:E6" si="0">SUM(D3:D5)</f>
        <v>0</v>
      </c>
      <c r="E6" s="68">
        <f t="shared" si="0"/>
        <v>31249</v>
      </c>
    </row>
  </sheetData>
  <mergeCells count="2">
    <mergeCell ref="B1:C1"/>
    <mergeCell ref="D1:E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F1" sqref="F1"/>
    </sheetView>
  </sheetViews>
  <sheetFormatPr defaultRowHeight="15" x14ac:dyDescent="0.25"/>
  <cols>
    <col min="1" max="1" width="24.7109375" customWidth="1"/>
    <col min="2" max="4" width="14.7109375" customWidth="1"/>
  </cols>
  <sheetData>
    <row r="1" spans="1:4" ht="87.75" customHeight="1" x14ac:dyDescent="0.25">
      <c r="A1" s="100" t="s">
        <v>214</v>
      </c>
      <c r="B1" s="100"/>
      <c r="C1" s="100"/>
      <c r="D1" s="100"/>
    </row>
    <row r="2" spans="1:4" ht="22.5" customHeight="1" x14ac:dyDescent="0.25">
      <c r="A2" s="100" t="s">
        <v>81</v>
      </c>
      <c r="B2" s="100"/>
      <c r="C2" s="100"/>
      <c r="D2" s="100"/>
    </row>
    <row r="3" spans="1:4" ht="18.75" customHeight="1" x14ac:dyDescent="0.25">
      <c r="A3" s="100" t="s">
        <v>82</v>
      </c>
      <c r="B3" s="100"/>
      <c r="C3" s="100"/>
      <c r="D3" s="100"/>
    </row>
    <row r="4" spans="1:4" ht="18.75" customHeight="1" x14ac:dyDescent="0.25">
      <c r="A4" s="106" t="s">
        <v>83</v>
      </c>
      <c r="B4" s="107"/>
      <c r="C4" s="107"/>
      <c r="D4" s="107"/>
    </row>
    <row r="5" spans="1:4" ht="18.75" customHeight="1" x14ac:dyDescent="0.25">
      <c r="A5" s="100" t="s">
        <v>84</v>
      </c>
      <c r="B5" s="100"/>
      <c r="C5" s="100"/>
      <c r="D5" s="100"/>
    </row>
    <row r="6" spans="1:4" ht="18" customHeight="1" x14ac:dyDescent="0.25">
      <c r="A6" s="100" t="s">
        <v>85</v>
      </c>
      <c r="B6" s="100"/>
      <c r="C6" s="100"/>
      <c r="D6" s="100"/>
    </row>
    <row r="7" spans="1:4" ht="22.5" customHeight="1" x14ac:dyDescent="0.25">
      <c r="A7" s="100" t="s">
        <v>86</v>
      </c>
      <c r="B7" s="100"/>
      <c r="C7" s="100"/>
      <c r="D7" s="100"/>
    </row>
    <row r="8" spans="1:4" ht="33.75" customHeight="1" x14ac:dyDescent="0.25">
      <c r="A8" s="101" t="s">
        <v>12</v>
      </c>
      <c r="B8" s="101"/>
      <c r="C8" s="101"/>
      <c r="D8" s="101"/>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Views>
    <sheetView workbookViewId="0">
      <selection activeCell="C15" sqref="C15"/>
    </sheetView>
  </sheetViews>
  <sheetFormatPr defaultRowHeight="15" x14ac:dyDescent="0.25"/>
  <cols>
    <col min="1" max="1" width="20.7109375" style="5" bestFit="1" customWidth="1"/>
    <col min="2" max="4" width="14.7109375" style="5" customWidth="1"/>
    <col min="5" max="16384" width="9.140625" style="5"/>
  </cols>
  <sheetData>
    <row r="1" spans="1:4" ht="15.75" x14ac:dyDescent="0.25">
      <c r="A1" s="47" t="s">
        <v>134</v>
      </c>
      <c r="B1" s="42" t="s">
        <v>135</v>
      </c>
      <c r="C1" s="42" t="s">
        <v>1</v>
      </c>
      <c r="D1" s="42" t="s">
        <v>8</v>
      </c>
    </row>
    <row r="2" spans="1:4" x14ac:dyDescent="0.25">
      <c r="A2" s="10" t="s">
        <v>33</v>
      </c>
      <c r="B2" s="70">
        <f>SUM(B3:B4)</f>
        <v>0</v>
      </c>
      <c r="C2" s="70">
        <f>SUM(C3:C4)</f>
        <v>943970</v>
      </c>
      <c r="D2" s="70">
        <f>SUM(B2:C2)</f>
        <v>943970</v>
      </c>
    </row>
    <row r="3" spans="1:4" x14ac:dyDescent="0.25">
      <c r="A3" s="11" t="s">
        <v>137</v>
      </c>
      <c r="B3" s="63">
        <v>0</v>
      </c>
      <c r="C3" s="63">
        <v>452124</v>
      </c>
      <c r="D3" s="63">
        <v>452124</v>
      </c>
    </row>
    <row r="4" spans="1:4" x14ac:dyDescent="0.25">
      <c r="A4" s="11" t="s">
        <v>142</v>
      </c>
      <c r="B4" s="63">
        <v>0</v>
      </c>
      <c r="C4" s="63">
        <v>491846</v>
      </c>
      <c r="D4" s="63">
        <v>491846</v>
      </c>
    </row>
    <row r="5" spans="1:4" x14ac:dyDescent="0.25">
      <c r="A5" s="11" t="s">
        <v>139</v>
      </c>
      <c r="B5" s="63" t="s">
        <v>201</v>
      </c>
      <c r="C5" s="63" t="s">
        <v>201</v>
      </c>
      <c r="D5" s="63">
        <f t="shared" ref="D5" si="0">SUM(B5:C5)</f>
        <v>0</v>
      </c>
    </row>
    <row r="6" spans="1:4" x14ac:dyDescent="0.25">
      <c r="A6" s="10" t="s">
        <v>35</v>
      </c>
      <c r="B6" s="70">
        <f>SUM(B7:B10)</f>
        <v>2163050</v>
      </c>
      <c r="C6" s="70">
        <f>SUM(C7:C10)</f>
        <v>4614713</v>
      </c>
      <c r="D6" s="70">
        <f>SUM(B6:C6)</f>
        <v>6777763</v>
      </c>
    </row>
    <row r="7" spans="1:4" x14ac:dyDescent="0.25">
      <c r="A7" s="11" t="s">
        <v>136</v>
      </c>
      <c r="B7" s="63">
        <v>0</v>
      </c>
      <c r="C7" s="63">
        <v>104336</v>
      </c>
      <c r="D7" s="63">
        <v>104336</v>
      </c>
    </row>
    <row r="8" spans="1:4" x14ac:dyDescent="0.25">
      <c r="A8" s="11" t="s">
        <v>137</v>
      </c>
      <c r="B8" s="63">
        <v>951792</v>
      </c>
      <c r="C8" s="63">
        <v>2161624</v>
      </c>
      <c r="D8" s="63">
        <v>3113416</v>
      </c>
    </row>
    <row r="9" spans="1:4" x14ac:dyDescent="0.25">
      <c r="A9" s="11" t="s">
        <v>138</v>
      </c>
      <c r="B9" s="63">
        <v>1198581</v>
      </c>
      <c r="C9" s="63">
        <v>2134517</v>
      </c>
      <c r="D9" s="63">
        <v>3333098</v>
      </c>
    </row>
    <row r="10" spans="1:4" x14ac:dyDescent="0.25">
      <c r="A10" s="11" t="s">
        <v>139</v>
      </c>
      <c r="B10" s="63">
        <v>12677</v>
      </c>
      <c r="C10" s="63">
        <v>214236</v>
      </c>
      <c r="D10" s="63">
        <v>226913</v>
      </c>
    </row>
    <row r="11" spans="1:4" x14ac:dyDescent="0.25">
      <c r="A11" s="10" t="s">
        <v>36</v>
      </c>
      <c r="B11" s="70">
        <f>SUM(B12:B13)</f>
        <v>0</v>
      </c>
      <c r="C11" s="70">
        <f>SUM(C12:C13)</f>
        <v>582806</v>
      </c>
      <c r="D11" s="70">
        <f>SUM(B11:C11)</f>
        <v>582806</v>
      </c>
    </row>
    <row r="12" spans="1:4" ht="15.75" customHeight="1" x14ac:dyDescent="0.25">
      <c r="A12" s="11" t="s">
        <v>145</v>
      </c>
      <c r="B12" s="63">
        <v>0</v>
      </c>
      <c r="C12" s="63">
        <v>47570</v>
      </c>
      <c r="D12" s="63">
        <v>47459</v>
      </c>
    </row>
    <row r="13" spans="1:4" x14ac:dyDescent="0.25">
      <c r="A13" s="11" t="s">
        <v>140</v>
      </c>
      <c r="B13" s="63">
        <v>0</v>
      </c>
      <c r="C13" s="63">
        <v>535236</v>
      </c>
      <c r="D13" s="63">
        <v>535236</v>
      </c>
    </row>
    <row r="14" spans="1:4" x14ac:dyDescent="0.25">
      <c r="A14" s="10" t="s">
        <v>8</v>
      </c>
      <c r="B14" s="70">
        <f>SUM(B11,B6,B2)</f>
        <v>2163050</v>
      </c>
      <c r="C14" s="70">
        <f>SUM(C11,C6,C2)</f>
        <v>6141489</v>
      </c>
      <c r="D14" s="70">
        <f>SUM(B14:C14)</f>
        <v>8304539</v>
      </c>
    </row>
    <row r="15" spans="1:4" ht="66.75" customHeight="1" x14ac:dyDescent="0.25"/>
    <row r="16" spans="1:4" ht="15.95" customHeight="1" x14ac:dyDescent="0.25"/>
    <row r="17" ht="15.95" customHeight="1" x14ac:dyDescent="0.25"/>
    <row r="18" ht="29.25" customHeight="1" x14ac:dyDescent="0.25"/>
  </sheetData>
  <printOptions gridLines="1"/>
  <pageMargins left="0.75" right="0.75" top="1" bottom="1" header="0.5" footer="0.5"/>
  <pageSetup orientation="portrait" horizontalDpi="300" verticalDpi="3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selection activeCell="A13" sqref="A1:E13"/>
    </sheetView>
  </sheetViews>
  <sheetFormatPr defaultRowHeight="15" x14ac:dyDescent="0.25"/>
  <cols>
    <col min="1" max="1" width="20.7109375" style="5" bestFit="1" customWidth="1"/>
    <col min="2" max="5" width="12.7109375" style="5" customWidth="1"/>
    <col min="6" max="16384" width="9.140625" style="5"/>
  </cols>
  <sheetData>
    <row r="1" spans="1:5" ht="15.75" x14ac:dyDescent="0.25">
      <c r="A1" s="42" t="s">
        <v>134</v>
      </c>
      <c r="B1" s="42" t="s">
        <v>208</v>
      </c>
      <c r="C1" s="42" t="s">
        <v>39</v>
      </c>
      <c r="D1" s="42" t="s">
        <v>36</v>
      </c>
      <c r="E1" s="42" t="s">
        <v>8</v>
      </c>
    </row>
    <row r="2" spans="1:5" x14ac:dyDescent="0.25">
      <c r="A2" s="10" t="s">
        <v>33</v>
      </c>
      <c r="B2" s="70">
        <f>SUM(B3:B5)</f>
        <v>43362</v>
      </c>
      <c r="C2" s="70">
        <f t="shared" ref="C2:D2" si="0">SUM(C3:C5)</f>
        <v>442537</v>
      </c>
      <c r="D2" s="70">
        <f t="shared" si="0"/>
        <v>458072</v>
      </c>
      <c r="E2" s="70">
        <f>SUM(B2:D2)</f>
        <v>943971</v>
      </c>
    </row>
    <row r="3" spans="1:5" x14ac:dyDescent="0.25">
      <c r="A3" s="11" t="s">
        <v>137</v>
      </c>
      <c r="B3" s="63" t="s">
        <v>203</v>
      </c>
      <c r="C3" s="63" t="s">
        <v>203</v>
      </c>
      <c r="D3" s="63">
        <v>452124</v>
      </c>
      <c r="E3" s="63">
        <f>SUM(B3:D3)</f>
        <v>452124</v>
      </c>
    </row>
    <row r="4" spans="1:5" x14ac:dyDescent="0.25">
      <c r="A4" s="11" t="s">
        <v>142</v>
      </c>
      <c r="B4" s="61">
        <v>43362</v>
      </c>
      <c r="C4" s="61">
        <v>442537</v>
      </c>
      <c r="D4" s="61">
        <v>5948</v>
      </c>
      <c r="E4" s="63">
        <f t="shared" ref="E4:E5" si="1">SUM(B4:D4)</f>
        <v>491847</v>
      </c>
    </row>
    <row r="5" spans="1:5" x14ac:dyDescent="0.25">
      <c r="A5" s="11" t="s">
        <v>139</v>
      </c>
      <c r="B5" s="63" t="s">
        <v>203</v>
      </c>
      <c r="C5" s="63" t="s">
        <v>203</v>
      </c>
      <c r="D5" s="63" t="s">
        <v>203</v>
      </c>
      <c r="E5" s="63">
        <f t="shared" si="1"/>
        <v>0</v>
      </c>
    </row>
    <row r="6" spans="1:5" x14ac:dyDescent="0.25">
      <c r="A6" s="10" t="s">
        <v>35</v>
      </c>
      <c r="B6" s="70">
        <f>SUM(B7:B10)</f>
        <v>621659</v>
      </c>
      <c r="C6" s="70">
        <f t="shared" ref="C6:D6" si="2">SUM(C7:C10)</f>
        <v>2603330</v>
      </c>
      <c r="D6" s="70">
        <f t="shared" si="2"/>
        <v>3552774</v>
      </c>
      <c r="E6" s="70">
        <f>SUM(B6:D6)</f>
        <v>6777763</v>
      </c>
    </row>
    <row r="7" spans="1:5" x14ac:dyDescent="0.25">
      <c r="A7" s="11" t="s">
        <v>136</v>
      </c>
      <c r="B7" s="63" t="s">
        <v>203</v>
      </c>
      <c r="C7" s="63" t="s">
        <v>203</v>
      </c>
      <c r="D7" s="63">
        <v>104336</v>
      </c>
      <c r="E7" s="63">
        <f t="shared" ref="E7:E10" si="3">SUM(B7:D7)</f>
        <v>104336</v>
      </c>
    </row>
    <row r="8" spans="1:5" x14ac:dyDescent="0.25">
      <c r="A8" s="11" t="s">
        <v>137</v>
      </c>
      <c r="B8" s="63" t="s">
        <v>203</v>
      </c>
      <c r="C8" s="63" t="s">
        <v>203</v>
      </c>
      <c r="D8" s="63">
        <v>3113416</v>
      </c>
      <c r="E8" s="63">
        <f t="shared" si="3"/>
        <v>3113416</v>
      </c>
    </row>
    <row r="9" spans="1:5" x14ac:dyDescent="0.25">
      <c r="A9" s="11" t="s">
        <v>138</v>
      </c>
      <c r="B9" s="63">
        <v>621659</v>
      </c>
      <c r="C9" s="63">
        <v>2603330</v>
      </c>
      <c r="D9" s="63">
        <v>108109</v>
      </c>
      <c r="E9" s="63">
        <f t="shared" si="3"/>
        <v>3333098</v>
      </c>
    </row>
    <row r="10" spans="1:5" x14ac:dyDescent="0.25">
      <c r="A10" s="11" t="s">
        <v>139</v>
      </c>
      <c r="B10" s="70" t="s">
        <v>203</v>
      </c>
      <c r="C10" s="63" t="s">
        <v>203</v>
      </c>
      <c r="D10" s="63">
        <v>226913</v>
      </c>
      <c r="E10" s="63">
        <f t="shared" si="3"/>
        <v>226913</v>
      </c>
    </row>
    <row r="11" spans="1:5" x14ac:dyDescent="0.25">
      <c r="A11" s="10" t="s">
        <v>66</v>
      </c>
      <c r="B11" s="70" t="s">
        <v>203</v>
      </c>
      <c r="C11" s="70" t="s">
        <v>203</v>
      </c>
      <c r="D11" s="51">
        <v>582806</v>
      </c>
      <c r="E11" s="70">
        <f>SUM(B11:D11)</f>
        <v>582806</v>
      </c>
    </row>
    <row r="12" spans="1:5" x14ac:dyDescent="0.25">
      <c r="A12" s="4" t="s">
        <v>8</v>
      </c>
      <c r="B12" s="70">
        <f>SUM(B11,B6,B2)</f>
        <v>665021</v>
      </c>
      <c r="C12" s="70">
        <f t="shared" ref="C12:E12" si="4">SUM(C11,C6,C2)</f>
        <v>3045867</v>
      </c>
      <c r="D12" s="70">
        <f t="shared" si="4"/>
        <v>4593652</v>
      </c>
      <c r="E12" s="70">
        <f t="shared" si="4"/>
        <v>8304540</v>
      </c>
    </row>
    <row r="13" spans="1:5" ht="15" customHeight="1" x14ac:dyDescent="0.25">
      <c r="A13" s="110" t="s">
        <v>143</v>
      </c>
      <c r="B13" s="111"/>
      <c r="C13" s="111"/>
      <c r="D13" s="111"/>
      <c r="E13" s="112"/>
    </row>
    <row r="14" spans="1:5" ht="15.95" customHeight="1" x14ac:dyDescent="0.25"/>
    <row r="15" spans="1:5" ht="15.95" customHeight="1" x14ac:dyDescent="0.25"/>
    <row r="16" spans="1:5" ht="18.75" customHeight="1" x14ac:dyDescent="0.25"/>
    <row r="17" ht="30" customHeight="1" x14ac:dyDescent="0.25"/>
    <row r="18" ht="27.75" customHeight="1" x14ac:dyDescent="0.25"/>
  </sheetData>
  <mergeCells count="1">
    <mergeCell ref="A13:E13"/>
  </mergeCells>
  <printOptions gridLines="1"/>
  <pageMargins left="0.75" right="0.75" top="1" bottom="1" header="0.5" footer="0.5"/>
  <pageSetup orientation="portrait" horizontalDpi="300"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activeCell="E14" sqref="A1:E14"/>
    </sheetView>
  </sheetViews>
  <sheetFormatPr defaultRowHeight="15" x14ac:dyDescent="0.25"/>
  <cols>
    <col min="1" max="1" width="20.7109375" style="5" bestFit="1" customWidth="1"/>
    <col min="2" max="5" width="12.7109375" style="5" customWidth="1"/>
    <col min="6" max="16384" width="9.140625" style="5"/>
  </cols>
  <sheetData>
    <row r="1" spans="1:5" ht="15" customHeight="1" x14ac:dyDescent="0.25">
      <c r="A1" s="46" t="s">
        <v>0</v>
      </c>
      <c r="B1" s="113" t="s">
        <v>209</v>
      </c>
      <c r="C1" s="114"/>
      <c r="D1" s="113" t="s">
        <v>76</v>
      </c>
      <c r="E1" s="114"/>
    </row>
    <row r="2" spans="1:5" ht="15.75" x14ac:dyDescent="0.25">
      <c r="A2" s="42" t="s">
        <v>134</v>
      </c>
      <c r="B2" s="42" t="s">
        <v>135</v>
      </c>
      <c r="C2" s="42" t="s">
        <v>1</v>
      </c>
      <c r="D2" s="42" t="s">
        <v>3</v>
      </c>
      <c r="E2" s="42" t="s">
        <v>1</v>
      </c>
    </row>
    <row r="3" spans="1:5" x14ac:dyDescent="0.25">
      <c r="A3" s="10" t="s">
        <v>33</v>
      </c>
      <c r="B3" s="70">
        <f t="shared" ref="B3:D3" si="0">SUM(B4:B5)</f>
        <v>0</v>
      </c>
      <c r="C3" s="70">
        <f t="shared" si="0"/>
        <v>1662051</v>
      </c>
      <c r="D3" s="70">
        <f t="shared" si="0"/>
        <v>0</v>
      </c>
      <c r="E3" s="70">
        <f>SUM(E4:E5)</f>
        <v>225890</v>
      </c>
    </row>
    <row r="4" spans="1:5" x14ac:dyDescent="0.25">
      <c r="A4" s="11" t="s">
        <v>137</v>
      </c>
      <c r="B4" s="63" t="s">
        <v>203</v>
      </c>
      <c r="C4" s="63">
        <v>780389</v>
      </c>
      <c r="D4" s="63" t="s">
        <v>203</v>
      </c>
      <c r="E4" s="63">
        <v>123859</v>
      </c>
    </row>
    <row r="5" spans="1:5" x14ac:dyDescent="0.25">
      <c r="A5" s="11" t="s">
        <v>142</v>
      </c>
      <c r="B5" s="63" t="s">
        <v>203</v>
      </c>
      <c r="C5" s="63">
        <v>881662</v>
      </c>
      <c r="D5" s="63" t="s">
        <v>203</v>
      </c>
      <c r="E5" s="63">
        <v>102031</v>
      </c>
    </row>
    <row r="6" spans="1:5" x14ac:dyDescent="0.25">
      <c r="A6" s="10" t="s">
        <v>35</v>
      </c>
      <c r="B6" s="70">
        <f t="shared" ref="B6:D6" si="1">SUM(B7:B10)</f>
        <v>3494385</v>
      </c>
      <c r="C6" s="70">
        <f t="shared" si="1"/>
        <v>7092493</v>
      </c>
      <c r="D6" s="70">
        <f t="shared" si="1"/>
        <v>831712</v>
      </c>
      <c r="E6" s="70">
        <f>SUM(E7:E10)</f>
        <v>2136936</v>
      </c>
    </row>
    <row r="7" spans="1:5" x14ac:dyDescent="0.25">
      <c r="A7" s="11" t="s">
        <v>136</v>
      </c>
      <c r="B7" s="63" t="s">
        <v>203</v>
      </c>
      <c r="C7" s="63">
        <v>170716</v>
      </c>
      <c r="D7" s="63" t="s">
        <v>203</v>
      </c>
      <c r="E7" s="63">
        <v>37957</v>
      </c>
    </row>
    <row r="8" spans="1:5" x14ac:dyDescent="0.25">
      <c r="A8" s="11" t="s">
        <v>137</v>
      </c>
      <c r="B8" s="63">
        <v>1531631</v>
      </c>
      <c r="C8" s="63">
        <v>3438412</v>
      </c>
      <c r="D8" s="63">
        <v>371952</v>
      </c>
      <c r="E8" s="63">
        <v>884837</v>
      </c>
    </row>
    <row r="9" spans="1:5" x14ac:dyDescent="0.25">
      <c r="A9" s="11" t="s">
        <v>138</v>
      </c>
      <c r="B9" s="63">
        <v>1941953</v>
      </c>
      <c r="C9" s="63">
        <v>3107881</v>
      </c>
      <c r="D9" s="63">
        <v>455208</v>
      </c>
      <c r="E9" s="63">
        <v>1161153</v>
      </c>
    </row>
    <row r="10" spans="1:5" x14ac:dyDescent="0.25">
      <c r="A10" s="11" t="s">
        <v>139</v>
      </c>
      <c r="B10" s="63">
        <v>20801</v>
      </c>
      <c r="C10" s="63">
        <v>375484</v>
      </c>
      <c r="D10" s="63">
        <v>4552</v>
      </c>
      <c r="E10" s="63">
        <v>52989</v>
      </c>
    </row>
    <row r="11" spans="1:5" x14ac:dyDescent="0.25">
      <c r="A11" s="10" t="s">
        <v>36</v>
      </c>
      <c r="B11" s="70" t="s">
        <v>203</v>
      </c>
      <c r="C11" s="70">
        <f>SUM(C12:C13)</f>
        <v>793700</v>
      </c>
      <c r="D11" s="70">
        <f t="shared" ref="D11:E11" si="2">SUM(D12:D13)</f>
        <v>0</v>
      </c>
      <c r="E11" s="70">
        <f t="shared" si="2"/>
        <v>371913</v>
      </c>
    </row>
    <row r="12" spans="1:5" ht="17.25" customHeight="1" x14ac:dyDescent="0.25">
      <c r="A12" s="11" t="s">
        <v>145</v>
      </c>
      <c r="B12" s="63" t="s">
        <v>203</v>
      </c>
      <c r="C12" s="63">
        <v>60791</v>
      </c>
      <c r="D12" s="63" t="s">
        <v>203</v>
      </c>
      <c r="E12" s="63">
        <v>34350</v>
      </c>
    </row>
    <row r="13" spans="1:5" ht="15.95" customHeight="1" x14ac:dyDescent="0.25">
      <c r="A13" s="11" t="s">
        <v>140</v>
      </c>
      <c r="B13" s="63" t="s">
        <v>203</v>
      </c>
      <c r="C13" s="63">
        <v>732909</v>
      </c>
      <c r="D13" s="63" t="s">
        <v>203</v>
      </c>
      <c r="E13" s="63">
        <v>337563</v>
      </c>
    </row>
    <row r="14" spans="1:5" ht="15.95" customHeight="1" x14ac:dyDescent="0.25">
      <c r="A14" s="4" t="s">
        <v>8</v>
      </c>
      <c r="B14" s="70">
        <f>SUM(B11,B6,B3)</f>
        <v>3494385</v>
      </c>
      <c r="C14" s="70">
        <f t="shared" ref="C14:E14" si="3">SUM(C11,C6,C3)</f>
        <v>9548244</v>
      </c>
      <c r="D14" s="70">
        <f t="shared" si="3"/>
        <v>831712</v>
      </c>
      <c r="E14" s="70">
        <f t="shared" si="3"/>
        <v>2734739</v>
      </c>
    </row>
    <row r="15" spans="1:5" x14ac:dyDescent="0.25">
      <c r="C15" s="33"/>
      <c r="D15" s="33"/>
      <c r="E15" s="33"/>
    </row>
  </sheetData>
  <mergeCells count="2">
    <mergeCell ref="B1:C1"/>
    <mergeCell ref="D1:E1"/>
  </mergeCells>
  <printOptions gridLines="1"/>
  <pageMargins left="0.75" right="0.75" top="1" bottom="1" header="0.5" footer="0.5"/>
  <pageSetup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election activeCell="D24" sqref="D24"/>
    </sheetView>
  </sheetViews>
  <sheetFormatPr defaultRowHeight="15" x14ac:dyDescent="0.25"/>
  <cols>
    <col min="1" max="1" width="20.7109375" style="5" bestFit="1" customWidth="1"/>
    <col min="2" max="7" width="10.7109375" style="5" customWidth="1"/>
    <col min="8" max="16384" width="9.140625" style="5"/>
  </cols>
  <sheetData>
    <row r="1" spans="1:7" ht="15" customHeight="1" x14ac:dyDescent="0.25">
      <c r="A1" s="47"/>
      <c r="B1" s="115" t="s">
        <v>209</v>
      </c>
      <c r="C1" s="115"/>
      <c r="D1" s="115"/>
      <c r="E1" s="115" t="s">
        <v>76</v>
      </c>
      <c r="F1" s="115"/>
      <c r="G1" s="115"/>
    </row>
    <row r="2" spans="1:7" ht="15.75" x14ac:dyDescent="0.25">
      <c r="A2" s="42" t="s">
        <v>134</v>
      </c>
      <c r="B2" s="42" t="s">
        <v>208</v>
      </c>
      <c r="C2" s="42" t="s">
        <v>39</v>
      </c>
      <c r="D2" s="42" t="s">
        <v>36</v>
      </c>
      <c r="E2" s="42" t="s">
        <v>38</v>
      </c>
      <c r="F2" s="42" t="s">
        <v>39</v>
      </c>
      <c r="G2" s="42" t="s">
        <v>36</v>
      </c>
    </row>
    <row r="3" spans="1:7" x14ac:dyDescent="0.25">
      <c r="A3" s="10" t="s">
        <v>33</v>
      </c>
      <c r="B3" s="70">
        <f>SUM(B4:B6)</f>
        <v>70195</v>
      </c>
      <c r="C3" s="70">
        <f t="shared" ref="C3:G3" si="0">SUM(C4:C6)</f>
        <v>803970</v>
      </c>
      <c r="D3" s="70">
        <f t="shared" si="0"/>
        <v>787885</v>
      </c>
      <c r="E3" s="70">
        <f t="shared" si="0"/>
        <v>16528</v>
      </c>
      <c r="F3" s="70">
        <f t="shared" si="0"/>
        <v>81104</v>
      </c>
      <c r="G3" s="70">
        <f t="shared" si="0"/>
        <v>128258</v>
      </c>
    </row>
    <row r="4" spans="1:7" x14ac:dyDescent="0.25">
      <c r="A4" s="11" t="s">
        <v>137</v>
      </c>
      <c r="B4" s="63" t="s">
        <v>202</v>
      </c>
      <c r="C4" s="63" t="s">
        <v>202</v>
      </c>
      <c r="D4" s="63">
        <v>780389</v>
      </c>
      <c r="E4" s="63" t="s">
        <v>202</v>
      </c>
      <c r="F4" s="63" t="s">
        <v>202</v>
      </c>
      <c r="G4" s="63">
        <v>123859</v>
      </c>
    </row>
    <row r="5" spans="1:7" x14ac:dyDescent="0.25">
      <c r="A5" s="11" t="s">
        <v>142</v>
      </c>
      <c r="B5" s="63">
        <v>70195</v>
      </c>
      <c r="C5" s="63">
        <v>803970</v>
      </c>
      <c r="D5" s="63">
        <v>7496</v>
      </c>
      <c r="E5" s="63">
        <v>16528</v>
      </c>
      <c r="F5" s="63">
        <v>81104</v>
      </c>
      <c r="G5" s="63">
        <v>4399</v>
      </c>
    </row>
    <row r="6" spans="1:7" x14ac:dyDescent="0.25">
      <c r="A6" s="11" t="s">
        <v>139</v>
      </c>
      <c r="B6" s="63" t="s">
        <v>202</v>
      </c>
      <c r="C6" s="63" t="s">
        <v>202</v>
      </c>
      <c r="D6" s="63" t="s">
        <v>202</v>
      </c>
      <c r="E6" s="63" t="s">
        <v>202</v>
      </c>
      <c r="F6" s="63" t="s">
        <v>202</v>
      </c>
      <c r="G6" s="63" t="s">
        <v>202</v>
      </c>
    </row>
    <row r="7" spans="1:7" x14ac:dyDescent="0.25">
      <c r="A7" s="10" t="s">
        <v>35</v>
      </c>
      <c r="B7" s="70">
        <f>SUM(B8:B11)</f>
        <v>892352</v>
      </c>
      <c r="C7" s="70">
        <f t="shared" ref="C7:G7" si="1">SUM(C8:C11)</f>
        <v>3990081</v>
      </c>
      <c r="D7" s="70">
        <f t="shared" si="1"/>
        <v>5704445</v>
      </c>
      <c r="E7" s="70">
        <f t="shared" si="1"/>
        <v>350965</v>
      </c>
      <c r="F7" s="70">
        <f t="shared" si="1"/>
        <v>1216578</v>
      </c>
      <c r="G7" s="70">
        <f t="shared" si="1"/>
        <v>1401104</v>
      </c>
    </row>
    <row r="8" spans="1:7" x14ac:dyDescent="0.25">
      <c r="A8" s="11" t="s">
        <v>136</v>
      </c>
      <c r="B8" s="63" t="s">
        <v>202</v>
      </c>
      <c r="C8" s="63" t="s">
        <v>202</v>
      </c>
      <c r="D8" s="63">
        <v>170716</v>
      </c>
      <c r="E8" s="63" t="s">
        <v>202</v>
      </c>
      <c r="F8" s="63" t="s">
        <v>202</v>
      </c>
      <c r="G8" s="63">
        <v>37957</v>
      </c>
    </row>
    <row r="9" spans="1:7" x14ac:dyDescent="0.25">
      <c r="A9" s="11" t="s">
        <v>137</v>
      </c>
      <c r="B9" s="63" t="s">
        <v>202</v>
      </c>
      <c r="C9" s="63" t="s">
        <v>202</v>
      </c>
      <c r="D9" s="63">
        <v>4970043</v>
      </c>
      <c r="E9" s="63" t="s">
        <v>202</v>
      </c>
      <c r="F9" s="63" t="s">
        <v>202</v>
      </c>
      <c r="G9" s="63">
        <v>1256789</v>
      </c>
    </row>
    <row r="10" spans="1:7" x14ac:dyDescent="0.25">
      <c r="A10" s="11" t="s">
        <v>138</v>
      </c>
      <c r="B10" s="61">
        <v>892352</v>
      </c>
      <c r="C10" s="61">
        <v>3990081</v>
      </c>
      <c r="D10" s="61">
        <v>167401</v>
      </c>
      <c r="E10" s="63">
        <v>350965</v>
      </c>
      <c r="F10" s="63">
        <v>1216578</v>
      </c>
      <c r="G10" s="63">
        <v>48817</v>
      </c>
    </row>
    <row r="11" spans="1:7" x14ac:dyDescent="0.25">
      <c r="A11" s="11" t="s">
        <v>139</v>
      </c>
      <c r="B11" s="63" t="s">
        <v>202</v>
      </c>
      <c r="C11" s="63" t="s">
        <v>202</v>
      </c>
      <c r="D11" s="63">
        <v>396285</v>
      </c>
      <c r="E11" s="63" t="s">
        <v>202</v>
      </c>
      <c r="F11" s="63" t="s">
        <v>202</v>
      </c>
      <c r="G11" s="63">
        <v>57541</v>
      </c>
    </row>
    <row r="12" spans="1:7" s="34" customFormat="1" x14ac:dyDescent="0.25">
      <c r="A12" s="10" t="s">
        <v>66</v>
      </c>
      <c r="B12" s="70" t="s">
        <v>202</v>
      </c>
      <c r="C12" s="70" t="s">
        <v>202</v>
      </c>
      <c r="D12" s="70">
        <v>793700</v>
      </c>
      <c r="E12" s="70" t="s">
        <v>202</v>
      </c>
      <c r="F12" s="70" t="s">
        <v>202</v>
      </c>
      <c r="G12" s="70">
        <v>371913</v>
      </c>
    </row>
    <row r="13" spans="1:7" x14ac:dyDescent="0.25">
      <c r="A13" s="4" t="s">
        <v>8</v>
      </c>
      <c r="B13" s="70">
        <f>SUM(B12,B7,B3)</f>
        <v>962547</v>
      </c>
      <c r="C13" s="70">
        <f t="shared" ref="C13:G13" si="2">SUM(C12,C7,C3)</f>
        <v>4794051</v>
      </c>
      <c r="D13" s="70">
        <f t="shared" si="2"/>
        <v>7286030</v>
      </c>
      <c r="E13" s="70">
        <f t="shared" si="2"/>
        <v>367493</v>
      </c>
      <c r="F13" s="70">
        <f t="shared" si="2"/>
        <v>1297682</v>
      </c>
      <c r="G13" s="70">
        <f t="shared" si="2"/>
        <v>1901275</v>
      </c>
    </row>
    <row r="14" spans="1:7" ht="15" customHeight="1" x14ac:dyDescent="0.25">
      <c r="A14" s="110" t="s">
        <v>143</v>
      </c>
      <c r="B14" s="111"/>
      <c r="C14" s="111"/>
      <c r="D14" s="111"/>
      <c r="E14" s="111"/>
      <c r="F14" s="111"/>
      <c r="G14" s="112"/>
    </row>
  </sheetData>
  <mergeCells count="3">
    <mergeCell ref="B1:D1"/>
    <mergeCell ref="E1:G1"/>
    <mergeCell ref="A14:G14"/>
  </mergeCells>
  <printOptions gridLines="1"/>
  <pageMargins left="0.75" right="0.75" top="1" bottom="1" header="0.5" footer="0.5"/>
  <pageSetup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G8" sqref="G8"/>
    </sheetView>
  </sheetViews>
  <sheetFormatPr defaultRowHeight="15" x14ac:dyDescent="0.25"/>
  <cols>
    <col min="1" max="1" width="20.7109375" bestFit="1" customWidth="1"/>
    <col min="2" max="4" width="14.7109375" customWidth="1"/>
  </cols>
  <sheetData>
    <row r="1" spans="1:4" ht="68.25" customHeight="1" x14ac:dyDescent="0.25">
      <c r="A1" s="117" t="s">
        <v>210</v>
      </c>
      <c r="B1" s="117"/>
      <c r="C1" s="117"/>
      <c r="D1" s="117"/>
    </row>
    <row r="2" spans="1:4" ht="25.5" customHeight="1" x14ac:dyDescent="0.25">
      <c r="A2" s="100" t="s">
        <v>81</v>
      </c>
      <c r="B2" s="100"/>
      <c r="C2" s="100"/>
      <c r="D2" s="100"/>
    </row>
    <row r="3" spans="1:4" x14ac:dyDescent="0.25">
      <c r="A3" s="100" t="s">
        <v>82</v>
      </c>
      <c r="B3" s="100"/>
      <c r="C3" s="100"/>
      <c r="D3" s="100"/>
    </row>
    <row r="4" spans="1:4" x14ac:dyDescent="0.25">
      <c r="A4" s="101" t="s">
        <v>146</v>
      </c>
      <c r="B4" s="101"/>
      <c r="C4" s="101"/>
      <c r="D4" s="101"/>
    </row>
    <row r="5" spans="1:4" x14ac:dyDescent="0.25">
      <c r="A5" s="102" t="s">
        <v>147</v>
      </c>
      <c r="B5" s="103"/>
      <c r="C5" s="103"/>
      <c r="D5" s="104"/>
    </row>
    <row r="6" spans="1:4" ht="25.5" customHeight="1" x14ac:dyDescent="0.25">
      <c r="A6" s="116" t="s">
        <v>12</v>
      </c>
      <c r="B6" s="116"/>
      <c r="C6" s="116"/>
      <c r="D6" s="116"/>
    </row>
  </sheetData>
  <mergeCells count="6">
    <mergeCell ref="A6:D6"/>
    <mergeCell ref="A1:D1"/>
    <mergeCell ref="A2:D2"/>
    <mergeCell ref="A3:D3"/>
    <mergeCell ref="A4:D4"/>
    <mergeCell ref="A5:D5"/>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D13" sqref="D13"/>
    </sheetView>
  </sheetViews>
  <sheetFormatPr defaultRowHeight="15" x14ac:dyDescent="0.25"/>
  <cols>
    <col min="1" max="1" width="20.7109375" style="5" bestFit="1" customWidth="1"/>
    <col min="2" max="4" width="14.7109375" style="5" customWidth="1"/>
    <col min="5" max="16384" width="9.140625" style="5"/>
  </cols>
  <sheetData>
    <row r="1" spans="1:4" x14ac:dyDescent="0.25">
      <c r="A1" s="46" t="s">
        <v>134</v>
      </c>
      <c r="B1" s="41" t="s">
        <v>135</v>
      </c>
      <c r="C1" s="41" t="s">
        <v>1</v>
      </c>
      <c r="D1" s="41" t="s">
        <v>8</v>
      </c>
    </row>
    <row r="2" spans="1:4" x14ac:dyDescent="0.25">
      <c r="A2" s="66" t="s">
        <v>33</v>
      </c>
      <c r="B2" s="70">
        <v>0</v>
      </c>
      <c r="C2" s="70">
        <v>10</v>
      </c>
      <c r="D2" s="70">
        <v>10</v>
      </c>
    </row>
    <row r="3" spans="1:4" x14ac:dyDescent="0.25">
      <c r="A3" s="9" t="s">
        <v>212</v>
      </c>
      <c r="B3" s="63">
        <v>0</v>
      </c>
      <c r="C3" s="63">
        <v>10</v>
      </c>
      <c r="D3" s="63">
        <v>10</v>
      </c>
    </row>
    <row r="4" spans="1:4" x14ac:dyDescent="0.25">
      <c r="A4" s="66" t="s">
        <v>35</v>
      </c>
      <c r="B4" s="70">
        <f t="shared" ref="B4:C4" si="0">SUM(B5:B6)</f>
        <v>10544</v>
      </c>
      <c r="C4" s="70">
        <f t="shared" si="0"/>
        <v>1276</v>
      </c>
      <c r="D4" s="70">
        <f>SUM(D5:D6)</f>
        <v>11820</v>
      </c>
    </row>
    <row r="5" spans="1:4" x14ac:dyDescent="0.25">
      <c r="A5" s="9" t="s">
        <v>196</v>
      </c>
      <c r="B5" s="63">
        <v>5446</v>
      </c>
      <c r="C5" s="63">
        <v>238</v>
      </c>
      <c r="D5" s="63">
        <v>5684</v>
      </c>
    </row>
    <row r="6" spans="1:4" x14ac:dyDescent="0.25">
      <c r="A6" s="9" t="s">
        <v>142</v>
      </c>
      <c r="B6" s="63">
        <v>5098</v>
      </c>
      <c r="C6" s="63">
        <v>1038</v>
      </c>
      <c r="D6" s="63">
        <v>6136</v>
      </c>
    </row>
    <row r="7" spans="1:4" x14ac:dyDescent="0.25">
      <c r="A7" s="66" t="s">
        <v>36</v>
      </c>
      <c r="B7" s="70">
        <v>7</v>
      </c>
      <c r="C7" s="70">
        <v>65</v>
      </c>
      <c r="D7" s="70">
        <v>72</v>
      </c>
    </row>
    <row r="8" spans="1:4" x14ac:dyDescent="0.25">
      <c r="A8" s="66" t="s">
        <v>8</v>
      </c>
      <c r="B8" s="70">
        <f>SUM(B7,B2,B4)</f>
        <v>10551</v>
      </c>
      <c r="C8" s="70">
        <f t="shared" ref="C8:D8" si="1">SUM(C7,C2,C4)</f>
        <v>1351</v>
      </c>
      <c r="D8" s="70">
        <f t="shared" si="1"/>
        <v>11902</v>
      </c>
    </row>
  </sheetData>
  <printOptions gridLines="1"/>
  <pageMargins left="0.75" right="0.75" top="1" bottom="1" header="0.5" footer="0.5"/>
  <pageSetup orientation="portrait" horizontalDpi="300" verticalDpi="30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E5" sqref="A1:E5"/>
    </sheetView>
  </sheetViews>
  <sheetFormatPr defaultRowHeight="15" x14ac:dyDescent="0.25"/>
  <cols>
    <col min="1" max="1" width="20.7109375" style="5" bestFit="1" customWidth="1"/>
    <col min="2" max="5" width="12.7109375" style="5" customWidth="1"/>
    <col min="6" max="16384" width="9.140625" style="5"/>
  </cols>
  <sheetData>
    <row r="1" spans="1:5" x14ac:dyDescent="0.25">
      <c r="A1" s="41" t="s">
        <v>134</v>
      </c>
      <c r="B1" s="41" t="s">
        <v>208</v>
      </c>
      <c r="C1" s="41" t="s">
        <v>39</v>
      </c>
      <c r="D1" s="41" t="s">
        <v>36</v>
      </c>
      <c r="E1" s="41" t="s">
        <v>8</v>
      </c>
    </row>
    <row r="2" spans="1:5" x14ac:dyDescent="0.25">
      <c r="A2" s="66" t="s">
        <v>33</v>
      </c>
      <c r="B2" s="70">
        <v>2</v>
      </c>
      <c r="C2" s="70">
        <v>4</v>
      </c>
      <c r="D2" s="70">
        <v>4</v>
      </c>
      <c r="E2" s="70">
        <f t="shared" ref="E2:E3" si="0">SUM(B2:D2)</f>
        <v>10</v>
      </c>
    </row>
    <row r="3" spans="1:5" x14ac:dyDescent="0.25">
      <c r="A3" s="66" t="s">
        <v>35</v>
      </c>
      <c r="B3" s="70">
        <v>3133</v>
      </c>
      <c r="C3" s="70">
        <v>2991</v>
      </c>
      <c r="D3" s="70">
        <v>5696</v>
      </c>
      <c r="E3" s="70">
        <f t="shared" si="0"/>
        <v>11820</v>
      </c>
    </row>
    <row r="4" spans="1:5" x14ac:dyDescent="0.25">
      <c r="A4" s="66" t="s">
        <v>36</v>
      </c>
      <c r="B4" s="70" t="s">
        <v>203</v>
      </c>
      <c r="C4" s="70" t="s">
        <v>203</v>
      </c>
      <c r="D4" s="70">
        <v>72</v>
      </c>
      <c r="E4" s="70">
        <f>SUM(B4:D4)</f>
        <v>72</v>
      </c>
    </row>
    <row r="5" spans="1:5" x14ac:dyDescent="0.25">
      <c r="A5" s="67" t="s">
        <v>8</v>
      </c>
      <c r="B5" s="70">
        <f>SUM(B2:B4)</f>
        <v>3135</v>
      </c>
      <c r="C5" s="70">
        <f t="shared" ref="C5:E5" si="1">SUM(C2:C4)</f>
        <v>2995</v>
      </c>
      <c r="D5" s="70">
        <f t="shared" si="1"/>
        <v>5772</v>
      </c>
      <c r="E5" s="70">
        <f t="shared" si="1"/>
        <v>11902</v>
      </c>
    </row>
  </sheetData>
  <printOptions gridLines="1"/>
  <pageMargins left="0.75" right="0.75" top="1" bottom="1" header="0.5" footer="0.5"/>
  <pageSetup orientation="portrait" horizontalDpi="300" verticalDpi="30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zoomScaleNormal="100" workbookViewId="0">
      <selection activeCell="A7" sqref="A1:E7"/>
    </sheetView>
  </sheetViews>
  <sheetFormatPr defaultRowHeight="15" x14ac:dyDescent="0.25"/>
  <cols>
    <col min="1" max="1" width="20.7109375" style="5" bestFit="1" customWidth="1"/>
    <col min="2" max="5" width="12.7109375" style="5" customWidth="1"/>
    <col min="6" max="16384" width="9.140625" style="5"/>
  </cols>
  <sheetData>
    <row r="1" spans="1:5" ht="15" customHeight="1" x14ac:dyDescent="0.25">
      <c r="A1" s="46" t="s">
        <v>0</v>
      </c>
      <c r="B1" s="118" t="s">
        <v>144</v>
      </c>
      <c r="C1" s="118"/>
      <c r="D1" s="118" t="s">
        <v>76</v>
      </c>
      <c r="E1" s="118"/>
    </row>
    <row r="2" spans="1:5" x14ac:dyDescent="0.25">
      <c r="A2" s="41" t="s">
        <v>134</v>
      </c>
      <c r="B2" s="41" t="s">
        <v>135</v>
      </c>
      <c r="C2" s="41" t="s">
        <v>1</v>
      </c>
      <c r="D2" s="41" t="s">
        <v>3</v>
      </c>
      <c r="E2" s="41" t="s">
        <v>1</v>
      </c>
    </row>
    <row r="3" spans="1:5" x14ac:dyDescent="0.25">
      <c r="A3" s="66" t="s">
        <v>33</v>
      </c>
      <c r="B3" s="63" t="s">
        <v>203</v>
      </c>
      <c r="C3" s="63">
        <v>15</v>
      </c>
      <c r="D3" s="63" t="s">
        <v>203</v>
      </c>
      <c r="E3" s="81">
        <v>5</v>
      </c>
    </row>
    <row r="4" spans="1:5" x14ac:dyDescent="0.25">
      <c r="A4" s="66" t="s">
        <v>35</v>
      </c>
      <c r="B4" s="63">
        <v>11287</v>
      </c>
      <c r="C4" s="63">
        <v>1019</v>
      </c>
      <c r="D4" s="63">
        <v>9800</v>
      </c>
      <c r="E4" s="81">
        <v>1533</v>
      </c>
    </row>
    <row r="5" spans="1:5" s="43" customFormat="1" x14ac:dyDescent="0.25">
      <c r="A5" s="66" t="s">
        <v>66</v>
      </c>
      <c r="B5" s="63">
        <v>7</v>
      </c>
      <c r="C5" s="63">
        <v>93</v>
      </c>
      <c r="D5" s="63">
        <v>7</v>
      </c>
      <c r="E5" s="63">
        <v>37</v>
      </c>
    </row>
    <row r="6" spans="1:5" ht="15.95" customHeight="1" x14ac:dyDescent="0.25">
      <c r="A6" s="67" t="s">
        <v>8</v>
      </c>
      <c r="B6" s="70">
        <f>SUM(B3:B5)</f>
        <v>11294</v>
      </c>
      <c r="C6" s="70">
        <f t="shared" ref="C6:E6" si="0">SUM(C3:C5)</f>
        <v>1127</v>
      </c>
      <c r="D6" s="70">
        <f t="shared" si="0"/>
        <v>9807</v>
      </c>
      <c r="E6" s="70">
        <f t="shared" si="0"/>
        <v>1575</v>
      </c>
    </row>
    <row r="7" spans="1:5" ht="18" customHeight="1" x14ac:dyDescent="0.25">
      <c r="A7" s="102" t="s">
        <v>143</v>
      </c>
      <c r="B7" s="103"/>
      <c r="C7" s="103"/>
      <c r="D7" s="103"/>
      <c r="E7" s="104"/>
    </row>
  </sheetData>
  <mergeCells count="3">
    <mergeCell ref="B1:C1"/>
    <mergeCell ref="D1:E1"/>
    <mergeCell ref="A7:E7"/>
  </mergeCells>
  <printOptions gridLines="1"/>
  <pageMargins left="0.75" right="0.75" top="1" bottom="1" header="0.5" footer="0.5"/>
  <pageSetup orientation="portrait" horizontalDpi="300" verticalDpi="30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election activeCell="A7" sqref="A1:G7"/>
    </sheetView>
  </sheetViews>
  <sheetFormatPr defaultRowHeight="15" x14ac:dyDescent="0.25"/>
  <cols>
    <col min="1" max="1" width="20.7109375" style="5" bestFit="1" customWidth="1"/>
    <col min="2" max="7" width="10.7109375" style="5" customWidth="1"/>
    <col min="8" max="16384" width="9.140625" style="5"/>
  </cols>
  <sheetData>
    <row r="1" spans="1:7" ht="15" customHeight="1" x14ac:dyDescent="0.25">
      <c r="A1" s="46" t="s">
        <v>0</v>
      </c>
      <c r="B1" s="118" t="s">
        <v>209</v>
      </c>
      <c r="C1" s="118"/>
      <c r="D1" s="118"/>
      <c r="E1" s="118" t="s">
        <v>76</v>
      </c>
      <c r="F1" s="118"/>
      <c r="G1" s="118"/>
    </row>
    <row r="2" spans="1:7" x14ac:dyDescent="0.25">
      <c r="A2" s="41" t="s">
        <v>134</v>
      </c>
      <c r="B2" s="41" t="s">
        <v>208</v>
      </c>
      <c r="C2" s="41" t="s">
        <v>39</v>
      </c>
      <c r="D2" s="41" t="s">
        <v>36</v>
      </c>
      <c r="E2" s="41" t="s">
        <v>38</v>
      </c>
      <c r="F2" s="41" t="s">
        <v>39</v>
      </c>
      <c r="G2" s="41" t="s">
        <v>36</v>
      </c>
    </row>
    <row r="3" spans="1:7" x14ac:dyDescent="0.25">
      <c r="A3" s="66" t="s">
        <v>33</v>
      </c>
      <c r="B3" s="63">
        <v>3</v>
      </c>
      <c r="C3" s="63">
        <v>6</v>
      </c>
      <c r="D3" s="63">
        <v>6</v>
      </c>
      <c r="E3" s="63">
        <v>1</v>
      </c>
      <c r="F3" s="63">
        <v>2</v>
      </c>
      <c r="G3" s="63">
        <v>2</v>
      </c>
    </row>
    <row r="4" spans="1:7" x14ac:dyDescent="0.25">
      <c r="A4" s="66" t="s">
        <v>35</v>
      </c>
      <c r="B4" s="63">
        <v>2655</v>
      </c>
      <c r="C4" s="63">
        <v>2932</v>
      </c>
      <c r="D4" s="63">
        <v>6719</v>
      </c>
      <c r="E4" s="63">
        <v>3611</v>
      </c>
      <c r="F4" s="63">
        <v>3050</v>
      </c>
      <c r="G4" s="63">
        <v>4672</v>
      </c>
    </row>
    <row r="5" spans="1:7" s="44" customFormat="1" x14ac:dyDescent="0.25">
      <c r="A5" s="66" t="s">
        <v>66</v>
      </c>
      <c r="B5" s="63" t="s">
        <v>202</v>
      </c>
      <c r="C5" s="63" t="s">
        <v>202</v>
      </c>
      <c r="D5" s="63">
        <v>100</v>
      </c>
      <c r="E5" s="63" t="s">
        <v>202</v>
      </c>
      <c r="F5" s="63" t="s">
        <v>202</v>
      </c>
      <c r="G5" s="63">
        <v>44</v>
      </c>
    </row>
    <row r="6" spans="1:7" x14ac:dyDescent="0.25">
      <c r="A6" s="67" t="s">
        <v>8</v>
      </c>
      <c r="B6" s="70">
        <f>SUM(B3:B5)</f>
        <v>2658</v>
      </c>
      <c r="C6" s="70">
        <f t="shared" ref="C6:G6" si="0">SUM(C3:C5)</f>
        <v>2938</v>
      </c>
      <c r="D6" s="70">
        <f t="shared" si="0"/>
        <v>6825</v>
      </c>
      <c r="E6" s="70">
        <f t="shared" si="0"/>
        <v>3612</v>
      </c>
      <c r="F6" s="70">
        <f t="shared" si="0"/>
        <v>3052</v>
      </c>
      <c r="G6" s="70">
        <f t="shared" si="0"/>
        <v>4718</v>
      </c>
    </row>
    <row r="7" spans="1:7" ht="19.5" customHeight="1" x14ac:dyDescent="0.25">
      <c r="A7" s="110" t="s">
        <v>143</v>
      </c>
      <c r="B7" s="111"/>
      <c r="C7" s="111"/>
      <c r="D7" s="111"/>
      <c r="E7" s="111"/>
      <c r="F7" s="111"/>
      <c r="G7" s="112"/>
    </row>
  </sheetData>
  <mergeCells count="3">
    <mergeCell ref="B1:D1"/>
    <mergeCell ref="E1:G1"/>
    <mergeCell ref="A7:G7"/>
  </mergeCells>
  <printOptions gridLines="1"/>
  <pageMargins left="0.75" right="0.75" top="1" bottom="1" header="0.5" footer="0.5"/>
  <pageSetup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F3" sqref="F3"/>
    </sheetView>
  </sheetViews>
  <sheetFormatPr defaultRowHeight="15" x14ac:dyDescent="0.25"/>
  <cols>
    <col min="1" max="1" width="20.7109375" bestFit="1" customWidth="1"/>
    <col min="2" max="4" width="14.7109375" customWidth="1"/>
  </cols>
  <sheetData>
    <row r="1" spans="1:4" ht="72" customHeight="1" x14ac:dyDescent="0.25">
      <c r="A1" s="101" t="s">
        <v>213</v>
      </c>
      <c r="B1" s="101"/>
      <c r="C1" s="101"/>
      <c r="D1" s="101"/>
    </row>
    <row r="2" spans="1:4" ht="25.5" customHeight="1" x14ac:dyDescent="0.25">
      <c r="A2" s="100" t="s">
        <v>81</v>
      </c>
      <c r="B2" s="100"/>
      <c r="C2" s="100"/>
      <c r="D2" s="100"/>
    </row>
    <row r="3" spans="1:4" x14ac:dyDescent="0.25">
      <c r="A3" s="100" t="s">
        <v>82</v>
      </c>
      <c r="B3" s="100"/>
      <c r="C3" s="100"/>
      <c r="D3" s="100"/>
    </row>
    <row r="4" spans="1:4" x14ac:dyDescent="0.25">
      <c r="A4" s="101" t="s">
        <v>146</v>
      </c>
      <c r="B4" s="101"/>
      <c r="C4" s="101"/>
      <c r="D4" s="101"/>
    </row>
    <row r="5" spans="1:4" x14ac:dyDescent="0.25">
      <c r="A5" s="102" t="s">
        <v>147</v>
      </c>
      <c r="B5" s="103"/>
      <c r="C5" s="103"/>
      <c r="D5" s="104"/>
    </row>
    <row r="6" spans="1:4" ht="25.5" customHeight="1" x14ac:dyDescent="0.25">
      <c r="A6" s="116" t="s">
        <v>12</v>
      </c>
      <c r="B6" s="116"/>
      <c r="C6" s="116"/>
      <c r="D6" s="116"/>
    </row>
  </sheetData>
  <mergeCells count="6">
    <mergeCell ref="A6:D6"/>
    <mergeCell ref="A1:D1"/>
    <mergeCell ref="A2:D2"/>
    <mergeCell ref="A3:D3"/>
    <mergeCell ref="A4:D4"/>
    <mergeCell ref="A5:D5"/>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A9" sqref="A1:D9"/>
    </sheetView>
  </sheetViews>
  <sheetFormatPr defaultRowHeight="15" x14ac:dyDescent="0.25"/>
  <cols>
    <col min="1" max="1" width="20.7109375" style="5" bestFit="1" customWidth="1"/>
    <col min="2" max="4" width="14.7109375" style="5" customWidth="1"/>
    <col min="5" max="16384" width="9.140625" style="5"/>
  </cols>
  <sheetData>
    <row r="1" spans="1:4" x14ac:dyDescent="0.25">
      <c r="A1" s="46" t="s">
        <v>134</v>
      </c>
      <c r="B1" s="41" t="s">
        <v>135</v>
      </c>
      <c r="C1" s="41" t="s">
        <v>1</v>
      </c>
      <c r="D1" s="41" t="s">
        <v>8</v>
      </c>
    </row>
    <row r="2" spans="1:4" x14ac:dyDescent="0.25">
      <c r="A2" s="66" t="s">
        <v>33</v>
      </c>
      <c r="B2" s="70">
        <v>0</v>
      </c>
      <c r="C2" s="70">
        <v>202</v>
      </c>
      <c r="D2" s="70">
        <v>202</v>
      </c>
    </row>
    <row r="3" spans="1:4" x14ac:dyDescent="0.25">
      <c r="A3" s="66" t="s">
        <v>35</v>
      </c>
      <c r="B3" s="70">
        <f>SUM(B4:B6)</f>
        <v>352316</v>
      </c>
      <c r="C3" s="70">
        <f>SUM(C4:C6)</f>
        <v>62973</v>
      </c>
      <c r="D3" s="70">
        <f t="shared" ref="D3:D8" si="0">SUM(B3:C3)</f>
        <v>415289</v>
      </c>
    </row>
    <row r="4" spans="1:4" x14ac:dyDescent="0.25">
      <c r="A4" s="9" t="s">
        <v>34</v>
      </c>
      <c r="B4" s="63">
        <v>178834</v>
      </c>
      <c r="C4" s="63">
        <v>13854</v>
      </c>
      <c r="D4" s="70">
        <v>192688</v>
      </c>
    </row>
    <row r="5" spans="1:4" x14ac:dyDescent="0.25">
      <c r="A5" s="9" t="s">
        <v>159</v>
      </c>
      <c r="B5" s="63">
        <v>170243</v>
      </c>
      <c r="C5" s="63">
        <v>48299</v>
      </c>
      <c r="D5" s="70">
        <v>218542</v>
      </c>
    </row>
    <row r="6" spans="1:4" x14ac:dyDescent="0.25">
      <c r="A6" s="9" t="s">
        <v>36</v>
      </c>
      <c r="B6" s="63">
        <v>3239</v>
      </c>
      <c r="C6" s="63">
        <v>820</v>
      </c>
      <c r="D6" s="70">
        <v>4059</v>
      </c>
    </row>
    <row r="7" spans="1:4" x14ac:dyDescent="0.25">
      <c r="A7" s="66" t="s">
        <v>66</v>
      </c>
      <c r="B7" s="70">
        <v>1142</v>
      </c>
      <c r="C7" s="70">
        <v>14012</v>
      </c>
      <c r="D7" s="70">
        <v>15154</v>
      </c>
    </row>
    <row r="8" spans="1:4" x14ac:dyDescent="0.25">
      <c r="A8" s="6" t="s">
        <v>8</v>
      </c>
      <c r="B8" s="70">
        <f>SUM(B7,B3,B2)</f>
        <v>353458</v>
      </c>
      <c r="C8" s="70">
        <f>SUM(C7,C3,C2)</f>
        <v>77187</v>
      </c>
      <c r="D8" s="70">
        <f t="shared" si="0"/>
        <v>430645</v>
      </c>
    </row>
    <row r="9" spans="1:4" ht="27" customHeight="1" x14ac:dyDescent="0.25">
      <c r="A9" s="101" t="s">
        <v>143</v>
      </c>
      <c r="B9" s="101"/>
      <c r="C9" s="101"/>
      <c r="D9" s="119"/>
    </row>
    <row r="10" spans="1:4" ht="29.25" customHeight="1" x14ac:dyDescent="0.25"/>
  </sheetData>
  <mergeCells count="1">
    <mergeCell ref="A9:D9"/>
  </mergeCells>
  <printOptions gridLines="1"/>
  <pageMargins left="0.75" right="0.75" top="1" bottom="1" header="0.5" footer="0.5"/>
  <pageSetup orientation="portrait" horizontalDpi="300" verticalDpi="30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A5" sqref="A1:E5"/>
    </sheetView>
  </sheetViews>
  <sheetFormatPr defaultRowHeight="15" x14ac:dyDescent="0.25"/>
  <cols>
    <col min="1" max="1" width="20.7109375" style="5" bestFit="1" customWidth="1"/>
    <col min="2" max="5" width="12.7109375" style="5" customWidth="1"/>
    <col min="6" max="16384" width="9.140625" style="5"/>
  </cols>
  <sheetData>
    <row r="1" spans="1:5" x14ac:dyDescent="0.25">
      <c r="A1" s="41" t="s">
        <v>134</v>
      </c>
      <c r="B1" s="41" t="s">
        <v>141</v>
      </c>
      <c r="C1" s="41" t="s">
        <v>39</v>
      </c>
      <c r="D1" s="41" t="s">
        <v>36</v>
      </c>
      <c r="E1" s="41" t="s">
        <v>8</v>
      </c>
    </row>
    <row r="2" spans="1:5" x14ac:dyDescent="0.25">
      <c r="A2" s="66" t="s">
        <v>204</v>
      </c>
      <c r="B2" s="70">
        <v>44122</v>
      </c>
      <c r="C2" s="70">
        <v>174125</v>
      </c>
      <c r="D2" s="70">
        <v>197244</v>
      </c>
      <c r="E2" s="70">
        <f t="shared" ref="E2" si="0">SUM(B2:D2)</f>
        <v>415491</v>
      </c>
    </row>
    <row r="3" spans="1:5" x14ac:dyDescent="0.25">
      <c r="A3" s="66" t="s">
        <v>66</v>
      </c>
      <c r="B3" s="70" t="s">
        <v>203</v>
      </c>
      <c r="C3" s="70" t="s">
        <v>203</v>
      </c>
      <c r="D3" s="70">
        <v>15154</v>
      </c>
      <c r="E3" s="70">
        <f>SUM(B3:D3)</f>
        <v>15154</v>
      </c>
    </row>
    <row r="4" spans="1:5" x14ac:dyDescent="0.25">
      <c r="A4" s="69" t="s">
        <v>8</v>
      </c>
      <c r="B4" s="70">
        <f>SUM(B3,B2)</f>
        <v>44122</v>
      </c>
      <c r="C4" s="70">
        <f t="shared" ref="C4:D4" si="1">SUM(C3,C2)</f>
        <v>174125</v>
      </c>
      <c r="D4" s="70">
        <f t="shared" si="1"/>
        <v>212398</v>
      </c>
      <c r="E4" s="70">
        <f>SUM(B4:D4)</f>
        <v>430645</v>
      </c>
    </row>
    <row r="5" spans="1:5" ht="15.75" customHeight="1" x14ac:dyDescent="0.25">
      <c r="A5" s="116" t="s">
        <v>143</v>
      </c>
      <c r="B5" s="116"/>
      <c r="C5" s="116"/>
      <c r="D5" s="116"/>
      <c r="E5" s="116"/>
    </row>
  </sheetData>
  <mergeCells count="1">
    <mergeCell ref="A5:E5"/>
  </mergeCells>
  <printOptions gridLines="1"/>
  <pageMargins left="0.75" right="0.75" top="1" bottom="1" header="0.5" footer="0.5"/>
  <pageSetup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A6" sqref="A1:E6"/>
    </sheetView>
  </sheetViews>
  <sheetFormatPr defaultRowHeight="15" x14ac:dyDescent="0.25"/>
  <cols>
    <col min="1" max="1" width="20.7109375" style="5" bestFit="1" customWidth="1"/>
    <col min="2" max="5" width="12.7109375" style="5" customWidth="1"/>
    <col min="6" max="16384" width="9.140625" style="5"/>
  </cols>
  <sheetData>
    <row r="1" spans="1:5" ht="15" customHeight="1" x14ac:dyDescent="0.25">
      <c r="A1" s="46"/>
      <c r="B1" s="118" t="s">
        <v>144</v>
      </c>
      <c r="C1" s="118"/>
      <c r="D1" s="118" t="s">
        <v>76</v>
      </c>
      <c r="E1" s="118"/>
    </row>
    <row r="2" spans="1:5" x14ac:dyDescent="0.25">
      <c r="A2" s="41" t="s">
        <v>134</v>
      </c>
      <c r="B2" s="41" t="s">
        <v>135</v>
      </c>
      <c r="C2" s="41" t="s">
        <v>1</v>
      </c>
      <c r="D2" s="41" t="s">
        <v>3</v>
      </c>
      <c r="E2" s="41" t="s">
        <v>1</v>
      </c>
    </row>
    <row r="3" spans="1:5" x14ac:dyDescent="0.25">
      <c r="A3" s="66" t="s">
        <v>33</v>
      </c>
      <c r="B3" s="70" t="s">
        <v>203</v>
      </c>
      <c r="C3" s="70">
        <v>338</v>
      </c>
      <c r="D3" s="70" t="s">
        <v>203</v>
      </c>
      <c r="E3" s="70">
        <v>66</v>
      </c>
    </row>
    <row r="4" spans="1:5" x14ac:dyDescent="0.25">
      <c r="A4" s="66" t="s">
        <v>205</v>
      </c>
      <c r="B4" s="70">
        <v>435169</v>
      </c>
      <c r="C4" s="70">
        <v>84864</v>
      </c>
      <c r="D4" s="70">
        <v>271748</v>
      </c>
      <c r="E4" s="70">
        <v>69105</v>
      </c>
    </row>
    <row r="5" spans="1:5" ht="15.95" customHeight="1" x14ac:dyDescent="0.25">
      <c r="A5" s="67" t="s">
        <v>8</v>
      </c>
      <c r="B5" s="70">
        <f>SUM(B4,B3)</f>
        <v>435169</v>
      </c>
      <c r="C5" s="70">
        <f t="shared" ref="C5:E5" si="0">SUM(C4,C3)</f>
        <v>85202</v>
      </c>
      <c r="D5" s="70">
        <f t="shared" si="0"/>
        <v>271748</v>
      </c>
      <c r="E5" s="70">
        <f t="shared" si="0"/>
        <v>69171</v>
      </c>
    </row>
    <row r="6" spans="1:5" ht="18.75" customHeight="1" x14ac:dyDescent="0.25">
      <c r="A6" s="116" t="s">
        <v>143</v>
      </c>
      <c r="B6" s="116"/>
      <c r="C6" s="116"/>
      <c r="D6" s="116"/>
      <c r="E6" s="116"/>
    </row>
    <row r="7" spans="1:5" x14ac:dyDescent="0.25">
      <c r="D7" s="35"/>
    </row>
  </sheetData>
  <mergeCells count="3">
    <mergeCell ref="B1:C1"/>
    <mergeCell ref="D1:E1"/>
    <mergeCell ref="A6:E6"/>
  </mergeCells>
  <printOptions gridLines="1"/>
  <pageMargins left="0.75" right="0.75" top="1" bottom="1" header="0.5" footer="0.5"/>
  <pageSetup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election activeCell="A6" sqref="A1:G6"/>
    </sheetView>
  </sheetViews>
  <sheetFormatPr defaultRowHeight="15" x14ac:dyDescent="0.25"/>
  <cols>
    <col min="1" max="1" width="20.7109375" style="5" bestFit="1" customWidth="1"/>
    <col min="2" max="7" width="10.7109375" style="5" customWidth="1"/>
    <col min="8" max="16384" width="9.140625" style="5"/>
  </cols>
  <sheetData>
    <row r="1" spans="1:7" ht="15" customHeight="1" x14ac:dyDescent="0.25">
      <c r="A1" s="46" t="s">
        <v>0</v>
      </c>
      <c r="B1" s="118" t="s">
        <v>209</v>
      </c>
      <c r="C1" s="118"/>
      <c r="D1" s="118"/>
      <c r="E1" s="118" t="s">
        <v>76</v>
      </c>
      <c r="F1" s="118"/>
      <c r="G1" s="118"/>
    </row>
    <row r="2" spans="1:7" x14ac:dyDescent="0.25">
      <c r="A2" s="41" t="s">
        <v>134</v>
      </c>
      <c r="B2" s="41" t="s">
        <v>208</v>
      </c>
      <c r="C2" s="41" t="s">
        <v>39</v>
      </c>
      <c r="D2" s="41" t="s">
        <v>36</v>
      </c>
      <c r="E2" s="41" t="s">
        <v>38</v>
      </c>
      <c r="F2" s="41" t="s">
        <v>39</v>
      </c>
      <c r="G2" s="41" t="s">
        <v>36</v>
      </c>
    </row>
    <row r="3" spans="1:7" x14ac:dyDescent="0.25">
      <c r="A3" s="66" t="s">
        <v>204</v>
      </c>
      <c r="B3" s="70">
        <v>45360</v>
      </c>
      <c r="C3" s="70">
        <v>202466</v>
      </c>
      <c r="D3" s="70">
        <v>249798</v>
      </c>
      <c r="E3" s="70">
        <v>42884</v>
      </c>
      <c r="F3" s="70">
        <v>145783</v>
      </c>
      <c r="G3" s="70">
        <v>144689</v>
      </c>
    </row>
    <row r="4" spans="1:7" x14ac:dyDescent="0.25">
      <c r="A4" s="66" t="s">
        <v>66</v>
      </c>
      <c r="B4" s="63" t="s">
        <v>202</v>
      </c>
      <c r="C4" s="63" t="s">
        <v>202</v>
      </c>
      <c r="D4" s="70">
        <v>22747</v>
      </c>
      <c r="E4" s="70" t="s">
        <v>202</v>
      </c>
      <c r="F4" s="70" t="s">
        <v>202</v>
      </c>
      <c r="G4" s="70">
        <v>7562</v>
      </c>
    </row>
    <row r="5" spans="1:7" x14ac:dyDescent="0.25">
      <c r="A5" s="67" t="s">
        <v>8</v>
      </c>
      <c r="B5" s="70">
        <f>SUM(B4,B3)</f>
        <v>45360</v>
      </c>
      <c r="C5" s="70">
        <f t="shared" ref="C5:G5" si="0">SUM(C4,C3)</f>
        <v>202466</v>
      </c>
      <c r="D5" s="70">
        <f t="shared" si="0"/>
        <v>272545</v>
      </c>
      <c r="E5" s="70">
        <f t="shared" si="0"/>
        <v>42884</v>
      </c>
      <c r="F5" s="70">
        <f t="shared" si="0"/>
        <v>145783</v>
      </c>
      <c r="G5" s="70">
        <f t="shared" si="0"/>
        <v>152251</v>
      </c>
    </row>
    <row r="6" spans="1:7" ht="20.25" customHeight="1" x14ac:dyDescent="0.25">
      <c r="A6" s="110" t="s">
        <v>143</v>
      </c>
      <c r="B6" s="111"/>
      <c r="C6" s="111"/>
      <c r="D6" s="111"/>
      <c r="E6" s="111"/>
      <c r="F6" s="111"/>
      <c r="G6" s="112"/>
    </row>
  </sheetData>
  <mergeCells count="3">
    <mergeCell ref="B1:D1"/>
    <mergeCell ref="E1:G1"/>
    <mergeCell ref="A6:G6"/>
  </mergeCells>
  <printOptions gridLines="1"/>
  <pageMargins left="0.75" right="0.75" top="1" bottom="1" header="0.5" footer="0.5"/>
  <pageSetup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G3" sqref="G3"/>
    </sheetView>
  </sheetViews>
  <sheetFormatPr defaultRowHeight="15" x14ac:dyDescent="0.25"/>
  <cols>
    <col min="1" max="1" width="20.7109375" bestFit="1" customWidth="1"/>
    <col min="2" max="4" width="14.7109375" customWidth="1"/>
  </cols>
  <sheetData>
    <row r="1" spans="1:4" ht="88.5" customHeight="1" x14ac:dyDescent="0.25">
      <c r="A1" s="101" t="s">
        <v>215</v>
      </c>
      <c r="B1" s="101"/>
      <c r="C1" s="101"/>
      <c r="D1" s="101"/>
    </row>
    <row r="2" spans="1:4" ht="25.5" customHeight="1" x14ac:dyDescent="0.25">
      <c r="A2" s="100" t="s">
        <v>81</v>
      </c>
      <c r="B2" s="100"/>
      <c r="C2" s="100"/>
      <c r="D2" s="100"/>
    </row>
    <row r="3" spans="1:4" x14ac:dyDescent="0.25">
      <c r="A3" s="100" t="s">
        <v>82</v>
      </c>
      <c r="B3" s="100"/>
      <c r="C3" s="100"/>
      <c r="D3" s="100"/>
    </row>
    <row r="4" spans="1:4" x14ac:dyDescent="0.25">
      <c r="A4" s="101" t="s">
        <v>146</v>
      </c>
      <c r="B4" s="101"/>
      <c r="C4" s="101"/>
      <c r="D4" s="101"/>
    </row>
    <row r="5" spans="1:4" x14ac:dyDescent="0.25">
      <c r="A5" s="102" t="s">
        <v>147</v>
      </c>
      <c r="B5" s="103"/>
      <c r="C5" s="103"/>
      <c r="D5" s="104"/>
    </row>
    <row r="6" spans="1:4" ht="25.5" customHeight="1" x14ac:dyDescent="0.25">
      <c r="A6" s="116" t="s">
        <v>12</v>
      </c>
      <c r="B6" s="116"/>
      <c r="C6" s="116"/>
      <c r="D6" s="116"/>
    </row>
  </sheetData>
  <mergeCells count="6">
    <mergeCell ref="A6:D6"/>
    <mergeCell ref="A1:D1"/>
    <mergeCell ref="A2:D2"/>
    <mergeCell ref="A3:D3"/>
    <mergeCell ref="A4:D4"/>
    <mergeCell ref="A5:D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selection activeCell="I9" sqref="I9"/>
    </sheetView>
  </sheetViews>
  <sheetFormatPr defaultRowHeight="15" x14ac:dyDescent="0.25"/>
  <cols>
    <col min="1" max="1" width="24.7109375" customWidth="1"/>
    <col min="2" max="2" width="12.42578125" customWidth="1"/>
    <col min="3" max="5" width="11.7109375" customWidth="1"/>
    <col min="6" max="6" width="12.140625" customWidth="1"/>
    <col min="7" max="7" width="12.5703125" bestFit="1" customWidth="1"/>
  </cols>
  <sheetData>
    <row r="1" spans="1:7" x14ac:dyDescent="0.25">
      <c r="A1" s="45" t="s">
        <v>160</v>
      </c>
      <c r="B1" s="79" t="s">
        <v>197</v>
      </c>
      <c r="C1" s="79" t="s">
        <v>198</v>
      </c>
      <c r="D1" s="79" t="s">
        <v>199</v>
      </c>
      <c r="E1" s="79" t="s">
        <v>200</v>
      </c>
      <c r="F1" s="79" t="s">
        <v>206</v>
      </c>
    </row>
    <row r="2" spans="1:7" x14ac:dyDescent="0.25">
      <c r="A2" s="74" t="s">
        <v>161</v>
      </c>
      <c r="B2" s="48">
        <f t="shared" ref="B2:E2" si="0">0.85*5200000</f>
        <v>4420000</v>
      </c>
      <c r="C2" s="48">
        <f t="shared" si="0"/>
        <v>4420000</v>
      </c>
      <c r="D2" s="48">
        <f t="shared" si="0"/>
        <v>4420000</v>
      </c>
      <c r="E2" s="48">
        <f t="shared" si="0"/>
        <v>4420000</v>
      </c>
      <c r="F2" s="48">
        <f>0.85*5200000</f>
        <v>4420000</v>
      </c>
    </row>
    <row r="3" spans="1:7" x14ac:dyDescent="0.25">
      <c r="A3" s="73" t="s">
        <v>49</v>
      </c>
      <c r="B3" s="56" t="s">
        <v>4</v>
      </c>
      <c r="C3" s="56" t="s">
        <v>4</v>
      </c>
      <c r="D3" s="56" t="s">
        <v>4</v>
      </c>
      <c r="E3" s="56" t="s">
        <v>4</v>
      </c>
      <c r="F3" s="56" t="s">
        <v>4</v>
      </c>
    </row>
    <row r="4" spans="1:7" x14ac:dyDescent="0.25">
      <c r="A4" s="73" t="s">
        <v>162</v>
      </c>
      <c r="B4" s="56" t="s">
        <v>4</v>
      </c>
      <c r="C4" s="56" t="s">
        <v>4</v>
      </c>
      <c r="D4" s="56" t="s">
        <v>4</v>
      </c>
      <c r="E4" s="56" t="s">
        <v>4</v>
      </c>
      <c r="F4" s="56" t="s">
        <v>4</v>
      </c>
    </row>
    <row r="5" spans="1:7" x14ac:dyDescent="0.25">
      <c r="A5" s="73" t="s">
        <v>163</v>
      </c>
      <c r="B5" s="56" t="s">
        <v>4</v>
      </c>
      <c r="C5" s="56" t="s">
        <v>4</v>
      </c>
      <c r="D5" s="56" t="s">
        <v>4</v>
      </c>
      <c r="E5" s="56" t="s">
        <v>4</v>
      </c>
      <c r="F5" s="56" t="s">
        <v>4</v>
      </c>
    </row>
    <row r="6" spans="1:7" x14ac:dyDescent="0.25">
      <c r="A6" s="73" t="s">
        <v>37</v>
      </c>
      <c r="B6" s="56" t="s">
        <v>4</v>
      </c>
      <c r="C6" s="56" t="s">
        <v>4</v>
      </c>
      <c r="D6" s="56" t="s">
        <v>4</v>
      </c>
      <c r="E6" s="56" t="s">
        <v>4</v>
      </c>
      <c r="F6" s="56" t="s">
        <v>4</v>
      </c>
    </row>
    <row r="7" spans="1:7" x14ac:dyDescent="0.25">
      <c r="A7" s="18" t="s">
        <v>164</v>
      </c>
      <c r="B7" s="56" t="s">
        <v>4</v>
      </c>
      <c r="C7" s="56" t="s">
        <v>4</v>
      </c>
      <c r="D7" s="56" t="s">
        <v>4</v>
      </c>
      <c r="E7" s="56" t="s">
        <v>4</v>
      </c>
      <c r="F7" s="56" t="s">
        <v>4</v>
      </c>
      <c r="G7" s="21"/>
    </row>
    <row r="8" spans="1:7" ht="45.75" customHeight="1" x14ac:dyDescent="0.25">
      <c r="A8" s="22" t="s">
        <v>8</v>
      </c>
      <c r="B8" s="59">
        <f t="shared" ref="B8:F8" si="1">B2</f>
        <v>4420000</v>
      </c>
      <c r="C8" s="59">
        <f t="shared" si="1"/>
        <v>4420000</v>
      </c>
      <c r="D8" s="59">
        <f t="shared" si="1"/>
        <v>4420000</v>
      </c>
      <c r="E8" s="59">
        <f t="shared" si="1"/>
        <v>4420000</v>
      </c>
      <c r="F8" s="59">
        <f t="shared" si="1"/>
        <v>4420000</v>
      </c>
    </row>
    <row r="9" spans="1:7" ht="24.75" customHeight="1" x14ac:dyDescent="0.25">
      <c r="A9" s="123" t="s">
        <v>216</v>
      </c>
      <c r="B9" s="124"/>
      <c r="C9" s="124"/>
      <c r="D9" s="124"/>
      <c r="E9" s="124"/>
      <c r="F9" s="125"/>
    </row>
    <row r="10" spans="1:7" ht="16.5" customHeight="1" x14ac:dyDescent="0.25">
      <c r="A10" s="126" t="s">
        <v>22</v>
      </c>
      <c r="B10" s="127"/>
      <c r="C10" s="127"/>
      <c r="D10" s="127"/>
      <c r="E10" s="127"/>
      <c r="F10" s="128"/>
    </row>
    <row r="11" spans="1:7" ht="15" customHeight="1" x14ac:dyDescent="0.25">
      <c r="A11" s="126" t="s">
        <v>165</v>
      </c>
      <c r="B11" s="127"/>
      <c r="C11" s="127"/>
      <c r="D11" s="127"/>
      <c r="E11" s="127"/>
      <c r="F11" s="128"/>
    </row>
    <row r="12" spans="1:7" ht="15.75" customHeight="1" x14ac:dyDescent="0.25">
      <c r="A12" s="126" t="s">
        <v>11</v>
      </c>
      <c r="B12" s="127"/>
      <c r="C12" s="127"/>
      <c r="D12" s="127"/>
      <c r="E12" s="127"/>
      <c r="F12" s="128"/>
    </row>
    <row r="13" spans="1:7" ht="24.75" customHeight="1" x14ac:dyDescent="0.25">
      <c r="A13" s="120" t="s">
        <v>12</v>
      </c>
      <c r="B13" s="121"/>
      <c r="C13" s="121"/>
      <c r="D13" s="121"/>
      <c r="E13" s="121"/>
      <c r="F13" s="122"/>
    </row>
    <row r="21" ht="13.5" customHeight="1" x14ac:dyDescent="0.25"/>
  </sheetData>
  <mergeCells count="5">
    <mergeCell ref="A13:F13"/>
    <mergeCell ref="A9:F9"/>
    <mergeCell ref="A10:F10"/>
    <mergeCell ref="A11:F11"/>
    <mergeCell ref="A12:F12"/>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I7" sqref="I7"/>
    </sheetView>
  </sheetViews>
  <sheetFormatPr defaultRowHeight="15" x14ac:dyDescent="0.25"/>
  <cols>
    <col min="1" max="1" width="24.7109375" customWidth="1"/>
    <col min="2" max="2" width="12.28515625" customWidth="1"/>
    <col min="3" max="5" width="11.7109375" customWidth="1"/>
    <col min="6" max="6" width="12.140625" customWidth="1"/>
  </cols>
  <sheetData>
    <row r="1" spans="1:6" x14ac:dyDescent="0.25">
      <c r="A1" s="45" t="s">
        <v>160</v>
      </c>
      <c r="B1" s="79" t="s">
        <v>197</v>
      </c>
      <c r="C1" s="79" t="s">
        <v>198</v>
      </c>
      <c r="D1" s="79" t="s">
        <v>199</v>
      </c>
      <c r="E1" s="79" t="s">
        <v>200</v>
      </c>
      <c r="F1" s="79" t="s">
        <v>206</v>
      </c>
    </row>
    <row r="2" spans="1:6" x14ac:dyDescent="0.25">
      <c r="A2" s="36" t="s">
        <v>166</v>
      </c>
      <c r="B2" s="48">
        <f t="shared" ref="B2:D2" si="0">0.85*2000000</f>
        <v>1700000</v>
      </c>
      <c r="C2" s="48">
        <f t="shared" si="0"/>
        <v>1700000</v>
      </c>
      <c r="D2" s="48">
        <f t="shared" si="0"/>
        <v>1700000</v>
      </c>
      <c r="E2" s="48">
        <f>0.85*2000000</f>
        <v>1700000</v>
      </c>
      <c r="F2" s="48">
        <f>0.85*2000000</f>
        <v>1700000</v>
      </c>
    </row>
    <row r="3" spans="1:6" x14ac:dyDescent="0.25">
      <c r="A3" s="17" t="s">
        <v>167</v>
      </c>
      <c r="B3" s="63" t="s">
        <v>4</v>
      </c>
      <c r="C3" s="63" t="s">
        <v>4</v>
      </c>
      <c r="D3" s="63" t="s">
        <v>4</v>
      </c>
      <c r="E3" s="63" t="s">
        <v>4</v>
      </c>
      <c r="F3" s="63" t="s">
        <v>4</v>
      </c>
    </row>
    <row r="4" spans="1:6" x14ac:dyDescent="0.25">
      <c r="A4" s="18" t="s">
        <v>35</v>
      </c>
      <c r="B4" s="63" t="s">
        <v>4</v>
      </c>
      <c r="C4" s="63" t="s">
        <v>4</v>
      </c>
      <c r="D4" s="63" t="s">
        <v>4</v>
      </c>
      <c r="E4" s="63" t="s">
        <v>4</v>
      </c>
      <c r="F4" s="63" t="s">
        <v>4</v>
      </c>
    </row>
    <row r="5" spans="1:6" x14ac:dyDescent="0.25">
      <c r="A5" s="18" t="s">
        <v>168</v>
      </c>
      <c r="B5" s="63" t="s">
        <v>4</v>
      </c>
      <c r="C5" s="63" t="s">
        <v>4</v>
      </c>
      <c r="D5" s="63" t="s">
        <v>4</v>
      </c>
      <c r="E5" s="63" t="s">
        <v>4</v>
      </c>
      <c r="F5" s="63" t="s">
        <v>4</v>
      </c>
    </row>
    <row r="6" spans="1:6" x14ac:dyDescent="0.25">
      <c r="A6" s="18" t="s">
        <v>169</v>
      </c>
      <c r="B6" s="63" t="s">
        <v>4</v>
      </c>
      <c r="C6" s="63" t="s">
        <v>4</v>
      </c>
      <c r="D6" s="63" t="s">
        <v>4</v>
      </c>
      <c r="E6" s="63" t="s">
        <v>4</v>
      </c>
      <c r="F6" s="63" t="s">
        <v>4</v>
      </c>
    </row>
    <row r="7" spans="1:6" x14ac:dyDescent="0.25">
      <c r="A7" s="19" t="s">
        <v>170</v>
      </c>
      <c r="B7" s="63" t="s">
        <v>4</v>
      </c>
      <c r="C7" s="63" t="s">
        <v>4</v>
      </c>
      <c r="D7" s="63" t="s">
        <v>4</v>
      </c>
      <c r="E7" s="63" t="s">
        <v>4</v>
      </c>
      <c r="F7" s="63" t="s">
        <v>4</v>
      </c>
    </row>
    <row r="8" spans="1:6" x14ac:dyDescent="0.25">
      <c r="A8" s="20" t="s">
        <v>8</v>
      </c>
      <c r="B8" s="70">
        <f t="shared" ref="B8:F8" si="1">B2</f>
        <v>1700000</v>
      </c>
      <c r="C8" s="70">
        <f t="shared" si="1"/>
        <v>1700000</v>
      </c>
      <c r="D8" s="70">
        <f t="shared" si="1"/>
        <v>1700000</v>
      </c>
      <c r="E8" s="70">
        <f t="shared" si="1"/>
        <v>1700000</v>
      </c>
      <c r="F8" s="70">
        <f t="shared" si="1"/>
        <v>1700000</v>
      </c>
    </row>
    <row r="9" spans="1:6" ht="27" customHeight="1" x14ac:dyDescent="0.25">
      <c r="A9" s="130" t="s">
        <v>217</v>
      </c>
      <c r="B9" s="130"/>
      <c r="C9" s="130"/>
      <c r="D9" s="130"/>
      <c r="E9" s="130"/>
      <c r="F9" s="130"/>
    </row>
    <row r="10" spans="1:6" ht="14.25" customHeight="1" x14ac:dyDescent="0.25">
      <c r="A10" s="130" t="s">
        <v>22</v>
      </c>
      <c r="B10" s="130"/>
      <c r="C10" s="130"/>
      <c r="D10" s="130"/>
      <c r="E10" s="130"/>
      <c r="F10" s="130"/>
    </row>
    <row r="11" spans="1:6" ht="15.75" customHeight="1" x14ac:dyDescent="0.25">
      <c r="A11" s="130" t="s">
        <v>171</v>
      </c>
      <c r="B11" s="130"/>
      <c r="C11" s="130"/>
      <c r="D11" s="130"/>
      <c r="E11" s="130"/>
      <c r="F11" s="130"/>
    </row>
    <row r="12" spans="1:6" x14ac:dyDescent="0.25">
      <c r="A12" s="130" t="s">
        <v>172</v>
      </c>
      <c r="B12" s="130"/>
      <c r="C12" s="130"/>
      <c r="D12" s="130"/>
      <c r="E12" s="130"/>
      <c r="F12" s="130"/>
    </row>
    <row r="13" spans="1:6" ht="14.25" customHeight="1" x14ac:dyDescent="0.25">
      <c r="A13" s="126" t="s">
        <v>40</v>
      </c>
      <c r="B13" s="127"/>
      <c r="C13" s="127"/>
      <c r="D13" s="127"/>
      <c r="E13" s="127"/>
      <c r="F13" s="128"/>
    </row>
    <row r="14" spans="1:6" ht="26.25" customHeight="1" x14ac:dyDescent="0.25">
      <c r="A14" s="129" t="s">
        <v>12</v>
      </c>
      <c r="B14" s="129"/>
      <c r="C14" s="129"/>
      <c r="D14" s="129"/>
      <c r="E14" s="129"/>
      <c r="F14" s="129"/>
    </row>
    <row r="15" spans="1:6" ht="27" customHeight="1" x14ac:dyDescent="0.25">
      <c r="B15" s="21"/>
      <c r="C15" s="21"/>
    </row>
  </sheetData>
  <mergeCells count="6">
    <mergeCell ref="A14:F14"/>
    <mergeCell ref="A9:F9"/>
    <mergeCell ref="A10:F10"/>
    <mergeCell ref="A11:F11"/>
    <mergeCell ref="A12:F12"/>
    <mergeCell ref="A13:F13"/>
  </mergeCell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I14" sqref="I14"/>
    </sheetView>
  </sheetViews>
  <sheetFormatPr defaultRowHeight="15" x14ac:dyDescent="0.25"/>
  <cols>
    <col min="1" max="1" width="24.7109375" customWidth="1"/>
    <col min="2" max="2" width="12.28515625" customWidth="1"/>
    <col min="3" max="5" width="11.7109375" customWidth="1"/>
    <col min="6" max="6" width="12.140625" customWidth="1"/>
  </cols>
  <sheetData>
    <row r="1" spans="1:6" x14ac:dyDescent="0.25">
      <c r="A1" s="45" t="s">
        <v>160</v>
      </c>
      <c r="B1" s="79" t="s">
        <v>197</v>
      </c>
      <c r="C1" s="79" t="s">
        <v>198</v>
      </c>
      <c r="D1" s="79" t="s">
        <v>199</v>
      </c>
      <c r="E1" s="79" t="s">
        <v>200</v>
      </c>
      <c r="F1" s="79" t="s">
        <v>206</v>
      </c>
    </row>
    <row r="2" spans="1:6" x14ac:dyDescent="0.25">
      <c r="A2" s="36" t="s">
        <v>173</v>
      </c>
      <c r="B2" s="48">
        <f t="shared" ref="B2:D2" si="0">0.85*37000000</f>
        <v>31450000</v>
      </c>
      <c r="C2" s="48">
        <f t="shared" si="0"/>
        <v>31450000</v>
      </c>
      <c r="D2" s="48">
        <f t="shared" si="0"/>
        <v>31450000</v>
      </c>
      <c r="E2" s="48">
        <f>0.85*37000000</f>
        <v>31450000</v>
      </c>
      <c r="F2" s="48">
        <f>0.85*37000000</f>
        <v>31450000</v>
      </c>
    </row>
    <row r="3" spans="1:6" x14ac:dyDescent="0.25">
      <c r="A3" s="17" t="s">
        <v>174</v>
      </c>
      <c r="B3" s="63" t="s">
        <v>4</v>
      </c>
      <c r="C3" s="63" t="s">
        <v>4</v>
      </c>
      <c r="D3" s="63" t="s">
        <v>4</v>
      </c>
      <c r="E3" s="63" t="s">
        <v>4</v>
      </c>
      <c r="F3" s="63" t="s">
        <v>4</v>
      </c>
    </row>
    <row r="4" spans="1:6" x14ac:dyDescent="0.25">
      <c r="A4" s="18" t="s">
        <v>175</v>
      </c>
      <c r="B4" s="63" t="s">
        <v>4</v>
      </c>
      <c r="C4" s="63" t="s">
        <v>4</v>
      </c>
      <c r="D4" s="63" t="s">
        <v>4</v>
      </c>
      <c r="E4" s="63" t="s">
        <v>4</v>
      </c>
      <c r="F4" s="63" t="s">
        <v>4</v>
      </c>
    </row>
    <row r="5" spans="1:6" x14ac:dyDescent="0.25">
      <c r="A5" s="18" t="s">
        <v>163</v>
      </c>
      <c r="B5" s="63" t="s">
        <v>4</v>
      </c>
      <c r="C5" s="63" t="s">
        <v>4</v>
      </c>
      <c r="D5" s="63" t="s">
        <v>4</v>
      </c>
      <c r="E5" s="63" t="s">
        <v>4</v>
      </c>
      <c r="F5" s="63" t="s">
        <v>4</v>
      </c>
    </row>
    <row r="6" spans="1:6" x14ac:dyDescent="0.25">
      <c r="A6" s="18" t="s">
        <v>176</v>
      </c>
      <c r="B6" s="63" t="s">
        <v>4</v>
      </c>
      <c r="C6" s="63" t="s">
        <v>4</v>
      </c>
      <c r="D6" s="63" t="s">
        <v>4</v>
      </c>
      <c r="E6" s="63" t="s">
        <v>4</v>
      </c>
      <c r="F6" s="63" t="s">
        <v>4</v>
      </c>
    </row>
    <row r="7" spans="1:6" x14ac:dyDescent="0.25">
      <c r="A7" s="19" t="s">
        <v>70</v>
      </c>
      <c r="B7" s="63" t="s">
        <v>4</v>
      </c>
      <c r="C7" s="63" t="s">
        <v>4</v>
      </c>
      <c r="D7" s="63" t="s">
        <v>4</v>
      </c>
      <c r="E7" s="63" t="s">
        <v>4</v>
      </c>
      <c r="F7" s="63" t="s">
        <v>4</v>
      </c>
    </row>
    <row r="8" spans="1:6" x14ac:dyDescent="0.25">
      <c r="A8" s="20" t="s">
        <v>8</v>
      </c>
      <c r="B8" s="70">
        <f t="shared" ref="B8:F8" si="1">B2</f>
        <v>31450000</v>
      </c>
      <c r="C8" s="70">
        <f t="shared" si="1"/>
        <v>31450000</v>
      </c>
      <c r="D8" s="70">
        <f t="shared" si="1"/>
        <v>31450000</v>
      </c>
      <c r="E8" s="70">
        <f t="shared" si="1"/>
        <v>31450000</v>
      </c>
      <c r="F8" s="70">
        <f t="shared" si="1"/>
        <v>31450000</v>
      </c>
    </row>
    <row r="9" spans="1:6" ht="27" customHeight="1" x14ac:dyDescent="0.25">
      <c r="A9" s="130" t="s">
        <v>217</v>
      </c>
      <c r="B9" s="130"/>
      <c r="C9" s="130"/>
      <c r="D9" s="130"/>
      <c r="E9" s="130"/>
      <c r="F9" s="130"/>
    </row>
    <row r="10" spans="1:6" ht="14.25" customHeight="1" x14ac:dyDescent="0.25">
      <c r="A10" s="130" t="s">
        <v>22</v>
      </c>
      <c r="B10" s="130"/>
      <c r="C10" s="130"/>
      <c r="D10" s="130"/>
      <c r="E10" s="130"/>
      <c r="F10" s="130"/>
    </row>
    <row r="11" spans="1:6" ht="15.75" customHeight="1" x14ac:dyDescent="0.25">
      <c r="A11" s="130" t="s">
        <v>177</v>
      </c>
      <c r="B11" s="130"/>
      <c r="C11" s="130"/>
      <c r="D11" s="130"/>
      <c r="E11" s="130"/>
      <c r="F11" s="130"/>
    </row>
    <row r="12" spans="1:6" x14ac:dyDescent="0.25">
      <c r="A12" s="126" t="s">
        <v>11</v>
      </c>
      <c r="B12" s="127"/>
      <c r="C12" s="127"/>
      <c r="D12" s="127"/>
      <c r="E12" s="127"/>
      <c r="F12" s="128"/>
    </row>
    <row r="13" spans="1:6" ht="27.75" customHeight="1" x14ac:dyDescent="0.25">
      <c r="A13" s="129" t="s">
        <v>12</v>
      </c>
      <c r="B13" s="129"/>
      <c r="C13" s="129"/>
      <c r="D13" s="129"/>
      <c r="E13" s="129"/>
      <c r="F13" s="129"/>
    </row>
    <row r="14" spans="1:6" ht="26.25" customHeight="1" x14ac:dyDescent="0.25">
      <c r="B14" s="21"/>
      <c r="C14" s="21"/>
    </row>
    <row r="15" spans="1:6" ht="27" customHeight="1" x14ac:dyDescent="0.25"/>
  </sheetData>
  <mergeCells count="5">
    <mergeCell ref="A13:F13"/>
    <mergeCell ref="A9:F9"/>
    <mergeCell ref="A10:F10"/>
    <mergeCell ref="A11:F11"/>
    <mergeCell ref="A12:F12"/>
  </mergeCells>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2" sqref="B32"/>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1</vt:i4>
      </vt:variant>
    </vt:vector>
  </HeadingPairs>
  <TitlesOfParts>
    <vt:vector size="57" baseType="lpstr">
      <vt:lpstr>Table of Contents</vt:lpstr>
      <vt:lpstr>1</vt:lpstr>
      <vt:lpstr>2</vt:lpstr>
      <vt:lpstr>3</vt:lpstr>
      <vt:lpstr>4</vt:lpstr>
      <vt:lpstr>5</vt:lpstr>
      <vt:lpstr>6</vt:lpstr>
      <vt:lpstr>7a</vt:lpstr>
      <vt:lpstr>7b</vt:lpstr>
      <vt:lpstr>7c</vt:lpstr>
      <vt:lpstr>7d</vt:lpstr>
      <vt:lpstr>7e</vt:lpstr>
      <vt:lpstr>8a</vt:lpstr>
      <vt:lpstr>8b</vt:lpstr>
      <vt:lpstr>8c</vt:lpstr>
      <vt:lpstr>8d</vt:lpstr>
      <vt:lpstr>8e</vt:lpstr>
      <vt:lpstr>9a</vt:lpstr>
      <vt:lpstr>9b</vt:lpstr>
      <vt:lpstr>9c</vt:lpstr>
      <vt:lpstr>9d</vt:lpstr>
      <vt:lpstr>9e</vt:lpstr>
      <vt:lpstr>10a</vt:lpstr>
      <vt:lpstr>10b</vt:lpstr>
      <vt:lpstr>10c</vt:lpstr>
      <vt:lpstr>10d</vt:lpstr>
      <vt:lpstr>10e</vt:lpstr>
      <vt:lpstr>11a</vt:lpstr>
      <vt:lpstr>11b</vt:lpstr>
      <vt:lpstr>11c</vt:lpstr>
      <vt:lpstr>11d</vt:lpstr>
      <vt:lpstr>11e</vt:lpstr>
      <vt:lpstr>12a</vt:lpstr>
      <vt:lpstr>12b</vt:lpstr>
      <vt:lpstr>12c</vt:lpstr>
      <vt:lpstr>12d</vt:lpstr>
      <vt:lpstr>12e</vt:lpstr>
      <vt:lpstr>13a</vt:lpstr>
      <vt:lpstr>13b</vt:lpstr>
      <vt:lpstr>13c</vt:lpstr>
      <vt:lpstr>13d</vt:lpstr>
      <vt:lpstr>13e</vt:lpstr>
      <vt:lpstr>14a</vt:lpstr>
      <vt:lpstr>14b</vt:lpstr>
      <vt:lpstr>14c</vt:lpstr>
      <vt:lpstr>14d</vt:lpstr>
      <vt:lpstr>14e</vt:lpstr>
      <vt:lpstr>15a</vt:lpstr>
      <vt:lpstr>15b</vt:lpstr>
      <vt:lpstr>15c</vt:lpstr>
      <vt:lpstr>15d</vt:lpstr>
      <vt:lpstr>15e</vt:lpstr>
      <vt:lpstr>16</vt:lpstr>
      <vt:lpstr>17</vt:lpstr>
      <vt:lpstr>18</vt:lpstr>
      <vt:lpstr>Sheet1</vt:lpstr>
      <vt:lpstr>'13b'!Print_Area</vt:lpstr>
    </vt:vector>
  </TitlesOfParts>
  <Company>CFTC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RFairbanks</dc:creator>
  <cp:lastModifiedBy>Onur, Esen</cp:lastModifiedBy>
  <dcterms:created xsi:type="dcterms:W3CDTF">2013-07-24T13:54:34Z</dcterms:created>
  <dcterms:modified xsi:type="dcterms:W3CDTF">2014-02-12T17:21:44Z</dcterms:modified>
</cp:coreProperties>
</file>