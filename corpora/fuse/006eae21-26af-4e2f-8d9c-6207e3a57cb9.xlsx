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120" yWindow="105" windowWidth="15195" windowHeight="8385"/>
  </bookViews>
  <sheets>
    <sheet name="Fill Handle" sheetId="3" r:id="rId1"/>
    <sheet name="Taxi Numbers" sheetId="6" r:id="rId2"/>
    <sheet name="Taxi Numbers (2)" sheetId="4" r:id="rId3"/>
    <sheet name="Histogram" sheetId="1" r:id="rId4"/>
    <sheet name="Box and Whisker" sheetId="2" r:id="rId5"/>
    <sheet name="Back to Back" sheetId="5" r:id="rId6"/>
  </sheets>
  <definedNames>
    <definedName name="data">Histogram!$B$2:$K$11</definedName>
    <definedName name="data1">'Box and Whisker'!$B$3:$B$31</definedName>
    <definedName name="data2">'Box and Whisker'!$C$3:$C$31</definedName>
    <definedName name="interval_data">Histogram!$B$15:$K$24</definedName>
    <definedName name="intervals">Histogram!$M$2:$M$21</definedName>
    <definedName name="show_value" localSheetId="1">'Taxi Numbers'!$E$1</definedName>
    <definedName name="show_value">'Taxi Numbers (2)'!$E$1</definedName>
    <definedName name="size">Histogram!$D$13</definedName>
    <definedName name="x" localSheetId="1">'Taxi Numbers'!$3:$3</definedName>
    <definedName name="x">'Taxi Numbers (2)'!$3:$3</definedName>
    <definedName name="y" localSheetId="1">'Taxi Numbers'!$B:$B</definedName>
    <definedName name="y">'Taxi Numbers (2)'!$B:$B</definedName>
  </definedNames>
  <calcPr calcId="144525"/>
  <fileRecoveryPr repairLoad="1"/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C4" i="4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C4" i="6"/>
  <c r="B16" i="1" l="1"/>
  <c r="C16" i="1"/>
  <c r="D16" i="1"/>
  <c r="E16" i="1"/>
  <c r="F16" i="1"/>
  <c r="G16" i="1"/>
  <c r="H16" i="1"/>
  <c r="I16" i="1"/>
  <c r="J16" i="1"/>
  <c r="K16" i="1"/>
  <c r="B17" i="1"/>
  <c r="C17" i="1"/>
  <c r="D17" i="1"/>
  <c r="E17" i="1"/>
  <c r="F17" i="1"/>
  <c r="G17" i="1"/>
  <c r="H17" i="1"/>
  <c r="I17" i="1"/>
  <c r="J17" i="1"/>
  <c r="K17" i="1"/>
  <c r="B18" i="1"/>
  <c r="C18" i="1"/>
  <c r="D18" i="1"/>
  <c r="E18" i="1"/>
  <c r="F18" i="1"/>
  <c r="G18" i="1"/>
  <c r="H18" i="1"/>
  <c r="I18" i="1"/>
  <c r="J18" i="1"/>
  <c r="K18" i="1"/>
  <c r="B19" i="1"/>
  <c r="C19" i="1"/>
  <c r="D19" i="1"/>
  <c r="E19" i="1"/>
  <c r="F19" i="1"/>
  <c r="G19" i="1"/>
  <c r="H19" i="1"/>
  <c r="I19" i="1"/>
  <c r="J19" i="1"/>
  <c r="K19" i="1"/>
  <c r="B20" i="1"/>
  <c r="C20" i="1"/>
  <c r="D20" i="1"/>
  <c r="E20" i="1"/>
  <c r="F20" i="1"/>
  <c r="G20" i="1"/>
  <c r="H20" i="1"/>
  <c r="I20" i="1"/>
  <c r="J20" i="1"/>
  <c r="K20" i="1"/>
  <c r="B21" i="1"/>
  <c r="C21" i="1"/>
  <c r="D21" i="1"/>
  <c r="E21" i="1"/>
  <c r="F21" i="1"/>
  <c r="G21" i="1"/>
  <c r="H21" i="1"/>
  <c r="I21" i="1"/>
  <c r="J21" i="1"/>
  <c r="K21" i="1"/>
  <c r="B22" i="1"/>
  <c r="C22" i="1"/>
  <c r="D22" i="1"/>
  <c r="E22" i="1"/>
  <c r="F22" i="1"/>
  <c r="G22" i="1"/>
  <c r="H22" i="1"/>
  <c r="I22" i="1"/>
  <c r="J22" i="1"/>
  <c r="K22" i="1"/>
  <c r="B23" i="1"/>
  <c r="C23" i="1"/>
  <c r="D23" i="1"/>
  <c r="E23" i="1"/>
  <c r="F23" i="1"/>
  <c r="G23" i="1"/>
  <c r="H23" i="1"/>
  <c r="I23" i="1"/>
  <c r="J23" i="1"/>
  <c r="K23" i="1"/>
  <c r="B24" i="1"/>
  <c r="C24" i="1"/>
  <c r="D24" i="1"/>
  <c r="E24" i="1"/>
  <c r="F24" i="1"/>
  <c r="G24" i="1"/>
  <c r="H24" i="1"/>
  <c r="I24" i="1"/>
  <c r="J24" i="1"/>
  <c r="K24" i="1"/>
  <c r="C15" i="1"/>
  <c r="D15" i="1"/>
  <c r="E15" i="1"/>
  <c r="F15" i="1"/>
  <c r="G15" i="1"/>
  <c r="H15" i="1"/>
  <c r="I15" i="1"/>
  <c r="J15" i="1"/>
  <c r="K15" i="1"/>
  <c r="A2" i="6"/>
  <c r="E5" i="5" l="1"/>
  <c r="E6" i="5"/>
  <c r="E7" i="5"/>
  <c r="E8" i="5"/>
  <c r="E9" i="5"/>
  <c r="E10" i="5"/>
  <c r="E11" i="5"/>
  <c r="E12" i="5"/>
  <c r="E13" i="5"/>
  <c r="E14" i="5"/>
  <c r="E15" i="5"/>
  <c r="E4" i="5"/>
  <c r="D6" i="3"/>
  <c r="E6" i="3"/>
  <c r="F6" i="3" s="1"/>
  <c r="G6" i="3" s="1"/>
  <c r="H6" i="3" s="1"/>
  <c r="I6" i="3" s="1"/>
  <c r="J6" i="3" s="1"/>
  <c r="K6" i="3" s="1"/>
  <c r="D10" i="3"/>
  <c r="E10" i="3"/>
  <c r="F10" i="3" s="1"/>
  <c r="G10" i="3" s="1"/>
  <c r="H10" i="3" s="1"/>
  <c r="I10" i="3" s="1"/>
  <c r="J10" i="3" s="1"/>
  <c r="K10" i="3" s="1"/>
  <c r="C3" i="3"/>
  <c r="D3" i="3" s="1"/>
  <c r="E3" i="3" s="1"/>
  <c r="F3" i="3" s="1"/>
  <c r="G3" i="3" s="1"/>
  <c r="H3" i="3" s="1"/>
  <c r="I3" i="3" s="1"/>
  <c r="J3" i="3" s="1"/>
  <c r="K3" i="3" s="1"/>
  <c r="C4" i="3"/>
  <c r="D4" i="3" s="1"/>
  <c r="E4" i="3" s="1"/>
  <c r="F4" i="3" s="1"/>
  <c r="G4" i="3" s="1"/>
  <c r="H4" i="3" s="1"/>
  <c r="I4" i="3" s="1"/>
  <c r="J4" i="3" s="1"/>
  <c r="K4" i="3" s="1"/>
  <c r="C5" i="3"/>
  <c r="D5" i="3" s="1"/>
  <c r="E5" i="3" s="1"/>
  <c r="F5" i="3" s="1"/>
  <c r="G5" i="3" s="1"/>
  <c r="H5" i="3" s="1"/>
  <c r="I5" i="3" s="1"/>
  <c r="J5" i="3" s="1"/>
  <c r="K5" i="3" s="1"/>
  <c r="C6" i="3"/>
  <c r="C7" i="3"/>
  <c r="D7" i="3" s="1"/>
  <c r="E7" i="3" s="1"/>
  <c r="F7" i="3" s="1"/>
  <c r="G7" i="3" s="1"/>
  <c r="H7" i="3" s="1"/>
  <c r="I7" i="3" s="1"/>
  <c r="J7" i="3" s="1"/>
  <c r="K7" i="3" s="1"/>
  <c r="C8" i="3"/>
  <c r="D8" i="3" s="1"/>
  <c r="E8" i="3" s="1"/>
  <c r="F8" i="3" s="1"/>
  <c r="G8" i="3" s="1"/>
  <c r="H8" i="3" s="1"/>
  <c r="I8" i="3" s="1"/>
  <c r="J8" i="3" s="1"/>
  <c r="K8" i="3" s="1"/>
  <c r="C9" i="3"/>
  <c r="D9" i="3" s="1"/>
  <c r="E9" i="3" s="1"/>
  <c r="F9" i="3" s="1"/>
  <c r="G9" i="3" s="1"/>
  <c r="H9" i="3" s="1"/>
  <c r="I9" i="3" s="1"/>
  <c r="J9" i="3" s="1"/>
  <c r="K9" i="3" s="1"/>
  <c r="C10" i="3"/>
  <c r="C11" i="3"/>
  <c r="D11" i="3" s="1"/>
  <c r="E11" i="3" s="1"/>
  <c r="F11" i="3" s="1"/>
  <c r="G11" i="3" s="1"/>
  <c r="H11" i="3" s="1"/>
  <c r="I11" i="3" s="1"/>
  <c r="J11" i="3" s="1"/>
  <c r="K11" i="3" s="1"/>
  <c r="C2" i="3"/>
  <c r="D2" i="3" s="1"/>
  <c r="E2" i="3" s="1"/>
  <c r="F2" i="3" s="1"/>
  <c r="G2" i="3" s="1"/>
  <c r="H2" i="3" s="1"/>
  <c r="I2" i="3" s="1"/>
  <c r="J2" i="3" s="1"/>
  <c r="K2" i="3" s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" i="2"/>
  <c r="Q2" i="1"/>
  <c r="Q3" i="1"/>
  <c r="M3" i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" i="2"/>
  <c r="B15" i="1"/>
  <c r="N2" i="1" s="1"/>
  <c r="M4" i="1" l="1"/>
  <c r="A2" i="4"/>
  <c r="J6" i="2"/>
  <c r="N5" i="2" s="1"/>
  <c r="H6" i="2"/>
  <c r="G6" i="2"/>
  <c r="N3" i="1"/>
  <c r="N4" i="1"/>
  <c r="G7" i="2"/>
  <c r="H7" i="2"/>
  <c r="J7" i="2"/>
  <c r="M5" i="1" l="1"/>
  <c r="I6" i="2" a="1"/>
  <c r="I6" i="2" s="1"/>
  <c r="F6" i="2" a="1"/>
  <c r="F6" i="2" s="1"/>
  <c r="K6" i="2"/>
  <c r="N6" i="2" s="1"/>
  <c r="F7" i="2" a="1"/>
  <c r="F7" i="2" s="1"/>
  <c r="N7" i="2"/>
  <c r="K7" i="2"/>
  <c r="N8" i="2" s="1"/>
  <c r="I7" i="2" a="1"/>
  <c r="I7" i="2" s="1"/>
  <c r="M6" i="1" l="1"/>
  <c r="N5" i="1"/>
  <c r="M7" i="1" l="1"/>
  <c r="N6" i="1"/>
  <c r="M8" i="1" l="1"/>
  <c r="N7" i="1"/>
  <c r="M9" i="1" l="1"/>
  <c r="N8" i="1"/>
  <c r="M10" i="1" l="1"/>
  <c r="N9" i="1"/>
  <c r="M11" i="1" l="1"/>
  <c r="N10" i="1"/>
  <c r="M12" i="1" l="1"/>
  <c r="N11" i="1"/>
  <c r="M13" i="1" l="1"/>
  <c r="N12" i="1"/>
  <c r="M14" i="1" l="1"/>
  <c r="N13" i="1"/>
  <c r="M15" i="1" l="1"/>
  <c r="N14" i="1"/>
  <c r="M16" i="1" l="1"/>
  <c r="N15" i="1"/>
  <c r="M17" i="1" l="1"/>
  <c r="N16" i="1"/>
  <c r="N17" i="1" l="1"/>
  <c r="M18" i="1"/>
  <c r="N18" i="1" l="1"/>
  <c r="M19" i="1"/>
  <c r="N19" i="1" l="1"/>
  <c r="M20" i="1"/>
  <c r="N20" i="1" l="1"/>
  <c r="M21" i="1"/>
  <c r="N21" i="1" l="1"/>
</calcChain>
</file>

<file path=xl/sharedStrings.xml><?xml version="1.0" encoding="utf-8"?>
<sst xmlns="http://schemas.openxmlformats.org/spreadsheetml/2006/main" count="33" uniqueCount="27">
  <si>
    <t>Interval Size</t>
  </si>
  <si>
    <t>High</t>
  </si>
  <si>
    <t>Low</t>
  </si>
  <si>
    <t>Median</t>
  </si>
  <si>
    <t>Data 1</t>
  </si>
  <si>
    <t>Data 2</t>
  </si>
  <si>
    <t>Q1</t>
  </si>
  <si>
    <t>Q3</t>
  </si>
  <si>
    <t>Number of items in the Interval</t>
  </si>
  <si>
    <t>Range</t>
  </si>
  <si>
    <t>Data1</t>
  </si>
  <si>
    <t>Data2</t>
  </si>
  <si>
    <t>Month</t>
  </si>
  <si>
    <t>Max Temp</t>
  </si>
  <si>
    <t>Min Temp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</si>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</sst>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Histogram!$Q$2</c:f>
          <c:strCache>
            <c:ptCount val="1"/>
            <c:pt idx="0">
              <c:v>Histogram in Intervals of 8</c:v>
            </c:pt>
          </c:strCache>
        </c:strRef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Histogram!$O$2:$O$15</c:f>
              <c:strCache>
                <c:ptCount val="13"/>
                <c:pt idx="0">
                  <c:v>0- 7</c:v>
                </c:pt>
                <c:pt idx="1">
                  <c:v>8- 15</c:v>
                </c:pt>
                <c:pt idx="2">
                  <c:v>16- 23</c:v>
                </c:pt>
                <c:pt idx="3">
                  <c:v>24- 31</c:v>
                </c:pt>
                <c:pt idx="4">
                  <c:v>32- 39</c:v>
                </c:pt>
                <c:pt idx="5">
                  <c:v>40- 47</c:v>
                </c:pt>
                <c:pt idx="6">
                  <c:v>48- 55</c:v>
                </c:pt>
                <c:pt idx="7">
                  <c:v>56- 63</c:v>
                </c:pt>
                <c:pt idx="8">
                  <c:v>64- 71</c:v>
                </c:pt>
                <c:pt idx="9">
                  <c:v>72- 79</c:v>
                </c:pt>
                <c:pt idx="10">
                  <c:v>80- 87</c:v>
                </c:pt>
                <c:pt idx="11">
                  <c:v>88- 95</c:v>
                </c:pt>
                <c:pt idx="12">
                  <c:v>96- 103</c:v>
                </c:pt>
              </c:strCache>
            </c:strRef>
          </c:cat>
          <c:val>
            <c:numRef>
              <c:f>Histogram!$N$2:$N$15</c:f>
              <c:numCache>
                <c:formatCode>General</c:formatCode>
                <c:ptCount val="14"/>
                <c:pt idx="0">
                  <c:v>4</c:v>
                </c:pt>
                <c:pt idx="1">
                  <c:v>10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  <c:pt idx="5">
                  <c:v>10</c:v>
                </c:pt>
                <c:pt idx="6">
                  <c:v>4</c:v>
                </c:pt>
                <c:pt idx="7">
                  <c:v>9</c:v>
                </c:pt>
                <c:pt idx="8">
                  <c:v>6</c:v>
                </c:pt>
                <c:pt idx="9">
                  <c:v>11</c:v>
                </c:pt>
                <c:pt idx="10">
                  <c:v>8</c:v>
                </c:pt>
                <c:pt idx="11">
                  <c:v>7</c:v>
                </c:pt>
                <c:pt idx="12">
                  <c:v>9</c:v>
                </c:pt>
                <c:pt idx="1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3448704"/>
        <c:axId val="53450624"/>
      </c:barChart>
      <c:catAx>
        <c:axId val="53448704"/>
        <c:scaling>
          <c:orientation val="minMax"/>
        </c:scaling>
        <c:delete val="0"/>
        <c:axPos val="b"/>
        <c:title>
          <c:tx>
            <c:strRef>
              <c:f>Histogram!$Q$3</c:f>
              <c:strCache>
                <c:ptCount val="1"/>
                <c:pt idx="0">
                  <c:v>Intervals of size 8</c:v>
                </c:pt>
              </c:strCache>
            </c:strRef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3450624"/>
        <c:crosses val="autoZero"/>
        <c:auto val="0"/>
        <c:lblAlgn val="ctr"/>
        <c:lblOffset val="100"/>
        <c:noMultiLvlLbl val="0"/>
      </c:catAx>
      <c:valAx>
        <c:axId val="53450624"/>
        <c:scaling>
          <c:orientation val="minMax"/>
        </c:scaling>
        <c:delete val="0"/>
        <c:axPos val="l"/>
        <c:title>
          <c:tx>
            <c:strRef>
              <c:f>Histogram!$Q$4</c:f>
              <c:strCache>
                <c:ptCount val="1"/>
                <c:pt idx="0">
                  <c:v>Number of items in the Interval</c:v>
                </c:pt>
              </c:strCache>
            </c:strRef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34487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Box and Whisker Comparison of  Data Sets</a:t>
            </a:r>
          </a:p>
          <a:p>
            <a:pPr>
              <a:defRPr sz="1400"/>
            </a:pPr>
            <a:endParaRPr lang="en-US" sz="1400"/>
          </a:p>
          <a:p>
            <a:pPr>
              <a:defRPr sz="1400"/>
            </a:pPr>
            <a:r>
              <a:rPr lang="en-US" sz="1400"/>
              <a:t> </a:t>
            </a:r>
          </a:p>
        </c:rich>
      </c:tx>
      <c:layout/>
      <c:overlay val="0"/>
    </c:title>
    <c:autoTitleDeleted val="0"/>
    <c:plotArea>
      <c:layout/>
      <c:stockChart>
        <c:ser>
          <c:idx val="0"/>
          <c:order val="0"/>
          <c:tx>
            <c:strRef>
              <c:f>'Box and Whisker'!$F$5</c:f>
              <c:strCache>
                <c:ptCount val="1"/>
                <c:pt idx="0">
                  <c:v>Q1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cat>
            <c:strRef>
              <c:f>'Box and Whisker'!$E$6:$E$7</c:f>
              <c:strCache>
                <c:ptCount val="2"/>
                <c:pt idx="0">
                  <c:v>Data 1</c:v>
                </c:pt>
                <c:pt idx="1">
                  <c:v>Data 2</c:v>
                </c:pt>
              </c:strCache>
            </c:strRef>
          </c:cat>
          <c:val>
            <c:numRef>
              <c:f>'Box and Whisker'!$F$6:$F$7</c:f>
              <c:numCache>
                <c:formatCode>General</c:formatCode>
                <c:ptCount val="2"/>
                <c:pt idx="0">
                  <c:v>25</c:v>
                </c:pt>
                <c:pt idx="1">
                  <c:v>32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'Box and Whisker'!$G$5</c:f>
              <c:strCache>
                <c:ptCount val="1"/>
                <c:pt idx="0">
                  <c:v>High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cat>
            <c:strRef>
              <c:f>'Box and Whisker'!$E$6:$E$7</c:f>
              <c:strCache>
                <c:ptCount val="2"/>
                <c:pt idx="0">
                  <c:v>Data 1</c:v>
                </c:pt>
                <c:pt idx="1">
                  <c:v>Data 2</c:v>
                </c:pt>
              </c:strCache>
            </c:strRef>
          </c:cat>
          <c:val>
            <c:numRef>
              <c:f>'Box and Whisker'!$G$6:$G$7</c:f>
              <c:numCache>
                <c:formatCode>General</c:formatCode>
                <c:ptCount val="2"/>
                <c:pt idx="0">
                  <c:v>72</c:v>
                </c:pt>
                <c:pt idx="1">
                  <c:v>84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'Box and Whisker'!$H$5</c:f>
              <c:strCache>
                <c:ptCount val="1"/>
                <c:pt idx="0">
                  <c:v>Low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cat>
            <c:strRef>
              <c:f>'Box and Whisker'!$E$6:$E$7</c:f>
              <c:strCache>
                <c:ptCount val="2"/>
                <c:pt idx="0">
                  <c:v>Data 1</c:v>
                </c:pt>
                <c:pt idx="1">
                  <c:v>Data 2</c:v>
                </c:pt>
              </c:strCache>
            </c:strRef>
          </c:cat>
          <c:val>
            <c:numRef>
              <c:f>'Box and Whisker'!$H$6:$H$7</c:f>
              <c:numCache>
                <c:formatCode>General</c:formatCode>
                <c:ptCount val="2"/>
                <c:pt idx="0">
                  <c:v>7</c:v>
                </c:pt>
                <c:pt idx="1">
                  <c:v>15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'Box and Whisker'!$I$5</c:f>
              <c:strCache>
                <c:ptCount val="1"/>
                <c:pt idx="0">
                  <c:v>Q3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cat>
            <c:strRef>
              <c:f>'Box and Whisker'!$E$6:$E$7</c:f>
              <c:strCache>
                <c:ptCount val="2"/>
                <c:pt idx="0">
                  <c:v>Data 1</c:v>
                </c:pt>
                <c:pt idx="1">
                  <c:v>Data 2</c:v>
                </c:pt>
              </c:strCache>
            </c:strRef>
          </c:cat>
          <c:val>
            <c:numRef>
              <c:f>'Box and Whisker'!$I$6:$I$7</c:f>
              <c:numCache>
                <c:formatCode>General</c:formatCode>
                <c:ptCount val="2"/>
                <c:pt idx="0">
                  <c:v>59.5</c:v>
                </c:pt>
                <c:pt idx="1">
                  <c:v>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/>
        <c:upDownBars>
          <c:gapWidth val="150"/>
          <c:upBars/>
          <c:downBars/>
        </c:upDownBars>
        <c:axId val="89364736"/>
        <c:axId val="89366528"/>
      </c:stockChart>
      <c:catAx>
        <c:axId val="89364736"/>
        <c:scaling>
          <c:orientation val="minMax"/>
        </c:scaling>
        <c:delete val="0"/>
        <c:axPos val="b"/>
        <c:majorTickMark val="none"/>
        <c:minorTickMark val="none"/>
        <c:tickLblPos val="nextTo"/>
        <c:crossAx val="89366528"/>
        <c:crosses val="autoZero"/>
        <c:auto val="1"/>
        <c:lblAlgn val="ctr"/>
        <c:lblOffset val="100"/>
        <c:noMultiLvlLbl val="0"/>
      </c:catAx>
      <c:valAx>
        <c:axId val="8936652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893647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AU" sz="1400"/>
              <a:t>Back-to-Back</a:t>
            </a:r>
            <a:r>
              <a:rPr lang="en-AU" sz="1400" baseline="0"/>
              <a:t> </a:t>
            </a:r>
            <a:r>
              <a:rPr lang="en-AU" sz="1400"/>
              <a:t>Plot of Temperature Data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'Back to Back'!$D$3</c:f>
              <c:strCache>
                <c:ptCount val="1"/>
                <c:pt idx="0">
                  <c:v>Max Temp</c:v>
                </c:pt>
              </c:strCache>
            </c:strRef>
          </c:tx>
          <c:invertIfNegative val="0"/>
          <c:cat>
            <c:strRef>
              <c:f>'Back to Back'!$C$4:$C$15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'Back to Back'!$D$4:$D$15</c:f>
              <c:numCache>
                <c:formatCode>General</c:formatCode>
                <c:ptCount val="12"/>
                <c:pt idx="0">
                  <c:v>26</c:v>
                </c:pt>
                <c:pt idx="1">
                  <c:v>26</c:v>
                </c:pt>
                <c:pt idx="2">
                  <c:v>24</c:v>
                </c:pt>
                <c:pt idx="3">
                  <c:v>20</c:v>
                </c:pt>
                <c:pt idx="4">
                  <c:v>17</c:v>
                </c:pt>
                <c:pt idx="5">
                  <c:v>14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</c:numCache>
            </c:numRef>
          </c:val>
        </c:ser>
        <c:ser>
          <c:idx val="1"/>
          <c:order val="1"/>
          <c:tx>
            <c:strRef>
              <c:f>'Back to Back'!$E$3</c:f>
              <c:strCache>
                <c:ptCount val="1"/>
                <c:pt idx="0">
                  <c:v>Min Temp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cat>
            <c:strRef>
              <c:f>'Back to Back'!$C$4:$C$15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'Back to Back'!$E$4:$E$15</c:f>
              <c:numCache>
                <c:formatCode>General</c:formatCode>
                <c:ptCount val="12"/>
                <c:pt idx="0">
                  <c:v>-14</c:v>
                </c:pt>
                <c:pt idx="1">
                  <c:v>-14</c:v>
                </c:pt>
                <c:pt idx="2">
                  <c:v>-13</c:v>
                </c:pt>
                <c:pt idx="3">
                  <c:v>-11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-6</c:v>
                </c:pt>
                <c:pt idx="8">
                  <c:v>-8</c:v>
                </c:pt>
                <c:pt idx="9">
                  <c:v>-9</c:v>
                </c:pt>
                <c:pt idx="10">
                  <c:v>-11</c:v>
                </c:pt>
                <c:pt idx="11">
                  <c:v>-13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overlap val="100"/>
        <c:axId val="94349952"/>
        <c:axId val="94351744"/>
      </c:barChart>
      <c:catAx>
        <c:axId val="94349952"/>
        <c:scaling>
          <c:orientation val="minMax"/>
        </c:scaling>
        <c:delete val="0"/>
        <c:axPos val="l"/>
        <c:majorTickMark val="out"/>
        <c:minorTickMark val="none"/>
        <c:tickLblPos val="nextTo"/>
        <c:crossAx val="94351744"/>
        <c:crosses val="autoZero"/>
        <c:auto val="0"/>
        <c:lblAlgn val="ctr"/>
        <c:lblOffset val="100"/>
        <c:tickLblSkip val="1"/>
        <c:noMultiLvlLbl val="0"/>
      </c:catAx>
      <c:valAx>
        <c:axId val="9435174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Temperatures in </a:t>
                </a:r>
                <a:r>
                  <a:rPr lang="en-AU">
                    <a:latin typeface="Franklin Gothic Book"/>
                  </a:rPr>
                  <a:t>°C</a:t>
                </a:r>
                <a:endParaRPr lang="en-AU"/>
              </a:p>
            </c:rich>
          </c:tx>
          <c:layout/>
          <c:overlay val="0"/>
        </c:title>
        <c:numFmt formatCode="#,##0;[Red]#,##0" sourceLinked="0"/>
        <c:majorTickMark val="out"/>
        <c:minorTickMark val="none"/>
        <c:tickLblPos val="nextTo"/>
        <c:crossAx val="943499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Scroll" dx="16" fmlaLink="$E$1" horiz="1" max="100" min="2" page="10" val="16"/>
</file>

<file path=xl/ctrlProps/ctrlProp2.xml><?xml version="1.0" encoding="utf-8"?>
<formControlPr xmlns="http://schemas.microsoft.com/office/spreadsheetml/2009/9/main" objectType="Scroll" dx="16" fmlaLink="$D$13" horiz="1" max="20" min="5" page="10" val="8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0</xdr:row>
          <xdr:rowOff>19050</xdr:rowOff>
        </xdr:from>
        <xdr:to>
          <xdr:col>9</xdr:col>
          <xdr:colOff>104775</xdr:colOff>
          <xdr:row>1</xdr:row>
          <xdr:rowOff>9525</xdr:rowOff>
        </xdr:to>
        <xdr:sp macro="" textlink="">
          <xdr:nvSpPr>
            <xdr:cNvPr id="4097" name="Scroll Bar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167289</xdr:colOff>
      <xdr:row>6</xdr:row>
      <xdr:rowOff>176894</xdr:rowOff>
    </xdr:from>
    <xdr:to>
      <xdr:col>22</xdr:col>
      <xdr:colOff>74598</xdr:colOff>
      <xdr:row>26</xdr:row>
      <xdr:rowOff>67235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590550</xdr:colOff>
          <xdr:row>12</xdr:row>
          <xdr:rowOff>9525</xdr:rowOff>
        </xdr:from>
        <xdr:to>
          <xdr:col>9</xdr:col>
          <xdr:colOff>249331</xdr:colOff>
          <xdr:row>12</xdr:row>
          <xdr:rowOff>171450</xdr:rowOff>
        </xdr:to>
        <xdr:sp macro="" textlink="">
          <xdr:nvSpPr>
            <xdr:cNvPr id="1025" name="Scroll Bar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302558</xdr:colOff>
      <xdr:row>11</xdr:row>
      <xdr:rowOff>33618</xdr:rowOff>
    </xdr:from>
    <xdr:to>
      <xdr:col>10</xdr:col>
      <xdr:colOff>100853</xdr:colOff>
      <xdr:row>25</xdr:row>
      <xdr:rowOff>112060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4</xdr:col>
      <xdr:colOff>560294</xdr:colOff>
      <xdr:row>14</xdr:row>
      <xdr:rowOff>100854</xdr:rowOff>
    </xdr:from>
    <xdr:ext cx="816634" cy="264560"/>
    <xdr:sp macro="" textlink="$N$6">
      <xdr:nvSpPr>
        <xdr:cNvPr id="3" name="TextBox 2"/>
        <xdr:cNvSpPr txBox="1"/>
      </xdr:nvSpPr>
      <xdr:spPr>
        <a:xfrm>
          <a:off x="2980765" y="2767854"/>
          <a:ext cx="8166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fld id="{A2F51D95-0045-445E-A1E1-E535A5A1D807}" type="TxLink">
            <a:rPr lang="en-US" sz="1100"/>
            <a:pPr/>
            <a:t>Range = 65</a:t>
          </a:fld>
          <a:endParaRPr lang="en-US" sz="1100"/>
        </a:p>
      </xdr:txBody>
    </xdr:sp>
    <xdr:clientData/>
  </xdr:oneCellAnchor>
  <xdr:oneCellAnchor>
    <xdr:from>
      <xdr:col>4</xdr:col>
      <xdr:colOff>560294</xdr:colOff>
      <xdr:row>13</xdr:row>
      <xdr:rowOff>112061</xdr:rowOff>
    </xdr:from>
    <xdr:ext cx="900696" cy="264560"/>
    <xdr:sp macro="" textlink="$N$5">
      <xdr:nvSpPr>
        <xdr:cNvPr id="4" name="TextBox 3"/>
        <xdr:cNvSpPr txBox="1"/>
      </xdr:nvSpPr>
      <xdr:spPr>
        <a:xfrm>
          <a:off x="2980765" y="2588561"/>
          <a:ext cx="9006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fld id="{0F6E3E9A-007C-4F0B-B76A-A1230462D18F}" type="TxLink">
            <a:rPr lang="en-US" sz="1100"/>
            <a:pPr/>
            <a:t>Median = 44</a:t>
          </a:fld>
          <a:endParaRPr lang="en-US" sz="1100"/>
        </a:p>
      </xdr:txBody>
    </xdr:sp>
    <xdr:clientData/>
  </xdr:oneCellAnchor>
  <xdr:oneCellAnchor>
    <xdr:from>
      <xdr:col>7</xdr:col>
      <xdr:colOff>437029</xdr:colOff>
      <xdr:row>13</xdr:row>
      <xdr:rowOff>112061</xdr:rowOff>
    </xdr:from>
    <xdr:ext cx="900696" cy="264560"/>
    <xdr:sp macro="" textlink="$N$7">
      <xdr:nvSpPr>
        <xdr:cNvPr id="5" name="TextBox 4"/>
        <xdr:cNvSpPr txBox="1"/>
      </xdr:nvSpPr>
      <xdr:spPr>
        <a:xfrm>
          <a:off x="4672853" y="2588561"/>
          <a:ext cx="9006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fld id="{0F462217-3538-4C4E-9324-705787349C6F}" type="TxLink">
            <a:rPr lang="en-US" sz="1100"/>
            <a:pPr/>
            <a:t>Median = 56</a:t>
          </a:fld>
          <a:endParaRPr lang="en-US" sz="1100"/>
        </a:p>
      </xdr:txBody>
    </xdr:sp>
    <xdr:clientData/>
  </xdr:oneCellAnchor>
  <xdr:oneCellAnchor>
    <xdr:from>
      <xdr:col>7</xdr:col>
      <xdr:colOff>459441</xdr:colOff>
      <xdr:row>14</xdr:row>
      <xdr:rowOff>100854</xdr:rowOff>
    </xdr:from>
    <xdr:ext cx="816634" cy="264560"/>
    <xdr:sp macro="" textlink="$N$8">
      <xdr:nvSpPr>
        <xdr:cNvPr id="6" name="TextBox 5"/>
        <xdr:cNvSpPr txBox="1"/>
      </xdr:nvSpPr>
      <xdr:spPr>
        <a:xfrm>
          <a:off x="4695265" y="2767854"/>
          <a:ext cx="8166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fld id="{E27E89DE-689D-40F6-B265-F513E7590BC6}" type="TxLink">
            <a:rPr lang="en-US" sz="1100"/>
            <a:pPr/>
            <a:t>Range = 69</a:t>
          </a:fld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276225</xdr:colOff>
      <xdr:row>1</xdr:row>
      <xdr:rowOff>38099</xdr:rowOff>
    </xdr:from>
    <xdr:to>
      <xdr:col>13</xdr:col>
      <xdr:colOff>581025</xdr:colOff>
      <xdr:row>18</xdr:row>
      <xdr:rowOff>19049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2:K11"/>
  <sheetViews>
    <sheetView tabSelected="1" workbookViewId="0"/>
  </sheetViews>
  <sheetFormatPr defaultColWidth="5" defaultRowHeight="15" x14ac:dyDescent="0.25"/>
  <sheetData>
    <row r="2" spans="2:11" x14ac:dyDescent="0.25">
      <c r="B2">
        <v>1</v>
      </c>
      <c r="C2">
        <f>B2 + 10</f>
        <v>11</v>
      </c>
      <c r="D2">
        <f t="shared" ref="D2:K2" si="0">C2 + 10</f>
        <v>21</v>
      </c>
      <c r="E2">
        <f t="shared" si="0"/>
        <v>31</v>
      </c>
      <c r="F2">
        <f t="shared" si="0"/>
        <v>41</v>
      </c>
      <c r="G2">
        <f t="shared" si="0"/>
        <v>51</v>
      </c>
      <c r="H2">
        <f t="shared" si="0"/>
        <v>61</v>
      </c>
      <c r="I2">
        <f>H2 + 10</f>
        <v>71</v>
      </c>
      <c r="J2">
        <f t="shared" si="0"/>
        <v>81</v>
      </c>
      <c r="K2">
        <f t="shared" si="0"/>
        <v>91</v>
      </c>
    </row>
    <row r="3" spans="2:11" x14ac:dyDescent="0.25">
      <c r="B3">
        <v>2</v>
      </c>
      <c r="C3">
        <f t="shared" ref="C3:K11" si="1">B3 + 10</f>
        <v>12</v>
      </c>
      <c r="D3">
        <f t="shared" si="1"/>
        <v>22</v>
      </c>
      <c r="E3">
        <f t="shared" si="1"/>
        <v>32</v>
      </c>
      <c r="F3">
        <f t="shared" si="1"/>
        <v>42</v>
      </c>
      <c r="G3">
        <f t="shared" si="1"/>
        <v>52</v>
      </c>
      <c r="H3">
        <f t="shared" si="1"/>
        <v>62</v>
      </c>
      <c r="I3">
        <f t="shared" si="1"/>
        <v>72</v>
      </c>
      <c r="J3">
        <f t="shared" si="1"/>
        <v>82</v>
      </c>
      <c r="K3">
        <f t="shared" si="1"/>
        <v>92</v>
      </c>
    </row>
    <row r="4" spans="2:11" x14ac:dyDescent="0.25">
      <c r="B4">
        <v>3</v>
      </c>
      <c r="C4">
        <f t="shared" si="1"/>
        <v>13</v>
      </c>
      <c r="D4">
        <f t="shared" si="1"/>
        <v>23</v>
      </c>
      <c r="E4">
        <f t="shared" si="1"/>
        <v>33</v>
      </c>
      <c r="F4">
        <f t="shared" si="1"/>
        <v>43</v>
      </c>
      <c r="G4">
        <f t="shared" si="1"/>
        <v>53</v>
      </c>
      <c r="H4">
        <f t="shared" si="1"/>
        <v>63</v>
      </c>
      <c r="I4">
        <f t="shared" si="1"/>
        <v>73</v>
      </c>
      <c r="J4">
        <f t="shared" si="1"/>
        <v>83</v>
      </c>
      <c r="K4">
        <f t="shared" si="1"/>
        <v>93</v>
      </c>
    </row>
    <row r="5" spans="2:11" x14ac:dyDescent="0.25">
      <c r="B5">
        <v>4</v>
      </c>
      <c r="C5">
        <f t="shared" si="1"/>
        <v>14</v>
      </c>
      <c r="D5">
        <f t="shared" si="1"/>
        <v>24</v>
      </c>
      <c r="E5">
        <f t="shared" si="1"/>
        <v>34</v>
      </c>
      <c r="F5">
        <f t="shared" si="1"/>
        <v>44</v>
      </c>
      <c r="G5">
        <f t="shared" si="1"/>
        <v>54</v>
      </c>
      <c r="H5">
        <f t="shared" si="1"/>
        <v>64</v>
      </c>
      <c r="I5">
        <f t="shared" si="1"/>
        <v>74</v>
      </c>
      <c r="J5">
        <f t="shared" si="1"/>
        <v>84</v>
      </c>
      <c r="K5">
        <f t="shared" si="1"/>
        <v>94</v>
      </c>
    </row>
    <row r="6" spans="2:11" x14ac:dyDescent="0.25">
      <c r="B6">
        <v>5</v>
      </c>
      <c r="C6">
        <f t="shared" si="1"/>
        <v>15</v>
      </c>
      <c r="D6">
        <f t="shared" si="1"/>
        <v>25</v>
      </c>
      <c r="E6">
        <f t="shared" si="1"/>
        <v>35</v>
      </c>
      <c r="F6">
        <f t="shared" si="1"/>
        <v>45</v>
      </c>
      <c r="G6">
        <f t="shared" si="1"/>
        <v>55</v>
      </c>
      <c r="H6">
        <f t="shared" si="1"/>
        <v>65</v>
      </c>
      <c r="I6">
        <f t="shared" si="1"/>
        <v>75</v>
      </c>
      <c r="J6">
        <f t="shared" si="1"/>
        <v>85</v>
      </c>
      <c r="K6">
        <f t="shared" si="1"/>
        <v>95</v>
      </c>
    </row>
    <row r="7" spans="2:11" x14ac:dyDescent="0.25">
      <c r="B7">
        <v>6</v>
      </c>
      <c r="C7">
        <f t="shared" si="1"/>
        <v>16</v>
      </c>
      <c r="D7">
        <f t="shared" si="1"/>
        <v>26</v>
      </c>
      <c r="E7">
        <f t="shared" si="1"/>
        <v>36</v>
      </c>
      <c r="F7">
        <f t="shared" si="1"/>
        <v>46</v>
      </c>
      <c r="G7">
        <f t="shared" si="1"/>
        <v>56</v>
      </c>
      <c r="H7">
        <f t="shared" si="1"/>
        <v>66</v>
      </c>
      <c r="I7">
        <f t="shared" si="1"/>
        <v>76</v>
      </c>
      <c r="J7">
        <f t="shared" si="1"/>
        <v>86</v>
      </c>
      <c r="K7">
        <f t="shared" si="1"/>
        <v>96</v>
      </c>
    </row>
    <row r="8" spans="2:11" x14ac:dyDescent="0.25">
      <c r="B8">
        <v>7</v>
      </c>
      <c r="C8">
        <f t="shared" si="1"/>
        <v>17</v>
      </c>
      <c r="D8">
        <f t="shared" si="1"/>
        <v>27</v>
      </c>
      <c r="E8">
        <f t="shared" si="1"/>
        <v>37</v>
      </c>
      <c r="F8">
        <f t="shared" si="1"/>
        <v>47</v>
      </c>
      <c r="G8">
        <f t="shared" si="1"/>
        <v>57</v>
      </c>
      <c r="H8">
        <f t="shared" si="1"/>
        <v>67</v>
      </c>
      <c r="I8">
        <f t="shared" si="1"/>
        <v>77</v>
      </c>
      <c r="J8">
        <f t="shared" si="1"/>
        <v>87</v>
      </c>
      <c r="K8">
        <f t="shared" si="1"/>
        <v>97</v>
      </c>
    </row>
    <row r="9" spans="2:11" x14ac:dyDescent="0.25">
      <c r="B9">
        <v>8</v>
      </c>
      <c r="C9">
        <f t="shared" si="1"/>
        <v>18</v>
      </c>
      <c r="D9">
        <f t="shared" si="1"/>
        <v>28</v>
      </c>
      <c r="E9">
        <f t="shared" si="1"/>
        <v>38</v>
      </c>
      <c r="F9">
        <f t="shared" si="1"/>
        <v>48</v>
      </c>
      <c r="G9">
        <f t="shared" si="1"/>
        <v>58</v>
      </c>
      <c r="H9">
        <f t="shared" si="1"/>
        <v>68</v>
      </c>
      <c r="I9">
        <f t="shared" si="1"/>
        <v>78</v>
      </c>
      <c r="J9">
        <f t="shared" si="1"/>
        <v>88</v>
      </c>
      <c r="K9">
        <f t="shared" si="1"/>
        <v>98</v>
      </c>
    </row>
    <row r="10" spans="2:11" x14ac:dyDescent="0.25">
      <c r="B10">
        <v>9</v>
      </c>
      <c r="C10">
        <f t="shared" si="1"/>
        <v>19</v>
      </c>
      <c r="D10">
        <f t="shared" si="1"/>
        <v>29</v>
      </c>
      <c r="E10">
        <f t="shared" si="1"/>
        <v>39</v>
      </c>
      <c r="F10">
        <f t="shared" si="1"/>
        <v>49</v>
      </c>
      <c r="G10">
        <f t="shared" si="1"/>
        <v>59</v>
      </c>
      <c r="H10">
        <f t="shared" si="1"/>
        <v>69</v>
      </c>
      <c r="I10">
        <f t="shared" si="1"/>
        <v>79</v>
      </c>
      <c r="J10">
        <f t="shared" si="1"/>
        <v>89</v>
      </c>
      <c r="K10">
        <f t="shared" si="1"/>
        <v>99</v>
      </c>
    </row>
    <row r="11" spans="2:11" x14ac:dyDescent="0.25">
      <c r="B11">
        <v>10</v>
      </c>
      <c r="C11">
        <f t="shared" si="1"/>
        <v>20</v>
      </c>
      <c r="D11">
        <f t="shared" si="1"/>
        <v>30</v>
      </c>
      <c r="E11">
        <f t="shared" si="1"/>
        <v>40</v>
      </c>
      <c r="F11">
        <f t="shared" si="1"/>
        <v>50</v>
      </c>
      <c r="G11">
        <f t="shared" si="1"/>
        <v>60</v>
      </c>
      <c r="H11">
        <f t="shared" si="1"/>
        <v>70</v>
      </c>
      <c r="I11">
        <f t="shared" si="1"/>
        <v>80</v>
      </c>
      <c r="J11">
        <f t="shared" si="1"/>
        <v>90</v>
      </c>
      <c r="K11">
        <f t="shared" si="1"/>
        <v>100</v>
      </c>
    </row>
  </sheetData>
  <conditionalFormatting sqref="B2:K11">
    <cfRule type="expression" dxfId="2" priority="1">
      <formula>"mod(B2:1,3) = 0"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AF33"/>
  <sheetViews>
    <sheetView workbookViewId="0"/>
  </sheetViews>
  <sheetFormatPr defaultColWidth="6.140625" defaultRowHeight="15" x14ac:dyDescent="0.25"/>
  <sheetData>
    <row r="2" spans="1:32" x14ac:dyDescent="0.25">
      <c r="A2">
        <f>MODE(C4:AF33)</f>
        <v>1729</v>
      </c>
    </row>
    <row r="3" spans="1:32" x14ac:dyDescent="0.25">
      <c r="B3" s="6"/>
      <c r="C3" s="4">
        <v>1</v>
      </c>
      <c r="D3" s="4">
        <v>2</v>
      </c>
      <c r="E3" s="4">
        <v>3</v>
      </c>
      <c r="F3" s="4">
        <v>4</v>
      </c>
      <c r="G3" s="4">
        <v>5</v>
      </c>
      <c r="H3" s="4">
        <v>6</v>
      </c>
      <c r="I3" s="4">
        <v>7</v>
      </c>
      <c r="J3" s="4">
        <v>8</v>
      </c>
      <c r="K3" s="4">
        <v>9</v>
      </c>
      <c r="L3" s="4">
        <v>10</v>
      </c>
      <c r="M3" s="4">
        <v>11</v>
      </c>
      <c r="N3" s="4">
        <v>12</v>
      </c>
      <c r="O3" s="4">
        <v>13</v>
      </c>
      <c r="P3" s="4">
        <v>14</v>
      </c>
      <c r="Q3" s="4">
        <v>15</v>
      </c>
      <c r="R3" s="4">
        <v>16</v>
      </c>
      <c r="S3" s="4">
        <v>17</v>
      </c>
      <c r="T3" s="4">
        <v>18</v>
      </c>
      <c r="U3" s="4">
        <v>19</v>
      </c>
      <c r="V3" s="4">
        <v>20</v>
      </c>
      <c r="W3" s="4">
        <v>21</v>
      </c>
      <c r="X3" s="4">
        <v>22</v>
      </c>
      <c r="Y3" s="4">
        <v>23</v>
      </c>
      <c r="Z3" s="4">
        <v>24</v>
      </c>
      <c r="AA3" s="4">
        <v>25</v>
      </c>
      <c r="AB3" s="4">
        <v>26</v>
      </c>
      <c r="AC3" s="4">
        <v>27</v>
      </c>
      <c r="AD3" s="4">
        <v>28</v>
      </c>
      <c r="AE3" s="4">
        <v>29</v>
      </c>
      <c r="AF3" s="4">
        <v>30</v>
      </c>
    </row>
    <row r="4" spans="1:32" x14ac:dyDescent="0.25">
      <c r="B4" s="5">
        <v>1</v>
      </c>
      <c r="C4">
        <f xml:space="preserve"> x^3 + y^3</f>
        <v>2</v>
      </c>
      <c r="D4">
        <f xml:space="preserve"> x^3 + y^3</f>
        <v>9</v>
      </c>
      <c r="E4">
        <f xml:space="preserve"> x^3 + y^3</f>
        <v>28</v>
      </c>
      <c r="F4">
        <f xml:space="preserve"> x^3 + y^3</f>
        <v>65</v>
      </c>
      <c r="G4">
        <f xml:space="preserve"> x^3 + y^3</f>
        <v>126</v>
      </c>
      <c r="H4">
        <f xml:space="preserve"> x^3 + y^3</f>
        <v>217</v>
      </c>
      <c r="I4">
        <f xml:space="preserve"> x^3 + y^3</f>
        <v>344</v>
      </c>
      <c r="J4">
        <f xml:space="preserve"> x^3 + y^3</f>
        <v>513</v>
      </c>
      <c r="K4">
        <f xml:space="preserve"> x^3 + y^3</f>
        <v>730</v>
      </c>
      <c r="L4">
        <f xml:space="preserve"> x^3 + y^3</f>
        <v>1001</v>
      </c>
      <c r="M4">
        <f xml:space="preserve"> x^3 + y^3</f>
        <v>1332</v>
      </c>
      <c r="N4">
        <f xml:space="preserve"> x^3 + y^3</f>
        <v>1729</v>
      </c>
      <c r="O4">
        <f xml:space="preserve"> x^3 + y^3</f>
        <v>2198</v>
      </c>
      <c r="P4">
        <f xml:space="preserve"> x^3 + y^3</f>
        <v>2745</v>
      </c>
      <c r="Q4">
        <f xml:space="preserve"> x^3 + y^3</f>
        <v>3376</v>
      </c>
      <c r="R4">
        <f xml:space="preserve"> x^3 + y^3</f>
        <v>4097</v>
      </c>
      <c r="S4">
        <f xml:space="preserve"> x^3 + y^3</f>
        <v>4914</v>
      </c>
      <c r="T4">
        <f xml:space="preserve"> x^3 + y^3</f>
        <v>5833</v>
      </c>
      <c r="U4">
        <f xml:space="preserve"> x^3 + y^3</f>
        <v>6860</v>
      </c>
      <c r="V4">
        <f xml:space="preserve"> x^3 + y^3</f>
        <v>8001</v>
      </c>
      <c r="W4">
        <f xml:space="preserve"> x^3 + y^3</f>
        <v>9262</v>
      </c>
      <c r="X4">
        <f xml:space="preserve"> x^3 + y^3</f>
        <v>10649</v>
      </c>
      <c r="Y4">
        <f xml:space="preserve"> x^3 + y^3</f>
        <v>12168</v>
      </c>
      <c r="Z4">
        <f xml:space="preserve"> x^3 + y^3</f>
        <v>13825</v>
      </c>
      <c r="AA4">
        <f xml:space="preserve"> x^3 + y^3</f>
        <v>15626</v>
      </c>
      <c r="AB4">
        <f xml:space="preserve"> x^3 + y^3</f>
        <v>17577</v>
      </c>
      <c r="AC4">
        <f xml:space="preserve"> x^3 + y^3</f>
        <v>19684</v>
      </c>
      <c r="AD4">
        <f xml:space="preserve"> x^3 + y^3</f>
        <v>21953</v>
      </c>
      <c r="AE4">
        <f xml:space="preserve"> x^3 + y^3</f>
        <v>24390</v>
      </c>
      <c r="AF4">
        <f xml:space="preserve"> x^3 + y^3</f>
        <v>27001</v>
      </c>
    </row>
    <row r="5" spans="1:32" x14ac:dyDescent="0.25">
      <c r="B5" s="5">
        <v>2</v>
      </c>
      <c r="C5">
        <f xml:space="preserve"> x^3 + y^3</f>
        <v>9</v>
      </c>
      <c r="D5">
        <f xml:space="preserve"> x^3 + y^3</f>
        <v>16</v>
      </c>
      <c r="E5">
        <f xml:space="preserve"> x^3 + y^3</f>
        <v>35</v>
      </c>
      <c r="F5">
        <f xml:space="preserve"> x^3 + y^3</f>
        <v>72</v>
      </c>
      <c r="G5">
        <f xml:space="preserve"> x^3 + y^3</f>
        <v>133</v>
      </c>
      <c r="H5">
        <f xml:space="preserve"> x^3 + y^3</f>
        <v>224</v>
      </c>
      <c r="I5">
        <f xml:space="preserve"> x^3 + y^3</f>
        <v>351</v>
      </c>
      <c r="J5">
        <f xml:space="preserve"> x^3 + y^3</f>
        <v>520</v>
      </c>
      <c r="K5">
        <f xml:space="preserve"> x^3 + y^3</f>
        <v>737</v>
      </c>
      <c r="L5">
        <f xml:space="preserve"> x^3 + y^3</f>
        <v>1008</v>
      </c>
      <c r="M5">
        <f xml:space="preserve"> x^3 + y^3</f>
        <v>1339</v>
      </c>
      <c r="N5">
        <f xml:space="preserve"> x^3 + y^3</f>
        <v>1736</v>
      </c>
      <c r="O5">
        <f xml:space="preserve"> x^3 + y^3</f>
        <v>2205</v>
      </c>
      <c r="P5">
        <f xml:space="preserve"> x^3 + y^3</f>
        <v>2752</v>
      </c>
      <c r="Q5">
        <f xml:space="preserve"> x^3 + y^3</f>
        <v>3383</v>
      </c>
      <c r="R5">
        <f xml:space="preserve"> x^3 + y^3</f>
        <v>4104</v>
      </c>
      <c r="S5">
        <f xml:space="preserve"> x^3 + y^3</f>
        <v>4921</v>
      </c>
      <c r="T5">
        <f xml:space="preserve"> x^3 + y^3</f>
        <v>5840</v>
      </c>
      <c r="U5">
        <f xml:space="preserve"> x^3 + y^3</f>
        <v>6867</v>
      </c>
      <c r="V5">
        <f xml:space="preserve"> x^3 + y^3</f>
        <v>8008</v>
      </c>
      <c r="W5">
        <f xml:space="preserve"> x^3 + y^3</f>
        <v>9269</v>
      </c>
      <c r="X5">
        <f xml:space="preserve"> x^3 + y^3</f>
        <v>10656</v>
      </c>
      <c r="Y5">
        <f xml:space="preserve"> x^3 + y^3</f>
        <v>12175</v>
      </c>
      <c r="Z5">
        <f xml:space="preserve"> x^3 + y^3</f>
        <v>13832</v>
      </c>
      <c r="AA5">
        <f xml:space="preserve"> x^3 + y^3</f>
        <v>15633</v>
      </c>
      <c r="AB5">
        <f xml:space="preserve"> x^3 + y^3</f>
        <v>17584</v>
      </c>
      <c r="AC5">
        <f xml:space="preserve"> x^3 + y^3</f>
        <v>19691</v>
      </c>
      <c r="AD5">
        <f xml:space="preserve"> x^3 + y^3</f>
        <v>21960</v>
      </c>
      <c r="AE5">
        <f xml:space="preserve"> x^3 + y^3</f>
        <v>24397</v>
      </c>
      <c r="AF5">
        <f xml:space="preserve"> x^3 + y^3</f>
        <v>27008</v>
      </c>
    </row>
    <row r="6" spans="1:32" x14ac:dyDescent="0.25">
      <c r="B6" s="5">
        <v>3</v>
      </c>
      <c r="C6">
        <f xml:space="preserve"> x^3 + y^3</f>
        <v>28</v>
      </c>
      <c r="D6">
        <f xml:space="preserve"> x^3 + y^3</f>
        <v>35</v>
      </c>
      <c r="E6">
        <f xml:space="preserve"> x^3 + y^3</f>
        <v>54</v>
      </c>
      <c r="F6">
        <f xml:space="preserve"> x^3 + y^3</f>
        <v>91</v>
      </c>
      <c r="G6">
        <f xml:space="preserve"> x^3 + y^3</f>
        <v>152</v>
      </c>
      <c r="H6">
        <f xml:space="preserve"> x^3 + y^3</f>
        <v>243</v>
      </c>
      <c r="I6">
        <f xml:space="preserve"> x^3 + y^3</f>
        <v>370</v>
      </c>
      <c r="J6">
        <f xml:space="preserve"> x^3 + y^3</f>
        <v>539</v>
      </c>
      <c r="K6">
        <f xml:space="preserve"> x^3 + y^3</f>
        <v>756</v>
      </c>
      <c r="L6">
        <f xml:space="preserve"> x^3 + y^3</f>
        <v>1027</v>
      </c>
      <c r="M6">
        <f xml:space="preserve"> x^3 + y^3</f>
        <v>1358</v>
      </c>
      <c r="N6">
        <f xml:space="preserve"> x^3 + y^3</f>
        <v>1755</v>
      </c>
      <c r="O6">
        <f xml:space="preserve"> x^3 + y^3</f>
        <v>2224</v>
      </c>
      <c r="P6">
        <f xml:space="preserve"> x^3 + y^3</f>
        <v>2771</v>
      </c>
      <c r="Q6">
        <f xml:space="preserve"> x^3 + y^3</f>
        <v>3402</v>
      </c>
      <c r="R6">
        <f xml:space="preserve"> x^3 + y^3</f>
        <v>4123</v>
      </c>
      <c r="S6">
        <f xml:space="preserve"> x^3 + y^3</f>
        <v>4940</v>
      </c>
      <c r="T6">
        <f xml:space="preserve"> x^3 + y^3</f>
        <v>5859</v>
      </c>
      <c r="U6">
        <f xml:space="preserve"> x^3 + y^3</f>
        <v>6886</v>
      </c>
      <c r="V6">
        <f xml:space="preserve"> x^3 + y^3</f>
        <v>8027</v>
      </c>
      <c r="W6">
        <f xml:space="preserve"> x^3 + y^3</f>
        <v>9288</v>
      </c>
      <c r="X6">
        <f xml:space="preserve"> x^3 + y^3</f>
        <v>10675</v>
      </c>
      <c r="Y6">
        <f xml:space="preserve"> x^3 + y^3</f>
        <v>12194</v>
      </c>
      <c r="Z6">
        <f xml:space="preserve"> x^3 + y^3</f>
        <v>13851</v>
      </c>
      <c r="AA6">
        <f xml:space="preserve"> x^3 + y^3</f>
        <v>15652</v>
      </c>
      <c r="AB6">
        <f xml:space="preserve"> x^3 + y^3</f>
        <v>17603</v>
      </c>
      <c r="AC6">
        <f xml:space="preserve"> x^3 + y^3</f>
        <v>19710</v>
      </c>
      <c r="AD6">
        <f xml:space="preserve"> x^3 + y^3</f>
        <v>21979</v>
      </c>
      <c r="AE6">
        <f xml:space="preserve"> x^3 + y^3</f>
        <v>24416</v>
      </c>
      <c r="AF6">
        <f xml:space="preserve"> x^3 + y^3</f>
        <v>27027</v>
      </c>
    </row>
    <row r="7" spans="1:32" x14ac:dyDescent="0.25">
      <c r="B7" s="5">
        <v>4</v>
      </c>
      <c r="C7">
        <f xml:space="preserve"> x^3 + y^3</f>
        <v>65</v>
      </c>
      <c r="D7">
        <f xml:space="preserve"> x^3 + y^3</f>
        <v>72</v>
      </c>
      <c r="E7">
        <f xml:space="preserve"> x^3 + y^3</f>
        <v>91</v>
      </c>
      <c r="F7">
        <f xml:space="preserve"> x^3 + y^3</f>
        <v>128</v>
      </c>
      <c r="G7">
        <f xml:space="preserve"> x^3 + y^3</f>
        <v>189</v>
      </c>
      <c r="H7">
        <f xml:space="preserve"> x^3 + y^3</f>
        <v>280</v>
      </c>
      <c r="I7">
        <f xml:space="preserve"> x^3 + y^3</f>
        <v>407</v>
      </c>
      <c r="J7">
        <f xml:space="preserve"> x^3 + y^3</f>
        <v>576</v>
      </c>
      <c r="K7">
        <f xml:space="preserve"> x^3 + y^3</f>
        <v>793</v>
      </c>
      <c r="L7">
        <f xml:space="preserve"> x^3 + y^3</f>
        <v>1064</v>
      </c>
      <c r="M7">
        <f xml:space="preserve"> x^3 + y^3</f>
        <v>1395</v>
      </c>
      <c r="N7">
        <f xml:space="preserve"> x^3 + y^3</f>
        <v>1792</v>
      </c>
      <c r="O7">
        <f xml:space="preserve"> x^3 + y^3</f>
        <v>2261</v>
      </c>
      <c r="P7">
        <f xml:space="preserve"> x^3 + y^3</f>
        <v>2808</v>
      </c>
      <c r="Q7">
        <f xml:space="preserve"> x^3 + y^3</f>
        <v>3439</v>
      </c>
      <c r="R7">
        <f xml:space="preserve"> x^3 + y^3</f>
        <v>4160</v>
      </c>
      <c r="S7">
        <f xml:space="preserve"> x^3 + y^3</f>
        <v>4977</v>
      </c>
      <c r="T7">
        <f xml:space="preserve"> x^3 + y^3</f>
        <v>5896</v>
      </c>
      <c r="U7">
        <f xml:space="preserve"> x^3 + y^3</f>
        <v>6923</v>
      </c>
      <c r="V7">
        <f xml:space="preserve"> x^3 + y^3</f>
        <v>8064</v>
      </c>
      <c r="W7">
        <f xml:space="preserve"> x^3 + y^3</f>
        <v>9325</v>
      </c>
      <c r="X7">
        <f xml:space="preserve"> x^3 + y^3</f>
        <v>10712</v>
      </c>
      <c r="Y7">
        <f xml:space="preserve"> x^3 + y^3</f>
        <v>12231</v>
      </c>
      <c r="Z7">
        <f xml:space="preserve"> x^3 + y^3</f>
        <v>13888</v>
      </c>
      <c r="AA7">
        <f xml:space="preserve"> x^3 + y^3</f>
        <v>15689</v>
      </c>
      <c r="AB7">
        <f xml:space="preserve"> x^3 + y^3</f>
        <v>17640</v>
      </c>
      <c r="AC7">
        <f xml:space="preserve"> x^3 + y^3</f>
        <v>19747</v>
      </c>
      <c r="AD7">
        <f xml:space="preserve"> x^3 + y^3</f>
        <v>22016</v>
      </c>
      <c r="AE7">
        <f xml:space="preserve"> x^3 + y^3</f>
        <v>24453</v>
      </c>
      <c r="AF7">
        <f xml:space="preserve"> x^3 + y^3</f>
        <v>27064</v>
      </c>
    </row>
    <row r="8" spans="1:32" x14ac:dyDescent="0.25">
      <c r="B8" s="5">
        <v>5</v>
      </c>
      <c r="C8">
        <f xml:space="preserve"> x^3 + y^3</f>
        <v>126</v>
      </c>
      <c r="D8">
        <f xml:space="preserve"> x^3 + y^3</f>
        <v>133</v>
      </c>
      <c r="E8">
        <f xml:space="preserve"> x^3 + y^3</f>
        <v>152</v>
      </c>
      <c r="F8">
        <f xml:space="preserve"> x^3 + y^3</f>
        <v>189</v>
      </c>
      <c r="G8">
        <f xml:space="preserve"> x^3 + y^3</f>
        <v>250</v>
      </c>
      <c r="H8">
        <f xml:space="preserve"> x^3 + y^3</f>
        <v>341</v>
      </c>
      <c r="I8">
        <f xml:space="preserve"> x^3 + y^3</f>
        <v>468</v>
      </c>
      <c r="J8">
        <f xml:space="preserve"> x^3 + y^3</f>
        <v>637</v>
      </c>
      <c r="K8">
        <f xml:space="preserve"> x^3 + y^3</f>
        <v>854</v>
      </c>
      <c r="L8">
        <f xml:space="preserve"> x^3 + y^3</f>
        <v>1125</v>
      </c>
      <c r="M8">
        <f xml:space="preserve"> x^3 + y^3</f>
        <v>1456</v>
      </c>
      <c r="N8">
        <f xml:space="preserve"> x^3 + y^3</f>
        <v>1853</v>
      </c>
      <c r="O8">
        <f xml:space="preserve"> x^3 + y^3</f>
        <v>2322</v>
      </c>
      <c r="P8">
        <f xml:space="preserve"> x^3 + y^3</f>
        <v>2869</v>
      </c>
      <c r="Q8">
        <f xml:space="preserve"> x^3 + y^3</f>
        <v>3500</v>
      </c>
      <c r="R8">
        <f xml:space="preserve"> x^3 + y^3</f>
        <v>4221</v>
      </c>
      <c r="S8">
        <f xml:space="preserve"> x^3 + y^3</f>
        <v>5038</v>
      </c>
      <c r="T8">
        <f xml:space="preserve"> x^3 + y^3</f>
        <v>5957</v>
      </c>
      <c r="U8">
        <f xml:space="preserve"> x^3 + y^3</f>
        <v>6984</v>
      </c>
      <c r="V8">
        <f xml:space="preserve"> x^3 + y^3</f>
        <v>8125</v>
      </c>
      <c r="W8">
        <f xml:space="preserve"> x^3 + y^3</f>
        <v>9386</v>
      </c>
      <c r="X8">
        <f xml:space="preserve"> x^3 + y^3</f>
        <v>10773</v>
      </c>
      <c r="Y8">
        <f xml:space="preserve"> x^3 + y^3</f>
        <v>12292</v>
      </c>
      <c r="Z8">
        <f xml:space="preserve"> x^3 + y^3</f>
        <v>13949</v>
      </c>
      <c r="AA8">
        <f xml:space="preserve"> x^3 + y^3</f>
        <v>15750</v>
      </c>
      <c r="AB8">
        <f xml:space="preserve"> x^3 + y^3</f>
        <v>17701</v>
      </c>
      <c r="AC8">
        <f xml:space="preserve"> x^3 + y^3</f>
        <v>19808</v>
      </c>
      <c r="AD8">
        <f xml:space="preserve"> x^3 + y^3</f>
        <v>22077</v>
      </c>
      <c r="AE8">
        <f xml:space="preserve"> x^3 + y^3</f>
        <v>24514</v>
      </c>
      <c r="AF8">
        <f xml:space="preserve"> x^3 + y^3</f>
        <v>27125</v>
      </c>
    </row>
    <row r="9" spans="1:32" x14ac:dyDescent="0.25">
      <c r="B9" s="5">
        <v>6</v>
      </c>
      <c r="C9">
        <f xml:space="preserve"> x^3 + y^3</f>
        <v>217</v>
      </c>
      <c r="D9">
        <f xml:space="preserve"> x^3 + y^3</f>
        <v>224</v>
      </c>
      <c r="E9">
        <f xml:space="preserve"> x^3 + y^3</f>
        <v>243</v>
      </c>
      <c r="F9">
        <f xml:space="preserve"> x^3 + y^3</f>
        <v>280</v>
      </c>
      <c r="G9">
        <f xml:space="preserve"> x^3 + y^3</f>
        <v>341</v>
      </c>
      <c r="H9">
        <f xml:space="preserve"> x^3 + y^3</f>
        <v>432</v>
      </c>
      <c r="I9">
        <f xml:space="preserve"> x^3 + y^3</f>
        <v>559</v>
      </c>
      <c r="J9">
        <f xml:space="preserve"> x^3 + y^3</f>
        <v>728</v>
      </c>
      <c r="K9">
        <f xml:space="preserve"> x^3 + y^3</f>
        <v>945</v>
      </c>
      <c r="L9">
        <f xml:space="preserve"> x^3 + y^3</f>
        <v>1216</v>
      </c>
      <c r="M9">
        <f xml:space="preserve"> x^3 + y^3</f>
        <v>1547</v>
      </c>
      <c r="N9">
        <f xml:space="preserve"> x^3 + y^3</f>
        <v>1944</v>
      </c>
      <c r="O9">
        <f xml:space="preserve"> x^3 + y^3</f>
        <v>2413</v>
      </c>
      <c r="P9">
        <f xml:space="preserve"> x^3 + y^3</f>
        <v>2960</v>
      </c>
      <c r="Q9">
        <f xml:space="preserve"> x^3 + y^3</f>
        <v>3591</v>
      </c>
      <c r="R9">
        <f xml:space="preserve"> x^3 + y^3</f>
        <v>4312</v>
      </c>
      <c r="S9">
        <f xml:space="preserve"> x^3 + y^3</f>
        <v>5129</v>
      </c>
      <c r="T9">
        <f xml:space="preserve"> x^3 + y^3</f>
        <v>6048</v>
      </c>
      <c r="U9">
        <f xml:space="preserve"> x^3 + y^3</f>
        <v>7075</v>
      </c>
      <c r="V9">
        <f xml:space="preserve"> x^3 + y^3</f>
        <v>8216</v>
      </c>
      <c r="W9">
        <f xml:space="preserve"> x^3 + y^3</f>
        <v>9477</v>
      </c>
      <c r="X9">
        <f xml:space="preserve"> x^3 + y^3</f>
        <v>10864</v>
      </c>
      <c r="Y9">
        <f xml:space="preserve"> x^3 + y^3</f>
        <v>12383</v>
      </c>
      <c r="Z9">
        <f xml:space="preserve"> x^3 + y^3</f>
        <v>14040</v>
      </c>
      <c r="AA9">
        <f xml:space="preserve"> x^3 + y^3</f>
        <v>15841</v>
      </c>
      <c r="AB9">
        <f xml:space="preserve"> x^3 + y^3</f>
        <v>17792</v>
      </c>
      <c r="AC9">
        <f xml:space="preserve"> x^3 + y^3</f>
        <v>19899</v>
      </c>
      <c r="AD9">
        <f xml:space="preserve"> x^3 + y^3</f>
        <v>22168</v>
      </c>
      <c r="AE9">
        <f xml:space="preserve"> x^3 + y^3</f>
        <v>24605</v>
      </c>
      <c r="AF9">
        <f xml:space="preserve"> x^3 + y^3</f>
        <v>27216</v>
      </c>
    </row>
    <row r="10" spans="1:32" x14ac:dyDescent="0.25">
      <c r="B10" s="5">
        <v>7</v>
      </c>
      <c r="C10">
        <f xml:space="preserve"> x^3 + y^3</f>
        <v>344</v>
      </c>
      <c r="D10">
        <f xml:space="preserve"> x^3 + y^3</f>
        <v>351</v>
      </c>
      <c r="E10">
        <f xml:space="preserve"> x^3 + y^3</f>
        <v>370</v>
      </c>
      <c r="F10">
        <f xml:space="preserve"> x^3 + y^3</f>
        <v>407</v>
      </c>
      <c r="G10">
        <f xml:space="preserve"> x^3 + y^3</f>
        <v>468</v>
      </c>
      <c r="H10">
        <f xml:space="preserve"> x^3 + y^3</f>
        <v>559</v>
      </c>
      <c r="I10">
        <f xml:space="preserve"> x^3 + y^3</f>
        <v>686</v>
      </c>
      <c r="J10">
        <f xml:space="preserve"> x^3 + y^3</f>
        <v>855</v>
      </c>
      <c r="K10">
        <f xml:space="preserve"> x^3 + y^3</f>
        <v>1072</v>
      </c>
      <c r="L10">
        <f xml:space="preserve"> x^3 + y^3</f>
        <v>1343</v>
      </c>
      <c r="M10">
        <f xml:space="preserve"> x^3 + y^3</f>
        <v>1674</v>
      </c>
      <c r="N10">
        <f xml:space="preserve"> x^3 + y^3</f>
        <v>2071</v>
      </c>
      <c r="O10">
        <f xml:space="preserve"> x^3 + y^3</f>
        <v>2540</v>
      </c>
      <c r="P10">
        <f xml:space="preserve"> x^3 + y^3</f>
        <v>3087</v>
      </c>
      <c r="Q10">
        <f xml:space="preserve"> x^3 + y^3</f>
        <v>3718</v>
      </c>
      <c r="R10">
        <f xml:space="preserve"> x^3 + y^3</f>
        <v>4439</v>
      </c>
      <c r="S10">
        <f xml:space="preserve"> x^3 + y^3</f>
        <v>5256</v>
      </c>
      <c r="T10">
        <f xml:space="preserve"> x^3 + y^3</f>
        <v>6175</v>
      </c>
      <c r="U10">
        <f xml:space="preserve"> x^3 + y^3</f>
        <v>7202</v>
      </c>
      <c r="V10">
        <f xml:space="preserve"> x^3 + y^3</f>
        <v>8343</v>
      </c>
      <c r="W10">
        <f xml:space="preserve"> x^3 + y^3</f>
        <v>9604</v>
      </c>
      <c r="X10">
        <f xml:space="preserve"> x^3 + y^3</f>
        <v>10991</v>
      </c>
      <c r="Y10">
        <f xml:space="preserve"> x^3 + y^3</f>
        <v>12510</v>
      </c>
      <c r="Z10">
        <f xml:space="preserve"> x^3 + y^3</f>
        <v>14167</v>
      </c>
      <c r="AA10">
        <f xml:space="preserve"> x^3 + y^3</f>
        <v>15968</v>
      </c>
      <c r="AB10">
        <f xml:space="preserve"> x^3 + y^3</f>
        <v>17919</v>
      </c>
      <c r="AC10">
        <f xml:space="preserve"> x^3 + y^3</f>
        <v>20026</v>
      </c>
      <c r="AD10">
        <f xml:space="preserve"> x^3 + y^3</f>
        <v>22295</v>
      </c>
      <c r="AE10">
        <f xml:space="preserve"> x^3 + y^3</f>
        <v>24732</v>
      </c>
      <c r="AF10">
        <f xml:space="preserve"> x^3 + y^3</f>
        <v>27343</v>
      </c>
    </row>
    <row r="11" spans="1:32" x14ac:dyDescent="0.25">
      <c r="B11" s="5">
        <v>8</v>
      </c>
      <c r="C11">
        <f xml:space="preserve"> x^3 + y^3</f>
        <v>513</v>
      </c>
      <c r="D11">
        <f xml:space="preserve"> x^3 + y^3</f>
        <v>520</v>
      </c>
      <c r="E11">
        <f xml:space="preserve"> x^3 + y^3</f>
        <v>539</v>
      </c>
      <c r="F11">
        <f xml:space="preserve"> x^3 + y^3</f>
        <v>576</v>
      </c>
      <c r="G11">
        <f xml:space="preserve"> x^3 + y^3</f>
        <v>637</v>
      </c>
      <c r="H11">
        <f xml:space="preserve"> x^3 + y^3</f>
        <v>728</v>
      </c>
      <c r="I11">
        <f xml:space="preserve"> x^3 + y^3</f>
        <v>855</v>
      </c>
      <c r="J11">
        <f xml:space="preserve"> x^3 + y^3</f>
        <v>1024</v>
      </c>
      <c r="K11">
        <f xml:space="preserve"> x^3 + y^3</f>
        <v>1241</v>
      </c>
      <c r="L11">
        <f xml:space="preserve"> x^3 + y^3</f>
        <v>1512</v>
      </c>
      <c r="M11">
        <f xml:space="preserve"> x^3 + y^3</f>
        <v>1843</v>
      </c>
      <c r="N11">
        <f xml:space="preserve"> x^3 + y^3</f>
        <v>2240</v>
      </c>
      <c r="O11">
        <f xml:space="preserve"> x^3 + y^3</f>
        <v>2709</v>
      </c>
      <c r="P11">
        <f xml:space="preserve"> x^3 + y^3</f>
        <v>3256</v>
      </c>
      <c r="Q11">
        <f xml:space="preserve"> x^3 + y^3</f>
        <v>3887</v>
      </c>
      <c r="R11">
        <f xml:space="preserve"> x^3 + y^3</f>
        <v>4608</v>
      </c>
      <c r="S11">
        <f xml:space="preserve"> x^3 + y^3</f>
        <v>5425</v>
      </c>
      <c r="T11">
        <f xml:space="preserve"> x^3 + y^3</f>
        <v>6344</v>
      </c>
      <c r="U11">
        <f xml:space="preserve"> x^3 + y^3</f>
        <v>7371</v>
      </c>
      <c r="V11">
        <f xml:space="preserve"> x^3 + y^3</f>
        <v>8512</v>
      </c>
      <c r="W11">
        <f xml:space="preserve"> x^3 + y^3</f>
        <v>9773</v>
      </c>
      <c r="X11">
        <f xml:space="preserve"> x^3 + y^3</f>
        <v>11160</v>
      </c>
      <c r="Y11">
        <f xml:space="preserve"> x^3 + y^3</f>
        <v>12679</v>
      </c>
      <c r="Z11">
        <f xml:space="preserve"> x^3 + y^3</f>
        <v>14336</v>
      </c>
      <c r="AA11">
        <f xml:space="preserve"> x^3 + y^3</f>
        <v>16137</v>
      </c>
      <c r="AB11">
        <f xml:space="preserve"> x^3 + y^3</f>
        <v>18088</v>
      </c>
      <c r="AC11">
        <f xml:space="preserve"> x^3 + y^3</f>
        <v>20195</v>
      </c>
      <c r="AD11">
        <f xml:space="preserve"> x^3 + y^3</f>
        <v>22464</v>
      </c>
      <c r="AE11">
        <f xml:space="preserve"> x^3 + y^3</f>
        <v>24901</v>
      </c>
      <c r="AF11">
        <f xml:space="preserve"> x^3 + y^3</f>
        <v>27512</v>
      </c>
    </row>
    <row r="12" spans="1:32" x14ac:dyDescent="0.25">
      <c r="B12" s="5">
        <v>9</v>
      </c>
      <c r="C12">
        <f xml:space="preserve"> x^3 + y^3</f>
        <v>730</v>
      </c>
      <c r="D12">
        <f xml:space="preserve"> x^3 + y^3</f>
        <v>737</v>
      </c>
      <c r="E12">
        <f xml:space="preserve"> x^3 + y^3</f>
        <v>756</v>
      </c>
      <c r="F12">
        <f xml:space="preserve"> x^3 + y^3</f>
        <v>793</v>
      </c>
      <c r="G12">
        <f xml:space="preserve"> x^3 + y^3</f>
        <v>854</v>
      </c>
      <c r="H12">
        <f xml:space="preserve"> x^3 + y^3</f>
        <v>945</v>
      </c>
      <c r="I12">
        <f xml:space="preserve"> x^3 + y^3</f>
        <v>1072</v>
      </c>
      <c r="J12">
        <f xml:space="preserve"> x^3 + y^3</f>
        <v>1241</v>
      </c>
      <c r="K12">
        <f xml:space="preserve"> x^3 + y^3</f>
        <v>1458</v>
      </c>
      <c r="L12">
        <f xml:space="preserve"> x^3 + y^3</f>
        <v>1729</v>
      </c>
      <c r="M12">
        <f xml:space="preserve"> x^3 + y^3</f>
        <v>2060</v>
      </c>
      <c r="N12">
        <f xml:space="preserve"> x^3 + y^3</f>
        <v>2457</v>
      </c>
      <c r="O12">
        <f xml:space="preserve"> x^3 + y^3</f>
        <v>2926</v>
      </c>
      <c r="P12">
        <f xml:space="preserve"> x^3 + y^3</f>
        <v>3473</v>
      </c>
      <c r="Q12">
        <f xml:space="preserve"> x^3 + y^3</f>
        <v>4104</v>
      </c>
      <c r="R12">
        <f xml:space="preserve"> x^3 + y^3</f>
        <v>4825</v>
      </c>
      <c r="S12">
        <f xml:space="preserve"> x^3 + y^3</f>
        <v>5642</v>
      </c>
      <c r="T12">
        <f xml:space="preserve"> x^3 + y^3</f>
        <v>6561</v>
      </c>
      <c r="U12">
        <f xml:space="preserve"> x^3 + y^3</f>
        <v>7588</v>
      </c>
      <c r="V12">
        <f xml:space="preserve"> x^3 + y^3</f>
        <v>8729</v>
      </c>
      <c r="W12">
        <f xml:space="preserve"> x^3 + y^3</f>
        <v>9990</v>
      </c>
      <c r="X12">
        <f xml:space="preserve"> x^3 + y^3</f>
        <v>11377</v>
      </c>
      <c r="Y12">
        <f xml:space="preserve"> x^3 + y^3</f>
        <v>12896</v>
      </c>
      <c r="Z12">
        <f xml:space="preserve"> x^3 + y^3</f>
        <v>14553</v>
      </c>
      <c r="AA12">
        <f xml:space="preserve"> x^3 + y^3</f>
        <v>16354</v>
      </c>
      <c r="AB12">
        <f xml:space="preserve"> x^3 + y^3</f>
        <v>18305</v>
      </c>
      <c r="AC12">
        <f xml:space="preserve"> x^3 + y^3</f>
        <v>20412</v>
      </c>
      <c r="AD12">
        <f xml:space="preserve"> x^3 + y^3</f>
        <v>22681</v>
      </c>
      <c r="AE12">
        <f xml:space="preserve"> x^3 + y^3</f>
        <v>25118</v>
      </c>
      <c r="AF12">
        <f xml:space="preserve"> x^3 + y^3</f>
        <v>27729</v>
      </c>
    </row>
    <row r="13" spans="1:32" x14ac:dyDescent="0.25">
      <c r="B13" s="5">
        <v>10</v>
      </c>
      <c r="C13">
        <f xml:space="preserve"> x^3 + y^3</f>
        <v>1001</v>
      </c>
      <c r="D13">
        <f xml:space="preserve"> x^3 + y^3</f>
        <v>1008</v>
      </c>
      <c r="E13">
        <f xml:space="preserve"> x^3 + y^3</f>
        <v>1027</v>
      </c>
      <c r="F13">
        <f xml:space="preserve"> x^3 + y^3</f>
        <v>1064</v>
      </c>
      <c r="G13">
        <f xml:space="preserve"> x^3 + y^3</f>
        <v>1125</v>
      </c>
      <c r="H13">
        <f xml:space="preserve"> x^3 + y^3</f>
        <v>1216</v>
      </c>
      <c r="I13">
        <f xml:space="preserve"> x^3 + y^3</f>
        <v>1343</v>
      </c>
      <c r="J13">
        <f xml:space="preserve"> x^3 + y^3</f>
        <v>1512</v>
      </c>
      <c r="K13">
        <f xml:space="preserve"> x^3 + y^3</f>
        <v>1729</v>
      </c>
      <c r="L13">
        <f xml:space="preserve"> x^3 + y^3</f>
        <v>2000</v>
      </c>
      <c r="M13">
        <f xml:space="preserve"> x^3 + y^3</f>
        <v>2331</v>
      </c>
      <c r="N13">
        <f xml:space="preserve"> x^3 + y^3</f>
        <v>2728</v>
      </c>
      <c r="O13">
        <f xml:space="preserve"> x^3 + y^3</f>
        <v>3197</v>
      </c>
      <c r="P13">
        <f xml:space="preserve"> x^3 + y^3</f>
        <v>3744</v>
      </c>
      <c r="Q13">
        <f xml:space="preserve"> x^3 + y^3</f>
        <v>4375</v>
      </c>
      <c r="R13">
        <f xml:space="preserve"> x^3 + y^3</f>
        <v>5096</v>
      </c>
      <c r="S13">
        <f xml:space="preserve"> x^3 + y^3</f>
        <v>5913</v>
      </c>
      <c r="T13">
        <f xml:space="preserve"> x^3 + y^3</f>
        <v>6832</v>
      </c>
      <c r="U13">
        <f xml:space="preserve"> x^3 + y^3</f>
        <v>7859</v>
      </c>
      <c r="V13">
        <f xml:space="preserve"> x^3 + y^3</f>
        <v>9000</v>
      </c>
      <c r="W13">
        <f xml:space="preserve"> x^3 + y^3</f>
        <v>10261</v>
      </c>
      <c r="X13">
        <f xml:space="preserve"> x^3 + y^3</f>
        <v>11648</v>
      </c>
      <c r="Y13">
        <f xml:space="preserve"> x^3 + y^3</f>
        <v>13167</v>
      </c>
      <c r="Z13">
        <f xml:space="preserve"> x^3 + y^3</f>
        <v>14824</v>
      </c>
      <c r="AA13">
        <f xml:space="preserve"> x^3 + y^3</f>
        <v>16625</v>
      </c>
      <c r="AB13">
        <f xml:space="preserve"> x^3 + y^3</f>
        <v>18576</v>
      </c>
      <c r="AC13">
        <f xml:space="preserve"> x^3 + y^3</f>
        <v>20683</v>
      </c>
      <c r="AD13">
        <f xml:space="preserve"> x^3 + y^3</f>
        <v>22952</v>
      </c>
      <c r="AE13">
        <f xml:space="preserve"> x^3 + y^3</f>
        <v>25389</v>
      </c>
      <c r="AF13">
        <f xml:space="preserve"> x^3 + y^3</f>
        <v>28000</v>
      </c>
    </row>
    <row r="14" spans="1:32" x14ac:dyDescent="0.25">
      <c r="B14" s="5">
        <v>11</v>
      </c>
      <c r="C14">
        <f xml:space="preserve"> x^3 + y^3</f>
        <v>1332</v>
      </c>
      <c r="D14">
        <f xml:space="preserve"> x^3 + y^3</f>
        <v>1339</v>
      </c>
      <c r="E14">
        <f xml:space="preserve"> x^3 + y^3</f>
        <v>1358</v>
      </c>
      <c r="F14">
        <f xml:space="preserve"> x^3 + y^3</f>
        <v>1395</v>
      </c>
      <c r="G14">
        <f xml:space="preserve"> x^3 + y^3</f>
        <v>1456</v>
      </c>
      <c r="H14">
        <f xml:space="preserve"> x^3 + y^3</f>
        <v>1547</v>
      </c>
      <c r="I14">
        <f xml:space="preserve"> x^3 + y^3</f>
        <v>1674</v>
      </c>
      <c r="J14">
        <f xml:space="preserve"> x^3 + y^3</f>
        <v>1843</v>
      </c>
      <c r="K14">
        <f xml:space="preserve"> x^3 + y^3</f>
        <v>2060</v>
      </c>
      <c r="L14">
        <f xml:space="preserve"> x^3 + y^3</f>
        <v>2331</v>
      </c>
      <c r="M14">
        <f xml:space="preserve"> x^3 + y^3</f>
        <v>2662</v>
      </c>
      <c r="N14">
        <f xml:space="preserve"> x^3 + y^3</f>
        <v>3059</v>
      </c>
      <c r="O14">
        <f xml:space="preserve"> x^3 + y^3</f>
        <v>3528</v>
      </c>
      <c r="P14">
        <f xml:space="preserve"> x^3 + y^3</f>
        <v>4075</v>
      </c>
      <c r="Q14">
        <f xml:space="preserve"> x^3 + y^3</f>
        <v>4706</v>
      </c>
      <c r="R14">
        <f xml:space="preserve"> x^3 + y^3</f>
        <v>5427</v>
      </c>
      <c r="S14">
        <f xml:space="preserve"> x^3 + y^3</f>
        <v>6244</v>
      </c>
      <c r="T14">
        <f xml:space="preserve"> x^3 + y^3</f>
        <v>7163</v>
      </c>
      <c r="U14">
        <f xml:space="preserve"> x^3 + y^3</f>
        <v>8190</v>
      </c>
      <c r="V14">
        <f xml:space="preserve"> x^3 + y^3</f>
        <v>9331</v>
      </c>
      <c r="W14">
        <f xml:space="preserve"> x^3 + y^3</f>
        <v>10592</v>
      </c>
      <c r="X14">
        <f xml:space="preserve"> x^3 + y^3</f>
        <v>11979</v>
      </c>
      <c r="Y14">
        <f xml:space="preserve"> x^3 + y^3</f>
        <v>13498</v>
      </c>
      <c r="Z14">
        <f xml:space="preserve"> x^3 + y^3</f>
        <v>15155</v>
      </c>
      <c r="AA14">
        <f xml:space="preserve"> x^3 + y^3</f>
        <v>16956</v>
      </c>
      <c r="AB14">
        <f xml:space="preserve"> x^3 + y^3</f>
        <v>18907</v>
      </c>
      <c r="AC14">
        <f xml:space="preserve"> x^3 + y^3</f>
        <v>21014</v>
      </c>
      <c r="AD14">
        <f xml:space="preserve"> x^3 + y^3</f>
        <v>23283</v>
      </c>
      <c r="AE14">
        <f xml:space="preserve"> x^3 + y^3</f>
        <v>25720</v>
      </c>
      <c r="AF14">
        <f xml:space="preserve"> x^3 + y^3</f>
        <v>28331</v>
      </c>
    </row>
    <row r="15" spans="1:32" x14ac:dyDescent="0.25">
      <c r="B15" s="5">
        <v>12</v>
      </c>
      <c r="C15">
        <f xml:space="preserve"> x^3 + y^3</f>
        <v>1729</v>
      </c>
      <c r="D15">
        <f xml:space="preserve"> x^3 + y^3</f>
        <v>1736</v>
      </c>
      <c r="E15">
        <f xml:space="preserve"> x^3 + y^3</f>
        <v>1755</v>
      </c>
      <c r="F15">
        <f xml:space="preserve"> x^3 + y^3</f>
        <v>1792</v>
      </c>
      <c r="G15">
        <f xml:space="preserve"> x^3 + y^3</f>
        <v>1853</v>
      </c>
      <c r="H15">
        <f xml:space="preserve"> x^3 + y^3</f>
        <v>1944</v>
      </c>
      <c r="I15">
        <f xml:space="preserve"> x^3 + y^3</f>
        <v>2071</v>
      </c>
      <c r="J15">
        <f xml:space="preserve"> x^3 + y^3</f>
        <v>2240</v>
      </c>
      <c r="K15">
        <f xml:space="preserve"> x^3 + y^3</f>
        <v>2457</v>
      </c>
      <c r="L15">
        <f xml:space="preserve"> x^3 + y^3</f>
        <v>2728</v>
      </c>
      <c r="M15">
        <f xml:space="preserve"> x^3 + y^3</f>
        <v>3059</v>
      </c>
      <c r="N15">
        <f xml:space="preserve"> x^3 + y^3</f>
        <v>3456</v>
      </c>
      <c r="O15">
        <f xml:space="preserve"> x^3 + y^3</f>
        <v>3925</v>
      </c>
      <c r="P15">
        <f xml:space="preserve"> x^3 + y^3</f>
        <v>4472</v>
      </c>
      <c r="Q15">
        <f xml:space="preserve"> x^3 + y^3</f>
        <v>5103</v>
      </c>
      <c r="R15">
        <f xml:space="preserve"> x^3 + y^3</f>
        <v>5824</v>
      </c>
      <c r="S15">
        <f xml:space="preserve"> x^3 + y^3</f>
        <v>6641</v>
      </c>
      <c r="T15">
        <f xml:space="preserve"> x^3 + y^3</f>
        <v>7560</v>
      </c>
      <c r="U15">
        <f xml:space="preserve"> x^3 + y^3</f>
        <v>8587</v>
      </c>
      <c r="V15">
        <f xml:space="preserve"> x^3 + y^3</f>
        <v>9728</v>
      </c>
      <c r="W15">
        <f xml:space="preserve"> x^3 + y^3</f>
        <v>10989</v>
      </c>
      <c r="X15">
        <f xml:space="preserve"> x^3 + y^3</f>
        <v>12376</v>
      </c>
      <c r="Y15">
        <f xml:space="preserve"> x^3 + y^3</f>
        <v>13895</v>
      </c>
      <c r="Z15">
        <f xml:space="preserve"> x^3 + y^3</f>
        <v>15552</v>
      </c>
      <c r="AA15">
        <f xml:space="preserve"> x^3 + y^3</f>
        <v>17353</v>
      </c>
      <c r="AB15">
        <f xml:space="preserve"> x^3 + y^3</f>
        <v>19304</v>
      </c>
      <c r="AC15">
        <f xml:space="preserve"> x^3 + y^3</f>
        <v>21411</v>
      </c>
      <c r="AD15">
        <f xml:space="preserve"> x^3 + y^3</f>
        <v>23680</v>
      </c>
      <c r="AE15">
        <f xml:space="preserve"> x^3 + y^3</f>
        <v>26117</v>
      </c>
      <c r="AF15">
        <f xml:space="preserve"> x^3 + y^3</f>
        <v>28728</v>
      </c>
    </row>
    <row r="16" spans="1:32" x14ac:dyDescent="0.25">
      <c r="B16" s="5">
        <v>13</v>
      </c>
      <c r="C16">
        <f xml:space="preserve"> x^3 + y^3</f>
        <v>2198</v>
      </c>
      <c r="D16">
        <f xml:space="preserve"> x^3 + y^3</f>
        <v>2205</v>
      </c>
      <c r="E16">
        <f xml:space="preserve"> x^3 + y^3</f>
        <v>2224</v>
      </c>
      <c r="F16">
        <f xml:space="preserve"> x^3 + y^3</f>
        <v>2261</v>
      </c>
      <c r="G16">
        <f xml:space="preserve"> x^3 + y^3</f>
        <v>2322</v>
      </c>
      <c r="H16">
        <f xml:space="preserve"> x^3 + y^3</f>
        <v>2413</v>
      </c>
      <c r="I16">
        <f xml:space="preserve"> x^3 + y^3</f>
        <v>2540</v>
      </c>
      <c r="J16">
        <f xml:space="preserve"> x^3 + y^3</f>
        <v>2709</v>
      </c>
      <c r="K16">
        <f xml:space="preserve"> x^3 + y^3</f>
        <v>2926</v>
      </c>
      <c r="L16">
        <f xml:space="preserve"> x^3 + y^3</f>
        <v>3197</v>
      </c>
      <c r="M16">
        <f xml:space="preserve"> x^3 + y^3</f>
        <v>3528</v>
      </c>
      <c r="N16">
        <f xml:space="preserve"> x^3 + y^3</f>
        <v>3925</v>
      </c>
      <c r="O16">
        <f xml:space="preserve"> x^3 + y^3</f>
        <v>4394</v>
      </c>
      <c r="P16">
        <f xml:space="preserve"> x^3 + y^3</f>
        <v>4941</v>
      </c>
      <c r="Q16">
        <f xml:space="preserve"> x^3 + y^3</f>
        <v>5572</v>
      </c>
      <c r="R16">
        <f xml:space="preserve"> x^3 + y^3</f>
        <v>6293</v>
      </c>
      <c r="S16">
        <f xml:space="preserve"> x^3 + y^3</f>
        <v>7110</v>
      </c>
      <c r="T16">
        <f xml:space="preserve"> x^3 + y^3</f>
        <v>8029</v>
      </c>
      <c r="U16">
        <f xml:space="preserve"> x^3 + y^3</f>
        <v>9056</v>
      </c>
      <c r="V16">
        <f xml:space="preserve"> x^3 + y^3</f>
        <v>10197</v>
      </c>
      <c r="W16">
        <f xml:space="preserve"> x^3 + y^3</f>
        <v>11458</v>
      </c>
      <c r="X16">
        <f xml:space="preserve"> x^3 + y^3</f>
        <v>12845</v>
      </c>
      <c r="Y16">
        <f xml:space="preserve"> x^3 + y^3</f>
        <v>14364</v>
      </c>
      <c r="Z16">
        <f xml:space="preserve"> x^3 + y^3</f>
        <v>16021</v>
      </c>
      <c r="AA16">
        <f xml:space="preserve"> x^3 + y^3</f>
        <v>17822</v>
      </c>
      <c r="AB16">
        <f xml:space="preserve"> x^3 + y^3</f>
        <v>19773</v>
      </c>
      <c r="AC16">
        <f xml:space="preserve"> x^3 + y^3</f>
        <v>21880</v>
      </c>
      <c r="AD16">
        <f xml:space="preserve"> x^3 + y^3</f>
        <v>24149</v>
      </c>
      <c r="AE16">
        <f xml:space="preserve"> x^3 + y^3</f>
        <v>26586</v>
      </c>
      <c r="AF16">
        <f xml:space="preserve"> x^3 + y^3</f>
        <v>29197</v>
      </c>
    </row>
    <row r="17" spans="2:32" x14ac:dyDescent="0.25">
      <c r="B17" s="5">
        <v>14</v>
      </c>
      <c r="C17">
        <f xml:space="preserve"> x^3 + y^3</f>
        <v>2745</v>
      </c>
      <c r="D17">
        <f xml:space="preserve"> x^3 + y^3</f>
        <v>2752</v>
      </c>
      <c r="E17">
        <f xml:space="preserve"> x^3 + y^3</f>
        <v>2771</v>
      </c>
      <c r="F17">
        <f xml:space="preserve"> x^3 + y^3</f>
        <v>2808</v>
      </c>
      <c r="G17">
        <f xml:space="preserve"> x^3 + y^3</f>
        <v>2869</v>
      </c>
      <c r="H17">
        <f xml:space="preserve"> x^3 + y^3</f>
        <v>2960</v>
      </c>
      <c r="I17">
        <f xml:space="preserve"> x^3 + y^3</f>
        <v>3087</v>
      </c>
      <c r="J17">
        <f xml:space="preserve"> x^3 + y^3</f>
        <v>3256</v>
      </c>
      <c r="K17">
        <f xml:space="preserve"> x^3 + y^3</f>
        <v>3473</v>
      </c>
      <c r="L17">
        <f xml:space="preserve"> x^3 + y^3</f>
        <v>3744</v>
      </c>
      <c r="M17">
        <f xml:space="preserve"> x^3 + y^3</f>
        <v>4075</v>
      </c>
      <c r="N17">
        <f xml:space="preserve"> x^3 + y^3</f>
        <v>4472</v>
      </c>
      <c r="O17">
        <f xml:space="preserve"> x^3 + y^3</f>
        <v>4941</v>
      </c>
      <c r="P17">
        <f xml:space="preserve"> x^3 + y^3</f>
        <v>5488</v>
      </c>
      <c r="Q17">
        <f xml:space="preserve"> x^3 + y^3</f>
        <v>6119</v>
      </c>
      <c r="R17">
        <f xml:space="preserve"> x^3 + y^3</f>
        <v>6840</v>
      </c>
      <c r="S17">
        <f xml:space="preserve"> x^3 + y^3</f>
        <v>7657</v>
      </c>
      <c r="T17">
        <f xml:space="preserve"> x^3 + y^3</f>
        <v>8576</v>
      </c>
      <c r="U17">
        <f xml:space="preserve"> x^3 + y^3</f>
        <v>9603</v>
      </c>
      <c r="V17">
        <f xml:space="preserve"> x^3 + y^3</f>
        <v>10744</v>
      </c>
      <c r="W17">
        <f xml:space="preserve"> x^3 + y^3</f>
        <v>12005</v>
      </c>
      <c r="X17">
        <f xml:space="preserve"> x^3 + y^3</f>
        <v>13392</v>
      </c>
      <c r="Y17">
        <f xml:space="preserve"> x^3 + y^3</f>
        <v>14911</v>
      </c>
      <c r="Z17">
        <f xml:space="preserve"> x^3 + y^3</f>
        <v>16568</v>
      </c>
      <c r="AA17">
        <f xml:space="preserve"> x^3 + y^3</f>
        <v>18369</v>
      </c>
      <c r="AB17">
        <f xml:space="preserve"> x^3 + y^3</f>
        <v>20320</v>
      </c>
      <c r="AC17">
        <f xml:space="preserve"> x^3 + y^3</f>
        <v>22427</v>
      </c>
      <c r="AD17">
        <f xml:space="preserve"> x^3 + y^3</f>
        <v>24696</v>
      </c>
      <c r="AE17">
        <f xml:space="preserve"> x^3 + y^3</f>
        <v>27133</v>
      </c>
      <c r="AF17">
        <f xml:space="preserve"> x^3 + y^3</f>
        <v>29744</v>
      </c>
    </row>
    <row r="18" spans="2:32" x14ac:dyDescent="0.25">
      <c r="B18" s="5">
        <v>15</v>
      </c>
      <c r="C18">
        <f xml:space="preserve"> x^3 + y^3</f>
        <v>3376</v>
      </c>
      <c r="D18">
        <f xml:space="preserve"> x^3 + y^3</f>
        <v>3383</v>
      </c>
      <c r="E18">
        <f xml:space="preserve"> x^3 + y^3</f>
        <v>3402</v>
      </c>
      <c r="F18">
        <f xml:space="preserve"> x^3 + y^3</f>
        <v>3439</v>
      </c>
      <c r="G18">
        <f xml:space="preserve"> x^3 + y^3</f>
        <v>3500</v>
      </c>
      <c r="H18">
        <f xml:space="preserve"> x^3 + y^3</f>
        <v>3591</v>
      </c>
      <c r="I18">
        <f xml:space="preserve"> x^3 + y^3</f>
        <v>3718</v>
      </c>
      <c r="J18">
        <f xml:space="preserve"> x^3 + y^3</f>
        <v>3887</v>
      </c>
      <c r="K18">
        <f xml:space="preserve"> x^3 + y^3</f>
        <v>4104</v>
      </c>
      <c r="L18">
        <f xml:space="preserve"> x^3 + y^3</f>
        <v>4375</v>
      </c>
      <c r="M18">
        <f xml:space="preserve"> x^3 + y^3</f>
        <v>4706</v>
      </c>
      <c r="N18">
        <f xml:space="preserve"> x^3 + y^3</f>
        <v>5103</v>
      </c>
      <c r="O18">
        <f xml:space="preserve"> x^3 + y^3</f>
        <v>5572</v>
      </c>
      <c r="P18">
        <f xml:space="preserve"> x^3 + y^3</f>
        <v>6119</v>
      </c>
      <c r="Q18">
        <f xml:space="preserve"> x^3 + y^3</f>
        <v>6750</v>
      </c>
      <c r="R18">
        <f xml:space="preserve"> x^3 + y^3</f>
        <v>7471</v>
      </c>
      <c r="S18">
        <f xml:space="preserve"> x^3 + y^3</f>
        <v>8288</v>
      </c>
      <c r="T18">
        <f xml:space="preserve"> x^3 + y^3</f>
        <v>9207</v>
      </c>
      <c r="U18">
        <f xml:space="preserve"> x^3 + y^3</f>
        <v>10234</v>
      </c>
      <c r="V18">
        <f xml:space="preserve"> x^3 + y^3</f>
        <v>11375</v>
      </c>
      <c r="W18">
        <f xml:space="preserve"> x^3 + y^3</f>
        <v>12636</v>
      </c>
      <c r="X18">
        <f xml:space="preserve"> x^3 + y^3</f>
        <v>14023</v>
      </c>
      <c r="Y18">
        <f xml:space="preserve"> x^3 + y^3</f>
        <v>15542</v>
      </c>
      <c r="Z18">
        <f xml:space="preserve"> x^3 + y^3</f>
        <v>17199</v>
      </c>
      <c r="AA18">
        <f xml:space="preserve"> x^3 + y^3</f>
        <v>19000</v>
      </c>
      <c r="AB18">
        <f xml:space="preserve"> x^3 + y^3</f>
        <v>20951</v>
      </c>
      <c r="AC18">
        <f xml:space="preserve"> x^3 + y^3</f>
        <v>23058</v>
      </c>
      <c r="AD18">
        <f xml:space="preserve"> x^3 + y^3</f>
        <v>25327</v>
      </c>
      <c r="AE18">
        <f xml:space="preserve"> x^3 + y^3</f>
        <v>27764</v>
      </c>
      <c r="AF18">
        <f xml:space="preserve"> x^3 + y^3</f>
        <v>30375</v>
      </c>
    </row>
    <row r="19" spans="2:32" x14ac:dyDescent="0.25">
      <c r="B19" s="5">
        <v>16</v>
      </c>
      <c r="C19">
        <f xml:space="preserve"> x^3 + y^3</f>
        <v>4097</v>
      </c>
      <c r="D19">
        <f xml:space="preserve"> x^3 + y^3</f>
        <v>4104</v>
      </c>
      <c r="E19">
        <f xml:space="preserve"> x^3 + y^3</f>
        <v>4123</v>
      </c>
      <c r="F19">
        <f xml:space="preserve"> x^3 + y^3</f>
        <v>4160</v>
      </c>
      <c r="G19">
        <f xml:space="preserve"> x^3 + y^3</f>
        <v>4221</v>
      </c>
      <c r="H19">
        <f xml:space="preserve"> x^3 + y^3</f>
        <v>4312</v>
      </c>
      <c r="I19">
        <f xml:space="preserve"> x^3 + y^3</f>
        <v>4439</v>
      </c>
      <c r="J19">
        <f xml:space="preserve"> x^3 + y^3</f>
        <v>4608</v>
      </c>
      <c r="K19">
        <f xml:space="preserve"> x^3 + y^3</f>
        <v>4825</v>
      </c>
      <c r="L19">
        <f xml:space="preserve"> x^3 + y^3</f>
        <v>5096</v>
      </c>
      <c r="M19">
        <f xml:space="preserve"> x^3 + y^3</f>
        <v>5427</v>
      </c>
      <c r="N19">
        <f xml:space="preserve"> x^3 + y^3</f>
        <v>5824</v>
      </c>
      <c r="O19">
        <f xml:space="preserve"> x^3 + y^3</f>
        <v>6293</v>
      </c>
      <c r="P19">
        <f xml:space="preserve"> x^3 + y^3</f>
        <v>6840</v>
      </c>
      <c r="Q19">
        <f xml:space="preserve"> x^3 + y^3</f>
        <v>7471</v>
      </c>
      <c r="R19">
        <f xml:space="preserve"> x^3 + y^3</f>
        <v>8192</v>
      </c>
      <c r="S19">
        <f xml:space="preserve"> x^3 + y^3</f>
        <v>9009</v>
      </c>
      <c r="T19">
        <f xml:space="preserve"> x^3 + y^3</f>
        <v>9928</v>
      </c>
      <c r="U19">
        <f xml:space="preserve"> x^3 + y^3</f>
        <v>10955</v>
      </c>
      <c r="V19">
        <f xml:space="preserve"> x^3 + y^3</f>
        <v>12096</v>
      </c>
      <c r="W19">
        <f xml:space="preserve"> x^3 + y^3</f>
        <v>13357</v>
      </c>
      <c r="X19">
        <f xml:space="preserve"> x^3 + y^3</f>
        <v>14744</v>
      </c>
      <c r="Y19">
        <f xml:space="preserve"> x^3 + y^3</f>
        <v>16263</v>
      </c>
      <c r="Z19">
        <f xml:space="preserve"> x^3 + y^3</f>
        <v>17920</v>
      </c>
      <c r="AA19">
        <f xml:space="preserve"> x^3 + y^3</f>
        <v>19721</v>
      </c>
      <c r="AB19">
        <f xml:space="preserve"> x^3 + y^3</f>
        <v>21672</v>
      </c>
      <c r="AC19">
        <f xml:space="preserve"> x^3 + y^3</f>
        <v>23779</v>
      </c>
      <c r="AD19">
        <f xml:space="preserve"> x^3 + y^3</f>
        <v>26048</v>
      </c>
      <c r="AE19">
        <f xml:space="preserve"> x^3 + y^3</f>
        <v>28485</v>
      </c>
      <c r="AF19">
        <f xml:space="preserve"> x^3 + y^3</f>
        <v>31096</v>
      </c>
    </row>
    <row r="20" spans="2:32" x14ac:dyDescent="0.25">
      <c r="B20" s="5">
        <v>17</v>
      </c>
      <c r="C20">
        <f xml:space="preserve"> x^3 + y^3</f>
        <v>4914</v>
      </c>
      <c r="D20">
        <f xml:space="preserve"> x^3 + y^3</f>
        <v>4921</v>
      </c>
      <c r="E20">
        <f xml:space="preserve"> x^3 + y^3</f>
        <v>4940</v>
      </c>
      <c r="F20">
        <f xml:space="preserve"> x^3 + y^3</f>
        <v>4977</v>
      </c>
      <c r="G20">
        <f xml:space="preserve"> x^3 + y^3</f>
        <v>5038</v>
      </c>
      <c r="H20">
        <f xml:space="preserve"> x^3 + y^3</f>
        <v>5129</v>
      </c>
      <c r="I20">
        <f xml:space="preserve"> x^3 + y^3</f>
        <v>5256</v>
      </c>
      <c r="J20">
        <f xml:space="preserve"> x^3 + y^3</f>
        <v>5425</v>
      </c>
      <c r="K20">
        <f xml:space="preserve"> x^3 + y^3</f>
        <v>5642</v>
      </c>
      <c r="L20">
        <f xml:space="preserve"> x^3 + y^3</f>
        <v>5913</v>
      </c>
      <c r="M20">
        <f xml:space="preserve"> x^3 + y^3</f>
        <v>6244</v>
      </c>
      <c r="N20">
        <f xml:space="preserve"> x^3 + y^3</f>
        <v>6641</v>
      </c>
      <c r="O20">
        <f xml:space="preserve"> x^3 + y^3</f>
        <v>7110</v>
      </c>
      <c r="P20">
        <f xml:space="preserve"> x^3 + y^3</f>
        <v>7657</v>
      </c>
      <c r="Q20">
        <f xml:space="preserve"> x^3 + y^3</f>
        <v>8288</v>
      </c>
      <c r="R20">
        <f xml:space="preserve"> x^3 + y^3</f>
        <v>9009</v>
      </c>
      <c r="S20">
        <f xml:space="preserve"> x^3 + y^3</f>
        <v>9826</v>
      </c>
      <c r="T20">
        <f xml:space="preserve"> x^3 + y^3</f>
        <v>10745</v>
      </c>
      <c r="U20">
        <f xml:space="preserve"> x^3 + y^3</f>
        <v>11772</v>
      </c>
      <c r="V20">
        <f xml:space="preserve"> x^3 + y^3</f>
        <v>12913</v>
      </c>
      <c r="W20">
        <f xml:space="preserve"> x^3 + y^3</f>
        <v>14174</v>
      </c>
      <c r="X20">
        <f xml:space="preserve"> x^3 + y^3</f>
        <v>15561</v>
      </c>
      <c r="Y20">
        <f xml:space="preserve"> x^3 + y^3</f>
        <v>17080</v>
      </c>
      <c r="Z20">
        <f xml:space="preserve"> x^3 + y^3</f>
        <v>18737</v>
      </c>
      <c r="AA20">
        <f xml:space="preserve"> x^3 + y^3</f>
        <v>20538</v>
      </c>
      <c r="AB20">
        <f xml:space="preserve"> x^3 + y^3</f>
        <v>22489</v>
      </c>
      <c r="AC20">
        <f xml:space="preserve"> x^3 + y^3</f>
        <v>24596</v>
      </c>
      <c r="AD20">
        <f xml:space="preserve"> x^3 + y^3</f>
        <v>26865</v>
      </c>
      <c r="AE20">
        <f xml:space="preserve"> x^3 + y^3</f>
        <v>29302</v>
      </c>
      <c r="AF20">
        <f xml:space="preserve"> x^3 + y^3</f>
        <v>31913</v>
      </c>
    </row>
    <row r="21" spans="2:32" x14ac:dyDescent="0.25">
      <c r="B21" s="5">
        <v>18</v>
      </c>
      <c r="C21">
        <f xml:space="preserve"> x^3 + y^3</f>
        <v>5833</v>
      </c>
      <c r="D21">
        <f xml:space="preserve"> x^3 + y^3</f>
        <v>5840</v>
      </c>
      <c r="E21">
        <f xml:space="preserve"> x^3 + y^3</f>
        <v>5859</v>
      </c>
      <c r="F21">
        <f xml:space="preserve"> x^3 + y^3</f>
        <v>5896</v>
      </c>
      <c r="G21">
        <f xml:space="preserve"> x^3 + y^3</f>
        <v>5957</v>
      </c>
      <c r="H21">
        <f xml:space="preserve"> x^3 + y^3</f>
        <v>6048</v>
      </c>
      <c r="I21">
        <f xml:space="preserve"> x^3 + y^3</f>
        <v>6175</v>
      </c>
      <c r="J21">
        <f xml:space="preserve"> x^3 + y^3</f>
        <v>6344</v>
      </c>
      <c r="K21">
        <f xml:space="preserve"> x^3 + y^3</f>
        <v>6561</v>
      </c>
      <c r="L21">
        <f xml:space="preserve"> x^3 + y^3</f>
        <v>6832</v>
      </c>
      <c r="M21">
        <f xml:space="preserve"> x^3 + y^3</f>
        <v>7163</v>
      </c>
      <c r="N21">
        <f xml:space="preserve"> x^3 + y^3</f>
        <v>7560</v>
      </c>
      <c r="O21">
        <f xml:space="preserve"> x^3 + y^3</f>
        <v>8029</v>
      </c>
      <c r="P21">
        <f xml:space="preserve"> x^3 + y^3</f>
        <v>8576</v>
      </c>
      <c r="Q21">
        <f xml:space="preserve"> x^3 + y^3</f>
        <v>9207</v>
      </c>
      <c r="R21">
        <f xml:space="preserve"> x^3 + y^3</f>
        <v>9928</v>
      </c>
      <c r="S21">
        <f xml:space="preserve"> x^3 + y^3</f>
        <v>10745</v>
      </c>
      <c r="T21">
        <f xml:space="preserve"> x^3 + y^3</f>
        <v>11664</v>
      </c>
      <c r="U21">
        <f xml:space="preserve"> x^3 + y^3</f>
        <v>12691</v>
      </c>
      <c r="V21">
        <f xml:space="preserve"> x^3 + y^3</f>
        <v>13832</v>
      </c>
      <c r="W21">
        <f xml:space="preserve"> x^3 + y^3</f>
        <v>15093</v>
      </c>
      <c r="X21">
        <f xml:space="preserve"> x^3 + y^3</f>
        <v>16480</v>
      </c>
      <c r="Y21">
        <f xml:space="preserve"> x^3 + y^3</f>
        <v>17999</v>
      </c>
      <c r="Z21">
        <f xml:space="preserve"> x^3 + y^3</f>
        <v>19656</v>
      </c>
      <c r="AA21">
        <f xml:space="preserve"> x^3 + y^3</f>
        <v>21457</v>
      </c>
      <c r="AB21">
        <f xml:space="preserve"> x^3 + y^3</f>
        <v>23408</v>
      </c>
      <c r="AC21">
        <f xml:space="preserve"> x^3 + y^3</f>
        <v>25515</v>
      </c>
      <c r="AD21">
        <f xml:space="preserve"> x^3 + y^3</f>
        <v>27784</v>
      </c>
      <c r="AE21">
        <f xml:space="preserve"> x^3 + y^3</f>
        <v>30221</v>
      </c>
      <c r="AF21">
        <f xml:space="preserve"> x^3 + y^3</f>
        <v>32832</v>
      </c>
    </row>
    <row r="22" spans="2:32" x14ac:dyDescent="0.25">
      <c r="B22" s="5">
        <v>19</v>
      </c>
      <c r="C22">
        <f xml:space="preserve"> x^3 + y^3</f>
        <v>6860</v>
      </c>
      <c r="D22">
        <f xml:space="preserve"> x^3 + y^3</f>
        <v>6867</v>
      </c>
      <c r="E22">
        <f xml:space="preserve"> x^3 + y^3</f>
        <v>6886</v>
      </c>
      <c r="F22">
        <f xml:space="preserve"> x^3 + y^3</f>
        <v>6923</v>
      </c>
      <c r="G22">
        <f xml:space="preserve"> x^3 + y^3</f>
        <v>6984</v>
      </c>
      <c r="H22">
        <f xml:space="preserve"> x^3 + y^3</f>
        <v>7075</v>
      </c>
      <c r="I22">
        <f xml:space="preserve"> x^3 + y^3</f>
        <v>7202</v>
      </c>
      <c r="J22">
        <f xml:space="preserve"> x^3 + y^3</f>
        <v>7371</v>
      </c>
      <c r="K22">
        <f xml:space="preserve"> x^3 + y^3</f>
        <v>7588</v>
      </c>
      <c r="L22">
        <f xml:space="preserve"> x^3 + y^3</f>
        <v>7859</v>
      </c>
      <c r="M22">
        <f xml:space="preserve"> x^3 + y^3</f>
        <v>8190</v>
      </c>
      <c r="N22">
        <f xml:space="preserve"> x^3 + y^3</f>
        <v>8587</v>
      </c>
      <c r="O22">
        <f xml:space="preserve"> x^3 + y^3</f>
        <v>9056</v>
      </c>
      <c r="P22">
        <f xml:space="preserve"> x^3 + y^3</f>
        <v>9603</v>
      </c>
      <c r="Q22">
        <f xml:space="preserve"> x^3 + y^3</f>
        <v>10234</v>
      </c>
      <c r="R22">
        <f xml:space="preserve"> x^3 + y^3</f>
        <v>10955</v>
      </c>
      <c r="S22">
        <f xml:space="preserve"> x^3 + y^3</f>
        <v>11772</v>
      </c>
      <c r="T22">
        <f xml:space="preserve"> x^3 + y^3</f>
        <v>12691</v>
      </c>
      <c r="U22">
        <f xml:space="preserve"> x^3 + y^3</f>
        <v>13718</v>
      </c>
      <c r="V22">
        <f xml:space="preserve"> x^3 + y^3</f>
        <v>14859</v>
      </c>
      <c r="W22">
        <f xml:space="preserve"> x^3 + y^3</f>
        <v>16120</v>
      </c>
      <c r="X22">
        <f xml:space="preserve"> x^3 + y^3</f>
        <v>17507</v>
      </c>
      <c r="Y22">
        <f xml:space="preserve"> x^3 + y^3</f>
        <v>19026</v>
      </c>
      <c r="Z22">
        <f xml:space="preserve"> x^3 + y^3</f>
        <v>20683</v>
      </c>
      <c r="AA22">
        <f xml:space="preserve"> x^3 + y^3</f>
        <v>22484</v>
      </c>
      <c r="AB22">
        <f xml:space="preserve"> x^3 + y^3</f>
        <v>24435</v>
      </c>
      <c r="AC22">
        <f xml:space="preserve"> x^3 + y^3</f>
        <v>26542</v>
      </c>
      <c r="AD22">
        <f xml:space="preserve"> x^3 + y^3</f>
        <v>28811</v>
      </c>
      <c r="AE22">
        <f xml:space="preserve"> x^3 + y^3</f>
        <v>31248</v>
      </c>
      <c r="AF22">
        <f xml:space="preserve"> x^3 + y^3</f>
        <v>33859</v>
      </c>
    </row>
    <row r="23" spans="2:32" x14ac:dyDescent="0.25">
      <c r="B23" s="5">
        <v>20</v>
      </c>
      <c r="C23">
        <f xml:space="preserve"> x^3 + y^3</f>
        <v>8001</v>
      </c>
      <c r="D23">
        <f xml:space="preserve"> x^3 + y^3</f>
        <v>8008</v>
      </c>
      <c r="E23">
        <f xml:space="preserve"> x^3 + y^3</f>
        <v>8027</v>
      </c>
      <c r="F23">
        <f xml:space="preserve"> x^3 + y^3</f>
        <v>8064</v>
      </c>
      <c r="G23">
        <f xml:space="preserve"> x^3 + y^3</f>
        <v>8125</v>
      </c>
      <c r="H23">
        <f xml:space="preserve"> x^3 + y^3</f>
        <v>8216</v>
      </c>
      <c r="I23">
        <f xml:space="preserve"> x^3 + y^3</f>
        <v>8343</v>
      </c>
      <c r="J23">
        <f xml:space="preserve"> x^3 + y^3</f>
        <v>8512</v>
      </c>
      <c r="K23">
        <f xml:space="preserve"> x^3 + y^3</f>
        <v>8729</v>
      </c>
      <c r="L23">
        <f xml:space="preserve"> x^3 + y^3</f>
        <v>9000</v>
      </c>
      <c r="M23">
        <f xml:space="preserve"> x^3 + y^3</f>
        <v>9331</v>
      </c>
      <c r="N23">
        <f xml:space="preserve"> x^3 + y^3</f>
        <v>9728</v>
      </c>
      <c r="O23">
        <f xml:space="preserve"> x^3 + y^3</f>
        <v>10197</v>
      </c>
      <c r="P23">
        <f xml:space="preserve"> x^3 + y^3</f>
        <v>10744</v>
      </c>
      <c r="Q23">
        <f xml:space="preserve"> x^3 + y^3</f>
        <v>11375</v>
      </c>
      <c r="R23">
        <f xml:space="preserve"> x^3 + y^3</f>
        <v>12096</v>
      </c>
      <c r="S23">
        <f xml:space="preserve"> x^3 + y^3</f>
        <v>12913</v>
      </c>
      <c r="T23">
        <f xml:space="preserve"> x^3 + y^3</f>
        <v>13832</v>
      </c>
      <c r="U23">
        <f xml:space="preserve"> x^3 + y^3</f>
        <v>14859</v>
      </c>
      <c r="V23">
        <f xml:space="preserve"> x^3 + y^3</f>
        <v>16000</v>
      </c>
      <c r="W23">
        <f xml:space="preserve"> x^3 + y^3</f>
        <v>17261</v>
      </c>
      <c r="X23">
        <f xml:space="preserve"> x^3 + y^3</f>
        <v>18648</v>
      </c>
      <c r="Y23">
        <f xml:space="preserve"> x^3 + y^3</f>
        <v>20167</v>
      </c>
      <c r="Z23">
        <f xml:space="preserve"> x^3 + y^3</f>
        <v>21824</v>
      </c>
      <c r="AA23">
        <f xml:space="preserve"> x^3 + y^3</f>
        <v>23625</v>
      </c>
      <c r="AB23">
        <f xml:space="preserve"> x^3 + y^3</f>
        <v>25576</v>
      </c>
      <c r="AC23">
        <f xml:space="preserve"> x^3 + y^3</f>
        <v>27683</v>
      </c>
      <c r="AD23">
        <f xml:space="preserve"> x^3 + y^3</f>
        <v>29952</v>
      </c>
      <c r="AE23">
        <f xml:space="preserve"> x^3 + y^3</f>
        <v>32389</v>
      </c>
      <c r="AF23">
        <f xml:space="preserve"> x^3 + y^3</f>
        <v>35000</v>
      </c>
    </row>
    <row r="24" spans="2:32" x14ac:dyDescent="0.25">
      <c r="B24" s="5">
        <v>21</v>
      </c>
      <c r="C24">
        <f xml:space="preserve"> x^3 + y^3</f>
        <v>9262</v>
      </c>
      <c r="D24">
        <f xml:space="preserve"> x^3 + y^3</f>
        <v>9269</v>
      </c>
      <c r="E24">
        <f xml:space="preserve"> x^3 + y^3</f>
        <v>9288</v>
      </c>
      <c r="F24">
        <f xml:space="preserve"> x^3 + y^3</f>
        <v>9325</v>
      </c>
      <c r="G24">
        <f xml:space="preserve"> x^3 + y^3</f>
        <v>9386</v>
      </c>
      <c r="H24">
        <f xml:space="preserve"> x^3 + y^3</f>
        <v>9477</v>
      </c>
      <c r="I24">
        <f xml:space="preserve"> x^3 + y^3</f>
        <v>9604</v>
      </c>
      <c r="J24">
        <f xml:space="preserve"> x^3 + y^3</f>
        <v>9773</v>
      </c>
      <c r="K24">
        <f xml:space="preserve"> x^3 + y^3</f>
        <v>9990</v>
      </c>
      <c r="L24">
        <f xml:space="preserve"> x^3 + y^3</f>
        <v>10261</v>
      </c>
      <c r="M24">
        <f xml:space="preserve"> x^3 + y^3</f>
        <v>10592</v>
      </c>
      <c r="N24">
        <f xml:space="preserve"> x^3 + y^3</f>
        <v>10989</v>
      </c>
      <c r="O24">
        <f xml:space="preserve"> x^3 + y^3</f>
        <v>11458</v>
      </c>
      <c r="P24">
        <f xml:space="preserve"> x^3 + y^3</f>
        <v>12005</v>
      </c>
      <c r="Q24">
        <f xml:space="preserve"> x^3 + y^3</f>
        <v>12636</v>
      </c>
      <c r="R24">
        <f xml:space="preserve"> x^3 + y^3</f>
        <v>13357</v>
      </c>
      <c r="S24">
        <f xml:space="preserve"> x^3 + y^3</f>
        <v>14174</v>
      </c>
      <c r="T24">
        <f xml:space="preserve"> x^3 + y^3</f>
        <v>15093</v>
      </c>
      <c r="U24">
        <f xml:space="preserve"> x^3 + y^3</f>
        <v>16120</v>
      </c>
      <c r="V24">
        <f xml:space="preserve"> x^3 + y^3</f>
        <v>17261</v>
      </c>
      <c r="W24">
        <f xml:space="preserve"> x^3 + y^3</f>
        <v>18522</v>
      </c>
      <c r="X24">
        <f xml:space="preserve"> x^3 + y^3</f>
        <v>19909</v>
      </c>
      <c r="Y24">
        <f xml:space="preserve"> x^3 + y^3</f>
        <v>21428</v>
      </c>
      <c r="Z24">
        <f xml:space="preserve"> x^3 + y^3</f>
        <v>23085</v>
      </c>
      <c r="AA24">
        <f xml:space="preserve"> x^3 + y^3</f>
        <v>24886</v>
      </c>
      <c r="AB24">
        <f xml:space="preserve"> x^3 + y^3</f>
        <v>26837</v>
      </c>
      <c r="AC24">
        <f xml:space="preserve"> x^3 + y^3</f>
        <v>28944</v>
      </c>
      <c r="AD24">
        <f xml:space="preserve"> x^3 + y^3</f>
        <v>31213</v>
      </c>
      <c r="AE24">
        <f xml:space="preserve"> x^3 + y^3</f>
        <v>33650</v>
      </c>
      <c r="AF24">
        <f xml:space="preserve"> x^3 + y^3</f>
        <v>36261</v>
      </c>
    </row>
    <row r="25" spans="2:32" x14ac:dyDescent="0.25">
      <c r="B25" s="5">
        <v>22</v>
      </c>
      <c r="C25">
        <f xml:space="preserve"> x^3 + y^3</f>
        <v>10649</v>
      </c>
      <c r="D25">
        <f xml:space="preserve"> x^3 + y^3</f>
        <v>10656</v>
      </c>
      <c r="E25">
        <f xml:space="preserve"> x^3 + y^3</f>
        <v>10675</v>
      </c>
      <c r="F25">
        <f xml:space="preserve"> x^3 + y^3</f>
        <v>10712</v>
      </c>
      <c r="G25">
        <f xml:space="preserve"> x^3 + y^3</f>
        <v>10773</v>
      </c>
      <c r="H25">
        <f xml:space="preserve"> x^3 + y^3</f>
        <v>10864</v>
      </c>
      <c r="I25">
        <f xml:space="preserve"> x^3 + y^3</f>
        <v>10991</v>
      </c>
      <c r="J25">
        <f xml:space="preserve"> x^3 + y^3</f>
        <v>11160</v>
      </c>
      <c r="K25">
        <f xml:space="preserve"> x^3 + y^3</f>
        <v>11377</v>
      </c>
      <c r="L25">
        <f xml:space="preserve"> x^3 + y^3</f>
        <v>11648</v>
      </c>
      <c r="M25">
        <f xml:space="preserve"> x^3 + y^3</f>
        <v>11979</v>
      </c>
      <c r="N25">
        <f xml:space="preserve"> x^3 + y^3</f>
        <v>12376</v>
      </c>
      <c r="O25">
        <f xml:space="preserve"> x^3 + y^3</f>
        <v>12845</v>
      </c>
      <c r="P25">
        <f xml:space="preserve"> x^3 + y^3</f>
        <v>13392</v>
      </c>
      <c r="Q25">
        <f xml:space="preserve"> x^3 + y^3</f>
        <v>14023</v>
      </c>
      <c r="R25">
        <f xml:space="preserve"> x^3 + y^3</f>
        <v>14744</v>
      </c>
      <c r="S25">
        <f xml:space="preserve"> x^3 + y^3</f>
        <v>15561</v>
      </c>
      <c r="T25">
        <f xml:space="preserve"> x^3 + y^3</f>
        <v>16480</v>
      </c>
      <c r="U25">
        <f xml:space="preserve"> x^3 + y^3</f>
        <v>17507</v>
      </c>
      <c r="V25">
        <f xml:space="preserve"> x^3 + y^3</f>
        <v>18648</v>
      </c>
      <c r="W25">
        <f xml:space="preserve"> x^3 + y^3</f>
        <v>19909</v>
      </c>
      <c r="X25">
        <f xml:space="preserve"> x^3 + y^3</f>
        <v>21296</v>
      </c>
      <c r="Y25">
        <f xml:space="preserve"> x^3 + y^3</f>
        <v>22815</v>
      </c>
      <c r="Z25">
        <f xml:space="preserve"> x^3 + y^3</f>
        <v>24472</v>
      </c>
      <c r="AA25">
        <f xml:space="preserve"> x^3 + y^3</f>
        <v>26273</v>
      </c>
      <c r="AB25">
        <f xml:space="preserve"> x^3 + y^3</f>
        <v>28224</v>
      </c>
      <c r="AC25">
        <f xml:space="preserve"> x^3 + y^3</f>
        <v>30331</v>
      </c>
      <c r="AD25">
        <f xml:space="preserve"> x^3 + y^3</f>
        <v>32600</v>
      </c>
      <c r="AE25">
        <f xml:space="preserve"> x^3 + y^3</f>
        <v>35037</v>
      </c>
      <c r="AF25">
        <f xml:space="preserve"> x^3 + y^3</f>
        <v>37648</v>
      </c>
    </row>
    <row r="26" spans="2:32" x14ac:dyDescent="0.25">
      <c r="B26" s="5">
        <v>23</v>
      </c>
      <c r="C26">
        <f xml:space="preserve"> x^3 + y^3</f>
        <v>12168</v>
      </c>
      <c r="D26">
        <f xml:space="preserve"> x^3 + y^3</f>
        <v>12175</v>
      </c>
      <c r="E26">
        <f xml:space="preserve"> x^3 + y^3</f>
        <v>12194</v>
      </c>
      <c r="F26">
        <f xml:space="preserve"> x^3 + y^3</f>
        <v>12231</v>
      </c>
      <c r="G26">
        <f xml:space="preserve"> x^3 + y^3</f>
        <v>12292</v>
      </c>
      <c r="H26">
        <f xml:space="preserve"> x^3 + y^3</f>
        <v>12383</v>
      </c>
      <c r="I26">
        <f xml:space="preserve"> x^3 + y^3</f>
        <v>12510</v>
      </c>
      <c r="J26">
        <f xml:space="preserve"> x^3 + y^3</f>
        <v>12679</v>
      </c>
      <c r="K26">
        <f xml:space="preserve"> x^3 + y^3</f>
        <v>12896</v>
      </c>
      <c r="L26">
        <f xml:space="preserve"> x^3 + y^3</f>
        <v>13167</v>
      </c>
      <c r="M26">
        <f xml:space="preserve"> x^3 + y^3</f>
        <v>13498</v>
      </c>
      <c r="N26">
        <f xml:space="preserve"> x^3 + y^3</f>
        <v>13895</v>
      </c>
      <c r="O26">
        <f xml:space="preserve"> x^3 + y^3</f>
        <v>14364</v>
      </c>
      <c r="P26">
        <f xml:space="preserve"> x^3 + y^3</f>
        <v>14911</v>
      </c>
      <c r="Q26">
        <f xml:space="preserve"> x^3 + y^3</f>
        <v>15542</v>
      </c>
      <c r="R26">
        <f xml:space="preserve"> x^3 + y^3</f>
        <v>16263</v>
      </c>
      <c r="S26">
        <f xml:space="preserve"> x^3 + y^3</f>
        <v>17080</v>
      </c>
      <c r="T26">
        <f xml:space="preserve"> x^3 + y^3</f>
        <v>17999</v>
      </c>
      <c r="U26">
        <f xml:space="preserve"> x^3 + y^3</f>
        <v>19026</v>
      </c>
      <c r="V26">
        <f xml:space="preserve"> x^3 + y^3</f>
        <v>20167</v>
      </c>
      <c r="W26">
        <f xml:space="preserve"> x^3 + y^3</f>
        <v>21428</v>
      </c>
      <c r="X26">
        <f xml:space="preserve"> x^3 + y^3</f>
        <v>22815</v>
      </c>
      <c r="Y26">
        <f xml:space="preserve"> x^3 + y^3</f>
        <v>24334</v>
      </c>
      <c r="Z26">
        <f xml:space="preserve"> x^3 + y^3</f>
        <v>25991</v>
      </c>
      <c r="AA26">
        <f xml:space="preserve"> x^3 + y^3</f>
        <v>27792</v>
      </c>
      <c r="AB26">
        <f xml:space="preserve"> x^3 + y^3</f>
        <v>29743</v>
      </c>
      <c r="AC26">
        <f xml:space="preserve"> x^3 + y^3</f>
        <v>31850</v>
      </c>
      <c r="AD26">
        <f xml:space="preserve"> x^3 + y^3</f>
        <v>34119</v>
      </c>
      <c r="AE26">
        <f xml:space="preserve"> x^3 + y^3</f>
        <v>36556</v>
      </c>
      <c r="AF26">
        <f xml:space="preserve"> x^3 + y^3</f>
        <v>39167</v>
      </c>
    </row>
    <row r="27" spans="2:32" x14ac:dyDescent="0.25">
      <c r="B27" s="5">
        <v>24</v>
      </c>
      <c r="C27">
        <f xml:space="preserve"> x^3 + y^3</f>
        <v>13825</v>
      </c>
      <c r="D27">
        <f xml:space="preserve"> x^3 + y^3</f>
        <v>13832</v>
      </c>
      <c r="E27">
        <f xml:space="preserve"> x^3 + y^3</f>
        <v>13851</v>
      </c>
      <c r="F27">
        <f xml:space="preserve"> x^3 + y^3</f>
        <v>13888</v>
      </c>
      <c r="G27">
        <f xml:space="preserve"> x^3 + y^3</f>
        <v>13949</v>
      </c>
      <c r="H27">
        <f xml:space="preserve"> x^3 + y^3</f>
        <v>14040</v>
      </c>
      <c r="I27">
        <f xml:space="preserve"> x^3 + y^3</f>
        <v>14167</v>
      </c>
      <c r="J27">
        <f xml:space="preserve"> x^3 + y^3</f>
        <v>14336</v>
      </c>
      <c r="K27">
        <f xml:space="preserve"> x^3 + y^3</f>
        <v>14553</v>
      </c>
      <c r="L27">
        <f xml:space="preserve"> x^3 + y^3</f>
        <v>14824</v>
      </c>
      <c r="M27">
        <f xml:space="preserve"> x^3 + y^3</f>
        <v>15155</v>
      </c>
      <c r="N27">
        <f xml:space="preserve"> x^3 + y^3</f>
        <v>15552</v>
      </c>
      <c r="O27">
        <f xml:space="preserve"> x^3 + y^3</f>
        <v>16021</v>
      </c>
      <c r="P27">
        <f xml:space="preserve"> x^3 + y^3</f>
        <v>16568</v>
      </c>
      <c r="Q27">
        <f xml:space="preserve"> x^3 + y^3</f>
        <v>17199</v>
      </c>
      <c r="R27">
        <f xml:space="preserve"> x^3 + y^3</f>
        <v>17920</v>
      </c>
      <c r="S27">
        <f xml:space="preserve"> x^3 + y^3</f>
        <v>18737</v>
      </c>
      <c r="T27">
        <f xml:space="preserve"> x^3 + y^3</f>
        <v>19656</v>
      </c>
      <c r="U27">
        <f xml:space="preserve"> x^3 + y^3</f>
        <v>20683</v>
      </c>
      <c r="V27">
        <f xml:space="preserve"> x^3 + y^3</f>
        <v>21824</v>
      </c>
      <c r="W27">
        <f xml:space="preserve"> x^3 + y^3</f>
        <v>23085</v>
      </c>
      <c r="X27">
        <f xml:space="preserve"> x^3 + y^3</f>
        <v>24472</v>
      </c>
      <c r="Y27">
        <f xml:space="preserve"> x^3 + y^3</f>
        <v>25991</v>
      </c>
      <c r="Z27">
        <f xml:space="preserve"> x^3 + y^3</f>
        <v>27648</v>
      </c>
      <c r="AA27">
        <f xml:space="preserve"> x^3 + y^3</f>
        <v>29449</v>
      </c>
      <c r="AB27">
        <f xml:space="preserve"> x^3 + y^3</f>
        <v>31400</v>
      </c>
      <c r="AC27">
        <f xml:space="preserve"> x^3 + y^3</f>
        <v>33507</v>
      </c>
      <c r="AD27">
        <f xml:space="preserve"> x^3 + y^3</f>
        <v>35776</v>
      </c>
      <c r="AE27">
        <f xml:space="preserve"> x^3 + y^3</f>
        <v>38213</v>
      </c>
      <c r="AF27">
        <f xml:space="preserve"> x^3 + y^3</f>
        <v>40824</v>
      </c>
    </row>
    <row r="28" spans="2:32" x14ac:dyDescent="0.25">
      <c r="B28" s="5">
        <v>25</v>
      </c>
      <c r="C28">
        <f xml:space="preserve"> x^3 + y^3</f>
        <v>15626</v>
      </c>
      <c r="D28">
        <f xml:space="preserve"> x^3 + y^3</f>
        <v>15633</v>
      </c>
      <c r="E28">
        <f xml:space="preserve"> x^3 + y^3</f>
        <v>15652</v>
      </c>
      <c r="F28">
        <f xml:space="preserve"> x^3 + y^3</f>
        <v>15689</v>
      </c>
      <c r="G28">
        <f xml:space="preserve"> x^3 + y^3</f>
        <v>15750</v>
      </c>
      <c r="H28">
        <f xml:space="preserve"> x^3 + y^3</f>
        <v>15841</v>
      </c>
      <c r="I28">
        <f xml:space="preserve"> x^3 + y^3</f>
        <v>15968</v>
      </c>
      <c r="J28">
        <f xml:space="preserve"> x^3 + y^3</f>
        <v>16137</v>
      </c>
      <c r="K28">
        <f xml:space="preserve"> x^3 + y^3</f>
        <v>16354</v>
      </c>
      <c r="L28">
        <f xml:space="preserve"> x^3 + y^3</f>
        <v>16625</v>
      </c>
      <c r="M28">
        <f xml:space="preserve"> x^3 + y^3</f>
        <v>16956</v>
      </c>
      <c r="N28">
        <f xml:space="preserve"> x^3 + y^3</f>
        <v>17353</v>
      </c>
      <c r="O28">
        <f xml:space="preserve"> x^3 + y^3</f>
        <v>17822</v>
      </c>
      <c r="P28">
        <f xml:space="preserve"> x^3 + y^3</f>
        <v>18369</v>
      </c>
      <c r="Q28">
        <f xml:space="preserve"> x^3 + y^3</f>
        <v>19000</v>
      </c>
      <c r="R28">
        <f xml:space="preserve"> x^3 + y^3</f>
        <v>19721</v>
      </c>
      <c r="S28">
        <f xml:space="preserve"> x^3 + y^3</f>
        <v>20538</v>
      </c>
      <c r="T28">
        <f xml:space="preserve"> x^3 + y^3</f>
        <v>21457</v>
      </c>
      <c r="U28">
        <f xml:space="preserve"> x^3 + y^3</f>
        <v>22484</v>
      </c>
      <c r="V28">
        <f xml:space="preserve"> x^3 + y^3</f>
        <v>23625</v>
      </c>
      <c r="W28">
        <f xml:space="preserve"> x^3 + y^3</f>
        <v>24886</v>
      </c>
      <c r="X28">
        <f xml:space="preserve"> x^3 + y^3</f>
        <v>26273</v>
      </c>
      <c r="Y28">
        <f xml:space="preserve"> x^3 + y^3</f>
        <v>27792</v>
      </c>
      <c r="Z28">
        <f xml:space="preserve"> x^3 + y^3</f>
        <v>29449</v>
      </c>
      <c r="AA28">
        <f xml:space="preserve"> x^3 + y^3</f>
        <v>31250</v>
      </c>
      <c r="AB28">
        <f xml:space="preserve"> x^3 + y^3</f>
        <v>33201</v>
      </c>
      <c r="AC28">
        <f xml:space="preserve"> x^3 + y^3</f>
        <v>35308</v>
      </c>
      <c r="AD28">
        <f xml:space="preserve"> x^3 + y^3</f>
        <v>37577</v>
      </c>
      <c r="AE28">
        <f xml:space="preserve"> x^3 + y^3</f>
        <v>40014</v>
      </c>
      <c r="AF28">
        <f xml:space="preserve"> x^3 + y^3</f>
        <v>42625</v>
      </c>
    </row>
    <row r="29" spans="2:32" x14ac:dyDescent="0.25">
      <c r="B29" s="5">
        <v>26</v>
      </c>
      <c r="C29">
        <f xml:space="preserve"> x^3 + y^3</f>
        <v>17577</v>
      </c>
      <c r="D29">
        <f xml:space="preserve"> x^3 + y^3</f>
        <v>17584</v>
      </c>
      <c r="E29">
        <f xml:space="preserve"> x^3 + y^3</f>
        <v>17603</v>
      </c>
      <c r="F29">
        <f xml:space="preserve"> x^3 + y^3</f>
        <v>17640</v>
      </c>
      <c r="G29">
        <f xml:space="preserve"> x^3 + y^3</f>
        <v>17701</v>
      </c>
      <c r="H29">
        <f xml:space="preserve"> x^3 + y^3</f>
        <v>17792</v>
      </c>
      <c r="I29">
        <f xml:space="preserve"> x^3 + y^3</f>
        <v>17919</v>
      </c>
      <c r="J29">
        <f xml:space="preserve"> x^3 + y^3</f>
        <v>18088</v>
      </c>
      <c r="K29">
        <f xml:space="preserve"> x^3 + y^3</f>
        <v>18305</v>
      </c>
      <c r="L29">
        <f xml:space="preserve"> x^3 + y^3</f>
        <v>18576</v>
      </c>
      <c r="M29">
        <f xml:space="preserve"> x^3 + y^3</f>
        <v>18907</v>
      </c>
      <c r="N29">
        <f xml:space="preserve"> x^3 + y^3</f>
        <v>19304</v>
      </c>
      <c r="O29">
        <f xml:space="preserve"> x^3 + y^3</f>
        <v>19773</v>
      </c>
      <c r="P29">
        <f xml:space="preserve"> x^3 + y^3</f>
        <v>20320</v>
      </c>
      <c r="Q29">
        <f xml:space="preserve"> x^3 + y^3</f>
        <v>20951</v>
      </c>
      <c r="R29">
        <f xml:space="preserve"> x^3 + y^3</f>
        <v>21672</v>
      </c>
      <c r="S29">
        <f xml:space="preserve"> x^3 + y^3</f>
        <v>22489</v>
      </c>
      <c r="T29">
        <f xml:space="preserve"> x^3 + y^3</f>
        <v>23408</v>
      </c>
      <c r="U29">
        <f xml:space="preserve"> x^3 + y^3</f>
        <v>24435</v>
      </c>
      <c r="V29">
        <f xml:space="preserve"> x^3 + y^3</f>
        <v>25576</v>
      </c>
      <c r="W29">
        <f xml:space="preserve"> x^3 + y^3</f>
        <v>26837</v>
      </c>
      <c r="X29">
        <f xml:space="preserve"> x^3 + y^3</f>
        <v>28224</v>
      </c>
      <c r="Y29">
        <f xml:space="preserve"> x^3 + y^3</f>
        <v>29743</v>
      </c>
      <c r="Z29">
        <f xml:space="preserve"> x^3 + y^3</f>
        <v>31400</v>
      </c>
      <c r="AA29">
        <f xml:space="preserve"> x^3 + y^3</f>
        <v>33201</v>
      </c>
      <c r="AB29">
        <f xml:space="preserve"> x^3 + y^3</f>
        <v>35152</v>
      </c>
      <c r="AC29">
        <f xml:space="preserve"> x^3 + y^3</f>
        <v>37259</v>
      </c>
      <c r="AD29">
        <f xml:space="preserve"> x^3 + y^3</f>
        <v>39528</v>
      </c>
      <c r="AE29">
        <f xml:space="preserve"> x^3 + y^3</f>
        <v>41965</v>
      </c>
      <c r="AF29">
        <f xml:space="preserve"> x^3 + y^3</f>
        <v>44576</v>
      </c>
    </row>
    <row r="30" spans="2:32" x14ac:dyDescent="0.25">
      <c r="B30" s="5">
        <v>27</v>
      </c>
      <c r="C30">
        <f xml:space="preserve"> x^3 + y^3</f>
        <v>19684</v>
      </c>
      <c r="D30">
        <f xml:space="preserve"> x^3 + y^3</f>
        <v>19691</v>
      </c>
      <c r="E30">
        <f xml:space="preserve"> x^3 + y^3</f>
        <v>19710</v>
      </c>
      <c r="F30">
        <f xml:space="preserve"> x^3 + y^3</f>
        <v>19747</v>
      </c>
      <c r="G30">
        <f xml:space="preserve"> x^3 + y^3</f>
        <v>19808</v>
      </c>
      <c r="H30">
        <f xml:space="preserve"> x^3 + y^3</f>
        <v>19899</v>
      </c>
      <c r="I30">
        <f xml:space="preserve"> x^3 + y^3</f>
        <v>20026</v>
      </c>
      <c r="J30">
        <f xml:space="preserve"> x^3 + y^3</f>
        <v>20195</v>
      </c>
      <c r="K30">
        <f xml:space="preserve"> x^3 + y^3</f>
        <v>20412</v>
      </c>
      <c r="L30">
        <f xml:space="preserve"> x^3 + y^3</f>
        <v>20683</v>
      </c>
      <c r="M30">
        <f xml:space="preserve"> x^3 + y^3</f>
        <v>21014</v>
      </c>
      <c r="N30">
        <f xml:space="preserve"> x^3 + y^3</f>
        <v>21411</v>
      </c>
      <c r="O30">
        <f xml:space="preserve"> x^3 + y^3</f>
        <v>21880</v>
      </c>
      <c r="P30">
        <f xml:space="preserve"> x^3 + y^3</f>
        <v>22427</v>
      </c>
      <c r="Q30">
        <f xml:space="preserve"> x^3 + y^3</f>
        <v>23058</v>
      </c>
      <c r="R30">
        <f xml:space="preserve"> x^3 + y^3</f>
        <v>23779</v>
      </c>
      <c r="S30">
        <f xml:space="preserve"> x^3 + y^3</f>
        <v>24596</v>
      </c>
      <c r="T30">
        <f xml:space="preserve"> x^3 + y^3</f>
        <v>25515</v>
      </c>
      <c r="U30">
        <f xml:space="preserve"> x^3 + y^3</f>
        <v>26542</v>
      </c>
      <c r="V30">
        <f xml:space="preserve"> x^3 + y^3</f>
        <v>27683</v>
      </c>
      <c r="W30">
        <f xml:space="preserve"> x^3 + y^3</f>
        <v>28944</v>
      </c>
      <c r="X30">
        <f xml:space="preserve"> x^3 + y^3</f>
        <v>30331</v>
      </c>
      <c r="Y30">
        <f xml:space="preserve"> x^3 + y^3</f>
        <v>31850</v>
      </c>
      <c r="Z30">
        <f xml:space="preserve"> x^3 + y^3</f>
        <v>33507</v>
      </c>
      <c r="AA30">
        <f xml:space="preserve"> x^3 + y^3</f>
        <v>35308</v>
      </c>
      <c r="AB30">
        <f xml:space="preserve"> x^3 + y^3</f>
        <v>37259</v>
      </c>
      <c r="AC30">
        <f xml:space="preserve"> x^3 + y^3</f>
        <v>39366</v>
      </c>
      <c r="AD30">
        <f xml:space="preserve"> x^3 + y^3</f>
        <v>41635</v>
      </c>
      <c r="AE30">
        <f xml:space="preserve"> x^3 + y^3</f>
        <v>44072</v>
      </c>
      <c r="AF30">
        <f xml:space="preserve"> x^3 + y^3</f>
        <v>46683</v>
      </c>
    </row>
    <row r="31" spans="2:32" x14ac:dyDescent="0.25">
      <c r="B31" s="5">
        <v>28</v>
      </c>
      <c r="C31">
        <f xml:space="preserve"> x^3 + y^3</f>
        <v>21953</v>
      </c>
      <c r="D31">
        <f xml:space="preserve"> x^3 + y^3</f>
        <v>21960</v>
      </c>
      <c r="E31">
        <f xml:space="preserve"> x^3 + y^3</f>
        <v>21979</v>
      </c>
      <c r="F31">
        <f xml:space="preserve"> x^3 + y^3</f>
        <v>22016</v>
      </c>
      <c r="G31">
        <f xml:space="preserve"> x^3 + y^3</f>
        <v>22077</v>
      </c>
      <c r="H31">
        <f xml:space="preserve"> x^3 + y^3</f>
        <v>22168</v>
      </c>
      <c r="I31">
        <f xml:space="preserve"> x^3 + y^3</f>
        <v>22295</v>
      </c>
      <c r="J31">
        <f xml:space="preserve"> x^3 + y^3</f>
        <v>22464</v>
      </c>
      <c r="K31">
        <f xml:space="preserve"> x^3 + y^3</f>
        <v>22681</v>
      </c>
      <c r="L31">
        <f xml:space="preserve"> x^3 + y^3</f>
        <v>22952</v>
      </c>
      <c r="M31">
        <f xml:space="preserve"> x^3 + y^3</f>
        <v>23283</v>
      </c>
      <c r="N31">
        <f xml:space="preserve"> x^3 + y^3</f>
        <v>23680</v>
      </c>
      <c r="O31">
        <f xml:space="preserve"> x^3 + y^3</f>
        <v>24149</v>
      </c>
      <c r="P31">
        <f xml:space="preserve"> x^3 + y^3</f>
        <v>24696</v>
      </c>
      <c r="Q31">
        <f xml:space="preserve"> x^3 + y^3</f>
        <v>25327</v>
      </c>
      <c r="R31">
        <f xml:space="preserve"> x^3 + y^3</f>
        <v>26048</v>
      </c>
      <c r="S31">
        <f xml:space="preserve"> x^3 + y^3</f>
        <v>26865</v>
      </c>
      <c r="T31">
        <f xml:space="preserve"> x^3 + y^3</f>
        <v>27784</v>
      </c>
      <c r="U31">
        <f xml:space="preserve"> x^3 + y^3</f>
        <v>28811</v>
      </c>
      <c r="V31">
        <f xml:space="preserve"> x^3 + y^3</f>
        <v>29952</v>
      </c>
      <c r="W31">
        <f xml:space="preserve"> x^3 + y^3</f>
        <v>31213</v>
      </c>
      <c r="X31">
        <f xml:space="preserve"> x^3 + y^3</f>
        <v>32600</v>
      </c>
      <c r="Y31">
        <f xml:space="preserve"> x^3 + y^3</f>
        <v>34119</v>
      </c>
      <c r="Z31">
        <f xml:space="preserve"> x^3 + y^3</f>
        <v>35776</v>
      </c>
      <c r="AA31">
        <f xml:space="preserve"> x^3 + y^3</f>
        <v>37577</v>
      </c>
      <c r="AB31">
        <f xml:space="preserve"> x^3 + y^3</f>
        <v>39528</v>
      </c>
      <c r="AC31">
        <f xml:space="preserve"> x^3 + y^3</f>
        <v>41635</v>
      </c>
      <c r="AD31">
        <f xml:space="preserve"> x^3 + y^3</f>
        <v>43904</v>
      </c>
      <c r="AE31">
        <f xml:space="preserve"> x^3 + y^3</f>
        <v>46341</v>
      </c>
      <c r="AF31">
        <f xml:space="preserve"> x^3 + y^3</f>
        <v>48952</v>
      </c>
    </row>
    <row r="32" spans="2:32" x14ac:dyDescent="0.25">
      <c r="B32" s="5">
        <v>29</v>
      </c>
      <c r="C32">
        <f xml:space="preserve"> x^3 + y^3</f>
        <v>24390</v>
      </c>
      <c r="D32">
        <f xml:space="preserve"> x^3 + y^3</f>
        <v>24397</v>
      </c>
      <c r="E32">
        <f xml:space="preserve"> x^3 + y^3</f>
        <v>24416</v>
      </c>
      <c r="F32">
        <f xml:space="preserve"> x^3 + y^3</f>
        <v>24453</v>
      </c>
      <c r="G32">
        <f xml:space="preserve"> x^3 + y^3</f>
        <v>24514</v>
      </c>
      <c r="H32">
        <f xml:space="preserve"> x^3 + y^3</f>
        <v>24605</v>
      </c>
      <c r="I32">
        <f xml:space="preserve"> x^3 + y^3</f>
        <v>24732</v>
      </c>
      <c r="J32">
        <f xml:space="preserve"> x^3 + y^3</f>
        <v>24901</v>
      </c>
      <c r="K32">
        <f xml:space="preserve"> x^3 + y^3</f>
        <v>25118</v>
      </c>
      <c r="L32">
        <f xml:space="preserve"> x^3 + y^3</f>
        <v>25389</v>
      </c>
      <c r="M32">
        <f xml:space="preserve"> x^3 + y^3</f>
        <v>25720</v>
      </c>
      <c r="N32">
        <f xml:space="preserve"> x^3 + y^3</f>
        <v>26117</v>
      </c>
      <c r="O32">
        <f xml:space="preserve"> x^3 + y^3</f>
        <v>26586</v>
      </c>
      <c r="P32">
        <f xml:space="preserve"> x^3 + y^3</f>
        <v>27133</v>
      </c>
      <c r="Q32">
        <f xml:space="preserve"> x^3 + y^3</f>
        <v>27764</v>
      </c>
      <c r="R32">
        <f xml:space="preserve"> x^3 + y^3</f>
        <v>28485</v>
      </c>
      <c r="S32">
        <f xml:space="preserve"> x^3 + y^3</f>
        <v>29302</v>
      </c>
      <c r="T32">
        <f xml:space="preserve"> x^3 + y^3</f>
        <v>30221</v>
      </c>
      <c r="U32">
        <f xml:space="preserve"> x^3 + y^3</f>
        <v>31248</v>
      </c>
      <c r="V32">
        <f xml:space="preserve"> x^3 + y^3</f>
        <v>32389</v>
      </c>
      <c r="W32">
        <f xml:space="preserve"> x^3 + y^3</f>
        <v>33650</v>
      </c>
      <c r="X32">
        <f xml:space="preserve"> x^3 + y^3</f>
        <v>35037</v>
      </c>
      <c r="Y32">
        <f xml:space="preserve"> x^3 + y^3</f>
        <v>36556</v>
      </c>
      <c r="Z32">
        <f xml:space="preserve"> x^3 + y^3</f>
        <v>38213</v>
      </c>
      <c r="AA32">
        <f xml:space="preserve"> x^3 + y^3</f>
        <v>40014</v>
      </c>
      <c r="AB32">
        <f xml:space="preserve"> x^3 + y^3</f>
        <v>41965</v>
      </c>
      <c r="AC32">
        <f xml:space="preserve"> x^3 + y^3</f>
        <v>44072</v>
      </c>
      <c r="AD32">
        <f xml:space="preserve"> x^3 + y^3</f>
        <v>46341</v>
      </c>
      <c r="AE32">
        <f xml:space="preserve"> x^3 + y^3</f>
        <v>48778</v>
      </c>
      <c r="AF32">
        <f xml:space="preserve"> x^3 + y^3</f>
        <v>51389</v>
      </c>
    </row>
    <row r="33" spans="2:32" x14ac:dyDescent="0.25">
      <c r="B33" s="5">
        <v>30</v>
      </c>
      <c r="C33">
        <f xml:space="preserve"> x^3 + y^3</f>
        <v>27001</v>
      </c>
      <c r="D33">
        <f xml:space="preserve"> x^3 + y^3</f>
        <v>27008</v>
      </c>
      <c r="E33">
        <f xml:space="preserve"> x^3 + y^3</f>
        <v>27027</v>
      </c>
      <c r="F33">
        <f xml:space="preserve"> x^3 + y^3</f>
        <v>27064</v>
      </c>
      <c r="G33">
        <f xml:space="preserve"> x^3 + y^3</f>
        <v>27125</v>
      </c>
      <c r="H33">
        <f xml:space="preserve"> x^3 + y^3</f>
        <v>27216</v>
      </c>
      <c r="I33">
        <f xml:space="preserve"> x^3 + y^3</f>
        <v>27343</v>
      </c>
      <c r="J33">
        <f xml:space="preserve"> x^3 + y^3</f>
        <v>27512</v>
      </c>
      <c r="K33">
        <f xml:space="preserve"> x^3 + y^3</f>
        <v>27729</v>
      </c>
      <c r="L33">
        <f xml:space="preserve"> x^3 + y^3</f>
        <v>28000</v>
      </c>
      <c r="M33">
        <f xml:space="preserve"> x^3 + y^3</f>
        <v>28331</v>
      </c>
      <c r="N33">
        <f xml:space="preserve"> x^3 + y^3</f>
        <v>28728</v>
      </c>
      <c r="O33">
        <f xml:space="preserve"> x^3 + y^3</f>
        <v>29197</v>
      </c>
      <c r="P33">
        <f xml:space="preserve"> x^3 + y^3</f>
        <v>29744</v>
      </c>
      <c r="Q33">
        <f xml:space="preserve"> x^3 + y^3</f>
        <v>30375</v>
      </c>
      <c r="R33">
        <f xml:space="preserve"> x^3 + y^3</f>
        <v>31096</v>
      </c>
      <c r="S33">
        <f xml:space="preserve"> x^3 + y^3</f>
        <v>31913</v>
      </c>
      <c r="T33">
        <f xml:space="preserve"> x^3 + y^3</f>
        <v>32832</v>
      </c>
      <c r="U33">
        <f xml:space="preserve"> x^3 + y^3</f>
        <v>33859</v>
      </c>
      <c r="V33">
        <f xml:space="preserve"> x^3 + y^3</f>
        <v>35000</v>
      </c>
      <c r="W33">
        <f xml:space="preserve"> x^3 + y^3</f>
        <v>36261</v>
      </c>
      <c r="X33">
        <f xml:space="preserve"> x^3 + y^3</f>
        <v>37648</v>
      </c>
      <c r="Y33">
        <f xml:space="preserve"> x^3 + y^3</f>
        <v>39167</v>
      </c>
      <c r="Z33">
        <f xml:space="preserve"> x^3 + y^3</f>
        <v>40824</v>
      </c>
      <c r="AA33">
        <f xml:space="preserve"> x^3 + y^3</f>
        <v>42625</v>
      </c>
      <c r="AB33">
        <f xml:space="preserve"> x^3 + y^3</f>
        <v>44576</v>
      </c>
      <c r="AC33">
        <f xml:space="preserve"> x^3 + y^3</f>
        <v>46683</v>
      </c>
      <c r="AD33">
        <f xml:space="preserve"> x^3 + y^3</f>
        <v>48952</v>
      </c>
      <c r="AE33">
        <f xml:space="preserve"> x^3 + y^3</f>
        <v>51389</v>
      </c>
      <c r="AF33">
        <f xml:space="preserve"> x^3 + y^3</f>
        <v>54000</v>
      </c>
    </row>
  </sheetData>
  <conditionalFormatting sqref="C4:AF33">
    <cfRule type="cellIs" dxfId="0" priority="1" operator="equal">
      <formula>$A$2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AF33"/>
  <sheetViews>
    <sheetView workbookViewId="0"/>
  </sheetViews>
  <sheetFormatPr defaultColWidth="6.140625" defaultRowHeight="15" x14ac:dyDescent="0.25"/>
  <cols>
    <col min="20" max="24" width="7" bestFit="1" customWidth="1"/>
    <col min="26" max="31" width="7" bestFit="1" customWidth="1"/>
  </cols>
  <sheetData>
    <row r="1" spans="1:32" x14ac:dyDescent="0.25">
      <c r="E1">
        <v>16</v>
      </c>
    </row>
    <row r="2" spans="1:32" x14ac:dyDescent="0.25">
      <c r="A2" t="e">
        <f>MODE(C4:AF33)</f>
        <v>#N/A</v>
      </c>
    </row>
    <row r="3" spans="1:32" x14ac:dyDescent="0.25">
      <c r="B3" s="6"/>
      <c r="C3" s="4">
        <v>1</v>
      </c>
      <c r="D3" s="4">
        <v>2</v>
      </c>
      <c r="E3" s="4">
        <v>3</v>
      </c>
      <c r="F3" s="4">
        <v>4</v>
      </c>
      <c r="G3" s="4">
        <v>5</v>
      </c>
      <c r="H3" s="4">
        <v>6</v>
      </c>
      <c r="I3" s="4">
        <v>7</v>
      </c>
      <c r="J3" s="4">
        <v>8</v>
      </c>
      <c r="K3" s="4">
        <v>9</v>
      </c>
      <c r="L3" s="4">
        <v>10</v>
      </c>
      <c r="M3" s="4">
        <v>11</v>
      </c>
      <c r="N3" s="4">
        <v>12</v>
      </c>
      <c r="O3" s="4">
        <v>13</v>
      </c>
      <c r="P3" s="4">
        <v>14</v>
      </c>
      <c r="Q3" s="4">
        <v>15</v>
      </c>
      <c r="R3" s="4">
        <v>16</v>
      </c>
      <c r="S3" s="4">
        <v>17</v>
      </c>
      <c r="T3" s="4">
        <v>18</v>
      </c>
      <c r="U3" s="4">
        <v>19</v>
      </c>
      <c r="V3" s="4">
        <v>20</v>
      </c>
      <c r="W3" s="4">
        <v>21</v>
      </c>
      <c r="X3" s="4">
        <v>22</v>
      </c>
      <c r="Y3" s="4">
        <v>23</v>
      </c>
      <c r="Z3" s="4">
        <v>24</v>
      </c>
      <c r="AA3" s="4">
        <v>25</v>
      </c>
      <c r="AB3" s="4">
        <v>26</v>
      </c>
      <c r="AC3" s="4">
        <v>27</v>
      </c>
      <c r="AD3" s="4">
        <v>28</v>
      </c>
      <c r="AE3" s="4">
        <v>29</v>
      </c>
      <c r="AF3" s="4">
        <v>30</v>
      </c>
    </row>
    <row r="4" spans="1:32" x14ac:dyDescent="0.25">
      <c r="B4" s="5">
        <v>1</v>
      </c>
      <c r="C4">
        <f>IF(AND(x &gt;=y, x + y &lt;= show_value), x^3+ y^3, "")</f>
        <v>2</v>
      </c>
      <c r="D4">
        <f>IF(AND(x &gt;=y, x + y &lt;= show_value), x^3+ y^3, "")</f>
        <v>9</v>
      </c>
      <c r="E4">
        <f>IF(AND(x &gt;=y, x + y &lt;= show_value), x^3+ y^3, "")</f>
        <v>28</v>
      </c>
      <c r="F4">
        <f>IF(AND(x &gt;=y, x + y &lt;= show_value), x^3+ y^3, "")</f>
        <v>65</v>
      </c>
      <c r="G4">
        <f>IF(AND(x &gt;=y, x + y &lt;= show_value), x^3+ y^3, "")</f>
        <v>126</v>
      </c>
      <c r="H4">
        <f>IF(AND(x &gt;=y, x + y &lt;= show_value), x^3+ y^3, "")</f>
        <v>217</v>
      </c>
      <c r="I4">
        <f>IF(AND(x &gt;=y, x + y &lt;= show_value), x^3+ y^3, "")</f>
        <v>344</v>
      </c>
      <c r="J4">
        <f>IF(AND(x &gt;=y, x + y &lt;= show_value), x^3+ y^3, "")</f>
        <v>513</v>
      </c>
      <c r="K4">
        <f>IF(AND(x &gt;=y, x + y &lt;= show_value), x^3+ y^3, "")</f>
        <v>730</v>
      </c>
      <c r="L4">
        <f>IF(AND(x &gt;=y, x + y &lt;= show_value), x^3+ y^3, "")</f>
        <v>1001</v>
      </c>
      <c r="M4">
        <f>IF(AND(x &gt;=y, x + y &lt;= show_value), x^3+ y^3, "")</f>
        <v>1332</v>
      </c>
      <c r="N4">
        <f>IF(AND(x &gt;=y, x + y &lt;= show_value), x^3+ y^3, "")</f>
        <v>1729</v>
      </c>
      <c r="O4">
        <f>IF(AND(x &gt;=y, x + y &lt;= show_value), x^3+ y^3, "")</f>
        <v>2198</v>
      </c>
      <c r="P4">
        <f>IF(AND(x &gt;=y, x + y &lt;= show_value), x^3+ y^3, "")</f>
        <v>2745</v>
      </c>
      <c r="Q4">
        <f>IF(AND(x &gt;=y, x + y &lt;= show_value), x^3+ y^3, "")</f>
        <v>3376</v>
      </c>
      <c r="R4" t="str">
        <f>IF(AND(x &gt;=y, x + y &lt;= show_value), x^3+ y^3, "")</f>
        <v/>
      </c>
      <c r="S4" t="str">
        <f>IF(AND(x &gt;=y, x + y &lt;= show_value), x^3+ y^3, "")</f>
        <v/>
      </c>
      <c r="T4" t="str">
        <f>IF(AND(x &gt;=y, x + y &lt;= show_value), x^3+ y^3, "")</f>
        <v/>
      </c>
      <c r="U4" t="str">
        <f>IF(AND(x &gt;=y, x + y &lt;= show_value), x^3+ y^3, "")</f>
        <v/>
      </c>
      <c r="V4" t="str">
        <f>IF(AND(x &gt;=y, x + y &lt;= show_value), x^3+ y^3, "")</f>
        <v/>
      </c>
      <c r="W4" t="str">
        <f>IF(AND(x &gt;=y, x + y &lt;= show_value), x^3+ y^3, "")</f>
        <v/>
      </c>
      <c r="X4" t="str">
        <f>IF(AND(x &gt;=y, x + y &lt;= show_value), x^3+ y^3, "")</f>
        <v/>
      </c>
      <c r="Y4" t="str">
        <f>IF(AND(x &gt;=y, x + y &lt;= show_value), x^3+ y^3, "")</f>
        <v/>
      </c>
      <c r="Z4" t="str">
        <f>IF(AND(x &gt;=y, x + y &lt;= show_value), x^3+ y^3, "")</f>
        <v/>
      </c>
      <c r="AA4" t="str">
        <f>IF(AND(x &gt;=y, x + y &lt;= show_value), x^3+ y^3, "")</f>
        <v/>
      </c>
      <c r="AB4" t="str">
        <f>IF(AND(x &gt;=y, x + y &lt;= show_value), x^3+ y^3, "")</f>
        <v/>
      </c>
      <c r="AC4" t="str">
        <f>IF(AND(x &gt;=y, x + y &lt;= show_value), x^3+ y^3, "")</f>
        <v/>
      </c>
      <c r="AD4" t="str">
        <f>IF(AND(x &gt;=y, x + y &lt;= show_value), x^3+ y^3, "")</f>
        <v/>
      </c>
      <c r="AE4" t="str">
        <f>IF(AND(x &gt;=y, x + y &lt;= show_value), x^3+ y^3, "")</f>
        <v/>
      </c>
      <c r="AF4" t="str">
        <f>IF(AND(x &gt;=y, x + y &lt;= show_value), x^3+ y^3, "")</f>
        <v/>
      </c>
    </row>
    <row r="5" spans="1:32" x14ac:dyDescent="0.25">
      <c r="B5" s="5">
        <v>2</v>
      </c>
      <c r="C5" t="str">
        <f>IF(AND(x &gt;=y, x + y &lt;= show_value), x^3+ y^3, "")</f>
        <v/>
      </c>
      <c r="D5">
        <f>IF(AND(x &gt;=y, x + y &lt;= show_value), x^3+ y^3, "")</f>
        <v>16</v>
      </c>
      <c r="E5">
        <f>IF(AND(x &gt;=y, x + y &lt;= show_value), x^3+ y^3, "")</f>
        <v>35</v>
      </c>
      <c r="F5">
        <f>IF(AND(x &gt;=y, x + y &lt;= show_value), x^3+ y^3, "")</f>
        <v>72</v>
      </c>
      <c r="G5">
        <f>IF(AND(x &gt;=y, x + y &lt;= show_value), x^3+ y^3, "")</f>
        <v>133</v>
      </c>
      <c r="H5">
        <f>IF(AND(x &gt;=y, x + y &lt;= show_value), x^3+ y^3, "")</f>
        <v>224</v>
      </c>
      <c r="I5">
        <f>IF(AND(x &gt;=y, x + y &lt;= show_value), x^3+ y^3, "")</f>
        <v>351</v>
      </c>
      <c r="J5">
        <f>IF(AND(x &gt;=y, x + y &lt;= show_value), x^3+ y^3, "")</f>
        <v>520</v>
      </c>
      <c r="K5">
        <f>IF(AND(x &gt;=y, x + y &lt;= show_value), x^3+ y^3, "")</f>
        <v>737</v>
      </c>
      <c r="L5">
        <f>IF(AND(x &gt;=y, x + y &lt;= show_value), x^3+ y^3, "")</f>
        <v>1008</v>
      </c>
      <c r="M5">
        <f>IF(AND(x &gt;=y, x + y &lt;= show_value), x^3+ y^3, "")</f>
        <v>1339</v>
      </c>
      <c r="N5">
        <f>IF(AND(x &gt;=y, x + y &lt;= show_value), x^3+ y^3, "")</f>
        <v>1736</v>
      </c>
      <c r="O5">
        <f>IF(AND(x &gt;=y, x + y &lt;= show_value), x^3+ y^3, "")</f>
        <v>2205</v>
      </c>
      <c r="P5">
        <f>IF(AND(x &gt;=y, x + y &lt;= show_value), x^3+ y^3, "")</f>
        <v>2752</v>
      </c>
      <c r="Q5" t="str">
        <f>IF(AND(x &gt;=y, x + y &lt;= show_value), x^3+ y^3, "")</f>
        <v/>
      </c>
      <c r="R5" t="str">
        <f>IF(AND(x &gt;=y, x + y &lt;= show_value), x^3+ y^3, "")</f>
        <v/>
      </c>
      <c r="S5" t="str">
        <f>IF(AND(x &gt;=y, x + y &lt;= show_value), x^3+ y^3, "")</f>
        <v/>
      </c>
      <c r="T5" t="str">
        <f>IF(AND(x &gt;=y, x + y &lt;= show_value), x^3+ y^3, "")</f>
        <v/>
      </c>
      <c r="U5" t="str">
        <f>IF(AND(x &gt;=y, x + y &lt;= show_value), x^3+ y^3, "")</f>
        <v/>
      </c>
      <c r="V5" t="str">
        <f>IF(AND(x &gt;=y, x + y &lt;= show_value), x^3+ y^3, "")</f>
        <v/>
      </c>
      <c r="W5" t="str">
        <f>IF(AND(x &gt;=y, x + y &lt;= show_value), x^3+ y^3, "")</f>
        <v/>
      </c>
      <c r="X5" t="str">
        <f>IF(AND(x &gt;=y, x + y &lt;= show_value), x^3+ y^3, "")</f>
        <v/>
      </c>
      <c r="Y5" t="str">
        <f>IF(AND(x &gt;=y, x + y &lt;= show_value), x^3+ y^3, "")</f>
        <v/>
      </c>
      <c r="Z5" t="str">
        <f>IF(AND(x &gt;=y, x + y &lt;= show_value), x^3+ y^3, "")</f>
        <v/>
      </c>
      <c r="AA5" t="str">
        <f>IF(AND(x &gt;=y, x + y &lt;= show_value), x^3+ y^3, "")</f>
        <v/>
      </c>
      <c r="AB5" t="str">
        <f>IF(AND(x &gt;=y, x + y &lt;= show_value), x^3+ y^3, "")</f>
        <v/>
      </c>
      <c r="AC5" t="str">
        <f>IF(AND(x &gt;=y, x + y &lt;= show_value), x^3+ y^3, "")</f>
        <v/>
      </c>
      <c r="AD5" t="str">
        <f>IF(AND(x &gt;=y, x + y &lt;= show_value), x^3+ y^3, "")</f>
        <v/>
      </c>
      <c r="AE5" t="str">
        <f>IF(AND(x &gt;=y, x + y &lt;= show_value), x^3+ y^3, "")</f>
        <v/>
      </c>
      <c r="AF5" t="str">
        <f>IF(AND(x &gt;=y, x + y &lt;= show_value), x^3+ y^3, "")</f>
        <v/>
      </c>
    </row>
    <row r="6" spans="1:32" x14ac:dyDescent="0.25">
      <c r="B6" s="5">
        <v>3</v>
      </c>
      <c r="C6" t="str">
        <f>IF(AND(x &gt;=y, x + y &lt;= show_value), x^3+ y^3, "")</f>
        <v/>
      </c>
      <c r="D6" t="str">
        <f>IF(AND(x &gt;=y, x + y &lt;= show_value), x^3+ y^3, "")</f>
        <v/>
      </c>
      <c r="E6">
        <f>IF(AND(x &gt;=y, x + y &lt;= show_value), x^3+ y^3, "")</f>
        <v>54</v>
      </c>
      <c r="F6">
        <f>IF(AND(x &gt;=y, x + y &lt;= show_value), x^3+ y^3, "")</f>
        <v>91</v>
      </c>
      <c r="G6">
        <f>IF(AND(x &gt;=y, x + y &lt;= show_value), x^3+ y^3, "")</f>
        <v>152</v>
      </c>
      <c r="H6">
        <f>IF(AND(x &gt;=y, x + y &lt;= show_value), x^3+ y^3, "")</f>
        <v>243</v>
      </c>
      <c r="I6">
        <f>IF(AND(x &gt;=y, x + y &lt;= show_value), x^3+ y^3, "")</f>
        <v>370</v>
      </c>
      <c r="J6">
        <f>IF(AND(x &gt;=y, x + y &lt;= show_value), x^3+ y^3, "")</f>
        <v>539</v>
      </c>
      <c r="K6">
        <f>IF(AND(x &gt;=y, x + y &lt;= show_value), x^3+ y^3, "")</f>
        <v>756</v>
      </c>
      <c r="L6">
        <f>IF(AND(x &gt;=y, x + y &lt;= show_value), x^3+ y^3, "")</f>
        <v>1027</v>
      </c>
      <c r="M6">
        <f>IF(AND(x &gt;=y, x + y &lt;= show_value), x^3+ y^3, "")</f>
        <v>1358</v>
      </c>
      <c r="N6">
        <f>IF(AND(x &gt;=y, x + y &lt;= show_value), x^3+ y^3, "")</f>
        <v>1755</v>
      </c>
      <c r="O6">
        <f>IF(AND(x &gt;=y, x + y &lt;= show_value), x^3+ y^3, "")</f>
        <v>2224</v>
      </c>
      <c r="P6" t="str">
        <f>IF(AND(x &gt;=y, x + y &lt;= show_value), x^3+ y^3, "")</f>
        <v/>
      </c>
      <c r="Q6" t="str">
        <f>IF(AND(x &gt;=y, x + y &lt;= show_value), x^3+ y^3, "")</f>
        <v/>
      </c>
      <c r="R6" t="str">
        <f>IF(AND(x &gt;=y, x + y &lt;= show_value), x^3+ y^3, "")</f>
        <v/>
      </c>
      <c r="S6" t="str">
        <f>IF(AND(x &gt;=y, x + y &lt;= show_value), x^3+ y^3, "")</f>
        <v/>
      </c>
      <c r="T6" t="str">
        <f>IF(AND(x &gt;=y, x + y &lt;= show_value), x^3+ y^3, "")</f>
        <v/>
      </c>
      <c r="U6" t="str">
        <f>IF(AND(x &gt;=y, x + y &lt;= show_value), x^3+ y^3, "")</f>
        <v/>
      </c>
      <c r="V6" t="str">
        <f>IF(AND(x &gt;=y, x + y &lt;= show_value), x^3+ y^3, "")</f>
        <v/>
      </c>
      <c r="W6" t="str">
        <f>IF(AND(x &gt;=y, x + y &lt;= show_value), x^3+ y^3, "")</f>
        <v/>
      </c>
      <c r="X6" t="str">
        <f>IF(AND(x &gt;=y, x + y &lt;= show_value), x^3+ y^3, "")</f>
        <v/>
      </c>
      <c r="Y6" t="str">
        <f>IF(AND(x &gt;=y, x + y &lt;= show_value), x^3+ y^3, "")</f>
        <v/>
      </c>
      <c r="Z6" t="str">
        <f>IF(AND(x &gt;=y, x + y &lt;= show_value), x^3+ y^3, "")</f>
        <v/>
      </c>
      <c r="AA6" t="str">
        <f>IF(AND(x &gt;=y, x + y &lt;= show_value), x^3+ y^3, "")</f>
        <v/>
      </c>
      <c r="AB6" t="str">
        <f>IF(AND(x &gt;=y, x + y &lt;= show_value), x^3+ y^3, "")</f>
        <v/>
      </c>
      <c r="AC6" t="str">
        <f>IF(AND(x &gt;=y, x + y &lt;= show_value), x^3+ y^3, "")</f>
        <v/>
      </c>
      <c r="AD6" t="str">
        <f>IF(AND(x &gt;=y, x + y &lt;= show_value), x^3+ y^3, "")</f>
        <v/>
      </c>
      <c r="AE6" t="str">
        <f>IF(AND(x &gt;=y, x + y &lt;= show_value), x^3+ y^3, "")</f>
        <v/>
      </c>
      <c r="AF6" t="str">
        <f>IF(AND(x &gt;=y, x + y &lt;= show_value), x^3+ y^3, "")</f>
        <v/>
      </c>
    </row>
    <row r="7" spans="1:32" x14ac:dyDescent="0.25">
      <c r="B7" s="5">
        <v>4</v>
      </c>
      <c r="C7" t="str">
        <f>IF(AND(x &gt;=y, x + y &lt;= show_value), x^3+ y^3, "")</f>
        <v/>
      </c>
      <c r="D7" t="str">
        <f>IF(AND(x &gt;=y, x + y &lt;= show_value), x^3+ y^3, "")</f>
        <v/>
      </c>
      <c r="E7" t="str">
        <f>IF(AND(x &gt;=y, x + y &lt;= show_value), x^3+ y^3, "")</f>
        <v/>
      </c>
      <c r="F7">
        <f>IF(AND(x &gt;=y, x + y &lt;= show_value), x^3+ y^3, "")</f>
        <v>128</v>
      </c>
      <c r="G7">
        <f>IF(AND(x &gt;=y, x + y &lt;= show_value), x^3+ y^3, "")</f>
        <v>189</v>
      </c>
      <c r="H7">
        <f>IF(AND(x &gt;=y, x + y &lt;= show_value), x^3+ y^3, "")</f>
        <v>280</v>
      </c>
      <c r="I7">
        <f>IF(AND(x &gt;=y, x + y &lt;= show_value), x^3+ y^3, "")</f>
        <v>407</v>
      </c>
      <c r="J7">
        <f>IF(AND(x &gt;=y, x + y &lt;= show_value), x^3+ y^3, "")</f>
        <v>576</v>
      </c>
      <c r="K7">
        <f>IF(AND(x &gt;=y, x + y &lt;= show_value), x^3+ y^3, "")</f>
        <v>793</v>
      </c>
      <c r="L7">
        <f>IF(AND(x &gt;=y, x + y &lt;= show_value), x^3+ y^3, "")</f>
        <v>1064</v>
      </c>
      <c r="M7">
        <f>IF(AND(x &gt;=y, x + y &lt;= show_value), x^3+ y^3, "")</f>
        <v>1395</v>
      </c>
      <c r="N7">
        <f>IF(AND(x &gt;=y, x + y &lt;= show_value), x^3+ y^3, "")</f>
        <v>1792</v>
      </c>
      <c r="O7" t="str">
        <f>IF(AND(x &gt;=y, x + y &lt;= show_value), x^3+ y^3, "")</f>
        <v/>
      </c>
      <c r="P7" t="str">
        <f>IF(AND(x &gt;=y, x + y &lt;= show_value), x^3+ y^3, "")</f>
        <v/>
      </c>
      <c r="Q7" t="str">
        <f>IF(AND(x &gt;=y, x + y &lt;= show_value), x^3+ y^3, "")</f>
        <v/>
      </c>
      <c r="R7" t="str">
        <f>IF(AND(x &gt;=y, x + y &lt;= show_value), x^3+ y^3, "")</f>
        <v/>
      </c>
      <c r="S7" t="str">
        <f>IF(AND(x &gt;=y, x + y &lt;= show_value), x^3+ y^3, "")</f>
        <v/>
      </c>
      <c r="T7" t="str">
        <f>IF(AND(x &gt;=y, x + y &lt;= show_value), x^3+ y^3, "")</f>
        <v/>
      </c>
      <c r="U7" t="str">
        <f>IF(AND(x &gt;=y, x + y &lt;= show_value), x^3+ y^3, "")</f>
        <v/>
      </c>
      <c r="V7" t="str">
        <f>IF(AND(x &gt;=y, x + y &lt;= show_value), x^3+ y^3, "")</f>
        <v/>
      </c>
      <c r="W7" t="str">
        <f>IF(AND(x &gt;=y, x + y &lt;= show_value), x^3+ y^3, "")</f>
        <v/>
      </c>
      <c r="X7" t="str">
        <f>IF(AND(x &gt;=y, x + y &lt;= show_value), x^3+ y^3, "")</f>
        <v/>
      </c>
      <c r="Y7" t="str">
        <f>IF(AND(x &gt;=y, x + y &lt;= show_value), x^3+ y^3, "")</f>
        <v/>
      </c>
      <c r="Z7" t="str">
        <f>IF(AND(x &gt;=y, x + y &lt;= show_value), x^3+ y^3, "")</f>
        <v/>
      </c>
      <c r="AA7" t="str">
        <f>IF(AND(x &gt;=y, x + y &lt;= show_value), x^3+ y^3, "")</f>
        <v/>
      </c>
      <c r="AB7" t="str">
        <f>IF(AND(x &gt;=y, x + y &lt;= show_value), x^3+ y^3, "")</f>
        <v/>
      </c>
      <c r="AC7" t="str">
        <f>IF(AND(x &gt;=y, x + y &lt;= show_value), x^3+ y^3, "")</f>
        <v/>
      </c>
      <c r="AD7" t="str">
        <f>IF(AND(x &gt;=y, x + y &lt;= show_value), x^3+ y^3, "")</f>
        <v/>
      </c>
      <c r="AE7" t="str">
        <f>IF(AND(x &gt;=y, x + y &lt;= show_value), x^3+ y^3, "")</f>
        <v/>
      </c>
      <c r="AF7" t="str">
        <f>IF(AND(x &gt;=y, x + y &lt;= show_value), x^3+ y^3, "")</f>
        <v/>
      </c>
    </row>
    <row r="8" spans="1:32" x14ac:dyDescent="0.25">
      <c r="B8" s="5">
        <v>5</v>
      </c>
      <c r="C8" t="str">
        <f>IF(AND(x &gt;=y, x + y &lt;= show_value), x^3+ y^3, "")</f>
        <v/>
      </c>
      <c r="D8" t="str">
        <f>IF(AND(x &gt;=y, x + y &lt;= show_value), x^3+ y^3, "")</f>
        <v/>
      </c>
      <c r="E8" t="str">
        <f>IF(AND(x &gt;=y, x + y &lt;= show_value), x^3+ y^3, "")</f>
        <v/>
      </c>
      <c r="F8" t="str">
        <f>IF(AND(x &gt;=y, x + y &lt;= show_value), x^3+ y^3, "")</f>
        <v/>
      </c>
      <c r="G8">
        <f>IF(AND(x &gt;=y, x + y &lt;= show_value), x^3+ y^3, "")</f>
        <v>250</v>
      </c>
      <c r="H8">
        <f>IF(AND(x &gt;=y, x + y &lt;= show_value), x^3+ y^3, "")</f>
        <v>341</v>
      </c>
      <c r="I8">
        <f>IF(AND(x &gt;=y, x + y &lt;= show_value), x^3+ y^3, "")</f>
        <v>468</v>
      </c>
      <c r="J8">
        <f>IF(AND(x &gt;=y, x + y &lt;= show_value), x^3+ y^3, "")</f>
        <v>637</v>
      </c>
      <c r="K8">
        <f>IF(AND(x &gt;=y, x + y &lt;= show_value), x^3+ y^3, "")</f>
        <v>854</v>
      </c>
      <c r="L8">
        <f>IF(AND(x &gt;=y, x + y &lt;= show_value), x^3+ y^3, "")</f>
        <v>1125</v>
      </c>
      <c r="M8">
        <f>IF(AND(x &gt;=y, x + y &lt;= show_value), x^3+ y^3, "")</f>
        <v>1456</v>
      </c>
      <c r="N8" t="str">
        <f>IF(AND(x &gt;=y, x + y &lt;= show_value), x^3+ y^3, "")</f>
        <v/>
      </c>
      <c r="O8" t="str">
        <f>IF(AND(x &gt;=y, x + y &lt;= show_value), x^3+ y^3, "")</f>
        <v/>
      </c>
      <c r="P8" t="str">
        <f>IF(AND(x &gt;=y, x + y &lt;= show_value), x^3+ y^3, "")</f>
        <v/>
      </c>
      <c r="Q8" t="str">
        <f>IF(AND(x &gt;=y, x + y &lt;= show_value), x^3+ y^3, "")</f>
        <v/>
      </c>
      <c r="R8" t="str">
        <f>IF(AND(x &gt;=y, x + y &lt;= show_value), x^3+ y^3, "")</f>
        <v/>
      </c>
      <c r="S8" t="str">
        <f>IF(AND(x &gt;=y, x + y &lt;= show_value), x^3+ y^3, "")</f>
        <v/>
      </c>
      <c r="T8" t="str">
        <f>IF(AND(x &gt;=y, x + y &lt;= show_value), x^3+ y^3, "")</f>
        <v/>
      </c>
      <c r="U8" t="str">
        <f>IF(AND(x &gt;=y, x + y &lt;= show_value), x^3+ y^3, "")</f>
        <v/>
      </c>
      <c r="V8" t="str">
        <f>IF(AND(x &gt;=y, x + y &lt;= show_value), x^3+ y^3, "")</f>
        <v/>
      </c>
      <c r="W8" t="str">
        <f>IF(AND(x &gt;=y, x + y &lt;= show_value), x^3+ y^3, "")</f>
        <v/>
      </c>
      <c r="X8" t="str">
        <f>IF(AND(x &gt;=y, x + y &lt;= show_value), x^3+ y^3, "")</f>
        <v/>
      </c>
      <c r="Y8" t="str">
        <f>IF(AND(x &gt;=y, x + y &lt;= show_value), x^3+ y^3, "")</f>
        <v/>
      </c>
      <c r="Z8" t="str">
        <f>IF(AND(x &gt;=y, x + y &lt;= show_value), x^3+ y^3, "")</f>
        <v/>
      </c>
      <c r="AA8" t="str">
        <f>IF(AND(x &gt;=y, x + y &lt;= show_value), x^3+ y^3, "")</f>
        <v/>
      </c>
      <c r="AB8" t="str">
        <f>IF(AND(x &gt;=y, x + y &lt;= show_value), x^3+ y^3, "")</f>
        <v/>
      </c>
      <c r="AC8" t="str">
        <f>IF(AND(x &gt;=y, x + y &lt;= show_value), x^3+ y^3, "")</f>
        <v/>
      </c>
      <c r="AD8" t="str">
        <f>IF(AND(x &gt;=y, x + y &lt;= show_value), x^3+ y^3, "")</f>
        <v/>
      </c>
      <c r="AE8" t="str">
        <f>IF(AND(x &gt;=y, x + y &lt;= show_value), x^3+ y^3, "")</f>
        <v/>
      </c>
      <c r="AF8" t="str">
        <f>IF(AND(x &gt;=y, x + y &lt;= show_value), x^3+ y^3, "")</f>
        <v/>
      </c>
    </row>
    <row r="9" spans="1:32" x14ac:dyDescent="0.25">
      <c r="B9" s="5">
        <v>6</v>
      </c>
      <c r="C9" t="str">
        <f>IF(AND(x &gt;=y, x + y &lt;= show_value), x^3+ y^3, "")</f>
        <v/>
      </c>
      <c r="D9" t="str">
        <f>IF(AND(x &gt;=y, x + y &lt;= show_value), x^3+ y^3, "")</f>
        <v/>
      </c>
      <c r="E9" t="str">
        <f>IF(AND(x &gt;=y, x + y &lt;= show_value), x^3+ y^3, "")</f>
        <v/>
      </c>
      <c r="F9" t="str">
        <f>IF(AND(x &gt;=y, x + y &lt;= show_value), x^3+ y^3, "")</f>
        <v/>
      </c>
      <c r="G9" t="str">
        <f>IF(AND(x &gt;=y, x + y &lt;= show_value), x^3+ y^3, "")</f>
        <v/>
      </c>
      <c r="H9">
        <f>IF(AND(x &gt;=y, x + y &lt;= show_value), x^3+ y^3, "")</f>
        <v>432</v>
      </c>
      <c r="I9">
        <f>IF(AND(x &gt;=y, x + y &lt;= show_value), x^3+ y^3, "")</f>
        <v>559</v>
      </c>
      <c r="J9">
        <f>IF(AND(x &gt;=y, x + y &lt;= show_value), x^3+ y^3, "")</f>
        <v>728</v>
      </c>
      <c r="K9">
        <f>IF(AND(x &gt;=y, x + y &lt;= show_value), x^3+ y^3, "")</f>
        <v>945</v>
      </c>
      <c r="L9">
        <f>IF(AND(x &gt;=y, x + y &lt;= show_value), x^3+ y^3, "")</f>
        <v>1216</v>
      </c>
      <c r="M9" t="str">
        <f>IF(AND(x &gt;=y, x + y &lt;= show_value), x^3+ y^3, "")</f>
        <v/>
      </c>
      <c r="N9" t="str">
        <f>IF(AND(x &gt;=y, x + y &lt;= show_value), x^3+ y^3, "")</f>
        <v/>
      </c>
      <c r="O9" t="str">
        <f>IF(AND(x &gt;=y, x + y &lt;= show_value), x^3+ y^3, "")</f>
        <v/>
      </c>
      <c r="P9" t="str">
        <f>IF(AND(x &gt;=y, x + y &lt;= show_value), x^3+ y^3, "")</f>
        <v/>
      </c>
      <c r="Q9" t="str">
        <f>IF(AND(x &gt;=y, x + y &lt;= show_value), x^3+ y^3, "")</f>
        <v/>
      </c>
      <c r="R9" t="str">
        <f>IF(AND(x &gt;=y, x + y &lt;= show_value), x^3+ y^3, "")</f>
        <v/>
      </c>
      <c r="S9" t="str">
        <f>IF(AND(x &gt;=y, x + y &lt;= show_value), x^3+ y^3, "")</f>
        <v/>
      </c>
      <c r="T9" t="str">
        <f>IF(AND(x &gt;=y, x + y &lt;= show_value), x^3+ y^3, "")</f>
        <v/>
      </c>
      <c r="U9" t="str">
        <f>IF(AND(x &gt;=y, x + y &lt;= show_value), x^3+ y^3, "")</f>
        <v/>
      </c>
      <c r="V9" t="str">
        <f>IF(AND(x &gt;=y, x + y &lt;= show_value), x^3+ y^3, "")</f>
        <v/>
      </c>
      <c r="W9" t="str">
        <f>IF(AND(x &gt;=y, x + y &lt;= show_value), x^3+ y^3, "")</f>
        <v/>
      </c>
      <c r="X9" t="str">
        <f>IF(AND(x &gt;=y, x + y &lt;= show_value), x^3+ y^3, "")</f>
        <v/>
      </c>
      <c r="Y9" t="str">
        <f>IF(AND(x &gt;=y, x + y &lt;= show_value), x^3+ y^3, "")</f>
        <v/>
      </c>
      <c r="Z9" t="str">
        <f>IF(AND(x &gt;=y, x + y &lt;= show_value), x^3+ y^3, "")</f>
        <v/>
      </c>
      <c r="AA9" t="str">
        <f>IF(AND(x &gt;=y, x + y &lt;= show_value), x^3+ y^3, "")</f>
        <v/>
      </c>
      <c r="AB9" t="str">
        <f>IF(AND(x &gt;=y, x + y &lt;= show_value), x^3+ y^3, "")</f>
        <v/>
      </c>
      <c r="AC9" t="str">
        <f>IF(AND(x &gt;=y, x + y &lt;= show_value), x^3+ y^3, "")</f>
        <v/>
      </c>
      <c r="AD9" t="str">
        <f>IF(AND(x &gt;=y, x + y &lt;= show_value), x^3+ y^3, "")</f>
        <v/>
      </c>
      <c r="AE9" t="str">
        <f>IF(AND(x &gt;=y, x + y &lt;= show_value), x^3+ y^3, "")</f>
        <v/>
      </c>
      <c r="AF9" t="str">
        <f>IF(AND(x &gt;=y, x + y &lt;= show_value), x^3+ y^3, "")</f>
        <v/>
      </c>
    </row>
    <row r="10" spans="1:32" x14ac:dyDescent="0.25">
      <c r="B10" s="5">
        <v>7</v>
      </c>
      <c r="C10" t="str">
        <f>IF(AND(x &gt;=y, x + y &lt;= show_value), x^3+ y^3, "")</f>
        <v/>
      </c>
      <c r="D10" t="str">
        <f>IF(AND(x &gt;=y, x + y &lt;= show_value), x^3+ y^3, "")</f>
        <v/>
      </c>
      <c r="E10" t="str">
        <f>IF(AND(x &gt;=y, x + y &lt;= show_value), x^3+ y^3, "")</f>
        <v/>
      </c>
      <c r="F10" t="str">
        <f>IF(AND(x &gt;=y, x + y &lt;= show_value), x^3+ y^3, "")</f>
        <v/>
      </c>
      <c r="G10" t="str">
        <f>IF(AND(x &gt;=y, x + y &lt;= show_value), x^3+ y^3, "")</f>
        <v/>
      </c>
      <c r="H10" t="str">
        <f>IF(AND(x &gt;=y, x + y &lt;= show_value), x^3+ y^3, "")</f>
        <v/>
      </c>
      <c r="I10">
        <f>IF(AND(x &gt;=y, x + y &lt;= show_value), x^3+ y^3, "")</f>
        <v>686</v>
      </c>
      <c r="J10">
        <f>IF(AND(x &gt;=y, x + y &lt;= show_value), x^3+ y^3, "")</f>
        <v>855</v>
      </c>
      <c r="K10">
        <f>IF(AND(x &gt;=y, x + y &lt;= show_value), x^3+ y^3, "")</f>
        <v>1072</v>
      </c>
      <c r="L10" t="str">
        <f>IF(AND(x &gt;=y, x + y &lt;= show_value), x^3+ y^3, "")</f>
        <v/>
      </c>
      <c r="M10" t="str">
        <f>IF(AND(x &gt;=y, x + y &lt;= show_value), x^3+ y^3, "")</f>
        <v/>
      </c>
      <c r="N10" t="str">
        <f>IF(AND(x &gt;=y, x + y &lt;= show_value), x^3+ y^3, "")</f>
        <v/>
      </c>
      <c r="O10" t="str">
        <f>IF(AND(x &gt;=y, x + y &lt;= show_value), x^3+ y^3, "")</f>
        <v/>
      </c>
      <c r="P10" t="str">
        <f>IF(AND(x &gt;=y, x + y &lt;= show_value), x^3+ y^3, "")</f>
        <v/>
      </c>
      <c r="Q10" t="str">
        <f>IF(AND(x &gt;=y, x + y &lt;= show_value), x^3+ y^3, "")</f>
        <v/>
      </c>
      <c r="R10" t="str">
        <f>IF(AND(x &gt;=y, x + y &lt;= show_value), x^3+ y^3, "")</f>
        <v/>
      </c>
      <c r="S10" t="str">
        <f>IF(AND(x &gt;=y, x + y &lt;= show_value), x^3+ y^3, "")</f>
        <v/>
      </c>
      <c r="T10" t="str">
        <f>IF(AND(x &gt;=y, x + y &lt;= show_value), x^3+ y^3, "")</f>
        <v/>
      </c>
      <c r="U10" t="str">
        <f>IF(AND(x &gt;=y, x + y &lt;= show_value), x^3+ y^3, "")</f>
        <v/>
      </c>
      <c r="V10" t="str">
        <f>IF(AND(x &gt;=y, x + y &lt;= show_value), x^3+ y^3, "")</f>
        <v/>
      </c>
      <c r="W10" t="str">
        <f>IF(AND(x &gt;=y, x + y &lt;= show_value), x^3+ y^3, "")</f>
        <v/>
      </c>
      <c r="X10" t="str">
        <f>IF(AND(x &gt;=y, x + y &lt;= show_value), x^3+ y^3, "")</f>
        <v/>
      </c>
      <c r="Y10" t="str">
        <f>IF(AND(x &gt;=y, x + y &lt;= show_value), x^3+ y^3, "")</f>
        <v/>
      </c>
      <c r="Z10" t="str">
        <f>IF(AND(x &gt;=y, x + y &lt;= show_value), x^3+ y^3, "")</f>
        <v/>
      </c>
      <c r="AA10" t="str">
        <f>IF(AND(x &gt;=y, x + y &lt;= show_value), x^3+ y^3, "")</f>
        <v/>
      </c>
      <c r="AB10" t="str">
        <f>IF(AND(x &gt;=y, x + y &lt;= show_value), x^3+ y^3, "")</f>
        <v/>
      </c>
      <c r="AC10" t="str">
        <f>IF(AND(x &gt;=y, x + y &lt;= show_value), x^3+ y^3, "")</f>
        <v/>
      </c>
      <c r="AD10" t="str">
        <f>IF(AND(x &gt;=y, x + y &lt;= show_value), x^3+ y^3, "")</f>
        <v/>
      </c>
      <c r="AE10" t="str">
        <f>IF(AND(x &gt;=y, x + y &lt;= show_value), x^3+ y^3, "")</f>
        <v/>
      </c>
      <c r="AF10" t="str">
        <f>IF(AND(x &gt;=y, x + y &lt;= show_value), x^3+ y^3, "")</f>
        <v/>
      </c>
    </row>
    <row r="11" spans="1:32" x14ac:dyDescent="0.25">
      <c r="B11" s="5">
        <v>8</v>
      </c>
      <c r="C11" t="str">
        <f>IF(AND(x &gt;=y, x + y &lt;= show_value), x^3+ y^3, "")</f>
        <v/>
      </c>
      <c r="D11" t="str">
        <f>IF(AND(x &gt;=y, x + y &lt;= show_value), x^3+ y^3, "")</f>
        <v/>
      </c>
      <c r="E11" t="str">
        <f>IF(AND(x &gt;=y, x + y &lt;= show_value), x^3+ y^3, "")</f>
        <v/>
      </c>
      <c r="F11" t="str">
        <f>IF(AND(x &gt;=y, x + y &lt;= show_value), x^3+ y^3, "")</f>
        <v/>
      </c>
      <c r="G11" t="str">
        <f>IF(AND(x &gt;=y, x + y &lt;= show_value), x^3+ y^3, "")</f>
        <v/>
      </c>
      <c r="H11" t="str">
        <f>IF(AND(x &gt;=y, x + y &lt;= show_value), x^3+ y^3, "")</f>
        <v/>
      </c>
      <c r="I11" t="str">
        <f>IF(AND(x &gt;=y, x + y &lt;= show_value), x^3+ y^3, "")</f>
        <v/>
      </c>
      <c r="J11">
        <f>IF(AND(x &gt;=y, x + y &lt;= show_value), x^3+ y^3, "")</f>
        <v>1024</v>
      </c>
      <c r="K11" t="str">
        <f>IF(AND(x &gt;=y, x + y &lt;= show_value), x^3+ y^3, "")</f>
        <v/>
      </c>
      <c r="L11" t="str">
        <f>IF(AND(x &gt;=y, x + y &lt;= show_value), x^3+ y^3, "")</f>
        <v/>
      </c>
      <c r="M11" t="str">
        <f>IF(AND(x &gt;=y, x + y &lt;= show_value), x^3+ y^3, "")</f>
        <v/>
      </c>
      <c r="N11" t="str">
        <f>IF(AND(x &gt;=y, x + y &lt;= show_value), x^3+ y^3, "")</f>
        <v/>
      </c>
      <c r="O11" t="str">
        <f>IF(AND(x &gt;=y, x + y &lt;= show_value), x^3+ y^3, "")</f>
        <v/>
      </c>
      <c r="P11" t="str">
        <f>IF(AND(x &gt;=y, x + y &lt;= show_value), x^3+ y^3, "")</f>
        <v/>
      </c>
      <c r="Q11" t="str">
        <f>IF(AND(x &gt;=y, x + y &lt;= show_value), x^3+ y^3, "")</f>
        <v/>
      </c>
      <c r="R11" t="str">
        <f>IF(AND(x &gt;=y, x + y &lt;= show_value), x^3+ y^3, "")</f>
        <v/>
      </c>
      <c r="S11" t="str">
        <f>IF(AND(x &gt;=y, x + y &lt;= show_value), x^3+ y^3, "")</f>
        <v/>
      </c>
      <c r="T11" t="str">
        <f>IF(AND(x &gt;=y, x + y &lt;= show_value), x^3+ y^3, "")</f>
        <v/>
      </c>
      <c r="U11" t="str">
        <f>IF(AND(x &gt;=y, x + y &lt;= show_value), x^3+ y^3, "")</f>
        <v/>
      </c>
      <c r="V11" t="str">
        <f>IF(AND(x &gt;=y, x + y &lt;= show_value), x^3+ y^3, "")</f>
        <v/>
      </c>
      <c r="W11" t="str">
        <f>IF(AND(x &gt;=y, x + y &lt;= show_value), x^3+ y^3, "")</f>
        <v/>
      </c>
      <c r="X11" t="str">
        <f>IF(AND(x &gt;=y, x + y &lt;= show_value), x^3+ y^3, "")</f>
        <v/>
      </c>
      <c r="Y11" t="str">
        <f>IF(AND(x &gt;=y, x + y &lt;= show_value), x^3+ y^3, "")</f>
        <v/>
      </c>
      <c r="Z11" t="str">
        <f>IF(AND(x &gt;=y, x + y &lt;= show_value), x^3+ y^3, "")</f>
        <v/>
      </c>
      <c r="AA11" t="str">
        <f>IF(AND(x &gt;=y, x + y &lt;= show_value), x^3+ y^3, "")</f>
        <v/>
      </c>
      <c r="AB11" t="str">
        <f>IF(AND(x &gt;=y, x + y &lt;= show_value), x^3+ y^3, "")</f>
        <v/>
      </c>
      <c r="AC11" t="str">
        <f>IF(AND(x &gt;=y, x + y &lt;= show_value), x^3+ y^3, "")</f>
        <v/>
      </c>
      <c r="AD11" t="str">
        <f>IF(AND(x &gt;=y, x + y &lt;= show_value), x^3+ y^3, "")</f>
        <v/>
      </c>
      <c r="AE11" t="str">
        <f>IF(AND(x &gt;=y, x + y &lt;= show_value), x^3+ y^3, "")</f>
        <v/>
      </c>
      <c r="AF11" t="str">
        <f>IF(AND(x &gt;=y, x + y &lt;= show_value), x^3+ y^3, "")</f>
        <v/>
      </c>
    </row>
    <row r="12" spans="1:32" x14ac:dyDescent="0.25">
      <c r="B12" s="5">
        <v>9</v>
      </c>
      <c r="C12" t="str">
        <f>IF(AND(x &gt;=y, x + y &lt;= show_value), x^3+ y^3, "")</f>
        <v/>
      </c>
      <c r="D12" t="str">
        <f>IF(AND(x &gt;=y, x + y &lt;= show_value), x^3+ y^3, "")</f>
        <v/>
      </c>
      <c r="E12" t="str">
        <f>IF(AND(x &gt;=y, x + y &lt;= show_value), x^3+ y^3, "")</f>
        <v/>
      </c>
      <c r="F12" t="str">
        <f>IF(AND(x &gt;=y, x + y &lt;= show_value), x^3+ y^3, "")</f>
        <v/>
      </c>
      <c r="G12" t="str">
        <f>IF(AND(x &gt;=y, x + y &lt;= show_value), x^3+ y^3, "")</f>
        <v/>
      </c>
      <c r="H12" t="str">
        <f>IF(AND(x &gt;=y, x + y &lt;= show_value), x^3+ y^3, "")</f>
        <v/>
      </c>
      <c r="I12" t="str">
        <f>IF(AND(x &gt;=y, x + y &lt;= show_value), x^3+ y^3, "")</f>
        <v/>
      </c>
      <c r="J12" t="str">
        <f>IF(AND(x &gt;=y, x + y &lt;= show_value), x^3+ y^3, "")</f>
        <v/>
      </c>
      <c r="K12" t="str">
        <f>IF(AND(x &gt;=y, x + y &lt;= show_value), x^3+ y^3, "")</f>
        <v/>
      </c>
      <c r="L12" t="str">
        <f>IF(AND(x &gt;=y, x + y &lt;= show_value), x^3+ y^3, "")</f>
        <v/>
      </c>
      <c r="M12" t="str">
        <f>IF(AND(x &gt;=y, x + y &lt;= show_value), x^3+ y^3, "")</f>
        <v/>
      </c>
      <c r="N12" t="str">
        <f>IF(AND(x &gt;=y, x + y &lt;= show_value), x^3+ y^3, "")</f>
        <v/>
      </c>
      <c r="O12" t="str">
        <f>IF(AND(x &gt;=y, x + y &lt;= show_value), x^3+ y^3, "")</f>
        <v/>
      </c>
      <c r="P12" t="str">
        <f>IF(AND(x &gt;=y, x + y &lt;= show_value), x^3+ y^3, "")</f>
        <v/>
      </c>
      <c r="Q12" t="str">
        <f>IF(AND(x &gt;=y, x + y &lt;= show_value), x^3+ y^3, "")</f>
        <v/>
      </c>
      <c r="R12" t="str">
        <f>IF(AND(x &gt;=y, x + y &lt;= show_value), x^3+ y^3, "")</f>
        <v/>
      </c>
      <c r="S12" t="str">
        <f>IF(AND(x &gt;=y, x + y &lt;= show_value), x^3+ y^3, "")</f>
        <v/>
      </c>
      <c r="T12" t="str">
        <f>IF(AND(x &gt;=y, x + y &lt;= show_value), x^3+ y^3, "")</f>
        <v/>
      </c>
      <c r="U12" t="str">
        <f>IF(AND(x &gt;=y, x + y &lt;= show_value), x^3+ y^3, "")</f>
        <v/>
      </c>
      <c r="V12" t="str">
        <f>IF(AND(x &gt;=y, x + y &lt;= show_value), x^3+ y^3, "")</f>
        <v/>
      </c>
      <c r="W12" t="str">
        <f>IF(AND(x &gt;=y, x + y &lt;= show_value), x^3+ y^3, "")</f>
        <v/>
      </c>
      <c r="X12" t="str">
        <f>IF(AND(x &gt;=y, x + y &lt;= show_value), x^3+ y^3, "")</f>
        <v/>
      </c>
      <c r="Y12" t="str">
        <f>IF(AND(x &gt;=y, x + y &lt;= show_value), x^3+ y^3, "")</f>
        <v/>
      </c>
      <c r="Z12" t="str">
        <f>IF(AND(x &gt;=y, x + y &lt;= show_value), x^3+ y^3, "")</f>
        <v/>
      </c>
      <c r="AA12" t="str">
        <f>IF(AND(x &gt;=y, x + y &lt;= show_value), x^3+ y^3, "")</f>
        <v/>
      </c>
      <c r="AB12" t="str">
        <f>IF(AND(x &gt;=y, x + y &lt;= show_value), x^3+ y^3, "")</f>
        <v/>
      </c>
      <c r="AC12" t="str">
        <f>IF(AND(x &gt;=y, x + y &lt;= show_value), x^3+ y^3, "")</f>
        <v/>
      </c>
      <c r="AD12" t="str">
        <f>IF(AND(x &gt;=y, x + y &lt;= show_value), x^3+ y^3, "")</f>
        <v/>
      </c>
      <c r="AE12" t="str">
        <f>IF(AND(x &gt;=y, x + y &lt;= show_value), x^3+ y^3, "")</f>
        <v/>
      </c>
      <c r="AF12" t="str">
        <f>IF(AND(x &gt;=y, x + y &lt;= show_value), x^3+ y^3, "")</f>
        <v/>
      </c>
    </row>
    <row r="13" spans="1:32" x14ac:dyDescent="0.25">
      <c r="B13" s="5">
        <v>10</v>
      </c>
      <c r="C13" t="str">
        <f>IF(AND(x &gt;=y, x + y &lt;= show_value), x^3+ y^3, "")</f>
        <v/>
      </c>
      <c r="D13" t="str">
        <f>IF(AND(x &gt;=y, x + y &lt;= show_value), x^3+ y^3, "")</f>
        <v/>
      </c>
      <c r="E13" t="str">
        <f>IF(AND(x &gt;=y, x + y &lt;= show_value), x^3+ y^3, "")</f>
        <v/>
      </c>
      <c r="F13" t="str">
        <f>IF(AND(x &gt;=y, x + y &lt;= show_value), x^3+ y^3, "")</f>
        <v/>
      </c>
      <c r="G13" t="str">
        <f>IF(AND(x &gt;=y, x + y &lt;= show_value), x^3+ y^3, "")</f>
        <v/>
      </c>
      <c r="H13" t="str">
        <f>IF(AND(x &gt;=y, x + y &lt;= show_value), x^3+ y^3, "")</f>
        <v/>
      </c>
      <c r="I13" t="str">
        <f>IF(AND(x &gt;=y, x + y &lt;= show_value), x^3+ y^3, "")</f>
        <v/>
      </c>
      <c r="J13" t="str">
        <f>IF(AND(x &gt;=y, x + y &lt;= show_value), x^3+ y^3, "")</f>
        <v/>
      </c>
      <c r="K13" t="str">
        <f>IF(AND(x &gt;=y, x + y &lt;= show_value), x^3+ y^3, "")</f>
        <v/>
      </c>
      <c r="L13" t="str">
        <f>IF(AND(x &gt;=y, x + y &lt;= show_value), x^3+ y^3, "")</f>
        <v/>
      </c>
      <c r="M13" t="str">
        <f>IF(AND(x &gt;=y, x + y &lt;= show_value), x^3+ y^3, "")</f>
        <v/>
      </c>
      <c r="N13" t="str">
        <f>IF(AND(x &gt;=y, x + y &lt;= show_value), x^3+ y^3, "")</f>
        <v/>
      </c>
      <c r="O13" t="str">
        <f>IF(AND(x &gt;=y, x + y &lt;= show_value), x^3+ y^3, "")</f>
        <v/>
      </c>
      <c r="P13" t="str">
        <f>IF(AND(x &gt;=y, x + y &lt;= show_value), x^3+ y^3, "")</f>
        <v/>
      </c>
      <c r="Q13" t="str">
        <f>IF(AND(x &gt;=y, x + y &lt;= show_value), x^3+ y^3, "")</f>
        <v/>
      </c>
      <c r="R13" t="str">
        <f>IF(AND(x &gt;=y, x + y &lt;= show_value), x^3+ y^3, "")</f>
        <v/>
      </c>
      <c r="S13" t="str">
        <f>IF(AND(x &gt;=y, x + y &lt;= show_value), x^3+ y^3, "")</f>
        <v/>
      </c>
      <c r="T13" t="str">
        <f>IF(AND(x &gt;=y, x + y &lt;= show_value), x^3+ y^3, "")</f>
        <v/>
      </c>
      <c r="U13" t="str">
        <f>IF(AND(x &gt;=y, x + y &lt;= show_value), x^3+ y^3, "")</f>
        <v/>
      </c>
      <c r="V13" t="str">
        <f>IF(AND(x &gt;=y, x + y &lt;= show_value), x^3+ y^3, "")</f>
        <v/>
      </c>
      <c r="W13" t="str">
        <f>IF(AND(x &gt;=y, x + y &lt;= show_value), x^3+ y^3, "")</f>
        <v/>
      </c>
      <c r="X13" t="str">
        <f>IF(AND(x &gt;=y, x + y &lt;= show_value), x^3+ y^3, "")</f>
        <v/>
      </c>
      <c r="Y13" t="str">
        <f>IF(AND(x &gt;=y, x + y &lt;= show_value), x^3+ y^3, "")</f>
        <v/>
      </c>
      <c r="Z13" t="str">
        <f>IF(AND(x &gt;=y, x + y &lt;= show_value), x^3+ y^3, "")</f>
        <v/>
      </c>
      <c r="AA13" t="str">
        <f>IF(AND(x &gt;=y, x + y &lt;= show_value), x^3+ y^3, "")</f>
        <v/>
      </c>
      <c r="AB13" t="str">
        <f>IF(AND(x &gt;=y, x + y &lt;= show_value), x^3+ y^3, "")</f>
        <v/>
      </c>
      <c r="AC13" t="str">
        <f>IF(AND(x &gt;=y, x + y &lt;= show_value), x^3+ y^3, "")</f>
        <v/>
      </c>
      <c r="AD13" t="str">
        <f>IF(AND(x &gt;=y, x + y &lt;= show_value), x^3+ y^3, "")</f>
        <v/>
      </c>
      <c r="AE13" t="str">
        <f>IF(AND(x &gt;=y, x + y &lt;= show_value), x^3+ y^3, "")</f>
        <v/>
      </c>
      <c r="AF13" t="str">
        <f>IF(AND(x &gt;=y, x + y &lt;= show_value), x^3+ y^3, "")</f>
        <v/>
      </c>
    </row>
    <row r="14" spans="1:32" x14ac:dyDescent="0.25">
      <c r="B14" s="5">
        <v>11</v>
      </c>
      <c r="C14" t="str">
        <f>IF(AND(x &gt;=y, x + y &lt;= show_value), x^3+ y^3, "")</f>
        <v/>
      </c>
      <c r="D14" t="str">
        <f>IF(AND(x &gt;=y, x + y &lt;= show_value), x^3+ y^3, "")</f>
        <v/>
      </c>
      <c r="E14" t="str">
        <f>IF(AND(x &gt;=y, x + y &lt;= show_value), x^3+ y^3, "")</f>
        <v/>
      </c>
      <c r="F14" t="str">
        <f>IF(AND(x &gt;=y, x + y &lt;= show_value), x^3+ y^3, "")</f>
        <v/>
      </c>
      <c r="G14" t="str">
        <f>IF(AND(x &gt;=y, x + y &lt;= show_value), x^3+ y^3, "")</f>
        <v/>
      </c>
      <c r="H14" t="str">
        <f>IF(AND(x &gt;=y, x + y &lt;= show_value), x^3+ y^3, "")</f>
        <v/>
      </c>
      <c r="I14" t="str">
        <f>IF(AND(x &gt;=y, x + y &lt;= show_value), x^3+ y^3, "")</f>
        <v/>
      </c>
      <c r="J14" t="str">
        <f>IF(AND(x &gt;=y, x + y &lt;= show_value), x^3+ y^3, "")</f>
        <v/>
      </c>
      <c r="K14" t="str">
        <f>IF(AND(x &gt;=y, x + y &lt;= show_value), x^3+ y^3, "")</f>
        <v/>
      </c>
      <c r="L14" t="str">
        <f>IF(AND(x &gt;=y, x + y &lt;= show_value), x^3+ y^3, "")</f>
        <v/>
      </c>
      <c r="M14" t="str">
        <f>IF(AND(x &gt;=y, x + y &lt;= show_value), x^3+ y^3, "")</f>
        <v/>
      </c>
      <c r="N14" t="str">
        <f>IF(AND(x &gt;=y, x + y &lt;= show_value), x^3+ y^3, "")</f>
        <v/>
      </c>
      <c r="O14" t="str">
        <f>IF(AND(x &gt;=y, x + y &lt;= show_value), x^3+ y^3, "")</f>
        <v/>
      </c>
      <c r="P14" t="str">
        <f>IF(AND(x &gt;=y, x + y &lt;= show_value), x^3+ y^3, "")</f>
        <v/>
      </c>
      <c r="Q14" t="str">
        <f>IF(AND(x &gt;=y, x + y &lt;= show_value), x^3+ y^3, "")</f>
        <v/>
      </c>
      <c r="R14" t="str">
        <f>IF(AND(x &gt;=y, x + y &lt;= show_value), x^3+ y^3, "")</f>
        <v/>
      </c>
      <c r="S14" t="str">
        <f>IF(AND(x &gt;=y, x + y &lt;= show_value), x^3+ y^3, "")</f>
        <v/>
      </c>
      <c r="T14" t="str">
        <f>IF(AND(x &gt;=y, x + y &lt;= show_value), x^3+ y^3, "")</f>
        <v/>
      </c>
      <c r="U14" t="str">
        <f>IF(AND(x &gt;=y, x + y &lt;= show_value), x^3+ y^3, "")</f>
        <v/>
      </c>
      <c r="V14" t="str">
        <f>IF(AND(x &gt;=y, x + y &lt;= show_value), x^3+ y^3, "")</f>
        <v/>
      </c>
      <c r="W14" t="str">
        <f>IF(AND(x &gt;=y, x + y &lt;= show_value), x^3+ y^3, "")</f>
        <v/>
      </c>
      <c r="X14" t="str">
        <f>IF(AND(x &gt;=y, x + y &lt;= show_value), x^3+ y^3, "")</f>
        <v/>
      </c>
      <c r="Y14" t="str">
        <f>IF(AND(x &gt;=y, x + y &lt;= show_value), x^3+ y^3, "")</f>
        <v/>
      </c>
      <c r="Z14" t="str">
        <f>IF(AND(x &gt;=y, x + y &lt;= show_value), x^3+ y^3, "")</f>
        <v/>
      </c>
      <c r="AA14" t="str">
        <f>IF(AND(x &gt;=y, x + y &lt;= show_value), x^3+ y^3, "")</f>
        <v/>
      </c>
      <c r="AB14" t="str">
        <f>IF(AND(x &gt;=y, x + y &lt;= show_value), x^3+ y^3, "")</f>
        <v/>
      </c>
      <c r="AC14" t="str">
        <f>IF(AND(x &gt;=y, x + y &lt;= show_value), x^3+ y^3, "")</f>
        <v/>
      </c>
      <c r="AD14" t="str">
        <f>IF(AND(x &gt;=y, x + y &lt;= show_value), x^3+ y^3, "")</f>
        <v/>
      </c>
      <c r="AE14" t="str">
        <f>IF(AND(x &gt;=y, x + y &lt;= show_value), x^3+ y^3, "")</f>
        <v/>
      </c>
      <c r="AF14" t="str">
        <f>IF(AND(x &gt;=y, x + y &lt;= show_value), x^3+ y^3, "")</f>
        <v/>
      </c>
    </row>
    <row r="15" spans="1:32" x14ac:dyDescent="0.25">
      <c r="B15" s="5">
        <v>12</v>
      </c>
      <c r="C15" t="str">
        <f>IF(AND(x &gt;=y, x + y &lt;= show_value), x^3+ y^3, "")</f>
        <v/>
      </c>
      <c r="D15" t="str">
        <f>IF(AND(x &gt;=y, x + y &lt;= show_value), x^3+ y^3, "")</f>
        <v/>
      </c>
      <c r="E15" t="str">
        <f>IF(AND(x &gt;=y, x + y &lt;= show_value), x^3+ y^3, "")</f>
        <v/>
      </c>
      <c r="F15" t="str">
        <f>IF(AND(x &gt;=y, x + y &lt;= show_value), x^3+ y^3, "")</f>
        <v/>
      </c>
      <c r="G15" t="str">
        <f>IF(AND(x &gt;=y, x + y &lt;= show_value), x^3+ y^3, "")</f>
        <v/>
      </c>
      <c r="H15" t="str">
        <f>IF(AND(x &gt;=y, x + y &lt;= show_value), x^3+ y^3, "")</f>
        <v/>
      </c>
      <c r="I15" t="str">
        <f>IF(AND(x &gt;=y, x + y &lt;= show_value), x^3+ y^3, "")</f>
        <v/>
      </c>
      <c r="J15" t="str">
        <f>IF(AND(x &gt;=y, x + y &lt;= show_value), x^3+ y^3, "")</f>
        <v/>
      </c>
      <c r="K15" t="str">
        <f>IF(AND(x &gt;=y, x + y &lt;= show_value), x^3+ y^3, "")</f>
        <v/>
      </c>
      <c r="L15" t="str">
        <f>IF(AND(x &gt;=y, x + y &lt;= show_value), x^3+ y^3, "")</f>
        <v/>
      </c>
      <c r="M15" t="str">
        <f>IF(AND(x &gt;=y, x + y &lt;= show_value), x^3+ y^3, "")</f>
        <v/>
      </c>
      <c r="N15" t="str">
        <f>IF(AND(x &gt;=y, x + y &lt;= show_value), x^3+ y^3, "")</f>
        <v/>
      </c>
      <c r="O15" t="str">
        <f>IF(AND(x &gt;=y, x + y &lt;= show_value), x^3+ y^3, "")</f>
        <v/>
      </c>
      <c r="P15" t="str">
        <f>IF(AND(x &gt;=y, x + y &lt;= show_value), x^3+ y^3, "")</f>
        <v/>
      </c>
      <c r="Q15" t="str">
        <f>IF(AND(x &gt;=y, x + y &lt;= show_value), x^3+ y^3, "")</f>
        <v/>
      </c>
      <c r="R15" t="str">
        <f>IF(AND(x &gt;=y, x + y &lt;= show_value), x^3+ y^3, "")</f>
        <v/>
      </c>
      <c r="S15" t="str">
        <f>IF(AND(x &gt;=y, x + y &lt;= show_value), x^3+ y^3, "")</f>
        <v/>
      </c>
      <c r="T15" t="str">
        <f>IF(AND(x &gt;=y, x + y &lt;= show_value), x^3+ y^3, "")</f>
        <v/>
      </c>
      <c r="U15" t="str">
        <f>IF(AND(x &gt;=y, x + y &lt;= show_value), x^3+ y^3, "")</f>
        <v/>
      </c>
      <c r="V15" t="str">
        <f>IF(AND(x &gt;=y, x + y &lt;= show_value), x^3+ y^3, "")</f>
        <v/>
      </c>
      <c r="W15" t="str">
        <f>IF(AND(x &gt;=y, x + y &lt;= show_value), x^3+ y^3, "")</f>
        <v/>
      </c>
      <c r="X15" t="str">
        <f>IF(AND(x &gt;=y, x + y &lt;= show_value), x^3+ y^3, "")</f>
        <v/>
      </c>
      <c r="Y15" t="str">
        <f>IF(AND(x &gt;=y, x + y &lt;= show_value), x^3+ y^3, "")</f>
        <v/>
      </c>
      <c r="Z15" t="str">
        <f>IF(AND(x &gt;=y, x + y &lt;= show_value), x^3+ y^3, "")</f>
        <v/>
      </c>
      <c r="AA15" t="str">
        <f>IF(AND(x &gt;=y, x + y &lt;= show_value), x^3+ y^3, "")</f>
        <v/>
      </c>
      <c r="AB15" t="str">
        <f>IF(AND(x &gt;=y, x + y &lt;= show_value), x^3+ y^3, "")</f>
        <v/>
      </c>
      <c r="AC15" t="str">
        <f>IF(AND(x &gt;=y, x + y &lt;= show_value), x^3+ y^3, "")</f>
        <v/>
      </c>
      <c r="AD15" t="str">
        <f>IF(AND(x &gt;=y, x + y &lt;= show_value), x^3+ y^3, "")</f>
        <v/>
      </c>
      <c r="AE15" t="str">
        <f>IF(AND(x &gt;=y, x + y &lt;= show_value), x^3+ y^3, "")</f>
        <v/>
      </c>
      <c r="AF15" t="str">
        <f>IF(AND(x &gt;=y, x + y &lt;= show_value), x^3+ y^3, "")</f>
        <v/>
      </c>
    </row>
    <row r="16" spans="1:32" x14ac:dyDescent="0.25">
      <c r="B16" s="5">
        <v>13</v>
      </c>
      <c r="C16" t="str">
        <f>IF(AND(x &gt;=y, x + y &lt;= show_value), x^3+ y^3, "")</f>
        <v/>
      </c>
      <c r="D16" t="str">
        <f>IF(AND(x &gt;=y, x + y &lt;= show_value), x^3+ y^3, "")</f>
        <v/>
      </c>
      <c r="E16" t="str">
        <f>IF(AND(x &gt;=y, x + y &lt;= show_value), x^3+ y^3, "")</f>
        <v/>
      </c>
      <c r="F16" t="str">
        <f>IF(AND(x &gt;=y, x + y &lt;= show_value), x^3+ y^3, "")</f>
        <v/>
      </c>
      <c r="G16" t="str">
        <f>IF(AND(x &gt;=y, x + y &lt;= show_value), x^3+ y^3, "")</f>
        <v/>
      </c>
      <c r="H16" t="str">
        <f>IF(AND(x &gt;=y, x + y &lt;= show_value), x^3+ y^3, "")</f>
        <v/>
      </c>
      <c r="I16" t="str">
        <f>IF(AND(x &gt;=y, x + y &lt;= show_value), x^3+ y^3, "")</f>
        <v/>
      </c>
      <c r="J16" t="str">
        <f>IF(AND(x &gt;=y, x + y &lt;= show_value), x^3+ y^3, "")</f>
        <v/>
      </c>
      <c r="K16" t="str">
        <f>IF(AND(x &gt;=y, x + y &lt;= show_value), x^3+ y^3, "")</f>
        <v/>
      </c>
      <c r="L16" t="str">
        <f>IF(AND(x &gt;=y, x + y &lt;= show_value), x^3+ y^3, "")</f>
        <v/>
      </c>
      <c r="M16" t="str">
        <f>IF(AND(x &gt;=y, x + y &lt;= show_value), x^3+ y^3, "")</f>
        <v/>
      </c>
      <c r="N16" t="str">
        <f>IF(AND(x &gt;=y, x + y &lt;= show_value), x^3+ y^3, "")</f>
        <v/>
      </c>
      <c r="O16" t="str">
        <f>IF(AND(x &gt;=y, x + y &lt;= show_value), x^3+ y^3, "")</f>
        <v/>
      </c>
      <c r="P16" t="str">
        <f>IF(AND(x &gt;=y, x + y &lt;= show_value), x^3+ y^3, "")</f>
        <v/>
      </c>
      <c r="Q16" t="str">
        <f>IF(AND(x &gt;=y, x + y &lt;= show_value), x^3+ y^3, "")</f>
        <v/>
      </c>
      <c r="R16" t="str">
        <f>IF(AND(x &gt;=y, x + y &lt;= show_value), x^3+ y^3, "")</f>
        <v/>
      </c>
      <c r="S16" t="str">
        <f>IF(AND(x &gt;=y, x + y &lt;= show_value), x^3+ y^3, "")</f>
        <v/>
      </c>
      <c r="T16" t="str">
        <f>IF(AND(x &gt;=y, x + y &lt;= show_value), x^3+ y^3, "")</f>
        <v/>
      </c>
      <c r="U16" t="str">
        <f>IF(AND(x &gt;=y, x + y &lt;= show_value), x^3+ y^3, "")</f>
        <v/>
      </c>
      <c r="V16" t="str">
        <f>IF(AND(x &gt;=y, x + y &lt;= show_value), x^3+ y^3, "")</f>
        <v/>
      </c>
      <c r="W16" t="str">
        <f>IF(AND(x &gt;=y, x + y &lt;= show_value), x^3+ y^3, "")</f>
        <v/>
      </c>
      <c r="X16" t="str">
        <f>IF(AND(x &gt;=y, x + y &lt;= show_value), x^3+ y^3, "")</f>
        <v/>
      </c>
      <c r="Y16" t="str">
        <f>IF(AND(x &gt;=y, x + y &lt;= show_value), x^3+ y^3, "")</f>
        <v/>
      </c>
      <c r="Z16" t="str">
        <f>IF(AND(x &gt;=y, x + y &lt;= show_value), x^3+ y^3, "")</f>
        <v/>
      </c>
      <c r="AA16" t="str">
        <f>IF(AND(x &gt;=y, x + y &lt;= show_value), x^3+ y^3, "")</f>
        <v/>
      </c>
      <c r="AB16" t="str">
        <f>IF(AND(x &gt;=y, x + y &lt;= show_value), x^3+ y^3, "")</f>
        <v/>
      </c>
      <c r="AC16" t="str">
        <f>IF(AND(x &gt;=y, x + y &lt;= show_value), x^3+ y^3, "")</f>
        <v/>
      </c>
      <c r="AD16" t="str">
        <f>IF(AND(x &gt;=y, x + y &lt;= show_value), x^3+ y^3, "")</f>
        <v/>
      </c>
      <c r="AE16" t="str">
        <f>IF(AND(x &gt;=y, x + y &lt;= show_value), x^3+ y^3, "")</f>
        <v/>
      </c>
      <c r="AF16" t="str">
        <f>IF(AND(x &gt;=y, x + y &lt;= show_value), x^3+ y^3, "")</f>
        <v/>
      </c>
    </row>
    <row r="17" spans="2:32" x14ac:dyDescent="0.25">
      <c r="B17" s="5">
        <v>14</v>
      </c>
      <c r="C17" t="str">
        <f>IF(AND(x &gt;=y, x + y &lt;= show_value), x^3+ y^3, "")</f>
        <v/>
      </c>
      <c r="D17" t="str">
        <f>IF(AND(x &gt;=y, x + y &lt;= show_value), x^3+ y^3, "")</f>
        <v/>
      </c>
      <c r="E17" t="str">
        <f>IF(AND(x &gt;=y, x + y &lt;= show_value), x^3+ y^3, "")</f>
        <v/>
      </c>
      <c r="F17" t="str">
        <f>IF(AND(x &gt;=y, x + y &lt;= show_value), x^3+ y^3, "")</f>
        <v/>
      </c>
      <c r="G17" t="str">
        <f>IF(AND(x &gt;=y, x + y &lt;= show_value), x^3+ y^3, "")</f>
        <v/>
      </c>
      <c r="H17" t="str">
        <f>IF(AND(x &gt;=y, x + y &lt;= show_value), x^3+ y^3, "")</f>
        <v/>
      </c>
      <c r="I17" t="str">
        <f>IF(AND(x &gt;=y, x + y &lt;= show_value), x^3+ y^3, "")</f>
        <v/>
      </c>
      <c r="J17" t="str">
        <f>IF(AND(x &gt;=y, x + y &lt;= show_value), x^3+ y^3, "")</f>
        <v/>
      </c>
      <c r="K17" t="str">
        <f>IF(AND(x &gt;=y, x + y &lt;= show_value), x^3+ y^3, "")</f>
        <v/>
      </c>
      <c r="L17" t="str">
        <f>IF(AND(x &gt;=y, x + y &lt;= show_value), x^3+ y^3, "")</f>
        <v/>
      </c>
      <c r="M17" t="str">
        <f>IF(AND(x &gt;=y, x + y &lt;= show_value), x^3+ y^3, "")</f>
        <v/>
      </c>
      <c r="N17" t="str">
        <f>IF(AND(x &gt;=y, x + y &lt;= show_value), x^3+ y^3, "")</f>
        <v/>
      </c>
      <c r="O17" t="str">
        <f>IF(AND(x &gt;=y, x + y &lt;= show_value), x^3+ y^3, "")</f>
        <v/>
      </c>
      <c r="P17" t="str">
        <f>IF(AND(x &gt;=y, x + y &lt;= show_value), x^3+ y^3, "")</f>
        <v/>
      </c>
      <c r="Q17" t="str">
        <f>IF(AND(x &gt;=y, x + y &lt;= show_value), x^3+ y^3, "")</f>
        <v/>
      </c>
      <c r="R17" t="str">
        <f>IF(AND(x &gt;=y, x + y &lt;= show_value), x^3+ y^3, "")</f>
        <v/>
      </c>
      <c r="S17" t="str">
        <f>IF(AND(x &gt;=y, x + y &lt;= show_value), x^3+ y^3, "")</f>
        <v/>
      </c>
      <c r="T17" t="str">
        <f>IF(AND(x &gt;=y, x + y &lt;= show_value), x^3+ y^3, "")</f>
        <v/>
      </c>
      <c r="U17" t="str">
        <f>IF(AND(x &gt;=y, x + y &lt;= show_value), x^3+ y^3, "")</f>
        <v/>
      </c>
      <c r="V17" t="str">
        <f>IF(AND(x &gt;=y, x + y &lt;= show_value), x^3+ y^3, "")</f>
        <v/>
      </c>
      <c r="W17" t="str">
        <f>IF(AND(x &gt;=y, x + y &lt;= show_value), x^3+ y^3, "")</f>
        <v/>
      </c>
      <c r="X17" t="str">
        <f>IF(AND(x &gt;=y, x + y &lt;= show_value), x^3+ y^3, "")</f>
        <v/>
      </c>
      <c r="Y17" t="str">
        <f>IF(AND(x &gt;=y, x + y &lt;= show_value), x^3+ y^3, "")</f>
        <v/>
      </c>
      <c r="Z17" t="str">
        <f>IF(AND(x &gt;=y, x + y &lt;= show_value), x^3+ y^3, "")</f>
        <v/>
      </c>
      <c r="AA17" t="str">
        <f>IF(AND(x &gt;=y, x + y &lt;= show_value), x^3+ y^3, "")</f>
        <v/>
      </c>
      <c r="AB17" t="str">
        <f>IF(AND(x &gt;=y, x + y &lt;= show_value), x^3+ y^3, "")</f>
        <v/>
      </c>
      <c r="AC17" t="str">
        <f>IF(AND(x &gt;=y, x + y &lt;= show_value), x^3+ y^3, "")</f>
        <v/>
      </c>
      <c r="AD17" t="str">
        <f>IF(AND(x &gt;=y, x + y &lt;= show_value), x^3+ y^3, "")</f>
        <v/>
      </c>
      <c r="AE17" t="str">
        <f>IF(AND(x &gt;=y, x + y &lt;= show_value), x^3+ y^3, "")</f>
        <v/>
      </c>
      <c r="AF17" t="str">
        <f>IF(AND(x &gt;=y, x + y &lt;= show_value), x^3+ y^3, "")</f>
        <v/>
      </c>
    </row>
    <row r="18" spans="2:32" x14ac:dyDescent="0.25">
      <c r="B18" s="5">
        <v>15</v>
      </c>
      <c r="C18" t="str">
        <f>IF(AND(x &gt;=y, x + y &lt;= show_value), x^3+ y^3, "")</f>
        <v/>
      </c>
      <c r="D18" t="str">
        <f>IF(AND(x &gt;=y, x + y &lt;= show_value), x^3+ y^3, "")</f>
        <v/>
      </c>
      <c r="E18" t="str">
        <f>IF(AND(x &gt;=y, x + y &lt;= show_value), x^3+ y^3, "")</f>
        <v/>
      </c>
      <c r="F18" t="str">
        <f>IF(AND(x &gt;=y, x + y &lt;= show_value), x^3+ y^3, "")</f>
        <v/>
      </c>
      <c r="G18" t="str">
        <f>IF(AND(x &gt;=y, x + y &lt;= show_value), x^3+ y^3, "")</f>
        <v/>
      </c>
      <c r="H18" t="str">
        <f>IF(AND(x &gt;=y, x + y &lt;= show_value), x^3+ y^3, "")</f>
        <v/>
      </c>
      <c r="I18" t="str">
        <f>IF(AND(x &gt;=y, x + y &lt;= show_value), x^3+ y^3, "")</f>
        <v/>
      </c>
      <c r="J18" t="str">
        <f>IF(AND(x &gt;=y, x + y &lt;= show_value), x^3+ y^3, "")</f>
        <v/>
      </c>
      <c r="K18" t="str">
        <f>IF(AND(x &gt;=y, x + y &lt;= show_value), x^3+ y^3, "")</f>
        <v/>
      </c>
      <c r="L18" t="str">
        <f>IF(AND(x &gt;=y, x + y &lt;= show_value), x^3+ y^3, "")</f>
        <v/>
      </c>
      <c r="M18" t="str">
        <f>IF(AND(x &gt;=y, x + y &lt;= show_value), x^3+ y^3, "")</f>
        <v/>
      </c>
      <c r="N18" t="str">
        <f>IF(AND(x &gt;=y, x + y &lt;= show_value), x^3+ y^3, "")</f>
        <v/>
      </c>
      <c r="O18" t="str">
        <f>IF(AND(x &gt;=y, x + y &lt;= show_value), x^3+ y^3, "")</f>
        <v/>
      </c>
      <c r="P18" t="str">
        <f>IF(AND(x &gt;=y, x + y &lt;= show_value), x^3+ y^3, "")</f>
        <v/>
      </c>
      <c r="Q18" t="str">
        <f>IF(AND(x &gt;=y, x + y &lt;= show_value), x^3+ y^3, "")</f>
        <v/>
      </c>
      <c r="R18" t="str">
        <f>IF(AND(x &gt;=y, x + y &lt;= show_value), x^3+ y^3, "")</f>
        <v/>
      </c>
      <c r="S18" t="str">
        <f>IF(AND(x &gt;=y, x + y &lt;= show_value), x^3+ y^3, "")</f>
        <v/>
      </c>
      <c r="T18" t="str">
        <f>IF(AND(x &gt;=y, x + y &lt;= show_value), x^3+ y^3, "")</f>
        <v/>
      </c>
      <c r="U18" t="str">
        <f>IF(AND(x &gt;=y, x + y &lt;= show_value), x^3+ y^3, "")</f>
        <v/>
      </c>
      <c r="V18" t="str">
        <f>IF(AND(x &gt;=y, x + y &lt;= show_value), x^3+ y^3, "")</f>
        <v/>
      </c>
      <c r="W18" t="str">
        <f>IF(AND(x &gt;=y, x + y &lt;= show_value), x^3+ y^3, "")</f>
        <v/>
      </c>
      <c r="X18" t="str">
        <f>IF(AND(x &gt;=y, x + y &lt;= show_value), x^3+ y^3, "")</f>
        <v/>
      </c>
      <c r="Y18" t="str">
        <f>IF(AND(x &gt;=y, x + y &lt;= show_value), x^3+ y^3, "")</f>
        <v/>
      </c>
      <c r="Z18" t="str">
        <f>IF(AND(x &gt;=y, x + y &lt;= show_value), x^3+ y^3, "")</f>
        <v/>
      </c>
      <c r="AA18" t="str">
        <f>IF(AND(x &gt;=y, x + y &lt;= show_value), x^3+ y^3, "")</f>
        <v/>
      </c>
      <c r="AB18" t="str">
        <f>IF(AND(x &gt;=y, x + y &lt;= show_value), x^3+ y^3, "")</f>
        <v/>
      </c>
      <c r="AC18" t="str">
        <f>IF(AND(x &gt;=y, x + y &lt;= show_value), x^3+ y^3, "")</f>
        <v/>
      </c>
      <c r="AD18" t="str">
        <f>IF(AND(x &gt;=y, x + y &lt;= show_value), x^3+ y^3, "")</f>
        <v/>
      </c>
      <c r="AE18" t="str">
        <f>IF(AND(x &gt;=y, x + y &lt;= show_value), x^3+ y^3, "")</f>
        <v/>
      </c>
      <c r="AF18" t="str">
        <f>IF(AND(x &gt;=y, x + y &lt;= show_value), x^3+ y^3, "")</f>
        <v/>
      </c>
    </row>
    <row r="19" spans="2:32" x14ac:dyDescent="0.25">
      <c r="B19" s="5">
        <v>16</v>
      </c>
      <c r="C19" t="str">
        <f>IF(AND(x &gt;=y, x + y &lt;= show_value), x^3+ y^3, "")</f>
        <v/>
      </c>
      <c r="D19" t="str">
        <f>IF(AND(x &gt;=y, x + y &lt;= show_value), x^3+ y^3, "")</f>
        <v/>
      </c>
      <c r="E19" t="str">
        <f>IF(AND(x &gt;=y, x + y &lt;= show_value), x^3+ y^3, "")</f>
        <v/>
      </c>
      <c r="F19" t="str">
        <f>IF(AND(x &gt;=y, x + y &lt;= show_value), x^3+ y^3, "")</f>
        <v/>
      </c>
      <c r="G19" t="str">
        <f>IF(AND(x &gt;=y, x + y &lt;= show_value), x^3+ y^3, "")</f>
        <v/>
      </c>
      <c r="H19" t="str">
        <f>IF(AND(x &gt;=y, x + y &lt;= show_value), x^3+ y^3, "")</f>
        <v/>
      </c>
      <c r="I19" t="str">
        <f>IF(AND(x &gt;=y, x + y &lt;= show_value), x^3+ y^3, "")</f>
        <v/>
      </c>
      <c r="J19" t="str">
        <f>IF(AND(x &gt;=y, x + y &lt;= show_value), x^3+ y^3, "")</f>
        <v/>
      </c>
      <c r="K19" t="str">
        <f>IF(AND(x &gt;=y, x + y &lt;= show_value), x^3+ y^3, "")</f>
        <v/>
      </c>
      <c r="L19" t="str">
        <f>IF(AND(x &gt;=y, x + y &lt;= show_value), x^3+ y^3, "")</f>
        <v/>
      </c>
      <c r="M19" t="str">
        <f>IF(AND(x &gt;=y, x + y &lt;= show_value), x^3+ y^3, "")</f>
        <v/>
      </c>
      <c r="N19" t="str">
        <f>IF(AND(x &gt;=y, x + y &lt;= show_value), x^3+ y^3, "")</f>
        <v/>
      </c>
      <c r="O19" t="str">
        <f>IF(AND(x &gt;=y, x + y &lt;= show_value), x^3+ y^3, "")</f>
        <v/>
      </c>
      <c r="P19" t="str">
        <f>IF(AND(x &gt;=y, x + y &lt;= show_value), x^3+ y^3, "")</f>
        <v/>
      </c>
      <c r="Q19" t="str">
        <f>IF(AND(x &gt;=y, x + y &lt;= show_value), x^3+ y^3, "")</f>
        <v/>
      </c>
      <c r="R19" t="str">
        <f>IF(AND(x &gt;=y, x + y &lt;= show_value), x^3+ y^3, "")</f>
        <v/>
      </c>
      <c r="S19" t="str">
        <f>IF(AND(x &gt;=y, x + y &lt;= show_value), x^3+ y^3, "")</f>
        <v/>
      </c>
      <c r="T19" t="str">
        <f>IF(AND(x &gt;=y, x + y &lt;= show_value), x^3+ y^3, "")</f>
        <v/>
      </c>
      <c r="U19" t="str">
        <f>IF(AND(x &gt;=y, x + y &lt;= show_value), x^3+ y^3, "")</f>
        <v/>
      </c>
      <c r="V19" t="str">
        <f>IF(AND(x &gt;=y, x + y &lt;= show_value), x^3+ y^3, "")</f>
        <v/>
      </c>
      <c r="W19" t="str">
        <f>IF(AND(x &gt;=y, x + y &lt;= show_value), x^3+ y^3, "")</f>
        <v/>
      </c>
      <c r="X19" t="str">
        <f>IF(AND(x &gt;=y, x + y &lt;= show_value), x^3+ y^3, "")</f>
        <v/>
      </c>
      <c r="Y19" t="str">
        <f>IF(AND(x &gt;=y, x + y &lt;= show_value), x^3+ y^3, "")</f>
        <v/>
      </c>
      <c r="Z19" t="str">
        <f>IF(AND(x &gt;=y, x + y &lt;= show_value), x^3+ y^3, "")</f>
        <v/>
      </c>
      <c r="AA19" t="str">
        <f>IF(AND(x &gt;=y, x + y &lt;= show_value), x^3+ y^3, "")</f>
        <v/>
      </c>
      <c r="AB19" t="str">
        <f>IF(AND(x &gt;=y, x + y &lt;= show_value), x^3+ y^3, "")</f>
        <v/>
      </c>
      <c r="AC19" t="str">
        <f>IF(AND(x &gt;=y, x + y &lt;= show_value), x^3+ y^3, "")</f>
        <v/>
      </c>
      <c r="AD19" t="str">
        <f>IF(AND(x &gt;=y, x + y &lt;= show_value), x^3+ y^3, "")</f>
        <v/>
      </c>
      <c r="AE19" t="str">
        <f>IF(AND(x &gt;=y, x + y &lt;= show_value), x^3+ y^3, "")</f>
        <v/>
      </c>
      <c r="AF19" t="str">
        <f>IF(AND(x &gt;=y, x + y &lt;= show_value), x^3+ y^3, "")</f>
        <v/>
      </c>
    </row>
    <row r="20" spans="2:32" x14ac:dyDescent="0.25">
      <c r="B20" s="5">
        <v>17</v>
      </c>
      <c r="C20" t="str">
        <f>IF(AND(x &gt;=y, x + y &lt;= show_value), x^3+ y^3, "")</f>
        <v/>
      </c>
      <c r="D20" t="str">
        <f>IF(AND(x &gt;=y, x + y &lt;= show_value), x^3+ y^3, "")</f>
        <v/>
      </c>
      <c r="E20" t="str">
        <f>IF(AND(x &gt;=y, x + y &lt;= show_value), x^3+ y^3, "")</f>
        <v/>
      </c>
      <c r="F20" t="str">
        <f>IF(AND(x &gt;=y, x + y &lt;= show_value), x^3+ y^3, "")</f>
        <v/>
      </c>
      <c r="G20" t="str">
        <f>IF(AND(x &gt;=y, x + y &lt;= show_value), x^3+ y^3, "")</f>
        <v/>
      </c>
      <c r="H20" t="str">
        <f>IF(AND(x &gt;=y, x + y &lt;= show_value), x^3+ y^3, "")</f>
        <v/>
      </c>
      <c r="I20" t="str">
        <f>IF(AND(x &gt;=y, x + y &lt;= show_value), x^3+ y^3, "")</f>
        <v/>
      </c>
      <c r="J20" t="str">
        <f>IF(AND(x &gt;=y, x + y &lt;= show_value), x^3+ y^3, "")</f>
        <v/>
      </c>
      <c r="K20" t="str">
        <f>IF(AND(x &gt;=y, x + y &lt;= show_value), x^3+ y^3, "")</f>
        <v/>
      </c>
      <c r="L20" t="str">
        <f>IF(AND(x &gt;=y, x + y &lt;= show_value), x^3+ y^3, "")</f>
        <v/>
      </c>
      <c r="M20" t="str">
        <f>IF(AND(x &gt;=y, x + y &lt;= show_value), x^3+ y^3, "")</f>
        <v/>
      </c>
      <c r="N20" t="str">
        <f>IF(AND(x &gt;=y, x + y &lt;= show_value), x^3+ y^3, "")</f>
        <v/>
      </c>
      <c r="O20" t="str">
        <f>IF(AND(x &gt;=y, x + y &lt;= show_value), x^3+ y^3, "")</f>
        <v/>
      </c>
      <c r="P20" t="str">
        <f>IF(AND(x &gt;=y, x + y &lt;= show_value), x^3+ y^3, "")</f>
        <v/>
      </c>
      <c r="Q20" t="str">
        <f>IF(AND(x &gt;=y, x + y &lt;= show_value), x^3+ y^3, "")</f>
        <v/>
      </c>
      <c r="R20" t="str">
        <f>IF(AND(x &gt;=y, x + y &lt;= show_value), x^3+ y^3, "")</f>
        <v/>
      </c>
      <c r="S20" t="str">
        <f>IF(AND(x &gt;=y, x + y &lt;= show_value), x^3+ y^3, "")</f>
        <v/>
      </c>
      <c r="T20" t="str">
        <f>IF(AND(x &gt;=y, x + y &lt;= show_value), x^3+ y^3, "")</f>
        <v/>
      </c>
      <c r="U20" t="str">
        <f>IF(AND(x &gt;=y, x + y &lt;= show_value), x^3+ y^3, "")</f>
        <v/>
      </c>
      <c r="V20" t="str">
        <f>IF(AND(x &gt;=y, x + y &lt;= show_value), x^3+ y^3, "")</f>
        <v/>
      </c>
      <c r="W20" t="str">
        <f>IF(AND(x &gt;=y, x + y &lt;= show_value), x^3+ y^3, "")</f>
        <v/>
      </c>
      <c r="X20" t="str">
        <f>IF(AND(x &gt;=y, x + y &lt;= show_value), x^3+ y^3, "")</f>
        <v/>
      </c>
      <c r="Y20" t="str">
        <f>IF(AND(x &gt;=y, x + y &lt;= show_value), x^3+ y^3, "")</f>
        <v/>
      </c>
      <c r="Z20" t="str">
        <f>IF(AND(x &gt;=y, x + y &lt;= show_value), x^3+ y^3, "")</f>
        <v/>
      </c>
      <c r="AA20" t="str">
        <f>IF(AND(x &gt;=y, x + y &lt;= show_value), x^3+ y^3, "")</f>
        <v/>
      </c>
      <c r="AB20" t="str">
        <f>IF(AND(x &gt;=y, x + y &lt;= show_value), x^3+ y^3, "")</f>
        <v/>
      </c>
      <c r="AC20" t="str">
        <f>IF(AND(x &gt;=y, x + y &lt;= show_value), x^3+ y^3, "")</f>
        <v/>
      </c>
      <c r="AD20" t="str">
        <f>IF(AND(x &gt;=y, x + y &lt;= show_value), x^3+ y^3, "")</f>
        <v/>
      </c>
      <c r="AE20" t="str">
        <f>IF(AND(x &gt;=y, x + y &lt;= show_value), x^3+ y^3, "")</f>
        <v/>
      </c>
      <c r="AF20" t="str">
        <f>IF(AND(x &gt;=y, x + y &lt;= show_value), x^3+ y^3, "")</f>
        <v/>
      </c>
    </row>
    <row r="21" spans="2:32" x14ac:dyDescent="0.25">
      <c r="B21" s="5">
        <v>18</v>
      </c>
      <c r="C21" t="str">
        <f>IF(AND(x &gt;=y, x + y &lt;= show_value), x^3+ y^3, "")</f>
        <v/>
      </c>
      <c r="D21" t="str">
        <f>IF(AND(x &gt;=y, x + y &lt;= show_value), x^3+ y^3, "")</f>
        <v/>
      </c>
      <c r="E21" t="str">
        <f>IF(AND(x &gt;=y, x + y &lt;= show_value), x^3+ y^3, "")</f>
        <v/>
      </c>
      <c r="F21" t="str">
        <f>IF(AND(x &gt;=y, x + y &lt;= show_value), x^3+ y^3, "")</f>
        <v/>
      </c>
      <c r="G21" t="str">
        <f>IF(AND(x &gt;=y, x + y &lt;= show_value), x^3+ y^3, "")</f>
        <v/>
      </c>
      <c r="H21" t="str">
        <f>IF(AND(x &gt;=y, x + y &lt;= show_value), x^3+ y^3, "")</f>
        <v/>
      </c>
      <c r="I21" t="str">
        <f>IF(AND(x &gt;=y, x + y &lt;= show_value), x^3+ y^3, "")</f>
        <v/>
      </c>
      <c r="J21" t="str">
        <f>IF(AND(x &gt;=y, x + y &lt;= show_value), x^3+ y^3, "")</f>
        <v/>
      </c>
      <c r="K21" t="str">
        <f>IF(AND(x &gt;=y, x + y &lt;= show_value), x^3+ y^3, "")</f>
        <v/>
      </c>
      <c r="L21" t="str">
        <f>IF(AND(x &gt;=y, x + y &lt;= show_value), x^3+ y^3, "")</f>
        <v/>
      </c>
      <c r="M21" t="str">
        <f>IF(AND(x &gt;=y, x + y &lt;= show_value), x^3+ y^3, "")</f>
        <v/>
      </c>
      <c r="N21" t="str">
        <f>IF(AND(x &gt;=y, x + y &lt;= show_value), x^3+ y^3, "")</f>
        <v/>
      </c>
      <c r="O21" t="str">
        <f>IF(AND(x &gt;=y, x + y &lt;= show_value), x^3+ y^3, "")</f>
        <v/>
      </c>
      <c r="P21" t="str">
        <f>IF(AND(x &gt;=y, x + y &lt;= show_value), x^3+ y^3, "")</f>
        <v/>
      </c>
      <c r="Q21" t="str">
        <f>IF(AND(x &gt;=y, x + y &lt;= show_value), x^3+ y^3, "")</f>
        <v/>
      </c>
      <c r="R21" t="str">
        <f>IF(AND(x &gt;=y, x + y &lt;= show_value), x^3+ y^3, "")</f>
        <v/>
      </c>
      <c r="S21" t="str">
        <f>IF(AND(x &gt;=y, x + y &lt;= show_value), x^3+ y^3, "")</f>
        <v/>
      </c>
      <c r="T21" t="str">
        <f>IF(AND(x &gt;=y, x + y &lt;= show_value), x^3+ y^3, "")</f>
        <v/>
      </c>
      <c r="U21" t="str">
        <f>IF(AND(x &gt;=y, x + y &lt;= show_value), x^3+ y^3, "")</f>
        <v/>
      </c>
      <c r="V21" t="str">
        <f>IF(AND(x &gt;=y, x + y &lt;= show_value), x^3+ y^3, "")</f>
        <v/>
      </c>
      <c r="W21" t="str">
        <f>IF(AND(x &gt;=y, x + y &lt;= show_value), x^3+ y^3, "")</f>
        <v/>
      </c>
      <c r="X21" t="str">
        <f>IF(AND(x &gt;=y, x + y &lt;= show_value), x^3+ y^3, "")</f>
        <v/>
      </c>
      <c r="Y21" t="str">
        <f>IF(AND(x &gt;=y, x + y &lt;= show_value), x^3+ y^3, "")</f>
        <v/>
      </c>
      <c r="Z21" t="str">
        <f>IF(AND(x &gt;=y, x + y &lt;= show_value), x^3+ y^3, "")</f>
        <v/>
      </c>
      <c r="AA21" t="str">
        <f>IF(AND(x &gt;=y, x + y &lt;= show_value), x^3+ y^3, "")</f>
        <v/>
      </c>
      <c r="AB21" t="str">
        <f>IF(AND(x &gt;=y, x + y &lt;= show_value), x^3+ y^3, "")</f>
        <v/>
      </c>
      <c r="AC21" t="str">
        <f>IF(AND(x &gt;=y, x + y &lt;= show_value), x^3+ y^3, "")</f>
        <v/>
      </c>
      <c r="AD21" t="str">
        <f>IF(AND(x &gt;=y, x + y &lt;= show_value), x^3+ y^3, "")</f>
        <v/>
      </c>
      <c r="AE21" t="str">
        <f>IF(AND(x &gt;=y, x + y &lt;= show_value), x^3+ y^3, "")</f>
        <v/>
      </c>
      <c r="AF21" t="str">
        <f>IF(AND(x &gt;=y, x + y &lt;= show_value), x^3+ y^3, "")</f>
        <v/>
      </c>
    </row>
    <row r="22" spans="2:32" x14ac:dyDescent="0.25">
      <c r="B22" s="5">
        <v>19</v>
      </c>
      <c r="C22" t="str">
        <f>IF(AND(x &gt;=y, x + y &lt;= show_value), x^3+ y^3, "")</f>
        <v/>
      </c>
      <c r="D22" t="str">
        <f>IF(AND(x &gt;=y, x + y &lt;= show_value), x^3+ y^3, "")</f>
        <v/>
      </c>
      <c r="E22" t="str">
        <f>IF(AND(x &gt;=y, x + y &lt;= show_value), x^3+ y^3, "")</f>
        <v/>
      </c>
      <c r="F22" t="str">
        <f>IF(AND(x &gt;=y, x + y &lt;= show_value), x^3+ y^3, "")</f>
        <v/>
      </c>
      <c r="G22" t="str">
        <f>IF(AND(x &gt;=y, x + y &lt;= show_value), x^3+ y^3, "")</f>
        <v/>
      </c>
      <c r="H22" t="str">
        <f>IF(AND(x &gt;=y, x + y &lt;= show_value), x^3+ y^3, "")</f>
        <v/>
      </c>
      <c r="I22" t="str">
        <f>IF(AND(x &gt;=y, x + y &lt;= show_value), x^3+ y^3, "")</f>
        <v/>
      </c>
      <c r="J22" t="str">
        <f>IF(AND(x &gt;=y, x + y &lt;= show_value), x^3+ y^3, "")</f>
        <v/>
      </c>
      <c r="K22" t="str">
        <f>IF(AND(x &gt;=y, x + y &lt;= show_value), x^3+ y^3, "")</f>
        <v/>
      </c>
      <c r="L22" t="str">
        <f>IF(AND(x &gt;=y, x + y &lt;= show_value), x^3+ y^3, "")</f>
        <v/>
      </c>
      <c r="M22" t="str">
        <f>IF(AND(x &gt;=y, x + y &lt;= show_value), x^3+ y^3, "")</f>
        <v/>
      </c>
      <c r="N22" t="str">
        <f>IF(AND(x &gt;=y, x + y &lt;= show_value), x^3+ y^3, "")</f>
        <v/>
      </c>
      <c r="O22" t="str">
        <f>IF(AND(x &gt;=y, x + y &lt;= show_value), x^3+ y^3, "")</f>
        <v/>
      </c>
      <c r="P22" t="str">
        <f>IF(AND(x &gt;=y, x + y &lt;= show_value), x^3+ y^3, "")</f>
        <v/>
      </c>
      <c r="Q22" t="str">
        <f>IF(AND(x &gt;=y, x + y &lt;= show_value), x^3+ y^3, "")</f>
        <v/>
      </c>
      <c r="R22" t="str">
        <f>IF(AND(x &gt;=y, x + y &lt;= show_value), x^3+ y^3, "")</f>
        <v/>
      </c>
      <c r="S22" t="str">
        <f>IF(AND(x &gt;=y, x + y &lt;= show_value), x^3+ y^3, "")</f>
        <v/>
      </c>
      <c r="T22" t="str">
        <f>IF(AND(x &gt;=y, x + y &lt;= show_value), x^3+ y^3, "")</f>
        <v/>
      </c>
      <c r="U22" t="str">
        <f>IF(AND(x &gt;=y, x + y &lt;= show_value), x^3+ y^3, "")</f>
        <v/>
      </c>
      <c r="V22" t="str">
        <f>IF(AND(x &gt;=y, x + y &lt;= show_value), x^3+ y^3, "")</f>
        <v/>
      </c>
      <c r="W22" t="str">
        <f>IF(AND(x &gt;=y, x + y &lt;= show_value), x^3+ y^3, "")</f>
        <v/>
      </c>
      <c r="X22" t="str">
        <f>IF(AND(x &gt;=y, x + y &lt;= show_value), x^3+ y^3, "")</f>
        <v/>
      </c>
      <c r="Y22" t="str">
        <f>IF(AND(x &gt;=y, x + y &lt;= show_value), x^3+ y^3, "")</f>
        <v/>
      </c>
      <c r="Z22" t="str">
        <f>IF(AND(x &gt;=y, x + y &lt;= show_value), x^3+ y^3, "")</f>
        <v/>
      </c>
      <c r="AA22" t="str">
        <f>IF(AND(x &gt;=y, x + y &lt;= show_value), x^3+ y^3, "")</f>
        <v/>
      </c>
      <c r="AB22" t="str">
        <f>IF(AND(x &gt;=y, x + y &lt;= show_value), x^3+ y^3, "")</f>
        <v/>
      </c>
      <c r="AC22" t="str">
        <f>IF(AND(x &gt;=y, x + y &lt;= show_value), x^3+ y^3, "")</f>
        <v/>
      </c>
      <c r="AD22" t="str">
        <f>IF(AND(x &gt;=y, x + y &lt;= show_value), x^3+ y^3, "")</f>
        <v/>
      </c>
      <c r="AE22" t="str">
        <f>IF(AND(x &gt;=y, x + y &lt;= show_value), x^3+ y^3, "")</f>
        <v/>
      </c>
      <c r="AF22" t="str">
        <f>IF(AND(x &gt;=y, x + y &lt;= show_value), x^3+ y^3, "")</f>
        <v/>
      </c>
    </row>
    <row r="23" spans="2:32" x14ac:dyDescent="0.25">
      <c r="B23" s="5">
        <v>20</v>
      </c>
      <c r="C23" t="str">
        <f>IF(AND(x &gt;=y, x + y &lt;= show_value), x^3+ y^3, "")</f>
        <v/>
      </c>
      <c r="D23" t="str">
        <f>IF(AND(x &gt;=y, x + y &lt;= show_value), x^3+ y^3, "")</f>
        <v/>
      </c>
      <c r="E23" t="str">
        <f>IF(AND(x &gt;=y, x + y &lt;= show_value), x^3+ y^3, "")</f>
        <v/>
      </c>
      <c r="F23" t="str">
        <f>IF(AND(x &gt;=y, x + y &lt;= show_value), x^3+ y^3, "")</f>
        <v/>
      </c>
      <c r="G23" t="str">
        <f>IF(AND(x &gt;=y, x + y &lt;= show_value), x^3+ y^3, "")</f>
        <v/>
      </c>
      <c r="H23" t="str">
        <f>IF(AND(x &gt;=y, x + y &lt;= show_value), x^3+ y^3, "")</f>
        <v/>
      </c>
      <c r="I23" t="str">
        <f>IF(AND(x &gt;=y, x + y &lt;= show_value), x^3+ y^3, "")</f>
        <v/>
      </c>
      <c r="J23" t="str">
        <f>IF(AND(x &gt;=y, x + y &lt;= show_value), x^3+ y^3, "")</f>
        <v/>
      </c>
      <c r="K23" t="str">
        <f>IF(AND(x &gt;=y, x + y &lt;= show_value), x^3+ y^3, "")</f>
        <v/>
      </c>
      <c r="L23" t="str">
        <f>IF(AND(x &gt;=y, x + y &lt;= show_value), x^3+ y^3, "")</f>
        <v/>
      </c>
      <c r="M23" t="str">
        <f>IF(AND(x &gt;=y, x + y &lt;= show_value), x^3+ y^3, "")</f>
        <v/>
      </c>
      <c r="N23" t="str">
        <f>IF(AND(x &gt;=y, x + y &lt;= show_value), x^3+ y^3, "")</f>
        <v/>
      </c>
      <c r="O23" t="str">
        <f>IF(AND(x &gt;=y, x + y &lt;= show_value), x^3+ y^3, "")</f>
        <v/>
      </c>
      <c r="P23" t="str">
        <f>IF(AND(x &gt;=y, x + y &lt;= show_value), x^3+ y^3, "")</f>
        <v/>
      </c>
      <c r="Q23" t="str">
        <f>IF(AND(x &gt;=y, x + y &lt;= show_value), x^3+ y^3, "")</f>
        <v/>
      </c>
      <c r="R23" t="str">
        <f>IF(AND(x &gt;=y, x + y &lt;= show_value), x^3+ y^3, "")</f>
        <v/>
      </c>
      <c r="S23" t="str">
        <f>IF(AND(x &gt;=y, x + y &lt;= show_value), x^3+ y^3, "")</f>
        <v/>
      </c>
      <c r="T23" t="str">
        <f>IF(AND(x &gt;=y, x + y &lt;= show_value), x^3+ y^3, "")</f>
        <v/>
      </c>
      <c r="U23" t="str">
        <f>IF(AND(x &gt;=y, x + y &lt;= show_value), x^3+ y^3, "")</f>
        <v/>
      </c>
      <c r="V23" t="str">
        <f>IF(AND(x &gt;=y, x + y &lt;= show_value), x^3+ y^3, "")</f>
        <v/>
      </c>
      <c r="W23" t="str">
        <f>IF(AND(x &gt;=y, x + y &lt;= show_value), x^3+ y^3, "")</f>
        <v/>
      </c>
      <c r="X23" t="str">
        <f>IF(AND(x &gt;=y, x + y &lt;= show_value), x^3+ y^3, "")</f>
        <v/>
      </c>
      <c r="Y23" t="str">
        <f>IF(AND(x &gt;=y, x + y &lt;= show_value), x^3+ y^3, "")</f>
        <v/>
      </c>
      <c r="Z23" t="str">
        <f>IF(AND(x &gt;=y, x + y &lt;= show_value), x^3+ y^3, "")</f>
        <v/>
      </c>
      <c r="AA23" t="str">
        <f>IF(AND(x &gt;=y, x + y &lt;= show_value), x^3+ y^3, "")</f>
        <v/>
      </c>
      <c r="AB23" t="str">
        <f>IF(AND(x &gt;=y, x + y &lt;= show_value), x^3+ y^3, "")</f>
        <v/>
      </c>
      <c r="AC23" t="str">
        <f>IF(AND(x &gt;=y, x + y &lt;= show_value), x^3+ y^3, "")</f>
        <v/>
      </c>
      <c r="AD23" t="str">
        <f>IF(AND(x &gt;=y, x + y &lt;= show_value), x^3+ y^3, "")</f>
        <v/>
      </c>
      <c r="AE23" t="str">
        <f>IF(AND(x &gt;=y, x + y &lt;= show_value), x^3+ y^3, "")</f>
        <v/>
      </c>
      <c r="AF23" t="str">
        <f>IF(AND(x &gt;=y, x + y &lt;= show_value), x^3+ y^3, "")</f>
        <v/>
      </c>
    </row>
    <row r="24" spans="2:32" x14ac:dyDescent="0.25">
      <c r="B24" s="5">
        <v>21</v>
      </c>
      <c r="C24" t="str">
        <f>IF(AND(x &gt;=y, x + y &lt;= show_value), x^3+ y^3, "")</f>
        <v/>
      </c>
      <c r="D24" t="str">
        <f>IF(AND(x &gt;=y, x + y &lt;= show_value), x^3+ y^3, "")</f>
        <v/>
      </c>
      <c r="E24" t="str">
        <f>IF(AND(x &gt;=y, x + y &lt;= show_value), x^3+ y^3, "")</f>
        <v/>
      </c>
      <c r="F24" t="str">
        <f>IF(AND(x &gt;=y, x + y &lt;= show_value), x^3+ y^3, "")</f>
        <v/>
      </c>
      <c r="G24" t="str">
        <f>IF(AND(x &gt;=y, x + y &lt;= show_value), x^3+ y^3, "")</f>
        <v/>
      </c>
      <c r="H24" t="str">
        <f>IF(AND(x &gt;=y, x + y &lt;= show_value), x^3+ y^3, "")</f>
        <v/>
      </c>
      <c r="I24" t="str">
        <f>IF(AND(x &gt;=y, x + y &lt;= show_value), x^3+ y^3, "")</f>
        <v/>
      </c>
      <c r="J24" t="str">
        <f>IF(AND(x &gt;=y, x + y &lt;= show_value), x^3+ y^3, "")</f>
        <v/>
      </c>
      <c r="K24" t="str">
        <f>IF(AND(x &gt;=y, x + y &lt;= show_value), x^3+ y^3, "")</f>
        <v/>
      </c>
      <c r="L24" t="str">
        <f>IF(AND(x &gt;=y, x + y &lt;= show_value), x^3+ y^3, "")</f>
        <v/>
      </c>
      <c r="M24" t="str">
        <f>IF(AND(x &gt;=y, x + y &lt;= show_value), x^3+ y^3, "")</f>
        <v/>
      </c>
      <c r="N24" t="str">
        <f>IF(AND(x &gt;=y, x + y &lt;= show_value), x^3+ y^3, "")</f>
        <v/>
      </c>
      <c r="O24" t="str">
        <f>IF(AND(x &gt;=y, x + y &lt;= show_value), x^3+ y^3, "")</f>
        <v/>
      </c>
      <c r="P24" t="str">
        <f>IF(AND(x &gt;=y, x + y &lt;= show_value), x^3+ y^3, "")</f>
        <v/>
      </c>
      <c r="Q24" t="str">
        <f>IF(AND(x &gt;=y, x + y &lt;= show_value), x^3+ y^3, "")</f>
        <v/>
      </c>
      <c r="R24" t="str">
        <f>IF(AND(x &gt;=y, x + y &lt;= show_value), x^3+ y^3, "")</f>
        <v/>
      </c>
      <c r="S24" t="str">
        <f>IF(AND(x &gt;=y, x + y &lt;= show_value), x^3+ y^3, "")</f>
        <v/>
      </c>
      <c r="T24" t="str">
        <f>IF(AND(x &gt;=y, x + y &lt;= show_value), x^3+ y^3, "")</f>
        <v/>
      </c>
      <c r="U24" t="str">
        <f>IF(AND(x &gt;=y, x + y &lt;= show_value), x^3+ y^3, "")</f>
        <v/>
      </c>
      <c r="V24" t="str">
        <f>IF(AND(x &gt;=y, x + y &lt;= show_value), x^3+ y^3, "")</f>
        <v/>
      </c>
      <c r="W24" t="str">
        <f>IF(AND(x &gt;=y, x + y &lt;= show_value), x^3+ y^3, "")</f>
        <v/>
      </c>
      <c r="X24" t="str">
        <f>IF(AND(x &gt;=y, x + y &lt;= show_value), x^3+ y^3, "")</f>
        <v/>
      </c>
      <c r="Y24" t="str">
        <f>IF(AND(x &gt;=y, x + y &lt;= show_value), x^3+ y^3, "")</f>
        <v/>
      </c>
      <c r="Z24" t="str">
        <f>IF(AND(x &gt;=y, x + y &lt;= show_value), x^3+ y^3, "")</f>
        <v/>
      </c>
      <c r="AA24" t="str">
        <f>IF(AND(x &gt;=y, x + y &lt;= show_value), x^3+ y^3, "")</f>
        <v/>
      </c>
      <c r="AB24" t="str">
        <f>IF(AND(x &gt;=y, x + y &lt;= show_value), x^3+ y^3, "")</f>
        <v/>
      </c>
      <c r="AC24" t="str">
        <f>IF(AND(x &gt;=y, x + y &lt;= show_value), x^3+ y^3, "")</f>
        <v/>
      </c>
      <c r="AD24" t="str">
        <f>IF(AND(x &gt;=y, x + y &lt;= show_value), x^3+ y^3, "")</f>
        <v/>
      </c>
      <c r="AE24" t="str">
        <f>IF(AND(x &gt;=y, x + y &lt;= show_value), x^3+ y^3, "")</f>
        <v/>
      </c>
      <c r="AF24" t="str">
        <f>IF(AND(x &gt;=y, x + y &lt;= show_value), x^3+ y^3, "")</f>
        <v/>
      </c>
    </row>
    <row r="25" spans="2:32" x14ac:dyDescent="0.25">
      <c r="B25" s="5">
        <v>22</v>
      </c>
      <c r="C25" t="str">
        <f>IF(AND(x &gt;=y, x + y &lt;= show_value), x^3+ y^3, "")</f>
        <v/>
      </c>
      <c r="D25" t="str">
        <f>IF(AND(x &gt;=y, x + y &lt;= show_value), x^3+ y^3, "")</f>
        <v/>
      </c>
      <c r="E25" t="str">
        <f>IF(AND(x &gt;=y, x + y &lt;= show_value), x^3+ y^3, "")</f>
        <v/>
      </c>
      <c r="F25" t="str">
        <f>IF(AND(x &gt;=y, x + y &lt;= show_value), x^3+ y^3, "")</f>
        <v/>
      </c>
      <c r="G25" t="str">
        <f>IF(AND(x &gt;=y, x + y &lt;= show_value), x^3+ y^3, "")</f>
        <v/>
      </c>
      <c r="H25" t="str">
        <f>IF(AND(x &gt;=y, x + y &lt;= show_value), x^3+ y^3, "")</f>
        <v/>
      </c>
      <c r="I25" t="str">
        <f>IF(AND(x &gt;=y, x + y &lt;= show_value), x^3+ y^3, "")</f>
        <v/>
      </c>
      <c r="J25" t="str">
        <f>IF(AND(x &gt;=y, x + y &lt;= show_value), x^3+ y^3, "")</f>
        <v/>
      </c>
      <c r="K25" t="str">
        <f>IF(AND(x &gt;=y, x + y &lt;= show_value), x^3+ y^3, "")</f>
        <v/>
      </c>
      <c r="L25" t="str">
        <f>IF(AND(x &gt;=y, x + y &lt;= show_value), x^3+ y^3, "")</f>
        <v/>
      </c>
      <c r="M25" t="str">
        <f>IF(AND(x &gt;=y, x + y &lt;= show_value), x^3+ y^3, "")</f>
        <v/>
      </c>
      <c r="N25" t="str">
        <f>IF(AND(x &gt;=y, x + y &lt;= show_value), x^3+ y^3, "")</f>
        <v/>
      </c>
      <c r="O25" t="str">
        <f>IF(AND(x &gt;=y, x + y &lt;= show_value), x^3+ y^3, "")</f>
        <v/>
      </c>
      <c r="P25" t="str">
        <f>IF(AND(x &gt;=y, x + y &lt;= show_value), x^3+ y^3, "")</f>
        <v/>
      </c>
      <c r="Q25" t="str">
        <f>IF(AND(x &gt;=y, x + y &lt;= show_value), x^3+ y^3, "")</f>
        <v/>
      </c>
      <c r="R25" t="str">
        <f>IF(AND(x &gt;=y, x + y &lt;= show_value), x^3+ y^3, "")</f>
        <v/>
      </c>
      <c r="S25" t="str">
        <f>IF(AND(x &gt;=y, x + y &lt;= show_value), x^3+ y^3, "")</f>
        <v/>
      </c>
      <c r="T25" t="str">
        <f>IF(AND(x &gt;=y, x + y &lt;= show_value), x^3+ y^3, "")</f>
        <v/>
      </c>
      <c r="U25" t="str">
        <f>IF(AND(x &gt;=y, x + y &lt;= show_value), x^3+ y^3, "")</f>
        <v/>
      </c>
      <c r="V25" t="str">
        <f>IF(AND(x &gt;=y, x + y &lt;= show_value), x^3+ y^3, "")</f>
        <v/>
      </c>
      <c r="W25" t="str">
        <f>IF(AND(x &gt;=y, x + y &lt;= show_value), x^3+ y^3, "")</f>
        <v/>
      </c>
      <c r="X25" t="str">
        <f>IF(AND(x &gt;=y, x + y &lt;= show_value), x^3+ y^3, "")</f>
        <v/>
      </c>
      <c r="Y25" t="str">
        <f>IF(AND(x &gt;=y, x + y &lt;= show_value), x^3+ y^3, "")</f>
        <v/>
      </c>
      <c r="Z25" t="str">
        <f>IF(AND(x &gt;=y, x + y &lt;= show_value), x^3+ y^3, "")</f>
        <v/>
      </c>
      <c r="AA25" t="str">
        <f>IF(AND(x &gt;=y, x + y &lt;= show_value), x^3+ y^3, "")</f>
        <v/>
      </c>
      <c r="AB25" t="str">
        <f>IF(AND(x &gt;=y, x + y &lt;= show_value), x^3+ y^3, "")</f>
        <v/>
      </c>
      <c r="AC25" t="str">
        <f>IF(AND(x &gt;=y, x + y &lt;= show_value), x^3+ y^3, "")</f>
        <v/>
      </c>
      <c r="AD25" t="str">
        <f>IF(AND(x &gt;=y, x + y &lt;= show_value), x^3+ y^3, "")</f>
        <v/>
      </c>
      <c r="AE25" t="str">
        <f>IF(AND(x &gt;=y, x + y &lt;= show_value), x^3+ y^3, "")</f>
        <v/>
      </c>
      <c r="AF25" t="str">
        <f>IF(AND(x &gt;=y, x + y &lt;= show_value), x^3+ y^3, "")</f>
        <v/>
      </c>
    </row>
    <row r="26" spans="2:32" x14ac:dyDescent="0.25">
      <c r="B26" s="5">
        <v>23</v>
      </c>
      <c r="C26" t="str">
        <f>IF(AND(x &gt;=y, x + y &lt;= show_value), x^3+ y^3, "")</f>
        <v/>
      </c>
      <c r="D26" t="str">
        <f>IF(AND(x &gt;=y, x + y &lt;= show_value), x^3+ y^3, "")</f>
        <v/>
      </c>
      <c r="E26" t="str">
        <f>IF(AND(x &gt;=y, x + y &lt;= show_value), x^3+ y^3, "")</f>
        <v/>
      </c>
      <c r="F26" t="str">
        <f>IF(AND(x &gt;=y, x + y &lt;= show_value), x^3+ y^3, "")</f>
        <v/>
      </c>
      <c r="G26" t="str">
        <f>IF(AND(x &gt;=y, x + y &lt;= show_value), x^3+ y^3, "")</f>
        <v/>
      </c>
      <c r="H26" t="str">
        <f>IF(AND(x &gt;=y, x + y &lt;= show_value), x^3+ y^3, "")</f>
        <v/>
      </c>
      <c r="I26" t="str">
        <f>IF(AND(x &gt;=y, x + y &lt;= show_value), x^3+ y^3, "")</f>
        <v/>
      </c>
      <c r="J26" t="str">
        <f>IF(AND(x &gt;=y, x + y &lt;= show_value), x^3+ y^3, "")</f>
        <v/>
      </c>
      <c r="K26" t="str">
        <f>IF(AND(x &gt;=y, x + y &lt;= show_value), x^3+ y^3, "")</f>
        <v/>
      </c>
      <c r="L26" t="str">
        <f>IF(AND(x &gt;=y, x + y &lt;= show_value), x^3+ y^3, "")</f>
        <v/>
      </c>
      <c r="M26" t="str">
        <f>IF(AND(x &gt;=y, x + y &lt;= show_value), x^3+ y^3, "")</f>
        <v/>
      </c>
      <c r="N26" t="str">
        <f>IF(AND(x &gt;=y, x + y &lt;= show_value), x^3+ y^3, "")</f>
        <v/>
      </c>
      <c r="O26" t="str">
        <f>IF(AND(x &gt;=y, x + y &lt;= show_value), x^3+ y^3, "")</f>
        <v/>
      </c>
      <c r="P26" t="str">
        <f>IF(AND(x &gt;=y, x + y &lt;= show_value), x^3+ y^3, "")</f>
        <v/>
      </c>
      <c r="Q26" t="str">
        <f>IF(AND(x &gt;=y, x + y &lt;= show_value), x^3+ y^3, "")</f>
        <v/>
      </c>
      <c r="R26" t="str">
        <f>IF(AND(x &gt;=y, x + y &lt;= show_value), x^3+ y^3, "")</f>
        <v/>
      </c>
      <c r="S26" t="str">
        <f>IF(AND(x &gt;=y, x + y &lt;= show_value), x^3+ y^3, "")</f>
        <v/>
      </c>
      <c r="T26" t="str">
        <f>IF(AND(x &gt;=y, x + y &lt;= show_value), x^3+ y^3, "")</f>
        <v/>
      </c>
      <c r="U26" t="str">
        <f>IF(AND(x &gt;=y, x + y &lt;= show_value), x^3+ y^3, "")</f>
        <v/>
      </c>
      <c r="V26" t="str">
        <f>IF(AND(x &gt;=y, x + y &lt;= show_value), x^3+ y^3, "")</f>
        <v/>
      </c>
      <c r="W26" t="str">
        <f>IF(AND(x &gt;=y, x + y &lt;= show_value), x^3+ y^3, "")</f>
        <v/>
      </c>
      <c r="X26" t="str">
        <f>IF(AND(x &gt;=y, x + y &lt;= show_value), x^3+ y^3, "")</f>
        <v/>
      </c>
      <c r="Y26" t="str">
        <f>IF(AND(x &gt;=y, x + y &lt;= show_value), x^3+ y^3, "")</f>
        <v/>
      </c>
      <c r="Z26" t="str">
        <f>IF(AND(x &gt;=y, x + y &lt;= show_value), x^3+ y^3, "")</f>
        <v/>
      </c>
      <c r="AA26" t="str">
        <f>IF(AND(x &gt;=y, x + y &lt;= show_value), x^3+ y^3, "")</f>
        <v/>
      </c>
      <c r="AB26" t="str">
        <f>IF(AND(x &gt;=y, x + y &lt;= show_value), x^3+ y^3, "")</f>
        <v/>
      </c>
      <c r="AC26" t="str">
        <f>IF(AND(x &gt;=y, x + y &lt;= show_value), x^3+ y^3, "")</f>
        <v/>
      </c>
      <c r="AD26" t="str">
        <f>IF(AND(x &gt;=y, x + y &lt;= show_value), x^3+ y^3, "")</f>
        <v/>
      </c>
      <c r="AE26" t="str">
        <f>IF(AND(x &gt;=y, x + y &lt;= show_value), x^3+ y^3, "")</f>
        <v/>
      </c>
      <c r="AF26" t="str">
        <f>IF(AND(x &gt;=y, x + y &lt;= show_value), x^3+ y^3, "")</f>
        <v/>
      </c>
    </row>
    <row r="27" spans="2:32" x14ac:dyDescent="0.25">
      <c r="B27" s="5">
        <v>24</v>
      </c>
      <c r="C27" t="str">
        <f>IF(AND(x &gt;=y, x + y &lt;= show_value), x^3+ y^3, "")</f>
        <v/>
      </c>
      <c r="D27" t="str">
        <f>IF(AND(x &gt;=y, x + y &lt;= show_value), x^3+ y^3, "")</f>
        <v/>
      </c>
      <c r="E27" t="str">
        <f>IF(AND(x &gt;=y, x + y &lt;= show_value), x^3+ y^3, "")</f>
        <v/>
      </c>
      <c r="F27" t="str">
        <f>IF(AND(x &gt;=y, x + y &lt;= show_value), x^3+ y^3, "")</f>
        <v/>
      </c>
      <c r="G27" t="str">
        <f>IF(AND(x &gt;=y, x + y &lt;= show_value), x^3+ y^3, "")</f>
        <v/>
      </c>
      <c r="H27" t="str">
        <f>IF(AND(x &gt;=y, x + y &lt;= show_value), x^3+ y^3, "")</f>
        <v/>
      </c>
      <c r="I27" t="str">
        <f>IF(AND(x &gt;=y, x + y &lt;= show_value), x^3+ y^3, "")</f>
        <v/>
      </c>
      <c r="J27" t="str">
        <f>IF(AND(x &gt;=y, x + y &lt;= show_value), x^3+ y^3, "")</f>
        <v/>
      </c>
      <c r="K27" t="str">
        <f>IF(AND(x &gt;=y, x + y &lt;= show_value), x^3+ y^3, "")</f>
        <v/>
      </c>
      <c r="L27" t="str">
        <f>IF(AND(x &gt;=y, x + y &lt;= show_value), x^3+ y^3, "")</f>
        <v/>
      </c>
      <c r="M27" t="str">
        <f>IF(AND(x &gt;=y, x + y &lt;= show_value), x^3+ y^3, "")</f>
        <v/>
      </c>
      <c r="N27" t="str">
        <f>IF(AND(x &gt;=y, x + y &lt;= show_value), x^3+ y^3, "")</f>
        <v/>
      </c>
      <c r="O27" t="str">
        <f>IF(AND(x &gt;=y, x + y &lt;= show_value), x^3+ y^3, "")</f>
        <v/>
      </c>
      <c r="P27" t="str">
        <f>IF(AND(x &gt;=y, x + y &lt;= show_value), x^3+ y^3, "")</f>
        <v/>
      </c>
      <c r="Q27" t="str">
        <f>IF(AND(x &gt;=y, x + y &lt;= show_value), x^3+ y^3, "")</f>
        <v/>
      </c>
      <c r="R27" t="str">
        <f>IF(AND(x &gt;=y, x + y &lt;= show_value), x^3+ y^3, "")</f>
        <v/>
      </c>
      <c r="S27" t="str">
        <f>IF(AND(x &gt;=y, x + y &lt;= show_value), x^3+ y^3, "")</f>
        <v/>
      </c>
      <c r="T27" t="str">
        <f>IF(AND(x &gt;=y, x + y &lt;= show_value), x^3+ y^3, "")</f>
        <v/>
      </c>
      <c r="U27" t="str">
        <f>IF(AND(x &gt;=y, x + y &lt;= show_value), x^3+ y^3, "")</f>
        <v/>
      </c>
      <c r="V27" t="str">
        <f>IF(AND(x &gt;=y, x + y &lt;= show_value), x^3+ y^3, "")</f>
        <v/>
      </c>
      <c r="W27" t="str">
        <f>IF(AND(x &gt;=y, x + y &lt;= show_value), x^3+ y^3, "")</f>
        <v/>
      </c>
      <c r="X27" t="str">
        <f>IF(AND(x &gt;=y, x + y &lt;= show_value), x^3+ y^3, "")</f>
        <v/>
      </c>
      <c r="Y27" t="str">
        <f>IF(AND(x &gt;=y, x + y &lt;= show_value), x^3+ y^3, "")</f>
        <v/>
      </c>
      <c r="Z27" t="str">
        <f>IF(AND(x &gt;=y, x + y &lt;= show_value), x^3+ y^3, "")</f>
        <v/>
      </c>
      <c r="AA27" t="str">
        <f>IF(AND(x &gt;=y, x + y &lt;= show_value), x^3+ y^3, "")</f>
        <v/>
      </c>
      <c r="AB27" t="str">
        <f>IF(AND(x &gt;=y, x + y &lt;= show_value), x^3+ y^3, "")</f>
        <v/>
      </c>
      <c r="AC27" t="str">
        <f>IF(AND(x &gt;=y, x + y &lt;= show_value), x^3+ y^3, "")</f>
        <v/>
      </c>
      <c r="AD27" t="str">
        <f>IF(AND(x &gt;=y, x + y &lt;= show_value), x^3+ y^3, "")</f>
        <v/>
      </c>
      <c r="AE27" t="str">
        <f>IF(AND(x &gt;=y, x + y &lt;= show_value), x^3+ y^3, "")</f>
        <v/>
      </c>
      <c r="AF27" t="str">
        <f>IF(AND(x &gt;=y, x + y &lt;= show_value), x^3+ y^3, "")</f>
        <v/>
      </c>
    </row>
    <row r="28" spans="2:32" x14ac:dyDescent="0.25">
      <c r="B28" s="5">
        <v>25</v>
      </c>
      <c r="C28" t="str">
        <f>IF(AND(x &gt;=y, x + y &lt;= show_value), x^3+ y^3, "")</f>
        <v/>
      </c>
      <c r="D28" t="str">
        <f>IF(AND(x &gt;=y, x + y &lt;= show_value), x^3+ y^3, "")</f>
        <v/>
      </c>
      <c r="E28" t="str">
        <f>IF(AND(x &gt;=y, x + y &lt;= show_value), x^3+ y^3, "")</f>
        <v/>
      </c>
      <c r="F28" t="str">
        <f>IF(AND(x &gt;=y, x + y &lt;= show_value), x^3+ y^3, "")</f>
        <v/>
      </c>
      <c r="G28" t="str">
        <f>IF(AND(x &gt;=y, x + y &lt;= show_value), x^3+ y^3, "")</f>
        <v/>
      </c>
      <c r="H28" t="str">
        <f>IF(AND(x &gt;=y, x + y &lt;= show_value), x^3+ y^3, "")</f>
        <v/>
      </c>
      <c r="I28" t="str">
        <f>IF(AND(x &gt;=y, x + y &lt;= show_value), x^3+ y^3, "")</f>
        <v/>
      </c>
      <c r="J28" t="str">
        <f>IF(AND(x &gt;=y, x + y &lt;= show_value), x^3+ y^3, "")</f>
        <v/>
      </c>
      <c r="K28" t="str">
        <f>IF(AND(x &gt;=y, x + y &lt;= show_value), x^3+ y^3, "")</f>
        <v/>
      </c>
      <c r="L28" t="str">
        <f>IF(AND(x &gt;=y, x + y &lt;= show_value), x^3+ y^3, "")</f>
        <v/>
      </c>
      <c r="M28" t="str">
        <f>IF(AND(x &gt;=y, x + y &lt;= show_value), x^3+ y^3, "")</f>
        <v/>
      </c>
      <c r="N28" t="str">
        <f>IF(AND(x &gt;=y, x + y &lt;= show_value), x^3+ y^3, "")</f>
        <v/>
      </c>
      <c r="O28" t="str">
        <f>IF(AND(x &gt;=y, x + y &lt;= show_value), x^3+ y^3, "")</f>
        <v/>
      </c>
      <c r="P28" t="str">
        <f>IF(AND(x &gt;=y, x + y &lt;= show_value), x^3+ y^3, "")</f>
        <v/>
      </c>
      <c r="Q28" t="str">
        <f>IF(AND(x &gt;=y, x + y &lt;= show_value), x^3+ y^3, "")</f>
        <v/>
      </c>
      <c r="R28" t="str">
        <f>IF(AND(x &gt;=y, x + y &lt;= show_value), x^3+ y^3, "")</f>
        <v/>
      </c>
      <c r="S28" t="str">
        <f>IF(AND(x &gt;=y, x + y &lt;= show_value), x^3+ y^3, "")</f>
        <v/>
      </c>
      <c r="T28" t="str">
        <f>IF(AND(x &gt;=y, x + y &lt;= show_value), x^3+ y^3, "")</f>
        <v/>
      </c>
      <c r="U28" t="str">
        <f>IF(AND(x &gt;=y, x + y &lt;= show_value), x^3+ y^3, "")</f>
        <v/>
      </c>
      <c r="V28" t="str">
        <f>IF(AND(x &gt;=y, x + y &lt;= show_value), x^3+ y^3, "")</f>
        <v/>
      </c>
      <c r="W28" t="str">
        <f>IF(AND(x &gt;=y, x + y &lt;= show_value), x^3+ y^3, "")</f>
        <v/>
      </c>
      <c r="X28" t="str">
        <f>IF(AND(x &gt;=y, x + y &lt;= show_value), x^3+ y^3, "")</f>
        <v/>
      </c>
      <c r="Y28" t="str">
        <f>IF(AND(x &gt;=y, x + y &lt;= show_value), x^3+ y^3, "")</f>
        <v/>
      </c>
      <c r="Z28" t="str">
        <f>IF(AND(x &gt;=y, x + y &lt;= show_value), x^3+ y^3, "")</f>
        <v/>
      </c>
      <c r="AA28" t="str">
        <f>IF(AND(x &gt;=y, x + y &lt;= show_value), x^3+ y^3, "")</f>
        <v/>
      </c>
      <c r="AB28" t="str">
        <f>IF(AND(x &gt;=y, x + y &lt;= show_value), x^3+ y^3, "")</f>
        <v/>
      </c>
      <c r="AC28" t="str">
        <f>IF(AND(x &gt;=y, x + y &lt;= show_value), x^3+ y^3, "")</f>
        <v/>
      </c>
      <c r="AD28" t="str">
        <f>IF(AND(x &gt;=y, x + y &lt;= show_value), x^3+ y^3, "")</f>
        <v/>
      </c>
      <c r="AE28" t="str">
        <f>IF(AND(x &gt;=y, x + y &lt;= show_value), x^3+ y^3, "")</f>
        <v/>
      </c>
      <c r="AF28" t="str">
        <f>IF(AND(x &gt;=y, x + y &lt;= show_value), x^3+ y^3, "")</f>
        <v/>
      </c>
    </row>
    <row r="29" spans="2:32" x14ac:dyDescent="0.25">
      <c r="B29" s="5">
        <v>26</v>
      </c>
      <c r="C29" t="str">
        <f>IF(AND(x &gt;=y, x + y &lt;= show_value), x^3+ y^3, "")</f>
        <v/>
      </c>
      <c r="D29" t="str">
        <f>IF(AND(x &gt;=y, x + y &lt;= show_value), x^3+ y^3, "")</f>
        <v/>
      </c>
      <c r="E29" t="str">
        <f>IF(AND(x &gt;=y, x + y &lt;= show_value), x^3+ y^3, "")</f>
        <v/>
      </c>
      <c r="F29" t="str">
        <f>IF(AND(x &gt;=y, x + y &lt;= show_value), x^3+ y^3, "")</f>
        <v/>
      </c>
      <c r="G29" t="str">
        <f>IF(AND(x &gt;=y, x + y &lt;= show_value), x^3+ y^3, "")</f>
        <v/>
      </c>
      <c r="H29" t="str">
        <f>IF(AND(x &gt;=y, x + y &lt;= show_value), x^3+ y^3, "")</f>
        <v/>
      </c>
      <c r="I29" t="str">
        <f>IF(AND(x &gt;=y, x + y &lt;= show_value), x^3+ y^3, "")</f>
        <v/>
      </c>
      <c r="J29" t="str">
        <f>IF(AND(x &gt;=y, x + y &lt;= show_value), x^3+ y^3, "")</f>
        <v/>
      </c>
      <c r="K29" t="str">
        <f>IF(AND(x &gt;=y, x + y &lt;= show_value), x^3+ y^3, "")</f>
        <v/>
      </c>
      <c r="L29" t="str">
        <f>IF(AND(x &gt;=y, x + y &lt;= show_value), x^3+ y^3, "")</f>
        <v/>
      </c>
      <c r="M29" t="str">
        <f>IF(AND(x &gt;=y, x + y &lt;= show_value), x^3+ y^3, "")</f>
        <v/>
      </c>
      <c r="N29" t="str">
        <f>IF(AND(x &gt;=y, x + y &lt;= show_value), x^3+ y^3, "")</f>
        <v/>
      </c>
      <c r="O29" t="str">
        <f>IF(AND(x &gt;=y, x + y &lt;= show_value), x^3+ y^3, "")</f>
        <v/>
      </c>
      <c r="P29" t="str">
        <f>IF(AND(x &gt;=y, x + y &lt;= show_value), x^3+ y^3, "")</f>
        <v/>
      </c>
      <c r="Q29" t="str">
        <f>IF(AND(x &gt;=y, x + y &lt;= show_value), x^3+ y^3, "")</f>
        <v/>
      </c>
      <c r="R29" t="str">
        <f>IF(AND(x &gt;=y, x + y &lt;= show_value), x^3+ y^3, "")</f>
        <v/>
      </c>
      <c r="S29" t="str">
        <f>IF(AND(x &gt;=y, x + y &lt;= show_value), x^3+ y^3, "")</f>
        <v/>
      </c>
      <c r="T29" t="str">
        <f>IF(AND(x &gt;=y, x + y &lt;= show_value), x^3+ y^3, "")</f>
        <v/>
      </c>
      <c r="U29" t="str">
        <f>IF(AND(x &gt;=y, x + y &lt;= show_value), x^3+ y^3, "")</f>
        <v/>
      </c>
      <c r="V29" t="str">
        <f>IF(AND(x &gt;=y, x + y &lt;= show_value), x^3+ y^3, "")</f>
        <v/>
      </c>
      <c r="W29" t="str">
        <f>IF(AND(x &gt;=y, x + y &lt;= show_value), x^3+ y^3, "")</f>
        <v/>
      </c>
      <c r="X29" t="str">
        <f>IF(AND(x &gt;=y, x + y &lt;= show_value), x^3+ y^3, "")</f>
        <v/>
      </c>
      <c r="Y29" t="str">
        <f>IF(AND(x &gt;=y, x + y &lt;= show_value), x^3+ y^3, "")</f>
        <v/>
      </c>
      <c r="Z29" t="str">
        <f>IF(AND(x &gt;=y, x + y &lt;= show_value), x^3+ y^3, "")</f>
        <v/>
      </c>
      <c r="AA29" t="str">
        <f>IF(AND(x &gt;=y, x + y &lt;= show_value), x^3+ y^3, "")</f>
        <v/>
      </c>
      <c r="AB29" t="str">
        <f>IF(AND(x &gt;=y, x + y &lt;= show_value), x^3+ y^3, "")</f>
        <v/>
      </c>
      <c r="AC29" t="str">
        <f>IF(AND(x &gt;=y, x + y &lt;= show_value), x^3+ y^3, "")</f>
        <v/>
      </c>
      <c r="AD29" t="str">
        <f>IF(AND(x &gt;=y, x + y &lt;= show_value), x^3+ y^3, "")</f>
        <v/>
      </c>
      <c r="AE29" t="str">
        <f>IF(AND(x &gt;=y, x + y &lt;= show_value), x^3+ y^3, "")</f>
        <v/>
      </c>
      <c r="AF29" t="str">
        <f>IF(AND(x &gt;=y, x + y &lt;= show_value), x^3+ y^3, "")</f>
        <v/>
      </c>
    </row>
    <row r="30" spans="2:32" x14ac:dyDescent="0.25">
      <c r="B30" s="5">
        <v>27</v>
      </c>
      <c r="C30" t="str">
        <f>IF(AND(x &gt;=y, x + y &lt;= show_value), x^3+ y^3, "")</f>
        <v/>
      </c>
      <c r="D30" t="str">
        <f>IF(AND(x &gt;=y, x + y &lt;= show_value), x^3+ y^3, "")</f>
        <v/>
      </c>
      <c r="E30" t="str">
        <f>IF(AND(x &gt;=y, x + y &lt;= show_value), x^3+ y^3, "")</f>
        <v/>
      </c>
      <c r="F30" t="str">
        <f>IF(AND(x &gt;=y, x + y &lt;= show_value), x^3+ y^3, "")</f>
        <v/>
      </c>
      <c r="G30" t="str">
        <f>IF(AND(x &gt;=y, x + y &lt;= show_value), x^3+ y^3, "")</f>
        <v/>
      </c>
      <c r="H30" t="str">
        <f>IF(AND(x &gt;=y, x + y &lt;= show_value), x^3+ y^3, "")</f>
        <v/>
      </c>
      <c r="I30" t="str">
        <f>IF(AND(x &gt;=y, x + y &lt;= show_value), x^3+ y^3, "")</f>
        <v/>
      </c>
      <c r="J30" t="str">
        <f>IF(AND(x &gt;=y, x + y &lt;= show_value), x^3+ y^3, "")</f>
        <v/>
      </c>
      <c r="K30" t="str">
        <f>IF(AND(x &gt;=y, x + y &lt;= show_value), x^3+ y^3, "")</f>
        <v/>
      </c>
      <c r="L30" t="str">
        <f>IF(AND(x &gt;=y, x + y &lt;= show_value), x^3+ y^3, "")</f>
        <v/>
      </c>
      <c r="M30" t="str">
        <f>IF(AND(x &gt;=y, x + y &lt;= show_value), x^3+ y^3, "")</f>
        <v/>
      </c>
      <c r="N30" t="str">
        <f>IF(AND(x &gt;=y, x + y &lt;= show_value), x^3+ y^3, "")</f>
        <v/>
      </c>
      <c r="O30" t="str">
        <f>IF(AND(x &gt;=y, x + y &lt;= show_value), x^3+ y^3, "")</f>
        <v/>
      </c>
      <c r="P30" t="str">
        <f>IF(AND(x &gt;=y, x + y &lt;= show_value), x^3+ y^3, "")</f>
        <v/>
      </c>
      <c r="Q30" t="str">
        <f>IF(AND(x &gt;=y, x + y &lt;= show_value), x^3+ y^3, "")</f>
        <v/>
      </c>
      <c r="R30" t="str">
        <f>IF(AND(x &gt;=y, x + y &lt;= show_value), x^3+ y^3, "")</f>
        <v/>
      </c>
      <c r="S30" t="str">
        <f>IF(AND(x &gt;=y, x + y &lt;= show_value), x^3+ y^3, "")</f>
        <v/>
      </c>
      <c r="T30" t="str">
        <f>IF(AND(x &gt;=y, x + y &lt;= show_value), x^3+ y^3, "")</f>
        <v/>
      </c>
      <c r="U30" t="str">
        <f>IF(AND(x &gt;=y, x + y &lt;= show_value), x^3+ y^3, "")</f>
        <v/>
      </c>
      <c r="V30" t="str">
        <f>IF(AND(x &gt;=y, x + y &lt;= show_value), x^3+ y^3, "")</f>
        <v/>
      </c>
      <c r="W30" t="str">
        <f>IF(AND(x &gt;=y, x + y &lt;= show_value), x^3+ y^3, "")</f>
        <v/>
      </c>
      <c r="X30" t="str">
        <f>IF(AND(x &gt;=y, x + y &lt;= show_value), x^3+ y^3, "")</f>
        <v/>
      </c>
      <c r="Y30" t="str">
        <f>IF(AND(x &gt;=y, x + y &lt;= show_value), x^3+ y^3, "")</f>
        <v/>
      </c>
      <c r="Z30" t="str">
        <f>IF(AND(x &gt;=y, x + y &lt;= show_value), x^3+ y^3, "")</f>
        <v/>
      </c>
      <c r="AA30" t="str">
        <f>IF(AND(x &gt;=y, x + y &lt;= show_value), x^3+ y^3, "")</f>
        <v/>
      </c>
      <c r="AB30" t="str">
        <f>IF(AND(x &gt;=y, x + y &lt;= show_value), x^3+ y^3, "")</f>
        <v/>
      </c>
      <c r="AC30" t="str">
        <f>IF(AND(x &gt;=y, x + y &lt;= show_value), x^3+ y^3, "")</f>
        <v/>
      </c>
      <c r="AD30" t="str">
        <f>IF(AND(x &gt;=y, x + y &lt;= show_value), x^3+ y^3, "")</f>
        <v/>
      </c>
      <c r="AE30" t="str">
        <f>IF(AND(x &gt;=y, x + y &lt;= show_value), x^3+ y^3, "")</f>
        <v/>
      </c>
      <c r="AF30" t="str">
        <f>IF(AND(x &gt;=y, x + y &lt;= show_value), x^3+ y^3, "")</f>
        <v/>
      </c>
    </row>
    <row r="31" spans="2:32" x14ac:dyDescent="0.25">
      <c r="B31" s="5">
        <v>28</v>
      </c>
      <c r="C31" t="str">
        <f>IF(AND(x &gt;=y, x + y &lt;= show_value), x^3+ y^3, "")</f>
        <v/>
      </c>
      <c r="D31" t="str">
        <f>IF(AND(x &gt;=y, x + y &lt;= show_value), x^3+ y^3, "")</f>
        <v/>
      </c>
      <c r="E31" t="str">
        <f>IF(AND(x &gt;=y, x + y &lt;= show_value), x^3+ y^3, "")</f>
        <v/>
      </c>
      <c r="F31" t="str">
        <f>IF(AND(x &gt;=y, x + y &lt;= show_value), x^3+ y^3, "")</f>
        <v/>
      </c>
      <c r="G31" t="str">
        <f>IF(AND(x &gt;=y, x + y &lt;= show_value), x^3+ y^3, "")</f>
        <v/>
      </c>
      <c r="H31" t="str">
        <f>IF(AND(x &gt;=y, x + y &lt;= show_value), x^3+ y^3, "")</f>
        <v/>
      </c>
      <c r="I31" t="str">
        <f>IF(AND(x &gt;=y, x + y &lt;= show_value), x^3+ y^3, "")</f>
        <v/>
      </c>
      <c r="J31" t="str">
        <f>IF(AND(x &gt;=y, x + y &lt;= show_value), x^3+ y^3, "")</f>
        <v/>
      </c>
      <c r="K31" t="str">
        <f>IF(AND(x &gt;=y, x + y &lt;= show_value), x^3+ y^3, "")</f>
        <v/>
      </c>
      <c r="L31" t="str">
        <f>IF(AND(x &gt;=y, x + y &lt;= show_value), x^3+ y^3, "")</f>
        <v/>
      </c>
      <c r="M31" t="str">
        <f>IF(AND(x &gt;=y, x + y &lt;= show_value), x^3+ y^3, "")</f>
        <v/>
      </c>
      <c r="N31" t="str">
        <f>IF(AND(x &gt;=y, x + y &lt;= show_value), x^3+ y^3, "")</f>
        <v/>
      </c>
      <c r="O31" t="str">
        <f>IF(AND(x &gt;=y, x + y &lt;= show_value), x^3+ y^3, "")</f>
        <v/>
      </c>
      <c r="P31" t="str">
        <f>IF(AND(x &gt;=y, x + y &lt;= show_value), x^3+ y^3, "")</f>
        <v/>
      </c>
      <c r="Q31" t="str">
        <f>IF(AND(x &gt;=y, x + y &lt;= show_value), x^3+ y^3, "")</f>
        <v/>
      </c>
      <c r="R31" t="str">
        <f>IF(AND(x &gt;=y, x + y &lt;= show_value), x^3+ y^3, "")</f>
        <v/>
      </c>
      <c r="S31" t="str">
        <f>IF(AND(x &gt;=y, x + y &lt;= show_value), x^3+ y^3, "")</f>
        <v/>
      </c>
      <c r="T31" t="str">
        <f>IF(AND(x &gt;=y, x + y &lt;= show_value), x^3+ y^3, "")</f>
        <v/>
      </c>
      <c r="U31" t="str">
        <f>IF(AND(x &gt;=y, x + y &lt;= show_value), x^3+ y^3, "")</f>
        <v/>
      </c>
      <c r="V31" t="str">
        <f>IF(AND(x &gt;=y, x + y &lt;= show_value), x^3+ y^3, "")</f>
        <v/>
      </c>
      <c r="W31" t="str">
        <f>IF(AND(x &gt;=y, x + y &lt;= show_value), x^3+ y^3, "")</f>
        <v/>
      </c>
      <c r="X31" t="str">
        <f>IF(AND(x &gt;=y, x + y &lt;= show_value), x^3+ y^3, "")</f>
        <v/>
      </c>
      <c r="Y31" t="str">
        <f>IF(AND(x &gt;=y, x + y &lt;= show_value), x^3+ y^3, "")</f>
        <v/>
      </c>
      <c r="Z31" t="str">
        <f>IF(AND(x &gt;=y, x + y &lt;= show_value), x^3+ y^3, "")</f>
        <v/>
      </c>
      <c r="AA31" t="str">
        <f>IF(AND(x &gt;=y, x + y &lt;= show_value), x^3+ y^3, "")</f>
        <v/>
      </c>
      <c r="AB31" t="str">
        <f>IF(AND(x &gt;=y, x + y &lt;= show_value), x^3+ y^3, "")</f>
        <v/>
      </c>
      <c r="AC31" t="str">
        <f>IF(AND(x &gt;=y, x + y &lt;= show_value), x^3+ y^3, "")</f>
        <v/>
      </c>
      <c r="AD31" t="str">
        <f>IF(AND(x &gt;=y, x + y &lt;= show_value), x^3+ y^3, "")</f>
        <v/>
      </c>
      <c r="AE31" t="str">
        <f>IF(AND(x &gt;=y, x + y &lt;= show_value), x^3+ y^3, "")</f>
        <v/>
      </c>
      <c r="AF31" t="str">
        <f>IF(AND(x &gt;=y, x + y &lt;= show_value), x^3+ y^3, "")</f>
        <v/>
      </c>
    </row>
    <row r="32" spans="2:32" x14ac:dyDescent="0.25">
      <c r="B32" s="5">
        <v>29</v>
      </c>
      <c r="C32" t="str">
        <f>IF(AND(x &gt;=y, x + y &lt;= show_value), x^3+ y^3, "")</f>
        <v/>
      </c>
      <c r="D32" t="str">
        <f>IF(AND(x &gt;=y, x + y &lt;= show_value), x^3+ y^3, "")</f>
        <v/>
      </c>
      <c r="E32" t="str">
        <f>IF(AND(x &gt;=y, x + y &lt;= show_value), x^3+ y^3, "")</f>
        <v/>
      </c>
      <c r="F32" t="str">
        <f>IF(AND(x &gt;=y, x + y &lt;= show_value), x^3+ y^3, "")</f>
        <v/>
      </c>
      <c r="G32" t="str">
        <f>IF(AND(x &gt;=y, x + y &lt;= show_value), x^3+ y^3, "")</f>
        <v/>
      </c>
      <c r="H32" t="str">
        <f>IF(AND(x &gt;=y, x + y &lt;= show_value), x^3+ y^3, "")</f>
        <v/>
      </c>
      <c r="I32" t="str">
        <f>IF(AND(x &gt;=y, x + y &lt;= show_value), x^3+ y^3, "")</f>
        <v/>
      </c>
      <c r="J32" t="str">
        <f>IF(AND(x &gt;=y, x + y &lt;= show_value), x^3+ y^3, "")</f>
        <v/>
      </c>
      <c r="K32" t="str">
        <f>IF(AND(x &gt;=y, x + y &lt;= show_value), x^3+ y^3, "")</f>
        <v/>
      </c>
      <c r="L32" t="str">
        <f>IF(AND(x &gt;=y, x + y &lt;= show_value), x^3+ y^3, "")</f>
        <v/>
      </c>
      <c r="M32" t="str">
        <f>IF(AND(x &gt;=y, x + y &lt;= show_value), x^3+ y^3, "")</f>
        <v/>
      </c>
      <c r="N32" t="str">
        <f>IF(AND(x &gt;=y, x + y &lt;= show_value), x^3+ y^3, "")</f>
        <v/>
      </c>
      <c r="O32" t="str">
        <f>IF(AND(x &gt;=y, x + y &lt;= show_value), x^3+ y^3, "")</f>
        <v/>
      </c>
      <c r="P32" t="str">
        <f>IF(AND(x &gt;=y, x + y &lt;= show_value), x^3+ y^3, "")</f>
        <v/>
      </c>
      <c r="Q32" t="str">
        <f>IF(AND(x &gt;=y, x + y &lt;= show_value), x^3+ y^3, "")</f>
        <v/>
      </c>
      <c r="R32" t="str">
        <f>IF(AND(x &gt;=y, x + y &lt;= show_value), x^3+ y^3, "")</f>
        <v/>
      </c>
      <c r="S32" t="str">
        <f>IF(AND(x &gt;=y, x + y &lt;= show_value), x^3+ y^3, "")</f>
        <v/>
      </c>
      <c r="T32" t="str">
        <f>IF(AND(x &gt;=y, x + y &lt;= show_value), x^3+ y^3, "")</f>
        <v/>
      </c>
      <c r="U32" t="str">
        <f>IF(AND(x &gt;=y, x + y &lt;= show_value), x^3+ y^3, "")</f>
        <v/>
      </c>
      <c r="V32" t="str">
        <f>IF(AND(x &gt;=y, x + y &lt;= show_value), x^3+ y^3, "")</f>
        <v/>
      </c>
      <c r="W32" t="str">
        <f>IF(AND(x &gt;=y, x + y &lt;= show_value), x^3+ y^3, "")</f>
        <v/>
      </c>
      <c r="X32" t="str">
        <f>IF(AND(x &gt;=y, x + y &lt;= show_value), x^3+ y^3, "")</f>
        <v/>
      </c>
      <c r="Y32" t="str">
        <f>IF(AND(x &gt;=y, x + y &lt;= show_value), x^3+ y^3, "")</f>
        <v/>
      </c>
      <c r="Z32" t="str">
        <f>IF(AND(x &gt;=y, x + y &lt;= show_value), x^3+ y^3, "")</f>
        <v/>
      </c>
      <c r="AA32" t="str">
        <f>IF(AND(x &gt;=y, x + y &lt;= show_value), x^3+ y^3, "")</f>
        <v/>
      </c>
      <c r="AB32" t="str">
        <f>IF(AND(x &gt;=y, x + y &lt;= show_value), x^3+ y^3, "")</f>
        <v/>
      </c>
      <c r="AC32" t="str">
        <f>IF(AND(x &gt;=y, x + y &lt;= show_value), x^3+ y^3, "")</f>
        <v/>
      </c>
      <c r="AD32" t="str">
        <f>IF(AND(x &gt;=y, x + y &lt;= show_value), x^3+ y^3, "")</f>
        <v/>
      </c>
      <c r="AE32" t="str">
        <f>IF(AND(x &gt;=y, x + y &lt;= show_value), x^3+ y^3, "")</f>
        <v/>
      </c>
      <c r="AF32" t="str">
        <f>IF(AND(x &gt;=y, x + y &lt;= show_value), x^3+ y^3, "")</f>
        <v/>
      </c>
    </row>
    <row r="33" spans="2:32" x14ac:dyDescent="0.25">
      <c r="B33" s="5">
        <v>30</v>
      </c>
      <c r="C33" t="str">
        <f>IF(AND(x &gt;=y, x + y &lt;= show_value), x^3+ y^3, "")</f>
        <v/>
      </c>
      <c r="D33" t="str">
        <f>IF(AND(x &gt;=y, x + y &lt;= show_value), x^3+ y^3, "")</f>
        <v/>
      </c>
      <c r="E33" t="str">
        <f>IF(AND(x &gt;=y, x + y &lt;= show_value), x^3+ y^3, "")</f>
        <v/>
      </c>
      <c r="F33" t="str">
        <f>IF(AND(x &gt;=y, x + y &lt;= show_value), x^3+ y^3, "")</f>
        <v/>
      </c>
      <c r="G33" t="str">
        <f>IF(AND(x &gt;=y, x + y &lt;= show_value), x^3+ y^3, "")</f>
        <v/>
      </c>
      <c r="H33" t="str">
        <f>IF(AND(x &gt;=y, x + y &lt;= show_value), x^3+ y^3, "")</f>
        <v/>
      </c>
      <c r="I33" t="str">
        <f>IF(AND(x &gt;=y, x + y &lt;= show_value), x^3+ y^3, "")</f>
        <v/>
      </c>
      <c r="J33" t="str">
        <f>IF(AND(x &gt;=y, x + y &lt;= show_value), x^3+ y^3, "")</f>
        <v/>
      </c>
      <c r="K33" t="str">
        <f>IF(AND(x &gt;=y, x + y &lt;= show_value), x^3+ y^3, "")</f>
        <v/>
      </c>
      <c r="L33" t="str">
        <f>IF(AND(x &gt;=y, x + y &lt;= show_value), x^3+ y^3, "")</f>
        <v/>
      </c>
      <c r="M33" t="str">
        <f>IF(AND(x &gt;=y, x + y &lt;= show_value), x^3+ y^3, "")</f>
        <v/>
      </c>
      <c r="N33" t="str">
        <f>IF(AND(x &gt;=y, x + y &lt;= show_value), x^3+ y^3, "")</f>
        <v/>
      </c>
      <c r="O33" t="str">
        <f>IF(AND(x &gt;=y, x + y &lt;= show_value), x^3+ y^3, "")</f>
        <v/>
      </c>
      <c r="P33" t="str">
        <f>IF(AND(x &gt;=y, x + y &lt;= show_value), x^3+ y^3, "")</f>
        <v/>
      </c>
      <c r="Q33" t="str">
        <f>IF(AND(x &gt;=y, x + y &lt;= show_value), x^3+ y^3, "")</f>
        <v/>
      </c>
      <c r="R33" t="str">
        <f>IF(AND(x &gt;=y, x + y &lt;= show_value), x^3+ y^3, "")</f>
        <v/>
      </c>
      <c r="S33" t="str">
        <f>IF(AND(x &gt;=y, x + y &lt;= show_value), x^3+ y^3, "")</f>
        <v/>
      </c>
      <c r="T33" t="str">
        <f>IF(AND(x &gt;=y, x + y &lt;= show_value), x^3+ y^3, "")</f>
        <v/>
      </c>
      <c r="U33" t="str">
        <f>IF(AND(x &gt;=y, x + y &lt;= show_value), x^3+ y^3, "")</f>
        <v/>
      </c>
      <c r="V33" t="str">
        <f>IF(AND(x &gt;=y, x + y &lt;= show_value), x^3+ y^3, "")</f>
        <v/>
      </c>
      <c r="W33" t="str">
        <f>IF(AND(x &gt;=y, x + y &lt;= show_value), x^3+ y^3, "")</f>
        <v/>
      </c>
      <c r="X33" t="str">
        <f>IF(AND(x &gt;=y, x + y &lt;= show_value), x^3+ y^3, "")</f>
        <v/>
      </c>
      <c r="Y33" t="str">
        <f>IF(AND(x &gt;=y, x + y &lt;= show_value), x^3+ y^3, "")</f>
        <v/>
      </c>
      <c r="Z33" t="str">
        <f>IF(AND(x &gt;=y, x + y &lt;= show_value), x^3+ y^3, "")</f>
        <v/>
      </c>
      <c r="AA33" t="str">
        <f>IF(AND(x &gt;=y, x + y &lt;= show_value), x^3+ y^3, "")</f>
        <v/>
      </c>
      <c r="AB33" t="str">
        <f>IF(AND(x &gt;=y, x + y &lt;= show_value), x^3+ y^3, "")</f>
        <v/>
      </c>
      <c r="AC33" t="str">
        <f>IF(AND(x &gt;=y, x + y &lt;= show_value), x^3+ y^3, "")</f>
        <v/>
      </c>
      <c r="AD33" t="str">
        <f>IF(AND(x &gt;=y, x + y &lt;= show_value), x^3+ y^3, "")</f>
        <v/>
      </c>
      <c r="AE33" t="str">
        <f>IF(AND(x &gt;=y, x + y &lt;= show_value), x^3+ y^3, "")</f>
        <v/>
      </c>
      <c r="AF33" t="str">
        <f>IF(AND(x &gt;=y, x + y &lt;= show_value), x^3+ y^3, "")</f>
        <v/>
      </c>
    </row>
  </sheetData>
  <conditionalFormatting sqref="C4:AF33">
    <cfRule type="cellIs" dxfId="1" priority="1" operator="equal">
      <formula>$A$2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Scroll Bar 1">
              <controlPr defaultSize="0" autoPict="0">
                <anchor moveWithCells="1">
                  <from>
                    <xdr:col>5</xdr:col>
                    <xdr:colOff>66675</xdr:colOff>
                    <xdr:row>0</xdr:row>
                    <xdr:rowOff>19050</xdr:rowOff>
                  </from>
                  <to>
                    <xdr:col>9</xdr:col>
                    <xdr:colOff>104775</xdr:colOff>
                    <xdr:row>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B2:Q24"/>
  <sheetViews>
    <sheetView zoomScale="85" zoomScaleNormal="85" workbookViewId="0"/>
  </sheetViews>
  <sheetFormatPr defaultColWidth="7.140625" defaultRowHeight="15" x14ac:dyDescent="0.25"/>
  <sheetData>
    <row r="2" spans="2:17" x14ac:dyDescent="0.25">
      <c r="B2">
        <v>51</v>
      </c>
      <c r="C2">
        <v>38</v>
      </c>
      <c r="D2">
        <v>98</v>
      </c>
      <c r="E2">
        <v>6</v>
      </c>
      <c r="F2">
        <v>62</v>
      </c>
      <c r="G2">
        <v>72</v>
      </c>
      <c r="H2">
        <v>6</v>
      </c>
      <c r="I2">
        <v>36</v>
      </c>
      <c r="J2">
        <v>27</v>
      </c>
      <c r="K2">
        <v>18</v>
      </c>
      <c r="M2">
        <v>0</v>
      </c>
      <c r="N2">
        <f>IF(M2 &lt;&gt; "",COUNTIF(interval_data,intervals),"")</f>
        <v>4</v>
      </c>
      <c r="O2" t="str">
        <f>IF(M3 &lt;&gt; "",  M2 &amp; "- "&amp; (M3- 1), "")</f>
        <v>0- 7</v>
      </c>
      <c r="Q2" t="str">
        <f xml:space="preserve"> "Histogram in Intervals of "&amp; size</f>
        <v>Histogram in Intervals of 8</v>
      </c>
    </row>
    <row r="3" spans="2:17" x14ac:dyDescent="0.25">
      <c r="B3">
        <v>60</v>
      </c>
      <c r="C3">
        <v>48</v>
      </c>
      <c r="D3">
        <v>37</v>
      </c>
      <c r="E3">
        <v>12</v>
      </c>
      <c r="F3">
        <v>29</v>
      </c>
      <c r="G3">
        <v>83</v>
      </c>
      <c r="H3">
        <v>38</v>
      </c>
      <c r="I3">
        <v>68</v>
      </c>
      <c r="J3">
        <v>72</v>
      </c>
      <c r="K3">
        <v>73</v>
      </c>
      <c r="M3">
        <f t="shared" ref="M3:M21" si="0" xml:space="preserve"> IF(M2 &lt; 100, M2 + size, "")</f>
        <v>8</v>
      </c>
      <c r="N3">
        <f t="shared" ref="N3:N21" si="1">IF(M3 &lt;&gt; "",COUNTIF(interval_data,intervals),"")</f>
        <v>10</v>
      </c>
      <c r="O3" t="str">
        <f t="shared" ref="O3:O21" si="2">IF(M4 &lt;&gt; "",  M3 &amp; "- "&amp; (M4- 1), "")</f>
        <v>8- 15</v>
      </c>
      <c r="Q3" t="str">
        <f xml:space="preserve"> "Intervals of size " &amp;  size</f>
        <v>Intervals of size 8</v>
      </c>
    </row>
    <row r="4" spans="2:17" x14ac:dyDescent="0.25">
      <c r="B4">
        <v>32</v>
      </c>
      <c r="C4">
        <v>39</v>
      </c>
      <c r="D4">
        <v>76</v>
      </c>
      <c r="E4">
        <v>45</v>
      </c>
      <c r="F4">
        <v>89</v>
      </c>
      <c r="G4">
        <v>14</v>
      </c>
      <c r="H4">
        <v>97</v>
      </c>
      <c r="I4">
        <v>26</v>
      </c>
      <c r="J4">
        <v>25</v>
      </c>
      <c r="K4">
        <v>75</v>
      </c>
      <c r="M4">
        <f t="shared" si="0"/>
        <v>16</v>
      </c>
      <c r="N4">
        <f t="shared" si="1"/>
        <v>5</v>
      </c>
      <c r="O4" t="str">
        <f t="shared" si="2"/>
        <v>16- 23</v>
      </c>
      <c r="Q4" t="s">
        <v>8</v>
      </c>
    </row>
    <row r="5" spans="2:17" x14ac:dyDescent="0.25">
      <c r="B5">
        <v>8</v>
      </c>
      <c r="C5">
        <v>5</v>
      </c>
      <c r="D5">
        <v>15</v>
      </c>
      <c r="E5">
        <v>65</v>
      </c>
      <c r="F5">
        <v>93</v>
      </c>
      <c r="G5">
        <v>83</v>
      </c>
      <c r="H5">
        <v>15</v>
      </c>
      <c r="I5">
        <v>76</v>
      </c>
      <c r="J5">
        <v>89</v>
      </c>
      <c r="K5">
        <v>93</v>
      </c>
      <c r="M5">
        <f t="shared" si="0"/>
        <v>24</v>
      </c>
      <c r="N5">
        <f t="shared" si="1"/>
        <v>7</v>
      </c>
      <c r="O5" t="str">
        <f t="shared" si="2"/>
        <v>24- 31</v>
      </c>
    </row>
    <row r="6" spans="2:17" x14ac:dyDescent="0.25">
      <c r="B6">
        <v>97</v>
      </c>
      <c r="C6">
        <v>57</v>
      </c>
      <c r="D6">
        <v>16</v>
      </c>
      <c r="E6">
        <v>44</v>
      </c>
      <c r="F6">
        <v>21</v>
      </c>
      <c r="G6">
        <v>8</v>
      </c>
      <c r="H6">
        <v>30</v>
      </c>
      <c r="I6">
        <v>68</v>
      </c>
      <c r="J6">
        <v>42</v>
      </c>
      <c r="K6">
        <v>30</v>
      </c>
      <c r="M6">
        <f t="shared" si="0"/>
        <v>32</v>
      </c>
      <c r="N6">
        <f t="shared" si="1"/>
        <v>10</v>
      </c>
      <c r="O6" t="str">
        <f t="shared" si="2"/>
        <v>32- 39</v>
      </c>
    </row>
    <row r="7" spans="2:17" x14ac:dyDescent="0.25">
      <c r="B7">
        <v>44</v>
      </c>
      <c r="C7">
        <v>98</v>
      </c>
      <c r="D7">
        <v>10</v>
      </c>
      <c r="E7">
        <v>66</v>
      </c>
      <c r="F7">
        <v>62</v>
      </c>
      <c r="G7">
        <v>40</v>
      </c>
      <c r="H7">
        <v>28</v>
      </c>
      <c r="I7">
        <v>41</v>
      </c>
      <c r="J7">
        <v>33</v>
      </c>
      <c r="K7">
        <v>98</v>
      </c>
      <c r="M7">
        <f t="shared" si="0"/>
        <v>40</v>
      </c>
      <c r="N7">
        <f t="shared" si="1"/>
        <v>10</v>
      </c>
      <c r="O7" t="str">
        <f t="shared" si="2"/>
        <v>40- 47</v>
      </c>
    </row>
    <row r="8" spans="2:17" x14ac:dyDescent="0.25">
      <c r="B8">
        <v>69</v>
      </c>
      <c r="C8">
        <v>99</v>
      </c>
      <c r="D8">
        <v>46</v>
      </c>
      <c r="E8">
        <v>78</v>
      </c>
      <c r="F8">
        <v>87</v>
      </c>
      <c r="G8">
        <v>82</v>
      </c>
      <c r="H8">
        <v>82</v>
      </c>
      <c r="I8">
        <v>84</v>
      </c>
      <c r="J8">
        <v>56</v>
      </c>
      <c r="K8">
        <v>84</v>
      </c>
      <c r="M8">
        <f t="shared" si="0"/>
        <v>48</v>
      </c>
      <c r="N8">
        <f t="shared" si="1"/>
        <v>4</v>
      </c>
      <c r="O8" t="str">
        <f t="shared" si="2"/>
        <v>48- 55</v>
      </c>
    </row>
    <row r="9" spans="2:17" x14ac:dyDescent="0.25">
      <c r="B9">
        <v>59</v>
      </c>
      <c r="C9">
        <v>46</v>
      </c>
      <c r="D9">
        <v>75</v>
      </c>
      <c r="E9">
        <v>60</v>
      </c>
      <c r="F9">
        <v>99</v>
      </c>
      <c r="G9">
        <v>88</v>
      </c>
      <c r="H9">
        <v>75</v>
      </c>
      <c r="I9">
        <v>42</v>
      </c>
      <c r="J9">
        <v>90</v>
      </c>
      <c r="K9">
        <v>52</v>
      </c>
      <c r="M9">
        <f t="shared" si="0"/>
        <v>56</v>
      </c>
      <c r="N9">
        <f t="shared" si="1"/>
        <v>9</v>
      </c>
      <c r="O9" t="str">
        <f t="shared" si="2"/>
        <v>56- 63</v>
      </c>
    </row>
    <row r="10" spans="2:17" x14ac:dyDescent="0.25">
      <c r="B10">
        <v>15</v>
      </c>
      <c r="C10">
        <v>53</v>
      </c>
      <c r="D10">
        <v>72</v>
      </c>
      <c r="E10">
        <v>81</v>
      </c>
      <c r="F10">
        <v>96</v>
      </c>
      <c r="G10">
        <v>65</v>
      </c>
      <c r="H10">
        <v>39</v>
      </c>
      <c r="I10">
        <v>38</v>
      </c>
      <c r="J10">
        <v>13</v>
      </c>
      <c r="K10">
        <v>79</v>
      </c>
      <c r="M10">
        <f t="shared" si="0"/>
        <v>64</v>
      </c>
      <c r="N10">
        <f t="shared" si="1"/>
        <v>6</v>
      </c>
      <c r="O10" t="str">
        <f t="shared" si="2"/>
        <v>64- 71</v>
      </c>
    </row>
    <row r="11" spans="2:17" x14ac:dyDescent="0.25">
      <c r="B11">
        <v>5</v>
      </c>
      <c r="C11">
        <v>95</v>
      </c>
      <c r="D11">
        <v>56</v>
      </c>
      <c r="E11">
        <v>8</v>
      </c>
      <c r="F11">
        <v>22</v>
      </c>
      <c r="G11">
        <v>35</v>
      </c>
      <c r="H11">
        <v>97</v>
      </c>
      <c r="I11">
        <v>47</v>
      </c>
      <c r="J11">
        <v>20</v>
      </c>
      <c r="K11">
        <v>61</v>
      </c>
      <c r="M11">
        <f t="shared" si="0"/>
        <v>72</v>
      </c>
      <c r="N11">
        <f t="shared" si="1"/>
        <v>11</v>
      </c>
      <c r="O11" t="str">
        <f t="shared" si="2"/>
        <v>72- 79</v>
      </c>
    </row>
    <row r="12" spans="2:17" x14ac:dyDescent="0.25">
      <c r="M12">
        <f t="shared" si="0"/>
        <v>80</v>
      </c>
      <c r="N12">
        <f t="shared" si="1"/>
        <v>8</v>
      </c>
      <c r="O12" t="str">
        <f t="shared" si="2"/>
        <v>80- 87</v>
      </c>
    </row>
    <row r="13" spans="2:17" x14ac:dyDescent="0.25">
      <c r="B13" t="s">
        <v>0</v>
      </c>
      <c r="D13" s="1">
        <v>8</v>
      </c>
      <c r="M13">
        <f t="shared" si="0"/>
        <v>88</v>
      </c>
      <c r="N13">
        <f t="shared" si="1"/>
        <v>7</v>
      </c>
      <c r="O13" t="str">
        <f t="shared" si="2"/>
        <v>88- 95</v>
      </c>
    </row>
    <row r="14" spans="2:17" x14ac:dyDescent="0.25">
      <c r="M14">
        <f t="shared" si="0"/>
        <v>96</v>
      </c>
      <c r="N14">
        <f t="shared" si="1"/>
        <v>9</v>
      </c>
      <c r="O14" t="str">
        <f t="shared" si="2"/>
        <v>96- 103</v>
      </c>
    </row>
    <row r="15" spans="2:17" x14ac:dyDescent="0.25">
      <c r="B15">
        <f t="shared" ref="B15:K15" si="3">size*INT(B2/size)</f>
        <v>48</v>
      </c>
      <c r="C15">
        <f t="shared" si="3"/>
        <v>32</v>
      </c>
      <c r="D15">
        <f t="shared" si="3"/>
        <v>96</v>
      </c>
      <c r="E15">
        <f t="shared" si="3"/>
        <v>0</v>
      </c>
      <c r="F15">
        <f t="shared" si="3"/>
        <v>56</v>
      </c>
      <c r="G15">
        <f t="shared" si="3"/>
        <v>72</v>
      </c>
      <c r="H15">
        <f t="shared" si="3"/>
        <v>0</v>
      </c>
      <c r="I15">
        <f t="shared" si="3"/>
        <v>32</v>
      </c>
      <c r="J15">
        <f t="shared" si="3"/>
        <v>24</v>
      </c>
      <c r="K15">
        <f t="shared" si="3"/>
        <v>16</v>
      </c>
      <c r="M15">
        <f t="shared" si="0"/>
        <v>104</v>
      </c>
      <c r="N15">
        <f t="shared" si="1"/>
        <v>0</v>
      </c>
      <c r="O15" t="str">
        <f t="shared" si="2"/>
        <v/>
      </c>
    </row>
    <row r="16" spans="2:17" x14ac:dyDescent="0.25">
      <c r="B16">
        <f t="shared" ref="B16:K16" si="4">size*INT(B3/size)</f>
        <v>56</v>
      </c>
      <c r="C16">
        <f t="shared" si="4"/>
        <v>48</v>
      </c>
      <c r="D16">
        <f t="shared" si="4"/>
        <v>32</v>
      </c>
      <c r="E16">
        <f t="shared" si="4"/>
        <v>8</v>
      </c>
      <c r="F16">
        <f t="shared" si="4"/>
        <v>24</v>
      </c>
      <c r="G16">
        <f t="shared" si="4"/>
        <v>80</v>
      </c>
      <c r="H16">
        <f t="shared" si="4"/>
        <v>32</v>
      </c>
      <c r="I16">
        <f t="shared" si="4"/>
        <v>64</v>
      </c>
      <c r="J16">
        <f t="shared" si="4"/>
        <v>72</v>
      </c>
      <c r="K16">
        <f t="shared" si="4"/>
        <v>72</v>
      </c>
      <c r="M16" t="str">
        <f t="shared" si="0"/>
        <v/>
      </c>
      <c r="N16" t="str">
        <f t="shared" si="1"/>
        <v/>
      </c>
      <c r="O16" t="str">
        <f t="shared" si="2"/>
        <v/>
      </c>
    </row>
    <row r="17" spans="2:15" x14ac:dyDescent="0.25">
      <c r="B17">
        <f t="shared" ref="B17:K17" si="5">size*INT(B4/size)</f>
        <v>32</v>
      </c>
      <c r="C17">
        <f t="shared" si="5"/>
        <v>32</v>
      </c>
      <c r="D17">
        <f t="shared" si="5"/>
        <v>72</v>
      </c>
      <c r="E17">
        <f t="shared" si="5"/>
        <v>40</v>
      </c>
      <c r="F17">
        <f t="shared" si="5"/>
        <v>88</v>
      </c>
      <c r="G17">
        <f t="shared" si="5"/>
        <v>8</v>
      </c>
      <c r="H17">
        <f t="shared" si="5"/>
        <v>96</v>
      </c>
      <c r="I17">
        <f t="shared" si="5"/>
        <v>24</v>
      </c>
      <c r="J17">
        <f t="shared" si="5"/>
        <v>24</v>
      </c>
      <c r="K17">
        <f t="shared" si="5"/>
        <v>72</v>
      </c>
      <c r="M17" t="str">
        <f t="shared" si="0"/>
        <v/>
      </c>
      <c r="N17" t="str">
        <f t="shared" si="1"/>
        <v/>
      </c>
      <c r="O17" t="str">
        <f t="shared" si="2"/>
        <v/>
      </c>
    </row>
    <row r="18" spans="2:15" x14ac:dyDescent="0.25">
      <c r="B18">
        <f t="shared" ref="B18:K18" si="6">size*INT(B5/size)</f>
        <v>8</v>
      </c>
      <c r="C18">
        <f t="shared" si="6"/>
        <v>0</v>
      </c>
      <c r="D18">
        <f t="shared" si="6"/>
        <v>8</v>
      </c>
      <c r="E18">
        <f t="shared" si="6"/>
        <v>64</v>
      </c>
      <c r="F18">
        <f t="shared" si="6"/>
        <v>88</v>
      </c>
      <c r="G18">
        <f t="shared" si="6"/>
        <v>80</v>
      </c>
      <c r="H18">
        <f t="shared" si="6"/>
        <v>8</v>
      </c>
      <c r="I18">
        <f t="shared" si="6"/>
        <v>72</v>
      </c>
      <c r="J18">
        <f t="shared" si="6"/>
        <v>88</v>
      </c>
      <c r="K18">
        <f t="shared" si="6"/>
        <v>88</v>
      </c>
      <c r="M18" t="str">
        <f t="shared" si="0"/>
        <v/>
      </c>
      <c r="N18" t="str">
        <f t="shared" si="1"/>
        <v/>
      </c>
      <c r="O18" t="str">
        <f t="shared" si="2"/>
        <v/>
      </c>
    </row>
    <row r="19" spans="2:15" x14ac:dyDescent="0.25">
      <c r="B19">
        <f t="shared" ref="B19:K19" si="7">size*INT(B6/size)</f>
        <v>96</v>
      </c>
      <c r="C19">
        <f t="shared" si="7"/>
        <v>56</v>
      </c>
      <c r="D19">
        <f t="shared" si="7"/>
        <v>16</v>
      </c>
      <c r="E19">
        <f t="shared" si="7"/>
        <v>40</v>
      </c>
      <c r="F19">
        <f t="shared" si="7"/>
        <v>16</v>
      </c>
      <c r="G19">
        <f t="shared" si="7"/>
        <v>8</v>
      </c>
      <c r="H19">
        <f t="shared" si="7"/>
        <v>24</v>
      </c>
      <c r="I19">
        <f t="shared" si="7"/>
        <v>64</v>
      </c>
      <c r="J19">
        <f t="shared" si="7"/>
        <v>40</v>
      </c>
      <c r="K19">
        <f t="shared" si="7"/>
        <v>24</v>
      </c>
      <c r="M19" t="str">
        <f t="shared" si="0"/>
        <v/>
      </c>
      <c r="N19" t="str">
        <f t="shared" si="1"/>
        <v/>
      </c>
      <c r="O19" t="str">
        <f t="shared" si="2"/>
        <v/>
      </c>
    </row>
    <row r="20" spans="2:15" x14ac:dyDescent="0.25">
      <c r="B20">
        <f t="shared" ref="B20:K20" si="8">size*INT(B7/size)</f>
        <v>40</v>
      </c>
      <c r="C20">
        <f t="shared" si="8"/>
        <v>96</v>
      </c>
      <c r="D20">
        <f t="shared" si="8"/>
        <v>8</v>
      </c>
      <c r="E20">
        <f t="shared" si="8"/>
        <v>64</v>
      </c>
      <c r="F20">
        <f t="shared" si="8"/>
        <v>56</v>
      </c>
      <c r="G20">
        <f t="shared" si="8"/>
        <v>40</v>
      </c>
      <c r="H20">
        <f t="shared" si="8"/>
        <v>24</v>
      </c>
      <c r="I20">
        <f t="shared" si="8"/>
        <v>40</v>
      </c>
      <c r="J20">
        <f t="shared" si="8"/>
        <v>32</v>
      </c>
      <c r="K20">
        <f t="shared" si="8"/>
        <v>96</v>
      </c>
      <c r="M20" t="str">
        <f t="shared" si="0"/>
        <v/>
      </c>
      <c r="N20" t="str">
        <f t="shared" si="1"/>
        <v/>
      </c>
      <c r="O20" t="str">
        <f t="shared" si="2"/>
        <v/>
      </c>
    </row>
    <row r="21" spans="2:15" x14ac:dyDescent="0.25">
      <c r="B21">
        <f t="shared" ref="B21:K21" si="9">size*INT(B8/size)</f>
        <v>64</v>
      </c>
      <c r="C21">
        <f t="shared" si="9"/>
        <v>96</v>
      </c>
      <c r="D21">
        <f t="shared" si="9"/>
        <v>40</v>
      </c>
      <c r="E21">
        <f t="shared" si="9"/>
        <v>72</v>
      </c>
      <c r="F21">
        <f t="shared" si="9"/>
        <v>80</v>
      </c>
      <c r="G21">
        <f t="shared" si="9"/>
        <v>80</v>
      </c>
      <c r="H21">
        <f t="shared" si="9"/>
        <v>80</v>
      </c>
      <c r="I21">
        <f t="shared" si="9"/>
        <v>80</v>
      </c>
      <c r="J21">
        <f t="shared" si="9"/>
        <v>56</v>
      </c>
      <c r="K21">
        <f t="shared" si="9"/>
        <v>80</v>
      </c>
      <c r="M21" t="str">
        <f t="shared" si="0"/>
        <v/>
      </c>
      <c r="N21" t="str">
        <f t="shared" si="1"/>
        <v/>
      </c>
      <c r="O21" t="str">
        <f t="shared" si="2"/>
        <v/>
      </c>
    </row>
    <row r="22" spans="2:15" x14ac:dyDescent="0.25">
      <c r="B22">
        <f t="shared" ref="B22:K22" si="10">size*INT(B9/size)</f>
        <v>56</v>
      </c>
      <c r="C22">
        <f t="shared" si="10"/>
        <v>40</v>
      </c>
      <c r="D22">
        <f t="shared" si="10"/>
        <v>72</v>
      </c>
      <c r="E22">
        <f t="shared" si="10"/>
        <v>56</v>
      </c>
      <c r="F22">
        <f t="shared" si="10"/>
        <v>96</v>
      </c>
      <c r="G22">
        <f t="shared" si="10"/>
        <v>88</v>
      </c>
      <c r="H22">
        <f t="shared" si="10"/>
        <v>72</v>
      </c>
      <c r="I22">
        <f t="shared" si="10"/>
        <v>40</v>
      </c>
      <c r="J22">
        <f t="shared" si="10"/>
        <v>88</v>
      </c>
      <c r="K22">
        <f t="shared" si="10"/>
        <v>48</v>
      </c>
    </row>
    <row r="23" spans="2:15" x14ac:dyDescent="0.25">
      <c r="B23">
        <f t="shared" ref="B23:K23" si="11">size*INT(B10/size)</f>
        <v>8</v>
      </c>
      <c r="C23">
        <f t="shared" si="11"/>
        <v>48</v>
      </c>
      <c r="D23">
        <f t="shared" si="11"/>
        <v>72</v>
      </c>
      <c r="E23">
        <f t="shared" si="11"/>
        <v>80</v>
      </c>
      <c r="F23">
        <f t="shared" si="11"/>
        <v>96</v>
      </c>
      <c r="G23">
        <f t="shared" si="11"/>
        <v>64</v>
      </c>
      <c r="H23">
        <f t="shared" si="11"/>
        <v>32</v>
      </c>
      <c r="I23">
        <f t="shared" si="11"/>
        <v>32</v>
      </c>
      <c r="J23">
        <f t="shared" si="11"/>
        <v>8</v>
      </c>
      <c r="K23">
        <f t="shared" si="11"/>
        <v>72</v>
      </c>
    </row>
    <row r="24" spans="2:15" x14ac:dyDescent="0.25">
      <c r="B24">
        <f t="shared" ref="B24:K24" si="12">size*INT(B11/size)</f>
        <v>0</v>
      </c>
      <c r="C24">
        <f t="shared" si="12"/>
        <v>88</v>
      </c>
      <c r="D24">
        <f t="shared" si="12"/>
        <v>56</v>
      </c>
      <c r="E24">
        <f t="shared" si="12"/>
        <v>8</v>
      </c>
      <c r="F24">
        <f t="shared" si="12"/>
        <v>16</v>
      </c>
      <c r="G24">
        <f t="shared" si="12"/>
        <v>32</v>
      </c>
      <c r="H24">
        <f t="shared" si="12"/>
        <v>96</v>
      </c>
      <c r="I24">
        <f t="shared" si="12"/>
        <v>40</v>
      </c>
      <c r="J24">
        <f t="shared" si="12"/>
        <v>16</v>
      </c>
      <c r="K24">
        <f t="shared" si="12"/>
        <v>56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Scroll Bar 1">
              <controlPr defaultSize="0" autoPict="0">
                <anchor moveWithCells="1">
                  <from>
                    <xdr:col>4</xdr:col>
                    <xdr:colOff>476250</xdr:colOff>
                    <xdr:row>12</xdr:row>
                    <xdr:rowOff>9525</xdr:rowOff>
                  </from>
                  <to>
                    <xdr:col>9</xdr:col>
                    <xdr:colOff>247650</xdr:colOff>
                    <xdr:row>12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2:N31"/>
  <sheetViews>
    <sheetView zoomScaleNormal="100" workbookViewId="0"/>
  </sheetViews>
  <sheetFormatPr defaultRowHeight="15" x14ac:dyDescent="0.25"/>
  <cols>
    <col min="2" max="3" width="9.140625" style="2"/>
  </cols>
  <sheetData>
    <row r="2" spans="2:14" x14ac:dyDescent="0.25">
      <c r="B2" s="3" t="s">
        <v>4</v>
      </c>
      <c r="C2" s="3" t="s">
        <v>5</v>
      </c>
    </row>
    <row r="3" spans="2:14" x14ac:dyDescent="0.25">
      <c r="B3" s="2">
        <f ca="1">RANDBETWEEN(5, 75)</f>
        <v>7</v>
      </c>
      <c r="C3" s="2">
        <f ca="1">RANDBETWEEN(15,85)</f>
        <v>84</v>
      </c>
      <c r="E3" t="s">
        <v>3</v>
      </c>
    </row>
    <row r="4" spans="2:14" x14ac:dyDescent="0.25">
      <c r="B4" s="2">
        <f t="shared" ref="B4:B31" ca="1" si="0">RANDBETWEEN(5, 75)</f>
        <v>23</v>
      </c>
      <c r="C4" s="2">
        <f t="shared" ref="C4:C31" ca="1" si="1">RANDBETWEEN(15,85)</f>
        <v>48</v>
      </c>
    </row>
    <row r="5" spans="2:14" x14ac:dyDescent="0.25">
      <c r="B5" s="2">
        <f t="shared" ca="1" si="0"/>
        <v>53</v>
      </c>
      <c r="C5" s="2">
        <f t="shared" ca="1" si="1"/>
        <v>61</v>
      </c>
      <c r="E5" s="6"/>
      <c r="F5" s="8" t="s">
        <v>6</v>
      </c>
      <c r="G5" s="8" t="s">
        <v>1</v>
      </c>
      <c r="H5" s="8" t="s">
        <v>2</v>
      </c>
      <c r="I5" s="8" t="s">
        <v>7</v>
      </c>
      <c r="J5" s="4" t="s">
        <v>3</v>
      </c>
      <c r="K5" s="8" t="s">
        <v>9</v>
      </c>
      <c r="M5" s="7" t="s">
        <v>10</v>
      </c>
      <c r="N5" t="str">
        <f ca="1" xml:space="preserve"> "Median = " &amp; J6</f>
        <v>Median = 44</v>
      </c>
    </row>
    <row r="6" spans="2:14" x14ac:dyDescent="0.25">
      <c r="B6" s="2">
        <f t="shared" ca="1" si="0"/>
        <v>8</v>
      </c>
      <c r="C6" s="2">
        <f t="shared" ca="1" si="1"/>
        <v>82</v>
      </c>
      <c r="E6" s="5" t="s">
        <v>4</v>
      </c>
      <c r="F6">
        <f t="array" aca="1" ref="F6" ca="1">MEDIAN(IF(data1&lt;=$J$6,data1,""))</f>
        <v>25</v>
      </c>
      <c r="G6">
        <f ca="1">MAX(data1)</f>
        <v>72</v>
      </c>
      <c r="H6">
        <f ca="1">MIN(data1)</f>
        <v>7</v>
      </c>
      <c r="I6">
        <f t="array" aca="1" ref="I6" ca="1">MEDIAN(IF(data1&gt;$J$6,data1,""))</f>
        <v>59.5</v>
      </c>
      <c r="J6">
        <f ca="1">MEDIAN(data1)</f>
        <v>44</v>
      </c>
      <c r="K6">
        <f ca="1">G6-H6</f>
        <v>65</v>
      </c>
      <c r="M6" s="7" t="s">
        <v>10</v>
      </c>
      <c r="N6" t="str">
        <f ca="1" xml:space="preserve"> "Range = " &amp; K6</f>
        <v>Range = 65</v>
      </c>
    </row>
    <row r="7" spans="2:14" x14ac:dyDescent="0.25">
      <c r="B7" s="2">
        <f t="shared" ca="1" si="0"/>
        <v>56</v>
      </c>
      <c r="C7" s="2">
        <f t="shared" ca="1" si="1"/>
        <v>47</v>
      </c>
      <c r="E7" s="5" t="s">
        <v>5</v>
      </c>
      <c r="F7">
        <f t="array" aca="1" ref="F7" ca="1">MEDIAN(IF(data2&lt;=$J$7,data2,""))</f>
        <v>32</v>
      </c>
      <c r="G7">
        <f ca="1">MAX(data2)</f>
        <v>84</v>
      </c>
      <c r="H7">
        <f ca="1">MIN(data2)</f>
        <v>15</v>
      </c>
      <c r="I7">
        <f t="array" aca="1" ref="I7" ca="1">MEDIAN(IF(data2&gt;$J$7,data2,""))</f>
        <v>77</v>
      </c>
      <c r="J7">
        <f ca="1">MEDIAN(data2)</f>
        <v>56</v>
      </c>
      <c r="K7">
        <f ca="1">G7-H7</f>
        <v>69</v>
      </c>
      <c r="M7" s="7" t="s">
        <v>11</v>
      </c>
      <c r="N7" t="str">
        <f ca="1" xml:space="preserve"> "Median = " &amp; J7</f>
        <v>Median = 56</v>
      </c>
    </row>
    <row r="8" spans="2:14" x14ac:dyDescent="0.25">
      <c r="B8" s="2">
        <f t="shared" ca="1" si="0"/>
        <v>58</v>
      </c>
      <c r="C8" s="2">
        <f t="shared" ca="1" si="1"/>
        <v>77</v>
      </c>
      <c r="M8" s="7" t="s">
        <v>11</v>
      </c>
      <c r="N8" t="str">
        <f ca="1" xml:space="preserve"> "Range = " &amp; K7</f>
        <v>Range = 69</v>
      </c>
    </row>
    <row r="9" spans="2:14" x14ac:dyDescent="0.25">
      <c r="B9" s="2">
        <f t="shared" ca="1" si="0"/>
        <v>62</v>
      </c>
      <c r="C9" s="2">
        <f t="shared" ca="1" si="1"/>
        <v>65</v>
      </c>
    </row>
    <row r="10" spans="2:14" x14ac:dyDescent="0.25">
      <c r="B10" s="2">
        <f t="shared" ca="1" si="0"/>
        <v>61</v>
      </c>
      <c r="C10" s="2">
        <f t="shared" ca="1" si="1"/>
        <v>80</v>
      </c>
    </row>
    <row r="11" spans="2:14" x14ac:dyDescent="0.25">
      <c r="B11" s="2">
        <f t="shared" ca="1" si="0"/>
        <v>36</v>
      </c>
      <c r="C11" s="2">
        <f t="shared" ca="1" si="1"/>
        <v>82</v>
      </c>
    </row>
    <row r="12" spans="2:14" x14ac:dyDescent="0.25">
      <c r="B12" s="2">
        <f t="shared" ca="1" si="0"/>
        <v>43</v>
      </c>
      <c r="C12" s="2">
        <f t="shared" ca="1" si="1"/>
        <v>67</v>
      </c>
    </row>
    <row r="13" spans="2:14" x14ac:dyDescent="0.25">
      <c r="B13" s="2">
        <f t="shared" ca="1" si="0"/>
        <v>12</v>
      </c>
      <c r="C13" s="2">
        <f t="shared" ca="1" si="1"/>
        <v>32</v>
      </c>
    </row>
    <row r="14" spans="2:14" x14ac:dyDescent="0.25">
      <c r="B14" s="2">
        <f t="shared" ca="1" si="0"/>
        <v>44</v>
      </c>
      <c r="C14" s="2">
        <f t="shared" ca="1" si="1"/>
        <v>34</v>
      </c>
    </row>
    <row r="15" spans="2:14" x14ac:dyDescent="0.25">
      <c r="B15" s="2">
        <f t="shared" ca="1" si="0"/>
        <v>65</v>
      </c>
      <c r="C15" s="2">
        <f t="shared" ca="1" si="1"/>
        <v>82</v>
      </c>
    </row>
    <row r="16" spans="2:14" x14ac:dyDescent="0.25">
      <c r="B16" s="2">
        <f t="shared" ca="1" si="0"/>
        <v>44</v>
      </c>
      <c r="C16" s="2">
        <f t="shared" ca="1" si="1"/>
        <v>68</v>
      </c>
    </row>
    <row r="17" spans="2:3" x14ac:dyDescent="0.25">
      <c r="B17" s="2">
        <f t="shared" ca="1" si="0"/>
        <v>43</v>
      </c>
      <c r="C17" s="2">
        <f t="shared" ca="1" si="1"/>
        <v>77</v>
      </c>
    </row>
    <row r="18" spans="2:3" x14ac:dyDescent="0.25">
      <c r="B18" s="2">
        <f t="shared" ca="1" si="0"/>
        <v>44</v>
      </c>
      <c r="C18" s="2">
        <f t="shared" ca="1" si="1"/>
        <v>54</v>
      </c>
    </row>
    <row r="19" spans="2:3" x14ac:dyDescent="0.25">
      <c r="B19" s="2">
        <f t="shared" ca="1" si="0"/>
        <v>11</v>
      </c>
      <c r="C19" s="2">
        <f t="shared" ca="1" si="1"/>
        <v>58</v>
      </c>
    </row>
    <row r="20" spans="2:3" x14ac:dyDescent="0.25">
      <c r="B20" s="2">
        <f t="shared" ca="1" si="0"/>
        <v>46</v>
      </c>
      <c r="C20" s="2">
        <f t="shared" ca="1" si="1"/>
        <v>22</v>
      </c>
    </row>
    <row r="21" spans="2:3" x14ac:dyDescent="0.25">
      <c r="B21" s="2">
        <f t="shared" ca="1" si="0"/>
        <v>72</v>
      </c>
      <c r="C21" s="2">
        <f t="shared" ca="1" si="1"/>
        <v>51</v>
      </c>
    </row>
    <row r="22" spans="2:3" x14ac:dyDescent="0.25">
      <c r="B22" s="2">
        <f t="shared" ca="1" si="0"/>
        <v>55</v>
      </c>
      <c r="C22" s="2">
        <f t="shared" ca="1" si="1"/>
        <v>56</v>
      </c>
    </row>
    <row r="23" spans="2:3" x14ac:dyDescent="0.25">
      <c r="B23" s="2">
        <f t="shared" ca="1" si="0"/>
        <v>52</v>
      </c>
      <c r="C23" s="2">
        <f t="shared" ca="1" si="1"/>
        <v>75</v>
      </c>
    </row>
    <row r="24" spans="2:3" x14ac:dyDescent="0.25">
      <c r="B24" s="2">
        <f t="shared" ca="1" si="0"/>
        <v>25</v>
      </c>
      <c r="C24" s="2">
        <f t="shared" ca="1" si="1"/>
        <v>15</v>
      </c>
    </row>
    <row r="25" spans="2:3" x14ac:dyDescent="0.25">
      <c r="B25" s="2">
        <f t="shared" ca="1" si="0"/>
        <v>66</v>
      </c>
      <c r="C25" s="2">
        <f t="shared" ca="1" si="1"/>
        <v>25</v>
      </c>
    </row>
    <row r="26" spans="2:3" x14ac:dyDescent="0.25">
      <c r="B26" s="2">
        <f t="shared" ca="1" si="0"/>
        <v>18</v>
      </c>
      <c r="C26" s="2">
        <f t="shared" ca="1" si="1"/>
        <v>24</v>
      </c>
    </row>
    <row r="27" spans="2:3" x14ac:dyDescent="0.25">
      <c r="B27" s="2">
        <f t="shared" ca="1" si="0"/>
        <v>24</v>
      </c>
      <c r="C27" s="2">
        <f t="shared" ca="1" si="1"/>
        <v>78</v>
      </c>
    </row>
    <row r="28" spans="2:3" x14ac:dyDescent="0.25">
      <c r="B28" s="2">
        <f t="shared" ca="1" si="0"/>
        <v>72</v>
      </c>
      <c r="C28" s="2">
        <f t="shared" ca="1" si="1"/>
        <v>16</v>
      </c>
    </row>
    <row r="29" spans="2:3" x14ac:dyDescent="0.25">
      <c r="B29" s="2">
        <f t="shared" ca="1" si="0"/>
        <v>44</v>
      </c>
      <c r="C29" s="2">
        <f t="shared" ca="1" si="1"/>
        <v>52</v>
      </c>
    </row>
    <row r="30" spans="2:3" x14ac:dyDescent="0.25">
      <c r="B30" s="2">
        <f t="shared" ca="1" si="0"/>
        <v>16</v>
      </c>
      <c r="C30" s="2">
        <f t="shared" ca="1" si="1"/>
        <v>17</v>
      </c>
    </row>
    <row r="31" spans="2:3" x14ac:dyDescent="0.25">
      <c r="B31" s="2">
        <f t="shared" ca="1" si="0"/>
        <v>34</v>
      </c>
      <c r="C31" s="2">
        <f t="shared" ca="1" si="1"/>
        <v>27</v>
      </c>
    </row>
  </sheetData>
  <sortState ref="B2:B30">
    <sortCondition ref="B2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C3:F15"/>
  <sheetViews>
    <sheetView workbookViewId="0"/>
  </sheetViews>
  <sheetFormatPr defaultRowHeight="15" x14ac:dyDescent="0.25"/>
  <cols>
    <col min="3" max="6" width="10.140625" customWidth="1"/>
  </cols>
  <sheetData>
    <row r="3" spans="3:6" x14ac:dyDescent="0.25">
      <c r="C3" s="9" t="s">
        <v>12</v>
      </c>
      <c r="D3" s="9" t="s">
        <v>13</v>
      </c>
      <c r="E3" s="10" t="s">
        <v>14</v>
      </c>
      <c r="F3" s="9" t="s">
        <v>14</v>
      </c>
    </row>
    <row r="4" spans="3:6" x14ac:dyDescent="0.25">
      <c r="C4" t="s">
        <v>15</v>
      </c>
      <c r="D4">
        <v>26</v>
      </c>
      <c r="E4">
        <f>-F4</f>
        <v>-14</v>
      </c>
      <c r="F4">
        <v>14</v>
      </c>
    </row>
    <row r="5" spans="3:6" x14ac:dyDescent="0.25">
      <c r="C5" t="s">
        <v>16</v>
      </c>
      <c r="D5">
        <v>26</v>
      </c>
      <c r="E5">
        <f t="shared" ref="E5:E15" si="0">-F5</f>
        <v>-14</v>
      </c>
      <c r="F5">
        <v>14</v>
      </c>
    </row>
    <row r="6" spans="3:6" x14ac:dyDescent="0.25">
      <c r="C6" t="s">
        <v>17</v>
      </c>
      <c r="D6">
        <v>24</v>
      </c>
      <c r="E6">
        <f t="shared" si="0"/>
        <v>-13</v>
      </c>
      <c r="F6">
        <v>13</v>
      </c>
    </row>
    <row r="7" spans="3:6" x14ac:dyDescent="0.25">
      <c r="C7" t="s">
        <v>18</v>
      </c>
      <c r="D7">
        <v>20</v>
      </c>
      <c r="E7">
        <f t="shared" si="0"/>
        <v>-11</v>
      </c>
      <c r="F7">
        <v>11</v>
      </c>
    </row>
    <row r="8" spans="3:6" x14ac:dyDescent="0.25">
      <c r="C8" t="s">
        <v>19</v>
      </c>
      <c r="D8">
        <v>17</v>
      </c>
      <c r="E8">
        <f t="shared" si="0"/>
        <v>-8</v>
      </c>
      <c r="F8">
        <v>8</v>
      </c>
    </row>
    <row r="9" spans="3:6" x14ac:dyDescent="0.25">
      <c r="C9" t="s">
        <v>20</v>
      </c>
      <c r="D9">
        <v>14</v>
      </c>
      <c r="E9">
        <f t="shared" si="0"/>
        <v>-7</v>
      </c>
      <c r="F9">
        <v>7</v>
      </c>
    </row>
    <row r="10" spans="3:6" x14ac:dyDescent="0.25">
      <c r="C10" t="s">
        <v>21</v>
      </c>
      <c r="D10">
        <v>13</v>
      </c>
      <c r="E10">
        <f t="shared" si="0"/>
        <v>-6</v>
      </c>
      <c r="F10">
        <v>6</v>
      </c>
    </row>
    <row r="11" spans="3:6" x14ac:dyDescent="0.25">
      <c r="C11" t="s">
        <v>22</v>
      </c>
      <c r="D11">
        <v>15</v>
      </c>
      <c r="E11">
        <f t="shared" si="0"/>
        <v>-6</v>
      </c>
      <c r="F11">
        <v>6</v>
      </c>
    </row>
    <row r="12" spans="3:6" x14ac:dyDescent="0.25">
      <c r="C12" t="s">
        <v>23</v>
      </c>
      <c r="D12">
        <v>17</v>
      </c>
      <c r="E12">
        <f t="shared" si="0"/>
        <v>-8</v>
      </c>
      <c r="F12">
        <v>8</v>
      </c>
    </row>
    <row r="13" spans="3:6" x14ac:dyDescent="0.25">
      <c r="C13" t="s">
        <v>24</v>
      </c>
      <c r="D13">
        <v>20</v>
      </c>
      <c r="E13">
        <f t="shared" si="0"/>
        <v>-9</v>
      </c>
      <c r="F13">
        <v>9</v>
      </c>
    </row>
    <row r="14" spans="3:6" x14ac:dyDescent="0.25">
      <c r="C14" t="s">
        <v>25</v>
      </c>
      <c r="D14">
        <v>22</v>
      </c>
      <c r="E14">
        <f t="shared" si="0"/>
        <v>-11</v>
      </c>
      <c r="F14">
        <v>11</v>
      </c>
    </row>
    <row r="15" spans="3:6" x14ac:dyDescent="0.25">
      <c r="C15" t="s">
        <v>26</v>
      </c>
      <c r="D15">
        <v>24</v>
      </c>
      <c r="E15">
        <f t="shared" si="0"/>
        <v>-13</v>
      </c>
      <c r="F15">
        <v>13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Fill Handle</vt:lpstr>
      <vt:lpstr>Taxi Numbers</vt:lpstr>
      <vt:lpstr>Taxi Numbers (2)</vt:lpstr>
      <vt:lpstr>Histogram</vt:lpstr>
      <vt:lpstr>Box and Whisker</vt:lpstr>
      <vt:lpstr>Back to Back</vt:lpstr>
      <vt:lpstr>data</vt:lpstr>
      <vt:lpstr>data1</vt:lpstr>
      <vt:lpstr>data2</vt:lpstr>
      <vt:lpstr>interval_data</vt:lpstr>
      <vt:lpstr>intervals</vt:lpstr>
      <vt:lpstr>'Taxi Numbers'!show_value</vt:lpstr>
      <vt:lpstr>show_value</vt:lpstr>
      <vt:lpstr>size</vt:lpstr>
      <vt:lpstr>'Taxi Numbers'!x</vt:lpstr>
      <vt:lpstr>x</vt:lpstr>
      <vt:lpstr>'Taxi Numbers'!y</vt:lpstr>
      <vt:lpstr>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 Baker</dc:creator>
  <cp:lastModifiedBy>JB</cp:lastModifiedBy>
  <dcterms:created xsi:type="dcterms:W3CDTF">2011-01-18T23:15:14Z</dcterms:created>
  <dcterms:modified xsi:type="dcterms:W3CDTF">2011-03-29T20:53:47Z</dcterms:modified>
</cp:coreProperties>
</file>